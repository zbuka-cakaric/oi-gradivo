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T:\Novi Vinodolski Kostak\"/>
    </mc:Choice>
  </mc:AlternateContent>
  <xr:revisionPtr revIDLastSave="0" documentId="13_ncr:1_{7E4BBC89-73EA-4979-ADFF-DBF5227F7615}" xr6:coauthVersionLast="47" xr6:coauthVersionMax="47" xr10:uidLastSave="{00000000-0000-0000-0000-000000000000}"/>
  <bookViews>
    <workbookView xWindow="35340" yWindow="330" windowWidth="32820" windowHeight="20745" tabRatio="945" activeTab="5" xr2:uid="{00000000-000D-0000-FFFF-FFFF00000000}"/>
  </bookViews>
  <sheets>
    <sheet name="Naslovnica" sheetId="9" r:id="rId1"/>
    <sheet name="Opci-GOR" sheetId="30" r:id="rId2"/>
    <sheet name="CEMENTNI ESTRIH" sheetId="31" r:id="rId3"/>
    <sheet name="HIDROIZOLACIJA" sheetId="32" r:id="rId4"/>
    <sheet name="GIPS KARTON" sheetId="33" r:id="rId5"/>
    <sheet name="FASADERSKI" sheetId="34" r:id="rId6"/>
    <sheet name="SOBOSLIKARSKI" sheetId="35" r:id="rId7"/>
    <sheet name="KERAMIČARSKI" sheetId="36" r:id="rId8"/>
    <sheet name="PODOPOLAGAČKI" sheetId="37" r:id="rId9"/>
    <sheet name="STEKLARSKI" sheetId="43" r:id="rId10"/>
    <sheet name="BRAVARSKI" sheetId="41" r:id="rId11"/>
    <sheet name="KROVNA KONSTR." sheetId="44" r:id="rId12"/>
    <sheet name="KROV" sheetId="42" r:id="rId13"/>
  </sheets>
  <definedNames>
    <definedName name="_xlnm.Print_Area" localSheetId="0">Naslovnica!$A$1:$H$67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26" i="34" l="1"/>
  <c r="T128" i="34"/>
  <c r="T63" i="34"/>
  <c r="N85" i="44"/>
  <c r="M85" i="44"/>
  <c r="L85" i="44"/>
  <c r="K85" i="44"/>
  <c r="J85" i="44"/>
  <c r="I85" i="44"/>
  <c r="H85" i="44"/>
  <c r="G85" i="44"/>
  <c r="F85" i="44"/>
  <c r="E85" i="44"/>
  <c r="D85" i="44"/>
  <c r="O82" i="44"/>
  <c r="R82" i="44" s="1"/>
  <c r="O79" i="44"/>
  <c r="R79" i="44" s="1"/>
  <c r="O76" i="44"/>
  <c r="R76" i="44" s="1"/>
  <c r="O72" i="44"/>
  <c r="R72" i="44" s="1"/>
  <c r="O68" i="44"/>
  <c r="R68" i="44" s="1"/>
  <c r="O64" i="44"/>
  <c r="R64" i="44" s="1"/>
  <c r="O63" i="44"/>
  <c r="R63" i="44" s="1"/>
  <c r="O59" i="44"/>
  <c r="R59" i="44" s="1"/>
  <c r="O58" i="44"/>
  <c r="R58" i="44" s="1"/>
  <c r="O48" i="44"/>
  <c r="R48" i="44" s="1"/>
  <c r="O38" i="44"/>
  <c r="R38" i="44" s="1"/>
  <c r="O34" i="44"/>
  <c r="R34" i="44" s="1"/>
  <c r="O31" i="44"/>
  <c r="R31" i="44" s="1"/>
  <c r="O28" i="44"/>
  <c r="R28" i="44" s="1"/>
  <c r="O27" i="44"/>
  <c r="R27" i="44" s="1"/>
  <c r="O23" i="44"/>
  <c r="R23" i="44" s="1"/>
  <c r="O20" i="44"/>
  <c r="R20" i="44" s="1"/>
  <c r="O17" i="44"/>
  <c r="R17" i="44" s="1"/>
  <c r="O14" i="44"/>
  <c r="R14" i="44" s="1"/>
  <c r="R84" i="44" s="1"/>
  <c r="T57" i="32"/>
  <c r="R54" i="32"/>
  <c r="R49" i="32"/>
  <c r="R44" i="32"/>
  <c r="R35" i="32"/>
  <c r="R31" i="32"/>
  <c r="R26" i="32"/>
  <c r="R17" i="32"/>
  <c r="O17" i="32"/>
  <c r="R16" i="32"/>
  <c r="R31" i="34"/>
  <c r="N31" i="34"/>
  <c r="M31" i="34"/>
  <c r="R27" i="34"/>
  <c r="N27" i="34"/>
  <c r="M27" i="34"/>
  <c r="R86" i="44" l="1"/>
  <c r="R88" i="44" s="1"/>
  <c r="T17" i="32"/>
  <c r="N118" i="41" l="1"/>
  <c r="N110" i="41"/>
  <c r="N109" i="41"/>
  <c r="N96" i="41"/>
  <c r="N92" i="41"/>
  <c r="N86" i="41"/>
  <c r="N73" i="37"/>
  <c r="N72" i="37"/>
  <c r="N71" i="37"/>
  <c r="N64" i="37"/>
  <c r="N63" i="37"/>
  <c r="N62" i="37"/>
  <c r="N172" i="36"/>
  <c r="K172" i="36"/>
  <c r="N167" i="36"/>
  <c r="K167" i="36"/>
  <c r="N289" i="36"/>
  <c r="N284" i="36"/>
  <c r="N279" i="36"/>
  <c r="N274" i="36"/>
  <c r="N273" i="36"/>
  <c r="N272" i="36"/>
  <c r="N265" i="36"/>
  <c r="N259" i="36"/>
  <c r="N254" i="36"/>
  <c r="N253" i="36"/>
  <c r="N252" i="36"/>
  <c r="N245" i="36"/>
  <c r="N240" i="36"/>
  <c r="N239" i="36"/>
  <c r="N238" i="36"/>
  <c r="N231" i="36"/>
  <c r="N230" i="36"/>
  <c r="N229" i="36"/>
  <c r="N222" i="36"/>
  <c r="N221" i="36"/>
  <c r="N220" i="36"/>
  <c r="N213" i="36"/>
  <c r="N212" i="36"/>
  <c r="N211" i="36"/>
  <c r="N204" i="36"/>
  <c r="N203" i="36"/>
  <c r="N202" i="36"/>
  <c r="N196" i="36"/>
  <c r="N195" i="36"/>
  <c r="N194" i="36"/>
  <c r="N188" i="36"/>
  <c r="N187" i="36"/>
  <c r="N186" i="36"/>
  <c r="P146" i="35"/>
  <c r="N142" i="35"/>
  <c r="N137" i="35"/>
  <c r="N132" i="35"/>
  <c r="N120" i="35"/>
  <c r="N115" i="35"/>
  <c r="N112" i="35"/>
  <c r="N106" i="35"/>
  <c r="N95" i="35"/>
  <c r="K95" i="35"/>
  <c r="N90" i="35"/>
  <c r="K90" i="35"/>
  <c r="P90" i="35" s="1"/>
  <c r="N89" i="35"/>
  <c r="K89" i="35"/>
  <c r="N82" i="42"/>
  <c r="N78" i="42"/>
  <c r="N74" i="42"/>
  <c r="N70" i="42"/>
  <c r="N66" i="42"/>
  <c r="N65" i="42"/>
  <c r="N60" i="42"/>
  <c r="N121" i="34"/>
  <c r="N116" i="34"/>
  <c r="N112" i="34"/>
  <c r="N106" i="34"/>
  <c r="N159" i="33"/>
  <c r="N155" i="33"/>
  <c r="N150" i="33"/>
  <c r="N144" i="33"/>
  <c r="N143" i="33"/>
  <c r="N137" i="33"/>
  <c r="N132" i="33"/>
  <c r="N127" i="33"/>
  <c r="N122" i="33"/>
  <c r="N117" i="33"/>
  <c r="N112" i="33"/>
  <c r="N107" i="33"/>
  <c r="N102" i="33"/>
  <c r="N97" i="33"/>
  <c r="N92" i="33"/>
  <c r="N103" i="32"/>
  <c r="N98" i="32"/>
  <c r="N93" i="32"/>
  <c r="N84" i="32"/>
  <c r="N80" i="32"/>
  <c r="N75" i="32"/>
  <c r="T50" i="31"/>
  <c r="N48" i="31"/>
  <c r="K48" i="31"/>
  <c r="N47" i="31"/>
  <c r="K37" i="31"/>
  <c r="K47" i="31"/>
  <c r="N46" i="31"/>
  <c r="P46" i="31" s="1"/>
  <c r="K46" i="31"/>
  <c r="N41" i="31"/>
  <c r="K41" i="31"/>
  <c r="N37" i="31"/>
  <c r="P37" i="31" s="1"/>
  <c r="N94" i="34"/>
  <c r="N90" i="34"/>
  <c r="P172" i="36" l="1"/>
  <c r="P167" i="36"/>
  <c r="P95" i="35"/>
  <c r="P89" i="35"/>
  <c r="P97" i="35" s="1"/>
  <c r="P41" i="31"/>
  <c r="P48" i="31"/>
  <c r="P47" i="31"/>
  <c r="R62" i="41" l="1"/>
  <c r="N62" i="41"/>
  <c r="M62" i="41"/>
  <c r="R61" i="41"/>
  <c r="N61" i="41"/>
  <c r="M61" i="41"/>
  <c r="R60" i="41"/>
  <c r="N60" i="41"/>
  <c r="M60" i="41"/>
  <c r="R47" i="41"/>
  <c r="N47" i="41"/>
  <c r="M47" i="41"/>
  <c r="R43" i="41"/>
  <c r="N43" i="41"/>
  <c r="M43" i="41"/>
  <c r="R39" i="41"/>
  <c r="N39" i="41"/>
  <c r="M39" i="41"/>
  <c r="R33" i="41"/>
  <c r="N33" i="41"/>
  <c r="M33" i="41"/>
  <c r="R27" i="41"/>
  <c r="N27" i="41"/>
  <c r="M27" i="41"/>
  <c r="R148" i="36"/>
  <c r="N148" i="36"/>
  <c r="M148" i="36"/>
  <c r="R143" i="36"/>
  <c r="N143" i="36"/>
  <c r="M143" i="36"/>
  <c r="R138" i="36"/>
  <c r="N138" i="36"/>
  <c r="M138" i="36"/>
  <c r="R133" i="36"/>
  <c r="R132" i="36"/>
  <c r="R131" i="36"/>
  <c r="N131" i="36"/>
  <c r="N132" i="36" s="1"/>
  <c r="M131" i="36"/>
  <c r="M132" i="36" s="1"/>
  <c r="R124" i="36"/>
  <c r="N124" i="36"/>
  <c r="M124" i="36"/>
  <c r="R118" i="36"/>
  <c r="N118" i="36"/>
  <c r="M118" i="36"/>
  <c r="R113" i="36"/>
  <c r="K113" i="36"/>
  <c r="J113" i="36"/>
  <c r="I113" i="36"/>
  <c r="H113" i="36"/>
  <c r="G113" i="36"/>
  <c r="F113" i="36"/>
  <c r="E113" i="36"/>
  <c r="D113" i="36"/>
  <c r="R112" i="36"/>
  <c r="K112" i="36"/>
  <c r="J112" i="36"/>
  <c r="I112" i="36"/>
  <c r="H112" i="36"/>
  <c r="G112" i="36"/>
  <c r="F112" i="36"/>
  <c r="E112" i="36"/>
  <c r="D112" i="36"/>
  <c r="R111" i="36"/>
  <c r="N111" i="36"/>
  <c r="N112" i="36" s="1"/>
  <c r="M111" i="36"/>
  <c r="M113" i="36" s="1"/>
  <c r="R104" i="36"/>
  <c r="N104" i="36"/>
  <c r="M104" i="36"/>
  <c r="R99" i="36"/>
  <c r="N99" i="36"/>
  <c r="M99" i="36"/>
  <c r="R94" i="36"/>
  <c r="R93" i="36"/>
  <c r="R92" i="36"/>
  <c r="N92" i="36"/>
  <c r="N94" i="36" s="1"/>
  <c r="M92" i="36"/>
  <c r="M94" i="36" s="1"/>
  <c r="R85" i="36"/>
  <c r="R84" i="36"/>
  <c r="R83" i="36"/>
  <c r="N83" i="36"/>
  <c r="N84" i="36" s="1"/>
  <c r="M83" i="36"/>
  <c r="M85" i="36" s="1"/>
  <c r="R76" i="36"/>
  <c r="R75" i="36"/>
  <c r="R74" i="36"/>
  <c r="N74" i="36"/>
  <c r="N75" i="36" s="1"/>
  <c r="M74" i="36"/>
  <c r="M75" i="36" s="1"/>
  <c r="R67" i="36"/>
  <c r="R66" i="36"/>
  <c r="R65" i="36"/>
  <c r="N65" i="36"/>
  <c r="N66" i="36" s="1"/>
  <c r="M65" i="36"/>
  <c r="M67" i="36" s="1"/>
  <c r="R58" i="36"/>
  <c r="N58" i="36"/>
  <c r="R57" i="36"/>
  <c r="N57" i="36"/>
  <c r="R56" i="36"/>
  <c r="M56" i="36"/>
  <c r="M57" i="36" s="1"/>
  <c r="R50" i="36"/>
  <c r="R49" i="36"/>
  <c r="R48" i="36"/>
  <c r="N48" i="36"/>
  <c r="N50" i="36" s="1"/>
  <c r="M48" i="36"/>
  <c r="M49" i="36" s="1"/>
  <c r="R42" i="36"/>
  <c r="R41" i="36"/>
  <c r="R40" i="36"/>
  <c r="N40" i="36"/>
  <c r="N42" i="36" s="1"/>
  <c r="M40" i="36"/>
  <c r="M41" i="36" s="1"/>
  <c r="R69" i="35"/>
  <c r="N69" i="35"/>
  <c r="M69" i="35"/>
  <c r="R64" i="35"/>
  <c r="N64" i="35"/>
  <c r="M64" i="35"/>
  <c r="O21" i="35"/>
  <c r="R21" i="35"/>
  <c r="T21" i="35" s="1"/>
  <c r="O22" i="35"/>
  <c r="R22" i="35"/>
  <c r="O27" i="35"/>
  <c r="R27" i="35"/>
  <c r="O37" i="35"/>
  <c r="R37" i="35"/>
  <c r="O43" i="35"/>
  <c r="R43" i="35"/>
  <c r="O47" i="35"/>
  <c r="R47" i="35"/>
  <c r="O52" i="35"/>
  <c r="R52" i="35"/>
  <c r="R42" i="42"/>
  <c r="M42" i="42"/>
  <c r="R38" i="42"/>
  <c r="N38" i="42"/>
  <c r="M38" i="42"/>
  <c r="R34" i="42"/>
  <c r="N34" i="42"/>
  <c r="M34" i="42"/>
  <c r="R30" i="42"/>
  <c r="N30" i="42"/>
  <c r="M30" i="42"/>
  <c r="R26" i="42"/>
  <c r="M26" i="42"/>
  <c r="R25" i="42"/>
  <c r="N25" i="42"/>
  <c r="M25" i="42"/>
  <c r="R20" i="42"/>
  <c r="N20" i="42"/>
  <c r="M20" i="42"/>
  <c r="R58" i="34"/>
  <c r="N58" i="34"/>
  <c r="M58" i="34"/>
  <c r="R53" i="34"/>
  <c r="N53" i="34"/>
  <c r="M53" i="34"/>
  <c r="R49" i="34"/>
  <c r="M49" i="34"/>
  <c r="R43" i="34"/>
  <c r="N43" i="34"/>
  <c r="M43" i="34"/>
  <c r="R77" i="33"/>
  <c r="N77" i="33"/>
  <c r="M77" i="33"/>
  <c r="R73" i="33"/>
  <c r="N73" i="33"/>
  <c r="M73" i="33"/>
  <c r="R68" i="33"/>
  <c r="N68" i="33"/>
  <c r="M68" i="33"/>
  <c r="R63" i="33"/>
  <c r="N63" i="33"/>
  <c r="M63" i="33"/>
  <c r="R62" i="33"/>
  <c r="N62" i="33"/>
  <c r="M62" i="33"/>
  <c r="R56" i="33"/>
  <c r="N56" i="33"/>
  <c r="M56" i="33"/>
  <c r="R55" i="33"/>
  <c r="N55" i="33"/>
  <c r="M55" i="33"/>
  <c r="R49" i="33"/>
  <c r="N49" i="33"/>
  <c r="M49" i="33"/>
  <c r="R44" i="33"/>
  <c r="N44" i="33"/>
  <c r="M44" i="33"/>
  <c r="R39" i="33"/>
  <c r="N39" i="33"/>
  <c r="M39" i="33"/>
  <c r="R34" i="33"/>
  <c r="N34" i="33"/>
  <c r="M34" i="33"/>
  <c r="R29" i="33"/>
  <c r="N29" i="33"/>
  <c r="M29" i="33"/>
  <c r="R24" i="33"/>
  <c r="N24" i="33"/>
  <c r="M24" i="33"/>
  <c r="R19" i="33"/>
  <c r="N19" i="33"/>
  <c r="M19" i="33"/>
  <c r="R15" i="31"/>
  <c r="N15" i="31"/>
  <c r="M15" i="31"/>
  <c r="R22" i="31"/>
  <c r="N22" i="31"/>
  <c r="M22" i="31"/>
  <c r="R21" i="31"/>
  <c r="N21" i="31"/>
  <c r="M21" i="31"/>
  <c r="R20" i="31"/>
  <c r="N20" i="31"/>
  <c r="M20" i="31"/>
  <c r="T75" i="43"/>
  <c r="T77" i="43" s="1"/>
  <c r="N71" i="43"/>
  <c r="N70" i="43"/>
  <c r="N57" i="43"/>
  <c r="M93" i="36" l="1"/>
  <c r="M112" i="36"/>
  <c r="T22" i="35"/>
  <c r="T29" i="35" s="1"/>
  <c r="T37" i="35"/>
  <c r="T27" i="35"/>
  <c r="T43" i="35"/>
  <c r="N67" i="36"/>
  <c r="N93" i="36"/>
  <c r="N49" i="36"/>
  <c r="M58" i="36"/>
  <c r="N41" i="36"/>
  <c r="M84" i="36"/>
  <c r="M133" i="36"/>
  <c r="M66" i="36"/>
  <c r="M76" i="36"/>
  <c r="N133" i="36"/>
  <c r="M42" i="36"/>
  <c r="N76" i="36"/>
  <c r="M50" i="36"/>
  <c r="N85" i="36"/>
  <c r="N113" i="36"/>
  <c r="T52" i="35"/>
  <c r="T47" i="35"/>
  <c r="T54" i="35" l="1"/>
  <c r="N69" i="32"/>
  <c r="N68" i="32"/>
  <c r="N53" i="37"/>
  <c r="N78" i="34"/>
  <c r="R37" i="43" l="1"/>
  <c r="N37" i="43"/>
  <c r="M37" i="43"/>
  <c r="R36" i="43"/>
  <c r="N36" i="43"/>
  <c r="M36" i="43"/>
  <c r="R35" i="43"/>
  <c r="N35" i="43"/>
  <c r="M35" i="43"/>
  <c r="R26" i="43"/>
  <c r="N26" i="43"/>
  <c r="M26" i="43"/>
  <c r="I26" i="43"/>
  <c r="L4" i="43"/>
  <c r="L26" i="43" s="1"/>
  <c r="K4" i="43"/>
  <c r="K26" i="43" s="1"/>
  <c r="J4" i="43"/>
  <c r="J36" i="43" s="1"/>
  <c r="I4" i="43"/>
  <c r="I36" i="43" s="1"/>
  <c r="H4" i="43"/>
  <c r="H36" i="43" s="1"/>
  <c r="G4" i="43"/>
  <c r="F4" i="43"/>
  <c r="E4" i="43"/>
  <c r="D4" i="43"/>
  <c r="R39" i="37"/>
  <c r="N39" i="37"/>
  <c r="R38" i="37"/>
  <c r="R37" i="37"/>
  <c r="N37" i="37"/>
  <c r="N38" i="37" s="1"/>
  <c r="M37" i="37"/>
  <c r="M38" i="37" s="1"/>
  <c r="R30" i="37"/>
  <c r="M30" i="37"/>
  <c r="R29" i="37"/>
  <c r="R28" i="37"/>
  <c r="N28" i="37"/>
  <c r="N30" i="37" s="1"/>
  <c r="M28" i="37"/>
  <c r="M29" i="37" s="1"/>
  <c r="J37" i="43" l="1"/>
  <c r="N29" i="37"/>
  <c r="H35" i="43"/>
  <c r="D35" i="43"/>
  <c r="D71" i="43"/>
  <c r="D70" i="43"/>
  <c r="D57" i="43"/>
  <c r="F36" i="43"/>
  <c r="F57" i="43"/>
  <c r="F70" i="43"/>
  <c r="F71" i="43"/>
  <c r="K37" i="43"/>
  <c r="G26" i="43"/>
  <c r="G71" i="43"/>
  <c r="G70" i="43"/>
  <c r="G57" i="43"/>
  <c r="H26" i="43"/>
  <c r="H71" i="43"/>
  <c r="H70" i="43"/>
  <c r="H57" i="43"/>
  <c r="I37" i="43"/>
  <c r="I71" i="43"/>
  <c r="I70" i="43"/>
  <c r="I57" i="43"/>
  <c r="F35" i="43"/>
  <c r="E26" i="43"/>
  <c r="E70" i="43"/>
  <c r="E71" i="43"/>
  <c r="E57" i="43"/>
  <c r="J35" i="43"/>
  <c r="J71" i="43"/>
  <c r="J70" i="43"/>
  <c r="J57" i="43"/>
  <c r="G35" i="43"/>
  <c r="L37" i="43"/>
  <c r="I35" i="43"/>
  <c r="K36" i="43"/>
  <c r="E37" i="43"/>
  <c r="D36" i="43"/>
  <c r="L36" i="43"/>
  <c r="F37" i="43"/>
  <c r="D26" i="43"/>
  <c r="D37" i="43"/>
  <c r="K35" i="43"/>
  <c r="E36" i="43"/>
  <c r="G37" i="43"/>
  <c r="L35" i="43"/>
  <c r="H37" i="43"/>
  <c r="E35" i="43"/>
  <c r="G36" i="43"/>
  <c r="J26" i="43"/>
  <c r="F26" i="43"/>
  <c r="M39" i="37"/>
  <c r="R26" i="36"/>
  <c r="N26" i="36"/>
  <c r="M26" i="36"/>
  <c r="R21" i="36"/>
  <c r="N21" i="36"/>
  <c r="M21" i="36"/>
  <c r="R18" i="37"/>
  <c r="N18" i="37"/>
  <c r="M18" i="37"/>
  <c r="R18" i="34"/>
  <c r="N18" i="34"/>
  <c r="M18" i="34"/>
  <c r="L4" i="42"/>
  <c r="K4" i="42"/>
  <c r="J4" i="42"/>
  <c r="I4" i="42"/>
  <c r="H4" i="42"/>
  <c r="G4" i="42"/>
  <c r="F4" i="42"/>
  <c r="E4" i="42"/>
  <c r="D4" i="42"/>
  <c r="L4" i="41"/>
  <c r="K4" i="41"/>
  <c r="J4" i="41"/>
  <c r="I4" i="41"/>
  <c r="H4" i="41"/>
  <c r="G4" i="41"/>
  <c r="F4" i="41"/>
  <c r="E4" i="41"/>
  <c r="D4" i="41"/>
  <c r="L4" i="37"/>
  <c r="L18" i="37" s="1"/>
  <c r="K4" i="37"/>
  <c r="K18" i="37" s="1"/>
  <c r="J4" i="37"/>
  <c r="I4" i="37"/>
  <c r="I18" i="37" s="1"/>
  <c r="H4" i="37"/>
  <c r="G4" i="37"/>
  <c r="F4" i="37"/>
  <c r="F18" i="37" s="1"/>
  <c r="E4" i="37"/>
  <c r="D4" i="37"/>
  <c r="L4" i="36"/>
  <c r="K4" i="36"/>
  <c r="J4" i="36"/>
  <c r="I4" i="36"/>
  <c r="H4" i="36"/>
  <c r="G4" i="36"/>
  <c r="F4" i="36"/>
  <c r="E4" i="36"/>
  <c r="D4" i="36"/>
  <c r="L4" i="35"/>
  <c r="K4" i="35"/>
  <c r="J4" i="35"/>
  <c r="I4" i="35"/>
  <c r="H4" i="35"/>
  <c r="G4" i="35"/>
  <c r="F4" i="35"/>
  <c r="E4" i="35"/>
  <c r="D4" i="35"/>
  <c r="L4" i="34"/>
  <c r="K4" i="34"/>
  <c r="J4" i="34"/>
  <c r="I4" i="34"/>
  <c r="H4" i="34"/>
  <c r="G4" i="34"/>
  <c r="F4" i="34"/>
  <c r="E4" i="34"/>
  <c r="D4" i="34"/>
  <c r="L4" i="33"/>
  <c r="K4" i="33"/>
  <c r="J4" i="33"/>
  <c r="I4" i="33"/>
  <c r="H4" i="33"/>
  <c r="G4" i="33"/>
  <c r="F4" i="33"/>
  <c r="E4" i="33"/>
  <c r="D4" i="33"/>
  <c r="L4" i="32"/>
  <c r="K4" i="32"/>
  <c r="J4" i="32"/>
  <c r="I4" i="32"/>
  <c r="H4" i="32"/>
  <c r="G4" i="32"/>
  <c r="F4" i="32"/>
  <c r="E4" i="32"/>
  <c r="D4" i="32"/>
  <c r="L4" i="31"/>
  <c r="L15" i="31" s="1"/>
  <c r="K4" i="31"/>
  <c r="K15" i="31" s="1"/>
  <c r="J4" i="31"/>
  <c r="J15" i="31" s="1"/>
  <c r="I4" i="31"/>
  <c r="I15" i="31" s="1"/>
  <c r="H4" i="31"/>
  <c r="H15" i="31" s="1"/>
  <c r="G4" i="31"/>
  <c r="G15" i="31" s="1"/>
  <c r="F4" i="31"/>
  <c r="F15" i="31" s="1"/>
  <c r="E4" i="31"/>
  <c r="E15" i="31" s="1"/>
  <c r="D4" i="31"/>
  <c r="D15" i="31" s="1"/>
  <c r="K27" i="34" l="1"/>
  <c r="K31" i="34"/>
  <c r="G31" i="34"/>
  <c r="G27" i="34"/>
  <c r="D27" i="34"/>
  <c r="D31" i="34"/>
  <c r="E31" i="34"/>
  <c r="E27" i="34"/>
  <c r="H31" i="34"/>
  <c r="H27" i="34"/>
  <c r="F31" i="34"/>
  <c r="F27" i="34"/>
  <c r="I31" i="34"/>
  <c r="I27" i="34"/>
  <c r="L27" i="34"/>
  <c r="L31" i="34"/>
  <c r="J27" i="34"/>
  <c r="J31" i="34"/>
  <c r="H118" i="41"/>
  <c r="I118" i="41"/>
  <c r="J118" i="41"/>
  <c r="E118" i="41"/>
  <c r="G118" i="41"/>
  <c r="D118" i="41"/>
  <c r="F118" i="41"/>
  <c r="J18" i="37"/>
  <c r="G18" i="37"/>
  <c r="O18" i="37" s="1"/>
  <c r="T18" i="37" s="1"/>
  <c r="H18" i="37"/>
  <c r="E18" i="37"/>
  <c r="J69" i="35"/>
  <c r="J64" i="35"/>
  <c r="K69" i="35"/>
  <c r="K64" i="35"/>
  <c r="L64" i="35"/>
  <c r="L69" i="35"/>
  <c r="E64" i="35"/>
  <c r="G69" i="35"/>
  <c r="G64" i="35"/>
  <c r="I64" i="35"/>
  <c r="I69" i="35"/>
  <c r="D64" i="35"/>
  <c r="F69" i="35"/>
  <c r="F64" i="35"/>
  <c r="H64" i="35"/>
  <c r="H69" i="35"/>
  <c r="K65" i="42"/>
  <c r="P65" i="42" s="1"/>
  <c r="F84" i="32"/>
  <c r="F75" i="32"/>
  <c r="F80" i="32"/>
  <c r="F103" i="32"/>
  <c r="E103" i="32"/>
  <c r="E80" i="32"/>
  <c r="E75" i="32"/>
  <c r="E84" i="32"/>
  <c r="G75" i="32"/>
  <c r="G84" i="32"/>
  <c r="G103" i="32"/>
  <c r="G80" i="32"/>
  <c r="H80" i="32"/>
  <c r="H84" i="32"/>
  <c r="H103" i="32"/>
  <c r="H75" i="32"/>
  <c r="I84" i="32"/>
  <c r="I103" i="32"/>
  <c r="I80" i="32"/>
  <c r="I75" i="32"/>
  <c r="J103" i="32"/>
  <c r="J75" i="32"/>
  <c r="D103" i="32"/>
  <c r="D80" i="32"/>
  <c r="D75" i="32"/>
  <c r="D84" i="32"/>
  <c r="G90" i="34"/>
  <c r="G94" i="34"/>
  <c r="H90" i="34"/>
  <c r="H94" i="34"/>
  <c r="J94" i="34"/>
  <c r="J90" i="34"/>
  <c r="D94" i="34"/>
  <c r="D90" i="34"/>
  <c r="I90" i="34"/>
  <c r="I94" i="34"/>
  <c r="E94" i="34"/>
  <c r="E90" i="34"/>
  <c r="F94" i="34"/>
  <c r="F90" i="34"/>
  <c r="F33" i="41"/>
  <c r="F61" i="41"/>
  <c r="F39" i="41"/>
  <c r="F27" i="41"/>
  <c r="F62" i="41"/>
  <c r="F47" i="41"/>
  <c r="F43" i="41"/>
  <c r="F60" i="41"/>
  <c r="H39" i="41"/>
  <c r="H62" i="41"/>
  <c r="H43" i="41"/>
  <c r="H47" i="41"/>
  <c r="H27" i="41"/>
  <c r="H60" i="41"/>
  <c r="H33" i="41"/>
  <c r="H61" i="41"/>
  <c r="I62" i="41"/>
  <c r="I43" i="41"/>
  <c r="I33" i="41"/>
  <c r="I61" i="41"/>
  <c r="I47" i="41"/>
  <c r="I27" i="41"/>
  <c r="I60" i="41"/>
  <c r="I39" i="41"/>
  <c r="G61" i="41"/>
  <c r="G39" i="41"/>
  <c r="G62" i="41"/>
  <c r="G47" i="41"/>
  <c r="G43" i="41"/>
  <c r="G60" i="41"/>
  <c r="G33" i="41"/>
  <c r="G27" i="41"/>
  <c r="J43" i="41"/>
  <c r="J47" i="41"/>
  <c r="J27" i="41"/>
  <c r="J61" i="41"/>
  <c r="J60" i="41"/>
  <c r="J62" i="41"/>
  <c r="J33" i="41"/>
  <c r="J39" i="41"/>
  <c r="K47" i="41"/>
  <c r="K27" i="41"/>
  <c r="K60" i="41"/>
  <c r="K39" i="41"/>
  <c r="K43" i="41"/>
  <c r="K33" i="41"/>
  <c r="K62" i="41"/>
  <c r="K61" i="41"/>
  <c r="D47" i="41"/>
  <c r="D27" i="41"/>
  <c r="D60" i="41"/>
  <c r="D33" i="41"/>
  <c r="D61" i="41"/>
  <c r="D62" i="41"/>
  <c r="D43" i="41"/>
  <c r="D39" i="41"/>
  <c r="L47" i="41"/>
  <c r="L27" i="41"/>
  <c r="L60" i="41"/>
  <c r="L33" i="41"/>
  <c r="L61" i="41"/>
  <c r="L39" i="41"/>
  <c r="L62" i="41"/>
  <c r="L43" i="41"/>
  <c r="E60" i="41"/>
  <c r="E33" i="41"/>
  <c r="E61" i="41"/>
  <c r="E27" i="41"/>
  <c r="E39" i="41"/>
  <c r="E62" i="41"/>
  <c r="E43" i="41"/>
  <c r="E47" i="41"/>
  <c r="E83" i="36"/>
  <c r="E138" i="36"/>
  <c r="E124" i="36"/>
  <c r="E40" i="36"/>
  <c r="E74" i="36"/>
  <c r="E143" i="36"/>
  <c r="E131" i="36"/>
  <c r="E99" i="36"/>
  <c r="E65" i="36"/>
  <c r="E148" i="36"/>
  <c r="E56" i="36"/>
  <c r="E48" i="36"/>
  <c r="E118" i="36"/>
  <c r="E104" i="36"/>
  <c r="E92" i="36"/>
  <c r="F138" i="36"/>
  <c r="F124" i="36"/>
  <c r="F40" i="36"/>
  <c r="F74" i="36"/>
  <c r="F143" i="36"/>
  <c r="F131" i="36"/>
  <c r="F99" i="36"/>
  <c r="F65" i="36"/>
  <c r="F148" i="36"/>
  <c r="F56" i="36"/>
  <c r="F118" i="36"/>
  <c r="F104" i="36"/>
  <c r="F92" i="36"/>
  <c r="F48" i="36"/>
  <c r="F83" i="36"/>
  <c r="G74" i="36"/>
  <c r="G40" i="36"/>
  <c r="G143" i="36"/>
  <c r="G131" i="36"/>
  <c r="G99" i="36"/>
  <c r="G65" i="36"/>
  <c r="G148" i="36"/>
  <c r="G56" i="36"/>
  <c r="G118" i="36"/>
  <c r="G104" i="36"/>
  <c r="G92" i="36"/>
  <c r="G138" i="36"/>
  <c r="G124" i="36"/>
  <c r="G48" i="36"/>
  <c r="G83" i="36"/>
  <c r="E26" i="36"/>
  <c r="H143" i="36"/>
  <c r="H131" i="36"/>
  <c r="H99" i="36"/>
  <c r="H65" i="36"/>
  <c r="H148" i="36"/>
  <c r="H56" i="36"/>
  <c r="H118" i="36"/>
  <c r="H104" i="36"/>
  <c r="H92" i="36"/>
  <c r="H48" i="36"/>
  <c r="H83" i="36"/>
  <c r="H74" i="36"/>
  <c r="H138" i="36"/>
  <c r="H124" i="36"/>
  <c r="H40" i="36"/>
  <c r="F26" i="36"/>
  <c r="K118" i="36"/>
  <c r="K104" i="36"/>
  <c r="K92" i="36"/>
  <c r="K48" i="36"/>
  <c r="K83" i="36"/>
  <c r="K138" i="36"/>
  <c r="K124" i="36"/>
  <c r="K40" i="36"/>
  <c r="K74" i="36"/>
  <c r="K143" i="36"/>
  <c r="K131" i="36"/>
  <c r="K99" i="36"/>
  <c r="K65" i="36"/>
  <c r="K148" i="36"/>
  <c r="K56" i="36"/>
  <c r="F21" i="36"/>
  <c r="I99" i="36"/>
  <c r="I65" i="36"/>
  <c r="I148" i="36"/>
  <c r="I56" i="36"/>
  <c r="I118" i="36"/>
  <c r="I104" i="36"/>
  <c r="I92" i="36"/>
  <c r="I48" i="36"/>
  <c r="I83" i="36"/>
  <c r="I143" i="36"/>
  <c r="I138" i="36"/>
  <c r="I124" i="36"/>
  <c r="I40" i="36"/>
  <c r="I74" i="36"/>
  <c r="I131" i="36"/>
  <c r="J148" i="36"/>
  <c r="J56" i="36"/>
  <c r="J118" i="36"/>
  <c r="J104" i="36"/>
  <c r="J92" i="36"/>
  <c r="J48" i="36"/>
  <c r="J83" i="36"/>
  <c r="J138" i="36"/>
  <c r="J124" i="36"/>
  <c r="J40" i="36"/>
  <c r="J74" i="36"/>
  <c r="J65" i="36"/>
  <c r="J143" i="36"/>
  <c r="J131" i="36"/>
  <c r="J99" i="36"/>
  <c r="E21" i="36"/>
  <c r="D48" i="36"/>
  <c r="D83" i="36"/>
  <c r="D138" i="36"/>
  <c r="D40" i="36"/>
  <c r="D104" i="36"/>
  <c r="D74" i="36"/>
  <c r="D143" i="36"/>
  <c r="D131" i="36"/>
  <c r="D92" i="36"/>
  <c r="D99" i="36"/>
  <c r="D65" i="36"/>
  <c r="D148" i="36"/>
  <c r="D56" i="36"/>
  <c r="D118" i="36"/>
  <c r="L48" i="36"/>
  <c r="L111" i="36"/>
  <c r="L83" i="36"/>
  <c r="L138" i="36"/>
  <c r="L124" i="36"/>
  <c r="L40" i="36"/>
  <c r="L74" i="36"/>
  <c r="L118" i="36"/>
  <c r="L143" i="36"/>
  <c r="L131" i="36"/>
  <c r="L104" i="36"/>
  <c r="L99" i="36"/>
  <c r="L65" i="36"/>
  <c r="L148" i="36"/>
  <c r="L56" i="36"/>
  <c r="L92" i="36"/>
  <c r="G38" i="42"/>
  <c r="G26" i="42"/>
  <c r="G42" i="42"/>
  <c r="G25" i="42"/>
  <c r="G30" i="42"/>
  <c r="G20" i="42"/>
  <c r="G34" i="42"/>
  <c r="H26" i="42"/>
  <c r="H42" i="42"/>
  <c r="H30" i="42"/>
  <c r="H20" i="42"/>
  <c r="H34" i="42"/>
  <c r="H38" i="42"/>
  <c r="H25" i="42"/>
  <c r="J30" i="42"/>
  <c r="J20" i="42"/>
  <c r="J34" i="42"/>
  <c r="J25" i="42"/>
  <c r="J38" i="42"/>
  <c r="J26" i="42"/>
  <c r="J42" i="42"/>
  <c r="K30" i="42"/>
  <c r="K20" i="42"/>
  <c r="K34" i="42"/>
  <c r="K25" i="42"/>
  <c r="K38" i="42"/>
  <c r="K26" i="42"/>
  <c r="K42" i="42"/>
  <c r="D20" i="42"/>
  <c r="D34" i="42"/>
  <c r="D25" i="42"/>
  <c r="D38" i="42"/>
  <c r="D26" i="42"/>
  <c r="D30" i="42"/>
  <c r="D42" i="42"/>
  <c r="L20" i="42"/>
  <c r="L34" i="42"/>
  <c r="L25" i="42"/>
  <c r="L38" i="42"/>
  <c r="L26" i="42"/>
  <c r="L42" i="42"/>
  <c r="L30" i="42"/>
  <c r="E34" i="42"/>
  <c r="E20" i="42"/>
  <c r="E25" i="42"/>
  <c r="E38" i="42"/>
  <c r="E26" i="42"/>
  <c r="E42" i="42"/>
  <c r="E30" i="42"/>
  <c r="I42" i="42"/>
  <c r="I30" i="42"/>
  <c r="I20" i="42"/>
  <c r="I26" i="42"/>
  <c r="I34" i="42"/>
  <c r="I25" i="42"/>
  <c r="I38" i="42"/>
  <c r="F25" i="42"/>
  <c r="F38" i="42"/>
  <c r="F26" i="42"/>
  <c r="F42" i="42"/>
  <c r="F30" i="42"/>
  <c r="F34" i="42"/>
  <c r="F20" i="42"/>
  <c r="D53" i="34"/>
  <c r="D49" i="34"/>
  <c r="D58" i="34"/>
  <c r="D43" i="34"/>
  <c r="L18" i="34"/>
  <c r="L49" i="34"/>
  <c r="L58" i="34"/>
  <c r="L53" i="34"/>
  <c r="L43" i="34"/>
  <c r="J58" i="34"/>
  <c r="J43" i="34"/>
  <c r="J49" i="34"/>
  <c r="J53" i="34"/>
  <c r="E49" i="34"/>
  <c r="E53" i="34"/>
  <c r="E43" i="34"/>
  <c r="E58" i="34"/>
  <c r="F53" i="34"/>
  <c r="F58" i="34"/>
  <c r="F49" i="34"/>
  <c r="F43" i="34"/>
  <c r="H53" i="34"/>
  <c r="H49" i="34"/>
  <c r="H58" i="34"/>
  <c r="H43" i="34"/>
  <c r="I58" i="34"/>
  <c r="I43" i="34"/>
  <c r="I53" i="34"/>
  <c r="I49" i="34"/>
  <c r="K18" i="34"/>
  <c r="K43" i="34"/>
  <c r="K53" i="34"/>
  <c r="K49" i="34"/>
  <c r="K58" i="34"/>
  <c r="G53" i="34"/>
  <c r="G58" i="34"/>
  <c r="G43" i="34"/>
  <c r="G49" i="34"/>
  <c r="F73" i="33"/>
  <c r="F39" i="33"/>
  <c r="F56" i="33"/>
  <c r="F77" i="33"/>
  <c r="F62" i="33"/>
  <c r="F44" i="33"/>
  <c r="F24" i="33"/>
  <c r="F55" i="33"/>
  <c r="F19" i="33"/>
  <c r="F63" i="33"/>
  <c r="F49" i="33"/>
  <c r="F29" i="33"/>
  <c r="F68" i="33"/>
  <c r="F34" i="33"/>
  <c r="G73" i="33"/>
  <c r="G56" i="33"/>
  <c r="G39" i="33"/>
  <c r="G19" i="33"/>
  <c r="G44" i="33"/>
  <c r="G63" i="33"/>
  <c r="G49" i="33"/>
  <c r="G29" i="33"/>
  <c r="G77" i="33"/>
  <c r="G62" i="33"/>
  <c r="G68" i="33"/>
  <c r="G55" i="33"/>
  <c r="G34" i="33"/>
  <c r="G24" i="33"/>
  <c r="I77" i="33"/>
  <c r="I62" i="33"/>
  <c r="I44" i="33"/>
  <c r="I24" i="33"/>
  <c r="I63" i="33"/>
  <c r="I68" i="33"/>
  <c r="I55" i="33"/>
  <c r="I34" i="33"/>
  <c r="I49" i="33"/>
  <c r="I29" i="33"/>
  <c r="I73" i="33"/>
  <c r="I56" i="33"/>
  <c r="I39" i="33"/>
  <c r="I19" i="33"/>
  <c r="J63" i="33"/>
  <c r="J68" i="33"/>
  <c r="J55" i="33"/>
  <c r="J34" i="33"/>
  <c r="J29" i="33"/>
  <c r="J49" i="33"/>
  <c r="J73" i="33"/>
  <c r="J56" i="33"/>
  <c r="J39" i="33"/>
  <c r="J19" i="33"/>
  <c r="J77" i="33"/>
  <c r="J62" i="33"/>
  <c r="J44" i="33"/>
  <c r="J24" i="33"/>
  <c r="K63" i="33"/>
  <c r="K49" i="33"/>
  <c r="K29" i="33"/>
  <c r="K68" i="33"/>
  <c r="K55" i="33"/>
  <c r="K34" i="33"/>
  <c r="K73" i="33"/>
  <c r="K56" i="33"/>
  <c r="K39" i="33"/>
  <c r="K19" i="33"/>
  <c r="K77" i="33"/>
  <c r="K62" i="33"/>
  <c r="K44" i="33"/>
  <c r="K24" i="33"/>
  <c r="D68" i="33"/>
  <c r="D55" i="33"/>
  <c r="D34" i="33"/>
  <c r="D73" i="33"/>
  <c r="D56" i="33"/>
  <c r="D39" i="33"/>
  <c r="D19" i="33"/>
  <c r="D63" i="33"/>
  <c r="D49" i="33"/>
  <c r="D29" i="33"/>
  <c r="D77" i="33"/>
  <c r="D62" i="33"/>
  <c r="D44" i="33"/>
  <c r="D24" i="33"/>
  <c r="L68" i="33"/>
  <c r="L55" i="33"/>
  <c r="L73" i="33"/>
  <c r="L56" i="33"/>
  <c r="L39" i="33"/>
  <c r="L19" i="33"/>
  <c r="L34" i="33"/>
  <c r="L77" i="33"/>
  <c r="L62" i="33"/>
  <c r="L44" i="33"/>
  <c r="L24" i="33"/>
  <c r="L63" i="33"/>
  <c r="L49" i="33"/>
  <c r="L29" i="33"/>
  <c r="H77" i="33"/>
  <c r="H62" i="33"/>
  <c r="H44" i="33"/>
  <c r="H63" i="33"/>
  <c r="H49" i="33"/>
  <c r="H29" i="33"/>
  <c r="H73" i="33"/>
  <c r="H56" i="33"/>
  <c r="H39" i="33"/>
  <c r="H68" i="33"/>
  <c r="H55" i="33"/>
  <c r="H34" i="33"/>
  <c r="H19" i="33"/>
  <c r="H24" i="33"/>
  <c r="E68" i="33"/>
  <c r="E55" i="33"/>
  <c r="E34" i="33"/>
  <c r="E73" i="33"/>
  <c r="E19" i="33"/>
  <c r="E77" i="33"/>
  <c r="E62" i="33"/>
  <c r="E44" i="33"/>
  <c r="E24" i="33"/>
  <c r="E39" i="33"/>
  <c r="E56" i="33"/>
  <c r="E63" i="33"/>
  <c r="E49" i="33"/>
  <c r="E29" i="33"/>
  <c r="O15" i="31"/>
  <c r="T15" i="31" s="1"/>
  <c r="G21" i="31"/>
  <c r="G22" i="31"/>
  <c r="G20" i="31"/>
  <c r="F22" i="31"/>
  <c r="F21" i="31"/>
  <c r="F20" i="31"/>
  <c r="H22" i="31"/>
  <c r="H20" i="31"/>
  <c r="H21" i="31"/>
  <c r="I22" i="31"/>
  <c r="I20" i="31"/>
  <c r="I21" i="31"/>
  <c r="J20" i="31"/>
  <c r="J21" i="31"/>
  <c r="J22" i="31"/>
  <c r="E20" i="31"/>
  <c r="E21" i="31"/>
  <c r="E22" i="31"/>
  <c r="K20" i="31"/>
  <c r="K22" i="31"/>
  <c r="K21" i="31"/>
  <c r="D20" i="31"/>
  <c r="D21" i="31"/>
  <c r="D22" i="31"/>
  <c r="L21" i="31"/>
  <c r="L20" i="31"/>
  <c r="L22" i="31"/>
  <c r="E53" i="37"/>
  <c r="E37" i="37"/>
  <c r="E28" i="37"/>
  <c r="H53" i="37"/>
  <c r="H37" i="37"/>
  <c r="H28" i="37"/>
  <c r="I53" i="37"/>
  <c r="I37" i="37"/>
  <c r="I28" i="37"/>
  <c r="J53" i="37"/>
  <c r="J28" i="37"/>
  <c r="J37" i="37"/>
  <c r="F53" i="37"/>
  <c r="F28" i="37"/>
  <c r="F37" i="37"/>
  <c r="K37" i="37"/>
  <c r="K28" i="37"/>
  <c r="D53" i="37"/>
  <c r="D28" i="37"/>
  <c r="D37" i="37"/>
  <c r="G53" i="37"/>
  <c r="G28" i="37"/>
  <c r="G37" i="37"/>
  <c r="L37" i="37"/>
  <c r="L28" i="37"/>
  <c r="J21" i="36"/>
  <c r="G26" i="36"/>
  <c r="I21" i="36"/>
  <c r="K26" i="36"/>
  <c r="H26" i="36"/>
  <c r="L21" i="36"/>
  <c r="G21" i="36"/>
  <c r="H21" i="36"/>
  <c r="I26" i="36"/>
  <c r="J26" i="36"/>
  <c r="K21" i="36"/>
  <c r="L26" i="36"/>
  <c r="D21" i="36"/>
  <c r="D26" i="36"/>
  <c r="H18" i="34"/>
  <c r="I18" i="34"/>
  <c r="K70" i="43"/>
  <c r="P70" i="43" s="1"/>
  <c r="O35" i="43"/>
  <c r="T35" i="43" s="1"/>
  <c r="K57" i="43"/>
  <c r="P57" i="43" s="1"/>
  <c r="P59" i="43" s="1"/>
  <c r="K71" i="43"/>
  <c r="P71" i="43" s="1"/>
  <c r="P73" i="43" s="1"/>
  <c r="J78" i="34"/>
  <c r="D18" i="34"/>
  <c r="D78" i="34"/>
  <c r="E18" i="34"/>
  <c r="E78" i="34"/>
  <c r="J18" i="34"/>
  <c r="F18" i="34"/>
  <c r="F78" i="34"/>
  <c r="G18" i="34"/>
  <c r="G78" i="34"/>
  <c r="H78" i="34"/>
  <c r="I78" i="34"/>
  <c r="O37" i="43"/>
  <c r="T37" i="43" s="1"/>
  <c r="O36" i="43"/>
  <c r="T36" i="43" s="1"/>
  <c r="O26" i="43"/>
  <c r="T26" i="43" s="1"/>
  <c r="T39" i="43" s="1"/>
  <c r="T41" i="43" s="1"/>
  <c r="O26" i="32" l="1"/>
  <c r="T26" i="32" s="1"/>
  <c r="O49" i="32"/>
  <c r="T49" i="32" s="1"/>
  <c r="O31" i="32"/>
  <c r="T31" i="32" s="1"/>
  <c r="O54" i="32"/>
  <c r="T54" i="32" s="1"/>
  <c r="O44" i="32"/>
  <c r="T44" i="32" s="1"/>
  <c r="O35" i="32"/>
  <c r="T35" i="32" s="1"/>
  <c r="O16" i="32"/>
  <c r="T16" i="32" s="1"/>
  <c r="O31" i="34"/>
  <c r="T31" i="34" s="1"/>
  <c r="O27" i="34"/>
  <c r="T27" i="34" s="1"/>
  <c r="K92" i="41"/>
  <c r="P92" i="41" s="1"/>
  <c r="K109" i="41"/>
  <c r="P109" i="41" s="1"/>
  <c r="K110" i="41"/>
  <c r="P110" i="41" s="1"/>
  <c r="K86" i="41"/>
  <c r="P86" i="41" s="1"/>
  <c r="K96" i="41"/>
  <c r="P96" i="41" s="1"/>
  <c r="K118" i="41"/>
  <c r="P118" i="41" s="1"/>
  <c r="P120" i="41" s="1"/>
  <c r="K71" i="37"/>
  <c r="P71" i="37" s="1"/>
  <c r="K62" i="37"/>
  <c r="P62" i="37" s="1"/>
  <c r="K265" i="36"/>
  <c r="P265" i="36" s="1"/>
  <c r="K259" i="36"/>
  <c r="P259" i="36" s="1"/>
  <c r="K220" i="36"/>
  <c r="P220" i="36" s="1"/>
  <c r="K211" i="36"/>
  <c r="P211" i="36" s="1"/>
  <c r="K194" i="36"/>
  <c r="P194" i="36" s="1"/>
  <c r="K252" i="36"/>
  <c r="P252" i="36" s="1"/>
  <c r="K245" i="36"/>
  <c r="P245" i="36" s="1"/>
  <c r="K229" i="36"/>
  <c r="P229" i="36" s="1"/>
  <c r="K289" i="36"/>
  <c r="P289" i="36" s="1"/>
  <c r="K284" i="36"/>
  <c r="P284" i="36" s="1"/>
  <c r="K279" i="36"/>
  <c r="P279" i="36" s="1"/>
  <c r="K272" i="36"/>
  <c r="P272" i="36" s="1"/>
  <c r="K202" i="36"/>
  <c r="P202" i="36" s="1"/>
  <c r="K186" i="36"/>
  <c r="P186" i="36" s="1"/>
  <c r="K238" i="36"/>
  <c r="P238" i="36" s="1"/>
  <c r="K115" i="35"/>
  <c r="P115" i="35" s="1"/>
  <c r="O64" i="35"/>
  <c r="T64" i="35" s="1"/>
  <c r="K142" i="35"/>
  <c r="P142" i="35" s="1"/>
  <c r="K120" i="35"/>
  <c r="P120" i="35" s="1"/>
  <c r="K106" i="35"/>
  <c r="P106" i="35" s="1"/>
  <c r="O69" i="35"/>
  <c r="T69" i="35" s="1"/>
  <c r="K132" i="35"/>
  <c r="P132" i="35" s="1"/>
  <c r="P144" i="35" s="1"/>
  <c r="K112" i="35"/>
  <c r="P112" i="35" s="1"/>
  <c r="K137" i="35"/>
  <c r="P137" i="35" s="1"/>
  <c r="K66" i="42"/>
  <c r="P66" i="42" s="1"/>
  <c r="K60" i="42"/>
  <c r="P60" i="42" s="1"/>
  <c r="P86" i="42" s="1"/>
  <c r="T88" i="42" s="1"/>
  <c r="K82" i="42"/>
  <c r="P82" i="42" s="1"/>
  <c r="K70" i="42"/>
  <c r="P70" i="42" s="1"/>
  <c r="K78" i="42"/>
  <c r="P78" i="42" s="1"/>
  <c r="K74" i="42"/>
  <c r="P74" i="42" s="1"/>
  <c r="K112" i="34"/>
  <c r="P112" i="34" s="1"/>
  <c r="K116" i="34"/>
  <c r="P116" i="34" s="1"/>
  <c r="K121" i="34"/>
  <c r="P121" i="34" s="1"/>
  <c r="K106" i="34"/>
  <c r="P106" i="34" s="1"/>
  <c r="O39" i="33"/>
  <c r="T39" i="33" s="1"/>
  <c r="K107" i="33"/>
  <c r="P107" i="33" s="1"/>
  <c r="K102" i="33"/>
  <c r="P102" i="33" s="1"/>
  <c r="K127" i="33"/>
  <c r="P127" i="33" s="1"/>
  <c r="K97" i="33"/>
  <c r="P97" i="33" s="1"/>
  <c r="K150" i="33"/>
  <c r="P150" i="33" s="1"/>
  <c r="K155" i="33"/>
  <c r="P155" i="33" s="1"/>
  <c r="K92" i="33"/>
  <c r="P92" i="33" s="1"/>
  <c r="K144" i="33"/>
  <c r="P144" i="33" s="1"/>
  <c r="K117" i="33"/>
  <c r="P117" i="33" s="1"/>
  <c r="K112" i="33"/>
  <c r="P112" i="33" s="1"/>
  <c r="O55" i="33"/>
  <c r="T55" i="33" s="1"/>
  <c r="K122" i="33"/>
  <c r="P122" i="33" s="1"/>
  <c r="K137" i="33"/>
  <c r="P137" i="33" s="1"/>
  <c r="K132" i="33"/>
  <c r="P132" i="33" s="1"/>
  <c r="O68" i="33"/>
  <c r="T68" i="33" s="1"/>
  <c r="K143" i="33"/>
  <c r="P143" i="33" s="1"/>
  <c r="K159" i="33"/>
  <c r="P159" i="33" s="1"/>
  <c r="K84" i="32"/>
  <c r="P84" i="32" s="1"/>
  <c r="K75" i="32"/>
  <c r="P75" i="32" s="1"/>
  <c r="K98" i="32"/>
  <c r="P98" i="32" s="1"/>
  <c r="K93" i="32"/>
  <c r="P93" i="32" s="1"/>
  <c r="K80" i="32"/>
  <c r="P80" i="32" s="1"/>
  <c r="K103" i="32"/>
  <c r="P103" i="32" s="1"/>
  <c r="O20" i="31"/>
  <c r="T20" i="31" s="1"/>
  <c r="K90" i="34"/>
  <c r="P90" i="34" s="1"/>
  <c r="K94" i="34"/>
  <c r="P94" i="34" s="1"/>
  <c r="O39" i="41"/>
  <c r="T39" i="41" s="1"/>
  <c r="O43" i="41"/>
  <c r="T43" i="41" s="1"/>
  <c r="O62" i="41"/>
  <c r="T62" i="41" s="1"/>
  <c r="O61" i="41"/>
  <c r="T61" i="41" s="1"/>
  <c r="O60" i="41"/>
  <c r="T60" i="41" s="1"/>
  <c r="O27" i="41"/>
  <c r="T27" i="41" s="1"/>
  <c r="O33" i="41"/>
  <c r="T33" i="41" s="1"/>
  <c r="O47" i="41"/>
  <c r="T47" i="41" s="1"/>
  <c r="O148" i="36"/>
  <c r="T148" i="36" s="1"/>
  <c r="J93" i="36"/>
  <c r="J94" i="36"/>
  <c r="O26" i="36"/>
  <c r="T26" i="36" s="1"/>
  <c r="L133" i="36"/>
  <c r="L132" i="36"/>
  <c r="L112" i="36"/>
  <c r="O112" i="36" s="1"/>
  <c r="T112" i="36" s="1"/>
  <c r="L113" i="36"/>
  <c r="O113" i="36" s="1"/>
  <c r="T113" i="36" s="1"/>
  <c r="O111" i="36"/>
  <c r="T111" i="36" s="1"/>
  <c r="D93" i="36"/>
  <c r="D94" i="36"/>
  <c r="O92" i="36"/>
  <c r="T92" i="36" s="1"/>
  <c r="D49" i="36"/>
  <c r="D50" i="36"/>
  <c r="O48" i="36"/>
  <c r="T48" i="36" s="1"/>
  <c r="J42" i="36"/>
  <c r="J41" i="36"/>
  <c r="J57" i="36"/>
  <c r="J58" i="36"/>
  <c r="I57" i="36"/>
  <c r="I58" i="36"/>
  <c r="H50" i="36"/>
  <c r="H49" i="36"/>
  <c r="H132" i="36"/>
  <c r="H133" i="36"/>
  <c r="G84" i="36"/>
  <c r="G85" i="36"/>
  <c r="F58" i="36"/>
  <c r="F57" i="36"/>
  <c r="E75" i="36"/>
  <c r="E76" i="36"/>
  <c r="O21" i="36"/>
  <c r="T21" i="36" s="1"/>
  <c r="L49" i="36"/>
  <c r="L50" i="36"/>
  <c r="D133" i="36"/>
  <c r="O131" i="36"/>
  <c r="T131" i="36" s="1"/>
  <c r="D132" i="36"/>
  <c r="K66" i="36"/>
  <c r="K67" i="36"/>
  <c r="K84" i="36"/>
  <c r="K85" i="36"/>
  <c r="H94" i="36"/>
  <c r="H93" i="36"/>
  <c r="G49" i="36"/>
  <c r="G50" i="36"/>
  <c r="G66" i="36"/>
  <c r="G67" i="36"/>
  <c r="E49" i="36"/>
  <c r="E50" i="36"/>
  <c r="E41" i="36"/>
  <c r="E42" i="36"/>
  <c r="I93" i="36"/>
  <c r="I94" i="36"/>
  <c r="K76" i="36"/>
  <c r="K75" i="36"/>
  <c r="F94" i="36"/>
  <c r="F93" i="36"/>
  <c r="O138" i="36"/>
  <c r="T138" i="36" s="1"/>
  <c r="H75" i="36"/>
  <c r="H76" i="36"/>
  <c r="H66" i="36"/>
  <c r="H67" i="36"/>
  <c r="E93" i="36"/>
  <c r="E94" i="36"/>
  <c r="L84" i="36"/>
  <c r="L85" i="36"/>
  <c r="D84" i="36"/>
  <c r="D85" i="36"/>
  <c r="O83" i="36"/>
  <c r="T83" i="36" s="1"/>
  <c r="F41" i="36"/>
  <c r="F42" i="36"/>
  <c r="L93" i="36"/>
  <c r="L94" i="36"/>
  <c r="O143" i="36"/>
  <c r="T143" i="36" s="1"/>
  <c r="I66" i="36"/>
  <c r="I67" i="36"/>
  <c r="K49" i="36"/>
  <c r="K50" i="36"/>
  <c r="F67" i="36"/>
  <c r="F66" i="36"/>
  <c r="E57" i="36"/>
  <c r="E58" i="36"/>
  <c r="O124" i="36"/>
  <c r="T124" i="36" s="1"/>
  <c r="L67" i="36"/>
  <c r="L66" i="36"/>
  <c r="D41" i="36"/>
  <c r="D42" i="36"/>
  <c r="O40" i="36"/>
  <c r="T40" i="36" s="1"/>
  <c r="I132" i="36"/>
  <c r="I133" i="36"/>
  <c r="G41" i="36"/>
  <c r="G42" i="36"/>
  <c r="D67" i="36"/>
  <c r="O65" i="36"/>
  <c r="T65" i="36" s="1"/>
  <c r="D66" i="36"/>
  <c r="J66" i="36"/>
  <c r="J67" i="36"/>
  <c r="I75" i="36"/>
  <c r="I76" i="36"/>
  <c r="K42" i="36"/>
  <c r="K41" i="36"/>
  <c r="G75" i="36"/>
  <c r="G76" i="36"/>
  <c r="F75" i="36"/>
  <c r="F76" i="36"/>
  <c r="E132" i="36"/>
  <c r="E133" i="36"/>
  <c r="O99" i="36"/>
  <c r="T99" i="36" s="1"/>
  <c r="J76" i="36"/>
  <c r="J75" i="36"/>
  <c r="I42" i="36"/>
  <c r="I41" i="36"/>
  <c r="K57" i="36"/>
  <c r="K58" i="36"/>
  <c r="H85" i="36"/>
  <c r="H84" i="36"/>
  <c r="G58" i="36"/>
  <c r="G57" i="36"/>
  <c r="L57" i="36"/>
  <c r="L58" i="36"/>
  <c r="L75" i="36"/>
  <c r="L76" i="36"/>
  <c r="O118" i="36"/>
  <c r="T118" i="36" s="1"/>
  <c r="O74" i="36"/>
  <c r="T74" i="36" s="1"/>
  <c r="D76" i="36"/>
  <c r="D75" i="36"/>
  <c r="J84" i="36"/>
  <c r="J85" i="36"/>
  <c r="I85" i="36"/>
  <c r="I84" i="36"/>
  <c r="K133" i="36"/>
  <c r="K132" i="36"/>
  <c r="K93" i="36"/>
  <c r="K94" i="36"/>
  <c r="H41" i="36"/>
  <c r="H42" i="36"/>
  <c r="G132" i="36"/>
  <c r="G133" i="36"/>
  <c r="F84" i="36"/>
  <c r="F85" i="36"/>
  <c r="L41" i="36"/>
  <c r="L42" i="36"/>
  <c r="D57" i="36"/>
  <c r="D58" i="36"/>
  <c r="O56" i="36"/>
  <c r="T56" i="36" s="1"/>
  <c r="O104" i="36"/>
  <c r="T104" i="36" s="1"/>
  <c r="J132" i="36"/>
  <c r="J133" i="36"/>
  <c r="J49" i="36"/>
  <c r="J50" i="36"/>
  <c r="I49" i="36"/>
  <c r="I50" i="36"/>
  <c r="H58" i="36"/>
  <c r="H57" i="36"/>
  <c r="G94" i="36"/>
  <c r="G93" i="36"/>
  <c r="F49" i="36"/>
  <c r="F50" i="36"/>
  <c r="F132" i="36"/>
  <c r="F133" i="36"/>
  <c r="E67" i="36"/>
  <c r="E66" i="36"/>
  <c r="E84" i="36"/>
  <c r="E85" i="36"/>
  <c r="O25" i="42"/>
  <c r="T25" i="42" s="1"/>
  <c r="O34" i="42"/>
  <c r="T34" i="42" s="1"/>
  <c r="O42" i="42"/>
  <c r="T42" i="42" s="1"/>
  <c r="O20" i="42"/>
  <c r="T20" i="42" s="1"/>
  <c r="O30" i="42"/>
  <c r="T30" i="42" s="1"/>
  <c r="O26" i="42"/>
  <c r="T26" i="42" s="1"/>
  <c r="O38" i="42"/>
  <c r="T38" i="42" s="1"/>
  <c r="O43" i="34"/>
  <c r="T43" i="34" s="1"/>
  <c r="O58" i="34"/>
  <c r="T58" i="34" s="1"/>
  <c r="O49" i="34"/>
  <c r="T49" i="34" s="1"/>
  <c r="O53" i="34"/>
  <c r="T53" i="34" s="1"/>
  <c r="O29" i="33"/>
  <c r="T29" i="33" s="1"/>
  <c r="O63" i="33"/>
  <c r="T63" i="33" s="1"/>
  <c r="O49" i="33"/>
  <c r="T49" i="33" s="1"/>
  <c r="O19" i="33"/>
  <c r="T19" i="33" s="1"/>
  <c r="O24" i="33"/>
  <c r="T24" i="33" s="1"/>
  <c r="O44" i="33"/>
  <c r="T44" i="33" s="1"/>
  <c r="O56" i="33"/>
  <c r="T56" i="33" s="1"/>
  <c r="O62" i="33"/>
  <c r="T62" i="33" s="1"/>
  <c r="O73" i="33"/>
  <c r="T73" i="33" s="1"/>
  <c r="O77" i="33"/>
  <c r="T77" i="33" s="1"/>
  <c r="O34" i="33"/>
  <c r="T34" i="33" s="1"/>
  <c r="O22" i="31"/>
  <c r="T22" i="31" s="1"/>
  <c r="O21" i="31"/>
  <c r="T21" i="31" s="1"/>
  <c r="T27" i="31" s="1"/>
  <c r="T29" i="31" s="1"/>
  <c r="J29" i="37"/>
  <c r="J30" i="37"/>
  <c r="E29" i="37"/>
  <c r="E30" i="37"/>
  <c r="E38" i="37"/>
  <c r="E39" i="37"/>
  <c r="G29" i="37"/>
  <c r="G30" i="37"/>
  <c r="F30" i="37"/>
  <c r="F29" i="37"/>
  <c r="K53" i="37"/>
  <c r="P53" i="37" s="1"/>
  <c r="H29" i="37"/>
  <c r="H30" i="37"/>
  <c r="H38" i="37"/>
  <c r="H39" i="37"/>
  <c r="O37" i="37"/>
  <c r="T37" i="37" s="1"/>
  <c r="D38" i="37"/>
  <c r="D39" i="37"/>
  <c r="J39" i="37"/>
  <c r="J38" i="37"/>
  <c r="L30" i="37"/>
  <c r="L29" i="37"/>
  <c r="K30" i="37"/>
  <c r="K29" i="37"/>
  <c r="I29" i="37"/>
  <c r="I30" i="37"/>
  <c r="D30" i="37"/>
  <c r="O28" i="37"/>
  <c r="T28" i="37" s="1"/>
  <c r="D29" i="37"/>
  <c r="L39" i="37"/>
  <c r="L38" i="37"/>
  <c r="K38" i="37"/>
  <c r="K39" i="37"/>
  <c r="I39" i="37"/>
  <c r="I38" i="37"/>
  <c r="G38" i="37"/>
  <c r="G39" i="37"/>
  <c r="F39" i="37"/>
  <c r="F38" i="37"/>
  <c r="K78" i="34"/>
  <c r="P78" i="34" s="1"/>
  <c r="P81" i="34" s="1"/>
  <c r="K68" i="32"/>
  <c r="P68" i="32" s="1"/>
  <c r="K69" i="32"/>
  <c r="P69" i="32" s="1"/>
  <c r="O18" i="34"/>
  <c r="T18" i="34" s="1"/>
  <c r="T34" i="34" l="1"/>
  <c r="P112" i="41"/>
  <c r="P98" i="41"/>
  <c r="K73" i="37"/>
  <c r="P73" i="37" s="1"/>
  <c r="K63" i="37"/>
  <c r="P63" i="37" s="1"/>
  <c r="K72" i="37"/>
  <c r="P72" i="37" s="1"/>
  <c r="K64" i="37"/>
  <c r="P64" i="37" s="1"/>
  <c r="K273" i="36"/>
  <c r="P273" i="36" s="1"/>
  <c r="K231" i="36"/>
  <c r="P231" i="36" s="1"/>
  <c r="K196" i="36"/>
  <c r="P196" i="36" s="1"/>
  <c r="K222" i="36"/>
  <c r="P222" i="36" s="1"/>
  <c r="K274" i="36"/>
  <c r="P274" i="36" s="1"/>
  <c r="K203" i="36"/>
  <c r="P203" i="36" s="1"/>
  <c r="K230" i="36"/>
  <c r="P230" i="36" s="1"/>
  <c r="K212" i="36"/>
  <c r="P212" i="36" s="1"/>
  <c r="K253" i="36"/>
  <c r="P253" i="36" s="1"/>
  <c r="K221" i="36"/>
  <c r="P221" i="36" s="1"/>
  <c r="K240" i="36"/>
  <c r="P240" i="36" s="1"/>
  <c r="K187" i="36"/>
  <c r="P187" i="36" s="1"/>
  <c r="K254" i="36"/>
  <c r="P254" i="36" s="1"/>
  <c r="K213" i="36"/>
  <c r="P213" i="36" s="1"/>
  <c r="K195" i="36"/>
  <c r="P195" i="36" s="1"/>
  <c r="K239" i="36"/>
  <c r="P239" i="36" s="1"/>
  <c r="K188" i="36"/>
  <c r="P188" i="36" s="1"/>
  <c r="K204" i="36"/>
  <c r="P204" i="36" s="1"/>
  <c r="P122" i="35"/>
  <c r="T162" i="33"/>
  <c r="T164" i="33" s="1"/>
  <c r="T59" i="32"/>
  <c r="T105" i="32"/>
  <c r="T107" i="32" s="1"/>
  <c r="T23" i="31"/>
  <c r="P97" i="34"/>
  <c r="P124" i="34" s="1"/>
  <c r="T49" i="41"/>
  <c r="T64" i="41"/>
  <c r="O76" i="36"/>
  <c r="T76" i="36" s="1"/>
  <c r="O132" i="36"/>
  <c r="T132" i="36" s="1"/>
  <c r="O50" i="36"/>
  <c r="T50" i="36" s="1"/>
  <c r="O58" i="36"/>
  <c r="T58" i="36" s="1"/>
  <c r="O57" i="36"/>
  <c r="T57" i="36" s="1"/>
  <c r="O67" i="36"/>
  <c r="T67" i="36" s="1"/>
  <c r="O42" i="36"/>
  <c r="T42" i="36" s="1"/>
  <c r="O85" i="36"/>
  <c r="T85" i="36" s="1"/>
  <c r="O94" i="36"/>
  <c r="T94" i="36" s="1"/>
  <c r="O66" i="36"/>
  <c r="T66" i="36" s="1"/>
  <c r="O133" i="36"/>
  <c r="T133" i="36" s="1"/>
  <c r="O49" i="36"/>
  <c r="T49" i="36" s="1"/>
  <c r="O75" i="36"/>
  <c r="T75" i="36" s="1"/>
  <c r="O41" i="36"/>
  <c r="T41" i="36" s="1"/>
  <c r="O84" i="36"/>
  <c r="T84" i="36" s="1"/>
  <c r="O93" i="36"/>
  <c r="T93" i="36" s="1"/>
  <c r="T71" i="35"/>
  <c r="T44" i="42"/>
  <c r="T48" i="42" s="1"/>
  <c r="T66" i="41"/>
  <c r="T68" i="41" s="1"/>
  <c r="O30" i="37"/>
  <c r="T30" i="37" s="1"/>
  <c r="O38" i="37"/>
  <c r="T38" i="37" s="1"/>
  <c r="O29" i="37"/>
  <c r="T29" i="37" s="1"/>
  <c r="O39" i="37"/>
  <c r="T39" i="37" s="1"/>
  <c r="T52" i="31"/>
  <c r="T54" i="31" s="1"/>
  <c r="P123" i="41" l="1"/>
  <c r="T125" i="41" s="1"/>
  <c r="T127" i="41" s="1"/>
  <c r="P76" i="37"/>
  <c r="T78" i="37" s="1"/>
  <c r="T41" i="37"/>
  <c r="T43" i="37" s="1"/>
  <c r="T148" i="35"/>
  <c r="T109" i="32"/>
  <c r="P292" i="36"/>
  <c r="T294" i="36" s="1"/>
  <c r="T151" i="36"/>
  <c r="T153" i="36" s="1"/>
  <c r="T74" i="35"/>
  <c r="T76" i="35" s="1"/>
  <c r="T150" i="35" s="1"/>
  <c r="T80" i="37" l="1"/>
  <c r="T296" i="36"/>
  <c r="T61" i="34"/>
  <c r="T90" i="42" l="1"/>
  <c r="T79" i="33"/>
  <c r="T81" i="33" s="1"/>
  <c r="T166" i="33" s="1"/>
</calcChain>
</file>

<file path=xl/sharedStrings.xml><?xml version="1.0" encoding="utf-8"?>
<sst xmlns="http://schemas.openxmlformats.org/spreadsheetml/2006/main" count="3038" uniqueCount="1533">
  <si>
    <t>UKUPNO</t>
  </si>
  <si>
    <t>1.</t>
  </si>
  <si>
    <t>kom</t>
  </si>
  <si>
    <t>Obračun po komadu do kompletnog završetka.</t>
  </si>
  <si>
    <t>Ugradnja i rad</t>
  </si>
  <si>
    <t>Dobava i dostava materijala</t>
  </si>
  <si>
    <t>Jedinična mjera</t>
  </si>
  <si>
    <t>Opis</t>
  </si>
  <si>
    <t>Broj stavke</t>
  </si>
  <si>
    <t>Datum:</t>
  </si>
  <si>
    <t>Revizija br:</t>
  </si>
  <si>
    <r>
      <rPr>
        <b/>
        <i/>
        <u/>
        <sz val="9"/>
        <rFont val="Arial"/>
        <family val="2"/>
      </rPr>
      <t xml:space="preserve">Opća napomena: </t>
    </r>
    <r>
      <rPr>
        <b/>
        <i/>
        <sz val="9"/>
        <rFont val="Arial"/>
        <family val="2"/>
      </rPr>
      <t>Ova procjena troškova je procjena troškova projektanta interijera na temelju glavnog projekta. Procjena nije obvezujuća. Sve cijene iskazane su bez PDV-a.</t>
    </r>
  </si>
  <si>
    <t>Količina:</t>
  </si>
  <si>
    <t>TROŠKOVNIK PROCJENE RADOVA</t>
  </si>
  <si>
    <t>NOVI RESORT, Novi Vinodolski, Hrvatska</t>
  </si>
  <si>
    <t>Informacije o projektu</t>
  </si>
  <si>
    <t>Naziv građevine:</t>
  </si>
  <si>
    <t>Naziv zahvata:</t>
  </si>
  <si>
    <t>Lokacija:</t>
  </si>
  <si>
    <t>Novi Vinodolski, 51250, Hrvatska</t>
  </si>
  <si>
    <t>Investitor:</t>
  </si>
  <si>
    <t>NV Adria Complex d.o.o.</t>
  </si>
  <si>
    <t>Masarykova ulica 3</t>
  </si>
  <si>
    <t>Zagreb</t>
  </si>
  <si>
    <t>10000-HR</t>
  </si>
  <si>
    <t>Izradio:</t>
  </si>
  <si>
    <t>Atellior d.o.o.</t>
  </si>
  <si>
    <t>Radnička cesta 39</t>
  </si>
  <si>
    <t>Datum izdavanja:</t>
  </si>
  <si>
    <t>Broj projekta:</t>
  </si>
  <si>
    <t xml:space="preserve">203200000
</t>
  </si>
  <si>
    <t>Revizija:</t>
  </si>
  <si>
    <t>Datum revizije</t>
  </si>
  <si>
    <t>I</t>
  </si>
  <si>
    <t>I-R</t>
  </si>
  <si>
    <t>NAMJEŠTAJ I OPREMA</t>
  </si>
  <si>
    <t>D</t>
  </si>
  <si>
    <t>D1</t>
  </si>
  <si>
    <t>OBRUBNE STROPNE LAJSNE</t>
  </si>
  <si>
    <t>Obračun po m' do potpunog završetka.</t>
  </si>
  <si>
    <t>m'</t>
  </si>
  <si>
    <t>Podopolagački radovi</t>
  </si>
  <si>
    <t>PODNE POKRIVNE KUTNE LETVICE</t>
  </si>
  <si>
    <t>Dobava, dostava materijala i ugradnja pokrivnih letvica na spoju završne podne obloge i zida u sobama.</t>
  </si>
  <si>
    <t>Podna kutna letvica od profilirane MDF lajsne postaviti ljepljenjem (silikonom), odnosno prema uputama proizvođača.</t>
  </si>
  <si>
    <t>Dimenzije formata:  H80mm, deblj.18mm</t>
  </si>
  <si>
    <t>Obračun po m' izvedene površine do završetka.</t>
  </si>
  <si>
    <t>Količina letvica za rastur (škart) prema shemi polaganja iz projekta. Navedena količina je pretpostavljane (10%), izvođač si je dužan provjeriti količinu za rastur prilikom davanja ponude, koja nakon ugovaranja posla postaje fiksna.</t>
  </si>
  <si>
    <t>Letvice za predaju investitoru - 2%</t>
  </si>
  <si>
    <t>H</t>
  </si>
  <si>
    <t>Obračun po komadu do završetka.</t>
  </si>
  <si>
    <t>Obračun po m' do kompletnog završetka.</t>
  </si>
  <si>
    <t>H-R</t>
  </si>
  <si>
    <t>A</t>
  </si>
  <si>
    <t>Količina ukupno</t>
  </si>
  <si>
    <t>paušal</t>
  </si>
  <si>
    <r>
      <t>m</t>
    </r>
    <r>
      <rPr>
        <vertAlign val="superscript"/>
        <sz val="10"/>
        <rFont val="Arial"/>
        <family val="2"/>
      </rPr>
      <t>2</t>
    </r>
  </si>
  <si>
    <t>REKAPITULACIJA</t>
  </si>
  <si>
    <t>SPUŠTENI STROP (suhi prostori)</t>
  </si>
  <si>
    <t>Izolaterski radovi</t>
  </si>
  <si>
    <t>HIDROIZOLACIJA MOKRIH ČVOROVA</t>
  </si>
  <si>
    <t>Izvedbu vršiti dvokomponentnim elastičnim polimercementnim hidroizlacijskim premazom (kao Mapelastic 150,proizvod Mapei ili jednako vrijedno).</t>
  </si>
  <si>
    <t>Izvodi se u dva sloja debljine do 2mm s ugradnjom Mapenet mrežice (ili jednakovrijedno) između slojeva. Kompletna izvedba prema uputama proizvođača.</t>
  </si>
  <si>
    <t>Hidroizolaciju uzdignuti min. 20-30 cm na vertikalu (uključeno u cijenu).</t>
  </si>
  <si>
    <t xml:space="preserve">Stavkom je također obuhvaćena i ugradnja i ojačanja u obliku gumiranih poliesterskih traka s alkalno otpornim filcem  Mapeband (ili jednakovrijedno)  po uglovima, kutnim elementima, na mjestima dilatacijskih fuga, spojeva između vodoravnih  i okomitih površina, odvoda te ostalim  kritičnim detaljima. 
</t>
  </si>
  <si>
    <t>Obračun po m2 izvedenog zida.</t>
  </si>
  <si>
    <t>Na mjestima gdje se postavlja umivaonik, konzolna wc školjka i sl.  predvidjeti ojačanje OSB pločama ili drugim propisnim ojačanjem.</t>
  </si>
  <si>
    <t>MASKA ZA ZAVJESE OD GK PLOČA</t>
  </si>
  <si>
    <t>IZRADA ŠPALETA OD GK PLOČA ZA ULAZNA VRATA</t>
  </si>
  <si>
    <t>Obračun po komadu (vratima).</t>
  </si>
  <si>
    <t>E</t>
  </si>
  <si>
    <t>E-R</t>
  </si>
  <si>
    <t>Dobava, dostava materijala i ugradnja podnih i zidnih keramičkih pločica I. klase, jednake kalibracije ili retificirane, u objektu na čvrstu i ravnu podlogu, primjenom Easytiler sustava (spojnice i klinovi), prema nacrtu polaganja gres porculaniziranih keramičkih pločica u skladu s normom HRN EN 14411, s fugama između pločica širine najmanje 2 mm.
Podne keramičke pločice postavljaju se na postojeći estrih s prehodno izvedenom postavljenom novom hidroizolacijom.
Zidne keramičke pločice postavljaju se na prethodno pripremljene GK i AB zidove.</t>
  </si>
  <si>
    <t xml:space="preserve">Boja i završna obrada prema izboru projektanta interijera.
Koristeći poboljšano, fleksibilno cementno ljepilo razreda C2TE S1, za nanose debljine do 15mm, kao Mapei Keraflex. </t>
  </si>
  <si>
    <t xml:space="preserve">Stavka obuhvaća sve potrebne radove, premaz površine prajmerom, fugiranje poboljšanom cementnom brzovezujućom i brzosušećom fleksibilnom fugirnom masom za fuge širine 2 do 20 mm sa Bio Block i Drop Effect tehnologijom, razreda CG2WA, kao Mapei Ultracolor Plus, te brtvljenje dilatacijskih spojeva i sudara keramičkih pločica u kutovima pomoću silikonske trajno elastične mase za brtvljenje bez otapala na osnovi acetatnog zamreženja, kao Mapei Mapesil AC uz korištenje okrugle spužvaste brtve u slučaju da je fuga preduboka (poštivanje odnosa širine i dubine fuge). Boje masa za fugiranje i brtvljenje odabiru se prema karti boja proizvođača, a po izboru projektanta (Mapei manhatan 2000). </t>
  </si>
  <si>
    <t>E1</t>
  </si>
  <si>
    <t xml:space="preserve">POSTAVLJANJE PODNIH KERAMIČKIH PLOČICA U KUPAONICI
</t>
  </si>
  <si>
    <t>Tip i boja ker. Pločice, kao i boja fuge: vidi specifikaciju</t>
  </si>
  <si>
    <t>Količina keramike za rastur (škart) prema shemi polaganja iz projekta. Navedena količina je pretpostavljane (10%), izvođač si je dužan provjeriti količinu za rastur prilikom davanja ponude, koja nakon ugovaranja posla postaje fiksna.</t>
  </si>
  <si>
    <t>Keramika za predaju investitoru - 2%</t>
  </si>
  <si>
    <t>E2</t>
  </si>
  <si>
    <t>POSTAVLJANJE ZIDNE KERAMIKE ("feature wall")</t>
  </si>
  <si>
    <t>Tip i boja ker. pločice za zid: vidi specifikaciju</t>
  </si>
  <si>
    <t>Dimenzije formata:  120×60cm; R9</t>
  </si>
  <si>
    <t>debljina: 9 mm</t>
  </si>
  <si>
    <t>POSTAVLJANJE ZIDNE KERAMIKE (ostali zidovi)</t>
  </si>
  <si>
    <t>F1</t>
  </si>
  <si>
    <t>LVT PODOVI (sobe)</t>
  </si>
  <si>
    <t>Tip i boja : vidi specifikaciju</t>
  </si>
  <si>
    <t>Količina LVT obloge za rastur (škart) prema shemi polaganja iz projekta. Navedena količina je pretpostavljane (10%), izvođač si je dužan provjeriti količinu za rastur prilikom davanja ponude, koja nakon ugovaranja posla postaje fiksna.</t>
  </si>
  <si>
    <t>LVT obloga za predaju investitoru - 2%</t>
  </si>
  <si>
    <t>Boja i tona usklađen s postojećim kamenom.</t>
  </si>
  <si>
    <t>G</t>
  </si>
  <si>
    <t>Soboslikarski radovi</t>
  </si>
  <si>
    <t>Obračun po m2 izvedene površine do završetka.</t>
  </si>
  <si>
    <t>G1</t>
  </si>
  <si>
    <t>G1-R</t>
  </si>
  <si>
    <t>b) GK plohe stropa s obradom do razine Q3 (mokri prostori)</t>
  </si>
  <si>
    <t>G2</t>
  </si>
  <si>
    <t>G2-R</t>
  </si>
  <si>
    <t>Ličenje zidova i stropova</t>
  </si>
  <si>
    <t>Dobava, dostava i ugradnja potrebnih materijala za dvostruko bojanje prethodno pripremljenih zidova.
Cijena stavke uključuje dobavu i postavu svih komponenti prema uputama proizvođača. Redosljed izvođenja:
Prema zahtjevima iz projekta prije izvedbe bojanja podloga se gleta i obrađuje u traženu kvalitetu obrade površine što je obračunato u prethodnoj stavci (G1).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Materijali sukladno specifikaciji materijala.</t>
  </si>
  <si>
    <t>Boja prema odabiru projektanta interijera. Vidi u knjizi specifikacija.</t>
  </si>
  <si>
    <t>Dobava, dostava i ugradnja potrebnih materijala za dvostruko bojanje prethodno pripremljenih stropova u suhim prostorima.
Cijena stavke uključuje dobavu i postavu svih komponenti prema uputama proizvođača. Redosljed izvođenja:
Prema zahtjevima iz projekta prije izvedbe bojanja podloga se gleta i obrađuje u traženu kvalitetu obrade površine što je obračunato u prethodnoj stavci (G1).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Materijali sukladno specifikaciji materijala.</t>
  </si>
  <si>
    <t>LIČENJE STROPOVA (mokri prostori)</t>
  </si>
  <si>
    <t>G3</t>
  </si>
  <si>
    <t>Boja i uzorak prema odabiru projektanta. Vidi u knjizi specifikacija.</t>
  </si>
  <si>
    <t>Postavljanje zidnih tapeta</t>
  </si>
  <si>
    <t>G3-R</t>
  </si>
  <si>
    <t>H2</t>
  </si>
  <si>
    <t>Unutarnja ostakljena bravarija</t>
  </si>
  <si>
    <t>Dobava, izrada, prijevoz i ugradnja unutarnjih staklene stijene tuša.</t>
  </si>
  <si>
    <t>Prije narudžbe na objektu je potrebno uzeti točne mjere. U stavci uključeno i silikoniranje spojeva. Stavka uključuje pričvrsni, brtveni i spojni materijal potreban za ugradnju.</t>
  </si>
  <si>
    <t>H4</t>
  </si>
  <si>
    <t>H5</t>
  </si>
  <si>
    <t>Protukliznost: R11</t>
  </si>
  <si>
    <t>Bravarski radovi</t>
  </si>
  <si>
    <t>G-R</t>
  </si>
  <si>
    <t>Novi Resort</t>
  </si>
  <si>
    <r>
      <rPr>
        <b/>
        <sz val="11"/>
        <color theme="1"/>
        <rFont val="Arial"/>
        <family val="2"/>
      </rPr>
      <t>Troškovnik</t>
    </r>
    <r>
      <rPr>
        <sz val="11"/>
        <color theme="1"/>
        <rFont val="Arial"/>
        <family val="2"/>
      </rPr>
      <t xml:space="preserve"> - Izvedbeni projekt - GOR</t>
    </r>
  </si>
  <si>
    <t>Baziran na izvedbenom projektu</t>
  </si>
  <si>
    <t>Napomena: Ukupan prikaz svih radova po objektu</t>
  </si>
  <si>
    <t>Opća napomena:
Ova procjena troškova je procjena troškova projektanta interijera na temelju izvedbenog projekta. Procjena nije obvezujuća. Sve cijene iskazane su bez PDV-a.</t>
  </si>
  <si>
    <t>0.</t>
  </si>
  <si>
    <t>OPĆI UVJETI - GRAĐEVINSKO OBRTNIČKI RADOVI</t>
  </si>
  <si>
    <t>0.0.</t>
  </si>
  <si>
    <t>OPĆI UVIJETI ZA SVE VRSTE RADOVA</t>
  </si>
  <si>
    <t>Sve odredbe ovih uvjeta, koje se dostavljaju u digitalnom obliku, smatraju se sastavnim dijelom opisa svake pojedine stavke ovog troškovnika.Investitor je dužan tijekom građenja osigurati stručni nadzor izvedbe za građevinu u cijelosti i u pojedinim segmentima.Ponuda mora biti izrađena na temelju datih podloga, kompletna i usuglašena s projektom.Svi građevinsko-obrtnički radovi se moraju u potpunosti izvesti prema projektu: nacrtima i detaljima, tehničkom opisu, troškovniku, te važećim propisima i pravilima struke, te pismenim naređenjima, ali sve u okviru ponuđene cijene.Za sve promjene i odstupanja od projekta mora se pribaviti pismena suglasnost projektanta. Eventualne izmjene materijala ili načina izvedbe tijekom gradnje moraju se izvršiti isključivo pismenim dogovorom s projektantom i nadzornim inženjerom. Svi vantroškovnički radovi koji se neće utvrditi na gore opisani način, neće se moći priznati u obračunu.Izvoditelj je dužan prije početka radova proučiti projektnu dokumentaciju na licu mjesta, te izvršiti provjere svih mjera na licu mjesta: kote izvedenog stanja i mjesta nove ugradnje, te u slučaju odstupanja treba pravovremeno obavijestiti i konzultirati projektanta. Ako opis neke stavke dovodi izvoditelja u sumnju o načinu izvedbe, treba pravovremeno tražiti objašnjenje od projektanta. Sva kontrola se vrši bez posebne naplate.</t>
  </si>
  <si>
    <t>Izvoditelj je obvezan putem dnevnika registrirati sve izmjene i eventualna odstupanja od projekta, a po dovršetku gradnje obvezan je predati investitoru projekt izvedenog stanja objekta, koji se sastoji od arhitektonsko-građevnog projekta, te svih projekata u kojima je došlo do izmjene.Sav materijal koji se upotrebljava mora odgovarati Hrvatskim standardima i propisanoj kvaliteti. Za sve elemente koji se ugrađuju potrebna je izmjera na objektu. Po donošenju materijala na gradilište, uz poziv izvoditelja, pregled materijala obavit će nadzorni inženjer i njegovo stanje konstatirati u građevinskom dnevniku (odgovara li predmetni materijal standardima i projektu). Ukoliko izvoditelj upotrijebi neodgovarajući materijal, a to se utvrdi naknadno, na zahtjev nadzornog inženjera mora ga ukloniti s građevine i postaviti drugi koji odgovara propisima i projektu u vlastitom trošku. Izvoditelj građevinsko-obrtničkih radova dužan je izdati ateste za sve upotrijebljene materijale i opremu.</t>
  </si>
  <si>
    <t>U cijenu koštanja treba uključiti izradu radioničkih nacrta za sve elemente koji nisu standardne proizvodnje, prvorazrednu izvedbu, dopremu, ugradnju, montažu i razmještaj.Svi radovi moraju biti kvalitetno izvedeni. Sve nedostatke uočene u tijeku ili nakon radova izvoditelj je dužan ispraviti o svom trošku.Prije izvođenja svakog rada mora se obaviti točno razmjeravanje i obilježavanje na zidu, stropu ili podu, te tek onda započeti s radovima.</t>
  </si>
  <si>
    <t>Sav transport je uključen u cijenu stavki.</t>
  </si>
  <si>
    <t>Sva rušenja i odvoz nastale šute i otpada je uključen u cijenu svake stavke ovog troškovnika.</t>
  </si>
  <si>
    <t>U cijenu svih radova je uključena zaštita prethodno izvedenih radova od eventualnih oštećenja na novim radovima.</t>
  </si>
  <si>
    <t>Rušenje, dubljenje i bušenje armirano-betonske i čelične konstrukcije smije se obavljati samo uz suglasnost građevnog nadzornog inženjera. Jedinične cijene primjenjivat će se na izvedene količine bez obzira u kojem postotku odstupaju od količina u troškovniku.</t>
  </si>
  <si>
    <t>Sve štete učinjene prigodom rada na vlastitim ili tuđim radovima trebaju se ukloniti na račun počinitelja. Svi nekvalitetni radovi trebaju se otkloniti i zamijeniti ispravnima, bez bilo kakve odštete od strane investitora.</t>
  </si>
  <si>
    <t>Opći uvjeti na početku pojedinih grupa radova odnose se na sve stavke radova te grupe, osim ako u opisu stavke nije drugačije opisano. Ukoliko materijal u pojedinim stavkama nije naznačen ili nije dovoljno jasno preciziran u pogledu kvalitete, izvođač je dužan upotrijebiti prvoklasni materijal.</t>
  </si>
  <si>
    <t>Jediničnom cijenom za svaki rad predviđen ovim troškovnikom obuhvaćeno je:</t>
  </si>
  <si>
    <t>A/ potpuno dovršenje sa svim predradnjama, transportom i ostalim radnim operacijama,</t>
  </si>
  <si>
    <t>B/ sav rad, alat, materijal, amortizacija i svi ostali troškovi koji se odnose na ovaj objekt,</t>
  </si>
  <si>
    <t>C/ troškovi i takse privremenih priključaka potrebnih instalacija,</t>
  </si>
  <si>
    <t>D/ sve potrebne pokretne i nepokretne radne, transportne i pomoćne skele, sa izradom, postavljanjem, skidanjem i odvozom. Isto važi i za privremene pomoćne objekte.</t>
  </si>
  <si>
    <t>E/ čišćenje i održavanje objekta koji je u gradnji i gradilišta za sve vrijeme gradnje,ČIŠĆENJE OKOLNIH PROMETNICA Održavanje okolnih prometnica i čišćenje tokom izvedbe radova u dužini cca 500 m oko hotelskog kompleksa</t>
  </si>
  <si>
    <t>F/ osiguranje neometanog prolaza i prometa,</t>
  </si>
  <si>
    <t>G/ sve higijensko-tehničke zaštitne mjere za sve zaposlene radnike.</t>
  </si>
  <si>
    <t>H/ PRIVREMENA REGULACIJA PROMETA, Organiziranje privremene regulacije prometa ako za to postoji potreba.</t>
  </si>
  <si>
    <t>Po završetku svih radova na objektu izvođač je dužan ukloniti privremene objekte, sav otpad kojeg je zatekao na gradilišti prije početka radova kao i onaj kojeg će proizvesti za vrijeme radova, očistiti gradilište i sva ostala prekopavanja dovesti u prvobitno stanje, te o svom trošku odgovarajućim sredstvima čišćenja, pranja i sl. dovede cijelu predmetnu građevinu sa instalacijama u potpuno čisto i ispravno stanje zajedno s njenim okoliše,  i u tom ih stanju odražavati do predaje na korištenje na zadovoljstvo Investitora.</t>
  </si>
  <si>
    <t>Čišćenje svih površina odnosno objekta odvija se za vrijeme izvođenja i po završetku izvedbe svih vrsta radova, navedenih u ovom troškovniku.</t>
  </si>
  <si>
    <t>Izvođač je dužan uredno voditi svu dokumetaciju definiranu propisima iz oblasti zaštite okoliša. U slučaju da otpad ima neku vrijednost (otpadni metal, kameni materijal), zbrinjavanje će izvršiti sukladno nalogu Investitora.</t>
  </si>
  <si>
    <t>Obračun količina radova vrši se na način opisan u svakoj poziciji ovog troškovnika, predviđen za taj rad u prosječnim građevinskim i obrtničkim normama.</t>
  </si>
  <si>
    <t>Redosljed izvođenja vršiti prema ovom troškovniku ili prema prethodnom dogovoru s Investitorom i nadležnom službom.</t>
  </si>
  <si>
    <t>S obzirom da su u sklopu radova obuhvaćeni i oni djelovi hotelskog kompleksa koji su u funkciji, kod navedenih djelova obavezno je izvoditi radove na način da se ne proizvodi prekomjerna buka, potrebno je slijediti upute Investitora i nadzorne službe o korištenju transportnih i komunikacijskih puteva, unutar i izvan hotela kako se ne bi narušavao mir gostiju u hotelu.</t>
  </si>
  <si>
    <t>UVJETI IZVEDBE</t>
  </si>
  <si>
    <t>Za sve radove treba primjenjivati tehničke propise, građ. norme, a upotrebljeni materijal, koji izvođač dobavlja i ugrađuje, mora odgovarati standardima (HRN). Izvedba radova treba biti prema nacrtima, općim uvjetima i opisu radova, detaljima i prema pravilima zanata. Eventualna odstupanja treba prethodno dogovoriti s nadzornim inženjerom i projektantom za svaki pojedini slučaj.</t>
  </si>
  <si>
    <t>Tolerancije mjera izvedenih radova određene su uzancama zanata, odnosno prema odluci projektanta i nadzorne službe. Sva odstupanja od dogovorenih tolerantnih mjera dužan je izvođač otkloniti o svom trošku. To vrijedi za sve vrste radova, kao što su građevinski, obrtnički i montažerski, opremanje i ostali radovi.</t>
  </si>
  <si>
    <t>Uskladištenje materijala treba provesti tako da materijal bude osiguran od vlaženja i lomova, jer se samo neoštećen i kvalitetan smije ugrađivati. Ovo se odnosi na sve gotove prefabrikate, obrtničke proizvode i materijal za obrtničke radove. Vezna sredstva također moraju biti prvorazredna. Cement, opeka, kameni agregat, pijesak, bitumen i sl. treba ispitati prema važećim tehničkim propisima i ateste predočiti nadzornom inženjeru.</t>
  </si>
  <si>
    <t>Rad obuhvaća osim opisanog u troškovniku, još  i prijenose, prijevoz, dizanje, utovar i istovar materijala unutar gradilišta, pripremanje morta i betona, zaštićivanje konstrukcije od štetnih atmosferskih utjecaja, sve pomoćne radove kao: skupljanje rasutog materijala, održavanje čistoće gradilišta.</t>
  </si>
  <si>
    <t>Skele, podupore i razupore treba također predvidjeti u cjelini. Skele moraju biti u skladu s propisima HTZ. Iskopane rovove treba u načelu podupirati ako su dubine preko jednog metra. Osim toga, treba ukalkulirati sve potrebne zaštitne ograde, te rampe i mostove za prijevoz  materijala po gradnji.</t>
  </si>
  <si>
    <t>Pomoć obrtnicima i instalaterima, kojima treba osigurati prostoriju za smještaj alata i pohranu materijala, ustupanje radne snage za dubljenje, probijanje i bušenje, te popravak žbuke nakon završenih keramičarskih, kamenorezačkih, kamenarskih, parketarskih, stolarskih i bravarskih, a prije soboslikarsko-ličilačkih radova. Izvođač građevinskih radova dužan je obrtnicima i instalaterima dati potrebne skele za radove na visini većoj od dva metra.</t>
  </si>
  <si>
    <t>Kod radova za vrijeme ljetnih vrućina, zimi i kišnih dana treba osigurati konstrukcije od štetnih atmosferskih utjecaja, a u slučaju da dođe do oštećenja uslijed prokišnjavanja ili smrzavanja, izvođač će izvršiti popravke o svom trošku.</t>
  </si>
  <si>
    <t>Izvesti krpanje žbuke, popravak obojenih ploha, te sve popravke, oštećenja koja su nastala tokom gradnje, a trebaju se obaviti u garantnom roku.</t>
  </si>
  <si>
    <t>Prethodno provoditi ispitivanje ugrađenog materijala, vodovodne instalacije, odnosno sve u vezi s dobavljanjem potrebnih atesta (nalaza).</t>
  </si>
  <si>
    <t>OPĆI  UVJETI ZA IZVOĐENJE GRAĐEVINSKIH RADOVA, PRIPREMNIH RADOVA, UREĐENJE  GRADILIŠTA I POMOĆNIH  RADOVA</t>
  </si>
  <si>
    <t>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t>
  </si>
  <si>
    <t>Izvođač i njegovi kooperanti dužni su svaki dio investiciono tehničke dokumentacije pregledati, te dati primjedbe na eventualne tehničke  probleme koji bi mogli prouzročiti slabiji kvalitet, postojanost ugrađenih elemenata ili druge štete. U protivnom biti će dužan ovakve štete sanirati o svom trošku. Naročitu pažnju kod toga treba posvetiti usaglašavanju građevinskih i instalaterskih nacrta. Ako ustanovi neke razlike u mjerama, nedostatke ili pogreške u podlogama, dužan je pravovremeno obavijestiti nadzornog inženjera i odgovornog projektanta, te zatražiti rješenja.</t>
  </si>
  <si>
    <t>UREĐENJE GRADILIŠTA</t>
  </si>
  <si>
    <t>Uređenje gradilišta dužan je izvođač izvesti prema shemi organizacije gradilišta koju je obavezan dostaviti uz ponudu. U organizaciji gradilišta izvođač je dužan uz ostalo posebno predvidjeti:</t>
  </si>
  <si>
    <t>- prostorije za svoje kancelarije,</t>
  </si>
  <si>
    <r>
      <t>gradilište osigurati ogradom ili drugim posebnim elementima za sigurnost ljudi i zaštitu prometa i objektata,</t>
    </r>
    <r>
      <rPr>
        <b/>
        <i/>
        <sz val="10"/>
        <rFont val="Arial"/>
        <family val="2"/>
        <charset val="238"/>
      </rPr>
      <t>ISTU JE POTREBNO UKALKULIRATI U JEDINIČNU CIJENU,ODNOSNO FAKTOR GRADILIŠTA ,NE OBRAČUNAVA SE ZASEBNO</t>
    </r>
  </si>
  <si>
    <r>
      <t>-postaviti natpisnu ploču  prema propisima.I</t>
    </r>
    <r>
      <rPr>
        <b/>
        <i/>
        <sz val="10"/>
        <rFont val="Arial"/>
        <family val="2"/>
        <charset val="238"/>
      </rPr>
      <t>STU JE POTREBNO UKALKULIRATI U JEDINIČNU CIJENU,ODNOSNO FAKTOR GRADILIŠTA ,NE OBRAČUNAVA SE ZASEBNO</t>
    </r>
  </si>
  <si>
    <t>- postaviti potreban broj urednih skladišta, pomoćnih radnih prostorija, nadstrešnica, odrediti i urediti prometne i parkirne površine za radne i teretne automobile, opremu, građevinske strojeve  i sl., te opremu i objekte za rastresiti i habasti građevinski materijal,</t>
  </si>
  <si>
    <t>- Izvođač je dužan gradilište sa svim prostorijama i cijelim inventarom redovito održavati i čistiti,</t>
  </si>
  <si>
    <t>- Sve materijale izvođač mora redovito i pravovremeno dobaviti da ne dođe do bilo kakvog zastoja gradnje,</t>
  </si>
  <si>
    <t>- U kalkulacije izvođač mora prema ponuđenim radovima uračunati eventualne zaštite za zimski period građenja, kišu ili sl.</t>
  </si>
  <si>
    <t>- Izvođač je dužan svu površinsku vodu u granicama gradilišta na svim nižim nivoima redovito odstranjivati odnosno nasipavati,</t>
  </si>
  <si>
    <t>- Na gradilištu mora postojati permanentna čuvarska služba za cijelo vrijeme trajanja gradnje također uračunata u faktor,</t>
  </si>
  <si>
    <t>- Gradilište mora biti po noći dobro osvijetljeno,</t>
  </si>
  <si>
    <t>- Sve otpadne matreijele  (šuta, lomovi, mort, ambalaža i sl.) treba odmah odvesti. Troškove treba ukalkulirati u režiju i faktor. Ukoliko se isti neće izvršavati Investitor ima pravo čišćenja i odvoz otpada povjeriti drugome, a na teret izvođača radova,</t>
  </si>
  <si>
    <t>- Izvođač je dužan uz shemu organizacije gradilišta dostaviti i spisak sve mehanizacije i opreme koja će biti na raspolaganju gradilišta, te satnice za rad i upotrebu svakog stroja,</t>
  </si>
  <si>
    <t>- Izvođač je dužan bez posebne naplate osigurati investitoru i projektantu potrebnu pomoć kod obilaska gradilišta i nadzora, uzimanju uzoraka i sl., potrebnim pomagalima i ljudima,</t>
  </si>
  <si>
    <t>- Na gradilištu moraju biti poduzete sve HTZ mjere prema postojećim propisima.</t>
  </si>
  <si>
    <t xml:space="preserve">- Izvođač je dužan po završetku radova gradilište kompletno očistiti, </t>
  </si>
  <si>
    <t>JEDINIČNA CIJENA</t>
  </si>
  <si>
    <t>U jediničnu cijenu uključena je nadoknada za sav potreban rad i materijal potreban za izvođenje svake pojedine stavke (gotovost stavke je do njezine pune funkcije), ako u stavci troškovnika nije drugačije rečeno. Jedinična cijena uključuje i izvođenje svih pomoćnih i pripremnih radnji, kao i sve potrebne pomoćne utovare, pretovare i transporte, te odvoz materijala na javnu, registriranu deponiju ili deponiranje materijala na mjesto koje odredi investitor</t>
  </si>
  <si>
    <t>Cijene pojedinih radova moraju sadržavati sve elemente koji određuju cijenu gotovog proizvoda, a u skladu sa odredbama troškovnika. Ako izvođač sumnja u valjanost ili kvalitetu nekog propisanog materijala i drži da za takvu izvedbu ne bi mogao preuzeti odgovornost, dužan je o tome obavijestiti projektanta s obrazloženjem i dokumentacijom. Konačnu odluku donosi projektant u suglasnosti s nadzornim inženjerom, nakon proučenog prijedloga izvođača. Ponuda obuhvaća sve radove koji su neophodni za izvedbu određenih radova, uključujući i čišćenje nakon obavljanja istih.</t>
  </si>
  <si>
    <t>Cijene ponuđene troškovnikom uključuju sve građevinske strojeve, radnike, kontrolu kvalitete, materijala i rada (sve ateste), montažu, osiguranje, dobit, poreze i davanja, te potrebne radnje, troškove organizacije i mjere koje nalažu Zakon o prostornom uređenju i Zakon o gradnji, Zakon o zaštiti na radu i Zakon o zaštiti od požara, zajedno sa svim rizicima, odgovornostima i obvezama navedenim ili nagovještenim ugovorom.</t>
  </si>
  <si>
    <t>Jedinična cijena sadrži sve nabrojeno kod opisa pojedine grupe radova, te se na taj način vrši i obračun istih. Jedinične cijene primjenjivati će se na izvedene količine bez obzira u kojem postotku iste odstupaju od količine u troškovniku.</t>
  </si>
  <si>
    <t>MATERIJAL</t>
  </si>
  <si>
    <t>Pod tim nazivom se podrazumjeva samo cijena materijala tj. dobavna cijena i to kako glavnog materijala, tako i pomoćnog, veznog i slično. U tu cijenu uključena je i cijena transportnih troškova bez obzira na prijevozno sredstvo sa svim prijenosima, utovarima i istovarima, te uskladištenje i čuvanje na gradilištu od uništenja (prebacivanje, zaštita i slično). Tu je uključeno i davanje potrebnih uzoraka kod izvjesnih vrsta materijala.
Pod cijenom materijala podrazumijeva se dobavna cijena svih materijala koji sudjeluju u radnom procesu, to jest cijena glavnih i pomoćnih materijala potrebnih za ugradnju do kompletne funkcionalnosti i gotovosti. 
U cijenu je uključena i cijena transportnih troškova bez obzira na prijevozno sredstvo, sa svim prijenosima, utovarima i istovarima, te podizanjima na mjesto ugradbe, kao i cijena čuvanja, zaštite i skladištenja materijala do ugradnje. Prema Zakonu o gradnji NN 153/13,  potrebno je uzimanje uzoraka - probnih kocki - za beton, te ugradnja samo onih materijala koji imaju važeće ateste. Svu dokumentaciju o dokazu kvalitete materijala prikuplja izvođač radova i po završetku predaje Investitoru.
U cijenu je također uključeno i davanje potrebnih uzoraka kod nekih materijala (prema zahtjevu naručitelja)</t>
  </si>
  <si>
    <t>RAD</t>
  </si>
  <si>
    <t>U kalkulaciji rada treba uključiti sav rad, kako glavni, tako i pomoćni, te sav unutarnji transport. Ujedno treba uključiti sav rad oko zaštite gotovih konstrukcija i dijelova objekta od štetnog utjecaja vrućine, hladnoće i slično.</t>
  </si>
  <si>
    <t>SKELE</t>
  </si>
  <si>
    <t>Sve lake, pokretne, pomoćne  skele,  bez obzira na visinu, ulaze u jediničnu cijenu dotičnog rada, osim fasadne skele za obradu fasade, koja se obračunava kao posebna stavka. Skela mora biti na vrijeme postavljena kako ne bi nastao zastoj u radu. Pod pojmom skela podrazumijeva se i prilaz istoj, te ograda. Kod zemljanih radova u jediničnu cijenu ulaze razupore, te mostovi za prebacivanje iskopa većih dubina. Ujedno su tu uključeni i prilazi, te mostovi za betoniranje konstrukcije i slično.</t>
  </si>
  <si>
    <t>IZMJERE</t>
  </si>
  <si>
    <t>Ukoliko nije u pojedinoj stavci dat način obračuna radova, treba se u svemu pridržavati prosječnih normi u građevinarstvu.</t>
  </si>
  <si>
    <t>ZIMSKI I LJETNI RAD</t>
  </si>
  <si>
    <t>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jediničnu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važećoj normi ali u tom slučaju Izvođač snosi punu odgovornost za ispravnost i kvalitetu rada. To isto vrijedi i za zaštitu radova tokom ljeta od prebrzog sušenja uslijed visoke temperature.</t>
  </si>
  <si>
    <t>FAKTORI</t>
  </si>
  <si>
    <t>Jediničnom cijenom treba obuhvatiti i slijedeće radove, koji se neće zasebno platiti, kao naknadni rad, i to:</t>
  </si>
  <si>
    <t>najamne troškove za posuđenu mehanizaciju, koju izvođač sam ne posjeduje, a potrebna mu je pri izvođenju rada,</t>
  </si>
  <si>
    <t>sva ispitivanja materijala,</t>
  </si>
  <si>
    <t>ispitivanja dimnjaka u svrhu dobivanja potvrde od dimnjačara o ispravnosti,</t>
  </si>
  <si>
    <t>barake za smještaj radnika i kancelarije gradilišta,</t>
  </si>
  <si>
    <t>uskladištenje materijala i elemenata za obrtničke i instalaterske radove do njihove ugradbe,</t>
  </si>
  <si>
    <t>uređenje gradilišta po završetku rada, sa otklanjanjem svih otpadaka, šute, ostataka građevnog materijala, inventara, pomoćnih objekata itd.</t>
  </si>
  <si>
    <t>Sve navedeno važi za obrtničke i instalaterske radove</t>
  </si>
  <si>
    <t>ATESTI ZA IZVEDENE RADOVE</t>
  </si>
  <si>
    <t>Izvođač je dužan posjedovati ili ishodovati sve zakonom i troškovnikom predviđene ateste i ispitivanja za sve ugrađene materijale i izvedene radove o svom trošku (bez naknadnog obračunavanja investitoru), a u svemu prema Zakonima i tehničkim propisima. Izvoditelj je dužan sve ateste dostavljati investitoru tijekom izvođenja.</t>
  </si>
  <si>
    <t>NAKNADNI RADOVI</t>
  </si>
  <si>
    <t>Za naknadne radove čiji opisi se ne nalaze u troškovniku, a koji se imaju izvesti po nalogu nadzornog inženjera, obračun se vrši po stvarnim troškovima rada i materijala,s tim da je izvođač dužan dati na odobrenje nadzornom inženjeru detaljnu analizu troškova materijala i rada. Prije početka izvođač je dužan investitoru predati brutto satnice svojih radnika po djelatnostima.
U slučaju da izvođač neke radove izvede materijalom kvalitetnijim od predviđenog, a da za to nije prethodno ishodio odobrenje investitora, nema pravo nadoknade za povećanje troškova izvedbe.</t>
  </si>
  <si>
    <t>Za naknadne radove čiji se opisi ili slični nalaze u ugovornom troškovniku primjenjivati će se ugovorne jedinične cijene.</t>
  </si>
  <si>
    <t>Sva odstupanja stvarno izvedenih količina u odnosu na količine predviđene projektantskim troškovima (+ ili -) obračunati će se prema stvarno izvršenim radovima što će se sporazumno riješiti između predstavnika izvođača i nadzornog inženjera odnosno investitora.</t>
  </si>
  <si>
    <t>OSTALO</t>
  </si>
  <si>
    <t>U jedinične cijene stavki imaju biti uračunati svi radovi i potrebni materijali (eventualno nespecificirani posebno u samom troškovniku), a koji su (prema uzancama struke i pravilima dobrog zanata) potrebni za potpuno dovršenje građevine, tj. dovođenje u stanje "potpuno spremno za uporabu". Svi takovi radovi imaju biti uračunati u jedinične cijene, tj. neće se posebno plaćati.</t>
  </si>
  <si>
    <t>Sve stavke troškovnika ukoliko ima nekih nejasnoća, izvođač će pojasniti s projektantom prije ulaska u posao, jer se nakon početka radova neće tolerirati nikakve nejasnoće opisa stavki i tražiti će se besprijekorno izvršenje istih u smislu kakvim ih je projektant zamislio i definirao. Prije narudžbe materijala po stavkama, izvođač je dužan prekontrolirati iste i uzeti stvarne mjere na licu mjesta kako ne bi došlo do štete uslijed krivih podataka po pitanju količine radova i produženja roka zbog naknadnih narudžbi istih.</t>
  </si>
  <si>
    <t>Ugovorna cijena koja je dobivena iz rekapitulacije troškova fiksna je i nepromijenjiva. Količine, stavke i opisi stavaka se trebaju smatrati konačnim količinama radova. Troškovničke stavke služe samo za potrebe naplate po privremenim situacijama. Sve ovdje propisane obveze Izvođača sadržane su u Ugovornoj cijeni te Izvođač ne ostvaruje pravo na dodatna plaćanja s tog naslova.</t>
  </si>
  <si>
    <t>Radovi se ugovaraju po sistemu "ključ u ruke". Izvođač je dužan prije davanja ponude provjeriti cijeli opseg radova i količine, jer se naknadne primjedbe niti eventualni zahtjevi za višerad neće prihvatiti.</t>
  </si>
  <si>
    <t>Izvođač je prije davanja ponude Naručitelju dužan prikupiti sve potrebne informacije koje su mu potrebne za formiranje fiksne i nepromijenjive Ugovorne cijene i utvrđivanje roka Izvedbe što uključuje, bez ograničenja: cijene roba, radova i usluga, podatke iz natječajne i projektne dokumentacije, podatke o mogućnosti rada tijekom sezone i noću, konfiguraciju, geologiju i morfologiju terena, meteorološke i hidrološke podatke, postojeće podzemne i nadzemne vodove, mogućnosti pristupa gradilištu, mogućnosti privremenog skladištenja i deponiranja opreme i privremenih objekata u vlasništvu Izvođača na gradilištu, mogućnosti primjene različitih tehnologija izvođenja radova, administrativne barijere bilo koje vrste, uvjete relevantnih javno-pravnih tijela i jedinica lokalne i regionalne samouprave, mogućnosti priključaka vode i energenata, mogućnosti dobave materijala i opreme, dostupnost ovlaštenih deponija i specijaliziranih tvrki za zbrinjavanje otpada, okolnosti vezane za dostupnost radne snage, materijala, opreme, proizvođača i specijaliziranih podizvođača.</t>
  </si>
  <si>
    <t>U slučaju pojedinih nejasnoća u troškovniku i/ili projektu i/ili natječajnoj dokumentaciji Izvođač je dužan postaviti odgovarajuće pitanje za razrješenje Naručitelju prije predaje ponude Naručitelju.</t>
  </si>
  <si>
    <t>Ukoliko Izvođač propusti prikupiti informacije koje je kao iskusni Izvođač trebao i mogao prikupiti, Naručitelj neće priznati dodatne troškove Izvođaču niti će priznati produljenje roka.</t>
  </si>
  <si>
    <t>Izvođač je dužan izvesti i u Ugovornu cijenu uključiti sve svoje troškove, uključujući, bez ograničenja: profit, troškove osiguranja, troškove poreza, pristojbi, parafiskalnih nameta i svih drugih davanja državi, jedinicama regionalne i lokalne samouprave i ostalim javno-pravnim tijelima, troškove privremenog ograđivanja, zaštite i čuvanja gradilišta od strane zaštitarske agencije, troškove ograđivanja gradilišta, troškove materijala i opreme, troškove upravno-prodajne režije (uprava), troškove najma prostora bilo koje vrste, troškove propisnog privremenog skladištenja materijala i opreme, troškove višestruke manipulacije materijalom i opremom (ovisno o tehnologiji Izvođača i drugim okolnostima), troškove postave i skidanja privremenih konstrukcija, oplata i skela, troškove privremene zaštite građevine od atmosferlija, visokih i niskih temperatura i padalina sukladno pravilima struke, troškove čišćenja, održavanja i rehabilitacije postojećih prometnica koje se koriste tijekom gradnje, troškove svih radova i aktivnosti koje je potrebno provesti, troškovi osiguranja i kontrole kvalitete prema važećim standardim i propisima, troškovi zaštite na radu, zaštite od požara i zaštite okoliša sukladno propisima, troškovi sprječavanja onečišćenja okoliša, troškovi stručnjaka zaštite na radu i zaštite okoliša, troškovi pormoćnih i glavnih materijala, mehanizacije i opreme Izvođača, skele, oplate, ograda, radne snage i svog potrebnog tehničkog i drugog osoblja, financijski i telekomunikacijski troškovi, pogonski troškovi, troškovi energenata potrebnih za izvedbu radova, troškovi mobilizacije i demobilizacije,</t>
  </si>
  <si>
    <t>troškovi vanjskog i unutarnjeg, horizontalnog i vertikalnog prijenosa i prijevoza, izgradnje i razgradnje privremenih priključaka vode i električne energije, troškovi smještaja, prehrane i prijevoza svog osoblja i radnika Izvođača i njegovih podizvođača, troškovi propisnog zbrinjavanja otpada, troškovi uređenja okoliša po dovršenju radova, troškovi konačnog čišćenja interijera i eksterijera građevine po dovršetku radova, troškovi pripreme potrebnih izvještaja, troškovi prisustvovanja i aktivnog sudjelovanja na tjednim sastancima s nadzornom službom i Voditeljem projekta Naručitelja, troškovi pripreme potrebne dokumentacije s ciljem prezentacije metodologije izvođenja radovam troškovi inženjerskog osoblja i poslovođa, troškovi vezani uz komunikaciju sa svim zainteresiranim javnopravnim tijelima, troškovi izrade, praćenja i revizije (u slučaju potrebe) dinamičkog plana radova i resursa te financijskog plana projekta u software-u kojeg odredi Naručitelj.</t>
  </si>
  <si>
    <t>Izvođač je dužan u Ugovornu cijenu uključiti troškove privremenog priključka vode i električne energije koji su mu potrebni u svrhu izvedbe radova i potrebna ispitivanja instalacija.</t>
  </si>
  <si>
    <t>Izvođač je dućan zbrinuti uklonjeni materijal sukladno propisima, te o tome voditi propisnu dokumentaciju.Sve navedeno je sastavni dio Ugovorne cijene radova.</t>
  </si>
  <si>
    <t>Izvođač je obvezan osigurati gradilište (sve radove, svoje radnike, opremu i imovinu) za vrijeme izvođenja radova kod osiguravajućih društava od nastanka štete uslijed nastanka osiguranog slučaja. Osiguranje se mora odnositi i na treće osobe. Troškovi osiguranja su uključeni u Ugovornu cijenu radova.</t>
  </si>
  <si>
    <t>Izvođač je dužan imenovati Inženjera gradilišta sukladno propisima i ovlašene voditelje radova za građevinske radove. Također je dužan osigurati stalno prisustvo ovlaštenih voditelja pojedinih radova za vrijeme izvođenja radova.</t>
  </si>
  <si>
    <t>Izvođač je, u slučaju nejasnoće, dužan postaviti upit Investitoru prije davanja ponude.</t>
  </si>
  <si>
    <t>Izvođač je svjestan da, ako tako odluči Investitora, radove na gradilištu može izvoditi više izvođača, te je dužan planirati i koordinirati svoje radove s drugim Izvođačima bez prava na dodatnu naknadu.</t>
  </si>
  <si>
    <t>Investitora prije slanja ponude Izvođača može osloboditi Izvođača od pojedinih obveza definiranih ovim općim uvjetima ugovora što je Izvođač također dužan uzeti u obzir prilikom izrade svoje ponude.</t>
  </si>
  <si>
    <t>Redosljed izvođenja vršiti prema ovom troškovniku ili prema prethodnom dogovoru s nadzornim inženjerom Investitora i nadležnom službom.</t>
  </si>
  <si>
    <t>Radove svih stavki odvijaju se u vremenu koje odredi Investitor i nadležna služba operatera.</t>
  </si>
  <si>
    <t>0.1.</t>
  </si>
  <si>
    <t>OPĆI UVJETI - PRIPREMNI RADOVI I OPĆI RADOVI</t>
  </si>
  <si>
    <t>Prije početka gradnje potrebno je predvidjeti i planirati sve aktivnosti koje su potrebne da se građevina izgradi u skladu sa važećim zakonima i propisima, u ugovorenom roku i uz poštivanje ugovorenih ekonomsko-financijskih uvjeta. Zbog opsežnosti radova, dužine gradnje, potencijalnog sudjelovanja velikog broja izvršitelja te zbog drugih specifičnosti građevine, priprema gradnje je zahtjevan i odgovoran posao. U tom smislu, potrebno je prethodno izraditi projekt organizacije građenja (POG).</t>
  </si>
  <si>
    <t>Radove treba izvesti točno prema opisu troškovnika, a u stavkama gdje nije objašnjen način rada i posebne osobine finalnog produkta, izvođač je dužan pridržavati se uobičajenog načina rada, uvažavajući odredbe važećih standarda, uz obvezu izvedbe kvalitetnog proizvoda.</t>
  </si>
  <si>
    <t>Osim toga, izvođač je obvezan pridržavati se uputa projektanta/nadzora u svim pitanjima koja se odnose na izbor i obradu materijala i način izvedbe pojedinih detalja, ukoliko to nije već detaljno opisano troškovnikom, a naročito u slučajevima kada se zahtjeva izvedba van propisanih standarda.
Sav materijal za izgradnju mora biti kvalitetan i mora odgovarati opisu troškovnika i postojećim građevinskim propisima.U slučaju da opis pojedine stavke nije dovoljno jasan, mjerodavna je samo uputa i tumačenje projektanta/nadzora. O tome se izvođač treba informirati već prilikom sastavljanja jedinične cijene.
Cijene pojedinih radova moraju sadržavati sve elemente koji određuju cijenu gotovog proizvoda, a u skladu sa odredbama troškovnika. Ako izvođač sumnja u valjanost ili kvalitetu nekog propisanog materijala i drži da za takvu izvedbu ne bi mogao preuzeti odgovornost i dati garanciju na izvedene radove, dužan je o tome obavijestiti projektanta s obrazloženjem i dokumentacijom. Konačnu odluku donosi projektant u suglasnosti s nadzornim inženjerom, nakon proučenog prijedloga izvođača.</t>
  </si>
  <si>
    <r>
      <rPr>
        <b/>
        <i/>
        <u/>
        <sz val="10"/>
        <rFont val="Arial"/>
        <family val="2"/>
      </rPr>
      <t>Prije početka svih radova potrebno je provjeriti stanje instalacija na pojedinim mjestima te iste isključiti, blindirati , uz prethodno odobrenje i suglasnost Investitora i nadzorne službe hotela kako se ne bi poremetio rad u ostalim djelovima objekta</t>
    </r>
    <r>
      <rPr>
        <i/>
        <sz val="10"/>
        <rFont val="Arial"/>
        <family val="2"/>
        <charset val="238"/>
      </rPr>
      <t>.Nakon završetka radova potrebno je isključene/otkopćane/blindirane instalacije ponovo uključiti. Izvesti probni rad. U slučaju poteškoća u funkcioniranju instalacija pri ponovnom uključenju/ukopčavanju iste je dužan Izvođač ukloniti bez pripadajuće naknade za tu vrstu posla.</t>
    </r>
  </si>
  <si>
    <t>Izvođač je dužan o svom trošku izvršiti izradu privremenog priključka struje i vode za potrebe izvođenja radova, izradu privremenih rampi za iznošenje opreme, namještaja, materijala, šute, ograđivanje i održavanje privremenog gradilišnog deponija, kao i sve ostale radnje nužne za nesmetano odvijanje radova, sve u skladu s pravilima struke, zakonskom regulativom i zahtjevima Investitora.</t>
  </si>
  <si>
    <t>Izvođač je dužan o svom trošku izvršiti dobavu, dostavu i održavanje kemijskog WC-a za potrebe osoblja na gradilištu, te uklananje istog po završetku radova.</t>
  </si>
  <si>
    <r>
      <rPr>
        <i/>
        <u/>
        <sz val="10"/>
        <rFont val="Arial"/>
        <family val="2"/>
      </rPr>
      <t>Primopredaja gradilišta</t>
    </r>
    <r>
      <rPr>
        <i/>
        <sz val="10"/>
        <rFont val="Arial"/>
        <family val="2"/>
        <charset val="238"/>
      </rPr>
      <t xml:space="preserve">
Investitor predaje izvođaču građevinskih radova zemljište na kojem se izvodi građevina. Prilikom primopredaje potrebno je u građevinski dnevnik upisati sve elemente važne za primopredaju (popis dokumentacije, važne točke na gradilištu, posebne uvjete koji utječu na način gradnje i sl.)</t>
    </r>
  </si>
  <si>
    <r>
      <rPr>
        <i/>
        <u/>
        <sz val="10"/>
        <rFont val="Arial"/>
        <family val="2"/>
      </rPr>
      <t>Iskolčenje</t>
    </r>
    <r>
      <rPr>
        <i/>
        <sz val="10"/>
        <rFont val="Arial"/>
        <family val="2"/>
      </rPr>
      <t xml:space="preserve">
Izvođač radova dužan je za vrijeme građenja stalno održavati i osigurati sve repere i poligonske točke. Iskolčenje objekata treba neprestano nadzirati i po potrebi obnavljati. Izvođač je sve vrijeme građenja dužan obnavljati izvedeno iskolčenje i sve oznake na terenu, bez obzira na uzroke štete.Geodetskom kontrolom utvrđuje se visinski i položajno početno stanje ili stanje izvedenog posla. Točnost mjerenja mora biti u skladu s geodetskim normama za pojedine vrste mjerenja i u skladu sa zahtjevima za kakvoću pojedinih radova prema ovim ili posebnim tehničkim uvjetima.</t>
    </r>
  </si>
  <si>
    <r>
      <rPr>
        <i/>
        <u/>
        <sz val="10"/>
        <rFont val="Arial"/>
        <family val="2"/>
      </rPr>
      <t>Dinamika izvođenja radova</t>
    </r>
    <r>
      <rPr>
        <i/>
        <sz val="10"/>
        <rFont val="Arial"/>
        <family val="2"/>
        <charset val="238"/>
      </rPr>
      <t xml:space="preserve">
Izvođač je prije početka gradnje dužan investitoru predati PLAN DINAMIKE IZVOĐENJA RADOVA PO AKTIVNOSTIMA,KOMPLETNO SA RESURSIMA RADNE SNAGE I MEHANIZACIJE,TE FINANCIJSKOM STRUKTUROM TROŠKOVA RADOVA IZ DINAMIČKOG PLANA s prijedlogom roka završetka radova.Izradu istoga ukalkulirati u troškove prilikom ugovaranja u jediničnu cijenu.Naknadni troškovi za izradu istoga se neće uvažiti.</t>
    </r>
  </si>
  <si>
    <r>
      <rPr>
        <i/>
        <u/>
        <sz val="10"/>
        <rFont val="Arial"/>
        <family val="2"/>
      </rPr>
      <t>Zaštita okoliša</t>
    </r>
    <r>
      <rPr>
        <i/>
        <sz val="10"/>
        <rFont val="Arial"/>
        <family val="2"/>
        <charset val="238"/>
      </rPr>
      <t xml:space="preserve">
Potrebno spriječiti bilo kakvu mogućnost zagađenja gradilišta i prometnica predviđenih za transport.
Predviđena mehanizacija za izvođenje mora biti u besprijekornom stanju, a ne smiju se primjenjivati pomoćni materijali kojima se može onečistiti okoliš (voda, tlo, flora i fauna).</t>
    </r>
  </si>
  <si>
    <r>
      <rPr>
        <i/>
        <u/>
        <sz val="10"/>
        <rFont val="Arial"/>
        <family val="2"/>
      </rPr>
      <t>Osiguranje gradilišta pogonskom energijom i vodom</t>
    </r>
    <r>
      <rPr>
        <i/>
        <sz val="10"/>
        <rFont val="Arial"/>
        <family val="2"/>
      </rPr>
      <t xml:space="preserve">
Izvođač je dužan osigurati pogonsku energiju i vodu za potrebe gradilišta u dogovoru s naručiteljem.</t>
    </r>
  </si>
  <si>
    <r>
      <rPr>
        <i/>
        <u/>
        <sz val="10"/>
        <rFont val="Arial"/>
        <family val="2"/>
      </rPr>
      <t>Organizacija gradilišta</t>
    </r>
    <r>
      <rPr>
        <i/>
        <sz val="10"/>
        <rFont val="Arial"/>
        <family val="2"/>
        <charset val="238"/>
      </rPr>
      <t xml:space="preserve">
Organizaciju gradilišta sa shemom transporta i energetskih priključaka treba dati na uvid i odobrenje naručitelju.</t>
    </r>
  </si>
  <si>
    <r>
      <rPr>
        <i/>
        <u/>
        <sz val="10"/>
        <rFont val="Arial"/>
        <family val="2"/>
      </rPr>
      <t>Osiguranje građevine</t>
    </r>
    <r>
      <rPr>
        <i/>
        <sz val="10"/>
        <rFont val="Arial"/>
        <family val="2"/>
        <charset val="238"/>
      </rPr>
      <t xml:space="preserve">
Prije početka izvođenja radova izvođač je dužan osigurati objekt kod OZ-a i prijaviti ga nadležnoj građevinskoj inspekciji i inspekciji zaštite na radu te o tome dati Naručitelju pismeni dokaz.</t>
    </r>
  </si>
  <si>
    <r>
      <rPr>
        <i/>
        <u/>
        <sz val="10"/>
        <rFont val="Arial"/>
        <family val="2"/>
      </rPr>
      <t>Tehnička zaštita</t>
    </r>
    <r>
      <rPr>
        <i/>
        <sz val="10"/>
        <rFont val="Arial"/>
        <family val="2"/>
        <charset val="238"/>
      </rPr>
      <t xml:space="preserve">
Svi elementi tehničke zaštite, prema važećim propisima ukalkulirani su u cijenu, tj. obuhvaćeni faktorom gradilišta. Radi kontrole provođenja tehničke zaštite, izvođač je dužan pravovremeno prijaviti početak radova nadležnoj inspekciji rada, a o provođenju zaštite treba izraditi poseban elaborat koji mora ovjeriti kod inspekcije rada te jedan primjerak dostaviti naručitelju.</t>
    </r>
  </si>
  <si>
    <r>
      <rPr>
        <i/>
        <u/>
        <sz val="10"/>
        <rFont val="Arial"/>
        <family val="2"/>
      </rPr>
      <t>Čišćenje terena</t>
    </r>
    <r>
      <rPr>
        <i/>
        <sz val="10"/>
        <rFont val="Arial"/>
        <family val="2"/>
        <charset val="238"/>
      </rPr>
      <t xml:space="preserve">
Kontrolu kakvoće obavljati u svemu prema važećoj normi HRN U.E1.010.
Radove izvoditi uz primjenu higijensko-tehničkih zaštitnih mjera, bez nanošenja štete susjednim objektima, posjedima uz trasu i imovini uopće. Rušenjem stabala ne smiju se oštetiti stabla koja nisu predviđena za rušenje.</t>
    </r>
  </si>
  <si>
    <t>POSEBNI NAPUTCI ZA UREĐENJE GRADILIŠTA</t>
  </si>
  <si>
    <t>Prethodne odredbe i odobrenje gradnje</t>
  </si>
  <si>
    <t>Investitor stavlja, sukladno projektnoj dokumentaciji , glavnom izvođaču radova bez naknade privremeno na raspolaganje teren za uređenje gradilišta u potrebnom obimu ili shodno lokalnim uvjetima.</t>
  </si>
  <si>
    <t>Ograničenje troškova</t>
  </si>
  <si>
    <t>Predočenje nacrta uređenja gradilišta plaćeno je u cijenama. To važi i za slučaj da je za razne faze izgradnje potrebno više nacrta. U cijenu treba uračunati i pristojbe u svezi s uređenjem gradilišta.</t>
  </si>
  <si>
    <t>Odstranjivanje otpada</t>
  </si>
  <si>
    <t>Vlastiti preostali materijal i materijal od rušenja treba izvođač besplatno ukloniti. Moraju se poštivati odnosni propisi o zbrinjavanju posebnog otpada. Ukopavanje ili spaljivanje na gradilištu je zabranjeno. Zbrinjavanje otpada, mase od rušenja ili građevinskog otpada obuhvaća ponovno iskorištavanje sukladno propisima odnosno potrebnim mjerama skupljanja, transporta, obrade i skladištenja prema propisima i nalozima organa.</t>
  </si>
  <si>
    <t>Investitor može se zahtijevati dokaz o urednom zbrinjavanju otpada.</t>
  </si>
  <si>
    <t>Opći podaci o izvedbi</t>
  </si>
  <si>
    <t>Na zahtjev treba prije uređenja gradilišta napraviti plan uređenja gradilišta i predočiti Investitoru na odobrenje. Pri tom treba uzeti u obzir da se ne sprečavaju eventualni radovi izmjere, posebice iskolčavanja i provjere granica ulica, puteva i građevine. U nacrtu uređenja treba uzeti u obzir i skladištenje zemljane mase. Površine, skladišne površine, slobodne površine i slično, koje će se koristiti za uređenje gradilišta, trebaju se umetnuti u nacrt uređenja gradilišta s podatkom svrhe korištenja. Uređenje gradilišta na tratini ili humusu nije dopušteno. Prije uređenja gradilišta treba izvođač utvrditi stanje učvršćenja pločnika i kolnika, koji graniče s građevinskom parcelom kao i susjedne površine gradilišta, u prisustvu vlasnika. O tome treba voditi zapisnik i obje ga strane moraju potvrditi. Uređenje gradilišta treba izvršiti tako da se vodovi napajanja i odvođenja za građevinske mjere mogu položiti pravodobno i bez smetnji.</t>
  </si>
  <si>
    <t>Postojeći graničnici (kamenje) i oznake izmjera moraju se osigurati s početkom radova u sklopu uređenja gradilišta do pospremanja uređenja gradilišta. Prije početka radova mora se izvođač informirati o prolazu vodova, kablove itd. (nadzemno i podzemno). Potrebna premještanja mora izvođač pravodobno zatražiti. U slučaju dvojbe dat će izvođač nalogodavcu uputu, po potrebi će se provesti utvrđivanje.</t>
  </si>
  <si>
    <t>Kod micanja uređenja gradilišta treba paziti:
- Investitora treba informirati o namjeravanom micanju uređenja gradilišta ili bitnih dijelova istog
- Dijelove, koji više nisu potrebni, treba brzo maknuti
- Nakon skidanja uređenja gradilišta treba teren, koji je za isto bio korišten odnosno korištene građevinske uređaje i građevine vratiti u prvobitno stanje, ako nije drugačije utanačeno.</t>
  </si>
  <si>
    <t>Posebni zahtjevi za korištenje</t>
  </si>
  <si>
    <t>Izvođač mora postavit zahtjeve kod nadležnih organa za uređenje i uklanjanje postrojenja bez Sudjelovanja nalogodavca. Struja, koju uzimaju druge tvrtke, zaračunat će se njima direktno.</t>
  </si>
  <si>
    <t>0.2.</t>
  </si>
  <si>
    <t>OPĆI UVJETI - RUŠENJE I DEMONTAŽA</t>
  </si>
  <si>
    <t>Ovim troškovnikom obuhvaćeno je rušenje odnosno uklanjanje postojeće opreme i elemenata soba i apartmana kao i u javnim zatvorenim i otvorenim prostorima hotela. Radovima na rušenju i demontažama mora se prići s velikim oprezom, sa svim potrebnim osiguranjima objekta i mjerama zaštite okoliša i štetnog utjecaja na objekt. Sve radove treba izvesti uz obveznu primjenu važećih propisa zaštite na radu za ovu vrstu radova.  Za tu vrstu radova potrebno je imati odgovarajuću strukturu radne snage  za osiguranje podupiranja, izradu zaštitnih ograda, te stalnu kontrolu na mjestima gdje se rušenje i demontaža obavlja kako ne bi došlo do neplaniranog urušavanja te zbog očuvanja svih konstruktivnih elemenata na objektu.</t>
  </si>
  <si>
    <t>Radove izvesti prema slijedećim zakonima i pravilnicima:    
1.  Zakon o zaštiti okoliša  (NN 80/13, 153/13, 78/15, 12/18, 118/18)
2.  Zakon o zaštiti od buke (NN 30/09, 55/13, 153/13, 41/16, 114/18, 14/21)
3.  Zakon o gospodarenju otpadom (NN 84/21, 142/23)
4.  Pravilnik o sadržaju plana zaštite od požara i tehnoloških eksplozija (NN 35/94, 55/94)
5.  Zakon o zaštiti na radu (NN 71/14, 118/14, 154/14 , 94/18, 96/18)
6.  Pravilnik o zaštiti na radu u graditeljstvu (Sl. List 42/68, 45/68, te NN 18/83 i 59/96)
7.  Pravilnik o zaštiti na pri utovaru i istovaru tereta (NN 49/86)
8. Pravilnik o zaštiti na radu pri ručnom prenošenju tereta (42/05)
9.  Pravilnik o sigurnosti i zdravlju pri radu s električnom energijom (59/96, 94/96, 114/03, 100/04, 86/08, 116/08 i 75/09) 
10.  Pravilnik o izradi procjene rizika (NN 112/14, 129/19)</t>
  </si>
  <si>
    <t>Prije početka radova, treba izvesti zaštitu postojećih konstrukcija koji se tijekom radova ne demontiraju ili ruše, i isto uračunati u jediničnu cijenu rada, iako isto nije posebice navedeno u opisu stavke. Zaštita treba biti takva, da je potpuno funkcionalna i zaštićuje duži vremenski period, od početka radova sve do završetka izgradnje. Tijekom radova, izvoditelj je dužan zaštitu održavati u uporabnom stanju i po potrebi obnavljati ili popravljati.    
Ukoliko ipak greškom izvoditelja zbog nekvalitetno izvedene zaštite, neopreza ili prerano skinute zaštite dođe do oštećenja ili uništenja konstrukcije ili dijelova građevine, Izvođač je dužan štetu na svoj trošak sanirati i nadoknaditi investitoru sve troškove u svezi s istim. Radove na popravku ili obnovi treba Izvođač u takvom slučaju naručiti kod poduzeća specijaliziranog i dokazanog na odgovarajućim poslovima, koji su predmet radova. Takvo specijalizirano poduzeće mora prethodno odobriti investitor.</t>
  </si>
  <si>
    <t>Kod rušenja treba paziti da uporabljeni alat nema nepovoljan utjecaj na kostrukciju (udarci, vibracije). Nadzorni inženjer dužan je upozoriti izvoditelja u slučaju uporabe nedozvoljenih alata i zabraniti mu daljnji rad na toj Poziciji, sve dok izvoditelj ne prilagodi alat stanju konstrukcije.    
Demontaže i rušenja će se izvesti ručnim i mehaničkim sredstvima na način da se posljedice rada štetno ne odraze na okruženje.  Izvođač mora u toku razgradnje primjenjivati adekvatne mjere i radove kako bi se okoliš zaštitio od prekomjerne prašine koja se nužno stvara prilikom rada na rušenju pojedinih elemenata građevine. Prije početka rušenja konstruktivnih elemenata izvršiti demontažu svih instalacija, opreme i bravarije. Porušeni materijal treba sukcesivno odvoziti ili reciklirati. Prije početka radova mora se ugrožena zona ograditi ogradom visine min. 2.0 m.</t>
  </si>
  <si>
    <r>
      <rPr>
        <i/>
        <u/>
        <sz val="10"/>
        <rFont val="Arial"/>
        <family val="2"/>
      </rPr>
      <t xml:space="preserve">Zbrinjavanje otpadnog materijala </t>
    </r>
    <r>
      <rPr>
        <i/>
        <sz val="10"/>
        <rFont val="Arial"/>
        <family val="2"/>
        <charset val="238"/>
      </rPr>
      <t xml:space="preserve">
Ukoliko se kod rušenja ustanovi da je neki materijal štetan za okoliš (razne hidroizolacije, kemijske supsatnce i sl.) iste treba izdvojiti od ostalog otpada i na adekvatan način zbrinuti prema važećim propisima. 
Zbrinjavanje tog otpada provodi izvođač.Zbrinjavanje i odvoz otpada izvođač je dužan ukalkulirati u jediničnu cijenu stavki.
Izvođač rušenja mora sve građevinske elemente usitniti na veličine i težine prikladne za utovar i odvoz kamionima. Porušeni materijal treba sukcesivno odvoziti kako bi se omogućio nesmetan tok rušenja. 
Kompletan materijal dobiven demontažom i rušenjem, vlasništvo je investitora i u cijeni svih navedenih stavki uključeno je privremeno odlaganje na gradilištni deponij, te po odobrenju Investitora i nadzornog inženjera, pravilno zbrinjavanje istog i odvoz materijala na gradski deponij.
O zbrijavanju demontirane bravarije,čeličnih konstrukcija i sl. treba odlučiti Investitor, tj. da li će biti naknadno korištena ili prodana kao staro željezo.</t>
    </r>
  </si>
  <si>
    <r>
      <rPr>
        <i/>
        <u/>
        <sz val="10"/>
        <rFont val="Arial"/>
        <family val="2"/>
      </rPr>
      <t>Jedinična cijena obuhvaća:</t>
    </r>
    <r>
      <rPr>
        <i/>
        <sz val="10"/>
        <rFont val="Arial"/>
        <family val="2"/>
        <charset val="238"/>
      </rPr>
      <t xml:space="preserve">
- sve poslove do potpune gotovosti pojedine stavke troškovnika
- sav rad na rušenju i demontaži
- potrebna poduhvatanja i podupiranja, te osiguranje konstruktivnih dijelova
- sve pokretne i lake skele s propisnom ogradom i zaštitom od prašine
- utovar, transport i istovar na privremenu deponiju koju određuje Investitor
- utovar i transport i do  deponije po izboru izvođača uključujući sve komunalne ili slične takse, odnosno troškove
- sortiranje materijala tj. odvajanje šute i drugog otpada predviđenog za odvoz na konačnu deponiju od elemenata i opreme koji bi se mogli nakon čišćenja i sortiranja (koje također ulazi u cijenu), biti korisni investitoru, te mu se trebaju predočiti prije konačne dispozicije.
- prostor za privremeno spremanje demontiranih elemenata
- sva zaštitna sredstva, pomoćne skele i podupore potrebne prilikom rušenja
- pomoćni alati uređaji i strojevi potrebni za postupak pažljivog rušenja građevine
- svi prenosi i prijevozi po gradilištu
- radovi na zaštiti okoliša od zagađenja (polijevanje šute vodom prije transporta, čišćenje radnih površina i održavanje čistoće kod izvođenja radova)
- čišćenje prostora u tijeku radova i nakon završetka svih radova, te otpremu vlastitog otpada i viška materijala     
Sve radove treba izvesti uz obveznu primjenu važećih propisa zaštite na radu za ovu vrstu radova.</t>
    </r>
  </si>
  <si>
    <t>Napomena:</t>
  </si>
  <si>
    <t>Izvođač radova prije formiranja ponude dužan je pregledati i upoznati se sa cjelokupnom postojećom tehničkom dokumentacijom, pregledati lokaciju i upoznati se sa stvarnim stanjem na istoj, kako bi bio što bolje informiran o predmetu ponude. Naknadni troškovi neće se uvažiti.</t>
  </si>
  <si>
    <r>
      <rPr>
        <b/>
        <i/>
        <sz val="10"/>
        <rFont val="Arial"/>
        <family val="2"/>
      </rPr>
      <t>Demontaža postojeće instalacije (hidroinstalacija, elektroinstalacija, strojarske instalacije) nije predmet ovog troškovnika</t>
    </r>
    <r>
      <rPr>
        <i/>
        <sz val="10"/>
        <rFont val="Arial"/>
        <family val="2"/>
        <charset val="238"/>
      </rPr>
      <t xml:space="preserve">, osim ako u zasebnoj stavci nije drugačije navedeno. Stoga sve radove rušenja i demontaže izvoditi na način da se iste ne oštete. </t>
    </r>
  </si>
  <si>
    <t>Svu demontiranu i uklonjenu opremu i namještaj skladištiti u prostoru predviđenom od strane Investitora, osim ako Investitor drugačije ne navede, u tom slučaju odvozi se na gradski deponij. (Utovar, istovar, horizontalni i vertikalni transport te odvoz uračnati u cijenu stavke).</t>
  </si>
  <si>
    <t>0.3.</t>
  </si>
  <si>
    <t>OPĆI UVJETI - ZEMLJANI RADOVI</t>
  </si>
  <si>
    <t>Prije početka radova geodetski snimiti teren i u prisutnosti nadzornog inženjera odrediti relativnu visinsku kotu ±00, iskolčiti zgradu (objekt) te provjeriti da li trase postojećih instalacionih vodova na gradilištu i u blizini kolidiraju sa iskopom ili radnim prostorom potrebne mehanizacije.</t>
  </si>
  <si>
    <t>Prije početka zemljanih radova, teren treba očistiti od šiblja i korova ili stabala do 10 cm promjera (ukoliko to smeta postavljanju objekta ili organizaciji gradilišta). Ovi radovi kao i radovi oko razmjeravanja terena i obilježavanja zgrade uračunati su u jedinične cijene.</t>
  </si>
  <si>
    <t>Dužnost je izvođača da utvrdi pravi sastav tla, odnosno njegovu kategoriju i ukoliko odstupa od Geotehničkog elaborata i/ili projekta konstrukcije, obavijesti projektanta i nadzornog inženjera.</t>
  </si>
  <si>
    <t>Ukoliko se prilikom iskopa pojave podzemni vodotoci ili se razina vode podigne iznad utvrđenih visina prema podacima u geomehaničkom izvještaju, crpljenje vode kod takvih izvanrednih stanja dužan je izvesti izvoditelj o svom trošku kao i sve dodatne mjere zaštite i prevencija da se spriječi pojava vode.</t>
  </si>
  <si>
    <t>Planiranje dna širokog iskopa i iskopa za postavljanje drenažnih cijevi izvesti sa točnošću od ±3 cm, što je uključeno u jediničnu cijenu.</t>
  </si>
  <si>
    <t>Primanje iskopa vrši se u prisustvu nadzornog inžinjera. Iskop na određenu dubinu vršiti sukladno projektnoj dokumentaciji, u konkretnom slučaju do dna postojećeg temelja. Dno iskopa  mora se nalaziti na nosivom tlu bez obzira na projektiranu dubinu. Eventualno potrebni dodatni iskopi platiti će se prema stvarnim količinama. IZVOĐAČ JE DUŽAN OSIGURATI  PREGLED ISKOPA OD STRANE OVLAŠTENOG GEOMEHANIČARA</t>
  </si>
  <si>
    <t>Ukoliko izvođač prilikom iskopa zemlje naiđe na bilo kakve predmete, objekte ili instalacije, dužan je na tom mjestu obustaviti radove  i o tome obavijestiti investitora i nadzornog inžinjera.Naknadni troškovi se neće priznati.Predviđeno u pripremnim radovima.</t>
  </si>
  <si>
    <t>Iskopani materijale odvozi na privremenu deponiju određenu od strane izvođača, te će se naknadno koristiti prilikom zatrpavanja zidova objekta, a razlika će biti udeponirana na deponij po izboru izvođača.</t>
  </si>
  <si>
    <t>Podupiranja, razupiranja i zaštita iskopa od oborinskih voda prekrivanjem PVC folijama i izvedbom površinske odvodnje kanalima i muljnim crpkama, obuhvaćena su jediničnim cijenama, a izvode se prema geomehaničkom elaboratu i projektu zaštite građevinske jame.</t>
  </si>
  <si>
    <t>Potrebna građa za podupiranje mora biti pripremljena na gradilištu prije početka iskopa.</t>
  </si>
  <si>
    <t>Ako se iskopane jame oštete, odrone ili zatrpaju nepažnjom ili uslijed nedovoljnog podupiranja, izvođač ih dovodi u ispravno stanje, bez posebne naknade.</t>
  </si>
  <si>
    <t>Ukoliko je izvođač otkopao ispod projektom predviđene temeljne ravnine obavezan je bez naknade popuniti tako nastale šupljine betonom C 12/15, do projektirane kote.</t>
  </si>
  <si>
    <t>Količine iskopa, transporta i nasipa zemlje obračunavaju se prema sraslom stanju tla. Ukoliko troškovničkom stavkom nije drugačije navedeno odvoz zemlje uključuje transport na gradsku planirku.</t>
  </si>
  <si>
    <t>Jedinične cijene za pojedine stavke trebaju sadržavati:</t>
  </si>
  <si>
    <t>a) sav rad za iskop (ručni ili mehanički)</t>
  </si>
  <si>
    <t>b) potrebne razupore, podupore (osiguranje od urušavanja)</t>
  </si>
  <si>
    <t>c) postava potrebne ograde i mostova za prebacivanje</t>
  </si>
  <si>
    <t>d) sva potrebna planiranja i niveliranje</t>
  </si>
  <si>
    <t>e) sva potrebna nabijanja površina</t>
  </si>
  <si>
    <t>f) crpljenje površinske ili procjedne vode</t>
  </si>
  <si>
    <t>Obračun zemljanih radova:</t>
  </si>
  <si>
    <t>Obračun radova kod čišćenja terena obračunava se po m2, odnosno komadima kada je riječ o stablima, dok se odstranjivanje ostalih prepreka obično uzima paušalno.</t>
  </si>
  <si>
    <t>Obračun iskopanog materijala kod iskopa ili otkopa uzima se po m3u sraslom stanju, tj. prema volumenu u kojem se nalazilo prije kopanja i prema dimenzijama iz projekta.</t>
  </si>
  <si>
    <t>Obračun materijala u nasipu uzima se prema volumenu izrađenog nasipa.</t>
  </si>
  <si>
    <t>Za sve stavke obuhvaćene troškovnikom zemljanih radova u jediničnu cijenu potrebno je uračunati sve horizontalne i vertikalne transporte, te utovar u vozilo, dok je odvoz suvišne zemlje od širokog iskopa i ostalih iskopa na deponiju izvođača obuhvaćen posebnom stavkom.</t>
  </si>
  <si>
    <t>Jedinične cijene iz ponudbenog troškovnika formirane su sa svim troškovima pripremno završnih radova, održavanjem prometnica čistima, izradom nanosne skele, visinskim snimanjem postojećeg terena, uklanjanjem svih podzemnih građevina i potrebnim demontažama. Iskop terena neovisan je o kategoriji zemljišta.</t>
  </si>
  <si>
    <t>0.4.</t>
  </si>
  <si>
    <t>OPĆI UVJETI - ČELIČNE KONSTRUKCIJE/BRAVARSKI RADOVI</t>
  </si>
  <si>
    <t>Svi radovi moraju biti izrađeni u skladu sa zahtjevima važećih standarda i u skladu sa uzancama zanata u građevinarstvu, te prema Pravilniku o tehničkim mjerama i uvjetima za završne radove u zgradarstvu, Službeni list 49/70 i prema podacima iz projekta.</t>
  </si>
  <si>
    <r>
      <rPr>
        <i/>
        <u/>
        <sz val="10"/>
        <rFont val="Arial"/>
        <family val="2"/>
      </rPr>
      <t>Bravarski radovi</t>
    </r>
    <r>
      <rPr>
        <i/>
        <sz val="10"/>
        <rFont val="Arial"/>
        <family val="2"/>
        <charset val="238"/>
      </rPr>
      <t xml:space="preserve">
Svi bravarski radovi i čelične konstrukcije moraju se izvesti prema nacrtima, opisu troškovnika i uputama projektanta ili nadzornog inženjera.
</t>
    </r>
  </si>
  <si>
    <t>Vlastita konstruktivna rješenja i posebnost načina ugradnje, opšavni profili i predloženi okov prije ugovaranja ponuđač će usuglasiti sa zahtjevima projektanta.</t>
  </si>
  <si>
    <t>Izvođač je dužan uzeti na gradilištu sve mjere otvora u koje se treba ugraditi bravarija te nakon toga pristupiti izradi iste.</t>
  </si>
  <si>
    <t>Prije početka izrade obavezno se moraju uskladiti mjere i količine na objektu s onima u projektima.</t>
  </si>
  <si>
    <t>Ako je pojedinom stavkom traženo, izvođač treba ponuditi kompletnu cijenu proizvoda, tj. kompletnu izvedbu bravarije, ličenje, ustakljenje te drvene ili druge ispune ako je isto u dotičnoj poziciji traženo.</t>
  </si>
  <si>
    <t>U tom slučaju izvođač bravarskih radova treba biti u kooperaciji sa izvođačem ličilačkih, stolarskih, staklorezačkih i sl. radova a on je pred investitorom nosilac posla i odgovoran za kvalitet ukupnog rada. Sastavni dio bravarskih radova u tom slučaju su uvjeti staklorezačkih, stolarskih i ličilačkih radova.</t>
  </si>
  <si>
    <r>
      <rPr>
        <i/>
        <u/>
        <sz val="10"/>
        <rFont val="Arial"/>
        <family val="2"/>
      </rPr>
      <t>Materijal</t>
    </r>
    <r>
      <rPr>
        <i/>
        <sz val="10"/>
        <rFont val="Arial"/>
        <family val="2"/>
        <charset val="238"/>
      </rPr>
      <t xml:space="preserve">
Sav materijal koji se upotrebljava za izradu bravarskih radova mora odgovarati važećim standardima.</t>
    </r>
  </si>
  <si>
    <t>kvadratno željezo                                                      HRN C.B4.024</t>
  </si>
  <si>
    <t>plosno željezo                                                          HRN C.B4.025</t>
  </si>
  <si>
    <t>okruglo željezo                                                         HRN C.G6.020</t>
  </si>
  <si>
    <t>profilno željezo                                                         HRN C.B0.500</t>
  </si>
  <si>
    <t>čelični limovi                                                            HRN C.B4.110, 111, 112</t>
  </si>
  <si>
    <t>rebrasti limovi od aluminija                                        HRN C.C4.060</t>
  </si>
  <si>
    <t>profili od aluminija                                                    HRN C.C3.020</t>
  </si>
  <si>
    <t>okov za vrata I prozore                                             HRN M.K3.032</t>
  </si>
  <si>
    <t>ispitivanje vratiju prema standardnom razvoju požara   HRN U.J1.160</t>
  </si>
  <si>
    <t>Površinska obrada</t>
  </si>
  <si>
    <t>Antikorozivna zaštita čeličnih dijelova mora biti u skladu sa važećim propisima Pravilnika o tehničkim mjerama i uvjetima za zaštitu čeličnih konstrukcija od korozije. Kompletna površinska obrada svih materijala mora biti u skladu sa važećim propisima i uputama proizvođača primjenjenog materijala (sredstva), a prema zahtjevu projektanta. Sva bravarija mora prije otpreme na gradilište biti pjeskarena i ličena pravim temeljnim slojem, ili pocinčana ukoliko je tako u stavci definirano.</t>
  </si>
  <si>
    <t>Izrada</t>
  </si>
  <si>
    <t>Izvoditelj je obavezan po sklapanju ugovora a prije početka proizvodnje, dostaviti naručitelju izvedbene i radioničke nacrte i detalje, da zajedno s projektantom i investitorom izvrši pregled istih i njihovo usklađivanje sa ostalim građevinskim i građevinsko-obrtničkim  i instalaterskim radovima.</t>
  </si>
  <si>
    <t>Svi definitivno izrađeni izvedbeni nacrti i detalji, predočeni uzorci okova odnosno predočeni prospekti tipiziranih elemenata moraju biti potpisani od strane projektanta i investitora.</t>
  </si>
  <si>
    <t>Sav okov treba biti kvalitetne izvedbe i sa detaljima bravarije predočen nadzornom inženjeru i projektantu na odobrenje a sadržan je u cijeni.</t>
  </si>
  <si>
    <t>Željezni dijelovi spajaju se varenjem. Kod spajanja vijcima svaki sastav mora biti tako konstruktivno riješen da na vanjskim površinama nema vidljivih vijaka.Spojevi se ne obračunavaju posebno,već su ukalkulirani u jediničnu cijenu.</t>
  </si>
  <si>
    <t>Kod prozorski i sl. profila specijalni umeci od tvrdog PVC materijala moraju osigurati  kvalitetu i čisti sastav dvaju profila. Sva vanjska bravarija mora biti brtvena protiv prodora kiše i prašine.</t>
  </si>
  <si>
    <t>Svi tehnički i fizikalni zahtjevi trebaju biti ispunjeni prema propisima ili prema posebnim traženjima projektanta. Konstrukcija mora biti dimenzionirana tako da sigurno prihvaća opterećenja i funkcije elemenata. Sve nosive dijelove statički provjeriti. Prije početka izrade obavezno se moraju uskladiti mjere i količine na objektu.</t>
  </si>
  <si>
    <t>Atesti</t>
  </si>
  <si>
    <t>Za sve radove predviđene troškovnikom izvoditelj je dužan pribaviti ateste od odgovarajućih instituta, za kvalitetu materijala, površinske obrade, ispravnost po izvoditelju predloženih detalja kao i antikorozivne zaštite.</t>
  </si>
  <si>
    <t>Obračun</t>
  </si>
  <si>
    <t>Obračun izvedenih radova vrši se prema “Prosječnim normama u građevinarstvu”.</t>
  </si>
  <si>
    <t>Nadzorni inženjer upisom u dnevnik dozvoljava početak radova.</t>
  </si>
  <si>
    <t>Obračun po kg ugađenog čelika bez dodatka na zavar i spojni pripor, isto je potrebno ukalkulirati u jediničnu cijenu prilikom nuđenja.</t>
  </si>
  <si>
    <t>Jedinična cijena treba sadržavati:</t>
  </si>
  <si>
    <t>a) sav materijal, dobavu, izradu i dopremu alata, mehanizaciju i uskladištenje
b) sav spojni materijal, varovi i obrada varova
c) uzimanje svih potrebnih izmjera na objektu
d) izrada radioničkih nacrta i detalja
e) troškove radne snage za kompletan rad opisan u troškovniku
f) dvokratni osnovni premaz prema uvjetima antikorozivne zaštite u radioni, te kompletnu zaštitu sa završnom obradom ličenjem, ako je to u stavci određeno, plastificiranjem ili eloksiranjem aluminijskih profila
g) sve horizontalne i vertikalne transporte do mjesta montaže
h) potrebnu radnu skelu (ukoliko ima potrebe za istom, uz napomenu da se ovdje izuzima fasadne skela jer že ona biti zasebna stavka ovog dokumenta kako je ranije navedeno u općim uvjetima)
i) čišćenje nakon završetka radova, uključiti odvoz otpadnog materijala na gradski deponij
j) svu štetu kao i troškove popravka kao posljedica nepažnje u toku izvedbe (snosi Izvoditelj)
k) sve troškove zaštite na radu
l) sve troškove atesta</t>
  </si>
  <si>
    <t>0.5.</t>
  </si>
  <si>
    <t>OPĆI UVJETI - IZOLATERSKI RADOVI</t>
  </si>
  <si>
    <t>a) HIDROIZOLACIJE</t>
  </si>
  <si>
    <t>Ovi radovi obuhvaćaju hidroizolaciju i toplinsku izolaciju podova, zidova i krova. Ostale izolacije obuhvaćene su u pokrivačkim, limarskim i drugim zanatskim radovima.</t>
  </si>
  <si>
    <t>IZVEDBA
Pažljivo izvesti savijanje traka i preklope prema uputama proizvođača, uz upotrebu tipskih prefabriciranih elemenata za složene spojeve (uglove, bridove, vodolovna grla, prodore i slično), jer će sve manjkavosti i štete nastale lošom izvedbom izolacije snositi izvođač.
Podloga mora biti očišćena od prašine, mora biti ravna i potpuno suha. Max. vlažnost podloge je 4% površinski. Parna brana se može polagati samo po suhom vremenu. Za parnu branu primjenjuju se folije kompatibilne s odabranim izolacijskim sustavom, a u skladu s uputama proizvođača sustava.
Slojevi izolacije polažu se samo na posve suhu i očišćenu podlogu kod temperature koju definira proizvođač i materijal odabrenog izolacijskog sistema. Izolacijske trake moraju prilegnuti na podlogu ravno cijelom površinom, bez nabora i mjehura. 
Posebnu pažnju obratiti na zaštitu od požara kod rada s vrućim bitumenskim premazima i varenim ljepenkama zbog velike zapaljivosti bitumena.
U slučaju požara gasiti pijeskom ili pjenom. Gašenje vodom je opasno zbog prskanja vrelog bitumena.</t>
  </si>
  <si>
    <t>Pažljivo izvesti savijanje traka i preklope prema uputama proizvođača, uz upotrebu tipskih prefabriciranih elemenata za složene spojeve (uglove, bridove, vodolovna grla, prodore i slično), jer će sve manjkavosti i štete nastale lošom izvedbom izolacije snositi izvođač.
Podloga mora biti očišćena od prašine, mora biti ravna i potpuno suha. Max. vlažnost podloge je 4% površinski. Parna brana se može polagati samo po suhom vremenu. Za parnu branu primjenjuju se folije kompatibilne s odabranim izolacijskim sustavom, a u skladu s uputama proizvođača sustava.
Slojevi izolacije polažu se samo na posve suhu i očišćenu podlogu kod temperature koju definira proizvođač i materijal odabrenog izolacijskog sistema. Izolacijske trake moraju prilegnuti na podlogu ravno cijelom površinom, bez nabora i mjehura. 
Posebnu pažnju obratiti na zaštitu od požara kod rada s vrućim bitumenskim premazima i varenim ljepenkama zbog velike zapaljivosti bitumena.
U slučaju požara gasiti pijeskom ili pjenom. Gašenje vodom je opasno zbog prskanja vrelog bitumena.</t>
  </si>
  <si>
    <t>Sve hidroizolaterske radove treba izvesti solidno i stručno prema važećim propisima i pravilima dobrog zanata.</t>
  </si>
  <si>
    <t>Hidroizolacije na bazi bitumena izvode se kao premazi i kao premazi sa izolacionim trakama (ljepenkama).</t>
  </si>
  <si>
    <t>Izolacionu ljepenku i ostale vrste izolacionih traka i ploča treba rezati ravno i pravokutno. Zaderani i krpani komadi isključeni su od ugradbe. Svi preklopi moraju biti najmanje 10 cm široki i ljepljeni bitumenom - hladnom bitumenskom masom ili vrućom bitumenskom izolacionom masom.  Kod polaganja dvaju ili više slojeva izolacionih traka ili ploča preklopi ne smiju ležati jedan na drugom, već moraju biti pomaknuti.</t>
  </si>
  <si>
    <t>Podloga za hidroizolaciju mora biti suha i čvrsta, ravna i bez šupljina na površini, te očišćena od prašine i raznih nečistoća. Svi spojevi izvedeni su potrebnim preklopima min. 10 cm, pažljivo izvesti savijanje, jer će sve manjkavosti i štete nastale lošom izvedbom izolacije snositi izvođač.</t>
  </si>
  <si>
    <t>Spoj horizontalne i vertikalne izolacije izvoditi sa bubrećim kitovima, nakon izvedbe oba premaza.</t>
  </si>
  <si>
    <t>Izolacija treba prilegnuti na podlogu ravno cijelom površinom, bez nabora i mjehura.</t>
  </si>
  <si>
    <t>Posebnu pažnju obratiti na zaštitu od požara kod rada sa vrućim bitumenskim premazima i varenim ljepenkama zbog velike zapaljivosti bitumena.</t>
  </si>
  <si>
    <t>U slučaju požara gasiti pijeskom ili pjenom. Gašenje vodom je opasno zbog prskanja vrelog bitumena.</t>
  </si>
  <si>
    <t>Hidroizolacije na bazi penetrirajućih premaza (silikatne osnove) se nanose neposredno nakon vezanja betona, odnosno nakon skidanja oplate. Vlažnost i kiselost betonske podloge treba izvođač provjeriti i uskladiti recepturu premaza sa kvalitetom podloge.</t>
  </si>
  <si>
    <t>Onečišćene podloge (zemlja, ulje i sl.) čistiti mehanički i vodom te  sredstvima koja propisuje i dozvoljava proizvođač premaza. Broj i način nanošenja premaza prema uputstvu proizvođača.</t>
  </si>
  <si>
    <t>Ukoliko se tijekom ispitivanja vodonepropusnosti ("vodene probe") ili naknadno ustanovi tj. pojavi voda i/ili vlaga zbog nesolidne izvedbe, potrebno je detaljno pregledati površinu cijelog krova te ustanoviti oštećenja hidroizolacije i eventualno slojeva toplinske izolacije i parne brane, i popraviti ih u skladu s uputama izolacijskog sustava na trošak izvođača. 
Izvođač mora, u tom slučaju, o svom trošku izvesti popravak pojedinih građevinskih i obrtničkih radova, koji se prilikom ponovne izvedbe oštete ili moraju demontirati.</t>
  </si>
  <si>
    <t>Kod višeslojnih izolacijskih sustava krovova posebnu pažnju obratiti na dinamiku izvođenja radova u skladu s vremenskim uvjetima. 
Sloj toplinske izolacije između parne brane i hidroizolacije mora biti apsolutno suh u svim fazama izvedbe. 
Ukoliko tijekom izvedbe slojeva krova ili pri ispitivanju vodonepropusnosti dođe do vlaženja slojeva toplinske izolacije ispod hidroizolacije, neovisno o uzroku vlaženja potrebno je podignuti sloj hidroizolacije te prosušiti sve podložne slojeve, kao i betonsku konstrukciju ispod parne brane do postotka vlažnosti propisanog od strane proizvođača sustava. 
Sve ploče toplinske izolacije na kojima se tada utvrde oštećenja nastala kao posljedica utjecaja vlage potrebno je odstraniti i u cjelosti zamjeniti neoštećenim suhim pločama.</t>
  </si>
  <si>
    <t>Sav materijal za izolaciju treba biti prvorazredne kvalitete, te odgovarati postojećim propisima i standardima HRN-i.</t>
  </si>
  <si>
    <t>Tehnički propis o građevnim proizvodima -bitumen i bitumenska veziva</t>
  </si>
  <si>
    <t>HRN EN 12591:2009</t>
  </si>
  <si>
    <t>HRN EN 13305:2009</t>
  </si>
  <si>
    <t>HRN EN 13924:2007</t>
  </si>
  <si>
    <t>Tehnički propis o građevnim proizvodima -savitljive hidroizolacijske trake</t>
  </si>
  <si>
    <t>HRN EN 13707:2005</t>
  </si>
  <si>
    <t>HRN EN 13707:2005/A1:2008</t>
  </si>
  <si>
    <t>HRN EN 13859-1:2008</t>
  </si>
  <si>
    <t>HRN EN 13859-2:2008</t>
  </si>
  <si>
    <t>HRN EN 13956:2005</t>
  </si>
  <si>
    <t>HRN EN 13956:2005/Ispr.1:2008</t>
  </si>
  <si>
    <t>HRN EN 13967:2005</t>
  </si>
  <si>
    <t>HRN EN 13967:2005/A1:2008</t>
  </si>
  <si>
    <t>HRN EN 13969:2005</t>
  </si>
  <si>
    <t>HRN EN 13969:2005/A1:2008</t>
  </si>
  <si>
    <t>HRN EN 13984:2005</t>
  </si>
  <si>
    <t>HRN EN 13984:2005/A1:2008</t>
  </si>
  <si>
    <t>HRN EN ISO 1182:2002</t>
  </si>
  <si>
    <t>HRN EN ISO 1716:2002</t>
  </si>
  <si>
    <t>Sintetičke hidroizolacije</t>
  </si>
  <si>
    <t>Poliesterom pojacana, višeslojna sinteticka krovna membrana bazirana na polivinil kloridu (PVC);TPO</t>
  </si>
  <si>
    <t>HRN EN 13956</t>
  </si>
  <si>
    <t>HRN  EN ISO 527-1</t>
  </si>
  <si>
    <t>HRN U.M³.240 hladni premaz</t>
  </si>
  <si>
    <t>HRN U.M³.224, 244 vrući premaz</t>
  </si>
  <si>
    <t>HRN U.M³.232, 221, 226 ljepenka</t>
  </si>
  <si>
    <t>HRN A.3.026, 027 bitumenizirana juta</t>
  </si>
  <si>
    <t>Ukoliko je opis neke stavke izvođaču nejasan, potrebno je pravovremeno, prije predaje ponude, tražiti objašnjenje od provoditelja natječaja. Eventualne izmjene materijala, te način izvedbe tijekom gradnje moraju se ishoditi isključivo pismenim dogovorom s projektantom i nadzornom službom. Sve ostale radnje, koje neće biti na taj način utvrđene, neće se priznati u obračunu.
Ukoliko se stavkom troškovnika traži materijal koji nije obuhvaćen propisima, treba se u svemu izvesti prema uputama proizvođača, te garancijom i atestima za to ovlaštenih ustanova (IGH, Cemtra, ZIK, sl.).
Prije početka radova izvođač mora ustanoviti kvalitetu podloge na koju se izvodi izolacija i ako nije pogodna za rad mora o tome, na osnovu relevantnih dokaza, pismeno izvjestiti nadzornog inženjera kako bi se podloga na vrijeme popravila i pripremila za izvođenje izolacije.
Podloga za hidroizolaciju mora biti:
- homogena,
- suha i čvrsta,
- ravna i bez šupljina na površini
- bez ulja i masti, prašine, rastresitih ili nevezanih čestica
- izvedena u projektiranim padovima.
Onečišćene podloge (zemlja, ulje i sl.) čistiti mehanički i vodom te sredstvima koja propisuje i dozvoljava proizvođač izolacijskog sustava.</t>
  </si>
  <si>
    <t>Ukoliko se naknadno ustanovi tj. pojavi vlaga zbog nesolidne izvedbe, ne dozvoljava se krpanje, već se mora ponovno izvesti izolacija cijele površine na trošak izvođača. Izvođač mora u tom slučaju o svom trošku izvesti i popravak pojedinih građevinskih i obrtničkih radova, koji se prilikom ponovne izvedbe oštete ili moraju demontirati.</t>
  </si>
  <si>
    <t>Obračun se vrši prema postojećim normama GN 301,5.</t>
  </si>
  <si>
    <t>JEDINIČNA CIJENA
Dodatno, u jediničnu cijenu svake stavke treba biti ukalkulirano:
. uzimanje mjera na licu mjesta, krojenje i rezanje materijala
. izrada detalja izvedbe (ugradbe) i adekvatne radioničke dokumentacije pridržavajući se uputa proizvođača sustava i uvažavajući klimatske uvjete, te dostava na ovjeru projektantu i nadzoru u dva primjerka.
. izvedba svih opisanih slojeva hidroizolacije, toplinske izolacije kao i završnih slojeva ukoliko je tako specificirano.
. svi preklopi materijala i eventualni otpadni materijal za izvedbu u skladu s pravilima struke
. upotreba prefabriciranih elemenata za složene spojeve (uglove, bridove, vodolovna grla, prodore i slično) u svemu u skladu s odabranim sustavom izolacije.
. sav materijal i rad potreban za sva brtvljenja na mjestima spojeva i završetaka hidroizolacija, svi tipski završni profili
. kod izvođenja radova treba se pridržavati smjernica o primjeni propisanoj od strane proizvođača materijala. Kvaliteta ugrađene hidroizolacije dokazuje se ispitivanjem vodenom probom u trajanju najmanje 48 sati, a predaje upisom u građevinski dnevnik.</t>
  </si>
  <si>
    <t>Dodatno, u jediničnu cijenu svake stavke potrebno je uračunati i sljedeće:
- uzimanje mjera na licu mjesta, krojenje i rezanje materijala,
- izrada detalja izvedbe (ugradnje) i adekvatne radioničke dokumentacije pridržavajući se uputa proizvođača sustava i uvažavajući klimatske uvjete, te dostava na ovjeru projektantu i nadzoru u dva primjerka,
- izvedba svih opisanih slojeva hidroizolacije, toplinske izolacije kao i završnih slojeva ukoliko je tako specificirano,
- svi preklopi materijala i eventualni otpadni materijal za izvedbu u skladu s pravilima struke,
- upotreba prefabriciranih elemenata za složene spojeve (uglove, bridove, vodolovna grla, prodore i slično) u svemu u skladu s odabranim sustavom izolacije,
- sav materijal i rad potreba za sva brtvljenja na mjestima spojeva i završetaka hidroizolacije,
- svi tipski završni profili
- kod izvođenja radova potrebno je pridržavati se smjernica o primjeni propisanoj od strane proizvođača materijala. Kvaliteta ugrađene hidroizolacije dokazuje se ispitivanjem vodenom probom u trajanju najmanje 48 sati, a predaje upisom u građevinski dnevnik</t>
  </si>
  <si>
    <t>Obračun po m2 uključivo sve tipske prefabricirane komade izolacije (spojevi uglova, bridovi, špicevi, tipski završni profili,kaširane limove) i spajanje na vertikalnu izolaciju opšava zidova.U jediničnu cijenu ukalkulirati izradu dilatacija i brtvljenje oko prodora instalacija,cijevi i sl. na mjestima gdje je to potrebno.OBRAČUN ISKLJUČIVO PO TLOCRTNOJ POVRŠINI  IZVEDENE HIDROIZOLACIJE.</t>
  </si>
  <si>
    <t>Ovi opći uvjeti mijenjaju se ili nadopunjuju opisom pojedine stavke troškovnika.</t>
  </si>
  <si>
    <t>Prije montaže na gradilištu, izvođač je dužan izgraditi razradu detalja izrade (ugradbe) pridržavajući se pravila dobrog zanata i uvažavajući klimatske uvjete, te dati ih na ovjeru projektantu i nadzoru.</t>
  </si>
  <si>
    <t>Za atestirane detalje proizvođača nije potrebna suglasnost projektanta. Ovo se ne odnosi na posebne detalje koji su projektom već definirani. Primopredaja radova prema investoru će se izvršiti isključivo nakon pregleda izvedenih radova od strane izvođača, investitora i predstavnika proizvođača hidroizolacija.</t>
  </si>
  <si>
    <t>b) PARNA BRANA</t>
  </si>
  <si>
    <t>Parna brana je visoko vrijedni izolacioni sloj koji se postavlja ispod toplinske izolacije. Prije polaganja parne brane moraju biti izvedena podnožja u uglovima (holkeri), tako da se izolacijske trake ne lome pod pravim kutem, nego se koso postavljaju na vertikalnu plohu. Podloga mora biti očišćena od prašine, mora biti ravna i potpuno suha. Max. vlažnost podloge je 3% mase. Parna brana se može polagati samo po suhu vremenu. Za parnu branu primjenjuju se metalne (aluminijske) folije, a kao sredstvo za ljepljenje bitumen i bitumenska masa u vrućem stanju.</t>
  </si>
  <si>
    <t>c) TERMOIZOLACIJA</t>
  </si>
  <si>
    <t xml:space="preserve">Termoizolacija se izvodi od materijala koji imaju osobine da slabo provode toplinu (proračunom je određena vrijednost toplinske izolacije). Izvode se prema opisu troškovnika, kvalitetno i prema HRN-a, te tehničkim propisima  za toplinsku i zvučnu izolaciju.
</t>
  </si>
  <si>
    <r>
      <t>Obračun radova vrši se po m</t>
    </r>
    <r>
      <rPr>
        <i/>
        <vertAlign val="superscript"/>
        <sz val="10"/>
        <rFont val="Arial"/>
        <family val="2"/>
      </rPr>
      <t>2</t>
    </r>
    <r>
      <rPr>
        <i/>
        <sz val="10"/>
        <rFont val="Arial"/>
        <family val="2"/>
        <charset val="238"/>
      </rPr>
      <t xml:space="preserve"> površine, osim ako nije drugačije navedeno zasebno u stavci.</t>
    </r>
  </si>
  <si>
    <t>0.6.</t>
  </si>
  <si>
    <t>OPĆI UVJETI - ZIDARSKI RADOVI</t>
  </si>
  <si>
    <t>Zidarske radove izvesti u svemu prema projektu, Tehničkom propisu za zidane konstrukcije i troškovniku. Ako koja stavka nije izvođaču jasna, mora prije ponude tražiti objašnjenje od projektanta. Eventualne izmjene materijala, te način izvedbe tokom gradnje mora se izvršiti isključivo pismenim dogovorom s projektantom i nadzornim organom. Sve više radnje koje neće biti na taj način utvrđene, neće se priznati u obračun. Ukoliko se traži stavkom troškovnika materijal koji nije obuhvaćen propisima, ima se u svemu izvesti prema uputama proizviđača, te garancijom i atestima od za to ovlaštenih ustanova (IGH ili sl.).</t>
  </si>
  <si>
    <t>Građevni proizvod proizveden u proizvodnom pogonu (tvornici) izvan gradilišta smije se ugraditi u zidanu konstrukciju ako ispunjava zahtjeve propisane ovim Propisom i ako je za njega izdana isprava o sukladnosti u skladu s odredbama posebnog propisa.</t>
  </si>
  <si>
    <t>Mort, beton, armatura, zidni elementi od prirodnog kamena i predgotovljeno ziđe izrađeni na gradilištu za potrebe toga gradilišta, smiju se ugraditi u zidanu konstrukciju ako je za njih dokazana uporabljivost u skladu s projektom zidane konstrukcije i ovim Propisom.</t>
  </si>
  <si>
    <t>Specificirana svojstva, dokazivanje uporabljivosti, potvrđivanje sukladnosti, označavanje građevnih proizvoda, ispitivanje građevnih proizvoda, posebnosti pri projektiranju i građenju građevina koje sadrže zidanu konstrukciju te potrebni kontrolni postupci kao i drugi zahtjevi koje moraju ispunjavati građevni proizvodi određeni su u prilozima Tehničkog propisa za zidane konstrukcije.</t>
  </si>
  <si>
    <t>Tehnička svojstva zidnog elementa moraju ispunjavati opće i posebne zahtjeve bitne za krajnju namjenu zidnog elementa i moraju biti specificirana prema normama niza HRN EN 771, normama na koje taj niz upućuje i odredbama ovoga Priloga.</t>
  </si>
  <si>
    <r>
      <rPr>
        <i/>
        <u/>
        <sz val="10"/>
        <rFont val="Arial"/>
        <family val="2"/>
      </rPr>
      <t>Norme za zidne elemente</t>
    </r>
    <r>
      <rPr>
        <i/>
        <sz val="10"/>
        <rFont val="Arial"/>
        <family val="2"/>
        <charset val="238"/>
      </rPr>
      <t xml:space="preserve">
HRN EN 771-1:2005 Specifikacije za zidne elemente – 1. dio: Opečni zidni elementi (EN 771-1:2003+A1:2005)
HRN EN 771-2:2005 Specifikacije za zidne elemente – 2. dio: Vapnenosilikatni zidni elementi (EN 771-2:2003+A1:2005)
HRN EN 771-3:2005 Specifikacije za zidne elemente – 3. dio: Betonski zidni elementi (gusti i lagani agregat) (EN 771-3:2003+A1:2005)
HRN EN 771-4:2004 Specifikacije za zidne elemente – 4. dio: Zidni elementi od porastoga betona (EN 771-4:2003)
HRN EN 771-4/A1:2005 Specifikacije za zidne elemente – 4. dio: Zidni elementi od porastoga betona (EN 771-4:2003/A1:2005)
HRN EN 771-5:2005 Specifikacije za zidne elemente – 5. dio: Zidni elementi od umjetnoga kamena (EN 771-5:2003+A1:2005)
HRN EN 771-6:2006 Specifikacije za zidne elemente – 6. dio: Zidni elementi od prirodnoga kamena (EN 771-6:2005)
HRN EN 12859:2002 Gipsani blokovi – Definicije, zahtjevi i ispitne metode (EN 12859:2001)</t>
    </r>
  </si>
  <si>
    <r>
      <rPr>
        <i/>
        <u/>
        <sz val="10"/>
        <rFont val="Arial"/>
        <family val="2"/>
      </rPr>
      <t>Norme za mort</t>
    </r>
    <r>
      <rPr>
        <i/>
        <sz val="10"/>
        <rFont val="Arial"/>
        <family val="2"/>
        <charset val="238"/>
      </rPr>
      <t xml:space="preserve">
HRN EN 998-2:2003 Specifikacije morta za ziđe – 2. dio: Mort za ziđe (EN 998-2:2003)
HRN CEN/TR 15225:2006 Smjernice za tvorničku kontrolu proizvodnje za označavanje oznakom CE (potvrđivanje sukladnosti 2+) za projektirane mortove (CEN/TR 15225:2005)
HRN EN 13501-1:2002 Razredba građevnih proizvoda i građevnih elemenata prema ponašanju u požaru – 1. dio: Razredba prema rezultatima ispitivanja reakcije na požar (EN 13501-1:2002)</t>
    </r>
  </si>
  <si>
    <r>
      <rPr>
        <i/>
        <u/>
        <sz val="10"/>
        <rFont val="Arial"/>
        <family val="2"/>
      </rPr>
      <t>Norme za građevno vapno</t>
    </r>
    <r>
      <rPr>
        <i/>
        <sz val="10"/>
        <rFont val="Arial"/>
        <family val="2"/>
        <charset val="238"/>
      </rPr>
      <t xml:space="preserve">
HRN EN 459-1:2004 Građevno vapno – 1. dio: Definicije, specifikacije i kriteriji sukladnosti (EN 459-1:2001 + AC:2002)
HRN EN 459-3:2004 Građevno vapno – 3. dio: Vrednovanje sukladnosti (EN 459-3:2001 + AC:2002)</t>
    </r>
  </si>
  <si>
    <r>
      <rPr>
        <i/>
        <u/>
        <sz val="10"/>
        <rFont val="Arial"/>
        <family val="2"/>
      </rPr>
      <t>Norme za zidarski cement</t>
    </r>
    <r>
      <rPr>
        <i/>
        <sz val="10"/>
        <rFont val="Arial"/>
        <family val="2"/>
        <charset val="238"/>
      </rPr>
      <t xml:space="preserve">
HRN EN 413-1:2004 Zidarski cement – 1. dio: Sastav, specifikacije i kriteriji sukladnosti (EN 413-1:2004),
HRN EN 197-2:2004 Cement – 2. dio: Vrednovanje sukladnosti
HRN CR 14245:2004 Vodič za primjenu EN 197-2 »Vrednovanje sukladnosti«
HRN EN 13279-1:2006 Veziva i žbuke na osnovi gipsa – 1. dio: Definicije i zahtjevi (EN 13279-1:2005)</t>
    </r>
  </si>
  <si>
    <t>Zidovi</t>
  </si>
  <si>
    <t>Zidati treba u pravilnom vezu, u potpuno horizontalnim redovima debljine 1 cm ispunjenim mortom. Mort mora odgovarati točno omjerima po količinama materijala označenim u poziciji  N 301,1 prosječnih normi, a čvrstoća i kvaliteta mora odgovarati propisima HRN-i. Pijesak mora biti čist bez organskih primjesa. Cement za produžen i cementni mort mora odgovarati propisima HRN-i. Vapno treba biti dobro gašeno i odležano. Ukoliko se radi s hidratiziranim vapnom obavezno se držati upute proizvođača. Pri zidanju ostaviti sve otvore za kanale, instalacije i sl., a prema projektu.</t>
  </si>
  <si>
    <t>Kod zidova debljine do 12 cm iznad vrata uključiti u jediničnu cijenu zida izradu i montažu armirano betonskih montažnih nadvoja. Pri obračunu količine svi otvori se odbijaju po zidarskim mjerama, uključujući armirano betonske nadvoje kod punog zida. Svježe zidove treba zaštititi od utjecaja visoke i niske temperature i atmosferskih nepogoda. Površine kod koji se samo naknadno obrađuju reške (fugiraju) treba pažljivo zidati  sa čistim licem i oštrobridom opekom.</t>
  </si>
  <si>
    <t>Kod izrade dimnjaka i  ventilacionih kanala treba se pridržavati uputstva i prospekata proizvođača montažnih elemenata u pogledu nosivosti, zidanja i termičkih vrijednosti.</t>
  </si>
  <si>
    <t>Žbukanje</t>
  </si>
  <si>
    <t>Žbukanje zidova u pogodno vrijeme i kad su zidovi  i stropovi potpuno suhi. Po velikoj zimi i vrućini treba izbjegavati žbukanje, jer tada može doći do smrzavanja odnosno pucanja uslijed sušenja. Prije žbukanja treba plohe dobro očistiti i navlažiti. Spojnice moraju biti udubljene cca 2 cm od plohe zida. Površine žbuke moraju biti glatke i ravne bez pukotina i visova. Uglovi i završeci oštri, ravni, okomiti, vodoravni ili u pravcu označenim u nacrtima. Sudar žbuka sa svim elementima ugrađenim u zid mora biti potpuno zatvoren i fino obrađen. Ploha žbuke ne smije prekoračiti ravnine ugrađenih okvira (tipskih metalnih uglovnih profila), doprozornika i dovratnika. Svi uglovi  i sudari moraju biti oštro i ravno odrezani i pod ravnim kutem izvedeni, i ojačani tipskim kutnim metalnim profilima.
OBRAČUN SE VRŠI PO m2 STVARNO OŽBUKANE I IZVEDENE POVRŠINE BEZ DODATKA NA OBRADU OKO OTVORA,ŠPALETA, SKUČENOST PROSTORA I SL. isto je nužno ukalkulirati u jediničnu cijenu</t>
  </si>
  <si>
    <t>Razni graditeljski radovi</t>
  </si>
  <si>
    <t>Sve ugradbe izvesti točno po propisima i na mjestu označenom po projektu, a u vezi opisa pojedine stavke. Kod ugradbe doprozornika uključena je ugradba prozorskih klupčica, kutija za eslinger rolete, kutija za opruge kod eslingera, kutija za flos roletu i sl., dakle sve što ide uz doprozornik. Ovo se analogno odnosi i na druge ugradbe.</t>
  </si>
  <si>
    <t>Kod stavaka, gdje je uz ugradbu označena i dobava, istu treba uključiti, a također i eventualnu izradu pojedinih elemenata, koji se izvode na gradilištu i ugrađuju montažno.</t>
  </si>
  <si>
    <t>U cijenu treba uračunati svu zidarsku pripomoć obrtnicima, instalaterima, nošenje izuzetno teških predmeta, pripomoć kod raznih ugradbi, te materijal za ugradbu. NAKNADNI TROŠKOVI NEĆE SE UVAŽITI.</t>
  </si>
  <si>
    <t>Obračun za zidarske radove vrši se prema GN 301.</t>
  </si>
  <si>
    <t>Jedinična cijena zidarskih radova mora sadržavati:</t>
  </si>
  <si>
    <t>- dobavu, dostavu i dopremu svog materijala (uključivo i vezni)
- sav potreban rad, uključivo prijenos, alat i strojeve,
- svu potrebnu skelu bez obzira na visinu i vrstu s prolazima,
- transportne troškove materijala,
- potrebnu oplatu u slučaju zidarskih svodova i sl.
- zaštitu zidova od utjecaja vrućine, hladnoće, atmosferskih nepogoda i sl.
- čišćenje prostorija i zidnih površina po završetku zidanja, žbuke sa odvozom otpada,
- poduzimanje mjera po HTZ i ostalim postojećim propisima</t>
  </si>
  <si>
    <t>Jedinična cijena kod žbukanja odnosno obrade fasade treba sadržavati:</t>
  </si>
  <si>
    <t>- dobavu, dostavu i dopremu svog materijala,
- sav potreban rad, ukključujući i prijenose, alat i strojeve,
- svu potrebnu skelu, bez obzira na vrstu i visinu,
- kvašenje i pačokiranje površine, gdje je to po opisu iznad potrebno,
 - izrada uzoraka fasadne žbuke
- čišćenje prostorija po završenom radu sa odnosom šute
- poduzimanje mjera po HTZ i ostalim postojećim propisima</t>
  </si>
  <si>
    <t>Jedinična cijena za razne graditeljske radove treba sačinjavati:</t>
  </si>
  <si>
    <t>- dobavu, dostavu i dopremu svog materijala (uključujući i sav pomoćni materijal za ugradbe poput morta, ljepenke, skobe itd),
- sav potreban rad, ukključujući i prijenose, alat i strojeve,
- sva potrebna bušenja i dubljenja,
- izrada i postava drvenih podmetača potrebnih za ugradbu,
- svu potrebnu skelu, bez obzira na vrstu i visinu,
- čišćenje prostorija po završenom radu sa odnosom šute
- poduzimanje mjera po HTZ i ostalim postojećim propisima</t>
  </si>
  <si>
    <t>Ugradbu treba vršiti tako, da se ne čini šteta na ostalom dijelu objekta.</t>
  </si>
  <si>
    <t>Ovi opći uvjeti se mijenjaju ili dopunjuju opisom pojedine stavke troškovnika.</t>
  </si>
  <si>
    <t>0.7.</t>
  </si>
  <si>
    <t>OPĆI UVJETI - LIMARSKI RADOVI</t>
  </si>
  <si>
    <t>Sve limarske radove izvesti točno prema opisu u troškovniku, tamo gdje je to projektom predviđeno. Materijali moraju zadovoljavati odgovarajuće propise i standarde:</t>
  </si>
  <si>
    <t>- čelični lim HRN C.B4.011,  017,  030,  110,  113</t>
  </si>
  <si>
    <t>- pocinčani lim HRN C.B4.081, HRN C.E4.020</t>
  </si>
  <si>
    <t>- olovni lim HRN C.E4.040</t>
  </si>
  <si>
    <t>- bakreni lim HRN C.D4.500,  020</t>
  </si>
  <si>
    <t xml:space="preserve">limovi od aluminija ili aluminijskih legura HRN C.C4.020,  025,  030,  050,  051, </t>
  </si>
  <si>
    <t>HRN C.C4.060 - 062,  120,  150</t>
  </si>
  <si>
    <t>Svi ostali materijali, koji nisu obuhvaćeni standardima, moraju imati ateste od za to ovlaštenih organizacija.</t>
  </si>
  <si>
    <t>Ako je opis koje stavke izvođaču nejasan, treba pravovremeno prije predaje ponude tražiti objašnjenje od projektanta. Eventualne izmjene materijala, te način izvedbe tokom gradnje moraju se izvršiti isključivo pismenim dogovorom s projektantom i nadzornim inženjerom. Sve više radnje koje neće biti na taj način utvrđene neće se priznati u obračun.</t>
  </si>
  <si>
    <t>Ispod svih opšava treba položiti sloj krovne ljepenke. Izvođač je prije izrade limarije dužan uzeti sve izmjere u naravi, a također je dužan prije početka montaže ispitati sve dijelove, gdje se imaju izvesti limarski radovi, te na eventualnu neispravnost istih upozoriti nadzornog organa, jer će se u protivnom naknadni popravci izvršiti na račun limarskih radova. Način izvedbe i ugradbe, te obračun u svemu prema postojećim normama za izvođenje završnih radova u građevinarstvu TU-XVII.</t>
  </si>
  <si>
    <t>- uzimanje mjera na gradnji za izvedbu i obračun,
- dopremu, dostavu i ugradnju svog potrebnog materijala (uključivo i pomoćni),
- sav potreban rad na gradnji u radionici,
- poduzimanje mjera po HTZ i drugim postojećim propisima,
- dovođenje plina, struje i vode od priključaka na gradilištu do mjesta upotrebe,
- transport materijala na gradilište, uskladištenje te doprema na mjesto ugradbe,
- zaštita izvedenih radova do primopredaje,
- korištenje skele te kuke, užadi, ljestvi,
- označavanje mjesta za štemanje,
- ugradba u ziđe i sl., obujmica, slivnika i sl.
- dobava i ugradba pakni odnosno ugradba limarije upucavanjem,
- čišćenje i minimiziranje željeznih dijelova,
- dobava i polaganje podložne ljepenke</t>
  </si>
  <si>
    <t>0.8.</t>
  </si>
  <si>
    <t>OPĆI UVJETI - FASADERSKI RADOVI</t>
  </si>
  <si>
    <t>Materijal za izradu skela mora biti potpuno ispravan. Odgovorna osoba dužna je izvršiti pregled materijala prije ugradbe. Skele moraju biti izvedene po mjerama i na način označen u statičkom računu i crtežima za skele. Izvedene skele moraju biti sposobne podnijeti  predviđeno opterećenje, moraju biti stabilne, otporne i ukrućene da se ne bi izvile, povile, prevrnule ili popustile u ma kom pravcu. IZVOĐAČ JE O SVOME TROŠKU DUŽAN NAPRAVITI PROJEKT SKELE SA STATIČKIM PRORAČUNOM, isto ukalkulirati u jediničnu cijenu.</t>
  </si>
  <si>
    <t>Skele moraju biti izvedene tako da se mogu skinuti lako, bez potresa i oštećenja konstrukcije koju podupiru ili uz koju su izvedene.</t>
  </si>
  <si>
    <t>Odgovorna osoba dužna je prije upotrebe, jednom mjesečno u toku upotrebe i nakon dužeg prekida rada izvršiti pregled skele.</t>
  </si>
  <si>
    <t>Izvedba lakih pokretnih skela  uključena je u standardnoj izvedbi ostalih građevinskih radova i ne obračunavaju se posebno. Pod lakim i pokretnim skelama, kao i nepokretnim, te fasadnim konzolnim skelama podrazumjevaju se skele izrađene sa svrhom da podnesu manja opterećenja radnika, alata i manjih količina materijala kod ugradbe i montaže.</t>
  </si>
  <si>
    <t>Pod nosivim skelama podrazumjevaju se skele izrađene sa svrhom da podnesu opterećenja oplate kod betonskih i armirano-betonskih radova, zidanih svodova i sličnih konstrukcija ili radi pridržavanja teških elemenata kod montaže i slično.</t>
  </si>
  <si>
    <t>OPIS RADA</t>
  </si>
  <si>
    <t>Izrada skela s izradom radnih podova, zaštitnih ograda (ako u pojedinim stavkama nije drugačije određeno), sidrenjem, podupiranjem i ukrućenjem skele.</t>
  </si>
  <si>
    <t>Prijenos svega potrebnog materijala (drvene građe, željeznih bešavnih cijevi, spojnih sredstava) od deponija do mjesta izrade skele, skidanje skele sa spuštanjem materijala. Čišćenje materijala, vađenje čavala, prijenos na deponiju i sortiranje.</t>
  </si>
  <si>
    <t>Izvedba svih pripremnih i pomoćnih radova na izradi skele kao: primjena odredaba važećih propisa zaštite na radu, uzimanje mjera na gradilištu, pregled prije ugradbe.</t>
  </si>
  <si>
    <t>Obrada vanjskih zidova zgrade - fasade, vrši se u dva sloja. Prvi osnovni sloj (grund) nabacuje se preko površine koja se obrađuje i ona mora biti čista, određene čvrstoće i dovoljno hrapava da bi se omogućila trajna veza osnovnog sloja za površinu koja se obrađuje, a završni sloj mora biti trajno vezan za grund.</t>
  </si>
  <si>
    <t>Prije nanošenja osnovnog sloja sve eventualne žice (za oplate greda ili stupova) treba odstraniti, kako bi se izbjeglo prenošenje korozije na završni sloj, a samim tim i fleke na fasadi.</t>
  </si>
  <si>
    <t>Sve izvedene površine moraju biti potpuno ravne, vertikalne, gdje je potrebno horizontalne, kose ili oble.</t>
  </si>
  <si>
    <t>Profili ili uglovi moraju biti sa oštrim rubovima, izrađeni točno prema predviđenom obliku.</t>
  </si>
  <si>
    <t>NAČIN OBRAČUNA</t>
  </si>
  <si>
    <r>
      <t>Lake pokretne, lake nepokretne i konzolne skele obračunavaju se po m</t>
    </r>
    <r>
      <rPr>
        <i/>
        <vertAlign val="superscript"/>
        <sz val="10"/>
        <rFont val="Arial"/>
        <family val="2"/>
      </rPr>
      <t>2</t>
    </r>
    <r>
      <rPr>
        <i/>
        <sz val="10"/>
        <rFont val="Arial"/>
        <family val="2"/>
        <charset val="238"/>
      </rPr>
      <t xml:space="preserve"> horizontalne projekcije skele.</t>
    </r>
  </si>
  <si>
    <r>
      <t>Prilaz na skele (trepne) obračunava se po m</t>
    </r>
    <r>
      <rPr>
        <i/>
        <vertAlign val="superscript"/>
        <sz val="10"/>
        <rFont val="Arial"/>
        <family val="2"/>
      </rPr>
      <t>2</t>
    </r>
    <r>
      <rPr>
        <i/>
        <sz val="10"/>
        <rFont val="Arial"/>
        <family val="2"/>
        <charset val="238"/>
      </rPr>
      <t xml:space="preserve"> mjereno po visini.</t>
    </r>
  </si>
  <si>
    <r>
      <t>Zaštitne oplate na skelama obračunavaju se po m</t>
    </r>
    <r>
      <rPr>
        <i/>
        <vertAlign val="superscript"/>
        <sz val="10"/>
        <rFont val="Arial"/>
        <family val="2"/>
      </rPr>
      <t>2</t>
    </r>
    <r>
      <rPr>
        <i/>
        <sz val="10"/>
        <rFont val="Arial"/>
        <family val="2"/>
        <charset val="238"/>
      </rPr>
      <t xml:space="preserve"> razvijene površine oplate.</t>
    </r>
  </si>
  <si>
    <r>
      <t>Fasadne skele obračunavaju se po m</t>
    </r>
    <r>
      <rPr>
        <i/>
        <vertAlign val="superscript"/>
        <sz val="10"/>
        <rFont val="Arial"/>
        <family val="2"/>
      </rPr>
      <t>2</t>
    </r>
    <r>
      <rPr>
        <i/>
        <sz val="10"/>
        <rFont val="Arial"/>
        <family val="2"/>
        <charset val="238"/>
      </rPr>
      <t xml:space="preserve"> vertikalne projekcije skele mjereno po vanjskom rubu</t>
    </r>
  </si>
  <si>
    <r>
      <t>Nosive skele obračunavaju se po m</t>
    </r>
    <r>
      <rPr>
        <i/>
        <vertAlign val="superscript"/>
        <sz val="10"/>
        <rFont val="Arial"/>
        <family val="2"/>
      </rPr>
      <t>3</t>
    </r>
    <r>
      <rPr>
        <i/>
        <sz val="10"/>
        <rFont val="Arial"/>
        <family val="2"/>
        <charset val="238"/>
      </rPr>
      <t xml:space="preserve"> zapremnine skele, mjereno po vanjskim konturama skele.</t>
    </r>
  </si>
  <si>
    <t>Zaštitne ograde ukalkulirane u jedinične cijene stavki.</t>
  </si>
  <si>
    <r>
      <t>Obračun fasaderskih radova vrši se po m</t>
    </r>
    <r>
      <rPr>
        <i/>
        <vertAlign val="superscript"/>
        <sz val="10"/>
        <rFont val="Arial"/>
        <family val="2"/>
      </rPr>
      <t>2</t>
    </r>
    <r>
      <rPr>
        <i/>
        <sz val="10"/>
        <rFont val="Arial"/>
        <family val="2"/>
        <charset val="238"/>
      </rPr>
      <t xml:space="preserve"> izvedenenog fasadnog sustava razvijanjem svih istaka, tj. za stvarno uređene površine.</t>
    </r>
  </si>
  <si>
    <t>Otvori oko kojih postoje uložine (špaletne) do 20 cm širine, odbijaju se slijedeći način:</t>
  </si>
  <si>
    <r>
      <t>a) otvori veličine do 3,00 m</t>
    </r>
    <r>
      <rPr>
        <i/>
        <vertAlign val="superscript"/>
        <sz val="10"/>
        <rFont val="Arial"/>
        <family val="2"/>
      </rPr>
      <t>2</t>
    </r>
    <r>
      <rPr>
        <i/>
        <sz val="10"/>
        <rFont val="Arial"/>
        <family val="2"/>
        <charset val="238"/>
      </rPr>
      <t xml:space="preserve"> ne odbijaju se i njihove uložine se ne obračunavaju;
b) kod otvora veličine 3,00-5,00 m</t>
    </r>
    <r>
      <rPr>
        <i/>
        <vertAlign val="superscript"/>
        <sz val="10"/>
        <rFont val="Arial"/>
        <family val="2"/>
      </rPr>
      <t>2</t>
    </r>
    <r>
      <rPr>
        <i/>
        <sz val="10"/>
        <rFont val="Arial"/>
        <family val="2"/>
        <charset val="238"/>
      </rPr>
      <t xml:space="preserve"> odbija se površina preko 3,00 m</t>
    </r>
    <r>
      <rPr>
        <i/>
        <vertAlign val="superscript"/>
        <sz val="10"/>
        <rFont val="Arial"/>
        <family val="2"/>
      </rPr>
      <t>2</t>
    </r>
    <r>
      <rPr>
        <i/>
        <sz val="10"/>
        <rFont val="Arial"/>
        <family val="2"/>
        <charset val="238"/>
      </rPr>
      <t>, a uložine se ne obračunavaju posebno;
c) kod otvora veličine preko 5,00 m</t>
    </r>
    <r>
      <rPr>
        <i/>
        <vertAlign val="superscript"/>
        <sz val="10"/>
        <rFont val="Arial"/>
        <family val="2"/>
      </rPr>
      <t>2</t>
    </r>
    <r>
      <rPr>
        <i/>
        <sz val="10"/>
        <rFont val="Arial"/>
        <family val="2"/>
        <charset val="238"/>
      </rPr>
      <t xml:space="preserve"> odbija se površina preko 3,00 m</t>
    </r>
    <r>
      <rPr>
        <i/>
        <vertAlign val="superscript"/>
        <sz val="10"/>
        <rFont val="Arial"/>
        <family val="2"/>
      </rPr>
      <t>2</t>
    </r>
    <r>
      <rPr>
        <i/>
        <sz val="10"/>
        <rFont val="Arial"/>
        <family val="2"/>
        <charset val="238"/>
      </rPr>
      <t>, a uložine se obračunavaju posebno; ako su uložine šire od 20 cm onda se višak preko 20 cm obračunava posebno po m</t>
    </r>
    <r>
      <rPr>
        <i/>
        <vertAlign val="superscript"/>
        <sz val="10"/>
        <rFont val="Arial"/>
        <family val="2"/>
      </rPr>
      <t>2</t>
    </r>
  </si>
  <si>
    <r>
      <rPr>
        <i/>
        <u/>
        <sz val="10"/>
        <rFont val="Arial"/>
        <family val="2"/>
      </rPr>
      <t xml:space="preserve">NAPOMENA: </t>
    </r>
    <r>
      <rPr>
        <i/>
        <sz val="10"/>
        <rFont val="Arial"/>
        <family val="2"/>
        <charset val="238"/>
      </rPr>
      <t xml:space="preserve"> 
Izvedba svih radova strogo prema uputama proizvođača upotrebljenih materijala, uključivo sve potrebne predradnje, grundiranja podloge i sl. Jediničnim cijenama stavki obuhvatiti sve tipske i ostale profile potrebne za izvedbu (rubovi špaleta uz fasadne otvore ("slijepi okviri"), sokl, uglovi, vodilice, dilatacijski profili, okapnice i sl). Izvedba na način da su profili maksimalno skriveni (nevidljiva izvedba).</t>
    </r>
  </si>
  <si>
    <t>0.9.</t>
  </si>
  <si>
    <t>OPĆI UVJETI - GIPSKARTONSKI RADOVI</t>
  </si>
  <si>
    <t>Svi materijali za spuštene stropove ili pregradne stijene i obloge moraju biti prvoklasni, moraju odgovarati važećim standardima i moraju posjedovati ateste a svi radovi moraju se izvoditi prema uputama proizvođača elemenata od kojih se radovi izvode.</t>
  </si>
  <si>
    <t>Montažni zidovi od gipskartonskih ploča</t>
  </si>
  <si>
    <t>Montažni zidovi sistema tip kao KNAUF se izvode od podkonstrukcije - nosivih CW profila od pocinčanog lima debljine 0,6 mm presjeka 75/100 mm na maksimalnom razmaku  41,7 - 62,5 cm ( ako stavkom nije drugačije naznačeno ) s donjim i gornjim UW-profilom. Između profila se umeće mineralna vuna. Kod spoja sa zidom, stropom ili podom na profile se nanosi brtvena masa. Sve rubne profile na spojevima s podom, stropom i sa zidovima treba učvrstiti odgovarajućim učvrsnim elementima.Sve radove izvoditi sukladno uputama proizvođača i sukladno zadanim sustavima.Ukoliko pojedini dio sustava nije specificiran a nužan je za izvedbu isti se mora izvesti sukladno pravilima struke i bez dodatne naknade.Na manjkavost pojedine stavke proizvođač je dužan upozoriti prilikom ugovaranja,a dodatne naknade se neće uvažiti.</t>
  </si>
  <si>
    <t>Na potkonstrukciju se obostrano pričvršćuju gipskartonske ploče prema opisu u stavci pomoću tzv. vijaka za brzu ugradnju. Spojevi ploča se nakon montaže zapune ispunjačem rešaka i zaglade lopaticom. Spojevi rezanih rubova gipsane ploče obrađuju se uz primjenu papirnate bandažne trake. Vidljive glave vijaka također pregletati. Kod višeslojnog oblaganja spojevi donjih slojeva KNAUF ploča se samo zapunjavaju a spojevi gornjeg sloja se završno obrađuju gletanjem. Nakon obrade spojeva završno čitavu površinu pregletati smjesom za izravnanje što ulazi u stavku.Kod otvora vrata dovratnik izvesti od UA profila kada je visina veća od 2,80 m ili vratno krilo teže od 25 kg , a sve prema uputama proizvođača. Stavkom mora biti definirana ugradnja UA profila van standardnih uputa.
Učvršćenje ploča na potkonstrukciju izvoditi originalnim pripadajućim vijcima za brzu montažu i odgovarajuću vrstu ploče uz obvezno upuštanje glave vijka za cca 2 mm u odnosu na ravninu vidljive plohe obloge zida ili stropa.
Učvrsna sredstva za bočne masivne građevne elemente su tipli s vijcima, a za one građevne elemente koji nisu masivni učvrsna sredstva se određuju prema vrsti podloge.
U području spojeva pregradnih zidova s bočnim građevnim elementima na profile je potrebno nanijeti Knauf brtveni kit ili PE brtvenu traku. Kod očekivanih progiba međukatnih konstrukcija od &gt;10mm, potrebno je izvesti klizne spojeve.
Ukoliko se ploče polažu direktno na plohu koja se oblaže - bez potkonstrukcije - za lijepljenje se smije upotrijebiti samo originalno pripadajuće ljepilo izabranog dobavljača osnovnog materijala uz odgovarajuću impregnaciju površine. 
Fuge između ploča ispunjavaju se također pripadajućim ispunjačem i ojačavaju perforiranom papirnatom trakom za spojnice, a izložene ivice ojačavaju se aluminijskim perforiranim Al profilima. Kod uglova i ivica hodnika i prostora opterećenih velikom frekvencijom prolaza tj. mogućnosti oštećenja potrebno je koristiti Knauf Ultrabull ili Ultrakorner. Kod impregniranih gips-kartonskih ploča treba koristiti impregnirani Uniflott.
Ovješenje tereta na Knauf spuštene stropove-pojedini tereti koji se učvršćuju neposredno za gipsanu ploču ne smiju biti teži od 0.06 kg po rasponu ploče i dužnom metru. Teži predmeti, smatraju se dodatnim teretom i ako nisu uključeni u proračun jediničnih težina spuštenih stropova, trebaju se učvrstiti na međukatnu osnovnu konstrukciju.
Izvođenje ove vrsti radova podrazumijeva angažiranje stručne radne snage i pripadajućeg originalnog alata. 
Jedinična cijena obuhvaća nabavu materijala sa uključenim transportom do gradilišta, skladištenje materijala i manipulaciju materijala na gradilištu, radnu skelu, izvođenje radova, popravku loše izvedenih radova i čišćenje prostora nakon završetka ove vrsti radova kao i nadoknadu svih šteta nastalih izvođenjem gips-kartonskih radova na izvršenim radovima ostalih izvođača. 
Prekidi rada (vrijeme čekanja) koji su posljedica instalacijskih radova ukalkulirani su u jedinične cijene.
Isto tako potrebno je pripraviti HRN ateste za ponuđeni i ugrađeni materijal, a prema Zakonu o gradnji i uzancama za ovu vrstu poslova.</t>
  </si>
  <si>
    <t>Spušteni stropovi od gipskartonskih ploča</t>
  </si>
  <si>
    <t>Spušteni stropovi od gipskartonskih ploča sistema tip kao KNAUF sastoje se od metalne potkonstrukcije - nosivih i montažnih profila i ploča.</t>
  </si>
  <si>
    <t>Podkonstrukcija je izrađena od CD 60/27 profila, tipa D 112, od pocinčanog lima debljine 0,7 mm i posebnih vješača koji se vijcima s tiplima pričvršćuju o stropnu konstrukciju ( anker fix element ili nonius ovjesni element ). Nosivi profili su na razmaku od 75 -100 cm, ovješeni na maksimalnom razmaku od 60 - 90 cm. Na nosive profile dolaze montažni na maksimalnom razmaku od 40-62,5 cm.</t>
  </si>
  <si>
    <t>Kod duljina većih od 10,0 m i znatno suženih stropnih površina potrebno je izvesti dilatacijske spojeve što ulazi u jediničnu cijenu.</t>
  </si>
  <si>
    <t>Spoj sa zidom izvesti UD profilima. Učvrščenje izvesti pogodnim sredstvima ovisno o materijalu zida.</t>
  </si>
  <si>
    <t>Na podkonstrukciju se posebnim samoreznim vijcima u poprečnom smjeru pričvrščuju gipskartonske ploče standardnih dimenzija od 200-300/125 cm.</t>
  </si>
  <si>
    <t>Spojevi ploča ( bez bandažiranja ili s bandažiranjem ) se moraju se obraditi specijalnim zapunjačem prema preporuci proizvođača. Kod dvostrukog oblaganja stropa potrebno je obraditi i spojeve prvog  sloja ploča. Završno kompletnu površinu treba pregletati specijalnom glet masom.</t>
  </si>
  <si>
    <t>Strop mora biti potpuno ravan i ne smiju se vidjeti spojevi ploča. Spoj sa zidom ili s vertikalnim plohama stropa mora biti zapunjen masom za reške.</t>
  </si>
  <si>
    <r>
      <t>Kvaliteta završne obrade spojeva i površine prvog sloja prema kvaliteti Q1, a kvaliteta završne obrade drugog sloja prema kvalitet obrade površine Q2. Razine kvalitete obrade površina zidova i stropova su Q2, jedino u zoni gdje se vrši ličenje kvalitet obrade Q3, a u zoni gdje se postavljaju tapete ide kvaliteta obrade površine je Q4.</t>
    </r>
    <r>
      <rPr>
        <i/>
        <sz val="10"/>
        <rFont val="Arial"/>
        <family val="2"/>
      </rPr>
      <t>U jediničnu cijenu stavke  je uključena izrada otvora za vrata s time da je s obzirom na visinu zida potrebna primjena UA čeličnih profila sa pripadajučim utičnim kutnicima,Također je uključeno u jediničnu cijenu izrezivanje svih potrebnih otvora za instalacije,rasvjetna tijela, utičnice,prekidače i sl.,izrada dilatacija sukladno uputama proizvođača,te dobava i montaža svih potrebnih revizija.Obračun se vrši po m2 izvedenog stropa ili zida,gore navedene revizije i otvori se ne naplaćuju posebno već su ukalkulirane u jediničnu cijenu.</t>
    </r>
  </si>
  <si>
    <r>
      <t>Kod izvedbe konstrukcija od GK  ploča potrebno se držati svih uputa proizvođača, naročito glede uskladištenja ploča i uvjeta temperature i vlažnosti zraka prostora u kojima će se izvoditi spušteni strop ili pregrada (temperatura od 11 do 35</t>
    </r>
    <r>
      <rPr>
        <i/>
        <vertAlign val="superscript"/>
        <sz val="10"/>
        <rFont val="Arial"/>
        <family val="2"/>
        <charset val="238"/>
      </rPr>
      <t>o</t>
    </r>
    <r>
      <rPr>
        <i/>
        <sz val="10"/>
        <rFont val="Arial"/>
        <family val="2"/>
        <charset val="238"/>
      </rPr>
      <t>C i relativna vlažnost do 70 %). Ploče treba svakako zaštititi od kondenzne vlage. Prije izvedbe stropa ploče moraju biti na mjestu ugradnje najmanje 24 sata ranije, da bi se prilagodile mikroklimatskim uvjetima prostora. S polaganjem se može započeti tek kad su završeni svi radovi žbukanja, estriha i sl. te su dovoljno suhi, nakon ugradnje prozora, montaže grijanja i svih instalacija koje dolaze unutar stropa. Ljeti je potrebno osigurati prozračivanje, a zimi za montažu treba biti uključeno grijanje. Ako se nakon montaže iz nekih razloga grijanje treba isključiti, već montirane ploče treba  skinuti i propisno uskladištiti do punog puštanja objekta u funkciju. Montirani strop ili pregradu je potrebno očistiti od eventualnih nečistoća koje su nastale pri izvedbi, ali pri tome treba postupiti po uputstvu proizvođača suhim postupkom ili sa što manje vlage.</t>
    </r>
  </si>
  <si>
    <t>Ako je pri montaži došlo do manjih oštećenja ploča, moguće ih je posebnim kitom otkloniti, ukoliko su ona veća, potrebno je zamjeniti cijelu ploču, što će upisom u građevinski dnevnik odrediti nadzorni inženjer.</t>
  </si>
  <si>
    <t>Za učvrščenje tereta na GK konstrukcije treba primjeniti specijalna pričvrsna sredstva te se pridržavati uputa o max opterećenju. Također sva potrebna ojačanja u zidu izvesti u skladu i prema pozicijama s nacrtima te uputama proizvođača.
Kod obračuna izvedenih radova obračunava se samo stvarno izvedena površina,dok se otvori odbijaju u potpunosti.Izradu otvora ukalkulirati u jediničnu cijenu stavke.</t>
  </si>
  <si>
    <t>Kod polaganja spuštenog stropa potrebno se držati svih uputa proizvođača, naročito glede uskladištenja ploča i uvjeta temperature i vlažnosti zraka prostora u kojima će se izvoditi spušteni strop. Ploče treba svakako zaštititi od kondenzne vlage. Prije izvedbe stropa ploče moraju biti na mjestu ugradnje najmanje 24 sata ranije, da bi se prilagodile mikroklimatskim uvjetima prostora. S polaganjem se može započeti tek kad su završeni svi radovi žbukanja, estriha I sl. te su dovoljno suhi, nakon ugradnje prozora, montaže grijanja i svih instalacija koje dolaze unutar stropa. Montirani strop je potrebno očistiti od eventualnih nečistoća koje su nastale pri izvedbi, ali pri tome treba postupiti po uputstvu proizvođača suhim postupkom ili sa što manje vlage. Ako je pri montaži došlo do manjih oštećenja ploča, moguće ih je posebnim kitom otkloniti, ukoliko su ona veća, potrebno je zamjeniti cijelu ploču, što će upisom u građevinski dnevnik odrediti nadzorni inženjer.</t>
  </si>
  <si>
    <t>Kod obračuna radova GK radova, špalete,niše,završetci zidova ili slično obračunavaju se po m2 i jedinčnoj cijeni sustava iz troškovničke stavke</t>
  </si>
  <si>
    <t>U jediničnoj cijeni sadržano je:</t>
  </si>
  <si>
    <t>·         sav materijal, dobava i uskladištenje, te unutarnji transporti</t>
  </si>
  <si>
    <t>·         sav rad opisan u stavci</t>
  </si>
  <si>
    <t>·         potrebna radna skela</t>
  </si>
  <si>
    <t>·         sve revizije treba ukalkulirati u jediničnu cijenu stropa ili zida,ne obračunavaju se zasebno</t>
  </si>
  <si>
    <r>
      <t>·         čišćenje po završenom radu</t>
    </r>
    <r>
      <rPr>
        <i/>
        <u/>
        <sz val="10"/>
        <rFont val="Arial"/>
        <family val="2"/>
        <charset val="238"/>
      </rPr>
      <t>uključivo odvoz viška materijala na gradsku deponiju</t>
    </r>
  </si>
  <si>
    <t>·         popravci štete na vlastitom ili drugim radovima učinjeni iz nepažnje</t>
  </si>
  <si>
    <t>·         troškovi zaštite na radu i troškovi atesta</t>
  </si>
  <si>
    <t>0.10.</t>
  </si>
  <si>
    <t>OPĆI UVJETI - STOLARSKI RADOVI</t>
  </si>
  <si>
    <t>Ponuđač je dužan nuditi solidan i ispravan rad, na temelju shema i troškovnika, pa se neće uzeti u obzir naknadno pozivanje na eventualno nerazumjevanje ili manjkavosti opisa ili nacrta. Davanjem ponude ponuđač usvaja u cjelosti ove uvjete.</t>
  </si>
  <si>
    <t>Ponuđač nudi gotov stolarski element:</t>
  </si>
  <si>
    <t>- izrada u radionici s dostavom na gradilište i svim potrebnim materijalom i prvoklasnom izvedbom,
- kompletna  montaža i ugradba na gradilištu,
- sve horizontalne i vertikalne transporte do mjesta ugradnje,
- eventualno potrebnu radnu skelu s postavom i skidanjem (izuzima se fasadna skela),ukalkulirana u jediničnu cijenu,
- ostakljenje, vrsta stakla, naznačena u pojedinoj stavci, s kitanjem silikonskim kitom,
- završna obrada kako je u pojedinoj stavci označeno,
- okov prvoklasan za fukcionalnu upotrebu,
- čišćenje prostorija i okoliša nakon završetka radova, svu štetu i troškove poravka kao posljedicu nepažnje u toku izvedbe,
- troškove zaštite na radu.</t>
  </si>
  <si>
    <t>MATERIJALI</t>
  </si>
  <si>
    <t>Stolarski</t>
  </si>
  <si>
    <t>Sav upotrebljeni materijal za stolarske elemente koji se liče trebaju biti najbolje kvalitete koja postoji na domaćem tržištu, a treba odgovarati propisima HRN-i.</t>
  </si>
  <si>
    <t>Kvaliteta materijala za izradu unutrašnjih vrata, dovratnika i krila od obrađenih dasaka, šper ploča, lesonit ploča, iverice i panela i sl.  prema HRN D.E1.011 i HRN D.E1.012</t>
  </si>
  <si>
    <t>Svi stolarski elementi koji se ugrađuju po ovim uvjetima izvode se od jelovine (završna obrada ličenjem) ili hrastovine . Drvo ne smije imati pogreške koje potječu od kukaca, kao što su bušotine i crvotočine. Drvo treba biti ravno rašteno s pravilnim godovima, bez pukotina, smolastih kvrga i smoljnjača, te mehaničkih oštečenja. Drvo mora biti odležano i suho, za prozore i vrata koje se liče može sadržavati 13 - 15 % vlage.</t>
  </si>
  <si>
    <t>IZVEDBA I OBRADA</t>
  </si>
  <si>
    <t>Prije pristupa izradi stolarije izvođač je obavezan prekontrolirati količine i zidarske veličine otvora na gradilištu. Radioničke nacrte izrađuje izvođač stolarskih radova, te dostavlja na usaglašavanje projektantu. Izvođač je dužan s rukovodiocem gradilišta definirati redoslijed izrade i isporuke stolarskih elemenata.</t>
  </si>
  <si>
    <t>Svi stolarski elementi isporučuju se na gradilištu kao gotov finalni proizvod, osim onog dijela stolarije koji se liči na gradilištu.</t>
  </si>
  <si>
    <t>Sva stolarija kod dostave mora biti zaštićena, dok se finalno obrađeni proizvodi zaštićuju i nakon ugradbe od nenamjernog oštećenja, a što je sadržano u jediničnoj cijeni.</t>
  </si>
  <si>
    <t>Svi dovratnici prije mokre ugradbe moraju biti zaštićeni ljepenkom ili PVC folijom prema zidu i to sa svih ugradbenih strana.KOD IZRADE KUPAONSKIH VRATA OBAVEZNO UZETI U OBZIR ZAŠTITU VRATA I DOVRATNIKA OD VODE isto potrebno dodatno impregnirati epoxy smolama i nakon ugradnje zabrtviti te samim time onemogučiti doticaje sa vodom.</t>
  </si>
  <si>
    <t>Dovratnici su izrađeni od jelovog masiva ili materijala po izboru projektanta , ličeni uljenom bojom po izboru projektanta.</t>
  </si>
  <si>
    <t>U cijenu ulazi gotov finalni ugrađeni proizvod, s ličenjem i ostakljenjem, komplet sa svim opšavima i okovom.</t>
  </si>
  <si>
    <t>U jediničnu cijenu stavki izvođač je dužan ukalkulirati obradu oko stolarskih elemenata,te investitoru predati gotov proizvod</t>
  </si>
  <si>
    <t>OKIVANJE</t>
  </si>
  <si>
    <t>Izvođač radova obavezan je dobaviti, montirati, te u cijenu ukalkulirati:</t>
  </si>
  <si>
    <t>standardni okov od bijelog metala dimenzioniran prema veličini otvora, za besprijekornu upotrebu pojedinog stolarskog elementa, bez obzira da li je u pojedinim stavkama shema posebno sve iskazano,</t>
  </si>
  <si>
    <t>sve željezne, aluminijske i gumene profile pojedinog stolarskog elementa,</t>
  </si>
  <si>
    <t>U jediničnu cijenu stavki kliznih vrata koja klize u zid od gipskartonskih ploča izvođač je dužan ukalkulirati kompletan materijal,pomoćni materijal i rad.uključivo i metalnu kazetu do potpunog dovršetka posla.Naknadni traženi troškovi neće biti uzeti u obzir.</t>
  </si>
  <si>
    <t>svi željezni dijelovi koji se ugrađuju na stolarskim elementima moraju prethodno biti anitikorozivno zaštićeni ili pocinčani, a sva nova vezna sredstva (čavli, vijci, moždanici i sl.) za elemente koji se liče su prema propisima HRN-i.</t>
  </si>
  <si>
    <t>VELIČINE</t>
  </si>
  <si>
    <t>Prije izrade stavaka stolarije sve mjere treba obavezno prekontrolirati na objektu.</t>
  </si>
  <si>
    <t>0.11.</t>
  </si>
  <si>
    <t>OPĆI UVJETI - ALUMINIJSKI I BRAVARSKI RADOVI</t>
  </si>
  <si>
    <t>U nastavku su opisani tehnički uvjeti za izradu metalnih i aluminijskih konstrukcija.</t>
  </si>
  <si>
    <t>Svi radovi moraju se izvoditi prema podacima iz projektne dokumentacije i u skladu s važećim propisima i standardima. Zbog toga se potrebno pridržavati općih uvjeta staklarskih radova (pri izradi izo-stakla i staklenih elemenata), kao i točnih uputa za ugradnju profila, koje izdaje proizvođač konstrukcije.</t>
  </si>
  <si>
    <t>Kvaliteta materijala i izvedba temelji se na slijedećim važećim propisima:</t>
  </si>
  <si>
    <t>Toplinska tehnika - HRN U.J5.001</t>
  </si>
  <si>
    <t>Tehnički uvijeti za projektiranje i građenje zgrada – akustika - HRN U.J6.201</t>
  </si>
  <si>
    <t>Tehnički uvjeti za izvođenje staklorezačkih radova – HRN U.F2.025</t>
  </si>
  <si>
    <t>Tehnički propisi o djelovanju vjetra na nosive konstrukcije  - Sl.list 41/64</t>
  </si>
  <si>
    <t>VRSTE RADOVA</t>
  </si>
  <si>
    <t>Predmet ovog troškovnika su bravarski radovi, koji uključuju izradu, transport i montažu aluminijskih elemenata i ako je u stavci opisano, ustakljenje konstrukcije, umetanje sendvič panela, izolacija ili drugih ispuna.</t>
  </si>
  <si>
    <t>NAPOMENE</t>
  </si>
  <si>
    <t>Ako se u ponudi pojave nejasnoće, mora se poštivati slijedeći redoslijed:</t>
  </si>
  <si>
    <t>1. Popis radova</t>
  </si>
  <si>
    <t>2. Tehnički opis</t>
  </si>
  <si>
    <t>3. Tehnička dokumentacija</t>
  </si>
  <si>
    <t>Nejasnoće se moraju uskladiti s projektantom prije predaje ponude.</t>
  </si>
  <si>
    <t>U popisu radova, potrebno je provjeriti da li su sve pozicije potpune, prema pravilima struke i da li su točno predviđene za opisanu namjenu. Eventualne izmjene i dopune pozicija moraju se ovjeriti od strane projektanta i investitora.</t>
  </si>
  <si>
    <t>FORME I OBLICI</t>
  </si>
  <si>
    <t>Dokumentacija, predviđena za aluminijske konstrukcije na objektu, je obvezna prvenstveno zbog vizualno-arhitektonskog izgleda objekta.</t>
  </si>
  <si>
    <t>DIMENZIJE ELEMENATA</t>
  </si>
  <si>
    <t>Dimenzije, navedene u popisu radova, su građevinske (ugradbene) dimenzije. Promjene dimenzija navedenih metalnih konstrukcija do +/- 50 mm od ukupne dimenzije ne utječu na promjene jedinične cijene. Veća odstupanja obračunaju se prema ukupnim površinskim dimenzijama.</t>
  </si>
  <si>
    <t>Točne mjere uzima izvođač na licu mjesta. Ako je potrebno pristupiti izradi elemenata i pripremi za montažu prije mogućnosti uzimanja mjera na gradilištu, potreban je pismeni dogovor s investitorom.</t>
  </si>
  <si>
    <t>PREVENTIVNI UVJETI INVESTITORA</t>
  </si>
  <si>
    <t>Dodatni ugovori o standardima i propisma u vezi s požarnim uvjetima, radnim uvjetima, namjeni prostora, skladišnim površinama, režijskim stavkama, montažnim skelama, priključku struje, vode i sanitarijama, čišćenjem gradilišta, zaštiti ugrađenih elemenata od oštećenja, vremenskim rokovima, itd., se moraju pismeno potvrditi.</t>
  </si>
  <si>
    <t>PODACI O PROFILACIJSKOM SISTEMU</t>
  </si>
  <si>
    <t>Poštivati se moraju podaci o formalnim mjerama profilacije (dubina i pogledna širina) i tipovima konstrukcije na pojedinim pozicijama. U ponudi je ako je to navedeno, moguće nuditi alternative. Jednakovrijednost s navedenim konstruktivnim sistemom mora biti dokazana atestima, detaljnom dokumentacijom i primjerima s izradom uzoraka.</t>
  </si>
  <si>
    <t>Ponuđeni profilacijski sistem mora odgovarati propisima i uputama o izradi, koje izdaje proizvođač profilacijskog sistema.</t>
  </si>
  <si>
    <t>Proizvođać odnosno dobavitelj profilacije, mora po zahtjevu investitora priložiti ISO-9000 certifikacijsku dokumentaciju.</t>
  </si>
  <si>
    <t>ZAHTJEVANI MATERIJALI</t>
  </si>
  <si>
    <t>ALUMINIJ</t>
  </si>
  <si>
    <t>Uporabljeni moraju biti ekstrudirani profili s legurom AlMGSiO,5 čvrstoće F22 kg/mm², eloksacijske kvelitete. Za anodizirane aluminijske pločevine eloksacijske kvalitete mora biti uporabljena legura AlMg1 – polutvrdo, za prašno bojane aluminijske pločevine legura AlMg1 ili Al99,5 normalne kvalitete.</t>
  </si>
  <si>
    <t>Odstupanja od tih zahtjeva moraju biti pismeno utemeljena.</t>
  </si>
  <si>
    <t>Različiti materijali i oblici dobave (profili, pločevine odnosno pantovi i okovi) moraju biti međusobno usklađeni ovisno o oblikovnim zahtjevima. Kod pločevina se mora poštivati utjecaj smjera valjanja.</t>
  </si>
  <si>
    <t>SPOJEVI I PRIČVRSNA SREDSTVA</t>
  </si>
  <si>
    <t>Svi spojevi i pričvrsna sredstva moraju biti konstruirani tako, da su tolerancije usklađene s građevinskom konstrukcijom.</t>
  </si>
  <si>
    <t>Spojni elementi, kao vijci, zakovice, matice itd. moraju biti na spojevima s aluminijem od nehrđajučeg čelika (najmanje kvalitete A4 s reduciranom količinom Cu). Za sve ostale spojeve i male dijelove od čelika mora se upotrijebiti vruće cinčani materijal. Svi vijčani spojevi moraju biti osigurani od nepredviđenog popuštanja.</t>
  </si>
  <si>
    <t>Za sprečavanje lokalne korozije na spojevima između dva različita metala mora se postaviti distancer od neutralnog materijala (iznimka su suha područja, ukoliko je upotrijebljen nehrđajuči čelik).</t>
  </si>
  <si>
    <t>SPOJEVI PROFILA</t>
  </si>
  <si>
    <t>Uglovni spojevi moraju u poprečnom presjeku odgovarati unutarnjim konturama profila. Svi spojevi moraju biti mehanički pričvršćeni i zapunjeni ljepilom. Pri spojevima pod 45°mora biti precizno izvedeno ljepljenje uglovnog spojnika i mjesta pričvršćenja profila. Kod T-spojeva i križnih spojeva mora se spriječiti prodor vode u konstrukciju.</t>
  </si>
  <si>
    <t>Za ljepljenje se mora upotrijebiti dvokomponentno ljepilo za metale. Spojevi moraju ispunjavati zahtjeve o trajnoj čvrstoći i krutosti duž cijelog presjeka profila.</t>
  </si>
  <si>
    <t>BRTVENI PROFILI</t>
  </si>
  <si>
    <t>Materijal za brtvene profile: APTK, međunarodno EPDM = Etilen-Propilen-Terpolimer.</t>
  </si>
  <si>
    <t>Tvrdoća, dimenzije i profiliranost brtvila moraju odgovarati različitim namjenama. Osnovu za određivanje tvrdoće predstavlja standard DIN 7863.</t>
  </si>
  <si>
    <t>Upotrijebiti se moraju originalna sistemska brtvila. Za prozorska krila dopuštena je izvedba samo sa srednjim brtvilom. Pričvršćenje u okvir izvedeno je u području termičkog prekida profilacije. Brtve moraju biti lako zamjenjive, uglovni spojevi brtvi moraju biti vulkanizirani. U krilima koja nisu površinski poravnata, mora osim srednje brtve, funkciju brtvljenja vršiti još i unutarnja brtva. Kombinirana okna moraju na sastavnom spoju biti opremljena srednjom brtvom, koja je prilagođena konturi spoja.</t>
  </si>
  <si>
    <t>OKOVI</t>
  </si>
  <si>
    <t>Upotrijebiti samo kvalitetne originalne sistemske okove. Konstrukcija okova ne smije biti vidljiva izvana, već svi elementi moraju biti montiranu u konstrukciju, osim ako je u popisu radova drugačije predviđeno. Unutarnji dijelovi za upravljanje mehanizmom moraju biti izvedene iz anodiziranog aluminija.</t>
  </si>
  <si>
    <t>Pojedini dijelovi okova moraju se dimenzionirati ovisno o predviđenim opterečenjima. Unutarnji dijelovi moraju biti vijcima pričvršćeni na profilaciju.</t>
  </si>
  <si>
    <t>Okovi moraju biti nastavljivi, omogućiti ugradnju dodatnih elemenata, kao recimo srednjih trnova, dodatne škare, mogućnost otvaranja po vertikalnoj osi itd.</t>
  </si>
  <si>
    <t>Zaokretni i otklopni okovi moraju biti opremljeni zaštitom od nepravilnog upravljanja i škarama s dodatnom bremzom.</t>
  </si>
  <si>
    <t>PROPUSNOST FUGA</t>
  </si>
  <si>
    <t>Propusnost fuga i zaštita od nanosa kiše mora odgovarati zahtjevima po DIN 18055.</t>
  </si>
  <si>
    <t>ZAŠTITA OD BUKE</t>
  </si>
  <si>
    <t>Faktor prigušenja zvuka Rw, koji je zahtjevan u popisu radova, mora biti dokazan A-testom po DIN 4109 autorizirane institucije.</t>
  </si>
  <si>
    <t>Spojevi među ugrađenim elementom i građevinskom konstrukcijom moraju biti zvučno izolirani prema zahtjevima u popisu radova.</t>
  </si>
  <si>
    <t>ZAŠTITA OD KIŠE I KONDENZNE VLAGE</t>
  </si>
  <si>
    <t>Za sprečavanje rošenja na staklu, profilima i panelima uslijed neodgovorajućih građevinsko-fizikalnih uvjeta potrebno je prije svega paziti na vrstu i raspored elemenata grijanja i klimatizacije.</t>
  </si>
  <si>
    <t>Svi priključci na građevinsku konstrukciju moraju biti iznutra paro- i vodotjesni, izvana pak parno i vodo propusni. Mosebno je potrebno paziti na pravilno mjesto ugradnje.</t>
  </si>
  <si>
    <t>Ugibi i utori profilacije u koje lako prodiru oborinske vode i u kojima lako dolazi do pojave kondenzata, moraju imati osiguran neometan odvod vode iz konstrukcije na van. Poštivati se prije svega moraju upute proizvođača profilacije. Otvori za odvod vode na vanjskoj strani moraju biti zaštićeni sa za to predviđenom pokrovnom kapom.</t>
  </si>
  <si>
    <t>PROTUPOŽARNA ZAŠTITA</t>
  </si>
  <si>
    <t>Potrebno je pridržavati se protupožarnih propisa koji su na snazi.</t>
  </si>
  <si>
    <t>Posebno se moraju poštivati moguće klasifikacije za elemente građevine, njihove sastavne materijale i sidrene elemente. Protupožarni uvjeti propisani su u pojedinim pozicijama popisa radova.</t>
  </si>
  <si>
    <t>POVRŠINSKE OBRADE ALUMINIJA</t>
  </si>
  <si>
    <t>PRAŠNO BOJANJE</t>
  </si>
  <si>
    <t>Pri bojanju aluminijskih površina potrebno je poštivati važeće propise o kvaliteti. Debljina nanosa iznosi 65 ±15 μm za glavne vidljive površine. Za bočne (nevidljive) površine dostatan je prekrivajući nanos.</t>
  </si>
  <si>
    <t>Kalkulacijsku osnovu predstavljaju tonovi boja određeni u popisu radova. Uzorci boja moraju se prema zahtjevu priložiti projektantu i voditelju gradnje, a prije proizvodlje elemenata.</t>
  </si>
  <si>
    <t>IZVEDBA USTAKLJENJA</t>
  </si>
  <si>
    <t>Brtvljenja stakla i drugih ispuna izvode se kvalitetnim sistemskim brtvama iz APTK (EPDM) materijala ili vulkaniziranim (prefabriciranim) brtvenim okvirima.</t>
  </si>
  <si>
    <t>U opsegu radova izvođača bravarskih radova ulazi dobava i postavljanje vanjskih brtvi za ustakljenje. U fasadnim sistemima sa stupovima i prečkama i kod strešnih konstrukcija najprije se postavljaju unutarnje brtve za ustakljenje, a zatim slijedi montaža pritisnih profila i na kraju montaža aluminijskih pokrovnih letvi.</t>
  </si>
  <si>
    <t>MONTAŽA I IZVEDBA</t>
  </si>
  <si>
    <t>IZVEDBENA DOKUMENTACIJA</t>
  </si>
  <si>
    <t>Pri oblikovanju cijene mora se poštovati projektiranje i predaja izvedbenih detalja u svije kopije.</t>
  </si>
  <si>
    <t>Na zahtjev se moraju predati ovjereni statički proračuni.</t>
  </si>
  <si>
    <t>Ovjere arhitekta (projektanta) se odnose samo na usklađenost svih elemenata sa predloženim arhitektonskim zahtjevima. Odgovornost za tehničku pravilnost, čvrstoću, brtve itd. pak nakon odobrenja izvedbenih detalja, u cjelosti preuzima izvođač radova.</t>
  </si>
  <si>
    <t>ODOBRENJE PROIZVODNJE ELEMENATA</t>
  </si>
  <si>
    <t>Kod posebnih konstrukcija moguće je odobrenje proizvodnje (ako je zahtjevano) samo nakon što su izvršena propisana testiranja i po priloženom dokazu o kvaliteti materijala.</t>
  </si>
  <si>
    <t>IZRADA</t>
  </si>
  <si>
    <t>Rezanje aluminijskih profila mora biti izvedeno tako da je zadovljena točnost kutova nakon sastavljanja. Pri strojnoj obradi, moraju se pažljivo pobrusiti rubovi narezanih profila. Profile, kod kojih dođe do deformacija uslijed unutarnjih naprezanja, nije dozvoljeno upotrebljavati pri izradi fasade.</t>
  </si>
  <si>
    <t>Pri izradi se osobito moraju poštivati:</t>
  </si>
  <si>
    <t>- točnost i urednost kutnih i drugih spojeva</t>
  </si>
  <si>
    <t>- mjere komora između okvira štoka i krila moraju poštivati dozv. tolerancije</t>
  </si>
  <si>
    <t>- točnost mjera pri ugradnji i precizno ljepljenje brtvi, uglova brtvi i spojnih brtvi</t>
  </si>
  <si>
    <t>- dimenzioniranje i raspodjela otjecanja vode</t>
  </si>
  <si>
    <t>- brtvljenje profila, kao i utori predviđeni za postavljanje brtve unutar profila</t>
  </si>
  <si>
    <t>- točnost mjera pri montaži i ugradnji krila</t>
  </si>
  <si>
    <t>- kvalitetni sistemski originalni okovi moraju biti montirani prema uputi proizvođača okova odnosno profilacije. Potrebno je osigurati nesmetan rad okova, čime se omogućava redovito podmazivanje nesmetan rad okova.</t>
  </si>
  <si>
    <t>PLOČEVINE</t>
  </si>
  <si>
    <t>Ukoliko u popisu radova nije posebno navedeno, potrebno je nuditi sve funkcionalno potrebne priključke, pričvrsna sredstva i materijale, podkonstrukcije i pomoćne izolacijske i brtvene materijale.</t>
  </si>
  <si>
    <t>Priključci na građevinsku konstrukciju moraju biti izvedeni od najmanje 2 mm debele ALU pločevine. Pločevina mora biti mehanički obrađena prije završne površinske obrade.</t>
  </si>
  <si>
    <t>SLIJEPI OKVIRI</t>
  </si>
  <si>
    <t>Sidrenje slijepih okvira mora biti izvedeno tako, da se opterećenja prenose na građevinsku konstrukciju, a posebno sile prouzročene pantovima, ležajevima, prečkama i stupovima. Pomaci građevinske konstrukcije se ne smiju prenositi na slijepe okvire. Maksimalna udaljenost između sidrenih mjesta iznosi 800 mm. Maksimalna udaljenost od vanjskih uglova iznosi 150 do 200 mm.</t>
  </si>
  <si>
    <t>Slijepi okviri moraju biti izvedeni i montirani tako, da ih nakon montaže radnici ne mogu oštetiti. To ne vrijedi za opterećenja nastala uslijed prometa na gradilištu.</t>
  </si>
  <si>
    <t>Montaža slijepih okvira mora u svakom katu biti posebno izvedena po prethodno uzetim mjerama na licu mjesta. Mjere mora uzimati izvođač radova.</t>
  </si>
  <si>
    <t>Građevinsko-fizikalni konstrukcijski zahtjevi moraju također biti ispunjeni i u primjeru slijepih okvira. To uključuje izvedbu toplinske izolacije, hidroizolacije, zvučne izolacije i parne brane.</t>
  </si>
  <si>
    <t>UGRADNJA ELEMENATA</t>
  </si>
  <si>
    <t>Aluminijski elementi moraju biti na svakoj strani najmanje dvaput spojeni sa slijepim okvirom. Maksimalna udaljenost između sidrenih mjesta iznosi 800 mm. Maksimalna udaljenost od vanjskih uglova iznosi 150-200 mm. Promjene veličine elemenata prouzročene uslijed temperaturnih oscilacija, kao i deformacija građevinske konstrukcije, moraju se preuizimati preko konstruktivnih (dilatacijskih) fuga. U takvim primjerima potrebno je ugraditi posebne dilatacijske elemente konstrukcije.</t>
  </si>
  <si>
    <t>Montaža aluminijskih elemenata se vrši prema mjerama uzetim na licu mjesta.</t>
  </si>
  <si>
    <t>Priključci moraju ispunjavati građevinsko-fizikalne zahtjeve. To se odnosi na izvedbu toplinske izolacije, hidroizolacije, zvučne izolacije i parne brane.</t>
  </si>
  <si>
    <t>Sve obrade za dobivanje konačnog proizvoda i priključci na građevinsku konstrukciju moraju biti uračunati u konačnu cijenu i izvedeni u skladu s važečim propisima.</t>
  </si>
  <si>
    <t>Dobavu i ugradnju može se izvoditi tek nakon odobrenja nadzornog organa, te je stoga potrebno radove uskladiti s cijelim tokom gradnje.</t>
  </si>
  <si>
    <t>Ukoliko je u opisu radova predviđena ugradnja i montaža ventilacijskih rešetki, prozorskih klupčica, priključnih, stupovnih i drugih obloga, sjenila i sl, potrebno je prethotno uključiti u konačnu cijenu sve potrebne radove, kao što su bušenja, sidrenja, pomoćne konstrukcije, proširenja okvira itd.</t>
  </si>
  <si>
    <t>ZAŠTITA POVRŠINA</t>
  </si>
  <si>
    <t>Ukoliko su u popisu radova propisane zaštitne folije, mora biti omogućeno nesmetano odstranjivanje bez oštećenja profilacije i završne obrade le-teh.</t>
  </si>
  <si>
    <t>POSTIZANJE KVALITETE</t>
  </si>
  <si>
    <t>Izvođač radova odgovara za kvalitetu proizvodnje i izradu konstrukcije elemenata prema pravilima struke.</t>
  </si>
  <si>
    <t>Za postizanje kvalitete se moraju poštivati pismene upute o izradi i montaži, koje izdaje proizvođač aluminijskih sistema. Na zahtjev se moraju priložiti investitoru.</t>
  </si>
  <si>
    <t>POTVRDE I ATESTI</t>
  </si>
  <si>
    <t>Na zahtjev, moraju se građevinsko-fizikalne karakteristike upotrijebljenih aluminijskih sistema dokazati potvrdom odgovornih institucija.</t>
  </si>
  <si>
    <t>Računski dokazi moraju biti provjereni od strane ovlaštenog inžinjera za visoke gradnje ili graditeljstvo.</t>
  </si>
  <si>
    <t>Podatke o zadovoljavanju dopuštenih progiba nosivih profila se moraju na zahtjev priložiti u provjerljivom obliku.</t>
  </si>
  <si>
    <t>ZVRŠNO ČIŠĆENJE PROZORA I FASADE</t>
  </si>
  <si>
    <t>Na zahtjev voditelja gradnje svaki izvođač dužan je prije preuzimanja objekta očistiti elemente svojih radova izvana i iznutra. Potrebno je držati se pismenih uputa A5 »čišćenje aluminija u graditeljstvu«, koje izdaje Aluminiumzentrale, Könihsallee 30, 40212 Düsseldorf.</t>
  </si>
  <si>
    <t>Čišćenje fasade iz razloga koji nisu neposredno povezani s izvođačem radova, odnosno montažom, obračunavaju se posebno, a plačanje se izračunava paušalno, prema stvarno utrošenom vremenu i materijalu (evidentirano upisom u građevnu knjigu i ovjereno od strane nadzornog inžinjera).</t>
  </si>
  <si>
    <t>STAKLARSKI RADOVI</t>
  </si>
  <si>
    <t>Prilikom  izvedbe staklorezačkih radova imaju se u potpunosti primjenjivati postojeći propisi:</t>
  </si>
  <si>
    <t>- Pravilnik o tehničkim mjerama i uvjetima za završne radove u građevinarstvu</t>
  </si>
  <si>
    <t>- Pravilnik o zaštiti na radu u građevinarstvu</t>
  </si>
  <si>
    <t>- Tehnički uvjeti za izvođenje staklorezačkih radova</t>
  </si>
  <si>
    <t>ravno staklo vučeno HRN  B.E1.011</t>
  </si>
  <si>
    <t>sigurnosno staklo HRN B.E3.701</t>
  </si>
  <si>
    <t>Tehnički uvjeti za izvođenje staklorezačkih radova HRN U.F2.025</t>
  </si>
  <si>
    <t>ugrađivanje stakla u fasadne elemente DIN 18056</t>
  </si>
  <si>
    <t>Prije početka ostakljenja mora stolarija, bravarija ili ostali dijelovi koji se zastakljuju biti ugrađena a pokretna krila moraju biti postavljena na mjesto i propisno okovana. Svi dijelovi koji se ostakljuju moraju biti sposobni za ostakljivanje i svi žljebovi očišćeni od morta, betona i drugih otpadaka. Svi staklarski radovi izvode se u prozorska ili vratna krila, kao i u ostakljene stijene, ograde stubišta i sl., tako da staklo leži u čistom utoru okvira slobodno, a ne da dodiruje okvir.</t>
  </si>
  <si>
    <t>Materijal</t>
  </si>
  <si>
    <t>Svo staklo koje se ugrađuje u aluminijske ili željezne elemente mora odgovarati važećim standardima.</t>
  </si>
  <si>
    <t>Kvaliteta stakla koja se ugrađuje određuje se na temelju vrste stakla, veličine stakla i pogrešaka nastalih u njemu prilikom proizvodnje. Treba uopće ne ugrađivati staklo bilo koje vrste sa pogreškama.</t>
  </si>
  <si>
    <t>Izvedba</t>
  </si>
  <si>
    <t>Gotova izrađena prozorska i vratna krila, pregradne stijene, ograde i sl. ustakljuju se prema troškovniku određenim staklom, za svaku pojedinu stavku.</t>
  </si>
  <si>
    <t>Staklar je dužan svaki otvor na prozorskom krilu, na vratima, stijeni, ogradi  i sl. izmjerom kontrolirati, pa tek nakon toga izvršiti ostakljenje onom vrstom i debljinom stakla kako je u opisu troškovnika navedeno.</t>
  </si>
  <si>
    <t>Nadzorni inženjer upisom u dnevnik dozvoljava  početak radova.</t>
  </si>
  <si>
    <t>sav materijal, dobavu, izradu i dopremu alata, mehanizaciju i uskladištenje</t>
  </si>
  <si>
    <t>uzimanje potrebnih izmjera na objektu,</t>
  </si>
  <si>
    <t>izrada radioničkih nacrta i detalja,</t>
  </si>
  <si>
    <t>troškove radne snage za kompletan rad opisan u troškovniku i općim uvjetima,</t>
  </si>
  <si>
    <t>dvokratni osnovni premaz prema uvjetima antikorozivne zaštite u radioni, te kompletnu zaštitu sa završnom obradom ličenjem, ako je to u stavci određeno, plastificiranjem ili eloksiranjem</t>
  </si>
  <si>
    <t>sve horizontalne I vertikalne transporte do mjesta montaže,</t>
  </si>
  <si>
    <t>potrebnu radnu skelu (izuzima se fasadna skela),</t>
  </si>
  <si>
    <r>
      <t>čišćenje nakon završetka radova,</t>
    </r>
    <r>
      <rPr>
        <i/>
        <u/>
        <sz val="10"/>
        <rFont val="Arial"/>
        <family val="2"/>
        <charset val="238"/>
      </rPr>
      <t>uključivo odvoz otpadnog materijala na gradsku deponiju</t>
    </r>
  </si>
  <si>
    <t>svu štetu kao i troškove popravka kao posljedica nepažnje u toku izvedbe,</t>
  </si>
  <si>
    <t>troškove zaštite na radu,</t>
  </si>
  <si>
    <t>troškove atesta.</t>
  </si>
  <si>
    <t>0.12.</t>
  </si>
  <si>
    <t>OPĆI UVJETI - KERAMIČARSKI RADOVI</t>
  </si>
  <si>
    <t>Sva opločenja zidova, podova i sl. izvesti tamo gdje je to po projektu predviđeno. Izvedba mora zadovoljiti propise HRN U.F2.011.</t>
  </si>
  <si>
    <t>Materijali za izradu moraju zadovoljavati odgovarajuće propise i standarde:</t>
  </si>
  <si>
    <t>Pločice</t>
  </si>
  <si>
    <t>neglazirane podne pločice  HRN B.D1.310,  320,  322</t>
  </si>
  <si>
    <t>fasadne i podne pločice vučene i prešane HRN B.D1.335.334</t>
  </si>
  <si>
    <t>fasadne keramičke pločice HRN B.D8.050</t>
  </si>
  <si>
    <t>glazirane podne pločice  HRN B.D1.305, 306 i HRN B.D8.460, 052</t>
  </si>
  <si>
    <t>glazirane zidne pločice HRN B.D1.300, 301 i HRN B.D8.460, 052</t>
  </si>
  <si>
    <t>cement  HRN B.C1.010  - 015</t>
  </si>
  <si>
    <t>Sav vezni materijal, ljepila, zaptivni materijal i pomoćna sredstva HRN U.F2.011.</t>
  </si>
  <si>
    <t>Ako koja stavka nije izvođaču jasna, mora prije predaje ponude tražiti objašnjenje od projektanta. Eventualne izmjene materijala, te način izvedbe tokom gradnje mora se izvršiti isključivo pismenim putem dogovorom s projektantom i nadzornim organom. Sve više radnje koje neće biti na taj način utvrđene, neće se priznati u obračun.</t>
  </si>
  <si>
    <t>Način izvedbe i ugradbe, preuzimanje i priprema podloge , te način obračuna u svemu prema postojećim normama za izvođenje završnih radova u građevinarstvu TU-IX.</t>
  </si>
  <si>
    <t>Količine iskazane ovim troškovnikom su projektantske pa postotak zbog loma i sl. treba ukalkulirati u jed. cijenu.</t>
  </si>
  <si>
    <t>Kod izvedbe zidnog i podnog opločenja u jediničnu cijenu pojedine stavke ukalkulirati i brtvljenje silikonskim kitom sudara keramičkog opločenja s dovratnicima, oblogom  druge vrste,sanitarijama i sl.</t>
  </si>
  <si>
    <r>
      <t>Obračun izvedenih keramičarskih radova se vrši po m</t>
    </r>
    <r>
      <rPr>
        <b/>
        <i/>
        <vertAlign val="superscript"/>
        <sz val="10"/>
        <rFont val="Arial"/>
        <family val="2"/>
      </rPr>
      <t>2</t>
    </r>
    <r>
      <rPr>
        <b/>
        <i/>
        <sz val="10"/>
        <rFont val="Arial"/>
        <family val="2"/>
        <charset val="238"/>
      </rPr>
      <t xml:space="preserve"> izvedene keramike,bez dodatka prilikom izvedbe stepenica ili slično.</t>
    </r>
  </si>
  <si>
    <t xml:space="preserve">- uzimanje potrebnih mjera na gradnji,
- sav potreban materijal (uključivo i vezni),
- sav potreban rad, uključujući alat i strojeve,
- sve dilatacijske, alu kutne i završne lajsne također uračunati u cijenu,
- sve protuklizne lajsne na stepenicama i lajsne na spojevima sa drugim vrstom opločenja,
- transportne troškove materijala,
- dovođenje struje, vode i plina od priključka na gradilištu do mjesta korištenja,
- davanje traženih uzoraka,
- zaštitu izvedenih radova,
- čišćenje izrađenih površina,
- odvoz otpadaka i šute nakon izvedenih radova,
- popravak manjih oštećenja i nečistoća na podlozi,
- poduzimanje mjera po HTZ i drugim postojećim propisima,
- popravak štete učinjene nepažnjom pri radu na svojim ili tuđim radovima,
- keramičku obradu raznih kutija i sl. elektr. instalacije na površinama koje se obrađuju.
</t>
  </si>
  <si>
    <t>0.13.</t>
  </si>
  <si>
    <t>OPĆI UVJETI - KAMENOREZAČKI RADOVI</t>
  </si>
  <si>
    <t>Opločnje kamenom vršiti tamo gdje je to po projektu predviđeno, a prema opisu stavke izvršiti polaganje u pijesku, cementnom mortu, ljepljenjem, pomoću metalnih sponki ili na neki drugi način. Izvoditelj se mora pridržavati važećih propisa i standarda te tehničkih uvjeta za izvođenje kamenorezačkih radova.</t>
  </si>
  <si>
    <t>Kamenarske radove izvesti iz najboljeg materijala, solidno i precizno, a kod izvedbe treba se u potpunosti pridržavati troškovnika, nacrta i pravila dobrog zanata.</t>
  </si>
  <si>
    <t>Zabranjen je rad koji ne odgovara propisima i pravilima dobrog zanata, te je izvođač dužan bez prigovora i odštete odstraniti sve što bi bilo neispravno izvedeno.</t>
  </si>
  <si>
    <t>Prije početka radova izvođač je dužan donijeti uzorke kamena na odobrenje projektantu.</t>
  </si>
  <si>
    <t>Izvođač kamenarskih radova koji izvodi opločenje na gotovu betonsku podlogu ili gotovi zid, mora prije početka radova podlogu pregledati i sve primjedbe saopćiti nadzornom inženjeru kako bi se eventualni nedostaci mogli na vrijeme odstraniti. Nikakav naknadni prigovor neće se uzeti u obzir, već će izvođač kamenarskih radova sve popravke morati izvršiti o svom trošku.</t>
  </si>
  <si>
    <t>Prije polaganja kamena potrebno je pripremiti podlogu, tj. očistiti od prašine i masnoća. Ukoliko se kamen polaže ljepljenjem treba prema uputstvu proizvođača ljepila pripremiti smjesu, a zatim je nanositi na podlogu prvo ravnom, onda nazubljenom lopaticom kako bi se dobila točna optimalna debljina sloja ljepila. Kamenu ploču utisnuti u ljepilo.</t>
  </si>
  <si>
    <t>Ljepilo mora odgovarati važećem standardu HRN U.F2.011.</t>
  </si>
  <si>
    <t>Kamene ploče treba brusiti nakon rezanja i polagati ih reška na rešku, sa ili bez otvorene reške. Ako se u pojedinoj stavci traži otvorena reška treba je izvesti uredno i u širini koja se u stavci traži.</t>
  </si>
  <si>
    <t>Kod polaganja kamenih ploča na pod ljepljenjem prethodno treba provjeriti ravninu poda. Kod odstupanja veæih od 0,5 cm potrebno je izvesti sloj za izravnanje posebnom masom za izravnanje, a što će se utvrditi pregledom i upisom u građevinski dnevnik od strane nadzornog inženjera. Nakon završenog polaganja ploča izvršiti fugiranje masom za fugiranje u boji po izboru projektanta, ukoliko su ploče položene s otvorenom reškom.</t>
  </si>
  <si>
    <t>Plohe gotovog poda ili zida moraju biti potpuno ravne, kontrola libelom u svim smjerovima.</t>
  </si>
  <si>
    <t>Sve kamene ploče trebaju biti I klase, iste boje, te posve ravne i ne smiju imati pukotine na površini. Ploče koje su okrhnute ili nepravilno brušene neće se preuzeti, a ukoliko ih izvođač ugradi morati će ih na vlastiti trošak izmjeniti.</t>
  </si>
  <si>
    <t>Navedene količine u opisu radova nisu obavezne, već ih projektant može naknadno smanjiti ili povećati. Obračun će se vršiti prema stvarno izvedenim radovima i količinama. Opločenja podova i oblaganje zidova obračunat će se po m² razvijene površine opločenja, dok će se izvođenje sokla, klupčica i sl. obračunati po m².</t>
  </si>
  <si>
    <t>Kod izvedbe zidnog i podnog opločenja u jediničnu cijenu pojedine stavke ukalkulirati i brtvljenje silikonskim kitom sudara keramičkog opločenja s dovratnicima, oblogom  druge vrste i sl.</t>
  </si>
  <si>
    <t>Jedinična cijena mora sadržavati:
- donošenje uzoraka na uvid,
- kontrola i uzimanje mjera na objektu,
- sav potreban materijal: kamene ploče, ljepilo, metalne spojke itd.
- sav potreban rad, alat i strojeve,
- sve dilatacijske, alu kutne i završne lajsne su također uračunati u jediničnu cijenu,
- transportne troškove,
- čišćenje prostorija po završenom radu s uklanjanjem šute i svih  otpadaka
- popravak štete učinjene na svojim ili tuđim radovima pri radu iz nepažnje.</t>
  </si>
  <si>
    <t>0.14.</t>
  </si>
  <si>
    <t>OPĆI UVJETI - SOBOSLIKARSKI RADOVI</t>
  </si>
  <si>
    <t>Sve radove treba izvoditi po izvedbenim nacrtima, opisima radova u troškovniku, te uputama projektanta i nadzornog inženjera. Sav upotrebljeni materijal treba zadovoljavati postojeće uzance i propise, a posebno:</t>
  </si>
  <si>
    <t>Pravilnik o tehničkim mjerama i uvjetima za završne radove u građevinarstvu,</t>
  </si>
  <si>
    <t>Tehnički uvjeti za izvođenje soboslikarskih -ličilačkih radova HRN U.F.2.015.</t>
  </si>
  <si>
    <t>Tehnički uvjeti za izvođenje ličilačkih radova HRN U.F2.012/78</t>
  </si>
  <si>
    <t>Pravilnik o tehničkim mjerama i uvjetima za završne radove u građevinarstvu Sl. list br. 49/70.</t>
  </si>
  <si>
    <t>Ukoliko opis neke od vrste dovodi do sumnje u način izvedbe, izvođač treba pravovremeno tražiti objašnjenje od projektanta.</t>
  </si>
  <si>
    <t>Izvedeni rad i upotrebljeni materijal mora u svemu (vrsti, boji i kvaliteti) biti jednak uzorku, što ga odabere projektant od najmanje 5 uzoraka, koje proizvođač izrađuje bez naplate. Materijal za izvedbu soboslikarsko-ličilačkih radova je naveden u stavkama troškovnika.</t>
  </si>
  <si>
    <t>Od primjenjenih se materijala traži da imaju prionjivost za podlogu, po mogućnosti da penetriraju u podlogu, da se njima jednostavno radi, da dobro "pokrivaju", da su im boje stalne, da su otporni na utjecaj sredine kojima su izloženi, da se ne brišu sa ploha na koje su naneseni, da su bezopasni za okolinu, da se premazi njima mogu obnavljati bez posebnih prethodnika i sl.</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</si>
  <si>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 nije dobar radi loše podloge, neće se uzimati u obzir. Na neuredne podloge ne može se izvoditi rad dok se podloge ne urede. Predviđa se da se svi stropovi i zidovi koji budu bojeni prethodno obrade gletaju masom i potpuno zaglade, a zatim da ih se boji disperzivnom ili perivom bojom za zidove.</t>
  </si>
  <si>
    <t>Materijal za izvedbu soboslikarskih radova treba biti prvorazredan. Na oličenim površinama ne smiju se poznati tragovi četke ili valjka, ne smije biti mrlja, a ton boje treba biti ujednačen.</t>
  </si>
  <si>
    <t>Investitor ima pravo na kontrolu kvalitete materijala kojim se radovi izvode. Ustanovi li da taj materijal ne odgovara propisanoj kvaliteti izvođač radova dužan je odstraniti lošu izvedbu i na vlastiti trošak izvesti radove sa kvalitetnim materijalom.</t>
  </si>
  <si>
    <t>O ispravnosti izvedenih površina mjerodavna je izjava nadzornog inženjera.</t>
  </si>
  <si>
    <t>Sve podloge moraju biti očišćene od prašine i ostalih prljavština. Bojiti je dozvoljeno samo suhu i pripremljenu podlogu.</t>
  </si>
  <si>
    <t>Osnovni premazi moraju se tako odabrati da su podesni za slijedeće premaze koji se predviđaju.</t>
  </si>
  <si>
    <t>Probni premazi moraju se po želji investitora izvesti za sve premaze.</t>
  </si>
  <si>
    <t>U jediničnu cijenu svake vrste radova treba uključiti: osnovni i pomoćni materijal, rastur materijala, transport do gradilišta i na gradilištu, trošak za izradu ili oštećenje skele i ostalih pomoćnih konstrukcija, trošak održavanja kvalitete izvedenog rada i zaštite dopremljenog materijala na gradilište, uklanjanja nečistoća ili šteta prouzrokovanih vlastitim radom, kao i trošak otpreme materijala. Jedinična cijena prema tome treba obuhvatiti sve troškove za izvedbu jedinice vrste rada prema opisu u troškovniku.</t>
  </si>
  <si>
    <t>U jediničnoj cijeni pojedinih stavaka obračunata je i upotreba svih skela bez obzira na visinu i drugih pomagala kod rada.</t>
  </si>
  <si>
    <t>Zidove i stropove treba  bojati, kad su potpuno suhi, a prije bojanja treba zakrpati sve eventualne rupe, pukotine ili krhotine, a podlogu pripremiti prema tehnologiji proizvođača boja i lakova.</t>
  </si>
  <si>
    <t>Dok radovi traju, izvođač je dužan zaštititi od oštećenja ili prljanja sve ostale građevinske dijelove i opremu (podove, stakla, vrata I sl.).</t>
  </si>
  <si>
    <t>U jediničnoj cijeni kod bojenja i ličenja na novom zidu i stropu uključeno je prema uputama prizvođača boje :</t>
  </si>
  <si>
    <t>Priprema podloge:</t>
  </si>
  <si>
    <t>Čišćenje površine od prašine i eventualno potrebni popravci na podlozi.</t>
  </si>
  <si>
    <t>Impregnacija:</t>
  </si>
  <si>
    <t>A/ Impregnacija za vapnene i produžne žbuke</t>
  </si>
  <si>
    <t>B/ Impregnacija za gipskartonske ploče, gipsvapnene žbuke, beton i YTONG blokovi</t>
  </si>
  <si>
    <t>Međusloj:</t>
  </si>
  <si>
    <t>- Gipskartonske ploče i produžna žbuka koju treba  zagladiti - impregniranu podlogu zagladiti glet masom u dva sloja</t>
  </si>
  <si>
    <t>Završno ličenje bojom:</t>
  </si>
  <si>
    <t>u dva sloja ili tri sloja, ovisno o boji i pokrivanju.</t>
  </si>
  <si>
    <t>Ličenje drvenih površina:</t>
  </si>
  <si>
    <t>Impregnacija površine FUGNICIDNOM IMPREGNACIJOM BEZBOJNOM</t>
  </si>
  <si>
    <t>Zaglađivanje površina, saniranje rešaka na spojevima i popravak neravnina KITOM ZA LOPATICE</t>
  </si>
  <si>
    <t>Predličenje TEMELJOM BIJELIM za vanjsku stolariju u dva sloja ili za unutarnju u jednom sloju, odnosno predličenje u drugoj boji prema odabiru projektanta.</t>
  </si>
  <si>
    <t>Završno ličenje u dva sloja.</t>
  </si>
  <si>
    <t>Ličenje metalnih površina:</t>
  </si>
  <si>
    <t>Sve površine koje se liče moraju biti očišćene od rđe i masnoće. Sve čelične konstrukcije i bravarske stavke dolaze na gradilište već zaštićene dvostrukim antikorozivnim premazom, što je uključeno u navedenim radovima, te se u ličilačkim radovima predviđa samo završno ličenje u dva sloja, po potrebi razjeđenom RAZRJEÐIVAČEM .</t>
  </si>
  <si>
    <t>Kod ličenja postojećih konstrukcija treba skinuti rðu i stari nalič  četkanjem, pjeskarenjem ili DESOL premazom, četkati i oprati podlogu, dva puta zaštititi temeljnim premazom RAPIDUR i završno ličiti    2 X LUXALOM ako nije drugačije stavkom predviđeno.</t>
  </si>
  <si>
    <r>
      <t>Obračun se vrši po Normama za soboslikarske i ličilačke radove, osnovna jedinica je m</t>
    </r>
    <r>
      <rPr>
        <i/>
        <vertAlign val="superscript"/>
        <sz val="10"/>
        <rFont val="Arial"/>
        <family val="2"/>
      </rPr>
      <t>2</t>
    </r>
    <r>
      <rPr>
        <i/>
        <sz val="10"/>
        <rFont val="Arial"/>
        <family val="2"/>
        <charset val="238"/>
      </rPr>
      <t>.</t>
    </r>
  </si>
  <si>
    <t>Dodatna napomena:</t>
  </si>
  <si>
    <r>
      <t>- otvori veličine do 3 m2 ne odbijaju se od izmjerene površine,
- kod većih otvora odbija se razlika veća od 3 m</t>
    </r>
    <r>
      <rPr>
        <i/>
        <vertAlign val="superscript"/>
        <sz val="10"/>
        <rFont val="Arial"/>
        <family val="2"/>
      </rPr>
      <t>2</t>
    </r>
    <r>
      <rPr>
        <i/>
        <sz val="10"/>
        <rFont val="Arial"/>
        <family val="2"/>
      </rPr>
      <t>,
- k</t>
    </r>
    <r>
      <rPr>
        <i/>
        <sz val="10"/>
        <rFont val="Arial"/>
        <family val="2"/>
        <charset val="238"/>
      </rPr>
      <t>ao otvori smatraju se: prozori, vrata, ugrađeni ormari i sl.</t>
    </r>
  </si>
  <si>
    <r>
      <t>- gipsane plohe (bez ukrasnih elemenata) obračunavaju se po m</t>
    </r>
    <r>
      <rPr>
        <i/>
        <vertAlign val="superscript"/>
        <sz val="10"/>
        <rFont val="Arial"/>
        <family val="2"/>
      </rPr>
      <t>2</t>
    </r>
    <r>
      <rPr>
        <i/>
        <sz val="10"/>
        <rFont val="Arial"/>
        <family val="2"/>
      </rPr>
      <t xml:space="preserve"> (bez dodataka ili odbitaka)</t>
    </r>
  </si>
  <si>
    <r>
      <t>- gipsane plohe (štukature) s glatko izvučenim i profiliranim vijencima i pojasima obračunavaju se po m</t>
    </r>
    <r>
      <rPr>
        <i/>
        <vertAlign val="superscript"/>
        <sz val="10"/>
        <rFont val="Arial"/>
        <family val="2"/>
      </rPr>
      <t>2</t>
    </r>
    <r>
      <rPr>
        <i/>
        <sz val="10"/>
        <rFont val="Arial"/>
        <family val="2"/>
      </rPr>
      <t xml:space="preserve"> , s time da se izračunatoj površini doda 50%
- gipsane plastike (štukature) s profiliranim vijencima i ukrasnom ornamentikom, obračunava se po m</t>
    </r>
    <r>
      <rPr>
        <i/>
        <vertAlign val="superscript"/>
        <sz val="10"/>
        <rFont val="Arial"/>
        <family val="2"/>
      </rPr>
      <t>2</t>
    </r>
    <r>
      <rPr>
        <i/>
        <sz val="10"/>
        <rFont val="Arial"/>
        <family val="2"/>
      </rPr>
      <t xml:space="preserve"> , s time da se izračunatoj površini doda 100%</t>
    </r>
  </si>
  <si>
    <t>Dekorativna obrada ili ukrasno slikanje stropova, svodova i stijena prostorija obračunava se paušalno, po komadu ili jednom poslu.</t>
  </si>
  <si>
    <t>Jedinična cijena sadrži:</t>
  </si>
  <si>
    <t>- sav materijal, dobavu i dopremu alata, mehanizaciju i uskladištenje</t>
  </si>
  <si>
    <t>- H42kutne lajsne i silikon,akril za fuge,kutne spojeve,spojeve oko stolarije</t>
  </si>
  <si>
    <t>- izmjere potrebne za izvedbu i obračun,</t>
  </si>
  <si>
    <t>- troškove radne snage za kompletan rad opisan u troškovniku,</t>
  </si>
  <si>
    <t>- sve horizontalne i vertikalne transporte</t>
  </si>
  <si>
    <t>- svu potrebnu radnu skelu  i poduzimanje potrebnih mjera po Pravilniku ZNR</t>
  </si>
  <si>
    <t>- čišćenje nakon završetka radova,</t>
  </si>
  <si>
    <t>- svu štetu kao i troškove popravka kao posljedica nepažnje u toku izvedbe,</t>
  </si>
  <si>
    <t>-  troškove zaštite na radu,</t>
  </si>
  <si>
    <t>- troškove atesta,</t>
  </si>
  <si>
    <t>- zaštitu okolnih konstrukcija od prljanja.</t>
  </si>
  <si>
    <t>- zaštita gotovih podova, vrata, prozora i sl.</t>
  </si>
  <si>
    <t>0.15.</t>
  </si>
  <si>
    <t>OPĆI UVJETI - PODOPOLAGAČKI RADOVI</t>
  </si>
  <si>
    <t>Prije dostavljanja ponude, ponuđač je dužan provjeriti točne količine svih stavki troškovnika.</t>
  </si>
  <si>
    <t>Prije  počatka radova, izvođač je dužan pregledati  kompletnu dokumentaciju, te sve  nejasnoće ili eventualne  neispravnosti raspraviti  s  nadzornim  inženjerom  i  projektantom.</t>
  </si>
  <si>
    <t>U jediničnu cijenu svake stavke obvezno uključiti sve mjere osiguranja prolaznika, radnika i okolnih građevina za vrijeme trajanja radova, svu potrebnu skelu, sva potrebna premještanja postojećih instalacija i dovođenje istih u prvobitno stanje po završetku radova, sve transporte materijala preostalog od rušenja, deponiranje na gradilišnoj deponiji, utovar i odvoz na gradsku deponiju koju odredi investitor, odnosno sortiranje i deponiranje na mjesto koje odredi investitor za eventualnu ponovnu ugradbu, sve dobave, prijevoze do gradilišta, horizontalne i vertikalne transporte na gradilištu, sav potreban rad, osnovni i pomoćni materijal i  pomoćne  radnje: izradu radioničke dokumentacije,  sva  ispitivanja  i  nabavu  atestne dokumentacije  na  hrvatskom  jeziku, a sve do potpune funkcionalne gotovosti svake pojedine stavke i troškovnika u cjelini - ako opisom stavke nije drugačije određeno.</t>
  </si>
  <si>
    <t>Pri izvedbi podopolagačkih radova izvođač je dužan pridržavati se svih uvjeta i opisa u troškovniku, kao i važećih propisa i to posebno:</t>
  </si>
  <si>
    <t>Pravilnik o tehničkim mjerama i uvjetima za izvedbu zgrada, (Sl. br.: 17/70),</t>
  </si>
  <si>
    <t>Pravilnik o tehničkim normativima za projektiranje i izvođenje radova u građevinarstvu, (Sl. br.: 21/90),</t>
  </si>
  <si>
    <t>Tehnički uvjeti za izvođenje podopolagačkih radova</t>
  </si>
  <si>
    <t>Posebna uputstva proizvođača</t>
  </si>
  <si>
    <t>Zakon o zaštiti na radu (NN 59/69, 94/96, 114/03 i 86/08)</t>
  </si>
  <si>
    <t>Materijali za podopolagačke radove u pogledu kakvoće moraju odgovarati svim važećim standardima i pojedinačnim standardima i normama za svaki ugrađeni materijal koji je sastavni dio podova.</t>
  </si>
  <si>
    <t>Sav pomoćni materijal (ljepila, mase za izravnanje, premazni profili trake za varenje, paste za zavarivanje) koji nije obuhvaćen standardima mora imati ateste od za to ovlaštenih ustanova.</t>
  </si>
  <si>
    <t>Za izradu ponude i izvođenje podova ponuditelj je dužan primjeniti relevantne propise i norme važeće u Republici Hrvatskoj, kao i međunarodno priznate norme za područja koja nisu pokrivena normama u Republici Hrvatskoj ili garantiraju viši nivo kvalitete od HRN.</t>
  </si>
  <si>
    <t>Ukoliko neka od podnih obloga nema standard proizvoditelj je dužan certifikatom potvrditi slijedeće karakteristike: dimenzije, dimenzionalnu stabilnost, postojanost prema svijetlu, zapaljivost, klizavost, provodljivost (električnai sl.), ujednačnost površina.</t>
  </si>
  <si>
    <t>Radovi na polaganju podova mogu se izvoditi nakon što su provjereni svi potrebni uvjeti, kao što su kvaliteta podloge, vlažnost, temperatura u prostorijama, kao i svi ostali uvjeti koje traži izvoditelj pojedinih vrsta radova.</t>
  </si>
  <si>
    <t>Obračun izvršenih radova izvršiti će se prema jedinici mjera u troškovniku, važećim normama, tehničkim uvjetima za pojedine vrste podova i izmjeri na licu mjesta.</t>
  </si>
  <si>
    <t>Jedinična cijena sadrži sav potreban materijal i pribor, sav potreban rad, transport do gradilišta i na gradilištu, kao i sva sredstva zaštite na radu radnika na gradilištu.</t>
  </si>
  <si>
    <t>Prije nabave podnih obloga na gradilište, potrebno je da izvoditelj radova predoči projektantu uzorke zbog odabiranja, te da provjeri sve potrebne količine.</t>
  </si>
  <si>
    <t>Izvoditelj je dužan do primopredaje radova zaštititi postavljene podove od oštećenja i onečišćenja.</t>
  </si>
  <si>
    <t>Izvođač je dužan prije početka radova provjeriti na licu mjesta uvjete za izvođenje: ispravnost mjera podloga i otvora ravninu podloge, kvaliteta podloge te o nepravilnostima izvijestiti Nadzornog inženjera i Investitora. Naknadno pozivanje na kvalitetu podloge neće se uvažavati. Evenatualne neravnine mogu biti najviše 1 cm/m2 za podno oblaganje. Sve podloge za polaganje podnih obloga potrebno je fino izravnati sa masom za izravnanje.</t>
  </si>
  <si>
    <t>Eventualne izmjene materijala, te način izvedbe tokom gradnje moraju se izvršiti isključivo pismenim dogovorom s projektantom i nadzornim inženjerom.</t>
  </si>
  <si>
    <t>Obračun podopolagačkih radova vrši se po metru kvadratnom, uključujući sav materijal, rad, pribor za izvođenje i skelu, ako u opisu stavke nije drugačije navedeno.</t>
  </si>
  <si>
    <t>- sav materijal uključivo doprema na gradilište, uskladištenje, te donos na mjesto ugradbe,
- sav rad, uključivo pomoćni,
- izmjere potrebne za izvedbu i obračun,
- poduzimanje mjera po HTZ i drugim postojećim propisima,
- dovođenje vode, plina i struje od priključka na gradilištu do mjesta potrošnje,
- korištenje mehanizacije i alata,
- davanje uzoraka
- osvjetljavanje, grijanje i čišćenje prostorija za boravak i sanitarije radnika,
- uklanjanje svih otpadaka nakon izvedenih radova,
- zaštita gotovih podova,vrata, prozora i sl,
- isporuka pogonskog materijala,
- sve predradnje, popravljanje malih neravnina, fino čišćenje, kitanje rupica od čavala i sl, izrada probnih premaza itd.
- skidanje i ponovno postavljanje vrata, prozora i sl. radi premazivanja,
- provjetravanje prostorija radi sušenja,
- zatvaranje prostorija i zaštita izvedenih radova do primopredaje,
- uspostavljanje i napuštanje gradilišta.</t>
  </si>
  <si>
    <t>Parketi se polažu u prostorijama gdje je to projektom predviđeno. Izvođenje parketarskih radova mora biti u skladu sa standardima HRN U.F2.016.</t>
  </si>
  <si>
    <t>Sav materijal za izradu parketarskih radova mora zadovoljavati odgovarajuće propise i standarde:</t>
  </si>
  <si>
    <t>parket 
HRN D.D5.020,  043  (hrast),</t>
  </si>
  <si>
    <t>HRN D.D5.041   (bukva),</t>
  </si>
  <si>
    <t>HRN D.D5.042    (jasen)</t>
  </si>
  <si>
    <t>lamelni parket u pločama</t>
  </si>
  <si>
    <t>HRN D.D5.021, 022  (hrast),</t>
  </si>
  <si>
    <t>HRN D.D5.023  (bukva),</t>
  </si>
  <si>
    <t>HRN D.D5.024   (jasen),</t>
  </si>
  <si>
    <t>HRN D.D5.025   (bijeli i crni bor).</t>
  </si>
  <si>
    <t>Sav materijal (ljepila, lakovi, bitumeni za parket i ostalo), koji nisu obuhvaćeni standardima moraju imati ateste od za to ovlaštenih ustanova.</t>
  </si>
  <si>
    <t>Ako koja stavka nije izvođaču jasna, mora prije predaje ponude tražiti objašnjenje od projektanta. Eventualne izmjene materijala, te način izvedbe tokom gradnje moraju se izvršiti isključivo pismenim dogovorom s projektantom i nadzornim inženjerom. Sve više radnje koje neće biti na taj način utvrđene neće se priznati u obračun.</t>
  </si>
  <si>
    <t>Prije polaganja parketa izvođač je dužan ispitati ispravnost podloge na koju se trebaju polagati parketi. Za svaku neispravnost  treba upozoriti odmah pismeno izvođača građevinskih radova i zatražiti popravak. Ako izvođač položi parket na neispravnu podlogu, skidanje i ponovno polaganje parketa ide na račun izvođača parketarskih radova.</t>
  </si>
  <si>
    <t>Ako nije u troškovniku drugačije naznačeno, prijelaz iz prostorije u prostoriju istog nivoa učiniti kontinuirano bez prekida i praga.</t>
  </si>
  <si>
    <t>0.16.</t>
  </si>
  <si>
    <t>OPĆI UVJETI - ALUMINIJSKA BRAVARIJA</t>
  </si>
  <si>
    <t>Izvoditelj se obvezuje izraditi i ugraditi aluminijske elemente do potpune gotovosti, u već provjerenom i certificiranim sustavima - referentni sustavi su Reynaers aluminium ili jednakovrijedno, te se od njega očekuje visoka kvaliteta izvedbe. Prije početka radova, izvoditelj je dužan izvršiti pripremne radnje propisane Zakonom o gradnji (NN br.153/13 i 17/20) i Zakonom zaštite na radu (NN 071/2014). Sva tehnička rješenja koja izvoditelj predlaže i primjenjuje moraju biti usklađena s HRN-ma i propisima te usvojenim EN (kada je zakonom utvrđena njihova obvezna primjena), a u u ostalom dijelu primjenjuju se sljedeće EN:</t>
  </si>
  <si>
    <t>Tehnički propis za prozore i vrata - NN 69/2006.</t>
  </si>
  <si>
    <t>HRN U.J6.151/82 – Akustika u građevinarstvu. Standardne vrijednosti za ocijenu zvučne izolacije.</t>
  </si>
  <si>
    <t>HRN U.J6.201/89 – Akustika u građevinarstvu. Tehnički uvjeti za projektiranje i građenje zgrada.</t>
  </si>
  <si>
    <t>Tehnički propis za staklene konstrukcije (NN 53/2017)</t>
  </si>
  <si>
    <t>Tehnički propis za aluminijske konstrukcije (NN 80/2013)</t>
  </si>
  <si>
    <t>Tehnički propis o racionalnoj uporabi energije i toplinskoj zaštiti u zgradama (NN 128/2015)</t>
  </si>
  <si>
    <t>Zakon o zaštiti od buke (NN 30/2009)</t>
  </si>
  <si>
    <t>Zakon o izmjenama i dopunama Zakona o zaštiti od buke (NN 55/2013)</t>
  </si>
  <si>
    <t>Zakon o izmjenama i dopunama Zakona o zaštiti od buke (NN 153/2013)</t>
  </si>
  <si>
    <t>Zakon o izmjenama i dopunama Zakona o zaštiti od buke (NN 41/2016)</t>
  </si>
  <si>
    <t>HRN EN 14351-1:2006</t>
  </si>
  <si>
    <t>Prozori i vrata -- Norma za proizvod, izvedbene značajke -- 1.dio: Prozori i vanjska pješačka vrata (EN 14351-1:2006+A2:2016)</t>
  </si>
  <si>
    <t>HRN EN 12020-1:2008</t>
  </si>
  <si>
    <t>aluminij i aluminijske legure EN AW6060 (sukladno EN 573-3)</t>
  </si>
  <si>
    <t>HRN EN 15088; 2008</t>
  </si>
  <si>
    <t>proizvodi za izradu konstrukcija u graditeljstvu</t>
  </si>
  <si>
    <t>HRN EN 485-1: 2008
HRN EN 485-2; 2009
HRN EN 485-3: 2008
HRN EN 485-4: 2001</t>
  </si>
  <si>
    <t>aluminij i aluminijske legure - limovi, trake i ploče</t>
  </si>
  <si>
    <t>HRN EN 14024: 2008</t>
  </si>
  <si>
    <t>metalni profili s prekinutim toplinskim mostom</t>
  </si>
  <si>
    <t>HRN EN 14351-1: 2010</t>
  </si>
  <si>
    <t>prozori i vrata, izvedbene značajke</t>
  </si>
  <si>
    <t>HRN EN 1026:2001</t>
  </si>
  <si>
    <t>prozori i vrata, propusnost zraka</t>
  </si>
  <si>
    <t>HRN EN 1027: 2001</t>
  </si>
  <si>
    <t>prozori i vrata, vodonepropusnost</t>
  </si>
  <si>
    <t>HRN EN 1191:2001</t>
  </si>
  <si>
    <t>prozori i vrata, otpornost na uzastopno otvaranje i zatvaranje</t>
  </si>
  <si>
    <t>HRN EN 1192:2001</t>
  </si>
  <si>
    <t>Vrata – Razredba zahtjeva čvrstoće (EN 1192:1999)</t>
  </si>
  <si>
    <t>HRN EN 1529:2001  </t>
  </si>
  <si>
    <t> Vratna krila – Visina, širina, debljina i pravokutnost – Razredba dopuštenih odstupanja  (EN 1529:1999)</t>
  </si>
  <si>
    <t>HRN EN 1530:2001</t>
  </si>
  <si>
    <t>Vratna krila – Opća i lokalna ravnost – Razredba dopuštenih odstupanja (EN 1530:1999)</t>
  </si>
  <si>
    <t>HRN EN 12207:2017</t>
  </si>
  <si>
    <t>Prozori i vrata -- Propusnost zraka -- Razredba (EN 12207:2016)</t>
  </si>
  <si>
    <t>HRN EN 12208:2001</t>
  </si>
  <si>
    <t>Prozori i vrata – Vodonepropusnost – Razredba (EN 12208:1999)</t>
  </si>
  <si>
    <t>HRN EN 12210:2016</t>
  </si>
  <si>
    <t>Prozori i vrata -- Otpornost na opterećenje vjetrom -- Razredba (EN 12210:2016)</t>
  </si>
  <si>
    <t>HRN EN 12217:2015</t>
  </si>
  <si>
    <t>Vrata -- Sile otvaranja i zatvaranja -- Zahtjevi i razredba (EN 12217:2015)</t>
  </si>
  <si>
    <t>HRN EN 12219:2001</t>
  </si>
  <si>
    <t>Vrata – Klimatski utjecaji – Zahtjevi i razredba (EN 12219:1999)</t>
  </si>
  <si>
    <t>HRN EN 12608-1:2016</t>
  </si>
  <si>
    <t>Profili od neomekšanog poli(vinil-klorida) (PVC-U) za izradu prozora i vrata -- Razredba, zahtjevi i metode ispitivanja -- 1. dio: Nezaštićeni PVC-U profili svijetlih površina (EN 12608-1:2016)</t>
  </si>
  <si>
    <t>HRN EN 13115:2008</t>
  </si>
  <si>
    <t>Prozori – Razredba mehaničkih svojstava – Vertikalno opterećenje, torzija i sile otvaranja i zatvaranja (EN 13115:2001)</t>
  </si>
  <si>
    <t>HRN EN 179:2001</t>
  </si>
  <si>
    <t>Građevni okovi -- Naprave izlaza za nuždu s kvakom ili pritisnom pločom za upotrebu na evakuacijskim putovima -- Zahtjevi i ispitne metode (EN 179:2008)</t>
  </si>
  <si>
    <t>HRN EN 1125:2008   </t>
  </si>
  <si>
    <t>Građevni okovi -- Dijelovi izlaza za nuždu s pritisnom šipkom za upotrebu na evakuacijskim putovima -- Zahtjevi i ispitne metode (EN 1125:2008)</t>
  </si>
  <si>
    <t>HRN EN ISO 10077-1:2008</t>
  </si>
  <si>
    <t>Toplinska svojstva prozora, vrata i zaslona -- Proračun koeficijenta prolaska topline -- 1. dio: Općenito (ISO 10077-1:2006; EN ISO 10077-1:2006)</t>
  </si>
  <si>
    <t>HRN EN ISO 10077-1:2008/Ispr.1:2010</t>
  </si>
  <si>
    <t>Toplinska svojstva prozora, vrata i zaslona -- Proračun koeficijenta prolaska topline -- 1. dio: Općenito (ISO 10077-1:2006/Cor 1:2009; EN ISO 10077-1:2006/AC:2009)</t>
  </si>
  <si>
    <t>HRN EN ISO 10077-2:2012</t>
  </si>
  <si>
    <t>Toplinske značajke prozora, vrata i zaslona -- Proračun koeficijenta prolaska topline -- 2. dio: Numerička metoda za okvire (ISO 10077-2:2012; EN ISO 10077-2:2012)</t>
  </si>
  <si>
    <t>HRN EN ISO 10077-2:2012/Ispr.1:2012</t>
  </si>
  <si>
    <t>Toplinske značajke prozora, vrata i zaslona -- Proračun koeficijenta prolaska topline -- 2. dio: Numerička metoda za okvire (ISO 10077-2:2012/Cor 1:2012; EN ISO 10077-2:2012/AC:2012)</t>
  </si>
  <si>
    <t>ZAJEDNIČKE ZNAČAJKE SUSTAVA:</t>
  </si>
  <si>
    <t>Prolaz topline sukladno građevinskoj fizici:</t>
  </si>
  <si>
    <t>Pr1 - prozirne konstrukcije, koeficijent prolaza topline cijelog otvora uključivo okvir najviše Uw ≤ 1,6 W/m²K.</t>
  </si>
  <si>
    <t>Pr2 - prozirne konstrukcije, staklena stijena &gt; 15 m², koeficijent prolaza topline cijelog otvora uključivo okvir najviše Uw ≤ 1,3 W/m²K.</t>
  </si>
  <si>
    <t>Aluminijski profili napravljeni su od legureAlMgSi0.5F22 ( EN-AW6060 I AW 6063 sukladno sEN 573-3 s dodatnim zahtjevima na otpornost od korozije: Zn ≤ 0.15%, Cu ≤ 0.02%, Pb ≤ 0.022%, Si: 0.30 – 0.55%, Fe: 0.10 – 0.30%, Mg: 0.35 – 0.60%, Mn ≤ 0.10%,  Cr ≤ 0.05%, Ti ≤ 0.10%, ostali elementi pojedinačno ≤ 0.05%, zajedno ≤ 0.15%.</t>
  </si>
  <si>
    <t>Mehaničke značajke odgovaraju standardu EN 755-2 s naknadnom obradom T66 ili standardu DIN 1748-1 s F22. Dozvoljena odstupanja temelje se na standardu EN 12020-2 ili DIN 17615-3.</t>
  </si>
  <si>
    <t>Tolerancija oblika profila prema DIN 17 615 i EN 2020-2</t>
  </si>
  <si>
    <t>Izvođač daje 10-godišnje jamstvo na aluminijske profile, brtve i zavšnu obradu (plastifikacija ili eloksaža), 5-godišnje jamstvo na pokretne dijelove (okov).</t>
  </si>
  <si>
    <t>Profili moraju imati jamstvo od 10 godina na završnu obradu koja uključuje ljuštenje boje ili stvaranje mjehura ispod nje, otpornost na UV zrake - blijeđenje boje ili gubitak sjaja. Radi postizanja traženog jamstva profili moraju prije plastifikacije biti predeloksirani u kvaliteti Seaside PA i plastifikacija minimalno 60 µm sukladno Qualicoat i Qualianod smjernicama. U ovisnosti o odabranom načinu završne obrade jamstvo se može i produžiti.</t>
  </si>
  <si>
    <t>Prozori i vrata s prekinutim toplinskim mostom:</t>
  </si>
  <si>
    <t>Sustav aluminijskih profila s dubinom ugradnje doprozornika 68 mm i prozorskog krila 77 mm; krilo preklapa doprozornik za 5 mm. Najmanja vidljiva širina doprozornika u pogledu iznosi 51 mm. Vanjska i unutarnja polovica aluminijskog profila spojene su s višekomornim poliamidnim trakama omega oblika koje su ojačane staklenim vlaknama. Ostakljivanje se vrši uz pomoć višekomornih EPDM brtvi ili neutralnim silikonom. Referentni sustav je Reynaers CS 77 ili jednakovrijedno.</t>
  </si>
  <si>
    <t>Toplinska svojstva profila:Uf=1,2 W/m²K; u ovisnosti od odabrane kombinacije doprozornik/krilo.</t>
  </si>
  <si>
    <t>Zvučna zaštita: Rw(C;Ctr) = 36 (-1;-4) dB / 42 (-2; -4) dB sukladno EN ISO 140-3; EN ISO 717-1 te u ovisnosti od odabrane kombinacije doprozornik/krilo i odabranom staklu.</t>
  </si>
  <si>
    <t>Zrakopropusnost: razred 4 (600 Pa) sukladno EN 1026; EN 12207</t>
  </si>
  <si>
    <t>Vodotijesnost: razred E900 (900 Pa) sukladno EN 1027; EN 12208</t>
  </si>
  <si>
    <t>Otpornost na udare vjetra: razred 5 (2000 Pa) sukladno EN 12211; EN 12210</t>
  </si>
  <si>
    <t>Otpornost na udare vjetra (deformacija doprozornika): razred C (≤1/300) sukladno EN 12211; EN 12210</t>
  </si>
  <si>
    <t>Protuprovalnost (u ovisnosti o zahtjevima): RC 2 ili RC 3 sukladno EN 1627; EN 1628; EN 1630</t>
  </si>
  <si>
    <t>Sustav aluminijskih profila s dubinom ugradnje doprozornika 76 - 99 mm i prozorskog krila je za 72 - 86 mm; krilo preklapa doprozornik za 5 mm. Vidljiva širina doprozornika u pogledu iznosi 33.5 mm. Vanjska i unutarnja polovica aluminijskog profila spojene su s poliamidnim trakama omega oblika koje su ojačane staklenim vlaknama. Ostakljivanje je moguće uz pomoć EPDM brtvi ili neutralnim silikonom. Referentni sustav je Reynaers SL 38 ili jednakovrijedno.</t>
  </si>
  <si>
    <t>Toplinska svojstva profila: Uf=1,7 W/m²K, Uw≤1,4 W/m²K sa staklom Ug=1,1 W/m²K za prozor 1,23x1,48m,</t>
  </si>
  <si>
    <t>Zvučna zaštita:Rw(C;Ctr) = 38 (-1;-4) dB / 45 (-1; -5) dB sukladno EN ISO 140-3; EN ISO 717-1 te u ovisnosti od odabrane kombinacije doprozornik/krilo i odabranom staklu.</t>
  </si>
  <si>
    <t>Vodotijesnost:razred 9A (600 Pa) sukladno EN 1027; EN 12208</t>
  </si>
  <si>
    <t>Otpornost na udare vjetra:  razred 4 (1600 Pa) sukladno EN 12211; EN 12210</t>
  </si>
  <si>
    <t>Otpornost na udare vjetra (deformacija doprozornika):razred C (≤1/300) sukladno EN 12211; EN 12210</t>
  </si>
  <si>
    <t>Protuprovalnost (u ovisnosti o zahtjevima): do RC 2 sukladno EN 1627; EN 1628; EN 1630</t>
  </si>
  <si>
    <t>Vatrootporna i dimoneporpusna vrata s prekinutim toplinskim mostom:</t>
  </si>
  <si>
    <t>Sustav aluminijskih profila s prekinutim toplinskim mostom i dubinom ugradnje 68 mm. Vatrootpornost se postiže ispunama u aluminijskim profilima koje kompenziraju toplinu i samoljepljivim, vodootpornim, bubrećim brtvama koje nije potrebno vulkanizirati nakon ugradnje što smanjuje vrijeme izrade i troškove. Ostakljivanje moguće pomoću EPDM brtvi, moguće je ugraditi staklo debljine 15 do 52 mm. Referentni sustav aluminijskih profila Reynaers Aluminium CS 77-FP.</t>
  </si>
  <si>
    <t>Europski certifikati: EN 1364-1</t>
  </si>
  <si>
    <t>Standard za klasifikaciju: EN 13501-2</t>
  </si>
  <si>
    <r>
      <t>Razredi vatrootpornosti: CS 77-FP EI30: EW30, E30, EI</t>
    </r>
    <r>
      <rPr>
        <i/>
        <vertAlign val="subscript"/>
        <sz val="10"/>
        <rFont val="Arial"/>
        <family val="2"/>
        <charset val="238"/>
      </rPr>
      <t>1</t>
    </r>
    <r>
      <rPr>
        <i/>
        <sz val="10"/>
        <rFont val="Arial"/>
        <family val="2"/>
        <charset val="238"/>
      </rPr>
      <t>30, EI</t>
    </r>
    <r>
      <rPr>
        <i/>
        <vertAlign val="subscript"/>
        <sz val="10"/>
        <rFont val="Arial"/>
        <family val="2"/>
        <charset val="238"/>
      </rPr>
      <t>2</t>
    </r>
    <r>
      <rPr>
        <i/>
        <sz val="10"/>
        <rFont val="Arial"/>
        <family val="2"/>
        <charset val="238"/>
      </rPr>
      <t>30, CS 77-FP EI60: EI45, EW60, E60, EI60</t>
    </r>
  </si>
  <si>
    <t>Protuprovalnost (u ovisnosti o zahtjevima): do RC 2 sukladno EN 1627</t>
  </si>
  <si>
    <t>Prozori i vrata bez prekinutig toplinskog mosta:</t>
  </si>
  <si>
    <t>Sustav aluminijskih profila sa prekinutim toplinskim mostom s dubinom ugradnje doprozornika 50 mm i prozorskog krila 59 mm; krilo preklapa doprozornik za 5 mm. Vidljiva širina doprozornika u pogledu iznosi 49 mm. Ostakljivanje je moguće uz pomoć EPDM brtvi ili neutralnim silikonom. Referentni sustav je Reynaers CS 59Pa ili jednakovrijedno.</t>
  </si>
  <si>
    <t>Zvučna zaštita:Rw(C;Ctr) = 36 (-1;-3) dB / 44 (-2; -4) dB sukladno EN ISO 140-3; EN ISO 717-1 te u ovisnosti od odabrane kombinacije doprozornik/krilo i odabranom staklu.</t>
  </si>
  <si>
    <t>Zrakopropusnost:razred 4 (600 Pa) sukladno EN 1026; EN 12207</t>
  </si>
  <si>
    <t>Vodotijesnost: razred E750 (750 Pa) sukladno EN 1027; EN 12208</t>
  </si>
  <si>
    <t>Otpornost na udare vjetra (deformacija doprozornika):  razred C (≤1/300) sukladno EN 12211; EN 12210</t>
  </si>
  <si>
    <t>Protuprovalnost (u ovisnosti o zahtjevima): RC 2 sukladno EN 1627; EN 1628; EN 1630</t>
  </si>
  <si>
    <t>Klizne stijene:</t>
  </si>
  <si>
    <t>Sustav aluminijskih profila s dubinom ugradnje doprozornika 120 - 176 mm i kliznog krila 64 mm. Vidljiva širina doprozornika u pogledu iznosi 68 mm, a krila 34 mm. Vanjska i unutarnja polovica aluminijskog profila spojene su s poliamidnim trakama koje su ojačane staklenim vlaknama. Ostakljivanje je moguće uz pomoć EPDM brtvi. Referentni sustav je Reynaers SlimPatio 68 ili jednakovrijedno.</t>
  </si>
  <si>
    <t>Najveća dozvoljena visina kliznog krila: 2.700 mm</t>
  </si>
  <si>
    <t>Najveća dozvoljena masa kliznog krila: 250 kg</t>
  </si>
  <si>
    <t>Dubina utora za staklo: 18 mm</t>
  </si>
  <si>
    <t>Debljina ispune: 24 do 36 mm</t>
  </si>
  <si>
    <t>Toplinska svojstva profila: Uf ≥ 2,4 W/m²K (ovisno o odabranoj kombinaciji profila), Uw ≥ 1,4 W/m²K sa staklom Ug=0,8 W/m²K za element veličine 3.000 x 2.500 mm,</t>
  </si>
  <si>
    <t>Zvučna zaštita: Rw(C;Ctr) = 40 (-2;-4) dB sukladno EN ISO 140-3; EN ISO 717-1 te u ovisnosti od odabrane kombinacije doprozornik/krilo i odabranom staklu.</t>
  </si>
  <si>
    <t>Vodotijesnost: razred 8A (450 Pa) sukladno EN 1027; EN 12208</t>
  </si>
  <si>
    <t>Otpornost na udare vjetra: razred 4 (1600 Pa) sukladno EN 12211; EN 12210</t>
  </si>
  <si>
    <t>Otpornost na udare vjetra (deformacija doprozornika):  razred B5 2.000 Pa (≤1/300) sukladno EN 12211; EN 12210</t>
  </si>
  <si>
    <t>Fasadne stijene:</t>
  </si>
  <si>
    <t>Sustav aluminijskih, horizontalnih i vertikalnih, pravokutnih profila s dubinom ugradnje sukladno statici, a vidljivom širinom 50 mm s vanjske strane (aluminijski ukrasni pokrovni profil) odnosno 50 mm s unutarnje strane (pravokutni aluminijski nosivi profili). U fasadu su ugrađeni prozori, vrata i klizne stijene čije vanjska i unutarnja polovica aluminijskog profila su spojene s poliamidnim trakama omega oblika koje su ojačane staklenim vlaknama. Ostakljivanje se vrši ugradnjom stakala uz korištenje EPDM brtvi i pričvrstnog aluminijskog profila preko kojeg se postavlja ukrasni profil u obliku i završnoj obradi prema izboru naručitelja. Referentni sustav je Reynaers CW 50 ili jednakovrijedno.</t>
  </si>
  <si>
    <t>Toplinska svojstva profila:do Uf=0,56 W/m²K, Ucw≤0,9 - 1,15 W/m²K sa staklom Ug=0,7 W/m²K</t>
  </si>
  <si>
    <t>Debljina ispune polja:od 6 do 61 mm</t>
  </si>
  <si>
    <t>Zvučna zaštita:  Rw(C;Ctr) = 33 (-1;-3) dB / 60 (-2; -6) dB sukladno EN ISO 140-3; EN ISO 717-1, sve u ovisnosti o odabrane kombinacije profila.</t>
  </si>
  <si>
    <t>Zrakopropusnost: razred AE1950 (1950 Pa) sukladno EN 12153, EN 12152</t>
  </si>
  <si>
    <t>Vodotijesnost: razred RE1950 (1950 Pa) sukladno EN 12155, EN 12154</t>
  </si>
  <si>
    <t>Otpornost na opterećenje vjetrom:  2.400 Pa (najveća ispitana vrijednost) sukladno EN 12179, EN 13116</t>
  </si>
  <si>
    <t>Otpornost na udar: I5/E5 sukladno EN 12600, EN 14019</t>
  </si>
  <si>
    <t>Protuprovalnost (u ovisnosti o zahtjevima): do WK3/RC3 sukladno EN 1627 do EN 1630</t>
  </si>
  <si>
    <t>Sve sudare i uglovne spojeve izvoditelj je dužan izvesti standardnim Al plastificiranim ili PVC završnim profilima i zapuniti iste akrilnim kitom čitavom duljinom.  Svi spojevi bandažirani, kitani i brušeni, u svemu spremni za bojanje, izuzev završnog akliriranja oko stolarije, vrata i parketnih lajsni.</t>
  </si>
  <si>
    <t>Ako je opis koje stavke izvođaču nejasan, treba pravovremeno prije predaje ponude tražiti objašnjenje od naručitelja. Eventualne izmjene materijala, te način izvedbe tokom gradnje moraju se izvršiti isključivo pismenim dogovorom s projektantom i nadzornim inženjerom. Sve više radnje koje neće biti na taj način utvrđene neće se priznati u obračun.</t>
  </si>
  <si>
    <t>NAPOMENA:</t>
  </si>
  <si>
    <t>U popisu radova, potrebno je provjeriti da li su sve pozicije potpune, prema pravilima struke i da li su točno predviđene za opisanu namjenu. Eventualne izmjene i dopune pozicija moraju se ovjeriti od strane naručitelja i investitora.</t>
  </si>
  <si>
    <t>Dokumentacija, predviđena za aluminijske konstrukcije na objektu, je obvezna prvenstveno zbog vizualno-arhitektonskog izgleda objekta, kao i razrade obrtničkog detalja, odnosno metodologije pričvršćenja pojedinih elemenata na ab konstrukciju.</t>
  </si>
  <si>
    <t>Proizvođač odnosno dobavitelj profilacije, mora po zahtjevu investitora priložiti ISO-9000 certifikacijsku dokumentaciju.</t>
  </si>
  <si>
    <t>Uglovni spojevi moraju u poprečnom presjeku odgovarati unutarnjim konturama profila. Svi spojevi moraju biti mehanički pričvršćeni i zapunjeni ljepilom. Pri spojevima pod 45°mora biti precizno izvedeno lijepljenje uglovnog spojnika i mjesta pričvršćenja profila. Kod T-spojeva i križnih spojeva mora se spriječiti prodor vode u konstrukciju. Radi spriječavanja korozije, a prije spajanja profila u cjelinu, rezovi profila moraju biti premazani zaštitnim sredstvom protiv korozije (npr. Reynaprotector odnosno Reynastick).</t>
  </si>
  <si>
    <t>Za lijepljenje se mora upotrijebiti dvokomponentno ljepilo za metale. Spojevi moraju ispunjavati zahtjeve o trajnoj čvrstoći i krutosti duž cijelog presjeka profila.</t>
  </si>
  <si>
    <t>Upotrijebiti se moraju originalna sistemska brtvila. Brtve moraju biti lako zamjenjive, uglovni spojevi brtvi moraju biti vulkanizirani.</t>
  </si>
  <si>
    <t>Radi lakšeg održavanja i zamjene okova svi profili moraju imati Euro-žlijeb.</t>
  </si>
  <si>
    <t>Završna obrada okova prema izboru projektanta i naručitelja.</t>
  </si>
  <si>
    <t/>
  </si>
  <si>
    <t>GRAĐEVINSKO-FIZIKALNI UVJETI</t>
  </si>
  <si>
    <t>DILATACIJE</t>
  </si>
  <si>
    <t>U području konstrukcijski planiranih fuga, mora se voditi računa o nesmetanim pomacima aluminijske konstrukcije, da pri tome ne bi došlo do stvaranja zvuka.</t>
  </si>
  <si>
    <t>BRTVLJENJE PRIKLJUČKA NA GRAĐEVINSKU KONSTRUKCIJU</t>
  </si>
  <si>
    <t>Ispuna između slijepih okvira i građevinske konstrukcije, kako i između aluminijskih okvira i slijepih okvira, mora ispunjavati građevinsko-fizikalne zahtjeve.</t>
  </si>
  <si>
    <t>Pri odabiru ispune (brtvenog materijal) potrebno je pridržavati se zahtjeva o izolacijskoj zaštiti, zaštiti od vlage, zaštiti od kiše, protupožarnoj zaštiti i dilatacijama. Ukoliko je brtvljenje sa građevinskom konstrukcijom izvedena elastičnim materijalima, moraju biti poštivane sve upute proizvođača. Izvedba brtve mora se obavljati samo pri za to predviđenim vremenskim uvjetima ovisno o odabiru materijala. Pri odabiru širine fuge potrebno je pridržavati se dopuštenih ekstremnih deformacija brtvenog materijala.</t>
  </si>
  <si>
    <t>IZOLACIJSKI MATERIJALI</t>
  </si>
  <si>
    <t>Dozvoljena je upotreba samo negorivih izolacijskih materijala, koji su otporni na vremenske uvjete, temperaturne oscilacije, vlagu i plijesan. Za učinkovitu zaštitu mora biti spriječen prodor vlage u izolaciju.</t>
  </si>
  <si>
    <t>Prostor između slijepih okvira i građevinske konstrukcije mora biti zapunjen izolacijskim materijalima, koji su otporni na habanje.</t>
  </si>
  <si>
    <t>Na spojevima sa ab konstrukcijom, bez obzira na tip montaže, obavezno ugraditi vodonopropusnu foliju (proizvođač WURTH). Izbor vodonepropusne i paronepropusne folije vrši se prema elementima proračuna građevinske fizike, prema uputama proizvođača i vremenskim uvjetima ugradnje. Izbor vodonepropusne i paronepropusne folije vrši se prema elementima proračuna građevinske fizike, prema uputama proizvođača i vremenskim uvjetima ugradnje.</t>
  </si>
  <si>
    <t>S unutarnje strana fasade potrebno je na mjestima  priključaka osigurati paronepropusnost te sa vanjske strane vodonepropusnost. Posebno treba obratiti pažnju na područje u nivou prizemlja na način da Izvoditelj nadzornom inženjeru dostavi potvrdu proizvođača o izdržljivosti folije,a sve prije ugradnje. Na području pragova potrebno je postaviti pocinčanu traku preko folije, koja omogućuje rad,da ne bi došlo do pucanja pri temperaturnim promjenama.</t>
  </si>
  <si>
    <t>Vodonepropusne i paronepropusne folije moraju biti minimalno 100mm zalijepljene na beton, a one koje se polažu iznad glave dodatno mehanički pričvrstiti s aluminijskom trakom da bi se osigurao položaj folije i ujedno funkcija. Treba postići klasu 9A prema EN 12208.</t>
  </si>
  <si>
    <t>Pri oblikovanju cijene mora se poštovati projektiranje i predaja izvedbenih detalja u dvije kopije. Izvoditelj je obvezan predati projektantu uzorke aluminijskih profila na uvid i odobrenje.</t>
  </si>
  <si>
    <t>Ovjere arhitekta (naručitelja) se odnose samo na usklađenost svih elemenata sa predloženim arhitektonskim zahtjevima. Odgovornost za tehničku pravilnost, čvrstoću, brtve itd. pak nakon odobrenja izvedbenih detalja, u cjelosti preuzima izvođač radova.</t>
  </si>
  <si>
    <t>Kod posebnih konstrukcija moguće je odobrenje proizvodnje (ako je zahtijevano) samo nakon što su izvršena propisana testiranja i po priloženom dokazu o kvaliteti materijala.</t>
  </si>
  <si>
    <t>Rezanje aluminijskih profila mora biti izvedeno tako da je zadovljena točnost kutova nakon sastavljanja. Pri strojnoj obradi, moraju se pažljivo pobrusiti rubovi narezanih profila. Profile, kod kojih dođe do deformacija uslijed unutarnjih naprezanja, nije dozvoljeno upotrebljavati pri izradi elemenata.</t>
  </si>
  <si>
    <t>- točnost mjera pri ugradnji i precizno lijepljenje brtvi, uglova brtvi i spojnih brtvi</t>
  </si>
  <si>
    <t>- profili se spajaju u konstruktivne cjeline spojnim sredstvima koja moraju odgovarati važećim standardima, moraju biti pravilno dimenzionirana i ugrađena te dodatnim lijepljenjem dvokomponentnim ljepilom za metal. Spojna sredstva izrađena su do aluminijskih legura, nehrđajućeg čelika i tvrde plastike.</t>
  </si>
  <si>
    <t>- brtvljenje profila, kao i utori predviđeni za postavljanje brtve unutar profila; brtvljenja moraju odgovarati propisima HRN-DIN 4102, dio 9.</t>
  </si>
  <si>
    <t>- upotrijebiti profile kod kojih je unutrašnji i vanjski dio profila spojen brtvama i umecima od sintetičkog materijala, tako da brtve obrazuju, za zrak i vodu, nepropusne izolacijske komore koje prekidaju termički tok kroz profil (profil s prekidom termičkog mosta). U profil moraju biti ugrađene trajno elastične sintetičke brtve koje onemogućavaju prodor vode i zraka na spoju fiksnih i pokretnih djelovakonstrukcije.Na uglovima konstrukcije ove brtve moraju imati vulkanizirane uglove, a ravni dijelovi brtve moraju biti zalijepljeni na kutne brtve.  Brtve istih karakteristika ugrađuju se i na vanjskom i na unutarnjem spoju ostakljenja s osnovnom konstrukcijom profila.</t>
  </si>
  <si>
    <t>- kvalitetni sistemski originalni okovi moraju biti montirani prema uputi proizvođača okova odnosno profilacije. Potrebno je osigurati nesmetan rad okova, čime se omogućava redovito podmazivanje nesmetan rad okova. Radi lakšeg održavanja i zamjene okova profili moraju imati euro-žlijeb.</t>
  </si>
  <si>
    <t>PROFILI</t>
  </si>
  <si>
    <t>Raspored, dimenzije prozora te način otvaranja vidljiv je iz arhitektonskih nacrta i shema.</t>
  </si>
  <si>
    <t>Profili moraju biti ekstrudirani iz primarne aluminijske legure AW 6060 prema EN 573-3, pogodne za eloksažu i plastifikaciju prema EN 755-2, dimenzionirani prema statičkom proračunu, a dimenzionalne tolerancije moraju odgovarati standardima prema EN 12020-2. Svi materijali, okov i pribor moraju biti izvorni i sastavni dio sustava, izrađeni bez štetnih tvari, otporni na atmosfersku koroziju (udio legirnih elemenata Zn ≤ 0.15%, Cu ≤ 0.02%, Pb ≤ 0.022%, Si: 0.30 – 0.55%, Fe: 0.10 – 0.30%, Mg: 0.35 – 0.60%, Mn ≤ 0.10%,  Cr ≤ 0.05%, Ti ≤ 0.10%, drugi elementi pojedinačno ≤ 0.05%, ukupno ≤ 0.15%), te moraju imati karakteristike koje osiguraju mehaničku čvrstoću, stabilnost i funkcionalnost za uvjete korištenja kojem su namijenjeni.</t>
  </si>
  <si>
    <t>Završna obrada profila plastificiranjem prema izboru naručitelja iz RAL-karte.</t>
  </si>
  <si>
    <t>OKOV</t>
  </si>
  <si>
    <t>Okov mora odgovarati važećim propisima i zahtjevima iz opisa stavke, odnosno po mogućnosti iz sistemske palete preoizvođača profila. Okov je jednoručni i ugrađen je u profile tako da su vidljive samo šarke, kvake, ventus mehanizmi otklopnog otvaranja i rozete za pokrivanje brava. U svim slučajevima ugradnje pokušati izbjeći ugradnju ventus mehanizma sa kurblom, bila ona izvedena od aluminija, sistema sajli ili tekstilnih PF niti. Tip kvaka i rozeta prema izboru (nije dopustiv plastični okov) naručitelja. Za prihvat vratnih krila na konstrukciju koriste se minimalno tri petlje za okov po krilu.   Radi lakšeg održavanja i zamjene okova profili moraju imati euro-žlijeb.</t>
  </si>
  <si>
    <t>Okov za otvarajuća ostakljena polja treba postaviti bez mehaničke obrade da bi se omogućilo serviserima brzo podešavanje. Mehanizam za otklopno-zaokretno otvaranje mora izdržati opterećenje od najmanje 130kg, te biti opremljen sigurnosnim sustavom protiv podizanja krila i protiv djelovanja vjetra, kako bi se spriječilo samozatvaranja krila u depresiji. Sustav mora također spriječiti otvaranja krila preko 90º. Panti trebaju biti izrađene od ekstrudiranog aluminija (lijevani nisu dopušteni), osovine i vijci moraju biti od nehrđajućeg čelika, a ležišta od sintetskog materijala ojačanog protiv trenja. Otklopno otvarajuća krila moraju biti opremljena mehanizmom ( škare ) od nehrđajućeg čelika koji omogućuje otvaranja između 20º i 45º stupnjeva, te moraju izdržati težinu do najmanje 180 kg.</t>
  </si>
  <si>
    <t>U svim dijelovima fasade, u kontaktu sa ostakljenim površinama ili drugim vrstama ispune, te na spojevima između vertikalnih i horizontalnih dijelove fasadne konstrukcije, moraju biti postavljene perimetralne brtve od etilen-propilen elastomer (EPDM) sukladno TV 110, s lijepljenim ili vulkaniziranim spojevima na uglovima. Brtve moraju odgovarati standardima prema EN 12635-x.</t>
  </si>
  <si>
    <t>Računski dokazi moraju biti provjereni od strane ovlaštenog inženjera za visoke gradnje ili graditeljstvo.</t>
  </si>
  <si>
    <t>ZAVRŠNO ČIŠĆENJE ELEMENATA</t>
  </si>
  <si>
    <t>Na zahtjev voditelja gradnje svaki izvođač dužan je prije preuzimanja objekta očistiti elemente svojih radova izvana i iznutra. Potrebno je držati se pismenih uputa "Operation, care and maintenance manual", izdanje Reynaers Aluminium.</t>
  </si>
  <si>
    <t>Pravilnik o tehničkim mjerama i uvjetima za završne radove u građevinarstvu</t>
  </si>
  <si>
    <t>Pravilnik o zaštiti na radu u građevinarstvu</t>
  </si>
  <si>
    <t>Tehnički uvjeti za izvođenje staklorezačkih radova</t>
  </si>
  <si>
    <t>HRN  B.E1.011 ravno staklo vučeno</t>
  </si>
  <si>
    <t>HRN B.E3.701 sigurnosno staklo</t>
  </si>
  <si>
    <t>HRN U.F2.025 Tehnički uvjeti za izvođenje staklorezačkih radova</t>
  </si>
  <si>
    <t>DIN 18056 ugrađivanje stakla u fasadne elemente</t>
  </si>
  <si>
    <t>Kompletno staklo koje se ugrađuje u aluminijske ili željezne elemente mora odgovarati važećim standardima, tehničkim propisima i statici.</t>
  </si>
  <si>
    <t>Ostakljenje se provodi zasebno za prozorske, odnosno vratne stavke, staklom:</t>
  </si>
  <si>
    <t>ISPUNE:</t>
  </si>
  <si>
    <t>Staklo sukladno građevinskoj fizici, Tehničkom propisu o racionalnoj uporabi energije i toplinskoj zaštiti u zgradama i Tehničkom propisu za staklene konstrukcije. Statičku stabilnost dokazuje izvođač</t>
  </si>
  <si>
    <t>Toplinski izolirani panel koji se sastoji od dvije ploče aluminijskog lima debljine 2 mm, površinski obrađene prema izboru projektanta, između kojih se nalazi toplinska izolacija.</t>
  </si>
  <si>
    <t>Na sanitarijama stakla su u neprozirnoj izvedbi (satinirano, miliječno, ornament) prema odabiru projektanta.</t>
  </si>
  <si>
    <t>Boja i refleksija stakla prema odabiru naručitelja.</t>
  </si>
  <si>
    <t>Izvoditelj radova dokazuje da debljine i sastav stakla odgovaraju dimenzijama otvora i očekivanom opterećenju.</t>
  </si>
  <si>
    <t>Staklo mora biti postavljeno na plastične podmetače koji moraju osigurati nosivost staklenih ploča i moraju biti njima prikladne, po dimenzijama, udaljenosti i broju komada. Brtvljenja oko staklenih ploča (i iznutra i izvana) moraju biti izvedena s odgovarajućim (EPDM) brtvama.</t>
  </si>
  <si>
    <t>Obračun izvedenih radova vrši se prema važećim HRN normama.</t>
  </si>
  <si>
    <t>OSTALA OPREMA</t>
  </si>
  <si>
    <t>Jediničnim cijenama također obuhvatiti i svu prateću završnu opremu, koja mora biti usklađena sa programom opreme proizvođača profila, ukoliko unutar troškovničkih stavaka nije specificirano drugačije.</t>
  </si>
  <si>
    <t>Pod pojmom dodatne opreme obuhvaćen je protuprovalni okov vanjskih roleti, sjenila za zaštitu od direktnog udara sunčane svjetlosti (screen), termički izolirana kutija za rolete, dodatne vodilice i prostor za komarnik (mrežu protiv ulaska insekata i komaraca), odnosno priprema za elektropogon i daljinsku kontrolu podizanja i spuštanja roleti, kao i zidni i podni stoperi za stavke, na svim mjestima definiranim projektom.</t>
  </si>
  <si>
    <t>Ukoliko je stavkom izričito deklariran tip dodatne opreme ili ukoliko se pojedini od elemenata ne izvodi (primjerice elektro pogon za rolete, daljinsko upravljanje istog, zaštita od sunca i sl.) isto mora biti specificirano unutar opisa same stavke. U protivnom se davanjem ponude izvoditelj obvezuje izvesti sve elemente, kako je definirano općim uvjetima za ovu grupu radova.</t>
  </si>
  <si>
    <t>JEDINIČNA CIJENA ELEMENATA I OPREME</t>
  </si>
  <si>
    <t>Jediničnim cijenom svih aluminijskih stavaka moraju biti obuhvaćeni sljedeći elementi:</t>
  </si>
  <si>
    <t>- sav materijal, sav vanjski i unutrašnji transport do mjesta ugradbe, sav potreban okov (petlje, brave s ključem, zaustavnici, odbojnici, rubne letvice), kao i dobavu, izradu i dopremu alata i mehanizacije, kao i njeno uskladištenje</t>
  </si>
  <si>
    <t>- uzimanje potrebnih izmjera na objektu,</t>
  </si>
  <si>
    <t>- izrada radioničkih nacrta i detalja,</t>
  </si>
  <si>
    <t>- troškove radne snage za kompletan rad opisan u troškovniku i općim uvjetima,</t>
  </si>
  <si>
    <t>- sve horizontalne i vertikalne transporte do mjesta montaže,</t>
  </si>
  <si>
    <t>- potrebnu radnu skelu,</t>
  </si>
  <si>
    <r>
      <t>- čišćenje nakon završetka radova,</t>
    </r>
    <r>
      <rPr>
        <i/>
        <u/>
        <sz val="10"/>
        <rFont val="Arial"/>
        <family val="2"/>
        <charset val="238"/>
      </rPr>
      <t>uključivo odvoz otpadnog materijala na gradsku deponiju,</t>
    </r>
    <r>
      <rPr>
        <i/>
        <sz val="10"/>
        <rFont val="Arial"/>
        <family val="2"/>
        <charset val="238"/>
      </rPr>
      <t>uključivo i plaćanje svih pratećih naknada i pristojbi</t>
    </r>
  </si>
  <si>
    <t>- troškove zaštite na radu,</t>
  </si>
  <si>
    <t>- troškove atesta i po potrebi specijalnih ispitivanja na buku i zrakopropusnost, ukoliko se radi o sistemima dvostrukih fasada</t>
  </si>
  <si>
    <t>Izvođač je dužan izraditi radioničku dokumentaciju i istu dostaviti projektantu na ovjeru.</t>
  </si>
  <si>
    <t>U cijenama stavke uračunat je okov, sav rad, materijal, transport.</t>
  </si>
  <si>
    <t>Vanjske reške vanjske bravarije zapuniti trajnoelastičnim kitom otpornim na atmosferilije u boji po izboru investitora. ČE-profili u tonu i boji po izboru investitora.</t>
  </si>
  <si>
    <t>Bravarski radovi moraju se izvesti solidno i stručno prema važećim propisima i pravilima dobrog zanata.</t>
  </si>
  <si>
    <t>Izrada, doprema i ugradnja aluminijske bravarije sukladno općim uvjetima i uvodnim napomenama, plastificirano u boji prema izboru naručitelja iz RAL-karte, sve u skladu sa Tehničkim propisom za prozore i vrata NN 69/06.</t>
  </si>
  <si>
    <t>Zaštita od buke za sve ponuđene stavke bravarije sukladno Zakonu o zaštiti od buke te izmjenama i dopunama Zakona o zaštiti od buke.
Dostava izvješća o ispitivanjima za ponuđene elemente.
Statika elemenata - Otpornost na vjetar i udare kiše u skladu s pravilima struke i vjetrovnim zonama-  dostaviti proračun, sve uključeno u cijenu stolarije.</t>
  </si>
  <si>
    <t>Okov –komplet, zatvornici na sve četiri strane (kao Siegenia, Fapim, Sobinco ili Hautau) – kod ponude naglasiti koji tip okova je uključen.
Otklopno-klizne stijene u skladu s statičkim proračunom i uputama proizvođača profila-obavezna upotreba profila za klizne stijene.</t>
  </si>
  <si>
    <t>Spoj stolarije na parapet sa podštokom – uključeno u cijenu bravarije.</t>
  </si>
  <si>
    <t>STAVKE</t>
  </si>
  <si>
    <t>Uključuju toplinsku i zvučnu izolaciju, metalne potkonstrukcije, plastificirane opšave i materijal za RAL-ugradnju uključivo i potkonstrukcije između aluminijskih stijena i armirano betonske konstrukcije objekta odnosno susjednih stavaka te vanjske i unutarnje prozorske klupčice od plastificiranog aluminijskog lima. Izvođač radova odgovara za pravilno dimenzioniranje potkonstrukcija.</t>
  </si>
  <si>
    <t>Stvarne dimenzije otvora provjerava izvođač radova na objektu i sukladno tome dimenzionira stavke aluminijske bravarije i potkonstrukciju.</t>
  </si>
  <si>
    <t xml:space="preserve">Novi Resort </t>
  </si>
  <si>
    <t>Preuređenje dijela interijera hotela  "Novi Resort"
IZVEDBENI PROJEKT</t>
  </si>
  <si>
    <t>TIP B</t>
  </si>
  <si>
    <t>ovojnica</t>
  </si>
  <si>
    <r>
      <t>Jedinična cijena [</t>
    </r>
    <r>
      <rPr>
        <b/>
        <sz val="10"/>
        <rFont val="Calibri"/>
        <family val="2"/>
      </rPr>
      <t>€</t>
    </r>
    <r>
      <rPr>
        <b/>
        <sz val="10"/>
        <rFont val="Arial"/>
        <family val="2"/>
      </rPr>
      <t>]</t>
    </r>
  </si>
  <si>
    <r>
      <t>UKUPNO [</t>
    </r>
    <r>
      <rPr>
        <b/>
        <sz val="10"/>
        <rFont val="Calibri"/>
        <family val="2"/>
      </rPr>
      <t>€</t>
    </r>
    <r>
      <rPr>
        <b/>
        <sz val="8.5"/>
        <rFont val="Arial"/>
        <family val="2"/>
        <charset val="238"/>
      </rPr>
      <t>]</t>
    </r>
  </si>
  <si>
    <t>03.06.2025.</t>
  </si>
  <si>
    <t>HIDROIZOLACIJA PODNOŽJA VANJSKIH ZIDOVA</t>
  </si>
  <si>
    <t>Obračun po m2 do kompletnog završetka.</t>
  </si>
  <si>
    <t>HI se postavlja na očišćenu i ravnu vertikalnu podlogu te se potreže od temeljne ploče preko zida do visine minimalno 40 cm iznad linije gotovog tla.</t>
  </si>
  <si>
    <t>Hidroizolaciju potrebno potaviti po uputama proizvođača.</t>
  </si>
  <si>
    <t>HIDROIZOLACIJA PODOVA TERASA</t>
  </si>
  <si>
    <t>Stavkom obuhvaćeni svi prihvatni i opšavni limovi koji su izvedeni od nearmirane folije i limenih profila s prihvatnim slojem za varenje hidroizolacije.</t>
  </si>
  <si>
    <t>GK radovi</t>
  </si>
  <si>
    <t>Fasaderski radovi</t>
  </si>
  <si>
    <r>
      <t>Obračun po m</t>
    </r>
    <r>
      <rPr>
        <vertAlign val="superscript"/>
        <sz val="10"/>
        <rFont val="Arial"/>
        <family val="2"/>
      </rPr>
      <t>2</t>
    </r>
    <r>
      <rPr>
        <sz val="10"/>
        <rFont val="Arial"/>
        <family val="2"/>
      </rPr>
      <t xml:space="preserve"> do kompletnog završetka.</t>
    </r>
  </si>
  <si>
    <t>Zapuniti sljubnice kamene vune do širine 3mm PU nisko-ekspandirajućom pjenom, preko 3mm istovrsnim izrescima od kamene vune. Tkaninu od staklenog vlakna StoGlasfasergewebe 110cm, položiti u masu za armiranje kao StoLevell Uni, premazati po cijeloj površini i zagladiti. Nakon očvršćenja dodatno nanijeti izravnavajući sloj kao StoLevell Uni. Nakon 7 dana na ovako pripremljenu podlogu nanijeti premaz pigmentiranim međupremazom kao StoPutz Grund. Nanijeti gladilicom završni sloj silikonske žbuke kao StoSilco K1,5 zaribane strukture TON 16004 i TON 16290.</t>
  </si>
  <si>
    <t>ETICS FASADNI SUSTAV NA ZIDANIM I AB ZIDOVIMA (KAMENA VUNA + ZAVRŠNI SLOJ)</t>
  </si>
  <si>
    <t>ETICS FASADNI SUSTAV NA ZIDANIM I AB ZIDOVIMA (EKSTRUDIRANI POLISTIREN + ZAVRŠNI SLOJ)</t>
  </si>
  <si>
    <t>IZOLACIJA PODGLEDA AB PLOČE: ETICS sustav s lamelama od kamene vune CLT C1 Thermal jednostrano završno obrađene</t>
  </si>
  <si>
    <t>Bojanje kompresorom lamela u boju prema izboru projektanta.</t>
  </si>
  <si>
    <t>F2.1</t>
  </si>
  <si>
    <t>F2.2</t>
  </si>
  <si>
    <t>ZAVRŠNA OBRADA NA DIJELU ETICS SUSTAVA S XPS FASADOM</t>
  </si>
  <si>
    <t>Keramičarski i kamenarski radovi</t>
  </si>
  <si>
    <t>H1</t>
  </si>
  <si>
    <t>VANJSKA PODNA KERAMIKA</t>
  </si>
  <si>
    <t>Dimenzije formata:</t>
  </si>
  <si>
    <r>
      <t>Obračun po m</t>
    </r>
    <r>
      <rPr>
        <vertAlign val="superscript"/>
        <sz val="10"/>
        <color theme="1"/>
        <rFont val="Arial"/>
        <family val="2"/>
      </rPr>
      <t>2</t>
    </r>
    <r>
      <rPr>
        <sz val="10"/>
        <color theme="1"/>
        <rFont val="Arial"/>
        <family val="2"/>
      </rPr>
      <t xml:space="preserve"> stvarno izvedenih površina sve do potpune dovršenosti.</t>
    </r>
  </si>
  <si>
    <t>H1.1</t>
  </si>
  <si>
    <t>H1.2</t>
  </si>
  <si>
    <t>H1.3</t>
  </si>
  <si>
    <t>VANJSKI KERAMIČKI SOKL</t>
  </si>
  <si>
    <t>H2.1</t>
  </si>
  <si>
    <t>H2.2</t>
  </si>
  <si>
    <t>H2.3</t>
  </si>
  <si>
    <t>H3</t>
  </si>
  <si>
    <t>H3.1</t>
  </si>
  <si>
    <t>H3.2</t>
  </si>
  <si>
    <t>H3.3</t>
  </si>
  <si>
    <t>VANJSKI KAMENI SOKL</t>
  </si>
  <si>
    <t>Tip i boja kamena, kao i boja fuge: jednako postojeće,</t>
  </si>
  <si>
    <t>I1</t>
  </si>
  <si>
    <t>J</t>
  </si>
  <si>
    <t>J-R</t>
  </si>
  <si>
    <t xml:space="preserve">Izvođač je dužan izraditi radioničku dokumentaciju i dostaviti je projektantu na ovjeru. Jediničnom cijenom obuhvatiti, podkonstrukciju, eventualno potrebne odbojnike, kao i silikoniranje ili akriliranje na spoju s drugim materijalima. Obračun po komadu stvarno ugrađenih vrata sve do pune gotovosti i funkcionalnosti. Staklo mora zadovoljiti zahtjeve norni HRN EN 12600 i HRN EN 12150-1. </t>
  </si>
  <si>
    <t>J2</t>
  </si>
  <si>
    <t>Bravarske stavke</t>
  </si>
  <si>
    <t>J2.1</t>
  </si>
  <si>
    <t>MASKA NA ULAZU U ZGRADU</t>
  </si>
  <si>
    <t>Dobava, dostava i montaža vanjske maske na ulazu u zgradu.</t>
  </si>
  <si>
    <r>
      <t xml:space="preserve">Stavku napraviti po bravarskoj shemi: </t>
    </r>
    <r>
      <rPr>
        <b/>
        <sz val="10"/>
        <rFont val="Arial"/>
        <family val="2"/>
        <charset val="238"/>
      </rPr>
      <t>B 0</t>
    </r>
  </si>
  <si>
    <t>Tip B</t>
  </si>
  <si>
    <t>J2.1.1</t>
  </si>
  <si>
    <t>A0-R</t>
  </si>
  <si>
    <t>Pripremni radovi</t>
  </si>
  <si>
    <t>C3</t>
  </si>
  <si>
    <t>IZRAVNAVANJE I KRPANJE PUKOTINA TE PRIPREMA PODNE PODLOGE</t>
  </si>
  <si>
    <t>Dobava, dostava materijala za izvedbu poravnanja i krpanja pukotina i ostalih oštećenja, nivelir masom u debljini 2-10mm, nastalih prilikom izvedbe radova rušenja i demontaže. Iznimno u debljini do 20mm, ukoliko su oštećenja bila značajna (potrebna potvrda nadzornog inženjera).
Također u stavku uključiti i završno zaglađivanje površine i brušenje kao priprema za apliciranje završne obloge.</t>
  </si>
  <si>
    <t>C3.1</t>
  </si>
  <si>
    <t>C4.1</t>
  </si>
  <si>
    <t>HIDROIZOLACIJA NA PODU</t>
  </si>
  <si>
    <t>C4.2</t>
  </si>
  <si>
    <t>ZVUČNA IZOLACIJA - EPS PROTIV TOPOTA</t>
  </si>
  <si>
    <t>C4.3</t>
  </si>
  <si>
    <t>CEMENTNI ESTRIH</t>
  </si>
  <si>
    <t>D3</t>
  </si>
  <si>
    <t>Dobava, doprema i izvedba hidroizolacije podova mokrih prostora polimercementnom  hidroizolacijom u dva sloja.
Hidroizolacija postavlja se na prethodno pripremljenu, zaravnatu, glatku, očišćenu podlogu od prašine, krhotina i masnoće.</t>
  </si>
  <si>
    <t>Podovi kupaonica</t>
  </si>
  <si>
    <t>D3.1</t>
  </si>
  <si>
    <t>D4</t>
  </si>
  <si>
    <t>D4.1</t>
  </si>
  <si>
    <r>
      <t>Dobava, doprema materijala i izvedba hidroizolacije zidova kupaonice sa dva premaza HI Mapelastic aquadefence (ili jednakovrijedno), prije polaganja keramike u zonama kada i tuševa vertikalno do 240-250 cm visine. Na spojeve zida i zida ugraditi Mapeband PE 120 (ili jednakovrijedno), vodonepropusnu elastičnu brtvenu traku od PVC-a s poliesterskom mrežicom, za brtvljenje spojeva različitih ploha, prodora i dilatacija, u sustavima hidroizolacija na bazi sintetičkih smola. Spojevi poda i zida obuhvaćeni su u prethodnoj stavci podne izolacije (</t>
    </r>
    <r>
      <rPr>
        <i/>
        <sz val="10"/>
        <color theme="1"/>
        <rFont val="Arial"/>
        <family val="2"/>
      </rPr>
      <t>vidi B2.1</t>
    </r>
    <r>
      <rPr>
        <sz val="10"/>
        <color theme="1"/>
        <rFont val="Arial"/>
        <family val="2"/>
      </rPr>
      <t>.). Međusobno spajanje Mapeband traka izvesti kontaktnim ljepilom Adesilex LP. Prije nanošenja potpuno odstraniti sve nevezane dijelove na tretiranim površinama kao i sve dijelove sa slabim mehaničkim karakteristikama. Hidroizolacija se nanosi na pripremljenu podlog sa sintetičkim premazom kao ECOprim Grip. Minimalna potrošnja 0,8-1,0 kg/m</t>
    </r>
    <r>
      <rPr>
        <vertAlign val="superscript"/>
        <sz val="10"/>
        <color theme="1"/>
        <rFont val="Arial"/>
        <family val="2"/>
      </rPr>
      <t>2</t>
    </r>
    <r>
      <rPr>
        <sz val="10"/>
        <color theme="1"/>
        <rFont val="Arial"/>
        <family val="2"/>
      </rPr>
      <t xml:space="preserve"> za dva sloja. U jedininu cijenu uključen primer premaz, ravnanje površine, brtvene trake, hidroizolacija.</t>
    </r>
  </si>
  <si>
    <r>
      <t>Obračun postavljenog prvog sloja spuštenog stropa po m</t>
    </r>
    <r>
      <rPr>
        <vertAlign val="superscript"/>
        <sz val="10"/>
        <color theme="1"/>
        <rFont val="Arial"/>
        <family val="2"/>
      </rPr>
      <t>2</t>
    </r>
    <r>
      <rPr>
        <sz val="10"/>
        <color theme="1"/>
        <rFont val="Arial"/>
        <family val="2"/>
      </rPr>
      <t xml:space="preserve"> do kompletnog završetka.</t>
    </r>
  </si>
  <si>
    <t>E3</t>
  </si>
  <si>
    <t>E2.1</t>
  </si>
  <si>
    <t>E4</t>
  </si>
  <si>
    <t>ZIDNA OBLOGA ZIDOVA</t>
  </si>
  <si>
    <t>Na mjestima gdje se postavlja ugradbeni namještaj i sl.  predvidjeti ojačanje OSB pločama ili drugim propisnim ojačanjem.</t>
  </si>
  <si>
    <t>E5</t>
  </si>
  <si>
    <t>E6</t>
  </si>
  <si>
    <t>E7</t>
  </si>
  <si>
    <t>E8</t>
  </si>
  <si>
    <t>E9</t>
  </si>
  <si>
    <t>H4.1</t>
  </si>
  <si>
    <t>H4.2</t>
  </si>
  <si>
    <t>H4.3</t>
  </si>
  <si>
    <t>Tip i boja ker. pločice, kao i boja fuge: vidi specifikaciju</t>
  </si>
  <si>
    <r>
      <t>Referentni broj prema nacrtu i knjizi specikacija:</t>
    </r>
    <r>
      <rPr>
        <b/>
        <sz val="10"/>
        <color theme="1"/>
        <rFont val="Arial"/>
        <family val="2"/>
        <charset val="238"/>
      </rPr>
      <t xml:space="preserve"> R T&amp;F 05</t>
    </r>
  </si>
  <si>
    <t>Dimenzije formata:  60×60cm, debljina: 9mm</t>
  </si>
  <si>
    <t>Obračun po m2 stvarno izvedene površine sve do potpune dovršenosti.</t>
  </si>
  <si>
    <t>Količina keramike za rastur (škart) prema shemi polaganja iz projekta. Navedena količina je pretpostavljena (10%), izvođač si je dužan provjeriti količinu za rastur prilikom davanja ponude, koja nakon ugovaranja posla postaje fiksna.</t>
  </si>
  <si>
    <t>H5.1</t>
  </si>
  <si>
    <t>H5.2</t>
  </si>
  <si>
    <t>H5.3</t>
  </si>
  <si>
    <t>H6</t>
  </si>
  <si>
    <t>POSTAVLJANJE PODNE LAJSNE</t>
  </si>
  <si>
    <t>Tip i boja lajsne: vidi specifikaciju</t>
  </si>
  <si>
    <r>
      <t xml:space="preserve">Referentni broj prema nacrtu i knjizi specikacija: </t>
    </r>
    <r>
      <rPr>
        <b/>
        <sz val="10"/>
        <color theme="1"/>
        <rFont val="Arial"/>
        <family val="2"/>
        <charset val="238"/>
      </rPr>
      <t>R</t>
    </r>
    <r>
      <rPr>
        <sz val="10"/>
        <color theme="1"/>
        <rFont val="Arial"/>
        <family val="2"/>
      </rPr>
      <t xml:space="preserve"> </t>
    </r>
    <r>
      <rPr>
        <b/>
        <sz val="10"/>
        <color theme="1"/>
        <rFont val="Arial"/>
        <family val="2"/>
        <charset val="238"/>
      </rPr>
      <t>T&amp;F 10</t>
    </r>
  </si>
  <si>
    <t>H7</t>
  </si>
  <si>
    <t>POSTAVLJANJE SOKLA</t>
  </si>
  <si>
    <r>
      <t xml:space="preserve">Referentni broj prema nacrtu i knjizi specikacija: </t>
    </r>
    <r>
      <rPr>
        <b/>
        <sz val="10"/>
        <color theme="1"/>
        <rFont val="Arial"/>
        <family val="2"/>
        <charset val="238"/>
      </rPr>
      <t>R T&amp;F 09</t>
    </r>
  </si>
  <si>
    <t>H8</t>
  </si>
  <si>
    <r>
      <t>Referentni broj prema nacrtu i knjizi specikacija:</t>
    </r>
    <r>
      <rPr>
        <b/>
        <sz val="10"/>
        <color theme="1"/>
        <rFont val="Arial"/>
        <family val="2"/>
        <charset val="238"/>
      </rPr>
      <t xml:space="preserve"> R T&amp;F 07</t>
    </r>
  </si>
  <si>
    <t>H9</t>
  </si>
  <si>
    <r>
      <t xml:space="preserve">Referentni broj prema nacrtu i knjizi specikacija: </t>
    </r>
    <r>
      <rPr>
        <b/>
        <sz val="10"/>
        <color theme="1"/>
        <rFont val="Arial"/>
        <family val="2"/>
        <charset val="238"/>
      </rPr>
      <t>R T&amp;F 06</t>
    </r>
  </si>
  <si>
    <t>debljina: 6,5 mm</t>
  </si>
  <si>
    <t>POSTAVLJANJE ZIDNE KERAMIKE (backsplash)</t>
  </si>
  <si>
    <r>
      <t>Referentni broj prema nacrtu i knjizi specikacija:</t>
    </r>
    <r>
      <rPr>
        <b/>
        <sz val="10"/>
        <color theme="1"/>
        <rFont val="Arial"/>
        <family val="2"/>
        <charset val="238"/>
      </rPr>
      <t xml:space="preserve"> R T&amp;F 08</t>
    </r>
  </si>
  <si>
    <t>Dimenzije formata: 60x120 cm; R9</t>
  </si>
  <si>
    <r>
      <t>Referentni broj prema nacrtu i knjizi specikacija:</t>
    </r>
    <r>
      <rPr>
        <b/>
        <sz val="10"/>
        <color theme="1"/>
        <rFont val="Arial"/>
        <family val="2"/>
        <charset val="238"/>
      </rPr>
      <t xml:space="preserve"> R T&amp;F 01</t>
    </r>
  </si>
  <si>
    <t>Dimenzije formata:  24×152 cm</t>
  </si>
  <si>
    <t>debljina: 2,5 mm</t>
  </si>
  <si>
    <r>
      <t>Obračun po m</t>
    </r>
    <r>
      <rPr>
        <vertAlign val="superscript"/>
        <sz val="10"/>
        <color theme="1"/>
        <rFont val="Arial"/>
        <family val="2"/>
      </rPr>
      <t>2</t>
    </r>
    <r>
      <rPr>
        <sz val="10"/>
        <color theme="1"/>
        <rFont val="Arial"/>
        <family val="2"/>
      </rPr>
      <t xml:space="preserve"> izvedene površine do završetka.</t>
    </r>
  </si>
  <si>
    <t>I1.1</t>
  </si>
  <si>
    <t>I1.2</t>
  </si>
  <si>
    <t>I1.3</t>
  </si>
  <si>
    <t>I2</t>
  </si>
  <si>
    <t>I2.1</t>
  </si>
  <si>
    <t>I2.2</t>
  </si>
  <si>
    <t>I2.3</t>
  </si>
  <si>
    <r>
      <t xml:space="preserve">Referentni broj prema nacrtu i knjizi specikacija: </t>
    </r>
    <r>
      <rPr>
        <b/>
        <sz val="10"/>
        <color theme="1"/>
        <rFont val="Arial"/>
        <family val="2"/>
        <charset val="238"/>
      </rPr>
      <t>R T&amp;F 03</t>
    </r>
  </si>
  <si>
    <t>POSTAVLJANJE NOVIH KAMENIH PLOČA</t>
  </si>
  <si>
    <t>Dobava, doprema i montaža novih kamenih ploča na lokaciji uklonjenog pregradnog zida u apartmanu</t>
  </si>
  <si>
    <t>Dimenzije (š×d): 60×30cm</t>
  </si>
  <si>
    <t>H11</t>
  </si>
  <si>
    <t>G1.1</t>
  </si>
  <si>
    <t>J2-R</t>
  </si>
  <si>
    <t>G1.1.1</t>
  </si>
  <si>
    <t>G1.1.2</t>
  </si>
  <si>
    <t xml:space="preserve">GK plohe stropa s obradom do razine Q3 </t>
  </si>
  <si>
    <t>G2.1</t>
  </si>
  <si>
    <t>G1.2</t>
  </si>
  <si>
    <t>G1.2.1</t>
  </si>
  <si>
    <r>
      <t xml:space="preserve">U knjizi specifikacija i nacrtu, pod ref.br.: </t>
    </r>
    <r>
      <rPr>
        <b/>
        <sz val="10"/>
        <color theme="1"/>
        <rFont val="Arial"/>
        <family val="2"/>
        <charset val="238"/>
      </rPr>
      <t>R P&amp;W 01</t>
    </r>
  </si>
  <si>
    <t xml:space="preserve">LIČENJE ZIDOVA (zidani, AB i GK zidovi - suhi prostori) </t>
  </si>
  <si>
    <t>G2.2</t>
  </si>
  <si>
    <t>LIČENJE STROPOVA</t>
  </si>
  <si>
    <r>
      <t>U knjizi specifikacija i nacrtu, pod ref.br.:</t>
    </r>
    <r>
      <rPr>
        <b/>
        <sz val="10"/>
        <color theme="1"/>
        <rFont val="Arial"/>
        <family val="2"/>
        <charset val="238"/>
      </rPr>
      <t xml:space="preserve"> R P&amp;W 04</t>
    </r>
  </si>
  <si>
    <t>dnevni boravak i spavaća soba</t>
  </si>
  <si>
    <t>G2.2.1</t>
  </si>
  <si>
    <r>
      <t>U knjizi specifikacija i nacrtu, pod ref.br.:</t>
    </r>
    <r>
      <rPr>
        <b/>
        <sz val="10"/>
        <color theme="1"/>
        <rFont val="Arial"/>
        <family val="2"/>
        <charset val="238"/>
      </rPr>
      <t xml:space="preserve"> R P&amp;W 06</t>
    </r>
  </si>
  <si>
    <t>ulazni prostor i kuhinja</t>
  </si>
  <si>
    <t>G2.2.2</t>
  </si>
  <si>
    <t>G2.3</t>
  </si>
  <si>
    <t>Dobava, dostava i ugradnja potrebnih materijala za dvostruko bojanje vodootpornom bojom prethodno pripremljenih stropova u mokrim prostorima.
Cijena stavke uključuje dobavu i postavu svih komponenti prema uputama proizvođača. Redosljed izvođenja:
Prema zahtjevima iz projekta prije izvedbe bojanja podloga se gleta i obrađuje u traženu kvalitetu obrade površine što je obračunato u prethodnoj stavci (G1).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Materijali sukladno specifikaciji materijala.</t>
  </si>
  <si>
    <r>
      <t xml:space="preserve">U knjizi specifikacija i nacrtu, pod ref.br.: </t>
    </r>
    <r>
      <rPr>
        <b/>
        <sz val="10"/>
        <color theme="1"/>
        <rFont val="Arial"/>
        <family val="2"/>
        <charset val="238"/>
      </rPr>
      <t>R P&amp;W 05</t>
    </r>
  </si>
  <si>
    <t>Dobava, isporuka i ugradnja materijala, glatko niveliranje i nanošenje novih tapeta na zid. 
- pozadina u smislu materijala, motiva, uzorka i boje izrađena je prema izboru dizajnera interijera.
- tapete su zalijepljene na određenu debljinu i leže na ravnom, gotovom zidu;
- predvidjeti mogućnost ugradnje izravno na zid bez podkonstrukcije</t>
  </si>
  <si>
    <t>Uključeno u cijenu: proizvodnja tapeta sa svim potrebnim tvorničkim analizama, testiranjem i drugim operacijama; izrada ispitnih uzoraka, mjerenja; sve potrebne podkonstrukcije i ugradnje
Tapeta i boja prema odabiru dizajnera interijera.</t>
  </si>
  <si>
    <t>G3.1</t>
  </si>
  <si>
    <t xml:space="preserve">POSTAVLJANJE TAPETA </t>
  </si>
  <si>
    <r>
      <t>U knjizi specifikacija i nacrtima pod šifrom:</t>
    </r>
    <r>
      <rPr>
        <b/>
        <sz val="10"/>
        <color theme="1"/>
        <rFont val="Arial"/>
        <family val="2"/>
        <charset val="238"/>
      </rPr>
      <t xml:space="preserve"> R P&amp;W 02</t>
    </r>
  </si>
  <si>
    <t>G3.2</t>
  </si>
  <si>
    <r>
      <t>U knjizi specifikacija i nacrtima pod šifrom:</t>
    </r>
    <r>
      <rPr>
        <b/>
        <sz val="10"/>
        <color theme="1"/>
        <rFont val="Arial"/>
        <family val="2"/>
        <charset val="238"/>
      </rPr>
      <t xml:space="preserve"> R P&amp;W 03</t>
    </r>
  </si>
  <si>
    <t>J3</t>
  </si>
  <si>
    <t>J3-R</t>
  </si>
  <si>
    <t>U stavku uključena i aluminijska šipka koja služi kao ukruta stijene do zida.</t>
  </si>
  <si>
    <t>J3.1</t>
  </si>
  <si>
    <t>Zidovi kupaonica</t>
  </si>
  <si>
    <t>SPUŠTENI STROP (mokri prostori)</t>
  </si>
  <si>
    <t>E3.1</t>
  </si>
  <si>
    <t>E10</t>
  </si>
  <si>
    <t>Dobava, isporuka materijala i montaža spuštenog stropa tipa kao Knauf D112 s jednostrukom oblogom debljine 1×12,5 mm,tipa H2 13 zajedno s novom potkonstrukcijom CD 60/27.
Potrebno je predvidjeti otvor za ugradnju revizje u stropu.</t>
  </si>
  <si>
    <t>E11</t>
  </si>
  <si>
    <t>E8.2</t>
  </si>
  <si>
    <t>Dobava i montaža zidne obloge zidova jednostrukom  oblogom iz gips-kartonskih ploča. Pri izradi držati se smjernica i uputa proizvođača. Obrada spojeva impregniranim Uniflott-om. Izrada prema smjernicama i uputama proizvođača. Kvaliteta završne obrade spojeva i površine prvog sloja prema kvaliteti Q1, a kvaliteta završne obrade drugog sloja prema kvaliteti obrade površine Q2 za bojanje, a Q1 za pločice.</t>
  </si>
  <si>
    <t>DODATNA GK PLOČA ZA POSTOJEĆI GK ZID</t>
  </si>
  <si>
    <t>E7.1</t>
  </si>
  <si>
    <t>E7.2</t>
  </si>
  <si>
    <t>D2.1</t>
  </si>
  <si>
    <t>D2.2</t>
  </si>
  <si>
    <r>
      <t xml:space="preserve">U nacrtima i specifikaciji pod šifrom: </t>
    </r>
    <r>
      <rPr>
        <b/>
        <sz val="10"/>
        <color theme="1"/>
        <rFont val="Arial"/>
        <family val="2"/>
        <charset val="238"/>
      </rPr>
      <t>R AF 01</t>
    </r>
  </si>
  <si>
    <t>Protukliznost: R10</t>
  </si>
  <si>
    <t>Dimenzije formata: 60 x 60 cm</t>
  </si>
  <si>
    <t xml:space="preserve">Referentni broj prema nacru i knjizi specifikacija: </t>
  </si>
  <si>
    <t>H12</t>
  </si>
  <si>
    <t>POSTAVLJANJE ZIDNE LAJSNE</t>
  </si>
  <si>
    <r>
      <t xml:space="preserve">Referentni broj prema nacrtu i knjizi specikacija: </t>
    </r>
    <r>
      <rPr>
        <b/>
        <sz val="10"/>
        <color theme="1"/>
        <rFont val="Arial"/>
        <family val="2"/>
        <charset val="238"/>
      </rPr>
      <t>R</t>
    </r>
    <r>
      <rPr>
        <sz val="10"/>
        <color theme="1"/>
        <rFont val="Arial"/>
        <family val="2"/>
      </rPr>
      <t xml:space="preserve"> </t>
    </r>
    <r>
      <rPr>
        <b/>
        <sz val="10"/>
        <color theme="1"/>
        <rFont val="Arial"/>
        <family val="2"/>
        <charset val="238"/>
      </rPr>
      <t>T&amp;F 12</t>
    </r>
  </si>
  <si>
    <r>
      <t xml:space="preserve">Referentni broj prema nacru i njizi specifikacija: R </t>
    </r>
    <r>
      <rPr>
        <b/>
        <sz val="10"/>
        <rFont val="Arial"/>
        <family val="2"/>
        <charset val="238"/>
      </rPr>
      <t>T&amp;F 02</t>
    </r>
  </si>
  <si>
    <t>H6.1</t>
  </si>
  <si>
    <t>H6.2</t>
  </si>
  <si>
    <t>H6.3</t>
  </si>
  <si>
    <t>H7.1</t>
  </si>
  <si>
    <t>H7.2</t>
  </si>
  <si>
    <t>H7.3</t>
  </si>
  <si>
    <t>J2.2</t>
  </si>
  <si>
    <t>STAKLENA OGRADA</t>
  </si>
  <si>
    <t>Ugradnja po uputi proizvođača.</t>
  </si>
  <si>
    <t>J2.3</t>
  </si>
  <si>
    <t xml:space="preserve">Dobava, dostava i montaža vanjske metalne ograde na betonski nadozid. </t>
  </si>
  <si>
    <t>U stavku uključen nosač ograde, staklo i sve pričvrsnice i potrebne brtve za pravilno postavljanje ograde.</t>
  </si>
  <si>
    <t>U stavku uključene i sve pričvrsnice i potrebne brtve za pravilno postavljanje ograde.</t>
  </si>
  <si>
    <t>METALNA OGRADA</t>
  </si>
  <si>
    <r>
      <t xml:space="preserve">U nacrtima i specifikaciji pod šifrom: </t>
    </r>
    <r>
      <rPr>
        <b/>
        <sz val="10"/>
        <color theme="1"/>
        <rFont val="Arial"/>
        <family val="2"/>
        <charset val="238"/>
      </rPr>
      <t>R AF 02</t>
    </r>
  </si>
  <si>
    <t>POSTAVLJANJE PODNE KERAMIKE (prizemlja)</t>
  </si>
  <si>
    <t>Tip i boja ker. pločice za pod: vidi specifikaciju</t>
  </si>
  <si>
    <t xml:space="preserve">Dimenzije formata: </t>
  </si>
  <si>
    <r>
      <t>Referentni broj prema nacrtu i knjizi specikacija:</t>
    </r>
    <r>
      <rPr>
        <b/>
        <sz val="10"/>
        <color theme="1"/>
        <rFont val="Arial"/>
        <family val="2"/>
        <charset val="238"/>
      </rPr>
      <t xml:space="preserve"> M T&amp;F 02</t>
    </r>
  </si>
  <si>
    <t>OBJEKT: SVI APARTMANI</t>
  </si>
  <si>
    <t>REKAPITULACIJA SVIH APARTMANA</t>
  </si>
  <si>
    <t>Tip i boja sokla: vidi specifikaciju</t>
  </si>
  <si>
    <t>H13</t>
  </si>
  <si>
    <t>H13.2</t>
  </si>
  <si>
    <t>H13.1</t>
  </si>
  <si>
    <t>H13.3</t>
  </si>
  <si>
    <t>H14</t>
  </si>
  <si>
    <r>
      <t xml:space="preserve">Referentni broj prema nacrtu i knjizi specikacija: </t>
    </r>
    <r>
      <rPr>
        <b/>
        <sz val="10"/>
        <color theme="1"/>
        <rFont val="Arial"/>
        <family val="2"/>
        <charset val="238"/>
      </rPr>
      <t xml:space="preserve">R T&amp;F </t>
    </r>
  </si>
  <si>
    <t>POSTAVLJANJE KAMENOG SOKLA</t>
  </si>
  <si>
    <t>hodnici / jedinstveno za zgradu</t>
  </si>
  <si>
    <t>Pod - suhi prostori</t>
  </si>
  <si>
    <t>Dobava, dostava i ugradnja elastomerne polimer-bitumenske hidroizolacijske trake, tip kao Sika Shield E53s 4mm. U stavku uključena i dostava i ugradnja temeljnog premaza, tip kao Sika Igolflex P01.
Stavka uključuje ugradnju rubnog brtvila na spojevima pod-zida kao SikaSwell S2. Brtvilo se ugrađuje u pripremljenu rešku. Nakon ugradnje brtvila, reška se zapunjava s dvokomponentim epoksidnim mortom u debljini od min. 20mm kao Sikadur 31 CF Normal.
Ugradnja prema uputi proizvođača.</t>
  </si>
  <si>
    <t>Dobava i ugradnja zvučno izolacijske membrane od ekstrudiranog polietliena kao ETHAFOAM 222-E u dva sloja sa ljepljenjem spojeva ukupne debljine do 30mm. Obračun po m2 stvarno izvedene tlocrtne projekcije membrane sve do pune gotovosti i funkcionalnosti.</t>
  </si>
  <si>
    <t>Dobava, isporuka materijala i montaža spuštenog stropa tipa kao Knauf D112 s jednostrukom oblogom debljine 1×12,5 mm, tipa A13 zajedno s novom potkonstrukcijom CD 60/27.
Potrebno je predvidjeti otvor za ugradnju revizje u stropu.</t>
  </si>
  <si>
    <t>Ploča tipa A13</t>
  </si>
  <si>
    <t>Dobava i montaža nenosive pregrade tipa Knauf W112 s obostrano dvostrukom oblogom Knauf gipskartonskih ploča (A 13) i ispunom iz kamene vune KI TW, debljine 1×50 mm.
Visina pregrade do 450 cm. Izrada potkonstrukcije iz Knauf tipskih profila CW/UW 75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</si>
  <si>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Pregrada debljine 12,5 cm</t>
  </si>
  <si>
    <t>Dobava i montaža nenosive pregrade tipa Knauf W112 s obostrano dvostrukom oblogom Knauf gipskartonskih ploča (A 13 i H2 13) i ispunom iz kamene vune KI TW, debljine 1×50 mm.
Visina pregrade do 450 cm. Izrada potkonstrukcije iz Knauf tipskih profila CW/UW 75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</si>
  <si>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Dobava i montaža nenosive pregrade tipa Knauf W113 s obostrano dvostrukom oblogom Knauf gipskartonskih ploča (H2) i ispunom iz kamene vune KI TW, debljine 1×50 mm.
Visina pregrade do 450 cm. Izrada potkonstrukcije iz Knauf tipskih profila CW/UW 75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</si>
  <si>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Dobava, dostava materijala i izrada maske za zavjese od GK ploča.
Dvostruko postavljene GK ploče (2×12,5mm) i pričvršćene metalnim L profilom za stropnu ploču. Visina: 10cm
Predvidjeti prostor za ugradnju LED rasvjete na strani gdje se postavljalju vodilice za zavjesu.</t>
  </si>
  <si>
    <t>Dobava, montaža i izrada špaleta od GK ploča na poziciji ulaznih vrata u apartman. 
Izraka špaleta od novih GK ploča vrši se uslijed nastalog oštećenja prilikom demontaže postojećih ulaznih vrata u sobe. Izrada prema smjernicama i uputama proizvođača. Kvaliteta završne obrade spojeva i površine prvog sloja prema kvaliteti Q1, a kvaliteta završne obrade drugog sloja prema kvaliteti obrade površine Q2.
U stavku uračunati sav ostali potreban materijal i rad za izvršenje stavke.</t>
  </si>
  <si>
    <t>Na uglove građevine postavljaju se PVC kutni profili sa staklenom mrežicom kao i oko otvora. Sve navedeno uključeno je u jediničnu cijenu. Obračun po m2 stvarno izvedenog fasadnog sustava do pune gotovosti.</t>
  </si>
  <si>
    <r>
      <t xml:space="preserve">staklena stijena tuša </t>
    </r>
    <r>
      <rPr>
        <b/>
        <sz val="10"/>
        <rFont val="Arial"/>
        <family val="2"/>
        <charset val="238"/>
      </rPr>
      <t>R SJ 20b</t>
    </r>
    <r>
      <rPr>
        <sz val="10"/>
        <rFont val="Arial"/>
        <family val="2"/>
      </rPr>
      <t xml:space="preserve">, dim. </t>
    </r>
  </si>
  <si>
    <r>
      <t xml:space="preserve">staklena stijena tuša </t>
    </r>
    <r>
      <rPr>
        <b/>
        <sz val="10"/>
        <rFont val="Arial"/>
        <family val="2"/>
        <charset val="238"/>
      </rPr>
      <t>R SJ 20a</t>
    </r>
    <r>
      <rPr>
        <sz val="10"/>
        <rFont val="Arial"/>
        <family val="2"/>
      </rPr>
      <t>, dim.</t>
    </r>
  </si>
  <si>
    <t>STAKLENA STIJENA TUŠA/TUŠ-KADE</t>
  </si>
  <si>
    <t>Sastoji se od kaljenog stakla, transparentnog (Ultra Clear), debljine 10mm, u presjeku opremljen aluminijskim profilima. 
Profili su eloksirani (u boji prema izboru projektanta), što omogućava trajnu zaštitu od korozije.</t>
  </si>
  <si>
    <t>U knjizi specifikacija i nacrtima pod šifrom:</t>
  </si>
  <si>
    <r>
      <t xml:space="preserve">staklena stijena tuša </t>
    </r>
    <r>
      <rPr>
        <b/>
        <sz val="10"/>
        <rFont val="Arial"/>
        <family val="2"/>
        <charset val="238"/>
      </rPr>
      <t>R SJ 20</t>
    </r>
    <r>
      <rPr>
        <sz val="10"/>
        <rFont val="Arial"/>
        <family val="2"/>
      </rPr>
      <t>, dim.</t>
    </r>
  </si>
  <si>
    <t>J3.1.2</t>
  </si>
  <si>
    <t>J3.1.3</t>
  </si>
  <si>
    <t>J3.1.4</t>
  </si>
  <si>
    <r>
      <t xml:space="preserve">Referentni broj prema nacru i knjizi specifikacija: </t>
    </r>
    <r>
      <rPr>
        <b/>
        <sz val="10"/>
        <rFont val="Arial"/>
        <family val="2"/>
      </rPr>
      <t xml:space="preserve">R </t>
    </r>
    <r>
      <rPr>
        <b/>
        <sz val="10"/>
        <rFont val="Arial"/>
        <family val="2"/>
        <charset val="238"/>
      </rPr>
      <t>T&amp;F 02</t>
    </r>
  </si>
  <si>
    <t>Unutarnja protupožarna bravarija</t>
  </si>
  <si>
    <t>J4-R</t>
  </si>
  <si>
    <t>A0.2.</t>
  </si>
  <si>
    <t>FASADNA SKELA</t>
  </si>
  <si>
    <t>U razini prizemlja izvođač je dužan omogućiti tunelske prolaze za pješake, na svim potrebnim mjestima koje odredi Investitor i nadzorni inženjer. Pokrov prolaza izraditi od mosnica položenim jedne do druge, te preko njih postaviti bitumensku ljepenku s preklopom od min. 10 cm ili alternativno PVC foliju. Cijelu skelu izvesti kako nalažu HTZ propisi.
U razini tla ili pločnika, izvođač je dužan osigurati ograđeni prostor za odlaganje potrebnih materijala.</t>
  </si>
  <si>
    <t>Nakon postavljanja skele Izvođač je dužan izvršiti pregled postojećeg stanja fasade.</t>
  </si>
  <si>
    <t>Doprema, postava, skidanje i otprema cijevne fasadne skele od bešavnih cijevi, uz pročelje apartmana.
Skelu izvesti prema postojećim HTZ propisima i u svemu kako je opisano u općim uvjetima. U jediničnu cijenu uključiti zaštitni zastor od jutenih ili plastičnih traka, koje se postavljaju s vanjske strane skele po cijeloj površini.
Skelu je potrebno osigurati od prevrtanja sidrenjem u objekat, a od udara groma uzemljenjem.
Potrebno je izvesti pomoćne željezne ili drvene ljestve–penjalice u svrhu osiguranja vertikalne komunikacije po skeli. Prije izvedbe skele izvođač je dužan izraditi projekt skele, što je u cijeni stavke.</t>
  </si>
  <si>
    <t>Obračun po m2 vertikalne projekcije pročelja računajući 1,0 m ispod vijenca/terasa.</t>
  </si>
  <si>
    <t>Dobava, dostava i montaža vanjske staklene ograde na AB nadozid.
Ograda je izvedena od stakla debljine 2x12mm i visine stakla 97cm, ukupne visine od poda 110cm. Staklo s dvostrukom ili četverostrukom folijom, jedna ploča kaljena, druga polukaljena. Staklo je pričvršćeno duž donjeg ruba standardnim sluminijskim profilom visine cca 125mm, ustakljeno profilima od EPDM-a.
Aluminijski profili su pričvršćeni bočno u AB nadozid.
Aluminijski profil plastificiran u boju po izboru projektanta.</t>
  </si>
  <si>
    <t>Montaža predgotovljenih obrubnih stropnih lajsni.
Izrađen od ekstrudirani polimer otporan na udarce na bazi polistirena visoke gustoće, širine 15,5 cm, visine 3,1 cm.</t>
  </si>
  <si>
    <t>POSTAVLJANJE NOVIH VANJSKIH KAMENIH KLUPČICA</t>
  </si>
  <si>
    <r>
      <t xml:space="preserve">Referentni broj prema nacrtu i knjizi specikacija: </t>
    </r>
    <r>
      <rPr>
        <b/>
        <sz val="10"/>
        <color theme="1"/>
        <rFont val="Arial"/>
        <family val="2"/>
        <charset val="238"/>
      </rPr>
      <t>R</t>
    </r>
    <r>
      <rPr>
        <sz val="10"/>
        <color theme="1"/>
        <rFont val="Arial"/>
        <family val="2"/>
      </rPr>
      <t xml:space="preserve"> </t>
    </r>
    <r>
      <rPr>
        <b/>
        <sz val="10"/>
        <color theme="1"/>
        <rFont val="Arial"/>
        <family val="2"/>
        <charset val="238"/>
      </rPr>
      <t>T&amp;F 15</t>
    </r>
  </si>
  <si>
    <t>POSTAVLJANJE NOVIH UNUTARNJIH KAMENIH KLUPČICA</t>
  </si>
  <si>
    <r>
      <t xml:space="preserve">Referentni broj prema nacrtu i knjizi specikacija: </t>
    </r>
    <r>
      <rPr>
        <b/>
        <sz val="10"/>
        <color theme="1"/>
        <rFont val="Arial"/>
        <family val="2"/>
        <charset val="238"/>
      </rPr>
      <t>R</t>
    </r>
    <r>
      <rPr>
        <sz val="10"/>
        <color theme="1"/>
        <rFont val="Arial"/>
        <family val="2"/>
      </rPr>
      <t xml:space="preserve"> </t>
    </r>
    <r>
      <rPr>
        <b/>
        <sz val="10"/>
        <color theme="1"/>
        <rFont val="Arial"/>
        <family val="2"/>
        <charset val="238"/>
      </rPr>
      <t>T&amp;F 14</t>
    </r>
  </si>
  <si>
    <t>H15</t>
  </si>
  <si>
    <t>H16</t>
  </si>
  <si>
    <t>F1.1</t>
  </si>
  <si>
    <t>F1.2.1</t>
  </si>
  <si>
    <t>F1.2.2</t>
  </si>
  <si>
    <t>F1.3</t>
  </si>
  <si>
    <t>F1-R</t>
  </si>
  <si>
    <t>F2</t>
  </si>
  <si>
    <t>Krovopokrivački radovi</t>
  </si>
  <si>
    <t>POPRAVCI POSTOJEĆEG KROVIŠTA NA MJESTIMA UGRADNJE NOVIH PROZORA, ZATVARANJE POSTOJOĆIH I SL.</t>
  </si>
  <si>
    <t>U cijeni stavke obuhvaćen sav vertikalni i horizontalni transport.</t>
  </si>
  <si>
    <t>Svakva uključuje i uklanjanje postojećih dotrajalih elemenata krovišta na mjestima gdje je to potrebnu u suglasnosti s nadzornim inženjerom.</t>
  </si>
  <si>
    <t>POKRIVANJE KROVA NOVIM BETONSKIM CRIJEPOM</t>
  </si>
  <si>
    <t>F2.3</t>
  </si>
  <si>
    <t>DOBAVA I POSTAVA KAŠIRANA KAMENA VUNA IZNAD GK STROPA</t>
  </si>
  <si>
    <t>Dobava i ugradnja materijala za toplinsku izolaciju. Slobodno polaganje ploča od kamene vune debljine 15cm, kaširane Alu-folijom između rogova i na gk ploče stuštenog stropa.</t>
  </si>
  <si>
    <r>
      <t>Obračun po m</t>
    </r>
    <r>
      <rPr>
        <vertAlign val="superscript"/>
        <sz val="10"/>
        <rFont val="Arial"/>
        <family val="2"/>
      </rPr>
      <t>2</t>
    </r>
    <r>
      <rPr>
        <sz val="10"/>
        <rFont val="Arial"/>
        <family val="2"/>
      </rPr>
      <t xml:space="preserve"> (tlocrtna projekcija) do kompletnog završetka.</t>
    </r>
  </si>
  <si>
    <t>F2.4</t>
  </si>
  <si>
    <t>ZAVRŠNO ISPITIVANJE NEPROPUSNOSTI CIJELOG KROVA</t>
  </si>
  <si>
    <t>Ispitivanje se vrši nakon završetka svih radova mlazom vode niskoga tlaka prije montaže spuštenog stropa. Ispitivanje vršiti prisustvo nadzornog inženjera u trajanju od najmanje 4h.</t>
  </si>
  <si>
    <t>F2-R</t>
  </si>
  <si>
    <t>Gletanje i brušenje</t>
  </si>
  <si>
    <t>GLETANJE I BRUŠENJE GK STROPOVA</t>
  </si>
  <si>
    <t>GLETANJE I BRUŠENJE GK ZIDOVA</t>
  </si>
  <si>
    <t>Dobava, dostava materijala te Gletanje i brušenje GK stropova. Dodatak na izvedbu spojeva GK stropova do kvalitete obrade površina Q3. Potrebno obraditi cijele površine.</t>
  </si>
  <si>
    <t>Dobava, dostava materijala te Gletanje i brušenje GK zidova. Dodatak na izvedbu spojeva GK zidova do kvalitete obrade površina Q3. Potrebno obraditi cijele površine.</t>
  </si>
  <si>
    <t>Dvije ploče tipa H2</t>
  </si>
  <si>
    <t>E8.1</t>
  </si>
  <si>
    <t>RB-A-1</t>
  </si>
  <si>
    <t>RB-A-2</t>
  </si>
  <si>
    <t>RB-B-1</t>
  </si>
  <si>
    <t>RB-B-2</t>
  </si>
  <si>
    <t>RB-C</t>
  </si>
  <si>
    <t>RB-D-1</t>
  </si>
  <si>
    <t>RB-D-2</t>
  </si>
  <si>
    <t>RB-E</t>
  </si>
  <si>
    <t>RB-F</t>
  </si>
  <si>
    <t>OBRTNIČKI RADOVI</t>
  </si>
  <si>
    <t>TIP C</t>
  </si>
  <si>
    <t>RC-A-1</t>
  </si>
  <si>
    <t xml:space="preserve">RC-A-2 </t>
  </si>
  <si>
    <t xml:space="preserve">RC-B </t>
  </si>
  <si>
    <t xml:space="preserve">RC-C </t>
  </si>
  <si>
    <t>RC-D</t>
  </si>
  <si>
    <t>Fasaderski radovi ukupno</t>
  </si>
  <si>
    <t>Krovopokrivački radovi ukupno</t>
  </si>
  <si>
    <t>Dobava, dostava materijala te gletanje i brušenje GK stropova. Dodatak na izvedbu spojeva GK stropova do kvalitete obrade površina Q3. Potrebno obraditi cijele površine.</t>
  </si>
  <si>
    <t>Dobava, dostava materijala te gletanje i brušenje GK zidova. Dodatak na izvedbu spojeva GK zidova do kvalitete obrade površina Q3. Potrebno obraditi cijele površine.</t>
  </si>
  <si>
    <t>G3.3</t>
  </si>
  <si>
    <t>H10</t>
  </si>
  <si>
    <t>H10.1</t>
  </si>
  <si>
    <t>H10.2</t>
  </si>
  <si>
    <t>H10.3</t>
  </si>
  <si>
    <t>J2.1.2</t>
  </si>
  <si>
    <t>Tip C</t>
  </si>
  <si>
    <t>J4</t>
  </si>
  <si>
    <t>J4.1</t>
  </si>
  <si>
    <t>PROTUPOŽARNA VRATA SPREMIŠTA</t>
  </si>
  <si>
    <t>Izrada, prijevoz i ugradnja unutarnjih protupožarnih jednokrilnih neostakljenih (punih) zaokretnih vrata, požarne otpornosti EI2-60-C. Izvedba vrata iz čeličnog lima, pocinčana, završno obojena (plastifikacija), boja po izboru (RAL karta). Okov certificiran za protupožarna vrata po važećoj normi, kvake s rozetom, brava s ključem, hidraulička pumpa za samozatvaranje, panik kvaka. Suha ugradnja u nosive AB zidove. ALU bravarija treba zadovoljiti Rw=36dB.</t>
  </si>
  <si>
    <t>Fasadna skela</t>
  </si>
  <si>
    <t>Cementni estrih ukupno za 1 zgradu:</t>
  </si>
  <si>
    <t>Cementni estrih ukupno za 5 zgrada tipa B:</t>
  </si>
  <si>
    <t>Cementni estrih ukupno za 6 zgrada tipa C:</t>
  </si>
  <si>
    <t>SVEUKUPNO B + C:</t>
  </si>
  <si>
    <t>Hidroizolacija ukupno za 1 zgradu:</t>
  </si>
  <si>
    <t>Hidroizolacija ukupno za 5 zgrada tipa B:</t>
  </si>
  <si>
    <t>Hidroizolacija ukupno za 6 zgrada tipa C:</t>
  </si>
  <si>
    <t>GK radovi ukupno za 6 zgrada tipa C:</t>
  </si>
  <si>
    <t>GK radovi ukupno za 5 zgrada tipa B:</t>
  </si>
  <si>
    <t>Fasaderski radovi ukupno za 6 zgrada tipa C:</t>
  </si>
  <si>
    <t>Fasaderski radovi ukupno za 5 zgrada tipa B:</t>
  </si>
  <si>
    <t>Soboslikarski radovi ukupno za 5 zgrada tipa B:</t>
  </si>
  <si>
    <t>Soboslikarski radovi ukupno za 6 zgrada tipa C:</t>
  </si>
  <si>
    <t>Keramičarski i kamenarski radovi ukupno za 5 zgrada tipa B:</t>
  </si>
  <si>
    <t>Keramičarski i kamenarski radovi ukupno za 6 zgrada tipa C:</t>
  </si>
  <si>
    <t>Podopolagački radovi ukupno za 5 zgrada tipa B:</t>
  </si>
  <si>
    <t>Podopolagački radovi ukupno za 6 zgrada tipa C:</t>
  </si>
  <si>
    <t>Bravarski radovi ukupno za 5 zgrada tipa B:</t>
  </si>
  <si>
    <t>Staklarski radovi ukupno za 5 zgrada tipa B:</t>
  </si>
  <si>
    <t>Staklarski radovi ukupno za 6 zgrada tipa C:</t>
  </si>
  <si>
    <t>Bravarski radovi ukupno za 6 zgrada tipa C:</t>
  </si>
  <si>
    <t>Krovopokrivački radovi ukupno za 5 zgrada tipa B:</t>
  </si>
  <si>
    <t>Krovopokrivački radovi ukupno za 6 zgrada tipa C:</t>
  </si>
  <si>
    <t xml:space="preserve">Dobava i ugradnja potrebnog materijala za izvedbu plivajućeg cementnog estriha armiranog PP vlaknima, klase C25/30, vlačne čvrstoće veće od 5 N/mm2. Ukoliko su podne plohe veće od 30 m2, te ovisno o tipu estriha (tekući, armirani, suhomontažni..), a prema uputi proizvođača potrebno je izvesti dilatacije. Napomena: Svi slojevi i karakteristike materijala moraju biti usklađeni sa elaboratom građevinske fizike. Jediničnom cijenom obuhvatiti čišćenje površine, izradu cementnog estriha zaribanog do crnog sjaja sa ravnošću gornje površine od +/- 2 mm/3,00 m, rubnu traku Ethafoam 222-E uz zidove, izradu kompletnih dilatacija, te održavanje cementnog estriha. Cementni estrih izvesti u padu (po potrebi u kuapnicama) i ravno što će se kontrolirati odgovarajućom letvom. Ispitivanjem dokazati potrebnu tlačnu i vlačnu čvrstoću. </t>
  </si>
  <si>
    <t>Estrih debljine 5cm</t>
  </si>
  <si>
    <r>
      <t>m</t>
    </r>
    <r>
      <rPr>
        <vertAlign val="superscript"/>
        <sz val="10"/>
        <color rgb="FF00B050"/>
        <rFont val="Arial"/>
        <family val="2"/>
      </rPr>
      <t>2</t>
    </r>
  </si>
  <si>
    <t>Estrih debljine 6cm</t>
  </si>
  <si>
    <t>Estrih debljine 6,5cm</t>
  </si>
  <si>
    <t>Dobava i ugradnja zvučno izolacijske membrane od ekstrudiranog polietliena kao ETHAFOAM 222-E u dva sloja sa ljepljenjem spojeva ukupne debljine do 20mm. Obračun po m2 stvarno izvedene tlocrtne projekcije membrane sve do pune gotovosti i funkcionalnosti.</t>
  </si>
  <si>
    <t>Visina spuštenog stropa cca 257-390 cm</t>
  </si>
  <si>
    <r>
      <t>m</t>
    </r>
    <r>
      <rPr>
        <vertAlign val="superscript"/>
        <sz val="10"/>
        <color rgb="FF009900"/>
        <rFont val="Arial"/>
        <family val="2"/>
      </rPr>
      <t>2</t>
    </r>
  </si>
  <si>
    <t>Visina spuštenog stropa cca 257 cm</t>
  </si>
  <si>
    <r>
      <t xml:space="preserve">PREGRADNI ZID (između suhih prostora </t>
    </r>
    <r>
      <rPr>
        <sz val="10"/>
        <color rgb="FF009900"/>
        <rFont val="Arial"/>
        <family val="2"/>
        <charset val="238"/>
      </rPr>
      <t>- PZ1)</t>
    </r>
  </si>
  <si>
    <r>
      <t>PREGRADNI ZID (između suhih i mokrih prostora</t>
    </r>
    <r>
      <rPr>
        <sz val="10"/>
        <color rgb="FF009900"/>
        <rFont val="Arial"/>
        <family val="2"/>
        <charset val="238"/>
      </rPr>
      <t xml:space="preserve"> - PZ2</t>
    </r>
    <r>
      <rPr>
        <sz val="10"/>
        <color rgb="FF009900"/>
        <rFont val="Arial"/>
        <family val="2"/>
      </rPr>
      <t>)</t>
    </r>
  </si>
  <si>
    <t>E4.1</t>
  </si>
  <si>
    <r>
      <t xml:space="preserve">PREGRADNI ZID (između mokrih prostora </t>
    </r>
    <r>
      <rPr>
        <sz val="10"/>
        <color rgb="FF009900"/>
        <rFont val="Arial"/>
        <family val="2"/>
        <charset val="238"/>
      </rPr>
      <t>- PZ3</t>
    </r>
    <r>
      <rPr>
        <sz val="10"/>
        <color rgb="FF009900"/>
        <rFont val="Arial"/>
        <family val="2"/>
      </rPr>
      <t>)</t>
    </r>
  </si>
  <si>
    <t>E5.1</t>
  </si>
  <si>
    <t>E12</t>
  </si>
  <si>
    <t>PREGRADNI ZID (između suhih prostora - PZ4)</t>
  </si>
  <si>
    <t>Dobava i montaža nenosive pregrade tipa Knauf W112 s obostrano dvostrukom oblogom Knauf gipskartonskih ploča (A 13) i ispunom iz kamene vune KI TW, debljine 1×50 mm.
Visina pregrade do 450 cm. Izrada potkonstrukcije iz Knauf tipskih profila CW/UW 50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</si>
  <si>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E12.1</t>
  </si>
  <si>
    <t>Pregrada debljine 10 cm</t>
  </si>
  <si>
    <r>
      <t>m</t>
    </r>
    <r>
      <rPr>
        <vertAlign val="superscript"/>
        <sz val="10"/>
        <color rgb="FF0070C0"/>
        <rFont val="Arial"/>
        <family val="2"/>
      </rPr>
      <t>2</t>
    </r>
  </si>
  <si>
    <r>
      <t xml:space="preserve">ZIDNA OBLOGA ZA INSTALACIJE </t>
    </r>
    <r>
      <rPr>
        <sz val="10"/>
        <color rgb="FF009900"/>
        <rFont val="Arial"/>
        <family val="2"/>
        <charset val="238"/>
      </rPr>
      <t>(ZO3)</t>
    </r>
  </si>
  <si>
    <t>dobava i montaža zidne obloge mokrih prostora tipa Knauf W623 s jednostrano dvostrukom oblogom iz gips-kartonskih impregniranih ploča tipa H2. Izrada potkonstrukcije iz Knauf tipskih profila CW/UW 50 od pocinčanog lima debljine 0,6 mm. Pri izradi držati se smjernica i uputa proizvođača. Izrada prema smjernicama i uputama proizvođača. Kvaliteta završne obrade spojeva i površine prvog sloja prema kvaliteti Q1, a kvaliteta završne obrade drugog sloja prema kvaliteti obrade površine Q2 za bojanje, a Q1 za pločice.</t>
  </si>
  <si>
    <t>dobava i montaža zidne obloge zidova tipa Knauf W623 s dvostrukom oblogom iz gips-kartonskih ploča i ispunom iz kamene vune KI TW, debljine 1×30 mm. Izrada potkonstrukcije iz Knauf tipskih profila CD/UV 50 mm od pocinčanog lima debljine 0,6 mm. Pri izradi držati se smjernica i uputa proizvođača. Izrada prema smjernicama i uputama proizvođača. Kvaliteta završne obrade spojeva i površine prvog sloja prema kvaliteti Q1, a kvaliteta završne obrade drugog sloja prema kvaliteti obrade površine Q2 za bojanje, a Q1 za pločice.</t>
  </si>
  <si>
    <t>Ploča tipa A13 (Z01)</t>
  </si>
  <si>
    <t>Ploča tipa H2 (ZO2)</t>
  </si>
  <si>
    <r>
      <t>m</t>
    </r>
    <r>
      <rPr>
        <strike/>
        <vertAlign val="superscript"/>
        <sz val="10"/>
        <color rgb="FFFF0000"/>
        <rFont val="Arial"/>
        <family val="2"/>
      </rPr>
      <t>2</t>
    </r>
  </si>
  <si>
    <t>Dobava i ugradnja certificiranog tankoslojnog kontaktnog sustava fasade (ETICS) na osnovi fasadnih ploča kamene vune toplinske provodljivosti ʎ=0,035 W/mK, dimenzija 120x40cm homogene gustoće 100Kg/m3, tlačne čvrstoće pri 10% stišljivosti CS(10)30kPa, čvrstoće na raslojavanje jednake ili veće od TR10kPa, deklarirane na dugotrajnu vodoupojnost WL(P) te deklarirane paropropusnosti MU1, karakteristika kao Knauf Insulation FKD-S THERMAL ili jednako vrijedne, debljine 5 cm određene fizikalnim proračunom. U cijenu je potrebno uračunati dobavu materijala te izradu fasade prema uputama proizvođača. Postupak izvođenja:  Postavljanje perforiranog «sockel-profila» jednake širine kao debljina ploče od kamene vune. Pričvršćenje izvesti nerđajućim pričvrsnicama na razmaku svakih 40 do 60 cm. Nanošenje polimerno-cementnog morta za lijepljenje trakasto po rubovima i točkasto po sredini ploča. Ploče se nakon očvrslog morta za lijepljenje (nakon 3 dana) dodatno mehanički učvršćuju certificiranim pričvrsnicama kao EJOT tip H1 eco ili jednakovrijedne, 6-8kom/m2 sidrenjem u zidani zid 6,5cm kroz očvrsli mort za lijepljenje. Izvođač treba izraditi i dostaviti statički proračun pričvrsnica.</t>
  </si>
  <si>
    <t>Na uglove građevine postavljaju se PVC kutni profili sa staklenom mrežicom kao i oko otvora s tim da je na dijagonalama otvora potrebno kao dodatno ojačanje postaviti staklenu mrežicu dimenzija 20x40 (30x50) cm. Na rubove greda, ploča i sl. postavlja se okapni PVC kutni profil. Na dilatacijama se postavlja dilatacioni V profila.
Sve navedeno uključeno je u jediničnu cijenu. Obračun po m2 stvarno izvedenog fasadnog sustava do pune gotovosti. Kamena vuna je debljine 5 cm.</t>
  </si>
  <si>
    <t xml:space="preserve">Na dijelovima gdje se nalazi AB serklaž umjesto zida se postavljaju se ploče kamene vune debljine 10cm kako bi se nadoknadila razlika u debljini. Površina serklaža na pročelju je cca 10% ukupne površine fasade. </t>
  </si>
  <si>
    <t>Na mjestima dotrajale termožbuke potrebno je ukloniti sve slojeve do zdrave nosive konstrukcije. Nakon čišćenja nanosi se novi sloj za izravnavanje kako bi se postigla čvrsta podloga za postavu nove kamene vune.</t>
  </si>
  <si>
    <t>Zapuniti sljubnice kamene vune do širine 3mm PU nisko-ekspandirajućom pjenom, preko 3mm istovrsnim izrescima od kamene vune. Tkaninu od staklenog vlakna StoGlasfasergewebe 110cm, položiti u masu za armiranje kao StoLevell Uni, premazati po cijeloj površini i zagladiti. Nakon očvršćenja dodatno nanijeti izravnavajući sloj kao StoLevell Uni. Nakon 7 dana na ovako pripremljenu podlogu nanijeti premaz pigmentiranim međupremazom kao StoPutz Grund. Nanijeti gladilicom završni sloj silikonske žbuke kao StoSilco K1,5 u tonu 16018 80 C1.
Stavka obuhvaća izradu uzorka fasade 1x1m.</t>
  </si>
  <si>
    <r>
      <t>Obračun po m</t>
    </r>
    <r>
      <rPr>
        <vertAlign val="superscript"/>
        <sz val="10"/>
        <color rgb="FF009900"/>
        <rFont val="Arial"/>
        <family val="2"/>
      </rPr>
      <t>2</t>
    </r>
    <r>
      <rPr>
        <sz val="10"/>
        <color rgb="FF009900"/>
        <rFont val="Arial"/>
        <family val="2"/>
      </rPr>
      <t xml:space="preserve"> do kompletnog završetka.</t>
    </r>
  </si>
  <si>
    <t>Dobava i ugradnja certificiranog tankoslojnog kontaktnog sustava fasade (ETICS) na osnovi fasadnih ploča ekstrudiranog polistirena toplinske provodljivosti ʎ=0,035 W/mK, debljine 3-5cm i visine do 30-50cm iznad gotovog tla.
Na mjestima gdje se ekstrudirani polistiren nastavlja na kamenu vunu+termo žbuku postavlja se u debljini od 5cm dok se na preostalim koristi polistiren debljine 3cm. U cijenu je potrebno uračunati dobavu materijala te izradu fasade prema uputama proizvođača. Postupak izvođenja: Pričvršćenje izvesti nerđajućim pričvrsnicama na razmaku svakih 40 do 60 cm. Nanošenje polimerno-cementnog morta za lijepljenje trakasto po rubovima i točkasto po sredini ploča. Ploče se nakon očvrslog morta za lijepljenje (nakon 3 dana) dodatno mehanički učvršćuju certificiranim pričvrsnicama kao EJOT tip H1 eco ili jednakovrijedne, 6-8kom/m2 sidrenjem u beton 6,5cm kroz očvrsli mort za lijepljenje.Izvođač treba izraditi i dostaviti statički proračun pričvrsnica.</t>
  </si>
  <si>
    <t xml:space="preserve">Na dijelovima gdje se nalazi AB serklaž umjesto zida se postavljaju dodatnih 5cm XPSa kako bi se nadoknadila razlika u debljini. Površina serklaža na pročelju je cca 10% ukupne površine fasade. </t>
  </si>
  <si>
    <t>Dostava i ugradnja postojećih kamenih fasadnih ploča u građevinskom ljepilu. Postavljaju se postojeće ploče prema shemi polaganja, do cca 30-50 cm od gotovog tla.</t>
  </si>
  <si>
    <t xml:space="preserve">Izvedba obloge stropa vansjkog prostora kao toplinske, protupožarne i zvučne izolacije na osnovi tvornički jednostrano dekorativno obrađenih lamela kamene vune razreda reakcije na požar A1, okomito orijentiranih vlakana na površinu lijepljenja, stoga okomite čvrstoće na raslojavanje TR, koeficijenta toplinske provodljivosti 0,040 W/mK,  karakteristika kao Knauf Insulation CLT C1 Thermal ili jednako vrijedne, debljine 3 cm prema fizikalnom proračunu. Prije početka radova potrebno izvršiti provjeru kvalitete glede prionjivosti i ravnosti podloge stropa. Izvršiti sve potrebne pripremne radove po potrebi čišćenja i otprašivanja stropa te nanošenje pretpremaza za prionjivost. Cijena stavke uključuje dobavu i postavu komponenti prema uputama proizvođača. Redoslijed izvođenja:- PUNOPLOŠNO nanošenje akrilne emulzije-pretpremaza u omjeru s vodom 1:3, u cilju postizanja propisane prionjivosti, obvezno sušenje 20 sati u normalnim uvjetima - PUNOPLOŠNO nanošenje polimerno-cementnog glet morta na neobrađenu stranu lamele, zupčastim gleterom u debljini do 10 mm te aplikacija posebno dizajniranim gleterom u ravnini nazivne debljine na pripremljenu površinu stropa. Sve radove izvesti prema uputama proizvođača komponenti. </t>
  </si>
  <si>
    <t>POPRAVCI POSTOJEĆEG KROVIŠTA NA MJESTIMA UGRADNJE NOVIH PROZORA, ZATVARANJE POSTOJEĆIH I SL.</t>
  </si>
  <si>
    <t>Dobava i montaža drvene krovne konstrukcije kosog krova koja se sastoji od drvenih daski, paropropusne folije (stavka uključuje rubni preklop i spoj na postojeću foliju), letvi u dva smjera dimenzija kao i postojeće. Sve izvedeno prema pravilima struke i dimenzijama sukladnim postojećem stanju. Sva drvena građa crnogorica II. klase, tretirana jednoslojnom lazurom za zaštitu drva na bazi vode kao Remmers Adolit BQ 1.</t>
  </si>
  <si>
    <r>
      <t>Obračun po m</t>
    </r>
    <r>
      <rPr>
        <vertAlign val="superscript"/>
        <sz val="10"/>
        <color rgb="FF009900"/>
        <rFont val="Arial"/>
        <family val="2"/>
      </rPr>
      <t>2</t>
    </r>
    <r>
      <rPr>
        <sz val="10"/>
        <color rgb="FF009900"/>
        <rFont val="Arial"/>
        <family val="2"/>
      </rPr>
      <t xml:space="preserve"> do kompletnog završetka (20% tlocrtne projekcije ukupnog krovišta).</t>
    </r>
  </si>
  <si>
    <t>Dobava i pokrivanje krova novim betonskim crijepom u tonu i obliku kao i postojeći.
Stavka uključuje dobavu i postavu novog rubnog crijepa na mjestima uklanjanje radi dotrajalosti vijenca.
Izvođač je dužan prije postave dostaviti uzorak crijepa na odobrenje.</t>
  </si>
  <si>
    <t>Obračun po m2 do kompletnog završetka (30% tlocrtne projekcije ukupnog krovišta).</t>
  </si>
  <si>
    <t>F2.5</t>
  </si>
  <si>
    <t>BRUŠENJE POSTOJEĆEG PODGLEDA NADSTREŠNICA</t>
  </si>
  <si>
    <t>Brušenje i čišćenje postojećih drvenih daski.
Nakon dobro pripremenjene i očišćene podloge, drvo se štiti jednoslojnim lazurom za zaštitu drva na bazi vode kao Remmers Adolit BQ 1 te se boja s Capadur Wetterschutzfarbe NQG u RAL 9010 s prethodnim nanošenjem temeljnog premaza sve prema uputama od proizvođača.</t>
  </si>
  <si>
    <r>
      <t>Obračun po m</t>
    </r>
    <r>
      <rPr>
        <vertAlign val="superscript"/>
        <sz val="10"/>
        <color rgb="FF0070C0"/>
        <rFont val="Arial"/>
        <family val="2"/>
      </rPr>
      <t>2</t>
    </r>
    <r>
      <rPr>
        <sz val="10"/>
        <color rgb="FF0070C0"/>
        <rFont val="Arial"/>
        <family val="2"/>
      </rPr>
      <t xml:space="preserve"> (tlocrtna projekcija) do kompletnog završetka.</t>
    </r>
  </si>
  <si>
    <t>F2.6</t>
  </si>
  <si>
    <t>KITANJE I LIČENJE POSTOJEĆIH VIDLJIVIH ROGOVA</t>
  </si>
  <si>
    <t>Kitanje vanjskih vidljivih rogova dimenzija 12/14cm, duljine 100-200cm na mjestima oštećenja kitom za drvo (tip kao Wuerth Holzkit ili jednakovrijedno) nakon čega se rogovi bojaju sa Capadur Wetterschutzfarbe NQG u RAL 9010 s prethodnim nanošenjem temeljnog premaza sve prema uputama od proizvođača.</t>
  </si>
  <si>
    <r>
      <t>Referentni broj prema nacrtu i knjizi specikacija:</t>
    </r>
    <r>
      <rPr>
        <b/>
        <sz val="10"/>
        <color rgb="FF0070C0"/>
        <rFont val="Arial"/>
        <family val="2"/>
      </rPr>
      <t xml:space="preserve"> R T&amp;F 11</t>
    </r>
  </si>
  <si>
    <t>Dobava i ugradnja unutarnjih kamenih klupčica od ploča impregniranog poliranog kamena, širine cca 22-24cm, debljine 2cm ljepljene bijelim fleksibilnim građevinskim ljepilom s okapnicom s donje strane. Stavka uključuje min. prepust od 3cm i poliranje oba čela klupčica.</t>
  </si>
  <si>
    <t>Dobava i ugradnja unutarnjih kamenih klupčica od ploča poliranog kamena, širine cca 19-21cm, debljine 2cm ljepljene bijelim fleksibilnim građevinskim ljepilom. Stavka uključuje min. prepust od 3cm i poliranje oba čela klupčica.</t>
  </si>
  <si>
    <t>J2.4</t>
  </si>
  <si>
    <t>ČELIČNI PRIHVATNI PROFIL ZA KLIZNE STIJENE</t>
  </si>
  <si>
    <t>Dobava, dostava i montaža čelične cijevi pravokutnog presjeka 100x80mm i 100x50mm kao prihvat za nove staklene stijene.
Sve prema detalju.</t>
  </si>
  <si>
    <t>J2.5</t>
  </si>
  <si>
    <t>VANJSKA TENDA</t>
  </si>
  <si>
    <t>Izrada, dobava i ugradnja kazetne tende s mogućnosti podešavanja nagiba kao HELLA tip C2 ili jednakovrijedni. Izrađena od ekstrudiranog aluminijskog profila sa završnim kapama od tlačno lijevanog aluminija s zglobnim rukama, završna obrada u RAL prema odabiru projektanta. U cijeni stavke uključena namotajna cijev platna izrađena od čelika Ø78mm, konzolni nosači, i izbačajni profil. U cijeni uključen motorni pogon pomoću cjevastog motora s isključivanjem momenta umetnut u osovinu tkanine. Kontrola uz pomoć daljinskog upravljača. Svi moduli se povezuju u seriju.</t>
  </si>
  <si>
    <t>A1</t>
  </si>
  <si>
    <t>Rušenje i demontaža fasadne obloge</t>
  </si>
  <si>
    <t>A1.1</t>
  </si>
  <si>
    <t>RUŠENJE I UKLANJANJE FASADNE OBLOGE - ŽBUKA</t>
  </si>
  <si>
    <t>A1.1.1</t>
  </si>
  <si>
    <t>Vertikalne plohe fasade</t>
  </si>
  <si>
    <t>Pažljivo rušenje i uklanjanje postojeće fasadne obloge do NK zgrade, uključujući sve slojeve: fasadna žbuka, toplinska izolacija i morta za ljepljenje. Procjenjena debljina slojeva do 3 cm (8cm na mjestima vertikalnih AB serklaža) debljine.</t>
  </si>
  <si>
    <t>Fasada se uklanja u prizemlju na mjestima:
- spoja nadtemeljih zidova i podne ploče
- spoja terase sa zidovima
- novim šlicevima za postavu vertikalne oborinske odvodnje
- oštećenim dijelovima gdje je potrebna zamjena
- uz korvni vijenac
- uz vanjske metalne papučice</t>
  </si>
  <si>
    <t>Stavkom je obuhvaćen sav horizontalni i vertikalni transport, utovar i odvoz šute na gradski deponij.</t>
  </si>
  <si>
    <t>Obračun po m2 kompletno izvedenih radova (40% ukupne površine fasade).</t>
  </si>
  <si>
    <t>A1.1.2</t>
  </si>
  <si>
    <t>Horizontalne plohe fasade (podgled balkona)</t>
  </si>
  <si>
    <t xml:space="preserve">Pažljivo rušenje i uklanjanje postojeće fasadne obloge do NK zgrade. Obloga je rađena od termožbuke debljine cca 3 cm. </t>
  </si>
  <si>
    <t>Obračun po m2 kompletno izvedenih radova.</t>
  </si>
  <si>
    <t>A1-R</t>
  </si>
  <si>
    <t>IZOLACIJA PRIZEMLJA - XPS</t>
  </si>
  <si>
    <t>Dobava i ugradnja tvrdih ploča od ekstrudiranog polistirena u prizemlju ukupne debljine do 50mm. Polistiren se postavlja na cijeli dio niže etaže prizemlja te na ostatak prizemlja samo u dijelu uklanjanja kamena. Obračun po m2 stvarno izvedene tlocrtne projekcije membrane sve do pune gotovosti i funkcionalnosti.</t>
  </si>
  <si>
    <t>C4.4</t>
  </si>
  <si>
    <t xml:space="preserve">Dobava i ugradnja potrebnog materijala za izvedbu plivajućeg cementnog estriha armiranog PP vlaknima, klase C25/30, vlačne čvrstoće veće od 5 N/mm2. Ukoliko su podne plohe veće od 30 m2, te ovisno o tipu estriha (tekući, armirani, suhomontažni..), a prema uputi proizvođača potrebno je izvesti dilatacije. Jediničnom cijenom obuhvatiti čišćenje površine, izradu cementnog estriha zaribanog do crnog sjaja sa ravnošću gornje površine od +/- 2 mm/3,00 m, rubnu traku Ethafoam 222-E uz zidove, izradu kompletnih dilatacija, te održavanje cementnog estriha. Cementni estrih izvesti u padu (po potrebi u kuapnicama) i ravno što će se kontrolirati odgovarajućom letvom. Ispitivanjem dokazati potrebnu tlačnu i vlačnu čvrstoću. </t>
  </si>
  <si>
    <t>a) debljina estriha 5 cm (ispod kamena)</t>
  </si>
  <si>
    <t>b) debljina estriha 6 cm (ispod keramičkih pločica)</t>
  </si>
  <si>
    <t>c) debljina estriha 6,5 cm (ispod LVT)</t>
  </si>
  <si>
    <t>Dobava, dostava i montaža hidroizolacijskoh sloja od elastomerne polimer-bitumenske hidroizolacijske trake, tip kao Sika Shield E53s 4mm. U stavku uključena i dostava i ugradnja temeljnog premaza, tip kao Sika Igolflex P01.</t>
  </si>
  <si>
    <r>
      <t xml:space="preserve">Dobava, dostava i ugradnja elastomerne polimer-bitumenske hidroizolacijske trake, tip kao Sika Shield E53s 4mm. U stavku uključena i dostava i ugradnja temeljnog premaza, tip kao Sika Igolflex P01.
</t>
    </r>
    <r>
      <rPr>
        <sz val="10"/>
        <color rgb="FF00B050"/>
        <rFont val="Arial"/>
        <family val="2"/>
        <charset val="238"/>
      </rPr>
      <t>Stavkom obuhvačeno i nanošenje Sika Igolflex 310 na mjestima ugradnje staklenih stijena, razvijene širine 36cm.
Ugradnja prema uputi proizvođača.</t>
    </r>
  </si>
  <si>
    <t>Dobava, dostava i ugradnja polimercementne hidroizolacije koja se postavlja na prethodno pripremljenu, zaravnatu, glatku i očišćenu podlogu od prašine, krhotina i masnoće.
Izvedbu vršiti polimercementnom izolacijom, tip kao: Sikalastic 152 ili jednakovrijedno. 
Ugradnja prema uputi proizvođača.
Sve prema detaljnom nacrtu.</t>
  </si>
  <si>
    <t>D5</t>
  </si>
  <si>
    <t>HIDROIZOLACIJA NOVIH PRODORA KANALIZACIJE</t>
  </si>
  <si>
    <t>Obrada novih prodora kanalizacije u ploči sa specijalnom samoljepljivom hidroizolacijskom trakom kao SikaShiled W-172 te se prihvat na PVC kanalizacijsku cijev izvodi sa manžetom izvedenom na gradilištu, koristeći istovrsnu hidroizolacijsku traku kao SikaShiled W-172 i dodatno zatezanje sa obujmicom od nehrđajućeg čelika. Radove izvesti prema uputama proizvođača materijala.</t>
  </si>
  <si>
    <t>Obračun po komadu.</t>
  </si>
  <si>
    <t>Prodori kroz ploču</t>
  </si>
  <si>
    <r>
      <t xml:space="preserve">PREGRADNI ZID (između suhih prostora </t>
    </r>
    <r>
      <rPr>
        <sz val="10"/>
        <color rgb="FF7030A0"/>
        <rFont val="Arial"/>
        <family val="2"/>
        <charset val="238"/>
      </rPr>
      <t xml:space="preserve">- </t>
    </r>
    <r>
      <rPr>
        <sz val="10"/>
        <color theme="4"/>
        <rFont val="Arial"/>
        <family val="2"/>
      </rPr>
      <t>PZ1</t>
    </r>
    <r>
      <rPr>
        <sz val="10"/>
        <color rgb="FF7030A0"/>
        <rFont val="Arial"/>
        <family val="2"/>
        <charset val="238"/>
      </rPr>
      <t>)</t>
    </r>
  </si>
  <si>
    <r>
      <t>PREGRADNI ZID (između suhih i mokrih prostora</t>
    </r>
    <r>
      <rPr>
        <sz val="10"/>
        <color rgb="FF7030A0"/>
        <rFont val="Arial"/>
        <family val="2"/>
        <charset val="238"/>
      </rPr>
      <t xml:space="preserve"> - </t>
    </r>
    <r>
      <rPr>
        <sz val="10"/>
        <color theme="4"/>
        <rFont val="Arial"/>
        <family val="2"/>
      </rPr>
      <t>PZ2</t>
    </r>
    <r>
      <rPr>
        <sz val="10"/>
        <color theme="1"/>
        <rFont val="Arial"/>
        <family val="2"/>
      </rPr>
      <t>)</t>
    </r>
  </si>
  <si>
    <r>
      <t xml:space="preserve">PREGRADNI ZID (između mokrih prostora </t>
    </r>
    <r>
      <rPr>
        <sz val="10"/>
        <color rgb="FF7030A0"/>
        <rFont val="Arial"/>
        <family val="2"/>
        <charset val="238"/>
      </rPr>
      <t xml:space="preserve">- </t>
    </r>
    <r>
      <rPr>
        <sz val="10"/>
        <color theme="4"/>
        <rFont val="Arial"/>
        <family val="2"/>
      </rPr>
      <t>PZ3</t>
    </r>
    <r>
      <rPr>
        <sz val="10"/>
        <color theme="1"/>
        <rFont val="Arial"/>
        <family val="2"/>
      </rPr>
      <t>)</t>
    </r>
  </si>
  <si>
    <r>
      <t>m</t>
    </r>
    <r>
      <rPr>
        <vertAlign val="superscript"/>
        <sz val="10"/>
        <color theme="4"/>
        <rFont val="Arial"/>
        <family val="2"/>
      </rPr>
      <t>2</t>
    </r>
  </si>
  <si>
    <t>E13</t>
  </si>
  <si>
    <t>PREGRADNI ZID (između suhih i mokrih prostora - PZ5)</t>
  </si>
  <si>
    <t>Dobava i montaža nenosive pregrade tipa Knauf W112 s obostrano dvostrukom oblogom Knauf gipskartonskih ploča (A 13 i H2 13) i ispunom iz kamene vune KI TW, debljine 1×50 mm.
Visina pregrade do 450 cm. Izrada potkonstrukcije iz Knauf tipskih profila CW/UW 50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</si>
  <si>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E13.1</t>
  </si>
  <si>
    <t>E14</t>
  </si>
  <si>
    <t>PREGRADNI ZID (između mokrih prostora - PZ6)</t>
  </si>
  <si>
    <t>Dobava i montaža nenosive pregrade tipa Knauf W113 s obostrano dvostrukom oblogom Knauf gipskartonskih ploča (H2) i ispunom iz kamene vune KI TW, debljine 1×50 mm.
Visina pregrade do 450 cm. Izrada potkonstrukcije iz Knauf tipskih profila CW/UW 50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</si>
  <si>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E14.1</t>
  </si>
  <si>
    <t>E15</t>
  </si>
  <si>
    <t>PREGRADNI ZID (između mokrih prostora - PZ7)</t>
  </si>
  <si>
    <t>Dobava i montaža nenosive pregrade tipa Knauf W113 s obostrano jednostrukom oblogom Knauf gipskartonskih ploča (H2) i ispunom iz kamene vune KI TW, debljine 1×50 mm.
Visina pregrade do 450 cm. Izrada potkonstrukcije iz Knauf tipskih profila CW/UW 50 od pocinčanog lima debljine 0,6 mm. Spoj obodne konstrukcije sa Knauf profilima se izvodi sa brtvenim kitom. Međusobni razmaci okomitih profila 62,5 cm. Izrada prema smjernicama i uputama proizvođača. Kvaliteta završne obrade spojeva i površine prvog sloja prema kvaliteti Q1, a kvaliteta završne obrade drugog sloja prema kvaliteti obrade površine Q2.</t>
  </si>
  <si>
    <t>E15.1</t>
  </si>
  <si>
    <t>Pregrada debljine 7,5 cm</t>
  </si>
  <si>
    <r>
      <t xml:space="preserve">ZIDNA OBLOGA ZA INSTALACIJE </t>
    </r>
    <r>
      <rPr>
        <sz val="10"/>
        <color rgb="FF7030A0"/>
        <rFont val="Arial"/>
        <family val="2"/>
        <charset val="238"/>
      </rPr>
      <t>(ZO3)</t>
    </r>
  </si>
  <si>
    <r>
      <t>Obračun po m</t>
    </r>
    <r>
      <rPr>
        <vertAlign val="superscript"/>
        <sz val="10"/>
        <color rgb="FF00B050"/>
        <rFont val="Arial"/>
        <family val="2"/>
      </rPr>
      <t>2</t>
    </r>
    <r>
      <rPr>
        <sz val="10"/>
        <color rgb="FF00B050"/>
        <rFont val="Arial"/>
        <family val="2"/>
      </rPr>
      <t xml:space="preserve"> do kompletnog završetka.</t>
    </r>
  </si>
  <si>
    <r>
      <t xml:space="preserve">U knjizi specifikacija i nacrtu, pod ref.br.: </t>
    </r>
    <r>
      <rPr>
        <b/>
        <sz val="10"/>
        <rFont val="Arial"/>
        <family val="2"/>
      </rPr>
      <t>R P&amp;W 01</t>
    </r>
  </si>
  <si>
    <r>
      <t>U knjizi specifikacija i nacrtu, pod ref.br.:</t>
    </r>
    <r>
      <rPr>
        <b/>
        <sz val="10"/>
        <rFont val="Arial"/>
        <family val="2"/>
      </rPr>
      <t xml:space="preserve"> R P&amp;W 06</t>
    </r>
  </si>
  <si>
    <r>
      <t xml:space="preserve">U knjizi specifikacija i nacrtu, pod ref.br.: </t>
    </r>
    <r>
      <rPr>
        <b/>
        <sz val="10"/>
        <rFont val="Arial"/>
        <family val="2"/>
      </rPr>
      <t>R P&amp;W 05</t>
    </r>
  </si>
  <si>
    <r>
      <t>U knjizi specifikacija i nacrtima pod šifrom:</t>
    </r>
    <r>
      <rPr>
        <b/>
        <sz val="10"/>
        <rFont val="Arial"/>
        <family val="2"/>
      </rPr>
      <t xml:space="preserve"> R P&amp;W 02</t>
    </r>
  </si>
  <si>
    <r>
      <t>U knjizi specifikacija i nacrtima pod šifrom:</t>
    </r>
    <r>
      <rPr>
        <b/>
        <sz val="10"/>
        <rFont val="Arial"/>
        <family val="2"/>
      </rPr>
      <t xml:space="preserve"> R P&amp;W 03</t>
    </r>
  </si>
  <si>
    <r>
      <t>U knjizi specifikacija i nacrtima pod šifrom:</t>
    </r>
    <r>
      <rPr>
        <b/>
        <sz val="10"/>
        <rFont val="Arial"/>
        <family val="2"/>
      </rPr>
      <t xml:space="preserve"> R P&amp;W 07</t>
    </r>
  </si>
  <si>
    <r>
      <t xml:space="preserve">Referentni broj prema nacru i knjizi specifikacija: </t>
    </r>
    <r>
      <rPr>
        <b/>
        <sz val="10"/>
        <rFont val="Arial"/>
        <family val="2"/>
      </rPr>
      <t>R T&amp;F 02</t>
    </r>
  </si>
  <si>
    <r>
      <t xml:space="preserve">Referentni broj prema nacrtu i knjizi specikacija: </t>
    </r>
    <r>
      <rPr>
        <b/>
        <sz val="10"/>
        <rFont val="Arial"/>
        <family val="2"/>
      </rPr>
      <t>R T&amp;F 06</t>
    </r>
  </si>
  <si>
    <r>
      <t>Referentni broj prema nacrtu i knjizi specikacija:</t>
    </r>
    <r>
      <rPr>
        <b/>
        <sz val="10"/>
        <rFont val="Arial"/>
        <family val="2"/>
      </rPr>
      <t xml:space="preserve"> R T&amp;F 07</t>
    </r>
  </si>
  <si>
    <r>
      <t>Referentni broj prema nacrtu i knjizi specikacija:</t>
    </r>
    <r>
      <rPr>
        <b/>
        <sz val="10"/>
        <rFont val="Arial"/>
        <family val="2"/>
      </rPr>
      <t xml:space="preserve"> R T&amp;F 08</t>
    </r>
  </si>
  <si>
    <r>
      <t xml:space="preserve">Referentni broj prema nacrtu i knjizi specikacija: </t>
    </r>
    <r>
      <rPr>
        <b/>
        <sz val="10"/>
        <rFont val="Arial"/>
        <family val="2"/>
      </rPr>
      <t>R T&amp;F 09</t>
    </r>
  </si>
  <si>
    <r>
      <t>Referentni broj prema nacrtu i knjizi specikacija:</t>
    </r>
    <r>
      <rPr>
        <b/>
        <sz val="10"/>
        <rFont val="Arial"/>
        <family val="2"/>
      </rPr>
      <t xml:space="preserve"> R T&amp;F 11</t>
    </r>
  </si>
  <si>
    <r>
      <t>Referentni broj prema nacrtu i knjizi specikacija:</t>
    </r>
    <r>
      <rPr>
        <b/>
        <sz val="10"/>
        <rFont val="Arial"/>
        <family val="2"/>
      </rPr>
      <t xml:space="preserve"> R T&amp;F 01</t>
    </r>
  </si>
  <si>
    <r>
      <t>Obračun po m</t>
    </r>
    <r>
      <rPr>
        <vertAlign val="superscript"/>
        <sz val="10"/>
        <color rgb="FF00B050"/>
        <rFont val="Arial"/>
        <family val="2"/>
      </rPr>
      <t>2</t>
    </r>
    <r>
      <rPr>
        <sz val="10"/>
        <color rgb="FF00B050"/>
        <rFont val="Arial"/>
        <family val="2"/>
      </rPr>
      <t xml:space="preserve"> izvedene površine do završetka.</t>
    </r>
  </si>
  <si>
    <r>
      <t xml:space="preserve">Referentni broj prema nacrtu i knjizi specikacija: </t>
    </r>
    <r>
      <rPr>
        <b/>
        <sz val="10"/>
        <rFont val="Arial"/>
        <family val="2"/>
      </rPr>
      <t>R T&amp;F 03</t>
    </r>
  </si>
  <si>
    <t>Dobava, dostava i ugradnja elastomerne polimer-bitumenske hidroizolacijske trake, tip kao Sika Shield E53s 4mm. U stavku uključena i dostava i ugradnja temeljnog premaza, tip kao Sika Igolflex P01.
Stavkom obuhvačeno i nanošenje Sika Igolflex 310 na mjestima ugradnje staklenih stijena, razvijene širine 36cm.
Ugradnja prema uputi proizvođača.</t>
  </si>
  <si>
    <t>Dobava, doprema i izvedba hidroizolacije podova mokrih prostora polimercementnom hidroizolacijom u dva sloja.
Hidroizolacija postavlja se na prethodno pripremljenu, zaravnatu, glatku, očišćenu podlogu od prašine, krhotina i masnoće.</t>
  </si>
  <si>
    <t>Izvedbu vršiti dvokomponentnim elastičnim polimercementnim hidroizlacijskim premazom (kao Mapelastic 150, proizvod Mapei ili jednako vrijedno).</t>
  </si>
  <si>
    <t>HIDROIZOLACIJE</t>
  </si>
  <si>
    <t>13.10.2025.</t>
  </si>
  <si>
    <t>B1</t>
  </si>
  <si>
    <t>B2</t>
  </si>
  <si>
    <t>B3</t>
  </si>
  <si>
    <t>B4</t>
  </si>
  <si>
    <t>B5</t>
  </si>
  <si>
    <t>A6</t>
  </si>
  <si>
    <t>A7</t>
  </si>
  <si>
    <t>A8</t>
  </si>
  <si>
    <t>A9</t>
  </si>
  <si>
    <t>A10</t>
  </si>
  <si>
    <t>B6</t>
  </si>
  <si>
    <t>Radovi demontaže i konstruktivne sanacije</t>
  </si>
  <si>
    <t>Sva drvena građe crnogorice II klase čvrstoće C24, maksimalne vlažnosti drva 16%, tretirana jednoslojnom lazurom za zaštitu drva na bazi vode kao Remmers Adolit BQ 1.</t>
  </si>
  <si>
    <t>A1.</t>
  </si>
  <si>
    <t>Zamjena pojedinačnog roga</t>
  </si>
  <si>
    <t>Stavka se odnosi na demontažu postojećih dotrajalih rogova.
Stavka uključuje pažljivu demontažu postojećeg roga dimenzija 12/14cm duljine 5,8-6,5m'.
Pažljiva demontaža postojećih daski i paropropusne folije u rasponu do susjednog roga koji se ne mijenja, raspon između rogova cca 11cm.
Pažljiva demontaža postojećih letvi i kontraletvi s crijepom površine cca 11m2
Dobava i montaža nove krovne konstrukcije koja se sastoji od novog roga dimenzija istim kao postojeći.
Dobava i postava novih daski (debljine kao i postojeće) i paropropusne folije u zoni zamjene (stavka uključuje rubni preklop i spoj na postojeću foliju) površine cca 11m2.
Dobava i postava letve u dva smjera dimenzija u skladu s postojećom konstrukcijom površine cca 11m2.
Ako su ojačanja na vidljivim dijelovima potrebno je bojati sa Capadur Wetterschutzfarbe NQG u RAL 9010 s prethodnim nanošenjem temeljnog premaza sve prema uputama od proizvođača.
Sve izvoditi prema detaljnim uputama opisanim u Projektu građevinske konstrukcije.</t>
  </si>
  <si>
    <t>komplet</t>
  </si>
  <si>
    <t>A2.</t>
  </si>
  <si>
    <t>Zamjena postojeće podrožnice</t>
  </si>
  <si>
    <t>Stavka se odnosi na demontaža postojeće podrožnice s prethodnim podupiranjem postojeće konstrukcije.
Pažljiva dobava i montaža nove krovne konstrukcije koja se sastoji od podrožnice dimenzija 20/24cm duljine 8-10m'.
Sve izvoditi prema detaljnim uputama opisanim u Projektu građevinske konstrukcije.</t>
  </si>
  <si>
    <t>A3.</t>
  </si>
  <si>
    <t>Zamjena postojećih daski</t>
  </si>
  <si>
    <t>Stavka se odnosi na zamjenu daski uz zabate, na pozicijama dimnjaka te izolirane dotrajale zone.
Pažljiva demontaža postojećih daski i paropropusne folije u zoni dotrajalosti od vlage i prodora vode
Pažljiva demontaža postojećih letvi i kontraletvi s crijepom.
Dobava i postava novih daski (debljine kao i postojeće) i paropropusne folije u zoni zamjene (stavka uključuje rubni preklop i spoj na postojeću foliju).
Dobava i postava letve u dva smjera dimenzija u skladu s postojećom konstrukcijom.
Ako su ojačanja na vidljivim dijelovima potrebno je bojati sa Capadur Wetterschutzfarbe NQG u RAL 9010 s prethodnim nanošenjem temeljnog premaza sve prema uputama od proizvođača.
Sve izvoditi prema detaljnim uputama opisanim u Projektu građevinske konstrukcije.</t>
  </si>
  <si>
    <t>m2</t>
  </si>
  <si>
    <t>A4.</t>
  </si>
  <si>
    <t>Sanacija neuredno izvedenih prodora</t>
  </si>
  <si>
    <t>Stavka se odnosi na sanaciju točkastih oštećenja uslijed raznih zahvata na AB konstrukciji su nastala tijekom raznih prijašnjih zahvata.
Za reprofilaciju površine AB ploča na mjestima prodora koristiti jednokomponentni polimer-cementni mort sa kompenziranim skupljanjem, u debljini slojeva 6mm do 50mm, tipa kao SikaEmaco S 488.
Sve izvoditi prema detaljnim uputama opisanim u Projektu građevinske konstrukcije.</t>
  </si>
  <si>
    <t>A5.</t>
  </si>
  <si>
    <t>Ojačanje spojeva zabatnih zidova</t>
  </si>
  <si>
    <t xml:space="preserve">Stavka se odnosi na sanaciju zidova s unutarnje strane armiranjem sljubnica.
Pažljiva čišćenje sljubnica do dubine 4 do 5cm. Sljubnice se potom čiste od prašine zrakom pod pritiskom te vodom kako bi se uklonile sve nečistoće.
Spiralno oblikovana sidra izrezuju se na potrebu duljinu, pri čemu treba voditi računa da se postavljaju tako da s obje strane pukotine imaju duljinu od najmanje 50 cm.
Stavka uključuje i stabilizaciju zabatnog zida pričvršćivanjem zida i rubnog roga čeličnim 'L' profilima duljine 100cm. Sidre se sa po tri vijka u drvo odnosno opeku.
Sve izvoditi prema detaljnim uputama opisanim u Projektu građevinske konstrukcije.
</t>
  </si>
  <si>
    <t>Sljubnice</t>
  </si>
  <si>
    <t>Stabilizacija vrha</t>
  </si>
  <si>
    <t>A6.</t>
  </si>
  <si>
    <t>Izvedba novih rubni horizontalnih serklaža</t>
  </si>
  <si>
    <t>Stavka se odnosi na izvedbu stabilizacije bočnih zidova izvedbom novih horizontalnih serklaža.
Pažljivo izvođenje kampada za nove serklaže u širini od 100cm s dodatnih 50cm za preklop armature kako bi se izbjegla potreba za podupiranjem zida.
Kampade dimenzija 15x15cm  
Sve izvoditi prema detaljnim uputama opisanim u Projektu građevinske konstrukcije.</t>
  </si>
  <si>
    <t>A7.</t>
  </si>
  <si>
    <t>Izvedba novih vertikalnih serklaža</t>
  </si>
  <si>
    <t>Stavka se odnosi na izvedbu novih vertikalnih serklaža na sudaru zabatnih zidova ako ih na tim mjestima nema.
Pažljiva izrada utora u uglovima zidova od opeke dubine cca 15-20cm u širini od cca 30cm od unutarnjeg ugla zida za izvođenje novih vertikalnih serklaža.
Stavkom obuhvaćena sva potrebna oplata.
Sve izvoditi prema detaljnim uputama opisanim u Projektu građevinske konstrukcije.</t>
  </si>
  <si>
    <t>A8.</t>
  </si>
  <si>
    <t>Izvedba novih vanjskih stupova i podrožnice</t>
  </si>
  <si>
    <t>Stavka se odnosi na kompletno pročelje radi kombinacije dotrajalih stupova i podrožnica koje u kombinaciji zahtijevaju kompletnu zamjenu.
Pažljivo rušenje postojećih AB stupova promjera 30cm i visine 200-300cm s podupiranjem postojećih rogova.
Pažljiva demontaža postojeće podrožnice.
Izvedba dobava i montaža novih plastificiranih čeličnih stupova dimenzija 120x120x4mm sa sidrenom pločom 140x200x8mm i 'U' papučom 120x140x5mm, S235 za prihvat nove podrožnice.
Stup plastificiran u RAL 9010.
Stup se sidri preko sidrene ploče u novi AB parapetnih zid sa sidrenim vijcima za beton Wuerth W-FAZ PRO/S M10.
Stavkom je uključena izrada radioničke dokumentacije za nove stupove.
Dobava i montaža nove krovne konstrukcije koja se sastoji od podrožnice dimenzija 12/16cm duljine 8-10m'.
Vidljiva drvena građa će se bojati sa Capadur Wetterschutzfarbe NQG u RAL 9010 s prethodnim nanošenjem temeljnog premaza sve prema uputama od proizvođača.
Sve izvoditi prema detaljnim uputama opisanim u Projektu građevinske konstrukcije.</t>
  </si>
  <si>
    <t>Rušenje postojećih AB stupova 11,4m3</t>
  </si>
  <si>
    <t>Novi čelični stupovi:</t>
  </si>
  <si>
    <t>l=2,75m' kom 6</t>
  </si>
  <si>
    <t>l=2,25m' kom 8</t>
  </si>
  <si>
    <t>l=2,05m' kom 6</t>
  </si>
  <si>
    <t>Nove podrožnice:</t>
  </si>
  <si>
    <t>l=6m' kom 2</t>
  </si>
  <si>
    <t>l=8m' kom 1</t>
  </si>
  <si>
    <t>l=7,4m' kom 2</t>
  </si>
  <si>
    <t>Rušenje postojećih AB stupova 7,9m3</t>
  </si>
  <si>
    <t>l=2,15m' kom 13</t>
  </si>
  <si>
    <t>l=6,8m' kom 2</t>
  </si>
  <si>
    <t>l=17m' kom 1</t>
  </si>
  <si>
    <t>A9.</t>
  </si>
  <si>
    <t>Sanacija AB istaka</t>
  </si>
  <si>
    <t>Sanacija oštećenih balkona i raznih dotrajalih AB istaka na konstrukciji građevine.
Stavka uključuje:
- Faza 1
Čišćenje postojećeg betona kako bi se postigla čista površina bez prašine i rastresitog materijala. Oko korodirane armature treba biti očišćeno dovoljno betona kako bi se omogućilo čišćenje armature. 
Uklanjanje dotrajalih, slabih i oštećenih betonskih dijelova, te čišćenje vidljive armature od hrđe, kamenca, morta, betona i drugih labavih i štetnih materijala pjeskarenjem i ispiranje pod visokim pritiskom do Sa 2 (ISO 8501-1).
- Faza 2
Temeljno antikorozivno premazivanje armature uključujući dobavu i dostavu potrebnog premaza
- Faza 3
Reprofilacija AB ploče reparaturnim mortom uz predradnje postavljanja veznog mosta (tip proizvoda kao Sika Emaco S488 ili jednakovrijedno)
Završna obrada reparaturnog morta.
Sve izvoditi prema detaljnim uputama opisanim u Projektu građevinske konstrukcije.</t>
  </si>
  <si>
    <t>A10.</t>
  </si>
  <si>
    <t>Zamjena oštećenih metalnih papuča</t>
  </si>
  <si>
    <t>Nakon uklanjanja dijela fasade (zasebna stavka u glavnog troškovniku) uz metalne papuče obaviti ispitivanje spoja metalne papuče i same konstrukcije objekta .
Prema potrebi stavkom je predviđena zamjena dotrajalih metalnih papuča s novima.
Obračun po stvarnom broju zamijenjenih metalnih papuča i prema odobrenju Nadzora.
Sve izvoditi prema detaljnim uputama opisanim u Projektu građevinske konstrukcije.</t>
  </si>
  <si>
    <t>A11.</t>
  </si>
  <si>
    <t>Sanacija oštećenih rogova</t>
  </si>
  <si>
    <r>
      <t xml:space="preserve">Stavka uključuje dobavu, dostavu i montažu svih elemenata potrebnih za sanaciju oštećenih rogova.
Oštećene i ispucale rogove je potrebno sanirati kitom za drvo (tip kao Wuerth Holzkit ili jednakovrijedno).
Nakon kitanja rogova se postavljaju novi drveni elementi, b/h=8/14 cm, bočno i povezuju se vijcima ASSY 4 WH </t>
    </r>
    <r>
      <rPr>
        <sz val="10"/>
        <rFont val="Aptos Narrow"/>
        <family val="2"/>
      </rPr>
      <t>Φ</t>
    </r>
    <r>
      <rPr>
        <sz val="10"/>
        <rFont val="Arial"/>
        <family val="2"/>
      </rPr>
      <t>12 x200/100mm. Nova bočna drvena građa je duljine istih kao rogovi.
Ako su ojačanja na vidljivim dijelovima potrebno je bojati sa Capadur Wetterschutzfarbe NQG u RAL 9010 s prethodnim nanošenjem temeljnog premaza sve prema uputama od proizvođača.
Sve izvoditi prema detaljnim uputama opisanim u Projektu građevinske konstrukcije.</t>
    </r>
  </si>
  <si>
    <t>Obračun po komadu stvarno izvedenih radova</t>
  </si>
  <si>
    <t>A12.</t>
  </si>
  <si>
    <t>Sanacija oštećenih podrožnica</t>
  </si>
  <si>
    <r>
      <t xml:space="preserve">Stavka uključuje dobavu, dostavu i montažu svih elemenata potrebnih za sanaciju oštećenih podrožnica.
Oštećene i ispucale podrožnice je potrebno sanirati kitom za drvo (tip kao Wuerth Holzkit ili jednakovrijedno). Nakon kitanja podrožnica se postavljaju novi drveni elementi, b/h=8/24 cm, bočno i povezuju se vijcima ASSY 4 WH </t>
    </r>
    <r>
      <rPr>
        <sz val="10"/>
        <rFont val="Aptos Narrow"/>
        <family val="2"/>
      </rPr>
      <t>Φ</t>
    </r>
    <r>
      <rPr>
        <sz val="10"/>
        <rFont val="Arial"/>
        <family val="2"/>
      </rPr>
      <t>12 x200/100mm. Nova bočna drvena građa je duljine istih kao podrožnice.
Ako su ojačanja na vidljivim dijelovima potrebno je bojati sa Capadur Wetterschutzfarbe NQG u RAL 9010 s prethodnim nanošenjem temeljnog premaza sve prema uputama od proizvođača.
Sve izvoditi prema detaljnim uputama opisanim u Projektu građevinske konstrukcije.</t>
    </r>
  </si>
  <si>
    <t>A13.</t>
  </si>
  <si>
    <t>Sanacija oštećenih nadzidnica</t>
  </si>
  <si>
    <r>
      <t xml:space="preserve">Stavka uključuje dobavu, dostavu i montažu svih elemenata potrebnih za sanaciju oštećenih nadzidnica.
Oštećene i ispucale nadzidnice je potrebno sanirati kitom za drvo (tip kao Wuerth Holzkit ili jednakovrijedno). Nakon kitanja rogova se postavljaju novi drveni elementi, b/h=8/20 cm, bočno i povezuju se vijcima ASSY 4 WH </t>
    </r>
    <r>
      <rPr>
        <sz val="10"/>
        <rFont val="Aptos Narrow"/>
        <family val="2"/>
      </rPr>
      <t>Φ</t>
    </r>
    <r>
      <rPr>
        <sz val="10"/>
        <rFont val="Arial"/>
        <family val="2"/>
      </rPr>
      <t>12 x200/100mm. Nova bočna drvena građa je duljine istih kao nadzidnice.
Ako su ojačanja na vidljivim dijelovima potrebno je bojati sa Capadur Wetterschutzfarbe NQG u RAL 9010 s prethodnim nanošenjem temeljnog premaza sve prema uputama od proizvođača.
Sve izvoditi prema detaljnim uputama opisanim u Projektu građevinske konstrukcije.</t>
    </r>
  </si>
  <si>
    <t>A14.</t>
  </si>
  <si>
    <t>Zamjena nadzidnice</t>
  </si>
  <si>
    <t>Stavkom obuhvaćena pažljiva demontaža postojećih rogova u širini nadzidnice dimenzija 12/14cm duljine 5,8-6,5m' radi nanove montaže istih (11 komada).
Pažljiva demontaža postojećih daski i paropropusne folije u rasponu do susjednog roga koji se ne mijenja, površine cca 78m2.
Pažljiva demontaža postojećih letvi i kontraletvi s crijepom površine cca 78m2
Dobava i montaža nove krovne konstrukcije koja se sastoji od nove nadzidnice dimenzija 20/20cm duljine 5,1m'+4,0m'.
Postava postojećih rogova na originalne pozicije (11 komada).
Dobava i postava novih daski (debljine kao i postojeće) i paropropusne folije u zoni zamjene (stavka uključuje rubni preklop i spoj na postojeću foliju).
Dobava i postava letve u dva smjera dimenzija u skladu s postojećom konstrukcijom.
Ako su ojačanja na vidljivim dijelovima potrebno je bojati sa Capadur Wetterschutzfarbe NQG u RAL 9010 s prethodnim nanošenjem temeljnog premaza sve prema uputama od proizvođača.
Sve izvoditi prema detaljnim uputama opisanim u Projektu građevinske konstrukcije.</t>
  </si>
  <si>
    <t>A15.</t>
  </si>
  <si>
    <t>Oštećenja krovnog vijenca</t>
  </si>
  <si>
    <t>Stavka se odnosi na sanaciju krovnog vijenca na mjestima oštećenja odnosno odvanjanja od fasade.
Nakon izvedbe skele za izvođenje nove fasade ustanoviti će se postojanost vijenca sondiranjem.
Radovi sanacije uključuju pažljivu demontažu završne obloge vijenca te rubnog crijepa.
Čišćenje postojeće podloge i priprema za postavu aquapanel outdoor, r.š. cca 60cm.
Završna obrada u stavci Fasaderskih radova.</t>
  </si>
  <si>
    <t>A-R</t>
  </si>
  <si>
    <t>NEPREDVIĐENI RADOVI (VTR 10%)</t>
  </si>
  <si>
    <t>SVEUKUPNO - Radovi demontaže i konstruktivne sanacije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</si>
</sst>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 _k_n_-;\-* #,##0.00\ _k_n_-;_-* &quot;-&quot;??\ _k_n_-;_-@_-"/>
    <numFmt numFmtId="165" formatCode="[$€-2]\ #,##0.00"/>
    <numFmt numFmtId="166" formatCode="#,##0.00_ ;[Red]\-#,##0.00\ "/>
    <numFmt numFmtId="167" formatCode="_-* #,##0.00\ _k_n_-;\-* #,##0.00\ _k_n_-;_-* \-??\ _k_n_-;_-@_-"/>
  </numFmts>
  <fonts count="123" x14ac:knownFonts="1">
    <font>
      <sz val="11"/>
      <color theme="1"/>
      <name val="Calibri"/>
      <family val="2"/>
      <charset val="238"/>
      <scheme val="minor"/>
    </font>
    <font>
      <sz val="11"/>
      <color theme="1"/>
      <name val="Calibri"/>
      <family val="2"/>
      <charset val="238"/>
      <scheme val="minor"/>
    </font>
    <font>
      <sz val="10"/>
      <color theme="1"/>
      <name val="Calibri"/>
      <family val="2"/>
      <charset val="238"/>
      <scheme val="minor"/>
    </font>
    <font>
      <sz val="12"/>
      <color theme="1"/>
      <name val="Calibri"/>
      <family val="2"/>
      <charset val="238"/>
      <scheme val="minor"/>
    </font>
    <font>
      <sz val="12"/>
      <color theme="1"/>
      <name val="Arial"/>
      <family val="2"/>
    </font>
    <font>
      <b/>
      <sz val="12"/>
      <color theme="1"/>
      <name val="Arial"/>
      <family val="2"/>
    </font>
    <font>
      <i/>
      <sz val="11"/>
      <name val="Arial"/>
      <family val="2"/>
    </font>
    <font>
      <sz val="11"/>
      <color theme="1"/>
      <name val="Arial"/>
      <family val="2"/>
    </font>
    <font>
      <sz val="10"/>
      <color theme="1"/>
      <name val="Arial"/>
      <family val="2"/>
    </font>
    <font>
      <b/>
      <sz val="11"/>
      <color theme="1"/>
      <name val="Arial"/>
      <family val="2"/>
    </font>
    <font>
      <sz val="9"/>
      <name val="Arial"/>
      <family val="2"/>
    </font>
    <font>
      <b/>
      <sz val="10"/>
      <color theme="1"/>
      <name val="Arial"/>
      <family val="2"/>
    </font>
    <font>
      <b/>
      <i/>
      <sz val="9"/>
      <name val="Arial"/>
      <family val="2"/>
    </font>
    <font>
      <b/>
      <i/>
      <u/>
      <sz val="9"/>
      <name val="Arial"/>
      <family val="2"/>
    </font>
    <font>
      <b/>
      <sz val="9"/>
      <name val="Arial"/>
      <family val="2"/>
    </font>
    <font>
      <sz val="16"/>
      <color theme="1"/>
      <name val="Arial"/>
      <family val="2"/>
    </font>
    <font>
      <sz val="11"/>
      <name val="Arial"/>
      <family val="2"/>
    </font>
    <font>
      <sz val="10"/>
      <color rgb="FFFF0000"/>
      <name val="Arial"/>
      <family val="2"/>
    </font>
    <font>
      <sz val="10"/>
      <name val="Arial"/>
      <family val="2"/>
      <charset val="238"/>
    </font>
    <font>
      <i/>
      <sz val="10"/>
      <name val="Arial"/>
      <family val="2"/>
    </font>
    <font>
      <sz val="11"/>
      <color rgb="FF000000"/>
      <name val="Calibri"/>
      <family val="2"/>
      <charset val="1"/>
    </font>
    <font>
      <b/>
      <sz val="11"/>
      <name val="Arial"/>
      <family val="2"/>
    </font>
    <font>
      <sz val="10"/>
      <name val="Arial"/>
      <family val="2"/>
    </font>
    <font>
      <b/>
      <sz val="16"/>
      <color theme="1"/>
      <name val="Arial"/>
      <family val="2"/>
    </font>
    <font>
      <b/>
      <i/>
      <sz val="11"/>
      <name val="Arial"/>
      <family val="2"/>
    </font>
    <font>
      <sz val="11"/>
      <name val="Calibri"/>
      <family val="2"/>
      <charset val="238"/>
      <scheme val="minor"/>
    </font>
    <font>
      <sz val="10"/>
      <name val="Calibri"/>
      <family val="2"/>
      <charset val="238"/>
      <scheme val="minor"/>
    </font>
    <font>
      <sz val="11"/>
      <name val="Arial"/>
      <family val="2"/>
      <charset val="238"/>
    </font>
    <font>
      <b/>
      <sz val="12"/>
      <name val="Arial"/>
      <family val="2"/>
    </font>
    <font>
      <i/>
      <sz val="10"/>
      <name val="Arial"/>
      <family val="2"/>
      <charset val="238"/>
    </font>
    <font>
      <sz val="12"/>
      <name val="Arial"/>
      <family val="2"/>
    </font>
    <font>
      <b/>
      <sz val="10"/>
      <name val="Arial"/>
      <family val="2"/>
      <charset val="238"/>
    </font>
    <font>
      <vertAlign val="superscript"/>
      <sz val="10"/>
      <name val="Arial"/>
      <family val="2"/>
    </font>
    <font>
      <sz val="11"/>
      <color rgb="FFFF0000"/>
      <name val="Arial"/>
      <family val="2"/>
    </font>
    <font>
      <b/>
      <sz val="10"/>
      <name val="Arial"/>
      <family val="2"/>
    </font>
    <font>
      <i/>
      <sz val="9"/>
      <color theme="1"/>
      <name val="Arial"/>
      <family val="2"/>
    </font>
    <font>
      <b/>
      <i/>
      <sz val="9"/>
      <color theme="1"/>
      <name val="Arial"/>
      <family val="2"/>
    </font>
    <font>
      <i/>
      <sz val="11"/>
      <color theme="1"/>
      <name val="Arial"/>
      <family val="2"/>
    </font>
    <font>
      <b/>
      <i/>
      <sz val="10"/>
      <name val="Arial"/>
      <family val="2"/>
    </font>
    <font>
      <b/>
      <i/>
      <sz val="10"/>
      <name val="Arial"/>
      <family val="2"/>
      <charset val="238"/>
    </font>
    <font>
      <b/>
      <i/>
      <u/>
      <sz val="10"/>
      <name val="Arial"/>
      <family val="2"/>
    </font>
    <font>
      <i/>
      <u/>
      <sz val="10"/>
      <name val="Arial"/>
      <family val="2"/>
    </font>
    <font>
      <i/>
      <u/>
      <sz val="10"/>
      <name val="Arial"/>
      <family val="2"/>
      <charset val="238"/>
    </font>
    <font>
      <b/>
      <i/>
      <sz val="10"/>
      <name val="Arial"/>
      <family val="2"/>
      <charset val="1"/>
    </font>
    <font>
      <i/>
      <vertAlign val="superscript"/>
      <sz val="10"/>
      <name val="Arial"/>
      <family val="2"/>
    </font>
    <font>
      <i/>
      <vertAlign val="superscript"/>
      <sz val="10"/>
      <name val="Arial"/>
      <family val="2"/>
      <charset val="238"/>
    </font>
    <font>
      <i/>
      <sz val="10"/>
      <name val="Arial"/>
      <family val="2"/>
      <charset val="1"/>
    </font>
    <font>
      <b/>
      <i/>
      <vertAlign val="superscript"/>
      <sz val="10"/>
      <name val="Arial"/>
      <family val="2"/>
    </font>
    <font>
      <u/>
      <sz val="11"/>
      <color theme="1"/>
      <name val="Arial"/>
      <family val="2"/>
    </font>
    <font>
      <u/>
      <sz val="10"/>
      <color theme="1"/>
      <name val="Calibri"/>
      <family val="2"/>
      <charset val="238"/>
      <scheme val="minor"/>
    </font>
    <font>
      <u/>
      <sz val="11"/>
      <color theme="1"/>
      <name val="Calibri"/>
      <family val="2"/>
      <charset val="238"/>
      <scheme val="minor"/>
    </font>
    <font>
      <i/>
      <vertAlign val="subscript"/>
      <sz val="10"/>
      <name val="Arial"/>
      <family val="2"/>
      <charset val="238"/>
    </font>
    <font>
      <sz val="12"/>
      <name val="Calibri"/>
      <family val="2"/>
      <charset val="238"/>
      <scheme val="minor"/>
    </font>
    <font>
      <b/>
      <sz val="10"/>
      <name val="Calibri"/>
      <family val="2"/>
    </font>
    <font>
      <b/>
      <sz val="8.5"/>
      <name val="Arial"/>
      <family val="2"/>
      <charset val="238"/>
    </font>
    <font>
      <b/>
      <sz val="12"/>
      <name val="Arial"/>
      <family val="2"/>
      <charset val="238"/>
    </font>
    <font>
      <b/>
      <sz val="11"/>
      <name val="Arial"/>
      <family val="2"/>
      <charset val="238"/>
    </font>
    <font>
      <vertAlign val="superscript"/>
      <sz val="10"/>
      <color theme="1"/>
      <name val="Arial"/>
      <family val="2"/>
    </font>
    <font>
      <i/>
      <sz val="10"/>
      <color theme="1"/>
      <name val="Arial"/>
      <family val="2"/>
    </font>
    <font>
      <b/>
      <sz val="10"/>
      <color theme="1"/>
      <name val="Arial"/>
      <family val="2"/>
      <charset val="238"/>
    </font>
    <font>
      <sz val="11"/>
      <color rgb="FFFF0000"/>
      <name val="Calibri"/>
      <family val="2"/>
      <charset val="238"/>
      <scheme val="minor"/>
    </font>
    <font>
      <sz val="12"/>
      <color rgb="FFFF0000"/>
      <name val="Arial"/>
      <family val="2"/>
    </font>
    <font>
      <sz val="11"/>
      <color rgb="FFFF0000"/>
      <name val="Arial"/>
      <family val="2"/>
      <charset val="238"/>
    </font>
    <font>
      <sz val="10"/>
      <color rgb="FFFF0000"/>
      <name val="Calibri"/>
      <family val="2"/>
      <charset val="238"/>
      <scheme val="minor"/>
    </font>
    <font>
      <sz val="11"/>
      <color rgb="FF9C5700"/>
      <name val="Calibri"/>
      <family val="2"/>
      <charset val="238"/>
      <scheme val="minor"/>
    </font>
    <font>
      <sz val="11"/>
      <color theme="1"/>
      <name val="Calibri"/>
      <family val="2"/>
      <scheme val="minor"/>
    </font>
    <font>
      <sz val="8"/>
      <color indexed="8"/>
      <name val="Arial"/>
      <family val="2"/>
      <charset val="238"/>
    </font>
    <font>
      <sz val="11"/>
      <color rgb="FF9C6500"/>
      <name val="Calibri"/>
      <family val="2"/>
      <charset val="238"/>
      <scheme val="minor"/>
    </font>
    <font>
      <sz val="11"/>
      <color rgb="FF000000"/>
      <name val="Calibri"/>
      <family val="2"/>
      <charset val="238"/>
    </font>
    <font>
      <sz val="10"/>
      <color rgb="FF9C6500"/>
      <name val="Tahoma"/>
      <family val="2"/>
      <charset val="238"/>
    </font>
    <font>
      <sz val="10"/>
      <color indexed="8"/>
      <name val="Tahoma"/>
      <family val="2"/>
      <charset val="238"/>
    </font>
    <font>
      <sz val="11"/>
      <color indexed="8"/>
      <name val="Calibri"/>
      <family val="2"/>
      <charset val="238"/>
    </font>
    <font>
      <i/>
      <sz val="11"/>
      <color indexed="23"/>
      <name val="Calibri"/>
      <family val="2"/>
      <charset val="238"/>
    </font>
    <font>
      <sz val="11"/>
      <color rgb="FFEE0000"/>
      <name val="Arial"/>
      <family val="2"/>
    </font>
    <font>
      <sz val="11"/>
      <color rgb="FFEE0000"/>
      <name val="Calibri"/>
      <family val="2"/>
      <charset val="238"/>
      <scheme val="minor"/>
    </font>
    <font>
      <b/>
      <sz val="10"/>
      <color rgb="FFFF0000"/>
      <name val="Arial"/>
      <family val="2"/>
      <charset val="238"/>
    </font>
    <font>
      <sz val="11"/>
      <color rgb="FF00B050"/>
      <name val="Arial"/>
      <family val="2"/>
    </font>
    <font>
      <sz val="10"/>
      <color rgb="FF00B050"/>
      <name val="Arial"/>
      <family val="2"/>
    </font>
    <font>
      <vertAlign val="superscript"/>
      <sz val="10"/>
      <color rgb="FF00B050"/>
      <name val="Arial"/>
      <family val="2"/>
    </font>
    <font>
      <i/>
      <sz val="10"/>
      <color rgb="FF00B050"/>
      <name val="Arial"/>
      <family val="2"/>
    </font>
    <font>
      <sz val="11"/>
      <color rgb="FF00B050"/>
      <name val="Calibri"/>
      <family val="2"/>
      <charset val="238"/>
      <scheme val="minor"/>
    </font>
    <font>
      <sz val="11"/>
      <color rgb="FF0070C0"/>
      <name val="Arial"/>
      <family val="2"/>
    </font>
    <font>
      <sz val="10"/>
      <color rgb="FF0070C0"/>
      <name val="Arial"/>
      <family val="2"/>
    </font>
    <font>
      <i/>
      <sz val="10"/>
      <color rgb="FF0070C0"/>
      <name val="Arial"/>
      <family val="2"/>
    </font>
    <font>
      <sz val="11"/>
      <color rgb="FF009900"/>
      <name val="Arial"/>
      <family val="2"/>
      <charset val="238"/>
    </font>
    <font>
      <sz val="10"/>
      <color rgb="FF009900"/>
      <name val="Arial"/>
      <family val="2"/>
    </font>
    <font>
      <vertAlign val="superscript"/>
      <sz val="10"/>
      <color rgb="FF009900"/>
      <name val="Arial"/>
      <family val="2"/>
    </font>
    <font>
      <i/>
      <sz val="10"/>
      <color rgb="FF009900"/>
      <name val="Arial"/>
      <family val="2"/>
    </font>
    <font>
      <sz val="11"/>
      <color rgb="FF009900"/>
      <name val="Arial"/>
      <family val="2"/>
    </font>
    <font>
      <sz val="11"/>
      <color rgb="FF009900"/>
      <name val="Calibri"/>
      <family val="2"/>
      <charset val="238"/>
      <scheme val="minor"/>
    </font>
    <font>
      <sz val="10"/>
      <color rgb="FF009900"/>
      <name val="Arial"/>
      <family val="2"/>
      <charset val="238"/>
    </font>
    <font>
      <vertAlign val="superscript"/>
      <sz val="10"/>
      <color rgb="FF0070C0"/>
      <name val="Arial"/>
      <family val="2"/>
    </font>
    <font>
      <sz val="11"/>
      <color rgb="FF7030A0"/>
      <name val="Arial"/>
      <family val="2"/>
    </font>
    <font>
      <sz val="11"/>
      <color rgb="FF7030A0"/>
      <name val="Calibri"/>
      <family val="2"/>
      <charset val="238"/>
      <scheme val="minor"/>
    </font>
    <font>
      <strike/>
      <sz val="11"/>
      <color rgb="FFFF0000"/>
      <name val="Arial"/>
      <family val="2"/>
      <charset val="238"/>
    </font>
    <font>
      <strike/>
      <sz val="11"/>
      <color rgb="FFFF0000"/>
      <name val="Arial"/>
      <family val="2"/>
    </font>
    <font>
      <strike/>
      <sz val="11"/>
      <color rgb="FFFF0000"/>
      <name val="Calibri"/>
      <family val="2"/>
      <charset val="238"/>
      <scheme val="minor"/>
    </font>
    <font>
      <strike/>
      <sz val="10"/>
      <color rgb="FFFF0000"/>
      <name val="Arial"/>
      <family val="2"/>
    </font>
    <font>
      <i/>
      <strike/>
      <sz val="10"/>
      <color rgb="FFFF0000"/>
      <name val="Arial"/>
      <family val="2"/>
    </font>
    <font>
      <strike/>
      <vertAlign val="superscript"/>
      <sz val="10"/>
      <color rgb="FFFF0000"/>
      <name val="Arial"/>
      <family val="2"/>
    </font>
    <font>
      <sz val="10"/>
      <color rgb="FF009900"/>
      <name val="Calibri"/>
      <family val="2"/>
      <charset val="238"/>
      <scheme val="minor"/>
    </font>
    <font>
      <sz val="10"/>
      <color rgb="FF7030A0"/>
      <name val="Arial"/>
      <family val="2"/>
      <charset val="238"/>
    </font>
    <font>
      <sz val="10"/>
      <color rgb="FF7030A0"/>
      <name val="Arial"/>
      <family val="2"/>
    </font>
    <font>
      <i/>
      <sz val="10"/>
      <color rgb="FF7030A0"/>
      <name val="Arial"/>
      <family val="2"/>
      <charset val="238"/>
    </font>
    <font>
      <sz val="10"/>
      <color rgb="FF7030A0"/>
      <name val="Calibri"/>
      <family val="2"/>
      <charset val="238"/>
      <scheme val="minor"/>
    </font>
    <font>
      <sz val="11"/>
      <color rgb="FF00B050"/>
      <name val="Arial"/>
      <family val="2"/>
      <charset val="238"/>
    </font>
    <font>
      <sz val="11"/>
      <color rgb="FF7030A0"/>
      <name val="Arial"/>
      <family val="2"/>
      <charset val="238"/>
    </font>
    <font>
      <b/>
      <sz val="10"/>
      <color rgb="FF0070C0"/>
      <name val="Arial"/>
      <family val="2"/>
    </font>
    <font>
      <sz val="11"/>
      <color rgb="FF0070C0"/>
      <name val="Calibri"/>
      <family val="2"/>
      <charset val="238"/>
      <scheme val="minor"/>
    </font>
    <font>
      <sz val="10"/>
      <color rgb="FF00B050"/>
      <name val="Calibri"/>
      <family val="2"/>
      <charset val="238"/>
      <scheme val="minor"/>
    </font>
    <font>
      <sz val="11"/>
      <color rgb="FF0070C0"/>
      <name val="Arial"/>
      <family val="2"/>
      <charset val="238"/>
    </font>
    <font>
      <sz val="11"/>
      <color rgb="FF007BB8"/>
      <name val="Arial"/>
      <family val="2"/>
    </font>
    <font>
      <sz val="11"/>
      <color rgb="FF007BB8"/>
      <name val="Calibri"/>
      <family val="2"/>
      <charset val="238"/>
      <scheme val="minor"/>
    </font>
    <font>
      <sz val="10"/>
      <color rgb="FF00B050"/>
      <name val="Arial"/>
      <family val="2"/>
      <charset val="238"/>
    </font>
    <font>
      <sz val="10"/>
      <color rgb="FF0070C0"/>
      <name val="Calibri"/>
      <family val="2"/>
      <charset val="238"/>
      <scheme val="minor"/>
    </font>
    <font>
      <sz val="10"/>
      <color theme="4"/>
      <name val="Arial"/>
      <family val="2"/>
    </font>
    <font>
      <sz val="11"/>
      <color theme="4"/>
      <name val="Arial"/>
      <family val="2"/>
    </font>
    <font>
      <i/>
      <sz val="10"/>
      <color theme="4"/>
      <name val="Arial"/>
      <family val="2"/>
    </font>
    <font>
      <vertAlign val="superscript"/>
      <sz val="10"/>
      <color theme="4"/>
      <name val="Arial"/>
      <family val="2"/>
    </font>
    <font>
      <sz val="10"/>
      <color rgb="FF0070C0"/>
      <name val="Arial"/>
      <family val="2"/>
      <charset val="238"/>
    </font>
    <font>
      <i/>
      <sz val="10"/>
      <color rgb="FF0070C0"/>
      <name val="Arial"/>
      <family val="2"/>
      <charset val="238"/>
    </font>
    <font>
      <sz val="10"/>
      <name val="Aptos Narrow"/>
      <family val="2"/>
    </font>
    <font>
      <b/>
      <i/>
      <sz val="11"/>
      <name val="Arial"/>
      <family val="2"/>
      <charset val="238"/>
    </font>
  </fonts>
  <fills count="12">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FFFF"/>
        <bgColor rgb="FFFFFFCC"/>
      </patternFill>
    </fill>
    <fill>
      <patternFill patternType="solid">
        <fgColor rgb="FFFFEB9C"/>
      </patternFill>
    </fill>
    <fill>
      <patternFill patternType="solid">
        <fgColor rgb="FFFFFFCC"/>
      </patternFill>
    </fill>
    <fill>
      <patternFill patternType="solid">
        <fgColor rgb="FFFFFF00"/>
        <bgColor indexed="64"/>
      </patternFill>
    </fill>
  </fills>
  <borders count="30">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
      <left/>
      <right style="thin">
        <color auto="1"/>
      </right>
      <top/>
      <bottom/>
      <diagonal/>
    </border>
    <border>
      <left/>
      <right/>
      <top style="thin">
        <color auto="1"/>
      </top>
      <bottom/>
      <diagonal/>
    </border>
    <border>
      <left style="thin">
        <color auto="1"/>
      </left>
      <right style="medium">
        <color indexed="64"/>
      </right>
      <top style="thin">
        <color auto="1"/>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medium">
        <color indexed="64"/>
      </left>
      <right style="thin">
        <color auto="1"/>
      </right>
      <top style="thin">
        <color auto="1"/>
      </top>
      <bottom style="thin">
        <color auto="1"/>
      </bottom>
      <diagonal/>
    </border>
    <border>
      <left style="medium">
        <color indexed="64"/>
      </left>
      <right/>
      <top/>
      <bottom/>
      <diagonal/>
    </border>
    <border>
      <left style="medium">
        <color indexed="64"/>
      </left>
      <right style="thin">
        <color auto="1"/>
      </right>
      <top/>
      <bottom style="thin">
        <color auto="1"/>
      </bottom>
      <diagonal/>
    </border>
    <border>
      <left style="medium">
        <color indexed="64"/>
      </left>
      <right/>
      <top style="thin">
        <color auto="1"/>
      </top>
      <bottom style="thin">
        <color auto="1"/>
      </bottom>
      <diagonal/>
    </border>
    <border>
      <left style="medium">
        <color indexed="64"/>
      </left>
      <right/>
      <top style="medium">
        <color indexed="64"/>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s>
  <cellStyleXfs count="62">
    <xf numFmtId="0" fontId="0" fillId="0" borderId="0"/>
    <xf numFmtId="164" fontId="1" fillId="0" borderId="0" applyFont="0" applyFill="0" applyBorder="0" applyAlignment="0" applyProtection="0"/>
    <xf numFmtId="0" fontId="18" fillId="0" borderId="0"/>
    <xf numFmtId="0" fontId="18" fillId="0" borderId="0"/>
    <xf numFmtId="0" fontId="20" fillId="0" borderId="0"/>
    <xf numFmtId="0" fontId="65" fillId="0" borderId="0"/>
    <xf numFmtId="0" fontId="1" fillId="0" borderId="0"/>
    <xf numFmtId="0" fontId="18" fillId="0" borderId="0"/>
    <xf numFmtId="0" fontId="18" fillId="0" borderId="0"/>
    <xf numFmtId="0" fontId="1" fillId="0" borderId="0"/>
    <xf numFmtId="0" fontId="18" fillId="0" borderId="0">
      <alignment vertical="top"/>
    </xf>
    <xf numFmtId="0" fontId="22" fillId="0" borderId="0"/>
    <xf numFmtId="164" fontId="18" fillId="0" borderId="0" applyFont="0" applyFill="0" applyBorder="0" applyAlignment="0" applyProtection="0"/>
    <xf numFmtId="0" fontId="18" fillId="0" borderId="0"/>
    <xf numFmtId="0" fontId="65" fillId="0" borderId="0"/>
    <xf numFmtId="0" fontId="18" fillId="0" borderId="0">
      <alignment vertical="top"/>
    </xf>
    <xf numFmtId="0" fontId="18" fillId="0" borderId="0"/>
    <xf numFmtId="0" fontId="18" fillId="0" borderId="0"/>
    <xf numFmtId="0" fontId="68" fillId="0" borderId="0"/>
    <xf numFmtId="0" fontId="18" fillId="0" borderId="0"/>
    <xf numFmtId="0" fontId="64" fillId="9" borderId="0" applyNumberFormat="0" applyBorder="0" applyAlignment="0" applyProtection="0"/>
    <xf numFmtId="0" fontId="69" fillId="9" borderId="0" applyNumberFormat="0" applyBorder="0" applyAlignment="0" applyProtection="0"/>
    <xf numFmtId="0" fontId="70" fillId="0" borderId="0"/>
    <xf numFmtId="0" fontId="67" fillId="9" borderId="0" applyNumberFormat="0" applyBorder="0" applyAlignment="0" applyProtection="0"/>
    <xf numFmtId="0" fontId="18" fillId="0" borderId="0"/>
    <xf numFmtId="0" fontId="18" fillId="0" borderId="0"/>
    <xf numFmtId="0" fontId="18" fillId="0" borderId="0"/>
    <xf numFmtId="0" fontId="71" fillId="0" borderId="0"/>
    <xf numFmtId="0" fontId="1" fillId="0" borderId="0"/>
    <xf numFmtId="0" fontId="1" fillId="0" borderId="0"/>
    <xf numFmtId="0" fontId="66" fillId="0" borderId="0"/>
    <xf numFmtId="0" fontId="1" fillId="0" borderId="0"/>
    <xf numFmtId="164" fontId="65" fillId="0" borderId="0" applyFont="0" applyFill="0" applyBorder="0" applyAlignment="0" applyProtection="0"/>
    <xf numFmtId="0" fontId="65" fillId="10" borderId="22" applyNumberFormat="0" applyFont="0" applyAlignment="0" applyProtection="0"/>
    <xf numFmtId="43" fontId="65" fillId="0" borderId="0" applyFont="0" applyFill="0" applyBorder="0" applyAlignment="0" applyProtection="0"/>
    <xf numFmtId="0" fontId="1" fillId="0" borderId="0"/>
    <xf numFmtId="0" fontId="1" fillId="0" borderId="0"/>
    <xf numFmtId="0" fontId="1" fillId="0" borderId="0"/>
    <xf numFmtId="0" fontId="1" fillId="0" borderId="0"/>
    <xf numFmtId="0" fontId="65" fillId="0" borderId="0"/>
    <xf numFmtId="0" fontId="1" fillId="0" borderId="0"/>
    <xf numFmtId="0" fontId="72" fillId="0" borderId="0" applyNumberFormat="0" applyFill="0" applyBorder="0" applyAlignment="0" applyProtection="0"/>
    <xf numFmtId="0" fontId="18" fillId="0" borderId="0"/>
    <xf numFmtId="43" fontId="65" fillId="0" borderId="0" applyFont="0" applyFill="0" applyBorder="0" applyAlignment="0" applyProtection="0"/>
    <xf numFmtId="0" fontId="18" fillId="0" borderId="0"/>
    <xf numFmtId="0" fontId="18" fillId="0" borderId="0"/>
    <xf numFmtId="164" fontId="18" fillId="0" borderId="0" applyFont="0" applyFill="0" applyBorder="0" applyAlignment="0" applyProtection="0"/>
    <xf numFmtId="0" fontId="18" fillId="0" borderId="0"/>
    <xf numFmtId="164" fontId="18" fillId="0" borderId="0" applyFont="0" applyFill="0" applyBorder="0" applyAlignment="0" applyProtection="0"/>
    <xf numFmtId="0" fontId="18" fillId="0" borderId="0"/>
    <xf numFmtId="4" fontId="18" fillId="0" borderId="0">
      <alignment vertical="justify"/>
    </xf>
    <xf numFmtId="0" fontId="18" fillId="0" borderId="0"/>
    <xf numFmtId="0" fontId="18" fillId="0" borderId="0"/>
    <xf numFmtId="0" fontId="1" fillId="0" borderId="0"/>
    <xf numFmtId="167" fontId="18" fillId="0" borderId="0" applyFill="0" applyBorder="0" applyAlignment="0" applyProtection="0"/>
    <xf numFmtId="0" fontId="18" fillId="0" borderId="0"/>
    <xf numFmtId="0" fontId="1" fillId="0" borderId="0"/>
    <xf numFmtId="0" fontId="18" fillId="0" borderId="0"/>
    <xf numFmtId="0" fontId="18" fillId="0" borderId="0"/>
    <xf numFmtId="0" fontId="1" fillId="0" borderId="0"/>
    <xf numFmtId="0" fontId="18" fillId="0" borderId="0"/>
    <xf numFmtId="0" fontId="65" fillId="0" borderId="0"/>
  </cellStyleXfs>
  <cellXfs count="496">
    <xf numFmtId="0" fontId="0" fillId="0" borderId="0" xfId="0"/>
    <xf numFmtId="0" fontId="2" fillId="0" borderId="0" xfId="0" applyFont="1"/>
    <xf numFmtId="0" fontId="3" fillId="0" borderId="0" xfId="0" applyFont="1"/>
    <xf numFmtId="0" fontId="4" fillId="0" borderId="0" xfId="0" applyFont="1"/>
    <xf numFmtId="0" fontId="7" fillId="0" borderId="0" xfId="0" applyFont="1"/>
    <xf numFmtId="0" fontId="8" fillId="0" borderId="0" xfId="0" applyFont="1"/>
    <xf numFmtId="0" fontId="8" fillId="0" borderId="0" xfId="0" applyFont="1" applyAlignment="1">
      <alignment horizontal="left" vertical="top"/>
    </xf>
    <xf numFmtId="0" fontId="14" fillId="3" borderId="2" xfId="0" applyFont="1" applyFill="1" applyBorder="1" applyAlignment="1">
      <alignment vertical="top"/>
    </xf>
    <xf numFmtId="0" fontId="8" fillId="0" borderId="0" xfId="0" applyFont="1" applyAlignment="1">
      <alignment horizontal="right"/>
    </xf>
    <xf numFmtId="165" fontId="6" fillId="3" borderId="2" xfId="1" quotePrefix="1" applyNumberFormat="1" applyFont="1" applyFill="1" applyBorder="1" applyAlignment="1" applyProtection="1">
      <alignment horizontal="right"/>
    </xf>
    <xf numFmtId="0" fontId="15" fillId="0" borderId="0" xfId="0" applyFont="1"/>
    <xf numFmtId="0" fontId="17" fillId="0" borderId="0" xfId="0" applyFont="1" applyAlignment="1">
      <alignment horizontal="right" vertical="top"/>
    </xf>
    <xf numFmtId="0" fontId="7" fillId="0" borderId="0" xfId="0" applyFont="1" applyAlignment="1">
      <alignment vertical="center"/>
    </xf>
    <xf numFmtId="0" fontId="7" fillId="0" borderId="0" xfId="0" applyFont="1" applyAlignment="1">
      <alignment horizontal="right" vertical="center"/>
    </xf>
    <xf numFmtId="0" fontId="7" fillId="0" borderId="0" xfId="0" applyFont="1" applyAlignment="1">
      <alignment horizontal="left" vertical="center"/>
    </xf>
    <xf numFmtId="0" fontId="11" fillId="0" borderId="0" xfId="0" applyFont="1" applyAlignment="1">
      <alignment horizontal="right" vertical="top"/>
    </xf>
    <xf numFmtId="0" fontId="8" fillId="0" borderId="0" xfId="0" applyFont="1" applyAlignment="1">
      <alignment horizontal="right" vertical="top"/>
    </xf>
    <xf numFmtId="0" fontId="8" fillId="0" borderId="0" xfId="0" applyFont="1" applyAlignment="1">
      <alignment vertical="center"/>
    </xf>
    <xf numFmtId="0" fontId="8" fillId="0" borderId="0" xfId="0" applyFont="1" applyAlignment="1">
      <alignment horizontal="right" vertical="top" wrapText="1"/>
    </xf>
    <xf numFmtId="0" fontId="9" fillId="0" borderId="0" xfId="0" applyFont="1" applyAlignment="1">
      <alignment horizontal="right" vertical="top"/>
    </xf>
    <xf numFmtId="0" fontId="8" fillId="0" borderId="0" xfId="0" applyFont="1" applyAlignment="1">
      <alignment horizontal="left" vertical="center"/>
    </xf>
    <xf numFmtId="0" fontId="7" fillId="0" borderId="0" xfId="0" applyFont="1" applyAlignment="1">
      <alignment vertical="top"/>
    </xf>
    <xf numFmtId="2" fontId="19" fillId="0" borderId="0" xfId="1" applyNumberFormat="1" applyFont="1" applyFill="1" applyBorder="1" applyAlignment="1" applyProtection="1">
      <alignment horizontal="right"/>
    </xf>
    <xf numFmtId="2" fontId="19" fillId="0" borderId="6" xfId="1" applyNumberFormat="1" applyFont="1" applyFill="1" applyBorder="1" applyAlignment="1" applyProtection="1">
      <alignment horizontal="center"/>
    </xf>
    <xf numFmtId="0" fontId="22" fillId="0" borderId="0" xfId="0" applyFont="1" applyAlignment="1">
      <alignment horizontal="left" vertical="top" wrapText="1"/>
    </xf>
    <xf numFmtId="0" fontId="22" fillId="0" borderId="0" xfId="0" applyFont="1" applyAlignment="1">
      <alignment horizontal="center"/>
    </xf>
    <xf numFmtId="2" fontId="22" fillId="0" borderId="0" xfId="0" applyNumberFormat="1" applyFont="1" applyAlignment="1">
      <alignment horizontal="center"/>
    </xf>
    <xf numFmtId="0" fontId="22" fillId="0" borderId="6" xfId="0" applyFont="1" applyBorder="1" applyAlignment="1">
      <alignment horizontal="left" vertical="top" wrapText="1"/>
    </xf>
    <xf numFmtId="0" fontId="22" fillId="0" borderId="6" xfId="0" applyFont="1" applyBorder="1"/>
    <xf numFmtId="2" fontId="22" fillId="0" borderId="6" xfId="0" applyNumberFormat="1" applyFont="1" applyBorder="1" applyAlignment="1">
      <alignment horizontal="center"/>
    </xf>
    <xf numFmtId="0" fontId="22" fillId="0" borderId="0" xfId="0" applyFont="1" applyAlignment="1">
      <alignment vertical="top" wrapText="1"/>
    </xf>
    <xf numFmtId="0" fontId="22" fillId="0" borderId="0" xfId="0" applyFont="1"/>
    <xf numFmtId="0" fontId="26" fillId="0" borderId="0" xfId="0" applyFont="1"/>
    <xf numFmtId="0" fontId="16" fillId="3" borderId="8" xfId="0" applyFont="1" applyFill="1" applyBorder="1" applyAlignment="1">
      <alignment horizontal="right" vertical="center"/>
    </xf>
    <xf numFmtId="2" fontId="16" fillId="3" borderId="2" xfId="0" applyNumberFormat="1" applyFont="1" applyFill="1" applyBorder="1" applyAlignment="1">
      <alignment horizontal="center"/>
    </xf>
    <xf numFmtId="2" fontId="29" fillId="0" borderId="0" xfId="1" applyNumberFormat="1" applyFont="1" applyFill="1" applyBorder="1" applyAlignment="1" applyProtection="1">
      <alignment horizontal="right"/>
    </xf>
    <xf numFmtId="2" fontId="22" fillId="0" borderId="2" xfId="0" applyNumberFormat="1" applyFont="1" applyBorder="1" applyAlignment="1">
      <alignment horizontal="center"/>
    </xf>
    <xf numFmtId="0" fontId="17" fillId="0" borderId="0" xfId="0" applyFont="1"/>
    <xf numFmtId="2" fontId="19" fillId="0" borderId="0" xfId="1" applyNumberFormat="1" applyFont="1" applyFill="1" applyBorder="1" applyAlignment="1" applyProtection="1">
      <alignment horizontal="center"/>
    </xf>
    <xf numFmtId="0" fontId="28" fillId="4" borderId="6" xfId="0" applyFont="1" applyFill="1" applyBorder="1"/>
    <xf numFmtId="0" fontId="30" fillId="4" borderId="6" xfId="0" applyFont="1" applyFill="1" applyBorder="1"/>
    <xf numFmtId="0" fontId="30" fillId="4" borderId="8" xfId="0" applyFont="1" applyFill="1" applyBorder="1"/>
    <xf numFmtId="0" fontId="25" fillId="0" borderId="0" xfId="0" applyFont="1"/>
    <xf numFmtId="0" fontId="21" fillId="3" borderId="6" xfId="0" applyFont="1" applyFill="1" applyBorder="1" applyAlignment="1">
      <alignment horizontal="left" vertical="center"/>
    </xf>
    <xf numFmtId="0" fontId="16" fillId="0" borderId="0" xfId="0" applyFont="1"/>
    <xf numFmtId="0" fontId="16" fillId="0" borderId="2" xfId="0" applyFont="1" applyBorder="1"/>
    <xf numFmtId="0" fontId="31" fillId="5" borderId="10" xfId="0" applyFont="1" applyFill="1" applyBorder="1" applyAlignment="1">
      <alignment horizontal="center" vertical="center" textRotation="90"/>
    </xf>
    <xf numFmtId="0" fontId="33" fillId="0" borderId="0" xfId="0" applyFont="1"/>
    <xf numFmtId="0" fontId="22" fillId="0" borderId="0" xfId="0" applyFont="1" applyAlignment="1">
      <alignment wrapText="1"/>
    </xf>
    <xf numFmtId="0" fontId="30" fillId="7" borderId="6" xfId="0" applyFont="1" applyFill="1" applyBorder="1"/>
    <xf numFmtId="165" fontId="24" fillId="6" borderId="2" xfId="1" quotePrefix="1" applyNumberFormat="1" applyFont="1" applyFill="1" applyBorder="1" applyAlignment="1" applyProtection="1">
      <alignment horizontal="right"/>
    </xf>
    <xf numFmtId="2" fontId="19" fillId="0" borderId="2" xfId="1" applyNumberFormat="1" applyFont="1" applyFill="1" applyBorder="1" applyAlignment="1" applyProtection="1">
      <alignment horizontal="right"/>
    </xf>
    <xf numFmtId="0" fontId="7" fillId="0" borderId="0" xfId="0" applyFont="1" applyAlignment="1">
      <alignment horizontal="center" vertical="center"/>
    </xf>
    <xf numFmtId="0" fontId="16" fillId="0" borderId="14" xfId="0" applyFont="1" applyBorder="1"/>
    <xf numFmtId="2" fontId="22" fillId="0" borderId="17" xfId="0" applyNumberFormat="1" applyFont="1" applyBorder="1" applyAlignment="1">
      <alignment horizontal="center"/>
    </xf>
    <xf numFmtId="2" fontId="22" fillId="0" borderId="8" xfId="0" applyNumberFormat="1" applyFont="1" applyBorder="1" applyAlignment="1">
      <alignment horizontal="center"/>
    </xf>
    <xf numFmtId="2" fontId="22" fillId="0" borderId="7" xfId="0" applyNumberFormat="1" applyFont="1" applyBorder="1" applyAlignment="1">
      <alignment horizontal="center"/>
    </xf>
    <xf numFmtId="0" fontId="16" fillId="0" borderId="7" xfId="0" applyFont="1" applyBorder="1"/>
    <xf numFmtId="2" fontId="22" fillId="0" borderId="21" xfId="0" applyNumberFormat="1" applyFont="1" applyBorder="1" applyAlignment="1">
      <alignment horizontal="center"/>
    </xf>
    <xf numFmtId="0" fontId="30" fillId="4" borderId="20" xfId="0" applyFont="1" applyFill="1" applyBorder="1"/>
    <xf numFmtId="2" fontId="22" fillId="0" borderId="20" xfId="0" applyNumberFormat="1" applyFont="1" applyBorder="1" applyAlignment="1">
      <alignment horizontal="center"/>
    </xf>
    <xf numFmtId="0" fontId="22" fillId="0" borderId="6" xfId="0" applyFont="1" applyBorder="1" applyAlignment="1">
      <alignment horizontal="left" vertical="center" wrapText="1"/>
    </xf>
    <xf numFmtId="2" fontId="22" fillId="0" borderId="1" xfId="0" applyNumberFormat="1" applyFont="1" applyBorder="1" applyAlignment="1">
      <alignment horizontal="center"/>
    </xf>
    <xf numFmtId="0" fontId="15" fillId="0" borderId="0" xfId="0" applyFont="1" applyAlignment="1">
      <alignment horizontal="center" vertical="center"/>
    </xf>
    <xf numFmtId="0" fontId="7" fillId="0" borderId="0" xfId="0" applyFont="1" applyAlignment="1">
      <alignment horizontal="left" vertical="top"/>
    </xf>
    <xf numFmtId="0" fontId="22" fillId="0" borderId="0" xfId="0" applyFont="1" applyAlignment="1">
      <alignment horizontal="right" vertical="top"/>
    </xf>
    <xf numFmtId="0" fontId="35" fillId="0" borderId="0" xfId="0" applyFont="1"/>
    <xf numFmtId="0" fontId="37" fillId="0" borderId="0" xfId="0" applyFont="1" applyAlignment="1">
      <alignment wrapText="1"/>
    </xf>
    <xf numFmtId="0" fontId="5" fillId="2" borderId="7"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0" xfId="0" applyFont="1" applyAlignment="1">
      <alignment horizontal="center" vertical="center"/>
    </xf>
    <xf numFmtId="0" fontId="19" fillId="0" borderId="7" xfId="3" applyFont="1" applyBorder="1" applyAlignment="1">
      <alignment horizontal="left" vertical="top" wrapText="1"/>
    </xf>
    <xf numFmtId="0" fontId="19" fillId="0" borderId="6" xfId="3" applyFont="1" applyBorder="1" applyAlignment="1">
      <alignment horizontal="left" vertical="top" wrapText="1"/>
    </xf>
    <xf numFmtId="0" fontId="19" fillId="0" borderId="8" xfId="3" applyFont="1" applyBorder="1" applyAlignment="1">
      <alignment horizontal="left" vertical="top" wrapText="1"/>
    </xf>
    <xf numFmtId="0" fontId="29" fillId="0" borderId="7" xfId="4" applyFont="1" applyBorder="1" applyAlignment="1" applyProtection="1">
      <alignment horizontal="left" vertical="top" wrapText="1"/>
      <protection hidden="1"/>
    </xf>
    <xf numFmtId="0" fontId="29" fillId="0" borderId="6" xfId="4" applyFont="1" applyBorder="1" applyAlignment="1" applyProtection="1">
      <alignment horizontal="left" vertical="top" wrapText="1"/>
      <protection hidden="1"/>
    </xf>
    <xf numFmtId="0" fontId="29" fillId="0" borderId="8" xfId="4" applyFont="1" applyBorder="1" applyAlignment="1" applyProtection="1">
      <alignment horizontal="left" vertical="top" wrapText="1"/>
      <protection hidden="1"/>
    </xf>
    <xf numFmtId="0" fontId="29" fillId="0" borderId="16" xfId="4" applyFont="1" applyBorder="1" applyAlignment="1" applyProtection="1">
      <alignment horizontal="left" vertical="top" wrapText="1"/>
      <protection hidden="1"/>
    </xf>
    <xf numFmtId="0" fontId="29" fillId="0" borderId="5" xfId="4" applyFont="1" applyBorder="1" applyAlignment="1" applyProtection="1">
      <alignment horizontal="left" vertical="top" wrapText="1"/>
      <protection hidden="1"/>
    </xf>
    <xf numFmtId="0" fontId="38" fillId="0" borderId="7" xfId="4" applyFont="1" applyBorder="1" applyAlignment="1" applyProtection="1">
      <alignment horizontal="left" vertical="top" wrapText="1"/>
      <protection hidden="1"/>
    </xf>
    <xf numFmtId="0" fontId="39" fillId="0" borderId="7" xfId="4" applyFont="1" applyBorder="1" applyAlignment="1" applyProtection="1">
      <alignment horizontal="left" vertical="top" wrapText="1"/>
      <protection hidden="1"/>
    </xf>
    <xf numFmtId="0" fontId="39" fillId="0" borderId="6" xfId="4" applyFont="1" applyBorder="1" applyAlignment="1" applyProtection="1">
      <alignment horizontal="left" vertical="top" wrapText="1"/>
      <protection hidden="1"/>
    </xf>
    <xf numFmtId="0" fontId="39" fillId="0" borderId="8" xfId="4" applyFont="1" applyBorder="1" applyAlignment="1" applyProtection="1">
      <alignment horizontal="left" vertical="top" wrapText="1"/>
      <protection hidden="1"/>
    </xf>
    <xf numFmtId="49" fontId="39" fillId="0" borderId="16" xfId="4" applyNumberFormat="1" applyFont="1" applyBorder="1" applyAlignment="1" applyProtection="1">
      <alignment horizontal="left" vertical="top" wrapText="1"/>
      <protection hidden="1"/>
    </xf>
    <xf numFmtId="49" fontId="39" fillId="0" borderId="5" xfId="4" applyNumberFormat="1" applyFont="1" applyBorder="1" applyAlignment="1" applyProtection="1">
      <alignment horizontal="left" vertical="top" wrapText="1"/>
      <protection hidden="1"/>
    </xf>
    <xf numFmtId="0" fontId="7" fillId="0" borderId="0" xfId="0" applyFont="1" applyAlignment="1">
      <alignment horizontal="center" vertical="center" wrapText="1"/>
    </xf>
    <xf numFmtId="0" fontId="2" fillId="0" borderId="0" xfId="0" applyFont="1" applyAlignment="1">
      <alignment wrapText="1"/>
    </xf>
    <xf numFmtId="0" fontId="0" fillId="0" borderId="0" xfId="0" applyAlignment="1">
      <alignment wrapText="1"/>
    </xf>
    <xf numFmtId="0" fontId="2" fillId="0" borderId="0" xfId="0" applyFont="1" applyAlignment="1">
      <alignment horizontal="left" vertical="top"/>
    </xf>
    <xf numFmtId="0" fontId="0" fillId="0" borderId="0" xfId="0" applyAlignment="1">
      <alignment horizontal="left" vertical="top"/>
    </xf>
    <xf numFmtId="0" fontId="7"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49" fontId="29" fillId="0" borderId="16" xfId="4" applyNumberFormat="1" applyFont="1" applyBorder="1" applyAlignment="1" applyProtection="1">
      <alignment horizontal="left" vertical="top" wrapText="1"/>
      <protection hidden="1"/>
    </xf>
    <xf numFmtId="0" fontId="29" fillId="0" borderId="7" xfId="4" applyFont="1" applyBorder="1" applyAlignment="1" applyProtection="1">
      <alignment horizontal="justify" vertical="top" wrapText="1"/>
      <protection hidden="1"/>
    </xf>
    <xf numFmtId="0" fontId="29" fillId="0" borderId="6" xfId="4" applyFont="1" applyBorder="1" applyAlignment="1" applyProtection="1">
      <alignment horizontal="justify" vertical="top" wrapText="1"/>
      <protection hidden="1"/>
    </xf>
    <xf numFmtId="0" fontId="29" fillId="0" borderId="8" xfId="4" applyFont="1" applyBorder="1" applyAlignment="1" applyProtection="1">
      <alignment horizontal="justify" vertical="top" wrapText="1"/>
      <protection hidden="1"/>
    </xf>
    <xf numFmtId="0" fontId="48" fillId="0" borderId="0" xfId="0" applyFont="1" applyAlignment="1">
      <alignment horizontal="center" vertical="center"/>
    </xf>
    <xf numFmtId="0" fontId="49" fillId="0" borderId="0" xfId="0" applyFont="1"/>
    <xf numFmtId="0" fontId="50" fillId="0" borderId="0" xfId="0" applyFont="1"/>
    <xf numFmtId="0" fontId="29" fillId="0" borderId="7" xfId="4" applyFont="1" applyBorder="1" applyAlignment="1" applyProtection="1">
      <alignment horizontal="justify" vertical="top"/>
      <protection hidden="1"/>
    </xf>
    <xf numFmtId="0" fontId="29" fillId="0" borderId="6" xfId="4" applyFont="1" applyBorder="1" applyAlignment="1" applyProtection="1">
      <alignment horizontal="justify" vertical="top"/>
      <protection hidden="1"/>
    </xf>
    <xf numFmtId="0" fontId="29" fillId="0" borderId="8" xfId="4" applyFont="1" applyBorder="1" applyAlignment="1" applyProtection="1">
      <alignment horizontal="justify" vertical="top"/>
      <protection hidden="1"/>
    </xf>
    <xf numFmtId="10" fontId="29" fillId="0" borderId="7" xfId="4" applyNumberFormat="1" applyFont="1" applyBorder="1" applyAlignment="1" applyProtection="1">
      <alignment horizontal="justify" vertical="top"/>
      <protection hidden="1"/>
    </xf>
    <xf numFmtId="10" fontId="29" fillId="0" borderId="6" xfId="4" applyNumberFormat="1" applyFont="1" applyBorder="1" applyAlignment="1" applyProtection="1">
      <alignment horizontal="justify" vertical="top"/>
      <protection hidden="1"/>
    </xf>
    <xf numFmtId="10" fontId="29" fillId="0" borderId="8" xfId="4" applyNumberFormat="1" applyFont="1" applyBorder="1" applyAlignment="1" applyProtection="1">
      <alignment horizontal="justify" vertical="top"/>
      <protection hidden="1"/>
    </xf>
    <xf numFmtId="0" fontId="29" fillId="0" borderId="7" xfId="4" applyFont="1" applyBorder="1" applyProtection="1">
      <protection hidden="1"/>
    </xf>
    <xf numFmtId="0" fontId="29" fillId="0" borderId="6" xfId="4" applyFont="1" applyBorder="1" applyProtection="1">
      <protection hidden="1"/>
    </xf>
    <xf numFmtId="0" fontId="29" fillId="0" borderId="8" xfId="4" applyFont="1" applyBorder="1" applyProtection="1">
      <protection hidden="1"/>
    </xf>
    <xf numFmtId="2" fontId="29" fillId="0" borderId="7" xfId="4" applyNumberFormat="1" applyFont="1" applyBorder="1" applyAlignment="1" applyProtection="1">
      <alignment horizontal="justify" vertical="top"/>
      <protection hidden="1"/>
    </xf>
    <xf numFmtId="2" fontId="29" fillId="0" borderId="6" xfId="4" applyNumberFormat="1" applyFont="1" applyBorder="1" applyAlignment="1" applyProtection="1">
      <alignment horizontal="justify" vertical="top"/>
      <protection hidden="1"/>
    </xf>
    <xf numFmtId="2" fontId="29" fillId="0" borderId="8" xfId="4" applyNumberFormat="1" applyFont="1" applyBorder="1" applyAlignment="1" applyProtection="1">
      <alignment horizontal="justify" vertical="top"/>
      <protection hidden="1"/>
    </xf>
    <xf numFmtId="0" fontId="21" fillId="0" borderId="0" xfId="0" applyFont="1"/>
    <xf numFmtId="0" fontId="16" fillId="0" borderId="19" xfId="0" applyFont="1" applyBorder="1"/>
    <xf numFmtId="0" fontId="16" fillId="0" borderId="6" xfId="0" applyFont="1" applyBorder="1"/>
    <xf numFmtId="0" fontId="16" fillId="0" borderId="8" xfId="0" applyFont="1" applyBorder="1"/>
    <xf numFmtId="0" fontId="16" fillId="0" borderId="20" xfId="0" applyFont="1" applyBorder="1"/>
    <xf numFmtId="0" fontId="52" fillId="0" borderId="0" xfId="0" applyFont="1"/>
    <xf numFmtId="0" fontId="16" fillId="0" borderId="21" xfId="0" applyFont="1" applyBorder="1"/>
    <xf numFmtId="0" fontId="31" fillId="5" borderId="1" xfId="0" applyFont="1" applyFill="1" applyBorder="1" applyAlignment="1">
      <alignment horizontal="center" vertical="center"/>
    </xf>
    <xf numFmtId="0" fontId="31" fillId="5" borderId="13" xfId="0" applyFont="1" applyFill="1" applyBorder="1" applyAlignment="1">
      <alignment horizontal="center" vertical="center" wrapText="1"/>
    </xf>
    <xf numFmtId="0" fontId="31" fillId="5" borderId="1" xfId="0" applyFont="1" applyFill="1" applyBorder="1" applyAlignment="1">
      <alignment horizontal="center" vertical="center" wrapText="1"/>
    </xf>
    <xf numFmtId="0" fontId="31" fillId="5" borderId="11" xfId="0" applyFont="1" applyFill="1" applyBorder="1" applyAlignment="1">
      <alignment horizontal="center" vertical="center" wrapText="1"/>
    </xf>
    <xf numFmtId="0" fontId="31" fillId="5" borderId="0" xfId="0" applyFont="1" applyFill="1" applyAlignment="1">
      <alignment horizontal="center" vertical="center"/>
    </xf>
    <xf numFmtId="0" fontId="31" fillId="5" borderId="0" xfId="0" applyFont="1" applyFill="1" applyAlignment="1">
      <alignment horizontal="center" vertical="center" wrapText="1"/>
    </xf>
    <xf numFmtId="0" fontId="31" fillId="5" borderId="21" xfId="0" applyFont="1" applyFill="1" applyBorder="1" applyAlignment="1">
      <alignment horizontal="center" vertical="center" textRotation="90"/>
    </xf>
    <xf numFmtId="0" fontId="31" fillId="5" borderId="18" xfId="0" applyFont="1" applyFill="1" applyBorder="1" applyAlignment="1">
      <alignment horizontal="center" vertical="center" textRotation="90"/>
    </xf>
    <xf numFmtId="0" fontId="31" fillId="5" borderId="9" xfId="0" applyFont="1" applyFill="1" applyBorder="1" applyAlignment="1">
      <alignment horizontal="center" vertical="center" textRotation="90"/>
    </xf>
    <xf numFmtId="0" fontId="25" fillId="0" borderId="21" xfId="0" applyFont="1" applyBorder="1"/>
    <xf numFmtId="0" fontId="25" fillId="3" borderId="0" xfId="0" applyFont="1" applyFill="1"/>
    <xf numFmtId="0" fontId="28" fillId="7" borderId="6" xfId="0" applyFont="1" applyFill="1" applyBorder="1"/>
    <xf numFmtId="0" fontId="30" fillId="7" borderId="20" xfId="0" applyFont="1" applyFill="1" applyBorder="1"/>
    <xf numFmtId="0" fontId="52" fillId="7" borderId="0" xfId="0" applyFont="1" applyFill="1"/>
    <xf numFmtId="0" fontId="10" fillId="0" borderId="2" xfId="0" applyFont="1" applyBorder="1" applyAlignment="1">
      <alignment horizontal="right" vertical="top"/>
    </xf>
    <xf numFmtId="14" fontId="10" fillId="0" borderId="2" xfId="0" applyNumberFormat="1" applyFont="1" applyBorder="1" applyAlignment="1">
      <alignment horizontal="right" vertical="top"/>
    </xf>
    <xf numFmtId="0" fontId="22" fillId="0" borderId="6" xfId="0" applyFont="1" applyBorder="1" applyAlignment="1">
      <alignment horizontal="center"/>
    </xf>
    <xf numFmtId="2" fontId="29" fillId="0" borderId="6" xfId="1" applyNumberFormat="1" applyFont="1" applyFill="1" applyBorder="1" applyAlignment="1" applyProtection="1">
      <alignment horizontal="right"/>
    </xf>
    <xf numFmtId="0" fontId="22" fillId="0" borderId="6" xfId="0" applyFont="1" applyBorder="1" applyAlignment="1">
      <alignment vertical="top" wrapText="1"/>
    </xf>
    <xf numFmtId="0" fontId="8" fillId="0" borderId="0" xfId="0" applyFont="1" applyAlignment="1">
      <alignment wrapText="1"/>
    </xf>
    <xf numFmtId="0" fontId="8" fillId="0" borderId="0" xfId="0" applyFont="1" applyAlignment="1">
      <alignment horizontal="center"/>
    </xf>
    <xf numFmtId="0" fontId="2" fillId="0" borderId="21" xfId="0" applyFont="1" applyBorder="1"/>
    <xf numFmtId="0" fontId="8" fillId="0" borderId="0" xfId="0" applyFont="1" applyAlignment="1">
      <alignment vertical="top" wrapText="1"/>
    </xf>
    <xf numFmtId="0" fontId="0" fillId="0" borderId="21" xfId="0" applyBorder="1"/>
    <xf numFmtId="0" fontId="56" fillId="0" borderId="0" xfId="0" applyFont="1" applyAlignment="1">
      <alignment vertical="top" wrapText="1"/>
    </xf>
    <xf numFmtId="0" fontId="8" fillId="0" borderId="6" xfId="0" applyFont="1" applyBorder="1"/>
    <xf numFmtId="0" fontId="8" fillId="0" borderId="0" xfId="0" applyFont="1" applyAlignment="1">
      <alignment horizontal="left" vertical="top" wrapText="1"/>
    </xf>
    <xf numFmtId="0" fontId="8" fillId="0" borderId="6" xfId="0" applyFont="1" applyBorder="1" applyAlignment="1">
      <alignment horizontal="left" vertical="center" wrapText="1"/>
    </xf>
    <xf numFmtId="0" fontId="8" fillId="0" borderId="6" xfId="0" applyFont="1" applyBorder="1" applyAlignment="1">
      <alignment horizontal="left" vertical="top" wrapText="1"/>
    </xf>
    <xf numFmtId="0" fontId="8" fillId="0" borderId="6" xfId="0" applyFont="1" applyBorder="1" applyAlignment="1">
      <alignment vertical="top" wrapText="1"/>
    </xf>
    <xf numFmtId="0" fontId="61" fillId="0" borderId="0" xfId="0" applyFont="1"/>
    <xf numFmtId="0" fontId="62" fillId="3" borderId="0" xfId="0" applyFont="1" applyFill="1"/>
    <xf numFmtId="0" fontId="61" fillId="7" borderId="0" xfId="0" applyFont="1" applyFill="1"/>
    <xf numFmtId="0" fontId="60" fillId="0" borderId="0" xfId="0" applyFont="1"/>
    <xf numFmtId="0" fontId="63" fillId="0" borderId="0" xfId="0" applyFont="1"/>
    <xf numFmtId="0" fontId="31" fillId="5" borderId="10" xfId="0" applyFont="1" applyFill="1" applyBorder="1" applyAlignment="1">
      <alignment horizontal="center" vertical="center" textRotation="90" wrapText="1"/>
    </xf>
    <xf numFmtId="0" fontId="73" fillId="0" borderId="0" xfId="0" applyFont="1"/>
    <xf numFmtId="0" fontId="74" fillId="0" borderId="0" xfId="0" applyFont="1"/>
    <xf numFmtId="0" fontId="27" fillId="0" borderId="0" xfId="0" applyFont="1" applyAlignment="1">
      <alignment horizontal="center" vertical="top"/>
    </xf>
    <xf numFmtId="0" fontId="55" fillId="0" borderId="2" xfId="0" applyFont="1" applyBorder="1" applyAlignment="1">
      <alignment horizontal="center" vertical="top"/>
    </xf>
    <xf numFmtId="0" fontId="18" fillId="0" borderId="0" xfId="0" applyFont="1" applyAlignment="1">
      <alignment horizontal="center" vertical="top"/>
    </xf>
    <xf numFmtId="0" fontId="55" fillId="0" borderId="2" xfId="0" applyFont="1" applyBorder="1" applyAlignment="1">
      <alignment horizontal="center" vertical="center"/>
    </xf>
    <xf numFmtId="0" fontId="56" fillId="0" borderId="7" xfId="0" applyFont="1" applyBorder="1" applyAlignment="1">
      <alignment horizontal="center" vertical="top"/>
    </xf>
    <xf numFmtId="0" fontId="8" fillId="0" borderId="6" xfId="0" applyFont="1" applyBorder="1" applyAlignment="1">
      <alignment horizontal="center" vertical="center"/>
    </xf>
    <xf numFmtId="0" fontId="8" fillId="0" borderId="0" xfId="0" applyFont="1" applyAlignment="1">
      <alignment horizontal="center" vertical="center"/>
    </xf>
    <xf numFmtId="0" fontId="8" fillId="0" borderId="5" xfId="0" applyFont="1" applyBorder="1" applyAlignment="1">
      <alignment horizontal="center" vertical="center"/>
    </xf>
    <xf numFmtId="0" fontId="27" fillId="0" borderId="2" xfId="0" applyFont="1" applyBorder="1" applyAlignment="1">
      <alignment horizontal="center" vertical="top"/>
    </xf>
    <xf numFmtId="0" fontId="27" fillId="0" borderId="6" xfId="0" applyFont="1" applyBorder="1" applyAlignment="1">
      <alignment horizontal="center" vertical="center"/>
    </xf>
    <xf numFmtId="0" fontId="27" fillId="0" borderId="0" xfId="0" applyFont="1" applyAlignment="1">
      <alignment horizontal="center" vertical="center"/>
    </xf>
    <xf numFmtId="0" fontId="16" fillId="0" borderId="6" xfId="0" applyFont="1" applyBorder="1" applyAlignment="1">
      <alignment horizontal="center" vertical="center"/>
    </xf>
    <xf numFmtId="0" fontId="16" fillId="0" borderId="0" xfId="0" applyFont="1" applyAlignment="1">
      <alignment horizontal="center" vertical="center"/>
    </xf>
    <xf numFmtId="0" fontId="75" fillId="5" borderId="11" xfId="0" applyFont="1" applyFill="1" applyBorder="1" applyAlignment="1">
      <alignment horizontal="center" vertical="center" wrapText="1"/>
    </xf>
    <xf numFmtId="0" fontId="75" fillId="5" borderId="1" xfId="0" applyFont="1" applyFill="1" applyBorder="1" applyAlignment="1">
      <alignment horizontal="center" vertical="center" wrapText="1"/>
    </xf>
    <xf numFmtId="0" fontId="16" fillId="0" borderId="24" xfId="0" applyFont="1" applyBorder="1"/>
    <xf numFmtId="0" fontId="31" fillId="5" borderId="25" xfId="0" applyFont="1" applyFill="1" applyBorder="1" applyAlignment="1">
      <alignment horizontal="center" vertical="center" textRotation="90"/>
    </xf>
    <xf numFmtId="0" fontId="22" fillId="0" borderId="24" xfId="0" applyFont="1" applyBorder="1" applyAlignment="1">
      <alignment horizontal="center"/>
    </xf>
    <xf numFmtId="0" fontId="30" fillId="4" borderId="26" xfId="0" applyFont="1" applyFill="1" applyBorder="1"/>
    <xf numFmtId="0" fontId="22" fillId="0" borderId="26" xfId="0" applyFont="1" applyBorder="1" applyAlignment="1">
      <alignment horizontal="center"/>
    </xf>
    <xf numFmtId="2" fontId="22" fillId="0" borderId="23" xfId="0" applyNumberFormat="1" applyFont="1" applyBorder="1" applyAlignment="1">
      <alignment horizontal="center"/>
    </xf>
    <xf numFmtId="2" fontId="22" fillId="0" borderId="24" xfId="0" applyNumberFormat="1" applyFont="1" applyBorder="1" applyAlignment="1">
      <alignment horizontal="center"/>
    </xf>
    <xf numFmtId="0" fontId="25" fillId="0" borderId="24" xfId="0" applyFont="1" applyBorder="1"/>
    <xf numFmtId="0" fontId="30" fillId="7" borderId="26" xfId="0" applyFont="1" applyFill="1" applyBorder="1"/>
    <xf numFmtId="0" fontId="22" fillId="0" borderId="26" xfId="0" applyFont="1" applyBorder="1"/>
    <xf numFmtId="0" fontId="22" fillId="0" borderId="24" xfId="0" applyFont="1" applyBorder="1"/>
    <xf numFmtId="0" fontId="30" fillId="0" borderId="2" xfId="0" applyFont="1" applyBorder="1" applyAlignment="1">
      <alignment horizontal="center" vertical="center"/>
    </xf>
    <xf numFmtId="0" fontId="61" fillId="3" borderId="0" xfId="0" applyFont="1" applyFill="1"/>
    <xf numFmtId="0" fontId="52" fillId="3" borderId="0" xfId="0" applyFont="1" applyFill="1"/>
    <xf numFmtId="0" fontId="27" fillId="3" borderId="6" xfId="0" applyFont="1" applyFill="1" applyBorder="1" applyAlignment="1">
      <alignment horizontal="left" wrapText="1"/>
    </xf>
    <xf numFmtId="0" fontId="76" fillId="0" borderId="6" xfId="0" applyFont="1" applyBorder="1" applyAlignment="1">
      <alignment horizontal="center" vertical="center"/>
    </xf>
    <xf numFmtId="0" fontId="77" fillId="0" borderId="6" xfId="0" applyFont="1" applyBorder="1" applyAlignment="1">
      <alignment vertical="top" wrapText="1"/>
    </xf>
    <xf numFmtId="0" fontId="77" fillId="0" borderId="6" xfId="0" applyFont="1" applyBorder="1" applyAlignment="1">
      <alignment horizontal="center"/>
    </xf>
    <xf numFmtId="2" fontId="77" fillId="0" borderId="8" xfId="0" applyNumberFormat="1" applyFont="1" applyBorder="1" applyAlignment="1">
      <alignment horizontal="center"/>
    </xf>
    <xf numFmtId="2" fontId="77" fillId="0" borderId="2" xfId="0" applyNumberFormat="1" applyFont="1" applyBorder="1" applyAlignment="1">
      <alignment horizontal="center"/>
    </xf>
    <xf numFmtId="2" fontId="77" fillId="0" borderId="7" xfId="0" applyNumberFormat="1" applyFont="1" applyBorder="1" applyAlignment="1">
      <alignment horizontal="center"/>
    </xf>
    <xf numFmtId="2" fontId="77" fillId="0" borderId="1" xfId="0" applyNumberFormat="1" applyFont="1" applyBorder="1" applyAlignment="1">
      <alignment horizontal="center"/>
    </xf>
    <xf numFmtId="2" fontId="77" fillId="0" borderId="0" xfId="0" applyNumberFormat="1" applyFont="1" applyAlignment="1">
      <alignment horizontal="center"/>
    </xf>
    <xf numFmtId="2" fontId="79" fillId="0" borderId="0" xfId="1" applyNumberFormat="1" applyFont="1" applyFill="1" applyBorder="1" applyAlignment="1" applyProtection="1">
      <alignment horizontal="right"/>
    </xf>
    <xf numFmtId="0" fontId="77" fillId="0" borderId="6" xfId="0" applyFont="1" applyBorder="1"/>
    <xf numFmtId="2" fontId="77" fillId="0" borderId="20" xfId="0" applyNumberFormat="1" applyFont="1" applyBorder="1" applyAlignment="1">
      <alignment horizontal="center"/>
    </xf>
    <xf numFmtId="2" fontId="77" fillId="0" borderId="6" xfId="0" applyNumberFormat="1" applyFont="1" applyBorder="1" applyAlignment="1">
      <alignment horizontal="center"/>
    </xf>
    <xf numFmtId="2" fontId="79" fillId="0" borderId="6" xfId="1" applyNumberFormat="1" applyFont="1" applyFill="1" applyBorder="1" applyAlignment="1" applyProtection="1">
      <alignment horizontal="center"/>
    </xf>
    <xf numFmtId="0" fontId="80" fillId="0" borderId="0" xfId="0" applyFont="1"/>
    <xf numFmtId="0" fontId="81" fillId="0" borderId="0" xfId="0" applyFont="1" applyAlignment="1">
      <alignment horizontal="center" vertical="center"/>
    </xf>
    <xf numFmtId="0" fontId="77" fillId="0" borderId="0" xfId="0" applyFont="1" applyAlignment="1">
      <alignment vertical="top" wrapText="1"/>
    </xf>
    <xf numFmtId="0" fontId="82" fillId="0" borderId="0" xfId="0" applyFont="1" applyAlignment="1">
      <alignment horizontal="center"/>
    </xf>
    <xf numFmtId="0" fontId="82" fillId="0" borderId="0" xfId="0" applyFont="1"/>
    <xf numFmtId="2" fontId="82" fillId="0" borderId="21" xfId="0" applyNumberFormat="1" applyFont="1" applyBorder="1" applyAlignment="1">
      <alignment horizontal="center"/>
    </xf>
    <xf numFmtId="2" fontId="82" fillId="0" borderId="0" xfId="0" applyNumberFormat="1" applyFont="1" applyAlignment="1">
      <alignment horizontal="center"/>
    </xf>
    <xf numFmtId="2" fontId="83" fillId="0" borderId="0" xfId="1" applyNumberFormat="1" applyFont="1" applyFill="1" applyBorder="1" applyAlignment="1" applyProtection="1">
      <alignment horizontal="center"/>
    </xf>
    <xf numFmtId="0" fontId="76" fillId="0" borderId="0" xfId="0" applyFont="1"/>
    <xf numFmtId="0" fontId="84" fillId="0" borderId="6" xfId="0" applyFont="1" applyBorder="1" applyAlignment="1">
      <alignment horizontal="center" vertical="center"/>
    </xf>
    <xf numFmtId="0" fontId="85" fillId="0" borderId="6" xfId="0" applyFont="1" applyBorder="1" applyAlignment="1">
      <alignment vertical="top" wrapText="1"/>
    </xf>
    <xf numFmtId="0" fontId="85" fillId="0" borderId="6" xfId="0" applyFont="1" applyBorder="1" applyAlignment="1">
      <alignment horizontal="center"/>
    </xf>
    <xf numFmtId="2" fontId="85" fillId="0" borderId="8" xfId="0" applyNumberFormat="1" applyFont="1" applyBorder="1" applyAlignment="1">
      <alignment horizontal="center"/>
    </xf>
    <xf numFmtId="2" fontId="85" fillId="0" borderId="2" xfId="0" applyNumberFormat="1" applyFont="1" applyBorder="1" applyAlignment="1">
      <alignment horizontal="center"/>
    </xf>
    <xf numFmtId="2" fontId="85" fillId="0" borderId="7" xfId="0" applyNumberFormat="1" applyFont="1" applyBorder="1" applyAlignment="1">
      <alignment horizontal="center"/>
    </xf>
    <xf numFmtId="2" fontId="85" fillId="0" borderId="1" xfId="0" applyNumberFormat="1" applyFont="1" applyBorder="1" applyAlignment="1">
      <alignment horizontal="center"/>
    </xf>
    <xf numFmtId="2" fontId="85" fillId="0" borderId="0" xfId="0" applyNumberFormat="1" applyFont="1" applyAlignment="1">
      <alignment horizontal="center"/>
    </xf>
    <xf numFmtId="2" fontId="87" fillId="0" borderId="0" xfId="1" applyNumberFormat="1" applyFont="1" applyFill="1" applyBorder="1" applyAlignment="1" applyProtection="1">
      <alignment horizontal="right"/>
    </xf>
    <xf numFmtId="0" fontId="88" fillId="0" borderId="0" xfId="0" applyFont="1"/>
    <xf numFmtId="0" fontId="89" fillId="0" borderId="0" xfId="0" applyFont="1"/>
    <xf numFmtId="0" fontId="85" fillId="0" borderId="6" xfId="0" applyFont="1" applyBorder="1" applyAlignment="1">
      <alignment horizontal="left" vertical="top" wrapText="1"/>
    </xf>
    <xf numFmtId="0" fontId="85" fillId="0" borderId="6" xfId="0" applyFont="1" applyBorder="1"/>
    <xf numFmtId="2" fontId="85" fillId="0" borderId="20" xfId="0" applyNumberFormat="1" applyFont="1" applyBorder="1" applyAlignment="1">
      <alignment horizontal="center"/>
    </xf>
    <xf numFmtId="2" fontId="85" fillId="0" borderId="6" xfId="0" applyNumberFormat="1" applyFont="1" applyBorder="1" applyAlignment="1">
      <alignment horizontal="center"/>
    </xf>
    <xf numFmtId="2" fontId="87" fillId="0" borderId="6" xfId="1" applyNumberFormat="1" applyFont="1" applyFill="1" applyBorder="1" applyAlignment="1" applyProtection="1">
      <alignment horizontal="center"/>
    </xf>
    <xf numFmtId="0" fontId="81" fillId="0" borderId="6" xfId="0" applyFont="1" applyBorder="1" applyAlignment="1">
      <alignment horizontal="center" vertical="center"/>
    </xf>
    <xf numFmtId="0" fontId="82" fillId="0" borderId="6" xfId="0" applyFont="1" applyBorder="1" applyAlignment="1">
      <alignment horizontal="left" vertical="top" wrapText="1"/>
    </xf>
    <xf numFmtId="0" fontId="82" fillId="0" borderId="6" xfId="0" applyFont="1" applyBorder="1"/>
    <xf numFmtId="2" fontId="82" fillId="0" borderId="20" xfId="0" applyNumberFormat="1" applyFont="1" applyBorder="1" applyAlignment="1">
      <alignment horizontal="center"/>
    </xf>
    <xf numFmtId="2" fontId="82" fillId="0" borderId="6" xfId="0" applyNumberFormat="1" applyFont="1" applyBorder="1" applyAlignment="1">
      <alignment horizontal="center"/>
    </xf>
    <xf numFmtId="2" fontId="83" fillId="0" borderId="6" xfId="1" applyNumberFormat="1" applyFont="1" applyFill="1" applyBorder="1" applyAlignment="1" applyProtection="1">
      <alignment horizontal="center"/>
    </xf>
    <xf numFmtId="0" fontId="82" fillId="0" borderId="0" xfId="0" applyFont="1" applyAlignment="1">
      <alignment horizontal="left" vertical="top" wrapText="1"/>
    </xf>
    <xf numFmtId="0" fontId="82" fillId="0" borderId="6" xfId="0" applyFont="1" applyBorder="1" applyAlignment="1">
      <alignment vertical="top" wrapText="1"/>
    </xf>
    <xf numFmtId="0" fontId="82" fillId="0" borderId="6" xfId="0" applyFont="1" applyBorder="1" applyAlignment="1">
      <alignment horizontal="center"/>
    </xf>
    <xf numFmtId="2" fontId="82" fillId="0" borderId="8" xfId="0" applyNumberFormat="1" applyFont="1" applyBorder="1" applyAlignment="1">
      <alignment horizontal="center"/>
    </xf>
    <xf numFmtId="2" fontId="82" fillId="0" borderId="2" xfId="0" applyNumberFormat="1" applyFont="1" applyBorder="1" applyAlignment="1">
      <alignment horizontal="center"/>
    </xf>
    <xf numFmtId="2" fontId="82" fillId="0" borderId="7" xfId="0" applyNumberFormat="1" applyFont="1" applyBorder="1" applyAlignment="1">
      <alignment horizontal="center"/>
    </xf>
    <xf numFmtId="2" fontId="82" fillId="0" borderId="1" xfId="0" applyNumberFormat="1" applyFont="1" applyBorder="1" applyAlignment="1">
      <alignment horizontal="center"/>
    </xf>
    <xf numFmtId="2" fontId="83" fillId="0" borderId="0" xfId="1" applyNumberFormat="1" applyFont="1" applyFill="1" applyBorder="1" applyAlignment="1" applyProtection="1">
      <alignment horizontal="right"/>
    </xf>
    <xf numFmtId="0" fontId="92" fillId="0" borderId="0" xfId="0" applyFont="1"/>
    <xf numFmtId="0" fontId="93" fillId="0" borderId="0" xfId="0" applyFont="1"/>
    <xf numFmtId="0" fontId="85" fillId="0" borderId="0" xfId="0" applyFont="1" applyAlignment="1">
      <alignment horizontal="left" vertical="top" wrapText="1"/>
    </xf>
    <xf numFmtId="0" fontId="88" fillId="0" borderId="6" xfId="0" applyFont="1" applyBorder="1" applyAlignment="1">
      <alignment horizontal="center" vertical="center"/>
    </xf>
    <xf numFmtId="0" fontId="94" fillId="0" borderId="0" xfId="0" applyFont="1" applyAlignment="1">
      <alignment horizontal="center" vertical="top"/>
    </xf>
    <xf numFmtId="0" fontId="95" fillId="0" borderId="0" xfId="0" applyFont="1"/>
    <xf numFmtId="0" fontId="95" fillId="0" borderId="21" xfId="0" applyFont="1" applyBorder="1"/>
    <xf numFmtId="0" fontId="96" fillId="0" borderId="0" xfId="0" applyFont="1"/>
    <xf numFmtId="0" fontId="94" fillId="0" borderId="6" xfId="0" applyFont="1" applyBorder="1" applyAlignment="1">
      <alignment horizontal="center" vertical="center"/>
    </xf>
    <xf numFmtId="0" fontId="97" fillId="0" borderId="6" xfId="0" applyFont="1" applyBorder="1" applyAlignment="1">
      <alignment horizontal="left" vertical="top" wrapText="1"/>
    </xf>
    <xf numFmtId="0" fontId="97" fillId="0" borderId="6" xfId="0" applyFont="1" applyBorder="1"/>
    <xf numFmtId="2" fontId="97" fillId="0" borderId="20" xfId="0" applyNumberFormat="1" applyFont="1" applyBorder="1" applyAlignment="1">
      <alignment horizontal="center"/>
    </xf>
    <xf numFmtId="2" fontId="97" fillId="0" borderId="6" xfId="0" applyNumberFormat="1" applyFont="1" applyBorder="1" applyAlignment="1">
      <alignment horizontal="center"/>
    </xf>
    <xf numFmtId="2" fontId="98" fillId="0" borderId="6" xfId="1" applyNumberFormat="1" applyFont="1" applyFill="1" applyBorder="1" applyAlignment="1" applyProtection="1">
      <alignment horizontal="center"/>
    </xf>
    <xf numFmtId="0" fontId="94" fillId="0" borderId="0" xfId="0" applyFont="1" applyAlignment="1">
      <alignment horizontal="center" vertical="center"/>
    </xf>
    <xf numFmtId="0" fontId="97" fillId="0" borderId="0" xfId="0" applyFont="1" applyAlignment="1">
      <alignment horizontal="left" vertical="top" wrapText="1"/>
    </xf>
    <xf numFmtId="0" fontId="97" fillId="0" borderId="0" xfId="0" applyFont="1"/>
    <xf numFmtId="2" fontId="97" fillId="0" borderId="21" xfId="0" applyNumberFormat="1" applyFont="1" applyBorder="1" applyAlignment="1">
      <alignment horizontal="center"/>
    </xf>
    <xf numFmtId="2" fontId="97" fillId="0" borderId="0" xfId="0" applyNumberFormat="1" applyFont="1" applyAlignment="1">
      <alignment horizontal="center"/>
    </xf>
    <xf numFmtId="2" fontId="98" fillId="0" borderId="0" xfId="1" applyNumberFormat="1" applyFont="1" applyFill="1" applyBorder="1" applyAlignment="1" applyProtection="1">
      <alignment horizontal="center"/>
    </xf>
    <xf numFmtId="0" fontId="97" fillId="0" borderId="6" xfId="0" applyFont="1" applyBorder="1" applyAlignment="1">
      <alignment vertical="top" wrapText="1"/>
    </xf>
    <xf numFmtId="0" fontId="97" fillId="0" borderId="6" xfId="0" applyFont="1" applyBorder="1" applyAlignment="1">
      <alignment horizontal="center"/>
    </xf>
    <xf numFmtId="2" fontId="97" fillId="0" borderId="8" xfId="0" applyNumberFormat="1" applyFont="1" applyBorder="1" applyAlignment="1">
      <alignment horizontal="center"/>
    </xf>
    <xf numFmtId="2" fontId="97" fillId="0" borderId="2" xfId="0" applyNumberFormat="1" applyFont="1" applyBorder="1" applyAlignment="1">
      <alignment horizontal="center"/>
    </xf>
    <xf numFmtId="2" fontId="97" fillId="0" borderId="7" xfId="0" applyNumberFormat="1" applyFont="1" applyBorder="1" applyAlignment="1">
      <alignment horizontal="center"/>
    </xf>
    <xf numFmtId="2" fontId="97" fillId="0" borderId="1" xfId="0" applyNumberFormat="1" applyFont="1" applyBorder="1" applyAlignment="1">
      <alignment horizontal="center"/>
    </xf>
    <xf numFmtId="2" fontId="98" fillId="0" borderId="0" xfId="1" applyNumberFormat="1" applyFont="1" applyFill="1" applyBorder="1" applyAlignment="1" applyProtection="1">
      <alignment horizontal="right"/>
    </xf>
    <xf numFmtId="0" fontId="85" fillId="0" borderId="0" xfId="0" applyFont="1" applyAlignment="1">
      <alignment vertical="top" wrapText="1"/>
    </xf>
    <xf numFmtId="0" fontId="85" fillId="0" borderId="0" xfId="0" applyFont="1"/>
    <xf numFmtId="0" fontId="100" fillId="0" borderId="0" xfId="0" applyFont="1"/>
    <xf numFmtId="0" fontId="17" fillId="11" borderId="0" xfId="0" applyFont="1" applyFill="1"/>
    <xf numFmtId="0" fontId="26" fillId="11" borderId="0" xfId="0" applyFont="1" applyFill="1"/>
    <xf numFmtId="0" fontId="101" fillId="0" borderId="0" xfId="0" applyFont="1" applyAlignment="1">
      <alignment horizontal="center" vertical="top"/>
    </xf>
    <xf numFmtId="0" fontId="102" fillId="0" borderId="0" xfId="0" applyFont="1" applyAlignment="1">
      <alignment horizontal="center"/>
    </xf>
    <xf numFmtId="2" fontId="102" fillId="0" borderId="21" xfId="0" applyNumberFormat="1" applyFont="1" applyBorder="1" applyAlignment="1">
      <alignment horizontal="center"/>
    </xf>
    <xf numFmtId="2" fontId="102" fillId="0" borderId="0" xfId="0" applyNumberFormat="1" applyFont="1" applyAlignment="1">
      <alignment horizontal="center"/>
    </xf>
    <xf numFmtId="2" fontId="103" fillId="0" borderId="0" xfId="1" applyNumberFormat="1" applyFont="1" applyFill="1" applyBorder="1" applyAlignment="1" applyProtection="1">
      <alignment horizontal="right"/>
    </xf>
    <xf numFmtId="0" fontId="102" fillId="11" borderId="0" xfId="0" applyFont="1" applyFill="1"/>
    <xf numFmtId="0" fontId="104" fillId="11" borderId="0" xfId="0" applyFont="1" applyFill="1"/>
    <xf numFmtId="0" fontId="85" fillId="11" borderId="0" xfId="0" applyFont="1" applyFill="1"/>
    <xf numFmtId="0" fontId="100" fillId="11" borderId="0" xfId="0" applyFont="1" applyFill="1"/>
    <xf numFmtId="0" fontId="82" fillId="0" borderId="0" xfId="0" applyFont="1" applyAlignment="1">
      <alignment horizontal="center" vertical="top"/>
    </xf>
    <xf numFmtId="0" fontId="82" fillId="0" borderId="0" xfId="0" applyFont="1" applyAlignment="1">
      <alignment vertical="top" wrapText="1"/>
    </xf>
    <xf numFmtId="0" fontId="105" fillId="0" borderId="6" xfId="0" applyFont="1" applyBorder="1" applyAlignment="1">
      <alignment horizontal="center" vertical="center"/>
    </xf>
    <xf numFmtId="0" fontId="106" fillId="0" borderId="0" xfId="0" applyFont="1" applyAlignment="1">
      <alignment horizontal="center" vertical="top"/>
    </xf>
    <xf numFmtId="0" fontId="92" fillId="0" borderId="21" xfId="0" applyFont="1" applyBorder="1"/>
    <xf numFmtId="0" fontId="81" fillId="0" borderId="0" xfId="0" applyFont="1"/>
    <xf numFmtId="0" fontId="108" fillId="0" borderId="0" xfId="0" applyFont="1"/>
    <xf numFmtId="0" fontId="77" fillId="0" borderId="0" xfId="0" applyFont="1"/>
    <xf numFmtId="0" fontId="109" fillId="0" borderId="0" xfId="0" applyFont="1"/>
    <xf numFmtId="0" fontId="110" fillId="0" borderId="6" xfId="0" applyFont="1" applyBorder="1" applyAlignment="1">
      <alignment horizontal="center" vertical="center"/>
    </xf>
    <xf numFmtId="0" fontId="27" fillId="0" borderId="2" xfId="0" applyFont="1" applyBorder="1" applyAlignment="1">
      <alignment horizontal="center" vertical="center"/>
    </xf>
    <xf numFmtId="0" fontId="22" fillId="0" borderId="0" xfId="0" applyFont="1" applyAlignment="1">
      <alignment horizontal="left" vertical="center" wrapText="1"/>
    </xf>
    <xf numFmtId="0" fontId="77" fillId="0" borderId="6" xfId="0" applyFont="1" applyBorder="1" applyAlignment="1">
      <alignment horizontal="left" vertical="top" wrapText="1"/>
    </xf>
    <xf numFmtId="2" fontId="77" fillId="0" borderId="23" xfId="0" applyNumberFormat="1" applyFont="1" applyBorder="1" applyAlignment="1">
      <alignment horizontal="center"/>
    </xf>
    <xf numFmtId="2" fontId="79" fillId="0" borderId="2" xfId="1" applyNumberFormat="1" applyFont="1" applyFill="1" applyBorder="1" applyAlignment="1" applyProtection="1">
      <alignment horizontal="right"/>
    </xf>
    <xf numFmtId="2" fontId="82" fillId="0" borderId="26" xfId="0" applyNumberFormat="1" applyFont="1" applyBorder="1" applyAlignment="1">
      <alignment horizontal="center"/>
    </xf>
    <xf numFmtId="0" fontId="82" fillId="0" borderId="26" xfId="0" applyFont="1" applyBorder="1"/>
    <xf numFmtId="2" fontId="82" fillId="0" borderId="23" xfId="0" applyNumberFormat="1" applyFont="1" applyBorder="1" applyAlignment="1">
      <alignment horizontal="center"/>
    </xf>
    <xf numFmtId="0" fontId="111" fillId="0" borderId="0" xfId="0" applyFont="1"/>
    <xf numFmtId="0" fontId="112" fillId="0" borderId="0" xfId="0" applyFont="1"/>
    <xf numFmtId="0" fontId="114" fillId="0" borderId="0" xfId="0" applyFont="1"/>
    <xf numFmtId="0" fontId="116" fillId="0" borderId="6" xfId="0" applyFont="1" applyBorder="1" applyAlignment="1">
      <alignment horizontal="center" vertical="center"/>
    </xf>
    <xf numFmtId="0" fontId="115" fillId="0" borderId="6" xfId="0" applyFont="1" applyBorder="1" applyAlignment="1">
      <alignment horizontal="left" vertical="top" wrapText="1"/>
    </xf>
    <xf numFmtId="0" fontId="115" fillId="0" borderId="6" xfId="0" applyFont="1" applyBorder="1"/>
    <xf numFmtId="0" fontId="115" fillId="0" borderId="26" xfId="0" applyFont="1" applyBorder="1"/>
    <xf numFmtId="2" fontId="115" fillId="0" borderId="20" xfId="0" applyNumberFormat="1" applyFont="1" applyBorder="1" applyAlignment="1">
      <alignment horizontal="center"/>
    </xf>
    <xf numFmtId="2" fontId="115" fillId="0" borderId="6" xfId="0" applyNumberFormat="1" applyFont="1" applyBorder="1" applyAlignment="1">
      <alignment horizontal="center"/>
    </xf>
    <xf numFmtId="2" fontId="117" fillId="0" borderId="6" xfId="1" applyNumberFormat="1" applyFont="1" applyFill="1" applyBorder="1" applyAlignment="1" applyProtection="1">
      <alignment horizontal="center"/>
    </xf>
    <xf numFmtId="0" fontId="116" fillId="0" borderId="0" xfId="0" applyFont="1" applyAlignment="1">
      <alignment horizontal="center" vertical="center"/>
    </xf>
    <xf numFmtId="0" fontId="115" fillId="0" borderId="0" xfId="0" applyFont="1" applyAlignment="1">
      <alignment horizontal="left" vertical="top" wrapText="1"/>
    </xf>
    <xf numFmtId="0" fontId="115" fillId="0" borderId="0" xfId="0" applyFont="1"/>
    <xf numFmtId="0" fontId="115" fillId="0" borderId="24" xfId="0" applyFont="1" applyBorder="1"/>
    <xf numFmtId="2" fontId="115" fillId="0" borderId="21" xfId="0" applyNumberFormat="1" applyFont="1" applyBorder="1" applyAlignment="1">
      <alignment horizontal="center"/>
    </xf>
    <xf numFmtId="2" fontId="115" fillId="0" borderId="0" xfId="0" applyNumberFormat="1" applyFont="1" applyAlignment="1">
      <alignment horizontal="center"/>
    </xf>
    <xf numFmtId="2" fontId="117" fillId="0" borderId="0" xfId="1" applyNumberFormat="1" applyFont="1" applyFill="1" applyBorder="1" applyAlignment="1" applyProtection="1">
      <alignment horizontal="center"/>
    </xf>
    <xf numFmtId="0" fontId="115" fillId="0" borderId="6" xfId="0" applyFont="1" applyBorder="1" applyAlignment="1">
      <alignment vertical="top" wrapText="1"/>
    </xf>
    <xf numFmtId="0" fontId="115" fillId="0" borderId="6" xfId="0" applyFont="1" applyBorder="1" applyAlignment="1">
      <alignment horizontal="center"/>
    </xf>
    <xf numFmtId="2" fontId="115" fillId="0" borderId="23" xfId="0" applyNumberFormat="1" applyFont="1" applyBorder="1" applyAlignment="1">
      <alignment horizontal="center"/>
    </xf>
    <xf numFmtId="2" fontId="115" fillId="0" borderId="2" xfId="0" applyNumberFormat="1" applyFont="1" applyBorder="1" applyAlignment="1">
      <alignment horizontal="center"/>
    </xf>
    <xf numFmtId="2" fontId="115" fillId="0" borderId="7" xfId="0" applyNumberFormat="1" applyFont="1" applyBorder="1" applyAlignment="1">
      <alignment horizontal="center"/>
    </xf>
    <xf numFmtId="2" fontId="115" fillId="0" borderId="1" xfId="0" applyNumberFormat="1" applyFont="1" applyBorder="1" applyAlignment="1">
      <alignment horizontal="center"/>
    </xf>
    <xf numFmtId="2" fontId="117" fillId="0" borderId="0" xfId="1" applyNumberFormat="1" applyFont="1" applyFill="1" applyBorder="1" applyAlignment="1" applyProtection="1">
      <alignment horizontal="right"/>
    </xf>
    <xf numFmtId="0" fontId="116" fillId="0" borderId="0" xfId="0" applyFont="1" applyAlignment="1">
      <alignment horizontal="center" vertical="top"/>
    </xf>
    <xf numFmtId="0" fontId="116" fillId="0" borderId="0" xfId="0" applyFont="1"/>
    <xf numFmtId="0" fontId="116" fillId="0" borderId="24" xfId="0" applyFont="1" applyBorder="1"/>
    <xf numFmtId="0" fontId="116" fillId="0" borderId="21" xfId="0" applyFont="1" applyBorder="1"/>
    <xf numFmtId="0" fontId="95" fillId="0" borderId="24" xfId="0" applyFont="1" applyBorder="1"/>
    <xf numFmtId="0" fontId="27" fillId="0" borderId="6" xfId="0" applyFont="1" applyBorder="1" applyAlignment="1">
      <alignment horizontal="center" vertical="top"/>
    </xf>
    <xf numFmtId="2" fontId="16" fillId="3" borderId="6" xfId="0" applyNumberFormat="1" applyFont="1" applyFill="1" applyBorder="1" applyAlignment="1">
      <alignment horizontal="center"/>
    </xf>
    <xf numFmtId="165" fontId="6" fillId="3" borderId="6" xfId="1" quotePrefix="1" applyNumberFormat="1" applyFont="1" applyFill="1" applyBorder="1" applyAlignment="1" applyProtection="1">
      <alignment horizontal="right"/>
    </xf>
    <xf numFmtId="2" fontId="85" fillId="0" borderId="23" xfId="0" applyNumberFormat="1" applyFont="1" applyBorder="1" applyAlignment="1">
      <alignment horizontal="center"/>
    </xf>
    <xf numFmtId="0" fontId="60" fillId="11" borderId="0" xfId="0" applyFont="1" applyFill="1"/>
    <xf numFmtId="0" fontId="25" fillId="11" borderId="0" xfId="0" applyFont="1" applyFill="1"/>
    <xf numFmtId="0" fontId="22" fillId="0" borderId="0" xfId="0" applyFont="1" applyAlignment="1">
      <alignment horizontal="center" vertical="top"/>
    </xf>
    <xf numFmtId="0" fontId="77" fillId="11" borderId="0" xfId="0" applyFont="1" applyFill="1"/>
    <xf numFmtId="0" fontId="109" fillId="11" borderId="0" xfId="0" applyFont="1" applyFill="1"/>
    <xf numFmtId="0" fontId="22" fillId="0" borderId="0" xfId="0" applyFont="1" applyAlignment="1">
      <alignment vertical="center"/>
    </xf>
    <xf numFmtId="0" fontId="16" fillId="0" borderId="0" xfId="0" applyFont="1" applyAlignment="1">
      <alignment horizontal="center" vertical="top"/>
    </xf>
    <xf numFmtId="0" fontId="82" fillId="0" borderId="24" xfId="0" applyFont="1" applyBorder="1"/>
    <xf numFmtId="0" fontId="110" fillId="0" borderId="0" xfId="0" applyFont="1" applyAlignment="1">
      <alignment horizontal="center" vertical="center"/>
    </xf>
    <xf numFmtId="0" fontId="119" fillId="0" borderId="0" xfId="0" applyFont="1" applyAlignment="1">
      <alignment horizontal="center" vertical="top"/>
    </xf>
    <xf numFmtId="2" fontId="120" fillId="0" borderId="0" xfId="1" applyNumberFormat="1" applyFont="1" applyFill="1" applyBorder="1" applyAlignment="1" applyProtection="1">
      <alignment horizontal="right"/>
    </xf>
    <xf numFmtId="0" fontId="16" fillId="0" borderId="27" xfId="0" applyFont="1" applyBorder="1"/>
    <xf numFmtId="0" fontId="55" fillId="0" borderId="0" xfId="0" applyFont="1" applyAlignment="1">
      <alignment horizontal="center" vertical="center"/>
    </xf>
    <xf numFmtId="0" fontId="11" fillId="0" borderId="0" xfId="0" quotePrefix="1" applyFont="1" applyAlignment="1">
      <alignment vertical="top" wrapText="1"/>
    </xf>
    <xf numFmtId="0" fontId="30" fillId="0" borderId="0" xfId="0" applyFont="1"/>
    <xf numFmtId="0" fontId="30" fillId="0" borderId="24" xfId="0" applyFont="1" applyBorder="1"/>
    <xf numFmtId="0" fontId="30" fillId="0" borderId="21" xfId="0" applyFont="1" applyBorder="1"/>
    <xf numFmtId="0" fontId="22" fillId="0" borderId="28" xfId="0" applyFont="1" applyBorder="1" applyAlignment="1">
      <alignment horizontal="center"/>
    </xf>
    <xf numFmtId="0" fontId="22" fillId="0" borderId="0" xfId="0" quotePrefix="1" applyFont="1" applyAlignment="1">
      <alignment vertical="top" wrapText="1"/>
    </xf>
    <xf numFmtId="0" fontId="22" fillId="0" borderId="16" xfId="0" applyFont="1" applyBorder="1" applyAlignment="1">
      <alignment horizontal="center"/>
    </xf>
    <xf numFmtId="2" fontId="22" fillId="0" borderId="15" xfId="0" applyNumberFormat="1" applyFont="1" applyBorder="1" applyAlignment="1">
      <alignment horizontal="center"/>
    </xf>
    <xf numFmtId="2" fontId="22" fillId="0" borderId="19" xfId="0" applyNumberFormat="1" applyFont="1" applyBorder="1" applyAlignment="1">
      <alignment horizontal="center"/>
    </xf>
    <xf numFmtId="2" fontId="19" fillId="0" borderId="15" xfId="1" applyNumberFormat="1" applyFont="1" applyFill="1" applyBorder="1" applyAlignment="1" applyProtection="1">
      <alignment horizontal="right"/>
    </xf>
    <xf numFmtId="0" fontId="22" fillId="0" borderId="0" xfId="0" quotePrefix="1" applyFont="1" applyAlignment="1">
      <alignment wrapText="1"/>
    </xf>
    <xf numFmtId="2" fontId="22" fillId="0" borderId="29" xfId="0" applyNumberFormat="1" applyFont="1" applyBorder="1" applyAlignment="1">
      <alignment horizontal="center"/>
    </xf>
    <xf numFmtId="0" fontId="22" fillId="0" borderId="0" xfId="0" quotePrefix="1" applyFont="1" applyAlignment="1">
      <alignment horizontal="left" vertical="top" wrapText="1"/>
    </xf>
    <xf numFmtId="0" fontId="27" fillId="0" borderId="0" xfId="0" applyFont="1" applyAlignment="1">
      <alignment horizontal="left" wrapText="1"/>
    </xf>
    <xf numFmtId="2" fontId="16" fillId="0" borderId="0" xfId="0" applyNumberFormat="1" applyFont="1" applyAlignment="1">
      <alignment horizontal="center"/>
    </xf>
    <xf numFmtId="165" fontId="6" fillId="0" borderId="0" xfId="1" quotePrefix="1" applyNumberFormat="1" applyFont="1" applyFill="1" applyBorder="1" applyAlignment="1" applyProtection="1">
      <alignment horizontal="right"/>
    </xf>
    <xf numFmtId="0" fontId="26" fillId="0" borderId="24" xfId="0" applyFont="1" applyBorder="1"/>
    <xf numFmtId="0" fontId="26" fillId="0" borderId="21" xfId="0" applyFont="1" applyBorder="1"/>
    <xf numFmtId="165" fontId="122" fillId="3" borderId="2" xfId="1" quotePrefix="1" applyNumberFormat="1" applyFont="1" applyFill="1" applyBorder="1" applyAlignment="1" applyProtection="1">
      <alignment horizontal="right"/>
    </xf>
    <xf numFmtId="2" fontId="26" fillId="0" borderId="21" xfId="0" applyNumberFormat="1" applyFont="1" applyBorder="1"/>
    <xf numFmtId="0" fontId="11" fillId="0" borderId="0" xfId="0" applyFont="1" applyAlignment="1">
      <alignment horizontal="right" vertical="top"/>
    </xf>
    <xf numFmtId="0" fontId="8" fillId="0" borderId="0" xfId="0" applyFont="1" applyAlignment="1">
      <alignment horizontal="right" vertical="top"/>
    </xf>
    <xf numFmtId="17" fontId="8" fillId="0" borderId="0" xfId="0" applyNumberFormat="1" applyFont="1" applyAlignment="1">
      <alignment horizontal="right" vertical="top"/>
    </xf>
    <xf numFmtId="0" fontId="8" fillId="0" borderId="0" xfId="0" applyFont="1" applyAlignment="1">
      <alignment horizontal="right" vertical="top" wrapText="1"/>
    </xf>
    <xf numFmtId="0" fontId="8" fillId="0" borderId="0" xfId="0" applyFont="1" applyAlignment="1">
      <alignment horizontal="left" vertical="top"/>
    </xf>
    <xf numFmtId="0" fontId="23" fillId="0" borderId="0" xfId="0" applyFont="1" applyAlignment="1">
      <alignment horizontal="center"/>
    </xf>
    <xf numFmtId="0" fontId="7" fillId="0" borderId="0" xfId="0" applyFont="1" applyAlignment="1">
      <alignment horizontal="center" vertical="top" wrapText="1"/>
    </xf>
    <xf numFmtId="0" fontId="11"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left" vertical="top"/>
    </xf>
    <xf numFmtId="0" fontId="36" fillId="0" borderId="0" xfId="0" applyFont="1" applyAlignment="1">
      <alignment horizontal="left" vertical="top" wrapText="1"/>
    </xf>
    <xf numFmtId="0" fontId="5" fillId="2" borderId="6" xfId="0" applyFont="1" applyFill="1" applyBorder="1" applyAlignment="1">
      <alignment horizontal="left" vertical="top" wrapText="1"/>
    </xf>
    <xf numFmtId="0" fontId="5" fillId="2" borderId="8" xfId="0" applyFont="1" applyFill="1" applyBorder="1" applyAlignment="1">
      <alignment horizontal="left" vertical="top" wrapText="1"/>
    </xf>
    <xf numFmtId="0" fontId="9" fillId="6" borderId="2" xfId="0" applyFont="1" applyFill="1" applyBorder="1" applyAlignment="1">
      <alignment horizontal="left"/>
    </xf>
    <xf numFmtId="0" fontId="19" fillId="0" borderId="6" xfId="2" applyFont="1" applyBorder="1" applyAlignment="1">
      <alignment horizontal="left" vertical="top" wrapText="1"/>
    </xf>
    <xf numFmtId="0" fontId="19" fillId="0" borderId="4" xfId="2" applyFont="1" applyBorder="1" applyAlignment="1">
      <alignment horizontal="left" vertical="top" wrapText="1"/>
    </xf>
    <xf numFmtId="0" fontId="19" fillId="0" borderId="5" xfId="2" applyFont="1" applyBorder="1" applyAlignment="1">
      <alignment horizontal="left" vertical="top" wrapText="1"/>
    </xf>
    <xf numFmtId="0" fontId="19" fillId="0" borderId="9" xfId="2" applyFont="1" applyBorder="1" applyAlignment="1">
      <alignment horizontal="left" vertical="top" wrapText="1"/>
    </xf>
    <xf numFmtId="0" fontId="19" fillId="0" borderId="7" xfId="3" applyFont="1" applyBorder="1" applyAlignment="1">
      <alignment horizontal="left" vertical="top" wrapText="1"/>
    </xf>
    <xf numFmtId="0" fontId="19" fillId="0" borderId="6" xfId="3" applyFont="1" applyBorder="1" applyAlignment="1">
      <alignment horizontal="left" vertical="top" wrapText="1"/>
    </xf>
    <xf numFmtId="0" fontId="19" fillId="0" borderId="8" xfId="3" applyFont="1" applyBorder="1" applyAlignment="1">
      <alignment horizontal="left" vertical="top" wrapText="1"/>
    </xf>
    <xf numFmtId="0" fontId="29" fillId="0" borderId="7" xfId="4" applyFont="1" applyBorder="1" applyAlignment="1" applyProtection="1">
      <alignment horizontal="left" vertical="top" wrapText="1"/>
      <protection hidden="1"/>
    </xf>
    <xf numFmtId="0" fontId="29" fillId="0" borderId="6" xfId="4" applyFont="1" applyBorder="1" applyAlignment="1" applyProtection="1">
      <alignment horizontal="left" vertical="top" wrapText="1"/>
      <protection hidden="1"/>
    </xf>
    <xf numFmtId="0" fontId="29" fillId="0" borderId="8" xfId="4" applyFont="1" applyBorder="1" applyAlignment="1" applyProtection="1">
      <alignment horizontal="left" vertical="top" wrapText="1"/>
      <protection hidden="1"/>
    </xf>
    <xf numFmtId="0" fontId="19" fillId="0" borderId="7" xfId="2" applyFont="1" applyBorder="1" applyAlignment="1">
      <alignment horizontal="left" vertical="top" wrapText="1"/>
    </xf>
    <xf numFmtId="0" fontId="19" fillId="0" borderId="8" xfId="2" applyFont="1" applyBorder="1" applyAlignment="1">
      <alignment horizontal="left" vertical="top" wrapText="1"/>
    </xf>
    <xf numFmtId="0" fontId="38" fillId="0" borderId="7" xfId="2" applyFont="1" applyBorder="1" applyAlignment="1">
      <alignment horizontal="left" vertical="top" wrapText="1"/>
    </xf>
    <xf numFmtId="0" fontId="38" fillId="0" borderId="6" xfId="2" applyFont="1" applyBorder="1" applyAlignment="1">
      <alignment horizontal="left" vertical="top" wrapText="1"/>
    </xf>
    <xf numFmtId="0" fontId="38" fillId="0" borderId="8" xfId="2" applyFont="1" applyBorder="1" applyAlignment="1">
      <alignment horizontal="left" vertical="top" wrapText="1"/>
    </xf>
    <xf numFmtId="0" fontId="19" fillId="0" borderId="7" xfId="4" applyFont="1" applyBorder="1" applyAlignment="1" applyProtection="1">
      <alignment horizontal="left" vertical="top" wrapText="1"/>
      <protection hidden="1"/>
    </xf>
    <xf numFmtId="0" fontId="19" fillId="0" borderId="6" xfId="4" applyFont="1" applyBorder="1" applyAlignment="1" applyProtection="1">
      <alignment horizontal="left" vertical="top" wrapText="1"/>
      <protection hidden="1"/>
    </xf>
    <xf numFmtId="0" fontId="19" fillId="0" borderId="8" xfId="4" applyFont="1" applyBorder="1" applyAlignment="1" applyProtection="1">
      <alignment horizontal="left" vertical="top" wrapText="1"/>
      <protection hidden="1"/>
    </xf>
    <xf numFmtId="0" fontId="29" fillId="0" borderId="16" xfId="4" applyFont="1" applyBorder="1" applyAlignment="1" applyProtection="1">
      <alignment horizontal="left" vertical="top" wrapText="1"/>
      <protection hidden="1"/>
    </xf>
    <xf numFmtId="49" fontId="29" fillId="0" borderId="7" xfId="4" applyNumberFormat="1" applyFont="1" applyBorder="1" applyAlignment="1" applyProtection="1">
      <alignment horizontal="left" vertical="top" wrapText="1"/>
      <protection hidden="1"/>
    </xf>
    <xf numFmtId="49" fontId="29" fillId="0" borderId="6" xfId="4" applyNumberFormat="1" applyFont="1" applyBorder="1" applyAlignment="1" applyProtection="1">
      <alignment horizontal="left" vertical="top" wrapText="1"/>
      <protection hidden="1"/>
    </xf>
    <xf numFmtId="49" fontId="29" fillId="0" borderId="8" xfId="4" applyNumberFormat="1" applyFont="1" applyBorder="1" applyAlignment="1" applyProtection="1">
      <alignment horizontal="left" vertical="top" wrapText="1"/>
      <protection hidden="1"/>
    </xf>
    <xf numFmtId="0" fontId="38" fillId="0" borderId="7" xfId="4" applyFont="1" applyBorder="1" applyAlignment="1" applyProtection="1">
      <alignment horizontal="left" vertical="top" wrapText="1"/>
      <protection hidden="1"/>
    </xf>
    <xf numFmtId="0" fontId="38" fillId="0" borderId="6" xfId="4" applyFont="1" applyBorder="1" applyAlignment="1" applyProtection="1">
      <alignment horizontal="left" vertical="top" wrapText="1"/>
      <protection hidden="1"/>
    </xf>
    <xf numFmtId="0" fontId="38" fillId="0" borderId="8" xfId="4" applyFont="1" applyBorder="1" applyAlignment="1" applyProtection="1">
      <alignment horizontal="left" vertical="top" wrapText="1"/>
      <protection hidden="1"/>
    </xf>
    <xf numFmtId="0" fontId="39" fillId="0" borderId="7" xfId="4" applyFont="1" applyBorder="1" applyAlignment="1" applyProtection="1">
      <alignment horizontal="left" vertical="top" wrapText="1"/>
      <protection hidden="1"/>
    </xf>
    <xf numFmtId="0" fontId="39" fillId="0" borderId="6" xfId="4" applyFont="1" applyBorder="1" applyAlignment="1" applyProtection="1">
      <alignment horizontal="left" vertical="top" wrapText="1"/>
      <protection hidden="1"/>
    </xf>
    <xf numFmtId="0" fontId="39" fillId="0" borderId="8" xfId="4" applyFont="1" applyBorder="1" applyAlignment="1" applyProtection="1">
      <alignment horizontal="left" vertical="top" wrapText="1"/>
      <protection hidden="1"/>
    </xf>
    <xf numFmtId="49" fontId="39" fillId="0" borderId="7" xfId="4" applyNumberFormat="1" applyFont="1" applyBorder="1" applyAlignment="1" applyProtection="1">
      <alignment horizontal="left" vertical="top" wrapText="1"/>
      <protection hidden="1"/>
    </xf>
    <xf numFmtId="49" fontId="39" fillId="0" borderId="6" xfId="4" applyNumberFormat="1" applyFont="1" applyBorder="1" applyAlignment="1" applyProtection="1">
      <alignment horizontal="left" vertical="top" wrapText="1"/>
      <protection hidden="1"/>
    </xf>
    <xf numFmtId="49" fontId="39" fillId="0" borderId="8" xfId="4" applyNumberFormat="1" applyFont="1" applyBorder="1" applyAlignment="1" applyProtection="1">
      <alignment horizontal="left" vertical="top" wrapText="1"/>
      <protection hidden="1"/>
    </xf>
    <xf numFmtId="0" fontId="29" fillId="8" borderId="7" xfId="4" applyFont="1" applyFill="1" applyBorder="1" applyAlignment="1" applyProtection="1">
      <alignment horizontal="left" vertical="top" wrapText="1"/>
      <protection hidden="1"/>
    </xf>
    <xf numFmtId="0" fontId="29" fillId="8" borderId="6" xfId="4" applyFont="1" applyFill="1" applyBorder="1" applyAlignment="1" applyProtection="1">
      <alignment horizontal="left" vertical="top" wrapText="1"/>
      <protection hidden="1"/>
    </xf>
    <xf numFmtId="0" fontId="29" fillId="8" borderId="8" xfId="4" applyFont="1" applyFill="1" applyBorder="1" applyAlignment="1" applyProtection="1">
      <alignment horizontal="left" vertical="top" wrapText="1"/>
      <protection hidden="1"/>
    </xf>
    <xf numFmtId="0" fontId="21" fillId="6" borderId="2" xfId="4" applyFont="1" applyFill="1" applyBorder="1" applyAlignment="1" applyProtection="1">
      <alignment horizontal="left" vertical="top" wrapText="1"/>
      <protection hidden="1"/>
    </xf>
    <xf numFmtId="0" fontId="29" fillId="0" borderId="4" xfId="4" applyFont="1" applyBorder="1" applyAlignment="1" applyProtection="1">
      <alignment horizontal="left" vertical="top" wrapText="1"/>
      <protection hidden="1"/>
    </xf>
    <xf numFmtId="0" fontId="29" fillId="0" borderId="5" xfId="4" applyFont="1" applyBorder="1" applyAlignment="1" applyProtection="1">
      <alignment horizontal="left" vertical="top" wrapText="1"/>
      <protection hidden="1"/>
    </xf>
    <xf numFmtId="0" fontId="29" fillId="0" borderId="9" xfId="4" applyFont="1" applyBorder="1" applyAlignment="1" applyProtection="1">
      <alignment horizontal="left" vertical="top" wrapText="1"/>
      <protection hidden="1"/>
    </xf>
    <xf numFmtId="0" fontId="42" fillId="0" borderId="7" xfId="4" applyFont="1" applyBorder="1" applyAlignment="1" applyProtection="1">
      <alignment horizontal="left" vertical="top" wrapText="1"/>
      <protection hidden="1"/>
    </xf>
    <xf numFmtId="0" fontId="42" fillId="0" borderId="6" xfId="4" applyFont="1" applyBorder="1" applyAlignment="1" applyProtection="1">
      <alignment horizontal="left" vertical="top" wrapText="1"/>
      <protection hidden="1"/>
    </xf>
    <xf numFmtId="0" fontId="42" fillId="0" borderId="8" xfId="4" applyFont="1" applyBorder="1" applyAlignment="1" applyProtection="1">
      <alignment horizontal="left" vertical="top" wrapText="1"/>
      <protection hidden="1"/>
    </xf>
    <xf numFmtId="0" fontId="41" fillId="0" borderId="7" xfId="4" applyFont="1" applyBorder="1" applyAlignment="1" applyProtection="1">
      <alignment horizontal="left" vertical="top" wrapText="1"/>
      <protection hidden="1"/>
    </xf>
    <xf numFmtId="0" fontId="21" fillId="6" borderId="7" xfId="4" applyFont="1" applyFill="1" applyBorder="1" applyAlignment="1" applyProtection="1">
      <alignment horizontal="left" vertical="top" wrapText="1"/>
      <protection hidden="1"/>
    </xf>
    <xf numFmtId="0" fontId="21" fillId="6" borderId="6" xfId="4" applyFont="1" applyFill="1" applyBorder="1" applyAlignment="1" applyProtection="1">
      <alignment horizontal="left" vertical="top" wrapText="1"/>
      <protection hidden="1"/>
    </xf>
    <xf numFmtId="0" fontId="21" fillId="6" borderId="8" xfId="4" applyFont="1" applyFill="1" applyBorder="1" applyAlignment="1" applyProtection="1">
      <alignment horizontal="left" vertical="top" wrapText="1"/>
      <protection hidden="1"/>
    </xf>
    <xf numFmtId="0" fontId="29" fillId="0" borderId="0" xfId="4" applyFont="1" applyAlignment="1" applyProtection="1">
      <alignment horizontal="left" vertical="top" wrapText="1"/>
      <protection hidden="1"/>
    </xf>
    <xf numFmtId="0" fontId="43" fillId="0" borderId="7" xfId="4" applyFont="1" applyBorder="1" applyAlignment="1" applyProtection="1">
      <alignment horizontal="left" vertical="top" wrapText="1"/>
      <protection hidden="1"/>
    </xf>
    <xf numFmtId="0" fontId="43" fillId="0" borderId="6" xfId="4" applyFont="1" applyBorder="1" applyAlignment="1" applyProtection="1">
      <alignment horizontal="left" vertical="top" wrapText="1"/>
      <protection hidden="1"/>
    </xf>
    <xf numFmtId="0" fontId="43" fillId="0" borderId="8" xfId="4" applyFont="1" applyBorder="1" applyAlignment="1" applyProtection="1">
      <alignment horizontal="left" vertical="top" wrapText="1"/>
      <protection hidden="1"/>
    </xf>
    <xf numFmtId="0" fontId="43" fillId="0" borderId="5" xfId="4" applyFont="1" applyBorder="1" applyAlignment="1" applyProtection="1">
      <alignment horizontal="left" vertical="top" wrapText="1"/>
      <protection hidden="1"/>
    </xf>
    <xf numFmtId="0" fontId="19" fillId="0" borderId="7" xfId="4" quotePrefix="1" applyFont="1" applyBorder="1" applyAlignment="1" applyProtection="1">
      <alignment horizontal="left" vertical="top" wrapText="1"/>
      <protection hidden="1"/>
    </xf>
    <xf numFmtId="0" fontId="19" fillId="0" borderId="6" xfId="4" quotePrefix="1" applyFont="1" applyBorder="1" applyAlignment="1" applyProtection="1">
      <alignment horizontal="left" vertical="top" wrapText="1"/>
      <protection hidden="1"/>
    </xf>
    <xf numFmtId="0" fontId="19" fillId="0" borderId="8" xfId="4" quotePrefix="1" applyFont="1" applyBorder="1" applyAlignment="1" applyProtection="1">
      <alignment horizontal="left" vertical="top" wrapText="1"/>
      <protection hidden="1"/>
    </xf>
    <xf numFmtId="0" fontId="29" fillId="0" borderId="7" xfId="4" quotePrefix="1" applyFont="1" applyBorder="1" applyAlignment="1" applyProtection="1">
      <alignment horizontal="left" vertical="top" wrapText="1"/>
      <protection hidden="1"/>
    </xf>
    <xf numFmtId="0" fontId="46" fillId="0" borderId="7" xfId="4" applyFont="1" applyBorder="1" applyAlignment="1" applyProtection="1">
      <alignment horizontal="left" vertical="top" wrapText="1"/>
      <protection hidden="1"/>
    </xf>
    <xf numFmtId="0" fontId="46" fillId="0" borderId="6" xfId="4" applyFont="1" applyBorder="1" applyAlignment="1" applyProtection="1">
      <alignment horizontal="left" vertical="top" wrapText="1"/>
      <protection hidden="1"/>
    </xf>
    <xf numFmtId="0" fontId="46" fillId="0" borderId="8" xfId="4" applyFont="1" applyBorder="1" applyAlignment="1" applyProtection="1">
      <alignment horizontal="left" vertical="top" wrapText="1"/>
      <protection hidden="1"/>
    </xf>
    <xf numFmtId="166" fontId="29" fillId="0" borderId="7" xfId="4" applyNumberFormat="1" applyFont="1" applyBorder="1" applyAlignment="1" applyProtection="1">
      <alignment horizontal="left" vertical="top" wrapText="1"/>
      <protection hidden="1"/>
    </xf>
    <xf numFmtId="166" fontId="29" fillId="0" borderId="6" xfId="4" applyNumberFormat="1" applyFont="1" applyBorder="1" applyAlignment="1" applyProtection="1">
      <alignment horizontal="left" vertical="top" wrapText="1"/>
      <protection hidden="1"/>
    </xf>
    <xf numFmtId="166" fontId="29" fillId="0" borderId="8" xfId="4" applyNumberFormat="1" applyFont="1" applyBorder="1" applyAlignment="1" applyProtection="1">
      <alignment horizontal="left" vertical="top" wrapText="1"/>
      <protection hidden="1"/>
    </xf>
    <xf numFmtId="166" fontId="41" fillId="0" borderId="7" xfId="4" applyNumberFormat="1" applyFont="1" applyBorder="1" applyAlignment="1" applyProtection="1">
      <alignment horizontal="left" vertical="top" wrapText="1"/>
      <protection hidden="1"/>
    </xf>
    <xf numFmtId="166" fontId="29" fillId="0" borderId="7" xfId="4" quotePrefix="1" applyNumberFormat="1" applyFont="1" applyBorder="1" applyAlignment="1" applyProtection="1">
      <alignment horizontal="left" vertical="top" wrapText="1"/>
      <protection hidden="1"/>
    </xf>
    <xf numFmtId="0" fontId="29" fillId="0" borderId="5" xfId="4" applyFont="1" applyBorder="1" applyAlignment="1" applyProtection="1">
      <alignment horizontal="center" vertical="top" wrapText="1"/>
      <protection hidden="1"/>
    </xf>
    <xf numFmtId="0" fontId="18" fillId="0" borderId="7" xfId="4" applyFont="1" applyBorder="1" applyAlignment="1" applyProtection="1">
      <alignment horizontal="left" vertical="top" wrapText="1"/>
      <protection hidden="1"/>
    </xf>
    <xf numFmtId="0" fontId="18" fillId="0" borderId="6" xfId="4" applyFont="1" applyBorder="1" applyAlignment="1" applyProtection="1">
      <alignment horizontal="left" vertical="top" wrapText="1"/>
      <protection hidden="1"/>
    </xf>
    <xf numFmtId="0" fontId="18" fillId="0" borderId="8" xfId="4" applyFont="1" applyBorder="1" applyAlignment="1" applyProtection="1">
      <alignment horizontal="left" vertical="top" wrapText="1"/>
      <protection hidden="1"/>
    </xf>
    <xf numFmtId="10" fontId="29" fillId="0" borderId="7" xfId="4" applyNumberFormat="1" applyFont="1" applyBorder="1" applyAlignment="1" applyProtection="1">
      <alignment horizontal="left" vertical="top" wrapText="1"/>
      <protection hidden="1"/>
    </xf>
    <xf numFmtId="10" fontId="29" fillId="0" borderId="6" xfId="4" applyNumberFormat="1" applyFont="1" applyBorder="1" applyAlignment="1" applyProtection="1">
      <alignment horizontal="left" vertical="top" wrapText="1"/>
      <protection hidden="1"/>
    </xf>
    <xf numFmtId="10" fontId="29" fillId="0" borderId="8" xfId="4" applyNumberFormat="1" applyFont="1" applyBorder="1" applyAlignment="1" applyProtection="1">
      <alignment horizontal="left" vertical="top" wrapText="1"/>
      <protection hidden="1"/>
    </xf>
    <xf numFmtId="0" fontId="29" fillId="0" borderId="7" xfId="4" applyFont="1" applyBorder="1" applyAlignment="1" applyProtection="1">
      <alignment horizontal="left" vertical="top"/>
      <protection hidden="1"/>
    </xf>
    <xf numFmtId="0" fontId="29" fillId="0" borderId="6" xfId="4" applyFont="1" applyBorder="1" applyAlignment="1" applyProtection="1">
      <alignment horizontal="left" vertical="top"/>
      <protection hidden="1"/>
    </xf>
    <xf numFmtId="0" fontId="29" fillId="0" borderId="8" xfId="4" applyFont="1" applyBorder="1" applyAlignment="1" applyProtection="1">
      <alignment horizontal="left" vertical="top"/>
      <protection hidden="1"/>
    </xf>
    <xf numFmtId="0" fontId="29" fillId="0" borderId="6" xfId="4" applyFont="1" applyBorder="1" applyAlignment="1" applyProtection="1">
      <alignment horizontal="center" vertical="top" wrapText="1"/>
      <protection hidden="1"/>
    </xf>
    <xf numFmtId="0" fontId="29" fillId="0" borderId="7" xfId="4" applyFont="1" applyBorder="1" applyAlignment="1" applyProtection="1">
      <alignment horizontal="center" vertical="top" wrapText="1"/>
      <protection hidden="1"/>
    </xf>
    <xf numFmtId="0" fontId="29" fillId="0" borderId="8" xfId="4" applyFont="1" applyBorder="1" applyAlignment="1" applyProtection="1">
      <alignment horizontal="center" vertical="top" wrapText="1"/>
      <protection hidden="1"/>
    </xf>
    <xf numFmtId="0" fontId="29" fillId="0" borderId="7" xfId="4" applyFont="1" applyBorder="1" applyAlignment="1" applyProtection="1">
      <alignment horizontal="left" wrapText="1"/>
      <protection hidden="1"/>
    </xf>
    <xf numFmtId="0" fontId="29" fillId="0" borderId="6" xfId="4" applyFont="1" applyBorder="1" applyAlignment="1" applyProtection="1">
      <alignment horizontal="left" wrapText="1"/>
      <protection hidden="1"/>
    </xf>
    <xf numFmtId="0" fontId="29" fillId="0" borderId="8" xfId="4" applyFont="1" applyBorder="1" applyAlignment="1" applyProtection="1">
      <alignment horizontal="left" wrapText="1"/>
      <protection hidden="1"/>
    </xf>
    <xf numFmtId="0" fontId="29" fillId="0" borderId="7" xfId="4" applyFont="1" applyBorder="1" applyAlignment="1" applyProtection="1">
      <alignment horizontal="left"/>
      <protection hidden="1"/>
    </xf>
    <xf numFmtId="0" fontId="29" fillId="0" borderId="6" xfId="4" applyFont="1" applyBorder="1" applyAlignment="1" applyProtection="1">
      <alignment horizontal="left"/>
      <protection hidden="1"/>
    </xf>
    <xf numFmtId="0" fontId="29" fillId="0" borderId="8" xfId="4" applyFont="1" applyBorder="1" applyAlignment="1" applyProtection="1">
      <alignment horizontal="left"/>
      <protection hidden="1"/>
    </xf>
    <xf numFmtId="0" fontId="29" fillId="0" borderId="7" xfId="4" applyFont="1" applyBorder="1" applyAlignment="1" applyProtection="1">
      <alignment horizontal="left" vertical="center" wrapText="1"/>
      <protection hidden="1"/>
    </xf>
    <xf numFmtId="0" fontId="29" fillId="0" borderId="6" xfId="4" applyFont="1" applyBorder="1" applyAlignment="1" applyProtection="1">
      <alignment horizontal="left" vertical="center" wrapText="1"/>
      <protection hidden="1"/>
    </xf>
    <xf numFmtId="0" fontId="29" fillId="0" borderId="8" xfId="4" applyFont="1" applyBorder="1" applyAlignment="1" applyProtection="1">
      <alignment horizontal="left" vertical="center" wrapText="1"/>
      <protection hidden="1"/>
    </xf>
    <xf numFmtId="10" fontId="29" fillId="0" borderId="7" xfId="4" applyNumberFormat="1" applyFont="1" applyBorder="1" applyAlignment="1" applyProtection="1">
      <alignment horizontal="left" vertical="top"/>
      <protection hidden="1"/>
    </xf>
    <xf numFmtId="10" fontId="29" fillId="0" borderId="6" xfId="4" applyNumberFormat="1" applyFont="1" applyBorder="1" applyAlignment="1" applyProtection="1">
      <alignment horizontal="left" vertical="top"/>
      <protection hidden="1"/>
    </xf>
    <xf numFmtId="10" fontId="29" fillId="0" borderId="8" xfId="4" applyNumberFormat="1" applyFont="1" applyBorder="1" applyAlignment="1" applyProtection="1">
      <alignment horizontal="left" vertical="top"/>
      <protection hidden="1"/>
    </xf>
    <xf numFmtId="10" fontId="29" fillId="0" borderId="7" xfId="4" applyNumberFormat="1" applyFont="1" applyBorder="1" applyAlignment="1" applyProtection="1">
      <alignment vertical="top" wrapText="1"/>
      <protection hidden="1"/>
    </xf>
    <xf numFmtId="10" fontId="29" fillId="0" borderId="6" xfId="4" applyNumberFormat="1" applyFont="1" applyBorder="1" applyAlignment="1" applyProtection="1">
      <alignment vertical="top" wrapText="1"/>
      <protection hidden="1"/>
    </xf>
    <xf numFmtId="10" fontId="29" fillId="0" borderId="8" xfId="4" applyNumberFormat="1" applyFont="1" applyBorder="1" applyAlignment="1" applyProtection="1">
      <alignment vertical="top" wrapText="1"/>
      <protection hidden="1"/>
    </xf>
    <xf numFmtId="10" fontId="29" fillId="0" borderId="7" xfId="4" quotePrefix="1" applyNumberFormat="1" applyFont="1" applyBorder="1" applyAlignment="1" applyProtection="1">
      <alignment horizontal="left" vertical="top" wrapText="1"/>
      <protection hidden="1"/>
    </xf>
    <xf numFmtId="0" fontId="29" fillId="0" borderId="0" xfId="4" applyFont="1" applyAlignment="1" applyProtection="1">
      <alignment horizontal="center" vertical="top" wrapText="1"/>
      <protection hidden="1"/>
    </xf>
    <xf numFmtId="2" fontId="29" fillId="0" borderId="7" xfId="4" applyNumberFormat="1" applyFont="1" applyBorder="1" applyAlignment="1" applyProtection="1">
      <alignment horizontal="left" vertical="top"/>
      <protection hidden="1"/>
    </xf>
    <xf numFmtId="2" fontId="29" fillId="0" borderId="6" xfId="4" applyNumberFormat="1" applyFont="1" applyBorder="1" applyAlignment="1" applyProtection="1">
      <alignment horizontal="left" vertical="top"/>
      <protection hidden="1"/>
    </xf>
    <xf numFmtId="2" fontId="29" fillId="0" borderId="8" xfId="4" applyNumberFormat="1" applyFont="1" applyBorder="1" applyAlignment="1" applyProtection="1">
      <alignment horizontal="left" vertical="top"/>
      <protection hidden="1"/>
    </xf>
    <xf numFmtId="2" fontId="29" fillId="0" borderId="7" xfId="4" applyNumberFormat="1" applyFont="1" applyBorder="1" applyAlignment="1" applyProtection="1">
      <alignment horizontal="left" vertical="top" wrapText="1"/>
      <protection hidden="1"/>
    </xf>
    <xf numFmtId="2" fontId="29" fillId="0" borderId="6" xfId="4" applyNumberFormat="1" applyFont="1" applyBorder="1" applyAlignment="1" applyProtection="1">
      <alignment horizontal="left" vertical="top" wrapText="1"/>
      <protection hidden="1"/>
    </xf>
    <xf numFmtId="2" fontId="29" fillId="0" borderId="8" xfId="4" applyNumberFormat="1" applyFont="1" applyBorder="1" applyAlignment="1" applyProtection="1">
      <alignment horizontal="left" vertical="top" wrapText="1"/>
      <protection hidden="1"/>
    </xf>
    <xf numFmtId="0" fontId="28" fillId="6" borderId="2" xfId="0" applyFont="1" applyFill="1" applyBorder="1" applyAlignment="1">
      <alignment horizontal="right" vertical="top"/>
    </xf>
    <xf numFmtId="0" fontId="31" fillId="11" borderId="13" xfId="0" applyFont="1" applyFill="1" applyBorder="1" applyAlignment="1">
      <alignment horizontal="center" vertical="center"/>
    </xf>
    <xf numFmtId="0" fontId="31" fillId="11" borderId="12" xfId="0" applyFont="1" applyFill="1" applyBorder="1" applyAlignment="1">
      <alignment horizontal="center" vertical="center"/>
    </xf>
    <xf numFmtId="0" fontId="31" fillId="11" borderId="11" xfId="0" applyFont="1" applyFill="1" applyBorder="1" applyAlignment="1">
      <alignment horizontal="center" vertical="center"/>
    </xf>
    <xf numFmtId="0" fontId="12" fillId="3" borderId="3" xfId="0" applyFont="1" applyFill="1" applyBorder="1" applyAlignment="1">
      <alignment horizontal="left" vertical="top" wrapText="1"/>
    </xf>
    <xf numFmtId="0" fontId="12" fillId="3" borderId="0" xfId="0" applyFont="1" applyFill="1" applyAlignment="1">
      <alignment horizontal="left" vertical="top" wrapText="1"/>
    </xf>
    <xf numFmtId="0" fontId="12" fillId="3" borderId="15" xfId="0" applyFont="1" applyFill="1" applyBorder="1" applyAlignment="1">
      <alignment horizontal="left" vertical="top" wrapText="1"/>
    </xf>
    <xf numFmtId="0" fontId="12" fillId="3" borderId="4" xfId="0" applyFont="1" applyFill="1" applyBorder="1" applyAlignment="1">
      <alignment horizontal="left" vertical="top" wrapText="1"/>
    </xf>
    <xf numFmtId="0" fontId="12" fillId="3" borderId="5" xfId="0" applyFont="1" applyFill="1" applyBorder="1" applyAlignment="1">
      <alignment horizontal="left" vertical="top" wrapText="1"/>
    </xf>
    <xf numFmtId="0" fontId="12" fillId="3" borderId="9" xfId="0" applyFont="1" applyFill="1" applyBorder="1" applyAlignment="1">
      <alignment horizontal="left" vertical="top" wrapText="1"/>
    </xf>
    <xf numFmtId="0" fontId="28" fillId="2" borderId="2" xfId="0" applyFont="1" applyFill="1" applyBorder="1" applyAlignment="1">
      <alignment horizontal="left" vertical="top" wrapText="1"/>
    </xf>
    <xf numFmtId="0" fontId="31" fillId="5" borderId="12" xfId="0" applyFont="1" applyFill="1" applyBorder="1" applyAlignment="1">
      <alignment horizontal="center" vertical="center"/>
    </xf>
    <xf numFmtId="0" fontId="28" fillId="6" borderId="7" xfId="0" applyFont="1" applyFill="1" applyBorder="1" applyAlignment="1">
      <alignment horizontal="right" vertical="top"/>
    </xf>
    <xf numFmtId="0" fontId="28" fillId="6" borderId="8" xfId="0" applyFont="1" applyFill="1" applyBorder="1" applyAlignment="1">
      <alignment horizontal="right" vertical="top"/>
    </xf>
    <xf numFmtId="0" fontId="27" fillId="3" borderId="7" xfId="0" applyFont="1" applyFill="1" applyBorder="1" applyAlignment="1">
      <alignment horizontal="left" wrapText="1"/>
    </xf>
    <xf numFmtId="0" fontId="27" fillId="3" borderId="6" xfId="0" applyFont="1" applyFill="1" applyBorder="1" applyAlignment="1">
      <alignment horizontal="left" wrapText="1"/>
    </xf>
    <xf numFmtId="0" fontId="27" fillId="3" borderId="8" xfId="0" applyFont="1" applyFill="1" applyBorder="1" applyAlignment="1">
      <alignment horizontal="left" wrapText="1"/>
    </xf>
    <xf numFmtId="0" fontId="21" fillId="3" borderId="6" xfId="0" applyFont="1" applyFill="1" applyBorder="1" applyAlignment="1">
      <alignment horizontal="left" vertical="center"/>
    </xf>
    <xf numFmtId="0" fontId="31" fillId="5" borderId="13" xfId="0" applyFont="1" applyFill="1" applyBorder="1" applyAlignment="1">
      <alignment horizontal="center" vertical="center"/>
    </xf>
    <xf numFmtId="0" fontId="31" fillId="5" borderId="11" xfId="0" applyFont="1" applyFill="1" applyBorder="1" applyAlignment="1">
      <alignment horizontal="center" vertical="center"/>
    </xf>
  </cellXfs>
  <cellStyles count="62">
    <cellStyle name="Comma 10" xfId="1" xr:uid="{00000000-0005-0000-0000-000000000000}"/>
    <cellStyle name="Comma 2" xfId="12" xr:uid="{00000000-0005-0000-0000-000001000000}"/>
    <cellStyle name="Comma 2 2" xfId="54" xr:uid="{00000000-0005-0000-0000-000002000000}"/>
    <cellStyle name="Comma 3" xfId="34" xr:uid="{00000000-0005-0000-0000-000003000000}"/>
    <cellStyle name="Comma 3 2" xfId="48" xr:uid="{00000000-0005-0000-0000-000004000000}"/>
    <cellStyle name="Comma 4" xfId="43" xr:uid="{00000000-0005-0000-0000-000005000000}"/>
    <cellStyle name="Comma 5" xfId="32" xr:uid="{00000000-0005-0000-0000-000006000000}"/>
    <cellStyle name="Explanatory Text 2" xfId="41" xr:uid="{00000000-0005-0000-0000-000007000000}"/>
    <cellStyle name="Neutral 2" xfId="20" xr:uid="{00000000-0005-0000-0000-000008000000}"/>
    <cellStyle name="Neutral 2 2" xfId="23" xr:uid="{00000000-0005-0000-0000-000009000000}"/>
    <cellStyle name="Neutral 2 3" xfId="21" xr:uid="{00000000-0005-0000-0000-00000A000000}"/>
    <cellStyle name="Normal" xfId="0" builtinId="0"/>
    <cellStyle name="Normal 10" xfId="7" xr:uid="{00000000-0005-0000-0000-00000B000000}"/>
    <cellStyle name="Normal 10 2" xfId="19" xr:uid="{00000000-0005-0000-0000-00000C000000}"/>
    <cellStyle name="Normal 10 2 2" xfId="25" xr:uid="{00000000-0005-0000-0000-00000D000000}"/>
    <cellStyle name="Normal 10 2 2 3" xfId="57" xr:uid="{00000000-0005-0000-0000-00000E000000}"/>
    <cellStyle name="Normal 10 2 2 3 2" xfId="60" xr:uid="{00000000-0005-0000-0000-00000F000000}"/>
    <cellStyle name="Normal 13" xfId="14" xr:uid="{00000000-0005-0000-0000-000010000000}"/>
    <cellStyle name="Normal 19" xfId="6" xr:uid="{00000000-0005-0000-0000-000011000000}"/>
    <cellStyle name="Normal 19 2" xfId="9" xr:uid="{00000000-0005-0000-0000-000012000000}"/>
    <cellStyle name="Normal 19 2 2" xfId="11" xr:uid="{00000000-0005-0000-0000-000013000000}"/>
    <cellStyle name="Normal 19 2 3" xfId="28" xr:uid="{00000000-0005-0000-0000-000014000000}"/>
    <cellStyle name="Normal 19 3" xfId="31" xr:uid="{00000000-0005-0000-0000-000015000000}"/>
    <cellStyle name="Normal 2" xfId="8" xr:uid="{00000000-0005-0000-0000-000016000000}"/>
    <cellStyle name="Normal 2 2" xfId="39" xr:uid="{00000000-0005-0000-0000-000017000000}"/>
    <cellStyle name="Normal 2 2 2" xfId="13" xr:uid="{00000000-0005-0000-0000-000018000000}"/>
    <cellStyle name="Normal 2 2 2 2" xfId="51" xr:uid="{00000000-0005-0000-0000-000019000000}"/>
    <cellStyle name="Normal 2 2 5" xfId="49" xr:uid="{00000000-0005-0000-0000-00001A000000}"/>
    <cellStyle name="Normal 2 54" xfId="42" xr:uid="{00000000-0005-0000-0000-00001B000000}"/>
    <cellStyle name="Normal 2 6" xfId="24" xr:uid="{00000000-0005-0000-0000-00001C000000}"/>
    <cellStyle name="Normal 26" xfId="2" xr:uid="{00000000-0005-0000-0000-00001D000000}"/>
    <cellStyle name="Normal 28" xfId="3" xr:uid="{00000000-0005-0000-0000-00001E000000}"/>
    <cellStyle name="Normal 3" xfId="10" xr:uid="{00000000-0005-0000-0000-00001F000000}"/>
    <cellStyle name="Normal 3 2" xfId="37" xr:uid="{00000000-0005-0000-0000-000020000000}"/>
    <cellStyle name="Normal 3 2 3" xfId="58" xr:uid="{00000000-0005-0000-0000-000021000000}"/>
    <cellStyle name="Normal 3 24" xfId="38" xr:uid="{00000000-0005-0000-0000-000022000000}"/>
    <cellStyle name="Normal 3 3" xfId="44" xr:uid="{00000000-0005-0000-0000-000023000000}"/>
    <cellStyle name="Normal 31" xfId="18" xr:uid="{00000000-0005-0000-0000-000024000000}"/>
    <cellStyle name="Normal 39" xfId="59" xr:uid="{00000000-0005-0000-0000-000025000000}"/>
    <cellStyle name="Normal 4" xfId="27" xr:uid="{00000000-0005-0000-0000-000026000000}"/>
    <cellStyle name="Normal 4 10" xfId="26" xr:uid="{00000000-0005-0000-0000-000027000000}"/>
    <cellStyle name="Normal 4 2" xfId="53" xr:uid="{00000000-0005-0000-0000-000028000000}"/>
    <cellStyle name="Normal 4 5" xfId="22" xr:uid="{00000000-0005-0000-0000-000029000000}"/>
    <cellStyle name="Normal 5" xfId="29" xr:uid="{00000000-0005-0000-0000-00002A000000}"/>
    <cellStyle name="Normal 5 2" xfId="30" xr:uid="{00000000-0005-0000-0000-00002B000000}"/>
    <cellStyle name="Normal 5 2 2" xfId="52" xr:uid="{00000000-0005-0000-0000-00002C000000}"/>
    <cellStyle name="Normal 5 21" xfId="36" xr:uid="{00000000-0005-0000-0000-00002D000000}"/>
    <cellStyle name="Normal 5 3" xfId="35" xr:uid="{00000000-0005-0000-0000-00002E000000}"/>
    <cellStyle name="Normal 5 4" xfId="55" xr:uid="{00000000-0005-0000-0000-00002F000000}"/>
    <cellStyle name="Normal 6" xfId="15" xr:uid="{00000000-0005-0000-0000-000030000000}"/>
    <cellStyle name="Normal 6 2" xfId="61" xr:uid="{00000000-0005-0000-0000-000031000000}"/>
    <cellStyle name="Normal 7" xfId="5" xr:uid="{00000000-0005-0000-0000-000032000000}"/>
    <cellStyle name="Normal1" xfId="50" xr:uid="{00000000-0005-0000-0000-000033000000}"/>
    <cellStyle name="Normalno 2" xfId="40" xr:uid="{00000000-0005-0000-0000-000035000000}"/>
    <cellStyle name="Normalno 2 2" xfId="47" xr:uid="{00000000-0005-0000-0000-000036000000}"/>
    <cellStyle name="Normalno 3" xfId="56" xr:uid="{00000000-0005-0000-0000-000037000000}"/>
    <cellStyle name="Normalno 4" xfId="4" xr:uid="{00000000-0005-0000-0000-000038000000}"/>
    <cellStyle name="Normalno 5" xfId="45" xr:uid="{00000000-0005-0000-0000-000039000000}"/>
    <cellStyle name="Note 2" xfId="33" xr:uid="{00000000-0005-0000-0000-00003A000000}"/>
    <cellStyle name="Obično 2" xfId="16" xr:uid="{00000000-0005-0000-0000-00003B000000}"/>
    <cellStyle name="Obično_FEKALNA" xfId="17" xr:uid="{00000000-0005-0000-0000-00003C000000}"/>
    <cellStyle name="Zarez 2" xfId="46" xr:uid="{00000000-0005-0000-0000-00003D000000}"/>
  </cellStyles>
  <dxfs count="109">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view="pageBreakPreview" topLeftCell="A33" zoomScaleNormal="100" zoomScaleSheetLayoutView="100" workbookViewId="0">
      <selection activeCell="B49" sqref="B49"/>
    </sheetView>
  </sheetViews>
  <sheetFormatPr defaultRowHeight="15" x14ac:dyDescent="0.25"/>
  <cols>
    <col min="1" max="1" width="12.7109375" customWidth="1"/>
    <col min="2" max="2" width="50.7109375" customWidth="1"/>
    <col min="3" max="5" width="10.7109375" customWidth="1"/>
    <col min="6" max="8" width="12.7109375" customWidth="1"/>
    <col min="10" max="10" width="9.140625" customWidth="1"/>
    <col min="11" max="11" width="56.5703125" customWidth="1"/>
  </cols>
  <sheetData>
    <row r="1" spans="1:9" x14ac:dyDescent="0.25">
      <c r="A1" s="4"/>
      <c r="B1" s="4"/>
      <c r="C1" s="4"/>
      <c r="D1" s="4"/>
      <c r="E1" s="4"/>
      <c r="F1" s="4"/>
      <c r="G1" s="4"/>
      <c r="H1" s="4"/>
      <c r="I1" s="4"/>
    </row>
    <row r="2" spans="1:9" ht="20.25" x14ac:dyDescent="0.3">
      <c r="A2" s="369" t="s">
        <v>13</v>
      </c>
      <c r="B2" s="369"/>
      <c r="C2" s="369"/>
      <c r="D2" s="369"/>
      <c r="E2" s="369"/>
      <c r="F2" s="369"/>
      <c r="G2" s="369"/>
      <c r="H2" s="369"/>
      <c r="I2" s="10"/>
    </row>
    <row r="3" spans="1:9" x14ac:dyDescent="0.25">
      <c r="A3" s="4"/>
      <c r="B3" s="4"/>
      <c r="C3" s="4"/>
      <c r="D3" s="4"/>
      <c r="E3" s="4"/>
      <c r="F3" s="4"/>
      <c r="G3" s="4"/>
      <c r="H3" s="4"/>
      <c r="I3" s="4"/>
    </row>
    <row r="4" spans="1:9" x14ac:dyDescent="0.25">
      <c r="A4" s="4"/>
      <c r="B4" s="370" t="s">
        <v>14</v>
      </c>
      <c r="C4" s="370"/>
      <c r="D4" s="370"/>
      <c r="E4" s="370"/>
      <c r="F4" s="370"/>
      <c r="G4" s="370"/>
      <c r="H4" s="4"/>
      <c r="I4" s="4"/>
    </row>
    <row r="5" spans="1:9" x14ac:dyDescent="0.25">
      <c r="A5" s="4"/>
      <c r="B5" s="4"/>
      <c r="C5" s="4"/>
      <c r="D5" s="4"/>
      <c r="E5" s="4"/>
      <c r="F5" s="4"/>
      <c r="G5" s="4"/>
      <c r="H5" s="4"/>
      <c r="I5" s="4"/>
    </row>
    <row r="6" spans="1:9" x14ac:dyDescent="0.25">
      <c r="A6" s="4"/>
      <c r="B6" s="4"/>
      <c r="C6" s="4"/>
      <c r="D6" s="4"/>
      <c r="E6" s="4"/>
      <c r="F6" s="4"/>
      <c r="G6" s="4"/>
      <c r="H6" s="4"/>
      <c r="I6" s="4"/>
    </row>
    <row r="7" spans="1:9" x14ac:dyDescent="0.25">
      <c r="A7" s="4"/>
      <c r="B7" s="4"/>
      <c r="C7" s="4"/>
      <c r="D7" s="4"/>
      <c r="E7" s="4"/>
      <c r="F7" s="4"/>
      <c r="G7" s="4"/>
      <c r="H7" s="4"/>
      <c r="I7" s="4"/>
    </row>
    <row r="8" spans="1:9" x14ac:dyDescent="0.25">
      <c r="A8" s="4"/>
      <c r="B8" s="4"/>
      <c r="C8" s="4"/>
      <c r="D8" s="4"/>
      <c r="E8" s="4"/>
      <c r="F8" s="4"/>
      <c r="G8" s="4"/>
      <c r="H8" s="4"/>
      <c r="I8" s="4"/>
    </row>
    <row r="9" spans="1:9" x14ac:dyDescent="0.25">
      <c r="A9" s="4"/>
      <c r="B9" s="4"/>
      <c r="C9" s="4"/>
      <c r="D9" s="4"/>
      <c r="E9" s="4"/>
      <c r="F9" s="4"/>
      <c r="G9" s="4"/>
      <c r="H9" s="4"/>
      <c r="I9" s="4"/>
    </row>
    <row r="10" spans="1:9" x14ac:dyDescent="0.25">
      <c r="A10" s="4"/>
      <c r="B10" s="4"/>
      <c r="C10" s="4"/>
      <c r="D10" s="4"/>
      <c r="E10" s="4"/>
      <c r="F10" s="4"/>
      <c r="G10" s="4"/>
      <c r="H10" s="4"/>
      <c r="I10" s="4"/>
    </row>
    <row r="11" spans="1:9" x14ac:dyDescent="0.25">
      <c r="A11" s="4"/>
      <c r="B11" s="4"/>
      <c r="C11" s="4"/>
      <c r="D11" s="4"/>
      <c r="E11" s="4"/>
      <c r="F11" s="4"/>
      <c r="G11" s="4"/>
      <c r="H11" s="4"/>
      <c r="I11" s="4"/>
    </row>
    <row r="12" spans="1:9" x14ac:dyDescent="0.25">
      <c r="A12" s="4"/>
      <c r="B12" s="4"/>
      <c r="C12" s="4"/>
      <c r="D12" s="4"/>
      <c r="E12" s="4"/>
      <c r="F12" s="4"/>
      <c r="G12" s="4"/>
      <c r="H12" s="4"/>
      <c r="I12" s="4"/>
    </row>
    <row r="13" spans="1:9" x14ac:dyDescent="0.25">
      <c r="A13" s="4"/>
      <c r="B13" s="4"/>
      <c r="C13" s="4"/>
      <c r="D13" s="4"/>
      <c r="E13" s="4"/>
      <c r="F13" s="4"/>
      <c r="G13" s="4"/>
      <c r="H13" s="4"/>
      <c r="I13" s="4"/>
    </row>
    <row r="14" spans="1:9" x14ac:dyDescent="0.25">
      <c r="A14" s="4"/>
      <c r="B14" s="4"/>
      <c r="C14" s="4"/>
      <c r="D14" s="4"/>
      <c r="E14" s="4"/>
      <c r="F14" s="4"/>
      <c r="G14" s="4"/>
      <c r="H14" s="4"/>
      <c r="I14" s="4"/>
    </row>
    <row r="15" spans="1:9" x14ac:dyDescent="0.25">
      <c r="A15" s="4"/>
      <c r="B15" s="4"/>
      <c r="C15" s="4"/>
      <c r="D15" s="4"/>
      <c r="E15" s="4"/>
      <c r="F15" s="4"/>
      <c r="G15" s="4"/>
      <c r="H15" s="4"/>
      <c r="I15" s="4"/>
    </row>
    <row r="16" spans="1:9" x14ac:dyDescent="0.25">
      <c r="A16" s="4"/>
      <c r="B16" s="4"/>
      <c r="C16" s="4"/>
      <c r="D16" s="4"/>
      <c r="E16" s="4"/>
      <c r="F16" s="4"/>
      <c r="G16" s="4"/>
      <c r="H16" s="4"/>
      <c r="I16" s="4"/>
    </row>
    <row r="17" spans="1:9" x14ac:dyDescent="0.25">
      <c r="A17" s="4"/>
      <c r="B17" s="4"/>
      <c r="C17" s="4"/>
      <c r="D17" s="4"/>
      <c r="E17" s="4"/>
      <c r="F17" s="4"/>
      <c r="G17" s="4"/>
      <c r="H17" s="4"/>
      <c r="I17" s="4"/>
    </row>
    <row r="18" spans="1:9" x14ac:dyDescent="0.25">
      <c r="A18" s="4"/>
      <c r="B18" s="4"/>
      <c r="C18" s="4"/>
      <c r="D18" s="4"/>
      <c r="E18" s="4"/>
      <c r="F18" s="4"/>
      <c r="G18" s="4"/>
      <c r="H18" s="4"/>
      <c r="I18" s="4"/>
    </row>
    <row r="19" spans="1:9" x14ac:dyDescent="0.25">
      <c r="A19" s="4"/>
      <c r="B19" s="4"/>
      <c r="C19" s="4"/>
      <c r="D19" s="4"/>
      <c r="E19" s="4"/>
      <c r="F19" s="4"/>
      <c r="G19" s="4"/>
      <c r="H19" s="4"/>
      <c r="I19" s="4"/>
    </row>
    <row r="20" spans="1:9" x14ac:dyDescent="0.25">
      <c r="A20" s="4"/>
      <c r="B20" s="4"/>
      <c r="C20" s="4"/>
      <c r="D20" s="4"/>
      <c r="E20" s="4"/>
      <c r="F20" s="4"/>
      <c r="G20" s="4"/>
      <c r="H20" s="4"/>
      <c r="I20" s="4"/>
    </row>
    <row r="21" spans="1:9" x14ac:dyDescent="0.25">
      <c r="A21" s="4"/>
      <c r="B21" s="4"/>
      <c r="C21" s="4"/>
      <c r="D21" s="4"/>
      <c r="E21" s="4"/>
      <c r="F21" s="4"/>
      <c r="G21" s="4"/>
      <c r="H21" s="4"/>
      <c r="I21" s="4"/>
    </row>
    <row r="22" spans="1:9" x14ac:dyDescent="0.25">
      <c r="A22" s="4"/>
      <c r="B22" s="4"/>
      <c r="C22" s="4"/>
      <c r="D22" s="4"/>
      <c r="E22" s="4"/>
      <c r="F22" s="4"/>
      <c r="G22" s="4"/>
      <c r="H22" s="4"/>
      <c r="I22" s="4"/>
    </row>
    <row r="23" spans="1:9" x14ac:dyDescent="0.25">
      <c r="A23" s="4"/>
      <c r="B23" s="4"/>
      <c r="C23" s="4"/>
      <c r="D23" s="4"/>
      <c r="E23" s="4"/>
      <c r="F23" s="4"/>
      <c r="G23" s="4"/>
      <c r="H23" s="4"/>
      <c r="I23" s="4"/>
    </row>
    <row r="24" spans="1:9" x14ac:dyDescent="0.25">
      <c r="A24" s="4"/>
      <c r="B24" s="4"/>
      <c r="C24" s="4"/>
      <c r="D24" s="4"/>
      <c r="E24" s="4"/>
      <c r="F24" s="4"/>
      <c r="G24" s="4"/>
      <c r="H24" s="4"/>
      <c r="I24" s="4"/>
    </row>
    <row r="25" spans="1:9" x14ac:dyDescent="0.25">
      <c r="A25" s="4"/>
      <c r="B25" s="4"/>
      <c r="C25" s="4"/>
      <c r="D25" s="4"/>
      <c r="E25" s="4"/>
      <c r="F25" s="4"/>
      <c r="G25" s="4"/>
      <c r="H25" s="4"/>
      <c r="I25" s="4"/>
    </row>
    <row r="26" spans="1:9" x14ac:dyDescent="0.25">
      <c r="A26" s="4"/>
      <c r="B26" s="4"/>
      <c r="C26" s="4"/>
      <c r="D26" s="4"/>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row r="29" spans="1:9" x14ac:dyDescent="0.25">
      <c r="A29" s="4"/>
      <c r="B29" s="4"/>
      <c r="C29" s="4"/>
      <c r="D29" s="4"/>
      <c r="E29" s="4"/>
      <c r="F29" s="4"/>
      <c r="G29" s="4"/>
      <c r="H29" s="4"/>
      <c r="I29" s="4"/>
    </row>
    <row r="30" spans="1:9" x14ac:dyDescent="0.25">
      <c r="A30" s="12"/>
      <c r="B30" s="13"/>
      <c r="C30" s="12"/>
      <c r="D30" s="371" t="s">
        <v>15</v>
      </c>
      <c r="E30" s="371"/>
      <c r="F30" s="12"/>
      <c r="G30" s="12"/>
      <c r="H30" s="12"/>
      <c r="I30" s="12"/>
    </row>
    <row r="31" spans="1:9" x14ac:dyDescent="0.25">
      <c r="A31" s="12"/>
      <c r="B31" s="13"/>
      <c r="C31" s="12"/>
      <c r="D31" s="12"/>
      <c r="E31" s="372"/>
      <c r="F31" s="372"/>
      <c r="G31" s="372"/>
      <c r="H31" s="372"/>
      <c r="I31" s="12"/>
    </row>
    <row r="32" spans="1:9" x14ac:dyDescent="0.25">
      <c r="A32" s="12"/>
      <c r="B32" s="13"/>
      <c r="C32" s="12"/>
      <c r="D32" s="364" t="s">
        <v>16</v>
      </c>
      <c r="E32" s="364"/>
      <c r="F32" s="368" t="s">
        <v>1000</v>
      </c>
      <c r="G32" s="368"/>
      <c r="H32" s="17"/>
      <c r="I32" s="12"/>
    </row>
    <row r="33" spans="1:9" ht="54.75" customHeight="1" x14ac:dyDescent="0.25">
      <c r="A33" s="12"/>
      <c r="B33" s="13"/>
      <c r="C33" s="12"/>
      <c r="D33" s="364" t="s">
        <v>17</v>
      </c>
      <c r="E33" s="364"/>
      <c r="F33" s="367" t="s">
        <v>1001</v>
      </c>
      <c r="G33" s="367"/>
      <c r="H33" s="17"/>
      <c r="I33" s="12"/>
    </row>
    <row r="34" spans="1:9" ht="28.5" customHeight="1" x14ac:dyDescent="0.25">
      <c r="A34" s="4"/>
      <c r="B34" s="8"/>
      <c r="C34" s="5"/>
      <c r="D34" s="364" t="s">
        <v>18</v>
      </c>
      <c r="E34" s="364"/>
      <c r="F34" s="367" t="s">
        <v>19</v>
      </c>
      <c r="G34" s="367"/>
      <c r="H34" s="17"/>
      <c r="I34" s="12"/>
    </row>
    <row r="35" spans="1:9" ht="15" customHeight="1" x14ac:dyDescent="0.25">
      <c r="A35" s="4"/>
      <c r="B35" s="4"/>
      <c r="C35" s="4"/>
      <c r="D35" s="364" t="s">
        <v>20</v>
      </c>
      <c r="E35" s="364"/>
      <c r="F35" s="367" t="s">
        <v>21</v>
      </c>
      <c r="G35" s="367"/>
      <c r="H35" s="17"/>
      <c r="I35" s="14"/>
    </row>
    <row r="36" spans="1:9" ht="15" customHeight="1" x14ac:dyDescent="0.25">
      <c r="A36" s="4"/>
      <c r="B36" s="4"/>
      <c r="C36" s="4"/>
      <c r="D36" s="15"/>
      <c r="E36" s="15"/>
      <c r="F36" s="367" t="s">
        <v>22</v>
      </c>
      <c r="G36" s="367"/>
      <c r="H36" s="17"/>
      <c r="I36" s="14"/>
    </row>
    <row r="37" spans="1:9" ht="15" customHeight="1" x14ac:dyDescent="0.25">
      <c r="A37" s="4"/>
      <c r="B37" s="4"/>
      <c r="C37" s="4"/>
      <c r="D37" s="15"/>
      <c r="E37" s="15"/>
      <c r="F37" s="367" t="s">
        <v>23</v>
      </c>
      <c r="G37" s="367"/>
      <c r="H37" s="17"/>
      <c r="I37" s="14"/>
    </row>
    <row r="38" spans="1:9" ht="15" customHeight="1" x14ac:dyDescent="0.25">
      <c r="A38" s="4"/>
      <c r="B38" s="4"/>
      <c r="C38" s="4"/>
      <c r="D38" s="15"/>
      <c r="E38" s="15"/>
      <c r="F38" s="367" t="s">
        <v>24</v>
      </c>
      <c r="G38" s="367"/>
      <c r="H38" s="17"/>
      <c r="I38" s="14"/>
    </row>
    <row r="39" spans="1:9" ht="15" customHeight="1" x14ac:dyDescent="0.25">
      <c r="A39" s="4"/>
      <c r="B39" s="4"/>
      <c r="C39" s="4"/>
      <c r="D39" s="15"/>
      <c r="E39" s="15"/>
      <c r="F39" s="18"/>
      <c r="G39" s="18"/>
      <c r="H39" s="17"/>
      <c r="I39" s="14"/>
    </row>
    <row r="40" spans="1:9" x14ac:dyDescent="0.25">
      <c r="A40" s="4"/>
      <c r="B40" s="4"/>
      <c r="C40" s="4"/>
      <c r="D40" s="19"/>
      <c r="E40" s="15"/>
      <c r="F40" s="6"/>
      <c r="G40" s="6"/>
      <c r="H40" s="20"/>
      <c r="I40" s="14"/>
    </row>
    <row r="41" spans="1:9" x14ac:dyDescent="0.25">
      <c r="A41" s="4"/>
      <c r="B41" s="4"/>
      <c r="C41" s="4"/>
      <c r="D41" s="364" t="s">
        <v>25</v>
      </c>
      <c r="E41" s="364"/>
      <c r="F41" s="365" t="s">
        <v>26</v>
      </c>
      <c r="G41" s="365"/>
      <c r="H41" s="17"/>
      <c r="I41" s="14"/>
    </row>
    <row r="42" spans="1:9" x14ac:dyDescent="0.25">
      <c r="A42" s="4"/>
      <c r="B42" s="4"/>
      <c r="C42" s="4"/>
      <c r="D42" s="15"/>
      <c r="E42" s="15"/>
      <c r="F42" s="365" t="s">
        <v>27</v>
      </c>
      <c r="G42" s="365"/>
      <c r="H42" s="17"/>
      <c r="I42" s="14"/>
    </row>
    <row r="43" spans="1:9" x14ac:dyDescent="0.25">
      <c r="A43" s="4"/>
      <c r="B43" s="4"/>
      <c r="C43" s="4"/>
      <c r="D43" s="15"/>
      <c r="E43" s="15"/>
      <c r="F43" s="365" t="s">
        <v>23</v>
      </c>
      <c r="G43" s="365"/>
      <c r="H43" s="17"/>
      <c r="I43" s="14"/>
    </row>
    <row r="44" spans="1:9" x14ac:dyDescent="0.25">
      <c r="A44" s="4"/>
      <c r="B44" s="4"/>
      <c r="C44" s="4"/>
      <c r="D44" s="15"/>
      <c r="E44" s="15"/>
      <c r="F44" s="365" t="s">
        <v>24</v>
      </c>
      <c r="G44" s="365"/>
      <c r="H44" s="17"/>
      <c r="I44" s="14"/>
    </row>
    <row r="45" spans="1:9" x14ac:dyDescent="0.25">
      <c r="A45" s="4"/>
      <c r="B45" s="4"/>
      <c r="C45" s="4"/>
      <c r="D45" s="15"/>
      <c r="E45" s="15"/>
      <c r="F45" s="16"/>
      <c r="G45" s="16"/>
      <c r="H45" s="17"/>
      <c r="I45" s="14"/>
    </row>
    <row r="46" spans="1:9" x14ac:dyDescent="0.25">
      <c r="A46" s="4"/>
      <c r="B46" s="4"/>
      <c r="C46" s="4"/>
      <c r="D46" s="364" t="s">
        <v>28</v>
      </c>
      <c r="E46" s="364"/>
      <c r="F46" s="366">
        <v>45813</v>
      </c>
      <c r="G46" s="365"/>
      <c r="H46" s="17"/>
      <c r="I46" s="12"/>
    </row>
    <row r="47" spans="1:9" x14ac:dyDescent="0.25">
      <c r="A47" s="4"/>
      <c r="B47" s="4"/>
      <c r="C47" s="4"/>
      <c r="D47" s="364" t="s">
        <v>29</v>
      </c>
      <c r="E47" s="364"/>
      <c r="F47" s="367" t="s">
        <v>30</v>
      </c>
      <c r="G47" s="365"/>
      <c r="H47" s="17"/>
      <c r="I47" s="12"/>
    </row>
    <row r="48" spans="1:9" x14ac:dyDescent="0.25">
      <c r="A48" s="4"/>
      <c r="B48" s="4"/>
      <c r="C48" s="4"/>
      <c r="D48" s="16"/>
      <c r="E48" s="16"/>
      <c r="F48" s="16"/>
      <c r="G48" s="16"/>
      <c r="H48" s="17"/>
      <c r="I48" s="12"/>
    </row>
    <row r="49" spans="1:9" x14ac:dyDescent="0.25">
      <c r="A49" s="4"/>
      <c r="B49" s="4"/>
      <c r="C49" s="4"/>
      <c r="D49" s="364" t="s">
        <v>31</v>
      </c>
      <c r="E49" s="364"/>
      <c r="F49" s="11"/>
      <c r="G49" s="65">
        <v>0</v>
      </c>
      <c r="H49" s="17"/>
      <c r="I49" s="12"/>
    </row>
    <row r="50" spans="1:9" x14ac:dyDescent="0.25">
      <c r="A50" s="4"/>
      <c r="B50" s="4"/>
      <c r="C50" s="4"/>
      <c r="D50" s="364" t="s">
        <v>32</v>
      </c>
      <c r="E50" s="364"/>
      <c r="F50" s="16"/>
      <c r="G50" s="65" t="s">
        <v>1006</v>
      </c>
      <c r="H50" s="17"/>
      <c r="I50" s="12"/>
    </row>
    <row r="51" spans="1:9" x14ac:dyDescent="0.25">
      <c r="A51" s="4"/>
      <c r="B51" s="4"/>
      <c r="C51" s="4"/>
      <c r="D51" s="21"/>
      <c r="E51" s="21"/>
      <c r="F51" s="21"/>
      <c r="G51" s="21"/>
      <c r="H51" s="4"/>
      <c r="I51" s="4"/>
    </row>
    <row r="52" spans="1:9" x14ac:dyDescent="0.25">
      <c r="A52" s="4"/>
      <c r="B52" s="4"/>
      <c r="C52" s="4"/>
      <c r="D52" s="4"/>
      <c r="E52" s="4"/>
      <c r="F52" s="4"/>
      <c r="G52" s="4"/>
      <c r="H52" s="4"/>
      <c r="I52" s="4"/>
    </row>
    <row r="53" spans="1:9" x14ac:dyDescent="0.25">
      <c r="A53" s="4"/>
      <c r="B53" s="4"/>
      <c r="C53" s="4"/>
      <c r="D53" s="4"/>
      <c r="E53" s="4"/>
      <c r="F53" s="4"/>
      <c r="G53" s="4"/>
      <c r="H53" s="4"/>
      <c r="I53" s="4"/>
    </row>
    <row r="54" spans="1:9" x14ac:dyDescent="0.25">
      <c r="A54" s="4"/>
      <c r="B54" s="4"/>
      <c r="C54" s="4"/>
      <c r="D54" s="4"/>
      <c r="E54" s="4"/>
      <c r="F54" s="4"/>
      <c r="G54" s="4"/>
      <c r="H54" s="4"/>
      <c r="I54" s="4"/>
    </row>
    <row r="55" spans="1:9" x14ac:dyDescent="0.25">
      <c r="A55" s="4"/>
      <c r="B55" s="4"/>
      <c r="C55" s="4"/>
      <c r="D55" s="4"/>
      <c r="E55" s="4"/>
      <c r="F55" s="4"/>
      <c r="G55" s="4"/>
      <c r="H55" s="4"/>
      <c r="I55" s="4"/>
    </row>
    <row r="56" spans="1:9" x14ac:dyDescent="0.25">
      <c r="A56" s="4"/>
      <c r="B56" s="4"/>
      <c r="C56" s="4"/>
      <c r="D56" s="4"/>
      <c r="E56" s="4"/>
      <c r="F56" s="4"/>
      <c r="G56" s="4"/>
      <c r="H56" s="4"/>
      <c r="I56" s="4"/>
    </row>
    <row r="57" spans="1:9" x14ac:dyDescent="0.25">
      <c r="A57" s="4"/>
      <c r="B57" s="4"/>
      <c r="C57" s="4"/>
      <c r="D57" s="4"/>
      <c r="E57" s="4"/>
      <c r="F57" s="4"/>
      <c r="G57" s="4"/>
      <c r="H57" s="4"/>
      <c r="I57" s="4"/>
    </row>
    <row r="58" spans="1:9" x14ac:dyDescent="0.25">
      <c r="A58" s="4"/>
      <c r="B58" s="4"/>
      <c r="C58" s="4"/>
      <c r="D58" s="4"/>
      <c r="E58" s="4"/>
      <c r="F58" s="4"/>
      <c r="G58" s="4"/>
      <c r="H58" s="4"/>
      <c r="I58" s="4"/>
    </row>
    <row r="59" spans="1:9" x14ac:dyDescent="0.25">
      <c r="A59" s="4"/>
      <c r="B59" s="4"/>
      <c r="C59" s="4"/>
      <c r="D59" s="4"/>
      <c r="E59" s="4"/>
      <c r="F59" s="4"/>
      <c r="G59" s="4"/>
      <c r="H59" s="4"/>
      <c r="I59" s="4"/>
    </row>
    <row r="60" spans="1:9" x14ac:dyDescent="0.25">
      <c r="A60" s="4"/>
      <c r="B60" s="4"/>
      <c r="C60" s="4"/>
      <c r="D60" s="4"/>
      <c r="E60" s="4"/>
      <c r="F60" s="4"/>
      <c r="G60" s="4"/>
      <c r="H60" s="4"/>
      <c r="I60" s="4"/>
    </row>
    <row r="61" spans="1:9" x14ac:dyDescent="0.25">
      <c r="A61" s="4"/>
      <c r="B61" s="4"/>
      <c r="C61" s="4"/>
      <c r="D61" s="4"/>
      <c r="E61" s="4"/>
      <c r="F61" s="4"/>
      <c r="G61" s="4"/>
      <c r="H61" s="4"/>
      <c r="I61" s="4"/>
    </row>
    <row r="62" spans="1:9" x14ac:dyDescent="0.25">
      <c r="A62" s="4"/>
      <c r="B62" s="4"/>
      <c r="C62" s="4"/>
      <c r="D62" s="4"/>
      <c r="E62" s="4"/>
      <c r="F62" s="4"/>
      <c r="G62" s="4"/>
      <c r="H62" s="4"/>
      <c r="I62" s="4"/>
    </row>
    <row r="63" spans="1:9" x14ac:dyDescent="0.25">
      <c r="A63" s="4"/>
      <c r="B63" s="4"/>
      <c r="C63" s="4"/>
      <c r="D63" s="4"/>
      <c r="E63" s="4"/>
      <c r="F63" s="4"/>
      <c r="G63" s="4"/>
      <c r="H63" s="4"/>
      <c r="I63" s="4"/>
    </row>
    <row r="64" spans="1:9" x14ac:dyDescent="0.25">
      <c r="A64" s="4"/>
      <c r="B64" s="4"/>
      <c r="C64" s="4"/>
      <c r="D64" s="4"/>
      <c r="E64" s="4"/>
      <c r="F64" s="4"/>
      <c r="G64" s="4"/>
      <c r="H64" s="4"/>
      <c r="I64" s="4"/>
    </row>
    <row r="65" spans="1:9" x14ac:dyDescent="0.25">
      <c r="A65" s="4"/>
      <c r="B65" s="4"/>
      <c r="C65" s="4"/>
      <c r="D65" s="4"/>
      <c r="E65" s="4"/>
      <c r="F65" s="4"/>
      <c r="G65" s="4"/>
      <c r="H65" s="4"/>
      <c r="I65" s="4"/>
    </row>
    <row r="66" spans="1:9" x14ac:dyDescent="0.25">
      <c r="A66" s="4"/>
      <c r="B66" s="4"/>
      <c r="C66" s="4"/>
      <c r="D66" s="4"/>
      <c r="E66" s="4"/>
      <c r="F66" s="4"/>
      <c r="G66" s="4"/>
      <c r="H66" s="4"/>
      <c r="I66" s="4"/>
    </row>
    <row r="67" spans="1:9" x14ac:dyDescent="0.25">
      <c r="A67" s="4"/>
      <c r="B67" s="4"/>
      <c r="C67" s="4"/>
      <c r="D67" s="4"/>
      <c r="E67" s="4"/>
      <c r="F67" s="4"/>
      <c r="G67" s="4"/>
      <c r="H67" s="4"/>
      <c r="I67" s="4"/>
    </row>
    <row r="68" spans="1:9" x14ac:dyDescent="0.25">
      <c r="A68" s="4"/>
      <c r="B68" s="4"/>
      <c r="C68" s="4"/>
      <c r="D68" s="4"/>
      <c r="E68" s="4"/>
      <c r="F68" s="4"/>
      <c r="G68" s="4"/>
      <c r="H68" s="4"/>
      <c r="I68" s="4"/>
    </row>
    <row r="69" spans="1:9" x14ac:dyDescent="0.25">
      <c r="A69" s="4"/>
      <c r="B69" s="4"/>
      <c r="C69" s="4"/>
      <c r="D69" s="4"/>
      <c r="E69" s="4"/>
      <c r="F69" s="4"/>
      <c r="G69" s="4"/>
      <c r="H69" s="4"/>
      <c r="I69" s="4"/>
    </row>
    <row r="70" spans="1:9" x14ac:dyDescent="0.25">
      <c r="A70" s="4"/>
      <c r="B70" s="4"/>
      <c r="C70" s="4"/>
      <c r="D70" s="4"/>
      <c r="E70" s="4"/>
      <c r="F70" s="4"/>
      <c r="G70" s="4"/>
      <c r="H70" s="4"/>
      <c r="I70" s="4"/>
    </row>
    <row r="71" spans="1:9" x14ac:dyDescent="0.25">
      <c r="A71" s="4"/>
      <c r="B71" s="4"/>
      <c r="C71" s="4"/>
      <c r="D71" s="4"/>
      <c r="E71" s="4"/>
      <c r="F71" s="4"/>
      <c r="G71" s="4"/>
      <c r="H71" s="4"/>
      <c r="I71" s="4"/>
    </row>
    <row r="72" spans="1:9" x14ac:dyDescent="0.25">
      <c r="A72" s="4"/>
      <c r="B72" s="4"/>
      <c r="C72" s="4"/>
      <c r="D72" s="4"/>
      <c r="E72" s="4"/>
      <c r="F72" s="4"/>
      <c r="G72" s="4"/>
      <c r="H72" s="4"/>
      <c r="I72" s="4"/>
    </row>
    <row r="73" spans="1:9" x14ac:dyDescent="0.25">
      <c r="A73" s="4"/>
      <c r="B73" s="4"/>
      <c r="C73" s="4"/>
      <c r="D73" s="4"/>
      <c r="E73" s="4"/>
      <c r="F73" s="4"/>
      <c r="G73" s="4"/>
      <c r="H73" s="4"/>
      <c r="I73" s="4"/>
    </row>
    <row r="74" spans="1:9" x14ac:dyDescent="0.25">
      <c r="A74" s="4"/>
      <c r="B74" s="4"/>
      <c r="C74" s="4"/>
      <c r="D74" s="4"/>
      <c r="E74" s="4"/>
      <c r="F74" s="4"/>
      <c r="G74" s="4"/>
      <c r="H74" s="4"/>
      <c r="I74" s="4"/>
    </row>
    <row r="75" spans="1:9" x14ac:dyDescent="0.25">
      <c r="A75" s="4"/>
      <c r="B75" s="4"/>
      <c r="C75" s="4"/>
      <c r="D75" s="4"/>
      <c r="E75" s="4"/>
      <c r="F75" s="4"/>
      <c r="G75" s="4"/>
      <c r="H75" s="4"/>
      <c r="I75" s="4"/>
    </row>
    <row r="76" spans="1:9" x14ac:dyDescent="0.25">
      <c r="A76" s="4"/>
      <c r="B76" s="4"/>
      <c r="C76" s="4"/>
      <c r="D76" s="4"/>
      <c r="E76" s="4"/>
      <c r="F76" s="4"/>
      <c r="G76" s="4"/>
      <c r="H76" s="4"/>
      <c r="I76" s="4"/>
    </row>
    <row r="77" spans="1:9" x14ac:dyDescent="0.25">
      <c r="A77" s="4"/>
      <c r="B77" s="4"/>
      <c r="C77" s="4"/>
      <c r="D77" s="4"/>
      <c r="E77" s="4"/>
      <c r="F77" s="4"/>
      <c r="G77" s="4"/>
      <c r="H77" s="4"/>
      <c r="I77" s="4"/>
    </row>
    <row r="78" spans="1:9" x14ac:dyDescent="0.25">
      <c r="A78" s="4"/>
      <c r="B78" s="4"/>
      <c r="C78" s="4"/>
      <c r="D78" s="4"/>
      <c r="E78" s="4"/>
      <c r="F78" s="4"/>
      <c r="G78" s="4"/>
      <c r="H78" s="4"/>
      <c r="I78" s="4"/>
    </row>
    <row r="79" spans="1:9" x14ac:dyDescent="0.25">
      <c r="A79" s="4"/>
      <c r="B79" s="4"/>
      <c r="C79" s="4"/>
      <c r="D79" s="4"/>
      <c r="E79" s="4"/>
      <c r="F79" s="4"/>
      <c r="G79" s="4"/>
      <c r="H79" s="4"/>
      <c r="I79" s="4"/>
    </row>
    <row r="80" spans="1:9" x14ac:dyDescent="0.25">
      <c r="A80" s="4"/>
      <c r="B80" s="4"/>
      <c r="C80" s="4"/>
      <c r="D80" s="4"/>
      <c r="E80" s="4"/>
      <c r="F80" s="4"/>
      <c r="G80" s="4"/>
      <c r="H80" s="4"/>
      <c r="I80" s="4"/>
    </row>
    <row r="81" spans="1:9" x14ac:dyDescent="0.25">
      <c r="A81" s="4"/>
      <c r="B81" s="4"/>
      <c r="C81" s="4"/>
      <c r="D81" s="4"/>
      <c r="E81" s="4"/>
      <c r="F81" s="4"/>
      <c r="G81" s="4"/>
      <c r="H81" s="4"/>
      <c r="I81" s="4"/>
    </row>
    <row r="82" spans="1:9" x14ac:dyDescent="0.25">
      <c r="A82" s="4"/>
      <c r="B82" s="4"/>
      <c r="C82" s="4"/>
      <c r="D82" s="4"/>
      <c r="E82" s="4"/>
      <c r="F82" s="4"/>
      <c r="G82" s="4"/>
      <c r="H82" s="4"/>
      <c r="I82" s="4"/>
    </row>
    <row r="83" spans="1:9" x14ac:dyDescent="0.25">
      <c r="A83" s="4"/>
      <c r="B83" s="4"/>
      <c r="C83" s="4"/>
      <c r="D83" s="4"/>
      <c r="E83" s="4"/>
      <c r="F83" s="4"/>
      <c r="G83" s="4"/>
      <c r="H83" s="4"/>
      <c r="I83" s="4"/>
    </row>
    <row r="84" spans="1:9" x14ac:dyDescent="0.25">
      <c r="A84" s="4"/>
      <c r="B84" s="4"/>
      <c r="C84" s="4"/>
      <c r="D84" s="4"/>
      <c r="E84" s="4"/>
      <c r="F84" s="4"/>
      <c r="G84" s="4"/>
      <c r="H84" s="4"/>
      <c r="I84" s="4"/>
    </row>
    <row r="85" spans="1:9" x14ac:dyDescent="0.25">
      <c r="A85" s="4"/>
      <c r="B85" s="4"/>
      <c r="C85" s="4"/>
      <c r="D85" s="4"/>
      <c r="E85" s="4"/>
      <c r="F85" s="4"/>
      <c r="G85" s="4"/>
      <c r="H85" s="4"/>
      <c r="I85" s="4"/>
    </row>
    <row r="86" spans="1:9" x14ac:dyDescent="0.25">
      <c r="A86" s="4"/>
      <c r="B86" s="4"/>
      <c r="C86" s="4"/>
      <c r="D86" s="4"/>
      <c r="E86" s="4"/>
      <c r="F86" s="4"/>
      <c r="G86" s="4"/>
      <c r="H86" s="4"/>
      <c r="I86" s="4"/>
    </row>
    <row r="87" spans="1:9" x14ac:dyDescent="0.25">
      <c r="A87" s="4"/>
      <c r="B87" s="4"/>
      <c r="C87" s="4"/>
      <c r="D87" s="4"/>
      <c r="E87" s="4"/>
      <c r="F87" s="4"/>
      <c r="G87" s="4"/>
      <c r="H87" s="4"/>
      <c r="I87" s="4"/>
    </row>
    <row r="88" spans="1:9" x14ac:dyDescent="0.25">
      <c r="A88" s="4"/>
      <c r="B88" s="4"/>
      <c r="C88" s="4"/>
      <c r="D88" s="4"/>
      <c r="E88" s="4"/>
      <c r="F88" s="4"/>
      <c r="G88" s="4"/>
      <c r="H88" s="4"/>
      <c r="I88" s="4"/>
    </row>
    <row r="89" spans="1:9" x14ac:dyDescent="0.25">
      <c r="A89" s="4"/>
      <c r="B89" s="4"/>
      <c r="C89" s="4"/>
      <c r="D89" s="4"/>
      <c r="E89" s="4"/>
      <c r="F89" s="4"/>
      <c r="G89" s="4"/>
      <c r="H89" s="4"/>
      <c r="I89" s="4"/>
    </row>
    <row r="90" spans="1:9" x14ac:dyDescent="0.25">
      <c r="A90" s="4"/>
      <c r="B90" s="4"/>
      <c r="C90" s="4"/>
      <c r="D90" s="4"/>
      <c r="E90" s="4"/>
      <c r="F90" s="4"/>
      <c r="G90" s="4"/>
      <c r="H90" s="4"/>
      <c r="I90" s="4"/>
    </row>
    <row r="91" spans="1:9" x14ac:dyDescent="0.25">
      <c r="A91" s="4"/>
      <c r="B91" s="4"/>
      <c r="C91" s="4"/>
      <c r="D91" s="4"/>
      <c r="E91" s="4"/>
      <c r="F91" s="4"/>
      <c r="G91" s="4"/>
      <c r="H91" s="4"/>
      <c r="I91" s="4"/>
    </row>
  </sheetData>
  <mergeCells count="27">
    <mergeCell ref="D32:E32"/>
    <mergeCell ref="F32:G32"/>
    <mergeCell ref="A2:H2"/>
    <mergeCell ref="B4:G4"/>
    <mergeCell ref="D30:E30"/>
    <mergeCell ref="E31:F31"/>
    <mergeCell ref="G31:H31"/>
    <mergeCell ref="F42:G42"/>
    <mergeCell ref="D33:E33"/>
    <mergeCell ref="F33:G33"/>
    <mergeCell ref="D34:E34"/>
    <mergeCell ref="F34:G34"/>
    <mergeCell ref="D35:E35"/>
    <mergeCell ref="F35:G35"/>
    <mergeCell ref="F36:G36"/>
    <mergeCell ref="F37:G37"/>
    <mergeCell ref="F38:G38"/>
    <mergeCell ref="D41:E41"/>
    <mergeCell ref="F41:G41"/>
    <mergeCell ref="D49:E49"/>
    <mergeCell ref="D50:E50"/>
    <mergeCell ref="F43:G43"/>
    <mergeCell ref="F44:G44"/>
    <mergeCell ref="D46:E46"/>
    <mergeCell ref="F46:G46"/>
    <mergeCell ref="D47:E47"/>
    <mergeCell ref="F47:G47"/>
  </mergeCells>
  <pageMargins left="0.70866141732283472" right="0.70866141732283472" top="0.74803149606299213" bottom="0.74803149606299213" header="0.31496062992125984" footer="0.31496062992125984"/>
  <pageSetup paperSize="9" scale="65" orientation="portrait" r:id="rId1"/>
  <headerFooter>
    <oddFooter>&amp;R&amp;9&amp;N</oddFooter>
  </headerFooter>
  <colBreaks count="1" manualBreakCount="1">
    <brk id="8" max="7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56"/>
  <sheetViews>
    <sheetView view="pageBreakPreview" topLeftCell="A367" zoomScaleNormal="100" zoomScaleSheetLayoutView="100" workbookViewId="0">
      <selection activeCell="I14" sqref="I14"/>
    </sheetView>
  </sheetViews>
  <sheetFormatPr defaultRowHeight="15" x14ac:dyDescent="0.25"/>
  <cols>
    <col min="1" max="1" width="12.7109375" style="52" customWidth="1"/>
    <col min="2" max="2" width="50.7109375" customWidth="1"/>
    <col min="3" max="7" width="10.7109375" customWidth="1"/>
    <col min="8" max="8" width="15.7109375" customWidth="1"/>
    <col min="11" max="11" width="56.5703125" customWidth="1"/>
  </cols>
  <sheetData>
    <row r="1" spans="1:9" x14ac:dyDescent="0.25">
      <c r="B1" s="4"/>
      <c r="C1" s="4"/>
      <c r="D1" s="4"/>
      <c r="E1" s="4"/>
      <c r="F1" s="4"/>
      <c r="G1" s="4"/>
      <c r="H1" s="4"/>
      <c r="I1" s="4"/>
    </row>
    <row r="2" spans="1:9" ht="20.25" x14ac:dyDescent="0.3">
      <c r="A2" s="63"/>
      <c r="B2" s="4" t="s">
        <v>118</v>
      </c>
      <c r="C2" s="10"/>
      <c r="D2" s="10"/>
      <c r="E2" s="10"/>
      <c r="F2" s="10"/>
      <c r="G2" s="10"/>
      <c r="H2" s="10"/>
      <c r="I2" s="10"/>
    </row>
    <row r="3" spans="1:9" x14ac:dyDescent="0.25">
      <c r="B3" s="373" t="s">
        <v>119</v>
      </c>
      <c r="C3" s="373"/>
      <c r="D3" s="373"/>
      <c r="E3" s="4"/>
      <c r="F3" s="44" t="s">
        <v>10</v>
      </c>
      <c r="G3" s="65">
        <v>0</v>
      </c>
      <c r="H3" s="4"/>
      <c r="I3" s="4"/>
    </row>
    <row r="4" spans="1:9" x14ac:dyDescent="0.25">
      <c r="B4" s="4" t="s">
        <v>120</v>
      </c>
      <c r="C4" s="4"/>
      <c r="D4" s="4"/>
      <c r="E4" s="4"/>
      <c r="F4" s="44" t="s">
        <v>9</v>
      </c>
      <c r="G4" s="65" t="s">
        <v>1006</v>
      </c>
      <c r="H4" s="4"/>
      <c r="I4" s="4"/>
    </row>
    <row r="5" spans="1:9" x14ac:dyDescent="0.25">
      <c r="B5" s="66" t="s">
        <v>121</v>
      </c>
      <c r="C5" s="4"/>
      <c r="D5" s="4"/>
      <c r="E5" s="4"/>
      <c r="F5" s="47"/>
      <c r="G5" s="47"/>
      <c r="H5" s="4"/>
      <c r="I5" s="4"/>
    </row>
    <row r="6" spans="1:9" x14ac:dyDescent="0.25">
      <c r="B6" s="4"/>
      <c r="C6" s="4"/>
      <c r="D6" s="4"/>
      <c r="E6" s="4"/>
      <c r="F6" s="4"/>
      <c r="G6" s="4"/>
      <c r="H6" s="4"/>
      <c r="I6" s="4"/>
    </row>
    <row r="7" spans="1:9" ht="38.1" customHeight="1" x14ac:dyDescent="0.25">
      <c r="B7" s="374" t="s">
        <v>122</v>
      </c>
      <c r="C7" s="374"/>
      <c r="D7" s="374"/>
      <c r="E7" s="374"/>
      <c r="F7" s="374"/>
      <c r="G7" s="374"/>
      <c r="H7" s="4"/>
      <c r="I7" s="4"/>
    </row>
    <row r="8" spans="1:9" x14ac:dyDescent="0.25">
      <c r="B8" s="67"/>
      <c r="C8" s="4"/>
      <c r="D8" s="4"/>
      <c r="E8" s="4"/>
      <c r="F8" s="4"/>
      <c r="G8" s="4"/>
      <c r="H8" s="4"/>
      <c r="I8" s="4"/>
    </row>
    <row r="9" spans="1:9" s="2" customFormat="1" ht="15" customHeight="1" x14ac:dyDescent="0.25">
      <c r="A9" s="68" t="s">
        <v>123</v>
      </c>
      <c r="B9" s="375" t="s">
        <v>124</v>
      </c>
      <c r="C9" s="375"/>
      <c r="D9" s="375"/>
      <c r="E9" s="375"/>
      <c r="F9" s="375"/>
      <c r="G9" s="375"/>
      <c r="H9" s="376"/>
      <c r="I9" s="3"/>
    </row>
    <row r="10" spans="1:9" x14ac:dyDescent="0.25">
      <c r="B10" s="4"/>
      <c r="C10" s="4"/>
      <c r="D10" s="4"/>
      <c r="E10" s="4"/>
      <c r="F10" s="4"/>
      <c r="G10" s="4"/>
      <c r="H10" s="4"/>
      <c r="I10" s="4"/>
    </row>
    <row r="11" spans="1:9" x14ac:dyDescent="0.25">
      <c r="B11" s="4"/>
      <c r="C11" s="4"/>
      <c r="D11" s="4"/>
      <c r="E11" s="4"/>
      <c r="F11" s="4"/>
      <c r="G11" s="4"/>
      <c r="H11" s="4"/>
      <c r="I11" s="4"/>
    </row>
    <row r="12" spans="1:9" x14ac:dyDescent="0.25">
      <c r="A12" s="69" t="s">
        <v>125</v>
      </c>
      <c r="B12" s="377" t="s">
        <v>126</v>
      </c>
      <c r="C12" s="377"/>
      <c r="D12" s="377"/>
      <c r="E12" s="377"/>
      <c r="F12" s="377"/>
      <c r="G12" s="377"/>
      <c r="H12" s="4"/>
      <c r="I12" s="4"/>
    </row>
    <row r="13" spans="1:9" ht="15" customHeight="1" x14ac:dyDescent="0.25">
      <c r="B13" s="378"/>
      <c r="C13" s="378"/>
      <c r="D13" s="378"/>
      <c r="E13" s="378"/>
      <c r="F13" s="378"/>
      <c r="G13" s="378"/>
      <c r="H13" s="1"/>
    </row>
    <row r="14" spans="1:9" ht="155.25" customHeight="1" x14ac:dyDescent="0.25">
      <c r="B14" s="379" t="s">
        <v>127</v>
      </c>
      <c r="C14" s="380"/>
      <c r="D14" s="380"/>
      <c r="E14" s="380"/>
      <c r="F14" s="380"/>
      <c r="G14" s="381"/>
      <c r="H14" s="1"/>
    </row>
    <row r="15" spans="1:9" ht="101.25" customHeight="1" x14ac:dyDescent="0.25">
      <c r="B15" s="388" t="s">
        <v>128</v>
      </c>
      <c r="C15" s="378"/>
      <c r="D15" s="378"/>
      <c r="E15" s="378"/>
      <c r="F15" s="378"/>
      <c r="G15" s="389"/>
      <c r="H15" s="1"/>
    </row>
    <row r="16" spans="1:9" ht="50.25" customHeight="1" x14ac:dyDescent="0.25">
      <c r="B16" s="388" t="s">
        <v>129</v>
      </c>
      <c r="C16" s="378"/>
      <c r="D16" s="378"/>
      <c r="E16" s="378"/>
      <c r="F16" s="378"/>
      <c r="G16" s="389"/>
      <c r="H16" s="1"/>
    </row>
    <row r="17" spans="1:8" ht="15" customHeight="1" x14ac:dyDescent="0.25">
      <c r="B17" s="388"/>
      <c r="C17" s="378"/>
      <c r="D17" s="378"/>
      <c r="E17" s="378"/>
      <c r="F17" s="378"/>
      <c r="G17" s="389"/>
      <c r="H17" s="1"/>
    </row>
    <row r="18" spans="1:8" ht="15" customHeight="1" x14ac:dyDescent="0.25">
      <c r="A18" s="70"/>
      <c r="B18" s="390" t="s">
        <v>130</v>
      </c>
      <c r="C18" s="391"/>
      <c r="D18" s="391"/>
      <c r="E18" s="391"/>
      <c r="F18" s="391"/>
      <c r="G18" s="392"/>
      <c r="H18" s="1"/>
    </row>
    <row r="19" spans="1:8" ht="15" customHeight="1" x14ac:dyDescent="0.25">
      <c r="A19" s="70"/>
      <c r="B19" s="390" t="s">
        <v>131</v>
      </c>
      <c r="C19" s="391"/>
      <c r="D19" s="391"/>
      <c r="E19" s="391"/>
      <c r="F19" s="391"/>
      <c r="G19" s="392"/>
      <c r="H19" s="1"/>
    </row>
    <row r="20" spans="1:8" ht="15" customHeight="1" x14ac:dyDescent="0.25">
      <c r="A20" s="70"/>
      <c r="B20" s="390" t="s">
        <v>132</v>
      </c>
      <c r="C20" s="391"/>
      <c r="D20" s="391"/>
      <c r="E20" s="391"/>
      <c r="F20" s="391"/>
      <c r="G20" s="392"/>
      <c r="H20" s="1"/>
    </row>
    <row r="21" spans="1:8" ht="15" customHeight="1" x14ac:dyDescent="0.25">
      <c r="B21" s="382"/>
      <c r="C21" s="383"/>
      <c r="D21" s="383"/>
      <c r="E21" s="383"/>
      <c r="F21" s="383"/>
      <c r="G21" s="384"/>
      <c r="H21" s="1"/>
    </row>
    <row r="22" spans="1:8" ht="39" customHeight="1" x14ac:dyDescent="0.25">
      <c r="B22" s="382" t="s">
        <v>133</v>
      </c>
      <c r="C22" s="383"/>
      <c r="D22" s="383"/>
      <c r="E22" s="383"/>
      <c r="F22" s="383"/>
      <c r="G22" s="384"/>
      <c r="H22" s="1"/>
    </row>
    <row r="23" spans="1:8" ht="15" customHeight="1" x14ac:dyDescent="0.25">
      <c r="B23" s="71"/>
      <c r="C23" s="72"/>
      <c r="D23" s="72"/>
      <c r="E23" s="72"/>
      <c r="F23" s="72"/>
      <c r="G23" s="73"/>
      <c r="H23" s="1"/>
    </row>
    <row r="24" spans="1:8" ht="27" customHeight="1" x14ac:dyDescent="0.25">
      <c r="B24" s="385" t="s">
        <v>134</v>
      </c>
      <c r="C24" s="386"/>
      <c r="D24" s="386"/>
      <c r="E24" s="386"/>
      <c r="F24" s="386"/>
      <c r="G24" s="387"/>
      <c r="H24" s="1"/>
    </row>
    <row r="25" spans="1:8" ht="39.75" customHeight="1" x14ac:dyDescent="0.25">
      <c r="B25" s="385" t="s">
        <v>135</v>
      </c>
      <c r="C25" s="386"/>
      <c r="D25" s="386"/>
      <c r="E25" s="386"/>
      <c r="F25" s="386"/>
      <c r="G25" s="387"/>
      <c r="H25" s="1"/>
    </row>
    <row r="26" spans="1:8" ht="15" customHeight="1" x14ac:dyDescent="0.25">
      <c r="B26" s="74"/>
      <c r="C26" s="75"/>
      <c r="D26" s="75"/>
      <c r="E26" s="75"/>
      <c r="F26" s="75"/>
      <c r="G26" s="76"/>
      <c r="H26" s="1"/>
    </row>
    <row r="27" spans="1:8" ht="15" customHeight="1" x14ac:dyDescent="0.25">
      <c r="B27" s="385" t="s">
        <v>136</v>
      </c>
      <c r="C27" s="386"/>
      <c r="D27" s="386"/>
      <c r="E27" s="386"/>
      <c r="F27" s="386"/>
      <c r="G27" s="387"/>
      <c r="H27" s="1"/>
    </row>
    <row r="28" spans="1:8" ht="15" customHeight="1" x14ac:dyDescent="0.25">
      <c r="B28" s="385" t="s">
        <v>137</v>
      </c>
      <c r="C28" s="386"/>
      <c r="D28" s="386"/>
      <c r="E28" s="386"/>
      <c r="F28" s="386"/>
      <c r="G28" s="387"/>
      <c r="H28" s="1"/>
    </row>
    <row r="29" spans="1:8" ht="15" customHeight="1" x14ac:dyDescent="0.25">
      <c r="B29" s="385" t="s">
        <v>138</v>
      </c>
      <c r="C29" s="386"/>
      <c r="D29" s="386"/>
      <c r="E29" s="386"/>
      <c r="F29" s="386"/>
      <c r="G29" s="387"/>
      <c r="H29" s="1"/>
    </row>
    <row r="30" spans="1:8" ht="15" customHeight="1" x14ac:dyDescent="0.25">
      <c r="B30" s="385" t="s">
        <v>139</v>
      </c>
      <c r="C30" s="386"/>
      <c r="D30" s="386"/>
      <c r="E30" s="386"/>
      <c r="F30" s="386"/>
      <c r="G30" s="387"/>
      <c r="H30" s="1"/>
    </row>
    <row r="31" spans="1:8" ht="28.5" customHeight="1" x14ac:dyDescent="0.25">
      <c r="B31" s="385" t="s">
        <v>140</v>
      </c>
      <c r="C31" s="386"/>
      <c r="D31" s="386"/>
      <c r="E31" s="386"/>
      <c r="F31" s="386"/>
      <c r="G31" s="387"/>
      <c r="H31" s="1"/>
    </row>
    <row r="32" spans="1:8" ht="27" customHeight="1" x14ac:dyDescent="0.25">
      <c r="B32" s="385" t="s">
        <v>141</v>
      </c>
      <c r="C32" s="386"/>
      <c r="D32" s="386"/>
      <c r="E32" s="386"/>
      <c r="F32" s="386"/>
      <c r="G32" s="387"/>
      <c r="H32" s="1"/>
    </row>
    <row r="33" spans="2:8" ht="15" customHeight="1" x14ac:dyDescent="0.25">
      <c r="B33" s="385" t="s">
        <v>142</v>
      </c>
      <c r="C33" s="386"/>
      <c r="D33" s="386"/>
      <c r="E33" s="386"/>
      <c r="F33" s="386"/>
      <c r="G33" s="387"/>
      <c r="H33" s="1"/>
    </row>
    <row r="34" spans="2:8" ht="15" customHeight="1" x14ac:dyDescent="0.25">
      <c r="B34" s="385" t="s">
        <v>143</v>
      </c>
      <c r="C34" s="386"/>
      <c r="D34" s="386"/>
      <c r="E34" s="386"/>
      <c r="F34" s="386"/>
      <c r="G34" s="387"/>
      <c r="H34" s="1"/>
    </row>
    <row r="35" spans="2:8" ht="15" customHeight="1" x14ac:dyDescent="0.25">
      <c r="B35" s="385" t="s">
        <v>144</v>
      </c>
      <c r="C35" s="386"/>
      <c r="D35" s="386"/>
      <c r="E35" s="386"/>
      <c r="F35" s="386"/>
      <c r="G35" s="387"/>
      <c r="H35" s="1"/>
    </row>
    <row r="36" spans="2:8" ht="15" customHeight="1" x14ac:dyDescent="0.25">
      <c r="B36" s="74"/>
      <c r="C36" s="75"/>
      <c r="D36" s="75"/>
      <c r="E36" s="75"/>
      <c r="F36" s="75"/>
      <c r="G36" s="76"/>
      <c r="H36" s="1"/>
    </row>
    <row r="37" spans="2:8" ht="65.25" customHeight="1" x14ac:dyDescent="0.25">
      <c r="B37" s="385" t="s">
        <v>145</v>
      </c>
      <c r="C37" s="386"/>
      <c r="D37" s="386"/>
      <c r="E37" s="386"/>
      <c r="F37" s="386"/>
      <c r="G37" s="387"/>
      <c r="H37" s="1"/>
    </row>
    <row r="38" spans="2:8" ht="28.5" customHeight="1" x14ac:dyDescent="0.25">
      <c r="B38" s="385" t="s">
        <v>146</v>
      </c>
      <c r="C38" s="386"/>
      <c r="D38" s="386"/>
      <c r="E38" s="386"/>
      <c r="F38" s="386"/>
      <c r="G38" s="387"/>
      <c r="H38" s="1"/>
    </row>
    <row r="39" spans="2:8" ht="28.5" customHeight="1" x14ac:dyDescent="0.25">
      <c r="B39" s="385" t="s">
        <v>147</v>
      </c>
      <c r="C39" s="386"/>
      <c r="D39" s="386"/>
      <c r="E39" s="386"/>
      <c r="F39" s="386"/>
      <c r="G39" s="387"/>
      <c r="H39" s="1"/>
    </row>
    <row r="40" spans="2:8" ht="27.75" customHeight="1" x14ac:dyDescent="0.25">
      <c r="B40" s="385" t="s">
        <v>148</v>
      </c>
      <c r="C40" s="386"/>
      <c r="D40" s="386"/>
      <c r="E40" s="386"/>
      <c r="F40" s="386"/>
      <c r="G40" s="387"/>
      <c r="H40" s="1"/>
    </row>
    <row r="41" spans="2:8" ht="15" customHeight="1" x14ac:dyDescent="0.25">
      <c r="B41" s="385"/>
      <c r="C41" s="386"/>
      <c r="D41" s="386"/>
      <c r="E41" s="386"/>
      <c r="F41" s="386"/>
      <c r="G41" s="387"/>
      <c r="H41" s="1"/>
    </row>
    <row r="42" spans="2:8" x14ac:dyDescent="0.25">
      <c r="B42" s="393" t="s">
        <v>149</v>
      </c>
      <c r="C42" s="394"/>
      <c r="D42" s="394"/>
      <c r="E42" s="394"/>
      <c r="F42" s="394"/>
      <c r="G42" s="395"/>
      <c r="H42" s="1"/>
    </row>
    <row r="43" spans="2:8" ht="51" customHeight="1" x14ac:dyDescent="0.25">
      <c r="B43" s="393" t="s">
        <v>150</v>
      </c>
      <c r="C43" s="394"/>
      <c r="D43" s="394"/>
      <c r="E43" s="394"/>
      <c r="F43" s="394"/>
      <c r="G43" s="395"/>
      <c r="H43" s="1"/>
    </row>
    <row r="44" spans="2:8" ht="15" customHeight="1" x14ac:dyDescent="0.25">
      <c r="B44" s="396"/>
      <c r="C44" s="396"/>
      <c r="D44" s="396"/>
      <c r="E44" s="396"/>
      <c r="F44" s="396"/>
      <c r="G44" s="396"/>
      <c r="H44" s="1"/>
    </row>
    <row r="45" spans="2:8" ht="15" customHeight="1" x14ac:dyDescent="0.25">
      <c r="B45" s="78"/>
      <c r="C45" s="78"/>
      <c r="D45" s="78"/>
      <c r="E45" s="78"/>
      <c r="F45" s="78"/>
      <c r="G45" s="78"/>
      <c r="H45" s="1"/>
    </row>
    <row r="46" spans="2:8" ht="15" customHeight="1" x14ac:dyDescent="0.25">
      <c r="B46" s="79" t="s">
        <v>151</v>
      </c>
      <c r="C46" s="75"/>
      <c r="D46" s="75"/>
      <c r="E46" s="75"/>
      <c r="F46" s="75"/>
      <c r="G46" s="76"/>
      <c r="H46" s="1"/>
    </row>
    <row r="47" spans="2:8" ht="50.25" customHeight="1" x14ac:dyDescent="0.25">
      <c r="B47" s="385" t="s">
        <v>152</v>
      </c>
      <c r="C47" s="386"/>
      <c r="D47" s="386"/>
      <c r="E47" s="386"/>
      <c r="F47" s="386"/>
      <c r="G47" s="387"/>
      <c r="H47" s="1"/>
    </row>
    <row r="48" spans="2:8" ht="39" customHeight="1" x14ac:dyDescent="0.25">
      <c r="B48" s="385" t="s">
        <v>153</v>
      </c>
      <c r="C48" s="386"/>
      <c r="D48" s="386"/>
      <c r="E48" s="386"/>
      <c r="F48" s="386"/>
      <c r="G48" s="387"/>
      <c r="H48" s="1"/>
    </row>
    <row r="49" spans="2:8" ht="50.25" customHeight="1" x14ac:dyDescent="0.25">
      <c r="B49" s="385" t="s">
        <v>154</v>
      </c>
      <c r="C49" s="386"/>
      <c r="D49" s="386"/>
      <c r="E49" s="386"/>
      <c r="F49" s="386"/>
      <c r="G49" s="387"/>
      <c r="H49" s="1"/>
    </row>
    <row r="50" spans="2:8" ht="41.25" customHeight="1" x14ac:dyDescent="0.25">
      <c r="B50" s="385" t="s">
        <v>155</v>
      </c>
      <c r="C50" s="386"/>
      <c r="D50" s="386"/>
      <c r="E50" s="386"/>
      <c r="F50" s="386"/>
      <c r="G50" s="387"/>
      <c r="H50" s="1"/>
    </row>
    <row r="51" spans="2:8" ht="41.25" customHeight="1" x14ac:dyDescent="0.25">
      <c r="B51" s="385" t="s">
        <v>156</v>
      </c>
      <c r="C51" s="386"/>
      <c r="D51" s="386"/>
      <c r="E51" s="386"/>
      <c r="F51" s="386"/>
      <c r="G51" s="387"/>
      <c r="H51" s="1"/>
    </row>
    <row r="52" spans="2:8" ht="51.75" customHeight="1" x14ac:dyDescent="0.25">
      <c r="B52" s="385" t="s">
        <v>157</v>
      </c>
      <c r="C52" s="386"/>
      <c r="D52" s="386"/>
      <c r="E52" s="386"/>
      <c r="F52" s="386"/>
      <c r="G52" s="387"/>
      <c r="H52" s="1"/>
    </row>
    <row r="53" spans="2:8" ht="27" customHeight="1" x14ac:dyDescent="0.25">
      <c r="B53" s="385" t="s">
        <v>158</v>
      </c>
      <c r="C53" s="386"/>
      <c r="D53" s="386"/>
      <c r="E53" s="386"/>
      <c r="F53" s="386"/>
      <c r="G53" s="387"/>
      <c r="H53" s="1"/>
    </row>
    <row r="54" spans="2:8" ht="29.25" customHeight="1" x14ac:dyDescent="0.25">
      <c r="B54" s="385" t="s">
        <v>159</v>
      </c>
      <c r="C54" s="386"/>
      <c r="D54" s="386"/>
      <c r="E54" s="386"/>
      <c r="F54" s="386"/>
      <c r="G54" s="387"/>
      <c r="H54" s="1"/>
    </row>
    <row r="55" spans="2:8" ht="26.25" customHeight="1" x14ac:dyDescent="0.25">
      <c r="B55" s="385" t="s">
        <v>160</v>
      </c>
      <c r="C55" s="386"/>
      <c r="D55" s="386"/>
      <c r="E55" s="386"/>
      <c r="F55" s="386"/>
      <c r="G55" s="387"/>
      <c r="H55" s="1"/>
    </row>
    <row r="56" spans="2:8" ht="27.95" customHeight="1" x14ac:dyDescent="0.25">
      <c r="B56" s="400" t="s">
        <v>161</v>
      </c>
      <c r="C56" s="401"/>
      <c r="D56" s="401"/>
      <c r="E56" s="401"/>
      <c r="F56" s="401"/>
      <c r="G56" s="402"/>
      <c r="H56" s="1"/>
    </row>
    <row r="57" spans="2:8" ht="51" customHeight="1" x14ac:dyDescent="0.25">
      <c r="B57" s="385" t="s">
        <v>162</v>
      </c>
      <c r="C57" s="386"/>
      <c r="D57" s="386"/>
      <c r="E57" s="386"/>
      <c r="F57" s="386"/>
      <c r="G57" s="387"/>
      <c r="H57" s="1"/>
    </row>
    <row r="58" spans="2:8" ht="66" customHeight="1" x14ac:dyDescent="0.25">
      <c r="B58" s="385" t="s">
        <v>163</v>
      </c>
      <c r="C58" s="386"/>
      <c r="D58" s="386"/>
      <c r="E58" s="386"/>
      <c r="F58" s="386"/>
      <c r="G58" s="387"/>
      <c r="H58" s="1"/>
    </row>
    <row r="59" spans="2:8" ht="15" customHeight="1" x14ac:dyDescent="0.25">
      <c r="B59" s="403" t="s">
        <v>164</v>
      </c>
      <c r="C59" s="404"/>
      <c r="D59" s="404"/>
      <c r="E59" s="404"/>
      <c r="F59" s="404"/>
      <c r="G59" s="405"/>
      <c r="H59" s="1"/>
    </row>
    <row r="60" spans="2:8" ht="29.25" customHeight="1" x14ac:dyDescent="0.25">
      <c r="B60" s="385" t="s">
        <v>165</v>
      </c>
      <c r="C60" s="386"/>
      <c r="D60" s="386"/>
      <c r="E60" s="386"/>
      <c r="F60" s="386"/>
      <c r="G60" s="387"/>
      <c r="H60" s="1"/>
    </row>
    <row r="61" spans="2:8" ht="15" customHeight="1" x14ac:dyDescent="0.25">
      <c r="B61" s="397" t="s">
        <v>166</v>
      </c>
      <c r="C61" s="398"/>
      <c r="D61" s="398"/>
      <c r="E61" s="398"/>
      <c r="F61" s="398"/>
      <c r="G61" s="399"/>
      <c r="H61" s="1"/>
    </row>
    <row r="62" spans="2:8" ht="39.75" customHeight="1" x14ac:dyDescent="0.25">
      <c r="B62" s="397" t="s">
        <v>167</v>
      </c>
      <c r="C62" s="398"/>
      <c r="D62" s="398"/>
      <c r="E62" s="398"/>
      <c r="F62" s="398"/>
      <c r="G62" s="399"/>
      <c r="H62" s="1"/>
    </row>
    <row r="63" spans="2:8" ht="27" customHeight="1" x14ac:dyDescent="0.25">
      <c r="B63" s="397" t="s">
        <v>168</v>
      </c>
      <c r="C63" s="398"/>
      <c r="D63" s="398"/>
      <c r="E63" s="398"/>
      <c r="F63" s="398"/>
      <c r="G63" s="399"/>
      <c r="H63" s="1"/>
    </row>
    <row r="64" spans="2:8" ht="39" customHeight="1" x14ac:dyDescent="0.25">
      <c r="B64" s="397" t="s">
        <v>169</v>
      </c>
      <c r="C64" s="398"/>
      <c r="D64" s="398"/>
      <c r="E64" s="398"/>
      <c r="F64" s="398"/>
      <c r="G64" s="399"/>
      <c r="H64" s="1"/>
    </row>
    <row r="65" spans="2:8" ht="16.5" customHeight="1" x14ac:dyDescent="0.25">
      <c r="B65" s="397" t="s">
        <v>170</v>
      </c>
      <c r="C65" s="398"/>
      <c r="D65" s="398"/>
      <c r="E65" s="398"/>
      <c r="F65" s="398"/>
      <c r="G65" s="399"/>
      <c r="H65" s="1"/>
    </row>
    <row r="66" spans="2:8" ht="15" customHeight="1" x14ac:dyDescent="0.25">
      <c r="B66" s="397" t="s">
        <v>171</v>
      </c>
      <c r="C66" s="398"/>
      <c r="D66" s="398"/>
      <c r="E66" s="398"/>
      <c r="F66" s="398"/>
      <c r="G66" s="399"/>
      <c r="H66" s="1"/>
    </row>
    <row r="67" spans="2:8" ht="15" customHeight="1" x14ac:dyDescent="0.25">
      <c r="B67" s="397" t="s">
        <v>172</v>
      </c>
      <c r="C67" s="398"/>
      <c r="D67" s="398"/>
      <c r="E67" s="398"/>
      <c r="F67" s="398"/>
      <c r="G67" s="399"/>
      <c r="H67" s="1"/>
    </row>
    <row r="68" spans="2:8" ht="28.5" customHeight="1" x14ac:dyDescent="0.25">
      <c r="B68" s="397" t="s">
        <v>173</v>
      </c>
      <c r="C68" s="398"/>
      <c r="D68" s="398"/>
      <c r="E68" s="398"/>
      <c r="F68" s="398"/>
      <c r="G68" s="399"/>
      <c r="H68" s="1"/>
    </row>
    <row r="69" spans="2:8" ht="15" customHeight="1" x14ac:dyDescent="0.25">
      <c r="B69" s="397" t="s">
        <v>174</v>
      </c>
      <c r="C69" s="398"/>
      <c r="D69" s="398"/>
      <c r="E69" s="398"/>
      <c r="F69" s="398"/>
      <c r="G69" s="399"/>
      <c r="H69" s="1"/>
    </row>
    <row r="70" spans="2:8" ht="15" customHeight="1" x14ac:dyDescent="0.25">
      <c r="B70" s="397" t="s">
        <v>175</v>
      </c>
      <c r="C70" s="398"/>
      <c r="D70" s="398"/>
      <c r="E70" s="398"/>
      <c r="F70" s="398"/>
      <c r="G70" s="399"/>
      <c r="H70" s="1"/>
    </row>
    <row r="71" spans="2:8" ht="38.25" customHeight="1" x14ac:dyDescent="0.25">
      <c r="B71" s="397" t="s">
        <v>176</v>
      </c>
      <c r="C71" s="398"/>
      <c r="D71" s="398"/>
      <c r="E71" s="398"/>
      <c r="F71" s="398"/>
      <c r="G71" s="399"/>
      <c r="H71" s="1"/>
    </row>
    <row r="72" spans="2:8" ht="27" customHeight="1" x14ac:dyDescent="0.25">
      <c r="B72" s="397" t="s">
        <v>177</v>
      </c>
      <c r="C72" s="398"/>
      <c r="D72" s="398"/>
      <c r="E72" s="398"/>
      <c r="F72" s="398"/>
      <c r="G72" s="399"/>
      <c r="H72" s="1"/>
    </row>
    <row r="73" spans="2:8" ht="29.25" customHeight="1" x14ac:dyDescent="0.25">
      <c r="B73" s="397" t="s">
        <v>178</v>
      </c>
      <c r="C73" s="398"/>
      <c r="D73" s="398"/>
      <c r="E73" s="398"/>
      <c r="F73" s="398"/>
      <c r="G73" s="399"/>
      <c r="H73" s="1"/>
    </row>
    <row r="74" spans="2:8" ht="15" customHeight="1" x14ac:dyDescent="0.25">
      <c r="B74" s="397" t="s">
        <v>179</v>
      </c>
      <c r="C74" s="398"/>
      <c r="D74" s="398"/>
      <c r="E74" s="398"/>
      <c r="F74" s="398"/>
      <c r="G74" s="399"/>
      <c r="H74" s="1"/>
    </row>
    <row r="75" spans="2:8" ht="15" customHeight="1" x14ac:dyDescent="0.25">
      <c r="B75" s="397" t="s">
        <v>180</v>
      </c>
      <c r="C75" s="398"/>
      <c r="D75" s="398"/>
      <c r="E75" s="398"/>
      <c r="F75" s="398"/>
      <c r="G75" s="399"/>
      <c r="H75" s="1"/>
    </row>
    <row r="76" spans="2:8" ht="15" customHeight="1" x14ac:dyDescent="0.25">
      <c r="B76" s="406" t="s">
        <v>181</v>
      </c>
      <c r="C76" s="407"/>
      <c r="D76" s="407"/>
      <c r="E76" s="407"/>
      <c r="F76" s="407"/>
      <c r="G76" s="408"/>
      <c r="H76" s="1"/>
    </row>
    <row r="77" spans="2:8" ht="56.25" customHeight="1" x14ac:dyDescent="0.25">
      <c r="B77" s="397" t="s">
        <v>182</v>
      </c>
      <c r="C77" s="398"/>
      <c r="D77" s="398"/>
      <c r="E77" s="398"/>
      <c r="F77" s="398"/>
      <c r="G77" s="399"/>
      <c r="H77" s="1"/>
    </row>
    <row r="78" spans="2:8" ht="64.5" customHeight="1" x14ac:dyDescent="0.25">
      <c r="B78" s="397" t="s">
        <v>183</v>
      </c>
      <c r="C78" s="398"/>
      <c r="D78" s="398"/>
      <c r="E78" s="398"/>
      <c r="F78" s="398"/>
      <c r="G78" s="399"/>
      <c r="H78" s="1"/>
    </row>
    <row r="79" spans="2:8" ht="53.25" customHeight="1" x14ac:dyDescent="0.25">
      <c r="B79" s="397" t="s">
        <v>184</v>
      </c>
      <c r="C79" s="398"/>
      <c r="D79" s="398"/>
      <c r="E79" s="398"/>
      <c r="F79" s="398"/>
      <c r="G79" s="399"/>
      <c r="H79" s="1"/>
    </row>
    <row r="80" spans="2:8" ht="27" customHeight="1" x14ac:dyDescent="0.25">
      <c r="B80" s="397" t="s">
        <v>185</v>
      </c>
      <c r="C80" s="398"/>
      <c r="D80" s="398"/>
      <c r="E80" s="398"/>
      <c r="F80" s="398"/>
      <c r="G80" s="399"/>
      <c r="H80" s="1"/>
    </row>
    <row r="81" spans="2:8" ht="15" customHeight="1" x14ac:dyDescent="0.25">
      <c r="B81" s="83"/>
      <c r="C81" s="83"/>
      <c r="D81" s="83"/>
      <c r="E81" s="83"/>
      <c r="F81" s="83"/>
      <c r="G81" s="83"/>
      <c r="H81" s="1"/>
    </row>
    <row r="82" spans="2:8" ht="15" customHeight="1" x14ac:dyDescent="0.25">
      <c r="B82" s="84"/>
      <c r="C82" s="84"/>
      <c r="D82" s="84"/>
      <c r="E82" s="84"/>
      <c r="F82" s="84"/>
      <c r="G82" s="84"/>
      <c r="H82" s="1"/>
    </row>
    <row r="83" spans="2:8" ht="15" customHeight="1" x14ac:dyDescent="0.25">
      <c r="B83" s="403" t="s">
        <v>186</v>
      </c>
      <c r="C83" s="404"/>
      <c r="D83" s="404"/>
      <c r="E83" s="404"/>
      <c r="F83" s="404"/>
      <c r="G83" s="405"/>
      <c r="H83" s="1"/>
    </row>
    <row r="84" spans="2:8" ht="156.75" customHeight="1" x14ac:dyDescent="0.25">
      <c r="B84" s="385" t="s">
        <v>187</v>
      </c>
      <c r="C84" s="386"/>
      <c r="D84" s="386"/>
      <c r="E84" s="386"/>
      <c r="F84" s="386"/>
      <c r="G84" s="387"/>
      <c r="H84" s="1"/>
    </row>
    <row r="85" spans="2:8" ht="15" customHeight="1" x14ac:dyDescent="0.25">
      <c r="B85" s="403" t="s">
        <v>188</v>
      </c>
      <c r="C85" s="404"/>
      <c r="D85" s="404"/>
      <c r="E85" s="404"/>
      <c r="F85" s="404"/>
      <c r="G85" s="405"/>
      <c r="H85" s="1"/>
    </row>
    <row r="86" spans="2:8" ht="27.75" customHeight="1" x14ac:dyDescent="0.25">
      <c r="B86" s="385" t="s">
        <v>189</v>
      </c>
      <c r="C86" s="386"/>
      <c r="D86" s="386"/>
      <c r="E86" s="386"/>
      <c r="F86" s="386"/>
      <c r="G86" s="387"/>
      <c r="H86" s="1"/>
    </row>
    <row r="87" spans="2:8" ht="15" customHeight="1" x14ac:dyDescent="0.25">
      <c r="B87" s="403" t="s">
        <v>190</v>
      </c>
      <c r="C87" s="404"/>
      <c r="D87" s="404"/>
      <c r="E87" s="404"/>
      <c r="F87" s="404"/>
      <c r="G87" s="405"/>
      <c r="H87" s="1"/>
    </row>
    <row r="88" spans="2:8" ht="66.75" customHeight="1" x14ac:dyDescent="0.25">
      <c r="B88" s="385" t="s">
        <v>191</v>
      </c>
      <c r="C88" s="386"/>
      <c r="D88" s="386"/>
      <c r="E88" s="386"/>
      <c r="F88" s="386"/>
      <c r="G88" s="387"/>
      <c r="H88" s="1"/>
    </row>
    <row r="89" spans="2:8" ht="15" customHeight="1" x14ac:dyDescent="0.25">
      <c r="B89" s="403" t="s">
        <v>192</v>
      </c>
      <c r="C89" s="404"/>
      <c r="D89" s="404"/>
      <c r="E89" s="404"/>
      <c r="F89" s="404"/>
      <c r="G89" s="405"/>
      <c r="H89" s="1"/>
    </row>
    <row r="90" spans="2:8" ht="15" customHeight="1" x14ac:dyDescent="0.25">
      <c r="B90" s="385" t="s">
        <v>193</v>
      </c>
      <c r="C90" s="386"/>
      <c r="D90" s="386"/>
      <c r="E90" s="386"/>
      <c r="F90" s="386"/>
      <c r="G90" s="387"/>
      <c r="H90" s="1"/>
    </row>
    <row r="91" spans="2:8" ht="15" customHeight="1" x14ac:dyDescent="0.25">
      <c r="B91" s="403" t="s">
        <v>194</v>
      </c>
      <c r="C91" s="404"/>
      <c r="D91" s="404"/>
      <c r="E91" s="404"/>
      <c r="F91" s="404"/>
      <c r="G91" s="405"/>
      <c r="H91" s="1"/>
    </row>
    <row r="92" spans="2:8" ht="89.25" customHeight="1" x14ac:dyDescent="0.25">
      <c r="B92" s="385" t="s">
        <v>195</v>
      </c>
      <c r="C92" s="386"/>
      <c r="D92" s="386"/>
      <c r="E92" s="386"/>
      <c r="F92" s="386"/>
      <c r="G92" s="387"/>
      <c r="H92" s="1"/>
    </row>
    <row r="93" spans="2:8" ht="15" customHeight="1" x14ac:dyDescent="0.25">
      <c r="B93" s="403" t="s">
        <v>196</v>
      </c>
      <c r="C93" s="404"/>
      <c r="D93" s="404"/>
      <c r="E93" s="404"/>
      <c r="F93" s="404"/>
      <c r="G93" s="405"/>
      <c r="H93" s="1"/>
    </row>
    <row r="94" spans="2:8" ht="15" customHeight="1" x14ac:dyDescent="0.25">
      <c r="B94" s="409" t="s">
        <v>197</v>
      </c>
      <c r="C94" s="410"/>
      <c r="D94" s="410"/>
      <c r="E94" s="410"/>
      <c r="F94" s="410"/>
      <c r="G94" s="411"/>
      <c r="H94" s="1"/>
    </row>
    <row r="95" spans="2:8" ht="15" customHeight="1" x14ac:dyDescent="0.25">
      <c r="B95" s="385" t="s">
        <v>198</v>
      </c>
      <c r="C95" s="386"/>
      <c r="D95" s="386"/>
      <c r="E95" s="386"/>
      <c r="F95" s="386"/>
      <c r="G95" s="387"/>
      <c r="H95" s="1"/>
    </row>
    <row r="96" spans="2:8" ht="15" customHeight="1" x14ac:dyDescent="0.25">
      <c r="B96" s="385" t="s">
        <v>199</v>
      </c>
      <c r="C96" s="386"/>
      <c r="D96" s="386"/>
      <c r="E96" s="386"/>
      <c r="F96" s="386"/>
      <c r="G96" s="387"/>
      <c r="H96" s="1"/>
    </row>
    <row r="97" spans="1:8" ht="15" customHeight="1" x14ac:dyDescent="0.25">
      <c r="B97" s="385" t="s">
        <v>200</v>
      </c>
      <c r="C97" s="386"/>
      <c r="D97" s="386"/>
      <c r="E97" s="386"/>
      <c r="F97" s="386"/>
      <c r="G97" s="387"/>
      <c r="H97" s="1"/>
    </row>
    <row r="98" spans="1:8" ht="15" customHeight="1" x14ac:dyDescent="0.25">
      <c r="B98" s="385" t="s">
        <v>201</v>
      </c>
      <c r="C98" s="386"/>
      <c r="D98" s="386"/>
      <c r="E98" s="386"/>
      <c r="F98" s="386"/>
      <c r="G98" s="387"/>
      <c r="H98" s="1"/>
    </row>
    <row r="99" spans="1:8" ht="15" customHeight="1" x14ac:dyDescent="0.25">
      <c r="B99" s="385" t="s">
        <v>202</v>
      </c>
      <c r="C99" s="386"/>
      <c r="D99" s="386"/>
      <c r="E99" s="386"/>
      <c r="F99" s="386"/>
      <c r="G99" s="387"/>
      <c r="H99" s="1"/>
    </row>
    <row r="100" spans="1:8" ht="28.5" customHeight="1" x14ac:dyDescent="0.25">
      <c r="B100" s="385" t="s">
        <v>203</v>
      </c>
      <c r="C100" s="386"/>
      <c r="D100" s="386"/>
      <c r="E100" s="386"/>
      <c r="F100" s="386"/>
      <c r="G100" s="387"/>
      <c r="H100" s="1"/>
    </row>
    <row r="101" spans="1:8" ht="15" customHeight="1" x14ac:dyDescent="0.25">
      <c r="B101" s="385" t="s">
        <v>204</v>
      </c>
      <c r="C101" s="386"/>
      <c r="D101" s="386"/>
      <c r="E101" s="386"/>
      <c r="F101" s="386"/>
      <c r="G101" s="387"/>
      <c r="H101" s="1"/>
    </row>
    <row r="102" spans="1:8" ht="15" customHeight="1" x14ac:dyDescent="0.25">
      <c r="B102" s="403" t="s">
        <v>205</v>
      </c>
      <c r="C102" s="404"/>
      <c r="D102" s="404"/>
      <c r="E102" s="404"/>
      <c r="F102" s="404"/>
      <c r="G102" s="405"/>
      <c r="H102" s="1"/>
    </row>
    <row r="103" spans="1:8" ht="40.5" customHeight="1" x14ac:dyDescent="0.25">
      <c r="B103" s="385" t="s">
        <v>206</v>
      </c>
      <c r="C103" s="386"/>
      <c r="D103" s="386"/>
      <c r="E103" s="386"/>
      <c r="F103" s="386"/>
      <c r="G103" s="387"/>
      <c r="H103" s="1"/>
    </row>
    <row r="104" spans="1:8" ht="15" customHeight="1" x14ac:dyDescent="0.25">
      <c r="B104" s="403" t="s">
        <v>207</v>
      </c>
      <c r="C104" s="404"/>
      <c r="D104" s="404"/>
      <c r="E104" s="404"/>
      <c r="F104" s="404"/>
      <c r="G104" s="405"/>
      <c r="H104" s="1"/>
    </row>
    <row r="105" spans="1:8" ht="77.25" customHeight="1" x14ac:dyDescent="0.25">
      <c r="B105" s="385" t="s">
        <v>208</v>
      </c>
      <c r="C105" s="386"/>
      <c r="D105" s="386"/>
      <c r="E105" s="386"/>
      <c r="F105" s="386"/>
      <c r="G105" s="387"/>
      <c r="H105" s="1"/>
    </row>
    <row r="106" spans="1:8" ht="16.5" customHeight="1" x14ac:dyDescent="0.25">
      <c r="B106" s="385" t="s">
        <v>209</v>
      </c>
      <c r="C106" s="386"/>
      <c r="D106" s="386"/>
      <c r="E106" s="386"/>
      <c r="F106" s="386"/>
      <c r="G106" s="387"/>
      <c r="H106" s="1"/>
    </row>
    <row r="107" spans="1:8" ht="39.75" customHeight="1" x14ac:dyDescent="0.25">
      <c r="B107" s="385" t="s">
        <v>210</v>
      </c>
      <c r="C107" s="386"/>
      <c r="D107" s="386"/>
      <c r="E107" s="386"/>
      <c r="F107" s="386"/>
      <c r="G107" s="387"/>
      <c r="H107" s="1"/>
    </row>
    <row r="108" spans="1:8" ht="15" customHeight="1" x14ac:dyDescent="0.25">
      <c r="B108" s="403" t="s">
        <v>211</v>
      </c>
      <c r="C108" s="404"/>
      <c r="D108" s="404"/>
      <c r="E108" s="404"/>
      <c r="F108" s="404"/>
      <c r="G108" s="405"/>
      <c r="H108" s="1"/>
    </row>
    <row r="109" spans="1:8" ht="50.25" customHeight="1" x14ac:dyDescent="0.25">
      <c r="B109" s="385" t="s">
        <v>212</v>
      </c>
      <c r="C109" s="386"/>
      <c r="D109" s="386"/>
      <c r="E109" s="386"/>
      <c r="F109" s="386"/>
      <c r="G109" s="387"/>
      <c r="H109" s="1"/>
    </row>
    <row r="110" spans="1:8" ht="63.75" customHeight="1" x14ac:dyDescent="0.25">
      <c r="B110" s="385" t="s">
        <v>213</v>
      </c>
      <c r="C110" s="386"/>
      <c r="D110" s="386"/>
      <c r="E110" s="386"/>
      <c r="F110" s="386"/>
      <c r="G110" s="387"/>
      <c r="H110" s="1"/>
    </row>
    <row r="111" spans="1:8" ht="52.5" customHeight="1" x14ac:dyDescent="0.25">
      <c r="B111" s="385" t="s">
        <v>214</v>
      </c>
      <c r="C111" s="386"/>
      <c r="D111" s="386"/>
      <c r="E111" s="386"/>
      <c r="F111" s="386"/>
      <c r="G111" s="387"/>
      <c r="H111" s="1"/>
    </row>
    <row r="112" spans="1:8" s="87" customFormat="1" ht="27.75" customHeight="1" x14ac:dyDescent="0.25">
      <c r="A112" s="85"/>
      <c r="B112" s="385" t="s">
        <v>215</v>
      </c>
      <c r="C112" s="386"/>
      <c r="D112" s="386"/>
      <c r="E112" s="386"/>
      <c r="F112" s="386"/>
      <c r="G112" s="387"/>
      <c r="H112" s="86"/>
    </row>
    <row r="113" spans="2:8" ht="117.75" customHeight="1" x14ac:dyDescent="0.25">
      <c r="B113" s="385" t="s">
        <v>216</v>
      </c>
      <c r="C113" s="386"/>
      <c r="D113" s="386"/>
      <c r="E113" s="386"/>
      <c r="F113" s="386"/>
      <c r="G113" s="387"/>
      <c r="H113" s="1"/>
    </row>
    <row r="114" spans="2:8" ht="27" customHeight="1" x14ac:dyDescent="0.25">
      <c r="B114" s="385" t="s">
        <v>217</v>
      </c>
      <c r="C114" s="386"/>
      <c r="D114" s="386"/>
      <c r="E114" s="386"/>
      <c r="F114" s="386"/>
      <c r="G114" s="387"/>
      <c r="H114" s="1"/>
    </row>
    <row r="115" spans="2:8" ht="27" customHeight="1" x14ac:dyDescent="0.25">
      <c r="B115" s="385" t="s">
        <v>218</v>
      </c>
      <c r="C115" s="386"/>
      <c r="D115" s="386"/>
      <c r="E115" s="386"/>
      <c r="F115" s="386"/>
      <c r="G115" s="387"/>
      <c r="H115" s="1"/>
    </row>
    <row r="116" spans="2:8" ht="180.75" customHeight="1" x14ac:dyDescent="0.25">
      <c r="B116" s="385" t="s">
        <v>219</v>
      </c>
      <c r="C116" s="386"/>
      <c r="D116" s="386"/>
      <c r="E116" s="386"/>
      <c r="F116" s="386"/>
      <c r="G116" s="387"/>
      <c r="H116" s="1"/>
    </row>
    <row r="117" spans="2:8" ht="112.5" customHeight="1" x14ac:dyDescent="0.25">
      <c r="B117" s="385" t="s">
        <v>220</v>
      </c>
      <c r="C117" s="386"/>
      <c r="D117" s="386"/>
      <c r="E117" s="386"/>
      <c r="F117" s="386"/>
      <c r="G117" s="387"/>
      <c r="H117" s="1"/>
    </row>
    <row r="118" spans="2:8" ht="27" customHeight="1" x14ac:dyDescent="0.25">
      <c r="B118" s="385" t="s">
        <v>221</v>
      </c>
      <c r="C118" s="386"/>
      <c r="D118" s="386"/>
      <c r="E118" s="386"/>
      <c r="F118" s="386"/>
      <c r="G118" s="387"/>
      <c r="H118" s="1"/>
    </row>
    <row r="119" spans="2:8" ht="27.75" customHeight="1" x14ac:dyDescent="0.25">
      <c r="B119" s="385" t="s">
        <v>222</v>
      </c>
      <c r="C119" s="386"/>
      <c r="D119" s="386"/>
      <c r="E119" s="386"/>
      <c r="F119" s="386"/>
      <c r="G119" s="387"/>
      <c r="H119" s="1"/>
    </row>
    <row r="120" spans="2:8" ht="41.25" customHeight="1" x14ac:dyDescent="0.25">
      <c r="B120" s="385" t="s">
        <v>223</v>
      </c>
      <c r="C120" s="386"/>
      <c r="D120" s="386"/>
      <c r="E120" s="386"/>
      <c r="F120" s="386"/>
      <c r="G120" s="387"/>
      <c r="H120" s="1"/>
    </row>
    <row r="121" spans="2:8" ht="28.5" customHeight="1" x14ac:dyDescent="0.25">
      <c r="B121" s="385" t="s">
        <v>224</v>
      </c>
      <c r="C121" s="386"/>
      <c r="D121" s="386"/>
      <c r="E121" s="386"/>
      <c r="F121" s="386"/>
      <c r="G121" s="387"/>
      <c r="H121" s="1"/>
    </row>
    <row r="122" spans="2:8" ht="15" customHeight="1" x14ac:dyDescent="0.25">
      <c r="B122" s="385" t="s">
        <v>225</v>
      </c>
      <c r="C122" s="386"/>
      <c r="D122" s="386"/>
      <c r="E122" s="386"/>
      <c r="F122" s="386"/>
      <c r="G122" s="387"/>
      <c r="H122" s="1"/>
    </row>
    <row r="123" spans="2:8" ht="27" customHeight="1" x14ac:dyDescent="0.25">
      <c r="B123" s="385" t="s">
        <v>226</v>
      </c>
      <c r="C123" s="386"/>
      <c r="D123" s="386"/>
      <c r="E123" s="386"/>
      <c r="F123" s="386"/>
      <c r="G123" s="387"/>
      <c r="H123" s="1"/>
    </row>
    <row r="124" spans="2:8" ht="28.5" customHeight="1" x14ac:dyDescent="0.25">
      <c r="B124" s="385" t="s">
        <v>227</v>
      </c>
      <c r="C124" s="386"/>
      <c r="D124" s="386"/>
      <c r="E124" s="386"/>
      <c r="F124" s="386"/>
      <c r="G124" s="387"/>
      <c r="H124" s="1"/>
    </row>
    <row r="125" spans="2:8" ht="27.75" customHeight="1" x14ac:dyDescent="0.25">
      <c r="B125" s="393" t="s">
        <v>228</v>
      </c>
      <c r="C125" s="394"/>
      <c r="D125" s="394"/>
      <c r="E125" s="394"/>
      <c r="F125" s="394"/>
      <c r="G125" s="395"/>
      <c r="H125" s="1"/>
    </row>
    <row r="126" spans="2:8" x14ac:dyDescent="0.25">
      <c r="B126" s="393" t="s">
        <v>229</v>
      </c>
      <c r="C126" s="394"/>
      <c r="D126" s="394"/>
      <c r="E126" s="394"/>
      <c r="F126" s="394"/>
      <c r="G126" s="395"/>
      <c r="H126" s="1"/>
    </row>
    <row r="127" spans="2:8" ht="53.25" customHeight="1" x14ac:dyDescent="0.25">
      <c r="B127" s="393" t="s">
        <v>150</v>
      </c>
      <c r="C127" s="394"/>
      <c r="D127" s="394"/>
      <c r="E127" s="394"/>
      <c r="F127" s="394"/>
      <c r="G127" s="395"/>
      <c r="H127" s="1"/>
    </row>
    <row r="128" spans="2:8" ht="15" customHeight="1" x14ac:dyDescent="0.25">
      <c r="B128" s="396"/>
      <c r="C128" s="396"/>
      <c r="D128" s="396"/>
      <c r="E128" s="396"/>
      <c r="F128" s="396"/>
      <c r="G128" s="396"/>
      <c r="H128" s="1"/>
    </row>
    <row r="129" spans="1:8" ht="15" customHeight="1" x14ac:dyDescent="0.25">
      <c r="B129" s="78"/>
      <c r="C129" s="78"/>
      <c r="D129" s="78"/>
      <c r="E129" s="78"/>
      <c r="F129" s="78"/>
      <c r="G129" s="78"/>
      <c r="H129" s="1"/>
    </row>
    <row r="130" spans="1:8" ht="15" customHeight="1" x14ac:dyDescent="0.25">
      <c r="A130" s="69" t="s">
        <v>230</v>
      </c>
      <c r="B130" s="412" t="s">
        <v>231</v>
      </c>
      <c r="C130" s="412"/>
      <c r="D130" s="412"/>
      <c r="E130" s="412"/>
      <c r="F130" s="412"/>
      <c r="G130" s="412"/>
    </row>
    <row r="131" spans="1:8" ht="65.25" customHeight="1" x14ac:dyDescent="0.25">
      <c r="B131" s="413" t="s">
        <v>232</v>
      </c>
      <c r="C131" s="414"/>
      <c r="D131" s="414"/>
      <c r="E131" s="414"/>
      <c r="F131" s="414"/>
      <c r="G131" s="415"/>
      <c r="H131" s="1"/>
    </row>
    <row r="132" spans="1:8" ht="39.75" customHeight="1" x14ac:dyDescent="0.25">
      <c r="B132" s="385" t="s">
        <v>233</v>
      </c>
      <c r="C132" s="386"/>
      <c r="D132" s="386"/>
      <c r="E132" s="386"/>
      <c r="F132" s="386"/>
      <c r="G132" s="387"/>
      <c r="H132" s="1"/>
    </row>
    <row r="133" spans="1:8" ht="141.75" customHeight="1" x14ac:dyDescent="0.25">
      <c r="B133" s="385" t="s">
        <v>234</v>
      </c>
      <c r="C133" s="386"/>
      <c r="D133" s="386"/>
      <c r="E133" s="386"/>
      <c r="F133" s="386"/>
      <c r="G133" s="387"/>
      <c r="H133" s="1"/>
    </row>
    <row r="134" spans="1:8" ht="63.75" customHeight="1" x14ac:dyDescent="0.25">
      <c r="B134" s="393" t="s">
        <v>235</v>
      </c>
      <c r="C134" s="386"/>
      <c r="D134" s="386"/>
      <c r="E134" s="386"/>
      <c r="F134" s="386"/>
      <c r="G134" s="387"/>
      <c r="H134" s="1"/>
    </row>
    <row r="135" spans="1:8" ht="50.25" customHeight="1" x14ac:dyDescent="0.25">
      <c r="B135" s="393" t="s">
        <v>236</v>
      </c>
      <c r="C135" s="394"/>
      <c r="D135" s="394"/>
      <c r="E135" s="394"/>
      <c r="F135" s="394"/>
      <c r="G135" s="395"/>
      <c r="H135" s="1"/>
    </row>
    <row r="136" spans="1:8" ht="27" customHeight="1" x14ac:dyDescent="0.25">
      <c r="B136" s="393" t="s">
        <v>237</v>
      </c>
      <c r="C136" s="394"/>
      <c r="D136" s="394"/>
      <c r="E136" s="394"/>
      <c r="F136" s="394"/>
      <c r="G136" s="395"/>
      <c r="H136" s="1"/>
    </row>
    <row r="137" spans="1:8" ht="51.75" customHeight="1" x14ac:dyDescent="0.25">
      <c r="B137" s="393" t="s">
        <v>238</v>
      </c>
      <c r="C137" s="386"/>
      <c r="D137" s="386"/>
      <c r="E137" s="386"/>
      <c r="F137" s="386"/>
      <c r="G137" s="387"/>
      <c r="H137" s="1"/>
    </row>
    <row r="138" spans="1:8" ht="75.75" customHeight="1" x14ac:dyDescent="0.25">
      <c r="B138" s="393" t="s">
        <v>239</v>
      </c>
      <c r="C138" s="394"/>
      <c r="D138" s="394"/>
      <c r="E138" s="394"/>
      <c r="F138" s="394"/>
      <c r="G138" s="395"/>
      <c r="H138" s="1"/>
    </row>
    <row r="139" spans="1:8" ht="66.75" customHeight="1" x14ac:dyDescent="0.25">
      <c r="B139" s="393" t="s">
        <v>240</v>
      </c>
      <c r="C139" s="386"/>
      <c r="D139" s="386"/>
      <c r="E139" s="386"/>
      <c r="F139" s="386"/>
      <c r="G139" s="387"/>
      <c r="H139" s="1"/>
    </row>
    <row r="140" spans="1:8" ht="51" customHeight="1" x14ac:dyDescent="0.25">
      <c r="B140" s="393" t="s">
        <v>241</v>
      </c>
      <c r="C140" s="386"/>
      <c r="D140" s="386"/>
      <c r="E140" s="386"/>
      <c r="F140" s="386"/>
      <c r="G140" s="387"/>
      <c r="H140" s="1"/>
    </row>
    <row r="141" spans="1:8" ht="27" customHeight="1" x14ac:dyDescent="0.25">
      <c r="B141" s="393" t="s">
        <v>242</v>
      </c>
      <c r="C141" s="394"/>
      <c r="D141" s="394"/>
      <c r="E141" s="394"/>
      <c r="F141" s="394"/>
      <c r="G141" s="395"/>
      <c r="H141" s="1"/>
    </row>
    <row r="142" spans="1:8" ht="28.5" customHeight="1" x14ac:dyDescent="0.25">
      <c r="B142" s="393" t="s">
        <v>243</v>
      </c>
      <c r="C142" s="386"/>
      <c r="D142" s="386"/>
      <c r="E142" s="386"/>
      <c r="F142" s="386"/>
      <c r="G142" s="387"/>
      <c r="H142" s="1"/>
    </row>
    <row r="143" spans="1:8" ht="42.75" customHeight="1" x14ac:dyDescent="0.25">
      <c r="B143" s="393" t="s">
        <v>244</v>
      </c>
      <c r="C143" s="386"/>
      <c r="D143" s="386"/>
      <c r="E143" s="386"/>
      <c r="F143" s="386"/>
      <c r="G143" s="387"/>
      <c r="H143" s="1"/>
    </row>
    <row r="144" spans="1:8" ht="63.75" customHeight="1" x14ac:dyDescent="0.25">
      <c r="B144" s="393" t="s">
        <v>245</v>
      </c>
      <c r="C144" s="386"/>
      <c r="D144" s="386"/>
      <c r="E144" s="386"/>
      <c r="F144" s="386"/>
      <c r="G144" s="387"/>
      <c r="H144" s="1"/>
    </row>
    <row r="145" spans="1:8" s="89" customFormat="1" ht="54.75" customHeight="1" x14ac:dyDescent="0.25">
      <c r="A145" s="64"/>
      <c r="B145" s="393" t="s">
        <v>246</v>
      </c>
      <c r="C145" s="386"/>
      <c r="D145" s="386"/>
      <c r="E145" s="386"/>
      <c r="F145" s="386"/>
      <c r="G145" s="387"/>
      <c r="H145" s="88"/>
    </row>
    <row r="146" spans="1:8" ht="15" customHeight="1" x14ac:dyDescent="0.25">
      <c r="B146" s="416" t="s">
        <v>247</v>
      </c>
      <c r="C146" s="417"/>
      <c r="D146" s="417"/>
      <c r="E146" s="417"/>
      <c r="F146" s="417"/>
      <c r="G146" s="418"/>
      <c r="H146" s="1"/>
    </row>
    <row r="147" spans="1:8" ht="15" customHeight="1" x14ac:dyDescent="0.25">
      <c r="B147" s="416" t="s">
        <v>248</v>
      </c>
      <c r="C147" s="417"/>
      <c r="D147" s="417"/>
      <c r="E147" s="417"/>
      <c r="F147" s="417"/>
      <c r="G147" s="418"/>
      <c r="H147" s="1"/>
    </row>
    <row r="148" spans="1:8" ht="26.25" customHeight="1" x14ac:dyDescent="0.25">
      <c r="B148" s="385" t="s">
        <v>249</v>
      </c>
      <c r="C148" s="386"/>
      <c r="D148" s="386"/>
      <c r="E148" s="386"/>
      <c r="F148" s="386"/>
      <c r="G148" s="387"/>
      <c r="H148" s="1"/>
    </row>
    <row r="149" spans="1:8" ht="15" customHeight="1" x14ac:dyDescent="0.25">
      <c r="B149" s="416" t="s">
        <v>250</v>
      </c>
      <c r="C149" s="417"/>
      <c r="D149" s="417"/>
      <c r="E149" s="417"/>
      <c r="F149" s="417"/>
      <c r="G149" s="418"/>
      <c r="H149" s="1"/>
    </row>
    <row r="150" spans="1:8" ht="27" customHeight="1" x14ac:dyDescent="0.25">
      <c r="B150" s="385" t="s">
        <v>251</v>
      </c>
      <c r="C150" s="386"/>
      <c r="D150" s="386"/>
      <c r="E150" s="386"/>
      <c r="F150" s="386"/>
      <c r="G150" s="387"/>
      <c r="H150" s="1"/>
    </row>
    <row r="151" spans="1:8" ht="15" customHeight="1" x14ac:dyDescent="0.25">
      <c r="B151" s="419" t="s">
        <v>252</v>
      </c>
      <c r="C151" s="386"/>
      <c r="D151" s="386"/>
      <c r="E151" s="386"/>
      <c r="F151" s="386"/>
      <c r="G151" s="387"/>
      <c r="H151" s="1"/>
    </row>
    <row r="152" spans="1:8" ht="51.75" customHeight="1" x14ac:dyDescent="0.25">
      <c r="B152" s="385" t="s">
        <v>253</v>
      </c>
      <c r="C152" s="386"/>
      <c r="D152" s="386"/>
      <c r="E152" s="386"/>
      <c r="F152" s="386"/>
      <c r="G152" s="387"/>
      <c r="H152" s="1"/>
    </row>
    <row r="153" spans="1:8" ht="15" customHeight="1" x14ac:dyDescent="0.25">
      <c r="B153" s="385" t="s">
        <v>254</v>
      </c>
      <c r="C153" s="386"/>
      <c r="D153" s="386"/>
      <c r="E153" s="386"/>
      <c r="F153" s="386"/>
      <c r="G153" s="387"/>
      <c r="H153" s="1"/>
    </row>
    <row r="154" spans="1:8" ht="15" customHeight="1" x14ac:dyDescent="0.25">
      <c r="B154" s="416" t="s">
        <v>255</v>
      </c>
      <c r="C154" s="417"/>
      <c r="D154" s="417"/>
      <c r="E154" s="417"/>
      <c r="F154" s="417"/>
      <c r="G154" s="418"/>
      <c r="H154" s="1"/>
    </row>
    <row r="155" spans="1:8" ht="105" customHeight="1" x14ac:dyDescent="0.25">
      <c r="B155" s="385" t="s">
        <v>256</v>
      </c>
      <c r="C155" s="386"/>
      <c r="D155" s="386"/>
      <c r="E155" s="386"/>
      <c r="F155" s="386"/>
      <c r="G155" s="387"/>
      <c r="H155" s="1"/>
    </row>
    <row r="156" spans="1:8" ht="51" customHeight="1" x14ac:dyDescent="0.25">
      <c r="B156" s="385" t="s">
        <v>257</v>
      </c>
      <c r="C156" s="386"/>
      <c r="D156" s="386"/>
      <c r="E156" s="386"/>
      <c r="F156" s="386"/>
      <c r="G156" s="387"/>
      <c r="H156" s="1"/>
    </row>
    <row r="157" spans="1:8" ht="66" customHeight="1" x14ac:dyDescent="0.25">
      <c r="B157" s="385" t="s">
        <v>258</v>
      </c>
      <c r="C157" s="386"/>
      <c r="D157" s="386"/>
      <c r="E157" s="386"/>
      <c r="F157" s="386"/>
      <c r="G157" s="387"/>
      <c r="H157" s="1"/>
    </row>
    <row r="158" spans="1:8" ht="15" customHeight="1" x14ac:dyDescent="0.25">
      <c r="B158" s="416" t="s">
        <v>259</v>
      </c>
      <c r="C158" s="417"/>
      <c r="D158" s="417"/>
      <c r="E158" s="417"/>
      <c r="F158" s="417"/>
      <c r="G158" s="418"/>
      <c r="H158" s="1"/>
    </row>
    <row r="159" spans="1:8" ht="26.25" customHeight="1" x14ac:dyDescent="0.25">
      <c r="B159" s="385" t="s">
        <v>260</v>
      </c>
      <c r="C159" s="386"/>
      <c r="D159" s="386"/>
      <c r="E159" s="386"/>
      <c r="F159" s="386"/>
      <c r="G159" s="387"/>
      <c r="H159" s="1"/>
    </row>
    <row r="160" spans="1:8" ht="15" customHeight="1" x14ac:dyDescent="0.25">
      <c r="B160" s="396"/>
      <c r="C160" s="396"/>
      <c r="D160" s="396"/>
      <c r="E160" s="396"/>
      <c r="F160" s="396"/>
      <c r="G160" s="396"/>
      <c r="H160" s="1"/>
    </row>
    <row r="161" spans="1:8" ht="15" customHeight="1" x14ac:dyDescent="0.25">
      <c r="B161" s="78"/>
      <c r="C161" s="78"/>
      <c r="D161" s="78"/>
      <c r="E161" s="78"/>
      <c r="F161" s="78"/>
      <c r="G161" s="78"/>
      <c r="H161" s="1"/>
    </row>
    <row r="162" spans="1:8" ht="15" customHeight="1" x14ac:dyDescent="0.25">
      <c r="A162" s="69" t="s">
        <v>261</v>
      </c>
      <c r="B162" s="420" t="s">
        <v>262</v>
      </c>
      <c r="C162" s="421"/>
      <c r="D162" s="421"/>
      <c r="E162" s="421"/>
      <c r="F162" s="421"/>
      <c r="G162" s="422"/>
      <c r="H162" s="1"/>
    </row>
    <row r="163" spans="1:8" ht="90.75" customHeight="1" x14ac:dyDescent="0.25">
      <c r="B163" s="385" t="s">
        <v>263</v>
      </c>
      <c r="C163" s="386"/>
      <c r="D163" s="386"/>
      <c r="E163" s="386"/>
      <c r="F163" s="386"/>
      <c r="G163" s="387"/>
      <c r="H163" s="1"/>
    </row>
    <row r="164" spans="1:8" ht="142.5" customHeight="1" x14ac:dyDescent="0.25">
      <c r="B164" s="385" t="s">
        <v>264</v>
      </c>
      <c r="C164" s="386"/>
      <c r="D164" s="386"/>
      <c r="E164" s="386"/>
      <c r="F164" s="386"/>
      <c r="G164" s="387"/>
      <c r="H164" s="1"/>
    </row>
    <row r="165" spans="1:8" ht="116.25" customHeight="1" x14ac:dyDescent="0.25">
      <c r="B165" s="385" t="s">
        <v>265</v>
      </c>
      <c r="C165" s="386"/>
      <c r="D165" s="386"/>
      <c r="E165" s="386"/>
      <c r="F165" s="386"/>
      <c r="G165" s="387"/>
      <c r="H165" s="1"/>
    </row>
    <row r="166" spans="1:8" ht="101.25" customHeight="1" x14ac:dyDescent="0.25">
      <c r="B166" s="385" t="s">
        <v>266</v>
      </c>
      <c r="C166" s="386"/>
      <c r="D166" s="386"/>
      <c r="E166" s="386"/>
      <c r="F166" s="386"/>
      <c r="G166" s="387"/>
      <c r="H166" s="1"/>
    </row>
    <row r="167" spans="1:8" ht="142.5" customHeight="1" x14ac:dyDescent="0.25">
      <c r="B167" s="393" t="s">
        <v>267</v>
      </c>
      <c r="C167" s="386"/>
      <c r="D167" s="386"/>
      <c r="E167" s="386"/>
      <c r="F167" s="386"/>
      <c r="G167" s="387"/>
      <c r="H167" s="1"/>
    </row>
    <row r="168" spans="1:8" ht="232.5" customHeight="1" x14ac:dyDescent="0.25">
      <c r="B168" s="393" t="s">
        <v>268</v>
      </c>
      <c r="C168" s="386"/>
      <c r="D168" s="386"/>
      <c r="E168" s="386"/>
      <c r="F168" s="386"/>
      <c r="G168" s="387"/>
      <c r="H168" s="1"/>
    </row>
    <row r="169" spans="1:8" x14ac:dyDescent="0.25">
      <c r="B169" s="419" t="s">
        <v>269</v>
      </c>
      <c r="C169" s="386"/>
      <c r="D169" s="386"/>
      <c r="E169" s="386"/>
      <c r="F169" s="386"/>
      <c r="G169" s="387"/>
      <c r="H169" s="1"/>
    </row>
    <row r="170" spans="1:8" ht="39.75" customHeight="1" x14ac:dyDescent="0.25">
      <c r="B170" s="385" t="s">
        <v>270</v>
      </c>
      <c r="C170" s="386"/>
      <c r="D170" s="386"/>
      <c r="E170" s="386"/>
      <c r="F170" s="386"/>
      <c r="G170" s="387"/>
      <c r="H170" s="1"/>
    </row>
    <row r="171" spans="1:8" ht="39.75" customHeight="1" x14ac:dyDescent="0.25">
      <c r="B171" s="393" t="s">
        <v>271</v>
      </c>
      <c r="C171" s="386"/>
      <c r="D171" s="386"/>
      <c r="E171" s="386"/>
      <c r="F171" s="386"/>
      <c r="G171" s="387"/>
      <c r="H171" s="1"/>
    </row>
    <row r="172" spans="1:8" ht="39" customHeight="1" x14ac:dyDescent="0.25">
      <c r="B172" s="385" t="s">
        <v>272</v>
      </c>
      <c r="C172" s="386"/>
      <c r="D172" s="386"/>
      <c r="E172" s="386"/>
      <c r="F172" s="386"/>
      <c r="G172" s="387"/>
      <c r="H172" s="1"/>
    </row>
    <row r="173" spans="1:8" ht="15" customHeight="1" x14ac:dyDescent="0.25">
      <c r="B173" s="396"/>
      <c r="C173" s="396"/>
      <c r="D173" s="396"/>
      <c r="E173" s="396"/>
      <c r="F173" s="396"/>
      <c r="G173" s="396"/>
      <c r="H173" s="1"/>
    </row>
    <row r="174" spans="1:8" ht="15" customHeight="1" x14ac:dyDescent="0.25">
      <c r="B174" s="78"/>
      <c r="C174" s="78"/>
      <c r="D174" s="78"/>
      <c r="E174" s="78"/>
      <c r="F174" s="78"/>
      <c r="G174" s="78"/>
      <c r="H174" s="1"/>
    </row>
    <row r="175" spans="1:8" ht="15" customHeight="1" x14ac:dyDescent="0.25">
      <c r="A175" s="69" t="s">
        <v>273</v>
      </c>
      <c r="B175" s="420" t="s">
        <v>274</v>
      </c>
      <c r="C175" s="421"/>
      <c r="D175" s="421"/>
      <c r="E175" s="421"/>
      <c r="F175" s="421"/>
      <c r="G175" s="422"/>
      <c r="H175" s="1"/>
    </row>
    <row r="176" spans="1:8" s="89" customFormat="1" ht="39" customHeight="1" x14ac:dyDescent="0.25">
      <c r="A176" s="64"/>
      <c r="B176" s="385" t="s">
        <v>275</v>
      </c>
      <c r="C176" s="386"/>
      <c r="D176" s="386"/>
      <c r="E176" s="386"/>
      <c r="F176" s="386"/>
      <c r="G176" s="387"/>
      <c r="H176" s="88"/>
    </row>
    <row r="177" spans="2:8" ht="39" customHeight="1" x14ac:dyDescent="0.25">
      <c r="B177" s="385" t="s">
        <v>276</v>
      </c>
      <c r="C177" s="386"/>
      <c r="D177" s="386"/>
      <c r="E177" s="386"/>
      <c r="F177" s="386"/>
      <c r="G177" s="387"/>
      <c r="H177" s="1"/>
    </row>
    <row r="178" spans="2:8" ht="27.75" customHeight="1" x14ac:dyDescent="0.25">
      <c r="B178" s="385" t="s">
        <v>277</v>
      </c>
      <c r="C178" s="386"/>
      <c r="D178" s="386"/>
      <c r="E178" s="386"/>
      <c r="F178" s="386"/>
      <c r="G178" s="387"/>
      <c r="H178" s="1"/>
    </row>
    <row r="179" spans="2:8" ht="38.25" customHeight="1" x14ac:dyDescent="0.25">
      <c r="B179" s="385" t="s">
        <v>278</v>
      </c>
      <c r="C179" s="386"/>
      <c r="D179" s="386"/>
      <c r="E179" s="386"/>
      <c r="F179" s="386"/>
      <c r="G179" s="387"/>
      <c r="H179" s="1"/>
    </row>
    <row r="180" spans="2:8" ht="28.5" customHeight="1" x14ac:dyDescent="0.25">
      <c r="B180" s="385" t="s">
        <v>279</v>
      </c>
      <c r="C180" s="386"/>
      <c r="D180" s="386"/>
      <c r="E180" s="386"/>
      <c r="F180" s="386"/>
      <c r="G180" s="387"/>
      <c r="H180" s="1"/>
    </row>
    <row r="181" spans="2:8" ht="51.75" customHeight="1" x14ac:dyDescent="0.25">
      <c r="B181" s="385" t="s">
        <v>280</v>
      </c>
      <c r="C181" s="386"/>
      <c r="D181" s="386"/>
      <c r="E181" s="386"/>
      <c r="F181" s="386"/>
      <c r="G181" s="387"/>
      <c r="H181" s="1"/>
    </row>
    <row r="182" spans="2:8" ht="40.5" customHeight="1" x14ac:dyDescent="0.25">
      <c r="B182" s="385" t="s">
        <v>281</v>
      </c>
      <c r="C182" s="386"/>
      <c r="D182" s="386"/>
      <c r="E182" s="386"/>
      <c r="F182" s="386"/>
      <c r="G182" s="387"/>
      <c r="H182" s="1"/>
    </row>
    <row r="183" spans="2:8" ht="27.75" customHeight="1" x14ac:dyDescent="0.25">
      <c r="B183" s="385" t="s">
        <v>282</v>
      </c>
      <c r="C183" s="386"/>
      <c r="D183" s="386"/>
      <c r="E183" s="386"/>
      <c r="F183" s="386"/>
      <c r="G183" s="387"/>
      <c r="H183" s="1"/>
    </row>
    <row r="184" spans="2:8" ht="39" customHeight="1" x14ac:dyDescent="0.25">
      <c r="B184" s="385" t="s">
        <v>283</v>
      </c>
      <c r="C184" s="386"/>
      <c r="D184" s="386"/>
      <c r="E184" s="386"/>
      <c r="F184" s="386"/>
      <c r="G184" s="387"/>
      <c r="H184" s="1"/>
    </row>
    <row r="185" spans="2:8" ht="15" customHeight="1" x14ac:dyDescent="0.25">
      <c r="B185" s="385" t="s">
        <v>284</v>
      </c>
      <c r="C185" s="386"/>
      <c r="D185" s="386"/>
      <c r="E185" s="386"/>
      <c r="F185" s="386"/>
      <c r="G185" s="387"/>
      <c r="H185" s="1"/>
    </row>
    <row r="186" spans="2:8" ht="26.25" customHeight="1" x14ac:dyDescent="0.25">
      <c r="B186" s="385" t="s">
        <v>285</v>
      </c>
      <c r="C186" s="386"/>
      <c r="D186" s="386"/>
      <c r="E186" s="386"/>
      <c r="F186" s="386"/>
      <c r="G186" s="387"/>
      <c r="H186" s="1"/>
    </row>
    <row r="187" spans="2:8" ht="27" customHeight="1" x14ac:dyDescent="0.25">
      <c r="B187" s="385" t="s">
        <v>286</v>
      </c>
      <c r="C187" s="386"/>
      <c r="D187" s="386"/>
      <c r="E187" s="386"/>
      <c r="F187" s="386"/>
      <c r="G187" s="387"/>
      <c r="H187" s="1"/>
    </row>
    <row r="188" spans="2:8" ht="27" customHeight="1" x14ac:dyDescent="0.25">
      <c r="B188" s="385" t="s">
        <v>287</v>
      </c>
      <c r="C188" s="386"/>
      <c r="D188" s="386"/>
      <c r="E188" s="386"/>
      <c r="F188" s="386"/>
      <c r="G188" s="387"/>
      <c r="H188" s="1"/>
    </row>
    <row r="189" spans="2:8" ht="15" customHeight="1" x14ac:dyDescent="0.25">
      <c r="B189" s="385" t="s">
        <v>288</v>
      </c>
      <c r="C189" s="386"/>
      <c r="D189" s="386"/>
      <c r="E189" s="386"/>
      <c r="F189" s="386"/>
      <c r="G189" s="387"/>
      <c r="H189" s="1"/>
    </row>
    <row r="190" spans="2:8" ht="15" customHeight="1" x14ac:dyDescent="0.25">
      <c r="B190" s="385" t="s">
        <v>289</v>
      </c>
      <c r="C190" s="386"/>
      <c r="D190" s="386"/>
      <c r="E190" s="386"/>
      <c r="F190" s="386"/>
      <c r="G190" s="387"/>
      <c r="H190" s="1"/>
    </row>
    <row r="191" spans="2:8" ht="15" customHeight="1" x14ac:dyDescent="0.25">
      <c r="B191" s="385" t="s">
        <v>290</v>
      </c>
      <c r="C191" s="386"/>
      <c r="D191" s="386"/>
      <c r="E191" s="386"/>
      <c r="F191" s="386"/>
      <c r="G191" s="387"/>
      <c r="H191" s="1"/>
    </row>
    <row r="192" spans="2:8" ht="15" customHeight="1" x14ac:dyDescent="0.25">
      <c r="B192" s="385" t="s">
        <v>291</v>
      </c>
      <c r="C192" s="386"/>
      <c r="D192" s="386"/>
      <c r="E192" s="386"/>
      <c r="F192" s="386"/>
      <c r="G192" s="387"/>
      <c r="H192" s="1"/>
    </row>
    <row r="193" spans="1:8" ht="15" customHeight="1" x14ac:dyDescent="0.25">
      <c r="B193" s="385" t="s">
        <v>292</v>
      </c>
      <c r="C193" s="386"/>
      <c r="D193" s="386"/>
      <c r="E193" s="386"/>
      <c r="F193" s="386"/>
      <c r="G193" s="387"/>
      <c r="H193" s="1"/>
    </row>
    <row r="194" spans="1:8" ht="15" customHeight="1" x14ac:dyDescent="0.25">
      <c r="B194" s="385" t="s">
        <v>293</v>
      </c>
      <c r="C194" s="386"/>
      <c r="D194" s="386"/>
      <c r="E194" s="386"/>
      <c r="F194" s="386"/>
      <c r="G194" s="387"/>
      <c r="H194" s="1"/>
    </row>
    <row r="195" spans="1:8" ht="15" customHeight="1" x14ac:dyDescent="0.25">
      <c r="B195" s="385" t="s">
        <v>294</v>
      </c>
      <c r="C195" s="386"/>
      <c r="D195" s="386"/>
      <c r="E195" s="386"/>
      <c r="F195" s="386"/>
      <c r="G195" s="387"/>
      <c r="H195" s="1"/>
    </row>
    <row r="196" spans="1:8" ht="15" customHeight="1" x14ac:dyDescent="0.25">
      <c r="B196" s="385"/>
      <c r="C196" s="386"/>
      <c r="D196" s="386"/>
      <c r="E196" s="386"/>
      <c r="F196" s="386"/>
      <c r="G196" s="387"/>
      <c r="H196" s="1"/>
    </row>
    <row r="197" spans="1:8" ht="15" customHeight="1" x14ac:dyDescent="0.25">
      <c r="B197" s="419" t="s">
        <v>295</v>
      </c>
      <c r="C197" s="386"/>
      <c r="D197" s="386"/>
      <c r="E197" s="386"/>
      <c r="F197" s="386"/>
      <c r="G197" s="387"/>
      <c r="H197" s="1"/>
    </row>
    <row r="198" spans="1:8" ht="26.25" customHeight="1" x14ac:dyDescent="0.25">
      <c r="B198" s="385" t="s">
        <v>296</v>
      </c>
      <c r="C198" s="386"/>
      <c r="D198" s="386"/>
      <c r="E198" s="386"/>
      <c r="F198" s="386"/>
      <c r="G198" s="387"/>
      <c r="H198" s="1"/>
    </row>
    <row r="199" spans="1:8" ht="26.25" customHeight="1" x14ac:dyDescent="0.25">
      <c r="B199" s="385" t="s">
        <v>297</v>
      </c>
      <c r="C199" s="386"/>
      <c r="D199" s="386"/>
      <c r="E199" s="386"/>
      <c r="F199" s="386"/>
      <c r="G199" s="387"/>
      <c r="H199" s="1"/>
    </row>
    <row r="200" spans="1:8" ht="15" customHeight="1" x14ac:dyDescent="0.25">
      <c r="B200" s="385" t="s">
        <v>298</v>
      </c>
      <c r="C200" s="386"/>
      <c r="D200" s="386"/>
      <c r="E200" s="386"/>
      <c r="F200" s="386"/>
      <c r="G200" s="387"/>
      <c r="H200" s="1"/>
    </row>
    <row r="201" spans="1:8" ht="40.5" customHeight="1" x14ac:dyDescent="0.25">
      <c r="B201" s="385" t="s">
        <v>299</v>
      </c>
      <c r="C201" s="386"/>
      <c r="D201" s="386"/>
      <c r="E201" s="386"/>
      <c r="F201" s="386"/>
      <c r="G201" s="387"/>
      <c r="H201" s="1"/>
    </row>
    <row r="202" spans="1:8" ht="39" customHeight="1" x14ac:dyDescent="0.25">
      <c r="B202" s="385" t="s">
        <v>300</v>
      </c>
      <c r="C202" s="386"/>
      <c r="D202" s="386"/>
      <c r="E202" s="386"/>
      <c r="F202" s="386"/>
      <c r="G202" s="387"/>
      <c r="H202" s="1"/>
    </row>
    <row r="203" spans="1:8" ht="15" customHeight="1" x14ac:dyDescent="0.25">
      <c r="B203" s="396"/>
      <c r="C203" s="396"/>
      <c r="D203" s="396"/>
      <c r="E203" s="396"/>
      <c r="F203" s="396"/>
      <c r="G203" s="396"/>
      <c r="H203" s="1"/>
    </row>
    <row r="204" spans="1:8" ht="15" customHeight="1" x14ac:dyDescent="0.25">
      <c r="B204" s="78"/>
      <c r="C204" s="78"/>
      <c r="D204" s="78"/>
      <c r="E204" s="78"/>
      <c r="F204" s="78"/>
      <c r="G204" s="78"/>
      <c r="H204" s="1"/>
    </row>
    <row r="205" spans="1:8" ht="15" customHeight="1" x14ac:dyDescent="0.25">
      <c r="A205" s="69" t="s">
        <v>301</v>
      </c>
      <c r="B205" s="420" t="s">
        <v>302</v>
      </c>
      <c r="C205" s="421"/>
      <c r="D205" s="421"/>
      <c r="E205" s="421"/>
      <c r="F205" s="421"/>
      <c r="G205" s="422"/>
      <c r="H205" s="1"/>
    </row>
    <row r="206" spans="1:8" ht="42" customHeight="1" x14ac:dyDescent="0.25">
      <c r="B206" s="385" t="s">
        <v>303</v>
      </c>
      <c r="C206" s="386"/>
      <c r="D206" s="386"/>
      <c r="E206" s="386"/>
      <c r="F206" s="386"/>
      <c r="G206" s="387"/>
      <c r="H206" s="1"/>
    </row>
    <row r="207" spans="1:8" ht="39" customHeight="1" x14ac:dyDescent="0.25">
      <c r="B207" s="393" t="s">
        <v>304</v>
      </c>
      <c r="C207" s="386"/>
      <c r="D207" s="386"/>
      <c r="E207" s="386"/>
      <c r="F207" s="386"/>
      <c r="G207" s="387"/>
      <c r="H207" s="1"/>
    </row>
    <row r="208" spans="1:8" ht="27" customHeight="1" x14ac:dyDescent="0.25">
      <c r="B208" s="385" t="s">
        <v>305</v>
      </c>
      <c r="C208" s="386"/>
      <c r="D208" s="386"/>
      <c r="E208" s="386"/>
      <c r="F208" s="386"/>
      <c r="G208" s="387"/>
      <c r="H208" s="1"/>
    </row>
    <row r="209" spans="2:8" ht="15" customHeight="1" x14ac:dyDescent="0.25">
      <c r="B209" s="385" t="s">
        <v>306</v>
      </c>
      <c r="C209" s="386"/>
      <c r="D209" s="386"/>
      <c r="E209" s="386"/>
      <c r="F209" s="386"/>
      <c r="G209" s="387"/>
      <c r="H209" s="1"/>
    </row>
    <row r="210" spans="2:8" ht="15" customHeight="1" x14ac:dyDescent="0.25">
      <c r="B210" s="385" t="s">
        <v>307</v>
      </c>
      <c r="C210" s="386"/>
      <c r="D210" s="386"/>
      <c r="E210" s="386"/>
      <c r="F210" s="386"/>
      <c r="G210" s="387"/>
      <c r="H210" s="1"/>
    </row>
    <row r="211" spans="2:8" ht="26.25" customHeight="1" x14ac:dyDescent="0.25">
      <c r="B211" s="385" t="s">
        <v>308</v>
      </c>
      <c r="C211" s="386"/>
      <c r="D211" s="386"/>
      <c r="E211" s="386"/>
      <c r="F211" s="386"/>
      <c r="G211" s="387"/>
      <c r="H211" s="1"/>
    </row>
    <row r="212" spans="2:8" ht="39.75" customHeight="1" x14ac:dyDescent="0.25">
      <c r="B212" s="385" t="s">
        <v>309</v>
      </c>
      <c r="C212" s="386"/>
      <c r="D212" s="386"/>
      <c r="E212" s="386"/>
      <c r="F212" s="386"/>
      <c r="G212" s="387"/>
      <c r="H212" s="1"/>
    </row>
    <row r="213" spans="2:8" ht="25.5" customHeight="1" x14ac:dyDescent="0.25">
      <c r="B213" s="393" t="s">
        <v>310</v>
      </c>
      <c r="C213" s="386"/>
      <c r="D213" s="386"/>
      <c r="E213" s="386"/>
      <c r="F213" s="386"/>
      <c r="G213" s="387"/>
      <c r="H213" s="1"/>
    </row>
    <row r="214" spans="2:8" ht="15" customHeight="1" x14ac:dyDescent="0.25">
      <c r="B214" s="385" t="s">
        <v>311</v>
      </c>
      <c r="C214" s="386"/>
      <c r="D214" s="386"/>
      <c r="E214" s="386"/>
      <c r="F214" s="386"/>
      <c r="G214" s="387"/>
      <c r="H214" s="1"/>
    </row>
    <row r="215" spans="2:8" ht="15" customHeight="1" x14ac:dyDescent="0.25">
      <c r="B215" s="385" t="s">
        <v>312</v>
      </c>
      <c r="C215" s="386"/>
      <c r="D215" s="386"/>
      <c r="E215" s="386"/>
      <c r="F215" s="386"/>
      <c r="G215" s="387"/>
      <c r="H215" s="1"/>
    </row>
    <row r="216" spans="2:8" ht="15" customHeight="1" x14ac:dyDescent="0.25">
      <c r="B216" s="385" t="s">
        <v>313</v>
      </c>
      <c r="C216" s="386"/>
      <c r="D216" s="386"/>
      <c r="E216" s="386"/>
      <c r="F216" s="386"/>
      <c r="G216" s="387"/>
      <c r="H216" s="1"/>
    </row>
    <row r="217" spans="2:8" ht="15" customHeight="1" x14ac:dyDescent="0.25">
      <c r="B217" s="385" t="s">
        <v>314</v>
      </c>
      <c r="C217" s="386"/>
      <c r="D217" s="386"/>
      <c r="E217" s="386"/>
      <c r="F217" s="386"/>
      <c r="G217" s="387"/>
      <c r="H217" s="1"/>
    </row>
    <row r="218" spans="2:8" ht="15" customHeight="1" x14ac:dyDescent="0.25">
      <c r="B218" s="385" t="s">
        <v>315</v>
      </c>
      <c r="C218" s="386"/>
      <c r="D218" s="386"/>
      <c r="E218" s="386"/>
      <c r="F218" s="386"/>
      <c r="G218" s="387"/>
      <c r="H218" s="1"/>
    </row>
    <row r="219" spans="2:8" ht="15" customHeight="1" x14ac:dyDescent="0.25">
      <c r="B219" s="385" t="s">
        <v>316</v>
      </c>
      <c r="C219" s="386"/>
      <c r="D219" s="386"/>
      <c r="E219" s="386"/>
      <c r="F219" s="386"/>
      <c r="G219" s="387"/>
      <c r="H219" s="1"/>
    </row>
    <row r="220" spans="2:8" ht="15" customHeight="1" x14ac:dyDescent="0.25">
      <c r="B220" s="385" t="s">
        <v>317</v>
      </c>
      <c r="C220" s="386"/>
      <c r="D220" s="386"/>
      <c r="E220" s="386"/>
      <c r="F220" s="386"/>
      <c r="G220" s="387"/>
      <c r="H220" s="1"/>
    </row>
    <row r="221" spans="2:8" ht="15" customHeight="1" x14ac:dyDescent="0.25">
      <c r="B221" s="385" t="s">
        <v>318</v>
      </c>
      <c r="C221" s="386"/>
      <c r="D221" s="386"/>
      <c r="E221" s="386"/>
      <c r="F221" s="386"/>
      <c r="G221" s="387"/>
      <c r="H221" s="1"/>
    </row>
    <row r="222" spans="2:8" ht="15" customHeight="1" x14ac:dyDescent="0.25">
      <c r="B222" s="385" t="s">
        <v>319</v>
      </c>
      <c r="C222" s="386"/>
      <c r="D222" s="386"/>
      <c r="E222" s="386"/>
      <c r="F222" s="386"/>
      <c r="G222" s="387"/>
      <c r="H222" s="1"/>
    </row>
    <row r="223" spans="2:8" ht="15" customHeight="1" x14ac:dyDescent="0.25">
      <c r="B223" s="416" t="s">
        <v>320</v>
      </c>
      <c r="C223" s="417"/>
      <c r="D223" s="417"/>
      <c r="E223" s="417"/>
      <c r="F223" s="417"/>
      <c r="G223" s="418"/>
      <c r="H223" s="1"/>
    </row>
    <row r="224" spans="2:8" ht="50.25" customHeight="1" x14ac:dyDescent="0.25">
      <c r="B224" s="385" t="s">
        <v>321</v>
      </c>
      <c r="C224" s="386"/>
      <c r="D224" s="386"/>
      <c r="E224" s="386"/>
      <c r="F224" s="386"/>
      <c r="G224" s="387"/>
      <c r="H224" s="1"/>
    </row>
    <row r="225" spans="2:8" ht="15" customHeight="1" x14ac:dyDescent="0.25">
      <c r="B225" s="416" t="s">
        <v>322</v>
      </c>
      <c r="C225" s="417"/>
      <c r="D225" s="417"/>
      <c r="E225" s="417"/>
      <c r="F225" s="417"/>
      <c r="G225" s="418"/>
      <c r="H225" s="1"/>
    </row>
    <row r="226" spans="2:8" ht="38.25" customHeight="1" x14ac:dyDescent="0.25">
      <c r="B226" s="385" t="s">
        <v>323</v>
      </c>
      <c r="C226" s="386"/>
      <c r="D226" s="386"/>
      <c r="E226" s="386"/>
      <c r="F226" s="386"/>
      <c r="G226" s="387"/>
      <c r="H226" s="1"/>
    </row>
    <row r="227" spans="2:8" ht="27.75" customHeight="1" x14ac:dyDescent="0.25">
      <c r="B227" s="385" t="s">
        <v>324</v>
      </c>
      <c r="C227" s="386"/>
      <c r="D227" s="386"/>
      <c r="E227" s="386"/>
      <c r="F227" s="386"/>
      <c r="G227" s="387"/>
      <c r="H227" s="1"/>
    </row>
    <row r="228" spans="2:8" ht="26.25" customHeight="1" x14ac:dyDescent="0.25">
      <c r="B228" s="385" t="s">
        <v>325</v>
      </c>
      <c r="C228" s="386"/>
      <c r="D228" s="386"/>
      <c r="E228" s="386"/>
      <c r="F228" s="386"/>
      <c r="G228" s="387"/>
      <c r="H228" s="1"/>
    </row>
    <row r="229" spans="2:8" ht="26.25" customHeight="1" x14ac:dyDescent="0.25">
      <c r="B229" s="385" t="s">
        <v>326</v>
      </c>
      <c r="C229" s="386"/>
      <c r="D229" s="386"/>
      <c r="E229" s="386"/>
      <c r="F229" s="386"/>
      <c r="G229" s="387"/>
      <c r="H229" s="1"/>
    </row>
    <row r="230" spans="2:8" ht="25.5" customHeight="1" x14ac:dyDescent="0.25">
      <c r="B230" s="385" t="s">
        <v>327</v>
      </c>
      <c r="C230" s="386"/>
      <c r="D230" s="386"/>
      <c r="E230" s="386"/>
      <c r="F230" s="386"/>
      <c r="G230" s="387"/>
      <c r="H230" s="1"/>
    </row>
    <row r="231" spans="2:8" ht="40.5" customHeight="1" x14ac:dyDescent="0.25">
      <c r="B231" s="385" t="s">
        <v>328</v>
      </c>
      <c r="C231" s="386"/>
      <c r="D231" s="386"/>
      <c r="E231" s="386"/>
      <c r="F231" s="386"/>
      <c r="G231" s="387"/>
      <c r="H231" s="1"/>
    </row>
    <row r="232" spans="2:8" ht="15" customHeight="1" x14ac:dyDescent="0.25">
      <c r="B232" s="419" t="s">
        <v>329</v>
      </c>
      <c r="C232" s="386"/>
      <c r="D232" s="386"/>
      <c r="E232" s="386"/>
      <c r="F232" s="386"/>
      <c r="G232" s="387"/>
      <c r="H232" s="1"/>
    </row>
    <row r="233" spans="2:8" ht="26.25" customHeight="1" x14ac:dyDescent="0.25">
      <c r="B233" s="385" t="s">
        <v>330</v>
      </c>
      <c r="C233" s="386"/>
      <c r="D233" s="386"/>
      <c r="E233" s="386"/>
      <c r="F233" s="386"/>
      <c r="G233" s="387"/>
      <c r="H233" s="1"/>
    </row>
    <row r="234" spans="2:8" ht="15" customHeight="1" x14ac:dyDescent="0.25">
      <c r="B234" s="416" t="s">
        <v>331</v>
      </c>
      <c r="C234" s="417"/>
      <c r="D234" s="417"/>
      <c r="E234" s="417"/>
      <c r="F234" s="417"/>
      <c r="G234" s="418"/>
      <c r="H234" s="1"/>
    </row>
    <row r="235" spans="2:8" ht="15" customHeight="1" x14ac:dyDescent="0.25">
      <c r="B235" s="385" t="s">
        <v>332</v>
      </c>
      <c r="C235" s="386"/>
      <c r="D235" s="386"/>
      <c r="E235" s="386"/>
      <c r="F235" s="386"/>
      <c r="G235" s="387"/>
      <c r="H235" s="1"/>
    </row>
    <row r="236" spans="2:8" ht="15" customHeight="1" x14ac:dyDescent="0.25">
      <c r="B236" s="385" t="s">
        <v>333</v>
      </c>
      <c r="C236" s="386"/>
      <c r="D236" s="386"/>
      <c r="E236" s="386"/>
      <c r="F236" s="386"/>
      <c r="G236" s="387"/>
      <c r="H236" s="1"/>
    </row>
    <row r="237" spans="2:8" ht="28.5" customHeight="1" x14ac:dyDescent="0.25">
      <c r="B237" s="385" t="s">
        <v>334</v>
      </c>
      <c r="C237" s="386"/>
      <c r="D237" s="386"/>
      <c r="E237" s="386"/>
      <c r="F237" s="386"/>
      <c r="G237" s="387"/>
      <c r="H237" s="1"/>
    </row>
    <row r="238" spans="2:8" ht="15" customHeight="1" x14ac:dyDescent="0.25">
      <c r="B238" s="385" t="s">
        <v>335</v>
      </c>
      <c r="C238" s="386"/>
      <c r="D238" s="386"/>
      <c r="E238" s="386"/>
      <c r="F238" s="386"/>
      <c r="G238" s="387"/>
      <c r="H238" s="1"/>
    </row>
    <row r="239" spans="2:8" ht="182.25" customHeight="1" x14ac:dyDescent="0.25">
      <c r="B239" s="385" t="s">
        <v>336</v>
      </c>
      <c r="C239" s="386"/>
      <c r="D239" s="386"/>
      <c r="E239" s="386"/>
      <c r="F239" s="386"/>
      <c r="G239" s="387"/>
      <c r="H239" s="1"/>
    </row>
    <row r="240" spans="2:8" ht="15" customHeight="1" x14ac:dyDescent="0.25">
      <c r="B240" s="396"/>
      <c r="C240" s="396"/>
      <c r="D240" s="396"/>
      <c r="E240" s="396"/>
      <c r="F240" s="396"/>
      <c r="G240" s="396"/>
      <c r="H240" s="1"/>
    </row>
    <row r="241" spans="1:8" ht="15" customHeight="1" x14ac:dyDescent="0.25">
      <c r="B241" s="423"/>
      <c r="C241" s="423"/>
      <c r="D241" s="423"/>
      <c r="E241" s="423"/>
      <c r="F241" s="423"/>
      <c r="G241" s="423"/>
      <c r="H241" s="1"/>
    </row>
    <row r="242" spans="1:8" ht="15" customHeight="1" x14ac:dyDescent="0.25">
      <c r="B242" s="423"/>
      <c r="C242" s="423"/>
      <c r="D242" s="423"/>
      <c r="E242" s="423"/>
      <c r="F242" s="423"/>
      <c r="G242" s="423"/>
      <c r="H242" s="1"/>
    </row>
    <row r="243" spans="1:8" ht="15" customHeight="1" x14ac:dyDescent="0.25">
      <c r="B243" s="423"/>
      <c r="C243" s="423"/>
      <c r="D243" s="423"/>
      <c r="E243" s="423"/>
      <c r="F243" s="423"/>
      <c r="G243" s="423"/>
      <c r="H243" s="1"/>
    </row>
    <row r="244" spans="1:8" ht="15" customHeight="1" x14ac:dyDescent="0.25">
      <c r="B244" s="414"/>
      <c r="C244" s="414"/>
      <c r="D244" s="414"/>
      <c r="E244" s="414"/>
      <c r="F244" s="414"/>
      <c r="G244" s="414"/>
      <c r="H244" s="1"/>
    </row>
    <row r="245" spans="1:8" ht="15" customHeight="1" x14ac:dyDescent="0.25">
      <c r="A245" s="69" t="s">
        <v>337</v>
      </c>
      <c r="B245" s="420" t="s">
        <v>338</v>
      </c>
      <c r="C245" s="421"/>
      <c r="D245" s="421"/>
      <c r="E245" s="421"/>
      <c r="F245" s="421"/>
      <c r="G245" s="422"/>
      <c r="H245" s="1"/>
    </row>
    <row r="246" spans="1:8" ht="15" customHeight="1" x14ac:dyDescent="0.25">
      <c r="B246" s="424" t="s">
        <v>339</v>
      </c>
      <c r="C246" s="425"/>
      <c r="D246" s="425"/>
      <c r="E246" s="425"/>
      <c r="F246" s="425"/>
      <c r="G246" s="426"/>
      <c r="H246" s="1"/>
    </row>
    <row r="247" spans="1:8" ht="27" customHeight="1" x14ac:dyDescent="0.25">
      <c r="B247" s="385" t="s">
        <v>340</v>
      </c>
      <c r="C247" s="386"/>
      <c r="D247" s="386"/>
      <c r="E247" s="386"/>
      <c r="F247" s="386"/>
      <c r="G247" s="387"/>
      <c r="H247" s="1"/>
    </row>
    <row r="248" spans="1:8" ht="15" customHeight="1" x14ac:dyDescent="0.25">
      <c r="B248" s="385" t="s">
        <v>341</v>
      </c>
      <c r="C248" s="386"/>
      <c r="D248" s="386"/>
      <c r="E248" s="386"/>
      <c r="F248" s="386"/>
      <c r="G248" s="387"/>
      <c r="H248" s="1"/>
    </row>
    <row r="249" spans="1:8" ht="155.25" customHeight="1" x14ac:dyDescent="0.25">
      <c r="B249" s="385" t="s">
        <v>342</v>
      </c>
      <c r="C249" s="386"/>
      <c r="D249" s="386"/>
      <c r="E249" s="386"/>
      <c r="F249" s="386"/>
      <c r="G249" s="387"/>
      <c r="H249" s="1"/>
    </row>
    <row r="250" spans="1:8" ht="15" customHeight="1" x14ac:dyDescent="0.25">
      <c r="B250" s="385" t="s">
        <v>343</v>
      </c>
      <c r="C250" s="386"/>
      <c r="D250" s="386"/>
      <c r="E250" s="386"/>
      <c r="F250" s="386"/>
      <c r="G250" s="387"/>
      <c r="H250" s="1"/>
    </row>
    <row r="251" spans="1:8" ht="15" customHeight="1" x14ac:dyDescent="0.25">
      <c r="B251" s="385" t="s">
        <v>344</v>
      </c>
      <c r="C251" s="386"/>
      <c r="D251" s="386"/>
      <c r="E251" s="386"/>
      <c r="F251" s="386"/>
      <c r="G251" s="387"/>
      <c r="H251" s="1"/>
    </row>
    <row r="252" spans="1:8" ht="53.25" customHeight="1" x14ac:dyDescent="0.25">
      <c r="B252" s="385" t="s">
        <v>345</v>
      </c>
      <c r="C252" s="386"/>
      <c r="D252" s="386"/>
      <c r="E252" s="386"/>
      <c r="F252" s="386"/>
      <c r="G252" s="387"/>
      <c r="H252" s="1"/>
    </row>
    <row r="253" spans="1:8" ht="41.25" customHeight="1" x14ac:dyDescent="0.25">
      <c r="B253" s="385" t="s">
        <v>346</v>
      </c>
      <c r="C253" s="386"/>
      <c r="D253" s="386"/>
      <c r="E253" s="386"/>
      <c r="F253" s="386"/>
      <c r="G253" s="387"/>
      <c r="H253" s="1"/>
    </row>
    <row r="254" spans="1:8" ht="15" customHeight="1" x14ac:dyDescent="0.25">
      <c r="B254" s="385" t="s">
        <v>347</v>
      </c>
      <c r="C254" s="386"/>
      <c r="D254" s="386"/>
      <c r="E254" s="386"/>
      <c r="F254" s="386"/>
      <c r="G254" s="387"/>
      <c r="H254" s="1"/>
    </row>
    <row r="255" spans="1:8" ht="15" customHeight="1" x14ac:dyDescent="0.25">
      <c r="B255" s="403" t="s">
        <v>348</v>
      </c>
      <c r="C255" s="404"/>
      <c r="D255" s="404"/>
      <c r="E255" s="404"/>
      <c r="F255" s="404"/>
      <c r="G255" s="405"/>
      <c r="H255" s="1"/>
    </row>
    <row r="256" spans="1:8" ht="28.5" customHeight="1" x14ac:dyDescent="0.25">
      <c r="B256" s="385" t="s">
        <v>349</v>
      </c>
      <c r="C256" s="386"/>
      <c r="D256" s="386"/>
      <c r="E256" s="386"/>
      <c r="F256" s="386"/>
      <c r="G256" s="387"/>
      <c r="H256" s="1"/>
    </row>
    <row r="257" spans="2:8" ht="15" customHeight="1" x14ac:dyDescent="0.25">
      <c r="B257" s="385" t="s">
        <v>350</v>
      </c>
      <c r="C257" s="386"/>
      <c r="D257" s="386"/>
      <c r="E257" s="386"/>
      <c r="F257" s="386"/>
      <c r="G257" s="387"/>
      <c r="H257" s="1"/>
    </row>
    <row r="258" spans="2:8" ht="41.25" customHeight="1" x14ac:dyDescent="0.25">
      <c r="B258" s="385" t="s">
        <v>351</v>
      </c>
      <c r="C258" s="386"/>
      <c r="D258" s="386"/>
      <c r="E258" s="386"/>
      <c r="F258" s="386"/>
      <c r="G258" s="387"/>
      <c r="H258" s="1"/>
    </row>
    <row r="259" spans="2:8" ht="27" customHeight="1" x14ac:dyDescent="0.25">
      <c r="B259" s="385" t="s">
        <v>352</v>
      </c>
      <c r="C259" s="386"/>
      <c r="D259" s="386"/>
      <c r="E259" s="386"/>
      <c r="F259" s="386"/>
      <c r="G259" s="387"/>
      <c r="H259" s="1"/>
    </row>
    <row r="260" spans="2:8" ht="64.5" customHeight="1" x14ac:dyDescent="0.25">
      <c r="B260" s="385" t="s">
        <v>353</v>
      </c>
      <c r="C260" s="386"/>
      <c r="D260" s="386"/>
      <c r="E260" s="386"/>
      <c r="F260" s="386"/>
      <c r="G260" s="387"/>
      <c r="H260" s="1"/>
    </row>
    <row r="261" spans="2:8" ht="105" customHeight="1" x14ac:dyDescent="0.25">
      <c r="B261" s="385" t="s">
        <v>354</v>
      </c>
      <c r="C261" s="386"/>
      <c r="D261" s="386"/>
      <c r="E261" s="386"/>
      <c r="F261" s="386"/>
      <c r="G261" s="387"/>
      <c r="H261" s="1"/>
    </row>
    <row r="262" spans="2:8" ht="15.75" customHeight="1" x14ac:dyDescent="0.25">
      <c r="B262" s="385" t="s">
        <v>355</v>
      </c>
      <c r="C262" s="386"/>
      <c r="D262" s="386"/>
      <c r="E262" s="386"/>
      <c r="F262" s="386"/>
      <c r="G262" s="387"/>
      <c r="H262" s="1"/>
    </row>
    <row r="263" spans="2:8" ht="15" customHeight="1" x14ac:dyDescent="0.25">
      <c r="B263" s="385" t="s">
        <v>356</v>
      </c>
      <c r="C263" s="386"/>
      <c r="D263" s="386"/>
      <c r="E263" s="386"/>
      <c r="F263" s="386"/>
      <c r="G263" s="387"/>
      <c r="H263" s="1"/>
    </row>
    <row r="264" spans="2:8" ht="15" customHeight="1" x14ac:dyDescent="0.25">
      <c r="B264" s="385" t="s">
        <v>357</v>
      </c>
      <c r="C264" s="386"/>
      <c r="D264" s="386"/>
      <c r="E264" s="386"/>
      <c r="F264" s="386"/>
      <c r="G264" s="387"/>
      <c r="H264" s="1"/>
    </row>
    <row r="265" spans="2:8" ht="15" customHeight="1" x14ac:dyDescent="0.25">
      <c r="B265" s="385" t="s">
        <v>358</v>
      </c>
      <c r="C265" s="386"/>
      <c r="D265" s="386"/>
      <c r="E265" s="386"/>
      <c r="F265" s="386"/>
      <c r="G265" s="387"/>
      <c r="H265" s="1"/>
    </row>
    <row r="266" spans="2:8" ht="15" customHeight="1" x14ac:dyDescent="0.25">
      <c r="B266" s="385" t="s">
        <v>359</v>
      </c>
      <c r="C266" s="386"/>
      <c r="D266" s="386"/>
      <c r="E266" s="386"/>
      <c r="F266" s="386"/>
      <c r="G266" s="387"/>
      <c r="H266" s="1"/>
    </row>
    <row r="267" spans="2:8" ht="15" customHeight="1" x14ac:dyDescent="0.25">
      <c r="B267" s="385" t="s">
        <v>360</v>
      </c>
      <c r="C267" s="386"/>
      <c r="D267" s="386"/>
      <c r="E267" s="386"/>
      <c r="F267" s="386"/>
      <c r="G267" s="387"/>
      <c r="H267" s="1"/>
    </row>
    <row r="268" spans="2:8" ht="15" customHeight="1" x14ac:dyDescent="0.25">
      <c r="B268" s="385" t="s">
        <v>361</v>
      </c>
      <c r="C268" s="386"/>
      <c r="D268" s="386"/>
      <c r="E268" s="386"/>
      <c r="F268" s="386"/>
      <c r="G268" s="387"/>
      <c r="H268" s="1"/>
    </row>
    <row r="269" spans="2:8" ht="15" customHeight="1" x14ac:dyDescent="0.25">
      <c r="B269" s="385" t="s">
        <v>362</v>
      </c>
      <c r="C269" s="386"/>
      <c r="D269" s="386"/>
      <c r="E269" s="386"/>
      <c r="F269" s="386"/>
      <c r="G269" s="387"/>
      <c r="H269" s="1"/>
    </row>
    <row r="270" spans="2:8" ht="15" customHeight="1" x14ac:dyDescent="0.25">
      <c r="B270" s="385" t="s">
        <v>363</v>
      </c>
      <c r="C270" s="386"/>
      <c r="D270" s="386"/>
      <c r="E270" s="386"/>
      <c r="F270" s="386"/>
      <c r="G270" s="387"/>
      <c r="H270" s="1"/>
    </row>
    <row r="271" spans="2:8" ht="15" customHeight="1" x14ac:dyDescent="0.25">
      <c r="B271" s="385" t="s">
        <v>364</v>
      </c>
      <c r="C271" s="386"/>
      <c r="D271" s="386"/>
      <c r="E271" s="386"/>
      <c r="F271" s="386"/>
      <c r="G271" s="387"/>
      <c r="H271" s="1"/>
    </row>
    <row r="272" spans="2:8" ht="15" customHeight="1" x14ac:dyDescent="0.25">
      <c r="B272" s="385" t="s">
        <v>365</v>
      </c>
      <c r="C272" s="386"/>
      <c r="D272" s="386"/>
      <c r="E272" s="386"/>
      <c r="F272" s="386"/>
      <c r="G272" s="387"/>
      <c r="H272" s="1"/>
    </row>
    <row r="273" spans="2:8" ht="15" customHeight="1" x14ac:dyDescent="0.25">
      <c r="B273" s="385" t="s">
        <v>366</v>
      </c>
      <c r="C273" s="386"/>
      <c r="D273" s="386"/>
      <c r="E273" s="386"/>
      <c r="F273" s="386"/>
      <c r="G273" s="387"/>
      <c r="H273" s="1"/>
    </row>
    <row r="274" spans="2:8" ht="15" customHeight="1" x14ac:dyDescent="0.25">
      <c r="B274" s="385" t="s">
        <v>367</v>
      </c>
      <c r="C274" s="386"/>
      <c r="D274" s="386"/>
      <c r="E274" s="386"/>
      <c r="F274" s="386"/>
      <c r="G274" s="387"/>
      <c r="H274" s="1"/>
    </row>
    <row r="275" spans="2:8" ht="15" customHeight="1" x14ac:dyDescent="0.25">
      <c r="B275" s="385" t="s">
        <v>368</v>
      </c>
      <c r="C275" s="386"/>
      <c r="D275" s="386"/>
      <c r="E275" s="386"/>
      <c r="F275" s="386"/>
      <c r="G275" s="387"/>
      <c r="H275" s="1"/>
    </row>
    <row r="276" spans="2:8" ht="15" customHeight="1" x14ac:dyDescent="0.25">
      <c r="B276" s="385" t="s">
        <v>369</v>
      </c>
      <c r="C276" s="386"/>
      <c r="D276" s="386"/>
      <c r="E276" s="386"/>
      <c r="F276" s="386"/>
      <c r="G276" s="387"/>
      <c r="H276" s="1"/>
    </row>
    <row r="277" spans="2:8" ht="15" customHeight="1" x14ac:dyDescent="0.25">
      <c r="B277" s="385" t="s">
        <v>370</v>
      </c>
      <c r="C277" s="386"/>
      <c r="D277" s="386"/>
      <c r="E277" s="386"/>
      <c r="F277" s="386"/>
      <c r="G277" s="387"/>
      <c r="H277" s="1"/>
    </row>
    <row r="278" spans="2:8" ht="15" customHeight="1" x14ac:dyDescent="0.25">
      <c r="B278" s="385" t="s">
        <v>371</v>
      </c>
      <c r="C278" s="386"/>
      <c r="D278" s="386"/>
      <c r="E278" s="386"/>
      <c r="F278" s="386"/>
      <c r="G278" s="387"/>
      <c r="H278" s="1"/>
    </row>
    <row r="279" spans="2:8" ht="15" customHeight="1" x14ac:dyDescent="0.25">
      <c r="B279" s="385" t="s">
        <v>372</v>
      </c>
      <c r="C279" s="386"/>
      <c r="D279" s="386"/>
      <c r="E279" s="386"/>
      <c r="F279" s="386"/>
      <c r="G279" s="387"/>
      <c r="H279" s="1"/>
    </row>
    <row r="280" spans="2:8" ht="15" customHeight="1" x14ac:dyDescent="0.25">
      <c r="B280" s="385" t="s">
        <v>373</v>
      </c>
      <c r="C280" s="386"/>
      <c r="D280" s="386"/>
      <c r="E280" s="386"/>
      <c r="F280" s="386"/>
      <c r="G280" s="387"/>
      <c r="H280" s="1"/>
    </row>
    <row r="281" spans="2:8" ht="15" customHeight="1" x14ac:dyDescent="0.25">
      <c r="B281" s="385" t="s">
        <v>374</v>
      </c>
      <c r="C281" s="386"/>
      <c r="D281" s="386"/>
      <c r="E281" s="386"/>
      <c r="F281" s="386"/>
      <c r="G281" s="387"/>
      <c r="H281" s="1"/>
    </row>
    <row r="282" spans="2:8" ht="15" customHeight="1" x14ac:dyDescent="0.25">
      <c r="B282" s="385" t="s">
        <v>375</v>
      </c>
      <c r="C282" s="386"/>
      <c r="D282" s="386"/>
      <c r="E282" s="386"/>
      <c r="F282" s="386"/>
      <c r="G282" s="387"/>
      <c r="H282" s="1"/>
    </row>
    <row r="283" spans="2:8" ht="15" customHeight="1" x14ac:dyDescent="0.25">
      <c r="B283" s="385" t="s">
        <v>376</v>
      </c>
      <c r="C283" s="386"/>
      <c r="D283" s="386"/>
      <c r="E283" s="386"/>
      <c r="F283" s="386"/>
      <c r="G283" s="387"/>
      <c r="H283" s="1"/>
    </row>
    <row r="284" spans="2:8" ht="15" customHeight="1" x14ac:dyDescent="0.25">
      <c r="B284" s="385" t="s">
        <v>377</v>
      </c>
      <c r="C284" s="386"/>
      <c r="D284" s="386"/>
      <c r="E284" s="386"/>
      <c r="F284" s="386"/>
      <c r="G284" s="387"/>
      <c r="H284" s="1"/>
    </row>
    <row r="285" spans="2:8" ht="15" customHeight="1" x14ac:dyDescent="0.25">
      <c r="B285" s="385" t="s">
        <v>378</v>
      </c>
      <c r="C285" s="386"/>
      <c r="D285" s="386"/>
      <c r="E285" s="386"/>
      <c r="F285" s="386"/>
      <c r="G285" s="387"/>
      <c r="H285" s="1"/>
    </row>
    <row r="286" spans="2:8" ht="15" customHeight="1" x14ac:dyDescent="0.25">
      <c r="B286" s="385" t="s">
        <v>379</v>
      </c>
      <c r="C286" s="386"/>
      <c r="D286" s="386"/>
      <c r="E286" s="386"/>
      <c r="F286" s="386"/>
      <c r="G286" s="387"/>
      <c r="H286" s="1"/>
    </row>
    <row r="287" spans="2:8" ht="15" customHeight="1" x14ac:dyDescent="0.25">
      <c r="B287" s="385" t="s">
        <v>380</v>
      </c>
      <c r="C287" s="386"/>
      <c r="D287" s="386"/>
      <c r="E287" s="386"/>
      <c r="F287" s="386"/>
      <c r="G287" s="387"/>
      <c r="H287" s="1"/>
    </row>
    <row r="288" spans="2:8" ht="15" customHeight="1" x14ac:dyDescent="0.25">
      <c r="B288" s="385" t="s">
        <v>381</v>
      </c>
      <c r="C288" s="386"/>
      <c r="D288" s="386"/>
      <c r="E288" s="386"/>
      <c r="F288" s="386"/>
      <c r="G288" s="387"/>
      <c r="H288" s="1"/>
    </row>
    <row r="289" spans="2:8" ht="15" customHeight="1" x14ac:dyDescent="0.25">
      <c r="B289" s="385" t="s">
        <v>382</v>
      </c>
      <c r="C289" s="386"/>
      <c r="D289" s="386"/>
      <c r="E289" s="386"/>
      <c r="F289" s="386"/>
      <c r="G289" s="387"/>
      <c r="H289" s="1"/>
    </row>
    <row r="290" spans="2:8" ht="15" customHeight="1" x14ac:dyDescent="0.25">
      <c r="B290" s="74"/>
      <c r="C290" s="75"/>
      <c r="D290" s="75"/>
      <c r="E290" s="75"/>
      <c r="F290" s="75"/>
      <c r="G290" s="76"/>
      <c r="H290" s="1"/>
    </row>
    <row r="291" spans="2:8" ht="218.25" customHeight="1" x14ac:dyDescent="0.25">
      <c r="B291" s="385" t="s">
        <v>383</v>
      </c>
      <c r="C291" s="386"/>
      <c r="D291" s="386"/>
      <c r="E291" s="386"/>
      <c r="F291" s="386"/>
      <c r="G291" s="387"/>
      <c r="H291" s="1"/>
    </row>
    <row r="292" spans="2:8" ht="39.75" customHeight="1" x14ac:dyDescent="0.25">
      <c r="B292" s="385" t="s">
        <v>384</v>
      </c>
      <c r="C292" s="386"/>
      <c r="D292" s="386"/>
      <c r="E292" s="386"/>
      <c r="F292" s="386"/>
      <c r="G292" s="387"/>
      <c r="H292" s="1"/>
    </row>
    <row r="293" spans="2:8" ht="15.75" customHeight="1" x14ac:dyDescent="0.25">
      <c r="B293" s="385" t="s">
        <v>385</v>
      </c>
      <c r="C293" s="386"/>
      <c r="D293" s="386"/>
      <c r="E293" s="386"/>
      <c r="F293" s="386"/>
      <c r="G293" s="387"/>
      <c r="H293" s="1"/>
    </row>
    <row r="294" spans="2:8" ht="15" customHeight="1" x14ac:dyDescent="0.25">
      <c r="B294" s="385" t="s">
        <v>386</v>
      </c>
      <c r="C294" s="386"/>
      <c r="D294" s="386"/>
      <c r="E294" s="386"/>
      <c r="F294" s="386"/>
      <c r="G294" s="387"/>
      <c r="H294" s="1"/>
    </row>
    <row r="295" spans="2:8" ht="168" customHeight="1" x14ac:dyDescent="0.25">
      <c r="B295" s="385" t="s">
        <v>387</v>
      </c>
      <c r="C295" s="386"/>
      <c r="D295" s="386"/>
      <c r="E295" s="386"/>
      <c r="F295" s="386"/>
      <c r="G295" s="387"/>
      <c r="H295" s="1"/>
    </row>
    <row r="296" spans="2:8" ht="51" customHeight="1" x14ac:dyDescent="0.25">
      <c r="B296" s="385" t="s">
        <v>388</v>
      </c>
      <c r="C296" s="386"/>
      <c r="D296" s="386"/>
      <c r="E296" s="386"/>
      <c r="F296" s="386"/>
      <c r="G296" s="387"/>
      <c r="H296" s="1"/>
    </row>
    <row r="297" spans="2:8" ht="15" customHeight="1" x14ac:dyDescent="0.25">
      <c r="B297" s="385" t="s">
        <v>389</v>
      </c>
      <c r="C297" s="386"/>
      <c r="D297" s="386"/>
      <c r="E297" s="386"/>
      <c r="F297" s="386"/>
      <c r="G297" s="387"/>
      <c r="H297" s="1"/>
    </row>
    <row r="298" spans="2:8" ht="28.5" customHeight="1" x14ac:dyDescent="0.25">
      <c r="B298" s="385" t="s">
        <v>390</v>
      </c>
      <c r="C298" s="386"/>
      <c r="D298" s="386"/>
      <c r="E298" s="386"/>
      <c r="F298" s="386"/>
      <c r="G298" s="387"/>
      <c r="H298" s="1"/>
    </row>
    <row r="299" spans="2:8" ht="40.5" customHeight="1" x14ac:dyDescent="0.25">
      <c r="B299" s="385" t="s">
        <v>391</v>
      </c>
      <c r="C299" s="386"/>
      <c r="D299" s="386"/>
      <c r="E299" s="386"/>
      <c r="F299" s="386"/>
      <c r="G299" s="387"/>
      <c r="H299" s="1"/>
    </row>
    <row r="300" spans="2:8" ht="15" customHeight="1" x14ac:dyDescent="0.25">
      <c r="B300" s="424" t="s">
        <v>392</v>
      </c>
      <c r="C300" s="425"/>
      <c r="D300" s="425"/>
      <c r="E300" s="425"/>
      <c r="F300" s="425"/>
      <c r="G300" s="426"/>
      <c r="H300" s="1"/>
    </row>
    <row r="301" spans="2:8" ht="64.5" customHeight="1" x14ac:dyDescent="0.25">
      <c r="B301" s="385" t="s">
        <v>393</v>
      </c>
      <c r="C301" s="386"/>
      <c r="D301" s="386"/>
      <c r="E301" s="386"/>
      <c r="F301" s="386"/>
      <c r="G301" s="387"/>
      <c r="H301" s="1"/>
    </row>
    <row r="302" spans="2:8" ht="15" customHeight="1" x14ac:dyDescent="0.25">
      <c r="B302" s="424" t="s">
        <v>394</v>
      </c>
      <c r="C302" s="425"/>
      <c r="D302" s="425"/>
      <c r="E302" s="425"/>
      <c r="F302" s="425"/>
      <c r="G302" s="426"/>
      <c r="H302" s="1"/>
    </row>
    <row r="303" spans="2:8" ht="40.5" customHeight="1" x14ac:dyDescent="0.25">
      <c r="B303" s="385" t="s">
        <v>395</v>
      </c>
      <c r="C303" s="386"/>
      <c r="D303" s="386"/>
      <c r="E303" s="386"/>
      <c r="F303" s="386"/>
      <c r="G303" s="387"/>
      <c r="H303" s="1"/>
    </row>
    <row r="304" spans="2:8" x14ac:dyDescent="0.25">
      <c r="B304" s="385" t="s">
        <v>396</v>
      </c>
      <c r="C304" s="386"/>
      <c r="D304" s="386"/>
      <c r="E304" s="386"/>
      <c r="F304" s="386"/>
      <c r="G304" s="387"/>
      <c r="H304" s="1"/>
    </row>
    <row r="305" spans="1:8" x14ac:dyDescent="0.25">
      <c r="B305" s="77"/>
      <c r="C305" s="77"/>
      <c r="D305" s="77"/>
      <c r="E305" s="77"/>
      <c r="F305" s="77"/>
      <c r="G305" s="77"/>
      <c r="H305" s="1"/>
    </row>
    <row r="306" spans="1:8" ht="15" customHeight="1" x14ac:dyDescent="0.25">
      <c r="B306" s="427"/>
      <c r="C306" s="427"/>
      <c r="D306" s="427"/>
      <c r="E306" s="427"/>
      <c r="F306" s="427"/>
      <c r="G306" s="427"/>
      <c r="H306" s="1"/>
    </row>
    <row r="307" spans="1:8" ht="15" customHeight="1" x14ac:dyDescent="0.25">
      <c r="A307" s="69" t="s">
        <v>397</v>
      </c>
      <c r="B307" s="420" t="s">
        <v>398</v>
      </c>
      <c r="C307" s="421"/>
      <c r="D307" s="421"/>
      <c r="E307" s="421"/>
      <c r="F307" s="421"/>
      <c r="G307" s="422"/>
      <c r="H307" s="1"/>
    </row>
    <row r="308" spans="1:8" ht="77.25" customHeight="1" x14ac:dyDescent="0.25">
      <c r="B308" s="385" t="s">
        <v>399</v>
      </c>
      <c r="C308" s="386"/>
      <c r="D308" s="386"/>
      <c r="E308" s="386"/>
      <c r="F308" s="386"/>
      <c r="G308" s="387"/>
      <c r="H308" s="1"/>
    </row>
    <row r="309" spans="1:8" ht="42.75" customHeight="1" x14ac:dyDescent="0.25">
      <c r="B309" s="385" t="s">
        <v>400</v>
      </c>
      <c r="C309" s="386"/>
      <c r="D309" s="386"/>
      <c r="E309" s="386"/>
      <c r="F309" s="386"/>
      <c r="G309" s="387"/>
      <c r="H309" s="1"/>
    </row>
    <row r="310" spans="1:8" ht="38.25" customHeight="1" x14ac:dyDescent="0.25">
      <c r="B310" s="385" t="s">
        <v>401</v>
      </c>
      <c r="C310" s="386"/>
      <c r="D310" s="386"/>
      <c r="E310" s="386"/>
      <c r="F310" s="386"/>
      <c r="G310" s="387"/>
      <c r="H310" s="1"/>
    </row>
    <row r="311" spans="1:8" ht="51.75" customHeight="1" x14ac:dyDescent="0.25">
      <c r="B311" s="385" t="s">
        <v>402</v>
      </c>
      <c r="C311" s="386"/>
      <c r="D311" s="386"/>
      <c r="E311" s="386"/>
      <c r="F311" s="386"/>
      <c r="G311" s="387"/>
      <c r="H311" s="1"/>
    </row>
    <row r="312" spans="1:8" ht="28.5" customHeight="1" x14ac:dyDescent="0.25">
      <c r="B312" s="385" t="s">
        <v>403</v>
      </c>
      <c r="C312" s="386"/>
      <c r="D312" s="386"/>
      <c r="E312" s="386"/>
      <c r="F312" s="386"/>
      <c r="G312" s="387"/>
      <c r="H312" s="1"/>
    </row>
    <row r="313" spans="1:8" ht="150" customHeight="1" x14ac:dyDescent="0.25">
      <c r="B313" s="393" t="s">
        <v>404</v>
      </c>
      <c r="C313" s="386"/>
      <c r="D313" s="386"/>
      <c r="E313" s="386"/>
      <c r="F313" s="386"/>
      <c r="G313" s="387"/>
      <c r="H313" s="1"/>
    </row>
    <row r="314" spans="1:8" ht="78.75" customHeight="1" x14ac:dyDescent="0.25">
      <c r="B314" s="393" t="s">
        <v>405</v>
      </c>
      <c r="C314" s="386"/>
      <c r="D314" s="386"/>
      <c r="E314" s="386"/>
      <c r="F314" s="386"/>
      <c r="G314" s="387"/>
      <c r="H314" s="1"/>
    </row>
    <row r="315" spans="1:8" ht="39" customHeight="1" x14ac:dyDescent="0.25">
      <c r="B315" s="393" t="s">
        <v>406</v>
      </c>
      <c r="C315" s="386"/>
      <c r="D315" s="386"/>
      <c r="E315" s="386"/>
      <c r="F315" s="386"/>
      <c r="G315" s="387"/>
      <c r="H315" s="1"/>
    </row>
    <row r="316" spans="1:8" ht="65.25" customHeight="1" x14ac:dyDescent="0.25">
      <c r="B316" s="393" t="s">
        <v>407</v>
      </c>
      <c r="C316" s="386"/>
      <c r="D316" s="386"/>
      <c r="E316" s="386"/>
      <c r="F316" s="386"/>
      <c r="G316" s="387"/>
      <c r="H316" s="1"/>
    </row>
    <row r="317" spans="1:8" ht="15" customHeight="1" x14ac:dyDescent="0.25">
      <c r="B317" s="416" t="s">
        <v>408</v>
      </c>
      <c r="C317" s="417"/>
      <c r="D317" s="417"/>
      <c r="E317" s="417"/>
      <c r="F317" s="417"/>
      <c r="G317" s="418"/>
      <c r="H317" s="1"/>
    </row>
    <row r="318" spans="1:8" ht="64.5" customHeight="1" x14ac:dyDescent="0.25">
      <c r="B318" s="385" t="s">
        <v>409</v>
      </c>
      <c r="C318" s="386"/>
      <c r="D318" s="386"/>
      <c r="E318" s="386"/>
      <c r="F318" s="386"/>
      <c r="G318" s="387"/>
      <c r="H318" s="1"/>
    </row>
    <row r="319" spans="1:8" ht="53.25" customHeight="1" x14ac:dyDescent="0.25">
      <c r="B319" s="385" t="s">
        <v>410</v>
      </c>
      <c r="C319" s="386"/>
      <c r="D319" s="386"/>
      <c r="E319" s="386"/>
      <c r="F319" s="386"/>
      <c r="G319" s="387"/>
      <c r="H319" s="1"/>
    </row>
    <row r="320" spans="1:8" ht="28.5" customHeight="1" x14ac:dyDescent="0.25">
      <c r="B320" s="385" t="s">
        <v>411</v>
      </c>
      <c r="C320" s="386"/>
      <c r="D320" s="386"/>
      <c r="E320" s="386"/>
      <c r="F320" s="386"/>
      <c r="G320" s="387"/>
      <c r="H320" s="1"/>
    </row>
    <row r="321" spans="1:8" ht="15" customHeight="1" x14ac:dyDescent="0.25">
      <c r="B321" s="416" t="s">
        <v>412</v>
      </c>
      <c r="C321" s="417"/>
      <c r="D321" s="417"/>
      <c r="E321" s="417"/>
      <c r="F321" s="417"/>
      <c r="G321" s="418"/>
      <c r="H321" s="1"/>
    </row>
    <row r="322" spans="1:8" ht="113.25" customHeight="1" x14ac:dyDescent="0.25">
      <c r="B322" s="385" t="s">
        <v>413</v>
      </c>
      <c r="C322" s="386"/>
      <c r="D322" s="386"/>
      <c r="E322" s="386"/>
      <c r="F322" s="386"/>
      <c r="G322" s="387"/>
      <c r="H322" s="1"/>
    </row>
    <row r="323" spans="1:8" ht="15" customHeight="1" x14ac:dyDescent="0.25">
      <c r="B323" s="416" t="s">
        <v>414</v>
      </c>
      <c r="C323" s="417"/>
      <c r="D323" s="417"/>
      <c r="E323" s="417"/>
      <c r="F323" s="417"/>
      <c r="G323" s="418"/>
      <c r="H323" s="1"/>
    </row>
    <row r="324" spans="1:8" ht="40.5" customHeight="1" x14ac:dyDescent="0.25">
      <c r="B324" s="385" t="s">
        <v>415</v>
      </c>
      <c r="C324" s="386"/>
      <c r="D324" s="386"/>
      <c r="E324" s="386"/>
      <c r="F324" s="386"/>
      <c r="G324" s="387"/>
      <c r="H324" s="1"/>
    </row>
    <row r="325" spans="1:8" s="89" customFormat="1" ht="26.25" customHeight="1" x14ac:dyDescent="0.25">
      <c r="A325" s="64"/>
      <c r="B325" s="385" t="s">
        <v>416</v>
      </c>
      <c r="C325" s="386"/>
      <c r="D325" s="386"/>
      <c r="E325" s="386"/>
      <c r="F325" s="386"/>
      <c r="G325" s="387"/>
      <c r="H325" s="88"/>
    </row>
    <row r="326" spans="1:8" ht="27.75" customHeight="1" x14ac:dyDescent="0.25">
      <c r="B326" s="385" t="s">
        <v>417</v>
      </c>
      <c r="C326" s="386"/>
      <c r="D326" s="386"/>
      <c r="E326" s="386"/>
      <c r="F326" s="386"/>
      <c r="G326" s="387"/>
      <c r="H326" s="1"/>
    </row>
    <row r="327" spans="1:8" ht="15" customHeight="1" x14ac:dyDescent="0.25">
      <c r="B327" s="385" t="s">
        <v>418</v>
      </c>
      <c r="C327" s="386"/>
      <c r="D327" s="386"/>
      <c r="E327" s="386"/>
      <c r="F327" s="386"/>
      <c r="G327" s="387"/>
      <c r="H327" s="1"/>
    </row>
    <row r="328" spans="1:8" ht="15" customHeight="1" x14ac:dyDescent="0.25">
      <c r="B328" s="416" t="s">
        <v>419</v>
      </c>
      <c r="C328" s="417"/>
      <c r="D328" s="417"/>
      <c r="E328" s="417"/>
      <c r="F328" s="417"/>
      <c r="G328" s="418"/>
      <c r="H328" s="1"/>
    </row>
    <row r="329" spans="1:8" ht="103.5" customHeight="1" x14ac:dyDescent="0.25">
      <c r="B329" s="431" t="s">
        <v>420</v>
      </c>
      <c r="C329" s="386"/>
      <c r="D329" s="386"/>
      <c r="E329" s="386"/>
      <c r="F329" s="386"/>
      <c r="G329" s="387"/>
      <c r="H329" s="1"/>
    </row>
    <row r="330" spans="1:8" ht="15" customHeight="1" x14ac:dyDescent="0.25">
      <c r="B330" s="385"/>
      <c r="C330" s="386"/>
      <c r="D330" s="386"/>
      <c r="E330" s="386"/>
      <c r="F330" s="386"/>
      <c r="G330" s="387"/>
      <c r="H330" s="1"/>
    </row>
    <row r="331" spans="1:8" ht="15" customHeight="1" x14ac:dyDescent="0.25">
      <c r="B331" s="416" t="s">
        <v>421</v>
      </c>
      <c r="C331" s="417"/>
      <c r="D331" s="417"/>
      <c r="E331" s="417"/>
      <c r="F331" s="417"/>
      <c r="G331" s="418"/>
      <c r="H331" s="1"/>
    </row>
    <row r="332" spans="1:8" ht="90.75" customHeight="1" x14ac:dyDescent="0.25">
      <c r="B332" s="431" t="s">
        <v>422</v>
      </c>
      <c r="C332" s="386"/>
      <c r="D332" s="386"/>
      <c r="E332" s="386"/>
      <c r="F332" s="386"/>
      <c r="G332" s="387"/>
      <c r="H332" s="1"/>
    </row>
    <row r="333" spans="1:8" ht="15" customHeight="1" x14ac:dyDescent="0.25">
      <c r="B333" s="416" t="s">
        <v>423</v>
      </c>
      <c r="C333" s="417"/>
      <c r="D333" s="417"/>
      <c r="E333" s="417"/>
      <c r="F333" s="417"/>
      <c r="G333" s="418"/>
      <c r="H333" s="1"/>
    </row>
    <row r="334" spans="1:8" ht="105" customHeight="1" x14ac:dyDescent="0.25">
      <c r="B334" s="428" t="s">
        <v>424</v>
      </c>
      <c r="C334" s="429"/>
      <c r="D334" s="429"/>
      <c r="E334" s="429"/>
      <c r="F334" s="429"/>
      <c r="G334" s="430"/>
      <c r="H334" s="1"/>
    </row>
    <row r="335" spans="1:8" ht="15" customHeight="1" x14ac:dyDescent="0.25">
      <c r="B335" s="385" t="s">
        <v>425</v>
      </c>
      <c r="C335" s="386"/>
      <c r="D335" s="386"/>
      <c r="E335" s="386"/>
      <c r="F335" s="386"/>
      <c r="G335" s="387"/>
      <c r="H335" s="1"/>
    </row>
    <row r="336" spans="1:8" ht="15" customHeight="1" x14ac:dyDescent="0.25">
      <c r="B336" s="385" t="s">
        <v>426</v>
      </c>
      <c r="C336" s="386"/>
      <c r="D336" s="386"/>
      <c r="E336" s="386"/>
      <c r="F336" s="386"/>
      <c r="G336" s="387"/>
      <c r="H336" s="1"/>
    </row>
    <row r="337" spans="1:8" ht="15" customHeight="1" x14ac:dyDescent="0.25">
      <c r="B337" s="396"/>
      <c r="C337" s="396"/>
      <c r="D337" s="396"/>
      <c r="E337" s="396"/>
      <c r="F337" s="396"/>
      <c r="G337" s="396"/>
      <c r="H337" s="1"/>
    </row>
    <row r="338" spans="1:8" ht="15" customHeight="1" x14ac:dyDescent="0.25">
      <c r="B338" s="78"/>
      <c r="C338" s="78"/>
      <c r="D338" s="78"/>
      <c r="E338" s="78"/>
      <c r="F338" s="78"/>
      <c r="G338" s="78"/>
      <c r="H338" s="1"/>
    </row>
    <row r="339" spans="1:8" ht="15" customHeight="1" x14ac:dyDescent="0.25">
      <c r="A339" s="69" t="s">
        <v>427</v>
      </c>
      <c r="B339" s="420" t="s">
        <v>428</v>
      </c>
      <c r="C339" s="421"/>
      <c r="D339" s="421"/>
      <c r="E339" s="421"/>
      <c r="F339" s="421"/>
      <c r="G339" s="422"/>
      <c r="H339" s="1"/>
    </row>
    <row r="340" spans="1:8" ht="27.75" customHeight="1" x14ac:dyDescent="0.25">
      <c r="B340" s="385" t="s">
        <v>429</v>
      </c>
      <c r="C340" s="386"/>
      <c r="D340" s="386"/>
      <c r="E340" s="386"/>
      <c r="F340" s="386"/>
      <c r="G340" s="387"/>
      <c r="H340" s="1"/>
    </row>
    <row r="341" spans="1:8" ht="15" customHeight="1" x14ac:dyDescent="0.25">
      <c r="B341" s="431" t="s">
        <v>430</v>
      </c>
      <c r="C341" s="386"/>
      <c r="D341" s="386"/>
      <c r="E341" s="386"/>
      <c r="F341" s="386"/>
      <c r="G341" s="387"/>
      <c r="H341" s="1"/>
    </row>
    <row r="342" spans="1:8" ht="15" customHeight="1" x14ac:dyDescent="0.25">
      <c r="B342" s="431" t="s">
        <v>431</v>
      </c>
      <c r="C342" s="386"/>
      <c r="D342" s="386"/>
      <c r="E342" s="386"/>
      <c r="F342" s="386"/>
      <c r="G342" s="387"/>
      <c r="H342" s="1"/>
    </row>
    <row r="343" spans="1:8" ht="15" customHeight="1" x14ac:dyDescent="0.25">
      <c r="B343" s="431" t="s">
        <v>432</v>
      </c>
      <c r="C343" s="386"/>
      <c r="D343" s="386"/>
      <c r="E343" s="386"/>
      <c r="F343" s="386"/>
      <c r="G343" s="387"/>
      <c r="H343" s="1"/>
    </row>
    <row r="344" spans="1:8" ht="15" customHeight="1" x14ac:dyDescent="0.25">
      <c r="B344" s="431" t="s">
        <v>433</v>
      </c>
      <c r="C344" s="386"/>
      <c r="D344" s="386"/>
      <c r="E344" s="386"/>
      <c r="F344" s="386"/>
      <c r="G344" s="387"/>
      <c r="H344" s="1"/>
    </row>
    <row r="345" spans="1:8" ht="15" customHeight="1" x14ac:dyDescent="0.25">
      <c r="B345" s="385" t="s">
        <v>434</v>
      </c>
      <c r="C345" s="386"/>
      <c r="D345" s="386"/>
      <c r="E345" s="386"/>
      <c r="F345" s="386"/>
      <c r="G345" s="387"/>
      <c r="H345" s="1"/>
    </row>
    <row r="346" spans="1:8" ht="15" customHeight="1" x14ac:dyDescent="0.25">
      <c r="B346" s="385" t="s">
        <v>435</v>
      </c>
      <c r="C346" s="386"/>
      <c r="D346" s="386"/>
      <c r="E346" s="386"/>
      <c r="F346" s="386"/>
      <c r="G346" s="387"/>
      <c r="H346" s="1"/>
    </row>
    <row r="347" spans="1:8" ht="15" customHeight="1" x14ac:dyDescent="0.25">
      <c r="B347" s="385" t="s">
        <v>436</v>
      </c>
      <c r="C347" s="386"/>
      <c r="D347" s="386"/>
      <c r="E347" s="386"/>
      <c r="F347" s="386"/>
      <c r="G347" s="387"/>
      <c r="H347" s="1"/>
    </row>
    <row r="348" spans="1:8" ht="41.25" customHeight="1" x14ac:dyDescent="0.25">
      <c r="B348" s="385" t="s">
        <v>437</v>
      </c>
      <c r="C348" s="386"/>
      <c r="D348" s="386"/>
      <c r="E348" s="386"/>
      <c r="F348" s="386"/>
      <c r="G348" s="387"/>
      <c r="H348" s="1"/>
    </row>
    <row r="349" spans="1:8" ht="65.25" customHeight="1" x14ac:dyDescent="0.25">
      <c r="B349" s="385" t="s">
        <v>438</v>
      </c>
      <c r="C349" s="386"/>
      <c r="D349" s="386"/>
      <c r="E349" s="386"/>
      <c r="F349" s="386"/>
      <c r="G349" s="387"/>
      <c r="H349" s="1"/>
    </row>
    <row r="350" spans="1:8" ht="15" customHeight="1" x14ac:dyDescent="0.25">
      <c r="B350" s="385" t="s">
        <v>335</v>
      </c>
      <c r="C350" s="386"/>
      <c r="D350" s="386"/>
      <c r="E350" s="386"/>
      <c r="F350" s="386"/>
      <c r="G350" s="387"/>
      <c r="H350" s="1"/>
    </row>
    <row r="351" spans="1:8" ht="168" customHeight="1" x14ac:dyDescent="0.25">
      <c r="B351" s="431" t="s">
        <v>439</v>
      </c>
      <c r="C351" s="386"/>
      <c r="D351" s="386"/>
      <c r="E351" s="386"/>
      <c r="F351" s="386"/>
      <c r="G351" s="387"/>
      <c r="H351" s="1"/>
    </row>
    <row r="352" spans="1:8" ht="15" customHeight="1" x14ac:dyDescent="0.25">
      <c r="B352" s="385" t="s">
        <v>426</v>
      </c>
      <c r="C352" s="386"/>
      <c r="D352" s="386"/>
      <c r="E352" s="386"/>
      <c r="F352" s="386"/>
      <c r="G352" s="387"/>
      <c r="H352" s="1"/>
    </row>
    <row r="353" spans="1:8" ht="15" customHeight="1" x14ac:dyDescent="0.25">
      <c r="B353" s="385"/>
      <c r="C353" s="386"/>
      <c r="D353" s="386"/>
      <c r="E353" s="386"/>
      <c r="F353" s="386"/>
      <c r="G353" s="387"/>
      <c r="H353" s="1"/>
    </row>
    <row r="354" spans="1:8" ht="15" customHeight="1" x14ac:dyDescent="0.25">
      <c r="A354" s="69" t="s">
        <v>440</v>
      </c>
      <c r="B354" s="420" t="s">
        <v>441</v>
      </c>
      <c r="C354" s="421"/>
      <c r="D354" s="421"/>
      <c r="E354" s="421"/>
      <c r="F354" s="421"/>
      <c r="G354" s="422"/>
      <c r="H354" s="1"/>
    </row>
    <row r="355" spans="1:8" ht="63.75" customHeight="1" x14ac:dyDescent="0.25">
      <c r="B355" s="385" t="s">
        <v>442</v>
      </c>
      <c r="C355" s="386"/>
      <c r="D355" s="386"/>
      <c r="E355" s="386"/>
      <c r="F355" s="386"/>
      <c r="G355" s="387"/>
      <c r="H355" s="1"/>
    </row>
    <row r="356" spans="1:8" ht="25.5" customHeight="1" x14ac:dyDescent="0.25">
      <c r="B356" s="385" t="s">
        <v>443</v>
      </c>
      <c r="C356" s="386"/>
      <c r="D356" s="386"/>
      <c r="E356" s="386"/>
      <c r="F356" s="386"/>
      <c r="G356" s="387"/>
      <c r="H356" s="1"/>
    </row>
    <row r="357" spans="1:8" ht="27.75" customHeight="1" x14ac:dyDescent="0.25">
      <c r="B357" s="385" t="s">
        <v>444</v>
      </c>
      <c r="C357" s="386"/>
      <c r="D357" s="386"/>
      <c r="E357" s="386"/>
      <c r="F357" s="386"/>
      <c r="G357" s="387"/>
      <c r="H357" s="1"/>
    </row>
    <row r="358" spans="1:8" ht="39" customHeight="1" x14ac:dyDescent="0.25">
      <c r="B358" s="385" t="s">
        <v>445</v>
      </c>
      <c r="C358" s="386"/>
      <c r="D358" s="386"/>
      <c r="E358" s="386"/>
      <c r="F358" s="386"/>
      <c r="G358" s="387"/>
      <c r="H358" s="1"/>
    </row>
    <row r="359" spans="1:8" ht="28.5" customHeight="1" x14ac:dyDescent="0.25">
      <c r="B359" s="385" t="s">
        <v>446</v>
      </c>
      <c r="C359" s="386"/>
      <c r="D359" s="386"/>
      <c r="E359" s="386"/>
      <c r="F359" s="386"/>
      <c r="G359" s="387"/>
      <c r="H359" s="1"/>
    </row>
    <row r="360" spans="1:8" ht="15" customHeight="1" x14ac:dyDescent="0.25">
      <c r="B360" s="385" t="s">
        <v>447</v>
      </c>
      <c r="C360" s="386"/>
      <c r="D360" s="386"/>
      <c r="E360" s="386"/>
      <c r="F360" s="386"/>
      <c r="G360" s="387"/>
      <c r="H360" s="1"/>
    </row>
    <row r="361" spans="1:8" ht="27" customHeight="1" x14ac:dyDescent="0.25">
      <c r="B361" s="385" t="s">
        <v>448</v>
      </c>
      <c r="C361" s="386"/>
      <c r="D361" s="386"/>
      <c r="E361" s="386"/>
      <c r="F361" s="386"/>
      <c r="G361" s="387"/>
      <c r="H361" s="1"/>
    </row>
    <row r="362" spans="1:8" ht="30" customHeight="1" x14ac:dyDescent="0.25">
      <c r="B362" s="385" t="s">
        <v>449</v>
      </c>
      <c r="C362" s="386"/>
      <c r="D362" s="386"/>
      <c r="E362" s="386"/>
      <c r="F362" s="386"/>
      <c r="G362" s="387"/>
      <c r="H362" s="1"/>
    </row>
    <row r="363" spans="1:8" ht="27.75" customHeight="1" x14ac:dyDescent="0.25">
      <c r="B363" s="385" t="s">
        <v>450</v>
      </c>
      <c r="C363" s="386"/>
      <c r="D363" s="386"/>
      <c r="E363" s="386"/>
      <c r="F363" s="386"/>
      <c r="G363" s="387"/>
      <c r="H363" s="1"/>
    </row>
    <row r="364" spans="1:8" ht="39.75" customHeight="1" x14ac:dyDescent="0.25">
      <c r="B364" s="385" t="s">
        <v>451</v>
      </c>
      <c r="C364" s="386"/>
      <c r="D364" s="386"/>
      <c r="E364" s="386"/>
      <c r="F364" s="386"/>
      <c r="G364" s="387"/>
      <c r="H364" s="1"/>
    </row>
    <row r="365" spans="1:8" ht="27.75" customHeight="1" x14ac:dyDescent="0.25">
      <c r="B365" s="385" t="s">
        <v>452</v>
      </c>
      <c r="C365" s="386"/>
      <c r="D365" s="386"/>
      <c r="E365" s="386"/>
      <c r="F365" s="386"/>
      <c r="G365" s="387"/>
      <c r="H365" s="1"/>
    </row>
    <row r="366" spans="1:8" ht="15.75" customHeight="1" x14ac:dyDescent="0.25">
      <c r="B366" s="385" t="s">
        <v>453</v>
      </c>
      <c r="C366" s="386"/>
      <c r="D366" s="386"/>
      <c r="E366" s="386"/>
      <c r="F366" s="386"/>
      <c r="G366" s="387"/>
      <c r="H366" s="1"/>
    </row>
    <row r="367" spans="1:8" x14ac:dyDescent="0.25">
      <c r="B367" s="385" t="s">
        <v>454</v>
      </c>
      <c r="C367" s="386"/>
      <c r="D367" s="386"/>
      <c r="E367" s="386"/>
      <c r="F367" s="386"/>
      <c r="G367" s="387"/>
      <c r="H367" s="1"/>
    </row>
    <row r="368" spans="1:8" ht="15" customHeight="1" x14ac:dyDescent="0.25">
      <c r="B368" s="385" t="s">
        <v>455</v>
      </c>
      <c r="C368" s="386"/>
      <c r="D368" s="386"/>
      <c r="E368" s="386"/>
      <c r="F368" s="386"/>
      <c r="G368" s="387"/>
      <c r="H368" s="1"/>
    </row>
    <row r="369" spans="1:8" ht="15" customHeight="1" x14ac:dyDescent="0.25">
      <c r="B369" s="385" t="s">
        <v>456</v>
      </c>
      <c r="C369" s="386"/>
      <c r="D369" s="386"/>
      <c r="E369" s="386"/>
      <c r="F369" s="386"/>
      <c r="G369" s="387"/>
      <c r="H369" s="1"/>
    </row>
    <row r="370" spans="1:8" ht="15" customHeight="1" x14ac:dyDescent="0.25">
      <c r="B370" s="385" t="s">
        <v>457</v>
      </c>
      <c r="C370" s="386"/>
      <c r="D370" s="386"/>
      <c r="E370" s="386"/>
      <c r="F370" s="386"/>
      <c r="G370" s="387"/>
      <c r="H370" s="1"/>
    </row>
    <row r="371" spans="1:8" ht="15" customHeight="1" x14ac:dyDescent="0.25">
      <c r="B371" s="385" t="s">
        <v>458</v>
      </c>
      <c r="C371" s="386"/>
      <c r="D371" s="386"/>
      <c r="E371" s="386"/>
      <c r="F371" s="386"/>
      <c r="G371" s="387"/>
      <c r="H371" s="1"/>
    </row>
    <row r="372" spans="1:8" ht="15" customHeight="1" x14ac:dyDescent="0.25">
      <c r="B372" s="385" t="s">
        <v>459</v>
      </c>
      <c r="C372" s="386"/>
      <c r="D372" s="386"/>
      <c r="E372" s="386"/>
      <c r="F372" s="386"/>
      <c r="G372" s="387"/>
      <c r="H372" s="1"/>
    </row>
    <row r="373" spans="1:8" ht="15" customHeight="1" x14ac:dyDescent="0.25">
      <c r="B373" s="385" t="s">
        <v>460</v>
      </c>
      <c r="C373" s="386"/>
      <c r="D373" s="386"/>
      <c r="E373" s="386"/>
      <c r="F373" s="386"/>
      <c r="G373" s="387"/>
      <c r="H373" s="1"/>
    </row>
    <row r="374" spans="1:8" ht="15" customHeight="1" x14ac:dyDescent="0.25">
      <c r="B374" s="385" t="s">
        <v>461</v>
      </c>
      <c r="C374" s="386"/>
      <c r="D374" s="386"/>
      <c r="E374" s="386"/>
      <c r="F374" s="386"/>
      <c r="G374" s="387"/>
      <c r="H374" s="1"/>
    </row>
    <row r="375" spans="1:8" ht="27.75" customHeight="1" x14ac:dyDescent="0.25">
      <c r="B375" s="385" t="s">
        <v>462</v>
      </c>
      <c r="C375" s="386"/>
      <c r="D375" s="386"/>
      <c r="E375" s="386"/>
      <c r="F375" s="386"/>
      <c r="G375" s="387"/>
      <c r="H375" s="1"/>
    </row>
    <row r="376" spans="1:8" ht="15" customHeight="1" x14ac:dyDescent="0.25">
      <c r="B376" s="385" t="s">
        <v>463</v>
      </c>
      <c r="C376" s="386"/>
      <c r="D376" s="386"/>
      <c r="E376" s="386"/>
      <c r="F376" s="386"/>
      <c r="G376" s="387"/>
      <c r="H376" s="1"/>
    </row>
    <row r="377" spans="1:8" ht="57.75" customHeight="1" x14ac:dyDescent="0.25">
      <c r="B377" s="431" t="s">
        <v>464</v>
      </c>
      <c r="C377" s="386"/>
      <c r="D377" s="386"/>
      <c r="E377" s="386"/>
      <c r="F377" s="386"/>
      <c r="G377" s="387"/>
      <c r="H377" s="1"/>
    </row>
    <row r="378" spans="1:8" ht="63" customHeight="1" x14ac:dyDescent="0.25">
      <c r="B378" s="393" t="s">
        <v>465</v>
      </c>
      <c r="C378" s="386"/>
      <c r="D378" s="386"/>
      <c r="E378" s="386"/>
      <c r="F378" s="386"/>
      <c r="G378" s="387"/>
      <c r="H378" s="1"/>
    </row>
    <row r="379" spans="1:8" ht="15" customHeight="1" x14ac:dyDescent="0.25">
      <c r="B379" s="396"/>
      <c r="C379" s="396"/>
      <c r="D379" s="396"/>
      <c r="E379" s="396"/>
      <c r="F379" s="396"/>
      <c r="G379" s="396"/>
      <c r="H379" s="1"/>
    </row>
    <row r="380" spans="1:8" ht="15" customHeight="1" x14ac:dyDescent="0.25">
      <c r="B380" s="414"/>
      <c r="C380" s="414"/>
      <c r="D380" s="414"/>
      <c r="E380" s="414"/>
      <c r="F380" s="414"/>
      <c r="G380" s="414"/>
      <c r="H380" s="1"/>
    </row>
    <row r="381" spans="1:8" ht="15" customHeight="1" x14ac:dyDescent="0.25">
      <c r="A381" s="69" t="s">
        <v>466</v>
      </c>
      <c r="B381" s="420" t="s">
        <v>467</v>
      </c>
      <c r="C381" s="421"/>
      <c r="D381" s="421"/>
      <c r="E381" s="421"/>
      <c r="F381" s="421"/>
      <c r="G381" s="422"/>
      <c r="H381" s="1"/>
    </row>
    <row r="382" spans="1:8" ht="38.25" customHeight="1" x14ac:dyDescent="0.25">
      <c r="B382" s="385" t="s">
        <v>468</v>
      </c>
      <c r="C382" s="386"/>
      <c r="D382" s="386"/>
      <c r="E382" s="386"/>
      <c r="F382" s="386"/>
      <c r="G382" s="387"/>
      <c r="H382" s="1"/>
    </row>
    <row r="383" spans="1:8" ht="15" customHeight="1" x14ac:dyDescent="0.25">
      <c r="B383" s="416" t="s">
        <v>469</v>
      </c>
      <c r="C383" s="417"/>
      <c r="D383" s="417"/>
      <c r="E383" s="417"/>
      <c r="F383" s="417"/>
      <c r="G383" s="418"/>
      <c r="H383" s="1"/>
    </row>
    <row r="384" spans="1:8" ht="92.25" customHeight="1" x14ac:dyDescent="0.25">
      <c r="B384" s="385" t="s">
        <v>470</v>
      </c>
      <c r="C384" s="386"/>
      <c r="D384" s="386"/>
      <c r="E384" s="386"/>
      <c r="F384" s="386"/>
      <c r="G384" s="387"/>
      <c r="H384" s="1"/>
    </row>
    <row r="385" spans="2:8" ht="388.5" customHeight="1" x14ac:dyDescent="0.25">
      <c r="B385" s="385" t="s">
        <v>471</v>
      </c>
      <c r="C385" s="386"/>
      <c r="D385" s="386"/>
      <c r="E385" s="386"/>
      <c r="F385" s="386"/>
      <c r="G385" s="387"/>
      <c r="H385" s="1"/>
    </row>
    <row r="386" spans="2:8" ht="15" customHeight="1" x14ac:dyDescent="0.25">
      <c r="B386" s="416" t="s">
        <v>472</v>
      </c>
      <c r="C386" s="417"/>
      <c r="D386" s="417"/>
      <c r="E386" s="417"/>
      <c r="F386" s="417"/>
      <c r="G386" s="418"/>
      <c r="H386" s="1"/>
    </row>
    <row r="387" spans="2:8" ht="25.5" customHeight="1" x14ac:dyDescent="0.25">
      <c r="B387" s="385" t="s">
        <v>473</v>
      </c>
      <c r="C387" s="386"/>
      <c r="D387" s="386"/>
      <c r="E387" s="386"/>
      <c r="F387" s="386"/>
      <c r="G387" s="387"/>
      <c r="H387" s="1"/>
    </row>
    <row r="388" spans="2:8" ht="51" customHeight="1" x14ac:dyDescent="0.25">
      <c r="B388" s="385" t="s">
        <v>474</v>
      </c>
      <c r="C388" s="386"/>
      <c r="D388" s="386"/>
      <c r="E388" s="386"/>
      <c r="F388" s="386"/>
      <c r="G388" s="387"/>
      <c r="H388" s="1"/>
    </row>
    <row r="389" spans="2:8" ht="27.75" customHeight="1" x14ac:dyDescent="0.25">
      <c r="B389" s="385" t="s">
        <v>475</v>
      </c>
      <c r="C389" s="386"/>
      <c r="D389" s="386"/>
      <c r="E389" s="386"/>
      <c r="F389" s="386"/>
      <c r="G389" s="387"/>
      <c r="H389" s="1"/>
    </row>
    <row r="390" spans="2:8" ht="15" customHeight="1" x14ac:dyDescent="0.25">
      <c r="B390" s="385" t="s">
        <v>476</v>
      </c>
      <c r="C390" s="386"/>
      <c r="D390" s="386"/>
      <c r="E390" s="386"/>
      <c r="F390" s="386"/>
      <c r="G390" s="387"/>
      <c r="H390" s="1"/>
    </row>
    <row r="391" spans="2:8" ht="25.5" customHeight="1" x14ac:dyDescent="0.25">
      <c r="B391" s="385" t="s">
        <v>477</v>
      </c>
      <c r="C391" s="386"/>
      <c r="D391" s="386"/>
      <c r="E391" s="386"/>
      <c r="F391" s="386"/>
      <c r="G391" s="387"/>
      <c r="H391" s="1"/>
    </row>
    <row r="392" spans="2:8" ht="41.25" customHeight="1" x14ac:dyDescent="0.25">
      <c r="B392" s="385" t="s">
        <v>478</v>
      </c>
      <c r="C392" s="386"/>
      <c r="D392" s="386"/>
      <c r="E392" s="386"/>
      <c r="F392" s="386"/>
      <c r="G392" s="387"/>
      <c r="H392" s="1"/>
    </row>
    <row r="393" spans="2:8" ht="27" customHeight="1" x14ac:dyDescent="0.25">
      <c r="B393" s="385" t="s">
        <v>479</v>
      </c>
      <c r="C393" s="386"/>
      <c r="D393" s="386"/>
      <c r="E393" s="386"/>
      <c r="F393" s="386"/>
      <c r="G393" s="387"/>
      <c r="H393" s="1"/>
    </row>
    <row r="394" spans="2:8" ht="99.75" customHeight="1" x14ac:dyDescent="0.25">
      <c r="B394" s="400" t="s">
        <v>480</v>
      </c>
      <c r="C394" s="401"/>
      <c r="D394" s="401"/>
      <c r="E394" s="401"/>
      <c r="F394" s="401"/>
      <c r="G394" s="402"/>
      <c r="H394" s="1"/>
    </row>
    <row r="395" spans="2:8" ht="132" customHeight="1" x14ac:dyDescent="0.25">
      <c r="B395" s="385" t="s">
        <v>481</v>
      </c>
      <c r="C395" s="386"/>
      <c r="D395" s="386"/>
      <c r="E395" s="386"/>
      <c r="F395" s="386"/>
      <c r="G395" s="387"/>
      <c r="H395" s="1"/>
    </row>
    <row r="396" spans="2:8" ht="28.5" customHeight="1" x14ac:dyDescent="0.25">
      <c r="B396" s="385" t="s">
        <v>482</v>
      </c>
      <c r="C396" s="386"/>
      <c r="D396" s="386"/>
      <c r="E396" s="386"/>
      <c r="F396" s="386"/>
      <c r="G396" s="387"/>
      <c r="H396" s="1"/>
    </row>
    <row r="397" spans="2:8" ht="53.25" customHeight="1" x14ac:dyDescent="0.25">
      <c r="B397" s="393" t="s">
        <v>483</v>
      </c>
      <c r="C397" s="394"/>
      <c r="D397" s="394"/>
      <c r="E397" s="394"/>
      <c r="F397" s="394"/>
      <c r="G397" s="395"/>
      <c r="H397" s="1"/>
    </row>
    <row r="398" spans="2:8" ht="108" customHeight="1" x14ac:dyDescent="0.25">
      <c r="B398" s="385" t="s">
        <v>484</v>
      </c>
      <c r="C398" s="386"/>
      <c r="D398" s="386"/>
      <c r="E398" s="386"/>
      <c r="F398" s="386"/>
      <c r="G398" s="387"/>
      <c r="H398" s="1"/>
    </row>
    <row r="399" spans="2:8" ht="29.25" customHeight="1" x14ac:dyDescent="0.25">
      <c r="B399" s="385" t="s">
        <v>485</v>
      </c>
      <c r="C399" s="386"/>
      <c r="D399" s="386"/>
      <c r="E399" s="386"/>
      <c r="F399" s="386"/>
      <c r="G399" s="387"/>
      <c r="H399" s="1"/>
    </row>
    <row r="400" spans="2:8" ht="15" customHeight="1" x14ac:dyDescent="0.25">
      <c r="B400" s="385" t="s">
        <v>486</v>
      </c>
      <c r="C400" s="386"/>
      <c r="D400" s="386"/>
      <c r="E400" s="386"/>
      <c r="F400" s="386"/>
      <c r="G400" s="387"/>
      <c r="H400" s="1"/>
    </row>
    <row r="401" spans="1:8" ht="15" customHeight="1" x14ac:dyDescent="0.25">
      <c r="B401" s="385" t="s">
        <v>487</v>
      </c>
      <c r="C401" s="386"/>
      <c r="D401" s="386"/>
      <c r="E401" s="386"/>
      <c r="F401" s="386"/>
      <c r="G401" s="387"/>
      <c r="H401" s="1"/>
    </row>
    <row r="402" spans="1:8" ht="15" customHeight="1" x14ac:dyDescent="0.25">
      <c r="B402" s="385" t="s">
        <v>488</v>
      </c>
      <c r="C402" s="386"/>
      <c r="D402" s="386"/>
      <c r="E402" s="386"/>
      <c r="F402" s="386"/>
      <c r="G402" s="387"/>
      <c r="H402" s="1"/>
    </row>
    <row r="403" spans="1:8" ht="15" customHeight="1" x14ac:dyDescent="0.25">
      <c r="B403" s="385" t="s">
        <v>489</v>
      </c>
      <c r="C403" s="386"/>
      <c r="D403" s="386"/>
      <c r="E403" s="386"/>
      <c r="F403" s="386"/>
      <c r="G403" s="387"/>
      <c r="H403" s="1"/>
    </row>
    <row r="404" spans="1:8" ht="15" customHeight="1" x14ac:dyDescent="0.25">
      <c r="B404" s="385" t="s">
        <v>490</v>
      </c>
      <c r="C404" s="386"/>
      <c r="D404" s="386"/>
      <c r="E404" s="386"/>
      <c r="F404" s="386"/>
      <c r="G404" s="387"/>
      <c r="H404" s="1"/>
    </row>
    <row r="405" spans="1:8" ht="15" customHeight="1" x14ac:dyDescent="0.25">
      <c r="B405" s="385" t="s">
        <v>491</v>
      </c>
      <c r="C405" s="386"/>
      <c r="D405" s="386"/>
      <c r="E405" s="386"/>
      <c r="F405" s="386"/>
      <c r="G405" s="387"/>
      <c r="H405" s="1"/>
    </row>
    <row r="406" spans="1:8" ht="15" customHeight="1" x14ac:dyDescent="0.25">
      <c r="B406" s="385" t="s">
        <v>492</v>
      </c>
      <c r="C406" s="386"/>
      <c r="D406" s="386"/>
      <c r="E406" s="386"/>
      <c r="F406" s="386"/>
      <c r="G406" s="387"/>
      <c r="H406" s="1"/>
    </row>
    <row r="407" spans="1:8" ht="15" customHeight="1" x14ac:dyDescent="0.25">
      <c r="B407" s="385" t="s">
        <v>493</v>
      </c>
      <c r="C407" s="386"/>
      <c r="D407" s="386"/>
      <c r="E407" s="386"/>
      <c r="F407" s="386"/>
      <c r="G407" s="387"/>
      <c r="H407" s="1"/>
    </row>
    <row r="408" spans="1:8" ht="15" customHeight="1" x14ac:dyDescent="0.25">
      <c r="B408" s="396"/>
      <c r="C408" s="396"/>
      <c r="D408" s="396"/>
      <c r="E408" s="396"/>
      <c r="F408" s="396"/>
      <c r="G408" s="396"/>
      <c r="H408" s="1"/>
    </row>
    <row r="409" spans="1:8" ht="15" customHeight="1" x14ac:dyDescent="0.25">
      <c r="B409" s="78"/>
      <c r="C409" s="78"/>
      <c r="D409" s="78"/>
      <c r="E409" s="78"/>
      <c r="F409" s="78"/>
      <c r="G409" s="78"/>
      <c r="H409" s="1"/>
    </row>
    <row r="410" spans="1:8" ht="15" customHeight="1" x14ac:dyDescent="0.25">
      <c r="A410" s="69" t="s">
        <v>494</v>
      </c>
      <c r="B410" s="420" t="s">
        <v>495</v>
      </c>
      <c r="C410" s="421"/>
      <c r="D410" s="421"/>
      <c r="E410" s="421"/>
      <c r="F410" s="421"/>
      <c r="G410" s="422"/>
      <c r="H410" s="1"/>
    </row>
    <row r="411" spans="1:8" ht="40.5" customHeight="1" x14ac:dyDescent="0.25">
      <c r="B411" s="385" t="s">
        <v>496</v>
      </c>
      <c r="C411" s="386"/>
      <c r="D411" s="386"/>
      <c r="E411" s="386"/>
      <c r="F411" s="386"/>
      <c r="G411" s="387"/>
      <c r="H411" s="1"/>
    </row>
    <row r="412" spans="1:8" ht="15" customHeight="1" x14ac:dyDescent="0.25">
      <c r="B412" s="385" t="s">
        <v>497</v>
      </c>
      <c r="C412" s="386"/>
      <c r="D412" s="386"/>
      <c r="E412" s="386"/>
      <c r="F412" s="386"/>
      <c r="G412" s="387"/>
      <c r="H412" s="1"/>
    </row>
    <row r="413" spans="1:8" ht="116.25" customHeight="1" x14ac:dyDescent="0.25">
      <c r="B413" s="431" t="s">
        <v>498</v>
      </c>
      <c r="C413" s="386"/>
      <c r="D413" s="386"/>
      <c r="E413" s="386"/>
      <c r="F413" s="386"/>
      <c r="G413" s="387"/>
      <c r="H413" s="1"/>
    </row>
    <row r="414" spans="1:8" ht="15" customHeight="1" x14ac:dyDescent="0.25">
      <c r="B414" s="385" t="s">
        <v>499</v>
      </c>
      <c r="C414" s="386"/>
      <c r="D414" s="386"/>
      <c r="E414" s="386"/>
      <c r="F414" s="386"/>
      <c r="G414" s="387"/>
      <c r="H414" s="1"/>
    </row>
    <row r="415" spans="1:8" ht="15" customHeight="1" x14ac:dyDescent="0.25">
      <c r="B415" s="385" t="s">
        <v>500</v>
      </c>
      <c r="C415" s="386"/>
      <c r="D415" s="386"/>
      <c r="E415" s="386"/>
      <c r="F415" s="386"/>
      <c r="G415" s="387"/>
      <c r="H415" s="1"/>
    </row>
    <row r="416" spans="1:8" ht="26.25" customHeight="1" x14ac:dyDescent="0.25">
      <c r="B416" s="385" t="s">
        <v>501</v>
      </c>
      <c r="C416" s="386"/>
      <c r="D416" s="386"/>
      <c r="E416" s="386"/>
      <c r="F416" s="386"/>
      <c r="G416" s="387"/>
      <c r="H416" s="1"/>
    </row>
    <row r="417" spans="2:8" ht="27.75" customHeight="1" x14ac:dyDescent="0.25">
      <c r="B417" s="385" t="s">
        <v>502</v>
      </c>
      <c r="C417" s="386"/>
      <c r="D417" s="386"/>
      <c r="E417" s="386"/>
      <c r="F417" s="386"/>
      <c r="G417" s="387"/>
      <c r="H417" s="1"/>
    </row>
    <row r="418" spans="2:8" ht="51.75" customHeight="1" x14ac:dyDescent="0.25">
      <c r="B418" s="385" t="s">
        <v>503</v>
      </c>
      <c r="C418" s="386"/>
      <c r="D418" s="386"/>
      <c r="E418" s="386"/>
      <c r="F418" s="386"/>
      <c r="G418" s="387"/>
      <c r="H418" s="1"/>
    </row>
    <row r="419" spans="2:8" ht="15" customHeight="1" x14ac:dyDescent="0.25">
      <c r="B419" s="385" t="s">
        <v>504</v>
      </c>
      <c r="C419" s="386"/>
      <c r="D419" s="386"/>
      <c r="E419" s="386"/>
      <c r="F419" s="386"/>
      <c r="G419" s="387"/>
      <c r="H419" s="1"/>
    </row>
    <row r="420" spans="2:8" ht="40.5" customHeight="1" x14ac:dyDescent="0.25">
      <c r="B420" s="385" t="s">
        <v>505</v>
      </c>
      <c r="C420" s="386"/>
      <c r="D420" s="386"/>
      <c r="E420" s="386"/>
      <c r="F420" s="386"/>
      <c r="G420" s="387"/>
      <c r="H420" s="1"/>
    </row>
    <row r="421" spans="2:8" ht="31.5" customHeight="1" x14ac:dyDescent="0.25">
      <c r="B421" s="385" t="s">
        <v>506</v>
      </c>
      <c r="C421" s="386"/>
      <c r="D421" s="386"/>
      <c r="E421" s="386"/>
      <c r="F421" s="386"/>
      <c r="G421" s="387"/>
      <c r="H421" s="1"/>
    </row>
    <row r="422" spans="2:8" ht="27.75" customHeight="1" x14ac:dyDescent="0.25">
      <c r="B422" s="385" t="s">
        <v>507</v>
      </c>
      <c r="C422" s="386"/>
      <c r="D422" s="386"/>
      <c r="E422" s="386"/>
      <c r="F422" s="386"/>
      <c r="G422" s="387"/>
      <c r="H422" s="1"/>
    </row>
    <row r="423" spans="2:8" ht="42" customHeight="1" x14ac:dyDescent="0.25">
      <c r="B423" s="385" t="s">
        <v>508</v>
      </c>
      <c r="C423" s="386"/>
      <c r="D423" s="386"/>
      <c r="E423" s="386"/>
      <c r="F423" s="386"/>
      <c r="G423" s="387"/>
      <c r="H423" s="1"/>
    </row>
    <row r="424" spans="2:8" ht="15" customHeight="1" x14ac:dyDescent="0.25">
      <c r="B424" s="385" t="s">
        <v>509</v>
      </c>
      <c r="C424" s="386"/>
      <c r="D424" s="386"/>
      <c r="E424" s="386"/>
      <c r="F424" s="386"/>
      <c r="G424" s="387"/>
      <c r="H424" s="1"/>
    </row>
    <row r="425" spans="2:8" ht="15" customHeight="1" x14ac:dyDescent="0.25">
      <c r="B425" s="385" t="s">
        <v>510</v>
      </c>
      <c r="C425" s="386"/>
      <c r="D425" s="386"/>
      <c r="E425" s="386"/>
      <c r="F425" s="386"/>
      <c r="G425" s="387"/>
      <c r="H425" s="1"/>
    </row>
    <row r="426" spans="2:8" ht="18.75" customHeight="1" x14ac:dyDescent="0.25">
      <c r="B426" s="385" t="s">
        <v>511</v>
      </c>
      <c r="C426" s="386"/>
      <c r="D426" s="386"/>
      <c r="E426" s="386"/>
      <c r="F426" s="386"/>
      <c r="G426" s="387"/>
      <c r="H426" s="1"/>
    </row>
    <row r="427" spans="2:8" ht="15" customHeight="1" x14ac:dyDescent="0.25">
      <c r="B427" s="385" t="s">
        <v>512</v>
      </c>
      <c r="C427" s="386"/>
      <c r="D427" s="386"/>
      <c r="E427" s="386"/>
      <c r="F427" s="386"/>
      <c r="G427" s="387"/>
      <c r="H427" s="1"/>
    </row>
    <row r="428" spans="2:8" ht="15" customHeight="1" x14ac:dyDescent="0.25">
      <c r="B428" s="385" t="s">
        <v>513</v>
      </c>
      <c r="C428" s="386"/>
      <c r="D428" s="386"/>
      <c r="E428" s="386"/>
      <c r="F428" s="386"/>
      <c r="G428" s="387"/>
      <c r="H428" s="1"/>
    </row>
    <row r="429" spans="2:8" ht="31.5" customHeight="1" x14ac:dyDescent="0.25">
      <c r="B429" s="385" t="s">
        <v>514</v>
      </c>
      <c r="C429" s="386"/>
      <c r="D429" s="386"/>
      <c r="E429" s="386"/>
      <c r="F429" s="386"/>
      <c r="G429" s="387"/>
      <c r="H429" s="1"/>
    </row>
    <row r="430" spans="2:8" ht="15" customHeight="1" x14ac:dyDescent="0.25">
      <c r="B430" s="385" t="s">
        <v>515</v>
      </c>
      <c r="C430" s="386"/>
      <c r="D430" s="386"/>
      <c r="E430" s="386"/>
      <c r="F430" s="386"/>
      <c r="G430" s="387"/>
      <c r="H430" s="1"/>
    </row>
    <row r="431" spans="2:8" ht="40.5" customHeight="1" x14ac:dyDescent="0.25">
      <c r="B431" s="385" t="s">
        <v>516</v>
      </c>
      <c r="C431" s="386"/>
      <c r="D431" s="386"/>
      <c r="E431" s="386"/>
      <c r="F431" s="386"/>
      <c r="G431" s="387"/>
      <c r="H431" s="1"/>
    </row>
    <row r="432" spans="2:8" ht="31.5" customHeight="1" x14ac:dyDescent="0.25">
      <c r="B432" s="385" t="s">
        <v>517</v>
      </c>
      <c r="C432" s="386"/>
      <c r="D432" s="386"/>
      <c r="E432" s="386"/>
      <c r="F432" s="386"/>
      <c r="G432" s="387"/>
      <c r="H432" s="1"/>
    </row>
    <row r="433" spans="1:8" ht="15" customHeight="1" x14ac:dyDescent="0.25">
      <c r="B433" s="385" t="s">
        <v>518</v>
      </c>
      <c r="C433" s="386"/>
      <c r="D433" s="386"/>
      <c r="E433" s="386"/>
      <c r="F433" s="386"/>
      <c r="G433" s="387"/>
      <c r="H433" s="1"/>
    </row>
    <row r="434" spans="1:8" ht="15" customHeight="1" x14ac:dyDescent="0.25">
      <c r="B434" s="385" t="s">
        <v>519</v>
      </c>
      <c r="C434" s="386"/>
      <c r="D434" s="386"/>
      <c r="E434" s="386"/>
      <c r="F434" s="386"/>
      <c r="G434" s="387"/>
      <c r="H434" s="1"/>
    </row>
    <row r="435" spans="1:8" ht="15" customHeight="1" x14ac:dyDescent="0.25">
      <c r="B435" s="396"/>
      <c r="C435" s="396"/>
      <c r="D435" s="396"/>
      <c r="E435" s="396"/>
      <c r="F435" s="396"/>
      <c r="G435" s="396"/>
      <c r="H435" s="1"/>
    </row>
    <row r="436" spans="1:8" ht="15" customHeight="1" x14ac:dyDescent="0.25">
      <c r="B436" s="78"/>
      <c r="C436" s="78"/>
      <c r="D436" s="78"/>
      <c r="E436" s="78"/>
      <c r="F436" s="78"/>
      <c r="G436" s="78"/>
      <c r="H436" s="1"/>
    </row>
    <row r="437" spans="1:8" ht="15" customHeight="1" x14ac:dyDescent="0.25">
      <c r="A437" s="69" t="s">
        <v>520</v>
      </c>
      <c r="B437" s="420" t="s">
        <v>521</v>
      </c>
      <c r="C437" s="421"/>
      <c r="D437" s="421"/>
      <c r="E437" s="421"/>
      <c r="F437" s="421"/>
      <c r="G437" s="422"/>
      <c r="H437" s="1"/>
    </row>
    <row r="438" spans="1:8" ht="15" customHeight="1" x14ac:dyDescent="0.25">
      <c r="B438" s="385" t="s">
        <v>522</v>
      </c>
      <c r="C438" s="386"/>
      <c r="D438" s="386"/>
      <c r="E438" s="386"/>
      <c r="F438" s="386"/>
      <c r="G438" s="387"/>
      <c r="H438" s="1"/>
    </row>
    <row r="439" spans="1:8" ht="42.75" customHeight="1" x14ac:dyDescent="0.25">
      <c r="B439" s="385" t="s">
        <v>523</v>
      </c>
      <c r="C439" s="386"/>
      <c r="D439" s="386"/>
      <c r="E439" s="386"/>
      <c r="F439" s="386"/>
      <c r="G439" s="387"/>
      <c r="H439" s="1"/>
    </row>
    <row r="440" spans="1:8" ht="15" customHeight="1" x14ac:dyDescent="0.25">
      <c r="B440" s="385" t="s">
        <v>524</v>
      </c>
      <c r="C440" s="386"/>
      <c r="D440" s="386"/>
      <c r="E440" s="386"/>
      <c r="F440" s="386"/>
      <c r="G440" s="387"/>
      <c r="H440" s="1"/>
    </row>
    <row r="441" spans="1:8" ht="15" customHeight="1" x14ac:dyDescent="0.25">
      <c r="B441" s="385" t="s">
        <v>525</v>
      </c>
      <c r="C441" s="386"/>
      <c r="D441" s="386"/>
      <c r="E441" s="386"/>
      <c r="F441" s="386"/>
      <c r="G441" s="387"/>
      <c r="H441" s="1"/>
    </row>
    <row r="442" spans="1:8" ht="15" customHeight="1" x14ac:dyDescent="0.25">
      <c r="B442" s="385" t="s">
        <v>526</v>
      </c>
      <c r="C442" s="386"/>
      <c r="D442" s="386"/>
      <c r="E442" s="386"/>
      <c r="F442" s="386"/>
      <c r="G442" s="387"/>
      <c r="H442" s="1"/>
    </row>
    <row r="443" spans="1:8" ht="15" customHeight="1" x14ac:dyDescent="0.25">
      <c r="B443" s="385" t="s">
        <v>527</v>
      </c>
      <c r="C443" s="386"/>
      <c r="D443" s="386"/>
      <c r="E443" s="386"/>
      <c r="F443" s="386"/>
      <c r="G443" s="387"/>
      <c r="H443" s="1"/>
    </row>
    <row r="444" spans="1:8" ht="15" customHeight="1" x14ac:dyDescent="0.25">
      <c r="B444" s="385" t="s">
        <v>528</v>
      </c>
      <c r="C444" s="386"/>
      <c r="D444" s="386"/>
      <c r="E444" s="386"/>
      <c r="F444" s="386"/>
      <c r="G444" s="387"/>
      <c r="H444" s="1"/>
    </row>
    <row r="445" spans="1:8" ht="15" customHeight="1" x14ac:dyDescent="0.25">
      <c r="B445" s="432" t="s">
        <v>529</v>
      </c>
      <c r="C445" s="433"/>
      <c r="D445" s="433"/>
      <c r="E445" s="433"/>
      <c r="F445" s="433"/>
      <c r="G445" s="434"/>
      <c r="H445" s="1"/>
    </row>
    <row r="446" spans="1:8" ht="29.25" customHeight="1" x14ac:dyDescent="0.25">
      <c r="B446" s="385" t="s">
        <v>530</v>
      </c>
      <c r="C446" s="386"/>
      <c r="D446" s="386"/>
      <c r="E446" s="386"/>
      <c r="F446" s="386"/>
      <c r="G446" s="387"/>
      <c r="H446" s="1"/>
    </row>
    <row r="447" spans="1:8" ht="15" customHeight="1" x14ac:dyDescent="0.25">
      <c r="B447" s="385" t="s">
        <v>531</v>
      </c>
      <c r="C447" s="386"/>
      <c r="D447" s="386"/>
      <c r="E447" s="386"/>
      <c r="F447" s="386"/>
      <c r="G447" s="387"/>
      <c r="H447" s="1"/>
    </row>
    <row r="448" spans="1:8" ht="15" customHeight="1" x14ac:dyDescent="0.25">
      <c r="B448" s="385" t="s">
        <v>532</v>
      </c>
      <c r="C448" s="386"/>
      <c r="D448" s="386"/>
      <c r="E448" s="386"/>
      <c r="F448" s="386"/>
      <c r="G448" s="387"/>
      <c r="H448" s="1"/>
    </row>
    <row r="449" spans="2:8" ht="15" customHeight="1" x14ac:dyDescent="0.25">
      <c r="B449" s="385" t="s">
        <v>533</v>
      </c>
      <c r="C449" s="386"/>
      <c r="D449" s="386"/>
      <c r="E449" s="386"/>
      <c r="F449" s="386"/>
      <c r="G449" s="387"/>
      <c r="H449" s="1"/>
    </row>
    <row r="450" spans="2:8" ht="15" customHeight="1" x14ac:dyDescent="0.25">
      <c r="B450" s="385" t="s">
        <v>534</v>
      </c>
      <c r="C450" s="386"/>
      <c r="D450" s="386"/>
      <c r="E450" s="386"/>
      <c r="F450" s="386"/>
      <c r="G450" s="387"/>
      <c r="H450" s="1"/>
    </row>
    <row r="451" spans="2:8" ht="15" customHeight="1" x14ac:dyDescent="0.25">
      <c r="B451" s="385" t="s">
        <v>535</v>
      </c>
      <c r="C451" s="386"/>
      <c r="D451" s="386"/>
      <c r="E451" s="386"/>
      <c r="F451" s="386"/>
      <c r="G451" s="387"/>
      <c r="H451" s="1"/>
    </row>
    <row r="452" spans="2:8" ht="15" customHeight="1" x14ac:dyDescent="0.25">
      <c r="B452" s="385" t="s">
        <v>536</v>
      </c>
      <c r="C452" s="386"/>
      <c r="D452" s="386"/>
      <c r="E452" s="386"/>
      <c r="F452" s="386"/>
      <c r="G452" s="387"/>
      <c r="H452" s="1"/>
    </row>
    <row r="453" spans="2:8" ht="29.25" customHeight="1" x14ac:dyDescent="0.25">
      <c r="B453" s="385" t="s">
        <v>537</v>
      </c>
      <c r="C453" s="386"/>
      <c r="D453" s="386"/>
      <c r="E453" s="386"/>
      <c r="F453" s="386"/>
      <c r="G453" s="387"/>
      <c r="H453" s="1"/>
    </row>
    <row r="454" spans="2:8" ht="15" customHeight="1" x14ac:dyDescent="0.25">
      <c r="B454" s="403" t="s">
        <v>538</v>
      </c>
      <c r="C454" s="404"/>
      <c r="D454" s="404"/>
      <c r="E454" s="404"/>
      <c r="F454" s="404"/>
      <c r="G454" s="405"/>
      <c r="H454" s="1"/>
    </row>
    <row r="455" spans="2:8" ht="29.25" customHeight="1" x14ac:dyDescent="0.25">
      <c r="B455" s="385" t="s">
        <v>539</v>
      </c>
      <c r="C455" s="386"/>
      <c r="D455" s="386"/>
      <c r="E455" s="386"/>
      <c r="F455" s="386"/>
      <c r="G455" s="387"/>
      <c r="H455" s="1"/>
    </row>
    <row r="456" spans="2:8" ht="15" customHeight="1" x14ac:dyDescent="0.25">
      <c r="B456" s="385" t="s">
        <v>540</v>
      </c>
      <c r="C456" s="386"/>
      <c r="D456" s="386"/>
      <c r="E456" s="386"/>
      <c r="F456" s="386"/>
      <c r="G456" s="387"/>
      <c r="H456" s="1"/>
    </row>
    <row r="457" spans="2:8" ht="39" customHeight="1" x14ac:dyDescent="0.25">
      <c r="B457" s="385" t="s">
        <v>541</v>
      </c>
      <c r="C457" s="386"/>
      <c r="D457" s="386"/>
      <c r="E457" s="386"/>
      <c r="F457" s="386"/>
      <c r="G457" s="387"/>
      <c r="H457" s="1"/>
    </row>
    <row r="458" spans="2:8" ht="27.75" customHeight="1" x14ac:dyDescent="0.25">
      <c r="B458" s="385" t="s">
        <v>542</v>
      </c>
      <c r="C458" s="386"/>
      <c r="D458" s="386"/>
      <c r="E458" s="386"/>
      <c r="F458" s="386"/>
      <c r="G458" s="387"/>
      <c r="H458" s="1"/>
    </row>
    <row r="459" spans="2:8" ht="15" customHeight="1" x14ac:dyDescent="0.25">
      <c r="B459" s="385" t="s">
        <v>543</v>
      </c>
      <c r="C459" s="386"/>
      <c r="D459" s="386"/>
      <c r="E459" s="386"/>
      <c r="F459" s="386"/>
      <c r="G459" s="387"/>
      <c r="H459" s="1"/>
    </row>
    <row r="460" spans="2:8" ht="39.75" customHeight="1" x14ac:dyDescent="0.25">
      <c r="B460" s="385" t="s">
        <v>544</v>
      </c>
      <c r="C460" s="386"/>
      <c r="D460" s="386"/>
      <c r="E460" s="386"/>
      <c r="F460" s="386"/>
      <c r="G460" s="387"/>
      <c r="H460" s="1"/>
    </row>
    <row r="461" spans="2:8" ht="15" customHeight="1" x14ac:dyDescent="0.25">
      <c r="B461" s="385" t="s">
        <v>545</v>
      </c>
      <c r="C461" s="386"/>
      <c r="D461" s="386"/>
      <c r="E461" s="386"/>
      <c r="F461" s="386"/>
      <c r="G461" s="387"/>
      <c r="H461" s="1"/>
    </row>
    <row r="462" spans="2:8" ht="38.25" customHeight="1" x14ac:dyDescent="0.25">
      <c r="B462" s="385" t="s">
        <v>546</v>
      </c>
      <c r="C462" s="386"/>
      <c r="D462" s="386"/>
      <c r="E462" s="386"/>
      <c r="F462" s="386"/>
      <c r="G462" s="387"/>
      <c r="H462" s="1"/>
    </row>
    <row r="463" spans="2:8" ht="15" customHeight="1" x14ac:dyDescent="0.25">
      <c r="B463" s="385" t="s">
        <v>547</v>
      </c>
      <c r="C463" s="386"/>
      <c r="D463" s="386"/>
      <c r="E463" s="386"/>
      <c r="F463" s="386"/>
      <c r="G463" s="387"/>
      <c r="H463" s="1"/>
    </row>
    <row r="464" spans="2:8" ht="15" customHeight="1" x14ac:dyDescent="0.25">
      <c r="B464" s="385" t="s">
        <v>548</v>
      </c>
      <c r="C464" s="386"/>
      <c r="D464" s="386"/>
      <c r="E464" s="386"/>
      <c r="F464" s="386"/>
      <c r="G464" s="387"/>
      <c r="H464" s="1"/>
    </row>
    <row r="465" spans="2:8" ht="15" customHeight="1" x14ac:dyDescent="0.25">
      <c r="B465" s="403" t="s">
        <v>549</v>
      </c>
      <c r="C465" s="404"/>
      <c r="D465" s="404"/>
      <c r="E465" s="404"/>
      <c r="F465" s="404"/>
      <c r="G465" s="405"/>
      <c r="H465" s="1"/>
    </row>
    <row r="466" spans="2:8" ht="15" customHeight="1" x14ac:dyDescent="0.25">
      <c r="B466" s="403" t="s">
        <v>550</v>
      </c>
      <c r="C466" s="404"/>
      <c r="D466" s="404"/>
      <c r="E466" s="404"/>
      <c r="F466" s="404"/>
      <c r="G466" s="405"/>
      <c r="H466" s="1"/>
    </row>
    <row r="467" spans="2:8" ht="42" customHeight="1" x14ac:dyDescent="0.25">
      <c r="B467" s="385" t="s">
        <v>551</v>
      </c>
      <c r="C467" s="386"/>
      <c r="D467" s="386"/>
      <c r="E467" s="386"/>
      <c r="F467" s="386"/>
      <c r="G467" s="387"/>
      <c r="H467" s="1"/>
    </row>
    <row r="468" spans="2:8" ht="15" customHeight="1" x14ac:dyDescent="0.25">
      <c r="B468" s="385" t="s">
        <v>552</v>
      </c>
      <c r="C468" s="386"/>
      <c r="D468" s="386"/>
      <c r="E468" s="386"/>
      <c r="F468" s="386"/>
      <c r="G468" s="387"/>
      <c r="H468" s="1"/>
    </row>
    <row r="469" spans="2:8" ht="29.25" customHeight="1" x14ac:dyDescent="0.25">
      <c r="B469" s="385" t="s">
        <v>553</v>
      </c>
      <c r="C469" s="386"/>
      <c r="D469" s="386"/>
      <c r="E469" s="386"/>
      <c r="F469" s="386"/>
      <c r="G469" s="387"/>
      <c r="H469" s="1"/>
    </row>
    <row r="470" spans="2:8" ht="15" customHeight="1" x14ac:dyDescent="0.25">
      <c r="B470" s="403" t="s">
        <v>554</v>
      </c>
      <c r="C470" s="404"/>
      <c r="D470" s="404"/>
      <c r="E470" s="404"/>
      <c r="F470" s="404"/>
      <c r="G470" s="405"/>
      <c r="H470" s="1"/>
    </row>
    <row r="471" spans="2:8" ht="15" customHeight="1" x14ac:dyDescent="0.25">
      <c r="B471" s="385" t="s">
        <v>555</v>
      </c>
      <c r="C471" s="386"/>
      <c r="D471" s="386"/>
      <c r="E471" s="386"/>
      <c r="F471" s="386"/>
      <c r="G471" s="387"/>
      <c r="H471" s="1"/>
    </row>
    <row r="472" spans="2:8" ht="40.5" customHeight="1" x14ac:dyDescent="0.25">
      <c r="B472" s="385" t="s">
        <v>556</v>
      </c>
      <c r="C472" s="386"/>
      <c r="D472" s="386"/>
      <c r="E472" s="386"/>
      <c r="F472" s="386"/>
      <c r="G472" s="387"/>
      <c r="H472" s="1"/>
    </row>
    <row r="473" spans="2:8" ht="30" customHeight="1" x14ac:dyDescent="0.25">
      <c r="B473" s="385" t="s">
        <v>557</v>
      </c>
      <c r="C473" s="386"/>
      <c r="D473" s="386"/>
      <c r="E473" s="386"/>
      <c r="F473" s="386"/>
      <c r="G473" s="387"/>
      <c r="H473" s="1"/>
    </row>
    <row r="474" spans="2:8" ht="15" customHeight="1" x14ac:dyDescent="0.25">
      <c r="B474" s="403" t="s">
        <v>558</v>
      </c>
      <c r="C474" s="404"/>
      <c r="D474" s="404"/>
      <c r="E474" s="404"/>
      <c r="F474" s="404"/>
      <c r="G474" s="405"/>
      <c r="H474" s="1"/>
    </row>
    <row r="475" spans="2:8" ht="41.25" customHeight="1" x14ac:dyDescent="0.25">
      <c r="B475" s="385" t="s">
        <v>559</v>
      </c>
      <c r="C475" s="386"/>
      <c r="D475" s="386"/>
      <c r="E475" s="386"/>
      <c r="F475" s="386"/>
      <c r="G475" s="387"/>
      <c r="H475" s="1"/>
    </row>
    <row r="476" spans="2:8" ht="28.5" customHeight="1" x14ac:dyDescent="0.25">
      <c r="B476" s="385" t="s">
        <v>560</v>
      </c>
      <c r="C476" s="386"/>
      <c r="D476" s="386"/>
      <c r="E476" s="386"/>
      <c r="F476" s="386"/>
      <c r="G476" s="387"/>
      <c r="H476" s="1"/>
    </row>
    <row r="477" spans="2:8" ht="15" customHeight="1" x14ac:dyDescent="0.25">
      <c r="B477" s="403" t="s">
        <v>561</v>
      </c>
      <c r="C477" s="404"/>
      <c r="D477" s="404"/>
      <c r="E477" s="404"/>
      <c r="F477" s="404"/>
      <c r="G477" s="405"/>
      <c r="H477" s="1"/>
    </row>
    <row r="478" spans="2:8" ht="15" customHeight="1" x14ac:dyDescent="0.25">
      <c r="B478" s="385" t="s">
        <v>562</v>
      </c>
      <c r="C478" s="386"/>
      <c r="D478" s="386"/>
      <c r="E478" s="386"/>
      <c r="F478" s="386"/>
      <c r="G478" s="387"/>
      <c r="H478" s="1"/>
    </row>
    <row r="479" spans="2:8" ht="29.25" customHeight="1" x14ac:dyDescent="0.25">
      <c r="B479" s="385" t="s">
        <v>563</v>
      </c>
      <c r="C479" s="386"/>
      <c r="D479" s="386"/>
      <c r="E479" s="386"/>
      <c r="F479" s="386"/>
      <c r="G479" s="387"/>
      <c r="H479" s="1"/>
    </row>
    <row r="480" spans="2:8" ht="66.75" customHeight="1" x14ac:dyDescent="0.25">
      <c r="B480" s="385" t="s">
        <v>564</v>
      </c>
      <c r="C480" s="386"/>
      <c r="D480" s="386"/>
      <c r="E480" s="386"/>
      <c r="F480" s="386"/>
      <c r="G480" s="387"/>
      <c r="H480" s="1"/>
    </row>
    <row r="481" spans="2:8" ht="15" customHeight="1" x14ac:dyDescent="0.25">
      <c r="B481" s="403" t="s">
        <v>565</v>
      </c>
      <c r="C481" s="404"/>
      <c r="D481" s="404"/>
      <c r="E481" s="404"/>
      <c r="F481" s="404"/>
      <c r="G481" s="405"/>
      <c r="H481" s="1"/>
    </row>
    <row r="482" spans="2:8" ht="43.5" customHeight="1" x14ac:dyDescent="0.25">
      <c r="B482" s="385" t="s">
        <v>566</v>
      </c>
      <c r="C482" s="386"/>
      <c r="D482" s="386"/>
      <c r="E482" s="386"/>
      <c r="F482" s="386"/>
      <c r="G482" s="387"/>
      <c r="H482" s="1"/>
    </row>
    <row r="483" spans="2:8" ht="28.5" customHeight="1" x14ac:dyDescent="0.25">
      <c r="B483" s="385" t="s">
        <v>567</v>
      </c>
      <c r="C483" s="386"/>
      <c r="D483" s="386"/>
      <c r="E483" s="386"/>
      <c r="F483" s="386"/>
      <c r="G483" s="387"/>
      <c r="H483" s="1"/>
    </row>
    <row r="484" spans="2:8" ht="30.75" customHeight="1" x14ac:dyDescent="0.25">
      <c r="B484" s="385" t="s">
        <v>568</v>
      </c>
      <c r="C484" s="386"/>
      <c r="D484" s="386"/>
      <c r="E484" s="386"/>
      <c r="F484" s="386"/>
      <c r="G484" s="387"/>
      <c r="H484" s="1"/>
    </row>
    <row r="485" spans="2:8" ht="15" customHeight="1" x14ac:dyDescent="0.25">
      <c r="B485" s="385" t="s">
        <v>569</v>
      </c>
      <c r="C485" s="386"/>
      <c r="D485" s="386"/>
      <c r="E485" s="386"/>
      <c r="F485" s="386"/>
      <c r="G485" s="387"/>
      <c r="H485" s="1"/>
    </row>
    <row r="486" spans="2:8" ht="15" customHeight="1" x14ac:dyDescent="0.25">
      <c r="B486" s="385"/>
      <c r="C486" s="386"/>
      <c r="D486" s="386"/>
      <c r="E486" s="386"/>
      <c r="F486" s="386"/>
      <c r="G486" s="387"/>
      <c r="H486" s="1"/>
    </row>
    <row r="487" spans="2:8" ht="15" customHeight="1" x14ac:dyDescent="0.25">
      <c r="B487" s="403" t="s">
        <v>570</v>
      </c>
      <c r="C487" s="404"/>
      <c r="D487" s="404"/>
      <c r="E487" s="404"/>
      <c r="F487" s="404"/>
      <c r="G487" s="405"/>
      <c r="H487" s="1"/>
    </row>
    <row r="488" spans="2:8" ht="15" customHeight="1" x14ac:dyDescent="0.25">
      <c r="B488" s="385" t="s">
        <v>571</v>
      </c>
      <c r="C488" s="386"/>
      <c r="D488" s="386"/>
      <c r="E488" s="386"/>
      <c r="F488" s="386"/>
      <c r="G488" s="387"/>
      <c r="H488" s="1"/>
    </row>
    <row r="489" spans="2:8" ht="15" customHeight="1" x14ac:dyDescent="0.25">
      <c r="B489" s="403" t="s">
        <v>572</v>
      </c>
      <c r="C489" s="404"/>
      <c r="D489" s="404"/>
      <c r="E489" s="404"/>
      <c r="F489" s="404"/>
      <c r="G489" s="405"/>
      <c r="H489" s="1"/>
    </row>
    <row r="490" spans="2:8" ht="27.75" customHeight="1" x14ac:dyDescent="0.25">
      <c r="B490" s="385" t="s">
        <v>573</v>
      </c>
      <c r="C490" s="386"/>
      <c r="D490" s="386"/>
      <c r="E490" s="386"/>
      <c r="F490" s="386"/>
      <c r="G490" s="387"/>
      <c r="H490" s="1"/>
    </row>
    <row r="491" spans="2:8" ht="30.75" customHeight="1" x14ac:dyDescent="0.25">
      <c r="B491" s="385" t="s">
        <v>574</v>
      </c>
      <c r="C491" s="386"/>
      <c r="D491" s="386"/>
      <c r="E491" s="386"/>
      <c r="F491" s="386"/>
      <c r="G491" s="387"/>
      <c r="H491" s="1"/>
    </row>
    <row r="492" spans="2:8" ht="15" customHeight="1" x14ac:dyDescent="0.25">
      <c r="B492" s="403" t="s">
        <v>575</v>
      </c>
      <c r="C492" s="404"/>
      <c r="D492" s="404"/>
      <c r="E492" s="404"/>
      <c r="F492" s="404"/>
      <c r="G492" s="405"/>
      <c r="H492" s="1"/>
    </row>
    <row r="493" spans="2:8" ht="27.75" customHeight="1" x14ac:dyDescent="0.25">
      <c r="B493" s="385" t="s">
        <v>576</v>
      </c>
      <c r="C493" s="386"/>
      <c r="D493" s="386"/>
      <c r="E493" s="386"/>
      <c r="F493" s="386"/>
      <c r="G493" s="387"/>
      <c r="H493" s="1"/>
    </row>
    <row r="494" spans="2:8" ht="27.75" customHeight="1" x14ac:dyDescent="0.25">
      <c r="B494" s="385" t="s">
        <v>577</v>
      </c>
      <c r="C494" s="386"/>
      <c r="D494" s="386"/>
      <c r="E494" s="386"/>
      <c r="F494" s="386"/>
      <c r="G494" s="387"/>
      <c r="H494" s="1"/>
    </row>
    <row r="495" spans="2:8" ht="44.25" customHeight="1" x14ac:dyDescent="0.25">
      <c r="B495" s="385" t="s">
        <v>578</v>
      </c>
      <c r="C495" s="386"/>
      <c r="D495" s="386"/>
      <c r="E495" s="386"/>
      <c r="F495" s="386"/>
      <c r="G495" s="387"/>
      <c r="H495" s="1"/>
    </row>
    <row r="496" spans="2:8" ht="15" customHeight="1" x14ac:dyDescent="0.25">
      <c r="B496" s="403" t="s">
        <v>579</v>
      </c>
      <c r="C496" s="404"/>
      <c r="D496" s="404"/>
      <c r="E496" s="404"/>
      <c r="F496" s="404"/>
      <c r="G496" s="405"/>
      <c r="H496" s="1"/>
    </row>
    <row r="497" spans="2:8" ht="15" customHeight="1" x14ac:dyDescent="0.25">
      <c r="B497" s="385" t="s">
        <v>580</v>
      </c>
      <c r="C497" s="386"/>
      <c r="D497" s="386"/>
      <c r="E497" s="386"/>
      <c r="F497" s="386"/>
      <c r="G497" s="387"/>
      <c r="H497" s="1"/>
    </row>
    <row r="498" spans="2:8" ht="32.25" customHeight="1" x14ac:dyDescent="0.25">
      <c r="B498" s="385" t="s">
        <v>581</v>
      </c>
      <c r="C498" s="386"/>
      <c r="D498" s="386"/>
      <c r="E498" s="386"/>
      <c r="F498" s="386"/>
      <c r="G498" s="387"/>
      <c r="H498" s="1"/>
    </row>
    <row r="499" spans="2:8" ht="15" customHeight="1" x14ac:dyDescent="0.25">
      <c r="B499" s="74"/>
      <c r="C499" s="75"/>
      <c r="D499" s="75"/>
      <c r="E499" s="75"/>
      <c r="F499" s="75"/>
      <c r="G499" s="76"/>
      <c r="H499" s="1"/>
    </row>
    <row r="500" spans="2:8" ht="15" customHeight="1" x14ac:dyDescent="0.25">
      <c r="B500" s="403" t="s">
        <v>582</v>
      </c>
      <c r="C500" s="404"/>
      <c r="D500" s="404"/>
      <c r="E500" s="404"/>
      <c r="F500" s="404"/>
      <c r="G500" s="405"/>
      <c r="H500" s="1"/>
    </row>
    <row r="501" spans="2:8" ht="15" customHeight="1" x14ac:dyDescent="0.25">
      <c r="B501" s="80"/>
      <c r="C501" s="81"/>
      <c r="D501" s="81"/>
      <c r="E501" s="81"/>
      <c r="F501" s="81"/>
      <c r="G501" s="82"/>
      <c r="H501" s="1"/>
    </row>
    <row r="502" spans="2:8" ht="15" customHeight="1" x14ac:dyDescent="0.25">
      <c r="B502" s="403" t="s">
        <v>583</v>
      </c>
      <c r="C502" s="404"/>
      <c r="D502" s="404"/>
      <c r="E502" s="404"/>
      <c r="F502" s="404"/>
      <c r="G502" s="405"/>
      <c r="H502" s="1"/>
    </row>
    <row r="503" spans="2:8" ht="27.75" customHeight="1" x14ac:dyDescent="0.25">
      <c r="B503" s="385" t="s">
        <v>584</v>
      </c>
      <c r="C503" s="386"/>
      <c r="D503" s="386"/>
      <c r="E503" s="386"/>
      <c r="F503" s="386"/>
      <c r="G503" s="387"/>
      <c r="H503" s="1"/>
    </row>
    <row r="504" spans="2:8" ht="27" customHeight="1" x14ac:dyDescent="0.25">
      <c r="B504" s="385" t="s">
        <v>585</v>
      </c>
      <c r="C504" s="386"/>
      <c r="D504" s="386"/>
      <c r="E504" s="386"/>
      <c r="F504" s="386"/>
      <c r="G504" s="387"/>
      <c r="H504" s="1"/>
    </row>
    <row r="505" spans="2:8" ht="30" customHeight="1" x14ac:dyDescent="0.25">
      <c r="B505" s="385" t="s">
        <v>585</v>
      </c>
      <c r="C505" s="386"/>
      <c r="D505" s="386"/>
      <c r="E505" s="386"/>
      <c r="F505" s="386"/>
      <c r="G505" s="387"/>
      <c r="H505" s="1"/>
    </row>
    <row r="506" spans="2:8" ht="15" customHeight="1" x14ac:dyDescent="0.25">
      <c r="B506" s="385"/>
      <c r="C506" s="386"/>
      <c r="D506" s="386"/>
      <c r="E506" s="386"/>
      <c r="F506" s="386"/>
      <c r="G506" s="387"/>
      <c r="H506" s="1"/>
    </row>
    <row r="507" spans="2:8" ht="15" customHeight="1" x14ac:dyDescent="0.25">
      <c r="B507" s="403" t="s">
        <v>586</v>
      </c>
      <c r="C507" s="404"/>
      <c r="D507" s="404"/>
      <c r="E507" s="404"/>
      <c r="F507" s="404"/>
      <c r="G507" s="405"/>
      <c r="H507" s="1"/>
    </row>
    <row r="508" spans="2:8" ht="29.25" customHeight="1" x14ac:dyDescent="0.25">
      <c r="B508" s="385" t="s">
        <v>587</v>
      </c>
      <c r="C508" s="386"/>
      <c r="D508" s="386"/>
      <c r="E508" s="386"/>
      <c r="F508" s="386"/>
      <c r="G508" s="387"/>
      <c r="H508" s="1"/>
    </row>
    <row r="509" spans="2:8" ht="42" customHeight="1" x14ac:dyDescent="0.25">
      <c r="B509" s="385" t="s">
        <v>588</v>
      </c>
      <c r="C509" s="386"/>
      <c r="D509" s="386"/>
      <c r="E509" s="386"/>
      <c r="F509" s="386"/>
      <c r="G509" s="387"/>
      <c r="H509" s="1"/>
    </row>
    <row r="510" spans="2:8" ht="15" customHeight="1" x14ac:dyDescent="0.25">
      <c r="B510" s="74"/>
      <c r="C510" s="75"/>
      <c r="D510" s="75"/>
      <c r="E510" s="75"/>
      <c r="F510" s="75"/>
      <c r="G510" s="76"/>
      <c r="H510" s="1"/>
    </row>
    <row r="511" spans="2:8" ht="15" customHeight="1" x14ac:dyDescent="0.25">
      <c r="B511" s="403" t="s">
        <v>589</v>
      </c>
      <c r="C511" s="404"/>
      <c r="D511" s="404"/>
      <c r="E511" s="404"/>
      <c r="F511" s="404"/>
      <c r="G511" s="405"/>
      <c r="H511" s="1"/>
    </row>
    <row r="512" spans="2:8" ht="15" customHeight="1" x14ac:dyDescent="0.25">
      <c r="B512" s="403" t="s">
        <v>590</v>
      </c>
      <c r="C512" s="404"/>
      <c r="D512" s="404"/>
      <c r="E512" s="404"/>
      <c r="F512" s="404"/>
      <c r="G512" s="405"/>
      <c r="H512" s="1"/>
    </row>
    <row r="513" spans="2:8" ht="15" customHeight="1" x14ac:dyDescent="0.25">
      <c r="B513" s="385" t="s">
        <v>591</v>
      </c>
      <c r="C513" s="386"/>
      <c r="D513" s="386"/>
      <c r="E513" s="386"/>
      <c r="F513" s="386"/>
      <c r="G513" s="387"/>
      <c r="H513" s="1"/>
    </row>
    <row r="514" spans="2:8" ht="15" customHeight="1" x14ac:dyDescent="0.25">
      <c r="B514" s="385" t="s">
        <v>592</v>
      </c>
      <c r="C514" s="386"/>
      <c r="D514" s="386"/>
      <c r="E514" s="386"/>
      <c r="F514" s="386"/>
      <c r="G514" s="387"/>
      <c r="H514" s="1"/>
    </row>
    <row r="515" spans="2:8" ht="39" customHeight="1" x14ac:dyDescent="0.25">
      <c r="B515" s="385" t="s">
        <v>593</v>
      </c>
      <c r="C515" s="386"/>
      <c r="D515" s="386"/>
      <c r="E515" s="386"/>
      <c r="F515" s="386"/>
      <c r="G515" s="387"/>
      <c r="H515" s="1"/>
    </row>
    <row r="516" spans="2:8" ht="15" customHeight="1" x14ac:dyDescent="0.25">
      <c r="B516" s="403" t="s">
        <v>594</v>
      </c>
      <c r="C516" s="404"/>
      <c r="D516" s="404"/>
      <c r="E516" s="404"/>
      <c r="F516" s="404"/>
      <c r="G516" s="405"/>
      <c r="H516" s="1"/>
    </row>
    <row r="517" spans="2:8" ht="27" customHeight="1" x14ac:dyDescent="0.25">
      <c r="B517" s="385" t="s">
        <v>595</v>
      </c>
      <c r="C517" s="386"/>
      <c r="D517" s="386"/>
      <c r="E517" s="386"/>
      <c r="F517" s="386"/>
      <c r="G517" s="387"/>
      <c r="H517" s="1"/>
    </row>
    <row r="518" spans="2:8" ht="15" customHeight="1" x14ac:dyDescent="0.25">
      <c r="B518" s="403" t="s">
        <v>596</v>
      </c>
      <c r="C518" s="404"/>
      <c r="D518" s="404"/>
      <c r="E518" s="404"/>
      <c r="F518" s="404"/>
      <c r="G518" s="405"/>
      <c r="H518" s="1"/>
    </row>
    <row r="519" spans="2:8" ht="40.5" customHeight="1" x14ac:dyDescent="0.25">
      <c r="B519" s="385" t="s">
        <v>597</v>
      </c>
      <c r="C519" s="386"/>
      <c r="D519" s="386"/>
      <c r="E519" s="386"/>
      <c r="F519" s="386"/>
      <c r="G519" s="387"/>
      <c r="H519" s="1"/>
    </row>
    <row r="520" spans="2:8" ht="15" customHeight="1" x14ac:dyDescent="0.25">
      <c r="B520" s="385" t="s">
        <v>598</v>
      </c>
      <c r="C520" s="386"/>
      <c r="D520" s="386"/>
      <c r="E520" s="386"/>
      <c r="F520" s="386"/>
      <c r="G520" s="387"/>
      <c r="H520" s="1"/>
    </row>
    <row r="521" spans="2:8" ht="15" customHeight="1" x14ac:dyDescent="0.25">
      <c r="B521" s="385" t="s">
        <v>599</v>
      </c>
      <c r="C521" s="386"/>
      <c r="D521" s="386"/>
      <c r="E521" s="386"/>
      <c r="F521" s="386"/>
      <c r="G521" s="387"/>
      <c r="H521" s="1"/>
    </row>
    <row r="522" spans="2:8" ht="15" customHeight="1" x14ac:dyDescent="0.25">
      <c r="B522" s="385" t="s">
        <v>600</v>
      </c>
      <c r="C522" s="386"/>
      <c r="D522" s="386"/>
      <c r="E522" s="386"/>
      <c r="F522" s="386"/>
      <c r="G522" s="387"/>
      <c r="H522" s="1"/>
    </row>
    <row r="523" spans="2:8" ht="15" customHeight="1" x14ac:dyDescent="0.25">
      <c r="B523" s="385" t="s">
        <v>601</v>
      </c>
      <c r="C523" s="386"/>
      <c r="D523" s="386"/>
      <c r="E523" s="386"/>
      <c r="F523" s="386"/>
      <c r="G523" s="387"/>
      <c r="H523" s="1"/>
    </row>
    <row r="524" spans="2:8" ht="15" customHeight="1" x14ac:dyDescent="0.25">
      <c r="B524" s="385" t="s">
        <v>602</v>
      </c>
      <c r="C524" s="386"/>
      <c r="D524" s="386"/>
      <c r="E524" s="386"/>
      <c r="F524" s="386"/>
      <c r="G524" s="387"/>
      <c r="H524" s="1"/>
    </row>
    <row r="525" spans="2:8" ht="15" customHeight="1" x14ac:dyDescent="0.25">
      <c r="B525" s="385" t="s">
        <v>603</v>
      </c>
      <c r="C525" s="386"/>
      <c r="D525" s="386"/>
      <c r="E525" s="386"/>
      <c r="F525" s="386"/>
      <c r="G525" s="387"/>
      <c r="H525" s="1"/>
    </row>
    <row r="526" spans="2:8" ht="15" customHeight="1" x14ac:dyDescent="0.25">
      <c r="B526" s="385" t="s">
        <v>604</v>
      </c>
      <c r="C526" s="386"/>
      <c r="D526" s="386"/>
      <c r="E526" s="386"/>
      <c r="F526" s="386"/>
      <c r="G526" s="387"/>
      <c r="H526" s="1"/>
    </row>
    <row r="527" spans="2:8" ht="29.25" customHeight="1" x14ac:dyDescent="0.25">
      <c r="B527" s="385" t="s">
        <v>605</v>
      </c>
      <c r="C527" s="386"/>
      <c r="D527" s="386"/>
      <c r="E527" s="386"/>
      <c r="F527" s="386"/>
      <c r="G527" s="387"/>
      <c r="H527" s="1"/>
    </row>
    <row r="528" spans="2:8" ht="15" customHeight="1" x14ac:dyDescent="0.25">
      <c r="B528" s="403" t="s">
        <v>606</v>
      </c>
      <c r="C528" s="404"/>
      <c r="D528" s="404"/>
      <c r="E528" s="404"/>
      <c r="F528" s="404"/>
      <c r="G528" s="405"/>
      <c r="H528" s="1"/>
    </row>
    <row r="529" spans="2:8" ht="27" customHeight="1" x14ac:dyDescent="0.25">
      <c r="B529" s="385" t="s">
        <v>607</v>
      </c>
      <c r="C529" s="386"/>
      <c r="D529" s="386"/>
      <c r="E529" s="386"/>
      <c r="F529" s="386"/>
      <c r="G529" s="387"/>
      <c r="H529" s="1"/>
    </row>
    <row r="530" spans="2:8" ht="27" customHeight="1" x14ac:dyDescent="0.25">
      <c r="B530" s="385" t="s">
        <v>608</v>
      </c>
      <c r="C530" s="386"/>
      <c r="D530" s="386"/>
      <c r="E530" s="386"/>
      <c r="F530" s="386"/>
      <c r="G530" s="387"/>
      <c r="H530" s="1"/>
    </row>
    <row r="531" spans="2:8" ht="15" customHeight="1" x14ac:dyDescent="0.25">
      <c r="B531" s="403" t="s">
        <v>609</v>
      </c>
      <c r="C531" s="404"/>
      <c r="D531" s="404"/>
      <c r="E531" s="404"/>
      <c r="F531" s="404"/>
      <c r="G531" s="405"/>
      <c r="H531" s="1"/>
    </row>
    <row r="532" spans="2:8" ht="51" customHeight="1" x14ac:dyDescent="0.25">
      <c r="B532" s="385" t="s">
        <v>610</v>
      </c>
      <c r="C532" s="386"/>
      <c r="D532" s="386"/>
      <c r="E532" s="386"/>
      <c r="F532" s="386"/>
      <c r="G532" s="387"/>
      <c r="H532" s="1"/>
    </row>
    <row r="533" spans="2:8" ht="27.75" customHeight="1" x14ac:dyDescent="0.25">
      <c r="B533" s="385" t="s">
        <v>611</v>
      </c>
      <c r="C533" s="386"/>
      <c r="D533" s="386"/>
      <c r="E533" s="386"/>
      <c r="F533" s="386"/>
      <c r="G533" s="387"/>
      <c r="H533" s="1"/>
    </row>
    <row r="534" spans="2:8" ht="25.5" customHeight="1" x14ac:dyDescent="0.25">
      <c r="B534" s="385" t="s">
        <v>612</v>
      </c>
      <c r="C534" s="386"/>
      <c r="D534" s="386"/>
      <c r="E534" s="386"/>
      <c r="F534" s="386"/>
      <c r="G534" s="387"/>
      <c r="H534" s="1"/>
    </row>
    <row r="535" spans="2:8" ht="27" customHeight="1" x14ac:dyDescent="0.25">
      <c r="B535" s="385" t="s">
        <v>613</v>
      </c>
      <c r="C535" s="386"/>
      <c r="D535" s="386"/>
      <c r="E535" s="386"/>
      <c r="F535" s="386"/>
      <c r="G535" s="387"/>
      <c r="H535" s="1"/>
    </row>
    <row r="536" spans="2:8" ht="15" customHeight="1" x14ac:dyDescent="0.25">
      <c r="B536" s="403" t="s">
        <v>614</v>
      </c>
      <c r="C536" s="404"/>
      <c r="D536" s="404"/>
      <c r="E536" s="404"/>
      <c r="F536" s="404"/>
      <c r="G536" s="405"/>
      <c r="H536" s="1"/>
    </row>
    <row r="537" spans="2:8" ht="53.25" customHeight="1" x14ac:dyDescent="0.25">
      <c r="B537" s="385" t="s">
        <v>615</v>
      </c>
      <c r="C537" s="386"/>
      <c r="D537" s="386"/>
      <c r="E537" s="386"/>
      <c r="F537" s="386"/>
      <c r="G537" s="387"/>
      <c r="H537" s="1"/>
    </row>
    <row r="538" spans="2:8" ht="15" customHeight="1" x14ac:dyDescent="0.25">
      <c r="B538" s="385" t="s">
        <v>616</v>
      </c>
      <c r="C538" s="386"/>
      <c r="D538" s="386"/>
      <c r="E538" s="386"/>
      <c r="F538" s="386"/>
      <c r="G538" s="387"/>
      <c r="H538" s="1"/>
    </row>
    <row r="539" spans="2:8" ht="28.5" customHeight="1" x14ac:dyDescent="0.25">
      <c r="B539" s="385" t="s">
        <v>617</v>
      </c>
      <c r="C539" s="386"/>
      <c r="D539" s="386"/>
      <c r="E539" s="386"/>
      <c r="F539" s="386"/>
      <c r="G539" s="387"/>
      <c r="H539" s="1"/>
    </row>
    <row r="540" spans="2:8" ht="27.75" customHeight="1" x14ac:dyDescent="0.25">
      <c r="B540" s="385" t="s">
        <v>618</v>
      </c>
      <c r="C540" s="386"/>
      <c r="D540" s="386"/>
      <c r="E540" s="386"/>
      <c r="F540" s="386"/>
      <c r="G540" s="387"/>
      <c r="H540" s="1"/>
    </row>
    <row r="541" spans="2:8" ht="27.75" customHeight="1" x14ac:dyDescent="0.25">
      <c r="B541" s="385" t="s">
        <v>619</v>
      </c>
      <c r="C541" s="386"/>
      <c r="D541" s="386"/>
      <c r="E541" s="386"/>
      <c r="F541" s="386"/>
      <c r="G541" s="387"/>
      <c r="H541" s="1"/>
    </row>
    <row r="542" spans="2:8" ht="40.5" customHeight="1" x14ac:dyDescent="0.25">
      <c r="B542" s="385" t="s">
        <v>620</v>
      </c>
      <c r="C542" s="386"/>
      <c r="D542" s="386"/>
      <c r="E542" s="386"/>
      <c r="F542" s="386"/>
      <c r="G542" s="387"/>
      <c r="H542" s="1"/>
    </row>
    <row r="543" spans="2:8" ht="15" customHeight="1" x14ac:dyDescent="0.25">
      <c r="B543" s="385"/>
      <c r="C543" s="386"/>
      <c r="D543" s="386"/>
      <c r="E543" s="386"/>
      <c r="F543" s="386"/>
      <c r="G543" s="387"/>
      <c r="H543" s="1"/>
    </row>
    <row r="544" spans="2:8" ht="15" customHeight="1" x14ac:dyDescent="0.25">
      <c r="B544" s="403" t="s">
        <v>621</v>
      </c>
      <c r="C544" s="404"/>
      <c r="D544" s="404"/>
      <c r="E544" s="404"/>
      <c r="F544" s="404"/>
      <c r="G544" s="405"/>
      <c r="H544" s="1"/>
    </row>
    <row r="545" spans="2:8" ht="27" customHeight="1" x14ac:dyDescent="0.25">
      <c r="B545" s="385" t="s">
        <v>622</v>
      </c>
      <c r="C545" s="386"/>
      <c r="D545" s="386"/>
      <c r="E545" s="386"/>
      <c r="F545" s="386"/>
      <c r="G545" s="387"/>
      <c r="H545" s="1"/>
    </row>
    <row r="546" spans="2:8" ht="15" customHeight="1" x14ac:dyDescent="0.25">
      <c r="B546" s="403" t="s">
        <v>623</v>
      </c>
      <c r="C546" s="404"/>
      <c r="D546" s="404"/>
      <c r="E546" s="404"/>
      <c r="F546" s="404"/>
      <c r="G546" s="405"/>
      <c r="H546" s="1"/>
    </row>
    <row r="547" spans="2:8" ht="15" customHeight="1" x14ac:dyDescent="0.25">
      <c r="B547" s="385" t="s">
        <v>624</v>
      </c>
      <c r="C547" s="386"/>
      <c r="D547" s="386"/>
      <c r="E547" s="386"/>
      <c r="F547" s="386"/>
      <c r="G547" s="387"/>
      <c r="H547" s="1"/>
    </row>
    <row r="548" spans="2:8" ht="27.75" customHeight="1" x14ac:dyDescent="0.25">
      <c r="B548" s="385" t="s">
        <v>625</v>
      </c>
      <c r="C548" s="386"/>
      <c r="D548" s="386"/>
      <c r="E548" s="386"/>
      <c r="F548" s="386"/>
      <c r="G548" s="387"/>
      <c r="H548" s="1"/>
    </row>
    <row r="549" spans="2:8" ht="15" customHeight="1" x14ac:dyDescent="0.25">
      <c r="B549" s="403" t="s">
        <v>626</v>
      </c>
      <c r="C549" s="404"/>
      <c r="D549" s="404"/>
      <c r="E549" s="404"/>
      <c r="F549" s="404"/>
      <c r="G549" s="405"/>
      <c r="H549" s="1"/>
    </row>
    <row r="550" spans="2:8" ht="26.25" customHeight="1" x14ac:dyDescent="0.25">
      <c r="B550" s="385" t="s">
        <v>627</v>
      </c>
      <c r="C550" s="386"/>
      <c r="D550" s="386"/>
      <c r="E550" s="386"/>
      <c r="F550" s="386"/>
      <c r="G550" s="387"/>
      <c r="H550" s="1"/>
    </row>
    <row r="551" spans="2:8" ht="15" customHeight="1" x14ac:dyDescent="0.25">
      <c r="B551" s="385" t="s">
        <v>628</v>
      </c>
      <c r="C551" s="386"/>
      <c r="D551" s="386"/>
      <c r="E551" s="386"/>
      <c r="F551" s="386"/>
      <c r="G551" s="387"/>
      <c r="H551" s="1"/>
    </row>
    <row r="552" spans="2:8" ht="15" customHeight="1" x14ac:dyDescent="0.25">
      <c r="B552" s="385" t="s">
        <v>629</v>
      </c>
      <c r="C552" s="386"/>
      <c r="D552" s="386"/>
      <c r="E552" s="386"/>
      <c r="F552" s="386"/>
      <c r="G552" s="387"/>
      <c r="H552" s="1"/>
    </row>
    <row r="553" spans="2:8" ht="15" customHeight="1" x14ac:dyDescent="0.25">
      <c r="B553" s="403" t="s">
        <v>630</v>
      </c>
      <c r="C553" s="404"/>
      <c r="D553" s="404"/>
      <c r="E553" s="404"/>
      <c r="F553" s="404"/>
      <c r="G553" s="405"/>
      <c r="H553" s="1"/>
    </row>
    <row r="554" spans="2:8" ht="42" customHeight="1" x14ac:dyDescent="0.25">
      <c r="B554" s="385" t="s">
        <v>631</v>
      </c>
      <c r="C554" s="386"/>
      <c r="D554" s="386"/>
      <c r="E554" s="386"/>
      <c r="F554" s="386"/>
      <c r="G554" s="387"/>
      <c r="H554" s="1"/>
    </row>
    <row r="555" spans="2:8" ht="42.75" customHeight="1" x14ac:dyDescent="0.25">
      <c r="B555" s="385" t="s">
        <v>632</v>
      </c>
      <c r="C555" s="386"/>
      <c r="D555" s="386"/>
      <c r="E555" s="386"/>
      <c r="F555" s="386"/>
      <c r="G555" s="387"/>
      <c r="H555" s="1"/>
    </row>
    <row r="556" spans="2:8" ht="15" customHeight="1" x14ac:dyDescent="0.25">
      <c r="B556" s="403" t="s">
        <v>633</v>
      </c>
      <c r="C556" s="404"/>
      <c r="D556" s="404"/>
      <c r="E556" s="404"/>
      <c r="F556" s="404"/>
      <c r="G556" s="405"/>
      <c r="H556" s="1"/>
    </row>
    <row r="557" spans="2:8" ht="15" customHeight="1" x14ac:dyDescent="0.25">
      <c r="B557" s="385" t="s">
        <v>634</v>
      </c>
      <c r="C557" s="386"/>
      <c r="D557" s="386"/>
      <c r="E557" s="386"/>
      <c r="F557" s="386"/>
      <c r="G557" s="387"/>
      <c r="H557" s="1"/>
    </row>
    <row r="558" spans="2:8" ht="15" customHeight="1" x14ac:dyDescent="0.25">
      <c r="B558" s="385" t="s">
        <v>635</v>
      </c>
      <c r="C558" s="386"/>
      <c r="D558" s="386"/>
      <c r="E558" s="386"/>
      <c r="F558" s="386"/>
      <c r="G558" s="387"/>
      <c r="H558" s="1"/>
    </row>
    <row r="559" spans="2:8" ht="15" customHeight="1" x14ac:dyDescent="0.25">
      <c r="B559" s="385" t="s">
        <v>636</v>
      </c>
      <c r="C559" s="386"/>
      <c r="D559" s="386"/>
      <c r="E559" s="386"/>
      <c r="F559" s="386"/>
      <c r="G559" s="387"/>
      <c r="H559" s="1"/>
    </row>
    <row r="560" spans="2:8" ht="15" customHeight="1" x14ac:dyDescent="0.25">
      <c r="B560" s="385" t="s">
        <v>637</v>
      </c>
      <c r="C560" s="386"/>
      <c r="D560" s="386"/>
      <c r="E560" s="386"/>
      <c r="F560" s="386"/>
      <c r="G560" s="387"/>
      <c r="H560" s="1"/>
    </row>
    <row r="561" spans="2:8" ht="15" customHeight="1" x14ac:dyDescent="0.25">
      <c r="B561" s="385" t="s">
        <v>638</v>
      </c>
      <c r="C561" s="386"/>
      <c r="D561" s="386"/>
      <c r="E561" s="386"/>
      <c r="F561" s="386"/>
      <c r="G561" s="387"/>
      <c r="H561" s="1"/>
    </row>
    <row r="562" spans="2:8" ht="15" customHeight="1" x14ac:dyDescent="0.25">
      <c r="B562" s="385" t="s">
        <v>639</v>
      </c>
      <c r="C562" s="386"/>
      <c r="D562" s="386"/>
      <c r="E562" s="386"/>
      <c r="F562" s="386"/>
      <c r="G562" s="387"/>
      <c r="H562" s="1"/>
    </row>
    <row r="563" spans="2:8" ht="15" customHeight="1" x14ac:dyDescent="0.25">
      <c r="B563" s="385" t="s">
        <v>640</v>
      </c>
      <c r="C563" s="386"/>
      <c r="D563" s="386"/>
      <c r="E563" s="386"/>
      <c r="F563" s="386"/>
      <c r="G563" s="387"/>
      <c r="H563" s="1"/>
    </row>
    <row r="564" spans="2:8" ht="15" customHeight="1" x14ac:dyDescent="0.25">
      <c r="B564" s="385" t="s">
        <v>641</v>
      </c>
      <c r="C564" s="386"/>
      <c r="D564" s="386"/>
      <c r="E564" s="386"/>
      <c r="F564" s="386"/>
      <c r="G564" s="387"/>
      <c r="H564" s="1"/>
    </row>
    <row r="565" spans="2:8" ht="15" customHeight="1" x14ac:dyDescent="0.25">
      <c r="B565" s="74"/>
      <c r="C565" s="75"/>
      <c r="D565" s="75"/>
      <c r="E565" s="75"/>
      <c r="F565" s="75"/>
      <c r="G565" s="76"/>
      <c r="H565" s="1"/>
    </row>
    <row r="566" spans="2:8" ht="53.25" customHeight="1" x14ac:dyDescent="0.25">
      <c r="B566" s="385" t="s">
        <v>642</v>
      </c>
      <c r="C566" s="386"/>
      <c r="D566" s="386"/>
      <c r="E566" s="386"/>
      <c r="F566" s="386"/>
      <c r="G566" s="387"/>
      <c r="H566" s="1"/>
    </row>
    <row r="567" spans="2:8" ht="15" customHeight="1" x14ac:dyDescent="0.25">
      <c r="B567" s="416" t="s">
        <v>643</v>
      </c>
      <c r="C567" s="417"/>
      <c r="D567" s="417"/>
      <c r="E567" s="417"/>
      <c r="F567" s="417"/>
      <c r="G567" s="418"/>
      <c r="H567" s="1"/>
    </row>
    <row r="568" spans="2:8" ht="15" customHeight="1" x14ac:dyDescent="0.25">
      <c r="B568" s="385" t="s">
        <v>644</v>
      </c>
      <c r="C568" s="386"/>
      <c r="D568" s="386"/>
      <c r="E568" s="386"/>
      <c r="F568" s="386"/>
      <c r="G568" s="387"/>
      <c r="H568" s="1"/>
    </row>
    <row r="569" spans="2:8" ht="26.25" customHeight="1" x14ac:dyDescent="0.25">
      <c r="B569" s="385" t="s">
        <v>645</v>
      </c>
      <c r="C569" s="386"/>
      <c r="D569" s="386"/>
      <c r="E569" s="386"/>
      <c r="F569" s="386"/>
      <c r="G569" s="387"/>
      <c r="H569" s="1"/>
    </row>
    <row r="570" spans="2:8" ht="15" customHeight="1" x14ac:dyDescent="0.25">
      <c r="B570" s="416" t="s">
        <v>646</v>
      </c>
      <c r="C570" s="417"/>
      <c r="D570" s="417"/>
      <c r="E570" s="417"/>
      <c r="F570" s="417"/>
      <c r="G570" s="418"/>
      <c r="H570" s="1"/>
    </row>
    <row r="571" spans="2:8" ht="27" customHeight="1" x14ac:dyDescent="0.25">
      <c r="B571" s="385" t="s">
        <v>647</v>
      </c>
      <c r="C571" s="386"/>
      <c r="D571" s="386"/>
      <c r="E571" s="386"/>
      <c r="F571" s="386"/>
      <c r="G571" s="387"/>
      <c r="H571" s="1"/>
    </row>
    <row r="572" spans="2:8" ht="27.75" customHeight="1" x14ac:dyDescent="0.25">
      <c r="B572" s="385" t="s">
        <v>648</v>
      </c>
      <c r="C572" s="386"/>
      <c r="D572" s="386"/>
      <c r="E572" s="386"/>
      <c r="F572" s="386"/>
      <c r="G572" s="387"/>
      <c r="H572" s="1"/>
    </row>
    <row r="573" spans="2:8" ht="15" customHeight="1" x14ac:dyDescent="0.25">
      <c r="B573" s="416" t="s">
        <v>329</v>
      </c>
      <c r="C573" s="417"/>
      <c r="D573" s="417"/>
      <c r="E573" s="417"/>
      <c r="F573" s="417"/>
      <c r="G573" s="418"/>
      <c r="H573" s="1"/>
    </row>
    <row r="574" spans="2:8" ht="26.25" customHeight="1" x14ac:dyDescent="0.25">
      <c r="B574" s="385" t="s">
        <v>330</v>
      </c>
      <c r="C574" s="386"/>
      <c r="D574" s="386"/>
      <c r="E574" s="386"/>
      <c r="F574" s="386"/>
      <c r="G574" s="387"/>
      <c r="H574" s="1"/>
    </row>
    <row r="575" spans="2:8" ht="15" customHeight="1" x14ac:dyDescent="0.25">
      <c r="B575" s="74"/>
      <c r="C575" s="75"/>
      <c r="D575" s="75"/>
      <c r="E575" s="75"/>
      <c r="F575" s="75"/>
      <c r="G575" s="76"/>
      <c r="H575" s="1"/>
    </row>
    <row r="576" spans="2:8" ht="15" customHeight="1" x14ac:dyDescent="0.25">
      <c r="B576" s="416" t="s">
        <v>331</v>
      </c>
      <c r="C576" s="417"/>
      <c r="D576" s="417"/>
      <c r="E576" s="417"/>
      <c r="F576" s="417"/>
      <c r="G576" s="418"/>
      <c r="H576" s="1"/>
    </row>
    <row r="577" spans="2:8" ht="15" customHeight="1" x14ac:dyDescent="0.25">
      <c r="B577" s="385" t="s">
        <v>332</v>
      </c>
      <c r="C577" s="386"/>
      <c r="D577" s="386"/>
      <c r="E577" s="386"/>
      <c r="F577" s="386"/>
      <c r="G577" s="387"/>
      <c r="H577" s="1"/>
    </row>
    <row r="578" spans="2:8" ht="15" customHeight="1" x14ac:dyDescent="0.25">
      <c r="B578" s="385" t="s">
        <v>649</v>
      </c>
      <c r="C578" s="386"/>
      <c r="D578" s="386"/>
      <c r="E578" s="386"/>
      <c r="F578" s="386"/>
      <c r="G578" s="387"/>
      <c r="H578" s="1"/>
    </row>
    <row r="579" spans="2:8" ht="15" customHeight="1" x14ac:dyDescent="0.25">
      <c r="B579" s="74"/>
      <c r="C579" s="75"/>
      <c r="D579" s="75"/>
      <c r="E579" s="75"/>
      <c r="F579" s="75"/>
      <c r="G579" s="76"/>
      <c r="H579" s="1"/>
    </row>
    <row r="580" spans="2:8" ht="15" customHeight="1" x14ac:dyDescent="0.25">
      <c r="B580" s="416" t="s">
        <v>335</v>
      </c>
      <c r="C580" s="417"/>
      <c r="D580" s="417"/>
      <c r="E580" s="417"/>
      <c r="F580" s="417"/>
      <c r="G580" s="418"/>
      <c r="H580" s="1"/>
    </row>
    <row r="581" spans="2:8" ht="15" customHeight="1" x14ac:dyDescent="0.25">
      <c r="B581" s="385" t="s">
        <v>650</v>
      </c>
      <c r="C581" s="386"/>
      <c r="D581" s="386"/>
      <c r="E581" s="386"/>
      <c r="F581" s="386"/>
      <c r="G581" s="387"/>
      <c r="H581" s="1"/>
    </row>
    <row r="582" spans="2:8" ht="15" customHeight="1" x14ac:dyDescent="0.25">
      <c r="B582" s="416" t="s">
        <v>651</v>
      </c>
      <c r="C582" s="417"/>
      <c r="D582" s="417"/>
      <c r="E582" s="417"/>
      <c r="F582" s="417"/>
      <c r="G582" s="418"/>
      <c r="H582" s="1"/>
    </row>
    <row r="583" spans="2:8" ht="15" customHeight="1" x14ac:dyDescent="0.25">
      <c r="B583" s="416" t="s">
        <v>652</v>
      </c>
      <c r="C583" s="417"/>
      <c r="D583" s="417"/>
      <c r="E583" s="417"/>
      <c r="F583" s="417"/>
      <c r="G583" s="418"/>
      <c r="H583" s="1"/>
    </row>
    <row r="584" spans="2:8" ht="15" customHeight="1" x14ac:dyDescent="0.25">
      <c r="B584" s="385" t="s">
        <v>653</v>
      </c>
      <c r="C584" s="386"/>
      <c r="D584" s="386"/>
      <c r="E584" s="386"/>
      <c r="F584" s="386"/>
      <c r="G584" s="387"/>
      <c r="H584" s="1"/>
    </row>
    <row r="585" spans="2:8" ht="27" customHeight="1" x14ac:dyDescent="0.25">
      <c r="B585" s="385" t="s">
        <v>654</v>
      </c>
      <c r="C585" s="386"/>
      <c r="D585" s="386"/>
      <c r="E585" s="386"/>
      <c r="F585" s="386"/>
      <c r="G585" s="387"/>
      <c r="H585" s="1"/>
    </row>
    <row r="586" spans="2:8" ht="15" customHeight="1" x14ac:dyDescent="0.25">
      <c r="B586" s="385" t="s">
        <v>655</v>
      </c>
      <c r="C586" s="386"/>
      <c r="D586" s="386"/>
      <c r="E586" s="386"/>
      <c r="F586" s="386"/>
      <c r="G586" s="387"/>
      <c r="H586" s="1"/>
    </row>
    <row r="587" spans="2:8" ht="15" customHeight="1" x14ac:dyDescent="0.25">
      <c r="B587" s="385" t="s">
        <v>656</v>
      </c>
      <c r="C587" s="386"/>
      <c r="D587" s="386"/>
      <c r="E587" s="386"/>
      <c r="F587" s="386"/>
      <c r="G587" s="387"/>
      <c r="H587" s="1"/>
    </row>
    <row r="588" spans="2:8" ht="15" customHeight="1" x14ac:dyDescent="0.25">
      <c r="B588" s="385" t="s">
        <v>657</v>
      </c>
      <c r="C588" s="386"/>
      <c r="D588" s="386"/>
      <c r="E588" s="386"/>
      <c r="F588" s="386"/>
      <c r="G588" s="387"/>
      <c r="H588" s="1"/>
    </row>
    <row r="589" spans="2:8" ht="15" customHeight="1" x14ac:dyDescent="0.25">
      <c r="B589" s="385" t="s">
        <v>658</v>
      </c>
      <c r="C589" s="386"/>
      <c r="D589" s="386"/>
      <c r="E589" s="386"/>
      <c r="F589" s="386"/>
      <c r="G589" s="387"/>
      <c r="H589" s="1"/>
    </row>
    <row r="590" spans="2:8" ht="15" customHeight="1" x14ac:dyDescent="0.25">
      <c r="B590" s="385" t="s">
        <v>659</v>
      </c>
      <c r="C590" s="386"/>
      <c r="D590" s="386"/>
      <c r="E590" s="386"/>
      <c r="F590" s="386"/>
      <c r="G590" s="387"/>
      <c r="H590" s="1"/>
    </row>
    <row r="591" spans="2:8" ht="15" customHeight="1" x14ac:dyDescent="0.25">
      <c r="B591" s="385" t="s">
        <v>660</v>
      </c>
      <c r="C591" s="386"/>
      <c r="D591" s="386"/>
      <c r="E591" s="386"/>
      <c r="F591" s="386"/>
      <c r="G591" s="387"/>
      <c r="H591" s="1"/>
    </row>
    <row r="592" spans="2:8" ht="15" customHeight="1" x14ac:dyDescent="0.25">
      <c r="B592" s="77"/>
      <c r="C592" s="77"/>
      <c r="D592" s="77"/>
      <c r="E592" s="77"/>
      <c r="F592" s="77"/>
      <c r="G592" s="77"/>
      <c r="H592" s="1"/>
    </row>
    <row r="593" spans="1:8" ht="15" customHeight="1" x14ac:dyDescent="0.25">
      <c r="B593" s="414"/>
      <c r="C593" s="414"/>
      <c r="D593" s="414"/>
      <c r="E593" s="414"/>
      <c r="F593" s="414"/>
      <c r="G593" s="414"/>
      <c r="H593" s="1"/>
    </row>
    <row r="594" spans="1:8" ht="15" customHeight="1" x14ac:dyDescent="0.25">
      <c r="A594" s="69" t="s">
        <v>661</v>
      </c>
      <c r="B594" s="420" t="s">
        <v>662</v>
      </c>
      <c r="C594" s="421"/>
      <c r="D594" s="421"/>
      <c r="E594" s="421"/>
      <c r="F594" s="421"/>
      <c r="G594" s="422"/>
      <c r="H594" s="1"/>
    </row>
    <row r="595" spans="1:8" ht="32.25" customHeight="1" x14ac:dyDescent="0.25">
      <c r="B595" s="385" t="s">
        <v>663</v>
      </c>
      <c r="C595" s="386"/>
      <c r="D595" s="386"/>
      <c r="E595" s="386"/>
      <c r="F595" s="386"/>
      <c r="G595" s="387"/>
      <c r="H595" s="1"/>
    </row>
    <row r="596" spans="1:8" ht="15" customHeight="1" x14ac:dyDescent="0.25">
      <c r="B596" s="385" t="s">
        <v>664</v>
      </c>
      <c r="C596" s="386"/>
      <c r="D596" s="386"/>
      <c r="E596" s="386"/>
      <c r="F596" s="386"/>
      <c r="G596" s="387"/>
      <c r="H596" s="1"/>
    </row>
    <row r="597" spans="1:8" ht="15" customHeight="1" x14ac:dyDescent="0.25">
      <c r="B597" s="74"/>
      <c r="C597" s="75"/>
      <c r="D597" s="75"/>
      <c r="E597" s="75"/>
      <c r="F597" s="75"/>
      <c r="G597" s="76"/>
      <c r="H597" s="1"/>
    </row>
    <row r="598" spans="1:8" ht="15" customHeight="1" x14ac:dyDescent="0.25">
      <c r="B598" s="416" t="s">
        <v>665</v>
      </c>
      <c r="C598" s="417"/>
      <c r="D598" s="417"/>
      <c r="E598" s="417"/>
      <c r="F598" s="417"/>
      <c r="G598" s="418"/>
      <c r="H598" s="1"/>
    </row>
    <row r="599" spans="1:8" ht="15" customHeight="1" x14ac:dyDescent="0.25">
      <c r="B599" s="385" t="s">
        <v>666</v>
      </c>
      <c r="C599" s="386"/>
      <c r="D599" s="386"/>
      <c r="E599" s="386"/>
      <c r="F599" s="386"/>
      <c r="G599" s="387"/>
      <c r="H599" s="1"/>
    </row>
    <row r="600" spans="1:8" ht="15" customHeight="1" x14ac:dyDescent="0.25">
      <c r="B600" s="385" t="s">
        <v>667</v>
      </c>
      <c r="C600" s="386"/>
      <c r="D600" s="386"/>
      <c r="E600" s="386"/>
      <c r="F600" s="386"/>
      <c r="G600" s="387"/>
      <c r="H600" s="1"/>
    </row>
    <row r="601" spans="1:8" ht="15" customHeight="1" x14ac:dyDescent="0.25">
      <c r="B601" s="385" t="s">
        <v>668</v>
      </c>
      <c r="C601" s="386"/>
      <c r="D601" s="386"/>
      <c r="E601" s="386"/>
      <c r="F601" s="386"/>
      <c r="G601" s="387"/>
      <c r="H601" s="1"/>
    </row>
    <row r="602" spans="1:8" ht="15" customHeight="1" x14ac:dyDescent="0.25">
      <c r="B602" s="385" t="s">
        <v>669</v>
      </c>
      <c r="C602" s="386"/>
      <c r="D602" s="386"/>
      <c r="E602" s="386"/>
      <c r="F602" s="386"/>
      <c r="G602" s="387"/>
      <c r="H602" s="1"/>
    </row>
    <row r="603" spans="1:8" ht="15" customHeight="1" x14ac:dyDescent="0.25">
      <c r="B603" s="385" t="s">
        <v>670</v>
      </c>
      <c r="C603" s="386"/>
      <c r="D603" s="386"/>
      <c r="E603" s="386"/>
      <c r="F603" s="386"/>
      <c r="G603" s="387"/>
      <c r="H603" s="1"/>
    </row>
    <row r="604" spans="1:8" ht="15" customHeight="1" x14ac:dyDescent="0.25">
      <c r="B604" s="385" t="s">
        <v>671</v>
      </c>
      <c r="C604" s="386"/>
      <c r="D604" s="386"/>
      <c r="E604" s="386"/>
      <c r="F604" s="386"/>
      <c r="G604" s="387"/>
      <c r="H604" s="1"/>
    </row>
    <row r="605" spans="1:8" ht="15" customHeight="1" x14ac:dyDescent="0.25">
      <c r="B605" s="385" t="s">
        <v>672</v>
      </c>
      <c r="C605" s="386"/>
      <c r="D605" s="386"/>
      <c r="E605" s="386"/>
      <c r="F605" s="386"/>
      <c r="G605" s="387"/>
      <c r="H605" s="1"/>
    </row>
    <row r="606" spans="1:8" ht="39.75" customHeight="1" x14ac:dyDescent="0.25">
      <c r="B606" s="385" t="s">
        <v>673</v>
      </c>
      <c r="C606" s="386"/>
      <c r="D606" s="386"/>
      <c r="E606" s="386"/>
      <c r="F606" s="386"/>
      <c r="G606" s="387"/>
      <c r="H606" s="1"/>
    </row>
    <row r="607" spans="1:8" ht="25.5" customHeight="1" x14ac:dyDescent="0.25">
      <c r="B607" s="385" t="s">
        <v>674</v>
      </c>
      <c r="C607" s="386"/>
      <c r="D607" s="386"/>
      <c r="E607" s="386"/>
      <c r="F607" s="386"/>
      <c r="G607" s="387"/>
      <c r="H607" s="1"/>
    </row>
    <row r="608" spans="1:8" ht="15" customHeight="1" x14ac:dyDescent="0.25">
      <c r="B608" s="385" t="s">
        <v>675</v>
      </c>
      <c r="C608" s="386"/>
      <c r="D608" s="386"/>
      <c r="E608" s="386"/>
      <c r="F608" s="386"/>
      <c r="G608" s="387"/>
      <c r="H608" s="1"/>
    </row>
    <row r="609" spans="1:8" ht="27.75" customHeight="1" x14ac:dyDescent="0.25">
      <c r="B609" s="403" t="s">
        <v>676</v>
      </c>
      <c r="C609" s="404"/>
      <c r="D609" s="404"/>
      <c r="E609" s="404"/>
      <c r="F609" s="404"/>
      <c r="G609" s="405"/>
      <c r="H609" s="1"/>
    </row>
    <row r="610" spans="1:8" ht="28.5" customHeight="1" x14ac:dyDescent="0.25">
      <c r="B610" s="403" t="s">
        <v>677</v>
      </c>
      <c r="C610" s="404"/>
      <c r="D610" s="404"/>
      <c r="E610" s="404"/>
      <c r="F610" s="404"/>
      <c r="G610" s="405"/>
      <c r="H610" s="1"/>
    </row>
    <row r="611" spans="1:8" ht="15" customHeight="1" x14ac:dyDescent="0.25">
      <c r="B611" s="74"/>
      <c r="C611" s="75"/>
      <c r="D611" s="75"/>
      <c r="E611" s="75"/>
      <c r="F611" s="75"/>
      <c r="G611" s="76"/>
      <c r="H611" s="1"/>
    </row>
    <row r="612" spans="1:8" ht="15" customHeight="1" x14ac:dyDescent="0.25">
      <c r="B612" s="385" t="s">
        <v>335</v>
      </c>
      <c r="C612" s="386"/>
      <c r="D612" s="386"/>
      <c r="E612" s="386"/>
      <c r="F612" s="386"/>
      <c r="G612" s="387"/>
      <c r="H612" s="1"/>
    </row>
    <row r="613" spans="1:8" ht="193.5" customHeight="1" x14ac:dyDescent="0.25">
      <c r="B613" s="431" t="s">
        <v>678</v>
      </c>
      <c r="C613" s="386"/>
      <c r="D613" s="386"/>
      <c r="E613" s="386"/>
      <c r="F613" s="386"/>
      <c r="G613" s="387"/>
      <c r="H613" s="1"/>
    </row>
    <row r="614" spans="1:8" ht="15" customHeight="1" x14ac:dyDescent="0.25">
      <c r="B614" s="385" t="s">
        <v>426</v>
      </c>
      <c r="C614" s="386"/>
      <c r="D614" s="386"/>
      <c r="E614" s="386"/>
      <c r="F614" s="386"/>
      <c r="G614" s="387"/>
      <c r="H614" s="1"/>
    </row>
    <row r="615" spans="1:8" ht="15" customHeight="1" x14ac:dyDescent="0.25">
      <c r="B615" s="396"/>
      <c r="C615" s="396"/>
      <c r="D615" s="396"/>
      <c r="E615" s="396"/>
      <c r="F615" s="396"/>
      <c r="G615" s="396"/>
      <c r="H615" s="1"/>
    </row>
    <row r="616" spans="1:8" ht="15" customHeight="1" x14ac:dyDescent="0.25">
      <c r="B616" s="78"/>
      <c r="C616" s="78"/>
      <c r="D616" s="78"/>
      <c r="E616" s="78"/>
      <c r="F616" s="78"/>
      <c r="G616" s="78"/>
      <c r="H616" s="1"/>
    </row>
    <row r="617" spans="1:8" ht="15" customHeight="1" x14ac:dyDescent="0.25">
      <c r="A617" s="69" t="s">
        <v>679</v>
      </c>
      <c r="B617" s="420" t="s">
        <v>680</v>
      </c>
      <c r="C617" s="421"/>
      <c r="D617" s="421"/>
      <c r="E617" s="421"/>
      <c r="F617" s="421"/>
      <c r="G617" s="422"/>
      <c r="H617" s="1"/>
    </row>
    <row r="618" spans="1:8" ht="38.25" customHeight="1" x14ac:dyDescent="0.25">
      <c r="B618" s="385" t="s">
        <v>681</v>
      </c>
      <c r="C618" s="386"/>
      <c r="D618" s="386"/>
      <c r="E618" s="386"/>
      <c r="F618" s="386"/>
      <c r="G618" s="387"/>
      <c r="H618" s="1"/>
    </row>
    <row r="619" spans="1:8" ht="27" customHeight="1" x14ac:dyDescent="0.25">
      <c r="B619" s="385" t="s">
        <v>682</v>
      </c>
      <c r="C619" s="386"/>
      <c r="D619" s="386"/>
      <c r="E619" s="386"/>
      <c r="F619" s="386"/>
      <c r="G619" s="387"/>
      <c r="H619" s="1"/>
    </row>
    <row r="620" spans="1:8" ht="25.5" customHeight="1" x14ac:dyDescent="0.25">
      <c r="B620" s="385" t="s">
        <v>683</v>
      </c>
      <c r="C620" s="386"/>
      <c r="D620" s="386"/>
      <c r="E620" s="386"/>
      <c r="F620" s="386"/>
      <c r="G620" s="387"/>
      <c r="H620" s="1"/>
    </row>
    <row r="621" spans="1:8" ht="15" customHeight="1" x14ac:dyDescent="0.25">
      <c r="B621" s="385" t="s">
        <v>684</v>
      </c>
      <c r="C621" s="386"/>
      <c r="D621" s="386"/>
      <c r="E621" s="386"/>
      <c r="F621" s="386"/>
      <c r="G621" s="387"/>
      <c r="H621" s="1"/>
    </row>
    <row r="622" spans="1:8" ht="50.25" customHeight="1" x14ac:dyDescent="0.25">
      <c r="B622" s="385" t="s">
        <v>685</v>
      </c>
      <c r="C622" s="386"/>
      <c r="D622" s="386"/>
      <c r="E622" s="386"/>
      <c r="F622" s="386"/>
      <c r="G622" s="387"/>
      <c r="H622" s="1"/>
    </row>
    <row r="623" spans="1:8" ht="40.5" customHeight="1" x14ac:dyDescent="0.25">
      <c r="B623" s="385" t="s">
        <v>686</v>
      </c>
      <c r="C623" s="386"/>
      <c r="D623" s="386"/>
      <c r="E623" s="386"/>
      <c r="F623" s="386"/>
      <c r="G623" s="387"/>
      <c r="H623" s="1"/>
    </row>
    <row r="624" spans="1:8" ht="15" customHeight="1" x14ac:dyDescent="0.25">
      <c r="B624" s="385" t="s">
        <v>687</v>
      </c>
      <c r="C624" s="386"/>
      <c r="D624" s="386"/>
      <c r="E624" s="386"/>
      <c r="F624" s="386"/>
      <c r="G624" s="387"/>
      <c r="H624" s="1"/>
    </row>
    <row r="625" spans="1:8" ht="27" customHeight="1" x14ac:dyDescent="0.25">
      <c r="B625" s="385" t="s">
        <v>688</v>
      </c>
      <c r="C625" s="386"/>
      <c r="D625" s="386"/>
      <c r="E625" s="386"/>
      <c r="F625" s="386"/>
      <c r="G625" s="387"/>
      <c r="H625" s="1"/>
    </row>
    <row r="626" spans="1:8" ht="51" customHeight="1" x14ac:dyDescent="0.25">
      <c r="B626" s="385" t="s">
        <v>689</v>
      </c>
      <c r="C626" s="386"/>
      <c r="D626" s="386"/>
      <c r="E626" s="386"/>
      <c r="F626" s="386"/>
      <c r="G626" s="387"/>
      <c r="H626" s="1"/>
    </row>
    <row r="627" spans="1:8" ht="15" customHeight="1" x14ac:dyDescent="0.25">
      <c r="B627" s="385" t="s">
        <v>690</v>
      </c>
      <c r="C627" s="386"/>
      <c r="D627" s="386"/>
      <c r="E627" s="386"/>
      <c r="F627" s="386"/>
      <c r="G627" s="387"/>
      <c r="H627" s="1"/>
    </row>
    <row r="628" spans="1:8" ht="28.5" customHeight="1" x14ac:dyDescent="0.25">
      <c r="B628" s="385" t="s">
        <v>691</v>
      </c>
      <c r="C628" s="386"/>
      <c r="D628" s="386"/>
      <c r="E628" s="386"/>
      <c r="F628" s="386"/>
      <c r="G628" s="387"/>
      <c r="H628" s="1"/>
    </row>
    <row r="629" spans="1:8" ht="38.25" customHeight="1" x14ac:dyDescent="0.25">
      <c r="B629" s="385" t="s">
        <v>692</v>
      </c>
      <c r="C629" s="386"/>
      <c r="D629" s="386"/>
      <c r="E629" s="386"/>
      <c r="F629" s="386"/>
      <c r="G629" s="387"/>
      <c r="H629" s="1"/>
    </row>
    <row r="630" spans="1:8" ht="15" customHeight="1" x14ac:dyDescent="0.25">
      <c r="B630" s="385" t="s">
        <v>675</v>
      </c>
      <c r="C630" s="386"/>
      <c r="D630" s="386"/>
      <c r="E630" s="386"/>
      <c r="F630" s="386"/>
      <c r="G630" s="387"/>
      <c r="H630" s="1"/>
    </row>
    <row r="631" spans="1:8" ht="26.25" customHeight="1" x14ac:dyDescent="0.25">
      <c r="B631" s="385" t="s">
        <v>693</v>
      </c>
      <c r="C631" s="386"/>
      <c r="D631" s="386"/>
      <c r="E631" s="386"/>
      <c r="F631" s="386"/>
      <c r="G631" s="387"/>
      <c r="H631" s="1"/>
    </row>
    <row r="632" spans="1:8" ht="117.75" customHeight="1" x14ac:dyDescent="0.25">
      <c r="B632" s="385" t="s">
        <v>694</v>
      </c>
      <c r="C632" s="386"/>
      <c r="D632" s="386"/>
      <c r="E632" s="386"/>
      <c r="F632" s="386"/>
      <c r="G632" s="387"/>
      <c r="H632" s="1"/>
    </row>
    <row r="633" spans="1:8" ht="15" customHeight="1" x14ac:dyDescent="0.25">
      <c r="B633" s="396"/>
      <c r="C633" s="396"/>
      <c r="D633" s="396"/>
      <c r="E633" s="396"/>
      <c r="F633" s="396"/>
      <c r="G633" s="396"/>
      <c r="H633" s="1"/>
    </row>
    <row r="634" spans="1:8" ht="15" customHeight="1" x14ac:dyDescent="0.25">
      <c r="B634" s="423"/>
      <c r="C634" s="423"/>
      <c r="D634" s="423"/>
      <c r="E634" s="423"/>
      <c r="F634" s="423"/>
      <c r="G634" s="423"/>
      <c r="H634" s="1"/>
    </row>
    <row r="635" spans="1:8" ht="15" customHeight="1" x14ac:dyDescent="0.25">
      <c r="B635" s="423"/>
      <c r="C635" s="423"/>
      <c r="D635" s="423"/>
      <c r="E635" s="423"/>
      <c r="F635" s="423"/>
      <c r="G635" s="423"/>
      <c r="H635" s="1"/>
    </row>
    <row r="636" spans="1:8" ht="15" customHeight="1" x14ac:dyDescent="0.25">
      <c r="B636" s="423"/>
      <c r="C636" s="423"/>
      <c r="D636" s="423"/>
      <c r="E636" s="423"/>
      <c r="F636" s="423"/>
      <c r="G636" s="423"/>
      <c r="H636" s="1"/>
    </row>
    <row r="637" spans="1:8" ht="15" customHeight="1" x14ac:dyDescent="0.25">
      <c r="B637" s="423"/>
      <c r="C637" s="423"/>
      <c r="D637" s="423"/>
      <c r="E637" s="423"/>
      <c r="F637" s="423"/>
      <c r="G637" s="423"/>
      <c r="H637" s="1"/>
    </row>
    <row r="638" spans="1:8" ht="15" customHeight="1" x14ac:dyDescent="0.25">
      <c r="B638" s="423"/>
      <c r="C638" s="423"/>
      <c r="D638" s="423"/>
      <c r="E638" s="423"/>
      <c r="F638" s="423"/>
      <c r="G638" s="423"/>
      <c r="H638" s="1"/>
    </row>
    <row r="639" spans="1:8" ht="15" customHeight="1" x14ac:dyDescent="0.25">
      <c r="B639" s="414"/>
      <c r="C639" s="414"/>
      <c r="D639" s="414"/>
      <c r="E639" s="414"/>
      <c r="F639" s="414"/>
      <c r="G639" s="414"/>
      <c r="H639" s="1"/>
    </row>
    <row r="640" spans="1:8" ht="15" customHeight="1" x14ac:dyDescent="0.25">
      <c r="A640" s="69" t="s">
        <v>695</v>
      </c>
      <c r="B640" s="420" t="s">
        <v>696</v>
      </c>
      <c r="C640" s="421"/>
      <c r="D640" s="421"/>
      <c r="E640" s="421"/>
      <c r="F640" s="421"/>
      <c r="G640" s="422"/>
      <c r="H640" s="1"/>
    </row>
    <row r="641" spans="1:8" ht="30" customHeight="1" x14ac:dyDescent="0.25">
      <c r="B641" s="385" t="s">
        <v>697</v>
      </c>
      <c r="C641" s="386"/>
      <c r="D641" s="386"/>
      <c r="E641" s="386"/>
      <c r="F641" s="386"/>
      <c r="G641" s="387"/>
      <c r="H641" s="1"/>
    </row>
    <row r="642" spans="1:8" ht="17.25" customHeight="1" x14ac:dyDescent="0.25">
      <c r="B642" s="385" t="s">
        <v>698</v>
      </c>
      <c r="C642" s="386"/>
      <c r="D642" s="386"/>
      <c r="E642" s="386"/>
      <c r="F642" s="386"/>
      <c r="G642" s="387"/>
      <c r="H642" s="1"/>
    </row>
    <row r="643" spans="1:8" ht="15" customHeight="1" x14ac:dyDescent="0.25">
      <c r="B643" s="385" t="s">
        <v>699</v>
      </c>
      <c r="C643" s="386"/>
      <c r="D643" s="386"/>
      <c r="E643" s="386"/>
      <c r="F643" s="386"/>
      <c r="G643" s="387"/>
      <c r="H643" s="1"/>
    </row>
    <row r="644" spans="1:8" ht="15" customHeight="1" x14ac:dyDescent="0.25">
      <c r="B644" s="435" t="s">
        <v>700</v>
      </c>
      <c r="C644" s="436"/>
      <c r="D644" s="436"/>
      <c r="E644" s="436"/>
      <c r="F644" s="436"/>
      <c r="G644" s="437"/>
      <c r="H644" s="1"/>
    </row>
    <row r="645" spans="1:8" ht="15" customHeight="1" x14ac:dyDescent="0.25">
      <c r="B645" s="435" t="s">
        <v>701</v>
      </c>
      <c r="C645" s="436"/>
      <c r="D645" s="436"/>
      <c r="E645" s="436"/>
      <c r="F645" s="436"/>
      <c r="G645" s="437"/>
      <c r="H645" s="1"/>
    </row>
    <row r="646" spans="1:8" ht="15" customHeight="1" x14ac:dyDescent="0.25">
      <c r="B646" s="74"/>
      <c r="C646" s="75"/>
      <c r="D646" s="75"/>
      <c r="E646" s="75"/>
      <c r="F646" s="75"/>
      <c r="G646" s="76"/>
      <c r="H646" s="1"/>
    </row>
    <row r="647" spans="1:8" s="92" customFormat="1" ht="27" customHeight="1" x14ac:dyDescent="0.25">
      <c r="A647" s="90"/>
      <c r="B647" s="385" t="s">
        <v>702</v>
      </c>
      <c r="C647" s="386"/>
      <c r="D647" s="386"/>
      <c r="E647" s="386"/>
      <c r="F647" s="386"/>
      <c r="G647" s="387"/>
      <c r="H647" s="91"/>
    </row>
    <row r="648" spans="1:8" ht="39.75" customHeight="1" x14ac:dyDescent="0.25">
      <c r="B648" s="385" t="s">
        <v>703</v>
      </c>
      <c r="C648" s="386"/>
      <c r="D648" s="386"/>
      <c r="E648" s="386"/>
      <c r="F648" s="386"/>
      <c r="G648" s="387"/>
      <c r="H648" s="1"/>
    </row>
    <row r="649" spans="1:8" ht="51" customHeight="1" x14ac:dyDescent="0.25">
      <c r="B649" s="385" t="s">
        <v>704</v>
      </c>
      <c r="C649" s="386"/>
      <c r="D649" s="386"/>
      <c r="E649" s="386"/>
      <c r="F649" s="386"/>
      <c r="G649" s="387"/>
      <c r="H649" s="1"/>
    </row>
    <row r="650" spans="1:8" ht="64.5" customHeight="1" x14ac:dyDescent="0.25">
      <c r="B650" s="385" t="s">
        <v>705</v>
      </c>
      <c r="C650" s="386"/>
      <c r="D650" s="386"/>
      <c r="E650" s="386"/>
      <c r="F650" s="386"/>
      <c r="G650" s="387"/>
      <c r="H650" s="1"/>
    </row>
    <row r="651" spans="1:8" ht="26.25" customHeight="1" x14ac:dyDescent="0.25">
      <c r="B651" s="435" t="s">
        <v>706</v>
      </c>
      <c r="C651" s="436"/>
      <c r="D651" s="436"/>
      <c r="E651" s="436"/>
      <c r="F651" s="436"/>
      <c r="G651" s="437"/>
      <c r="H651" s="1"/>
    </row>
    <row r="652" spans="1:8" ht="38.25" customHeight="1" x14ac:dyDescent="0.25">
      <c r="B652" s="435" t="s">
        <v>707</v>
      </c>
      <c r="C652" s="436"/>
      <c r="D652" s="436"/>
      <c r="E652" s="436"/>
      <c r="F652" s="436"/>
      <c r="G652" s="437"/>
      <c r="H652" s="1"/>
    </row>
    <row r="653" spans="1:8" ht="15" customHeight="1" x14ac:dyDescent="0.25">
      <c r="B653" s="435" t="s">
        <v>708</v>
      </c>
      <c r="C653" s="436"/>
      <c r="D653" s="436"/>
      <c r="E653" s="436"/>
      <c r="F653" s="436"/>
      <c r="G653" s="437"/>
      <c r="H653" s="1"/>
    </row>
    <row r="654" spans="1:8" ht="15" customHeight="1" x14ac:dyDescent="0.25">
      <c r="B654" s="435" t="s">
        <v>709</v>
      </c>
      <c r="C654" s="436"/>
      <c r="D654" s="436"/>
      <c r="E654" s="436"/>
      <c r="F654" s="436"/>
      <c r="G654" s="437"/>
      <c r="H654" s="1"/>
    </row>
    <row r="655" spans="1:8" ht="15" customHeight="1" x14ac:dyDescent="0.25">
      <c r="B655" s="435" t="s">
        <v>710</v>
      </c>
      <c r="C655" s="436"/>
      <c r="D655" s="436"/>
      <c r="E655" s="436"/>
      <c r="F655" s="436"/>
      <c r="G655" s="437"/>
      <c r="H655" s="1"/>
    </row>
    <row r="656" spans="1:8" ht="15" customHeight="1" x14ac:dyDescent="0.25">
      <c r="B656" s="435" t="s">
        <v>711</v>
      </c>
      <c r="C656" s="436"/>
      <c r="D656" s="436"/>
      <c r="E656" s="436"/>
      <c r="F656" s="436"/>
      <c r="G656" s="437"/>
      <c r="H656" s="1"/>
    </row>
    <row r="657" spans="2:8" ht="63" customHeight="1" x14ac:dyDescent="0.25">
      <c r="B657" s="385" t="s">
        <v>712</v>
      </c>
      <c r="C657" s="386"/>
      <c r="D657" s="386"/>
      <c r="E657" s="386"/>
      <c r="F657" s="386"/>
      <c r="G657" s="387"/>
      <c r="H657" s="1"/>
    </row>
    <row r="658" spans="2:8" ht="14.25" customHeight="1" x14ac:dyDescent="0.25">
      <c r="B658" s="435" t="s">
        <v>713</v>
      </c>
      <c r="C658" s="436"/>
      <c r="D658" s="436"/>
      <c r="E658" s="436"/>
      <c r="F658" s="436"/>
      <c r="G658" s="437"/>
      <c r="H658" s="1"/>
    </row>
    <row r="659" spans="2:8" ht="25.5" customHeight="1" x14ac:dyDescent="0.25">
      <c r="B659" s="435" t="s">
        <v>714</v>
      </c>
      <c r="C659" s="436"/>
      <c r="D659" s="436"/>
      <c r="E659" s="436"/>
      <c r="F659" s="436"/>
      <c r="G659" s="437"/>
      <c r="H659" s="1"/>
    </row>
    <row r="660" spans="2:8" ht="27.75" customHeight="1" x14ac:dyDescent="0.25">
      <c r="B660" s="435" t="s">
        <v>715</v>
      </c>
      <c r="C660" s="436"/>
      <c r="D660" s="436"/>
      <c r="E660" s="436"/>
      <c r="F660" s="436"/>
      <c r="G660" s="437"/>
      <c r="H660" s="1"/>
    </row>
    <row r="661" spans="2:8" ht="15" customHeight="1" x14ac:dyDescent="0.25">
      <c r="B661" s="435" t="s">
        <v>716</v>
      </c>
      <c r="C661" s="436"/>
      <c r="D661" s="436"/>
      <c r="E661" s="436"/>
      <c r="F661" s="436"/>
      <c r="G661" s="437"/>
      <c r="H661" s="1"/>
    </row>
    <row r="662" spans="2:8" ht="15" customHeight="1" x14ac:dyDescent="0.25">
      <c r="B662" s="435" t="s">
        <v>717</v>
      </c>
      <c r="C662" s="436"/>
      <c r="D662" s="436"/>
      <c r="E662" s="436"/>
      <c r="F662" s="436"/>
      <c r="G662" s="437"/>
      <c r="H662" s="1"/>
    </row>
    <row r="663" spans="2:8" ht="15" customHeight="1" x14ac:dyDescent="0.25">
      <c r="B663" s="435" t="s">
        <v>718</v>
      </c>
      <c r="C663" s="436"/>
      <c r="D663" s="436"/>
      <c r="E663" s="436"/>
      <c r="F663" s="436"/>
      <c r="G663" s="437"/>
      <c r="H663" s="1"/>
    </row>
    <row r="664" spans="2:8" ht="15" customHeight="1" x14ac:dyDescent="0.25">
      <c r="B664" s="435" t="s">
        <v>719</v>
      </c>
      <c r="C664" s="436"/>
      <c r="D664" s="436"/>
      <c r="E664" s="436"/>
      <c r="F664" s="436"/>
      <c r="G664" s="437"/>
      <c r="H664" s="1"/>
    </row>
    <row r="665" spans="2:8" ht="15" customHeight="1" x14ac:dyDescent="0.25">
      <c r="B665" s="435" t="s">
        <v>720</v>
      </c>
      <c r="C665" s="436"/>
      <c r="D665" s="436"/>
      <c r="E665" s="436"/>
      <c r="F665" s="436"/>
      <c r="G665" s="437"/>
      <c r="H665" s="1"/>
    </row>
    <row r="666" spans="2:8" ht="15" customHeight="1" x14ac:dyDescent="0.25">
      <c r="B666" s="435" t="s">
        <v>721</v>
      </c>
      <c r="C666" s="436"/>
      <c r="D666" s="436"/>
      <c r="E666" s="436"/>
      <c r="F666" s="436"/>
      <c r="G666" s="437"/>
      <c r="H666" s="1"/>
    </row>
    <row r="667" spans="2:8" ht="15" customHeight="1" x14ac:dyDescent="0.25">
      <c r="B667" s="435" t="s">
        <v>722</v>
      </c>
      <c r="C667" s="436"/>
      <c r="D667" s="436"/>
      <c r="E667" s="436"/>
      <c r="F667" s="436"/>
      <c r="G667" s="437"/>
      <c r="H667" s="1"/>
    </row>
    <row r="668" spans="2:8" ht="15" customHeight="1" x14ac:dyDescent="0.25">
      <c r="B668" s="435" t="s">
        <v>723</v>
      </c>
      <c r="C668" s="436"/>
      <c r="D668" s="436"/>
      <c r="E668" s="436"/>
      <c r="F668" s="436"/>
      <c r="G668" s="437"/>
      <c r="H668" s="1"/>
    </row>
    <row r="669" spans="2:8" ht="15" customHeight="1" x14ac:dyDescent="0.25">
      <c r="B669" s="435" t="s">
        <v>724</v>
      </c>
      <c r="C669" s="436"/>
      <c r="D669" s="436"/>
      <c r="E669" s="436"/>
      <c r="F669" s="436"/>
      <c r="G669" s="437"/>
      <c r="H669" s="1"/>
    </row>
    <row r="670" spans="2:8" ht="15" customHeight="1" x14ac:dyDescent="0.25">
      <c r="B670" s="435" t="s">
        <v>725</v>
      </c>
      <c r="C670" s="436"/>
      <c r="D670" s="436"/>
      <c r="E670" s="436"/>
      <c r="F670" s="436"/>
      <c r="G670" s="437"/>
      <c r="H670" s="1"/>
    </row>
    <row r="671" spans="2:8" ht="15" customHeight="1" x14ac:dyDescent="0.25">
      <c r="B671" s="435" t="s">
        <v>726</v>
      </c>
      <c r="C671" s="436"/>
      <c r="D671" s="436"/>
      <c r="E671" s="436"/>
      <c r="F671" s="436"/>
      <c r="G671" s="437"/>
      <c r="H671" s="1"/>
    </row>
    <row r="672" spans="2:8" ht="15" customHeight="1" x14ac:dyDescent="0.25">
      <c r="B672" s="435" t="s">
        <v>727</v>
      </c>
      <c r="C672" s="436"/>
      <c r="D672" s="436"/>
      <c r="E672" s="436"/>
      <c r="F672" s="436"/>
      <c r="G672" s="437"/>
      <c r="H672" s="1"/>
    </row>
    <row r="673" spans="2:8" ht="15" customHeight="1" x14ac:dyDescent="0.25">
      <c r="B673" s="435" t="s">
        <v>728</v>
      </c>
      <c r="C673" s="436"/>
      <c r="D673" s="436"/>
      <c r="E673" s="436"/>
      <c r="F673" s="436"/>
      <c r="G673" s="437"/>
      <c r="H673" s="1"/>
    </row>
    <row r="674" spans="2:8" ht="25.5" customHeight="1" x14ac:dyDescent="0.25">
      <c r="B674" s="435" t="s">
        <v>729</v>
      </c>
      <c r="C674" s="436"/>
      <c r="D674" s="436"/>
      <c r="E674" s="436"/>
      <c r="F674" s="436"/>
      <c r="G674" s="437"/>
      <c r="H674" s="1"/>
    </row>
    <row r="675" spans="2:8" ht="15" customHeight="1" x14ac:dyDescent="0.25">
      <c r="B675" s="435" t="s">
        <v>730</v>
      </c>
      <c r="C675" s="436"/>
      <c r="D675" s="436"/>
      <c r="E675" s="436"/>
      <c r="F675" s="436"/>
      <c r="G675" s="437"/>
      <c r="H675" s="1"/>
    </row>
    <row r="676" spans="2:8" ht="15" customHeight="1" x14ac:dyDescent="0.25">
      <c r="B676" s="435" t="s">
        <v>731</v>
      </c>
      <c r="C676" s="436"/>
      <c r="D676" s="436"/>
      <c r="E676" s="436"/>
      <c r="F676" s="436"/>
      <c r="G676" s="437"/>
      <c r="H676" s="1"/>
    </row>
    <row r="677" spans="2:8" ht="40.5" customHeight="1" x14ac:dyDescent="0.25">
      <c r="B677" s="435" t="s">
        <v>732</v>
      </c>
      <c r="C677" s="436"/>
      <c r="D677" s="436"/>
      <c r="E677" s="436"/>
      <c r="F677" s="436"/>
      <c r="G677" s="437"/>
      <c r="H677" s="1"/>
    </row>
    <row r="678" spans="2:8" ht="39.75" customHeight="1" x14ac:dyDescent="0.25">
      <c r="B678" s="435" t="s">
        <v>733</v>
      </c>
      <c r="C678" s="436"/>
      <c r="D678" s="436"/>
      <c r="E678" s="436"/>
      <c r="F678" s="436"/>
      <c r="G678" s="437"/>
      <c r="H678" s="1"/>
    </row>
    <row r="679" spans="2:8" ht="15" customHeight="1" x14ac:dyDescent="0.25">
      <c r="B679" s="435" t="s">
        <v>734</v>
      </c>
      <c r="C679" s="436"/>
      <c r="D679" s="436"/>
      <c r="E679" s="436"/>
      <c r="F679" s="436"/>
      <c r="G679" s="437"/>
      <c r="H679" s="1"/>
    </row>
    <row r="680" spans="2:8" ht="15" customHeight="1" x14ac:dyDescent="0.25">
      <c r="B680" s="438" t="s">
        <v>735</v>
      </c>
      <c r="C680" s="436"/>
      <c r="D680" s="436"/>
      <c r="E680" s="436"/>
      <c r="F680" s="436"/>
      <c r="G680" s="437"/>
      <c r="H680" s="1"/>
    </row>
    <row r="681" spans="2:8" ht="41.25" customHeight="1" x14ac:dyDescent="0.25">
      <c r="B681" s="439" t="s">
        <v>736</v>
      </c>
      <c r="C681" s="436"/>
      <c r="D681" s="436"/>
      <c r="E681" s="436"/>
      <c r="F681" s="436"/>
      <c r="G681" s="437"/>
      <c r="H681" s="1"/>
    </row>
    <row r="682" spans="2:8" ht="15" customHeight="1" x14ac:dyDescent="0.25">
      <c r="B682" s="439" t="s">
        <v>737</v>
      </c>
      <c r="C682" s="436"/>
      <c r="D682" s="436"/>
      <c r="E682" s="436"/>
      <c r="F682" s="436"/>
      <c r="G682" s="437"/>
      <c r="H682" s="1"/>
    </row>
    <row r="683" spans="2:8" ht="54.75" customHeight="1" x14ac:dyDescent="0.25">
      <c r="B683" s="439" t="s">
        <v>738</v>
      </c>
      <c r="C683" s="436"/>
      <c r="D683" s="436"/>
      <c r="E683" s="436"/>
      <c r="F683" s="436"/>
      <c r="G683" s="437"/>
      <c r="H683" s="1"/>
    </row>
    <row r="684" spans="2:8" ht="27" customHeight="1" x14ac:dyDescent="0.25">
      <c r="B684" s="435" t="s">
        <v>739</v>
      </c>
      <c r="C684" s="436"/>
      <c r="D684" s="436"/>
      <c r="E684" s="436"/>
      <c r="F684" s="436"/>
      <c r="G684" s="437"/>
      <c r="H684" s="1"/>
    </row>
    <row r="685" spans="2:8" ht="15" customHeight="1" x14ac:dyDescent="0.25">
      <c r="B685" s="435"/>
      <c r="C685" s="436"/>
      <c r="D685" s="436"/>
      <c r="E685" s="436"/>
      <c r="F685" s="436"/>
      <c r="G685" s="437"/>
      <c r="H685" s="1"/>
    </row>
    <row r="686" spans="2:8" ht="15" customHeight="1" x14ac:dyDescent="0.25">
      <c r="B686" s="435" t="s">
        <v>740</v>
      </c>
      <c r="C686" s="436"/>
      <c r="D686" s="436"/>
      <c r="E686" s="436"/>
      <c r="F686" s="436"/>
      <c r="G686" s="437"/>
      <c r="H686" s="1"/>
    </row>
    <row r="687" spans="2:8" ht="15" customHeight="1" x14ac:dyDescent="0.25">
      <c r="B687" s="397" t="s">
        <v>741</v>
      </c>
      <c r="C687" s="398"/>
      <c r="D687" s="398"/>
      <c r="E687" s="398"/>
      <c r="F687" s="398"/>
      <c r="G687" s="399"/>
      <c r="H687" s="1"/>
    </row>
    <row r="688" spans="2:8" ht="15" customHeight="1" x14ac:dyDescent="0.25">
      <c r="B688" s="397" t="s">
        <v>742</v>
      </c>
      <c r="C688" s="398"/>
      <c r="D688" s="398"/>
      <c r="E688" s="398"/>
      <c r="F688" s="398"/>
      <c r="G688" s="399"/>
      <c r="H688" s="1"/>
    </row>
    <row r="689" spans="1:8" ht="15" customHeight="1" x14ac:dyDescent="0.25">
      <c r="B689" s="397" t="s">
        <v>743</v>
      </c>
      <c r="C689" s="398"/>
      <c r="D689" s="398"/>
      <c r="E689" s="398"/>
      <c r="F689" s="398"/>
      <c r="G689" s="399"/>
      <c r="H689" s="1"/>
    </row>
    <row r="690" spans="1:8" ht="15" customHeight="1" x14ac:dyDescent="0.25">
      <c r="B690" s="397" t="s">
        <v>744</v>
      </c>
      <c r="C690" s="398"/>
      <c r="D690" s="398"/>
      <c r="E690" s="398"/>
      <c r="F690" s="398"/>
      <c r="G690" s="399"/>
      <c r="H690" s="1"/>
    </row>
    <row r="691" spans="1:8" ht="15" customHeight="1" x14ac:dyDescent="0.25">
      <c r="B691" s="397" t="s">
        <v>745</v>
      </c>
      <c r="C691" s="398"/>
      <c r="D691" s="398"/>
      <c r="E691" s="398"/>
      <c r="F691" s="398"/>
      <c r="G691" s="399"/>
      <c r="H691" s="1"/>
    </row>
    <row r="692" spans="1:8" ht="15" customHeight="1" x14ac:dyDescent="0.25">
      <c r="B692" s="397" t="s">
        <v>746</v>
      </c>
      <c r="C692" s="398"/>
      <c r="D692" s="398"/>
      <c r="E692" s="398"/>
      <c r="F692" s="398"/>
      <c r="G692" s="399"/>
      <c r="H692" s="1"/>
    </row>
    <row r="693" spans="1:8" ht="15" customHeight="1" x14ac:dyDescent="0.25">
      <c r="B693" s="397" t="s">
        <v>747</v>
      </c>
      <c r="C693" s="398"/>
      <c r="D693" s="398"/>
      <c r="E693" s="398"/>
      <c r="F693" s="398"/>
      <c r="G693" s="399"/>
      <c r="H693" s="1"/>
    </row>
    <row r="694" spans="1:8" ht="15" customHeight="1" x14ac:dyDescent="0.25">
      <c r="B694" s="397" t="s">
        <v>748</v>
      </c>
      <c r="C694" s="398"/>
      <c r="D694" s="398"/>
      <c r="E694" s="398"/>
      <c r="F694" s="398"/>
      <c r="G694" s="399"/>
      <c r="H694" s="1"/>
    </row>
    <row r="695" spans="1:8" ht="15" customHeight="1" x14ac:dyDescent="0.25">
      <c r="B695" s="397" t="s">
        <v>749</v>
      </c>
      <c r="C695" s="398"/>
      <c r="D695" s="398"/>
      <c r="E695" s="398"/>
      <c r="F695" s="398"/>
      <c r="G695" s="399"/>
      <c r="H695" s="1"/>
    </row>
    <row r="696" spans="1:8" ht="15" customHeight="1" x14ac:dyDescent="0.25">
      <c r="B696" s="397" t="s">
        <v>750</v>
      </c>
      <c r="C696" s="398"/>
      <c r="D696" s="398"/>
      <c r="E696" s="398"/>
      <c r="F696" s="398"/>
      <c r="G696" s="399"/>
      <c r="H696" s="1"/>
    </row>
    <row r="697" spans="1:8" ht="15" customHeight="1" x14ac:dyDescent="0.25">
      <c r="B697" s="397" t="s">
        <v>751</v>
      </c>
      <c r="C697" s="398"/>
      <c r="D697" s="398"/>
      <c r="E697" s="398"/>
      <c r="F697" s="398"/>
      <c r="G697" s="399"/>
      <c r="H697" s="1"/>
    </row>
    <row r="698" spans="1:8" ht="15" customHeight="1" x14ac:dyDescent="0.25">
      <c r="B698" s="397" t="s">
        <v>752</v>
      </c>
      <c r="C698" s="398"/>
      <c r="D698" s="398"/>
      <c r="E698" s="398"/>
      <c r="F698" s="398"/>
      <c r="G698" s="399"/>
      <c r="H698" s="1"/>
    </row>
    <row r="699" spans="1:8" ht="15" customHeight="1" x14ac:dyDescent="0.25">
      <c r="B699" s="93"/>
      <c r="C699" s="93"/>
      <c r="D699" s="93"/>
      <c r="E699" s="93"/>
      <c r="F699" s="93"/>
      <c r="G699" s="93"/>
      <c r="H699" s="1"/>
    </row>
    <row r="700" spans="1:8" ht="15" customHeight="1" x14ac:dyDescent="0.25">
      <c r="B700" s="440"/>
      <c r="C700" s="440"/>
      <c r="D700" s="440"/>
      <c r="E700" s="440"/>
      <c r="F700" s="440"/>
      <c r="G700" s="440"/>
      <c r="H700" s="1"/>
    </row>
    <row r="701" spans="1:8" ht="15" customHeight="1" x14ac:dyDescent="0.25">
      <c r="A701" s="69" t="s">
        <v>753</v>
      </c>
      <c r="B701" s="420" t="s">
        <v>754</v>
      </c>
      <c r="C701" s="421"/>
      <c r="D701" s="421"/>
      <c r="E701" s="421"/>
      <c r="F701" s="421"/>
      <c r="G701" s="422"/>
      <c r="H701" s="1"/>
    </row>
    <row r="702" spans="1:8" ht="15" customHeight="1" x14ac:dyDescent="0.25">
      <c r="B702" s="385" t="s">
        <v>755</v>
      </c>
      <c r="C702" s="386"/>
      <c r="D702" s="386"/>
      <c r="E702" s="386"/>
      <c r="F702" s="386"/>
      <c r="G702" s="387"/>
      <c r="H702" s="1"/>
    </row>
    <row r="703" spans="1:8" ht="30.75" customHeight="1" x14ac:dyDescent="0.25">
      <c r="B703" s="385" t="s">
        <v>756</v>
      </c>
      <c r="C703" s="386"/>
      <c r="D703" s="386"/>
      <c r="E703" s="386"/>
      <c r="F703" s="386"/>
      <c r="G703" s="387"/>
      <c r="H703" s="1"/>
    </row>
    <row r="704" spans="1:8" ht="103.5" customHeight="1" x14ac:dyDescent="0.25">
      <c r="B704" s="385" t="s">
        <v>757</v>
      </c>
      <c r="C704" s="386"/>
      <c r="D704" s="386"/>
      <c r="E704" s="386"/>
      <c r="F704" s="386"/>
      <c r="G704" s="387"/>
      <c r="H704" s="1"/>
    </row>
    <row r="705" spans="2:8" ht="25.5" customHeight="1" x14ac:dyDescent="0.25">
      <c r="B705" s="385" t="s">
        <v>758</v>
      </c>
      <c r="C705" s="386"/>
      <c r="D705" s="386"/>
      <c r="E705" s="386"/>
      <c r="F705" s="386"/>
      <c r="G705" s="387"/>
      <c r="H705" s="1"/>
    </row>
    <row r="706" spans="2:8" ht="15" customHeight="1" x14ac:dyDescent="0.25">
      <c r="B706" s="385" t="s">
        <v>759</v>
      </c>
      <c r="C706" s="386"/>
      <c r="D706" s="386"/>
      <c r="E706" s="386"/>
      <c r="F706" s="386"/>
      <c r="G706" s="387"/>
      <c r="H706" s="1"/>
    </row>
    <row r="707" spans="2:8" ht="15" customHeight="1" x14ac:dyDescent="0.25">
      <c r="B707" s="385" t="s">
        <v>760</v>
      </c>
      <c r="C707" s="386"/>
      <c r="D707" s="386"/>
      <c r="E707" s="386"/>
      <c r="F707" s="386"/>
      <c r="G707" s="387"/>
      <c r="H707" s="1"/>
    </row>
    <row r="708" spans="2:8" ht="15" customHeight="1" x14ac:dyDescent="0.25">
      <c r="B708" s="385" t="s">
        <v>761</v>
      </c>
      <c r="C708" s="386"/>
      <c r="D708" s="386"/>
      <c r="E708" s="386"/>
      <c r="F708" s="386"/>
      <c r="G708" s="387"/>
      <c r="H708" s="1"/>
    </row>
    <row r="709" spans="2:8" ht="15" customHeight="1" x14ac:dyDescent="0.25">
      <c r="B709" s="385" t="s">
        <v>762</v>
      </c>
      <c r="C709" s="386"/>
      <c r="D709" s="386"/>
      <c r="E709" s="386"/>
      <c r="F709" s="386"/>
      <c r="G709" s="387"/>
      <c r="H709" s="1"/>
    </row>
    <row r="710" spans="2:8" ht="15" customHeight="1" x14ac:dyDescent="0.25">
      <c r="B710" s="385" t="s">
        <v>763</v>
      </c>
      <c r="C710" s="386"/>
      <c r="D710" s="386"/>
      <c r="E710" s="386"/>
      <c r="F710" s="386"/>
      <c r="G710" s="387"/>
      <c r="H710" s="1"/>
    </row>
    <row r="711" spans="2:8" ht="27" customHeight="1" x14ac:dyDescent="0.25">
      <c r="B711" s="385" t="s">
        <v>764</v>
      </c>
      <c r="C711" s="386"/>
      <c r="D711" s="386"/>
      <c r="E711" s="386"/>
      <c r="F711" s="386"/>
      <c r="G711" s="387"/>
      <c r="H711" s="1"/>
    </row>
    <row r="712" spans="2:8" ht="26.25" customHeight="1" x14ac:dyDescent="0.25">
      <c r="B712" s="385" t="s">
        <v>765</v>
      </c>
      <c r="C712" s="386"/>
      <c r="D712" s="386"/>
      <c r="E712" s="386"/>
      <c r="F712" s="386"/>
      <c r="G712" s="387"/>
      <c r="H712" s="1"/>
    </row>
    <row r="713" spans="2:8" ht="39.75" customHeight="1" x14ac:dyDescent="0.25">
      <c r="B713" s="385" t="s">
        <v>766</v>
      </c>
      <c r="C713" s="386"/>
      <c r="D713" s="386"/>
      <c r="E713" s="386"/>
      <c r="F713" s="386"/>
      <c r="G713" s="387"/>
      <c r="H713" s="1"/>
    </row>
    <row r="714" spans="2:8" ht="37.5" customHeight="1" x14ac:dyDescent="0.25">
      <c r="B714" s="385" t="s">
        <v>767</v>
      </c>
      <c r="C714" s="386"/>
      <c r="D714" s="386"/>
      <c r="E714" s="386"/>
      <c r="F714" s="386"/>
      <c r="G714" s="387"/>
      <c r="H714" s="1"/>
    </row>
    <row r="715" spans="2:8" ht="27.75" customHeight="1" x14ac:dyDescent="0.25">
      <c r="B715" s="385" t="s">
        <v>768</v>
      </c>
      <c r="C715" s="386"/>
      <c r="D715" s="386"/>
      <c r="E715" s="386"/>
      <c r="F715" s="386"/>
      <c r="G715" s="387"/>
      <c r="H715" s="1"/>
    </row>
    <row r="716" spans="2:8" ht="29.25" customHeight="1" x14ac:dyDescent="0.25">
      <c r="B716" s="385" t="s">
        <v>769</v>
      </c>
      <c r="C716" s="386"/>
      <c r="D716" s="386"/>
      <c r="E716" s="386"/>
      <c r="F716" s="386"/>
      <c r="G716" s="387"/>
      <c r="H716" s="1"/>
    </row>
    <row r="717" spans="2:8" ht="26.25" customHeight="1" x14ac:dyDescent="0.25">
      <c r="B717" s="385" t="s">
        <v>770</v>
      </c>
      <c r="C717" s="386"/>
      <c r="D717" s="386"/>
      <c r="E717" s="386"/>
      <c r="F717" s="386"/>
      <c r="G717" s="387"/>
      <c r="H717" s="1"/>
    </row>
    <row r="718" spans="2:8" ht="25.5" customHeight="1" x14ac:dyDescent="0.25">
      <c r="B718" s="385" t="s">
        <v>771</v>
      </c>
      <c r="C718" s="386"/>
      <c r="D718" s="386"/>
      <c r="E718" s="386"/>
      <c r="F718" s="386"/>
      <c r="G718" s="387"/>
      <c r="H718" s="1"/>
    </row>
    <row r="719" spans="2:8" ht="15" customHeight="1" x14ac:dyDescent="0.25">
      <c r="B719" s="385" t="s">
        <v>772</v>
      </c>
      <c r="C719" s="386"/>
      <c r="D719" s="386"/>
      <c r="E719" s="386"/>
      <c r="F719" s="386"/>
      <c r="G719" s="387"/>
      <c r="H719" s="1"/>
    </row>
    <row r="720" spans="2:8" ht="51.75" customHeight="1" x14ac:dyDescent="0.25">
      <c r="B720" s="385" t="s">
        <v>773</v>
      </c>
      <c r="C720" s="386"/>
      <c r="D720" s="386"/>
      <c r="E720" s="386"/>
      <c r="F720" s="386"/>
      <c r="G720" s="387"/>
      <c r="H720" s="1"/>
    </row>
    <row r="721" spans="2:8" ht="25.5" customHeight="1" x14ac:dyDescent="0.25">
      <c r="B721" s="385" t="s">
        <v>774</v>
      </c>
      <c r="C721" s="386"/>
      <c r="D721" s="386"/>
      <c r="E721" s="386"/>
      <c r="F721" s="386"/>
      <c r="G721" s="387"/>
      <c r="H721" s="1"/>
    </row>
    <row r="722" spans="2:8" ht="27" customHeight="1" x14ac:dyDescent="0.25">
      <c r="B722" s="385" t="s">
        <v>775</v>
      </c>
      <c r="C722" s="386"/>
      <c r="D722" s="386"/>
      <c r="E722" s="386"/>
      <c r="F722" s="386"/>
      <c r="G722" s="387"/>
      <c r="H722" s="1"/>
    </row>
    <row r="723" spans="2:8" ht="15" customHeight="1" x14ac:dyDescent="0.25">
      <c r="B723" s="385" t="s">
        <v>335</v>
      </c>
      <c r="C723" s="386"/>
      <c r="D723" s="386"/>
      <c r="E723" s="386"/>
      <c r="F723" s="386"/>
      <c r="G723" s="387"/>
      <c r="H723" s="1"/>
    </row>
    <row r="724" spans="2:8" ht="207" customHeight="1" x14ac:dyDescent="0.25">
      <c r="B724" s="431" t="s">
        <v>776</v>
      </c>
      <c r="C724" s="386"/>
      <c r="D724" s="386"/>
      <c r="E724" s="386"/>
      <c r="F724" s="386"/>
      <c r="G724" s="387"/>
      <c r="H724" s="1"/>
    </row>
    <row r="725" spans="2:8" ht="28.5" customHeight="1" x14ac:dyDescent="0.25">
      <c r="B725" s="385" t="s">
        <v>777</v>
      </c>
      <c r="C725" s="386"/>
      <c r="D725" s="386"/>
      <c r="E725" s="386"/>
      <c r="F725" s="386"/>
      <c r="G725" s="387"/>
      <c r="H725" s="1"/>
    </row>
    <row r="726" spans="2:8" ht="15" customHeight="1" x14ac:dyDescent="0.25">
      <c r="B726" s="441" t="s">
        <v>778</v>
      </c>
      <c r="C726" s="442"/>
      <c r="D726" s="442"/>
      <c r="E726" s="442"/>
      <c r="F726" s="442"/>
      <c r="G726" s="443"/>
      <c r="H726" s="1"/>
    </row>
    <row r="727" spans="2:8" ht="15" customHeight="1" x14ac:dyDescent="0.25">
      <c r="B727" s="385" t="s">
        <v>779</v>
      </c>
      <c r="C727" s="386"/>
      <c r="D727" s="386"/>
      <c r="E727" s="386"/>
      <c r="F727" s="386"/>
      <c r="G727" s="387"/>
      <c r="H727" s="1"/>
    </row>
    <row r="728" spans="2:8" ht="15" customHeight="1" x14ac:dyDescent="0.25">
      <c r="B728" s="385" t="s">
        <v>780</v>
      </c>
      <c r="C728" s="386"/>
      <c r="D728" s="386"/>
      <c r="E728" s="386"/>
      <c r="F728" s="386"/>
      <c r="G728" s="387"/>
      <c r="H728" s="1"/>
    </row>
    <row r="729" spans="2:8" ht="15" customHeight="1" x14ac:dyDescent="0.25">
      <c r="B729" s="385" t="s">
        <v>781</v>
      </c>
      <c r="C729" s="386"/>
      <c r="D729" s="386"/>
      <c r="E729" s="386"/>
      <c r="F729" s="386"/>
      <c r="G729" s="387"/>
      <c r="H729" s="1"/>
    </row>
    <row r="730" spans="2:8" ht="15" customHeight="1" x14ac:dyDescent="0.25">
      <c r="B730" s="385" t="s">
        <v>782</v>
      </c>
      <c r="C730" s="386"/>
      <c r="D730" s="386"/>
      <c r="E730" s="386"/>
      <c r="F730" s="386"/>
      <c r="G730" s="387"/>
      <c r="H730" s="1"/>
    </row>
    <row r="731" spans="2:8" ht="15" customHeight="1" x14ac:dyDescent="0.25">
      <c r="B731" s="385" t="s">
        <v>783</v>
      </c>
      <c r="C731" s="386"/>
      <c r="D731" s="386"/>
      <c r="E731" s="386"/>
      <c r="F731" s="386"/>
      <c r="G731" s="387"/>
      <c r="H731" s="1"/>
    </row>
    <row r="732" spans="2:8" ht="15" customHeight="1" x14ac:dyDescent="0.25">
      <c r="B732" s="385" t="s">
        <v>784</v>
      </c>
      <c r="C732" s="386"/>
      <c r="D732" s="386"/>
      <c r="E732" s="386"/>
      <c r="F732" s="386"/>
      <c r="G732" s="387"/>
      <c r="H732" s="1"/>
    </row>
    <row r="733" spans="2:8" ht="15" customHeight="1" x14ac:dyDescent="0.25">
      <c r="B733" s="385" t="s">
        <v>785</v>
      </c>
      <c r="C733" s="386"/>
      <c r="D733" s="386"/>
      <c r="E733" s="386"/>
      <c r="F733" s="386"/>
      <c r="G733" s="387"/>
      <c r="H733" s="1"/>
    </row>
    <row r="734" spans="2:8" ht="15" customHeight="1" x14ac:dyDescent="0.25">
      <c r="B734" s="385" t="s">
        <v>786</v>
      </c>
      <c r="C734" s="386"/>
      <c r="D734" s="386"/>
      <c r="E734" s="386"/>
      <c r="F734" s="386"/>
      <c r="G734" s="387"/>
      <c r="H734" s="1"/>
    </row>
    <row r="735" spans="2:8" ht="25.5" customHeight="1" x14ac:dyDescent="0.25">
      <c r="B735" s="385" t="s">
        <v>787</v>
      </c>
      <c r="C735" s="386"/>
      <c r="D735" s="386"/>
      <c r="E735" s="386"/>
      <c r="F735" s="386"/>
      <c r="G735" s="387"/>
      <c r="H735" s="1"/>
    </row>
    <row r="736" spans="2:8" ht="38.25" customHeight="1" x14ac:dyDescent="0.25">
      <c r="B736" s="385" t="s">
        <v>788</v>
      </c>
      <c r="C736" s="386"/>
      <c r="D736" s="386"/>
      <c r="E736" s="386"/>
      <c r="F736" s="386"/>
      <c r="G736" s="387"/>
      <c r="H736" s="1"/>
    </row>
    <row r="737" spans="1:8" ht="38.25" customHeight="1" x14ac:dyDescent="0.25">
      <c r="B737" s="385" t="s">
        <v>789</v>
      </c>
      <c r="C737" s="386"/>
      <c r="D737" s="386"/>
      <c r="E737" s="386"/>
      <c r="F737" s="386"/>
      <c r="G737" s="387"/>
      <c r="H737" s="1"/>
    </row>
    <row r="738" spans="1:8" ht="26.25" customHeight="1" x14ac:dyDescent="0.25">
      <c r="B738" s="385" t="s">
        <v>790</v>
      </c>
      <c r="C738" s="386"/>
      <c r="D738" s="386"/>
      <c r="E738" s="386"/>
      <c r="F738" s="386"/>
      <c r="G738" s="387"/>
      <c r="H738" s="1"/>
    </row>
    <row r="739" spans="1:8" ht="15" customHeight="1" x14ac:dyDescent="0.25">
      <c r="B739" s="450"/>
      <c r="C739" s="450"/>
      <c r="D739" s="450"/>
      <c r="E739" s="450"/>
      <c r="F739" s="450"/>
      <c r="G739" s="450"/>
      <c r="H739" s="1"/>
    </row>
    <row r="740" spans="1:8" ht="15" customHeight="1" x14ac:dyDescent="0.25">
      <c r="A740" s="69" t="s">
        <v>791</v>
      </c>
      <c r="B740" s="420" t="s">
        <v>792</v>
      </c>
      <c r="C740" s="421"/>
      <c r="D740" s="421"/>
      <c r="E740" s="421"/>
      <c r="F740" s="421"/>
      <c r="G740" s="422"/>
      <c r="H740" s="1"/>
    </row>
    <row r="741" spans="1:8" ht="42.75" customHeight="1" x14ac:dyDescent="0.25">
      <c r="B741" s="444" t="s">
        <v>523</v>
      </c>
      <c r="C741" s="445"/>
      <c r="D741" s="445"/>
      <c r="E741" s="445"/>
      <c r="F741" s="445"/>
      <c r="G741" s="446"/>
      <c r="H741" s="1"/>
    </row>
    <row r="742" spans="1:8" ht="77.25" customHeight="1" x14ac:dyDescent="0.25">
      <c r="B742" s="385" t="s">
        <v>793</v>
      </c>
      <c r="C742" s="386"/>
      <c r="D742" s="386"/>
      <c r="E742" s="386"/>
      <c r="F742" s="386"/>
      <c r="G742" s="387"/>
      <c r="H742" s="1"/>
    </row>
    <row r="743" spans="1:8" ht="15" customHeight="1" x14ac:dyDescent="0.25">
      <c r="B743" s="385" t="s">
        <v>794</v>
      </c>
      <c r="C743" s="386"/>
      <c r="D743" s="386"/>
      <c r="E743" s="386"/>
      <c r="F743" s="386"/>
      <c r="G743" s="387"/>
      <c r="H743" s="1"/>
    </row>
    <row r="744" spans="1:8" ht="15" customHeight="1" x14ac:dyDescent="0.25">
      <c r="B744" s="444" t="s">
        <v>795</v>
      </c>
      <c r="C744" s="445"/>
      <c r="D744" s="445"/>
      <c r="E744" s="445"/>
      <c r="F744" s="445"/>
      <c r="G744" s="446"/>
      <c r="H744" s="1"/>
    </row>
    <row r="745" spans="1:8" ht="15" customHeight="1" x14ac:dyDescent="0.25">
      <c r="B745" s="444" t="s">
        <v>796</v>
      </c>
      <c r="C745" s="445"/>
      <c r="D745" s="445"/>
      <c r="E745" s="445"/>
      <c r="F745" s="445"/>
      <c r="G745" s="446"/>
      <c r="H745" s="1"/>
    </row>
    <row r="746" spans="1:8" ht="15" customHeight="1" x14ac:dyDescent="0.25">
      <c r="B746" s="447" t="s">
        <v>527</v>
      </c>
      <c r="C746" s="448"/>
      <c r="D746" s="448"/>
      <c r="E746" s="448"/>
      <c r="F746" s="448"/>
      <c r="G746" s="449"/>
      <c r="H746" s="1"/>
    </row>
    <row r="747" spans="1:8" ht="15" customHeight="1" x14ac:dyDescent="0.25">
      <c r="B747" s="447" t="s">
        <v>797</v>
      </c>
      <c r="C747" s="448"/>
      <c r="D747" s="448"/>
      <c r="E747" s="448"/>
      <c r="F747" s="448"/>
      <c r="G747" s="449"/>
      <c r="H747" s="1"/>
    </row>
    <row r="748" spans="1:8" ht="15" customHeight="1" x14ac:dyDescent="0.25">
      <c r="B748" s="447" t="s">
        <v>798</v>
      </c>
      <c r="C748" s="448"/>
      <c r="D748" s="448"/>
      <c r="E748" s="448"/>
      <c r="F748" s="448"/>
      <c r="G748" s="449"/>
      <c r="H748" s="1"/>
    </row>
    <row r="749" spans="1:8" ht="15" customHeight="1" x14ac:dyDescent="0.25">
      <c r="B749" s="447" t="s">
        <v>799</v>
      </c>
      <c r="C749" s="448"/>
      <c r="D749" s="448"/>
      <c r="E749" s="448"/>
      <c r="F749" s="448"/>
      <c r="G749" s="449"/>
      <c r="H749" s="1"/>
    </row>
    <row r="750" spans="1:8" ht="15" customHeight="1" x14ac:dyDescent="0.25">
      <c r="B750" s="447" t="s">
        <v>800</v>
      </c>
      <c r="C750" s="448"/>
      <c r="D750" s="448"/>
      <c r="E750" s="448"/>
      <c r="F750" s="448"/>
      <c r="G750" s="449"/>
      <c r="H750" s="1"/>
    </row>
    <row r="751" spans="1:8" ht="15" customHeight="1" x14ac:dyDescent="0.25">
      <c r="B751" s="447" t="s">
        <v>801</v>
      </c>
      <c r="C751" s="448"/>
      <c r="D751" s="448"/>
      <c r="E751" s="448"/>
      <c r="F751" s="448"/>
      <c r="G751" s="449"/>
      <c r="H751" s="1"/>
    </row>
    <row r="752" spans="1:8" ht="15" customHeight="1" x14ac:dyDescent="0.25">
      <c r="B752" s="447" t="s">
        <v>802</v>
      </c>
      <c r="C752" s="448"/>
      <c r="D752" s="448"/>
      <c r="E752" s="448"/>
      <c r="F752" s="448"/>
      <c r="G752" s="449"/>
      <c r="H752" s="1"/>
    </row>
    <row r="753" spans="2:8" ht="15" customHeight="1" x14ac:dyDescent="0.25">
      <c r="B753" s="447" t="s">
        <v>803</v>
      </c>
      <c r="C753" s="448"/>
      <c r="D753" s="448"/>
      <c r="E753" s="448"/>
      <c r="F753" s="448"/>
      <c r="G753" s="449"/>
      <c r="H753" s="1"/>
    </row>
    <row r="754" spans="2:8" ht="15" customHeight="1" x14ac:dyDescent="0.25">
      <c r="B754" s="385" t="s">
        <v>804</v>
      </c>
      <c r="C754" s="386"/>
      <c r="D754" s="386"/>
      <c r="E754" s="386"/>
      <c r="F754" s="386"/>
      <c r="G754" s="387"/>
      <c r="H754" s="1"/>
    </row>
    <row r="755" spans="2:8" ht="15" customHeight="1" x14ac:dyDescent="0.25">
      <c r="B755" s="385" t="s">
        <v>805</v>
      </c>
      <c r="C755" s="386"/>
      <c r="D755" s="386"/>
      <c r="E755" s="386"/>
      <c r="F755" s="386"/>
      <c r="G755" s="387"/>
      <c r="H755" s="1"/>
    </row>
    <row r="756" spans="2:8" ht="15" customHeight="1" x14ac:dyDescent="0.25">
      <c r="B756" s="385" t="s">
        <v>806</v>
      </c>
      <c r="C756" s="386"/>
      <c r="D756" s="386"/>
      <c r="E756" s="386"/>
      <c r="F756" s="386"/>
      <c r="G756" s="387"/>
      <c r="H756" s="1"/>
    </row>
    <row r="757" spans="2:8" ht="15" customHeight="1" x14ac:dyDescent="0.25">
      <c r="B757" s="385" t="s">
        <v>807</v>
      </c>
      <c r="C757" s="386"/>
      <c r="D757" s="386"/>
      <c r="E757" s="386"/>
      <c r="F757" s="386"/>
      <c r="G757" s="387"/>
      <c r="H757" s="1"/>
    </row>
    <row r="758" spans="2:8" ht="15" customHeight="1" x14ac:dyDescent="0.25">
      <c r="B758" s="385" t="s">
        <v>808</v>
      </c>
      <c r="C758" s="386"/>
      <c r="D758" s="386"/>
      <c r="E758" s="386"/>
      <c r="F758" s="386"/>
      <c r="G758" s="387"/>
      <c r="H758" s="1"/>
    </row>
    <row r="759" spans="2:8" ht="15" customHeight="1" x14ac:dyDescent="0.25">
      <c r="B759" s="385" t="s">
        <v>809</v>
      </c>
      <c r="C759" s="386"/>
      <c r="D759" s="386"/>
      <c r="E759" s="386"/>
      <c r="F759" s="386"/>
      <c r="G759" s="387"/>
      <c r="H759" s="1"/>
    </row>
    <row r="760" spans="2:8" ht="54" customHeight="1" x14ac:dyDescent="0.25">
      <c r="B760" s="385" t="s">
        <v>810</v>
      </c>
      <c r="C760" s="386"/>
      <c r="D760" s="386"/>
      <c r="E760" s="386"/>
      <c r="F760" s="386"/>
      <c r="G760" s="387"/>
      <c r="H760" s="1"/>
    </row>
    <row r="761" spans="2:8" ht="15" customHeight="1" x14ac:dyDescent="0.25">
      <c r="B761" s="451"/>
      <c r="C761" s="450"/>
      <c r="D761" s="450"/>
      <c r="E761" s="450"/>
      <c r="F761" s="450"/>
      <c r="G761" s="452"/>
      <c r="H761" s="1"/>
    </row>
    <row r="762" spans="2:8" ht="15" customHeight="1" x14ac:dyDescent="0.25">
      <c r="B762" s="453" t="s">
        <v>811</v>
      </c>
      <c r="C762" s="454"/>
      <c r="D762" s="454"/>
      <c r="E762" s="454"/>
      <c r="F762" s="454"/>
      <c r="G762" s="455"/>
      <c r="H762" s="1"/>
    </row>
    <row r="763" spans="2:8" ht="15" customHeight="1" x14ac:dyDescent="0.25">
      <c r="B763" s="456" t="s">
        <v>812</v>
      </c>
      <c r="C763" s="457"/>
      <c r="D763" s="457"/>
      <c r="E763" s="457"/>
      <c r="F763" s="457"/>
      <c r="G763" s="458"/>
      <c r="H763" s="1"/>
    </row>
    <row r="764" spans="2:8" ht="15" customHeight="1" x14ac:dyDescent="0.25">
      <c r="B764" s="453" t="s">
        <v>813</v>
      </c>
      <c r="C764" s="454"/>
      <c r="D764" s="454"/>
      <c r="E764" s="454"/>
      <c r="F764" s="454"/>
      <c r="G764" s="455"/>
      <c r="H764" s="1"/>
    </row>
    <row r="765" spans="2:8" ht="15" customHeight="1" x14ac:dyDescent="0.25">
      <c r="B765" s="453" t="s">
        <v>814</v>
      </c>
      <c r="C765" s="454"/>
      <c r="D765" s="454"/>
      <c r="E765" s="454"/>
      <c r="F765" s="454"/>
      <c r="G765" s="455"/>
      <c r="H765" s="1"/>
    </row>
    <row r="766" spans="2:8" ht="15" customHeight="1" x14ac:dyDescent="0.25">
      <c r="B766" s="459" t="s">
        <v>815</v>
      </c>
      <c r="C766" s="460"/>
      <c r="D766" s="460"/>
      <c r="E766" s="460"/>
      <c r="F766" s="460"/>
      <c r="G766" s="461"/>
      <c r="H766" s="1"/>
    </row>
    <row r="767" spans="2:8" ht="15" customHeight="1" x14ac:dyDescent="0.25">
      <c r="B767" s="385" t="s">
        <v>816</v>
      </c>
      <c r="C767" s="386"/>
      <c r="D767" s="386"/>
      <c r="E767" s="386"/>
      <c r="F767" s="386"/>
      <c r="G767" s="387"/>
      <c r="H767" s="1"/>
    </row>
    <row r="768" spans="2:8" ht="15" customHeight="1" x14ac:dyDescent="0.25">
      <c r="B768" s="385" t="s">
        <v>817</v>
      </c>
      <c r="C768" s="386"/>
      <c r="D768" s="386"/>
      <c r="E768" s="386"/>
      <c r="F768" s="386"/>
      <c r="G768" s="387"/>
      <c r="H768" s="1"/>
    </row>
    <row r="769" spans="2:8" ht="15" customHeight="1" x14ac:dyDescent="0.25">
      <c r="B769" s="385" t="s">
        <v>818</v>
      </c>
      <c r="C769" s="386"/>
      <c r="D769" s="386"/>
      <c r="E769" s="386"/>
      <c r="F769" s="386"/>
      <c r="G769" s="387"/>
      <c r="H769" s="1"/>
    </row>
    <row r="770" spans="2:8" ht="15" customHeight="1" x14ac:dyDescent="0.25">
      <c r="B770" s="385" t="s">
        <v>819</v>
      </c>
      <c r="C770" s="386"/>
      <c r="D770" s="386"/>
      <c r="E770" s="386"/>
      <c r="F770" s="386"/>
      <c r="G770" s="387"/>
      <c r="H770" s="1"/>
    </row>
    <row r="771" spans="2:8" ht="15" customHeight="1" x14ac:dyDescent="0.25">
      <c r="B771" s="385" t="s">
        <v>820</v>
      </c>
      <c r="C771" s="386"/>
      <c r="D771" s="386"/>
      <c r="E771" s="386"/>
      <c r="F771" s="386"/>
      <c r="G771" s="387"/>
      <c r="H771" s="1"/>
    </row>
    <row r="772" spans="2:8" ht="15" customHeight="1" x14ac:dyDescent="0.25">
      <c r="B772" s="385" t="s">
        <v>821</v>
      </c>
      <c r="C772" s="386"/>
      <c r="D772" s="386"/>
      <c r="E772" s="386"/>
      <c r="F772" s="386"/>
      <c r="G772" s="387"/>
      <c r="H772" s="1"/>
    </row>
    <row r="773" spans="2:8" ht="15" customHeight="1" x14ac:dyDescent="0.25">
      <c r="B773" s="385" t="s">
        <v>822</v>
      </c>
      <c r="C773" s="386"/>
      <c r="D773" s="386"/>
      <c r="E773" s="386"/>
      <c r="F773" s="386"/>
      <c r="G773" s="387"/>
      <c r="H773" s="1"/>
    </row>
    <row r="774" spans="2:8" ht="15" customHeight="1" x14ac:dyDescent="0.25">
      <c r="B774" s="385" t="s">
        <v>823</v>
      </c>
      <c r="C774" s="386"/>
      <c r="D774" s="386"/>
      <c r="E774" s="386"/>
      <c r="F774" s="386"/>
      <c r="G774" s="387"/>
      <c r="H774" s="1"/>
    </row>
    <row r="775" spans="2:8" ht="15" customHeight="1" x14ac:dyDescent="0.25">
      <c r="B775" s="385" t="s">
        <v>824</v>
      </c>
      <c r="C775" s="386"/>
      <c r="D775" s="386"/>
      <c r="E775" s="386"/>
      <c r="F775" s="386"/>
      <c r="G775" s="387"/>
      <c r="H775" s="1"/>
    </row>
    <row r="776" spans="2:8" ht="15" customHeight="1" x14ac:dyDescent="0.25">
      <c r="B776" s="462" t="s">
        <v>825</v>
      </c>
      <c r="C776" s="463"/>
      <c r="D776" s="463"/>
      <c r="E776" s="463"/>
      <c r="F776" s="463"/>
      <c r="G776" s="464"/>
      <c r="H776" s="1"/>
    </row>
    <row r="777" spans="2:8" ht="15" customHeight="1" x14ac:dyDescent="0.25">
      <c r="B777" s="385" t="s">
        <v>826</v>
      </c>
      <c r="C777" s="386"/>
      <c r="D777" s="386"/>
      <c r="E777" s="386"/>
      <c r="F777" s="386"/>
      <c r="G777" s="387"/>
      <c r="H777" s="1"/>
    </row>
    <row r="778" spans="2:8" ht="15" customHeight="1" x14ac:dyDescent="0.25">
      <c r="B778" s="462" t="s">
        <v>827</v>
      </c>
      <c r="C778" s="463"/>
      <c r="D778" s="463"/>
      <c r="E778" s="463"/>
      <c r="F778" s="463"/>
      <c r="G778" s="464"/>
      <c r="H778" s="1"/>
    </row>
    <row r="779" spans="2:8" ht="15" customHeight="1" x14ac:dyDescent="0.25">
      <c r="B779" s="385" t="s">
        <v>828</v>
      </c>
      <c r="C779" s="386"/>
      <c r="D779" s="386"/>
      <c r="E779" s="386"/>
      <c r="F779" s="386"/>
      <c r="G779" s="387"/>
      <c r="H779" s="1"/>
    </row>
    <row r="780" spans="2:8" ht="15" customHeight="1" x14ac:dyDescent="0.25">
      <c r="B780" s="385" t="s">
        <v>829</v>
      </c>
      <c r="C780" s="386"/>
      <c r="D780" s="386"/>
      <c r="E780" s="386"/>
      <c r="F780" s="386"/>
      <c r="G780" s="387"/>
      <c r="H780" s="1"/>
    </row>
    <row r="781" spans="2:8" ht="15" customHeight="1" x14ac:dyDescent="0.25">
      <c r="B781" s="385" t="s">
        <v>830</v>
      </c>
      <c r="C781" s="386"/>
      <c r="D781" s="386"/>
      <c r="E781" s="386"/>
      <c r="F781" s="386"/>
      <c r="G781" s="387"/>
      <c r="H781" s="1"/>
    </row>
    <row r="782" spans="2:8" ht="15" customHeight="1" x14ac:dyDescent="0.25">
      <c r="B782" s="385" t="s">
        <v>831</v>
      </c>
      <c r="C782" s="386"/>
      <c r="D782" s="386"/>
      <c r="E782" s="386"/>
      <c r="F782" s="386"/>
      <c r="G782" s="387"/>
      <c r="H782" s="1"/>
    </row>
    <row r="783" spans="2:8" ht="15" customHeight="1" x14ac:dyDescent="0.25">
      <c r="B783" s="385" t="s">
        <v>832</v>
      </c>
      <c r="C783" s="386"/>
      <c r="D783" s="386"/>
      <c r="E783" s="386"/>
      <c r="F783" s="386"/>
      <c r="G783" s="387"/>
      <c r="H783" s="1"/>
    </row>
    <row r="784" spans="2:8" ht="15" customHeight="1" x14ac:dyDescent="0.25">
      <c r="B784" s="462" t="s">
        <v>833</v>
      </c>
      <c r="C784" s="463"/>
      <c r="D784" s="463"/>
      <c r="E784" s="463"/>
      <c r="F784" s="463"/>
      <c r="G784" s="464"/>
      <c r="H784" s="1"/>
    </row>
    <row r="785" spans="2:8" ht="15" customHeight="1" x14ac:dyDescent="0.25">
      <c r="B785" s="385" t="s">
        <v>832</v>
      </c>
      <c r="C785" s="386"/>
      <c r="D785" s="386"/>
      <c r="E785" s="386"/>
      <c r="F785" s="386"/>
      <c r="G785" s="387"/>
      <c r="H785" s="1"/>
    </row>
    <row r="786" spans="2:8" ht="15" customHeight="1" x14ac:dyDescent="0.25">
      <c r="B786" s="462" t="s">
        <v>833</v>
      </c>
      <c r="C786" s="463"/>
      <c r="D786" s="463"/>
      <c r="E786" s="463"/>
      <c r="F786" s="463"/>
      <c r="G786" s="464"/>
      <c r="H786" s="1"/>
    </row>
    <row r="787" spans="2:8" ht="15" customHeight="1" x14ac:dyDescent="0.25">
      <c r="B787" s="385" t="s">
        <v>834</v>
      </c>
      <c r="C787" s="386"/>
      <c r="D787" s="386"/>
      <c r="E787" s="386"/>
      <c r="F787" s="386"/>
      <c r="G787" s="387"/>
      <c r="H787" s="1"/>
    </row>
    <row r="788" spans="2:8" ht="15" customHeight="1" x14ac:dyDescent="0.25">
      <c r="B788" s="462" t="s">
        <v>835</v>
      </c>
      <c r="C788" s="463"/>
      <c r="D788" s="463"/>
      <c r="E788" s="463"/>
      <c r="F788" s="463"/>
      <c r="G788" s="464"/>
      <c r="H788" s="1"/>
    </row>
    <row r="789" spans="2:8" ht="15" customHeight="1" x14ac:dyDescent="0.25">
      <c r="B789" s="385" t="s">
        <v>836</v>
      </c>
      <c r="C789" s="386"/>
      <c r="D789" s="386"/>
      <c r="E789" s="386"/>
      <c r="F789" s="386"/>
      <c r="G789" s="387"/>
      <c r="H789" s="1"/>
    </row>
    <row r="790" spans="2:8" ht="15" customHeight="1" x14ac:dyDescent="0.25">
      <c r="B790" s="385" t="s">
        <v>837</v>
      </c>
      <c r="C790" s="386"/>
      <c r="D790" s="386"/>
      <c r="E790" s="386"/>
      <c r="F790" s="386"/>
      <c r="G790" s="387"/>
      <c r="H790" s="1"/>
    </row>
    <row r="791" spans="2:8" ht="15" customHeight="1" x14ac:dyDescent="0.25">
      <c r="B791" s="385" t="s">
        <v>838</v>
      </c>
      <c r="C791" s="386"/>
      <c r="D791" s="386"/>
      <c r="E791" s="386"/>
      <c r="F791" s="386"/>
      <c r="G791" s="387"/>
      <c r="H791" s="1"/>
    </row>
    <row r="792" spans="2:8" ht="15" customHeight="1" x14ac:dyDescent="0.25">
      <c r="B792" s="74"/>
      <c r="C792" s="75"/>
      <c r="D792" s="75"/>
      <c r="E792" s="75"/>
      <c r="F792" s="75"/>
      <c r="G792" s="76"/>
      <c r="H792" s="1"/>
    </row>
    <row r="793" spans="2:8" ht="30.75" customHeight="1" x14ac:dyDescent="0.25">
      <c r="B793" s="385" t="s">
        <v>839</v>
      </c>
      <c r="C793" s="386"/>
      <c r="D793" s="386"/>
      <c r="E793" s="386"/>
      <c r="F793" s="386"/>
      <c r="G793" s="387"/>
      <c r="H793" s="1"/>
    </row>
    <row r="794" spans="2:8" ht="15" customHeight="1" x14ac:dyDescent="0.25">
      <c r="B794" s="385" t="s">
        <v>840</v>
      </c>
      <c r="C794" s="386"/>
      <c r="D794" s="386"/>
      <c r="E794" s="386"/>
      <c r="F794" s="386"/>
      <c r="G794" s="387"/>
      <c r="H794" s="1"/>
    </row>
    <row r="795" spans="2:8" ht="15" customHeight="1" x14ac:dyDescent="0.25">
      <c r="B795" s="462" t="s">
        <v>841</v>
      </c>
      <c r="C795" s="463"/>
      <c r="D795" s="463"/>
      <c r="E795" s="463"/>
      <c r="F795" s="463"/>
      <c r="G795" s="464"/>
      <c r="H795" s="1"/>
    </row>
    <row r="796" spans="2:8" ht="15" customHeight="1" x14ac:dyDescent="0.25">
      <c r="B796" s="385" t="s">
        <v>842</v>
      </c>
      <c r="C796" s="386"/>
      <c r="D796" s="386"/>
      <c r="E796" s="386"/>
      <c r="F796" s="386"/>
      <c r="G796" s="387"/>
      <c r="H796" s="1"/>
    </row>
    <row r="797" spans="2:8" ht="33" customHeight="1" x14ac:dyDescent="0.25">
      <c r="B797" s="444" t="s">
        <v>843</v>
      </c>
      <c r="C797" s="445"/>
      <c r="D797" s="445"/>
      <c r="E797" s="445"/>
      <c r="F797" s="445"/>
      <c r="G797" s="446"/>
      <c r="H797" s="1"/>
    </row>
    <row r="798" spans="2:8" ht="15" customHeight="1" x14ac:dyDescent="0.25">
      <c r="B798" s="385" t="s">
        <v>844</v>
      </c>
      <c r="C798" s="386"/>
      <c r="D798" s="386"/>
      <c r="E798" s="386"/>
      <c r="F798" s="386"/>
      <c r="G798" s="387"/>
      <c r="H798" s="1"/>
    </row>
    <row r="799" spans="2:8" ht="29.25" customHeight="1" x14ac:dyDescent="0.25">
      <c r="B799" s="385" t="s">
        <v>845</v>
      </c>
      <c r="C799" s="386"/>
      <c r="D799" s="386"/>
      <c r="E799" s="386"/>
      <c r="F799" s="386"/>
      <c r="G799" s="387"/>
      <c r="H799" s="1"/>
    </row>
    <row r="800" spans="2:8" ht="15" customHeight="1" x14ac:dyDescent="0.25">
      <c r="B800" s="385" t="s">
        <v>846</v>
      </c>
      <c r="C800" s="386"/>
      <c r="D800" s="386"/>
      <c r="E800" s="386"/>
      <c r="F800" s="386"/>
      <c r="G800" s="387"/>
      <c r="H800" s="1"/>
    </row>
    <row r="801" spans="2:8" ht="27.75" customHeight="1" x14ac:dyDescent="0.25">
      <c r="B801" s="385" t="s">
        <v>847</v>
      </c>
      <c r="C801" s="386"/>
      <c r="D801" s="386"/>
      <c r="E801" s="386"/>
      <c r="F801" s="386"/>
      <c r="G801" s="387"/>
      <c r="H801" s="1"/>
    </row>
    <row r="802" spans="2:8" ht="15" customHeight="1" x14ac:dyDescent="0.25">
      <c r="B802" s="385" t="s">
        <v>848</v>
      </c>
      <c r="C802" s="386"/>
      <c r="D802" s="386"/>
      <c r="E802" s="386"/>
      <c r="F802" s="386"/>
      <c r="G802" s="387"/>
      <c r="H802" s="1"/>
    </row>
    <row r="803" spans="2:8" ht="26.25" customHeight="1" x14ac:dyDescent="0.25">
      <c r="B803" s="385" t="s">
        <v>849</v>
      </c>
      <c r="C803" s="386"/>
      <c r="D803" s="386"/>
      <c r="E803" s="386"/>
      <c r="F803" s="386"/>
      <c r="G803" s="387"/>
      <c r="H803" s="1"/>
    </row>
    <row r="804" spans="2:8" ht="15" customHeight="1" x14ac:dyDescent="0.25">
      <c r="B804" s="385" t="s">
        <v>850</v>
      </c>
      <c r="C804" s="386"/>
      <c r="D804" s="386"/>
      <c r="E804" s="386"/>
      <c r="F804" s="386"/>
      <c r="G804" s="387"/>
      <c r="H804" s="1"/>
    </row>
    <row r="805" spans="2:8" ht="30" customHeight="1" x14ac:dyDescent="0.25">
      <c r="B805" s="385" t="s">
        <v>851</v>
      </c>
      <c r="C805" s="386"/>
      <c r="D805" s="386"/>
      <c r="E805" s="386"/>
      <c r="F805" s="386"/>
      <c r="G805" s="387"/>
      <c r="H805" s="1"/>
    </row>
    <row r="806" spans="2:8" ht="15" customHeight="1" x14ac:dyDescent="0.25">
      <c r="B806" s="385" t="s">
        <v>852</v>
      </c>
      <c r="C806" s="386"/>
      <c r="D806" s="386"/>
      <c r="E806" s="386"/>
      <c r="F806" s="386"/>
      <c r="G806" s="387"/>
      <c r="H806" s="1"/>
    </row>
    <row r="807" spans="2:8" ht="29.25" customHeight="1" x14ac:dyDescent="0.25">
      <c r="B807" s="385" t="s">
        <v>853</v>
      </c>
      <c r="C807" s="386"/>
      <c r="D807" s="386"/>
      <c r="E807" s="386"/>
      <c r="F807" s="386"/>
      <c r="G807" s="387"/>
      <c r="H807" s="1"/>
    </row>
    <row r="808" spans="2:8" ht="15" customHeight="1" x14ac:dyDescent="0.25">
      <c r="B808" s="94"/>
      <c r="C808" s="95"/>
      <c r="D808" s="95"/>
      <c r="E808" s="95"/>
      <c r="F808" s="95"/>
      <c r="G808" s="96"/>
      <c r="H808" s="1"/>
    </row>
    <row r="809" spans="2:8" ht="15" customHeight="1" x14ac:dyDescent="0.25">
      <c r="B809" s="416" t="s">
        <v>854</v>
      </c>
      <c r="C809" s="417"/>
      <c r="D809" s="417"/>
      <c r="E809" s="417"/>
      <c r="F809" s="417"/>
      <c r="G809" s="418"/>
      <c r="H809" s="1"/>
    </row>
    <row r="810" spans="2:8" ht="15" customHeight="1" x14ac:dyDescent="0.25">
      <c r="B810" s="385" t="s">
        <v>855</v>
      </c>
      <c r="C810" s="386"/>
      <c r="D810" s="386"/>
      <c r="E810" s="386"/>
      <c r="F810" s="386"/>
      <c r="G810" s="387"/>
      <c r="H810" s="1"/>
    </row>
    <row r="811" spans="2:8" ht="15" customHeight="1" x14ac:dyDescent="0.25">
      <c r="B811" s="385" t="s">
        <v>856</v>
      </c>
      <c r="C811" s="386"/>
      <c r="D811" s="386"/>
      <c r="E811" s="386"/>
      <c r="F811" s="386"/>
      <c r="G811" s="387"/>
      <c r="H811" s="1"/>
    </row>
    <row r="812" spans="2:8" ht="30" customHeight="1" x14ac:dyDescent="0.25">
      <c r="B812" s="385" t="s">
        <v>857</v>
      </c>
      <c r="C812" s="386"/>
      <c r="D812" s="386"/>
      <c r="E812" s="386"/>
      <c r="F812" s="386"/>
      <c r="G812" s="387"/>
      <c r="H812" s="1"/>
    </row>
    <row r="813" spans="2:8" ht="42.75" customHeight="1" x14ac:dyDescent="0.25">
      <c r="B813" s="385" t="s">
        <v>858</v>
      </c>
      <c r="C813" s="386"/>
      <c r="D813" s="386"/>
      <c r="E813" s="386"/>
      <c r="F813" s="386"/>
      <c r="G813" s="387"/>
      <c r="H813" s="1"/>
    </row>
    <row r="814" spans="2:8" ht="28.5" customHeight="1" x14ac:dyDescent="0.25">
      <c r="B814" s="385" t="s">
        <v>859</v>
      </c>
      <c r="C814" s="386"/>
      <c r="D814" s="386"/>
      <c r="E814" s="386"/>
      <c r="F814" s="386"/>
      <c r="G814" s="387"/>
      <c r="H814" s="1"/>
    </row>
    <row r="815" spans="2:8" ht="15" customHeight="1" x14ac:dyDescent="0.25">
      <c r="B815" s="385" t="s">
        <v>860</v>
      </c>
      <c r="C815" s="386"/>
      <c r="D815" s="386"/>
      <c r="E815" s="386"/>
      <c r="F815" s="386"/>
      <c r="G815" s="387"/>
      <c r="H815" s="1"/>
    </row>
    <row r="816" spans="2:8" ht="30.75" customHeight="1" x14ac:dyDescent="0.25">
      <c r="B816" s="385" t="s">
        <v>861</v>
      </c>
      <c r="C816" s="386"/>
      <c r="D816" s="386"/>
      <c r="E816" s="386"/>
      <c r="F816" s="386"/>
      <c r="G816" s="387"/>
      <c r="H816" s="1"/>
    </row>
    <row r="817" spans="2:8" ht="54.75" customHeight="1" x14ac:dyDescent="0.25">
      <c r="B817" s="385" t="s">
        <v>862</v>
      </c>
      <c r="C817" s="386"/>
      <c r="D817" s="386"/>
      <c r="E817" s="386"/>
      <c r="F817" s="386"/>
      <c r="G817" s="387"/>
      <c r="H817" s="1"/>
    </row>
    <row r="818" spans="2:8" ht="15" customHeight="1" x14ac:dyDescent="0.25">
      <c r="B818" s="451"/>
      <c r="C818" s="450"/>
      <c r="D818" s="450"/>
      <c r="E818" s="450"/>
      <c r="F818" s="450"/>
      <c r="G818" s="452"/>
      <c r="H818" s="1"/>
    </row>
    <row r="819" spans="2:8" ht="15" customHeight="1" x14ac:dyDescent="0.25">
      <c r="B819" s="416" t="s">
        <v>863</v>
      </c>
      <c r="C819" s="417"/>
      <c r="D819" s="417"/>
      <c r="E819" s="417"/>
      <c r="F819" s="417"/>
      <c r="G819" s="418"/>
      <c r="H819" s="1"/>
    </row>
    <row r="820" spans="2:8" ht="56.25" customHeight="1" x14ac:dyDescent="0.25">
      <c r="B820" s="385" t="s">
        <v>864</v>
      </c>
      <c r="C820" s="386"/>
      <c r="D820" s="386"/>
      <c r="E820" s="386"/>
      <c r="F820" s="386"/>
      <c r="G820" s="387"/>
      <c r="H820" s="1"/>
    </row>
    <row r="821" spans="2:8" ht="15" customHeight="1" x14ac:dyDescent="0.25">
      <c r="B821" s="385" t="s">
        <v>865</v>
      </c>
      <c r="C821" s="386"/>
      <c r="D821" s="386"/>
      <c r="E821" s="386"/>
      <c r="F821" s="386"/>
      <c r="G821" s="387"/>
      <c r="H821" s="1"/>
    </row>
    <row r="822" spans="2:8" ht="26.25" customHeight="1" x14ac:dyDescent="0.25">
      <c r="B822" s="385" t="s">
        <v>866</v>
      </c>
      <c r="C822" s="386"/>
      <c r="D822" s="386"/>
      <c r="E822" s="386"/>
      <c r="F822" s="386"/>
      <c r="G822" s="387"/>
      <c r="H822" s="1"/>
    </row>
    <row r="823" spans="2:8" ht="15" customHeight="1" x14ac:dyDescent="0.25">
      <c r="B823" s="385" t="s">
        <v>867</v>
      </c>
      <c r="C823" s="386"/>
      <c r="D823" s="386"/>
      <c r="E823" s="386"/>
      <c r="F823" s="386"/>
      <c r="G823" s="387"/>
      <c r="H823" s="1"/>
    </row>
    <row r="824" spans="2:8" ht="15" customHeight="1" x14ac:dyDescent="0.25">
      <c r="B824" s="385" t="s">
        <v>868</v>
      </c>
      <c r="C824" s="386"/>
      <c r="D824" s="386"/>
      <c r="E824" s="386"/>
      <c r="F824" s="386"/>
      <c r="G824" s="387"/>
      <c r="H824" s="1"/>
    </row>
    <row r="825" spans="2:8" ht="15" customHeight="1" x14ac:dyDescent="0.25">
      <c r="B825" s="385" t="s">
        <v>869</v>
      </c>
      <c r="C825" s="386"/>
      <c r="D825" s="386"/>
      <c r="E825" s="386"/>
      <c r="F825" s="386"/>
      <c r="G825" s="387"/>
      <c r="H825" s="1"/>
    </row>
    <row r="826" spans="2:8" ht="15" customHeight="1" x14ac:dyDescent="0.25">
      <c r="B826" s="385" t="s">
        <v>870</v>
      </c>
      <c r="C826" s="386"/>
      <c r="D826" s="386"/>
      <c r="E826" s="386"/>
      <c r="F826" s="386"/>
      <c r="G826" s="387"/>
      <c r="H826" s="1"/>
    </row>
    <row r="827" spans="2:8" ht="15" customHeight="1" x14ac:dyDescent="0.25">
      <c r="B827" s="385" t="s">
        <v>871</v>
      </c>
      <c r="C827" s="386"/>
      <c r="D827" s="386"/>
      <c r="E827" s="386"/>
      <c r="F827" s="386"/>
      <c r="G827" s="387"/>
      <c r="H827" s="1"/>
    </row>
    <row r="828" spans="2:8" ht="15" customHeight="1" x14ac:dyDescent="0.25">
      <c r="B828" s="74"/>
      <c r="C828" s="75"/>
      <c r="D828" s="75"/>
      <c r="E828" s="75"/>
      <c r="F828" s="75"/>
      <c r="G828" s="76"/>
      <c r="H828" s="1"/>
    </row>
    <row r="829" spans="2:8" ht="15" customHeight="1" x14ac:dyDescent="0.25">
      <c r="B829" s="416" t="s">
        <v>863</v>
      </c>
      <c r="C829" s="417"/>
      <c r="D829" s="417"/>
      <c r="E829" s="417"/>
      <c r="F829" s="417"/>
      <c r="G829" s="418"/>
      <c r="H829" s="1"/>
    </row>
    <row r="830" spans="2:8" ht="55.5" customHeight="1" x14ac:dyDescent="0.25">
      <c r="B830" s="385" t="s">
        <v>872</v>
      </c>
      <c r="C830" s="386"/>
      <c r="D830" s="386"/>
      <c r="E830" s="386"/>
      <c r="F830" s="386"/>
      <c r="G830" s="387"/>
      <c r="H830" s="1"/>
    </row>
    <row r="831" spans="2:8" ht="15" customHeight="1" x14ac:dyDescent="0.25">
      <c r="B831" s="385" t="s">
        <v>873</v>
      </c>
      <c r="C831" s="386"/>
      <c r="D831" s="386"/>
      <c r="E831" s="386"/>
      <c r="F831" s="386"/>
      <c r="G831" s="387"/>
      <c r="H831" s="1"/>
    </row>
    <row r="832" spans="2:8" ht="25.5" customHeight="1" x14ac:dyDescent="0.25">
      <c r="B832" s="385" t="s">
        <v>874</v>
      </c>
      <c r="C832" s="386"/>
      <c r="D832" s="386"/>
      <c r="E832" s="386"/>
      <c r="F832" s="386"/>
      <c r="G832" s="387"/>
      <c r="H832" s="1"/>
    </row>
    <row r="833" spans="1:8" ht="15" customHeight="1" x14ac:dyDescent="0.25">
      <c r="B833" s="385" t="s">
        <v>867</v>
      </c>
      <c r="C833" s="386"/>
      <c r="D833" s="386"/>
      <c r="E833" s="386"/>
      <c r="F833" s="386"/>
      <c r="G833" s="387"/>
      <c r="H833" s="1"/>
    </row>
    <row r="834" spans="1:8" ht="15" customHeight="1" x14ac:dyDescent="0.25">
      <c r="B834" s="385" t="s">
        <v>875</v>
      </c>
      <c r="C834" s="386"/>
      <c r="D834" s="386"/>
      <c r="E834" s="386"/>
      <c r="F834" s="386"/>
      <c r="G834" s="387"/>
      <c r="H834" s="1"/>
    </row>
    <row r="835" spans="1:8" ht="15" customHeight="1" x14ac:dyDescent="0.25">
      <c r="B835" s="385" t="s">
        <v>876</v>
      </c>
      <c r="C835" s="386"/>
      <c r="D835" s="386"/>
      <c r="E835" s="386"/>
      <c r="F835" s="386"/>
      <c r="G835" s="387"/>
      <c r="H835" s="1"/>
    </row>
    <row r="836" spans="1:8" ht="15" customHeight="1" x14ac:dyDescent="0.25">
      <c r="B836" s="385" t="s">
        <v>877</v>
      </c>
      <c r="C836" s="386"/>
      <c r="D836" s="386"/>
      <c r="E836" s="386"/>
      <c r="F836" s="386"/>
      <c r="G836" s="387"/>
      <c r="H836" s="1"/>
    </row>
    <row r="837" spans="1:8" ht="15" customHeight="1" x14ac:dyDescent="0.25">
      <c r="B837" s="385" t="s">
        <v>878</v>
      </c>
      <c r="C837" s="386"/>
      <c r="D837" s="386"/>
      <c r="E837" s="386"/>
      <c r="F837" s="386"/>
      <c r="G837" s="387"/>
      <c r="H837" s="1"/>
    </row>
    <row r="838" spans="1:8" ht="15" customHeight="1" x14ac:dyDescent="0.25">
      <c r="B838" s="74"/>
      <c r="C838" s="75"/>
      <c r="D838" s="75"/>
      <c r="E838" s="75"/>
      <c r="F838" s="75"/>
      <c r="G838" s="76"/>
      <c r="H838" s="1"/>
    </row>
    <row r="839" spans="1:8" s="99" customFormat="1" ht="13.5" customHeight="1" x14ac:dyDescent="0.25">
      <c r="A839" s="97"/>
      <c r="B839" s="416" t="s">
        <v>879</v>
      </c>
      <c r="C839" s="417"/>
      <c r="D839" s="417"/>
      <c r="E839" s="417"/>
      <c r="F839" s="417"/>
      <c r="G839" s="418"/>
      <c r="H839" s="98"/>
    </row>
    <row r="840" spans="1:8" ht="53.25" customHeight="1" x14ac:dyDescent="0.25">
      <c r="B840" s="385" t="s">
        <v>880</v>
      </c>
      <c r="C840" s="386"/>
      <c r="D840" s="386"/>
      <c r="E840" s="386"/>
      <c r="F840" s="386"/>
      <c r="G840" s="387"/>
      <c r="H840" s="1"/>
    </row>
    <row r="841" spans="1:8" ht="15" customHeight="1" x14ac:dyDescent="0.25">
      <c r="B841" s="385" t="s">
        <v>881</v>
      </c>
      <c r="C841" s="386"/>
      <c r="D841" s="386"/>
      <c r="E841" s="386"/>
      <c r="F841" s="386"/>
      <c r="G841" s="387"/>
      <c r="H841" s="1"/>
    </row>
    <row r="842" spans="1:8" ht="15" customHeight="1" x14ac:dyDescent="0.25">
      <c r="B842" s="385" t="s">
        <v>882</v>
      </c>
      <c r="C842" s="386"/>
      <c r="D842" s="386"/>
      <c r="E842" s="386"/>
      <c r="F842" s="386"/>
      <c r="G842" s="387"/>
      <c r="H842" s="1"/>
    </row>
    <row r="843" spans="1:8" ht="15" customHeight="1" x14ac:dyDescent="0.25">
      <c r="B843" s="385" t="s">
        <v>883</v>
      </c>
      <c r="C843" s="386"/>
      <c r="D843" s="386"/>
      <c r="E843" s="386"/>
      <c r="F843" s="386"/>
      <c r="G843" s="387"/>
      <c r="H843" s="1"/>
    </row>
    <row r="844" spans="1:8" ht="15" customHeight="1" x14ac:dyDescent="0.25">
      <c r="B844" s="385" t="s">
        <v>884</v>
      </c>
      <c r="C844" s="386"/>
      <c r="D844" s="386"/>
      <c r="E844" s="386"/>
      <c r="F844" s="386"/>
      <c r="G844" s="387"/>
      <c r="H844" s="1"/>
    </row>
    <row r="845" spans="1:8" ht="15" customHeight="1" x14ac:dyDescent="0.25">
      <c r="B845" s="74"/>
      <c r="C845" s="75"/>
      <c r="D845" s="75"/>
      <c r="E845" s="75"/>
      <c r="F845" s="75"/>
      <c r="G845" s="76"/>
      <c r="H845" s="1"/>
    </row>
    <row r="846" spans="1:8" ht="15" customHeight="1" x14ac:dyDescent="0.25">
      <c r="B846" s="416" t="s">
        <v>885</v>
      </c>
      <c r="C846" s="417"/>
      <c r="D846" s="417"/>
      <c r="E846" s="417"/>
      <c r="F846" s="417"/>
      <c r="G846" s="418"/>
      <c r="H846" s="1"/>
    </row>
    <row r="847" spans="1:8" ht="42" customHeight="1" x14ac:dyDescent="0.25">
      <c r="B847" s="385" t="s">
        <v>886</v>
      </c>
      <c r="C847" s="386"/>
      <c r="D847" s="386"/>
      <c r="E847" s="386"/>
      <c r="F847" s="386"/>
      <c r="G847" s="387"/>
      <c r="H847" s="1"/>
    </row>
    <row r="848" spans="1:8" ht="28.5" customHeight="1" x14ac:dyDescent="0.25">
      <c r="B848" s="385" t="s">
        <v>887</v>
      </c>
      <c r="C848" s="386"/>
      <c r="D848" s="386"/>
      <c r="E848" s="386"/>
      <c r="F848" s="386"/>
      <c r="G848" s="387"/>
      <c r="H848" s="1"/>
    </row>
    <row r="849" spans="2:8" ht="15" customHeight="1" x14ac:dyDescent="0.25">
      <c r="B849" s="385" t="s">
        <v>888</v>
      </c>
      <c r="C849" s="386"/>
      <c r="D849" s="386"/>
      <c r="E849" s="386"/>
      <c r="F849" s="386"/>
      <c r="G849" s="387"/>
      <c r="H849" s="1"/>
    </row>
    <row r="850" spans="2:8" ht="15" customHeight="1" x14ac:dyDescent="0.25">
      <c r="B850" s="385" t="s">
        <v>889</v>
      </c>
      <c r="C850" s="386"/>
      <c r="D850" s="386"/>
      <c r="E850" s="386"/>
      <c r="F850" s="386"/>
      <c r="G850" s="387"/>
      <c r="H850" s="1"/>
    </row>
    <row r="851" spans="2:8" ht="15" customHeight="1" x14ac:dyDescent="0.25">
      <c r="B851" s="385" t="s">
        <v>869</v>
      </c>
      <c r="C851" s="386"/>
      <c r="D851" s="386"/>
      <c r="E851" s="386"/>
      <c r="F851" s="386"/>
      <c r="G851" s="387"/>
      <c r="H851" s="1"/>
    </row>
    <row r="852" spans="2:8" ht="15" customHeight="1" x14ac:dyDescent="0.25">
      <c r="B852" s="385" t="s">
        <v>890</v>
      </c>
      <c r="C852" s="386"/>
      <c r="D852" s="386"/>
      <c r="E852" s="386"/>
      <c r="F852" s="386"/>
      <c r="G852" s="387"/>
      <c r="H852" s="1"/>
    </row>
    <row r="853" spans="2:8" ht="15" customHeight="1" x14ac:dyDescent="0.25">
      <c r="B853" s="385" t="s">
        <v>891</v>
      </c>
      <c r="C853" s="386"/>
      <c r="D853" s="386"/>
      <c r="E853" s="386"/>
      <c r="F853" s="386"/>
      <c r="G853" s="387"/>
      <c r="H853" s="1"/>
    </row>
    <row r="854" spans="2:8" ht="15" customHeight="1" x14ac:dyDescent="0.25">
      <c r="B854" s="451"/>
      <c r="C854" s="450"/>
      <c r="D854" s="450"/>
      <c r="E854" s="450"/>
      <c r="F854" s="450"/>
      <c r="G854" s="452"/>
      <c r="H854" s="1"/>
    </row>
    <row r="855" spans="2:8" ht="15" customHeight="1" x14ac:dyDescent="0.25">
      <c r="B855" s="416" t="s">
        <v>892</v>
      </c>
      <c r="C855" s="417"/>
      <c r="D855" s="417"/>
      <c r="E855" s="417"/>
      <c r="F855" s="417"/>
      <c r="G855" s="418"/>
      <c r="H855" s="1"/>
    </row>
    <row r="856" spans="2:8" ht="56.25" customHeight="1" x14ac:dyDescent="0.25">
      <c r="B856" s="385" t="s">
        <v>893</v>
      </c>
      <c r="C856" s="386"/>
      <c r="D856" s="386"/>
      <c r="E856" s="386"/>
      <c r="F856" s="386"/>
      <c r="G856" s="387"/>
      <c r="H856" s="1"/>
    </row>
    <row r="857" spans="2:8" ht="15" customHeight="1" x14ac:dyDescent="0.25">
      <c r="B857" s="385" t="s">
        <v>894</v>
      </c>
      <c r="C857" s="386"/>
      <c r="D857" s="386"/>
      <c r="E857" s="386"/>
      <c r="F857" s="386"/>
      <c r="G857" s="387"/>
      <c r="H857" s="1"/>
    </row>
    <row r="858" spans="2:8" ht="15" customHeight="1" x14ac:dyDescent="0.25">
      <c r="B858" s="385" t="s">
        <v>895</v>
      </c>
      <c r="C858" s="386"/>
      <c r="D858" s="386"/>
      <c r="E858" s="386"/>
      <c r="F858" s="386"/>
      <c r="G858" s="387"/>
      <c r="H858" s="1"/>
    </row>
    <row r="859" spans="2:8" ht="15" customHeight="1" x14ac:dyDescent="0.25">
      <c r="B859" s="385" t="s">
        <v>896</v>
      </c>
      <c r="C859" s="386"/>
      <c r="D859" s="386"/>
      <c r="E859" s="386"/>
      <c r="F859" s="386"/>
      <c r="G859" s="387"/>
      <c r="H859" s="1"/>
    </row>
    <row r="860" spans="2:8" ht="15" customHeight="1" x14ac:dyDescent="0.25">
      <c r="B860" s="385" t="s">
        <v>897</v>
      </c>
      <c r="C860" s="386"/>
      <c r="D860" s="386"/>
      <c r="E860" s="386"/>
      <c r="F860" s="386"/>
      <c r="G860" s="387"/>
      <c r="H860" s="1"/>
    </row>
    <row r="861" spans="2:8" ht="15" customHeight="1" x14ac:dyDescent="0.25">
      <c r="B861" s="385" t="s">
        <v>898</v>
      </c>
      <c r="C861" s="386"/>
      <c r="D861" s="386"/>
      <c r="E861" s="386"/>
      <c r="F861" s="386"/>
      <c r="G861" s="387"/>
      <c r="H861" s="1"/>
    </row>
    <row r="862" spans="2:8" ht="15" customHeight="1" x14ac:dyDescent="0.25">
      <c r="B862" s="385" t="s">
        <v>899</v>
      </c>
      <c r="C862" s="386"/>
      <c r="D862" s="386"/>
      <c r="E862" s="386"/>
      <c r="F862" s="386"/>
      <c r="G862" s="387"/>
      <c r="H862" s="1"/>
    </row>
    <row r="863" spans="2:8" ht="15" customHeight="1" x14ac:dyDescent="0.25">
      <c r="B863" s="385" t="s">
        <v>867</v>
      </c>
      <c r="C863" s="386"/>
      <c r="D863" s="386"/>
      <c r="E863" s="386"/>
      <c r="F863" s="386"/>
      <c r="G863" s="387"/>
      <c r="H863" s="1"/>
    </row>
    <row r="864" spans="2:8" ht="15" customHeight="1" x14ac:dyDescent="0.25">
      <c r="B864" s="385" t="s">
        <v>900</v>
      </c>
      <c r="C864" s="386"/>
      <c r="D864" s="386"/>
      <c r="E864" s="386"/>
      <c r="F864" s="386"/>
      <c r="G864" s="387"/>
      <c r="H864" s="1"/>
    </row>
    <row r="865" spans="2:8" ht="15" customHeight="1" x14ac:dyDescent="0.25">
      <c r="B865" s="385" t="s">
        <v>901</v>
      </c>
      <c r="C865" s="386"/>
      <c r="D865" s="386"/>
      <c r="E865" s="386"/>
      <c r="F865" s="386"/>
      <c r="G865" s="387"/>
      <c r="H865" s="1"/>
    </row>
    <row r="866" spans="2:8" ht="15" customHeight="1" x14ac:dyDescent="0.25">
      <c r="B866" s="385" t="s">
        <v>902</v>
      </c>
      <c r="C866" s="386"/>
      <c r="D866" s="386"/>
      <c r="E866" s="386"/>
      <c r="F866" s="386"/>
      <c r="G866" s="387"/>
      <c r="H866" s="1"/>
    </row>
    <row r="867" spans="2:8" ht="15" customHeight="1" x14ac:dyDescent="0.25">
      <c r="B867" s="74"/>
      <c r="C867" s="75"/>
      <c r="D867" s="75"/>
      <c r="E867" s="75"/>
      <c r="F867" s="75"/>
      <c r="G867" s="76"/>
      <c r="H867" s="1"/>
    </row>
    <row r="868" spans="2:8" ht="15" customHeight="1" x14ac:dyDescent="0.25">
      <c r="B868" s="416" t="s">
        <v>903</v>
      </c>
      <c r="C868" s="417"/>
      <c r="D868" s="417"/>
      <c r="E868" s="417"/>
      <c r="F868" s="417"/>
      <c r="G868" s="418"/>
      <c r="H868" s="1"/>
    </row>
    <row r="869" spans="2:8" ht="79.5" customHeight="1" x14ac:dyDescent="0.25">
      <c r="B869" s="385" t="s">
        <v>904</v>
      </c>
      <c r="C869" s="386"/>
      <c r="D869" s="386"/>
      <c r="E869" s="386"/>
      <c r="F869" s="386"/>
      <c r="G869" s="387"/>
      <c r="H869" s="1"/>
    </row>
    <row r="870" spans="2:8" ht="15" customHeight="1" x14ac:dyDescent="0.25">
      <c r="B870" s="385" t="s">
        <v>905</v>
      </c>
      <c r="C870" s="386"/>
      <c r="D870" s="386"/>
      <c r="E870" s="386"/>
      <c r="F870" s="386"/>
      <c r="G870" s="387"/>
      <c r="H870" s="1"/>
    </row>
    <row r="871" spans="2:8" ht="15" customHeight="1" x14ac:dyDescent="0.25">
      <c r="B871" s="385" t="s">
        <v>906</v>
      </c>
      <c r="C871" s="386"/>
      <c r="D871" s="386"/>
      <c r="E871" s="386"/>
      <c r="F871" s="386"/>
      <c r="G871" s="387"/>
      <c r="H871" s="1"/>
    </row>
    <row r="872" spans="2:8" ht="25.5" customHeight="1" x14ac:dyDescent="0.25">
      <c r="B872" s="385" t="s">
        <v>907</v>
      </c>
      <c r="C872" s="386"/>
      <c r="D872" s="386"/>
      <c r="E872" s="386"/>
      <c r="F872" s="386"/>
      <c r="G872" s="387"/>
      <c r="H872" s="1"/>
    </row>
    <row r="873" spans="2:8" ht="15" customHeight="1" x14ac:dyDescent="0.25">
      <c r="B873" s="385" t="s">
        <v>908</v>
      </c>
      <c r="C873" s="386"/>
      <c r="D873" s="386"/>
      <c r="E873" s="386"/>
      <c r="F873" s="386"/>
      <c r="G873" s="387"/>
      <c r="H873" s="1"/>
    </row>
    <row r="874" spans="2:8" ht="15" customHeight="1" x14ac:dyDescent="0.25">
      <c r="B874" s="385" t="s">
        <v>909</v>
      </c>
      <c r="C874" s="386"/>
      <c r="D874" s="386"/>
      <c r="E874" s="386"/>
      <c r="F874" s="386"/>
      <c r="G874" s="387"/>
      <c r="H874" s="1"/>
    </row>
    <row r="875" spans="2:8" ht="15" customHeight="1" x14ac:dyDescent="0.25">
      <c r="B875" s="385" t="s">
        <v>910</v>
      </c>
      <c r="C875" s="386"/>
      <c r="D875" s="386"/>
      <c r="E875" s="386"/>
      <c r="F875" s="386"/>
      <c r="G875" s="387"/>
      <c r="H875" s="1"/>
    </row>
    <row r="876" spans="2:8" ht="15" customHeight="1" x14ac:dyDescent="0.25">
      <c r="B876" s="385" t="s">
        <v>911</v>
      </c>
      <c r="C876" s="386"/>
      <c r="D876" s="386"/>
      <c r="E876" s="386"/>
      <c r="F876" s="386"/>
      <c r="G876" s="387"/>
      <c r="H876" s="1"/>
    </row>
    <row r="877" spans="2:8" ht="15" customHeight="1" x14ac:dyDescent="0.25">
      <c r="B877" s="385" t="s">
        <v>912</v>
      </c>
      <c r="C877" s="386"/>
      <c r="D877" s="386"/>
      <c r="E877" s="386"/>
      <c r="F877" s="386"/>
      <c r="G877" s="387"/>
      <c r="H877" s="1"/>
    </row>
    <row r="878" spans="2:8" ht="15" customHeight="1" x14ac:dyDescent="0.25">
      <c r="B878" s="100"/>
      <c r="C878" s="101"/>
      <c r="D878" s="101"/>
      <c r="E878" s="101"/>
      <c r="F878" s="101"/>
      <c r="G878" s="102"/>
      <c r="H878" s="1"/>
    </row>
    <row r="879" spans="2:8" ht="41.25" customHeight="1" x14ac:dyDescent="0.25">
      <c r="B879" s="385" t="s">
        <v>913</v>
      </c>
      <c r="C879" s="386"/>
      <c r="D879" s="386"/>
      <c r="E879" s="386"/>
      <c r="F879" s="386"/>
      <c r="G879" s="387"/>
      <c r="H879" s="1"/>
    </row>
    <row r="880" spans="2:8" ht="43.5" customHeight="1" x14ac:dyDescent="0.25">
      <c r="B880" s="385" t="s">
        <v>914</v>
      </c>
      <c r="C880" s="386"/>
      <c r="D880" s="386"/>
      <c r="E880" s="386"/>
      <c r="F880" s="386"/>
      <c r="G880" s="387"/>
      <c r="H880" s="1"/>
    </row>
    <row r="881" spans="2:8" ht="15" customHeight="1" x14ac:dyDescent="0.25">
      <c r="B881" s="100"/>
      <c r="C881" s="101"/>
      <c r="D881" s="101"/>
      <c r="E881" s="101"/>
      <c r="F881" s="101"/>
      <c r="G881" s="102"/>
      <c r="H881" s="1"/>
    </row>
    <row r="882" spans="2:8" ht="15" customHeight="1" x14ac:dyDescent="0.25">
      <c r="B882" s="385" t="s">
        <v>915</v>
      </c>
      <c r="C882" s="386"/>
      <c r="D882" s="386"/>
      <c r="E882" s="386"/>
      <c r="F882" s="386"/>
      <c r="G882" s="387"/>
      <c r="H882" s="1"/>
    </row>
    <row r="883" spans="2:8" ht="15" customHeight="1" x14ac:dyDescent="0.25">
      <c r="B883" s="444" t="s">
        <v>532</v>
      </c>
      <c r="C883" s="445"/>
      <c r="D883" s="445"/>
      <c r="E883" s="445"/>
      <c r="F883" s="445"/>
      <c r="G883" s="446"/>
      <c r="H883" s="1"/>
    </row>
    <row r="884" spans="2:8" ht="15" customHeight="1" x14ac:dyDescent="0.25">
      <c r="B884" s="385" t="s">
        <v>533</v>
      </c>
      <c r="C884" s="386"/>
      <c r="D884" s="386"/>
      <c r="E884" s="386"/>
      <c r="F884" s="386"/>
      <c r="G884" s="387"/>
      <c r="H884" s="1"/>
    </row>
    <row r="885" spans="2:8" ht="15" customHeight="1" x14ac:dyDescent="0.25">
      <c r="B885" s="385" t="s">
        <v>534</v>
      </c>
      <c r="C885" s="386"/>
      <c r="D885" s="386"/>
      <c r="E885" s="386"/>
      <c r="F885" s="386"/>
      <c r="G885" s="387"/>
      <c r="H885" s="1"/>
    </row>
    <row r="886" spans="2:8" ht="15" customHeight="1" x14ac:dyDescent="0.25">
      <c r="B886" s="385" t="s">
        <v>535</v>
      </c>
      <c r="C886" s="386"/>
      <c r="D886" s="386"/>
      <c r="E886" s="386"/>
      <c r="F886" s="386"/>
      <c r="G886" s="387"/>
      <c r="H886" s="1"/>
    </row>
    <row r="887" spans="2:8" ht="15" customHeight="1" x14ac:dyDescent="0.25">
      <c r="B887" s="385" t="s">
        <v>536</v>
      </c>
      <c r="C887" s="386"/>
      <c r="D887" s="386"/>
      <c r="E887" s="386"/>
      <c r="F887" s="386"/>
      <c r="G887" s="387"/>
      <c r="H887" s="1"/>
    </row>
    <row r="888" spans="2:8" ht="27.75" customHeight="1" x14ac:dyDescent="0.25">
      <c r="B888" s="444" t="s">
        <v>916</v>
      </c>
      <c r="C888" s="445"/>
      <c r="D888" s="445"/>
      <c r="E888" s="445"/>
      <c r="F888" s="445"/>
      <c r="G888" s="446"/>
      <c r="H888" s="1"/>
    </row>
    <row r="889" spans="2:8" ht="15" customHeight="1" x14ac:dyDescent="0.25">
      <c r="B889" s="100"/>
      <c r="C889" s="101"/>
      <c r="D889" s="101"/>
      <c r="E889" s="101"/>
      <c r="F889" s="101"/>
      <c r="G889" s="102"/>
      <c r="H889" s="1"/>
    </row>
    <row r="890" spans="2:8" ht="15" customHeight="1" x14ac:dyDescent="0.25">
      <c r="B890" s="385" t="s">
        <v>538</v>
      </c>
      <c r="C890" s="386"/>
      <c r="D890" s="386"/>
      <c r="E890" s="386"/>
      <c r="F890" s="386"/>
      <c r="G890" s="387"/>
      <c r="H890" s="1"/>
    </row>
    <row r="891" spans="2:8" ht="28.5" customHeight="1" x14ac:dyDescent="0.25">
      <c r="B891" s="444" t="s">
        <v>917</v>
      </c>
      <c r="C891" s="445"/>
      <c r="D891" s="445"/>
      <c r="E891" s="445"/>
      <c r="F891" s="445"/>
      <c r="G891" s="446"/>
      <c r="H891" s="1"/>
    </row>
    <row r="892" spans="2:8" ht="15" customHeight="1" x14ac:dyDescent="0.25">
      <c r="B892" s="451"/>
      <c r="C892" s="450"/>
      <c r="D892" s="450"/>
      <c r="E892" s="450"/>
      <c r="F892" s="450"/>
      <c r="G892" s="452"/>
      <c r="H892" s="1"/>
    </row>
    <row r="893" spans="2:8" ht="15" customHeight="1" x14ac:dyDescent="0.25">
      <c r="B893" s="385" t="s">
        <v>540</v>
      </c>
      <c r="C893" s="386"/>
      <c r="D893" s="386"/>
      <c r="E893" s="386"/>
      <c r="F893" s="386"/>
      <c r="G893" s="387"/>
      <c r="H893" s="1"/>
    </row>
    <row r="894" spans="2:8" ht="39.75" customHeight="1" x14ac:dyDescent="0.25">
      <c r="B894" s="444" t="s">
        <v>541</v>
      </c>
      <c r="C894" s="445"/>
      <c r="D894" s="445"/>
      <c r="E894" s="445"/>
      <c r="F894" s="445"/>
      <c r="G894" s="446"/>
      <c r="H894" s="1"/>
    </row>
    <row r="895" spans="2:8" ht="31.5" customHeight="1" x14ac:dyDescent="0.25">
      <c r="B895" s="385" t="s">
        <v>542</v>
      </c>
      <c r="C895" s="386"/>
      <c r="D895" s="386"/>
      <c r="E895" s="386"/>
      <c r="F895" s="386"/>
      <c r="G895" s="387"/>
      <c r="H895" s="1"/>
    </row>
    <row r="896" spans="2:8" ht="15" customHeight="1" x14ac:dyDescent="0.25">
      <c r="B896" s="100"/>
      <c r="C896" s="101"/>
      <c r="D896" s="101"/>
      <c r="E896" s="101"/>
      <c r="F896" s="101"/>
      <c r="G896" s="102"/>
      <c r="H896" s="1"/>
    </row>
    <row r="897" spans="2:8" ht="15" customHeight="1" x14ac:dyDescent="0.25">
      <c r="B897" s="385" t="s">
        <v>543</v>
      </c>
      <c r="C897" s="386"/>
      <c r="D897" s="386"/>
      <c r="E897" s="386"/>
      <c r="F897" s="386"/>
      <c r="G897" s="387"/>
      <c r="H897" s="1"/>
    </row>
    <row r="898" spans="2:8" ht="41.25" customHeight="1" x14ac:dyDescent="0.25">
      <c r="B898" s="444" t="s">
        <v>544</v>
      </c>
      <c r="C898" s="445"/>
      <c r="D898" s="445"/>
      <c r="E898" s="445"/>
      <c r="F898" s="445"/>
      <c r="G898" s="446"/>
      <c r="H898" s="1"/>
    </row>
    <row r="899" spans="2:8" ht="15" customHeight="1" x14ac:dyDescent="0.25">
      <c r="B899" s="100"/>
      <c r="C899" s="101"/>
      <c r="D899" s="101"/>
      <c r="E899" s="101"/>
      <c r="F899" s="101"/>
      <c r="G899" s="102"/>
      <c r="H899" s="1"/>
    </row>
    <row r="900" spans="2:8" ht="15" customHeight="1" x14ac:dyDescent="0.25">
      <c r="B900" s="385" t="s">
        <v>545</v>
      </c>
      <c r="C900" s="386"/>
      <c r="D900" s="386"/>
      <c r="E900" s="386"/>
      <c r="F900" s="386"/>
      <c r="G900" s="387"/>
      <c r="H900" s="1"/>
    </row>
    <row r="901" spans="2:8" ht="40.5" customHeight="1" x14ac:dyDescent="0.25">
      <c r="B901" s="385" t="s">
        <v>546</v>
      </c>
      <c r="C901" s="386"/>
      <c r="D901" s="386"/>
      <c r="E901" s="386"/>
      <c r="F901" s="386"/>
      <c r="G901" s="387"/>
      <c r="H901" s="1"/>
    </row>
    <row r="902" spans="2:8" ht="15" customHeight="1" x14ac:dyDescent="0.25">
      <c r="B902" s="444" t="s">
        <v>547</v>
      </c>
      <c r="C902" s="445"/>
      <c r="D902" s="445"/>
      <c r="E902" s="445"/>
      <c r="F902" s="445"/>
      <c r="G902" s="446"/>
      <c r="H902" s="1"/>
    </row>
    <row r="903" spans="2:8" ht="15" customHeight="1" x14ac:dyDescent="0.25">
      <c r="B903" s="465" t="s">
        <v>918</v>
      </c>
      <c r="C903" s="466"/>
      <c r="D903" s="466"/>
      <c r="E903" s="466"/>
      <c r="F903" s="466"/>
      <c r="G903" s="467"/>
      <c r="H903" s="1"/>
    </row>
    <row r="904" spans="2:8" ht="15" customHeight="1" x14ac:dyDescent="0.25">
      <c r="B904" s="100"/>
      <c r="C904" s="101"/>
      <c r="D904" s="101"/>
      <c r="E904" s="101"/>
      <c r="F904" s="101"/>
      <c r="G904" s="102"/>
      <c r="H904" s="1"/>
    </row>
    <row r="905" spans="2:8" ht="15" customHeight="1" x14ac:dyDescent="0.25">
      <c r="B905" s="385" t="s">
        <v>554</v>
      </c>
      <c r="C905" s="386"/>
      <c r="D905" s="386"/>
      <c r="E905" s="386"/>
      <c r="F905" s="386"/>
      <c r="G905" s="387"/>
      <c r="H905" s="1"/>
    </row>
    <row r="906" spans="2:8" ht="15" customHeight="1" x14ac:dyDescent="0.25">
      <c r="B906" s="444" t="s">
        <v>555</v>
      </c>
      <c r="C906" s="445"/>
      <c r="D906" s="445"/>
      <c r="E906" s="445"/>
      <c r="F906" s="445"/>
      <c r="G906" s="446"/>
      <c r="H906" s="1"/>
    </row>
    <row r="907" spans="2:8" ht="39.75" customHeight="1" x14ac:dyDescent="0.25">
      <c r="B907" s="444" t="s">
        <v>556</v>
      </c>
      <c r="C907" s="445"/>
      <c r="D907" s="445"/>
      <c r="E907" s="445"/>
      <c r="F907" s="445"/>
      <c r="G907" s="446"/>
      <c r="H907" s="1"/>
    </row>
    <row r="908" spans="2:8" ht="30" customHeight="1" x14ac:dyDescent="0.25">
      <c r="B908" s="385" t="s">
        <v>557</v>
      </c>
      <c r="C908" s="386"/>
      <c r="D908" s="386"/>
      <c r="E908" s="386"/>
      <c r="F908" s="386"/>
      <c r="G908" s="387"/>
      <c r="H908" s="1"/>
    </row>
    <row r="909" spans="2:8" ht="15" customHeight="1" x14ac:dyDescent="0.25">
      <c r="B909" s="100"/>
      <c r="C909" s="101"/>
      <c r="D909" s="101"/>
      <c r="E909" s="101"/>
      <c r="F909" s="101"/>
      <c r="G909" s="102"/>
      <c r="H909" s="1"/>
    </row>
    <row r="910" spans="2:8" ht="15" customHeight="1" x14ac:dyDescent="0.25">
      <c r="B910" s="385" t="s">
        <v>558</v>
      </c>
      <c r="C910" s="386"/>
      <c r="D910" s="386"/>
      <c r="E910" s="386"/>
      <c r="F910" s="386"/>
      <c r="G910" s="387"/>
      <c r="H910" s="1"/>
    </row>
    <row r="911" spans="2:8" ht="67.5" customHeight="1" x14ac:dyDescent="0.25">
      <c r="B911" s="385" t="s">
        <v>919</v>
      </c>
      <c r="C911" s="386"/>
      <c r="D911" s="386"/>
      <c r="E911" s="386"/>
      <c r="F911" s="386"/>
      <c r="G911" s="387"/>
      <c r="H911" s="1"/>
    </row>
    <row r="912" spans="2:8" ht="30" customHeight="1" x14ac:dyDescent="0.25">
      <c r="B912" s="385" t="s">
        <v>920</v>
      </c>
      <c r="C912" s="386"/>
      <c r="D912" s="386"/>
      <c r="E912" s="386"/>
      <c r="F912" s="386"/>
      <c r="G912" s="387"/>
      <c r="H912" s="1"/>
    </row>
    <row r="913" spans="1:8" ht="15" customHeight="1" x14ac:dyDescent="0.25">
      <c r="B913" s="100"/>
      <c r="C913" s="101"/>
      <c r="D913" s="101"/>
      <c r="E913" s="101"/>
      <c r="F913" s="101"/>
      <c r="G913" s="102"/>
      <c r="H913" s="1"/>
    </row>
    <row r="914" spans="1:8" ht="15" customHeight="1" x14ac:dyDescent="0.25">
      <c r="B914" s="385" t="s">
        <v>561</v>
      </c>
      <c r="C914" s="386"/>
      <c r="D914" s="386"/>
      <c r="E914" s="386"/>
      <c r="F914" s="386"/>
      <c r="G914" s="387"/>
      <c r="H914" s="1"/>
    </row>
    <row r="915" spans="1:8" ht="15" customHeight="1" x14ac:dyDescent="0.25">
      <c r="B915" s="444" t="s">
        <v>562</v>
      </c>
      <c r="C915" s="445"/>
      <c r="D915" s="445"/>
      <c r="E915" s="445"/>
      <c r="F915" s="445"/>
      <c r="G915" s="446"/>
      <c r="H915" s="1"/>
    </row>
    <row r="916" spans="1:8" ht="30.75" customHeight="1" x14ac:dyDescent="0.25">
      <c r="B916" s="385" t="s">
        <v>563</v>
      </c>
      <c r="C916" s="386"/>
      <c r="D916" s="386"/>
      <c r="E916" s="386"/>
      <c r="F916" s="386"/>
      <c r="G916" s="387"/>
      <c r="H916" s="1"/>
    </row>
    <row r="917" spans="1:8" ht="28.5" customHeight="1" x14ac:dyDescent="0.25">
      <c r="B917" s="444" t="s">
        <v>921</v>
      </c>
      <c r="C917" s="445"/>
      <c r="D917" s="445"/>
      <c r="E917" s="445"/>
      <c r="F917" s="445"/>
      <c r="G917" s="446"/>
      <c r="H917" s="1"/>
    </row>
    <row r="918" spans="1:8" ht="15" customHeight="1" x14ac:dyDescent="0.25">
      <c r="B918" s="100"/>
      <c r="C918" s="101"/>
      <c r="D918" s="101"/>
      <c r="E918" s="101"/>
      <c r="F918" s="101"/>
      <c r="G918" s="102"/>
      <c r="H918" s="1"/>
    </row>
    <row r="919" spans="1:8" ht="15" customHeight="1" x14ac:dyDescent="0.25">
      <c r="B919" s="447" t="s">
        <v>565</v>
      </c>
      <c r="C919" s="448"/>
      <c r="D919" s="448"/>
      <c r="E919" s="448"/>
      <c r="F919" s="448"/>
      <c r="G919" s="449"/>
      <c r="H919" s="1"/>
    </row>
    <row r="920" spans="1:8" s="87" customFormat="1" ht="40.5" customHeight="1" x14ac:dyDescent="0.25">
      <c r="A920" s="85"/>
      <c r="B920" s="444" t="s">
        <v>566</v>
      </c>
      <c r="C920" s="445"/>
      <c r="D920" s="445"/>
      <c r="E920" s="445"/>
      <c r="F920" s="445"/>
      <c r="G920" s="446"/>
      <c r="H920" s="86"/>
    </row>
    <row r="921" spans="1:8" ht="27.75" customHeight="1" x14ac:dyDescent="0.25">
      <c r="B921" s="385" t="s">
        <v>567</v>
      </c>
      <c r="C921" s="386"/>
      <c r="D921" s="386"/>
      <c r="E921" s="386"/>
      <c r="F921" s="386"/>
      <c r="G921" s="387"/>
      <c r="H921" s="1"/>
    </row>
    <row r="922" spans="1:8" ht="15" customHeight="1" x14ac:dyDescent="0.25">
      <c r="B922" s="385" t="s">
        <v>922</v>
      </c>
      <c r="C922" s="386"/>
      <c r="D922" s="386"/>
      <c r="E922" s="386"/>
      <c r="F922" s="386"/>
      <c r="G922" s="387"/>
      <c r="H922" s="1"/>
    </row>
    <row r="923" spans="1:8" ht="15" customHeight="1" x14ac:dyDescent="0.25">
      <c r="B923" s="385" t="s">
        <v>923</v>
      </c>
      <c r="C923" s="386"/>
      <c r="D923" s="386"/>
      <c r="E923" s="386"/>
      <c r="F923" s="386"/>
      <c r="G923" s="387"/>
      <c r="H923" s="1"/>
    </row>
    <row r="924" spans="1:8" ht="15" customHeight="1" x14ac:dyDescent="0.25">
      <c r="B924" s="100" t="s">
        <v>924</v>
      </c>
      <c r="C924" s="101" t="s">
        <v>924</v>
      </c>
      <c r="D924" s="101" t="s">
        <v>924</v>
      </c>
      <c r="E924" s="101" t="s">
        <v>924</v>
      </c>
      <c r="F924" s="101" t="s">
        <v>924</v>
      </c>
      <c r="G924" s="102" t="s">
        <v>924</v>
      </c>
      <c r="H924" s="1"/>
    </row>
    <row r="925" spans="1:8" ht="15" customHeight="1" x14ac:dyDescent="0.25">
      <c r="B925" s="385" t="s">
        <v>925</v>
      </c>
      <c r="C925" s="386"/>
      <c r="D925" s="386"/>
      <c r="E925" s="386"/>
      <c r="F925" s="386"/>
      <c r="G925" s="387"/>
      <c r="H925" s="1"/>
    </row>
    <row r="926" spans="1:8" ht="15" customHeight="1" x14ac:dyDescent="0.25">
      <c r="B926" s="100"/>
      <c r="C926" s="101"/>
      <c r="D926" s="101"/>
      <c r="E926" s="101"/>
      <c r="F926" s="101"/>
      <c r="G926" s="102"/>
      <c r="H926" s="1"/>
    </row>
    <row r="927" spans="1:8" ht="15" customHeight="1" x14ac:dyDescent="0.25">
      <c r="B927" s="447" t="s">
        <v>926</v>
      </c>
      <c r="C927" s="448"/>
      <c r="D927" s="448"/>
      <c r="E927" s="448"/>
      <c r="F927" s="448"/>
      <c r="G927" s="449"/>
      <c r="H927" s="1"/>
    </row>
    <row r="928" spans="1:8" ht="30.75" customHeight="1" x14ac:dyDescent="0.25">
      <c r="B928" s="385" t="s">
        <v>927</v>
      </c>
      <c r="C928" s="386"/>
      <c r="D928" s="386"/>
      <c r="E928" s="386"/>
      <c r="F928" s="386"/>
      <c r="G928" s="387"/>
      <c r="H928" s="1"/>
    </row>
    <row r="929" spans="1:8" ht="15" customHeight="1" x14ac:dyDescent="0.25">
      <c r="B929" s="447" t="s">
        <v>928</v>
      </c>
      <c r="C929" s="448"/>
      <c r="D929" s="448"/>
      <c r="E929" s="448"/>
      <c r="F929" s="448"/>
      <c r="G929" s="449"/>
      <c r="H929" s="1"/>
    </row>
    <row r="930" spans="1:8" ht="28.5" customHeight="1" x14ac:dyDescent="0.25">
      <c r="B930" s="385" t="s">
        <v>929</v>
      </c>
      <c r="C930" s="386"/>
      <c r="D930" s="386"/>
      <c r="E930" s="386"/>
      <c r="F930" s="386"/>
      <c r="G930" s="387"/>
      <c r="H930" s="1"/>
    </row>
    <row r="931" spans="1:8" ht="66.75" customHeight="1" x14ac:dyDescent="0.25">
      <c r="B931" s="385" t="s">
        <v>930</v>
      </c>
      <c r="C931" s="386"/>
      <c r="D931" s="386"/>
      <c r="E931" s="386"/>
      <c r="F931" s="386"/>
      <c r="G931" s="387"/>
      <c r="H931" s="1"/>
    </row>
    <row r="932" spans="1:8" ht="15" customHeight="1" x14ac:dyDescent="0.25">
      <c r="B932" s="447" t="s">
        <v>931</v>
      </c>
      <c r="C932" s="448"/>
      <c r="D932" s="448"/>
      <c r="E932" s="448"/>
      <c r="F932" s="448"/>
      <c r="G932" s="449"/>
      <c r="H932" s="1"/>
    </row>
    <row r="933" spans="1:8" s="87" customFormat="1" ht="29.25" customHeight="1" x14ac:dyDescent="0.25">
      <c r="A933" s="85"/>
      <c r="B933" s="444" t="s">
        <v>932</v>
      </c>
      <c r="C933" s="445"/>
      <c r="D933" s="445"/>
      <c r="E933" s="445"/>
      <c r="F933" s="445"/>
      <c r="G933" s="446"/>
      <c r="H933" s="86"/>
    </row>
    <row r="934" spans="1:8" ht="27" customHeight="1" x14ac:dyDescent="0.25">
      <c r="B934" s="444" t="s">
        <v>933</v>
      </c>
      <c r="C934" s="445"/>
      <c r="D934" s="445"/>
      <c r="E934" s="445"/>
      <c r="F934" s="445"/>
      <c r="G934" s="446"/>
      <c r="H934" s="1"/>
    </row>
    <row r="935" spans="1:8" ht="54" customHeight="1" x14ac:dyDescent="0.25">
      <c r="B935" s="385" t="s">
        <v>934</v>
      </c>
      <c r="C935" s="386"/>
      <c r="D935" s="386"/>
      <c r="E935" s="386"/>
      <c r="F935" s="386"/>
      <c r="G935" s="387"/>
      <c r="H935" s="1"/>
    </row>
    <row r="936" spans="1:8" ht="54.75" customHeight="1" x14ac:dyDescent="0.25">
      <c r="B936" s="385" t="s">
        <v>935</v>
      </c>
      <c r="C936" s="386"/>
      <c r="D936" s="386"/>
      <c r="E936" s="386"/>
      <c r="F936" s="386"/>
      <c r="G936" s="387"/>
      <c r="H936" s="1"/>
    </row>
    <row r="937" spans="1:8" ht="40.5" customHeight="1" x14ac:dyDescent="0.25">
      <c r="B937" s="444" t="s">
        <v>936</v>
      </c>
      <c r="C937" s="445"/>
      <c r="D937" s="445"/>
      <c r="E937" s="445"/>
      <c r="F937" s="445"/>
      <c r="G937" s="446"/>
      <c r="H937" s="1"/>
    </row>
    <row r="938" spans="1:8" ht="15" customHeight="1" x14ac:dyDescent="0.25">
      <c r="B938" s="447" t="s">
        <v>572</v>
      </c>
      <c r="C938" s="448"/>
      <c r="D938" s="448"/>
      <c r="E938" s="448"/>
      <c r="F938" s="448"/>
      <c r="G938" s="449"/>
      <c r="H938" s="1"/>
    </row>
    <row r="939" spans="1:8" ht="30" customHeight="1" x14ac:dyDescent="0.25">
      <c r="B939" s="444" t="s">
        <v>573</v>
      </c>
      <c r="C939" s="445"/>
      <c r="D939" s="445"/>
      <c r="E939" s="445"/>
      <c r="F939" s="445"/>
      <c r="G939" s="446"/>
      <c r="H939" s="1"/>
    </row>
    <row r="940" spans="1:8" ht="30" customHeight="1" x14ac:dyDescent="0.25">
      <c r="B940" s="444" t="s">
        <v>574</v>
      </c>
      <c r="C940" s="445"/>
      <c r="D940" s="445"/>
      <c r="E940" s="445"/>
      <c r="F940" s="445"/>
      <c r="G940" s="446"/>
      <c r="H940" s="1"/>
    </row>
    <row r="941" spans="1:8" ht="15" customHeight="1" x14ac:dyDescent="0.25">
      <c r="B941" s="100"/>
      <c r="C941" s="101"/>
      <c r="D941" s="101"/>
      <c r="E941" s="101"/>
      <c r="F941" s="101"/>
      <c r="G941" s="102"/>
      <c r="H941" s="1"/>
    </row>
    <row r="942" spans="1:8" ht="15" customHeight="1" x14ac:dyDescent="0.25">
      <c r="B942" s="385" t="s">
        <v>589</v>
      </c>
      <c r="C942" s="386"/>
      <c r="D942" s="386"/>
      <c r="E942" s="386"/>
      <c r="F942" s="386"/>
      <c r="G942" s="387"/>
      <c r="H942" s="1"/>
    </row>
    <row r="943" spans="1:8" ht="15" customHeight="1" x14ac:dyDescent="0.25">
      <c r="B943" s="100"/>
      <c r="C943" s="101"/>
      <c r="D943" s="101"/>
      <c r="E943" s="101"/>
      <c r="F943" s="101"/>
      <c r="G943" s="102"/>
      <c r="H943" s="1"/>
    </row>
    <row r="944" spans="1:8" ht="15" customHeight="1" x14ac:dyDescent="0.25">
      <c r="B944" s="447" t="s">
        <v>590</v>
      </c>
      <c r="C944" s="448"/>
      <c r="D944" s="448"/>
      <c r="E944" s="448"/>
      <c r="F944" s="448"/>
      <c r="G944" s="449"/>
      <c r="H944" s="1"/>
    </row>
    <row r="945" spans="2:8" ht="29.25" customHeight="1" x14ac:dyDescent="0.25">
      <c r="B945" s="444" t="s">
        <v>937</v>
      </c>
      <c r="C945" s="445"/>
      <c r="D945" s="445"/>
      <c r="E945" s="445"/>
      <c r="F945" s="445"/>
      <c r="G945" s="446"/>
      <c r="H945" s="1"/>
    </row>
    <row r="946" spans="2:8" ht="15" customHeight="1" x14ac:dyDescent="0.25">
      <c r="B946" s="447" t="s">
        <v>592</v>
      </c>
      <c r="C946" s="448"/>
      <c r="D946" s="448"/>
      <c r="E946" s="448"/>
      <c r="F946" s="448"/>
      <c r="G946" s="449"/>
      <c r="H946" s="1"/>
    </row>
    <row r="947" spans="2:8" ht="45" customHeight="1" x14ac:dyDescent="0.25">
      <c r="B947" s="444" t="s">
        <v>938</v>
      </c>
      <c r="C947" s="445"/>
      <c r="D947" s="445"/>
      <c r="E947" s="445"/>
      <c r="F947" s="445"/>
      <c r="G947" s="446"/>
      <c r="H947" s="1"/>
    </row>
    <row r="948" spans="2:8" ht="15" customHeight="1" x14ac:dyDescent="0.25">
      <c r="B948" s="385" t="s">
        <v>594</v>
      </c>
      <c r="C948" s="386"/>
      <c r="D948" s="386"/>
      <c r="E948" s="386"/>
      <c r="F948" s="386"/>
      <c r="G948" s="387"/>
      <c r="H948" s="1"/>
    </row>
    <row r="949" spans="2:8" ht="27.75" customHeight="1" x14ac:dyDescent="0.25">
      <c r="B949" s="385" t="s">
        <v>939</v>
      </c>
      <c r="C949" s="386"/>
      <c r="D949" s="386"/>
      <c r="E949" s="386"/>
      <c r="F949" s="386"/>
      <c r="G949" s="387"/>
      <c r="H949" s="1"/>
    </row>
    <row r="950" spans="2:8" ht="15" customHeight="1" x14ac:dyDescent="0.25">
      <c r="B950" s="447" t="s">
        <v>596</v>
      </c>
      <c r="C950" s="448"/>
      <c r="D950" s="448"/>
      <c r="E950" s="448"/>
      <c r="F950" s="448"/>
      <c r="G950" s="449"/>
      <c r="H950" s="1"/>
    </row>
    <row r="951" spans="2:8" ht="45.75" customHeight="1" x14ac:dyDescent="0.25">
      <c r="B951" s="444" t="s">
        <v>940</v>
      </c>
      <c r="C951" s="445"/>
      <c r="D951" s="445"/>
      <c r="E951" s="445"/>
      <c r="F951" s="445"/>
      <c r="G951" s="446"/>
      <c r="H951" s="1"/>
    </row>
    <row r="952" spans="2:8" ht="15" customHeight="1" x14ac:dyDescent="0.25">
      <c r="B952" s="385" t="s">
        <v>598</v>
      </c>
      <c r="C952" s="386"/>
      <c r="D952" s="386"/>
      <c r="E952" s="386"/>
      <c r="F952" s="386"/>
      <c r="G952" s="387"/>
      <c r="H952" s="1"/>
    </row>
    <row r="953" spans="2:8" ht="15" customHeight="1" x14ac:dyDescent="0.25">
      <c r="B953" s="431" t="s">
        <v>599</v>
      </c>
      <c r="C953" s="386"/>
      <c r="D953" s="386"/>
      <c r="E953" s="386"/>
      <c r="F953" s="386"/>
      <c r="G953" s="387"/>
      <c r="H953" s="1"/>
    </row>
    <row r="954" spans="2:8" ht="15" customHeight="1" x14ac:dyDescent="0.25">
      <c r="B954" s="468" t="s">
        <v>600</v>
      </c>
      <c r="C954" s="445"/>
      <c r="D954" s="445"/>
      <c r="E954" s="445"/>
      <c r="F954" s="445"/>
      <c r="G954" s="446"/>
      <c r="H954" s="1"/>
    </row>
    <row r="955" spans="2:8" ht="15" customHeight="1" x14ac:dyDescent="0.25">
      <c r="B955" s="468" t="s">
        <v>941</v>
      </c>
      <c r="C955" s="445"/>
      <c r="D955" s="445"/>
      <c r="E955" s="445"/>
      <c r="F955" s="445"/>
      <c r="G955" s="446"/>
      <c r="H955" s="1"/>
    </row>
    <row r="956" spans="2:8" ht="42" customHeight="1" x14ac:dyDescent="0.25">
      <c r="B956" s="468" t="s">
        <v>942</v>
      </c>
      <c r="C956" s="445"/>
      <c r="D956" s="445"/>
      <c r="E956" s="445"/>
      <c r="F956" s="445"/>
      <c r="G956" s="446"/>
      <c r="H956" s="1"/>
    </row>
    <row r="957" spans="2:8" ht="25.5" customHeight="1" x14ac:dyDescent="0.25">
      <c r="B957" s="468" t="s">
        <v>943</v>
      </c>
      <c r="C957" s="445"/>
      <c r="D957" s="445"/>
      <c r="E957" s="445"/>
      <c r="F957" s="445"/>
      <c r="G957" s="446"/>
      <c r="H957" s="1"/>
    </row>
    <row r="958" spans="2:8" ht="83.25" customHeight="1" x14ac:dyDescent="0.25">
      <c r="B958" s="431" t="s">
        <v>944</v>
      </c>
      <c r="C958" s="386"/>
      <c r="D958" s="386"/>
      <c r="E958" s="386"/>
      <c r="F958" s="386"/>
      <c r="G958" s="387"/>
      <c r="H958" s="1"/>
    </row>
    <row r="959" spans="2:8" ht="15" customHeight="1" x14ac:dyDescent="0.25">
      <c r="B959" s="431" t="s">
        <v>604</v>
      </c>
      <c r="C959" s="386"/>
      <c r="D959" s="386"/>
      <c r="E959" s="386"/>
      <c r="F959" s="386"/>
      <c r="G959" s="387"/>
      <c r="H959" s="1"/>
    </row>
    <row r="960" spans="2:8" ht="44.25" customHeight="1" x14ac:dyDescent="0.25">
      <c r="B960" s="468" t="s">
        <v>945</v>
      </c>
      <c r="C960" s="445"/>
      <c r="D960" s="445"/>
      <c r="E960" s="445"/>
      <c r="F960" s="445"/>
      <c r="G960" s="446"/>
      <c r="H960" s="1"/>
    </row>
    <row r="961" spans="1:8" ht="15" customHeight="1" x14ac:dyDescent="0.25">
      <c r="B961" s="100"/>
      <c r="C961" s="101"/>
      <c r="D961" s="101"/>
      <c r="E961" s="101"/>
      <c r="F961" s="101"/>
      <c r="G961" s="102"/>
      <c r="H961" s="1"/>
    </row>
    <row r="962" spans="1:8" ht="15" customHeight="1" x14ac:dyDescent="0.25">
      <c r="B962" s="447" t="s">
        <v>609</v>
      </c>
      <c r="C962" s="448"/>
      <c r="D962" s="448"/>
      <c r="E962" s="448"/>
      <c r="F962" s="448"/>
      <c r="G962" s="449"/>
      <c r="H962" s="1"/>
    </row>
    <row r="963" spans="1:8" s="89" customFormat="1" ht="49.5" customHeight="1" x14ac:dyDescent="0.25">
      <c r="A963" s="64"/>
      <c r="B963" s="385" t="s">
        <v>610</v>
      </c>
      <c r="C963" s="386"/>
      <c r="D963" s="386"/>
      <c r="E963" s="386"/>
      <c r="F963" s="386"/>
      <c r="G963" s="387"/>
      <c r="H963" s="88"/>
    </row>
    <row r="964" spans="1:8" ht="25.5" customHeight="1" x14ac:dyDescent="0.25">
      <c r="B964" s="385" t="s">
        <v>611</v>
      </c>
      <c r="C964" s="386"/>
      <c r="D964" s="386"/>
      <c r="E964" s="386"/>
      <c r="F964" s="386"/>
      <c r="G964" s="387"/>
      <c r="H964" s="1"/>
    </row>
    <row r="965" spans="1:8" ht="26.25" customHeight="1" x14ac:dyDescent="0.25">
      <c r="B965" s="385" t="s">
        <v>612</v>
      </c>
      <c r="C965" s="386"/>
      <c r="D965" s="386"/>
      <c r="E965" s="386"/>
      <c r="F965" s="386"/>
      <c r="G965" s="387"/>
      <c r="H965" s="1"/>
    </row>
    <row r="966" spans="1:8" ht="28.5" customHeight="1" x14ac:dyDescent="0.25">
      <c r="B966" s="385" t="s">
        <v>613</v>
      </c>
      <c r="C966" s="386"/>
      <c r="D966" s="386"/>
      <c r="E966" s="386"/>
      <c r="F966" s="386"/>
      <c r="G966" s="387"/>
      <c r="H966" s="1"/>
    </row>
    <row r="967" spans="1:8" ht="15" customHeight="1" x14ac:dyDescent="0.25">
      <c r="B967" s="94"/>
      <c r="C967" s="95"/>
      <c r="D967" s="95"/>
      <c r="E967" s="95"/>
      <c r="F967" s="95"/>
      <c r="G967" s="96"/>
      <c r="H967" s="1"/>
    </row>
    <row r="968" spans="1:8" ht="15" customHeight="1" x14ac:dyDescent="0.25">
      <c r="B968" s="447" t="s">
        <v>946</v>
      </c>
      <c r="C968" s="448"/>
      <c r="D968" s="448"/>
      <c r="E968" s="448"/>
      <c r="F968" s="448"/>
      <c r="G968" s="449"/>
      <c r="H968" s="1"/>
    </row>
    <row r="969" spans="1:8" ht="15" customHeight="1" x14ac:dyDescent="0.25">
      <c r="B969" s="462" t="s">
        <v>947</v>
      </c>
      <c r="C969" s="463"/>
      <c r="D969" s="463"/>
      <c r="E969" s="463"/>
      <c r="F969" s="463"/>
      <c r="G969" s="464"/>
      <c r="H969" s="1"/>
    </row>
    <row r="970" spans="1:8" ht="88.5" customHeight="1" x14ac:dyDescent="0.25">
      <c r="B970" s="444" t="s">
        <v>948</v>
      </c>
      <c r="C970" s="445"/>
      <c r="D970" s="445"/>
      <c r="E970" s="445"/>
      <c r="F970" s="445"/>
      <c r="G970" s="446"/>
      <c r="H970" s="1"/>
    </row>
    <row r="971" spans="1:8" ht="15" customHeight="1" x14ac:dyDescent="0.25">
      <c r="B971" s="444" t="s">
        <v>949</v>
      </c>
      <c r="C971" s="445"/>
      <c r="D971" s="445"/>
      <c r="E971" s="445"/>
      <c r="F971" s="445"/>
      <c r="G971" s="446"/>
      <c r="H971" s="1"/>
    </row>
    <row r="972" spans="1:8" ht="25.5" customHeight="1" x14ac:dyDescent="0.25">
      <c r="B972" s="385" t="s">
        <v>608</v>
      </c>
      <c r="C972" s="386"/>
      <c r="D972" s="386"/>
      <c r="E972" s="386"/>
      <c r="F972" s="386"/>
      <c r="G972" s="387"/>
      <c r="H972" s="1"/>
    </row>
    <row r="973" spans="1:8" ht="15" customHeight="1" x14ac:dyDescent="0.25">
      <c r="B973" s="100"/>
      <c r="C973" s="101"/>
      <c r="D973" s="101"/>
      <c r="E973" s="101"/>
      <c r="F973" s="101"/>
      <c r="G973" s="102"/>
      <c r="H973" s="1"/>
    </row>
    <row r="974" spans="1:8" ht="15" customHeight="1" x14ac:dyDescent="0.25">
      <c r="B974" s="385" t="s">
        <v>950</v>
      </c>
      <c r="C974" s="386"/>
      <c r="D974" s="386"/>
      <c r="E974" s="386"/>
      <c r="F974" s="386"/>
      <c r="G974" s="387"/>
      <c r="H974" s="1"/>
    </row>
    <row r="975" spans="1:8" ht="77.25" customHeight="1" x14ac:dyDescent="0.25">
      <c r="B975" s="385" t="s">
        <v>951</v>
      </c>
      <c r="C975" s="386"/>
      <c r="D975" s="386"/>
      <c r="E975" s="386"/>
      <c r="F975" s="386"/>
      <c r="G975" s="387"/>
      <c r="H975" s="1"/>
    </row>
    <row r="976" spans="1:8" ht="93.75" customHeight="1" x14ac:dyDescent="0.25">
      <c r="B976" s="385" t="s">
        <v>952</v>
      </c>
      <c r="C976" s="386"/>
      <c r="D976" s="386"/>
      <c r="E976" s="386"/>
      <c r="F976" s="386"/>
      <c r="G976" s="387"/>
      <c r="H976" s="1"/>
    </row>
    <row r="977" spans="2:8" ht="15" customHeight="1" x14ac:dyDescent="0.25">
      <c r="B977" s="100"/>
      <c r="C977" s="101"/>
      <c r="D977" s="101"/>
      <c r="E977" s="101"/>
      <c r="F977" s="101"/>
      <c r="G977" s="102"/>
      <c r="H977" s="1"/>
    </row>
    <row r="978" spans="2:8" ht="15" customHeight="1" x14ac:dyDescent="0.25">
      <c r="B978" s="385" t="s">
        <v>623</v>
      </c>
      <c r="C978" s="386"/>
      <c r="D978" s="386"/>
      <c r="E978" s="386"/>
      <c r="F978" s="386"/>
      <c r="G978" s="387"/>
      <c r="H978" s="1"/>
    </row>
    <row r="979" spans="2:8" ht="15" customHeight="1" x14ac:dyDescent="0.25">
      <c r="B979" s="444" t="s">
        <v>624</v>
      </c>
      <c r="C979" s="445"/>
      <c r="D979" s="445"/>
      <c r="E979" s="445"/>
      <c r="F979" s="445"/>
      <c r="G979" s="446"/>
      <c r="H979" s="1"/>
    </row>
    <row r="980" spans="2:8" ht="27" customHeight="1" x14ac:dyDescent="0.25">
      <c r="B980" s="385" t="s">
        <v>625</v>
      </c>
      <c r="C980" s="386"/>
      <c r="D980" s="386"/>
      <c r="E980" s="386"/>
      <c r="F980" s="386"/>
      <c r="G980" s="387"/>
      <c r="H980" s="1"/>
    </row>
    <row r="981" spans="2:8" ht="52.5" customHeight="1" x14ac:dyDescent="0.25">
      <c r="B981" s="385" t="s">
        <v>953</v>
      </c>
      <c r="C981" s="386"/>
      <c r="D981" s="386"/>
      <c r="E981" s="386"/>
      <c r="F981" s="386"/>
      <c r="G981" s="387"/>
      <c r="H981" s="1"/>
    </row>
    <row r="982" spans="2:8" ht="15" customHeight="1" x14ac:dyDescent="0.25">
      <c r="B982" s="100"/>
      <c r="C982" s="101"/>
      <c r="D982" s="101"/>
      <c r="E982" s="101"/>
      <c r="F982" s="101"/>
      <c r="G982" s="102"/>
      <c r="H982" s="1"/>
    </row>
    <row r="983" spans="2:8" ht="15" customHeight="1" x14ac:dyDescent="0.25">
      <c r="B983" s="447" t="s">
        <v>626</v>
      </c>
      <c r="C983" s="448"/>
      <c r="D983" s="448"/>
      <c r="E983" s="448"/>
      <c r="F983" s="448"/>
      <c r="G983" s="449"/>
      <c r="H983" s="1"/>
    </row>
    <row r="984" spans="2:8" ht="27" customHeight="1" x14ac:dyDescent="0.25">
      <c r="B984" s="385" t="s">
        <v>627</v>
      </c>
      <c r="C984" s="386"/>
      <c r="D984" s="386"/>
      <c r="E984" s="386"/>
      <c r="F984" s="386"/>
      <c r="G984" s="387"/>
      <c r="H984" s="1"/>
    </row>
    <row r="985" spans="2:8" ht="15" customHeight="1" x14ac:dyDescent="0.25">
      <c r="B985" s="462" t="s">
        <v>954</v>
      </c>
      <c r="C985" s="463"/>
      <c r="D985" s="463"/>
      <c r="E985" s="463"/>
      <c r="F985" s="463"/>
      <c r="G985" s="464"/>
      <c r="H985" s="1"/>
    </row>
    <row r="986" spans="2:8" ht="15" customHeight="1" x14ac:dyDescent="0.25">
      <c r="B986" s="462" t="s">
        <v>629</v>
      </c>
      <c r="C986" s="463"/>
      <c r="D986" s="463"/>
      <c r="E986" s="463"/>
      <c r="F986" s="463"/>
      <c r="G986" s="464"/>
      <c r="H986" s="1"/>
    </row>
    <row r="987" spans="2:8" ht="15" customHeight="1" x14ac:dyDescent="0.25">
      <c r="B987" s="100"/>
      <c r="C987" s="101"/>
      <c r="D987" s="101"/>
      <c r="E987" s="101"/>
      <c r="F987" s="101"/>
      <c r="G987" s="102"/>
      <c r="H987" s="1"/>
    </row>
    <row r="988" spans="2:8" ht="15" customHeight="1" x14ac:dyDescent="0.25">
      <c r="B988" s="447" t="s">
        <v>955</v>
      </c>
      <c r="C988" s="448"/>
      <c r="D988" s="448"/>
      <c r="E988" s="448"/>
      <c r="F988" s="448"/>
      <c r="G988" s="449"/>
      <c r="H988" s="1"/>
    </row>
    <row r="989" spans="2:8" ht="25.5" customHeight="1" x14ac:dyDescent="0.25">
      <c r="B989" s="385" t="s">
        <v>956</v>
      </c>
      <c r="C989" s="386"/>
      <c r="D989" s="386"/>
      <c r="E989" s="386"/>
      <c r="F989" s="386"/>
      <c r="G989" s="387"/>
      <c r="H989" s="1"/>
    </row>
    <row r="990" spans="2:8" ht="38.25" customHeight="1" x14ac:dyDescent="0.25">
      <c r="B990" s="385" t="s">
        <v>632</v>
      </c>
      <c r="C990" s="386"/>
      <c r="D990" s="386"/>
      <c r="E990" s="386"/>
      <c r="F990" s="386"/>
      <c r="G990" s="387"/>
      <c r="H990" s="1"/>
    </row>
    <row r="991" spans="2:8" ht="15" customHeight="1" x14ac:dyDescent="0.25">
      <c r="B991" s="100"/>
      <c r="C991" s="101"/>
      <c r="D991" s="101"/>
      <c r="E991" s="101"/>
      <c r="F991" s="101"/>
      <c r="G991" s="102"/>
      <c r="H991" s="1"/>
    </row>
    <row r="992" spans="2:8" ht="15" customHeight="1" x14ac:dyDescent="0.25">
      <c r="B992" s="385" t="s">
        <v>633</v>
      </c>
      <c r="C992" s="386"/>
      <c r="D992" s="386"/>
      <c r="E992" s="386"/>
      <c r="F992" s="386"/>
      <c r="G992" s="387"/>
      <c r="H992" s="1"/>
    </row>
    <row r="993" spans="1:8" ht="15" customHeight="1" x14ac:dyDescent="0.25">
      <c r="B993" s="444" t="s">
        <v>634</v>
      </c>
      <c r="C993" s="445"/>
      <c r="D993" s="445"/>
      <c r="E993" s="445"/>
      <c r="F993" s="445"/>
      <c r="G993" s="446"/>
      <c r="H993" s="1"/>
    </row>
    <row r="994" spans="1:8" ht="15" customHeight="1" x14ac:dyDescent="0.25">
      <c r="B994" s="444" t="s">
        <v>957</v>
      </c>
      <c r="C994" s="445"/>
      <c r="D994" s="445"/>
      <c r="E994" s="445"/>
      <c r="F994" s="445"/>
      <c r="G994" s="446"/>
      <c r="H994" s="1"/>
    </row>
    <row r="995" spans="1:8" ht="15" customHeight="1" x14ac:dyDescent="0.25">
      <c r="B995" s="447" t="s">
        <v>958</v>
      </c>
      <c r="C995" s="448"/>
      <c r="D995" s="448"/>
      <c r="E995" s="448"/>
      <c r="F995" s="448"/>
      <c r="G995" s="449"/>
      <c r="H995" s="1"/>
    </row>
    <row r="996" spans="1:8" ht="15" customHeight="1" x14ac:dyDescent="0.25">
      <c r="B996" s="385" t="s">
        <v>959</v>
      </c>
      <c r="C996" s="386"/>
      <c r="D996" s="386"/>
      <c r="E996" s="386"/>
      <c r="F996" s="386"/>
      <c r="G996" s="387"/>
      <c r="H996" s="1"/>
    </row>
    <row r="997" spans="1:8" ht="15" customHeight="1" x14ac:dyDescent="0.25">
      <c r="B997" s="447" t="s">
        <v>960</v>
      </c>
      <c r="C997" s="448"/>
      <c r="D997" s="448"/>
      <c r="E997" s="448"/>
      <c r="F997" s="448"/>
      <c r="G997" s="449"/>
      <c r="H997" s="1"/>
    </row>
    <row r="998" spans="1:8" ht="15" customHeight="1" x14ac:dyDescent="0.25">
      <c r="B998" s="447" t="s">
        <v>961</v>
      </c>
      <c r="C998" s="448"/>
      <c r="D998" s="448"/>
      <c r="E998" s="448"/>
      <c r="F998" s="448"/>
      <c r="G998" s="449"/>
      <c r="H998" s="1"/>
    </row>
    <row r="999" spans="1:8" ht="15" customHeight="1" x14ac:dyDescent="0.25">
      <c r="B999" s="447" t="s">
        <v>962</v>
      </c>
      <c r="C999" s="448"/>
      <c r="D999" s="448"/>
      <c r="E999" s="448"/>
      <c r="F999" s="448"/>
      <c r="G999" s="449"/>
      <c r="H999" s="1"/>
    </row>
    <row r="1000" spans="1:8" ht="15" customHeight="1" x14ac:dyDescent="0.25">
      <c r="B1000" s="385" t="s">
        <v>963</v>
      </c>
      <c r="C1000" s="386"/>
      <c r="D1000" s="386"/>
      <c r="E1000" s="386"/>
      <c r="F1000" s="386"/>
      <c r="G1000" s="387"/>
      <c r="H1000" s="1"/>
    </row>
    <row r="1001" spans="1:8" s="87" customFormat="1" ht="51" customHeight="1" x14ac:dyDescent="0.25">
      <c r="A1001" s="85"/>
      <c r="B1001" s="385" t="s">
        <v>642</v>
      </c>
      <c r="C1001" s="386"/>
      <c r="D1001" s="386"/>
      <c r="E1001" s="386"/>
      <c r="F1001" s="386"/>
      <c r="G1001" s="387"/>
      <c r="H1001" s="86"/>
    </row>
    <row r="1002" spans="1:8" ht="27" customHeight="1" x14ac:dyDescent="0.25">
      <c r="B1002" s="444" t="s">
        <v>964</v>
      </c>
      <c r="C1002" s="445"/>
      <c r="D1002" s="445"/>
      <c r="E1002" s="445"/>
      <c r="F1002" s="445"/>
      <c r="G1002" s="446"/>
      <c r="H1002" s="1"/>
    </row>
    <row r="1003" spans="1:8" ht="26.25" customHeight="1" x14ac:dyDescent="0.25">
      <c r="B1003" s="385" t="s">
        <v>645</v>
      </c>
      <c r="C1003" s="386"/>
      <c r="D1003" s="386"/>
      <c r="E1003" s="386"/>
      <c r="F1003" s="386"/>
      <c r="G1003" s="387"/>
      <c r="H1003" s="1"/>
    </row>
    <row r="1004" spans="1:8" ht="25.5" customHeight="1" x14ac:dyDescent="0.25">
      <c r="B1004" s="385" t="s">
        <v>647</v>
      </c>
      <c r="C1004" s="386"/>
      <c r="D1004" s="386"/>
      <c r="E1004" s="386"/>
      <c r="F1004" s="386"/>
      <c r="G1004" s="387"/>
      <c r="H1004" s="1"/>
    </row>
    <row r="1005" spans="1:8" ht="15" customHeight="1" x14ac:dyDescent="0.25">
      <c r="B1005" s="444" t="s">
        <v>965</v>
      </c>
      <c r="C1005" s="445"/>
      <c r="D1005" s="445"/>
      <c r="E1005" s="445"/>
      <c r="F1005" s="445"/>
      <c r="G1005" s="446"/>
      <c r="H1005" s="1"/>
    </row>
    <row r="1006" spans="1:8" ht="15" customHeight="1" x14ac:dyDescent="0.25">
      <c r="B1006" s="103"/>
      <c r="C1006" s="104"/>
      <c r="D1006" s="104"/>
      <c r="E1006" s="104"/>
      <c r="F1006" s="104"/>
      <c r="G1006" s="105"/>
      <c r="H1006" s="1"/>
    </row>
    <row r="1007" spans="1:8" ht="15" customHeight="1" x14ac:dyDescent="0.25">
      <c r="B1007" s="385" t="s">
        <v>966</v>
      </c>
      <c r="C1007" s="386"/>
      <c r="D1007" s="386"/>
      <c r="E1007" s="386"/>
      <c r="F1007" s="386"/>
      <c r="G1007" s="387"/>
      <c r="H1007" s="1"/>
    </row>
    <row r="1008" spans="1:8" ht="30.75" customHeight="1" x14ac:dyDescent="0.25">
      <c r="B1008" s="385" t="s">
        <v>967</v>
      </c>
      <c r="C1008" s="386"/>
      <c r="D1008" s="386"/>
      <c r="E1008" s="386"/>
      <c r="F1008" s="386"/>
      <c r="G1008" s="387"/>
      <c r="H1008" s="1"/>
    </row>
    <row r="1009" spans="2:8" ht="27.75" customHeight="1" x14ac:dyDescent="0.25">
      <c r="B1009" s="385" t="s">
        <v>968</v>
      </c>
      <c r="C1009" s="386"/>
      <c r="D1009" s="386"/>
      <c r="E1009" s="386"/>
      <c r="F1009" s="386"/>
      <c r="G1009" s="387"/>
      <c r="H1009" s="1"/>
    </row>
    <row r="1010" spans="2:8" ht="15" customHeight="1" x14ac:dyDescent="0.25">
      <c r="B1010" s="385" t="s">
        <v>969</v>
      </c>
      <c r="C1010" s="386"/>
      <c r="D1010" s="386"/>
      <c r="E1010" s="386"/>
      <c r="F1010" s="386"/>
      <c r="G1010" s="387"/>
      <c r="H1010" s="1"/>
    </row>
    <row r="1011" spans="2:8" ht="15" customHeight="1" x14ac:dyDescent="0.25">
      <c r="B1011" s="385" t="s">
        <v>970</v>
      </c>
      <c r="C1011" s="386"/>
      <c r="D1011" s="386"/>
      <c r="E1011" s="386"/>
      <c r="F1011" s="386"/>
      <c r="G1011" s="387"/>
      <c r="H1011" s="1"/>
    </row>
    <row r="1012" spans="2:8" ht="15" customHeight="1" x14ac:dyDescent="0.25">
      <c r="B1012" s="385" t="s">
        <v>971</v>
      </c>
      <c r="C1012" s="386"/>
      <c r="D1012" s="386"/>
      <c r="E1012" s="386"/>
      <c r="F1012" s="386"/>
      <c r="G1012" s="387"/>
      <c r="H1012" s="1"/>
    </row>
    <row r="1013" spans="2:8" ht="28.5" customHeight="1" x14ac:dyDescent="0.25">
      <c r="B1013" s="444" t="s">
        <v>648</v>
      </c>
      <c r="C1013" s="445"/>
      <c r="D1013" s="445"/>
      <c r="E1013" s="445"/>
      <c r="F1013" s="445"/>
      <c r="G1013" s="446"/>
      <c r="H1013" s="1"/>
    </row>
    <row r="1014" spans="2:8" ht="42" customHeight="1" x14ac:dyDescent="0.25">
      <c r="B1014" s="444" t="s">
        <v>972</v>
      </c>
      <c r="C1014" s="445"/>
      <c r="D1014" s="445"/>
      <c r="E1014" s="445"/>
      <c r="F1014" s="445"/>
      <c r="G1014" s="446"/>
      <c r="H1014" s="1"/>
    </row>
    <row r="1015" spans="2:8" ht="33" customHeight="1" x14ac:dyDescent="0.25">
      <c r="B1015" s="444" t="s">
        <v>330</v>
      </c>
      <c r="C1015" s="445"/>
      <c r="D1015" s="445"/>
      <c r="E1015" s="445"/>
      <c r="F1015" s="445"/>
      <c r="G1015" s="446"/>
      <c r="H1015" s="1"/>
    </row>
    <row r="1016" spans="2:8" ht="15" customHeight="1" x14ac:dyDescent="0.25">
      <c r="B1016" s="385" t="s">
        <v>973</v>
      </c>
      <c r="C1016" s="386"/>
      <c r="D1016" s="386"/>
      <c r="E1016" s="386"/>
      <c r="F1016" s="386"/>
      <c r="G1016" s="387"/>
      <c r="H1016" s="1"/>
    </row>
    <row r="1017" spans="2:8" ht="15" customHeight="1" x14ac:dyDescent="0.25">
      <c r="B1017" s="385" t="s">
        <v>649</v>
      </c>
      <c r="C1017" s="386"/>
      <c r="D1017" s="386"/>
      <c r="E1017" s="386"/>
      <c r="F1017" s="386"/>
      <c r="G1017" s="387"/>
      <c r="H1017" s="1"/>
    </row>
    <row r="1018" spans="2:8" ht="15" customHeight="1" x14ac:dyDescent="0.25">
      <c r="B1018" s="451"/>
      <c r="C1018" s="450"/>
      <c r="D1018" s="450"/>
      <c r="E1018" s="450"/>
      <c r="F1018" s="450"/>
      <c r="G1018" s="452"/>
      <c r="H1018" s="1"/>
    </row>
    <row r="1019" spans="2:8" ht="15" customHeight="1" x14ac:dyDescent="0.25">
      <c r="B1019" s="447" t="s">
        <v>974</v>
      </c>
      <c r="C1019" s="448"/>
      <c r="D1019" s="448"/>
      <c r="E1019" s="448"/>
      <c r="F1019" s="448"/>
      <c r="G1019" s="449"/>
      <c r="H1019" s="1"/>
    </row>
    <row r="1020" spans="2:8" ht="32.25" customHeight="1" x14ac:dyDescent="0.25">
      <c r="B1020" s="444" t="s">
        <v>975</v>
      </c>
      <c r="C1020" s="445"/>
      <c r="D1020" s="445"/>
      <c r="E1020" s="445"/>
      <c r="F1020" s="445"/>
      <c r="G1020" s="446"/>
      <c r="H1020" s="1"/>
    </row>
    <row r="1021" spans="2:8" ht="55.5" customHeight="1" x14ac:dyDescent="0.25">
      <c r="B1021" s="385" t="s">
        <v>976</v>
      </c>
      <c r="C1021" s="386"/>
      <c r="D1021" s="386"/>
      <c r="E1021" s="386"/>
      <c r="F1021" s="386"/>
      <c r="G1021" s="387"/>
      <c r="H1021" s="1"/>
    </row>
    <row r="1022" spans="2:8" ht="53.25" customHeight="1" x14ac:dyDescent="0.25">
      <c r="B1022" s="385" t="s">
        <v>977</v>
      </c>
      <c r="C1022" s="386"/>
      <c r="D1022" s="386"/>
      <c r="E1022" s="386"/>
      <c r="F1022" s="386"/>
      <c r="G1022" s="387"/>
      <c r="H1022" s="1"/>
    </row>
    <row r="1023" spans="2:8" ht="15" customHeight="1" x14ac:dyDescent="0.25">
      <c r="B1023" s="100"/>
      <c r="C1023" s="101"/>
      <c r="D1023" s="101"/>
      <c r="E1023" s="101"/>
      <c r="F1023" s="101"/>
      <c r="G1023" s="102"/>
      <c r="H1023" s="1"/>
    </row>
    <row r="1024" spans="2:8" ht="15" customHeight="1" x14ac:dyDescent="0.25">
      <c r="B1024" s="385" t="s">
        <v>978</v>
      </c>
      <c r="C1024" s="386"/>
      <c r="D1024" s="386"/>
      <c r="E1024" s="386"/>
      <c r="F1024" s="386"/>
      <c r="G1024" s="387"/>
      <c r="H1024" s="1"/>
    </row>
    <row r="1025" spans="2:8" ht="15" customHeight="1" x14ac:dyDescent="0.25">
      <c r="B1025" s="444" t="s">
        <v>979</v>
      </c>
      <c r="C1025" s="445"/>
      <c r="D1025" s="445"/>
      <c r="E1025" s="445"/>
      <c r="F1025" s="445"/>
      <c r="G1025" s="446"/>
      <c r="H1025" s="1"/>
    </row>
    <row r="1026" spans="2:8" ht="28.5" customHeight="1" x14ac:dyDescent="0.25">
      <c r="B1026" s="468" t="s">
        <v>980</v>
      </c>
      <c r="C1026" s="445"/>
      <c r="D1026" s="445"/>
      <c r="E1026" s="445"/>
      <c r="F1026" s="445"/>
      <c r="G1026" s="446"/>
      <c r="H1026" s="1"/>
    </row>
    <row r="1027" spans="2:8" ht="15" customHeight="1" x14ac:dyDescent="0.25">
      <c r="B1027" s="428" t="s">
        <v>981</v>
      </c>
      <c r="C1027" s="417"/>
      <c r="D1027" s="417"/>
      <c r="E1027" s="417"/>
      <c r="F1027" s="417"/>
      <c r="G1027" s="418"/>
      <c r="H1027" s="1"/>
    </row>
    <row r="1028" spans="2:8" ht="15" customHeight="1" x14ac:dyDescent="0.25">
      <c r="B1028" s="431" t="s">
        <v>982</v>
      </c>
      <c r="C1028" s="386"/>
      <c r="D1028" s="386"/>
      <c r="E1028" s="386"/>
      <c r="F1028" s="386"/>
      <c r="G1028" s="387"/>
      <c r="H1028" s="1"/>
    </row>
    <row r="1029" spans="2:8" ht="15" customHeight="1" x14ac:dyDescent="0.25">
      <c r="B1029" s="468" t="s">
        <v>983</v>
      </c>
      <c r="C1029" s="445"/>
      <c r="D1029" s="445"/>
      <c r="E1029" s="445"/>
      <c r="F1029" s="445"/>
      <c r="G1029" s="446"/>
      <c r="H1029" s="1"/>
    </row>
    <row r="1030" spans="2:8" ht="15" customHeight="1" x14ac:dyDescent="0.25">
      <c r="B1030" s="431" t="s">
        <v>984</v>
      </c>
      <c r="C1030" s="386"/>
      <c r="D1030" s="386"/>
      <c r="E1030" s="386"/>
      <c r="F1030" s="386"/>
      <c r="G1030" s="387"/>
      <c r="H1030" s="1"/>
    </row>
    <row r="1031" spans="2:8" ht="15" customHeight="1" x14ac:dyDescent="0.25">
      <c r="B1031" s="431" t="s">
        <v>985</v>
      </c>
      <c r="C1031" s="386"/>
      <c r="D1031" s="386"/>
      <c r="E1031" s="386"/>
      <c r="F1031" s="386"/>
      <c r="G1031" s="387"/>
      <c r="H1031" s="1"/>
    </row>
    <row r="1032" spans="2:8" ht="27.75" customHeight="1" x14ac:dyDescent="0.25">
      <c r="B1032" s="431" t="s">
        <v>986</v>
      </c>
      <c r="C1032" s="386"/>
      <c r="D1032" s="386"/>
      <c r="E1032" s="386"/>
      <c r="F1032" s="386"/>
      <c r="G1032" s="387"/>
      <c r="H1032" s="1"/>
    </row>
    <row r="1033" spans="2:8" ht="15" customHeight="1" x14ac:dyDescent="0.25">
      <c r="B1033" s="468" t="s">
        <v>748</v>
      </c>
      <c r="C1033" s="445"/>
      <c r="D1033" s="445"/>
      <c r="E1033" s="445"/>
      <c r="F1033" s="445"/>
      <c r="G1033" s="446"/>
      <c r="H1033" s="1"/>
    </row>
    <row r="1034" spans="2:8" ht="15" customHeight="1" x14ac:dyDescent="0.25">
      <c r="B1034" s="431" t="s">
        <v>987</v>
      </c>
      <c r="C1034" s="386"/>
      <c r="D1034" s="386"/>
      <c r="E1034" s="386"/>
      <c r="F1034" s="386"/>
      <c r="G1034" s="387"/>
      <c r="H1034" s="1"/>
    </row>
    <row r="1035" spans="2:8" ht="27.75" customHeight="1" x14ac:dyDescent="0.25">
      <c r="B1035" s="468" t="s">
        <v>988</v>
      </c>
      <c r="C1035" s="445"/>
      <c r="D1035" s="445"/>
      <c r="E1035" s="445"/>
      <c r="F1035" s="445"/>
      <c r="G1035" s="446"/>
      <c r="H1035" s="1"/>
    </row>
    <row r="1036" spans="2:8" ht="15" customHeight="1" x14ac:dyDescent="0.25">
      <c r="B1036" s="100"/>
      <c r="C1036" s="101"/>
      <c r="D1036" s="101"/>
      <c r="E1036" s="101"/>
      <c r="F1036" s="101"/>
      <c r="G1036" s="102"/>
      <c r="H1036" s="1"/>
    </row>
    <row r="1037" spans="2:8" ht="15" customHeight="1" x14ac:dyDescent="0.25">
      <c r="B1037" s="385" t="s">
        <v>989</v>
      </c>
      <c r="C1037" s="386"/>
      <c r="D1037" s="386"/>
      <c r="E1037" s="386"/>
      <c r="F1037" s="386"/>
      <c r="G1037" s="387"/>
      <c r="H1037" s="1"/>
    </row>
    <row r="1038" spans="2:8" ht="15" customHeight="1" x14ac:dyDescent="0.25">
      <c r="B1038" s="385" t="s">
        <v>990</v>
      </c>
      <c r="C1038" s="386"/>
      <c r="D1038" s="386"/>
      <c r="E1038" s="386"/>
      <c r="F1038" s="386"/>
      <c r="G1038" s="387"/>
      <c r="H1038" s="1"/>
    </row>
    <row r="1039" spans="2:8" ht="31.5" customHeight="1" x14ac:dyDescent="0.25">
      <c r="B1039" s="385" t="s">
        <v>991</v>
      </c>
      <c r="C1039" s="386"/>
      <c r="D1039" s="386"/>
      <c r="E1039" s="386"/>
      <c r="F1039" s="386"/>
      <c r="G1039" s="387"/>
      <c r="H1039" s="1"/>
    </row>
    <row r="1040" spans="2:8" ht="15" customHeight="1" x14ac:dyDescent="0.25">
      <c r="B1040" s="385" t="s">
        <v>992</v>
      </c>
      <c r="C1040" s="386"/>
      <c r="D1040" s="386"/>
      <c r="E1040" s="386"/>
      <c r="F1040" s="386"/>
      <c r="G1040" s="387"/>
      <c r="H1040" s="1"/>
    </row>
    <row r="1041" spans="2:8" ht="15" customHeight="1" x14ac:dyDescent="0.25">
      <c r="B1041" s="100"/>
      <c r="C1041" s="101"/>
      <c r="D1041" s="101"/>
      <c r="E1041" s="101"/>
      <c r="F1041" s="101"/>
      <c r="G1041" s="102"/>
      <c r="H1041" s="1"/>
    </row>
    <row r="1042" spans="2:8" ht="15" customHeight="1" x14ac:dyDescent="0.25">
      <c r="B1042" s="462" t="s">
        <v>389</v>
      </c>
      <c r="C1042" s="463"/>
      <c r="D1042" s="463"/>
      <c r="E1042" s="463"/>
      <c r="F1042" s="463"/>
      <c r="G1042" s="464"/>
      <c r="H1042" s="1"/>
    </row>
    <row r="1043" spans="2:8" ht="15" customHeight="1" x14ac:dyDescent="0.25">
      <c r="B1043" s="106"/>
      <c r="C1043" s="107"/>
      <c r="D1043" s="107"/>
      <c r="E1043" s="107"/>
      <c r="F1043" s="107"/>
      <c r="G1043" s="108"/>
      <c r="H1043" s="1"/>
    </row>
    <row r="1044" spans="2:8" ht="28.5" customHeight="1" x14ac:dyDescent="0.25">
      <c r="B1044" s="385" t="s">
        <v>993</v>
      </c>
      <c r="C1044" s="386"/>
      <c r="D1044" s="386"/>
      <c r="E1044" s="386"/>
      <c r="F1044" s="386"/>
      <c r="G1044" s="387"/>
      <c r="H1044" s="1"/>
    </row>
    <row r="1045" spans="2:8" ht="63.75" customHeight="1" x14ac:dyDescent="0.25">
      <c r="B1045" s="385" t="s">
        <v>994</v>
      </c>
      <c r="C1045" s="386"/>
      <c r="D1045" s="386"/>
      <c r="E1045" s="386"/>
      <c r="F1045" s="386"/>
      <c r="G1045" s="387"/>
      <c r="H1045" s="1"/>
    </row>
    <row r="1046" spans="2:8" ht="52.5" customHeight="1" x14ac:dyDescent="0.25">
      <c r="B1046" s="385" t="s">
        <v>995</v>
      </c>
      <c r="C1046" s="386"/>
      <c r="D1046" s="386"/>
      <c r="E1046" s="386"/>
      <c r="F1046" s="386"/>
      <c r="G1046" s="387"/>
      <c r="H1046" s="1"/>
    </row>
    <row r="1047" spans="2:8" ht="15" customHeight="1" x14ac:dyDescent="0.25">
      <c r="B1047" s="385" t="s">
        <v>996</v>
      </c>
      <c r="C1047" s="386"/>
      <c r="D1047" s="386"/>
      <c r="E1047" s="386"/>
      <c r="F1047" s="386"/>
      <c r="G1047" s="387"/>
      <c r="H1047" s="1"/>
    </row>
    <row r="1048" spans="2:8" ht="15" customHeight="1" x14ac:dyDescent="0.25">
      <c r="B1048" s="109"/>
      <c r="C1048" s="110"/>
      <c r="D1048" s="110"/>
      <c r="E1048" s="110"/>
      <c r="F1048" s="110"/>
      <c r="G1048" s="111"/>
      <c r="H1048" s="1"/>
    </row>
    <row r="1049" spans="2:8" ht="15" customHeight="1" x14ac:dyDescent="0.25">
      <c r="B1049" s="470" t="s">
        <v>997</v>
      </c>
      <c r="C1049" s="471"/>
      <c r="D1049" s="471"/>
      <c r="E1049" s="471"/>
      <c r="F1049" s="471"/>
      <c r="G1049" s="472"/>
      <c r="H1049" s="1"/>
    </row>
    <row r="1050" spans="2:8" ht="52.5" customHeight="1" x14ac:dyDescent="0.25">
      <c r="B1050" s="473" t="s">
        <v>998</v>
      </c>
      <c r="C1050" s="474"/>
      <c r="D1050" s="474"/>
      <c r="E1050" s="474"/>
      <c r="F1050" s="474"/>
      <c r="G1050" s="475"/>
      <c r="H1050" s="1"/>
    </row>
    <row r="1051" spans="2:8" ht="27" customHeight="1" x14ac:dyDescent="0.25">
      <c r="B1051" s="473" t="s">
        <v>999</v>
      </c>
      <c r="C1051" s="474"/>
      <c r="D1051" s="474"/>
      <c r="E1051" s="474"/>
      <c r="F1051" s="474"/>
      <c r="G1051" s="475"/>
      <c r="H1051" s="1"/>
    </row>
    <row r="1052" spans="2:8" ht="15" customHeight="1" x14ac:dyDescent="0.25">
      <c r="B1052" s="469"/>
      <c r="C1052" s="469"/>
      <c r="D1052" s="469"/>
      <c r="E1052" s="469"/>
      <c r="F1052" s="469"/>
      <c r="G1052" s="469"/>
      <c r="H1052" s="1"/>
    </row>
    <row r="1053" spans="2:8" ht="15" customHeight="1" x14ac:dyDescent="0.25">
      <c r="B1053" s="469"/>
      <c r="C1053" s="469"/>
      <c r="D1053" s="469"/>
      <c r="E1053" s="469"/>
      <c r="F1053" s="469"/>
      <c r="G1053" s="469"/>
      <c r="H1053" s="1"/>
    </row>
    <row r="1054" spans="2:8" ht="15" customHeight="1" x14ac:dyDescent="0.25">
      <c r="B1054" s="469"/>
      <c r="C1054" s="469"/>
      <c r="D1054" s="469"/>
      <c r="E1054" s="469"/>
      <c r="F1054" s="469"/>
      <c r="G1054" s="469"/>
      <c r="H1054" s="1"/>
    </row>
    <row r="1055" spans="2:8" ht="15" customHeight="1" x14ac:dyDescent="0.25">
      <c r="B1055" s="469"/>
      <c r="C1055" s="469"/>
      <c r="D1055" s="469"/>
      <c r="E1055" s="469"/>
      <c r="F1055" s="469"/>
      <c r="G1055" s="469"/>
      <c r="H1055" s="1"/>
    </row>
    <row r="1056" spans="2:8" ht="15" customHeight="1" x14ac:dyDescent="0.25">
      <c r="B1056" s="469"/>
      <c r="C1056" s="469"/>
      <c r="D1056" s="469"/>
      <c r="E1056" s="469"/>
      <c r="F1056" s="469"/>
      <c r="G1056" s="469"/>
      <c r="H1056" s="1"/>
    </row>
  </sheetData>
  <mergeCells count="988">
    <mergeCell ref="B1053:G1053"/>
    <mergeCell ref="B1054:G1054"/>
    <mergeCell ref="B1055:G1055"/>
    <mergeCell ref="B1056:G1056"/>
    <mergeCell ref="B1046:G1046"/>
    <mergeCell ref="B1047:G1047"/>
    <mergeCell ref="B1049:G1049"/>
    <mergeCell ref="B1050:G1050"/>
    <mergeCell ref="B1051:G1051"/>
    <mergeCell ref="B1052:G1052"/>
    <mergeCell ref="B1038:G1038"/>
    <mergeCell ref="B1039:G1039"/>
    <mergeCell ref="B1040:G1040"/>
    <mergeCell ref="B1042:G1042"/>
    <mergeCell ref="B1044:G1044"/>
    <mergeCell ref="B1045:G1045"/>
    <mergeCell ref="B1031:G1031"/>
    <mergeCell ref="B1032:G1032"/>
    <mergeCell ref="B1033:G1033"/>
    <mergeCell ref="B1034:G1034"/>
    <mergeCell ref="B1035:G1035"/>
    <mergeCell ref="B1037:G1037"/>
    <mergeCell ref="B1025:G1025"/>
    <mergeCell ref="B1026:G1026"/>
    <mergeCell ref="B1027:G1027"/>
    <mergeCell ref="B1028:G1028"/>
    <mergeCell ref="B1029:G1029"/>
    <mergeCell ref="B1030:G1030"/>
    <mergeCell ref="B1018:G1018"/>
    <mergeCell ref="B1019:G1019"/>
    <mergeCell ref="B1020:G1020"/>
    <mergeCell ref="B1021:G1021"/>
    <mergeCell ref="B1022:G1022"/>
    <mergeCell ref="B1024:G1024"/>
    <mergeCell ref="B1012:G1012"/>
    <mergeCell ref="B1013:G1013"/>
    <mergeCell ref="B1014:G1014"/>
    <mergeCell ref="B1015:G1015"/>
    <mergeCell ref="B1016:G1016"/>
    <mergeCell ref="B1017:G1017"/>
    <mergeCell ref="B1005:G1005"/>
    <mergeCell ref="B1007:G1007"/>
    <mergeCell ref="B1008:G1008"/>
    <mergeCell ref="B1009:G1009"/>
    <mergeCell ref="B1010:G1010"/>
    <mergeCell ref="B1011:G1011"/>
    <mergeCell ref="B999:G999"/>
    <mergeCell ref="B1000:G1000"/>
    <mergeCell ref="B1001:G1001"/>
    <mergeCell ref="B1002:G1002"/>
    <mergeCell ref="B1003:G1003"/>
    <mergeCell ref="B1004:G1004"/>
    <mergeCell ref="B993:G993"/>
    <mergeCell ref="B994:G994"/>
    <mergeCell ref="B995:G995"/>
    <mergeCell ref="B996:G996"/>
    <mergeCell ref="B997:G997"/>
    <mergeCell ref="B998:G998"/>
    <mergeCell ref="B985:G985"/>
    <mergeCell ref="B986:G986"/>
    <mergeCell ref="B988:G988"/>
    <mergeCell ref="B989:G989"/>
    <mergeCell ref="B990:G990"/>
    <mergeCell ref="B992:G992"/>
    <mergeCell ref="B978:G978"/>
    <mergeCell ref="B979:G979"/>
    <mergeCell ref="B980:G980"/>
    <mergeCell ref="B981:G981"/>
    <mergeCell ref="B983:G983"/>
    <mergeCell ref="B984:G984"/>
    <mergeCell ref="B970:G970"/>
    <mergeCell ref="B971:G971"/>
    <mergeCell ref="B972:G972"/>
    <mergeCell ref="B974:G974"/>
    <mergeCell ref="B975:G975"/>
    <mergeCell ref="B976:G976"/>
    <mergeCell ref="B963:G963"/>
    <mergeCell ref="B964:G964"/>
    <mergeCell ref="B965:G965"/>
    <mergeCell ref="B966:G966"/>
    <mergeCell ref="B968:G968"/>
    <mergeCell ref="B969:G969"/>
    <mergeCell ref="B956:G956"/>
    <mergeCell ref="B957:G957"/>
    <mergeCell ref="B958:G958"/>
    <mergeCell ref="B959:G959"/>
    <mergeCell ref="B960:G960"/>
    <mergeCell ref="B962:G962"/>
    <mergeCell ref="B950:G950"/>
    <mergeCell ref="B951:G951"/>
    <mergeCell ref="B952:G952"/>
    <mergeCell ref="B953:G953"/>
    <mergeCell ref="B954:G954"/>
    <mergeCell ref="B955:G955"/>
    <mergeCell ref="B944:G944"/>
    <mergeCell ref="B945:G945"/>
    <mergeCell ref="B946:G946"/>
    <mergeCell ref="B947:G947"/>
    <mergeCell ref="B948:G948"/>
    <mergeCell ref="B949:G949"/>
    <mergeCell ref="B936:G936"/>
    <mergeCell ref="B937:G937"/>
    <mergeCell ref="B938:G938"/>
    <mergeCell ref="B939:G939"/>
    <mergeCell ref="B940:G940"/>
    <mergeCell ref="B942:G942"/>
    <mergeCell ref="B930:G930"/>
    <mergeCell ref="B931:G931"/>
    <mergeCell ref="B932:G932"/>
    <mergeCell ref="B933:G933"/>
    <mergeCell ref="B934:G934"/>
    <mergeCell ref="B935:G935"/>
    <mergeCell ref="B922:G922"/>
    <mergeCell ref="B923:G923"/>
    <mergeCell ref="B925:G925"/>
    <mergeCell ref="B927:G927"/>
    <mergeCell ref="B928:G928"/>
    <mergeCell ref="B929:G929"/>
    <mergeCell ref="B915:G915"/>
    <mergeCell ref="B916:G916"/>
    <mergeCell ref="B917:G917"/>
    <mergeCell ref="B919:G919"/>
    <mergeCell ref="B920:G920"/>
    <mergeCell ref="B921:G921"/>
    <mergeCell ref="B907:G907"/>
    <mergeCell ref="B908:G908"/>
    <mergeCell ref="B910:G910"/>
    <mergeCell ref="B911:G911"/>
    <mergeCell ref="B912:G912"/>
    <mergeCell ref="B914:G914"/>
    <mergeCell ref="B900:G900"/>
    <mergeCell ref="B901:G901"/>
    <mergeCell ref="B902:G902"/>
    <mergeCell ref="B903:G903"/>
    <mergeCell ref="B905:G905"/>
    <mergeCell ref="B906:G906"/>
    <mergeCell ref="B892:G892"/>
    <mergeCell ref="B893:G893"/>
    <mergeCell ref="B894:G894"/>
    <mergeCell ref="B895:G895"/>
    <mergeCell ref="B897:G897"/>
    <mergeCell ref="B898:G898"/>
    <mergeCell ref="B885:G885"/>
    <mergeCell ref="B886:G886"/>
    <mergeCell ref="B887:G887"/>
    <mergeCell ref="B888:G888"/>
    <mergeCell ref="B890:G890"/>
    <mergeCell ref="B891:G891"/>
    <mergeCell ref="B877:G877"/>
    <mergeCell ref="B879:G879"/>
    <mergeCell ref="B880:G880"/>
    <mergeCell ref="B882:G882"/>
    <mergeCell ref="B883:G883"/>
    <mergeCell ref="B884:G884"/>
    <mergeCell ref="B871:G871"/>
    <mergeCell ref="B872:G872"/>
    <mergeCell ref="B873:G873"/>
    <mergeCell ref="B874:G874"/>
    <mergeCell ref="B875:G875"/>
    <mergeCell ref="B876:G876"/>
    <mergeCell ref="B864:G864"/>
    <mergeCell ref="B865:G865"/>
    <mergeCell ref="B866:G866"/>
    <mergeCell ref="B868:G868"/>
    <mergeCell ref="B869:G869"/>
    <mergeCell ref="B870:G870"/>
    <mergeCell ref="B858:G858"/>
    <mergeCell ref="B859:G859"/>
    <mergeCell ref="B860:G860"/>
    <mergeCell ref="B861:G861"/>
    <mergeCell ref="B862:G862"/>
    <mergeCell ref="B863:G863"/>
    <mergeCell ref="B852:G852"/>
    <mergeCell ref="B853:G853"/>
    <mergeCell ref="B854:G854"/>
    <mergeCell ref="B855:G855"/>
    <mergeCell ref="B856:G856"/>
    <mergeCell ref="B857:G857"/>
    <mergeCell ref="B846:G846"/>
    <mergeCell ref="B847:G847"/>
    <mergeCell ref="B848:G848"/>
    <mergeCell ref="B849:G849"/>
    <mergeCell ref="B850:G850"/>
    <mergeCell ref="B851:G851"/>
    <mergeCell ref="B839:G839"/>
    <mergeCell ref="B840:G840"/>
    <mergeCell ref="B841:G841"/>
    <mergeCell ref="B842:G842"/>
    <mergeCell ref="B843:G843"/>
    <mergeCell ref="B844:G844"/>
    <mergeCell ref="B832:G832"/>
    <mergeCell ref="B833:G833"/>
    <mergeCell ref="B834:G834"/>
    <mergeCell ref="B835:G835"/>
    <mergeCell ref="B836:G836"/>
    <mergeCell ref="B837:G837"/>
    <mergeCell ref="B825:G825"/>
    <mergeCell ref="B826:G826"/>
    <mergeCell ref="B827:G827"/>
    <mergeCell ref="B829:G829"/>
    <mergeCell ref="B830:G830"/>
    <mergeCell ref="B831:G831"/>
    <mergeCell ref="B819:G819"/>
    <mergeCell ref="B820:G820"/>
    <mergeCell ref="B821:G821"/>
    <mergeCell ref="B822:G822"/>
    <mergeCell ref="B823:G823"/>
    <mergeCell ref="B824:G824"/>
    <mergeCell ref="B813:G813"/>
    <mergeCell ref="B814:G814"/>
    <mergeCell ref="B815:G815"/>
    <mergeCell ref="B816:G816"/>
    <mergeCell ref="B817:G817"/>
    <mergeCell ref="B818:G818"/>
    <mergeCell ref="B806:G806"/>
    <mergeCell ref="B807:G807"/>
    <mergeCell ref="B809:G809"/>
    <mergeCell ref="B810:G810"/>
    <mergeCell ref="B811:G811"/>
    <mergeCell ref="B812:G812"/>
    <mergeCell ref="B800:G800"/>
    <mergeCell ref="B801:G801"/>
    <mergeCell ref="B802:G802"/>
    <mergeCell ref="B803:G803"/>
    <mergeCell ref="B804:G804"/>
    <mergeCell ref="B805:G805"/>
    <mergeCell ref="B794:G794"/>
    <mergeCell ref="B795:G795"/>
    <mergeCell ref="B796:G796"/>
    <mergeCell ref="B797:G797"/>
    <mergeCell ref="B798:G798"/>
    <mergeCell ref="B799:G799"/>
    <mergeCell ref="B787:G787"/>
    <mergeCell ref="B788:G788"/>
    <mergeCell ref="B789:G789"/>
    <mergeCell ref="B790:G790"/>
    <mergeCell ref="B791:G791"/>
    <mergeCell ref="B793:G793"/>
    <mergeCell ref="B781:G781"/>
    <mergeCell ref="B782:G782"/>
    <mergeCell ref="B783:G783"/>
    <mergeCell ref="B784:G784"/>
    <mergeCell ref="B785:G785"/>
    <mergeCell ref="B786:G786"/>
    <mergeCell ref="B775:G775"/>
    <mergeCell ref="B776:G776"/>
    <mergeCell ref="B777:G777"/>
    <mergeCell ref="B778:G778"/>
    <mergeCell ref="B779:G779"/>
    <mergeCell ref="B780:G780"/>
    <mergeCell ref="B769:G769"/>
    <mergeCell ref="B770:G770"/>
    <mergeCell ref="B771:G771"/>
    <mergeCell ref="B772:G772"/>
    <mergeCell ref="B773:G773"/>
    <mergeCell ref="B774:G774"/>
    <mergeCell ref="B763:G763"/>
    <mergeCell ref="B764:G764"/>
    <mergeCell ref="B765:G765"/>
    <mergeCell ref="B766:G766"/>
    <mergeCell ref="B767:G767"/>
    <mergeCell ref="B768:G768"/>
    <mergeCell ref="B757:G757"/>
    <mergeCell ref="B758:G758"/>
    <mergeCell ref="B759:G759"/>
    <mergeCell ref="B760:G760"/>
    <mergeCell ref="B761:G761"/>
    <mergeCell ref="B762:G762"/>
    <mergeCell ref="B751:G751"/>
    <mergeCell ref="B752:G752"/>
    <mergeCell ref="B753:G753"/>
    <mergeCell ref="B754:G754"/>
    <mergeCell ref="B755:G755"/>
    <mergeCell ref="B756:G756"/>
    <mergeCell ref="B745:G745"/>
    <mergeCell ref="B746:G746"/>
    <mergeCell ref="B747:G747"/>
    <mergeCell ref="B748:G748"/>
    <mergeCell ref="B749:G749"/>
    <mergeCell ref="B750:G750"/>
    <mergeCell ref="B739:G739"/>
    <mergeCell ref="B740:G740"/>
    <mergeCell ref="B741:G741"/>
    <mergeCell ref="B742:G742"/>
    <mergeCell ref="B743:G743"/>
    <mergeCell ref="B744:G744"/>
    <mergeCell ref="B733:G733"/>
    <mergeCell ref="B734:G734"/>
    <mergeCell ref="B735:G735"/>
    <mergeCell ref="B736:G736"/>
    <mergeCell ref="B737:G737"/>
    <mergeCell ref="B738:G738"/>
    <mergeCell ref="B727:G727"/>
    <mergeCell ref="B728:G728"/>
    <mergeCell ref="B729:G729"/>
    <mergeCell ref="B730:G730"/>
    <mergeCell ref="B731:G731"/>
    <mergeCell ref="B732:G732"/>
    <mergeCell ref="B721:G721"/>
    <mergeCell ref="B722:G722"/>
    <mergeCell ref="B723:G723"/>
    <mergeCell ref="B724:G724"/>
    <mergeCell ref="B725:G725"/>
    <mergeCell ref="B726:G726"/>
    <mergeCell ref="B715:G715"/>
    <mergeCell ref="B716:G716"/>
    <mergeCell ref="B717:G717"/>
    <mergeCell ref="B718:G718"/>
    <mergeCell ref="B719:G719"/>
    <mergeCell ref="B720:G720"/>
    <mergeCell ref="B709:G709"/>
    <mergeCell ref="B710:G710"/>
    <mergeCell ref="B711:G711"/>
    <mergeCell ref="B712:G712"/>
    <mergeCell ref="B713:G713"/>
    <mergeCell ref="B714:G714"/>
    <mergeCell ref="B703:G703"/>
    <mergeCell ref="B704:G704"/>
    <mergeCell ref="B705:G705"/>
    <mergeCell ref="B706:G706"/>
    <mergeCell ref="B707:G707"/>
    <mergeCell ref="B708:G708"/>
    <mergeCell ref="B696:G696"/>
    <mergeCell ref="B697:G697"/>
    <mergeCell ref="B698:G698"/>
    <mergeCell ref="B700:G700"/>
    <mergeCell ref="B701:G701"/>
    <mergeCell ref="B702:G702"/>
    <mergeCell ref="B690:G690"/>
    <mergeCell ref="B691:G691"/>
    <mergeCell ref="B692:G692"/>
    <mergeCell ref="B693:G693"/>
    <mergeCell ref="B694:G694"/>
    <mergeCell ref="B695:G695"/>
    <mergeCell ref="B684:G684"/>
    <mergeCell ref="B685:G685"/>
    <mergeCell ref="B686:G686"/>
    <mergeCell ref="B687:G687"/>
    <mergeCell ref="B688:G688"/>
    <mergeCell ref="B689:G689"/>
    <mergeCell ref="B678:G678"/>
    <mergeCell ref="B679:G679"/>
    <mergeCell ref="B680:G680"/>
    <mergeCell ref="B681:G681"/>
    <mergeCell ref="B682:G682"/>
    <mergeCell ref="B683:G683"/>
    <mergeCell ref="B672:G672"/>
    <mergeCell ref="B673:G673"/>
    <mergeCell ref="B674:G674"/>
    <mergeCell ref="B675:G675"/>
    <mergeCell ref="B676:G676"/>
    <mergeCell ref="B677:G677"/>
    <mergeCell ref="B666:G666"/>
    <mergeCell ref="B667:G667"/>
    <mergeCell ref="B668:G668"/>
    <mergeCell ref="B669:G669"/>
    <mergeCell ref="B670:G670"/>
    <mergeCell ref="B671:G671"/>
    <mergeCell ref="B660:G660"/>
    <mergeCell ref="B661:G661"/>
    <mergeCell ref="B662:G662"/>
    <mergeCell ref="B663:G663"/>
    <mergeCell ref="B664:G664"/>
    <mergeCell ref="B665:G665"/>
    <mergeCell ref="B654:G654"/>
    <mergeCell ref="B655:G655"/>
    <mergeCell ref="B656:G656"/>
    <mergeCell ref="B657:G657"/>
    <mergeCell ref="B658:G658"/>
    <mergeCell ref="B659:G659"/>
    <mergeCell ref="B648:G648"/>
    <mergeCell ref="B649:G649"/>
    <mergeCell ref="B650:G650"/>
    <mergeCell ref="B651:G651"/>
    <mergeCell ref="B652:G652"/>
    <mergeCell ref="B653:G653"/>
    <mergeCell ref="B641:G641"/>
    <mergeCell ref="B642:G642"/>
    <mergeCell ref="B643:G643"/>
    <mergeCell ref="B644:G644"/>
    <mergeCell ref="B645:G645"/>
    <mergeCell ref="B647:G647"/>
    <mergeCell ref="B635:G635"/>
    <mergeCell ref="B636:G636"/>
    <mergeCell ref="B637:G637"/>
    <mergeCell ref="B638:G638"/>
    <mergeCell ref="B639:G639"/>
    <mergeCell ref="B640:G640"/>
    <mergeCell ref="B629:G629"/>
    <mergeCell ref="B630:G630"/>
    <mergeCell ref="B631:G631"/>
    <mergeCell ref="B632:G632"/>
    <mergeCell ref="B633:G633"/>
    <mergeCell ref="B634:G634"/>
    <mergeCell ref="B623:G623"/>
    <mergeCell ref="B624:G624"/>
    <mergeCell ref="B625:G625"/>
    <mergeCell ref="B626:G626"/>
    <mergeCell ref="B627:G627"/>
    <mergeCell ref="B628:G628"/>
    <mergeCell ref="B617:G617"/>
    <mergeCell ref="B618:G618"/>
    <mergeCell ref="B619:G619"/>
    <mergeCell ref="B620:G620"/>
    <mergeCell ref="B621:G621"/>
    <mergeCell ref="B622:G622"/>
    <mergeCell ref="B609:G609"/>
    <mergeCell ref="B610:G610"/>
    <mergeCell ref="B612:G612"/>
    <mergeCell ref="B613:G613"/>
    <mergeCell ref="B614:G614"/>
    <mergeCell ref="B615:G615"/>
    <mergeCell ref="B603:G603"/>
    <mergeCell ref="B604:G604"/>
    <mergeCell ref="B605:G605"/>
    <mergeCell ref="B606:G606"/>
    <mergeCell ref="B607:G607"/>
    <mergeCell ref="B608:G608"/>
    <mergeCell ref="B596:G596"/>
    <mergeCell ref="B598:G598"/>
    <mergeCell ref="B599:G599"/>
    <mergeCell ref="B600:G600"/>
    <mergeCell ref="B601:G601"/>
    <mergeCell ref="B602:G602"/>
    <mergeCell ref="B589:G589"/>
    <mergeCell ref="B590:G590"/>
    <mergeCell ref="B591:G591"/>
    <mergeCell ref="B593:G593"/>
    <mergeCell ref="B594:G594"/>
    <mergeCell ref="B595:G595"/>
    <mergeCell ref="B583:G583"/>
    <mergeCell ref="B584:G584"/>
    <mergeCell ref="B585:G585"/>
    <mergeCell ref="B586:G586"/>
    <mergeCell ref="B587:G587"/>
    <mergeCell ref="B588:G588"/>
    <mergeCell ref="B576:G576"/>
    <mergeCell ref="B577:G577"/>
    <mergeCell ref="B578:G578"/>
    <mergeCell ref="B580:G580"/>
    <mergeCell ref="B581:G581"/>
    <mergeCell ref="B582:G582"/>
    <mergeCell ref="B569:G569"/>
    <mergeCell ref="B570:G570"/>
    <mergeCell ref="B571:G571"/>
    <mergeCell ref="B572:G572"/>
    <mergeCell ref="B573:G573"/>
    <mergeCell ref="B574:G574"/>
    <mergeCell ref="B562:G562"/>
    <mergeCell ref="B563:G563"/>
    <mergeCell ref="B564:G564"/>
    <mergeCell ref="B566:G566"/>
    <mergeCell ref="B567:G567"/>
    <mergeCell ref="B568:G568"/>
    <mergeCell ref="B556:G556"/>
    <mergeCell ref="B557:G557"/>
    <mergeCell ref="B558:G558"/>
    <mergeCell ref="B559:G559"/>
    <mergeCell ref="B560:G560"/>
    <mergeCell ref="B561:G561"/>
    <mergeCell ref="B550:G550"/>
    <mergeCell ref="B551:G551"/>
    <mergeCell ref="B552:G552"/>
    <mergeCell ref="B553:G553"/>
    <mergeCell ref="B554:G554"/>
    <mergeCell ref="B555:G555"/>
    <mergeCell ref="B544:G544"/>
    <mergeCell ref="B545:G545"/>
    <mergeCell ref="B546:G546"/>
    <mergeCell ref="B547:G547"/>
    <mergeCell ref="B548:G548"/>
    <mergeCell ref="B549:G549"/>
    <mergeCell ref="B538:G538"/>
    <mergeCell ref="B539:G539"/>
    <mergeCell ref="B540:G540"/>
    <mergeCell ref="B541:G541"/>
    <mergeCell ref="B542:G542"/>
    <mergeCell ref="B543:G543"/>
    <mergeCell ref="B532:G532"/>
    <mergeCell ref="B533:G533"/>
    <mergeCell ref="B534:G534"/>
    <mergeCell ref="B535:G535"/>
    <mergeCell ref="B536:G536"/>
    <mergeCell ref="B537:G537"/>
    <mergeCell ref="B526:G526"/>
    <mergeCell ref="B527:G527"/>
    <mergeCell ref="B528:G528"/>
    <mergeCell ref="B529:G529"/>
    <mergeCell ref="B530:G530"/>
    <mergeCell ref="B531:G531"/>
    <mergeCell ref="B520:G520"/>
    <mergeCell ref="B521:G521"/>
    <mergeCell ref="B522:G522"/>
    <mergeCell ref="B523:G523"/>
    <mergeCell ref="B524:G524"/>
    <mergeCell ref="B525:G525"/>
    <mergeCell ref="B514:G514"/>
    <mergeCell ref="B515:G515"/>
    <mergeCell ref="B516:G516"/>
    <mergeCell ref="B517:G517"/>
    <mergeCell ref="B518:G518"/>
    <mergeCell ref="B519:G519"/>
    <mergeCell ref="B507:G507"/>
    <mergeCell ref="B508:G508"/>
    <mergeCell ref="B509:G509"/>
    <mergeCell ref="B511:G511"/>
    <mergeCell ref="B512:G512"/>
    <mergeCell ref="B513:G513"/>
    <mergeCell ref="B500:G500"/>
    <mergeCell ref="B502:G502"/>
    <mergeCell ref="B503:G503"/>
    <mergeCell ref="B504:G504"/>
    <mergeCell ref="B505:G505"/>
    <mergeCell ref="B506:G506"/>
    <mergeCell ref="B493:G493"/>
    <mergeCell ref="B494:G494"/>
    <mergeCell ref="B495:G495"/>
    <mergeCell ref="B496:G496"/>
    <mergeCell ref="B497:G497"/>
    <mergeCell ref="B498:G498"/>
    <mergeCell ref="B487:G487"/>
    <mergeCell ref="B488:G488"/>
    <mergeCell ref="B489:G489"/>
    <mergeCell ref="B490:G490"/>
    <mergeCell ref="B491:G491"/>
    <mergeCell ref="B492:G492"/>
    <mergeCell ref="B481:G481"/>
    <mergeCell ref="B482:G482"/>
    <mergeCell ref="B483:G483"/>
    <mergeCell ref="B484:G484"/>
    <mergeCell ref="B485:G485"/>
    <mergeCell ref="B486:G486"/>
    <mergeCell ref="B475:G475"/>
    <mergeCell ref="B476:G476"/>
    <mergeCell ref="B477:G477"/>
    <mergeCell ref="B478:G478"/>
    <mergeCell ref="B479:G479"/>
    <mergeCell ref="B480:G480"/>
    <mergeCell ref="B469:G469"/>
    <mergeCell ref="B470:G470"/>
    <mergeCell ref="B471:G471"/>
    <mergeCell ref="B472:G472"/>
    <mergeCell ref="B473:G473"/>
    <mergeCell ref="B474:G474"/>
    <mergeCell ref="B463:G463"/>
    <mergeCell ref="B464:G464"/>
    <mergeCell ref="B465:G465"/>
    <mergeCell ref="B466:G466"/>
    <mergeCell ref="B467:G467"/>
    <mergeCell ref="B468:G468"/>
    <mergeCell ref="B457:G457"/>
    <mergeCell ref="B458:G458"/>
    <mergeCell ref="B459:G459"/>
    <mergeCell ref="B460:G460"/>
    <mergeCell ref="B461:G461"/>
    <mergeCell ref="B462:G462"/>
    <mergeCell ref="B451:G451"/>
    <mergeCell ref="B452:G452"/>
    <mergeCell ref="B453:G453"/>
    <mergeCell ref="B454:G454"/>
    <mergeCell ref="B455:G455"/>
    <mergeCell ref="B456:G456"/>
    <mergeCell ref="B445:G445"/>
    <mergeCell ref="B446:G446"/>
    <mergeCell ref="B447:G447"/>
    <mergeCell ref="B448:G448"/>
    <mergeCell ref="B449:G449"/>
    <mergeCell ref="B450:G450"/>
    <mergeCell ref="B439:G439"/>
    <mergeCell ref="B440:G440"/>
    <mergeCell ref="B441:G441"/>
    <mergeCell ref="B442:G442"/>
    <mergeCell ref="B443:G443"/>
    <mergeCell ref="B444:G444"/>
    <mergeCell ref="B432:G432"/>
    <mergeCell ref="B433:G433"/>
    <mergeCell ref="B434:G434"/>
    <mergeCell ref="B435:G435"/>
    <mergeCell ref="B437:G437"/>
    <mergeCell ref="B438:G438"/>
    <mergeCell ref="B426:G426"/>
    <mergeCell ref="B427:G427"/>
    <mergeCell ref="B428:G428"/>
    <mergeCell ref="B429:G429"/>
    <mergeCell ref="B430:G430"/>
    <mergeCell ref="B431:G431"/>
    <mergeCell ref="B420:G420"/>
    <mergeCell ref="B421:G421"/>
    <mergeCell ref="B422:G422"/>
    <mergeCell ref="B423:G423"/>
    <mergeCell ref="B424:G424"/>
    <mergeCell ref="B425:G425"/>
    <mergeCell ref="B414:G414"/>
    <mergeCell ref="B415:G415"/>
    <mergeCell ref="B416:G416"/>
    <mergeCell ref="B417:G417"/>
    <mergeCell ref="B418:G418"/>
    <mergeCell ref="B419:G419"/>
    <mergeCell ref="B407:G407"/>
    <mergeCell ref="B408:G408"/>
    <mergeCell ref="B410:G410"/>
    <mergeCell ref="B411:G411"/>
    <mergeCell ref="B412:G412"/>
    <mergeCell ref="B413:G413"/>
    <mergeCell ref="B401:G401"/>
    <mergeCell ref="B402:G402"/>
    <mergeCell ref="B403:G403"/>
    <mergeCell ref="B404:G404"/>
    <mergeCell ref="B405:G405"/>
    <mergeCell ref="B406:G406"/>
    <mergeCell ref="B395:G395"/>
    <mergeCell ref="B396:G396"/>
    <mergeCell ref="B397:G397"/>
    <mergeCell ref="B398:G398"/>
    <mergeCell ref="B399:G399"/>
    <mergeCell ref="B400:G400"/>
    <mergeCell ref="B389:G389"/>
    <mergeCell ref="B390:G390"/>
    <mergeCell ref="B391:G391"/>
    <mergeCell ref="B392:G392"/>
    <mergeCell ref="B393:G393"/>
    <mergeCell ref="B394:G394"/>
    <mergeCell ref="B383:G383"/>
    <mergeCell ref="B384:G384"/>
    <mergeCell ref="B385:G385"/>
    <mergeCell ref="B386:G386"/>
    <mergeCell ref="B387:G387"/>
    <mergeCell ref="B388:G388"/>
    <mergeCell ref="B377:G377"/>
    <mergeCell ref="B378:G378"/>
    <mergeCell ref="B379:G379"/>
    <mergeCell ref="B380:G380"/>
    <mergeCell ref="B381:G381"/>
    <mergeCell ref="B382:G382"/>
    <mergeCell ref="B371:G371"/>
    <mergeCell ref="B372:G372"/>
    <mergeCell ref="B373:G373"/>
    <mergeCell ref="B374:G374"/>
    <mergeCell ref="B375:G375"/>
    <mergeCell ref="B376:G376"/>
    <mergeCell ref="B365:G365"/>
    <mergeCell ref="B366:G366"/>
    <mergeCell ref="B367:G367"/>
    <mergeCell ref="B368:G368"/>
    <mergeCell ref="B369:G369"/>
    <mergeCell ref="B370:G370"/>
    <mergeCell ref="B359:G359"/>
    <mergeCell ref="B360:G360"/>
    <mergeCell ref="B361:G361"/>
    <mergeCell ref="B362:G362"/>
    <mergeCell ref="B363:G363"/>
    <mergeCell ref="B364:G364"/>
    <mergeCell ref="B353:G353"/>
    <mergeCell ref="B354:G354"/>
    <mergeCell ref="B355:G355"/>
    <mergeCell ref="B356:G356"/>
    <mergeCell ref="B357:G357"/>
    <mergeCell ref="B358:G358"/>
    <mergeCell ref="B347:G347"/>
    <mergeCell ref="B348:G348"/>
    <mergeCell ref="B349:G349"/>
    <mergeCell ref="B350:G350"/>
    <mergeCell ref="B351:G351"/>
    <mergeCell ref="B352:G352"/>
    <mergeCell ref="B341:G341"/>
    <mergeCell ref="B342:G342"/>
    <mergeCell ref="B343:G343"/>
    <mergeCell ref="B344:G344"/>
    <mergeCell ref="B345:G345"/>
    <mergeCell ref="B346:G346"/>
    <mergeCell ref="B334:G334"/>
    <mergeCell ref="B335:G335"/>
    <mergeCell ref="B336:G336"/>
    <mergeCell ref="B337:G337"/>
    <mergeCell ref="B339:G339"/>
    <mergeCell ref="B340:G340"/>
    <mergeCell ref="B328:G328"/>
    <mergeCell ref="B329:G329"/>
    <mergeCell ref="B330:G330"/>
    <mergeCell ref="B331:G331"/>
    <mergeCell ref="B332:G332"/>
    <mergeCell ref="B333:G333"/>
    <mergeCell ref="B322:G322"/>
    <mergeCell ref="B323:G323"/>
    <mergeCell ref="B324:G324"/>
    <mergeCell ref="B325:G325"/>
    <mergeCell ref="B326:G326"/>
    <mergeCell ref="B327:G327"/>
    <mergeCell ref="B316:G316"/>
    <mergeCell ref="B317:G317"/>
    <mergeCell ref="B318:G318"/>
    <mergeCell ref="B319:G319"/>
    <mergeCell ref="B320:G320"/>
    <mergeCell ref="B321:G321"/>
    <mergeCell ref="B310:G310"/>
    <mergeCell ref="B311:G311"/>
    <mergeCell ref="B312:G312"/>
    <mergeCell ref="B313:G313"/>
    <mergeCell ref="B314:G314"/>
    <mergeCell ref="B315:G315"/>
    <mergeCell ref="B303:G303"/>
    <mergeCell ref="B304:G304"/>
    <mergeCell ref="B306:G306"/>
    <mergeCell ref="B307:G307"/>
    <mergeCell ref="B308:G308"/>
    <mergeCell ref="B309:G309"/>
    <mergeCell ref="B297:G297"/>
    <mergeCell ref="B298:G298"/>
    <mergeCell ref="B299:G299"/>
    <mergeCell ref="B300:G300"/>
    <mergeCell ref="B301:G301"/>
    <mergeCell ref="B302:G302"/>
    <mergeCell ref="B291:G291"/>
    <mergeCell ref="B292:G292"/>
    <mergeCell ref="B293:G293"/>
    <mergeCell ref="B294:G294"/>
    <mergeCell ref="B295:G295"/>
    <mergeCell ref="B296:G296"/>
    <mergeCell ref="B284:G284"/>
    <mergeCell ref="B285:G285"/>
    <mergeCell ref="B286:G286"/>
    <mergeCell ref="B287:G287"/>
    <mergeCell ref="B288:G288"/>
    <mergeCell ref="B289:G289"/>
    <mergeCell ref="B278:G278"/>
    <mergeCell ref="B279:G279"/>
    <mergeCell ref="B280:G280"/>
    <mergeCell ref="B281:G281"/>
    <mergeCell ref="B282:G282"/>
    <mergeCell ref="B283:G283"/>
    <mergeCell ref="B272:G272"/>
    <mergeCell ref="B273:G273"/>
    <mergeCell ref="B274:G274"/>
    <mergeCell ref="B275:G275"/>
    <mergeCell ref="B276:G276"/>
    <mergeCell ref="B277:G277"/>
    <mergeCell ref="B266:G266"/>
    <mergeCell ref="B267:G267"/>
    <mergeCell ref="B268:G268"/>
    <mergeCell ref="B269:G269"/>
    <mergeCell ref="B270:G270"/>
    <mergeCell ref="B271:G271"/>
    <mergeCell ref="B260:G260"/>
    <mergeCell ref="B261:G261"/>
    <mergeCell ref="B262:G262"/>
    <mergeCell ref="B263:G263"/>
    <mergeCell ref="B264:G264"/>
    <mergeCell ref="B265:G265"/>
    <mergeCell ref="B254:G254"/>
    <mergeCell ref="B255:G255"/>
    <mergeCell ref="B256:G256"/>
    <mergeCell ref="B257:G257"/>
    <mergeCell ref="B258:G258"/>
    <mergeCell ref="B259:G259"/>
    <mergeCell ref="B248:G248"/>
    <mergeCell ref="B249:G249"/>
    <mergeCell ref="B250:G250"/>
    <mergeCell ref="B251:G251"/>
    <mergeCell ref="B252:G252"/>
    <mergeCell ref="B253:G253"/>
    <mergeCell ref="B242:G242"/>
    <mergeCell ref="B243:G243"/>
    <mergeCell ref="B244:G244"/>
    <mergeCell ref="B245:G245"/>
    <mergeCell ref="B246:G246"/>
    <mergeCell ref="B247:G247"/>
    <mergeCell ref="B236:G236"/>
    <mergeCell ref="B237:G237"/>
    <mergeCell ref="B238:G238"/>
    <mergeCell ref="B239:G239"/>
    <mergeCell ref="B240:G240"/>
    <mergeCell ref="B241:G241"/>
    <mergeCell ref="B230:G230"/>
    <mergeCell ref="B231:G231"/>
    <mergeCell ref="B232:G232"/>
    <mergeCell ref="B233:G233"/>
    <mergeCell ref="B234:G234"/>
    <mergeCell ref="B235:G235"/>
    <mergeCell ref="B224:G224"/>
    <mergeCell ref="B225:G225"/>
    <mergeCell ref="B226:G226"/>
    <mergeCell ref="B227:G227"/>
    <mergeCell ref="B228:G228"/>
    <mergeCell ref="B229:G229"/>
    <mergeCell ref="B218:G218"/>
    <mergeCell ref="B219:G219"/>
    <mergeCell ref="B220:G220"/>
    <mergeCell ref="B221:G221"/>
    <mergeCell ref="B222:G222"/>
    <mergeCell ref="B223:G223"/>
    <mergeCell ref="B212:G212"/>
    <mergeCell ref="B213:G213"/>
    <mergeCell ref="B214:G214"/>
    <mergeCell ref="B215:G215"/>
    <mergeCell ref="B216:G216"/>
    <mergeCell ref="B217:G217"/>
    <mergeCell ref="B206:G206"/>
    <mergeCell ref="B207:G207"/>
    <mergeCell ref="B208:G208"/>
    <mergeCell ref="B209:G209"/>
    <mergeCell ref="B210:G210"/>
    <mergeCell ref="B211:G211"/>
    <mergeCell ref="B199:G199"/>
    <mergeCell ref="B200:G200"/>
    <mergeCell ref="B201:G201"/>
    <mergeCell ref="B202:G202"/>
    <mergeCell ref="B203:G203"/>
    <mergeCell ref="B205:G205"/>
    <mergeCell ref="B193:G193"/>
    <mergeCell ref="B194:G194"/>
    <mergeCell ref="B195:G195"/>
    <mergeCell ref="B196:G196"/>
    <mergeCell ref="B197:G197"/>
    <mergeCell ref="B198:G198"/>
    <mergeCell ref="B187:G187"/>
    <mergeCell ref="B188:G188"/>
    <mergeCell ref="B189:G189"/>
    <mergeCell ref="B190:G190"/>
    <mergeCell ref="B191:G191"/>
    <mergeCell ref="B192:G192"/>
    <mergeCell ref="B181:G181"/>
    <mergeCell ref="B182:G182"/>
    <mergeCell ref="B183:G183"/>
    <mergeCell ref="B184:G184"/>
    <mergeCell ref="B185:G185"/>
    <mergeCell ref="B186:G186"/>
    <mergeCell ref="B175:G175"/>
    <mergeCell ref="B176:G176"/>
    <mergeCell ref="B177:G177"/>
    <mergeCell ref="B178:G178"/>
    <mergeCell ref="B179:G179"/>
    <mergeCell ref="B180:G180"/>
    <mergeCell ref="B168:G168"/>
    <mergeCell ref="B169:G169"/>
    <mergeCell ref="B170:G170"/>
    <mergeCell ref="B171:G171"/>
    <mergeCell ref="B172:G172"/>
    <mergeCell ref="B173:G173"/>
    <mergeCell ref="B162:G162"/>
    <mergeCell ref="B163:G163"/>
    <mergeCell ref="B164:G164"/>
    <mergeCell ref="B165:G165"/>
    <mergeCell ref="B166:G166"/>
    <mergeCell ref="B167:G167"/>
    <mergeCell ref="B155:G155"/>
    <mergeCell ref="B156:G156"/>
    <mergeCell ref="B157:G157"/>
    <mergeCell ref="B158:G158"/>
    <mergeCell ref="B159:G159"/>
    <mergeCell ref="B160:G160"/>
    <mergeCell ref="B149:G149"/>
    <mergeCell ref="B150:G150"/>
    <mergeCell ref="B151:G151"/>
    <mergeCell ref="B152:G152"/>
    <mergeCell ref="B153:G153"/>
    <mergeCell ref="B154:G154"/>
    <mergeCell ref="B143:G143"/>
    <mergeCell ref="B144:G144"/>
    <mergeCell ref="B145:G145"/>
    <mergeCell ref="B146:G146"/>
    <mergeCell ref="B147:G147"/>
    <mergeCell ref="B148:G148"/>
    <mergeCell ref="B137:G137"/>
    <mergeCell ref="B138:G138"/>
    <mergeCell ref="B139:G139"/>
    <mergeCell ref="B140:G140"/>
    <mergeCell ref="B141:G141"/>
    <mergeCell ref="B142:G142"/>
    <mergeCell ref="B131:G131"/>
    <mergeCell ref="B132:G132"/>
    <mergeCell ref="B133:G133"/>
    <mergeCell ref="B134:G134"/>
    <mergeCell ref="B135:G135"/>
    <mergeCell ref="B136:G136"/>
    <mergeCell ref="B124:G124"/>
    <mergeCell ref="B125:G125"/>
    <mergeCell ref="B126:G126"/>
    <mergeCell ref="B127:G127"/>
    <mergeCell ref="B128:G128"/>
    <mergeCell ref="B130:G130"/>
    <mergeCell ref="B118:G118"/>
    <mergeCell ref="B119:G119"/>
    <mergeCell ref="B120:G120"/>
    <mergeCell ref="B121:G121"/>
    <mergeCell ref="B122:G122"/>
    <mergeCell ref="B123:G123"/>
    <mergeCell ref="B112:G112"/>
    <mergeCell ref="B113:G113"/>
    <mergeCell ref="B114:G114"/>
    <mergeCell ref="B115:G115"/>
    <mergeCell ref="B116:G116"/>
    <mergeCell ref="B117:G117"/>
    <mergeCell ref="B106:G106"/>
    <mergeCell ref="B107:G107"/>
    <mergeCell ref="B108:G108"/>
    <mergeCell ref="B109:G109"/>
    <mergeCell ref="B110:G110"/>
    <mergeCell ref="B111:G111"/>
    <mergeCell ref="B100:G100"/>
    <mergeCell ref="B101:G101"/>
    <mergeCell ref="B102:G102"/>
    <mergeCell ref="B103:G103"/>
    <mergeCell ref="B104:G104"/>
    <mergeCell ref="B105:G105"/>
    <mergeCell ref="B94:G94"/>
    <mergeCell ref="B95:G95"/>
    <mergeCell ref="B96:G96"/>
    <mergeCell ref="B97:G97"/>
    <mergeCell ref="B98:G98"/>
    <mergeCell ref="B99:G99"/>
    <mergeCell ref="B88:G88"/>
    <mergeCell ref="B89:G89"/>
    <mergeCell ref="B90:G90"/>
    <mergeCell ref="B91:G91"/>
    <mergeCell ref="B92:G92"/>
    <mergeCell ref="B93:G93"/>
    <mergeCell ref="B80:G80"/>
    <mergeCell ref="B83:G83"/>
    <mergeCell ref="B84:G84"/>
    <mergeCell ref="B85:G85"/>
    <mergeCell ref="B86:G86"/>
    <mergeCell ref="B87:G87"/>
    <mergeCell ref="B74:G74"/>
    <mergeCell ref="B75:G75"/>
    <mergeCell ref="B76:G76"/>
    <mergeCell ref="B77:G77"/>
    <mergeCell ref="B78:G78"/>
    <mergeCell ref="B79:G79"/>
    <mergeCell ref="B68:G68"/>
    <mergeCell ref="B69:G69"/>
    <mergeCell ref="B70:G70"/>
    <mergeCell ref="B71:G71"/>
    <mergeCell ref="B72:G72"/>
    <mergeCell ref="B73:G73"/>
    <mergeCell ref="B62:G62"/>
    <mergeCell ref="B63:G63"/>
    <mergeCell ref="B64:G64"/>
    <mergeCell ref="B65:G65"/>
    <mergeCell ref="B66:G66"/>
    <mergeCell ref="B67:G67"/>
    <mergeCell ref="B56:G56"/>
    <mergeCell ref="B57:G57"/>
    <mergeCell ref="B58:G58"/>
    <mergeCell ref="B59:G59"/>
    <mergeCell ref="B60:G60"/>
    <mergeCell ref="B61:G61"/>
    <mergeCell ref="B50:G50"/>
    <mergeCell ref="B51:G51"/>
    <mergeCell ref="B52:G52"/>
    <mergeCell ref="B53:G53"/>
    <mergeCell ref="B54:G54"/>
    <mergeCell ref="B55:G55"/>
    <mergeCell ref="B42:G42"/>
    <mergeCell ref="B43:G43"/>
    <mergeCell ref="B44:G44"/>
    <mergeCell ref="B47:G47"/>
    <mergeCell ref="B48:G48"/>
    <mergeCell ref="B49:G49"/>
    <mergeCell ref="B35:G35"/>
    <mergeCell ref="B37:G37"/>
    <mergeCell ref="B38:G38"/>
    <mergeCell ref="B39:G39"/>
    <mergeCell ref="B40:G40"/>
    <mergeCell ref="B41:G41"/>
    <mergeCell ref="B29:G29"/>
    <mergeCell ref="B30:G30"/>
    <mergeCell ref="B31:G31"/>
    <mergeCell ref="B32:G32"/>
    <mergeCell ref="B33:G33"/>
    <mergeCell ref="B34:G34"/>
    <mergeCell ref="B25:G25"/>
    <mergeCell ref="B27:G27"/>
    <mergeCell ref="B28:G28"/>
    <mergeCell ref="B15:G15"/>
    <mergeCell ref="B16:G16"/>
    <mergeCell ref="B17:G17"/>
    <mergeCell ref="B18:G18"/>
    <mergeCell ref="B19:G19"/>
    <mergeCell ref="B20:G20"/>
    <mergeCell ref="B3:D3"/>
    <mergeCell ref="B7:G7"/>
    <mergeCell ref="B9:H9"/>
    <mergeCell ref="B12:G12"/>
    <mergeCell ref="B13:G13"/>
    <mergeCell ref="B14:G14"/>
    <mergeCell ref="B21:G21"/>
    <mergeCell ref="B22:G22"/>
    <mergeCell ref="B24:G24"/>
  </mergeCells>
  <pageMargins left="0.7" right="0.7" top="0.75" bottom="0.75" header="0.3" footer="0.3"/>
  <pageSetup paperSize="9" scale="6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0438-B2AD-4C3E-B563-898BBA2888AE}">
  <sheetPr>
    <tabColor rgb="FFFF0000"/>
  </sheetPr>
  <dimension ref="A1:U54"/>
  <sheetViews>
    <sheetView topLeftCell="A45" zoomScale="69" zoomScaleNormal="69" workbookViewId="0">
      <selection activeCell="T51" sqref="T51"/>
    </sheetView>
  </sheetViews>
  <sheetFormatPr defaultRowHeight="15" x14ac:dyDescent="0.25"/>
  <cols>
    <col min="2" max="2" width="31.140625" customWidth="1"/>
    <col min="3" max="3" width="14.140625" customWidth="1"/>
    <col min="20" max="20" width="11.140625" customWidth="1"/>
  </cols>
  <sheetData>
    <row r="1" spans="1:21" s="42" customFormat="1" x14ac:dyDescent="0.25">
      <c r="A1" s="157"/>
      <c r="B1" s="112" t="s">
        <v>1198</v>
      </c>
      <c r="C1" s="44"/>
      <c r="D1" s="53"/>
      <c r="E1" s="53"/>
      <c r="F1" s="53"/>
      <c r="G1" s="53"/>
      <c r="H1" s="53"/>
      <c r="I1" s="53"/>
      <c r="J1" s="53"/>
      <c r="K1" s="53"/>
      <c r="L1" s="53"/>
      <c r="M1" s="53"/>
      <c r="N1" s="53"/>
      <c r="O1" s="113"/>
      <c r="P1" s="44"/>
      <c r="Q1" s="44"/>
      <c r="R1" s="44"/>
      <c r="S1" s="44"/>
      <c r="T1" s="44"/>
      <c r="U1" s="47"/>
    </row>
    <row r="2" spans="1:21" s="42" customFormat="1" x14ac:dyDescent="0.25">
      <c r="A2" s="157"/>
      <c r="B2" s="480" t="s">
        <v>11</v>
      </c>
      <c r="C2" s="481"/>
      <c r="D2" s="481"/>
      <c r="E2" s="481"/>
      <c r="F2" s="481"/>
      <c r="G2" s="481"/>
      <c r="H2" s="481"/>
      <c r="I2" s="481"/>
      <c r="J2" s="481"/>
      <c r="K2" s="481"/>
      <c r="L2" s="481"/>
      <c r="M2" s="481"/>
      <c r="N2" s="481"/>
      <c r="O2" s="481"/>
      <c r="P2" s="481"/>
      <c r="Q2" s="481"/>
      <c r="R2" s="482"/>
      <c r="S2" s="7" t="s">
        <v>10</v>
      </c>
      <c r="T2" s="133">
        <v>0</v>
      </c>
      <c r="U2" s="47"/>
    </row>
    <row r="3" spans="1:21" s="42" customFormat="1" x14ac:dyDescent="0.25">
      <c r="A3" s="157"/>
      <c r="B3" s="483"/>
      <c r="C3" s="484"/>
      <c r="D3" s="484"/>
      <c r="E3" s="484"/>
      <c r="F3" s="484"/>
      <c r="G3" s="484"/>
      <c r="H3" s="484"/>
      <c r="I3" s="484"/>
      <c r="J3" s="484"/>
      <c r="K3" s="484"/>
      <c r="L3" s="484"/>
      <c r="M3" s="484"/>
      <c r="N3" s="484"/>
      <c r="O3" s="484"/>
      <c r="P3" s="484"/>
      <c r="Q3" s="484"/>
      <c r="R3" s="485"/>
      <c r="S3" s="7" t="s">
        <v>9</v>
      </c>
      <c r="T3" s="134" t="s">
        <v>1006</v>
      </c>
      <c r="U3" s="47"/>
    </row>
    <row r="4" spans="1:21" s="42" customFormat="1" x14ac:dyDescent="0.25">
      <c r="A4" s="157"/>
      <c r="B4" s="114" t="s">
        <v>1199</v>
      </c>
      <c r="C4" s="114" t="s">
        <v>12</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x14ac:dyDescent="0.25">
      <c r="A5" s="158" t="s">
        <v>1</v>
      </c>
      <c r="B5" s="486" t="s">
        <v>35</v>
      </c>
      <c r="C5" s="486"/>
      <c r="D5" s="486"/>
      <c r="E5" s="486"/>
      <c r="F5" s="486"/>
      <c r="G5" s="486"/>
      <c r="H5" s="486"/>
      <c r="I5" s="486"/>
      <c r="J5" s="486"/>
      <c r="K5" s="486"/>
      <c r="L5" s="486"/>
      <c r="M5" s="486"/>
      <c r="N5" s="486"/>
      <c r="O5" s="486"/>
      <c r="P5" s="486"/>
      <c r="Q5" s="486"/>
      <c r="R5" s="486"/>
      <c r="S5" s="486"/>
      <c r="T5" s="486"/>
      <c r="U5" s="149"/>
    </row>
    <row r="6" spans="1:21" s="42" customFormat="1" ht="15.75"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thickBot="1" x14ac:dyDescent="0.3">
      <c r="A7" s="119" t="s">
        <v>8</v>
      </c>
      <c r="B7" s="119" t="s">
        <v>7</v>
      </c>
      <c r="C7" s="120" t="s">
        <v>6</v>
      </c>
      <c r="D7" s="487"/>
      <c r="E7" s="487"/>
      <c r="F7" s="487"/>
      <c r="G7" s="487"/>
      <c r="H7" s="487"/>
      <c r="I7" s="487"/>
      <c r="J7" s="487"/>
      <c r="K7" s="487"/>
      <c r="L7" s="487"/>
      <c r="M7" s="487"/>
      <c r="N7" s="487"/>
      <c r="O7" s="121" t="s">
        <v>54</v>
      </c>
      <c r="P7" s="122" t="s">
        <v>5</v>
      </c>
      <c r="Q7" s="121" t="s">
        <v>4</v>
      </c>
      <c r="R7" s="121" t="s">
        <v>1004</v>
      </c>
      <c r="S7" s="121"/>
      <c r="T7" s="119" t="s">
        <v>1005</v>
      </c>
      <c r="U7" s="47"/>
    </row>
    <row r="8" spans="1:21" s="42" customFormat="1" ht="15.75" thickBot="1" x14ac:dyDescent="0.3">
      <c r="A8" s="123"/>
      <c r="B8" s="123"/>
      <c r="C8" s="124"/>
      <c r="D8" s="477" t="s">
        <v>1002</v>
      </c>
      <c r="E8" s="478"/>
      <c r="F8" s="478"/>
      <c r="G8" s="478"/>
      <c r="H8" s="478"/>
      <c r="I8" s="478"/>
      <c r="J8" s="478"/>
      <c r="K8" s="478"/>
      <c r="L8" s="478"/>
      <c r="M8" s="478"/>
      <c r="N8" s="479"/>
      <c r="O8" s="125"/>
      <c r="P8" s="124"/>
      <c r="Q8" s="124"/>
      <c r="R8" s="124"/>
      <c r="S8" s="124"/>
      <c r="T8" s="123"/>
      <c r="U8" s="47"/>
    </row>
    <row r="9" spans="1:21" s="42" customFormat="1" ht="120.75" x14ac:dyDescent="0.25">
      <c r="A9" s="123"/>
      <c r="B9" s="123"/>
      <c r="C9" s="124"/>
      <c r="D9" s="127" t="s">
        <v>1273</v>
      </c>
      <c r="E9" s="127" t="s">
        <v>1274</v>
      </c>
      <c r="F9" s="46" t="s">
        <v>1275</v>
      </c>
      <c r="G9" s="46" t="s">
        <v>1276</v>
      </c>
      <c r="H9" s="46" t="s">
        <v>1277</v>
      </c>
      <c r="I9" s="46" t="s">
        <v>1278</v>
      </c>
      <c r="J9" s="46" t="s">
        <v>1279</v>
      </c>
      <c r="K9" s="46" t="s">
        <v>1280</v>
      </c>
      <c r="L9" s="46" t="s">
        <v>1281</v>
      </c>
      <c r="M9" s="154" t="s">
        <v>1208</v>
      </c>
      <c r="N9" s="126" t="s">
        <v>1003</v>
      </c>
      <c r="O9" s="125"/>
      <c r="P9" s="124"/>
      <c r="Q9" s="124"/>
      <c r="R9" s="124"/>
      <c r="S9" s="124"/>
      <c r="T9" s="123"/>
      <c r="U9" s="47"/>
    </row>
    <row r="10" spans="1:21" s="32" customFormat="1" ht="12.75"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x14ac:dyDescent="0.25">
      <c r="A12" s="160" t="s">
        <v>53</v>
      </c>
      <c r="B12" s="39" t="s">
        <v>1282</v>
      </c>
      <c r="C12" s="40"/>
      <c r="D12" s="40"/>
      <c r="E12" s="40"/>
      <c r="F12" s="40"/>
      <c r="G12" s="40"/>
      <c r="H12" s="40"/>
      <c r="I12" s="40"/>
      <c r="J12" s="40"/>
      <c r="K12" s="40"/>
      <c r="L12" s="40"/>
      <c r="M12" s="40"/>
      <c r="N12" s="40"/>
      <c r="O12" s="59"/>
      <c r="P12" s="40"/>
      <c r="Q12" s="40"/>
      <c r="R12" s="40"/>
      <c r="S12" s="40"/>
      <c r="T12" s="41"/>
      <c r="U12" s="149"/>
    </row>
    <row r="13" spans="1:21" s="200" customFormat="1" x14ac:dyDescent="0.25">
      <c r="A13" s="187" t="s">
        <v>1062</v>
      </c>
      <c r="B13" s="196" t="s">
        <v>1063</v>
      </c>
      <c r="C13" s="196"/>
      <c r="D13" s="196"/>
      <c r="E13" s="196"/>
      <c r="F13" s="196"/>
      <c r="G13" s="196"/>
      <c r="H13" s="196"/>
      <c r="I13" s="196"/>
      <c r="J13" s="196"/>
      <c r="K13" s="196"/>
      <c r="L13" s="196"/>
      <c r="M13" s="196"/>
      <c r="N13" s="196"/>
      <c r="O13" s="197"/>
      <c r="P13" s="198"/>
      <c r="Q13" s="198"/>
      <c r="R13" s="198"/>
      <c r="S13" s="198"/>
      <c r="T13" s="199"/>
    </row>
    <row r="14" spans="1:21" s="42" customFormat="1" ht="115.5" thickBot="1" x14ac:dyDescent="0.3">
      <c r="A14" s="201"/>
      <c r="B14" s="202" t="s">
        <v>1333</v>
      </c>
      <c r="C14" s="203"/>
      <c r="D14" s="204"/>
      <c r="E14" s="204"/>
      <c r="F14" s="204"/>
      <c r="G14" s="204"/>
      <c r="H14" s="204"/>
      <c r="I14" s="204"/>
      <c r="J14" s="204"/>
      <c r="K14" s="204"/>
      <c r="L14" s="204"/>
      <c r="M14" s="204"/>
      <c r="N14" s="204"/>
      <c r="O14" s="205"/>
      <c r="P14" s="206"/>
      <c r="Q14" s="206"/>
      <c r="R14" s="206"/>
      <c r="S14" s="206"/>
      <c r="T14" s="207"/>
      <c r="U14" s="152"/>
    </row>
    <row r="15" spans="1:21" s="200" customFormat="1" ht="26.25" thickBot="1" x14ac:dyDescent="0.3">
      <c r="A15" s="187"/>
      <c r="B15" s="188" t="s">
        <v>1008</v>
      </c>
      <c r="C15" s="189" t="s">
        <v>1330</v>
      </c>
      <c r="D15" s="190">
        <f>D$4*47</f>
        <v>47</v>
      </c>
      <c r="E15" s="190">
        <f>E$4*16.6</f>
        <v>16.600000000000001</v>
      </c>
      <c r="F15" s="191">
        <f>F$4*48.9</f>
        <v>48.9</v>
      </c>
      <c r="G15" s="191">
        <f>G$4*16</f>
        <v>16</v>
      </c>
      <c r="H15" s="191">
        <f>(H$4*28.3)/2</f>
        <v>56.6</v>
      </c>
      <c r="I15" s="191">
        <f>I$4*52.8</f>
        <v>52.8</v>
      </c>
      <c r="J15" s="191">
        <f>J$4*18.8</f>
        <v>18.8</v>
      </c>
      <c r="K15" s="191">
        <f>K$4*28.2</f>
        <v>56.4</v>
      </c>
      <c r="L15" s="191">
        <f>L$4*96.9</f>
        <v>96.9</v>
      </c>
      <c r="M15" s="191">
        <f t="shared" ref="M15:N15" si="0">M$4*0</f>
        <v>0</v>
      </c>
      <c r="N15" s="192">
        <f t="shared" si="0"/>
        <v>0</v>
      </c>
      <c r="O15" s="193">
        <f>SUM(D15:N15)</f>
        <v>410</v>
      </c>
      <c r="P15" s="194"/>
      <c r="Q15" s="194">
        <v>0</v>
      </c>
      <c r="R15" s="194">
        <f>P15+Q15</f>
        <v>0</v>
      </c>
      <c r="S15" s="194"/>
      <c r="T15" s="195">
        <f>R15*O15</f>
        <v>0</v>
      </c>
      <c r="U15" s="208"/>
    </row>
    <row r="17" spans="1:21" s="42" customFormat="1" x14ac:dyDescent="0.25">
      <c r="A17" s="166" t="s">
        <v>1064</v>
      </c>
      <c r="B17" s="28" t="s">
        <v>1065</v>
      </c>
      <c r="C17" s="28"/>
      <c r="D17" s="28"/>
      <c r="E17" s="28"/>
      <c r="F17" s="28"/>
      <c r="G17" s="28"/>
      <c r="H17" s="28"/>
      <c r="I17" s="28"/>
      <c r="J17" s="28"/>
      <c r="K17" s="28"/>
      <c r="L17" s="28"/>
      <c r="M17" s="28"/>
      <c r="N17" s="28"/>
      <c r="O17" s="60"/>
      <c r="P17" s="29"/>
      <c r="Q17" s="29"/>
      <c r="R17" s="29"/>
      <c r="S17" s="29"/>
      <c r="T17" s="23"/>
      <c r="U17" s="152"/>
    </row>
    <row r="18" spans="1:21" s="42" customFormat="1" ht="332.25" thickBot="1" x14ac:dyDescent="0.3">
      <c r="A18" s="167"/>
      <c r="B18" s="30" t="s">
        <v>1328</v>
      </c>
      <c r="C18" s="25"/>
      <c r="D18" s="31"/>
      <c r="E18" s="31"/>
      <c r="F18" s="31"/>
      <c r="G18" s="31"/>
      <c r="H18" s="31"/>
      <c r="I18" s="31"/>
      <c r="J18" s="31"/>
      <c r="K18" s="31"/>
      <c r="L18" s="31"/>
      <c r="M18" s="31"/>
      <c r="N18" s="31"/>
      <c r="O18" s="58"/>
      <c r="P18" s="26"/>
      <c r="Q18" s="26"/>
      <c r="R18" s="26"/>
      <c r="S18" s="26"/>
      <c r="T18" s="38"/>
      <c r="U18" s="152"/>
    </row>
    <row r="19" spans="1:21" s="42" customFormat="1" ht="26.25" thickBot="1" x14ac:dyDescent="0.3">
      <c r="A19" s="168"/>
      <c r="B19" s="137" t="s">
        <v>1008</v>
      </c>
      <c r="C19" s="135"/>
      <c r="D19" s="55"/>
      <c r="E19" s="55"/>
      <c r="F19" s="36"/>
      <c r="G19" s="36"/>
      <c r="H19" s="36"/>
      <c r="I19" s="36"/>
      <c r="J19" s="36"/>
      <c r="K19" s="36"/>
      <c r="L19" s="36"/>
      <c r="M19" s="36"/>
      <c r="N19" s="56"/>
      <c r="O19" s="62"/>
      <c r="P19" s="26"/>
      <c r="Q19" s="26"/>
      <c r="R19" s="26"/>
      <c r="S19" s="26"/>
      <c r="T19" s="22"/>
      <c r="U19" s="44"/>
    </row>
    <row r="20" spans="1:21" s="42" customFormat="1" ht="15.75" thickBot="1" x14ac:dyDescent="0.3">
      <c r="A20" s="187"/>
      <c r="B20" s="188" t="s">
        <v>1329</v>
      </c>
      <c r="C20" s="189" t="s">
        <v>1330</v>
      </c>
      <c r="D20" s="190">
        <f>D$4*0</f>
        <v>0</v>
      </c>
      <c r="E20" s="190">
        <f>E$4*0.8</f>
        <v>0.8</v>
      </c>
      <c r="F20" s="191">
        <f>F$4*0</f>
        <v>0</v>
      </c>
      <c r="G20" s="191">
        <f>G$4*1.2</f>
        <v>1.2</v>
      </c>
      <c r="H20" s="191">
        <f>H$4*0.8</f>
        <v>3.2</v>
      </c>
      <c r="I20" s="191">
        <f>I$4*0</f>
        <v>0</v>
      </c>
      <c r="J20" s="191">
        <f>J$4*4.1</f>
        <v>4.0999999999999996</v>
      </c>
      <c r="K20" s="191">
        <f>K$4*0.76</f>
        <v>1.52</v>
      </c>
      <c r="L20" s="191">
        <f>L$4*26.3</f>
        <v>26.3</v>
      </c>
      <c r="M20" s="191">
        <f t="shared" ref="M20:N22" si="1">M$4*0</f>
        <v>0</v>
      </c>
      <c r="N20" s="192">
        <f t="shared" si="1"/>
        <v>0</v>
      </c>
      <c r="O20" s="193">
        <f>SUM(D20:N20)</f>
        <v>37.120000000000005</v>
      </c>
      <c r="P20" s="194">
        <v>0</v>
      </c>
      <c r="Q20" s="194">
        <v>0</v>
      </c>
      <c r="R20" s="194">
        <f>P20+Q20</f>
        <v>0</v>
      </c>
      <c r="S20" s="194"/>
      <c r="T20" s="195">
        <f>R20*O20</f>
        <v>0</v>
      </c>
      <c r="U20" s="44"/>
    </row>
    <row r="21" spans="1:21" s="42" customFormat="1" ht="15.75" thickBot="1" x14ac:dyDescent="0.3">
      <c r="A21" s="187"/>
      <c r="B21" s="188" t="s">
        <v>1331</v>
      </c>
      <c r="C21" s="189" t="s">
        <v>1330</v>
      </c>
      <c r="D21" s="190">
        <f>D$4*36.35</f>
        <v>36.35</v>
      </c>
      <c r="E21" s="190">
        <f>E$4*4.6</f>
        <v>4.5999999999999996</v>
      </c>
      <c r="F21" s="191">
        <f>F$4*38.6</f>
        <v>38.6</v>
      </c>
      <c r="G21" s="191">
        <f>G$4*4.6</f>
        <v>4.5999999999999996</v>
      </c>
      <c r="H21" s="191">
        <f>H$4*6.35</f>
        <v>25.4</v>
      </c>
      <c r="I21" s="191">
        <f>I$4*42.1</f>
        <v>42.1</v>
      </c>
      <c r="J21" s="191">
        <f>J$4*4</f>
        <v>4</v>
      </c>
      <c r="K21" s="191">
        <f>K$4*6.35</f>
        <v>12.7</v>
      </c>
      <c r="L21" s="191">
        <f>L$4*19.1</f>
        <v>19.100000000000001</v>
      </c>
      <c r="M21" s="191">
        <f t="shared" si="1"/>
        <v>0</v>
      </c>
      <c r="N21" s="192">
        <f t="shared" si="1"/>
        <v>0</v>
      </c>
      <c r="O21" s="193">
        <f>SUM(D21:N21)</f>
        <v>187.45</v>
      </c>
      <c r="P21" s="194">
        <v>0</v>
      </c>
      <c r="Q21" s="194">
        <v>0</v>
      </c>
      <c r="R21" s="194">
        <f>P21+Q21</f>
        <v>0</v>
      </c>
      <c r="S21" s="194"/>
      <c r="T21" s="195">
        <f>R21*O21</f>
        <v>0</v>
      </c>
      <c r="U21" s="44"/>
    </row>
    <row r="22" spans="1:21" s="42" customFormat="1" ht="15.75" thickBot="1" x14ac:dyDescent="0.3">
      <c r="A22" s="187"/>
      <c r="B22" s="188" t="s">
        <v>1332</v>
      </c>
      <c r="C22" s="189" t="s">
        <v>1330</v>
      </c>
      <c r="D22" s="190">
        <f>D$4*12</f>
        <v>12</v>
      </c>
      <c r="E22" s="190">
        <f>E$4*12</f>
        <v>12</v>
      </c>
      <c r="F22" s="191">
        <f>F$4*10.3</f>
        <v>10.3</v>
      </c>
      <c r="G22" s="191">
        <f>G$4*10.2</f>
        <v>10.199999999999999</v>
      </c>
      <c r="H22" s="191">
        <f>H$4*21.1</f>
        <v>84.4</v>
      </c>
      <c r="I22" s="191">
        <f>I$4*10.65</f>
        <v>10.65</v>
      </c>
      <c r="J22" s="191">
        <f>J$4*10.65</f>
        <v>10.65</v>
      </c>
      <c r="K22" s="191">
        <f>K$4*21.1</f>
        <v>42.2</v>
      </c>
      <c r="L22" s="191">
        <f>L$4*51.5</f>
        <v>51.5</v>
      </c>
      <c r="M22" s="191">
        <f t="shared" si="1"/>
        <v>0</v>
      </c>
      <c r="N22" s="192">
        <f t="shared" si="1"/>
        <v>0</v>
      </c>
      <c r="O22" s="193">
        <f>SUM(D22:N22)</f>
        <v>243.90000000000003</v>
      </c>
      <c r="P22" s="194">
        <v>0</v>
      </c>
      <c r="Q22" s="194">
        <v>0</v>
      </c>
      <c r="R22" s="194">
        <f>P22+Q22</f>
        <v>0</v>
      </c>
      <c r="S22" s="194"/>
      <c r="T22" s="195">
        <f>R22*O22</f>
        <v>0</v>
      </c>
      <c r="U22" s="44"/>
    </row>
    <row r="23" spans="1:21" s="42" customFormat="1" x14ac:dyDescent="0.25">
      <c r="A23" s="166"/>
      <c r="B23" s="28"/>
      <c r="C23" s="28"/>
      <c r="D23" s="28"/>
      <c r="E23" s="28"/>
      <c r="F23" s="28"/>
      <c r="G23" s="28"/>
      <c r="H23" s="28"/>
      <c r="I23" s="28"/>
      <c r="J23" s="28"/>
      <c r="K23" s="28"/>
      <c r="L23" s="28"/>
      <c r="M23" s="28"/>
      <c r="N23" s="28"/>
      <c r="O23" s="60"/>
      <c r="P23" s="29"/>
      <c r="Q23" s="29"/>
      <c r="R23" s="29"/>
      <c r="S23" s="29"/>
      <c r="T23" s="23">
        <f>SUM(T15:T22)</f>
        <v>0</v>
      </c>
      <c r="U23" s="152"/>
    </row>
    <row r="24" spans="1:21" s="42" customFormat="1" ht="15.75" thickBot="1" x14ac:dyDescent="0.3">
      <c r="A24" s="167"/>
      <c r="B24" s="30"/>
      <c r="C24" s="25"/>
      <c r="D24" s="31"/>
      <c r="E24" s="31"/>
      <c r="F24" s="31"/>
      <c r="G24" s="31"/>
      <c r="H24" s="31"/>
      <c r="I24" s="31"/>
      <c r="J24" s="31"/>
      <c r="K24" s="31"/>
      <c r="L24" s="31"/>
      <c r="M24" s="31"/>
      <c r="N24" s="31"/>
      <c r="O24" s="58"/>
      <c r="P24" s="26"/>
      <c r="Q24" s="26"/>
      <c r="R24" s="26"/>
      <c r="S24" s="26"/>
      <c r="T24" s="38"/>
      <c r="U24" s="152"/>
    </row>
    <row r="25" spans="1:21" s="42" customFormat="1" ht="15.75" thickBot="1" x14ac:dyDescent="0.3">
      <c r="A25" s="166"/>
      <c r="B25" s="137"/>
      <c r="C25" s="135"/>
      <c r="D25" s="55"/>
      <c r="E25" s="55"/>
      <c r="F25" s="36"/>
      <c r="G25" s="36"/>
      <c r="H25" s="36"/>
      <c r="I25" s="36"/>
      <c r="J25" s="36"/>
      <c r="K25" s="36"/>
      <c r="L25" s="36"/>
      <c r="M25" s="36"/>
      <c r="N25" s="56"/>
      <c r="O25" s="62"/>
      <c r="P25" s="26"/>
      <c r="Q25" s="26"/>
      <c r="R25" s="26"/>
      <c r="S25" s="26"/>
      <c r="T25" s="22"/>
      <c r="U25" s="44"/>
    </row>
    <row r="27" spans="1:21" s="132" customFormat="1" ht="15.75" x14ac:dyDescent="0.25">
      <c r="A27" s="160" t="s">
        <v>1064</v>
      </c>
      <c r="B27" s="130" t="s">
        <v>1305</v>
      </c>
      <c r="C27" s="49"/>
      <c r="D27" s="49"/>
      <c r="E27" s="49"/>
      <c r="F27" s="49"/>
      <c r="G27" s="49"/>
      <c r="H27" s="49"/>
      <c r="I27" s="49"/>
      <c r="J27" s="49"/>
      <c r="K27" s="49"/>
      <c r="L27" s="49"/>
      <c r="M27" s="49"/>
      <c r="N27" s="49"/>
      <c r="O27" s="131"/>
      <c r="P27" s="49"/>
      <c r="Q27" s="49"/>
      <c r="R27" s="476" t="s">
        <v>57</v>
      </c>
      <c r="S27" s="476"/>
      <c r="T27" s="50">
        <f>SUM(T20:T22)</f>
        <v>0</v>
      </c>
      <c r="U27" s="151"/>
    </row>
    <row r="29" spans="1:21" s="132" customFormat="1" ht="15.75" x14ac:dyDescent="0.25">
      <c r="A29" s="160" t="s">
        <v>1064</v>
      </c>
      <c r="B29" s="130" t="s">
        <v>1306</v>
      </c>
      <c r="C29" s="49"/>
      <c r="D29" s="49"/>
      <c r="E29" s="49"/>
      <c r="F29" s="49"/>
      <c r="G29" s="49"/>
      <c r="H29" s="49"/>
      <c r="I29" s="49"/>
      <c r="J29" s="49"/>
      <c r="K29" s="49"/>
      <c r="L29" s="49"/>
      <c r="M29" s="49"/>
      <c r="N29" s="49"/>
      <c r="O29" s="131"/>
      <c r="P29" s="49"/>
      <c r="Q29" s="49"/>
      <c r="R29" s="476" t="s">
        <v>57</v>
      </c>
      <c r="S29" s="476"/>
      <c r="T29" s="50">
        <f>T27*5</f>
        <v>0</v>
      </c>
      <c r="U29" s="151"/>
    </row>
    <row r="30" spans="1:21" ht="15.75" thickBot="1" x14ac:dyDescent="0.3"/>
    <row r="31" spans="1:21" s="42" customFormat="1" ht="50.1" customHeight="1" thickBot="1" x14ac:dyDescent="0.3">
      <c r="A31" s="119" t="s">
        <v>8</v>
      </c>
      <c r="B31" s="119" t="s">
        <v>7</v>
      </c>
      <c r="C31" s="120" t="s">
        <v>6</v>
      </c>
      <c r="D31" s="487"/>
      <c r="E31" s="487"/>
      <c r="F31" s="487"/>
      <c r="G31" s="487"/>
      <c r="H31" s="487"/>
      <c r="I31" s="487"/>
      <c r="J31" s="487"/>
      <c r="K31" s="121" t="s">
        <v>54</v>
      </c>
      <c r="L31" s="122" t="s">
        <v>5</v>
      </c>
      <c r="M31" s="121" t="s">
        <v>4</v>
      </c>
      <c r="N31" s="121" t="s">
        <v>1004</v>
      </c>
      <c r="O31" s="121"/>
      <c r="P31" s="119" t="s">
        <v>1005</v>
      </c>
      <c r="Q31" s="47"/>
    </row>
    <row r="32" spans="1:21" s="42" customFormat="1" ht="23.65" customHeight="1" thickBot="1" x14ac:dyDescent="0.3">
      <c r="A32" s="123"/>
      <c r="B32" s="123"/>
      <c r="C32" s="124"/>
      <c r="D32" s="477" t="s">
        <v>1283</v>
      </c>
      <c r="E32" s="478"/>
      <c r="F32" s="478"/>
      <c r="G32" s="478"/>
      <c r="H32" s="478"/>
      <c r="I32" s="478"/>
      <c r="J32" s="479"/>
      <c r="K32" s="125"/>
      <c r="L32" s="124"/>
      <c r="M32" s="124"/>
      <c r="N32" s="124"/>
      <c r="O32" s="124"/>
      <c r="P32" s="123"/>
      <c r="Q32" s="47"/>
    </row>
    <row r="33" spans="1:17" s="42" customFormat="1" ht="62.25" customHeight="1" x14ac:dyDescent="0.25">
      <c r="A33" s="123"/>
      <c r="B33" s="123"/>
      <c r="C33" s="124"/>
      <c r="D33" s="173" t="s">
        <v>1284</v>
      </c>
      <c r="E33" s="46" t="s">
        <v>1285</v>
      </c>
      <c r="F33" s="46" t="s">
        <v>1286</v>
      </c>
      <c r="G33" s="46" t="s">
        <v>1287</v>
      </c>
      <c r="H33" s="46" t="s">
        <v>1288</v>
      </c>
      <c r="I33" s="154" t="s">
        <v>1208</v>
      </c>
      <c r="J33" s="126" t="s">
        <v>1003</v>
      </c>
      <c r="K33" s="125"/>
      <c r="L33" s="124"/>
      <c r="M33" s="124"/>
      <c r="N33" s="124"/>
      <c r="O33" s="124"/>
      <c r="P33" s="123"/>
      <c r="Q33" s="47"/>
    </row>
    <row r="35" spans="1:17" s="42" customFormat="1" x14ac:dyDescent="0.25">
      <c r="A35" s="168" t="s">
        <v>1062</v>
      </c>
      <c r="B35" s="28" t="s">
        <v>1063</v>
      </c>
      <c r="C35" s="28"/>
      <c r="D35" s="181"/>
      <c r="E35" s="28"/>
      <c r="F35" s="28"/>
      <c r="G35" s="28"/>
      <c r="H35" s="28"/>
      <c r="I35" s="28"/>
      <c r="J35" s="28"/>
      <c r="K35" s="60"/>
      <c r="L35" s="29"/>
      <c r="M35" s="29"/>
      <c r="N35" s="29"/>
      <c r="O35" s="29"/>
      <c r="P35" s="23"/>
    </row>
    <row r="36" spans="1:17" s="42" customFormat="1" ht="115.5" thickBot="1" x14ac:dyDescent="0.3">
      <c r="A36" s="169"/>
      <c r="B36" s="30" t="s">
        <v>1211</v>
      </c>
      <c r="C36" s="25"/>
      <c r="D36" s="182"/>
      <c r="E36" s="31"/>
      <c r="F36" s="31"/>
      <c r="G36" s="31"/>
      <c r="H36" s="31"/>
      <c r="I36" s="31"/>
      <c r="J36" s="31"/>
      <c r="K36" s="58"/>
      <c r="L36" s="26"/>
      <c r="M36" s="26"/>
      <c r="N36" s="26"/>
      <c r="O36" s="26"/>
      <c r="P36" s="38"/>
    </row>
    <row r="37" spans="1:17" s="200" customFormat="1" ht="26.25" thickBot="1" x14ac:dyDescent="0.3">
      <c r="A37" s="187"/>
      <c r="B37" s="188" t="s">
        <v>1008</v>
      </c>
      <c r="C37" s="189" t="s">
        <v>1330</v>
      </c>
      <c r="D37" s="293">
        <v>0</v>
      </c>
      <c r="E37" s="191">
        <v>68.2</v>
      </c>
      <c r="F37" s="191">
        <v>85.2</v>
      </c>
      <c r="G37" s="191">
        <v>54</v>
      </c>
      <c r="H37" s="191">
        <v>93.8</v>
      </c>
      <c r="I37" s="191">
        <v>0</v>
      </c>
      <c r="J37" s="192">
        <v>0</v>
      </c>
      <c r="K37" s="193">
        <f>SUM(D37:J37)</f>
        <v>301.2</v>
      </c>
      <c r="L37" s="194">
        <v>0</v>
      </c>
      <c r="M37" s="194">
        <v>0</v>
      </c>
      <c r="N37" s="194">
        <f>L37+M37</f>
        <v>0</v>
      </c>
      <c r="O37" s="194"/>
      <c r="P37" s="195">
        <f>N37*K37</f>
        <v>0</v>
      </c>
      <c r="Q37" s="208"/>
    </row>
    <row r="38" spans="1:17" s="240" customFormat="1" x14ac:dyDescent="0.25">
      <c r="A38" s="225"/>
      <c r="B38" s="232"/>
      <c r="C38" s="233"/>
      <c r="D38" s="295"/>
      <c r="E38" s="229"/>
      <c r="F38" s="229"/>
      <c r="G38" s="229"/>
      <c r="H38" s="229"/>
      <c r="I38" s="229"/>
      <c r="J38" s="229"/>
      <c r="K38" s="205"/>
      <c r="L38" s="206"/>
      <c r="M38" s="206"/>
      <c r="N38" s="206"/>
      <c r="O38" s="206"/>
      <c r="P38" s="238"/>
      <c r="Q38" s="239"/>
    </row>
    <row r="39" spans="1:17" s="240" customFormat="1" x14ac:dyDescent="0.25">
      <c r="A39" s="225" t="s">
        <v>1064</v>
      </c>
      <c r="B39" s="227" t="s">
        <v>1400</v>
      </c>
      <c r="C39" s="227"/>
      <c r="D39" s="296"/>
      <c r="E39" s="227"/>
      <c r="F39" s="227"/>
      <c r="G39" s="227"/>
      <c r="H39" s="227"/>
      <c r="I39" s="227"/>
      <c r="J39" s="227"/>
      <c r="K39" s="228"/>
      <c r="L39" s="229"/>
      <c r="M39" s="229"/>
      <c r="N39" s="229"/>
      <c r="O39" s="229"/>
      <c r="P39" s="230"/>
      <c r="Q39" s="239"/>
    </row>
    <row r="40" spans="1:17" s="240" customFormat="1" ht="128.25" thickBot="1" x14ac:dyDescent="0.3">
      <c r="A40" s="225"/>
      <c r="B40" s="281" t="s">
        <v>1401</v>
      </c>
      <c r="C40" s="227"/>
      <c r="D40" s="296"/>
      <c r="E40" s="227"/>
      <c r="F40" s="227"/>
      <c r="G40" s="227"/>
      <c r="H40" s="227"/>
      <c r="I40" s="227"/>
      <c r="J40" s="227"/>
      <c r="K40" s="228"/>
      <c r="L40" s="229"/>
      <c r="M40" s="229"/>
      <c r="N40" s="229"/>
      <c r="O40" s="229"/>
      <c r="P40" s="230"/>
      <c r="Q40" s="239"/>
    </row>
    <row r="41" spans="1:17" s="240" customFormat="1" ht="26.25" thickBot="1" x14ac:dyDescent="0.3">
      <c r="A41" s="225"/>
      <c r="B41" s="232" t="s">
        <v>1008</v>
      </c>
      <c r="C41" s="233" t="s">
        <v>1347</v>
      </c>
      <c r="D41" s="297">
        <v>120.2</v>
      </c>
      <c r="E41" s="235">
        <v>0</v>
      </c>
      <c r="F41" s="235">
        <v>85.2</v>
      </c>
      <c r="G41" s="235">
        <v>0</v>
      </c>
      <c r="H41" s="235">
        <v>0</v>
      </c>
      <c r="I41" s="235">
        <v>0</v>
      </c>
      <c r="J41" s="236">
        <v>0</v>
      </c>
      <c r="K41" s="237">
        <f>SUM(D41:J41)</f>
        <v>205.4</v>
      </c>
      <c r="L41" s="206">
        <v>0</v>
      </c>
      <c r="M41" s="206">
        <v>0</v>
      </c>
      <c r="N41" s="206">
        <f>L41+M41</f>
        <v>0</v>
      </c>
      <c r="O41" s="206"/>
      <c r="P41" s="238">
        <f>N41*K41</f>
        <v>0</v>
      </c>
      <c r="Q41" s="239"/>
    </row>
    <row r="42" spans="1:17" s="42" customFormat="1" x14ac:dyDescent="0.25">
      <c r="A42" s="166"/>
      <c r="B42" s="28"/>
      <c r="C42" s="28"/>
      <c r="D42" s="181"/>
      <c r="E42" s="28"/>
      <c r="F42" s="28"/>
      <c r="G42" s="28"/>
      <c r="H42" s="28"/>
      <c r="I42" s="28"/>
      <c r="J42" s="28"/>
      <c r="K42" s="60"/>
      <c r="L42" s="29"/>
      <c r="M42" s="29"/>
      <c r="N42" s="29"/>
      <c r="O42" s="29"/>
      <c r="P42" s="23"/>
      <c r="Q42" s="152"/>
    </row>
    <row r="43" spans="1:17" s="42" customFormat="1" x14ac:dyDescent="0.25">
      <c r="A43" s="166" t="s">
        <v>1402</v>
      </c>
      <c r="B43" s="28" t="s">
        <v>1065</v>
      </c>
      <c r="C43" s="28"/>
      <c r="D43" s="181"/>
      <c r="E43" s="28"/>
      <c r="F43" s="28"/>
      <c r="G43" s="28"/>
      <c r="H43" s="28"/>
      <c r="I43" s="28"/>
      <c r="J43" s="28"/>
      <c r="K43" s="60"/>
      <c r="L43" s="29"/>
      <c r="M43" s="29"/>
      <c r="N43" s="29"/>
      <c r="O43" s="29"/>
      <c r="P43" s="23"/>
      <c r="Q43" s="152"/>
    </row>
    <row r="44" spans="1:17" s="42" customFormat="1" ht="293.25" x14ac:dyDescent="0.25">
      <c r="A44" s="167"/>
      <c r="B44" s="30" t="s">
        <v>1403</v>
      </c>
      <c r="C44" s="25"/>
      <c r="D44" s="182"/>
      <c r="E44" s="31"/>
      <c r="F44" s="31"/>
      <c r="G44" s="31"/>
      <c r="H44" s="31"/>
      <c r="I44" s="31"/>
      <c r="J44" s="31"/>
      <c r="K44" s="58"/>
      <c r="L44" s="26"/>
      <c r="M44" s="26"/>
      <c r="N44" s="26"/>
      <c r="O44" s="26"/>
      <c r="P44" s="38"/>
      <c r="Q44" s="152"/>
    </row>
    <row r="45" spans="1:17" s="240" customFormat="1" ht="26.25" thickBot="1" x14ac:dyDescent="0.3">
      <c r="A45" s="169"/>
      <c r="B45" s="137" t="s">
        <v>1008</v>
      </c>
      <c r="C45" s="25"/>
      <c r="D45" s="182"/>
      <c r="E45" s="31"/>
      <c r="F45" s="31"/>
      <c r="G45" s="31"/>
      <c r="H45" s="31"/>
      <c r="I45" s="31"/>
      <c r="J45" s="31"/>
      <c r="K45" s="58"/>
      <c r="L45" s="26"/>
      <c r="M45" s="26"/>
      <c r="N45" s="26"/>
      <c r="O45" s="26"/>
      <c r="P45" s="38"/>
    </row>
    <row r="46" spans="1:17" s="240" customFormat="1" ht="26.25" thickBot="1" x14ac:dyDescent="0.3">
      <c r="A46" s="225"/>
      <c r="B46" s="232" t="s">
        <v>1404</v>
      </c>
      <c r="C46" s="233" t="s">
        <v>1347</v>
      </c>
      <c r="D46" s="297">
        <v>0</v>
      </c>
      <c r="E46" s="235">
        <v>4</v>
      </c>
      <c r="F46" s="235">
        <v>20</v>
      </c>
      <c r="G46" s="235">
        <v>5</v>
      </c>
      <c r="H46" s="235">
        <v>12</v>
      </c>
      <c r="I46" s="235">
        <v>0</v>
      </c>
      <c r="J46" s="236">
        <v>0</v>
      </c>
      <c r="K46" s="237">
        <f>SUM(D46:J46)</f>
        <v>41</v>
      </c>
      <c r="L46" s="206">
        <v>0</v>
      </c>
      <c r="M46" s="206">
        <v>0</v>
      </c>
      <c r="N46" s="206">
        <f>L46+M46</f>
        <v>0</v>
      </c>
      <c r="O46" s="206"/>
      <c r="P46" s="238">
        <f>N46*K46</f>
        <v>0</v>
      </c>
      <c r="Q46" s="239"/>
    </row>
    <row r="47" spans="1:17" s="240" customFormat="1" ht="26.25" thickBot="1" x14ac:dyDescent="0.3">
      <c r="A47" s="225"/>
      <c r="B47" s="232" t="s">
        <v>1405</v>
      </c>
      <c r="C47" s="233" t="s">
        <v>1347</v>
      </c>
      <c r="D47" s="297">
        <v>67.2</v>
      </c>
      <c r="E47" s="235">
        <v>11.2</v>
      </c>
      <c r="F47" s="235">
        <v>30.4</v>
      </c>
      <c r="G47" s="235">
        <v>13</v>
      </c>
      <c r="H47" s="235">
        <v>14.8</v>
      </c>
      <c r="I47" s="235">
        <v>0</v>
      </c>
      <c r="J47" s="236">
        <v>0</v>
      </c>
      <c r="K47" s="237">
        <f>SUM(D47:J47)</f>
        <v>136.60000000000002</v>
      </c>
      <c r="L47" s="206">
        <v>0</v>
      </c>
      <c r="M47" s="206">
        <v>0</v>
      </c>
      <c r="N47" s="206">
        <f>L47+M47</f>
        <v>0</v>
      </c>
      <c r="O47" s="206"/>
      <c r="P47" s="238">
        <f>N47*K47</f>
        <v>0</v>
      </c>
      <c r="Q47" s="239"/>
    </row>
    <row r="48" spans="1:17" s="240" customFormat="1" ht="26.25" thickBot="1" x14ac:dyDescent="0.3">
      <c r="A48" s="225"/>
      <c r="B48" s="232" t="s">
        <v>1406</v>
      </c>
      <c r="C48" s="233" t="s">
        <v>1347</v>
      </c>
      <c r="D48" s="297">
        <v>53</v>
      </c>
      <c r="E48" s="235">
        <v>53</v>
      </c>
      <c r="F48" s="235">
        <v>120</v>
      </c>
      <c r="G48" s="235">
        <v>36</v>
      </c>
      <c r="H48" s="235">
        <v>67</v>
      </c>
      <c r="I48" s="235">
        <v>0</v>
      </c>
      <c r="J48" s="236">
        <v>0</v>
      </c>
      <c r="K48" s="237">
        <f>SUM(D48:J48)</f>
        <v>329</v>
      </c>
      <c r="L48" s="206">
        <v>0</v>
      </c>
      <c r="M48" s="206">
        <v>0</v>
      </c>
      <c r="N48" s="206">
        <f>L48+M48</f>
        <v>0</v>
      </c>
      <c r="O48" s="206"/>
      <c r="P48" s="238">
        <f>N48*K48</f>
        <v>0</v>
      </c>
      <c r="Q48" s="239"/>
    </row>
    <row r="50" spans="1:21" s="132" customFormat="1" ht="15.75" x14ac:dyDescent="0.25">
      <c r="A50" s="160" t="s">
        <v>1064</v>
      </c>
      <c r="B50" s="130" t="s">
        <v>1305</v>
      </c>
      <c r="C50" s="49"/>
      <c r="D50" s="49"/>
      <c r="E50" s="49"/>
      <c r="F50" s="49"/>
      <c r="G50" s="49"/>
      <c r="H50" s="49"/>
      <c r="I50" s="49"/>
      <c r="J50" s="49"/>
      <c r="K50" s="49"/>
      <c r="L50" s="49"/>
      <c r="M50" s="49"/>
      <c r="N50" s="49"/>
      <c r="O50" s="131"/>
      <c r="P50" s="49"/>
      <c r="Q50" s="49"/>
      <c r="R50" s="476" t="s">
        <v>57</v>
      </c>
      <c r="S50" s="476"/>
      <c r="T50" s="50">
        <f>SUM(P36:P48)</f>
        <v>0</v>
      </c>
      <c r="U50" s="151"/>
    </row>
    <row r="52" spans="1:21" s="132" customFormat="1" ht="15.75" x14ac:dyDescent="0.25">
      <c r="A52" s="160" t="s">
        <v>1064</v>
      </c>
      <c r="B52" s="130" t="s">
        <v>1307</v>
      </c>
      <c r="C52" s="49"/>
      <c r="D52" s="49"/>
      <c r="E52" s="49"/>
      <c r="F52" s="49"/>
      <c r="G52" s="49"/>
      <c r="H52" s="49"/>
      <c r="I52" s="49"/>
      <c r="J52" s="49"/>
      <c r="K52" s="49"/>
      <c r="L52" s="49"/>
      <c r="M52" s="49"/>
      <c r="N52" s="49"/>
      <c r="O52" s="131"/>
      <c r="P52" s="49"/>
      <c r="Q52" s="49"/>
      <c r="R52" s="476" t="s">
        <v>57</v>
      </c>
      <c r="S52" s="476"/>
      <c r="T52" s="50">
        <f>T50*6</f>
        <v>0</v>
      </c>
      <c r="U52" s="151"/>
    </row>
    <row r="54" spans="1:21" s="132" customFormat="1" ht="15.75" x14ac:dyDescent="0.25">
      <c r="A54" s="160"/>
      <c r="B54" s="130" t="s">
        <v>1308</v>
      </c>
      <c r="C54" s="49"/>
      <c r="D54" s="49"/>
      <c r="E54" s="49"/>
      <c r="F54" s="49"/>
      <c r="G54" s="49"/>
      <c r="H54" s="49"/>
      <c r="I54" s="49"/>
      <c r="J54" s="49"/>
      <c r="K54" s="49"/>
      <c r="L54" s="49"/>
      <c r="M54" s="49"/>
      <c r="N54" s="49"/>
      <c r="O54" s="131"/>
      <c r="P54" s="49"/>
      <c r="Q54" s="49"/>
      <c r="R54" s="476"/>
      <c r="S54" s="476"/>
      <c r="T54" s="50">
        <f>SUM(T52,T29)</f>
        <v>0</v>
      </c>
      <c r="U54" s="151"/>
    </row>
  </sheetData>
  <mergeCells count="11">
    <mergeCell ref="R50:S50"/>
    <mergeCell ref="R52:S52"/>
    <mergeCell ref="R54:S54"/>
    <mergeCell ref="D32:J32"/>
    <mergeCell ref="B2:R3"/>
    <mergeCell ref="B5:T5"/>
    <mergeCell ref="D7:N7"/>
    <mergeCell ref="D8:N8"/>
    <mergeCell ref="D31:J31"/>
    <mergeCell ref="R27:S27"/>
    <mergeCell ref="R29:S29"/>
  </mergeCells>
  <conditionalFormatting sqref="T11">
    <cfRule type="cellIs" dxfId="108" priority="6" stopIfTrue="1" operator="greaterThan">
      <formula>0</formula>
    </cfRule>
  </conditionalFormatting>
  <conditionalFormatting sqref="T27">
    <cfRule type="cellIs" dxfId="107" priority="5" stopIfTrue="1" operator="greaterThan">
      <formula>0</formula>
    </cfRule>
  </conditionalFormatting>
  <conditionalFormatting sqref="T29">
    <cfRule type="cellIs" dxfId="106" priority="4" stopIfTrue="1" operator="greaterThan">
      <formula>0</formula>
    </cfRule>
  </conditionalFormatting>
  <conditionalFormatting sqref="T50">
    <cfRule type="cellIs" dxfId="105" priority="3" stopIfTrue="1" operator="greaterThan">
      <formula>0</formula>
    </cfRule>
  </conditionalFormatting>
  <conditionalFormatting sqref="T52">
    <cfRule type="cellIs" dxfId="104" priority="2" stopIfTrue="1" operator="greaterThan">
      <formula>0</formula>
    </cfRule>
  </conditionalFormatting>
  <conditionalFormatting sqref="T54">
    <cfRule type="cellIs" dxfId="103" priority="1" stopIfTrue="1"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87F6-3F7D-44F4-854D-5B6E66EEB357}">
  <sheetPr>
    <tabColor rgb="FFFFC000"/>
  </sheetPr>
  <dimension ref="A1:U109"/>
  <sheetViews>
    <sheetView topLeftCell="A41" zoomScale="70" zoomScaleNormal="70" workbookViewId="0">
      <selection activeCell="T58" sqref="T58"/>
    </sheetView>
  </sheetViews>
  <sheetFormatPr defaultRowHeight="15" x14ac:dyDescent="0.25"/>
  <cols>
    <col min="2" max="2" width="48.7109375" customWidth="1"/>
  </cols>
  <sheetData>
    <row r="1" spans="1:21" s="42" customFormat="1" x14ac:dyDescent="0.25">
      <c r="A1" s="157"/>
      <c r="B1" s="112" t="s">
        <v>1198</v>
      </c>
      <c r="C1" s="44"/>
      <c r="D1" s="53"/>
      <c r="E1" s="53"/>
      <c r="F1" s="53"/>
      <c r="G1" s="53"/>
      <c r="H1" s="53"/>
      <c r="I1" s="53"/>
      <c r="J1" s="53"/>
      <c r="K1" s="53"/>
      <c r="L1" s="53"/>
      <c r="M1" s="53"/>
      <c r="N1" s="53"/>
      <c r="O1" s="113"/>
      <c r="P1" s="44"/>
      <c r="Q1" s="44"/>
      <c r="R1" s="44"/>
      <c r="S1" s="44"/>
      <c r="T1" s="44"/>
      <c r="U1" s="47"/>
    </row>
    <row r="2" spans="1:21" s="42" customFormat="1" ht="15" customHeight="1" x14ac:dyDescent="0.25">
      <c r="A2" s="157"/>
      <c r="B2" s="480" t="s">
        <v>11</v>
      </c>
      <c r="C2" s="481"/>
      <c r="D2" s="481"/>
      <c r="E2" s="481"/>
      <c r="F2" s="481"/>
      <c r="G2" s="481"/>
      <c r="H2" s="481"/>
      <c r="I2" s="481"/>
      <c r="J2" s="481"/>
      <c r="K2" s="481"/>
      <c r="L2" s="481"/>
      <c r="M2" s="481"/>
      <c r="N2" s="481"/>
      <c r="O2" s="481"/>
      <c r="P2" s="481"/>
      <c r="Q2" s="481"/>
      <c r="R2" s="482"/>
      <c r="S2" s="7" t="s">
        <v>10</v>
      </c>
      <c r="T2" s="133">
        <v>0</v>
      </c>
      <c r="U2" s="47"/>
    </row>
    <row r="3" spans="1:21" s="42" customFormat="1" x14ac:dyDescent="0.25">
      <c r="A3" s="157"/>
      <c r="B3" s="483"/>
      <c r="C3" s="484"/>
      <c r="D3" s="484"/>
      <c r="E3" s="484"/>
      <c r="F3" s="484"/>
      <c r="G3" s="484"/>
      <c r="H3" s="484"/>
      <c r="I3" s="484"/>
      <c r="J3" s="484"/>
      <c r="K3" s="484"/>
      <c r="L3" s="484"/>
      <c r="M3" s="484"/>
      <c r="N3" s="484"/>
      <c r="O3" s="484"/>
      <c r="P3" s="484"/>
      <c r="Q3" s="484"/>
      <c r="R3" s="485"/>
      <c r="S3" s="7" t="s">
        <v>9</v>
      </c>
      <c r="T3" s="134" t="s">
        <v>1006</v>
      </c>
      <c r="U3" s="47"/>
    </row>
    <row r="4" spans="1:21" s="42" customFormat="1" x14ac:dyDescent="0.25">
      <c r="A4" s="157"/>
      <c r="B4" s="114" t="s">
        <v>1199</v>
      </c>
      <c r="C4" s="114" t="s">
        <v>12</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x14ac:dyDescent="0.25">
      <c r="A5" s="158" t="s">
        <v>1</v>
      </c>
      <c r="B5" s="486" t="s">
        <v>35</v>
      </c>
      <c r="C5" s="486"/>
      <c r="D5" s="486"/>
      <c r="E5" s="486"/>
      <c r="F5" s="486"/>
      <c r="G5" s="486"/>
      <c r="H5" s="486"/>
      <c r="I5" s="486"/>
      <c r="J5" s="486"/>
      <c r="K5" s="486"/>
      <c r="L5" s="486"/>
      <c r="M5" s="486"/>
      <c r="N5" s="486"/>
      <c r="O5" s="486"/>
      <c r="P5" s="486"/>
      <c r="Q5" s="486"/>
      <c r="R5" s="486"/>
      <c r="S5" s="486"/>
      <c r="T5" s="486"/>
      <c r="U5" s="149"/>
    </row>
    <row r="6" spans="1:21" s="42" customFormat="1" ht="15.75"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0.1" customHeight="1" thickBot="1" x14ac:dyDescent="0.3">
      <c r="A7" s="119" t="s">
        <v>8</v>
      </c>
      <c r="B7" s="119" t="s">
        <v>7</v>
      </c>
      <c r="C7" s="120" t="s">
        <v>6</v>
      </c>
      <c r="D7" s="487"/>
      <c r="E7" s="487"/>
      <c r="F7" s="487"/>
      <c r="G7" s="487"/>
      <c r="H7" s="487"/>
      <c r="I7" s="487"/>
      <c r="J7" s="487"/>
      <c r="K7" s="487"/>
      <c r="L7" s="487"/>
      <c r="M7" s="487"/>
      <c r="N7" s="487"/>
      <c r="O7" s="121" t="s">
        <v>54</v>
      </c>
      <c r="P7" s="122" t="s">
        <v>5</v>
      </c>
      <c r="Q7" s="121" t="s">
        <v>4</v>
      </c>
      <c r="R7" s="121" t="s">
        <v>1004</v>
      </c>
      <c r="S7" s="121"/>
      <c r="T7" s="119" t="s">
        <v>1005</v>
      </c>
      <c r="U7" s="47"/>
    </row>
    <row r="8" spans="1:21" s="42" customFormat="1" ht="50.1" customHeight="1" thickBot="1" x14ac:dyDescent="0.3">
      <c r="A8" s="123"/>
      <c r="B8" s="123"/>
      <c r="C8" s="124"/>
      <c r="D8" s="477" t="s">
        <v>1002</v>
      </c>
      <c r="E8" s="478"/>
      <c r="F8" s="478"/>
      <c r="G8" s="478"/>
      <c r="H8" s="478"/>
      <c r="I8" s="478"/>
      <c r="J8" s="478"/>
      <c r="K8" s="478"/>
      <c r="L8" s="478"/>
      <c r="M8" s="478"/>
      <c r="N8" s="479"/>
      <c r="O8" s="125"/>
      <c r="P8" s="124"/>
      <c r="Q8" s="124"/>
      <c r="R8" s="124"/>
      <c r="S8" s="124"/>
      <c r="T8" s="123"/>
      <c r="U8" s="47"/>
    </row>
    <row r="9" spans="1:21" s="42" customFormat="1" ht="62.25" customHeight="1" x14ac:dyDescent="0.25">
      <c r="A9" s="123"/>
      <c r="B9" s="123"/>
      <c r="C9" s="124"/>
      <c r="D9" s="127" t="s">
        <v>1273</v>
      </c>
      <c r="E9" s="127" t="s">
        <v>1274</v>
      </c>
      <c r="F9" s="46" t="s">
        <v>1275</v>
      </c>
      <c r="G9" s="46" t="s">
        <v>1276</v>
      </c>
      <c r="H9" s="46" t="s">
        <v>1277</v>
      </c>
      <c r="I9" s="46" t="s">
        <v>1278</v>
      </c>
      <c r="J9" s="46" t="s">
        <v>1279</v>
      </c>
      <c r="K9" s="46" t="s">
        <v>1280</v>
      </c>
      <c r="L9" s="46" t="s">
        <v>1281</v>
      </c>
      <c r="M9" s="154" t="s">
        <v>1208</v>
      </c>
      <c r="N9" s="126" t="s">
        <v>1003</v>
      </c>
      <c r="O9" s="125"/>
      <c r="P9" s="124"/>
      <c r="Q9" s="124"/>
      <c r="R9" s="124"/>
      <c r="S9" s="124"/>
      <c r="T9" s="123"/>
      <c r="U9" s="47"/>
    </row>
    <row r="10" spans="1:21" s="32" customFormat="1" ht="12.75"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x14ac:dyDescent="0.25">
      <c r="A12" s="160" t="s">
        <v>53</v>
      </c>
      <c r="B12" s="39" t="s">
        <v>1452</v>
      </c>
      <c r="C12" s="40"/>
      <c r="D12" s="40"/>
      <c r="E12" s="40"/>
      <c r="F12" s="40"/>
      <c r="G12" s="40"/>
      <c r="H12" s="40"/>
      <c r="I12" s="40"/>
      <c r="J12" s="40"/>
      <c r="K12" s="40"/>
      <c r="L12" s="40"/>
      <c r="M12" s="40"/>
      <c r="N12" s="40"/>
      <c r="O12" s="59"/>
      <c r="P12" s="40"/>
      <c r="Q12" s="40"/>
      <c r="R12" s="40"/>
      <c r="S12" s="40"/>
      <c r="T12" s="41"/>
      <c r="U12" s="149"/>
    </row>
    <row r="14" spans="1:21" s="200" customFormat="1" x14ac:dyDescent="0.25">
      <c r="A14" s="282" t="s">
        <v>1060</v>
      </c>
      <c r="B14" s="196" t="s">
        <v>1061</v>
      </c>
      <c r="C14" s="196"/>
      <c r="D14" s="196"/>
      <c r="E14" s="196"/>
      <c r="F14" s="196"/>
      <c r="G14" s="196"/>
      <c r="H14" s="196"/>
      <c r="I14" s="196"/>
      <c r="J14" s="196"/>
      <c r="K14" s="196"/>
      <c r="L14" s="196"/>
      <c r="M14" s="196"/>
      <c r="N14" s="196"/>
      <c r="O14" s="197"/>
      <c r="P14" s="198"/>
      <c r="Q14" s="198"/>
      <c r="R14" s="198"/>
      <c r="S14" s="198"/>
      <c r="T14" s="199"/>
    </row>
    <row r="15" spans="1:21" s="42" customFormat="1" ht="128.25" thickBot="1" x14ac:dyDescent="0.3">
      <c r="A15" s="167"/>
      <c r="B15" s="266" t="s">
        <v>1210</v>
      </c>
      <c r="C15" s="25"/>
      <c r="D15" s="31"/>
      <c r="E15" s="31"/>
      <c r="F15" s="31"/>
      <c r="G15" s="31"/>
      <c r="H15" s="31"/>
      <c r="I15" s="31"/>
      <c r="J15" s="31"/>
      <c r="K15" s="31"/>
      <c r="L15" s="31"/>
      <c r="M15" s="31"/>
      <c r="N15" s="31"/>
      <c r="O15" s="58"/>
      <c r="P15" s="26"/>
      <c r="Q15" s="26"/>
      <c r="R15" s="26"/>
      <c r="S15" s="26"/>
      <c r="T15" s="38"/>
      <c r="U15" s="152"/>
    </row>
    <row r="16" spans="1:21" s="200" customFormat="1" ht="15.75" thickBot="1" x14ac:dyDescent="0.3">
      <c r="A16" s="282"/>
      <c r="B16" s="188" t="s">
        <v>1008</v>
      </c>
      <c r="C16" s="189" t="s">
        <v>1330</v>
      </c>
      <c r="D16" s="190">
        <v>47</v>
      </c>
      <c r="E16" s="190">
        <v>0</v>
      </c>
      <c r="F16" s="191">
        <v>48.9</v>
      </c>
      <c r="G16" s="191">
        <v>0</v>
      </c>
      <c r="H16" s="191">
        <v>56.6</v>
      </c>
      <c r="I16" s="191">
        <v>52.8</v>
      </c>
      <c r="J16" s="191">
        <v>0</v>
      </c>
      <c r="K16" s="191">
        <v>0</v>
      </c>
      <c r="L16" s="191">
        <v>0</v>
      </c>
      <c r="M16" s="191">
        <v>0</v>
      </c>
      <c r="N16" s="192">
        <v>0</v>
      </c>
      <c r="O16" s="193">
        <f>SUM(D16:N16)</f>
        <v>205.3</v>
      </c>
      <c r="P16" s="194">
        <v>0</v>
      </c>
      <c r="Q16" s="194">
        <v>0</v>
      </c>
      <c r="R16" s="194">
        <f>P16+Q16</f>
        <v>0</v>
      </c>
      <c r="S16" s="194"/>
      <c r="T16" s="195">
        <f>R16*O16</f>
        <v>0</v>
      </c>
      <c r="U16" s="208"/>
    </row>
    <row r="17" spans="1:21" s="42" customFormat="1" ht="15.75" thickBot="1" x14ac:dyDescent="0.3">
      <c r="A17" s="166"/>
      <c r="B17" s="137" t="s">
        <v>51</v>
      </c>
      <c r="C17" s="135" t="s">
        <v>40</v>
      </c>
      <c r="D17" s="55">
        <v>0</v>
      </c>
      <c r="E17" s="55">
        <v>0</v>
      </c>
      <c r="F17" s="36">
        <v>0</v>
      </c>
      <c r="G17" s="36">
        <v>0</v>
      </c>
      <c r="H17" s="36">
        <v>0</v>
      </c>
      <c r="I17" s="36">
        <v>0</v>
      </c>
      <c r="J17" s="36">
        <v>0</v>
      </c>
      <c r="K17" s="36">
        <v>0</v>
      </c>
      <c r="L17" s="36">
        <v>0</v>
      </c>
      <c r="M17" s="55">
        <v>42</v>
      </c>
      <c r="N17" s="56">
        <v>0</v>
      </c>
      <c r="O17" s="62">
        <f>SUM(D17:N17)</f>
        <v>42</v>
      </c>
      <c r="P17" s="26">
        <v>0</v>
      </c>
      <c r="Q17" s="26">
        <v>0</v>
      </c>
      <c r="R17" s="26">
        <f>P17+Q17</f>
        <v>0</v>
      </c>
      <c r="S17" s="26"/>
      <c r="T17" s="22">
        <f>R17*O17</f>
        <v>0</v>
      </c>
      <c r="U17" s="47"/>
    </row>
    <row r="18" spans="1:21" s="42" customFormat="1" x14ac:dyDescent="0.25">
      <c r="A18" s="166"/>
      <c r="B18" s="28"/>
      <c r="C18" s="28"/>
      <c r="D18" s="28"/>
      <c r="E18" s="28"/>
      <c r="F18" s="28"/>
      <c r="G18" s="28"/>
      <c r="H18" s="28"/>
      <c r="I18" s="28"/>
      <c r="J18" s="28"/>
      <c r="K18" s="28"/>
      <c r="L18" s="28"/>
      <c r="M18" s="28"/>
      <c r="N18" s="28"/>
      <c r="O18" s="60"/>
      <c r="P18" s="29"/>
      <c r="Q18" s="29"/>
      <c r="R18" s="29"/>
      <c r="S18" s="29"/>
      <c r="T18" s="23"/>
      <c r="U18" s="152"/>
    </row>
    <row r="20" spans="1:21" s="117" customFormat="1" ht="15.75" x14ac:dyDescent="0.25">
      <c r="A20" s="158" t="s">
        <v>36</v>
      </c>
      <c r="B20" s="39" t="s">
        <v>59</v>
      </c>
      <c r="C20" s="40"/>
      <c r="D20" s="40"/>
      <c r="E20" s="40"/>
      <c r="F20" s="40"/>
      <c r="G20" s="40"/>
      <c r="H20" s="40"/>
      <c r="I20" s="40"/>
      <c r="J20" s="40"/>
      <c r="K20" s="40"/>
      <c r="L20" s="40"/>
      <c r="M20" s="40"/>
      <c r="N20" s="40"/>
      <c r="O20" s="59"/>
      <c r="P20" s="40"/>
      <c r="Q20" s="40"/>
      <c r="R20" s="40"/>
      <c r="S20" s="40"/>
      <c r="T20" s="41"/>
      <c r="U20" s="149"/>
    </row>
    <row r="21" spans="1:21" s="42" customFormat="1" x14ac:dyDescent="0.25">
      <c r="A21" s="157"/>
      <c r="B21" s="44"/>
      <c r="C21" s="44"/>
      <c r="D21" s="44"/>
      <c r="E21" s="44"/>
      <c r="F21" s="44"/>
      <c r="G21" s="44"/>
      <c r="H21" s="44"/>
      <c r="I21" s="44"/>
      <c r="J21" s="44"/>
      <c r="K21" s="44"/>
      <c r="L21" s="44"/>
      <c r="M21" s="44"/>
      <c r="N21" s="44"/>
      <c r="O21" s="118"/>
      <c r="P21" s="44"/>
      <c r="Q21" s="44"/>
      <c r="R21" s="44"/>
      <c r="S21" s="44"/>
      <c r="T21" s="44"/>
      <c r="U21" s="47"/>
    </row>
    <row r="22" spans="1:21" s="42" customFormat="1" x14ac:dyDescent="0.25">
      <c r="A22" s="166" t="s">
        <v>37</v>
      </c>
      <c r="B22" s="27" t="s">
        <v>1007</v>
      </c>
      <c r="C22" s="28"/>
      <c r="D22" s="28"/>
      <c r="E22" s="28"/>
      <c r="F22" s="28"/>
      <c r="G22" s="28"/>
      <c r="H22" s="28"/>
      <c r="I22" s="28"/>
      <c r="J22" s="28"/>
      <c r="K22" s="28"/>
      <c r="L22" s="28"/>
      <c r="M22" s="28"/>
      <c r="N22" s="28"/>
      <c r="O22" s="60"/>
      <c r="P22" s="29"/>
      <c r="Q22" s="29"/>
      <c r="R22" s="29"/>
      <c r="S22" s="29"/>
      <c r="T22" s="23"/>
      <c r="U22" s="152"/>
    </row>
    <row r="23" spans="1:21" s="42" customFormat="1" ht="63.75" x14ac:dyDescent="0.25">
      <c r="A23" s="167"/>
      <c r="B23" s="266" t="s">
        <v>1407</v>
      </c>
      <c r="C23" s="31"/>
      <c r="D23" s="31"/>
      <c r="E23" s="31"/>
      <c r="F23" s="31"/>
      <c r="G23" s="31"/>
      <c r="H23" s="31"/>
      <c r="I23" s="31"/>
      <c r="J23" s="31"/>
      <c r="K23" s="31"/>
      <c r="L23" s="31"/>
      <c r="M23" s="31"/>
      <c r="N23" s="31"/>
      <c r="O23" s="58"/>
      <c r="P23" s="26"/>
      <c r="Q23" s="26"/>
      <c r="R23" s="26"/>
      <c r="S23" s="26"/>
      <c r="T23" s="38"/>
      <c r="U23" s="152"/>
    </row>
    <row r="24" spans="1:21" s="42" customFormat="1" ht="38.25" x14ac:dyDescent="0.25">
      <c r="A24" s="167"/>
      <c r="B24" s="30" t="s">
        <v>1009</v>
      </c>
      <c r="C24" s="31"/>
      <c r="D24" s="31"/>
      <c r="E24" s="31"/>
      <c r="F24" s="31"/>
      <c r="G24" s="31"/>
      <c r="H24" s="31"/>
      <c r="I24" s="31"/>
      <c r="J24" s="31"/>
      <c r="K24" s="31"/>
      <c r="L24" s="31"/>
      <c r="M24" s="31"/>
      <c r="N24" s="31"/>
      <c r="O24" s="58"/>
      <c r="P24" s="26"/>
      <c r="Q24" s="26"/>
      <c r="R24" s="26"/>
      <c r="S24" s="26"/>
      <c r="T24" s="38"/>
      <c r="U24" s="152"/>
    </row>
    <row r="25" spans="1:21" s="42" customFormat="1" ht="15.75" thickBot="1" x14ac:dyDescent="0.3">
      <c r="A25" s="167"/>
      <c r="B25" s="30" t="s">
        <v>1010</v>
      </c>
      <c r="C25" s="31"/>
      <c r="D25" s="31"/>
      <c r="E25" s="31"/>
      <c r="F25" s="31"/>
      <c r="G25" s="31"/>
      <c r="H25" s="31"/>
      <c r="I25" s="31"/>
      <c r="J25" s="31"/>
      <c r="K25" s="31"/>
      <c r="L25" s="31"/>
      <c r="M25" s="31"/>
      <c r="N25" s="31"/>
      <c r="O25" s="58"/>
      <c r="P25" s="26"/>
      <c r="Q25" s="26"/>
      <c r="R25" s="26"/>
      <c r="S25" s="26"/>
      <c r="T25" s="38"/>
      <c r="U25" s="152"/>
    </row>
    <row r="26" spans="1:21" s="42" customFormat="1" ht="15.75" thickBot="1" x14ac:dyDescent="0.3">
      <c r="A26" s="166"/>
      <c r="B26" s="137" t="s">
        <v>1015</v>
      </c>
      <c r="C26" s="135" t="s">
        <v>56</v>
      </c>
      <c r="D26" s="55">
        <v>0</v>
      </c>
      <c r="E26" s="55">
        <v>0</v>
      </c>
      <c r="F26" s="36">
        <v>0</v>
      </c>
      <c r="G26" s="36">
        <v>0</v>
      </c>
      <c r="H26" s="36">
        <v>0</v>
      </c>
      <c r="I26" s="36">
        <v>0</v>
      </c>
      <c r="J26" s="36">
        <v>0</v>
      </c>
      <c r="K26" s="36">
        <v>0</v>
      </c>
      <c r="L26" s="36">
        <v>0</v>
      </c>
      <c r="M26" s="36">
        <v>0</v>
      </c>
      <c r="N26" s="56">
        <v>54.25</v>
      </c>
      <c r="O26" s="62">
        <f>SUM(D26:N26)</f>
        <v>54.25</v>
      </c>
      <c r="P26" s="26">
        <v>0</v>
      </c>
      <c r="Q26" s="26">
        <v>0</v>
      </c>
      <c r="R26" s="26">
        <f>P26+Q26</f>
        <v>0</v>
      </c>
      <c r="S26" s="26"/>
      <c r="T26" s="22">
        <f>R26*O26</f>
        <v>0</v>
      </c>
      <c r="U26" s="47"/>
    </row>
    <row r="27" spans="1:21" s="42" customFormat="1" x14ac:dyDescent="0.25">
      <c r="A27" s="157"/>
      <c r="B27" s="44"/>
      <c r="C27" s="44"/>
      <c r="D27" s="44"/>
      <c r="E27" s="44"/>
      <c r="F27" s="44"/>
      <c r="G27" s="44"/>
      <c r="H27" s="44"/>
      <c r="I27" s="44"/>
      <c r="J27" s="44"/>
      <c r="K27" s="44"/>
      <c r="L27" s="44"/>
      <c r="M27" s="44"/>
      <c r="N27" s="44"/>
      <c r="O27" s="118"/>
      <c r="P27" s="44"/>
      <c r="Q27" s="44"/>
      <c r="R27" s="44"/>
      <c r="S27" s="44"/>
      <c r="T27" s="44"/>
      <c r="U27" s="47"/>
    </row>
    <row r="28" spans="1:21" s="42" customFormat="1" x14ac:dyDescent="0.25">
      <c r="A28" s="166" t="s">
        <v>1169</v>
      </c>
      <c r="B28" s="27" t="s">
        <v>1011</v>
      </c>
      <c r="C28" s="28"/>
      <c r="D28" s="28"/>
      <c r="E28" s="28"/>
      <c r="F28" s="28"/>
      <c r="G28" s="28"/>
      <c r="H28" s="28"/>
      <c r="I28" s="28"/>
      <c r="J28" s="28"/>
      <c r="K28" s="28"/>
      <c r="L28" s="28"/>
      <c r="M28" s="28"/>
      <c r="N28" s="28"/>
      <c r="O28" s="60"/>
      <c r="P28" s="29"/>
      <c r="Q28" s="29"/>
      <c r="R28" s="29"/>
      <c r="S28" s="29"/>
      <c r="T28" s="23"/>
      <c r="U28" s="152"/>
    </row>
    <row r="29" spans="1:21" s="42" customFormat="1" ht="90" customHeight="1" x14ac:dyDescent="0.25">
      <c r="A29" s="167"/>
      <c r="B29" s="266" t="s">
        <v>1449</v>
      </c>
      <c r="C29" s="31"/>
      <c r="D29" s="31"/>
      <c r="E29" s="31"/>
      <c r="F29" s="31"/>
      <c r="G29" s="31"/>
      <c r="H29" s="31"/>
      <c r="I29" s="31"/>
      <c r="J29" s="31"/>
      <c r="K29" s="31"/>
      <c r="L29" s="31"/>
      <c r="M29" s="31"/>
      <c r="N29" s="31"/>
      <c r="O29" s="58"/>
      <c r="P29" s="26"/>
      <c r="Q29" s="26"/>
      <c r="R29" s="26"/>
      <c r="S29" s="26"/>
      <c r="T29" s="38"/>
      <c r="U29" s="152"/>
    </row>
    <row r="30" spans="1:21" s="42" customFormat="1" ht="39" thickBot="1" x14ac:dyDescent="0.3">
      <c r="A30" s="167"/>
      <c r="B30" s="30" t="s">
        <v>1012</v>
      </c>
      <c r="C30" s="31"/>
      <c r="D30" s="31"/>
      <c r="E30" s="31"/>
      <c r="F30" s="31"/>
      <c r="G30" s="31"/>
      <c r="H30" s="31"/>
      <c r="I30" s="31"/>
      <c r="J30" s="31"/>
      <c r="K30" s="31"/>
      <c r="L30" s="31"/>
      <c r="M30" s="31"/>
      <c r="N30" s="31"/>
      <c r="O30" s="58"/>
      <c r="P30" s="26"/>
      <c r="Q30" s="26"/>
      <c r="R30" s="26"/>
      <c r="S30" s="26"/>
      <c r="T30" s="38"/>
      <c r="U30" s="152"/>
    </row>
    <row r="31" spans="1:21" s="42" customFormat="1" ht="15.75" thickBot="1" x14ac:dyDescent="0.3">
      <c r="A31" s="166"/>
      <c r="B31" s="137" t="s">
        <v>1015</v>
      </c>
      <c r="C31" s="135" t="s">
        <v>56</v>
      </c>
      <c r="D31" s="55">
        <v>0</v>
      </c>
      <c r="E31" s="55">
        <v>0</v>
      </c>
      <c r="F31" s="36">
        <v>0</v>
      </c>
      <c r="G31" s="36">
        <v>0</v>
      </c>
      <c r="H31" s="36">
        <v>0</v>
      </c>
      <c r="I31" s="36">
        <v>0</v>
      </c>
      <c r="J31" s="36">
        <v>0</v>
      </c>
      <c r="K31" s="36">
        <v>0</v>
      </c>
      <c r="L31" s="36">
        <v>0</v>
      </c>
      <c r="M31" s="36">
        <v>0</v>
      </c>
      <c r="N31" s="54">
        <v>149.6</v>
      </c>
      <c r="O31" s="62">
        <f>SUM(D31:N31)</f>
        <v>149.6</v>
      </c>
      <c r="P31" s="26">
        <v>0</v>
      </c>
      <c r="Q31" s="26">
        <v>0</v>
      </c>
      <c r="R31" s="26">
        <f>P31+Q31</f>
        <v>0</v>
      </c>
      <c r="S31" s="26"/>
      <c r="T31" s="22">
        <f>R31*O31</f>
        <v>0</v>
      </c>
      <c r="U31" s="47"/>
    </row>
    <row r="32" spans="1:21" s="42" customFormat="1" x14ac:dyDescent="0.25">
      <c r="A32" s="157"/>
      <c r="B32" s="44"/>
      <c r="C32" s="44"/>
      <c r="D32" s="44"/>
      <c r="E32" s="44"/>
      <c r="F32" s="44"/>
      <c r="G32" s="44"/>
      <c r="H32" s="44"/>
      <c r="I32" s="44"/>
      <c r="J32" s="44"/>
      <c r="K32" s="44"/>
      <c r="L32" s="44"/>
      <c r="M32" s="44"/>
      <c r="N32" s="44"/>
      <c r="O32" s="118"/>
      <c r="P32" s="44"/>
      <c r="Q32" s="44"/>
      <c r="R32" s="44"/>
      <c r="S32" s="44"/>
      <c r="T32" s="44"/>
      <c r="U32" s="47"/>
    </row>
    <row r="33" spans="1:21" s="42" customFormat="1" x14ac:dyDescent="0.25">
      <c r="A33" s="166" t="s">
        <v>1170</v>
      </c>
      <c r="B33" s="27" t="s">
        <v>1011</v>
      </c>
      <c r="C33" s="28"/>
      <c r="D33" s="28"/>
      <c r="E33" s="28"/>
      <c r="F33" s="28"/>
      <c r="G33" s="28"/>
      <c r="H33" s="28"/>
      <c r="I33" s="28"/>
      <c r="J33" s="28"/>
      <c r="K33" s="28"/>
      <c r="L33" s="28"/>
      <c r="M33" s="28"/>
      <c r="N33" s="28"/>
      <c r="O33" s="60"/>
      <c r="P33" s="29"/>
      <c r="Q33" s="29"/>
      <c r="R33" s="29"/>
      <c r="S33" s="29"/>
      <c r="T33" s="23"/>
      <c r="U33" s="152"/>
    </row>
    <row r="34" spans="1:21" s="42" customFormat="1" ht="102.75" thickBot="1" x14ac:dyDescent="0.3">
      <c r="A34" s="167"/>
      <c r="B34" s="266" t="s">
        <v>1409</v>
      </c>
      <c r="C34" s="31"/>
      <c r="D34" s="31"/>
      <c r="E34" s="31"/>
      <c r="F34" s="31"/>
      <c r="G34" s="31"/>
      <c r="H34" s="31"/>
      <c r="I34" s="31"/>
      <c r="J34" s="31"/>
      <c r="K34" s="31"/>
      <c r="L34" s="31"/>
      <c r="M34" s="31"/>
      <c r="N34" s="31"/>
      <c r="O34" s="58"/>
      <c r="P34" s="26"/>
      <c r="Q34" s="26"/>
      <c r="R34" s="26"/>
      <c r="S34" s="26"/>
      <c r="T34" s="38"/>
      <c r="U34" s="152"/>
    </row>
    <row r="35" spans="1:21" s="42" customFormat="1" ht="15.75" thickBot="1" x14ac:dyDescent="0.3">
      <c r="A35" s="166"/>
      <c r="B35" s="137" t="s">
        <v>1015</v>
      </c>
      <c r="C35" s="135" t="s">
        <v>56</v>
      </c>
      <c r="D35" s="55">
        <v>0</v>
      </c>
      <c r="E35" s="55">
        <v>0</v>
      </c>
      <c r="F35" s="36">
        <v>0</v>
      </c>
      <c r="G35" s="36">
        <v>0</v>
      </c>
      <c r="H35" s="36">
        <v>0</v>
      </c>
      <c r="I35" s="36">
        <v>0</v>
      </c>
      <c r="J35" s="36">
        <v>0</v>
      </c>
      <c r="K35" s="36">
        <v>0</v>
      </c>
      <c r="L35" s="36">
        <v>0</v>
      </c>
      <c r="M35" s="36">
        <v>0</v>
      </c>
      <c r="N35" s="54">
        <v>149.6</v>
      </c>
      <c r="O35" s="62">
        <f>SUM(D35:N35)</f>
        <v>149.6</v>
      </c>
      <c r="P35" s="26">
        <v>0</v>
      </c>
      <c r="Q35" s="26">
        <v>0</v>
      </c>
      <c r="R35" s="26">
        <f>P35+Q35</f>
        <v>0</v>
      </c>
      <c r="S35" s="26"/>
      <c r="T35" s="22">
        <f>R35*O35</f>
        <v>0</v>
      </c>
      <c r="U35" s="47"/>
    </row>
    <row r="36" spans="1:21" s="42" customFormat="1" x14ac:dyDescent="0.25">
      <c r="A36" s="157"/>
      <c r="B36" s="44"/>
      <c r="C36" s="44"/>
      <c r="D36" s="44"/>
      <c r="E36" s="44"/>
      <c r="F36" s="44"/>
      <c r="G36" s="44"/>
      <c r="H36" s="44"/>
      <c r="I36" s="44"/>
      <c r="J36" s="44"/>
      <c r="K36" s="44"/>
      <c r="L36" s="44"/>
      <c r="M36" s="44"/>
      <c r="N36" s="44"/>
      <c r="O36" s="118"/>
      <c r="P36" s="44"/>
      <c r="Q36" s="44"/>
      <c r="R36" s="44"/>
      <c r="S36" s="44"/>
      <c r="T36" s="44"/>
      <c r="U36" s="47"/>
    </row>
    <row r="37" spans="1:21" s="42" customFormat="1" x14ac:dyDescent="0.25">
      <c r="A37" s="166" t="s">
        <v>1066</v>
      </c>
      <c r="B37" s="147" t="s">
        <v>60</v>
      </c>
      <c r="C37" s="28"/>
      <c r="D37" s="28"/>
      <c r="E37" s="28"/>
      <c r="F37" s="28"/>
      <c r="G37" s="28"/>
      <c r="H37" s="28"/>
      <c r="I37" s="28"/>
      <c r="J37" s="28"/>
      <c r="K37" s="28"/>
      <c r="L37" s="28"/>
      <c r="M37" s="28"/>
      <c r="N37" s="28"/>
      <c r="O37" s="60"/>
      <c r="P37" s="29"/>
      <c r="Q37" s="29"/>
      <c r="R37" s="29"/>
      <c r="S37" s="29"/>
      <c r="T37" s="23"/>
      <c r="U37" s="152"/>
    </row>
    <row r="38" spans="1:21" s="42" customFormat="1" ht="63.75" x14ac:dyDescent="0.25">
      <c r="A38" s="167"/>
      <c r="B38" s="141" t="s">
        <v>1450</v>
      </c>
      <c r="C38" s="31"/>
      <c r="D38" s="31"/>
      <c r="E38" s="31"/>
      <c r="F38" s="31"/>
      <c r="G38" s="31"/>
      <c r="H38" s="31"/>
      <c r="I38" s="31"/>
      <c r="J38" s="31"/>
      <c r="K38" s="31"/>
      <c r="L38" s="31"/>
      <c r="M38" s="31"/>
      <c r="N38" s="31"/>
      <c r="O38" s="58"/>
      <c r="P38" s="26"/>
      <c r="Q38" s="26"/>
      <c r="R38" s="26"/>
      <c r="S38" s="26"/>
      <c r="T38" s="38"/>
      <c r="U38" s="152"/>
    </row>
    <row r="39" spans="1:21" s="42" customFormat="1" ht="38.25" x14ac:dyDescent="0.25">
      <c r="A39" s="167"/>
      <c r="B39" s="141" t="s">
        <v>1451</v>
      </c>
      <c r="C39" s="31"/>
      <c r="D39" s="31"/>
      <c r="E39" s="31"/>
      <c r="F39" s="31"/>
      <c r="G39" s="31"/>
      <c r="H39" s="31"/>
      <c r="I39" s="31"/>
      <c r="J39" s="31"/>
      <c r="K39" s="31"/>
      <c r="L39" s="31"/>
      <c r="M39" s="31"/>
      <c r="N39" s="31"/>
      <c r="O39" s="58"/>
      <c r="P39" s="26"/>
      <c r="Q39" s="26"/>
      <c r="R39" s="26"/>
      <c r="S39" s="26"/>
      <c r="T39" s="38"/>
      <c r="U39" s="152"/>
    </row>
    <row r="40" spans="1:21" s="42" customFormat="1" ht="38.25" x14ac:dyDescent="0.25">
      <c r="A40" s="167"/>
      <c r="B40" s="141" t="s">
        <v>62</v>
      </c>
      <c r="C40" s="31"/>
      <c r="D40" s="31"/>
      <c r="E40" s="31"/>
      <c r="F40" s="31"/>
      <c r="G40" s="31"/>
      <c r="H40" s="31"/>
      <c r="I40" s="31"/>
      <c r="J40" s="31"/>
      <c r="K40" s="31"/>
      <c r="L40" s="31"/>
      <c r="M40" s="31"/>
      <c r="N40" s="31"/>
      <c r="O40" s="58"/>
      <c r="P40" s="26"/>
      <c r="Q40" s="26"/>
      <c r="R40" s="26"/>
      <c r="S40" s="26"/>
      <c r="T40" s="38"/>
      <c r="U40" s="152"/>
    </row>
    <row r="41" spans="1:21" s="42" customFormat="1" ht="25.5" x14ac:dyDescent="0.25">
      <c r="A41" s="167"/>
      <c r="B41" s="141" t="s">
        <v>63</v>
      </c>
      <c r="C41" s="31"/>
      <c r="D41" s="31"/>
      <c r="E41" s="31"/>
      <c r="F41" s="31"/>
      <c r="G41" s="31"/>
      <c r="H41" s="31"/>
      <c r="I41" s="31"/>
      <c r="J41" s="31"/>
      <c r="K41" s="31"/>
      <c r="L41" s="31"/>
      <c r="M41" s="31"/>
      <c r="N41" s="31"/>
      <c r="O41" s="58"/>
      <c r="P41" s="26"/>
      <c r="Q41" s="26"/>
      <c r="R41" s="26"/>
      <c r="S41" s="26"/>
      <c r="T41" s="38"/>
      <c r="U41" s="152"/>
    </row>
    <row r="42" spans="1:21" s="42" customFormat="1" ht="89.25" x14ac:dyDescent="0.25">
      <c r="A42" s="167"/>
      <c r="B42" s="141" t="s">
        <v>64</v>
      </c>
      <c r="C42" s="31"/>
      <c r="D42" s="31"/>
      <c r="E42" s="31"/>
      <c r="F42" s="31"/>
      <c r="G42" s="31"/>
      <c r="H42" s="31"/>
      <c r="I42" s="31"/>
      <c r="J42" s="31"/>
      <c r="K42" s="31"/>
      <c r="L42" s="31"/>
      <c r="M42" s="31"/>
      <c r="N42" s="31"/>
      <c r="O42" s="58"/>
      <c r="P42" s="26"/>
      <c r="Q42" s="26"/>
      <c r="R42" s="26"/>
      <c r="S42" s="26"/>
      <c r="T42" s="38"/>
      <c r="U42" s="152"/>
    </row>
    <row r="43" spans="1:21" s="42" customFormat="1" ht="15.75" thickBot="1" x14ac:dyDescent="0.3">
      <c r="A43" s="167"/>
      <c r="B43" s="30" t="s">
        <v>1008</v>
      </c>
      <c r="C43" s="31"/>
      <c r="D43" s="31"/>
      <c r="E43" s="31"/>
      <c r="F43" s="31"/>
      <c r="G43" s="31"/>
      <c r="H43" s="31"/>
      <c r="I43" s="31"/>
      <c r="J43" s="31"/>
      <c r="K43" s="31"/>
      <c r="L43" s="31"/>
      <c r="M43" s="31"/>
      <c r="N43" s="31"/>
      <c r="O43" s="58"/>
      <c r="P43" s="26"/>
      <c r="Q43" s="26"/>
      <c r="R43" s="26"/>
      <c r="S43" s="26"/>
      <c r="T43" s="38"/>
      <c r="U43" s="152"/>
    </row>
    <row r="44" spans="1:21" s="219" customFormat="1" ht="15.75" thickBot="1" x14ac:dyDescent="0.3">
      <c r="A44" s="209" t="s">
        <v>1069</v>
      </c>
      <c r="B44" s="210" t="s">
        <v>1068</v>
      </c>
      <c r="C44" s="211" t="s">
        <v>1335</v>
      </c>
      <c r="D44" s="212">
        <v>4.75</v>
      </c>
      <c r="E44" s="212">
        <v>4.5999999999999996</v>
      </c>
      <c r="F44" s="213">
        <v>4.8</v>
      </c>
      <c r="G44" s="213">
        <v>4.8</v>
      </c>
      <c r="H44" s="213">
        <v>26.4</v>
      </c>
      <c r="I44" s="213">
        <v>7.6</v>
      </c>
      <c r="J44" s="213">
        <v>7.6</v>
      </c>
      <c r="K44" s="213">
        <v>11</v>
      </c>
      <c r="L44" s="213">
        <v>20.399999999999999</v>
      </c>
      <c r="M44" s="213">
        <v>0</v>
      </c>
      <c r="N44" s="214">
        <v>0</v>
      </c>
      <c r="O44" s="215">
        <f>SUM(D44:N44)</f>
        <v>91.949999999999989</v>
      </c>
      <c r="P44" s="216">
        <v>0</v>
      </c>
      <c r="Q44" s="216">
        <v>0</v>
      </c>
      <c r="R44" s="216">
        <f>P44+Q44</f>
        <v>0</v>
      </c>
      <c r="S44" s="216"/>
      <c r="T44" s="217">
        <f>R44*O44</f>
        <v>0</v>
      </c>
      <c r="U44" s="218"/>
    </row>
    <row r="45" spans="1:21" s="42" customFormat="1" x14ac:dyDescent="0.25">
      <c r="A45" s="157"/>
      <c r="B45" s="44"/>
      <c r="C45" s="44"/>
      <c r="D45" s="44"/>
      <c r="E45" s="44"/>
      <c r="F45" s="44"/>
      <c r="G45" s="44"/>
      <c r="H45" s="44"/>
      <c r="I45" s="44"/>
      <c r="J45" s="44"/>
      <c r="K45" s="44"/>
      <c r="L45" s="44"/>
      <c r="M45" s="44"/>
      <c r="N45" s="44"/>
      <c r="O45" s="118"/>
      <c r="P45" s="44"/>
      <c r="Q45" s="44"/>
      <c r="R45" s="44"/>
      <c r="S45" s="44"/>
      <c r="T45" s="44"/>
      <c r="U45" s="47"/>
    </row>
    <row r="46" spans="1:21" s="42" customFormat="1" x14ac:dyDescent="0.25">
      <c r="A46" s="166" t="s">
        <v>1070</v>
      </c>
      <c r="B46" s="147" t="s">
        <v>60</v>
      </c>
      <c r="C46" s="28"/>
      <c r="D46" s="28"/>
      <c r="E46" s="28"/>
      <c r="F46" s="28"/>
      <c r="G46" s="28"/>
      <c r="H46" s="28"/>
      <c r="I46" s="28"/>
      <c r="J46" s="28"/>
      <c r="K46" s="28"/>
      <c r="L46" s="28"/>
      <c r="M46" s="28"/>
      <c r="N46" s="28"/>
      <c r="O46" s="60"/>
      <c r="P46" s="29"/>
      <c r="Q46" s="29"/>
      <c r="R46" s="29"/>
      <c r="S46" s="29"/>
      <c r="T46" s="23"/>
      <c r="U46" s="152"/>
    </row>
    <row r="47" spans="1:21" s="42" customFormat="1" ht="243.75" x14ac:dyDescent="0.25">
      <c r="A47" s="167"/>
      <c r="B47" s="141" t="s">
        <v>1072</v>
      </c>
      <c r="C47" s="31"/>
      <c r="D47" s="31"/>
      <c r="E47" s="31"/>
      <c r="F47" s="31"/>
      <c r="G47" s="31"/>
      <c r="H47" s="31"/>
      <c r="I47" s="31"/>
      <c r="J47" s="31"/>
      <c r="K47" s="31"/>
      <c r="L47" s="31"/>
      <c r="M47" s="31"/>
      <c r="N47" s="31"/>
      <c r="O47" s="58"/>
      <c r="P47" s="26"/>
      <c r="Q47" s="26"/>
      <c r="R47" s="26"/>
      <c r="S47" s="26"/>
      <c r="T47" s="38"/>
      <c r="U47" s="152"/>
    </row>
    <row r="48" spans="1:21" s="42" customFormat="1" ht="15.75" thickBot="1" x14ac:dyDescent="0.3">
      <c r="A48" s="167"/>
      <c r="B48" s="30" t="s">
        <v>1008</v>
      </c>
      <c r="C48" s="31"/>
      <c r="D48" s="31"/>
      <c r="E48" s="31"/>
      <c r="F48" s="31"/>
      <c r="G48" s="31"/>
      <c r="H48" s="31"/>
      <c r="I48" s="31"/>
      <c r="J48" s="31"/>
      <c r="K48" s="31"/>
      <c r="L48" s="31"/>
      <c r="M48" s="31"/>
      <c r="N48" s="31"/>
      <c r="O48" s="58"/>
      <c r="P48" s="26"/>
      <c r="Q48" s="26"/>
      <c r="R48" s="26"/>
      <c r="S48" s="26"/>
      <c r="T48" s="38"/>
      <c r="U48" s="152"/>
    </row>
    <row r="49" spans="1:21" s="42" customFormat="1" ht="15.75" thickBot="1" x14ac:dyDescent="0.3">
      <c r="A49" s="166" t="s">
        <v>1071</v>
      </c>
      <c r="B49" s="137" t="s">
        <v>1158</v>
      </c>
      <c r="C49" s="135" t="s">
        <v>56</v>
      </c>
      <c r="D49" s="55">
        <v>8.75</v>
      </c>
      <c r="E49" s="55">
        <v>8.75</v>
      </c>
      <c r="F49" s="36">
        <v>8.75</v>
      </c>
      <c r="G49" s="36">
        <v>8.75</v>
      </c>
      <c r="H49" s="36">
        <v>40</v>
      </c>
      <c r="I49" s="36">
        <v>8</v>
      </c>
      <c r="J49" s="36">
        <v>8</v>
      </c>
      <c r="K49" s="36">
        <v>16</v>
      </c>
      <c r="L49" s="36">
        <v>28.65</v>
      </c>
      <c r="M49" s="36">
        <v>0</v>
      </c>
      <c r="N49" s="56">
        <v>0</v>
      </c>
      <c r="O49" s="62">
        <f>SUM(D49:N49)</f>
        <v>135.65</v>
      </c>
      <c r="P49" s="26">
        <v>0</v>
      </c>
      <c r="Q49" s="26">
        <v>0</v>
      </c>
      <c r="R49" s="26">
        <f>P49+Q49</f>
        <v>0</v>
      </c>
      <c r="S49" s="26"/>
      <c r="T49" s="22">
        <f>R49*O49</f>
        <v>0</v>
      </c>
      <c r="U49" s="44"/>
    </row>
    <row r="50" spans="1:21" s="32" customFormat="1" ht="12.75" x14ac:dyDescent="0.2">
      <c r="A50" s="159"/>
      <c r="B50" s="31"/>
      <c r="C50" s="25"/>
      <c r="D50" s="25"/>
      <c r="E50" s="25"/>
      <c r="F50" s="25"/>
      <c r="G50" s="25"/>
      <c r="H50" s="25"/>
      <c r="I50" s="25"/>
      <c r="J50" s="25"/>
      <c r="K50" s="25"/>
      <c r="L50" s="25"/>
      <c r="M50" s="25"/>
      <c r="N50" s="25"/>
      <c r="O50" s="58"/>
      <c r="P50" s="26"/>
      <c r="Q50" s="26"/>
      <c r="R50" s="26"/>
      <c r="S50" s="26"/>
      <c r="T50" s="35"/>
      <c r="U50" s="37"/>
    </row>
    <row r="51" spans="1:21" s="300" customFormat="1" ht="14.25" x14ac:dyDescent="0.2">
      <c r="A51" s="289" t="s">
        <v>1410</v>
      </c>
      <c r="B51" s="226" t="s">
        <v>1411</v>
      </c>
      <c r="C51" s="227"/>
      <c r="D51" s="227"/>
      <c r="E51" s="227"/>
      <c r="F51" s="227"/>
      <c r="G51" s="227"/>
      <c r="H51" s="227"/>
      <c r="I51" s="227"/>
      <c r="J51" s="227"/>
      <c r="K51" s="227"/>
      <c r="L51" s="227"/>
      <c r="M51" s="227"/>
      <c r="N51" s="227"/>
      <c r="O51" s="228"/>
      <c r="P51" s="229"/>
      <c r="Q51" s="229"/>
      <c r="R51" s="229"/>
      <c r="S51" s="229"/>
      <c r="T51" s="230"/>
      <c r="U51" s="204"/>
    </row>
    <row r="52" spans="1:21" s="300" customFormat="1" ht="102" x14ac:dyDescent="0.2">
      <c r="A52" s="339"/>
      <c r="B52" s="281" t="s">
        <v>1412</v>
      </c>
      <c r="C52" s="204"/>
      <c r="D52" s="204"/>
      <c r="E52" s="204"/>
      <c r="F52" s="204"/>
      <c r="G52" s="204"/>
      <c r="H52" s="204"/>
      <c r="I52" s="204"/>
      <c r="J52" s="204"/>
      <c r="K52" s="204"/>
      <c r="L52" s="204"/>
      <c r="M52" s="204"/>
      <c r="N52" s="204"/>
      <c r="O52" s="205"/>
      <c r="P52" s="206"/>
      <c r="Q52" s="206"/>
      <c r="R52" s="206"/>
      <c r="S52" s="206"/>
      <c r="T52" s="207"/>
      <c r="U52" s="204"/>
    </row>
    <row r="53" spans="1:21" s="300" customFormat="1" ht="13.5" thickBot="1" x14ac:dyDescent="0.25">
      <c r="A53" s="340"/>
      <c r="B53" s="204" t="s">
        <v>1413</v>
      </c>
      <c r="C53" s="203"/>
      <c r="D53" s="203"/>
      <c r="E53" s="203"/>
      <c r="F53" s="203"/>
      <c r="G53" s="203"/>
      <c r="H53" s="203"/>
      <c r="I53" s="203"/>
      <c r="J53" s="203"/>
      <c r="K53" s="203"/>
      <c r="L53" s="203"/>
      <c r="M53" s="203"/>
      <c r="N53" s="203"/>
      <c r="O53" s="205"/>
      <c r="P53" s="206"/>
      <c r="Q53" s="206"/>
      <c r="R53" s="206"/>
      <c r="S53" s="206"/>
      <c r="T53" s="341"/>
      <c r="U53" s="204"/>
    </row>
    <row r="54" spans="1:21" s="300" customFormat="1" thickBot="1" x14ac:dyDescent="0.25">
      <c r="A54" s="289" t="s">
        <v>1410</v>
      </c>
      <c r="B54" s="281" t="s">
        <v>1414</v>
      </c>
      <c r="C54" s="233" t="s">
        <v>2</v>
      </c>
      <c r="D54" s="234">
        <v>0</v>
      </c>
      <c r="E54" s="234">
        <v>0</v>
      </c>
      <c r="F54" s="235">
        <v>0</v>
      </c>
      <c r="G54" s="235">
        <v>0</v>
      </c>
      <c r="H54" s="235">
        <v>0</v>
      </c>
      <c r="I54" s="235">
        <v>0</v>
      </c>
      <c r="J54" s="235">
        <v>0</v>
      </c>
      <c r="K54" s="235">
        <v>0</v>
      </c>
      <c r="L54" s="235">
        <v>0</v>
      </c>
      <c r="M54" s="235">
        <v>0</v>
      </c>
      <c r="N54" s="236">
        <v>22</v>
      </c>
      <c r="O54" s="237">
        <f>SUM(D54:N54)</f>
        <v>22</v>
      </c>
      <c r="P54" s="206">
        <v>0</v>
      </c>
      <c r="Q54" s="206">
        <v>0</v>
      </c>
      <c r="R54" s="206">
        <f>P54+Q54</f>
        <v>0</v>
      </c>
      <c r="S54" s="206"/>
      <c r="T54" s="238">
        <f>R54*O54</f>
        <v>0</v>
      </c>
      <c r="U54" s="204"/>
    </row>
    <row r="55" spans="1:21" s="32" customFormat="1" ht="12.75" x14ac:dyDescent="0.2">
      <c r="A55" s="159"/>
      <c r="B55" s="31"/>
      <c r="C55" s="25"/>
      <c r="D55" s="25"/>
      <c r="E55" s="25"/>
      <c r="F55" s="25"/>
      <c r="G55" s="25"/>
      <c r="H55" s="25"/>
      <c r="I55" s="25"/>
      <c r="J55" s="25"/>
      <c r="K55" s="25"/>
      <c r="L55" s="25"/>
      <c r="M55" s="25"/>
      <c r="N55" s="25"/>
      <c r="O55" s="58"/>
      <c r="P55" s="26"/>
      <c r="Q55" s="26"/>
      <c r="R55" s="26"/>
      <c r="S55" s="26"/>
      <c r="T55" s="35"/>
      <c r="U55" s="37"/>
    </row>
    <row r="57" spans="1:21" s="132" customFormat="1" ht="15.75" x14ac:dyDescent="0.25">
      <c r="A57" s="160" t="s">
        <v>37</v>
      </c>
      <c r="B57" s="130" t="s">
        <v>1309</v>
      </c>
      <c r="C57" s="49"/>
      <c r="D57" s="49"/>
      <c r="E57" s="49"/>
      <c r="F57" s="49"/>
      <c r="G57" s="49"/>
      <c r="H57" s="49"/>
      <c r="I57" s="49"/>
      <c r="J57" s="49"/>
      <c r="K57" s="49"/>
      <c r="L57" s="49"/>
      <c r="M57" s="49"/>
      <c r="N57" s="49"/>
      <c r="O57" s="131"/>
      <c r="P57" s="49"/>
      <c r="Q57" s="49"/>
      <c r="R57" s="476" t="s">
        <v>57</v>
      </c>
      <c r="S57" s="476"/>
      <c r="T57" s="50">
        <f>SUM(T16:T55)</f>
        <v>0</v>
      </c>
      <c r="U57" s="151"/>
    </row>
    <row r="59" spans="1:21" s="132" customFormat="1" ht="15.75" x14ac:dyDescent="0.25">
      <c r="A59" s="160" t="s">
        <v>37</v>
      </c>
      <c r="B59" s="130" t="s">
        <v>1310</v>
      </c>
      <c r="C59" s="49"/>
      <c r="D59" s="49"/>
      <c r="E59" s="49"/>
      <c r="F59" s="49"/>
      <c r="G59" s="49"/>
      <c r="H59" s="49"/>
      <c r="I59" s="49"/>
      <c r="J59" s="49"/>
      <c r="K59" s="49"/>
      <c r="L59" s="49"/>
      <c r="M59" s="49"/>
      <c r="N59" s="49"/>
      <c r="O59" s="131"/>
      <c r="P59" s="49"/>
      <c r="Q59" s="49"/>
      <c r="R59" s="476" t="s">
        <v>57</v>
      </c>
      <c r="S59" s="476"/>
      <c r="T59" s="50">
        <f>T57*5</f>
        <v>0</v>
      </c>
      <c r="U59" s="151"/>
    </row>
    <row r="61" spans="1:21" ht="15.75" thickBot="1" x14ac:dyDescent="0.3"/>
    <row r="62" spans="1:21" s="42" customFormat="1" ht="50.1" customHeight="1" thickBot="1" x14ac:dyDescent="0.3">
      <c r="A62" s="119" t="s">
        <v>8</v>
      </c>
      <c r="B62" s="119" t="s">
        <v>7</v>
      </c>
      <c r="C62" s="120" t="s">
        <v>6</v>
      </c>
      <c r="D62" s="487"/>
      <c r="E62" s="487"/>
      <c r="F62" s="487"/>
      <c r="G62" s="487"/>
      <c r="H62" s="487"/>
      <c r="I62" s="487"/>
      <c r="J62" s="487"/>
      <c r="K62" s="121" t="s">
        <v>54</v>
      </c>
      <c r="L62" s="122" t="s">
        <v>5</v>
      </c>
      <c r="M62" s="121" t="s">
        <v>4</v>
      </c>
      <c r="N62" s="121" t="s">
        <v>1004</v>
      </c>
      <c r="O62" s="121"/>
      <c r="P62" s="119" t="s">
        <v>1005</v>
      </c>
      <c r="Q62" s="47"/>
    </row>
    <row r="63" spans="1:21" s="42" customFormat="1" ht="50.1" customHeight="1" thickBot="1" x14ac:dyDescent="0.3">
      <c r="A63" s="123"/>
      <c r="B63" s="123"/>
      <c r="C63" s="124"/>
      <c r="D63" s="477" t="s">
        <v>1283</v>
      </c>
      <c r="E63" s="478"/>
      <c r="F63" s="478"/>
      <c r="G63" s="478"/>
      <c r="H63" s="478"/>
      <c r="I63" s="478"/>
      <c r="J63" s="479"/>
      <c r="K63" s="125"/>
      <c r="L63" s="124"/>
      <c r="M63" s="124"/>
      <c r="N63" s="124"/>
      <c r="O63" s="124"/>
      <c r="P63" s="123"/>
      <c r="Q63" s="47"/>
    </row>
    <row r="64" spans="1:21" s="42" customFormat="1" ht="62.25" customHeight="1" x14ac:dyDescent="0.25">
      <c r="A64" s="123"/>
      <c r="B64" s="123"/>
      <c r="C64" s="124"/>
      <c r="D64" s="173" t="s">
        <v>1284</v>
      </c>
      <c r="E64" s="46" t="s">
        <v>1285</v>
      </c>
      <c r="F64" s="46" t="s">
        <v>1286</v>
      </c>
      <c r="G64" s="46" t="s">
        <v>1287</v>
      </c>
      <c r="H64" s="46" t="s">
        <v>1288</v>
      </c>
      <c r="I64" s="154" t="s">
        <v>1208</v>
      </c>
      <c r="J64" s="126" t="s">
        <v>1003</v>
      </c>
      <c r="K64" s="125"/>
      <c r="L64" s="124"/>
      <c r="M64" s="124"/>
      <c r="N64" s="124"/>
      <c r="O64" s="124"/>
      <c r="P64" s="123"/>
      <c r="Q64" s="47"/>
    </row>
    <row r="66" spans="1:17" s="42" customFormat="1" x14ac:dyDescent="0.25">
      <c r="A66" s="166" t="s">
        <v>1060</v>
      </c>
      <c r="B66" s="28" t="s">
        <v>1061</v>
      </c>
      <c r="C66" s="28"/>
      <c r="D66" s="181"/>
      <c r="E66" s="28"/>
      <c r="F66" s="28"/>
      <c r="G66" s="28"/>
      <c r="H66" s="28"/>
      <c r="I66" s="28"/>
      <c r="J66" s="28"/>
      <c r="K66" s="60"/>
      <c r="L66" s="29"/>
      <c r="M66" s="29"/>
      <c r="N66" s="29"/>
      <c r="O66" s="29"/>
      <c r="P66" s="23"/>
      <c r="Q66" s="152"/>
    </row>
    <row r="67" spans="1:17" s="42" customFormat="1" ht="128.25" thickBot="1" x14ac:dyDescent="0.3">
      <c r="A67" s="167"/>
      <c r="B67" s="30" t="s">
        <v>1210</v>
      </c>
      <c r="C67" s="25"/>
      <c r="D67" s="182"/>
      <c r="E67" s="31"/>
      <c r="F67" s="31"/>
      <c r="G67" s="31"/>
      <c r="H67" s="31"/>
      <c r="I67" s="31"/>
      <c r="J67" s="31"/>
      <c r="K67" s="58"/>
      <c r="L67" s="26"/>
      <c r="M67" s="26"/>
      <c r="N67" s="26"/>
      <c r="O67" s="26"/>
      <c r="P67" s="38"/>
      <c r="Q67" s="152"/>
    </row>
    <row r="68" spans="1:17" s="42" customFormat="1" ht="15.75" thickBot="1" x14ac:dyDescent="0.3">
      <c r="A68" s="166"/>
      <c r="B68" s="137" t="s">
        <v>1008</v>
      </c>
      <c r="C68" s="135" t="s">
        <v>56</v>
      </c>
      <c r="D68" s="177">
        <v>120.2</v>
      </c>
      <c r="E68" s="36">
        <v>0</v>
      </c>
      <c r="F68" s="36">
        <v>85.2</v>
      </c>
      <c r="G68" s="36">
        <v>0</v>
      </c>
      <c r="H68" s="36">
        <v>0</v>
      </c>
      <c r="I68" s="36">
        <v>0</v>
      </c>
      <c r="J68" s="56">
        <v>0</v>
      </c>
      <c r="K68" s="62">
        <f>SUM(D68:J68)</f>
        <v>205.4</v>
      </c>
      <c r="L68" s="26">
        <v>0</v>
      </c>
      <c r="M68" s="26">
        <v>0</v>
      </c>
      <c r="N68" s="26">
        <f>L68+M68</f>
        <v>0</v>
      </c>
      <c r="O68" s="26"/>
      <c r="P68" s="22">
        <f>N68*K68</f>
        <v>0</v>
      </c>
      <c r="Q68" s="47"/>
    </row>
    <row r="69" spans="1:17" s="42" customFormat="1" ht="15.75" thickBot="1" x14ac:dyDescent="0.3">
      <c r="A69" s="166"/>
      <c r="B69" s="137" t="s">
        <v>51</v>
      </c>
      <c r="C69" s="135" t="s">
        <v>40</v>
      </c>
      <c r="D69" s="177">
        <v>0</v>
      </c>
      <c r="E69" s="36">
        <v>0</v>
      </c>
      <c r="F69" s="36">
        <v>0</v>
      </c>
      <c r="G69" s="36">
        <v>0</v>
      </c>
      <c r="H69" s="36">
        <v>0</v>
      </c>
      <c r="I69" s="36">
        <v>56</v>
      </c>
      <c r="J69" s="56">
        <v>0</v>
      </c>
      <c r="K69" s="62">
        <f>SUM(D69:J69)</f>
        <v>56</v>
      </c>
      <c r="L69" s="26">
        <v>0</v>
      </c>
      <c r="M69" s="26">
        <v>0</v>
      </c>
      <c r="N69" s="26">
        <f>L69+M69</f>
        <v>0</v>
      </c>
      <c r="O69" s="26"/>
      <c r="P69" s="22">
        <f>N69*K69</f>
        <v>0</v>
      </c>
      <c r="Q69" s="47"/>
    </row>
    <row r="71" spans="1:17" s="42" customFormat="1" x14ac:dyDescent="0.25">
      <c r="A71" s="166" t="s">
        <v>37</v>
      </c>
      <c r="B71" s="27" t="s">
        <v>1007</v>
      </c>
      <c r="C71" s="28"/>
      <c r="D71" s="181"/>
      <c r="E71" s="28"/>
      <c r="F71" s="28"/>
      <c r="G71" s="28"/>
      <c r="H71" s="28"/>
      <c r="I71" s="28"/>
      <c r="J71" s="28"/>
      <c r="K71" s="60"/>
      <c r="L71" s="29"/>
      <c r="M71" s="29"/>
      <c r="N71" s="29"/>
      <c r="O71" s="29"/>
      <c r="P71" s="23"/>
      <c r="Q71" s="152"/>
    </row>
    <row r="72" spans="1:17" s="42" customFormat="1" ht="63.75" x14ac:dyDescent="0.25">
      <c r="A72" s="167"/>
      <c r="B72" s="202" t="s">
        <v>1407</v>
      </c>
      <c r="C72" s="31"/>
      <c r="D72" s="182"/>
      <c r="E72" s="31"/>
      <c r="F72" s="31"/>
      <c r="G72" s="31"/>
      <c r="H72" s="31"/>
      <c r="I72" s="31"/>
      <c r="J72" s="31"/>
      <c r="K72" s="58"/>
      <c r="L72" s="26"/>
      <c r="M72" s="26"/>
      <c r="N72" s="26"/>
      <c r="O72" s="26"/>
      <c r="P72" s="38"/>
      <c r="Q72" s="152"/>
    </row>
    <row r="73" spans="1:17" s="42" customFormat="1" ht="38.25" x14ac:dyDescent="0.25">
      <c r="A73" s="167"/>
      <c r="B73" s="30" t="s">
        <v>1009</v>
      </c>
      <c r="C73" s="31"/>
      <c r="D73" s="182"/>
      <c r="E73" s="31"/>
      <c r="F73" s="31"/>
      <c r="G73" s="31"/>
      <c r="H73" s="31"/>
      <c r="I73" s="31"/>
      <c r="J73" s="31"/>
      <c r="K73" s="58"/>
      <c r="L73" s="26"/>
      <c r="M73" s="26"/>
      <c r="N73" s="26"/>
      <c r="O73" s="26"/>
      <c r="P73" s="38"/>
      <c r="Q73" s="152"/>
    </row>
    <row r="74" spans="1:17" s="42" customFormat="1" ht="15.75" thickBot="1" x14ac:dyDescent="0.3">
      <c r="A74" s="167"/>
      <c r="B74" s="30" t="s">
        <v>1010</v>
      </c>
      <c r="C74" s="31"/>
      <c r="D74" s="182"/>
      <c r="E74" s="31"/>
      <c r="F74" s="31"/>
      <c r="G74" s="31"/>
      <c r="H74" s="31"/>
      <c r="I74" s="31"/>
      <c r="J74" s="31"/>
      <c r="K74" s="58"/>
      <c r="L74" s="26"/>
      <c r="M74" s="26"/>
      <c r="N74" s="26"/>
      <c r="O74" s="26"/>
      <c r="P74" s="38"/>
      <c r="Q74" s="152"/>
    </row>
    <row r="75" spans="1:17" s="42" customFormat="1" ht="15.75" thickBot="1" x14ac:dyDescent="0.3">
      <c r="A75" s="166"/>
      <c r="B75" s="137" t="s">
        <v>1015</v>
      </c>
      <c r="C75" s="135" t="s">
        <v>56</v>
      </c>
      <c r="D75" s="177">
        <f t="shared" ref="D75:I75" si="0">D$4*0</f>
        <v>0</v>
      </c>
      <c r="E75" s="36">
        <f t="shared" si="0"/>
        <v>0</v>
      </c>
      <c r="F75" s="36">
        <f t="shared" si="0"/>
        <v>0</v>
      </c>
      <c r="G75" s="36">
        <f t="shared" si="0"/>
        <v>0</v>
      </c>
      <c r="H75" s="36">
        <f t="shared" si="0"/>
        <v>0</v>
      </c>
      <c r="I75" s="36">
        <f t="shared" si="0"/>
        <v>0</v>
      </c>
      <c r="J75" s="56">
        <f>J$4*53.8</f>
        <v>53.8</v>
      </c>
      <c r="K75" s="62">
        <f>SUM(D75:J75)</f>
        <v>53.8</v>
      </c>
      <c r="L75" s="26">
        <v>0</v>
      </c>
      <c r="M75" s="26">
        <v>0</v>
      </c>
      <c r="N75" s="26">
        <f>L75+M75</f>
        <v>0</v>
      </c>
      <c r="O75" s="26"/>
      <c r="P75" s="22">
        <f>N75*K75</f>
        <v>0</v>
      </c>
      <c r="Q75" s="47"/>
    </row>
    <row r="76" spans="1:17" s="42" customFormat="1" x14ac:dyDescent="0.25">
      <c r="A76" s="157"/>
      <c r="B76" s="44"/>
      <c r="C76" s="44"/>
      <c r="D76" s="172"/>
      <c r="E76" s="44"/>
      <c r="F76" s="44"/>
      <c r="G76" s="44"/>
      <c r="H76" s="44"/>
      <c r="I76" s="44"/>
      <c r="J76" s="44"/>
      <c r="K76" s="118"/>
      <c r="L76" s="44"/>
      <c r="M76" s="44"/>
      <c r="N76" s="44"/>
      <c r="O76" s="44"/>
      <c r="P76" s="44"/>
      <c r="Q76" s="47"/>
    </row>
    <row r="77" spans="1:17" s="42" customFormat="1" x14ac:dyDescent="0.25">
      <c r="A77" s="166" t="s">
        <v>1169</v>
      </c>
      <c r="B77" s="27" t="s">
        <v>1011</v>
      </c>
      <c r="C77" s="28"/>
      <c r="D77" s="181"/>
      <c r="E77" s="28"/>
      <c r="F77" s="28"/>
      <c r="G77" s="28"/>
      <c r="H77" s="28"/>
      <c r="I77" s="28"/>
      <c r="J77" s="28"/>
      <c r="K77" s="60"/>
      <c r="L77" s="29"/>
      <c r="M77" s="29"/>
      <c r="N77" s="29"/>
      <c r="O77" s="29"/>
      <c r="P77" s="23"/>
      <c r="Q77" s="152"/>
    </row>
    <row r="78" spans="1:17" s="42" customFormat="1" ht="105.75" customHeight="1" x14ac:dyDescent="0.25">
      <c r="A78" s="167"/>
      <c r="B78" s="202" t="s">
        <v>1408</v>
      </c>
      <c r="C78" s="31"/>
      <c r="D78" s="182"/>
      <c r="E78" s="31"/>
      <c r="F78" s="31"/>
      <c r="G78" s="31"/>
      <c r="H78" s="31"/>
      <c r="I78" s="31"/>
      <c r="J78" s="31"/>
      <c r="K78" s="58"/>
      <c r="L78" s="26"/>
      <c r="M78" s="26"/>
      <c r="N78" s="26"/>
      <c r="O78" s="26"/>
      <c r="P78" s="38"/>
      <c r="Q78" s="152"/>
    </row>
    <row r="79" spans="1:17" s="42" customFormat="1" ht="39" thickBot="1" x14ac:dyDescent="0.3">
      <c r="A79" s="167"/>
      <c r="B79" s="30" t="s">
        <v>1012</v>
      </c>
      <c r="C79" s="31"/>
      <c r="D79" s="182"/>
      <c r="E79" s="31"/>
      <c r="F79" s="31"/>
      <c r="G79" s="31"/>
      <c r="H79" s="31"/>
      <c r="I79" s="31"/>
      <c r="J79" s="31"/>
      <c r="K79" s="58"/>
      <c r="L79" s="26"/>
      <c r="M79" s="26"/>
      <c r="N79" s="26"/>
      <c r="O79" s="26"/>
      <c r="P79" s="38"/>
      <c r="Q79" s="152"/>
    </row>
    <row r="80" spans="1:17" s="42" customFormat="1" ht="15.75" thickBot="1" x14ac:dyDescent="0.3">
      <c r="A80" s="166"/>
      <c r="B80" s="137" t="s">
        <v>1015</v>
      </c>
      <c r="C80" s="135" t="s">
        <v>56</v>
      </c>
      <c r="D80" s="177">
        <f t="shared" ref="D80:I80" si="1">D$4*0</f>
        <v>0</v>
      </c>
      <c r="E80" s="36">
        <f t="shared" si="1"/>
        <v>0</v>
      </c>
      <c r="F80" s="36">
        <f t="shared" si="1"/>
        <v>0</v>
      </c>
      <c r="G80" s="36">
        <f t="shared" si="1"/>
        <v>0</v>
      </c>
      <c r="H80" s="36">
        <f t="shared" si="1"/>
        <v>0</v>
      </c>
      <c r="I80" s="36">
        <f t="shared" si="1"/>
        <v>0</v>
      </c>
      <c r="J80" s="54">
        <v>129.19999999999999</v>
      </c>
      <c r="K80" s="62">
        <f>SUM(D80:J80)</f>
        <v>129.19999999999999</v>
      </c>
      <c r="L80" s="26">
        <v>0</v>
      </c>
      <c r="M80" s="26">
        <v>0</v>
      </c>
      <c r="N80" s="26">
        <f>L80+M80</f>
        <v>0</v>
      </c>
      <c r="O80" s="26"/>
      <c r="P80" s="22">
        <f>N80*K80</f>
        <v>0</v>
      </c>
      <c r="Q80" s="44"/>
    </row>
    <row r="81" spans="1:17" s="42" customFormat="1" x14ac:dyDescent="0.25">
      <c r="A81" s="157"/>
      <c r="B81" s="44"/>
      <c r="C81" s="44"/>
      <c r="D81" s="172"/>
      <c r="E81" s="44"/>
      <c r="F81" s="44"/>
      <c r="G81" s="44"/>
      <c r="H81" s="44"/>
      <c r="I81" s="44"/>
      <c r="J81" s="44"/>
      <c r="K81" s="118"/>
      <c r="L81" s="44"/>
      <c r="M81" s="44"/>
      <c r="N81" s="44"/>
      <c r="O81" s="44"/>
      <c r="P81" s="44"/>
      <c r="Q81" s="47"/>
    </row>
    <row r="82" spans="1:17" s="42" customFormat="1" x14ac:dyDescent="0.25">
      <c r="A82" s="166" t="s">
        <v>1170</v>
      </c>
      <c r="B82" s="27" t="s">
        <v>1011</v>
      </c>
      <c r="C82" s="28"/>
      <c r="D82" s="181"/>
      <c r="E82" s="28"/>
      <c r="F82" s="28"/>
      <c r="G82" s="28"/>
      <c r="H82" s="28"/>
      <c r="I82" s="28"/>
      <c r="J82" s="28"/>
      <c r="K82" s="60"/>
      <c r="L82" s="29"/>
      <c r="M82" s="29"/>
      <c r="N82" s="29"/>
      <c r="O82" s="29"/>
      <c r="P82" s="23"/>
      <c r="Q82" s="152"/>
    </row>
    <row r="83" spans="1:17" s="42" customFormat="1" ht="102.75" thickBot="1" x14ac:dyDescent="0.3">
      <c r="A83" s="169"/>
      <c r="B83" s="202" t="s">
        <v>1409</v>
      </c>
      <c r="C83" s="31"/>
      <c r="D83" s="182"/>
      <c r="E83" s="31"/>
      <c r="F83" s="31"/>
      <c r="G83" s="31"/>
      <c r="H83" s="31"/>
      <c r="I83" s="31"/>
      <c r="J83" s="31"/>
      <c r="K83" s="58"/>
      <c r="L83" s="26"/>
      <c r="M83" s="26"/>
      <c r="N83" s="26"/>
      <c r="O83" s="26"/>
      <c r="P83" s="38"/>
      <c r="Q83" s="152"/>
    </row>
    <row r="84" spans="1:17" s="299" customFormat="1" ht="15.75" thickBot="1" x14ac:dyDescent="0.3">
      <c r="A84" s="168"/>
      <c r="B84" s="137" t="s">
        <v>1015</v>
      </c>
      <c r="C84" s="135" t="s">
        <v>56</v>
      </c>
      <c r="D84" s="177">
        <f t="shared" ref="D84:I84" si="2">D$4*0</f>
        <v>0</v>
      </c>
      <c r="E84" s="36">
        <f t="shared" si="2"/>
        <v>0</v>
      </c>
      <c r="F84" s="36">
        <f t="shared" si="2"/>
        <v>0</v>
      </c>
      <c r="G84" s="36">
        <f t="shared" si="2"/>
        <v>0</v>
      </c>
      <c r="H84" s="36">
        <f t="shared" si="2"/>
        <v>0</v>
      </c>
      <c r="I84" s="36">
        <f t="shared" si="2"/>
        <v>0</v>
      </c>
      <c r="J84" s="54">
        <v>129.19999999999999</v>
      </c>
      <c r="K84" s="62">
        <f>SUM(D84:J84)</f>
        <v>129.19999999999999</v>
      </c>
      <c r="L84" s="26">
        <v>0</v>
      </c>
      <c r="M84" s="26">
        <v>0</v>
      </c>
      <c r="N84" s="26">
        <f>L84+M84</f>
        <v>0</v>
      </c>
      <c r="O84" s="26"/>
      <c r="P84" s="22">
        <f>N84*K84</f>
        <v>0</v>
      </c>
      <c r="Q84" s="298"/>
    </row>
    <row r="85" spans="1:17" s="42" customFormat="1" x14ac:dyDescent="0.25">
      <c r="A85" s="157"/>
      <c r="B85" s="44"/>
      <c r="C85" s="44"/>
      <c r="D85" s="172"/>
      <c r="E85" s="44"/>
      <c r="F85" s="44"/>
      <c r="G85" s="44"/>
      <c r="H85" s="44"/>
      <c r="I85" s="44"/>
      <c r="J85" s="44"/>
      <c r="K85" s="118"/>
      <c r="L85" s="44"/>
      <c r="M85" s="44"/>
      <c r="N85" s="44"/>
      <c r="O85" s="44"/>
      <c r="P85" s="44"/>
      <c r="Q85" s="47"/>
    </row>
    <row r="86" spans="1:17" s="42" customFormat="1" x14ac:dyDescent="0.25">
      <c r="A86" s="166" t="s">
        <v>1066</v>
      </c>
      <c r="B86" s="147" t="s">
        <v>60</v>
      </c>
      <c r="C86" s="28"/>
      <c r="D86" s="181"/>
      <c r="E86" s="28"/>
      <c r="F86" s="28"/>
      <c r="G86" s="28"/>
      <c r="H86" s="28"/>
      <c r="I86" s="28"/>
      <c r="J86" s="28"/>
      <c r="K86" s="60"/>
      <c r="L86" s="29"/>
      <c r="M86" s="29"/>
      <c r="N86" s="29"/>
      <c r="O86" s="29"/>
      <c r="P86" s="23"/>
      <c r="Q86" s="152"/>
    </row>
    <row r="87" spans="1:17" s="42" customFormat="1" ht="63.75" x14ac:dyDescent="0.25">
      <c r="A87" s="167"/>
      <c r="B87" s="141" t="s">
        <v>1067</v>
      </c>
      <c r="C87" s="31"/>
      <c r="D87" s="182"/>
      <c r="E87" s="31"/>
      <c r="F87" s="31"/>
      <c r="G87" s="31"/>
      <c r="H87" s="31"/>
      <c r="I87" s="31"/>
      <c r="J87" s="31"/>
      <c r="K87" s="58"/>
      <c r="L87" s="26"/>
      <c r="M87" s="26"/>
      <c r="N87" s="26"/>
      <c r="O87" s="26"/>
      <c r="P87" s="38"/>
      <c r="Q87" s="152"/>
    </row>
    <row r="88" spans="1:17" s="42" customFormat="1" ht="38.25" x14ac:dyDescent="0.25">
      <c r="A88" s="167"/>
      <c r="B88" s="141" t="s">
        <v>61</v>
      </c>
      <c r="C88" s="31"/>
      <c r="D88" s="182"/>
      <c r="E88" s="31"/>
      <c r="F88" s="31"/>
      <c r="G88" s="31"/>
      <c r="H88" s="31"/>
      <c r="I88" s="31"/>
      <c r="J88" s="31"/>
      <c r="K88" s="58"/>
      <c r="L88" s="26"/>
      <c r="M88" s="26"/>
      <c r="N88" s="26"/>
      <c r="O88" s="26"/>
      <c r="P88" s="38"/>
      <c r="Q88" s="152"/>
    </row>
    <row r="89" spans="1:17" s="42" customFormat="1" ht="38.25" x14ac:dyDescent="0.25">
      <c r="A89" s="167"/>
      <c r="B89" s="141" t="s">
        <v>62</v>
      </c>
      <c r="C89" s="31"/>
      <c r="D89" s="182"/>
      <c r="E89" s="31"/>
      <c r="F89" s="31"/>
      <c r="G89" s="31"/>
      <c r="H89" s="31"/>
      <c r="I89" s="31"/>
      <c r="J89" s="31"/>
      <c r="K89" s="58"/>
      <c r="L89" s="26"/>
      <c r="M89" s="26"/>
      <c r="N89" s="26"/>
      <c r="O89" s="26"/>
      <c r="P89" s="38"/>
      <c r="Q89" s="152"/>
    </row>
    <row r="90" spans="1:17" s="42" customFormat="1" ht="25.5" x14ac:dyDescent="0.25">
      <c r="A90" s="167"/>
      <c r="B90" s="141" t="s">
        <v>63</v>
      </c>
      <c r="C90" s="31"/>
      <c r="D90" s="182"/>
      <c r="E90" s="31"/>
      <c r="F90" s="31"/>
      <c r="G90" s="31"/>
      <c r="H90" s="31"/>
      <c r="I90" s="31"/>
      <c r="J90" s="31"/>
      <c r="K90" s="58"/>
      <c r="L90" s="26"/>
      <c r="M90" s="26"/>
      <c r="N90" s="26"/>
      <c r="O90" s="26"/>
      <c r="P90" s="38"/>
      <c r="Q90" s="152"/>
    </row>
    <row r="91" spans="1:17" s="42" customFormat="1" ht="89.25" x14ac:dyDescent="0.25">
      <c r="A91" s="167"/>
      <c r="B91" s="141" t="s">
        <v>64</v>
      </c>
      <c r="C91" s="31"/>
      <c r="D91" s="182"/>
      <c r="E91" s="31"/>
      <c r="F91" s="31"/>
      <c r="G91" s="31"/>
      <c r="H91" s="31"/>
      <c r="I91" s="31"/>
      <c r="J91" s="31"/>
      <c r="K91" s="58"/>
      <c r="L91" s="26"/>
      <c r="M91" s="26"/>
      <c r="N91" s="26"/>
      <c r="O91" s="26"/>
      <c r="P91" s="38"/>
      <c r="Q91" s="152"/>
    </row>
    <row r="92" spans="1:17" s="42" customFormat="1" ht="15.75" thickBot="1" x14ac:dyDescent="0.3">
      <c r="A92" s="167"/>
      <c r="B92" s="30" t="s">
        <v>1008</v>
      </c>
      <c r="C92" s="31"/>
      <c r="D92" s="182"/>
      <c r="E92" s="31"/>
      <c r="F92" s="31"/>
      <c r="G92" s="31"/>
      <c r="H92" s="31"/>
      <c r="I92" s="31"/>
      <c r="J92" s="31"/>
      <c r="K92" s="58"/>
      <c r="L92" s="26"/>
      <c r="M92" s="26"/>
      <c r="N92" s="26"/>
      <c r="O92" s="26"/>
      <c r="P92" s="38"/>
      <c r="Q92" s="152"/>
    </row>
    <row r="93" spans="1:17" s="200" customFormat="1" ht="15.75" thickBot="1" x14ac:dyDescent="0.3">
      <c r="A93" s="282" t="s">
        <v>1069</v>
      </c>
      <c r="B93" s="188" t="s">
        <v>1068</v>
      </c>
      <c r="C93" s="189" t="s">
        <v>1330</v>
      </c>
      <c r="D93" s="293">
        <v>18.399999999999999</v>
      </c>
      <c r="E93" s="191">
        <v>18.399999999999999</v>
      </c>
      <c r="F93" s="191">
        <v>88</v>
      </c>
      <c r="G93" s="191">
        <v>10</v>
      </c>
      <c r="H93" s="191">
        <v>21.2</v>
      </c>
      <c r="I93" s="191">
        <v>0</v>
      </c>
      <c r="J93" s="192">
        <v>0</v>
      </c>
      <c r="K93" s="193">
        <f>SUM(D93:J93)</f>
        <v>156</v>
      </c>
      <c r="L93" s="194">
        <v>0</v>
      </c>
      <c r="M93" s="194">
        <v>0</v>
      </c>
      <c r="N93" s="194">
        <f>L93+M93</f>
        <v>0</v>
      </c>
      <c r="O93" s="194"/>
      <c r="P93" s="195">
        <f>N93*K93</f>
        <v>0</v>
      </c>
      <c r="Q93" s="208"/>
    </row>
    <row r="94" spans="1:17" s="42" customFormat="1" x14ac:dyDescent="0.25">
      <c r="A94" s="157"/>
      <c r="B94" s="44"/>
      <c r="C94" s="44"/>
      <c r="D94" s="172"/>
      <c r="E94" s="44"/>
      <c r="F94" s="44"/>
      <c r="G94" s="44"/>
      <c r="H94" s="44"/>
      <c r="I94" s="44"/>
      <c r="J94" s="44"/>
      <c r="K94" s="118"/>
      <c r="L94" s="44"/>
      <c r="M94" s="44"/>
      <c r="N94" s="44"/>
      <c r="O94" s="44"/>
      <c r="P94" s="44"/>
      <c r="Q94" s="47"/>
    </row>
    <row r="95" spans="1:17" s="42" customFormat="1" x14ac:dyDescent="0.25">
      <c r="A95" s="166" t="s">
        <v>1070</v>
      </c>
      <c r="B95" s="147" t="s">
        <v>60</v>
      </c>
      <c r="C95" s="28"/>
      <c r="D95" s="181"/>
      <c r="E95" s="28"/>
      <c r="F95" s="28"/>
      <c r="G95" s="28"/>
      <c r="H95" s="28"/>
      <c r="I95" s="28"/>
      <c r="J95" s="28"/>
      <c r="K95" s="60"/>
      <c r="L95" s="29"/>
      <c r="M95" s="29"/>
      <c r="N95" s="29"/>
      <c r="O95" s="29"/>
      <c r="P95" s="23"/>
      <c r="Q95" s="152"/>
    </row>
    <row r="96" spans="1:17" s="42" customFormat="1" ht="243.75" x14ac:dyDescent="0.25">
      <c r="A96" s="167"/>
      <c r="B96" s="141" t="s">
        <v>1072</v>
      </c>
      <c r="C96" s="31"/>
      <c r="D96" s="182"/>
      <c r="E96" s="31"/>
      <c r="F96" s="31"/>
      <c r="G96" s="31"/>
      <c r="H96" s="31"/>
      <c r="I96" s="31"/>
      <c r="J96" s="31"/>
      <c r="K96" s="58"/>
      <c r="L96" s="26"/>
      <c r="M96" s="26"/>
      <c r="N96" s="26"/>
      <c r="O96" s="26"/>
      <c r="P96" s="38"/>
      <c r="Q96" s="152"/>
    </row>
    <row r="97" spans="1:21" s="42" customFormat="1" ht="15.75" thickBot="1" x14ac:dyDescent="0.3">
      <c r="A97" s="167"/>
      <c r="B97" s="30" t="s">
        <v>1008</v>
      </c>
      <c r="C97" s="31"/>
      <c r="D97" s="182"/>
      <c r="E97" s="31"/>
      <c r="F97" s="31"/>
      <c r="G97" s="31"/>
      <c r="H97" s="31"/>
      <c r="I97" s="31"/>
      <c r="J97" s="31"/>
      <c r="K97" s="58"/>
      <c r="L97" s="26"/>
      <c r="M97" s="26"/>
      <c r="N97" s="26"/>
      <c r="O97" s="26"/>
      <c r="P97" s="38"/>
      <c r="Q97" s="152"/>
    </row>
    <row r="98" spans="1:21" s="42" customFormat="1" ht="15.75" thickBot="1" x14ac:dyDescent="0.3">
      <c r="A98" s="166" t="s">
        <v>1071</v>
      </c>
      <c r="B98" s="137" t="s">
        <v>1158</v>
      </c>
      <c r="C98" s="135" t="s">
        <v>56</v>
      </c>
      <c r="D98" s="177">
        <v>16</v>
      </c>
      <c r="E98" s="36">
        <v>16</v>
      </c>
      <c r="F98" s="36">
        <v>55</v>
      </c>
      <c r="G98" s="36">
        <v>17.5</v>
      </c>
      <c r="H98" s="36">
        <v>27.5</v>
      </c>
      <c r="I98" s="36">
        <v>0</v>
      </c>
      <c r="J98" s="56">
        <v>0</v>
      </c>
      <c r="K98" s="62">
        <f>SUM(D98:J98)</f>
        <v>132</v>
      </c>
      <c r="L98" s="26">
        <v>0</v>
      </c>
      <c r="M98" s="26">
        <v>0</v>
      </c>
      <c r="N98" s="26">
        <f>L98+M98</f>
        <v>0</v>
      </c>
      <c r="O98" s="26"/>
      <c r="P98" s="22">
        <f>N98*K98</f>
        <v>0</v>
      </c>
      <c r="Q98" s="47"/>
    </row>
    <row r="99" spans="1:21" s="32" customFormat="1" ht="12.75" x14ac:dyDescent="0.2">
      <c r="A99" s="159"/>
      <c r="B99" s="31"/>
      <c r="C99" s="25"/>
      <c r="D99" s="174"/>
      <c r="E99" s="25"/>
      <c r="F99" s="25"/>
      <c r="G99" s="25"/>
      <c r="H99" s="25"/>
      <c r="I99" s="25"/>
      <c r="J99" s="25"/>
      <c r="K99" s="58"/>
      <c r="L99" s="26"/>
      <c r="M99" s="26"/>
      <c r="N99" s="26"/>
      <c r="O99" s="26"/>
      <c r="P99" s="35"/>
      <c r="Q99" s="37"/>
    </row>
    <row r="100" spans="1:21" s="32" customFormat="1" ht="14.25" x14ac:dyDescent="0.2">
      <c r="A100" s="289" t="s">
        <v>1410</v>
      </c>
      <c r="B100" s="226" t="s">
        <v>1411</v>
      </c>
      <c r="C100" s="28"/>
      <c r="D100" s="181"/>
      <c r="E100" s="28"/>
      <c r="F100" s="28"/>
      <c r="G100" s="28"/>
      <c r="H100" s="28"/>
      <c r="I100" s="28"/>
      <c r="J100" s="28"/>
      <c r="K100" s="60"/>
      <c r="L100" s="29"/>
      <c r="M100" s="29"/>
      <c r="N100" s="29"/>
      <c r="O100" s="29"/>
      <c r="P100" s="23"/>
      <c r="Q100" s="37"/>
    </row>
    <row r="101" spans="1:21" s="32" customFormat="1" ht="102" x14ac:dyDescent="0.2">
      <c r="A101" s="167"/>
      <c r="B101" s="281" t="s">
        <v>1412</v>
      </c>
      <c r="C101" s="31"/>
      <c r="D101" s="182"/>
      <c r="E101" s="31"/>
      <c r="F101" s="31"/>
      <c r="G101" s="31"/>
      <c r="H101" s="31"/>
      <c r="I101" s="31"/>
      <c r="J101" s="31"/>
      <c r="K101" s="58"/>
      <c r="L101" s="26"/>
      <c r="M101" s="26"/>
      <c r="N101" s="26"/>
      <c r="O101" s="26"/>
      <c r="P101" s="38"/>
      <c r="Q101" s="37"/>
    </row>
    <row r="102" spans="1:21" s="32" customFormat="1" thickBot="1" x14ac:dyDescent="0.25">
      <c r="A102" s="167"/>
      <c r="B102" s="204" t="s">
        <v>1413</v>
      </c>
      <c r="C102" s="31"/>
      <c r="D102" s="182"/>
      <c r="E102" s="31"/>
      <c r="F102" s="31"/>
      <c r="G102" s="31"/>
      <c r="H102" s="31"/>
      <c r="I102" s="31"/>
      <c r="J102" s="31"/>
      <c r="K102" s="58"/>
      <c r="L102" s="26"/>
      <c r="M102" s="26"/>
      <c r="N102" s="26"/>
      <c r="O102" s="26"/>
      <c r="P102" s="38"/>
      <c r="Q102" s="37"/>
    </row>
    <row r="103" spans="1:21" s="300" customFormat="1" thickBot="1" x14ac:dyDescent="0.25">
      <c r="A103" s="289" t="s">
        <v>1410</v>
      </c>
      <c r="B103" s="232" t="s">
        <v>1414</v>
      </c>
      <c r="C103" s="233" t="s">
        <v>2</v>
      </c>
      <c r="D103" s="297">
        <f t="shared" ref="D103:I103" si="3">D$4*0</f>
        <v>0</v>
      </c>
      <c r="E103" s="235">
        <f t="shared" si="3"/>
        <v>0</v>
      </c>
      <c r="F103" s="235">
        <f t="shared" si="3"/>
        <v>0</v>
      </c>
      <c r="G103" s="235">
        <f t="shared" si="3"/>
        <v>0</v>
      </c>
      <c r="H103" s="235">
        <f t="shared" si="3"/>
        <v>0</v>
      </c>
      <c r="I103" s="235">
        <f t="shared" si="3"/>
        <v>0</v>
      </c>
      <c r="J103" s="236">
        <f>J$4*16</f>
        <v>16</v>
      </c>
      <c r="K103" s="237">
        <f>SUM(D103:J103)</f>
        <v>16</v>
      </c>
      <c r="L103" s="206">
        <v>0</v>
      </c>
      <c r="M103" s="206">
        <v>0</v>
      </c>
      <c r="N103" s="206">
        <f>L103+M103</f>
        <v>0</v>
      </c>
      <c r="O103" s="206"/>
      <c r="P103" s="238">
        <f>N103*K103</f>
        <v>0</v>
      </c>
      <c r="Q103" s="204"/>
    </row>
    <row r="105" spans="1:21" s="132" customFormat="1" ht="15.75" x14ac:dyDescent="0.25">
      <c r="A105" s="160" t="s">
        <v>37</v>
      </c>
      <c r="B105" s="130" t="s">
        <v>1309</v>
      </c>
      <c r="C105" s="49"/>
      <c r="D105" s="49"/>
      <c r="E105" s="49"/>
      <c r="F105" s="49"/>
      <c r="G105" s="49"/>
      <c r="H105" s="49"/>
      <c r="I105" s="49"/>
      <c r="J105" s="49"/>
      <c r="K105" s="49"/>
      <c r="L105" s="49"/>
      <c r="M105" s="49"/>
      <c r="N105" s="49"/>
      <c r="O105" s="131"/>
      <c r="P105" s="49"/>
      <c r="Q105" s="49"/>
      <c r="R105" s="476" t="s">
        <v>57</v>
      </c>
      <c r="S105" s="476"/>
      <c r="T105" s="50">
        <f>SUM(P66:P103)</f>
        <v>0</v>
      </c>
      <c r="U105" s="151"/>
    </row>
    <row r="107" spans="1:21" s="132" customFormat="1" ht="15.75" x14ac:dyDescent="0.25">
      <c r="A107" s="160" t="s">
        <v>37</v>
      </c>
      <c r="B107" s="130" t="s">
        <v>1311</v>
      </c>
      <c r="C107" s="49"/>
      <c r="D107" s="49"/>
      <c r="E107" s="49"/>
      <c r="F107" s="49"/>
      <c r="G107" s="49"/>
      <c r="H107" s="49"/>
      <c r="I107" s="49"/>
      <c r="J107" s="49"/>
      <c r="K107" s="49"/>
      <c r="L107" s="49"/>
      <c r="M107" s="49"/>
      <c r="N107" s="49"/>
      <c r="O107" s="131"/>
      <c r="P107" s="49"/>
      <c r="Q107" s="49"/>
      <c r="R107" s="476" t="s">
        <v>57</v>
      </c>
      <c r="S107" s="476"/>
      <c r="T107" s="50">
        <f>T105*6</f>
        <v>0</v>
      </c>
      <c r="U107" s="151"/>
    </row>
    <row r="109" spans="1:21" s="132" customFormat="1" ht="15.75" x14ac:dyDescent="0.25">
      <c r="A109" s="160"/>
      <c r="B109" s="130" t="s">
        <v>1308</v>
      </c>
      <c r="C109" s="49"/>
      <c r="D109" s="49"/>
      <c r="E109" s="49"/>
      <c r="F109" s="49"/>
      <c r="G109" s="49"/>
      <c r="H109" s="49"/>
      <c r="I109" s="49"/>
      <c r="J109" s="49"/>
      <c r="K109" s="49"/>
      <c r="L109" s="49"/>
      <c r="M109" s="49"/>
      <c r="N109" s="49"/>
      <c r="O109" s="131"/>
      <c r="P109" s="49"/>
      <c r="Q109" s="49"/>
      <c r="R109" s="476"/>
      <c r="S109" s="476"/>
      <c r="T109" s="50">
        <f>SUM(T107,T59)</f>
        <v>0</v>
      </c>
      <c r="U109" s="151"/>
    </row>
  </sheetData>
  <mergeCells count="11">
    <mergeCell ref="R105:S105"/>
    <mergeCell ref="R107:S107"/>
    <mergeCell ref="R109:S109"/>
    <mergeCell ref="D63:J63"/>
    <mergeCell ref="B2:R3"/>
    <mergeCell ref="B5:T5"/>
    <mergeCell ref="D7:N7"/>
    <mergeCell ref="D8:N8"/>
    <mergeCell ref="D62:J62"/>
    <mergeCell ref="R57:S57"/>
    <mergeCell ref="R59:S59"/>
  </mergeCells>
  <conditionalFormatting sqref="P99">
    <cfRule type="cellIs" dxfId="102" priority="2" stopIfTrue="1" operator="greaterThan">
      <formula>0</formula>
    </cfRule>
  </conditionalFormatting>
  <conditionalFormatting sqref="T11">
    <cfRule type="cellIs" dxfId="101" priority="8" stopIfTrue="1" operator="greaterThan">
      <formula>0</formula>
    </cfRule>
  </conditionalFormatting>
  <conditionalFormatting sqref="T50 T53 T55">
    <cfRule type="cellIs" dxfId="100" priority="1" stopIfTrue="1" operator="greaterThan">
      <formula>0</formula>
    </cfRule>
  </conditionalFormatting>
  <conditionalFormatting sqref="T57">
    <cfRule type="cellIs" dxfId="99" priority="7" stopIfTrue="1" operator="greaterThan">
      <formula>0</formula>
    </cfRule>
  </conditionalFormatting>
  <conditionalFormatting sqref="T59">
    <cfRule type="cellIs" dxfId="98" priority="6" stopIfTrue="1" operator="greaterThan">
      <formula>0</formula>
    </cfRule>
  </conditionalFormatting>
  <conditionalFormatting sqref="T105">
    <cfRule type="cellIs" dxfId="97" priority="5" stopIfTrue="1" operator="greaterThan">
      <formula>0</formula>
    </cfRule>
  </conditionalFormatting>
  <conditionalFormatting sqref="T107">
    <cfRule type="cellIs" dxfId="96" priority="4" stopIfTrue="1" operator="greaterThan">
      <formula>0</formula>
    </cfRule>
  </conditionalFormatting>
  <conditionalFormatting sqref="T109">
    <cfRule type="cellIs" dxfId="95" priority="3" stopIfTrue="1"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E77B-A1E1-43CC-89F4-5EB63952C4F4}">
  <sheetPr>
    <tabColor rgb="FF92D050"/>
  </sheetPr>
  <dimension ref="A1:U166"/>
  <sheetViews>
    <sheetView zoomScale="70" zoomScaleNormal="70" workbookViewId="0"/>
  </sheetViews>
  <sheetFormatPr defaultRowHeight="15" x14ac:dyDescent="0.25"/>
  <cols>
    <col min="2" max="2" width="44.5703125" customWidth="1"/>
    <col min="20" max="20" width="11.28515625" bestFit="1" customWidth="1"/>
  </cols>
  <sheetData>
    <row r="1" spans="1:21" s="42" customFormat="1" x14ac:dyDescent="0.25">
      <c r="A1" s="157"/>
      <c r="B1" s="112" t="s">
        <v>1198</v>
      </c>
      <c r="C1" s="44"/>
      <c r="D1" s="53"/>
      <c r="E1" s="53"/>
      <c r="F1" s="53"/>
      <c r="G1" s="53"/>
      <c r="H1" s="53"/>
      <c r="I1" s="53"/>
      <c r="J1" s="53"/>
      <c r="K1" s="53"/>
      <c r="L1" s="53"/>
      <c r="M1" s="53"/>
      <c r="N1" s="53"/>
      <c r="O1" s="113"/>
      <c r="P1" s="44"/>
      <c r="Q1" s="44"/>
      <c r="R1" s="44"/>
      <c r="S1" s="44"/>
      <c r="T1" s="44"/>
      <c r="U1" s="47"/>
    </row>
    <row r="2" spans="1:21" s="42" customFormat="1" x14ac:dyDescent="0.25">
      <c r="A2" s="157"/>
      <c r="B2" s="480" t="s">
        <v>11</v>
      </c>
      <c r="C2" s="481"/>
      <c r="D2" s="481"/>
      <c r="E2" s="481"/>
      <c r="F2" s="481"/>
      <c r="G2" s="481"/>
      <c r="H2" s="481"/>
      <c r="I2" s="481"/>
      <c r="J2" s="481"/>
      <c r="K2" s="481"/>
      <c r="L2" s="481"/>
      <c r="M2" s="481"/>
      <c r="N2" s="481"/>
      <c r="O2" s="481"/>
      <c r="P2" s="481"/>
      <c r="Q2" s="481"/>
      <c r="R2" s="482"/>
      <c r="S2" s="7" t="s">
        <v>10</v>
      </c>
      <c r="T2" s="133">
        <v>0</v>
      </c>
      <c r="U2" s="47"/>
    </row>
    <row r="3" spans="1:21" s="42" customFormat="1" x14ac:dyDescent="0.25">
      <c r="A3" s="157"/>
      <c r="B3" s="483"/>
      <c r="C3" s="484"/>
      <c r="D3" s="484"/>
      <c r="E3" s="484"/>
      <c r="F3" s="484"/>
      <c r="G3" s="484"/>
      <c r="H3" s="484"/>
      <c r="I3" s="484"/>
      <c r="J3" s="484"/>
      <c r="K3" s="484"/>
      <c r="L3" s="484"/>
      <c r="M3" s="484"/>
      <c r="N3" s="484"/>
      <c r="O3" s="484"/>
      <c r="P3" s="484"/>
      <c r="Q3" s="484"/>
      <c r="R3" s="485"/>
      <c r="S3" s="7" t="s">
        <v>9</v>
      </c>
      <c r="T3" s="134" t="s">
        <v>1006</v>
      </c>
      <c r="U3" s="47"/>
    </row>
    <row r="4" spans="1:21" s="42" customFormat="1" x14ac:dyDescent="0.25">
      <c r="A4" s="157"/>
      <c r="B4" s="114" t="s">
        <v>1199</v>
      </c>
      <c r="C4" s="114" t="s">
        <v>12</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x14ac:dyDescent="0.25">
      <c r="A5" s="158" t="s">
        <v>1</v>
      </c>
      <c r="B5" s="486" t="s">
        <v>35</v>
      </c>
      <c r="C5" s="486"/>
      <c r="D5" s="486"/>
      <c r="E5" s="486"/>
      <c r="F5" s="486"/>
      <c r="G5" s="486"/>
      <c r="H5" s="486"/>
      <c r="I5" s="486"/>
      <c r="J5" s="486"/>
      <c r="K5" s="486"/>
      <c r="L5" s="486"/>
      <c r="M5" s="486"/>
      <c r="N5" s="486"/>
      <c r="O5" s="486"/>
      <c r="P5" s="486"/>
      <c r="Q5" s="486"/>
      <c r="R5" s="486"/>
      <c r="S5" s="486"/>
      <c r="T5" s="486"/>
      <c r="U5" s="149"/>
    </row>
    <row r="6" spans="1:21" s="42" customFormat="1" ht="15.75"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thickBot="1" x14ac:dyDescent="0.3">
      <c r="A7" s="119" t="s">
        <v>8</v>
      </c>
      <c r="B7" s="119" t="s">
        <v>7</v>
      </c>
      <c r="C7" s="120" t="s">
        <v>6</v>
      </c>
      <c r="D7" s="487"/>
      <c r="E7" s="487"/>
      <c r="F7" s="487"/>
      <c r="G7" s="487"/>
      <c r="H7" s="487"/>
      <c r="I7" s="487"/>
      <c r="J7" s="487"/>
      <c r="K7" s="487"/>
      <c r="L7" s="487"/>
      <c r="M7" s="487"/>
      <c r="N7" s="487"/>
      <c r="O7" s="121" t="s">
        <v>54</v>
      </c>
      <c r="P7" s="170" t="s">
        <v>5</v>
      </c>
      <c r="Q7" s="171" t="s">
        <v>4</v>
      </c>
      <c r="R7" s="121" t="s">
        <v>1004</v>
      </c>
      <c r="S7" s="121"/>
      <c r="T7" s="119" t="s">
        <v>1005</v>
      </c>
      <c r="U7" s="47"/>
    </row>
    <row r="8" spans="1:21" s="42" customFormat="1" ht="15.75" thickBot="1" x14ac:dyDescent="0.3">
      <c r="A8" s="123"/>
      <c r="B8" s="123"/>
      <c r="C8" s="124"/>
      <c r="D8" s="477" t="s">
        <v>1002</v>
      </c>
      <c r="E8" s="478"/>
      <c r="F8" s="478"/>
      <c r="G8" s="478"/>
      <c r="H8" s="478"/>
      <c r="I8" s="478"/>
      <c r="J8" s="478"/>
      <c r="K8" s="478"/>
      <c r="L8" s="478"/>
      <c r="M8" s="478"/>
      <c r="N8" s="479"/>
      <c r="O8" s="125"/>
      <c r="P8" s="124"/>
      <c r="Q8" s="124"/>
      <c r="R8" s="124"/>
      <c r="S8" s="124"/>
      <c r="T8" s="123"/>
      <c r="U8" s="47"/>
    </row>
    <row r="9" spans="1:21" s="42" customFormat="1" ht="60" x14ac:dyDescent="0.25">
      <c r="A9" s="123"/>
      <c r="B9" s="123"/>
      <c r="C9" s="124"/>
      <c r="D9" s="127" t="s">
        <v>1273</v>
      </c>
      <c r="E9" s="127" t="s">
        <v>1274</v>
      </c>
      <c r="F9" s="46" t="s">
        <v>1275</v>
      </c>
      <c r="G9" s="46" t="s">
        <v>1276</v>
      </c>
      <c r="H9" s="46" t="s">
        <v>1277</v>
      </c>
      <c r="I9" s="46" t="s">
        <v>1278</v>
      </c>
      <c r="J9" s="46" t="s">
        <v>1279</v>
      </c>
      <c r="K9" s="46" t="s">
        <v>1280</v>
      </c>
      <c r="L9" s="46" t="s">
        <v>1281</v>
      </c>
      <c r="M9" s="154" t="s">
        <v>1208</v>
      </c>
      <c r="N9" s="126" t="s">
        <v>1003</v>
      </c>
      <c r="O9" s="125"/>
      <c r="P9" s="124"/>
      <c r="Q9" s="124"/>
      <c r="R9" s="124"/>
      <c r="S9" s="124"/>
      <c r="T9" s="123"/>
      <c r="U9" s="47"/>
    </row>
    <row r="10" spans="1:21" s="32" customFormat="1" ht="12.75"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x14ac:dyDescent="0.25">
      <c r="A12" s="160" t="s">
        <v>53</v>
      </c>
      <c r="B12" s="39" t="s">
        <v>1282</v>
      </c>
      <c r="C12" s="40"/>
      <c r="D12" s="40"/>
      <c r="E12" s="40"/>
      <c r="F12" s="40"/>
      <c r="G12" s="40"/>
      <c r="H12" s="40"/>
      <c r="I12" s="40"/>
      <c r="J12" s="40"/>
      <c r="K12" s="40"/>
      <c r="L12" s="40"/>
      <c r="M12" s="40"/>
      <c r="N12" s="40"/>
      <c r="O12" s="59"/>
      <c r="P12" s="40"/>
      <c r="Q12" s="40"/>
      <c r="R12" s="40"/>
      <c r="S12" s="40"/>
      <c r="T12" s="41"/>
      <c r="U12" s="149"/>
    </row>
    <row r="14" spans="1:21" s="117" customFormat="1" ht="15.75" x14ac:dyDescent="0.25">
      <c r="A14" s="158" t="s">
        <v>70</v>
      </c>
      <c r="B14" s="39" t="s">
        <v>1013</v>
      </c>
      <c r="C14" s="40"/>
      <c r="D14" s="40"/>
      <c r="E14" s="40"/>
      <c r="F14" s="40"/>
      <c r="G14" s="40"/>
      <c r="H14" s="40"/>
      <c r="I14" s="40"/>
      <c r="J14" s="40"/>
      <c r="K14" s="40"/>
      <c r="L14" s="40"/>
      <c r="M14" s="40"/>
      <c r="N14" s="40"/>
      <c r="O14" s="59"/>
      <c r="P14" s="40"/>
      <c r="Q14" s="40"/>
      <c r="R14" s="40"/>
      <c r="S14" s="40"/>
      <c r="T14" s="41"/>
      <c r="U14" s="149"/>
    </row>
    <row r="15" spans="1:21" s="42" customFormat="1" x14ac:dyDescent="0.25">
      <c r="A15" s="157"/>
      <c r="B15" s="44"/>
      <c r="C15" s="44"/>
      <c r="D15" s="44"/>
      <c r="E15" s="44"/>
      <c r="F15" s="44"/>
      <c r="G15" s="44"/>
      <c r="H15" s="44"/>
      <c r="I15" s="44"/>
      <c r="J15" s="44"/>
      <c r="K15" s="44"/>
      <c r="L15" s="44"/>
      <c r="M15" s="44"/>
      <c r="N15" s="44"/>
      <c r="O15" s="118"/>
      <c r="P15" s="44"/>
      <c r="Q15" s="44"/>
      <c r="R15" s="44"/>
      <c r="S15" s="44"/>
      <c r="T15" s="44"/>
      <c r="U15" s="47"/>
    </row>
    <row r="16" spans="1:21" s="42" customFormat="1" x14ac:dyDescent="0.25">
      <c r="A16" s="166" t="s">
        <v>75</v>
      </c>
      <c r="B16" s="147" t="s">
        <v>58</v>
      </c>
      <c r="C16" s="28"/>
      <c r="D16" s="28"/>
      <c r="E16" s="28"/>
      <c r="F16" s="28"/>
      <c r="G16" s="28"/>
      <c r="H16" s="28"/>
      <c r="I16" s="28"/>
      <c r="J16" s="28"/>
      <c r="K16" s="28"/>
      <c r="L16" s="28"/>
      <c r="M16" s="28"/>
      <c r="N16" s="28"/>
      <c r="O16" s="60"/>
      <c r="P16" s="29"/>
      <c r="Q16" s="29"/>
      <c r="R16" s="29"/>
      <c r="S16" s="29"/>
      <c r="T16" s="23"/>
      <c r="U16" s="152"/>
    </row>
    <row r="17" spans="1:21" s="42" customFormat="1" ht="54" customHeight="1" x14ac:dyDescent="0.25">
      <c r="A17" s="167"/>
      <c r="B17" s="141" t="s">
        <v>1212</v>
      </c>
      <c r="C17" s="31"/>
      <c r="D17" s="31"/>
      <c r="E17" s="31"/>
      <c r="F17" s="31"/>
      <c r="G17" s="31"/>
      <c r="H17" s="31"/>
      <c r="I17" s="31"/>
      <c r="J17" s="31"/>
      <c r="K17" s="31"/>
      <c r="L17" s="31"/>
      <c r="M17" s="31"/>
      <c r="N17" s="31"/>
      <c r="O17" s="58"/>
      <c r="P17" s="26"/>
      <c r="Q17" s="26"/>
      <c r="R17" s="26"/>
      <c r="S17" s="26"/>
      <c r="T17" s="38"/>
      <c r="U17" s="152"/>
    </row>
    <row r="18" spans="1:21" s="42" customFormat="1" ht="27.75" thickBot="1" x14ac:dyDescent="0.3">
      <c r="A18" s="167"/>
      <c r="B18" s="141" t="s">
        <v>1073</v>
      </c>
      <c r="C18" s="31"/>
      <c r="D18" s="31"/>
      <c r="E18" s="31"/>
      <c r="F18" s="31"/>
      <c r="G18" s="31"/>
      <c r="H18" s="31"/>
      <c r="I18" s="31"/>
      <c r="J18" s="31"/>
      <c r="K18" s="31"/>
      <c r="L18" s="31"/>
      <c r="M18" s="31"/>
      <c r="N18" s="31"/>
      <c r="O18" s="58"/>
      <c r="P18" s="26"/>
      <c r="Q18" s="26"/>
      <c r="R18" s="26"/>
      <c r="S18" s="26"/>
      <c r="T18" s="38"/>
      <c r="U18" s="152"/>
    </row>
    <row r="19" spans="1:21" s="219" customFormat="1" ht="15.75" thickBot="1" x14ac:dyDescent="0.3">
      <c r="A19" s="209"/>
      <c r="B19" s="210" t="s">
        <v>1334</v>
      </c>
      <c r="C19" s="211" t="s">
        <v>1335</v>
      </c>
      <c r="D19" s="212">
        <f>D$4*42.9</f>
        <v>42.9</v>
      </c>
      <c r="E19" s="212">
        <f>E$4*42.9</f>
        <v>42.9</v>
      </c>
      <c r="F19" s="213">
        <f>F$4*44.6</f>
        <v>44.6</v>
      </c>
      <c r="G19" s="213">
        <f>G$4*44.6</f>
        <v>44.6</v>
      </c>
      <c r="H19" s="213">
        <f>H$4*51.3</f>
        <v>205.2</v>
      </c>
      <c r="I19" s="213">
        <f>I$4*48.2</f>
        <v>48.2</v>
      </c>
      <c r="J19" s="213">
        <f>J$4*48.2</f>
        <v>48.2</v>
      </c>
      <c r="K19" s="213">
        <f>K$4*36.3</f>
        <v>72.599999999999994</v>
      </c>
      <c r="L19" s="213">
        <f>L$4*107</f>
        <v>107</v>
      </c>
      <c r="M19" s="213">
        <f>M$4*61</f>
        <v>61</v>
      </c>
      <c r="N19" s="214">
        <f t="shared" ref="N19" si="0">N$4*0</f>
        <v>0</v>
      </c>
      <c r="O19" s="215">
        <f>SUM(D19:N19)</f>
        <v>717.19999999999993</v>
      </c>
      <c r="P19" s="216">
        <v>0</v>
      </c>
      <c r="Q19" s="216">
        <v>0</v>
      </c>
      <c r="R19" s="216">
        <f>P19+Q19</f>
        <v>0</v>
      </c>
      <c r="S19" s="216"/>
      <c r="T19" s="217">
        <f>R19*O19</f>
        <v>0</v>
      </c>
      <c r="U19" s="218"/>
    </row>
    <row r="20" spans="1:21" s="42" customFormat="1" x14ac:dyDescent="0.25">
      <c r="A20" s="157"/>
      <c r="B20" s="44"/>
      <c r="C20" s="44"/>
      <c r="D20" s="44"/>
      <c r="E20" s="44"/>
      <c r="F20" s="44"/>
      <c r="G20" s="44"/>
      <c r="H20" s="44"/>
      <c r="I20" s="44"/>
      <c r="J20" s="44"/>
      <c r="K20" s="44"/>
      <c r="L20" s="44"/>
      <c r="M20" s="44"/>
      <c r="N20" s="44"/>
      <c r="O20" s="118"/>
      <c r="P20" s="44"/>
      <c r="Q20" s="44"/>
      <c r="R20" s="44"/>
      <c r="S20" s="44"/>
      <c r="T20" s="44"/>
      <c r="U20" s="47"/>
    </row>
    <row r="21" spans="1:21" s="42" customFormat="1" x14ac:dyDescent="0.25">
      <c r="A21" s="166" t="s">
        <v>80</v>
      </c>
      <c r="B21" s="147" t="s">
        <v>1159</v>
      </c>
      <c r="C21" s="28"/>
      <c r="D21" s="28"/>
      <c r="E21" s="28"/>
      <c r="F21" s="28"/>
      <c r="G21" s="28"/>
      <c r="H21" s="28"/>
      <c r="I21" s="28"/>
      <c r="J21" s="28"/>
      <c r="K21" s="28"/>
      <c r="L21" s="28"/>
      <c r="M21" s="28"/>
      <c r="N21" s="28"/>
      <c r="O21" s="60"/>
      <c r="P21" s="29"/>
      <c r="Q21" s="29"/>
      <c r="R21" s="29"/>
      <c r="S21" s="29"/>
      <c r="T21" s="23"/>
      <c r="U21" s="152"/>
    </row>
    <row r="22" spans="1:21" s="42" customFormat="1" ht="76.5" x14ac:dyDescent="0.25">
      <c r="A22" s="167"/>
      <c r="B22" s="141" t="s">
        <v>1162</v>
      </c>
      <c r="C22" s="31"/>
      <c r="D22" s="31"/>
      <c r="E22" s="31"/>
      <c r="F22" s="31"/>
      <c r="G22" s="31"/>
      <c r="H22" s="31"/>
      <c r="I22" s="31"/>
      <c r="J22" s="31"/>
      <c r="K22" s="31"/>
      <c r="L22" s="31"/>
      <c r="M22" s="31"/>
      <c r="N22" s="31"/>
      <c r="O22" s="58"/>
      <c r="P22" s="26"/>
      <c r="Q22" s="26"/>
      <c r="R22" s="26"/>
      <c r="S22" s="26"/>
      <c r="T22" s="38"/>
      <c r="U22" s="152"/>
    </row>
    <row r="23" spans="1:21" s="42" customFormat="1" ht="27.75" thickBot="1" x14ac:dyDescent="0.3">
      <c r="A23" s="167"/>
      <c r="B23" s="141" t="s">
        <v>1073</v>
      </c>
      <c r="C23" s="31"/>
      <c r="D23" s="31"/>
      <c r="E23" s="31"/>
      <c r="F23" s="31"/>
      <c r="G23" s="31"/>
      <c r="H23" s="31"/>
      <c r="I23" s="31"/>
      <c r="J23" s="31"/>
      <c r="K23" s="31"/>
      <c r="L23" s="31"/>
      <c r="M23" s="31"/>
      <c r="N23" s="31"/>
      <c r="O23" s="58"/>
      <c r="P23" s="26"/>
      <c r="Q23" s="26"/>
      <c r="R23" s="26"/>
      <c r="S23" s="26"/>
      <c r="T23" s="38"/>
      <c r="U23" s="152"/>
    </row>
    <row r="24" spans="1:21" s="219" customFormat="1" ht="15.75" thickBot="1" x14ac:dyDescent="0.3">
      <c r="A24" s="209" t="s">
        <v>1075</v>
      </c>
      <c r="B24" s="210" t="s">
        <v>1336</v>
      </c>
      <c r="C24" s="211" t="s">
        <v>1335</v>
      </c>
      <c r="D24" s="212">
        <f>D$4*4.85</f>
        <v>4.8499999999999996</v>
      </c>
      <c r="E24" s="212">
        <f>E$4*4.85</f>
        <v>4.8499999999999996</v>
      </c>
      <c r="F24" s="213">
        <f>F$4*4.8</f>
        <v>4.8</v>
      </c>
      <c r="G24" s="213">
        <f>G$4*4.8</f>
        <v>4.8</v>
      </c>
      <c r="H24" s="213">
        <f>H$4*6.4</f>
        <v>25.6</v>
      </c>
      <c r="I24" s="213">
        <f>I$4*3.9</f>
        <v>3.9</v>
      </c>
      <c r="J24" s="213">
        <f>J$4*3.9</f>
        <v>3.9</v>
      </c>
      <c r="K24" s="213">
        <f>K$4*5.3</f>
        <v>10.6</v>
      </c>
      <c r="L24" s="213">
        <f>L$4*18.8</f>
        <v>18.8</v>
      </c>
      <c r="M24" s="213">
        <f t="shared" ref="M24:N24" si="1">M$4*0</f>
        <v>0</v>
      </c>
      <c r="N24" s="214">
        <f t="shared" si="1"/>
        <v>0</v>
      </c>
      <c r="O24" s="215">
        <f>SUM(D24:N24)</f>
        <v>82.100000000000009</v>
      </c>
      <c r="P24" s="216">
        <v>0</v>
      </c>
      <c r="Q24" s="216">
        <v>0</v>
      </c>
      <c r="R24" s="216">
        <f>P24+Q24</f>
        <v>0</v>
      </c>
      <c r="S24" s="216"/>
      <c r="T24" s="217">
        <f>R24*O24</f>
        <v>0</v>
      </c>
      <c r="U24" s="218"/>
    </row>
    <row r="25" spans="1:21" s="42" customFormat="1" x14ac:dyDescent="0.25">
      <c r="A25" s="157"/>
      <c r="B25" s="44"/>
      <c r="C25" s="44"/>
      <c r="D25" s="44"/>
      <c r="E25" s="44"/>
      <c r="F25" s="44"/>
      <c r="G25" s="44"/>
      <c r="H25" s="44"/>
      <c r="I25" s="44"/>
      <c r="J25" s="44"/>
      <c r="K25" s="44"/>
      <c r="L25" s="44"/>
      <c r="M25" s="44"/>
      <c r="N25" s="44"/>
      <c r="O25" s="118"/>
      <c r="P25" s="44"/>
      <c r="Q25" s="44"/>
      <c r="R25" s="44"/>
      <c r="S25" s="44"/>
      <c r="T25" s="44"/>
      <c r="U25" s="47"/>
    </row>
    <row r="26" spans="1:21" s="219" customFormat="1" x14ac:dyDescent="0.25">
      <c r="A26" s="209" t="s">
        <v>1074</v>
      </c>
      <c r="B26" s="220" t="s">
        <v>1337</v>
      </c>
      <c r="C26" s="221"/>
      <c r="D26" s="221"/>
      <c r="E26" s="221"/>
      <c r="F26" s="221"/>
      <c r="G26" s="221"/>
      <c r="H26" s="221"/>
      <c r="I26" s="221"/>
      <c r="J26" s="221"/>
      <c r="K26" s="221"/>
      <c r="L26" s="221"/>
      <c r="M26" s="221"/>
      <c r="N26" s="221"/>
      <c r="O26" s="222"/>
      <c r="P26" s="223"/>
      <c r="Q26" s="223"/>
      <c r="R26" s="223"/>
      <c r="S26" s="223"/>
      <c r="T26" s="224"/>
    </row>
    <row r="27" spans="1:21" s="42" customFormat="1" ht="165.75" x14ac:dyDescent="0.25">
      <c r="A27" s="167"/>
      <c r="B27" s="145" t="s">
        <v>1214</v>
      </c>
      <c r="C27" s="31"/>
      <c r="D27" s="31"/>
      <c r="E27" s="31"/>
      <c r="F27" s="31"/>
      <c r="G27" s="31"/>
      <c r="H27" s="31"/>
      <c r="I27" s="31"/>
      <c r="J27" s="31"/>
      <c r="K27" s="31"/>
      <c r="L27" s="31"/>
      <c r="M27" s="31"/>
      <c r="N27" s="31"/>
      <c r="O27" s="58"/>
      <c r="P27" s="26"/>
      <c r="Q27" s="26"/>
      <c r="R27" s="26"/>
      <c r="S27" s="26"/>
      <c r="T27" s="38"/>
      <c r="U27" s="152"/>
    </row>
    <row r="28" spans="1:21" s="42" customFormat="1" ht="15.75" thickBot="1" x14ac:dyDescent="0.3">
      <c r="A28" s="167"/>
      <c r="B28" s="31" t="s">
        <v>65</v>
      </c>
      <c r="C28" s="31"/>
      <c r="D28" s="31"/>
      <c r="E28" s="31"/>
      <c r="F28" s="31"/>
      <c r="G28" s="31"/>
      <c r="H28" s="31"/>
      <c r="I28" s="31"/>
      <c r="J28" s="31"/>
      <c r="K28" s="31"/>
      <c r="L28" s="31"/>
      <c r="M28" s="31"/>
      <c r="N28" s="31"/>
      <c r="O28" s="58"/>
      <c r="P28" s="26"/>
      <c r="Q28" s="26"/>
      <c r="R28" s="26"/>
      <c r="S28" s="26"/>
      <c r="T28" s="38"/>
      <c r="U28" s="152"/>
    </row>
    <row r="29" spans="1:21" s="219" customFormat="1" ht="15.75" thickBot="1" x14ac:dyDescent="0.3">
      <c r="A29" s="209" t="s">
        <v>1160</v>
      </c>
      <c r="B29" s="210" t="s">
        <v>1215</v>
      </c>
      <c r="C29" s="211" t="s">
        <v>1335</v>
      </c>
      <c r="D29" s="212">
        <f>D$4*0</f>
        <v>0</v>
      </c>
      <c r="E29" s="212">
        <f t="shared" ref="E29:N29" si="2">E$4*0</f>
        <v>0</v>
      </c>
      <c r="F29" s="213">
        <f>F$4*0</f>
        <v>0</v>
      </c>
      <c r="G29" s="213">
        <f t="shared" si="2"/>
        <v>0</v>
      </c>
      <c r="H29" s="213">
        <f>H$4*7.3</f>
        <v>29.2</v>
      </c>
      <c r="I29" s="213">
        <f>I$4*7.2</f>
        <v>7.2</v>
      </c>
      <c r="J29" s="213">
        <f>J$4*7.2</f>
        <v>7.2</v>
      </c>
      <c r="K29" s="213">
        <f>K$4*20.5</f>
        <v>41</v>
      </c>
      <c r="L29" s="213">
        <f>L$4*26</f>
        <v>26</v>
      </c>
      <c r="M29" s="213">
        <f t="shared" si="2"/>
        <v>0</v>
      </c>
      <c r="N29" s="214">
        <f t="shared" si="2"/>
        <v>0</v>
      </c>
      <c r="O29" s="215">
        <f>SUM(D29:N29)</f>
        <v>110.6</v>
      </c>
      <c r="P29" s="216">
        <v>0</v>
      </c>
      <c r="Q29" s="216">
        <v>0</v>
      </c>
      <c r="R29" s="216">
        <f>P29+Q29</f>
        <v>0</v>
      </c>
      <c r="S29" s="216"/>
      <c r="T29" s="217">
        <f>R29*O29</f>
        <v>0</v>
      </c>
      <c r="U29" s="218"/>
    </row>
    <row r="30" spans="1:21" s="42" customFormat="1" x14ac:dyDescent="0.25">
      <c r="A30" s="157"/>
      <c r="B30" s="44"/>
      <c r="C30" s="44"/>
      <c r="D30" s="44"/>
      <c r="E30" s="44"/>
      <c r="F30" s="44"/>
      <c r="G30" s="44"/>
      <c r="H30" s="44"/>
      <c r="I30" s="44"/>
      <c r="J30" s="44"/>
      <c r="K30" s="44"/>
      <c r="L30" s="44"/>
      <c r="M30" s="44"/>
      <c r="N30" s="44"/>
      <c r="O30" s="118"/>
      <c r="P30" s="44"/>
      <c r="Q30" s="44"/>
      <c r="R30" s="44"/>
      <c r="S30" s="44"/>
      <c r="T30" s="44"/>
      <c r="U30" s="47"/>
    </row>
    <row r="31" spans="1:21" s="219" customFormat="1" ht="25.5" x14ac:dyDescent="0.25">
      <c r="A31" s="209" t="s">
        <v>1076</v>
      </c>
      <c r="B31" s="220" t="s">
        <v>1338</v>
      </c>
      <c r="C31" s="221"/>
      <c r="D31" s="221"/>
      <c r="E31" s="221"/>
      <c r="F31" s="221"/>
      <c r="G31" s="221"/>
      <c r="H31" s="221"/>
      <c r="I31" s="221"/>
      <c r="J31" s="221"/>
      <c r="K31" s="221"/>
      <c r="L31" s="221"/>
      <c r="M31" s="221"/>
      <c r="N31" s="221"/>
      <c r="O31" s="222"/>
      <c r="P31" s="223"/>
      <c r="Q31" s="223"/>
      <c r="R31" s="223"/>
      <c r="S31" s="223"/>
      <c r="T31" s="224"/>
    </row>
    <row r="32" spans="1:21" s="42" customFormat="1" ht="165.75" x14ac:dyDescent="0.25">
      <c r="A32" s="167"/>
      <c r="B32" s="145" t="s">
        <v>1216</v>
      </c>
      <c r="C32" s="31"/>
      <c r="D32" s="31"/>
      <c r="E32" s="31"/>
      <c r="F32" s="31"/>
      <c r="G32" s="31"/>
      <c r="H32" s="31"/>
      <c r="I32" s="31"/>
      <c r="J32" s="31"/>
      <c r="K32" s="31"/>
      <c r="L32" s="31"/>
      <c r="M32" s="31"/>
      <c r="N32" s="31"/>
      <c r="O32" s="58"/>
      <c r="P32" s="26"/>
      <c r="Q32" s="26"/>
      <c r="R32" s="26"/>
      <c r="S32" s="26"/>
      <c r="T32" s="38"/>
      <c r="U32" s="152"/>
    </row>
    <row r="33" spans="1:21" s="42" customFormat="1" ht="15.75" thickBot="1" x14ac:dyDescent="0.3">
      <c r="A33" s="167"/>
      <c r="B33" s="31" t="s">
        <v>65</v>
      </c>
      <c r="C33" s="31"/>
      <c r="D33" s="31"/>
      <c r="E33" s="31"/>
      <c r="F33" s="31"/>
      <c r="G33" s="31"/>
      <c r="H33" s="31"/>
      <c r="I33" s="31"/>
      <c r="J33" s="31"/>
      <c r="K33" s="31"/>
      <c r="L33" s="31"/>
      <c r="M33" s="31"/>
      <c r="N33" s="31"/>
      <c r="O33" s="58"/>
      <c r="P33" s="26"/>
      <c r="Q33" s="26"/>
      <c r="R33" s="26"/>
      <c r="S33" s="26"/>
      <c r="T33" s="38"/>
      <c r="U33" s="152"/>
    </row>
    <row r="34" spans="1:21" s="219" customFormat="1" ht="15.75" thickBot="1" x14ac:dyDescent="0.3">
      <c r="A34" s="209" t="s">
        <v>1339</v>
      </c>
      <c r="B34" s="210" t="s">
        <v>1215</v>
      </c>
      <c r="C34" s="211" t="s">
        <v>1335</v>
      </c>
      <c r="D34" s="212">
        <f>D$4*7.7</f>
        <v>7.7</v>
      </c>
      <c r="E34" s="212">
        <f>E$4*7.7</f>
        <v>7.7</v>
      </c>
      <c r="F34" s="213">
        <f>F$4*18</f>
        <v>18</v>
      </c>
      <c r="G34" s="213">
        <f>G$4*18</f>
        <v>18</v>
      </c>
      <c r="H34" s="213">
        <f>H$4*19.6</f>
        <v>78.400000000000006</v>
      </c>
      <c r="I34" s="213">
        <f>I$4*16.55</f>
        <v>16.55</v>
      </c>
      <c r="J34" s="213">
        <f>J$4*16.55</f>
        <v>16.55</v>
      </c>
      <c r="K34" s="213">
        <f>K$4*5</f>
        <v>10</v>
      </c>
      <c r="L34" s="213">
        <f>L$4*89.6</f>
        <v>89.6</v>
      </c>
      <c r="M34" s="213">
        <f t="shared" ref="M34:N34" si="3">M$4*0</f>
        <v>0</v>
      </c>
      <c r="N34" s="214">
        <f t="shared" si="3"/>
        <v>0</v>
      </c>
      <c r="O34" s="215">
        <f>SUM(D34:N34)</f>
        <v>262.5</v>
      </c>
      <c r="P34" s="216">
        <v>0</v>
      </c>
      <c r="Q34" s="216">
        <v>0</v>
      </c>
      <c r="R34" s="216">
        <f>P34+Q34</f>
        <v>0</v>
      </c>
      <c r="S34" s="216"/>
      <c r="T34" s="217">
        <f>R34*O34</f>
        <v>0</v>
      </c>
      <c r="U34" s="218"/>
    </row>
    <row r="35" spans="1:21" s="42" customFormat="1" x14ac:dyDescent="0.25">
      <c r="A35" s="157"/>
      <c r="B35" s="44"/>
      <c r="C35" s="44"/>
      <c r="D35" s="44"/>
      <c r="E35" s="44"/>
      <c r="F35" s="44"/>
      <c r="G35" s="44"/>
      <c r="H35" s="44"/>
      <c r="I35" s="44"/>
      <c r="J35" s="44"/>
      <c r="K35" s="44"/>
      <c r="L35" s="44"/>
      <c r="M35" s="44"/>
      <c r="N35" s="44"/>
      <c r="O35" s="118"/>
      <c r="P35" s="44"/>
      <c r="Q35" s="44"/>
      <c r="R35" s="44"/>
      <c r="S35" s="44"/>
      <c r="T35" s="44"/>
      <c r="U35" s="47"/>
    </row>
    <row r="36" spans="1:21" s="219" customFormat="1" x14ac:dyDescent="0.25">
      <c r="A36" s="209" t="s">
        <v>1079</v>
      </c>
      <c r="B36" s="220" t="s">
        <v>1340</v>
      </c>
      <c r="C36" s="221"/>
      <c r="D36" s="221"/>
      <c r="E36" s="221"/>
      <c r="F36" s="221"/>
      <c r="G36" s="221"/>
      <c r="H36" s="221"/>
      <c r="I36" s="221"/>
      <c r="J36" s="221"/>
      <c r="K36" s="221"/>
      <c r="L36" s="221"/>
      <c r="M36" s="221"/>
      <c r="N36" s="221"/>
      <c r="O36" s="222"/>
      <c r="P36" s="223"/>
      <c r="Q36" s="223"/>
      <c r="R36" s="223"/>
      <c r="S36" s="223"/>
      <c r="T36" s="224"/>
    </row>
    <row r="37" spans="1:21" s="42" customFormat="1" ht="143.25" customHeight="1" x14ac:dyDescent="0.25">
      <c r="A37" s="167"/>
      <c r="B37" s="145" t="s">
        <v>1217</v>
      </c>
      <c r="C37" s="31"/>
      <c r="D37" s="31"/>
      <c r="E37" s="31"/>
      <c r="F37" s="31"/>
      <c r="G37" s="31"/>
      <c r="H37" s="31"/>
      <c r="I37" s="31"/>
      <c r="J37" s="31"/>
      <c r="K37" s="31"/>
      <c r="L37" s="31"/>
      <c r="M37" s="31"/>
      <c r="N37" s="31"/>
      <c r="O37" s="58"/>
      <c r="P37" s="26"/>
      <c r="Q37" s="26"/>
      <c r="R37" s="26"/>
      <c r="S37" s="26"/>
      <c r="T37" s="38"/>
      <c r="U37" s="152"/>
    </row>
    <row r="38" spans="1:21" s="42" customFormat="1" ht="15.75" thickBot="1" x14ac:dyDescent="0.3">
      <c r="A38" s="167"/>
      <c r="B38" s="31" t="s">
        <v>65</v>
      </c>
      <c r="C38" s="31"/>
      <c r="D38" s="31"/>
      <c r="E38" s="31"/>
      <c r="F38" s="31"/>
      <c r="G38" s="31"/>
      <c r="H38" s="31"/>
      <c r="I38" s="31"/>
      <c r="J38" s="31"/>
      <c r="K38" s="31"/>
      <c r="L38" s="31"/>
      <c r="M38" s="31"/>
      <c r="N38" s="31"/>
      <c r="O38" s="58"/>
      <c r="P38" s="26"/>
      <c r="Q38" s="26"/>
      <c r="R38" s="26"/>
      <c r="S38" s="26"/>
      <c r="T38" s="38"/>
      <c r="U38" s="152"/>
    </row>
    <row r="39" spans="1:21" s="219" customFormat="1" ht="15.75" thickBot="1" x14ac:dyDescent="0.3">
      <c r="A39" s="209" t="s">
        <v>1341</v>
      </c>
      <c r="B39" s="210" t="s">
        <v>1215</v>
      </c>
      <c r="C39" s="211" t="s">
        <v>1335</v>
      </c>
      <c r="D39" s="212">
        <f t="shared" ref="D39:N39" si="4">D$4*0</f>
        <v>0</v>
      </c>
      <c r="E39" s="212">
        <f t="shared" si="4"/>
        <v>0</v>
      </c>
      <c r="F39" s="213">
        <f t="shared" si="4"/>
        <v>0</v>
      </c>
      <c r="G39" s="213">
        <f t="shared" si="4"/>
        <v>0</v>
      </c>
      <c r="H39" s="213">
        <f t="shared" si="4"/>
        <v>0</v>
      </c>
      <c r="I39" s="213">
        <f t="shared" si="4"/>
        <v>0</v>
      </c>
      <c r="J39" s="213">
        <f t="shared" si="4"/>
        <v>0</v>
      </c>
      <c r="K39" s="213">
        <f>K$4*3.5</f>
        <v>7</v>
      </c>
      <c r="L39" s="213">
        <f>L$4*0</f>
        <v>0</v>
      </c>
      <c r="M39" s="213">
        <f t="shared" si="4"/>
        <v>0</v>
      </c>
      <c r="N39" s="214">
        <f t="shared" si="4"/>
        <v>0</v>
      </c>
      <c r="O39" s="215">
        <f>SUM(D39:N39)</f>
        <v>7</v>
      </c>
      <c r="P39" s="216">
        <v>0</v>
      </c>
      <c r="Q39" s="216">
        <v>0</v>
      </c>
      <c r="R39" s="216">
        <f>P39+Q39</f>
        <v>0</v>
      </c>
      <c r="S39" s="216"/>
      <c r="T39" s="217">
        <f>R39*O39</f>
        <v>0</v>
      </c>
      <c r="U39" s="218"/>
    </row>
    <row r="40" spans="1:21" s="42" customFormat="1" x14ac:dyDescent="0.25">
      <c r="A40" s="157"/>
      <c r="B40" s="44"/>
      <c r="C40" s="44"/>
      <c r="D40" s="44"/>
      <c r="E40" s="44"/>
      <c r="F40" s="44"/>
      <c r="G40" s="44"/>
      <c r="H40" s="44"/>
      <c r="I40" s="44"/>
      <c r="J40" s="44"/>
      <c r="K40" s="44"/>
      <c r="L40" s="44"/>
      <c r="M40" s="44"/>
      <c r="N40" s="44"/>
      <c r="O40" s="118"/>
      <c r="P40" s="44"/>
      <c r="Q40" s="44"/>
      <c r="R40" s="44"/>
      <c r="S40" s="44"/>
      <c r="T40" s="44"/>
      <c r="U40" s="47"/>
    </row>
    <row r="41" spans="1:21" s="42" customFormat="1" x14ac:dyDescent="0.25">
      <c r="A41" s="225" t="s">
        <v>1342</v>
      </c>
      <c r="B41" s="226" t="s">
        <v>1343</v>
      </c>
      <c r="C41" s="227"/>
      <c r="D41" s="227"/>
      <c r="E41" s="227"/>
      <c r="F41" s="227"/>
      <c r="G41" s="227"/>
      <c r="H41" s="227"/>
      <c r="I41" s="227"/>
      <c r="J41" s="227"/>
      <c r="K41" s="227"/>
      <c r="L41" s="227"/>
      <c r="M41" s="227"/>
      <c r="N41" s="227"/>
      <c r="O41" s="228"/>
      <c r="P41" s="229"/>
      <c r="Q41" s="229"/>
      <c r="R41" s="229"/>
      <c r="S41" s="229"/>
      <c r="T41" s="230"/>
      <c r="U41" s="152"/>
    </row>
    <row r="42" spans="1:21" s="42" customFormat="1" ht="143.25" customHeight="1" x14ac:dyDescent="0.25">
      <c r="A42" s="201"/>
      <c r="B42" s="231" t="s">
        <v>1344</v>
      </c>
      <c r="C42" s="204"/>
      <c r="D42" s="204"/>
      <c r="E42" s="204"/>
      <c r="F42" s="204"/>
      <c r="G42" s="204"/>
      <c r="H42" s="204"/>
      <c r="I42" s="204"/>
      <c r="J42" s="204"/>
      <c r="K42" s="204"/>
      <c r="L42" s="204"/>
      <c r="M42" s="204"/>
      <c r="N42" s="204"/>
      <c r="O42" s="205"/>
      <c r="P42" s="206"/>
      <c r="Q42" s="206"/>
      <c r="R42" s="206"/>
      <c r="S42" s="206"/>
      <c r="T42" s="207"/>
      <c r="U42" s="152"/>
    </row>
    <row r="43" spans="1:21" s="42" customFormat="1" ht="15.75" thickBot="1" x14ac:dyDescent="0.3">
      <c r="A43" s="201"/>
      <c r="B43" s="204" t="s">
        <v>65</v>
      </c>
      <c r="C43" s="204"/>
      <c r="D43" s="204"/>
      <c r="E43" s="204"/>
      <c r="F43" s="204"/>
      <c r="G43" s="204"/>
      <c r="H43" s="204"/>
      <c r="I43" s="204"/>
      <c r="J43" s="204"/>
      <c r="K43" s="204"/>
      <c r="L43" s="204"/>
      <c r="M43" s="204"/>
      <c r="N43" s="204"/>
      <c r="O43" s="205"/>
      <c r="P43" s="206"/>
      <c r="Q43" s="206"/>
      <c r="R43" s="206"/>
      <c r="S43" s="206"/>
      <c r="T43" s="207"/>
      <c r="U43" s="152"/>
    </row>
    <row r="44" spans="1:21" s="240" customFormat="1" ht="15.75" thickBot="1" x14ac:dyDescent="0.3">
      <c r="A44" s="225" t="s">
        <v>1345</v>
      </c>
      <c r="B44" s="232" t="s">
        <v>1346</v>
      </c>
      <c r="C44" s="233" t="s">
        <v>1347</v>
      </c>
      <c r="D44" s="234">
        <f t="shared" ref="D44:N44" si="5">D$4*0</f>
        <v>0</v>
      </c>
      <c r="E44" s="234">
        <f t="shared" si="5"/>
        <v>0</v>
      </c>
      <c r="F44" s="235">
        <f>F$4*1.6</f>
        <v>1.6</v>
      </c>
      <c r="G44" s="235">
        <f>G$4*1.6</f>
        <v>1.6</v>
      </c>
      <c r="H44" s="235">
        <f>H$4*1.8</f>
        <v>7.2</v>
      </c>
      <c r="I44" s="235">
        <f t="shared" si="5"/>
        <v>0</v>
      </c>
      <c r="J44" s="235">
        <f t="shared" si="5"/>
        <v>0</v>
      </c>
      <c r="K44" s="235">
        <f>K$4*0</f>
        <v>0</v>
      </c>
      <c r="L44" s="235">
        <f>L$4*0</f>
        <v>0</v>
      </c>
      <c r="M44" s="235">
        <f t="shared" si="5"/>
        <v>0</v>
      </c>
      <c r="N44" s="236">
        <f t="shared" si="5"/>
        <v>0</v>
      </c>
      <c r="O44" s="237">
        <f>SUM(D44:N44)</f>
        <v>10.4</v>
      </c>
      <c r="P44" s="206">
        <v>0</v>
      </c>
      <c r="Q44" s="206">
        <v>0</v>
      </c>
      <c r="R44" s="206">
        <f>P44+Q44</f>
        <v>0</v>
      </c>
      <c r="S44" s="206"/>
      <c r="T44" s="238">
        <f>R44*O44</f>
        <v>0</v>
      </c>
      <c r="U44" s="239"/>
    </row>
    <row r="45" spans="1:21" s="42" customFormat="1" x14ac:dyDescent="0.25">
      <c r="A45" s="157"/>
      <c r="B45" s="44"/>
      <c r="C45" s="44"/>
      <c r="D45" s="44"/>
      <c r="E45" s="44"/>
      <c r="F45" s="44"/>
      <c r="G45" s="44"/>
      <c r="H45" s="44"/>
      <c r="I45" s="44"/>
      <c r="J45" s="44"/>
      <c r="K45" s="44"/>
      <c r="L45" s="44"/>
      <c r="M45" s="44"/>
      <c r="N45" s="44"/>
      <c r="O45" s="118"/>
      <c r="P45" s="44"/>
      <c r="Q45" s="44"/>
      <c r="R45" s="44"/>
      <c r="S45" s="44"/>
      <c r="T45" s="44"/>
      <c r="U45" s="47"/>
    </row>
    <row r="46" spans="1:21" s="219" customFormat="1" x14ac:dyDescent="0.25">
      <c r="A46" s="209" t="s">
        <v>1080</v>
      </c>
      <c r="B46" s="220" t="s">
        <v>1348</v>
      </c>
      <c r="C46" s="221"/>
      <c r="D46" s="221"/>
      <c r="E46" s="221"/>
      <c r="F46" s="221"/>
      <c r="G46" s="221"/>
      <c r="H46" s="221"/>
      <c r="I46" s="221"/>
      <c r="J46" s="221"/>
      <c r="K46" s="221"/>
      <c r="L46" s="221"/>
      <c r="M46" s="221"/>
      <c r="N46" s="221"/>
      <c r="O46" s="222"/>
      <c r="P46" s="223"/>
      <c r="Q46" s="223"/>
      <c r="R46" s="223"/>
      <c r="S46" s="223"/>
      <c r="T46" s="224"/>
    </row>
    <row r="47" spans="1:21" s="42" customFormat="1" ht="117.75" customHeight="1" x14ac:dyDescent="0.25">
      <c r="A47" s="167"/>
      <c r="B47" s="241" t="s">
        <v>1349</v>
      </c>
      <c r="C47" s="31"/>
      <c r="D47" s="31"/>
      <c r="E47" s="31"/>
      <c r="F47" s="31"/>
      <c r="G47" s="31"/>
      <c r="H47" s="31"/>
      <c r="I47" s="31"/>
      <c r="J47" s="31"/>
      <c r="K47" s="31"/>
      <c r="L47" s="31"/>
      <c r="M47" s="31"/>
      <c r="N47" s="31"/>
      <c r="O47" s="58"/>
      <c r="P47" s="26"/>
      <c r="Q47" s="26"/>
      <c r="R47" s="26"/>
      <c r="S47" s="26"/>
      <c r="T47" s="38"/>
      <c r="U47" s="152"/>
    </row>
    <row r="48" spans="1:21" s="42" customFormat="1" ht="39" thickBot="1" x14ac:dyDescent="0.3">
      <c r="A48" s="167"/>
      <c r="B48" s="241" t="s">
        <v>66</v>
      </c>
      <c r="C48" s="31"/>
      <c r="D48" s="31"/>
      <c r="E48" s="31"/>
      <c r="F48" s="31"/>
      <c r="G48" s="31"/>
      <c r="H48" s="31"/>
      <c r="I48" s="31"/>
      <c r="J48" s="31"/>
      <c r="K48" s="31"/>
      <c r="L48" s="31"/>
      <c r="M48" s="31"/>
      <c r="N48" s="31"/>
      <c r="O48" s="58"/>
      <c r="P48" s="26"/>
      <c r="Q48" s="26"/>
      <c r="R48" s="26"/>
      <c r="S48" s="26"/>
      <c r="T48" s="38"/>
      <c r="U48" s="152"/>
    </row>
    <row r="49" spans="1:21" s="219" customFormat="1" ht="15.75" thickBot="1" x14ac:dyDescent="0.3">
      <c r="A49" s="209"/>
      <c r="B49" s="210" t="s">
        <v>65</v>
      </c>
      <c r="C49" s="211" t="s">
        <v>1335</v>
      </c>
      <c r="D49" s="212">
        <f>D$4*8.7</f>
        <v>8.6999999999999993</v>
      </c>
      <c r="E49" s="212">
        <f>E$4*8.7</f>
        <v>8.6999999999999993</v>
      </c>
      <c r="F49" s="213">
        <f>F$4*7.7</f>
        <v>7.7</v>
      </c>
      <c r="G49" s="213">
        <f>G$4*7.7</f>
        <v>7.7</v>
      </c>
      <c r="H49" s="213">
        <f>H$4*13</f>
        <v>52</v>
      </c>
      <c r="I49" s="213">
        <f>I$4*14.85</f>
        <v>14.85</v>
      </c>
      <c r="J49" s="213">
        <f>J$4*14.85</f>
        <v>14.85</v>
      </c>
      <c r="K49" s="213">
        <f>K$4*12.7</f>
        <v>25.4</v>
      </c>
      <c r="L49" s="213">
        <f>L$4*53.8</f>
        <v>53.8</v>
      </c>
      <c r="M49" s="213">
        <f t="shared" ref="M49:N49" si="6">M$4*0</f>
        <v>0</v>
      </c>
      <c r="N49" s="214">
        <f t="shared" si="6"/>
        <v>0</v>
      </c>
      <c r="O49" s="215">
        <f>SUM(D49:N49)</f>
        <v>193.7</v>
      </c>
      <c r="P49" s="216">
        <v>0</v>
      </c>
      <c r="Q49" s="216">
        <v>0</v>
      </c>
      <c r="R49" s="216">
        <f>P49+Q49</f>
        <v>0</v>
      </c>
      <c r="S49" s="216"/>
      <c r="T49" s="217">
        <f>R49*O49</f>
        <v>0</v>
      </c>
      <c r="U49" s="218"/>
    </row>
    <row r="50" spans="1:21" s="42" customFormat="1" x14ac:dyDescent="0.25">
      <c r="A50" s="157"/>
      <c r="B50" s="44"/>
      <c r="C50" s="44"/>
      <c r="D50" s="44"/>
      <c r="E50" s="44"/>
      <c r="F50" s="44"/>
      <c r="G50" s="44"/>
      <c r="H50" s="44"/>
      <c r="I50" s="44"/>
      <c r="J50" s="44"/>
      <c r="K50" s="44"/>
      <c r="L50" s="44"/>
      <c r="M50" s="44"/>
      <c r="N50" s="44"/>
      <c r="O50" s="118"/>
      <c r="P50" s="44"/>
      <c r="Q50" s="44"/>
      <c r="R50" s="44"/>
      <c r="S50" s="44"/>
      <c r="T50" s="44"/>
      <c r="U50" s="47"/>
    </row>
    <row r="51" spans="1:21" s="42" customFormat="1" x14ac:dyDescent="0.25">
      <c r="A51" s="166" t="s">
        <v>1081</v>
      </c>
      <c r="B51" s="147" t="s">
        <v>1077</v>
      </c>
      <c r="C51" s="28"/>
      <c r="D51" s="28"/>
      <c r="E51" s="28"/>
      <c r="F51" s="28"/>
      <c r="G51" s="28"/>
      <c r="H51" s="28"/>
      <c r="I51" s="28"/>
      <c r="J51" s="28"/>
      <c r="K51" s="28"/>
      <c r="L51" s="28"/>
      <c r="M51" s="28"/>
      <c r="N51" s="28"/>
      <c r="O51" s="60"/>
      <c r="P51" s="29"/>
      <c r="Q51" s="29"/>
      <c r="R51" s="29"/>
      <c r="S51" s="29"/>
      <c r="T51" s="23"/>
      <c r="U51" s="152"/>
    </row>
    <row r="52" spans="1:21" s="42" customFormat="1" ht="140.25" x14ac:dyDescent="0.25">
      <c r="A52" s="167"/>
      <c r="B52" s="145" t="s">
        <v>1350</v>
      </c>
      <c r="C52" s="31"/>
      <c r="D52" s="31"/>
      <c r="E52" s="31"/>
      <c r="F52" s="31"/>
      <c r="G52" s="31"/>
      <c r="H52" s="31"/>
      <c r="I52" s="31"/>
      <c r="J52" s="31"/>
      <c r="K52" s="31"/>
      <c r="L52" s="31"/>
      <c r="M52" s="31"/>
      <c r="N52" s="31"/>
      <c r="O52" s="58"/>
      <c r="P52" s="26"/>
      <c r="Q52" s="26"/>
      <c r="R52" s="26"/>
      <c r="S52" s="26"/>
      <c r="T52" s="38"/>
      <c r="U52" s="152"/>
    </row>
    <row r="53" spans="1:21" s="42" customFormat="1" ht="38.25" x14ac:dyDescent="0.25">
      <c r="A53" s="167"/>
      <c r="B53" s="24" t="s">
        <v>1078</v>
      </c>
      <c r="C53" s="31"/>
      <c r="D53" s="31"/>
      <c r="E53" s="31"/>
      <c r="F53" s="31"/>
      <c r="G53" s="31"/>
      <c r="H53" s="31"/>
      <c r="I53" s="31"/>
      <c r="J53" s="31"/>
      <c r="K53" s="31"/>
      <c r="L53" s="31"/>
      <c r="M53" s="31"/>
      <c r="N53" s="31"/>
      <c r="O53" s="58"/>
      <c r="P53" s="26"/>
      <c r="Q53" s="26"/>
      <c r="R53" s="26"/>
      <c r="S53" s="26"/>
      <c r="T53" s="38"/>
      <c r="U53" s="152"/>
    </row>
    <row r="54" spans="1:21" s="42" customFormat="1" ht="15.75" thickBot="1" x14ac:dyDescent="0.3">
      <c r="A54" s="167"/>
      <c r="B54" s="24" t="s">
        <v>65</v>
      </c>
      <c r="C54" s="31"/>
      <c r="D54" s="31"/>
      <c r="E54" s="31"/>
      <c r="F54" s="31"/>
      <c r="G54" s="31"/>
      <c r="H54" s="31"/>
      <c r="I54" s="31"/>
      <c r="J54" s="31"/>
      <c r="K54" s="31"/>
      <c r="L54" s="31"/>
      <c r="M54" s="31"/>
      <c r="N54" s="31"/>
      <c r="O54" s="58"/>
      <c r="P54" s="26"/>
      <c r="Q54" s="26"/>
      <c r="R54" s="26"/>
      <c r="S54" s="26"/>
      <c r="T54" s="38"/>
      <c r="U54" s="152"/>
    </row>
    <row r="55" spans="1:21" s="219" customFormat="1" ht="15.75" thickBot="1" x14ac:dyDescent="0.3">
      <c r="A55" s="242" t="s">
        <v>1167</v>
      </c>
      <c r="B55" s="210" t="s">
        <v>1351</v>
      </c>
      <c r="C55" s="211" t="s">
        <v>1335</v>
      </c>
      <c r="D55" s="212">
        <f>D$4*94</f>
        <v>94</v>
      </c>
      <c r="E55" s="212">
        <f>E$4*94</f>
        <v>94</v>
      </c>
      <c r="F55" s="213">
        <f>F$4*88</f>
        <v>88</v>
      </c>
      <c r="G55" s="213">
        <f>G$4*88</f>
        <v>88</v>
      </c>
      <c r="H55" s="213">
        <f>H$4*107.8</f>
        <v>431.2</v>
      </c>
      <c r="I55" s="213">
        <f>I$4*82.2</f>
        <v>82.2</v>
      </c>
      <c r="J55" s="213">
        <f>J$4*82.2</f>
        <v>82.2</v>
      </c>
      <c r="K55" s="213">
        <f>K$4*132</f>
        <v>264</v>
      </c>
      <c r="L55" s="213">
        <f>L$4*206</f>
        <v>206</v>
      </c>
      <c r="M55" s="213">
        <f>M$4*45</f>
        <v>45</v>
      </c>
      <c r="N55" s="214">
        <f t="shared" ref="M55:N56" si="7">N$4*0</f>
        <v>0</v>
      </c>
      <c r="O55" s="215">
        <f>SUM(D55:N55)</f>
        <v>1474.6000000000001</v>
      </c>
      <c r="P55" s="216">
        <v>0</v>
      </c>
      <c r="Q55" s="216">
        <v>0</v>
      </c>
      <c r="R55" s="216">
        <f>P55+Q55</f>
        <v>0</v>
      </c>
      <c r="S55" s="216"/>
      <c r="T55" s="217">
        <f>R55*O55</f>
        <v>0</v>
      </c>
      <c r="U55" s="218"/>
    </row>
    <row r="56" spans="1:21" s="219" customFormat="1" ht="15.75" thickBot="1" x14ac:dyDescent="0.3">
      <c r="A56" s="242" t="s">
        <v>1168</v>
      </c>
      <c r="B56" s="210" t="s">
        <v>1352</v>
      </c>
      <c r="C56" s="211" t="s">
        <v>1335</v>
      </c>
      <c r="D56" s="212">
        <f>D$4*15</f>
        <v>15</v>
      </c>
      <c r="E56" s="212">
        <f>E$4*15</f>
        <v>15</v>
      </c>
      <c r="F56" s="213">
        <f>F$4*7.4</f>
        <v>7.4</v>
      </c>
      <c r="G56" s="213">
        <f>G$4*7.4</f>
        <v>7.4</v>
      </c>
      <c r="H56" s="213">
        <f>H$4*10.6</f>
        <v>42.4</v>
      </c>
      <c r="I56" s="213">
        <f>I$4*4.1</f>
        <v>4.0999999999999996</v>
      </c>
      <c r="J56" s="213">
        <f>J$4*4.1</f>
        <v>4.0999999999999996</v>
      </c>
      <c r="K56" s="213">
        <f>K$4*31.2</f>
        <v>62.4</v>
      </c>
      <c r="L56" s="213">
        <f>L$4*62.4</f>
        <v>62.4</v>
      </c>
      <c r="M56" s="213">
        <f t="shared" si="7"/>
        <v>0</v>
      </c>
      <c r="N56" s="214">
        <f t="shared" si="7"/>
        <v>0</v>
      </c>
      <c r="O56" s="215">
        <f>SUM(D56:N56)</f>
        <v>220.2</v>
      </c>
      <c r="P56" s="216">
        <v>0</v>
      </c>
      <c r="Q56" s="216">
        <v>0</v>
      </c>
      <c r="R56" s="216">
        <f>P56+Q56</f>
        <v>0</v>
      </c>
      <c r="S56" s="216"/>
      <c r="T56" s="217">
        <f>R56*O56</f>
        <v>0</v>
      </c>
      <c r="U56" s="218"/>
    </row>
    <row r="57" spans="1:21" s="246" customFormat="1" x14ac:dyDescent="0.25">
      <c r="A57" s="243"/>
      <c r="B57" s="244"/>
      <c r="C57" s="244"/>
      <c r="D57" s="244"/>
      <c r="E57" s="244"/>
      <c r="F57" s="244"/>
      <c r="G57" s="244"/>
      <c r="H57" s="244"/>
      <c r="I57" s="244"/>
      <c r="J57" s="244"/>
      <c r="K57" s="244"/>
      <c r="L57" s="244"/>
      <c r="M57" s="244"/>
      <c r="N57" s="244"/>
      <c r="O57" s="245"/>
      <c r="P57" s="244"/>
      <c r="Q57" s="244"/>
      <c r="R57" s="244"/>
      <c r="S57" s="244"/>
      <c r="T57" s="244"/>
      <c r="U57" s="244"/>
    </row>
    <row r="58" spans="1:21" s="246" customFormat="1" x14ac:dyDescent="0.25">
      <c r="A58" s="247" t="s">
        <v>1082</v>
      </c>
      <c r="B58" s="248" t="s">
        <v>1166</v>
      </c>
      <c r="C58" s="249"/>
      <c r="D58" s="249"/>
      <c r="E58" s="249"/>
      <c r="F58" s="249"/>
      <c r="G58" s="249"/>
      <c r="H58" s="249"/>
      <c r="I58" s="249"/>
      <c r="J58" s="249"/>
      <c r="K58" s="249"/>
      <c r="L58" s="249"/>
      <c r="M58" s="249"/>
      <c r="N58" s="249"/>
      <c r="O58" s="250"/>
      <c r="P58" s="251"/>
      <c r="Q58" s="251"/>
      <c r="R58" s="251"/>
      <c r="S58" s="251"/>
      <c r="T58" s="252"/>
    </row>
    <row r="59" spans="1:21" s="246" customFormat="1" ht="114.75" x14ac:dyDescent="0.25">
      <c r="A59" s="253"/>
      <c r="B59" s="254" t="s">
        <v>1165</v>
      </c>
      <c r="C59" s="255"/>
      <c r="D59" s="255"/>
      <c r="E59" s="255"/>
      <c r="F59" s="255"/>
      <c r="G59" s="255"/>
      <c r="H59" s="255"/>
      <c r="I59" s="255"/>
      <c r="J59" s="255"/>
      <c r="K59" s="255"/>
      <c r="L59" s="255"/>
      <c r="M59" s="255"/>
      <c r="N59" s="255"/>
      <c r="O59" s="256"/>
      <c r="P59" s="257"/>
      <c r="Q59" s="257"/>
      <c r="R59" s="257"/>
      <c r="S59" s="257"/>
      <c r="T59" s="258"/>
    </row>
    <row r="60" spans="1:21" s="246" customFormat="1" ht="38.25" x14ac:dyDescent="0.25">
      <c r="A60" s="253"/>
      <c r="B60" s="254" t="s">
        <v>1078</v>
      </c>
      <c r="C60" s="255"/>
      <c r="D60" s="255"/>
      <c r="E60" s="255"/>
      <c r="F60" s="255"/>
      <c r="G60" s="255"/>
      <c r="H60" s="255"/>
      <c r="I60" s="255"/>
      <c r="J60" s="255"/>
      <c r="K60" s="255"/>
      <c r="L60" s="255"/>
      <c r="M60" s="255"/>
      <c r="N60" s="255"/>
      <c r="O60" s="256"/>
      <c r="P60" s="257"/>
      <c r="Q60" s="257"/>
      <c r="R60" s="257"/>
      <c r="S60" s="257"/>
      <c r="T60" s="258"/>
    </row>
    <row r="61" spans="1:21" s="246" customFormat="1" ht="15.75" thickBot="1" x14ac:dyDescent="0.3">
      <c r="A61" s="253"/>
      <c r="B61" s="254" t="s">
        <v>65</v>
      </c>
      <c r="C61" s="255"/>
      <c r="D61" s="255"/>
      <c r="E61" s="255"/>
      <c r="F61" s="255"/>
      <c r="G61" s="255"/>
      <c r="H61" s="255"/>
      <c r="I61" s="255"/>
      <c r="J61" s="255"/>
      <c r="K61" s="255"/>
      <c r="L61" s="255"/>
      <c r="M61" s="255"/>
      <c r="N61" s="255"/>
      <c r="O61" s="256"/>
      <c r="P61" s="257"/>
      <c r="Q61" s="257"/>
      <c r="R61" s="257"/>
      <c r="S61" s="257"/>
      <c r="T61" s="258"/>
    </row>
    <row r="62" spans="1:21" s="246" customFormat="1" ht="15.75" thickBot="1" x14ac:dyDescent="0.3">
      <c r="A62" s="247" t="s">
        <v>1272</v>
      </c>
      <c r="B62" s="259" t="s">
        <v>1213</v>
      </c>
      <c r="C62" s="260" t="s">
        <v>1353</v>
      </c>
      <c r="D62" s="261">
        <f>D$4*0</f>
        <v>0</v>
      </c>
      <c r="E62" s="261">
        <f>E$4*7.6</f>
        <v>7.6</v>
      </c>
      <c r="F62" s="262">
        <f t="shared" ref="F62:N63" si="8">F$4*0</f>
        <v>0</v>
      </c>
      <c r="G62" s="262">
        <f>G$4*13</f>
        <v>13</v>
      </c>
      <c r="H62" s="262">
        <f>H$4*20</f>
        <v>80</v>
      </c>
      <c r="I62" s="262">
        <f>I$4*0</f>
        <v>0</v>
      </c>
      <c r="J62" s="262">
        <f>J$4*6.3*3</f>
        <v>18.899999999999999</v>
      </c>
      <c r="K62" s="262">
        <f t="shared" si="8"/>
        <v>0</v>
      </c>
      <c r="L62" s="262">
        <f t="shared" si="8"/>
        <v>0</v>
      </c>
      <c r="M62" s="262">
        <f t="shared" si="8"/>
        <v>0</v>
      </c>
      <c r="N62" s="263">
        <f t="shared" si="8"/>
        <v>0</v>
      </c>
      <c r="O62" s="264">
        <f>SUM(D62:N62)</f>
        <v>119.5</v>
      </c>
      <c r="P62" s="257">
        <v>0</v>
      </c>
      <c r="Q62" s="257">
        <v>0</v>
      </c>
      <c r="R62" s="257">
        <f>P62+Q62</f>
        <v>0</v>
      </c>
      <c r="S62" s="257"/>
      <c r="T62" s="265">
        <f>R62*O62</f>
        <v>0</v>
      </c>
      <c r="U62" s="244"/>
    </row>
    <row r="63" spans="1:21" s="246" customFormat="1" ht="15.75" thickBot="1" x14ac:dyDescent="0.3">
      <c r="A63" s="247" t="s">
        <v>1164</v>
      </c>
      <c r="B63" s="259" t="s">
        <v>1271</v>
      </c>
      <c r="C63" s="260" t="s">
        <v>1353</v>
      </c>
      <c r="D63" s="261">
        <f>D$4*0</f>
        <v>0</v>
      </c>
      <c r="E63" s="261">
        <f>E$4*7.6</f>
        <v>7.6</v>
      </c>
      <c r="F63" s="262">
        <f t="shared" si="8"/>
        <v>0</v>
      </c>
      <c r="G63" s="262">
        <f>G$4*13</f>
        <v>13</v>
      </c>
      <c r="H63" s="262">
        <f>H$4*22.4</f>
        <v>89.6</v>
      </c>
      <c r="I63" s="262">
        <f t="shared" si="8"/>
        <v>0</v>
      </c>
      <c r="J63" s="262">
        <f t="shared" si="8"/>
        <v>0</v>
      </c>
      <c r="K63" s="262">
        <f t="shared" si="8"/>
        <v>0</v>
      </c>
      <c r="L63" s="262">
        <f t="shared" si="8"/>
        <v>0</v>
      </c>
      <c r="M63" s="262">
        <f t="shared" si="8"/>
        <v>0</v>
      </c>
      <c r="N63" s="263">
        <f t="shared" si="8"/>
        <v>0</v>
      </c>
      <c r="O63" s="264">
        <f>SUM(D63:N63)</f>
        <v>110.19999999999999</v>
      </c>
      <c r="P63" s="257">
        <v>0</v>
      </c>
      <c r="Q63" s="257">
        <v>0</v>
      </c>
      <c r="R63" s="257">
        <f>P63+Q63</f>
        <v>0</v>
      </c>
      <c r="S63" s="257"/>
      <c r="T63" s="265">
        <f>R63*O63</f>
        <v>0</v>
      </c>
      <c r="U63" s="244"/>
    </row>
    <row r="64" spans="1:21" s="42" customFormat="1" x14ac:dyDescent="0.25">
      <c r="A64" s="157"/>
      <c r="B64" s="44"/>
      <c r="C64" s="44"/>
      <c r="D64" s="44"/>
      <c r="E64" s="44"/>
      <c r="F64" s="44"/>
      <c r="G64" s="44"/>
      <c r="H64" s="44"/>
      <c r="I64" s="44"/>
      <c r="J64" s="44"/>
      <c r="K64" s="44"/>
      <c r="L64" s="44"/>
      <c r="M64" s="44"/>
      <c r="N64" s="44"/>
      <c r="O64" s="118"/>
      <c r="P64" s="44"/>
      <c r="Q64" s="44"/>
      <c r="R64" s="44"/>
      <c r="S64" s="44"/>
      <c r="T64" s="44"/>
      <c r="U64" s="47"/>
    </row>
    <row r="65" spans="1:21" s="42" customFormat="1" x14ac:dyDescent="0.25">
      <c r="A65" s="166" t="s">
        <v>1083</v>
      </c>
      <c r="B65" s="147" t="s">
        <v>38</v>
      </c>
      <c r="C65" s="28"/>
      <c r="D65" s="28"/>
      <c r="E65" s="28"/>
      <c r="F65" s="28"/>
      <c r="G65" s="28"/>
      <c r="H65" s="28"/>
      <c r="I65" s="28"/>
      <c r="J65" s="28"/>
      <c r="K65" s="28"/>
      <c r="L65" s="28"/>
      <c r="M65" s="28"/>
      <c r="N65" s="28"/>
      <c r="O65" s="60"/>
      <c r="P65" s="29"/>
      <c r="Q65" s="29"/>
      <c r="R65" s="29"/>
      <c r="S65" s="29"/>
      <c r="T65" s="23"/>
      <c r="U65" s="152"/>
    </row>
    <row r="66" spans="1:21" s="42" customFormat="1" ht="51" x14ac:dyDescent="0.25">
      <c r="A66" s="167"/>
      <c r="B66" s="145" t="s">
        <v>1240</v>
      </c>
      <c r="C66" s="31"/>
      <c r="D66" s="31"/>
      <c r="E66" s="31"/>
      <c r="F66" s="31"/>
      <c r="G66" s="31"/>
      <c r="H66" s="31"/>
      <c r="I66" s="31"/>
      <c r="J66" s="31"/>
      <c r="K66" s="31"/>
      <c r="L66" s="31"/>
      <c r="M66" s="31"/>
      <c r="N66" s="31"/>
      <c r="O66" s="58"/>
      <c r="P66" s="26"/>
      <c r="Q66" s="26"/>
      <c r="R66" s="26"/>
      <c r="S66" s="26"/>
      <c r="T66" s="38"/>
      <c r="U66" s="152"/>
    </row>
    <row r="67" spans="1:21" s="42" customFormat="1" ht="15.75" thickBot="1" x14ac:dyDescent="0.3">
      <c r="A67" s="167"/>
      <c r="B67" s="145" t="s">
        <v>1171</v>
      </c>
      <c r="C67" s="31"/>
      <c r="D67" s="31"/>
      <c r="E67" s="31"/>
      <c r="F67" s="31"/>
      <c r="G67" s="31"/>
      <c r="H67" s="31"/>
      <c r="I67" s="31"/>
      <c r="J67" s="31"/>
      <c r="K67" s="31"/>
      <c r="L67" s="31"/>
      <c r="M67" s="31"/>
      <c r="N67" s="31"/>
      <c r="O67" s="58"/>
      <c r="P67" s="26"/>
      <c r="Q67" s="26"/>
      <c r="R67" s="26"/>
      <c r="S67" s="26"/>
      <c r="T67" s="38"/>
      <c r="U67" s="152"/>
    </row>
    <row r="68" spans="1:21" s="42" customFormat="1" ht="15.75" thickBot="1" x14ac:dyDescent="0.3">
      <c r="A68" s="166"/>
      <c r="B68" s="137" t="s">
        <v>39</v>
      </c>
      <c r="C68" s="135" t="s">
        <v>40</v>
      </c>
      <c r="D68" s="55">
        <f>D$4*30.25</f>
        <v>30.25</v>
      </c>
      <c r="E68" s="55">
        <f>E$4*30.25</f>
        <v>30.25</v>
      </c>
      <c r="F68" s="36">
        <f>F$4*32.15</f>
        <v>32.15</v>
      </c>
      <c r="G68" s="36">
        <f>G$4*32.15</f>
        <v>32.15</v>
      </c>
      <c r="H68" s="36">
        <f>H$4*41.45</f>
        <v>165.8</v>
      </c>
      <c r="I68" s="36">
        <f>I$4*32.1</f>
        <v>32.1</v>
      </c>
      <c r="J68" s="36">
        <f t="shared" ref="J68:N68" si="9">J$4*0</f>
        <v>0</v>
      </c>
      <c r="K68" s="36">
        <f>K$4*30.1</f>
        <v>60.2</v>
      </c>
      <c r="L68" s="36">
        <f>L$4*53.4</f>
        <v>53.4</v>
      </c>
      <c r="M68" s="36">
        <f t="shared" si="9"/>
        <v>0</v>
      </c>
      <c r="N68" s="56">
        <f t="shared" si="9"/>
        <v>0</v>
      </c>
      <c r="O68" s="62">
        <f>SUM(D68:N68)</f>
        <v>436.3</v>
      </c>
      <c r="P68" s="26">
        <v>0</v>
      </c>
      <c r="Q68" s="26">
        <v>0</v>
      </c>
      <c r="R68" s="26">
        <f>P68+Q68</f>
        <v>0</v>
      </c>
      <c r="S68" s="26"/>
      <c r="T68" s="22">
        <f>R68*O68</f>
        <v>0</v>
      </c>
      <c r="U68" s="47"/>
    </row>
    <row r="69" spans="1:21" s="42" customFormat="1" x14ac:dyDescent="0.25">
      <c r="A69" s="157"/>
      <c r="B69" s="44"/>
      <c r="C69" s="44"/>
      <c r="D69" s="44"/>
      <c r="E69" s="44"/>
      <c r="F69" s="44"/>
      <c r="G69" s="44"/>
      <c r="H69" s="44"/>
      <c r="I69" s="44"/>
      <c r="J69" s="44"/>
      <c r="K69" s="44"/>
      <c r="L69" s="44"/>
      <c r="M69" s="44"/>
      <c r="N69" s="44"/>
      <c r="O69" s="118"/>
      <c r="P69" s="44"/>
      <c r="Q69" s="44"/>
      <c r="R69" s="44"/>
      <c r="S69" s="44"/>
      <c r="T69" s="44"/>
      <c r="U69" s="47"/>
    </row>
    <row r="70" spans="1:21" s="42" customFormat="1" x14ac:dyDescent="0.25">
      <c r="A70" s="166" t="s">
        <v>1161</v>
      </c>
      <c r="B70" s="147" t="s">
        <v>67</v>
      </c>
      <c r="C70" s="28"/>
      <c r="D70" s="28"/>
      <c r="E70" s="28"/>
      <c r="F70" s="28"/>
      <c r="G70" s="28"/>
      <c r="H70" s="28"/>
      <c r="I70" s="28"/>
      <c r="J70" s="28"/>
      <c r="K70" s="28"/>
      <c r="L70" s="28"/>
      <c r="M70" s="28"/>
      <c r="N70" s="28"/>
      <c r="O70" s="60"/>
      <c r="P70" s="29"/>
      <c r="Q70" s="29"/>
      <c r="R70" s="29"/>
      <c r="S70" s="29"/>
      <c r="T70" s="23"/>
      <c r="U70" s="152"/>
    </row>
    <row r="71" spans="1:21" s="42" customFormat="1" ht="89.25" x14ac:dyDescent="0.25">
      <c r="A71" s="167"/>
      <c r="B71" s="145" t="s">
        <v>1218</v>
      </c>
      <c r="C71" s="31"/>
      <c r="D71" s="31"/>
      <c r="E71" s="31"/>
      <c r="F71" s="31"/>
      <c r="G71" s="31"/>
      <c r="H71" s="31"/>
      <c r="I71" s="31"/>
      <c r="J71" s="31"/>
      <c r="K71" s="31"/>
      <c r="L71" s="31"/>
      <c r="M71" s="31"/>
      <c r="N71" s="31"/>
      <c r="O71" s="58"/>
      <c r="P71" s="26"/>
      <c r="Q71" s="26"/>
      <c r="R71" s="26"/>
      <c r="S71" s="26"/>
      <c r="T71" s="38"/>
      <c r="U71" s="152"/>
    </row>
    <row r="72" spans="1:21" s="42" customFormat="1" ht="15.75" thickBot="1" x14ac:dyDescent="0.3">
      <c r="A72" s="167"/>
      <c r="B72" s="145" t="s">
        <v>1193</v>
      </c>
      <c r="C72" s="31"/>
      <c r="D72" s="31"/>
      <c r="E72" s="31"/>
      <c r="F72" s="31"/>
      <c r="G72" s="31"/>
      <c r="H72" s="31"/>
      <c r="I72" s="31"/>
      <c r="J72" s="31"/>
      <c r="K72" s="31"/>
      <c r="L72" s="31"/>
      <c r="M72" s="31"/>
      <c r="N72" s="31"/>
      <c r="O72" s="58"/>
      <c r="P72" s="26"/>
      <c r="Q72" s="26"/>
      <c r="R72" s="26"/>
      <c r="S72" s="26"/>
      <c r="T72" s="38"/>
      <c r="U72" s="152"/>
    </row>
    <row r="73" spans="1:21" s="42" customFormat="1" ht="15.75" thickBot="1" x14ac:dyDescent="0.3">
      <c r="A73" s="166"/>
      <c r="B73" s="137" t="s">
        <v>39</v>
      </c>
      <c r="C73" s="135" t="s">
        <v>40</v>
      </c>
      <c r="D73" s="55">
        <f>D$4*11.55</f>
        <v>11.55</v>
      </c>
      <c r="E73" s="55">
        <f>E$4*11.55</f>
        <v>11.55</v>
      </c>
      <c r="F73" s="36">
        <f>F$4*13.2</f>
        <v>13.2</v>
      </c>
      <c r="G73" s="36">
        <f>G$4*13.2</f>
        <v>13.2</v>
      </c>
      <c r="H73" s="36">
        <f>H$4*10.5</f>
        <v>42</v>
      </c>
      <c r="I73" s="36">
        <f>I$4*12.45</f>
        <v>12.45</v>
      </c>
      <c r="J73" s="36">
        <f>J$4*12.45</f>
        <v>12.45</v>
      </c>
      <c r="K73" s="36">
        <f>K$4*6.8</f>
        <v>13.6</v>
      </c>
      <c r="L73" s="36">
        <f>L$4*17.15</f>
        <v>17.149999999999999</v>
      </c>
      <c r="M73" s="36">
        <f t="shared" ref="M73:N73" si="10">M$4*0</f>
        <v>0</v>
      </c>
      <c r="N73" s="56">
        <f t="shared" si="10"/>
        <v>0</v>
      </c>
      <c r="O73" s="62">
        <f>SUM(D73:N73)</f>
        <v>147.15</v>
      </c>
      <c r="P73" s="26">
        <v>0</v>
      </c>
      <c r="Q73" s="26">
        <v>0</v>
      </c>
      <c r="R73" s="26">
        <f>P73+Q73</f>
        <v>0</v>
      </c>
      <c r="S73" s="26"/>
      <c r="T73" s="22">
        <f>R73*O73</f>
        <v>0</v>
      </c>
      <c r="U73" s="47"/>
    </row>
    <row r="74" spans="1:21" s="42" customFormat="1" x14ac:dyDescent="0.25">
      <c r="A74" s="157"/>
      <c r="B74" s="44"/>
      <c r="C74" s="44"/>
      <c r="D74" s="44"/>
      <c r="E74" s="44"/>
      <c r="F74" s="44"/>
      <c r="G74" s="44"/>
      <c r="H74" s="44"/>
      <c r="I74" s="44"/>
      <c r="J74" s="44"/>
      <c r="K74" s="44"/>
      <c r="L74" s="44"/>
      <c r="M74" s="44"/>
      <c r="N74" s="44"/>
      <c r="O74" s="118"/>
      <c r="P74" s="44"/>
      <c r="Q74" s="44"/>
      <c r="R74" s="44"/>
      <c r="S74" s="44"/>
      <c r="T74" s="44"/>
      <c r="U74" s="47"/>
    </row>
    <row r="75" spans="1:21" s="42" customFormat="1" ht="25.5" x14ac:dyDescent="0.25">
      <c r="A75" s="166" t="s">
        <v>1163</v>
      </c>
      <c r="B75" s="27" t="s">
        <v>68</v>
      </c>
      <c r="C75" s="28"/>
      <c r="D75" s="28"/>
      <c r="E75" s="28"/>
      <c r="F75" s="28"/>
      <c r="G75" s="28"/>
      <c r="H75" s="28"/>
      <c r="I75" s="28"/>
      <c r="J75" s="28"/>
      <c r="K75" s="28"/>
      <c r="L75" s="28"/>
      <c r="M75" s="28"/>
      <c r="N75" s="28"/>
      <c r="O75" s="60"/>
      <c r="P75" s="29"/>
      <c r="Q75" s="29"/>
      <c r="R75" s="29"/>
      <c r="S75" s="29"/>
      <c r="T75" s="23"/>
      <c r="U75" s="152"/>
    </row>
    <row r="76" spans="1:21" s="42" customFormat="1" ht="141" thickBot="1" x14ac:dyDescent="0.3">
      <c r="A76" s="167"/>
      <c r="B76" s="24" t="s">
        <v>1219</v>
      </c>
      <c r="C76" s="31"/>
      <c r="D76" s="31"/>
      <c r="E76" s="31"/>
      <c r="F76" s="31"/>
      <c r="G76" s="31"/>
      <c r="H76" s="31"/>
      <c r="I76" s="31"/>
      <c r="J76" s="31"/>
      <c r="K76" s="31"/>
      <c r="L76" s="31"/>
      <c r="M76" s="31"/>
      <c r="N76" s="31"/>
      <c r="O76" s="58"/>
      <c r="P76" s="26"/>
      <c r="Q76" s="26"/>
      <c r="R76" s="26"/>
      <c r="S76" s="26"/>
      <c r="T76" s="38"/>
      <c r="U76" s="152"/>
    </row>
    <row r="77" spans="1:21" s="42" customFormat="1" ht="15.75" thickBot="1" x14ac:dyDescent="0.3">
      <c r="A77" s="166"/>
      <c r="B77" s="137" t="s">
        <v>69</v>
      </c>
      <c r="C77" s="135" t="s">
        <v>2</v>
      </c>
      <c r="D77" s="55">
        <f t="shared" ref="D77:K77" si="11">D$4*1</f>
        <v>1</v>
      </c>
      <c r="E77" s="55">
        <f t="shared" si="11"/>
        <v>1</v>
      </c>
      <c r="F77" s="36">
        <f t="shared" si="11"/>
        <v>1</v>
      </c>
      <c r="G77" s="36">
        <f t="shared" si="11"/>
        <v>1</v>
      </c>
      <c r="H77" s="36">
        <f t="shared" si="11"/>
        <v>4</v>
      </c>
      <c r="I77" s="36">
        <f t="shared" si="11"/>
        <v>1</v>
      </c>
      <c r="J77" s="36">
        <f t="shared" si="11"/>
        <v>1</v>
      </c>
      <c r="K77" s="36">
        <f t="shared" si="11"/>
        <v>2</v>
      </c>
      <c r="L77" s="36">
        <f>L$4*3</f>
        <v>3</v>
      </c>
      <c r="M77" s="36">
        <f t="shared" ref="M77:N77" si="12">M$4*0</f>
        <v>0</v>
      </c>
      <c r="N77" s="56">
        <f t="shared" si="12"/>
        <v>0</v>
      </c>
      <c r="O77" s="62">
        <f>SUM(D77:N77)</f>
        <v>15</v>
      </c>
      <c r="P77" s="26">
        <v>0</v>
      </c>
      <c r="Q77" s="26">
        <v>0</v>
      </c>
      <c r="R77" s="26">
        <f>P77+Q77</f>
        <v>0</v>
      </c>
      <c r="S77" s="26"/>
      <c r="T77" s="22">
        <f>R77*O77</f>
        <v>0</v>
      </c>
      <c r="U77" s="47"/>
    </row>
    <row r="78" spans="1:21" s="32" customFormat="1" ht="12.75" x14ac:dyDescent="0.2">
      <c r="A78" s="159"/>
      <c r="B78" s="31"/>
      <c r="C78" s="25"/>
      <c r="D78" s="25"/>
      <c r="E78" s="25"/>
      <c r="F78" s="25"/>
      <c r="G78" s="25"/>
      <c r="H78" s="25"/>
      <c r="I78" s="25"/>
      <c r="J78" s="25"/>
      <c r="K78" s="25"/>
      <c r="L78" s="25"/>
      <c r="M78" s="25"/>
      <c r="N78" s="25"/>
      <c r="O78" s="58"/>
      <c r="P78" s="26"/>
      <c r="Q78" s="26"/>
      <c r="R78" s="26"/>
      <c r="S78" s="26"/>
      <c r="T78" s="35"/>
      <c r="U78" s="37"/>
    </row>
    <row r="79" spans="1:21" s="132" customFormat="1" ht="15.75" x14ac:dyDescent="0.25">
      <c r="A79" s="160" t="s">
        <v>71</v>
      </c>
      <c r="B79" s="130" t="s">
        <v>1013</v>
      </c>
      <c r="C79" s="49"/>
      <c r="D79" s="49"/>
      <c r="E79" s="49"/>
      <c r="F79" s="49"/>
      <c r="G79" s="49"/>
      <c r="H79" s="49"/>
      <c r="I79" s="49"/>
      <c r="J79" s="49"/>
      <c r="K79" s="49"/>
      <c r="L79" s="49"/>
      <c r="M79" s="49"/>
      <c r="N79" s="49"/>
      <c r="O79" s="131"/>
      <c r="P79" s="49"/>
      <c r="Q79" s="49"/>
      <c r="R79" s="476" t="s">
        <v>57</v>
      </c>
      <c r="S79" s="476"/>
      <c r="T79" s="50">
        <f>SUM(T15:T78)</f>
        <v>0</v>
      </c>
      <c r="U79" s="151"/>
    </row>
    <row r="81" spans="1:21" s="132" customFormat="1" ht="15.75" x14ac:dyDescent="0.25">
      <c r="A81" s="160" t="s">
        <v>71</v>
      </c>
      <c r="B81" s="130" t="s">
        <v>1313</v>
      </c>
      <c r="C81" s="49"/>
      <c r="D81" s="49"/>
      <c r="E81" s="49"/>
      <c r="F81" s="49"/>
      <c r="G81" s="49"/>
      <c r="H81" s="49"/>
      <c r="I81" s="49"/>
      <c r="J81" s="49"/>
      <c r="K81" s="49"/>
      <c r="L81" s="49"/>
      <c r="M81" s="49"/>
      <c r="N81" s="49"/>
      <c r="O81" s="131"/>
      <c r="P81" s="49"/>
      <c r="Q81" s="49"/>
      <c r="R81" s="476" t="s">
        <v>57</v>
      </c>
      <c r="S81" s="476"/>
      <c r="T81" s="50">
        <f>T79*5</f>
        <v>0</v>
      </c>
      <c r="U81" s="151"/>
    </row>
    <row r="83" spans="1:21" ht="15.75" thickBot="1" x14ac:dyDescent="0.3"/>
    <row r="84" spans="1:21" s="42" customFormat="1" ht="50.1" customHeight="1" thickBot="1" x14ac:dyDescent="0.3">
      <c r="A84" s="119" t="s">
        <v>8</v>
      </c>
      <c r="B84" s="119" t="s">
        <v>7</v>
      </c>
      <c r="C84" s="120" t="s">
        <v>6</v>
      </c>
      <c r="D84" s="487"/>
      <c r="E84" s="487"/>
      <c r="F84" s="487"/>
      <c r="G84" s="487"/>
      <c r="H84" s="487"/>
      <c r="I84" s="487"/>
      <c r="J84" s="487"/>
      <c r="K84" s="121" t="s">
        <v>54</v>
      </c>
      <c r="L84" s="122" t="s">
        <v>5</v>
      </c>
      <c r="M84" s="121" t="s">
        <v>4</v>
      </c>
      <c r="N84" s="121" t="s">
        <v>1004</v>
      </c>
      <c r="O84" s="121"/>
      <c r="P84" s="119" t="s">
        <v>1005</v>
      </c>
      <c r="Q84" s="47"/>
    </row>
    <row r="85" spans="1:21" s="42" customFormat="1" ht="50.1" customHeight="1" thickBot="1" x14ac:dyDescent="0.3">
      <c r="A85" s="123"/>
      <c r="B85" s="123"/>
      <c r="C85" s="124"/>
      <c r="D85" s="477" t="s">
        <v>1283</v>
      </c>
      <c r="E85" s="478"/>
      <c r="F85" s="478"/>
      <c r="G85" s="478"/>
      <c r="H85" s="478"/>
      <c r="I85" s="478"/>
      <c r="J85" s="479"/>
      <c r="K85" s="125"/>
      <c r="L85" s="124"/>
      <c r="M85" s="124"/>
      <c r="N85" s="124"/>
      <c r="O85" s="124"/>
      <c r="P85" s="123"/>
      <c r="Q85" s="47"/>
    </row>
    <row r="86" spans="1:21" s="42" customFormat="1" ht="62.25" customHeight="1" x14ac:dyDescent="0.25">
      <c r="A86" s="123"/>
      <c r="B86" s="123"/>
      <c r="C86" s="124"/>
      <c r="D86" s="173" t="s">
        <v>1284</v>
      </c>
      <c r="E86" s="46" t="s">
        <v>1285</v>
      </c>
      <c r="F86" s="46" t="s">
        <v>1286</v>
      </c>
      <c r="G86" s="46" t="s">
        <v>1287</v>
      </c>
      <c r="H86" s="46" t="s">
        <v>1288</v>
      </c>
      <c r="I86" s="154" t="s">
        <v>1208</v>
      </c>
      <c r="J86" s="126" t="s">
        <v>1003</v>
      </c>
      <c r="K86" s="125"/>
      <c r="L86" s="124"/>
      <c r="M86" s="124"/>
      <c r="N86" s="124"/>
      <c r="O86" s="124"/>
      <c r="P86" s="123"/>
      <c r="Q86" s="47"/>
    </row>
    <row r="88" spans="1:21" s="117" customFormat="1" ht="15.75" x14ac:dyDescent="0.25">
      <c r="A88" s="158" t="s">
        <v>70</v>
      </c>
      <c r="B88" s="39" t="s">
        <v>1013</v>
      </c>
      <c r="C88" s="40"/>
      <c r="D88" s="175"/>
      <c r="E88" s="40"/>
      <c r="F88" s="40"/>
      <c r="G88" s="40"/>
      <c r="H88" s="40"/>
      <c r="I88" s="40"/>
      <c r="J88" s="40"/>
      <c r="K88" s="59"/>
      <c r="L88" s="40"/>
      <c r="M88" s="40"/>
      <c r="N88" s="40"/>
      <c r="O88" s="40"/>
      <c r="P88" s="41"/>
      <c r="Q88" s="149"/>
    </row>
    <row r="89" spans="1:21" s="42" customFormat="1" x14ac:dyDescent="0.25">
      <c r="A89" s="166" t="s">
        <v>75</v>
      </c>
      <c r="B89" s="147" t="s">
        <v>58</v>
      </c>
      <c r="C89" s="28"/>
      <c r="D89" s="181"/>
      <c r="E89" s="28"/>
      <c r="F89" s="28"/>
      <c r="G89" s="28"/>
      <c r="H89" s="28"/>
      <c r="I89" s="28"/>
      <c r="J89" s="28"/>
      <c r="K89" s="60"/>
      <c r="L89" s="29"/>
      <c r="M89" s="29"/>
      <c r="N89" s="29"/>
      <c r="O89" s="29"/>
      <c r="P89" s="23"/>
      <c r="Q89" s="152"/>
    </row>
    <row r="90" spans="1:21" s="42" customFormat="1" ht="62.25" customHeight="1" x14ac:dyDescent="0.25">
      <c r="A90" s="167"/>
      <c r="B90" s="141" t="s">
        <v>1212</v>
      </c>
      <c r="C90" s="31"/>
      <c r="D90" s="182"/>
      <c r="E90" s="31"/>
      <c r="F90" s="31"/>
      <c r="G90" s="31"/>
      <c r="H90" s="31"/>
      <c r="I90" s="31"/>
      <c r="J90" s="31"/>
      <c r="K90" s="58"/>
      <c r="L90" s="26"/>
      <c r="M90" s="26"/>
      <c r="N90" s="26"/>
      <c r="O90" s="26"/>
      <c r="P90" s="38"/>
      <c r="Q90" s="152"/>
    </row>
    <row r="91" spans="1:21" s="42" customFormat="1" ht="27.75" thickBot="1" x14ac:dyDescent="0.3">
      <c r="A91" s="167"/>
      <c r="B91" s="141" t="s">
        <v>1073</v>
      </c>
      <c r="C91" s="31"/>
      <c r="D91" s="182"/>
      <c r="E91" s="31"/>
      <c r="F91" s="31"/>
      <c r="G91" s="31"/>
      <c r="H91" s="31"/>
      <c r="I91" s="31"/>
      <c r="J91" s="31"/>
      <c r="K91" s="58"/>
      <c r="L91" s="26"/>
      <c r="M91" s="26"/>
      <c r="N91" s="26"/>
      <c r="O91" s="26"/>
      <c r="P91" s="38"/>
      <c r="Q91" s="152"/>
    </row>
    <row r="92" spans="1:21" s="200" customFormat="1" ht="15.75" thickBot="1" x14ac:dyDescent="0.3">
      <c r="A92" s="282"/>
      <c r="B92" s="188" t="s">
        <v>1334</v>
      </c>
      <c r="C92" s="189" t="s">
        <v>1330</v>
      </c>
      <c r="D92" s="293">
        <v>94</v>
      </c>
      <c r="E92" s="191">
        <v>94</v>
      </c>
      <c r="F92" s="191">
        <v>249.2</v>
      </c>
      <c r="G92" s="191">
        <v>89.2</v>
      </c>
      <c r="H92" s="191">
        <v>115.8</v>
      </c>
      <c r="I92" s="191">
        <v>39</v>
      </c>
      <c r="J92" s="192">
        <v>0</v>
      </c>
      <c r="K92" s="193">
        <f>SUM(D92:J92)</f>
        <v>681.19999999999993</v>
      </c>
      <c r="L92" s="194">
        <v>0</v>
      </c>
      <c r="M92" s="194">
        <v>0</v>
      </c>
      <c r="N92" s="194">
        <f>L92+M92</f>
        <v>0</v>
      </c>
      <c r="O92" s="194"/>
      <c r="P92" s="195">
        <f>N92*K92</f>
        <v>0</v>
      </c>
      <c r="Q92" s="208"/>
    </row>
    <row r="93" spans="1:21" s="42" customFormat="1" x14ac:dyDescent="0.25">
      <c r="A93" s="157"/>
      <c r="B93" s="44"/>
      <c r="C93" s="44"/>
      <c r="D93" s="172"/>
      <c r="E93" s="44"/>
      <c r="F93" s="44"/>
      <c r="G93" s="44"/>
      <c r="H93" s="44"/>
      <c r="I93" s="44"/>
      <c r="J93" s="44"/>
      <c r="K93" s="118"/>
      <c r="L93" s="44"/>
      <c r="M93" s="44"/>
      <c r="N93" s="44"/>
      <c r="O93" s="44"/>
      <c r="P93" s="44"/>
      <c r="Q93" s="47"/>
    </row>
    <row r="94" spans="1:21" s="42" customFormat="1" x14ac:dyDescent="0.25">
      <c r="A94" s="166" t="s">
        <v>80</v>
      </c>
      <c r="B94" s="147" t="s">
        <v>1159</v>
      </c>
      <c r="C94" s="28"/>
      <c r="D94" s="181"/>
      <c r="E94" s="28"/>
      <c r="F94" s="28"/>
      <c r="G94" s="28"/>
      <c r="H94" s="28"/>
      <c r="I94" s="28"/>
      <c r="J94" s="28"/>
      <c r="K94" s="60"/>
      <c r="L94" s="29"/>
      <c r="M94" s="29"/>
      <c r="N94" s="29"/>
      <c r="O94" s="29"/>
      <c r="P94" s="23"/>
      <c r="Q94" s="152"/>
    </row>
    <row r="95" spans="1:21" s="42" customFormat="1" ht="76.5" x14ac:dyDescent="0.25">
      <c r="A95" s="167"/>
      <c r="B95" s="141" t="s">
        <v>1162</v>
      </c>
      <c r="C95" s="31"/>
      <c r="D95" s="182"/>
      <c r="E95" s="31"/>
      <c r="F95" s="31"/>
      <c r="G95" s="31"/>
      <c r="H95" s="31"/>
      <c r="I95" s="31"/>
      <c r="J95" s="31"/>
      <c r="K95" s="58"/>
      <c r="L95" s="26"/>
      <c r="M95" s="26"/>
      <c r="N95" s="26"/>
      <c r="O95" s="26"/>
      <c r="P95" s="38"/>
      <c r="Q95" s="152"/>
    </row>
    <row r="96" spans="1:21" s="42" customFormat="1" ht="27.75" thickBot="1" x14ac:dyDescent="0.3">
      <c r="A96" s="167"/>
      <c r="B96" s="141" t="s">
        <v>1073</v>
      </c>
      <c r="C96" s="31"/>
      <c r="D96" s="182"/>
      <c r="E96" s="31"/>
      <c r="F96" s="31"/>
      <c r="G96" s="31"/>
      <c r="H96" s="31"/>
      <c r="I96" s="31"/>
      <c r="J96" s="31"/>
      <c r="K96" s="58"/>
      <c r="L96" s="26"/>
      <c r="M96" s="26"/>
      <c r="N96" s="26"/>
      <c r="O96" s="26"/>
      <c r="P96" s="38"/>
      <c r="Q96" s="152"/>
    </row>
    <row r="97" spans="1:17" s="200" customFormat="1" ht="15.75" thickBot="1" x14ac:dyDescent="0.3">
      <c r="A97" s="282" t="s">
        <v>1075</v>
      </c>
      <c r="B97" s="188" t="s">
        <v>1336</v>
      </c>
      <c r="C97" s="189" t="s">
        <v>1330</v>
      </c>
      <c r="D97" s="293">
        <v>11.2</v>
      </c>
      <c r="E97" s="191">
        <v>11.2</v>
      </c>
      <c r="F97" s="191">
        <v>30</v>
      </c>
      <c r="G97" s="191">
        <v>12.15</v>
      </c>
      <c r="H97" s="191">
        <v>15</v>
      </c>
      <c r="I97" s="191">
        <v>0</v>
      </c>
      <c r="J97" s="192">
        <v>0</v>
      </c>
      <c r="K97" s="193">
        <f>SUM(D97:J97)</f>
        <v>79.55</v>
      </c>
      <c r="L97" s="194">
        <v>0</v>
      </c>
      <c r="M97" s="194">
        <v>0</v>
      </c>
      <c r="N97" s="194">
        <f>L97+M97</f>
        <v>0</v>
      </c>
      <c r="O97" s="194"/>
      <c r="P97" s="195">
        <f>N97*K97</f>
        <v>0</v>
      </c>
      <c r="Q97" s="208"/>
    </row>
    <row r="98" spans="1:17" s="42" customFormat="1" x14ac:dyDescent="0.25">
      <c r="A98" s="157"/>
      <c r="B98" s="44"/>
      <c r="C98" s="44"/>
      <c r="D98" s="172"/>
      <c r="E98" s="44"/>
      <c r="F98" s="44"/>
      <c r="G98" s="44"/>
      <c r="H98" s="44"/>
      <c r="I98" s="44"/>
      <c r="J98" s="44"/>
      <c r="K98" s="118"/>
      <c r="L98" s="44"/>
      <c r="M98" s="44"/>
      <c r="N98" s="44"/>
      <c r="O98" s="44"/>
      <c r="P98" s="44"/>
      <c r="Q98" s="47"/>
    </row>
    <row r="99" spans="1:17" s="42" customFormat="1" x14ac:dyDescent="0.25">
      <c r="A99" s="166" t="s">
        <v>1074</v>
      </c>
      <c r="B99" s="147" t="s">
        <v>1415</v>
      </c>
      <c r="C99" s="28"/>
      <c r="D99" s="181"/>
      <c r="E99" s="28"/>
      <c r="F99" s="28"/>
      <c r="G99" s="28"/>
      <c r="H99" s="28"/>
      <c r="I99" s="28"/>
      <c r="J99" s="28"/>
      <c r="K99" s="60"/>
      <c r="L99" s="29"/>
      <c r="M99" s="29"/>
      <c r="N99" s="29"/>
      <c r="O99" s="29"/>
      <c r="P99" s="23"/>
      <c r="Q99" s="152"/>
    </row>
    <row r="100" spans="1:17" s="42" customFormat="1" ht="163.5" customHeight="1" x14ac:dyDescent="0.25">
      <c r="A100" s="167"/>
      <c r="B100" s="145" t="s">
        <v>1214</v>
      </c>
      <c r="C100" s="31"/>
      <c r="D100" s="182"/>
      <c r="E100" s="31"/>
      <c r="F100" s="31"/>
      <c r="G100" s="31"/>
      <c r="H100" s="31"/>
      <c r="I100" s="31"/>
      <c r="J100" s="31"/>
      <c r="K100" s="58"/>
      <c r="L100" s="26"/>
      <c r="M100" s="26"/>
      <c r="N100" s="26"/>
      <c r="O100" s="26"/>
      <c r="P100" s="38"/>
      <c r="Q100" s="152"/>
    </row>
    <row r="101" spans="1:17" s="42" customFormat="1" ht="15.75" thickBot="1" x14ac:dyDescent="0.3">
      <c r="A101" s="167"/>
      <c r="B101" s="31" t="s">
        <v>65</v>
      </c>
      <c r="C101" s="31"/>
      <c r="D101" s="182"/>
      <c r="E101" s="31"/>
      <c r="F101" s="31"/>
      <c r="G101" s="31"/>
      <c r="H101" s="31"/>
      <c r="I101" s="31"/>
      <c r="J101" s="31"/>
      <c r="K101" s="58"/>
      <c r="L101" s="26"/>
      <c r="M101" s="26"/>
      <c r="N101" s="26"/>
      <c r="O101" s="26"/>
      <c r="P101" s="38"/>
      <c r="Q101" s="152"/>
    </row>
    <row r="102" spans="1:17" s="200" customFormat="1" ht="15.75" thickBot="1" x14ac:dyDescent="0.3">
      <c r="A102" s="282" t="s">
        <v>1160</v>
      </c>
      <c r="B102" s="188" t="s">
        <v>1215</v>
      </c>
      <c r="C102" s="189" t="s">
        <v>1330</v>
      </c>
      <c r="D102" s="293">
        <v>24</v>
      </c>
      <c r="E102" s="191">
        <v>24</v>
      </c>
      <c r="F102" s="191">
        <v>107.4</v>
      </c>
      <c r="G102" s="191">
        <v>22.1</v>
      </c>
      <c r="H102" s="191">
        <v>73</v>
      </c>
      <c r="I102" s="191">
        <v>0</v>
      </c>
      <c r="J102" s="192">
        <v>0</v>
      </c>
      <c r="K102" s="193">
        <f>SUM(D102:J102)</f>
        <v>250.5</v>
      </c>
      <c r="L102" s="194">
        <v>0</v>
      </c>
      <c r="M102" s="194">
        <v>0</v>
      </c>
      <c r="N102" s="194">
        <f>L102+M102</f>
        <v>0</v>
      </c>
      <c r="O102" s="194"/>
      <c r="P102" s="195">
        <f>N102*K102</f>
        <v>0</v>
      </c>
      <c r="Q102" s="208"/>
    </row>
    <row r="103" spans="1:17" s="42" customFormat="1" x14ac:dyDescent="0.25">
      <c r="A103" s="157"/>
      <c r="B103" s="44"/>
      <c r="C103" s="44"/>
      <c r="D103" s="172"/>
      <c r="E103" s="44"/>
      <c r="F103" s="44"/>
      <c r="G103" s="44"/>
      <c r="H103" s="44"/>
      <c r="I103" s="44"/>
      <c r="J103" s="44"/>
      <c r="K103" s="118"/>
      <c r="L103" s="44"/>
      <c r="M103" s="44"/>
      <c r="N103" s="44"/>
      <c r="O103" s="44"/>
      <c r="P103" s="44"/>
      <c r="Q103" s="47"/>
    </row>
    <row r="104" spans="1:17" s="42" customFormat="1" ht="25.5" x14ac:dyDescent="0.25">
      <c r="A104" s="166" t="s">
        <v>1076</v>
      </c>
      <c r="B104" s="147" t="s">
        <v>1416</v>
      </c>
      <c r="C104" s="28"/>
      <c r="D104" s="181"/>
      <c r="E104" s="28"/>
      <c r="F104" s="28"/>
      <c r="G104" s="28"/>
      <c r="H104" s="28"/>
      <c r="I104" s="28"/>
      <c r="J104" s="28"/>
      <c r="K104" s="60"/>
      <c r="L104" s="29"/>
      <c r="M104" s="29"/>
      <c r="N104" s="29"/>
      <c r="O104" s="29"/>
      <c r="P104" s="23"/>
      <c r="Q104" s="152"/>
    </row>
    <row r="105" spans="1:17" s="42" customFormat="1" ht="165.75" x14ac:dyDescent="0.25">
      <c r="A105" s="167"/>
      <c r="B105" s="145" t="s">
        <v>1216</v>
      </c>
      <c r="C105" s="31"/>
      <c r="D105" s="182"/>
      <c r="E105" s="31"/>
      <c r="F105" s="31"/>
      <c r="G105" s="31"/>
      <c r="H105" s="31"/>
      <c r="I105" s="31"/>
      <c r="J105" s="31"/>
      <c r="K105" s="58"/>
      <c r="L105" s="26"/>
      <c r="M105" s="26"/>
      <c r="N105" s="26"/>
      <c r="O105" s="26"/>
      <c r="P105" s="38"/>
      <c r="Q105" s="152"/>
    </row>
    <row r="106" spans="1:17" s="42" customFormat="1" ht="15.75" thickBot="1" x14ac:dyDescent="0.3">
      <c r="A106" s="167"/>
      <c r="B106" s="31" t="s">
        <v>65</v>
      </c>
      <c r="C106" s="31"/>
      <c r="D106" s="182"/>
      <c r="E106" s="31"/>
      <c r="F106" s="31"/>
      <c r="G106" s="31"/>
      <c r="H106" s="31"/>
      <c r="I106" s="31"/>
      <c r="J106" s="31"/>
      <c r="K106" s="58"/>
      <c r="L106" s="26"/>
      <c r="M106" s="26"/>
      <c r="N106" s="26"/>
      <c r="O106" s="26"/>
      <c r="P106" s="38"/>
      <c r="Q106" s="152"/>
    </row>
    <row r="107" spans="1:17" s="200" customFormat="1" ht="15.75" thickBot="1" x14ac:dyDescent="0.3">
      <c r="A107" s="282" t="s">
        <v>1160</v>
      </c>
      <c r="B107" s="188" t="s">
        <v>1215</v>
      </c>
      <c r="C107" s="189" t="s">
        <v>1330</v>
      </c>
      <c r="D107" s="293">
        <v>38</v>
      </c>
      <c r="E107" s="191">
        <v>38</v>
      </c>
      <c r="F107" s="191">
        <v>131</v>
      </c>
      <c r="G107" s="191">
        <v>50.8</v>
      </c>
      <c r="H107" s="191">
        <v>101.7</v>
      </c>
      <c r="I107" s="191">
        <v>0</v>
      </c>
      <c r="J107" s="192">
        <v>0</v>
      </c>
      <c r="K107" s="193">
        <f>SUM(D107:J107)</f>
        <v>359.5</v>
      </c>
      <c r="L107" s="194">
        <v>0</v>
      </c>
      <c r="M107" s="194">
        <v>0</v>
      </c>
      <c r="N107" s="194">
        <f>L107+M107</f>
        <v>0</v>
      </c>
      <c r="O107" s="194"/>
      <c r="P107" s="195">
        <f>N107*K107</f>
        <v>0</v>
      </c>
      <c r="Q107" s="208"/>
    </row>
    <row r="108" spans="1:17" s="42" customFormat="1" x14ac:dyDescent="0.25">
      <c r="A108" s="157"/>
      <c r="B108" s="44"/>
      <c r="C108" s="44"/>
      <c r="D108" s="172"/>
      <c r="E108" s="44"/>
      <c r="F108" s="44"/>
      <c r="G108" s="44"/>
      <c r="H108" s="44"/>
      <c r="I108" s="44"/>
      <c r="J108" s="44"/>
      <c r="K108" s="118"/>
      <c r="L108" s="44"/>
      <c r="M108" s="44"/>
      <c r="N108" s="44"/>
      <c r="O108" s="44"/>
      <c r="P108" s="44"/>
      <c r="Q108" s="47"/>
    </row>
    <row r="109" spans="1:17" s="42" customFormat="1" x14ac:dyDescent="0.25">
      <c r="A109" s="166" t="s">
        <v>1079</v>
      </c>
      <c r="B109" s="147" t="s">
        <v>1417</v>
      </c>
      <c r="C109" s="28"/>
      <c r="D109" s="181"/>
      <c r="E109" s="28"/>
      <c r="F109" s="28"/>
      <c r="G109" s="28"/>
      <c r="H109" s="28"/>
      <c r="I109" s="28"/>
      <c r="J109" s="28"/>
      <c r="K109" s="60"/>
      <c r="L109" s="29"/>
      <c r="M109" s="29"/>
      <c r="N109" s="29"/>
      <c r="O109" s="29"/>
      <c r="P109" s="23"/>
      <c r="Q109" s="152"/>
    </row>
    <row r="110" spans="1:17" s="42" customFormat="1" ht="143.25" customHeight="1" x14ac:dyDescent="0.25">
      <c r="A110" s="167"/>
      <c r="B110" s="145" t="s">
        <v>1217</v>
      </c>
      <c r="C110" s="31"/>
      <c r="D110" s="182"/>
      <c r="E110" s="31"/>
      <c r="F110" s="31"/>
      <c r="G110" s="31"/>
      <c r="H110" s="31"/>
      <c r="I110" s="31"/>
      <c r="J110" s="31"/>
      <c r="K110" s="58"/>
      <c r="L110" s="26"/>
      <c r="M110" s="26"/>
      <c r="N110" s="26"/>
      <c r="O110" s="26"/>
      <c r="P110" s="38"/>
      <c r="Q110" s="152"/>
    </row>
    <row r="111" spans="1:17" s="42" customFormat="1" ht="15.75" thickBot="1" x14ac:dyDescent="0.3">
      <c r="A111" s="167"/>
      <c r="B111" s="31" t="s">
        <v>65</v>
      </c>
      <c r="C111" s="31"/>
      <c r="D111" s="182"/>
      <c r="E111" s="31"/>
      <c r="F111" s="31"/>
      <c r="G111" s="31"/>
      <c r="H111" s="31"/>
      <c r="I111" s="31"/>
      <c r="J111" s="31"/>
      <c r="K111" s="58"/>
      <c r="L111" s="26"/>
      <c r="M111" s="26"/>
      <c r="N111" s="26"/>
      <c r="O111" s="26"/>
      <c r="P111" s="38"/>
      <c r="Q111" s="152"/>
    </row>
    <row r="112" spans="1:17" s="200" customFormat="1" ht="15.75" thickBot="1" x14ac:dyDescent="0.3">
      <c r="A112" s="282" t="s">
        <v>1160</v>
      </c>
      <c r="B112" s="188" t="s">
        <v>1215</v>
      </c>
      <c r="C112" s="189" t="s">
        <v>1330</v>
      </c>
      <c r="D112" s="293">
        <v>0</v>
      </c>
      <c r="E112" s="191">
        <v>0</v>
      </c>
      <c r="F112" s="191">
        <v>0</v>
      </c>
      <c r="G112" s="191">
        <v>0</v>
      </c>
      <c r="H112" s="191">
        <v>0</v>
      </c>
      <c r="I112" s="191">
        <v>0</v>
      </c>
      <c r="J112" s="192">
        <v>0</v>
      </c>
      <c r="K112" s="193">
        <f>SUM(D112:J112)</f>
        <v>0</v>
      </c>
      <c r="L112" s="194">
        <v>0</v>
      </c>
      <c r="M112" s="194">
        <v>0</v>
      </c>
      <c r="N112" s="194">
        <f>L112+M112</f>
        <v>0</v>
      </c>
      <c r="O112" s="194"/>
      <c r="P112" s="195">
        <f>N112*K112</f>
        <v>0</v>
      </c>
      <c r="Q112" s="208"/>
    </row>
    <row r="113" spans="1:17" s="42" customFormat="1" x14ac:dyDescent="0.25">
      <c r="A113" s="157"/>
      <c r="B113" s="44"/>
      <c r="C113" s="44"/>
      <c r="D113" s="172"/>
      <c r="E113" s="44"/>
      <c r="F113" s="44"/>
      <c r="G113" s="44"/>
      <c r="H113" s="44"/>
      <c r="I113" s="44"/>
      <c r="J113" s="44"/>
      <c r="K113" s="118"/>
      <c r="L113" s="44"/>
      <c r="M113" s="44"/>
      <c r="N113" s="44"/>
      <c r="O113" s="44"/>
      <c r="P113" s="44"/>
      <c r="Q113" s="47"/>
    </row>
    <row r="114" spans="1:17" s="240" customFormat="1" x14ac:dyDescent="0.25">
      <c r="A114" s="301" t="s">
        <v>1342</v>
      </c>
      <c r="B114" s="302" t="s">
        <v>1343</v>
      </c>
      <c r="C114" s="303"/>
      <c r="D114" s="304"/>
      <c r="E114" s="303"/>
      <c r="F114" s="303"/>
      <c r="G114" s="303"/>
      <c r="H114" s="303"/>
      <c r="I114" s="303"/>
      <c r="J114" s="303"/>
      <c r="K114" s="305"/>
      <c r="L114" s="306"/>
      <c r="M114" s="306"/>
      <c r="N114" s="306"/>
      <c r="O114" s="306"/>
      <c r="P114" s="307"/>
    </row>
    <row r="115" spans="1:17" s="240" customFormat="1" ht="165.75" x14ac:dyDescent="0.25">
      <c r="A115" s="308"/>
      <c r="B115" s="309" t="s">
        <v>1344</v>
      </c>
      <c r="C115" s="310"/>
      <c r="D115" s="311"/>
      <c r="E115" s="310"/>
      <c r="F115" s="310"/>
      <c r="G115" s="310"/>
      <c r="H115" s="310"/>
      <c r="I115" s="310"/>
      <c r="J115" s="310"/>
      <c r="K115" s="312"/>
      <c r="L115" s="313"/>
      <c r="M115" s="313"/>
      <c r="N115" s="313"/>
      <c r="O115" s="313"/>
      <c r="P115" s="314"/>
    </row>
    <row r="116" spans="1:17" s="240" customFormat="1" ht="15.75" thickBot="1" x14ac:dyDescent="0.3">
      <c r="A116" s="308"/>
      <c r="B116" s="310" t="s">
        <v>65</v>
      </c>
      <c r="C116" s="310"/>
      <c r="D116" s="311"/>
      <c r="E116" s="310"/>
      <c r="F116" s="310"/>
      <c r="G116" s="310"/>
      <c r="H116" s="310"/>
      <c r="I116" s="310"/>
      <c r="J116" s="310"/>
      <c r="K116" s="312"/>
      <c r="L116" s="313"/>
      <c r="M116" s="313"/>
      <c r="N116" s="313"/>
      <c r="O116" s="313"/>
      <c r="P116" s="314"/>
    </row>
    <row r="117" spans="1:17" s="240" customFormat="1" ht="15.75" thickBot="1" x14ac:dyDescent="0.3">
      <c r="A117" s="301" t="s">
        <v>1345</v>
      </c>
      <c r="B117" s="315" t="s">
        <v>1346</v>
      </c>
      <c r="C117" s="316" t="s">
        <v>1418</v>
      </c>
      <c r="D117" s="317">
        <v>0</v>
      </c>
      <c r="E117" s="318">
        <v>0</v>
      </c>
      <c r="F117" s="318">
        <v>0</v>
      </c>
      <c r="G117" s="318">
        <v>0</v>
      </c>
      <c r="H117" s="318">
        <v>0</v>
      </c>
      <c r="I117" s="318">
        <v>0</v>
      </c>
      <c r="J117" s="319">
        <v>0</v>
      </c>
      <c r="K117" s="320">
        <f>SUM(D117:J117)</f>
        <v>0</v>
      </c>
      <c r="L117" s="313">
        <v>0</v>
      </c>
      <c r="M117" s="313">
        <v>0</v>
      </c>
      <c r="N117" s="313">
        <f>L117+M117</f>
        <v>0</v>
      </c>
      <c r="O117" s="313"/>
      <c r="P117" s="321">
        <f>N117*K117</f>
        <v>0</v>
      </c>
      <c r="Q117" s="239"/>
    </row>
    <row r="118" spans="1:17" s="240" customFormat="1" x14ac:dyDescent="0.25">
      <c r="A118" s="322"/>
      <c r="B118" s="323"/>
      <c r="C118" s="323"/>
      <c r="D118" s="324"/>
      <c r="E118" s="323"/>
      <c r="F118" s="323"/>
      <c r="G118" s="323"/>
      <c r="H118" s="323"/>
      <c r="I118" s="323"/>
      <c r="J118" s="323"/>
      <c r="K118" s="325"/>
      <c r="L118" s="323"/>
      <c r="M118" s="323"/>
      <c r="N118" s="323"/>
      <c r="O118" s="323"/>
      <c r="P118" s="323"/>
      <c r="Q118" s="239"/>
    </row>
    <row r="119" spans="1:17" s="240" customFormat="1" ht="25.5" x14ac:dyDescent="0.25">
      <c r="A119" s="301" t="s">
        <v>1419</v>
      </c>
      <c r="B119" s="302" t="s">
        <v>1420</v>
      </c>
      <c r="C119" s="303"/>
      <c r="D119" s="304"/>
      <c r="E119" s="303"/>
      <c r="F119" s="303"/>
      <c r="G119" s="303"/>
      <c r="H119" s="303"/>
      <c r="I119" s="303"/>
      <c r="J119" s="303"/>
      <c r="K119" s="305"/>
      <c r="L119" s="306"/>
      <c r="M119" s="306"/>
      <c r="N119" s="306"/>
      <c r="O119" s="306"/>
      <c r="P119" s="307"/>
    </row>
    <row r="120" spans="1:17" s="240" customFormat="1" ht="165.75" x14ac:dyDescent="0.25">
      <c r="A120" s="308"/>
      <c r="B120" s="309" t="s">
        <v>1421</v>
      </c>
      <c r="C120" s="310"/>
      <c r="D120" s="311"/>
      <c r="E120" s="310"/>
      <c r="F120" s="310"/>
      <c r="G120" s="310"/>
      <c r="H120" s="310"/>
      <c r="I120" s="310"/>
      <c r="J120" s="310"/>
      <c r="K120" s="312"/>
      <c r="L120" s="313"/>
      <c r="M120" s="313"/>
      <c r="N120" s="313"/>
      <c r="O120" s="313"/>
      <c r="P120" s="314"/>
    </row>
    <row r="121" spans="1:17" s="240" customFormat="1" ht="15.75" thickBot="1" x14ac:dyDescent="0.3">
      <c r="A121" s="308"/>
      <c r="B121" s="310" t="s">
        <v>65</v>
      </c>
      <c r="C121" s="310"/>
      <c r="D121" s="311"/>
      <c r="E121" s="310"/>
      <c r="F121" s="310"/>
      <c r="G121" s="310"/>
      <c r="H121" s="310"/>
      <c r="I121" s="310"/>
      <c r="J121" s="310"/>
      <c r="K121" s="312"/>
      <c r="L121" s="313"/>
      <c r="M121" s="313"/>
      <c r="N121" s="313"/>
      <c r="O121" s="313"/>
      <c r="P121" s="314"/>
    </row>
    <row r="122" spans="1:17" s="240" customFormat="1" ht="15.75" thickBot="1" x14ac:dyDescent="0.3">
      <c r="A122" s="301" t="s">
        <v>1422</v>
      </c>
      <c r="B122" s="315" t="s">
        <v>1346</v>
      </c>
      <c r="C122" s="316" t="s">
        <v>1418</v>
      </c>
      <c r="D122" s="317">
        <v>0</v>
      </c>
      <c r="E122" s="318">
        <v>0</v>
      </c>
      <c r="F122" s="318">
        <v>0</v>
      </c>
      <c r="G122" s="318">
        <v>0</v>
      </c>
      <c r="H122" s="318">
        <v>0</v>
      </c>
      <c r="I122" s="318">
        <v>0</v>
      </c>
      <c r="J122" s="319">
        <v>0</v>
      </c>
      <c r="K122" s="320">
        <f>SUM(D122:J122)</f>
        <v>0</v>
      </c>
      <c r="L122" s="313">
        <v>0</v>
      </c>
      <c r="M122" s="313">
        <v>0</v>
      </c>
      <c r="N122" s="313">
        <f>L122+M122</f>
        <v>0</v>
      </c>
      <c r="O122" s="313"/>
      <c r="P122" s="321">
        <f>N122*K122</f>
        <v>0</v>
      </c>
      <c r="Q122" s="239"/>
    </row>
    <row r="123" spans="1:17" s="240" customFormat="1" x14ac:dyDescent="0.25">
      <c r="A123" s="322"/>
      <c r="B123" s="323"/>
      <c r="C123" s="323"/>
      <c r="D123" s="324"/>
      <c r="E123" s="323"/>
      <c r="F123" s="323"/>
      <c r="G123" s="323"/>
      <c r="H123" s="323"/>
      <c r="I123" s="323"/>
      <c r="J123" s="323"/>
      <c r="K123" s="325"/>
      <c r="L123" s="323"/>
      <c r="M123" s="323"/>
      <c r="N123" s="323"/>
      <c r="O123" s="323"/>
      <c r="P123" s="323"/>
      <c r="Q123" s="239"/>
    </row>
    <row r="124" spans="1:17" s="240" customFormat="1" x14ac:dyDescent="0.25">
      <c r="A124" s="301" t="s">
        <v>1423</v>
      </c>
      <c r="B124" s="302" t="s">
        <v>1424</v>
      </c>
      <c r="C124" s="303"/>
      <c r="D124" s="304"/>
      <c r="E124" s="303"/>
      <c r="F124" s="303"/>
      <c r="G124" s="303"/>
      <c r="H124" s="303"/>
      <c r="I124" s="303"/>
      <c r="J124" s="303"/>
      <c r="K124" s="305"/>
      <c r="L124" s="306"/>
      <c r="M124" s="306"/>
      <c r="N124" s="306"/>
      <c r="O124" s="306"/>
      <c r="P124" s="307"/>
    </row>
    <row r="125" spans="1:17" s="240" customFormat="1" ht="165.75" customHeight="1" x14ac:dyDescent="0.25">
      <c r="A125" s="308"/>
      <c r="B125" s="309" t="s">
        <v>1425</v>
      </c>
      <c r="C125" s="310"/>
      <c r="D125" s="311"/>
      <c r="E125" s="310"/>
      <c r="F125" s="310"/>
      <c r="G125" s="310"/>
      <c r="H125" s="310"/>
      <c r="I125" s="310"/>
      <c r="J125" s="310"/>
      <c r="K125" s="312"/>
      <c r="L125" s="313"/>
      <c r="M125" s="313"/>
      <c r="N125" s="313"/>
      <c r="O125" s="313"/>
      <c r="P125" s="314"/>
    </row>
    <row r="126" spans="1:17" s="240" customFormat="1" ht="15.75" thickBot="1" x14ac:dyDescent="0.3">
      <c r="A126" s="308"/>
      <c r="B126" s="310" t="s">
        <v>65</v>
      </c>
      <c r="C126" s="310"/>
      <c r="D126" s="311"/>
      <c r="E126" s="310"/>
      <c r="F126" s="310"/>
      <c r="G126" s="310"/>
      <c r="H126" s="310"/>
      <c r="I126" s="310"/>
      <c r="J126" s="310"/>
      <c r="K126" s="312"/>
      <c r="L126" s="313"/>
      <c r="M126" s="313"/>
      <c r="N126" s="313"/>
      <c r="O126" s="313"/>
      <c r="P126" s="314"/>
    </row>
    <row r="127" spans="1:17" s="240" customFormat="1" ht="15.75" thickBot="1" x14ac:dyDescent="0.3">
      <c r="A127" s="301" t="s">
        <v>1426</v>
      </c>
      <c r="B127" s="315" t="s">
        <v>1346</v>
      </c>
      <c r="C127" s="316" t="s">
        <v>1418</v>
      </c>
      <c r="D127" s="317">
        <v>5.5</v>
      </c>
      <c r="E127" s="318">
        <v>5.5</v>
      </c>
      <c r="F127" s="318">
        <v>0</v>
      </c>
      <c r="G127" s="318">
        <v>0</v>
      </c>
      <c r="H127" s="318">
        <v>0</v>
      </c>
      <c r="I127" s="318">
        <v>0</v>
      </c>
      <c r="J127" s="319">
        <v>0</v>
      </c>
      <c r="K127" s="320">
        <f>SUM(D127:J127)</f>
        <v>11</v>
      </c>
      <c r="L127" s="313">
        <v>0</v>
      </c>
      <c r="M127" s="313">
        <v>0</v>
      </c>
      <c r="N127" s="313">
        <f>L127+M127</f>
        <v>0</v>
      </c>
      <c r="O127" s="313"/>
      <c r="P127" s="321">
        <f>N127*K127</f>
        <v>0</v>
      </c>
      <c r="Q127" s="239"/>
    </row>
    <row r="128" spans="1:17" s="240" customFormat="1" x14ac:dyDescent="0.25">
      <c r="A128" s="322"/>
      <c r="B128" s="323"/>
      <c r="C128" s="323"/>
      <c r="D128" s="324"/>
      <c r="E128" s="323"/>
      <c r="F128" s="323"/>
      <c r="G128" s="323"/>
      <c r="H128" s="323"/>
      <c r="I128" s="323"/>
      <c r="J128" s="323"/>
      <c r="K128" s="325"/>
      <c r="L128" s="323"/>
      <c r="M128" s="323"/>
      <c r="N128" s="323"/>
      <c r="O128" s="323"/>
      <c r="P128" s="323"/>
      <c r="Q128" s="239"/>
    </row>
    <row r="129" spans="1:17" s="240" customFormat="1" x14ac:dyDescent="0.25">
      <c r="A129" s="301" t="s">
        <v>1427</v>
      </c>
      <c r="B129" s="302" t="s">
        <v>1428</v>
      </c>
      <c r="C129" s="303"/>
      <c r="D129" s="304"/>
      <c r="E129" s="303"/>
      <c r="F129" s="303"/>
      <c r="G129" s="303"/>
      <c r="H129" s="303"/>
      <c r="I129" s="303"/>
      <c r="J129" s="303"/>
      <c r="K129" s="305"/>
      <c r="L129" s="306"/>
      <c r="M129" s="306"/>
      <c r="N129" s="306"/>
      <c r="O129" s="306"/>
      <c r="P129" s="307"/>
    </row>
    <row r="130" spans="1:17" s="240" customFormat="1" ht="163.5" customHeight="1" x14ac:dyDescent="0.25">
      <c r="A130" s="308"/>
      <c r="B130" s="309" t="s">
        <v>1429</v>
      </c>
      <c r="C130" s="310"/>
      <c r="D130" s="311"/>
      <c r="E130" s="310"/>
      <c r="F130" s="310"/>
      <c r="G130" s="310"/>
      <c r="H130" s="310"/>
      <c r="I130" s="310"/>
      <c r="J130" s="310"/>
      <c r="K130" s="312"/>
      <c r="L130" s="313"/>
      <c r="M130" s="313"/>
      <c r="N130" s="313"/>
      <c r="O130" s="313"/>
      <c r="P130" s="314"/>
    </row>
    <row r="131" spans="1:17" s="240" customFormat="1" ht="15.75" thickBot="1" x14ac:dyDescent="0.3">
      <c r="A131" s="308"/>
      <c r="B131" s="310" t="s">
        <v>65</v>
      </c>
      <c r="C131" s="310"/>
      <c r="D131" s="311"/>
      <c r="E131" s="310"/>
      <c r="F131" s="310"/>
      <c r="G131" s="310"/>
      <c r="H131" s="310"/>
      <c r="I131" s="310"/>
      <c r="J131" s="310"/>
      <c r="K131" s="312"/>
      <c r="L131" s="313"/>
      <c r="M131" s="313"/>
      <c r="N131" s="313"/>
      <c r="O131" s="313"/>
      <c r="P131" s="314"/>
    </row>
    <row r="132" spans="1:17" s="240" customFormat="1" ht="15.75" thickBot="1" x14ac:dyDescent="0.3">
      <c r="A132" s="301" t="s">
        <v>1430</v>
      </c>
      <c r="B132" s="315" t="s">
        <v>1431</v>
      </c>
      <c r="C132" s="316" t="s">
        <v>1418</v>
      </c>
      <c r="D132" s="317">
        <v>0</v>
      </c>
      <c r="E132" s="318">
        <v>0</v>
      </c>
      <c r="F132" s="318">
        <v>0</v>
      </c>
      <c r="G132" s="318">
        <v>0</v>
      </c>
      <c r="H132" s="318">
        <v>0</v>
      </c>
      <c r="I132" s="318">
        <v>0</v>
      </c>
      <c r="J132" s="319">
        <v>0</v>
      </c>
      <c r="K132" s="320">
        <f>SUM(D132:J132)</f>
        <v>0</v>
      </c>
      <c r="L132" s="313">
        <v>0</v>
      </c>
      <c r="M132" s="313">
        <v>0</v>
      </c>
      <c r="N132" s="313">
        <f>L132+M132</f>
        <v>0</v>
      </c>
      <c r="O132" s="313"/>
      <c r="P132" s="321">
        <f>N132*K132</f>
        <v>0</v>
      </c>
      <c r="Q132" s="239"/>
    </row>
    <row r="133" spans="1:17" s="42" customFormat="1" x14ac:dyDescent="0.25">
      <c r="A133" s="157"/>
      <c r="B133" s="44"/>
      <c r="C133" s="44"/>
      <c r="D133" s="172"/>
      <c r="E133" s="44"/>
      <c r="F133" s="44"/>
      <c r="G133" s="44"/>
      <c r="H133" s="44"/>
      <c r="I133" s="44"/>
      <c r="J133" s="44"/>
      <c r="K133" s="118"/>
      <c r="L133" s="44"/>
      <c r="M133" s="44"/>
      <c r="N133" s="44"/>
      <c r="O133" s="44"/>
      <c r="P133" s="44"/>
      <c r="Q133" s="47"/>
    </row>
    <row r="134" spans="1:17" s="42" customFormat="1" x14ac:dyDescent="0.25">
      <c r="A134" s="166" t="s">
        <v>1080</v>
      </c>
      <c r="B134" s="147" t="s">
        <v>1432</v>
      </c>
      <c r="C134" s="28"/>
      <c r="D134" s="181"/>
      <c r="E134" s="28"/>
      <c r="F134" s="28"/>
      <c r="G134" s="28"/>
      <c r="H134" s="28"/>
      <c r="I134" s="28"/>
      <c r="J134" s="28"/>
      <c r="K134" s="60"/>
      <c r="L134" s="29"/>
      <c r="M134" s="29"/>
      <c r="N134" s="29"/>
      <c r="O134" s="29"/>
      <c r="P134" s="23"/>
      <c r="Q134" s="152"/>
    </row>
    <row r="135" spans="1:17" s="42" customFormat="1" ht="140.25" x14ac:dyDescent="0.25">
      <c r="A135" s="167"/>
      <c r="B135" s="145" t="s">
        <v>1349</v>
      </c>
      <c r="C135" s="31"/>
      <c r="D135" s="182"/>
      <c r="E135" s="31"/>
      <c r="F135" s="31"/>
      <c r="G135" s="31"/>
      <c r="H135" s="31"/>
      <c r="I135" s="31"/>
      <c r="J135" s="31"/>
      <c r="K135" s="58"/>
      <c r="L135" s="26"/>
      <c r="M135" s="26"/>
      <c r="N135" s="26"/>
      <c r="O135" s="26"/>
      <c r="P135" s="38"/>
      <c r="Q135" s="152"/>
    </row>
    <row r="136" spans="1:17" s="42" customFormat="1" ht="39" thickBot="1" x14ac:dyDescent="0.3">
      <c r="A136" s="167"/>
      <c r="B136" s="24" t="s">
        <v>66</v>
      </c>
      <c r="C136" s="31"/>
      <c r="D136" s="182"/>
      <c r="E136" s="31"/>
      <c r="F136" s="31"/>
      <c r="G136" s="31"/>
      <c r="H136" s="31"/>
      <c r="I136" s="31"/>
      <c r="J136" s="31"/>
      <c r="K136" s="58"/>
      <c r="L136" s="26"/>
      <c r="M136" s="26"/>
      <c r="N136" s="26"/>
      <c r="O136" s="26"/>
      <c r="P136" s="38"/>
      <c r="Q136" s="152"/>
    </row>
    <row r="137" spans="1:17" s="200" customFormat="1" ht="15.75" thickBot="1" x14ac:dyDescent="0.3">
      <c r="A137" s="282"/>
      <c r="B137" s="188" t="s">
        <v>65</v>
      </c>
      <c r="C137" s="189" t="s">
        <v>1330</v>
      </c>
      <c r="D137" s="293">
        <v>22.4</v>
      </c>
      <c r="E137" s="191">
        <v>22.4</v>
      </c>
      <c r="F137" s="191">
        <v>64</v>
      </c>
      <c r="G137" s="191">
        <v>24.2</v>
      </c>
      <c r="H137" s="191">
        <v>47.6</v>
      </c>
      <c r="I137" s="191">
        <v>0</v>
      </c>
      <c r="J137" s="192">
        <v>0</v>
      </c>
      <c r="K137" s="193">
        <f>SUM(D137:J137)</f>
        <v>180.6</v>
      </c>
      <c r="L137" s="194">
        <v>0</v>
      </c>
      <c r="M137" s="194">
        <v>0</v>
      </c>
      <c r="N137" s="194">
        <f>L137+M137</f>
        <v>0</v>
      </c>
      <c r="O137" s="194"/>
      <c r="P137" s="195">
        <f>N137*K137</f>
        <v>0</v>
      </c>
      <c r="Q137" s="208"/>
    </row>
    <row r="138" spans="1:17" s="42" customFormat="1" x14ac:dyDescent="0.25">
      <c r="A138" s="157"/>
      <c r="B138" s="44"/>
      <c r="C138" s="44"/>
      <c r="D138" s="172"/>
      <c r="E138" s="44"/>
      <c r="F138" s="44"/>
      <c r="G138" s="44"/>
      <c r="H138" s="44"/>
      <c r="I138" s="44"/>
      <c r="J138" s="44"/>
      <c r="K138" s="118"/>
      <c r="L138" s="44"/>
      <c r="M138" s="44"/>
      <c r="N138" s="44"/>
      <c r="O138" s="44"/>
      <c r="P138" s="44"/>
      <c r="Q138" s="47"/>
    </row>
    <row r="139" spans="1:17" s="42" customFormat="1" x14ac:dyDescent="0.25">
      <c r="A139" s="166" t="s">
        <v>1081</v>
      </c>
      <c r="B139" s="147" t="s">
        <v>1077</v>
      </c>
      <c r="C139" s="28"/>
      <c r="D139" s="181"/>
      <c r="E139" s="28"/>
      <c r="F139" s="28"/>
      <c r="G139" s="28"/>
      <c r="H139" s="28"/>
      <c r="I139" s="28"/>
      <c r="J139" s="28"/>
      <c r="K139" s="60"/>
      <c r="L139" s="29"/>
      <c r="M139" s="29"/>
      <c r="N139" s="29"/>
      <c r="O139" s="29"/>
      <c r="P139" s="23"/>
      <c r="Q139" s="152"/>
    </row>
    <row r="140" spans="1:17" s="42" customFormat="1" ht="140.25" x14ac:dyDescent="0.25">
      <c r="A140" s="167"/>
      <c r="B140" s="145" t="s">
        <v>1350</v>
      </c>
      <c r="C140" s="31"/>
      <c r="D140" s="182"/>
      <c r="E140" s="31"/>
      <c r="F140" s="31"/>
      <c r="G140" s="31"/>
      <c r="H140" s="31"/>
      <c r="I140" s="31"/>
      <c r="J140" s="31"/>
      <c r="K140" s="58"/>
      <c r="L140" s="26"/>
      <c r="M140" s="26"/>
      <c r="N140" s="26"/>
      <c r="O140" s="26"/>
      <c r="P140" s="38"/>
      <c r="Q140" s="152"/>
    </row>
    <row r="141" spans="1:17" s="42" customFormat="1" ht="38.25" x14ac:dyDescent="0.25">
      <c r="A141" s="167"/>
      <c r="B141" s="24" t="s">
        <v>1078</v>
      </c>
      <c r="C141" s="31"/>
      <c r="D141" s="182"/>
      <c r="E141" s="31"/>
      <c r="F141" s="31"/>
      <c r="G141" s="31"/>
      <c r="H141" s="31"/>
      <c r="I141" s="31"/>
      <c r="J141" s="31"/>
      <c r="K141" s="58"/>
      <c r="L141" s="26"/>
      <c r="M141" s="26"/>
      <c r="N141" s="26"/>
      <c r="O141" s="26"/>
      <c r="P141" s="38"/>
      <c r="Q141" s="152"/>
    </row>
    <row r="142" spans="1:17" s="42" customFormat="1" ht="15.75" thickBot="1" x14ac:dyDescent="0.3">
      <c r="A142" s="167"/>
      <c r="B142" s="24" t="s">
        <v>65</v>
      </c>
      <c r="C142" s="31"/>
      <c r="D142" s="182"/>
      <c r="E142" s="31"/>
      <c r="F142" s="31"/>
      <c r="G142" s="31"/>
      <c r="H142" s="31"/>
      <c r="I142" s="31"/>
      <c r="J142" s="31"/>
      <c r="K142" s="58"/>
      <c r="L142" s="26"/>
      <c r="M142" s="26"/>
      <c r="N142" s="26"/>
      <c r="O142" s="26"/>
      <c r="P142" s="38"/>
      <c r="Q142" s="152"/>
    </row>
    <row r="143" spans="1:17" s="200" customFormat="1" ht="15.75" thickBot="1" x14ac:dyDescent="0.3">
      <c r="A143" s="187" t="s">
        <v>1167</v>
      </c>
      <c r="B143" s="188" t="s">
        <v>1351</v>
      </c>
      <c r="C143" s="189" t="s">
        <v>1330</v>
      </c>
      <c r="D143" s="293">
        <v>172.7</v>
      </c>
      <c r="E143" s="191">
        <v>172.7</v>
      </c>
      <c r="F143" s="191">
        <v>344.4</v>
      </c>
      <c r="G143" s="191">
        <v>165</v>
      </c>
      <c r="H143" s="191">
        <v>196.8</v>
      </c>
      <c r="I143" s="191">
        <v>67</v>
      </c>
      <c r="J143" s="192">
        <v>0</v>
      </c>
      <c r="K143" s="193">
        <f>SUM(D143:J143)</f>
        <v>1118.5999999999999</v>
      </c>
      <c r="L143" s="194">
        <v>0</v>
      </c>
      <c r="M143" s="194">
        <v>0</v>
      </c>
      <c r="N143" s="194">
        <f>L143+M143</f>
        <v>0</v>
      </c>
      <c r="O143" s="194"/>
      <c r="P143" s="195">
        <f>N143*K143</f>
        <v>0</v>
      </c>
      <c r="Q143" s="208"/>
    </row>
    <row r="144" spans="1:17" s="200" customFormat="1" ht="15.75" thickBot="1" x14ac:dyDescent="0.3">
      <c r="A144" s="187" t="s">
        <v>1168</v>
      </c>
      <c r="B144" s="188" t="s">
        <v>1352</v>
      </c>
      <c r="C144" s="189" t="s">
        <v>1330</v>
      </c>
      <c r="D144" s="293">
        <v>12.4</v>
      </c>
      <c r="E144" s="191">
        <v>12.4</v>
      </c>
      <c r="F144" s="191">
        <v>44.6</v>
      </c>
      <c r="G144" s="191">
        <v>31.1</v>
      </c>
      <c r="H144" s="191">
        <v>33.6</v>
      </c>
      <c r="I144" s="191">
        <v>0</v>
      </c>
      <c r="J144" s="192">
        <v>0</v>
      </c>
      <c r="K144" s="193">
        <f>SUM(D144:J144)</f>
        <v>134.1</v>
      </c>
      <c r="L144" s="194">
        <v>0</v>
      </c>
      <c r="M144" s="194">
        <v>0</v>
      </c>
      <c r="N144" s="194">
        <f>L144+M144</f>
        <v>0</v>
      </c>
      <c r="O144" s="194"/>
      <c r="P144" s="195">
        <f>N144*K144</f>
        <v>0</v>
      </c>
      <c r="Q144" s="208"/>
    </row>
    <row r="145" spans="1:17" s="246" customFormat="1" x14ac:dyDescent="0.25">
      <c r="A145" s="243"/>
      <c r="B145" s="244"/>
      <c r="C145" s="244"/>
      <c r="D145" s="326"/>
      <c r="E145" s="244"/>
      <c r="F145" s="244"/>
      <c r="G145" s="244"/>
      <c r="H145" s="244"/>
      <c r="I145" s="244"/>
      <c r="J145" s="244"/>
      <c r="K145" s="245"/>
      <c r="L145" s="244"/>
      <c r="M145" s="244"/>
      <c r="N145" s="244"/>
      <c r="O145" s="244"/>
      <c r="P145" s="244"/>
      <c r="Q145" s="244"/>
    </row>
    <row r="146" spans="1:17" s="42" customFormat="1" x14ac:dyDescent="0.25">
      <c r="A146" s="157"/>
      <c r="B146" s="44"/>
      <c r="C146" s="44"/>
      <c r="D146" s="172"/>
      <c r="E146" s="44"/>
      <c r="F146" s="44"/>
      <c r="G146" s="44"/>
      <c r="H146" s="44"/>
      <c r="I146" s="44"/>
      <c r="J146" s="44"/>
      <c r="K146" s="118"/>
      <c r="L146" s="44"/>
      <c r="M146" s="44"/>
      <c r="N146" s="44"/>
      <c r="O146" s="44"/>
      <c r="P146" s="44"/>
      <c r="Q146" s="47"/>
    </row>
    <row r="147" spans="1:17" s="42" customFormat="1" x14ac:dyDescent="0.25">
      <c r="A147" s="166" t="s">
        <v>1083</v>
      </c>
      <c r="B147" s="147" t="s">
        <v>38</v>
      </c>
      <c r="C147" s="28"/>
      <c r="D147" s="181"/>
      <c r="E147" s="28"/>
      <c r="F147" s="28"/>
      <c r="G147" s="28"/>
      <c r="H147" s="28"/>
      <c r="I147" s="28"/>
      <c r="J147" s="28"/>
      <c r="K147" s="60"/>
      <c r="L147" s="29"/>
      <c r="M147" s="29"/>
      <c r="N147" s="29"/>
      <c r="O147" s="29"/>
      <c r="P147" s="23"/>
      <c r="Q147" s="152"/>
    </row>
    <row r="148" spans="1:17" s="42" customFormat="1" ht="51" x14ac:dyDescent="0.25">
      <c r="A148" s="167"/>
      <c r="B148" s="145" t="s">
        <v>1240</v>
      </c>
      <c r="C148" s="31"/>
      <c r="D148" s="182"/>
      <c r="E148" s="31"/>
      <c r="F148" s="31"/>
      <c r="G148" s="31"/>
      <c r="H148" s="31"/>
      <c r="I148" s="31"/>
      <c r="J148" s="31"/>
      <c r="K148" s="58"/>
      <c r="L148" s="26"/>
      <c r="M148" s="26"/>
      <c r="N148" s="26"/>
      <c r="O148" s="26"/>
      <c r="P148" s="38"/>
      <c r="Q148" s="152"/>
    </row>
    <row r="149" spans="1:17" s="42" customFormat="1" ht="15.75" thickBot="1" x14ac:dyDescent="0.3">
      <c r="A149" s="167"/>
      <c r="B149" s="145" t="s">
        <v>1171</v>
      </c>
      <c r="C149" s="31"/>
      <c r="D149" s="182"/>
      <c r="E149" s="31"/>
      <c r="F149" s="31"/>
      <c r="G149" s="31"/>
      <c r="H149" s="31"/>
      <c r="I149" s="31"/>
      <c r="J149" s="31"/>
      <c r="K149" s="58"/>
      <c r="L149" s="26"/>
      <c r="M149" s="26"/>
      <c r="N149" s="26"/>
      <c r="O149" s="26"/>
      <c r="P149" s="38"/>
      <c r="Q149" s="152"/>
    </row>
    <row r="150" spans="1:17" s="42" customFormat="1" ht="15.75" thickBot="1" x14ac:dyDescent="0.3">
      <c r="A150" s="166"/>
      <c r="B150" s="137" t="s">
        <v>39</v>
      </c>
      <c r="C150" s="135" t="s">
        <v>40</v>
      </c>
      <c r="D150" s="177">
        <v>76.7</v>
      </c>
      <c r="E150" s="36">
        <v>76.7</v>
      </c>
      <c r="F150" s="36">
        <v>222.4</v>
      </c>
      <c r="G150" s="36">
        <v>34</v>
      </c>
      <c r="H150" s="36">
        <v>103.9</v>
      </c>
      <c r="I150" s="36">
        <v>0</v>
      </c>
      <c r="J150" s="56">
        <v>0</v>
      </c>
      <c r="K150" s="62">
        <f>SUM(D150:J150)</f>
        <v>513.70000000000005</v>
      </c>
      <c r="L150" s="26"/>
      <c r="M150" s="26">
        <v>0</v>
      </c>
      <c r="N150" s="26">
        <f>L150+M150</f>
        <v>0</v>
      </c>
      <c r="O150" s="26"/>
      <c r="P150" s="22">
        <f>N150*K150</f>
        <v>0</v>
      </c>
      <c r="Q150" s="47"/>
    </row>
    <row r="151" spans="1:17" s="42" customFormat="1" x14ac:dyDescent="0.25">
      <c r="A151" s="157"/>
      <c r="B151" s="44"/>
      <c r="C151" s="44"/>
      <c r="D151" s="172"/>
      <c r="E151" s="44"/>
      <c r="F151" s="44"/>
      <c r="G151" s="44"/>
      <c r="H151" s="44"/>
      <c r="I151" s="44"/>
      <c r="J151" s="44"/>
      <c r="K151" s="118"/>
      <c r="L151" s="44"/>
      <c r="M151" s="44"/>
      <c r="N151" s="44"/>
      <c r="O151" s="44"/>
      <c r="P151" s="44"/>
      <c r="Q151" s="47"/>
    </row>
    <row r="152" spans="1:17" s="42" customFormat="1" x14ac:dyDescent="0.25">
      <c r="A152" s="166" t="s">
        <v>1161</v>
      </c>
      <c r="B152" s="147" t="s">
        <v>67</v>
      </c>
      <c r="C152" s="28"/>
      <c r="D152" s="181"/>
      <c r="E152" s="28"/>
      <c r="F152" s="28"/>
      <c r="G152" s="28"/>
      <c r="H152" s="28"/>
      <c r="I152" s="28"/>
      <c r="J152" s="28"/>
      <c r="K152" s="60"/>
      <c r="L152" s="29"/>
      <c r="M152" s="29"/>
      <c r="N152" s="29"/>
      <c r="O152" s="29"/>
      <c r="P152" s="23"/>
      <c r="Q152" s="152"/>
    </row>
    <row r="153" spans="1:17" s="42" customFormat="1" ht="89.25" x14ac:dyDescent="0.25">
      <c r="A153" s="167"/>
      <c r="B153" s="145" t="s">
        <v>1218</v>
      </c>
      <c r="C153" s="31"/>
      <c r="D153" s="182"/>
      <c r="E153" s="31"/>
      <c r="F153" s="31"/>
      <c r="G153" s="31"/>
      <c r="H153" s="31"/>
      <c r="I153" s="31"/>
      <c r="J153" s="31"/>
      <c r="K153" s="58"/>
      <c r="L153" s="26"/>
      <c r="M153" s="26"/>
      <c r="N153" s="26"/>
      <c r="O153" s="26"/>
      <c r="P153" s="38"/>
      <c r="Q153" s="152"/>
    </row>
    <row r="154" spans="1:17" s="42" customFormat="1" ht="15.75" thickBot="1" x14ac:dyDescent="0.3">
      <c r="A154" s="167"/>
      <c r="B154" s="145" t="s">
        <v>1193</v>
      </c>
      <c r="C154" s="31"/>
      <c r="D154" s="182"/>
      <c r="E154" s="31"/>
      <c r="F154" s="31"/>
      <c r="G154" s="31"/>
      <c r="H154" s="31"/>
      <c r="I154" s="31"/>
      <c r="J154" s="31"/>
      <c r="K154" s="58"/>
      <c r="L154" s="26"/>
      <c r="M154" s="26"/>
      <c r="N154" s="26"/>
      <c r="O154" s="26"/>
      <c r="P154" s="38"/>
      <c r="Q154" s="152"/>
    </row>
    <row r="155" spans="1:17" s="42" customFormat="1" ht="15.75" thickBot="1" x14ac:dyDescent="0.3">
      <c r="A155" s="166"/>
      <c r="B155" s="137" t="s">
        <v>39</v>
      </c>
      <c r="C155" s="135" t="s">
        <v>40</v>
      </c>
      <c r="D155" s="177">
        <v>21.3</v>
      </c>
      <c r="E155" s="36">
        <v>21.3</v>
      </c>
      <c r="F155" s="36">
        <v>48</v>
      </c>
      <c r="G155" s="36">
        <v>14.95</v>
      </c>
      <c r="H155" s="36">
        <v>24</v>
      </c>
      <c r="I155" s="36">
        <v>0</v>
      </c>
      <c r="J155" s="56">
        <v>0</v>
      </c>
      <c r="K155" s="62">
        <f>SUM(D155:J155)</f>
        <v>129.55000000000001</v>
      </c>
      <c r="L155" s="26">
        <v>0</v>
      </c>
      <c r="M155" s="26">
        <v>0</v>
      </c>
      <c r="N155" s="26">
        <f>L155+M155</f>
        <v>0</v>
      </c>
      <c r="O155" s="26"/>
      <c r="P155" s="22">
        <f>N155*K155</f>
        <v>0</v>
      </c>
      <c r="Q155" s="47"/>
    </row>
    <row r="156" spans="1:17" s="42" customFormat="1" x14ac:dyDescent="0.25">
      <c r="A156" s="157"/>
      <c r="B156" s="44"/>
      <c r="C156" s="44"/>
      <c r="D156" s="172"/>
      <c r="E156" s="44"/>
      <c r="F156" s="44"/>
      <c r="G156" s="44"/>
      <c r="H156" s="44"/>
      <c r="I156" s="44"/>
      <c r="J156" s="44"/>
      <c r="K156" s="118"/>
      <c r="L156" s="44"/>
      <c r="M156" s="44"/>
      <c r="N156" s="44"/>
      <c r="O156" s="44"/>
      <c r="P156" s="44"/>
      <c r="Q156" s="47"/>
    </row>
    <row r="157" spans="1:17" s="42" customFormat="1" ht="25.5" x14ac:dyDescent="0.25">
      <c r="A157" s="166" t="s">
        <v>1163</v>
      </c>
      <c r="B157" s="27" t="s">
        <v>68</v>
      </c>
      <c r="C157" s="28"/>
      <c r="D157" s="181"/>
      <c r="E157" s="28"/>
      <c r="F157" s="28"/>
      <c r="G157" s="28"/>
      <c r="H157" s="28"/>
      <c r="I157" s="28"/>
      <c r="J157" s="28"/>
      <c r="K157" s="60"/>
      <c r="L157" s="29"/>
      <c r="M157" s="29"/>
      <c r="N157" s="29"/>
      <c r="O157" s="29"/>
      <c r="P157" s="23"/>
      <c r="Q157" s="152"/>
    </row>
    <row r="158" spans="1:17" s="42" customFormat="1" ht="141" thickBot="1" x14ac:dyDescent="0.3">
      <c r="A158" s="167"/>
      <c r="B158" s="24" t="s">
        <v>1219</v>
      </c>
      <c r="C158" s="31"/>
      <c r="D158" s="182"/>
      <c r="E158" s="31"/>
      <c r="F158" s="31"/>
      <c r="G158" s="31"/>
      <c r="H158" s="31"/>
      <c r="I158" s="31"/>
      <c r="J158" s="31"/>
      <c r="K158" s="58"/>
      <c r="L158" s="26"/>
      <c r="M158" s="26"/>
      <c r="N158" s="26"/>
      <c r="O158" s="26"/>
      <c r="P158" s="38"/>
      <c r="Q158" s="152"/>
    </row>
    <row r="159" spans="1:17" s="42" customFormat="1" ht="15.75" thickBot="1" x14ac:dyDescent="0.3">
      <c r="A159" s="166"/>
      <c r="B159" s="137" t="s">
        <v>69</v>
      </c>
      <c r="C159" s="135" t="s">
        <v>2</v>
      </c>
      <c r="D159" s="177">
        <v>2</v>
      </c>
      <c r="E159" s="36">
        <v>2</v>
      </c>
      <c r="F159" s="36">
        <v>4</v>
      </c>
      <c r="G159" s="36">
        <v>1</v>
      </c>
      <c r="H159" s="36">
        <v>2</v>
      </c>
      <c r="I159" s="36">
        <v>0</v>
      </c>
      <c r="J159" s="56">
        <v>0</v>
      </c>
      <c r="K159" s="62">
        <f>SUM(D159:J159)</f>
        <v>11</v>
      </c>
      <c r="L159" s="26">
        <v>0</v>
      </c>
      <c r="M159" s="26">
        <v>0</v>
      </c>
      <c r="N159" s="26">
        <f>L159+M159</f>
        <v>0</v>
      </c>
      <c r="O159" s="26"/>
      <c r="P159" s="22">
        <f>N159*K159</f>
        <v>0</v>
      </c>
      <c r="Q159" s="47"/>
    </row>
    <row r="160" spans="1:17" s="42" customFormat="1" x14ac:dyDescent="0.25">
      <c r="A160" s="157"/>
      <c r="B160" s="44"/>
      <c r="C160" s="44"/>
      <c r="D160" s="172"/>
      <c r="E160" s="44"/>
      <c r="F160" s="44"/>
      <c r="G160" s="44"/>
      <c r="H160" s="44"/>
      <c r="I160" s="44"/>
      <c r="J160" s="44"/>
      <c r="K160" s="118"/>
      <c r="L160" s="44"/>
      <c r="M160" s="44"/>
      <c r="N160" s="44"/>
      <c r="O160" s="44"/>
      <c r="P160" s="44"/>
      <c r="Q160" s="47"/>
    </row>
    <row r="161" spans="1:21" s="32" customFormat="1" ht="12.75" x14ac:dyDescent="0.2">
      <c r="A161" s="159"/>
      <c r="B161" s="31"/>
      <c r="C161" s="25"/>
      <c r="D161" s="174"/>
      <c r="E161" s="25"/>
      <c r="F161" s="25"/>
      <c r="G161" s="25"/>
      <c r="H161" s="25"/>
      <c r="I161" s="25"/>
      <c r="J161" s="25"/>
      <c r="K161" s="58"/>
      <c r="L161" s="26"/>
      <c r="M161" s="26"/>
      <c r="N161" s="26"/>
      <c r="O161" s="26"/>
      <c r="P161" s="35"/>
      <c r="Q161" s="37"/>
    </row>
    <row r="162" spans="1:21" s="132" customFormat="1" ht="15.75" x14ac:dyDescent="0.25">
      <c r="A162" s="160" t="s">
        <v>71</v>
      </c>
      <c r="B162" s="130" t="s">
        <v>1013</v>
      </c>
      <c r="C162" s="49"/>
      <c r="D162" s="180"/>
      <c r="E162" s="49"/>
      <c r="F162" s="49"/>
      <c r="G162" s="49"/>
      <c r="H162" s="49"/>
      <c r="I162" s="49"/>
      <c r="J162" s="49"/>
      <c r="K162" s="131"/>
      <c r="L162" s="49"/>
      <c r="M162" s="49"/>
      <c r="Q162" s="151"/>
      <c r="R162" s="488" t="s">
        <v>57</v>
      </c>
      <c r="S162" s="489"/>
      <c r="T162" s="50">
        <f>SUM(P90:P159)</f>
        <v>0</v>
      </c>
    </row>
    <row r="164" spans="1:21" s="132" customFormat="1" ht="15.75" x14ac:dyDescent="0.25">
      <c r="A164" s="160" t="s">
        <v>37</v>
      </c>
      <c r="B164" s="130" t="s">
        <v>1312</v>
      </c>
      <c r="C164" s="49"/>
      <c r="D164" s="49"/>
      <c r="E164" s="49"/>
      <c r="F164" s="49"/>
      <c r="G164" s="49"/>
      <c r="H164" s="49"/>
      <c r="I164" s="49"/>
      <c r="J164" s="49"/>
      <c r="K164" s="49"/>
      <c r="L164" s="49"/>
      <c r="M164" s="49"/>
      <c r="N164" s="49"/>
      <c r="O164" s="131"/>
      <c r="P164" s="49"/>
      <c r="Q164" s="49"/>
      <c r="R164" s="488" t="s">
        <v>57</v>
      </c>
      <c r="S164" s="489"/>
      <c r="T164" s="50">
        <f>T162*6</f>
        <v>0</v>
      </c>
      <c r="U164" s="151"/>
    </row>
    <row r="166" spans="1:21" s="132" customFormat="1" ht="15.75" x14ac:dyDescent="0.25">
      <c r="A166" s="160"/>
      <c r="B166" s="130" t="s">
        <v>1308</v>
      </c>
      <c r="C166" s="49"/>
      <c r="D166" s="49"/>
      <c r="E166" s="49"/>
      <c r="F166" s="49"/>
      <c r="G166" s="49"/>
      <c r="H166" s="49"/>
      <c r="I166" s="49"/>
      <c r="J166" s="49"/>
      <c r="K166" s="49"/>
      <c r="L166" s="49"/>
      <c r="M166" s="49"/>
      <c r="N166" s="49"/>
      <c r="O166" s="131"/>
      <c r="P166" s="49"/>
      <c r="Q166" s="49"/>
      <c r="R166" s="488"/>
      <c r="S166" s="489"/>
      <c r="T166" s="50">
        <f>SUM(T164,T81)</f>
        <v>0</v>
      </c>
      <c r="U166" s="151"/>
    </row>
  </sheetData>
  <mergeCells count="11">
    <mergeCell ref="R164:S164"/>
    <mergeCell ref="R166:S166"/>
    <mergeCell ref="D85:J85"/>
    <mergeCell ref="R162:S162"/>
    <mergeCell ref="B2:R3"/>
    <mergeCell ref="B5:T5"/>
    <mergeCell ref="D7:N7"/>
    <mergeCell ref="D8:N8"/>
    <mergeCell ref="R79:S79"/>
    <mergeCell ref="D84:J84"/>
    <mergeCell ref="R81:S81"/>
  </mergeCells>
  <conditionalFormatting sqref="P161 T162">
    <cfRule type="cellIs" dxfId="94" priority="5" stopIfTrue="1" operator="greaterThan">
      <formula>0</formula>
    </cfRule>
  </conditionalFormatting>
  <conditionalFormatting sqref="T11">
    <cfRule type="cellIs" dxfId="93" priority="7" stopIfTrue="1" operator="greaterThan">
      <formula>0</formula>
    </cfRule>
  </conditionalFormatting>
  <conditionalFormatting sqref="T78:T79">
    <cfRule type="cellIs" dxfId="92" priority="6" stopIfTrue="1" operator="greaterThan">
      <formula>0</formula>
    </cfRule>
  </conditionalFormatting>
  <conditionalFormatting sqref="T81">
    <cfRule type="cellIs" dxfId="91" priority="3" stopIfTrue="1" operator="greaterThan">
      <formula>0</formula>
    </cfRule>
  </conditionalFormatting>
  <conditionalFormatting sqref="T164">
    <cfRule type="cellIs" dxfId="90" priority="2" stopIfTrue="1" operator="greaterThan">
      <formula>0</formula>
    </cfRule>
  </conditionalFormatting>
  <conditionalFormatting sqref="T166">
    <cfRule type="cellIs" dxfId="89" priority="1" stopIfTrue="1"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5878-BE08-4E03-843A-90A3CCD22ACD}">
  <sheetPr>
    <tabColor rgb="FF00B0F0"/>
  </sheetPr>
  <dimension ref="A1:U128"/>
  <sheetViews>
    <sheetView tabSelected="1" topLeftCell="A117" zoomScale="115" zoomScaleNormal="115" workbookViewId="0">
      <selection activeCell="T127" sqref="T127"/>
    </sheetView>
  </sheetViews>
  <sheetFormatPr defaultRowHeight="15" x14ac:dyDescent="0.25"/>
  <cols>
    <col min="2" max="2" width="41.42578125" customWidth="1"/>
    <col min="16" max="16" width="12.7109375" bestFit="1" customWidth="1"/>
    <col min="20" max="20" width="13.7109375" bestFit="1" customWidth="1"/>
  </cols>
  <sheetData>
    <row r="1" spans="1:21" s="42" customFormat="1" x14ac:dyDescent="0.25">
      <c r="A1" s="157"/>
      <c r="B1" s="112" t="s">
        <v>1198</v>
      </c>
      <c r="C1" s="44"/>
      <c r="D1" s="53"/>
      <c r="E1" s="53"/>
      <c r="F1" s="53"/>
      <c r="G1" s="53"/>
      <c r="H1" s="53"/>
      <c r="I1" s="53"/>
      <c r="J1" s="53"/>
      <c r="K1" s="53"/>
      <c r="L1" s="53"/>
      <c r="M1" s="53"/>
      <c r="N1" s="53"/>
      <c r="O1" s="113"/>
      <c r="P1" s="44"/>
      <c r="Q1" s="44"/>
      <c r="R1" s="44"/>
      <c r="S1" s="44"/>
      <c r="T1" s="44"/>
      <c r="U1" s="47"/>
    </row>
    <row r="2" spans="1:21" s="42" customFormat="1" x14ac:dyDescent="0.25">
      <c r="A2" s="157"/>
      <c r="B2" s="480" t="s">
        <v>11</v>
      </c>
      <c r="C2" s="481"/>
      <c r="D2" s="481"/>
      <c r="E2" s="481"/>
      <c r="F2" s="481"/>
      <c r="G2" s="481"/>
      <c r="H2" s="481"/>
      <c r="I2" s="481"/>
      <c r="J2" s="481"/>
      <c r="K2" s="481"/>
      <c r="L2" s="481"/>
      <c r="M2" s="481"/>
      <c r="N2" s="481"/>
      <c r="O2" s="481"/>
      <c r="P2" s="481"/>
      <c r="Q2" s="481"/>
      <c r="R2" s="482"/>
      <c r="S2" s="7" t="s">
        <v>10</v>
      </c>
      <c r="T2" s="133">
        <v>0</v>
      </c>
      <c r="U2" s="47"/>
    </row>
    <row r="3" spans="1:21" s="42" customFormat="1" x14ac:dyDescent="0.25">
      <c r="A3" s="157"/>
      <c r="B3" s="483"/>
      <c r="C3" s="484"/>
      <c r="D3" s="484"/>
      <c r="E3" s="484"/>
      <c r="F3" s="484"/>
      <c r="G3" s="484"/>
      <c r="H3" s="484"/>
      <c r="I3" s="484"/>
      <c r="J3" s="484"/>
      <c r="K3" s="484"/>
      <c r="L3" s="484"/>
      <c r="M3" s="484"/>
      <c r="N3" s="484"/>
      <c r="O3" s="484"/>
      <c r="P3" s="484"/>
      <c r="Q3" s="484"/>
      <c r="R3" s="485"/>
      <c r="S3" s="7" t="s">
        <v>9</v>
      </c>
      <c r="T3" s="134" t="s">
        <v>1006</v>
      </c>
      <c r="U3" s="47"/>
    </row>
    <row r="4" spans="1:21" s="42" customFormat="1" x14ac:dyDescent="0.25">
      <c r="A4" s="157"/>
      <c r="B4" s="114" t="s">
        <v>1199</v>
      </c>
      <c r="C4" s="114" t="s">
        <v>12</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x14ac:dyDescent="0.25">
      <c r="A5" s="158" t="s">
        <v>1</v>
      </c>
      <c r="B5" s="486" t="s">
        <v>35</v>
      </c>
      <c r="C5" s="486"/>
      <c r="D5" s="486"/>
      <c r="E5" s="486"/>
      <c r="F5" s="486"/>
      <c r="G5" s="486"/>
      <c r="H5" s="486"/>
      <c r="I5" s="486"/>
      <c r="J5" s="486"/>
      <c r="K5" s="486"/>
      <c r="L5" s="486"/>
      <c r="M5" s="486"/>
      <c r="N5" s="486"/>
      <c r="O5" s="486"/>
      <c r="P5" s="486"/>
      <c r="Q5" s="486"/>
      <c r="R5" s="486"/>
      <c r="S5" s="486"/>
      <c r="T5" s="486"/>
      <c r="U5" s="149"/>
    </row>
    <row r="6" spans="1:21" s="42" customFormat="1" ht="15.75"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thickBot="1" x14ac:dyDescent="0.3">
      <c r="A7" s="119" t="s">
        <v>8</v>
      </c>
      <c r="B7" s="119" t="s">
        <v>7</v>
      </c>
      <c r="C7" s="120" t="s">
        <v>6</v>
      </c>
      <c r="D7" s="487"/>
      <c r="E7" s="487"/>
      <c r="F7" s="487"/>
      <c r="G7" s="487"/>
      <c r="H7" s="487"/>
      <c r="I7" s="487"/>
      <c r="J7" s="487"/>
      <c r="K7" s="487"/>
      <c r="L7" s="487"/>
      <c r="M7" s="487"/>
      <c r="N7" s="487"/>
      <c r="O7" s="121" t="s">
        <v>54</v>
      </c>
      <c r="P7" s="170" t="s">
        <v>5</v>
      </c>
      <c r="Q7" s="171" t="s">
        <v>4</v>
      </c>
      <c r="R7" s="121" t="s">
        <v>1004</v>
      </c>
      <c r="S7" s="121"/>
      <c r="T7" s="119" t="s">
        <v>1005</v>
      </c>
      <c r="U7" s="47"/>
    </row>
    <row r="8" spans="1:21" s="42" customFormat="1" ht="15.75" thickBot="1" x14ac:dyDescent="0.3">
      <c r="A8" s="123"/>
      <c r="B8" s="123"/>
      <c r="C8" s="124"/>
      <c r="D8" s="477" t="s">
        <v>1002</v>
      </c>
      <c r="E8" s="478"/>
      <c r="F8" s="478"/>
      <c r="G8" s="478"/>
      <c r="H8" s="478"/>
      <c r="I8" s="478"/>
      <c r="J8" s="478"/>
      <c r="K8" s="478"/>
      <c r="L8" s="478"/>
      <c r="M8" s="478"/>
      <c r="N8" s="479"/>
      <c r="O8" s="125"/>
      <c r="P8" s="124"/>
      <c r="Q8" s="124"/>
      <c r="R8" s="124"/>
      <c r="S8" s="124"/>
      <c r="T8" s="123"/>
      <c r="U8" s="47"/>
    </row>
    <row r="9" spans="1:21" s="42" customFormat="1" ht="60" x14ac:dyDescent="0.25">
      <c r="A9" s="123"/>
      <c r="B9" s="123"/>
      <c r="C9" s="124"/>
      <c r="D9" s="127" t="s">
        <v>1273</v>
      </c>
      <c r="E9" s="127" t="s">
        <v>1274</v>
      </c>
      <c r="F9" s="46" t="s">
        <v>1275</v>
      </c>
      <c r="G9" s="46" t="s">
        <v>1276</v>
      </c>
      <c r="H9" s="46" t="s">
        <v>1277</v>
      </c>
      <c r="I9" s="46" t="s">
        <v>1278</v>
      </c>
      <c r="J9" s="46" t="s">
        <v>1279</v>
      </c>
      <c r="K9" s="46" t="s">
        <v>1280</v>
      </c>
      <c r="L9" s="46" t="s">
        <v>1281</v>
      </c>
      <c r="M9" s="154" t="s">
        <v>1208</v>
      </c>
      <c r="N9" s="126" t="s">
        <v>1003</v>
      </c>
      <c r="O9" s="125"/>
      <c r="P9" s="124"/>
      <c r="Q9" s="124"/>
      <c r="R9" s="124"/>
      <c r="S9" s="124"/>
      <c r="T9" s="123"/>
      <c r="U9" s="47"/>
    </row>
    <row r="10" spans="1:21" s="32" customFormat="1" ht="12.75"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x14ac:dyDescent="0.25">
      <c r="A12" s="160" t="s">
        <v>53</v>
      </c>
      <c r="B12" s="39" t="s">
        <v>1282</v>
      </c>
      <c r="C12" s="40"/>
      <c r="D12" s="40"/>
      <c r="E12" s="40"/>
      <c r="F12" s="40"/>
      <c r="G12" s="40"/>
      <c r="H12" s="40"/>
      <c r="I12" s="40"/>
      <c r="J12" s="40"/>
      <c r="K12" s="40"/>
      <c r="L12" s="40"/>
      <c r="M12" s="40"/>
      <c r="N12" s="40"/>
      <c r="O12" s="59"/>
      <c r="P12" s="40"/>
      <c r="Q12" s="40"/>
      <c r="R12" s="40"/>
      <c r="S12" s="40"/>
      <c r="T12" s="41"/>
      <c r="U12" s="149"/>
    </row>
    <row r="14" spans="1:21" s="32" customFormat="1" ht="12.75" x14ac:dyDescent="0.2">
      <c r="A14" s="162" t="s">
        <v>1233</v>
      </c>
      <c r="B14" s="144" t="s">
        <v>1234</v>
      </c>
      <c r="C14" s="135"/>
      <c r="D14" s="135"/>
      <c r="E14" s="135"/>
      <c r="F14" s="135"/>
      <c r="G14" s="135"/>
      <c r="H14" s="135"/>
      <c r="I14" s="135"/>
      <c r="J14" s="135"/>
      <c r="K14" s="135"/>
      <c r="L14" s="135"/>
      <c r="M14" s="135"/>
      <c r="N14" s="135"/>
      <c r="O14" s="60"/>
      <c r="P14" s="29"/>
      <c r="Q14" s="29"/>
      <c r="R14" s="29"/>
      <c r="S14" s="29"/>
      <c r="T14" s="136"/>
      <c r="U14" s="37"/>
    </row>
    <row r="15" spans="1:21" s="32" customFormat="1" ht="204" x14ac:dyDescent="0.2">
      <c r="A15" s="163"/>
      <c r="B15" s="138" t="s">
        <v>1237</v>
      </c>
      <c r="C15" s="25"/>
      <c r="D15" s="25"/>
      <c r="E15" s="25"/>
      <c r="F15" s="25"/>
      <c r="G15" s="25"/>
      <c r="H15" s="25"/>
      <c r="I15" s="25"/>
      <c r="J15" s="25"/>
      <c r="K15" s="25"/>
      <c r="L15" s="25"/>
      <c r="M15" s="25"/>
      <c r="N15" s="25"/>
      <c r="O15" s="58"/>
      <c r="P15" s="26"/>
      <c r="Q15" s="26"/>
      <c r="R15" s="26"/>
      <c r="S15" s="26"/>
      <c r="T15" s="35"/>
      <c r="U15" s="37"/>
    </row>
    <row r="16" spans="1:21" s="32" customFormat="1" ht="140.25" x14ac:dyDescent="0.2">
      <c r="A16" s="163"/>
      <c r="B16" s="141" t="s">
        <v>1235</v>
      </c>
      <c r="C16" s="25"/>
      <c r="D16" s="25"/>
      <c r="E16" s="25"/>
      <c r="F16" s="25"/>
      <c r="G16" s="25"/>
      <c r="H16" s="25"/>
      <c r="I16" s="25"/>
      <c r="J16" s="25"/>
      <c r="K16" s="25"/>
      <c r="L16" s="25"/>
      <c r="M16" s="25"/>
      <c r="N16" s="25"/>
      <c r="O16" s="58"/>
      <c r="P16" s="26"/>
      <c r="Q16" s="26"/>
      <c r="R16" s="26"/>
      <c r="S16" s="26"/>
      <c r="T16" s="35"/>
      <c r="U16" s="37"/>
    </row>
    <row r="17" spans="1:21" s="32" customFormat="1" ht="26.25" thickBot="1" x14ac:dyDescent="0.25">
      <c r="A17" s="164"/>
      <c r="B17" s="138" t="s">
        <v>1236</v>
      </c>
      <c r="C17" s="25"/>
      <c r="D17" s="25"/>
      <c r="E17" s="25"/>
      <c r="F17" s="25"/>
      <c r="G17" s="25"/>
      <c r="H17" s="25"/>
      <c r="I17" s="25"/>
      <c r="J17" s="25"/>
      <c r="K17" s="25"/>
      <c r="L17" s="25"/>
      <c r="M17" s="25"/>
      <c r="N17" s="25"/>
      <c r="O17" s="58"/>
      <c r="P17" s="26"/>
      <c r="Q17" s="26"/>
      <c r="R17" s="26"/>
      <c r="S17" s="26"/>
      <c r="T17" s="35"/>
      <c r="U17" s="37"/>
    </row>
    <row r="18" spans="1:21" s="32" customFormat="1" ht="26.25" thickBot="1" x14ac:dyDescent="0.25">
      <c r="A18" s="164"/>
      <c r="B18" s="146" t="s">
        <v>1238</v>
      </c>
      <c r="C18" s="135" t="s">
        <v>56</v>
      </c>
      <c r="D18" s="55">
        <f t="shared" ref="D18:M18" si="0">D$4*0</f>
        <v>0</v>
      </c>
      <c r="E18" s="55">
        <f t="shared" si="0"/>
        <v>0</v>
      </c>
      <c r="F18" s="36">
        <f>F$4*0</f>
        <v>0</v>
      </c>
      <c r="G18" s="36">
        <f>G$4*0</f>
        <v>0</v>
      </c>
      <c r="H18" s="36">
        <f t="shared" si="0"/>
        <v>0</v>
      </c>
      <c r="I18" s="36">
        <f t="shared" si="0"/>
        <v>0</v>
      </c>
      <c r="J18" s="36">
        <f t="shared" si="0"/>
        <v>0</v>
      </c>
      <c r="K18" s="36">
        <f t="shared" si="0"/>
        <v>0</v>
      </c>
      <c r="L18" s="36">
        <f t="shared" si="0"/>
        <v>0</v>
      </c>
      <c r="M18" s="36">
        <f t="shared" si="0"/>
        <v>0</v>
      </c>
      <c r="N18" s="56">
        <f>N$4*600</f>
        <v>600</v>
      </c>
      <c r="O18" s="62">
        <f>SUM(D18:N18)</f>
        <v>600</v>
      </c>
      <c r="P18" s="55">
        <v>13</v>
      </c>
      <c r="Q18" s="36">
        <v>0</v>
      </c>
      <c r="R18" s="36">
        <f>P18+Q18</f>
        <v>13</v>
      </c>
      <c r="S18" s="36"/>
      <c r="T18" s="51">
        <f>R18*O18</f>
        <v>7800</v>
      </c>
      <c r="U18" s="37"/>
    </row>
    <row r="19" spans="1:21" ht="12.6" customHeight="1" x14ac:dyDescent="0.25"/>
    <row r="20" spans="1:21" s="42" customFormat="1" x14ac:dyDescent="0.25">
      <c r="A20" s="161" t="s">
        <v>1385</v>
      </c>
      <c r="B20" s="493" t="s">
        <v>1386</v>
      </c>
      <c r="C20" s="493"/>
      <c r="D20" s="493"/>
      <c r="E20" s="493"/>
      <c r="F20" s="493"/>
      <c r="G20" s="493"/>
      <c r="H20" s="493"/>
      <c r="I20" s="493"/>
      <c r="J20" s="493"/>
      <c r="K20" s="493"/>
      <c r="L20" s="493"/>
      <c r="M20" s="493"/>
      <c r="N20" s="493"/>
      <c r="O20" s="493"/>
      <c r="P20" s="493"/>
      <c r="Q20" s="493"/>
      <c r="R20" s="493"/>
      <c r="S20" s="43"/>
      <c r="T20" s="33"/>
      <c r="U20" s="47"/>
    </row>
    <row r="21" spans="1:21" s="32" customFormat="1" ht="12.75" x14ac:dyDescent="0.2">
      <c r="A21" s="159"/>
      <c r="B21" s="31"/>
      <c r="C21" s="25"/>
      <c r="D21" s="25"/>
      <c r="E21" s="25"/>
      <c r="F21" s="25"/>
      <c r="G21" s="25"/>
      <c r="H21" s="25"/>
      <c r="I21" s="25"/>
      <c r="J21" s="25"/>
      <c r="K21" s="25"/>
      <c r="L21" s="25"/>
      <c r="M21" s="25"/>
      <c r="N21" s="25"/>
      <c r="O21" s="58"/>
      <c r="P21" s="26"/>
      <c r="Q21" s="26"/>
      <c r="R21" s="26"/>
      <c r="S21" s="26"/>
      <c r="T21" s="35"/>
      <c r="U21" s="37"/>
    </row>
    <row r="22" spans="1:21" s="32" customFormat="1" ht="25.5" x14ac:dyDescent="0.2">
      <c r="A22" s="166" t="s">
        <v>1387</v>
      </c>
      <c r="B22" s="61" t="s">
        <v>1388</v>
      </c>
      <c r="C22" s="135"/>
      <c r="D22" s="135"/>
      <c r="E22" s="135"/>
      <c r="F22" s="135"/>
      <c r="G22" s="135"/>
      <c r="H22" s="135"/>
      <c r="I22" s="135"/>
      <c r="J22" s="135"/>
      <c r="K22" s="135"/>
      <c r="L22" s="135"/>
      <c r="M22" s="135"/>
      <c r="N22" s="135"/>
      <c r="O22" s="60"/>
      <c r="P22" s="29"/>
      <c r="Q22" s="29"/>
      <c r="R22" s="29"/>
      <c r="S22" s="29"/>
      <c r="T22" s="136"/>
      <c r="U22" s="37"/>
    </row>
    <row r="23" spans="1:21" s="32" customFormat="1" ht="14.25" x14ac:dyDescent="0.2">
      <c r="A23" s="290" t="s">
        <v>1389</v>
      </c>
      <c r="B23" s="291" t="s">
        <v>1390</v>
      </c>
      <c r="C23" s="25"/>
      <c r="D23" s="25"/>
      <c r="E23" s="25"/>
      <c r="F23" s="25"/>
      <c r="G23" s="25"/>
      <c r="H23" s="25"/>
      <c r="I23" s="25"/>
      <c r="J23" s="25"/>
      <c r="K23" s="25"/>
      <c r="L23" s="25"/>
      <c r="M23" s="25"/>
      <c r="N23" s="25"/>
      <c r="O23" s="58"/>
      <c r="P23" s="26"/>
      <c r="Q23" s="26"/>
      <c r="R23" s="26"/>
      <c r="S23" s="26"/>
      <c r="T23" s="35"/>
      <c r="U23" s="37"/>
    </row>
    <row r="24" spans="1:21" s="32" customFormat="1" ht="54.75" customHeight="1" x14ac:dyDescent="0.25">
      <c r="A24" s="167"/>
      <c r="B24" s="24" t="s">
        <v>1391</v>
      </c>
      <c r="C24" s="25"/>
      <c r="D24" s="42"/>
      <c r="E24" s="42"/>
      <c r="F24" s="42"/>
      <c r="G24" s="42"/>
      <c r="H24" s="42"/>
      <c r="I24" s="42"/>
      <c r="J24" s="42"/>
      <c r="K24" s="42"/>
      <c r="L24" s="42"/>
      <c r="M24" s="42"/>
      <c r="N24" s="42"/>
      <c r="O24" s="128"/>
      <c r="P24" s="42"/>
      <c r="Q24" s="42"/>
      <c r="R24" s="42"/>
      <c r="S24" s="42"/>
      <c r="T24" s="42"/>
      <c r="U24" s="37"/>
    </row>
    <row r="25" spans="1:21" s="32" customFormat="1" ht="114.75" x14ac:dyDescent="0.25">
      <c r="A25" s="167"/>
      <c r="B25" s="241" t="s">
        <v>1392</v>
      </c>
      <c r="C25" s="25"/>
      <c r="D25" s="42"/>
      <c r="E25" s="42"/>
      <c r="F25" s="42"/>
      <c r="G25" s="42"/>
      <c r="H25" s="42"/>
      <c r="I25" s="42"/>
      <c r="J25" s="42"/>
      <c r="K25" s="42"/>
      <c r="L25" s="42"/>
      <c r="M25" s="42"/>
      <c r="N25" s="42"/>
      <c r="O25" s="128"/>
      <c r="P25" s="42"/>
      <c r="Q25" s="42"/>
      <c r="R25" s="42"/>
      <c r="S25" s="42"/>
      <c r="T25" s="42"/>
      <c r="U25" s="37"/>
    </row>
    <row r="26" spans="1:21" s="32" customFormat="1" ht="39" thickBot="1" x14ac:dyDescent="0.3">
      <c r="A26" s="167"/>
      <c r="B26" s="24" t="s">
        <v>1393</v>
      </c>
      <c r="C26" s="25"/>
      <c r="D26" s="42"/>
      <c r="E26" s="42"/>
      <c r="F26" s="42"/>
      <c r="G26" s="42"/>
      <c r="H26" s="42"/>
      <c r="I26" s="42"/>
      <c r="J26" s="42"/>
      <c r="K26" s="42"/>
      <c r="L26" s="42"/>
      <c r="M26" s="42"/>
      <c r="N26" s="42"/>
      <c r="O26" s="128"/>
      <c r="P26" s="42"/>
      <c r="Q26" s="42"/>
      <c r="R26" s="42"/>
      <c r="S26" s="42"/>
      <c r="T26" s="42"/>
      <c r="U26" s="37"/>
    </row>
    <row r="27" spans="1:21" s="288" customFormat="1" ht="26.25" thickBot="1" x14ac:dyDescent="0.25">
      <c r="A27" s="282"/>
      <c r="B27" s="220" t="s">
        <v>1394</v>
      </c>
      <c r="C27" s="189" t="s">
        <v>1330</v>
      </c>
      <c r="D27" s="190">
        <f t="shared" ref="D27:M27" si="1">D$4*0</f>
        <v>0</v>
      </c>
      <c r="E27" s="190">
        <f t="shared" si="1"/>
        <v>0</v>
      </c>
      <c r="F27" s="191">
        <f t="shared" si="1"/>
        <v>0</v>
      </c>
      <c r="G27" s="191">
        <f t="shared" si="1"/>
        <v>0</v>
      </c>
      <c r="H27" s="191">
        <f t="shared" si="1"/>
        <v>0</v>
      </c>
      <c r="I27" s="191">
        <f t="shared" si="1"/>
        <v>0</v>
      </c>
      <c r="J27" s="191">
        <f t="shared" si="1"/>
        <v>0</v>
      </c>
      <c r="K27" s="191">
        <f t="shared" si="1"/>
        <v>0</v>
      </c>
      <c r="L27" s="191">
        <f t="shared" si="1"/>
        <v>0</v>
      </c>
      <c r="M27" s="191">
        <f t="shared" si="1"/>
        <v>0</v>
      </c>
      <c r="N27" s="192">
        <f>N$4*(671.2+62.85)*0.4</f>
        <v>293.62000000000006</v>
      </c>
      <c r="O27" s="193">
        <f>SUM(D27:N27)</f>
        <v>293.62000000000006</v>
      </c>
      <c r="P27" s="190">
        <v>20</v>
      </c>
      <c r="Q27" s="191">
        <v>0</v>
      </c>
      <c r="R27" s="191">
        <f>P27+Q27</f>
        <v>20</v>
      </c>
      <c r="S27" s="191"/>
      <c r="T27" s="294">
        <f>R27*O27</f>
        <v>5872.4000000000015</v>
      </c>
      <c r="U27" s="287"/>
    </row>
    <row r="28" spans="1:21" s="32" customFormat="1" ht="14.25" x14ac:dyDescent="0.2">
      <c r="A28" s="290" t="s">
        <v>1395</v>
      </c>
      <c r="B28" s="291" t="s">
        <v>1396</v>
      </c>
      <c r="C28" s="25"/>
      <c r="D28" s="26"/>
      <c r="E28" s="26"/>
      <c r="F28" s="26"/>
      <c r="G28" s="26"/>
      <c r="H28" s="26"/>
      <c r="I28" s="26"/>
      <c r="J28" s="26"/>
      <c r="K28" s="26"/>
      <c r="L28" s="26"/>
      <c r="M28" s="26"/>
      <c r="N28" s="26"/>
      <c r="O28" s="58"/>
      <c r="P28" s="26"/>
      <c r="Q28" s="26"/>
      <c r="R28" s="26"/>
      <c r="S28" s="26"/>
      <c r="T28" s="22"/>
      <c r="U28" s="37"/>
    </row>
    <row r="29" spans="1:21" s="32" customFormat="1" ht="38.25" x14ac:dyDescent="0.25">
      <c r="A29" s="167"/>
      <c r="B29" s="24" t="s">
        <v>1397</v>
      </c>
      <c r="C29" s="25"/>
      <c r="D29" s="42"/>
      <c r="E29" s="42"/>
      <c r="F29" s="42"/>
      <c r="G29" s="42"/>
      <c r="H29" s="42"/>
      <c r="I29" s="42"/>
      <c r="J29" s="42"/>
      <c r="K29" s="42"/>
      <c r="L29" s="42"/>
      <c r="M29" s="42"/>
      <c r="N29" s="42"/>
      <c r="O29" s="128"/>
      <c r="P29" s="42"/>
      <c r="Q29" s="42"/>
      <c r="R29" s="42"/>
      <c r="S29" s="42"/>
      <c r="T29" s="42"/>
      <c r="U29" s="37"/>
    </row>
    <row r="30" spans="1:21" s="32" customFormat="1" ht="39" thickBot="1" x14ac:dyDescent="0.3">
      <c r="A30" s="167"/>
      <c r="B30" s="24" t="s">
        <v>1393</v>
      </c>
      <c r="C30" s="25"/>
      <c r="D30" s="42"/>
      <c r="E30" s="42"/>
      <c r="F30" s="42"/>
      <c r="G30" s="42"/>
      <c r="H30" s="42"/>
      <c r="I30" s="42"/>
      <c r="J30" s="42"/>
      <c r="K30" s="42"/>
      <c r="L30" s="42"/>
      <c r="M30" s="42"/>
      <c r="N30" s="42"/>
      <c r="O30" s="128"/>
      <c r="P30" s="42"/>
      <c r="Q30" s="42"/>
      <c r="R30" s="42"/>
      <c r="S30" s="42"/>
      <c r="T30" s="42"/>
      <c r="U30" s="37"/>
    </row>
    <row r="31" spans="1:21" s="32" customFormat="1" thickBot="1" x14ac:dyDescent="0.25">
      <c r="A31" s="166"/>
      <c r="B31" s="27" t="s">
        <v>1398</v>
      </c>
      <c r="C31" s="135" t="s">
        <v>56</v>
      </c>
      <c r="D31" s="55">
        <f t="shared" ref="D31:M31" si="2">D$4*0</f>
        <v>0</v>
      </c>
      <c r="E31" s="55">
        <f t="shared" si="2"/>
        <v>0</v>
      </c>
      <c r="F31" s="36">
        <f t="shared" si="2"/>
        <v>0</v>
      </c>
      <c r="G31" s="36">
        <f t="shared" si="2"/>
        <v>0</v>
      </c>
      <c r="H31" s="36">
        <f t="shared" si="2"/>
        <v>0</v>
      </c>
      <c r="I31" s="36">
        <f t="shared" si="2"/>
        <v>0</v>
      </c>
      <c r="J31" s="36">
        <f t="shared" si="2"/>
        <v>0</v>
      </c>
      <c r="K31" s="36">
        <f t="shared" si="2"/>
        <v>0</v>
      </c>
      <c r="L31" s="36">
        <f t="shared" si="2"/>
        <v>0</v>
      </c>
      <c r="M31" s="36">
        <f t="shared" si="2"/>
        <v>0</v>
      </c>
      <c r="N31" s="56">
        <f>N$4*19.78</f>
        <v>19.78</v>
      </c>
      <c r="O31" s="62">
        <f>SUM(D31:N31)</f>
        <v>19.78</v>
      </c>
      <c r="P31" s="55">
        <v>25</v>
      </c>
      <c r="Q31" s="36">
        <v>0</v>
      </c>
      <c r="R31" s="36">
        <f>P31+Q31</f>
        <v>25</v>
      </c>
      <c r="S31" s="36"/>
      <c r="T31" s="51">
        <f>R31*O31</f>
        <v>494.5</v>
      </c>
      <c r="U31" s="37"/>
    </row>
    <row r="32" spans="1:21" s="32" customFormat="1" ht="12.75" x14ac:dyDescent="0.2">
      <c r="A32" s="159"/>
      <c r="B32" s="31"/>
      <c r="C32" s="25"/>
      <c r="D32" s="25"/>
      <c r="E32" s="25"/>
      <c r="F32" s="25"/>
      <c r="G32" s="25"/>
      <c r="H32" s="25"/>
      <c r="I32" s="25"/>
      <c r="J32" s="25"/>
      <c r="K32" s="25"/>
      <c r="L32" s="25"/>
      <c r="M32" s="25"/>
      <c r="N32" s="25"/>
      <c r="O32" s="58"/>
      <c r="P32" s="26"/>
      <c r="Q32" s="26"/>
      <c r="R32" s="26"/>
      <c r="S32" s="26"/>
      <c r="T32" s="35"/>
      <c r="U32" s="37"/>
    </row>
    <row r="33" spans="1:21" s="32" customFormat="1" ht="12.75" x14ac:dyDescent="0.2">
      <c r="A33" s="159"/>
      <c r="B33" s="31"/>
      <c r="C33" s="25"/>
      <c r="D33" s="25"/>
      <c r="E33" s="25"/>
      <c r="F33" s="25"/>
      <c r="G33" s="25"/>
      <c r="H33" s="25"/>
      <c r="I33" s="25"/>
      <c r="J33" s="25"/>
      <c r="K33" s="25"/>
      <c r="L33" s="25"/>
      <c r="M33" s="25"/>
      <c r="N33" s="25"/>
      <c r="O33" s="58"/>
      <c r="P33" s="26"/>
      <c r="Q33" s="26"/>
      <c r="R33" s="26"/>
      <c r="S33" s="26"/>
      <c r="T33" s="22"/>
      <c r="U33" s="37"/>
    </row>
    <row r="34" spans="1:21" s="129" customFormat="1" x14ac:dyDescent="0.25">
      <c r="A34" s="165" t="s">
        <v>1399</v>
      </c>
      <c r="B34" s="490" t="s">
        <v>1386</v>
      </c>
      <c r="C34" s="491"/>
      <c r="D34" s="491"/>
      <c r="E34" s="491"/>
      <c r="F34" s="491"/>
      <c r="G34" s="491"/>
      <c r="H34" s="491"/>
      <c r="I34" s="491"/>
      <c r="J34" s="491"/>
      <c r="K34" s="491"/>
      <c r="L34" s="491"/>
      <c r="M34" s="491"/>
      <c r="N34" s="491"/>
      <c r="O34" s="491"/>
      <c r="P34" s="491"/>
      <c r="Q34" s="492"/>
      <c r="R34" s="34" t="s">
        <v>0</v>
      </c>
      <c r="S34" s="34"/>
      <c r="T34" s="9">
        <f>SUM(T21:T33)</f>
        <v>6366.9000000000015</v>
      </c>
      <c r="U34" s="150"/>
    </row>
    <row r="35" spans="1:21" s="42" customFormat="1" x14ac:dyDescent="0.25">
      <c r="A35" s="161" t="s">
        <v>86</v>
      </c>
      <c r="B35" s="493" t="s">
        <v>1014</v>
      </c>
      <c r="C35" s="493"/>
      <c r="D35" s="493"/>
      <c r="E35" s="493"/>
      <c r="F35" s="493"/>
      <c r="G35" s="493"/>
      <c r="H35" s="493"/>
      <c r="I35" s="493"/>
      <c r="J35" s="493"/>
      <c r="K35" s="493"/>
      <c r="L35" s="493"/>
      <c r="M35" s="493"/>
      <c r="N35" s="493"/>
      <c r="O35" s="493"/>
      <c r="P35" s="493"/>
      <c r="Q35" s="493"/>
      <c r="R35" s="493"/>
      <c r="S35" s="43"/>
      <c r="T35" s="33"/>
      <c r="U35" s="47"/>
    </row>
    <row r="36" spans="1:21" s="42" customFormat="1" x14ac:dyDescent="0.25">
      <c r="A36" s="157"/>
      <c r="B36" s="44"/>
      <c r="C36" s="44"/>
      <c r="D36" s="44"/>
      <c r="E36" s="44"/>
      <c r="F36" s="44"/>
      <c r="G36" s="44"/>
      <c r="H36" s="44"/>
      <c r="I36" s="44"/>
      <c r="J36" s="44"/>
      <c r="K36" s="44"/>
      <c r="L36" s="44"/>
      <c r="M36" s="44"/>
      <c r="N36" s="44"/>
      <c r="O36" s="118"/>
      <c r="P36" s="44"/>
      <c r="Q36" s="44"/>
      <c r="R36" s="44"/>
      <c r="S36" s="44"/>
      <c r="T36" s="44"/>
      <c r="U36" s="47"/>
    </row>
    <row r="37" spans="1:21" s="42" customFormat="1" ht="25.5" x14ac:dyDescent="0.25">
      <c r="A37" s="166" t="s">
        <v>1247</v>
      </c>
      <c r="B37" s="27" t="s">
        <v>1017</v>
      </c>
      <c r="C37" s="28"/>
      <c r="D37" s="28"/>
      <c r="E37" s="28"/>
      <c r="F37" s="28"/>
      <c r="G37" s="28"/>
      <c r="H37" s="28"/>
      <c r="I37" s="28"/>
      <c r="J37" s="28"/>
      <c r="K37" s="28"/>
      <c r="L37" s="28"/>
      <c r="M37" s="28"/>
      <c r="N37" s="28"/>
      <c r="O37" s="60"/>
      <c r="P37" s="29"/>
      <c r="Q37" s="29"/>
      <c r="R37" s="29"/>
      <c r="S37" s="29"/>
      <c r="T37" s="23"/>
      <c r="U37" s="152"/>
    </row>
    <row r="38" spans="1:21" s="42" customFormat="1" ht="358.5" customHeight="1" x14ac:dyDescent="0.25">
      <c r="A38" s="167"/>
      <c r="B38" s="266" t="s">
        <v>1354</v>
      </c>
      <c r="C38" s="31"/>
      <c r="D38" s="31"/>
      <c r="E38" s="31"/>
      <c r="F38" s="31"/>
      <c r="G38" s="31"/>
      <c r="H38" s="31"/>
      <c r="I38" s="31"/>
      <c r="J38" s="31"/>
      <c r="K38" s="31"/>
      <c r="L38" s="31"/>
      <c r="M38" s="31"/>
      <c r="N38" s="31"/>
      <c r="O38" s="58"/>
      <c r="P38" s="26"/>
      <c r="Q38" s="26"/>
      <c r="R38" s="26"/>
      <c r="S38" s="26"/>
      <c r="T38" s="38"/>
      <c r="U38" s="152"/>
    </row>
    <row r="39" spans="1:21" s="42" customFormat="1" ht="153" x14ac:dyDescent="0.25">
      <c r="A39" s="167"/>
      <c r="B39" s="266" t="s">
        <v>1355</v>
      </c>
      <c r="C39" s="31"/>
      <c r="D39" s="31"/>
      <c r="E39" s="31"/>
      <c r="F39" s="31"/>
      <c r="G39" s="31"/>
      <c r="H39" s="31"/>
      <c r="I39" s="31"/>
      <c r="J39" s="31"/>
      <c r="K39" s="31"/>
      <c r="L39" s="31"/>
      <c r="M39" s="31"/>
      <c r="N39" s="31"/>
      <c r="O39" s="58"/>
      <c r="P39" s="26"/>
      <c r="Q39" s="26"/>
      <c r="R39" s="26"/>
      <c r="S39" s="26"/>
      <c r="T39" s="38"/>
      <c r="U39" s="152"/>
    </row>
    <row r="40" spans="1:21" s="42" customFormat="1" ht="63.75" x14ac:dyDescent="0.25">
      <c r="A40" s="167"/>
      <c r="B40" s="266" t="s">
        <v>1356</v>
      </c>
      <c r="C40" s="31"/>
      <c r="D40" s="31"/>
      <c r="E40" s="31"/>
      <c r="F40" s="31"/>
      <c r="G40" s="31"/>
      <c r="H40" s="31"/>
      <c r="I40" s="31"/>
      <c r="J40" s="31"/>
      <c r="K40" s="31"/>
      <c r="L40" s="31"/>
      <c r="M40" s="31"/>
      <c r="N40" s="31"/>
      <c r="O40" s="58"/>
      <c r="P40" s="26"/>
      <c r="Q40" s="26"/>
      <c r="R40" s="26"/>
      <c r="S40" s="26"/>
      <c r="T40" s="38"/>
      <c r="U40" s="152"/>
    </row>
    <row r="41" spans="1:21" s="42" customFormat="1" ht="63.75" x14ac:dyDescent="0.25">
      <c r="A41" s="167"/>
      <c r="B41" s="266" t="s">
        <v>1357</v>
      </c>
      <c r="C41" s="31"/>
      <c r="D41" s="31"/>
      <c r="E41" s="31"/>
      <c r="F41" s="31"/>
      <c r="G41" s="31"/>
      <c r="H41" s="31"/>
      <c r="I41" s="31"/>
      <c r="J41" s="31"/>
      <c r="K41" s="31"/>
      <c r="L41" s="31"/>
      <c r="M41" s="31"/>
      <c r="N41" s="31"/>
      <c r="O41" s="58"/>
      <c r="P41" s="26"/>
      <c r="Q41" s="26"/>
      <c r="R41" s="26"/>
      <c r="S41" s="26"/>
      <c r="T41" s="38"/>
      <c r="U41" s="152"/>
    </row>
    <row r="42" spans="1:21" s="42" customFormat="1" ht="179.25" thickBot="1" x14ac:dyDescent="0.3">
      <c r="A42" s="167"/>
      <c r="B42" s="266" t="s">
        <v>1358</v>
      </c>
      <c r="C42" s="31"/>
      <c r="D42" s="31"/>
      <c r="E42" s="31"/>
      <c r="F42" s="31"/>
      <c r="G42" s="31"/>
      <c r="H42" s="31"/>
      <c r="I42" s="31"/>
      <c r="J42" s="31"/>
      <c r="K42" s="31"/>
      <c r="L42" s="31"/>
      <c r="M42" s="31"/>
      <c r="N42" s="31"/>
      <c r="O42" s="58"/>
      <c r="P42" s="26"/>
      <c r="Q42" s="26"/>
      <c r="R42" s="26"/>
      <c r="S42" s="26"/>
      <c r="T42" s="38"/>
      <c r="U42" s="152"/>
    </row>
    <row r="43" spans="1:21" s="219" customFormat="1" ht="15.75" thickBot="1" x14ac:dyDescent="0.3">
      <c r="A43" s="209"/>
      <c r="B43" s="210" t="s">
        <v>1359</v>
      </c>
      <c r="C43" s="211" t="s">
        <v>1335</v>
      </c>
      <c r="D43" s="212">
        <f t="shared" ref="D43:M43" si="3">D$4*0</f>
        <v>0</v>
      </c>
      <c r="E43" s="212">
        <f t="shared" si="3"/>
        <v>0</v>
      </c>
      <c r="F43" s="213">
        <f t="shared" si="3"/>
        <v>0</v>
      </c>
      <c r="G43" s="213">
        <f t="shared" si="3"/>
        <v>0</v>
      </c>
      <c r="H43" s="213">
        <f t="shared" si="3"/>
        <v>0</v>
      </c>
      <c r="I43" s="213">
        <f t="shared" si="3"/>
        <v>0</v>
      </c>
      <c r="J43" s="213">
        <f t="shared" si="3"/>
        <v>0</v>
      </c>
      <c r="K43" s="213">
        <f t="shared" si="3"/>
        <v>0</v>
      </c>
      <c r="L43" s="213">
        <f t="shared" si="3"/>
        <v>0</v>
      </c>
      <c r="M43" s="213">
        <f t="shared" si="3"/>
        <v>0</v>
      </c>
      <c r="N43" s="214">
        <f>N$4*700</f>
        <v>700</v>
      </c>
      <c r="O43" s="215">
        <f>SUM(D43:N43)</f>
        <v>700</v>
      </c>
      <c r="P43" s="216">
        <v>74</v>
      </c>
      <c r="Q43" s="216">
        <v>0</v>
      </c>
      <c r="R43" s="216">
        <f>P43+Q43</f>
        <v>74</v>
      </c>
      <c r="S43" s="216"/>
      <c r="T43" s="217">
        <f>R43*O43</f>
        <v>51800</v>
      </c>
      <c r="U43" s="218"/>
    </row>
    <row r="44" spans="1:21" s="42" customFormat="1" x14ac:dyDescent="0.25">
      <c r="A44" s="157"/>
      <c r="B44" s="44"/>
      <c r="C44" s="44"/>
      <c r="D44" s="44"/>
      <c r="E44" s="44"/>
      <c r="F44" s="44"/>
      <c r="G44" s="44"/>
      <c r="H44" s="44"/>
      <c r="I44" s="44"/>
      <c r="J44" s="44"/>
      <c r="K44" s="44"/>
      <c r="L44" s="44"/>
      <c r="M44" s="44"/>
      <c r="N44" s="44"/>
      <c r="O44" s="118"/>
      <c r="P44" s="44"/>
      <c r="Q44" s="44"/>
      <c r="R44" s="44"/>
      <c r="S44" s="44"/>
      <c r="T44" s="44"/>
      <c r="U44" s="47"/>
    </row>
    <row r="45" spans="1:21" s="42" customFormat="1" ht="38.25" x14ac:dyDescent="0.25">
      <c r="A45" s="166" t="s">
        <v>1248</v>
      </c>
      <c r="B45" s="27" t="s">
        <v>1018</v>
      </c>
      <c r="C45" s="28"/>
      <c r="D45" s="28"/>
      <c r="E45" s="28"/>
      <c r="F45" s="28"/>
      <c r="G45" s="28"/>
      <c r="H45" s="28"/>
      <c r="I45" s="28"/>
      <c r="J45" s="28"/>
      <c r="K45" s="28"/>
      <c r="L45" s="28"/>
      <c r="M45" s="28"/>
      <c r="N45" s="28"/>
      <c r="O45" s="60"/>
      <c r="P45" s="29"/>
      <c r="Q45" s="29"/>
      <c r="R45" s="29"/>
      <c r="S45" s="29"/>
      <c r="T45" s="23"/>
      <c r="U45" s="152"/>
    </row>
    <row r="46" spans="1:21" s="42" customFormat="1" ht="230.25" customHeight="1" x14ac:dyDescent="0.25">
      <c r="A46" s="167"/>
      <c r="B46" s="266" t="s">
        <v>1360</v>
      </c>
      <c r="C46" s="31"/>
      <c r="D46" s="31"/>
      <c r="E46" s="31"/>
      <c r="F46" s="31"/>
      <c r="G46" s="31"/>
      <c r="H46" s="31"/>
      <c r="I46" s="31"/>
      <c r="J46" s="31"/>
      <c r="K46" s="31"/>
      <c r="L46" s="31"/>
      <c r="M46" s="31"/>
      <c r="N46" s="31"/>
      <c r="O46" s="58"/>
      <c r="P46" s="26"/>
      <c r="Q46" s="26"/>
      <c r="R46" s="26"/>
      <c r="S46" s="26"/>
      <c r="T46" s="38"/>
      <c r="U46" s="152"/>
    </row>
    <row r="47" spans="1:21" s="42" customFormat="1" ht="63.75" x14ac:dyDescent="0.25">
      <c r="A47" s="167"/>
      <c r="B47" s="266" t="s">
        <v>1220</v>
      </c>
      <c r="C47" s="31"/>
      <c r="D47" s="31"/>
      <c r="E47" s="31"/>
      <c r="F47" s="31"/>
      <c r="G47" s="31"/>
      <c r="H47" s="31"/>
      <c r="I47" s="31"/>
      <c r="J47" s="31"/>
      <c r="K47" s="31"/>
      <c r="L47" s="31"/>
      <c r="M47" s="31"/>
      <c r="N47" s="31"/>
      <c r="O47" s="58"/>
      <c r="P47" s="26"/>
      <c r="Q47" s="26"/>
      <c r="R47" s="26"/>
      <c r="S47" s="26"/>
      <c r="T47" s="38"/>
      <c r="U47" s="152"/>
    </row>
    <row r="48" spans="1:21" s="42" customFormat="1" ht="64.5" thickBot="1" x14ac:dyDescent="0.3">
      <c r="A48" s="167"/>
      <c r="B48" s="266" t="s">
        <v>1361</v>
      </c>
      <c r="C48" s="31"/>
      <c r="D48" s="31"/>
      <c r="E48" s="31"/>
      <c r="F48" s="31"/>
      <c r="G48" s="31"/>
      <c r="H48" s="31"/>
      <c r="I48" s="31"/>
      <c r="J48" s="31"/>
      <c r="K48" s="31"/>
      <c r="L48" s="31"/>
      <c r="M48" s="31"/>
      <c r="N48" s="31"/>
      <c r="O48" s="58"/>
      <c r="P48" s="26"/>
      <c r="Q48" s="26"/>
      <c r="R48" s="26"/>
      <c r="S48" s="26"/>
      <c r="T48" s="38"/>
      <c r="U48" s="152"/>
    </row>
    <row r="49" spans="1:21" s="219" customFormat="1" ht="15.75" thickBot="1" x14ac:dyDescent="0.3">
      <c r="A49" s="209"/>
      <c r="B49" s="210" t="s">
        <v>1359</v>
      </c>
      <c r="C49" s="211" t="s">
        <v>1335</v>
      </c>
      <c r="D49" s="212">
        <f t="shared" ref="D49:M49" si="4">D$4*0</f>
        <v>0</v>
      </c>
      <c r="E49" s="212">
        <f t="shared" si="4"/>
        <v>0</v>
      </c>
      <c r="F49" s="213">
        <f t="shared" si="4"/>
        <v>0</v>
      </c>
      <c r="G49" s="213">
        <f t="shared" si="4"/>
        <v>0</v>
      </c>
      <c r="H49" s="213">
        <f t="shared" si="4"/>
        <v>0</v>
      </c>
      <c r="I49" s="213">
        <f t="shared" si="4"/>
        <v>0</v>
      </c>
      <c r="J49" s="213">
        <f t="shared" si="4"/>
        <v>0</v>
      </c>
      <c r="K49" s="213">
        <f t="shared" si="4"/>
        <v>0</v>
      </c>
      <c r="L49" s="213">
        <f t="shared" si="4"/>
        <v>0</v>
      </c>
      <c r="M49" s="213">
        <f t="shared" si="4"/>
        <v>0</v>
      </c>
      <c r="N49" s="214">
        <v>55</v>
      </c>
      <c r="O49" s="215">
        <f>SUM(D49:N49)</f>
        <v>55</v>
      </c>
      <c r="P49" s="216">
        <v>55</v>
      </c>
      <c r="Q49" s="216">
        <v>0</v>
      </c>
      <c r="R49" s="216">
        <f>P49+Q49</f>
        <v>55</v>
      </c>
      <c r="S49" s="216"/>
      <c r="T49" s="217">
        <f>R49*O49</f>
        <v>3025</v>
      </c>
      <c r="U49" s="218"/>
    </row>
    <row r="50" spans="1:21" s="42" customFormat="1" x14ac:dyDescent="0.25">
      <c r="A50" s="157"/>
      <c r="B50" s="44"/>
      <c r="C50" s="44"/>
      <c r="D50" s="44"/>
      <c r="E50" s="44"/>
      <c r="F50" s="44"/>
      <c r="G50" s="44"/>
      <c r="H50" s="44"/>
      <c r="I50" s="44"/>
      <c r="J50" s="44"/>
      <c r="K50" s="44"/>
      <c r="L50" s="44"/>
      <c r="M50" s="44"/>
      <c r="N50" s="44"/>
      <c r="O50" s="118"/>
      <c r="P50" s="44"/>
      <c r="Q50" s="44"/>
      <c r="R50" s="44"/>
      <c r="S50" s="44"/>
      <c r="T50" s="44"/>
      <c r="U50" s="47"/>
    </row>
    <row r="51" spans="1:21" s="42" customFormat="1" ht="25.5" x14ac:dyDescent="0.25">
      <c r="A51" s="166" t="s">
        <v>1249</v>
      </c>
      <c r="B51" s="27" t="s">
        <v>1023</v>
      </c>
      <c r="C51" s="28"/>
      <c r="D51" s="28"/>
      <c r="E51" s="28"/>
      <c r="F51" s="28"/>
      <c r="G51" s="28"/>
      <c r="H51" s="28"/>
      <c r="I51" s="28"/>
      <c r="J51" s="28"/>
      <c r="K51" s="28"/>
      <c r="L51" s="28"/>
      <c r="M51" s="28"/>
      <c r="N51" s="28"/>
      <c r="O51" s="60"/>
      <c r="P51" s="29"/>
      <c r="Q51" s="29"/>
      <c r="R51" s="29"/>
      <c r="S51" s="29"/>
      <c r="T51" s="23"/>
      <c r="U51" s="152"/>
    </row>
    <row r="52" spans="1:21" s="42" customFormat="1" ht="51.75" thickBot="1" x14ac:dyDescent="0.3">
      <c r="A52" s="167"/>
      <c r="B52" s="266" t="s">
        <v>1362</v>
      </c>
      <c r="C52" s="31"/>
      <c r="D52" s="31"/>
      <c r="E52" s="31"/>
      <c r="F52" s="31"/>
      <c r="G52" s="31"/>
      <c r="H52" s="31"/>
      <c r="I52" s="31"/>
      <c r="J52" s="31"/>
      <c r="K52" s="31"/>
      <c r="L52" s="31"/>
      <c r="M52" s="31"/>
      <c r="N52" s="31"/>
      <c r="O52" s="58"/>
      <c r="P52" s="26"/>
      <c r="Q52" s="26"/>
      <c r="R52" s="26"/>
      <c r="S52" s="26"/>
      <c r="T52" s="38"/>
      <c r="U52" s="152"/>
    </row>
    <row r="53" spans="1:21" s="219" customFormat="1" ht="15.75" thickBot="1" x14ac:dyDescent="0.3">
      <c r="A53" s="209"/>
      <c r="B53" s="210" t="s">
        <v>1359</v>
      </c>
      <c r="C53" s="211" t="s">
        <v>1335</v>
      </c>
      <c r="D53" s="212">
        <f t="shared" ref="D53:M53" si="5">D$4*0</f>
        <v>0</v>
      </c>
      <c r="E53" s="212">
        <f t="shared" si="5"/>
        <v>0</v>
      </c>
      <c r="F53" s="213">
        <f t="shared" si="5"/>
        <v>0</v>
      </c>
      <c r="G53" s="213">
        <f t="shared" si="5"/>
        <v>0</v>
      </c>
      <c r="H53" s="213">
        <f t="shared" si="5"/>
        <v>0</v>
      </c>
      <c r="I53" s="213">
        <f t="shared" si="5"/>
        <v>0</v>
      </c>
      <c r="J53" s="213">
        <f t="shared" si="5"/>
        <v>0</v>
      </c>
      <c r="K53" s="213">
        <f t="shared" si="5"/>
        <v>0</v>
      </c>
      <c r="L53" s="213">
        <f t="shared" si="5"/>
        <v>0</v>
      </c>
      <c r="M53" s="213">
        <f t="shared" si="5"/>
        <v>0</v>
      </c>
      <c r="N53" s="214">
        <f>N$4*55</f>
        <v>55</v>
      </c>
      <c r="O53" s="215">
        <f>SUM(D53:N53)</f>
        <v>55</v>
      </c>
      <c r="P53" s="216">
        <v>0</v>
      </c>
      <c r="Q53" s="216">
        <v>0</v>
      </c>
      <c r="R53" s="216">
        <f>P53+Q53</f>
        <v>0</v>
      </c>
      <c r="S53" s="216"/>
      <c r="T53" s="217">
        <f>R53*O53</f>
        <v>0</v>
      </c>
      <c r="U53" s="218"/>
    </row>
    <row r="54" spans="1:21" s="42" customFormat="1" x14ac:dyDescent="0.25">
      <c r="A54" s="157"/>
      <c r="B54" s="44"/>
      <c r="C54" s="44"/>
      <c r="D54" s="44"/>
      <c r="E54" s="44"/>
      <c r="F54" s="44"/>
      <c r="G54" s="44"/>
      <c r="H54" s="44"/>
      <c r="I54" s="44"/>
      <c r="J54" s="44"/>
      <c r="K54" s="44"/>
      <c r="L54" s="44"/>
      <c r="M54" s="44"/>
      <c r="N54" s="44"/>
      <c r="O54" s="118"/>
      <c r="P54" s="44"/>
      <c r="Q54" s="44"/>
      <c r="R54" s="44"/>
      <c r="S54" s="44"/>
      <c r="T54" s="44"/>
      <c r="U54" s="47"/>
    </row>
    <row r="55" spans="1:21" s="42" customFormat="1" ht="38.25" x14ac:dyDescent="0.25">
      <c r="A55" s="166" t="s">
        <v>1250</v>
      </c>
      <c r="B55" s="27" t="s">
        <v>1019</v>
      </c>
      <c r="C55" s="28"/>
      <c r="D55" s="28"/>
      <c r="E55" s="28"/>
      <c r="F55" s="28"/>
      <c r="G55" s="28"/>
      <c r="H55" s="28"/>
      <c r="I55" s="28"/>
      <c r="J55" s="28"/>
      <c r="K55" s="28"/>
      <c r="L55" s="28"/>
      <c r="M55" s="28"/>
      <c r="N55" s="28"/>
      <c r="O55" s="60"/>
      <c r="P55" s="29"/>
      <c r="Q55" s="29"/>
      <c r="R55" s="29"/>
      <c r="S55" s="29"/>
      <c r="T55" s="23"/>
      <c r="U55" s="152"/>
    </row>
    <row r="56" spans="1:21" s="42" customFormat="1" ht="355.5" customHeight="1" x14ac:dyDescent="0.25">
      <c r="A56" s="167"/>
      <c r="B56" s="30" t="s">
        <v>1363</v>
      </c>
      <c r="C56" s="31"/>
      <c r="D56" s="31"/>
      <c r="E56" s="31"/>
      <c r="F56" s="31"/>
      <c r="G56" s="31"/>
      <c r="H56" s="31"/>
      <c r="I56" s="31"/>
      <c r="J56" s="31"/>
      <c r="K56" s="31"/>
      <c r="L56" s="31"/>
      <c r="M56" s="31"/>
      <c r="N56" s="31"/>
      <c r="O56" s="58"/>
      <c r="P56" s="26"/>
      <c r="Q56" s="26"/>
      <c r="R56" s="26"/>
      <c r="S56" s="26"/>
      <c r="T56" s="38"/>
      <c r="U56" s="152"/>
    </row>
    <row r="57" spans="1:21" s="42" customFormat="1" ht="26.25" thickBot="1" x14ac:dyDescent="0.3">
      <c r="A57" s="167"/>
      <c r="B57" s="30" t="s">
        <v>1020</v>
      </c>
      <c r="C57" s="31"/>
      <c r="D57" s="31"/>
      <c r="E57" s="31"/>
      <c r="F57" s="31"/>
      <c r="G57" s="31"/>
      <c r="H57" s="31"/>
      <c r="I57" s="31"/>
      <c r="J57" s="31"/>
      <c r="K57" s="31"/>
      <c r="L57" s="31"/>
      <c r="M57" s="31"/>
      <c r="N57" s="31"/>
      <c r="O57" s="58"/>
      <c r="P57" s="26"/>
      <c r="Q57" s="26"/>
      <c r="R57" s="26"/>
      <c r="S57" s="26"/>
      <c r="T57" s="38"/>
      <c r="U57" s="152"/>
    </row>
    <row r="58" spans="1:21" s="219" customFormat="1" ht="15.75" thickBot="1" x14ac:dyDescent="0.3">
      <c r="A58" s="209"/>
      <c r="B58" s="210" t="s">
        <v>1359</v>
      </c>
      <c r="C58" s="211" t="s">
        <v>1335</v>
      </c>
      <c r="D58" s="212">
        <f t="shared" ref="D58:M58" si="6">D$4*0</f>
        <v>0</v>
      </c>
      <c r="E58" s="212">
        <f t="shared" si="6"/>
        <v>0</v>
      </c>
      <c r="F58" s="213">
        <f t="shared" si="6"/>
        <v>0</v>
      </c>
      <c r="G58" s="213">
        <f t="shared" si="6"/>
        <v>0</v>
      </c>
      <c r="H58" s="213">
        <f t="shared" si="6"/>
        <v>0</v>
      </c>
      <c r="I58" s="213">
        <f t="shared" si="6"/>
        <v>0</v>
      </c>
      <c r="J58" s="213">
        <f t="shared" si="6"/>
        <v>0</v>
      </c>
      <c r="K58" s="213">
        <f t="shared" si="6"/>
        <v>0</v>
      </c>
      <c r="L58" s="213">
        <f t="shared" si="6"/>
        <v>0</v>
      </c>
      <c r="M58" s="213">
        <f t="shared" si="6"/>
        <v>0</v>
      </c>
      <c r="N58" s="214">
        <f>N$4*20</f>
        <v>20</v>
      </c>
      <c r="O58" s="215">
        <f>SUM(D58:N58)</f>
        <v>20</v>
      </c>
      <c r="P58" s="216">
        <v>90</v>
      </c>
      <c r="Q58" s="216">
        <v>0</v>
      </c>
      <c r="R58" s="216">
        <f>P58+Q58</f>
        <v>90</v>
      </c>
      <c r="S58" s="216"/>
      <c r="T58" s="217">
        <f>R58*O58</f>
        <v>1800</v>
      </c>
      <c r="U58" s="218"/>
    </row>
    <row r="59" spans="1:21" s="32" customFormat="1" ht="12.75" x14ac:dyDescent="0.2">
      <c r="A59" s="159"/>
      <c r="B59" s="31"/>
      <c r="C59" s="25"/>
      <c r="D59" s="25"/>
      <c r="E59" s="25"/>
      <c r="F59" s="25"/>
      <c r="G59" s="25"/>
      <c r="H59" s="25"/>
      <c r="I59" s="25"/>
      <c r="J59" s="25"/>
      <c r="K59" s="25"/>
      <c r="L59" s="25"/>
      <c r="M59" s="25"/>
      <c r="N59" s="25"/>
      <c r="O59" s="58"/>
      <c r="P59" s="26"/>
      <c r="Q59" s="26"/>
      <c r="R59" s="26"/>
      <c r="S59" s="26"/>
      <c r="T59" s="35"/>
      <c r="U59" s="37"/>
    </row>
    <row r="60" spans="1:21" s="32" customFormat="1" ht="12.75" x14ac:dyDescent="0.2">
      <c r="A60" s="159"/>
      <c r="B60" s="31"/>
      <c r="C60" s="25"/>
      <c r="D60" s="25"/>
      <c r="E60" s="25"/>
      <c r="F60" s="25"/>
      <c r="G60" s="25"/>
      <c r="H60" s="25"/>
      <c r="I60" s="25"/>
      <c r="J60" s="25"/>
      <c r="K60" s="25"/>
      <c r="L60" s="25"/>
      <c r="M60" s="25"/>
      <c r="N60" s="25"/>
      <c r="O60" s="58"/>
      <c r="P60" s="26"/>
      <c r="Q60" s="26"/>
      <c r="R60" s="26"/>
      <c r="S60" s="26"/>
      <c r="T60" s="35"/>
      <c r="U60" s="37"/>
    </row>
    <row r="61" spans="1:21" s="129" customFormat="1" x14ac:dyDescent="0.25">
      <c r="A61" s="165" t="s">
        <v>1251</v>
      </c>
      <c r="B61" s="490" t="s">
        <v>1014</v>
      </c>
      <c r="C61" s="491"/>
      <c r="D61" s="491"/>
      <c r="E61" s="491"/>
      <c r="F61" s="491"/>
      <c r="G61" s="491"/>
      <c r="H61" s="491"/>
      <c r="I61" s="491"/>
      <c r="J61" s="491"/>
      <c r="K61" s="491"/>
      <c r="L61" s="491"/>
      <c r="M61" s="491"/>
      <c r="N61" s="491"/>
      <c r="O61" s="491"/>
      <c r="P61" s="491"/>
      <c r="Q61" s="492"/>
      <c r="R61" s="34" t="s">
        <v>0</v>
      </c>
      <c r="S61" s="34"/>
      <c r="T61" s="9">
        <f>SUM(T8:T60)</f>
        <v>77158.8</v>
      </c>
      <c r="U61" s="150"/>
    </row>
    <row r="63" spans="1:21" s="132" customFormat="1" ht="15.75" x14ac:dyDescent="0.25">
      <c r="A63" s="165" t="s">
        <v>1251</v>
      </c>
      <c r="B63" s="130" t="s">
        <v>1315</v>
      </c>
      <c r="C63" s="49"/>
      <c r="D63" s="49"/>
      <c r="E63" s="49"/>
      <c r="F63" s="49"/>
      <c r="G63" s="49"/>
      <c r="H63" s="49"/>
      <c r="I63" s="49"/>
      <c r="J63" s="49"/>
      <c r="K63" s="49"/>
      <c r="L63" s="49"/>
      <c r="M63" s="49"/>
      <c r="N63" s="49"/>
      <c r="O63" s="131"/>
      <c r="P63" s="49"/>
      <c r="Q63" s="49"/>
      <c r="R63" s="476" t="s">
        <v>57</v>
      </c>
      <c r="S63" s="476"/>
      <c r="T63" s="50">
        <f>T61*5</f>
        <v>385794</v>
      </c>
      <c r="U63" s="151"/>
    </row>
    <row r="65" spans="1:17" s="42" customFormat="1" ht="15.75" thickBot="1" x14ac:dyDescent="0.3">
      <c r="A65" s="157"/>
      <c r="B65" s="44"/>
      <c r="C65" s="44"/>
      <c r="D65" s="172"/>
      <c r="E65" s="44"/>
      <c r="F65" s="44"/>
      <c r="G65" s="44"/>
      <c r="H65" s="44"/>
      <c r="I65" s="44"/>
      <c r="J65" s="44"/>
      <c r="K65" s="118"/>
      <c r="L65" s="44"/>
      <c r="M65" s="44"/>
      <c r="N65" s="44"/>
      <c r="O65" s="44"/>
      <c r="P65" s="44"/>
      <c r="Q65" s="47"/>
    </row>
    <row r="66" spans="1:17" s="42" customFormat="1" ht="50.1" customHeight="1" thickBot="1" x14ac:dyDescent="0.3">
      <c r="A66" s="119" t="s">
        <v>8</v>
      </c>
      <c r="B66" s="119" t="s">
        <v>7</v>
      </c>
      <c r="C66" s="120" t="s">
        <v>6</v>
      </c>
      <c r="D66" s="487"/>
      <c r="E66" s="487"/>
      <c r="F66" s="487"/>
      <c r="G66" s="487"/>
      <c r="H66" s="487"/>
      <c r="I66" s="487"/>
      <c r="J66" s="487"/>
      <c r="K66" s="121" t="s">
        <v>54</v>
      </c>
      <c r="L66" s="122" t="s">
        <v>5</v>
      </c>
      <c r="M66" s="121" t="s">
        <v>4</v>
      </c>
      <c r="N66" s="121" t="s">
        <v>1004</v>
      </c>
      <c r="O66" s="121"/>
      <c r="P66" s="119" t="s">
        <v>1005</v>
      </c>
      <c r="Q66" s="47"/>
    </row>
    <row r="67" spans="1:17" s="42" customFormat="1" ht="50.1" customHeight="1" thickBot="1" x14ac:dyDescent="0.3">
      <c r="A67" s="123"/>
      <c r="B67" s="123"/>
      <c r="C67" s="124"/>
      <c r="D67" s="477" t="s">
        <v>1283</v>
      </c>
      <c r="E67" s="478"/>
      <c r="F67" s="478"/>
      <c r="G67" s="478"/>
      <c r="H67" s="478"/>
      <c r="I67" s="478"/>
      <c r="J67" s="479"/>
      <c r="K67" s="125"/>
      <c r="L67" s="124"/>
      <c r="M67" s="124"/>
      <c r="N67" s="124"/>
      <c r="O67" s="124"/>
      <c r="P67" s="123"/>
      <c r="Q67" s="47"/>
    </row>
    <row r="68" spans="1:17" s="42" customFormat="1" ht="62.25" customHeight="1" x14ac:dyDescent="0.25">
      <c r="A68" s="123"/>
      <c r="B68" s="123"/>
      <c r="C68" s="124"/>
      <c r="D68" s="173" t="s">
        <v>1284</v>
      </c>
      <c r="E68" s="46" t="s">
        <v>1285</v>
      </c>
      <c r="F68" s="46" t="s">
        <v>1286</v>
      </c>
      <c r="G68" s="46" t="s">
        <v>1287</v>
      </c>
      <c r="H68" s="46" t="s">
        <v>1288</v>
      </c>
      <c r="I68" s="154" t="s">
        <v>1208</v>
      </c>
      <c r="J68" s="126" t="s">
        <v>1003</v>
      </c>
      <c r="K68" s="125"/>
      <c r="L68" s="124"/>
      <c r="M68" s="124"/>
      <c r="N68" s="124"/>
      <c r="O68" s="124"/>
      <c r="P68" s="123"/>
      <c r="Q68" s="47"/>
    </row>
    <row r="69" spans="1:17" s="32" customFormat="1" ht="12.75" x14ac:dyDescent="0.2">
      <c r="A69" s="159"/>
      <c r="B69" s="30"/>
      <c r="C69" s="25"/>
      <c r="D69" s="174"/>
      <c r="E69" s="25"/>
      <c r="F69" s="25"/>
      <c r="G69" s="25"/>
      <c r="H69" s="25"/>
      <c r="I69" s="25"/>
      <c r="J69" s="25"/>
      <c r="K69" s="58"/>
      <c r="L69" s="26"/>
      <c r="M69" s="26"/>
      <c r="N69" s="26"/>
      <c r="O69" s="26"/>
      <c r="P69" s="22"/>
      <c r="Q69" s="37"/>
    </row>
    <row r="70" spans="1:17" s="32" customFormat="1" ht="12.75" x14ac:dyDescent="0.2">
      <c r="A70" s="159"/>
      <c r="B70" s="31"/>
      <c r="C70" s="25"/>
      <c r="D70" s="174"/>
      <c r="E70" s="25"/>
      <c r="F70" s="25"/>
      <c r="G70" s="25"/>
      <c r="H70" s="25"/>
      <c r="I70" s="25"/>
      <c r="J70" s="25"/>
      <c r="K70" s="58"/>
      <c r="L70" s="26"/>
      <c r="M70" s="26"/>
      <c r="N70" s="26"/>
      <c r="O70" s="26"/>
      <c r="P70" s="35"/>
      <c r="Q70" s="37"/>
    </row>
    <row r="71" spans="1:17" s="117" customFormat="1" ht="15.75" x14ac:dyDescent="0.25">
      <c r="A71" s="160" t="s">
        <v>53</v>
      </c>
      <c r="B71" s="39" t="s">
        <v>1304</v>
      </c>
      <c r="C71" s="40"/>
      <c r="D71" s="175"/>
      <c r="E71" s="40"/>
      <c r="F71" s="40"/>
      <c r="G71" s="40"/>
      <c r="H71" s="40"/>
      <c r="I71" s="40"/>
      <c r="J71" s="40"/>
      <c r="K71" s="59"/>
      <c r="L71" s="40"/>
      <c r="M71" s="40"/>
      <c r="N71" s="40"/>
      <c r="O71" s="40"/>
      <c r="P71" s="41"/>
      <c r="Q71" s="149"/>
    </row>
    <row r="72" spans="1:17" s="32" customFormat="1" ht="12.75" x14ac:dyDescent="0.2">
      <c r="A72" s="159"/>
      <c r="B72" s="31"/>
      <c r="C72" s="25"/>
      <c r="D72" s="174"/>
      <c r="E72" s="25"/>
      <c r="F72" s="25"/>
      <c r="G72" s="25"/>
      <c r="H72" s="25"/>
      <c r="I72" s="25"/>
      <c r="J72" s="25"/>
      <c r="K72" s="58"/>
      <c r="L72" s="26"/>
      <c r="M72" s="26"/>
      <c r="N72" s="26"/>
      <c r="O72" s="26"/>
      <c r="P72" s="35"/>
      <c r="Q72" s="37"/>
    </row>
    <row r="73" spans="1:17" s="32" customFormat="1" ht="12.75" x14ac:dyDescent="0.2">
      <c r="A73" s="163"/>
      <c r="B73" s="5"/>
      <c r="C73" s="25"/>
      <c r="D73" s="178"/>
      <c r="E73" s="26"/>
      <c r="F73" s="26"/>
      <c r="G73" s="26"/>
      <c r="H73" s="26"/>
      <c r="I73" s="26"/>
      <c r="J73" s="26"/>
      <c r="K73" s="58"/>
      <c r="L73" s="26"/>
      <c r="M73" s="26"/>
      <c r="N73" s="26"/>
      <c r="O73" s="26"/>
      <c r="P73" s="22"/>
      <c r="Q73" s="37"/>
    </row>
    <row r="74" spans="1:17" s="32" customFormat="1" ht="12.75" x14ac:dyDescent="0.2">
      <c r="A74" s="162" t="s">
        <v>1233</v>
      </c>
      <c r="B74" s="144" t="s">
        <v>1234</v>
      </c>
      <c r="C74" s="135"/>
      <c r="D74" s="176"/>
      <c r="E74" s="135"/>
      <c r="F74" s="135"/>
      <c r="G74" s="135"/>
      <c r="H74" s="135"/>
      <c r="I74" s="135"/>
      <c r="J74" s="135"/>
      <c r="K74" s="60"/>
      <c r="L74" s="29"/>
      <c r="M74" s="29"/>
      <c r="N74" s="29"/>
      <c r="O74" s="29"/>
      <c r="P74" s="136"/>
      <c r="Q74" s="37"/>
    </row>
    <row r="75" spans="1:17" s="32" customFormat="1" ht="204" x14ac:dyDescent="0.2">
      <c r="A75" s="163"/>
      <c r="B75" s="138" t="s">
        <v>1237</v>
      </c>
      <c r="C75" s="25"/>
      <c r="D75" s="174"/>
      <c r="E75" s="25"/>
      <c r="F75" s="25"/>
      <c r="G75" s="25"/>
      <c r="H75" s="25"/>
      <c r="I75" s="25"/>
      <c r="J75" s="25"/>
      <c r="K75" s="58"/>
      <c r="L75" s="26"/>
      <c r="M75" s="26"/>
      <c r="N75" s="26"/>
      <c r="O75" s="26"/>
      <c r="P75" s="35"/>
      <c r="Q75" s="37"/>
    </row>
    <row r="76" spans="1:17" s="32" customFormat="1" ht="140.25" x14ac:dyDescent="0.2">
      <c r="A76" s="163"/>
      <c r="B76" s="141" t="s">
        <v>1235</v>
      </c>
      <c r="C76" s="25"/>
      <c r="D76" s="174"/>
      <c r="E76" s="25"/>
      <c r="F76" s="25"/>
      <c r="G76" s="25"/>
      <c r="H76" s="25"/>
      <c r="I76" s="25"/>
      <c r="J76" s="25"/>
      <c r="K76" s="58"/>
      <c r="L76" s="26"/>
      <c r="M76" s="26"/>
      <c r="N76" s="26"/>
      <c r="O76" s="26"/>
      <c r="P76" s="35"/>
      <c r="Q76" s="37"/>
    </row>
    <row r="77" spans="1:17" s="32" customFormat="1" ht="25.5" x14ac:dyDescent="0.2">
      <c r="A77" s="164"/>
      <c r="B77" s="138" t="s">
        <v>1236</v>
      </c>
      <c r="C77" s="25"/>
      <c r="D77" s="174"/>
      <c r="E77" s="25"/>
      <c r="F77" s="25"/>
      <c r="G77" s="25"/>
      <c r="H77" s="25"/>
      <c r="I77" s="25"/>
      <c r="J77" s="25"/>
      <c r="K77" s="58"/>
      <c r="L77" s="26"/>
      <c r="M77" s="26"/>
      <c r="N77" s="26"/>
      <c r="O77" s="26"/>
      <c r="P77" s="35"/>
      <c r="Q77" s="37"/>
    </row>
    <row r="78" spans="1:17" s="32" customFormat="1" ht="26.25" thickBot="1" x14ac:dyDescent="0.25">
      <c r="A78" s="164"/>
      <c r="B78" s="146" t="s">
        <v>1238</v>
      </c>
      <c r="C78" s="135" t="s">
        <v>55</v>
      </c>
      <c r="D78" s="177">
        <f t="shared" ref="D78:I78" si="7">D$4*0</f>
        <v>0</v>
      </c>
      <c r="E78" s="36">
        <f t="shared" si="7"/>
        <v>0</v>
      </c>
      <c r="F78" s="36">
        <f t="shared" si="7"/>
        <v>0</v>
      </c>
      <c r="G78" s="36">
        <f t="shared" si="7"/>
        <v>0</v>
      </c>
      <c r="H78" s="36">
        <f t="shared" si="7"/>
        <v>0</v>
      </c>
      <c r="I78" s="36">
        <f t="shared" si="7"/>
        <v>0</v>
      </c>
      <c r="J78" s="56">
        <f>J$4*680</f>
        <v>680</v>
      </c>
      <c r="K78" s="62">
        <f>SUM(D78:J78)</f>
        <v>680</v>
      </c>
      <c r="L78" s="55">
        <v>13</v>
      </c>
      <c r="M78" s="36">
        <v>0</v>
      </c>
      <c r="N78" s="36">
        <f>L78+M78</f>
        <v>13</v>
      </c>
      <c r="O78" s="36"/>
      <c r="P78" s="51">
        <f>N78*K78</f>
        <v>8840</v>
      </c>
      <c r="Q78" s="37"/>
    </row>
    <row r="79" spans="1:17" s="32" customFormat="1" ht="12.75" x14ac:dyDescent="0.2">
      <c r="A79" s="163"/>
      <c r="B79" s="5"/>
      <c r="C79" s="25"/>
      <c r="D79" s="178"/>
      <c r="E79" s="26"/>
      <c r="F79" s="26"/>
      <c r="G79" s="26"/>
      <c r="H79" s="26"/>
      <c r="I79" s="26"/>
      <c r="J79" s="26"/>
      <c r="K79" s="58"/>
      <c r="L79" s="26"/>
      <c r="M79" s="26"/>
      <c r="N79" s="26"/>
      <c r="O79" s="26"/>
      <c r="P79" s="22"/>
      <c r="Q79" s="37"/>
    </row>
    <row r="80" spans="1:17" s="32" customFormat="1" ht="12.75" x14ac:dyDescent="0.2">
      <c r="A80" s="159"/>
      <c r="B80" s="31"/>
      <c r="C80" s="25"/>
      <c r="D80" s="174"/>
      <c r="E80" s="25"/>
      <c r="F80" s="25"/>
      <c r="G80" s="25"/>
      <c r="H80" s="25"/>
      <c r="I80" s="25"/>
      <c r="J80" s="25"/>
      <c r="K80" s="58"/>
      <c r="L80" s="26"/>
      <c r="M80" s="26"/>
      <c r="N80" s="26"/>
      <c r="O80" s="26"/>
      <c r="P80" s="22"/>
      <c r="Q80" s="37"/>
    </row>
    <row r="81" spans="1:17" s="129" customFormat="1" x14ac:dyDescent="0.25">
      <c r="A81" s="165" t="s">
        <v>1054</v>
      </c>
      <c r="B81" s="490" t="s">
        <v>1055</v>
      </c>
      <c r="C81" s="491"/>
      <c r="D81" s="491"/>
      <c r="E81" s="491"/>
      <c r="F81" s="491"/>
      <c r="G81" s="491"/>
      <c r="H81" s="491"/>
      <c r="I81" s="491"/>
      <c r="J81" s="491"/>
      <c r="K81" s="491"/>
      <c r="L81" s="491"/>
      <c r="M81" s="492"/>
      <c r="N81" s="34" t="s">
        <v>0</v>
      </c>
      <c r="O81" s="34"/>
      <c r="P81" s="9">
        <f>SUM(P73:P80)</f>
        <v>8840</v>
      </c>
      <c r="Q81" s="150"/>
    </row>
    <row r="83" spans="1:17" s="42" customFormat="1" x14ac:dyDescent="0.25">
      <c r="A83" s="161" t="s">
        <v>1385</v>
      </c>
      <c r="B83" s="493" t="s">
        <v>1386</v>
      </c>
      <c r="C83" s="493"/>
      <c r="D83" s="493"/>
      <c r="E83" s="493"/>
      <c r="F83" s="493"/>
      <c r="G83" s="493"/>
      <c r="H83" s="493"/>
      <c r="I83" s="493"/>
      <c r="J83" s="493"/>
      <c r="K83" s="493"/>
      <c r="L83" s="493"/>
      <c r="M83" s="493"/>
      <c r="N83" s="493"/>
      <c r="O83" s="43"/>
      <c r="P83" s="33"/>
      <c r="Q83" s="47"/>
    </row>
    <row r="84" spans="1:17" s="32" customFormat="1" ht="12.75" x14ac:dyDescent="0.2">
      <c r="A84" s="159"/>
      <c r="B84" s="31"/>
      <c r="C84" s="25"/>
      <c r="D84" s="174"/>
      <c r="E84" s="25"/>
      <c r="F84" s="25"/>
      <c r="G84" s="25"/>
      <c r="H84" s="25"/>
      <c r="I84" s="25"/>
      <c r="J84" s="25"/>
      <c r="K84" s="58"/>
      <c r="L84" s="26"/>
      <c r="M84" s="26"/>
      <c r="N84" s="26"/>
      <c r="O84" s="26"/>
      <c r="P84" s="35"/>
      <c r="Q84" s="37"/>
    </row>
    <row r="85" spans="1:17" s="32" customFormat="1" ht="25.5" x14ac:dyDescent="0.2">
      <c r="A85" s="166" t="s">
        <v>1387</v>
      </c>
      <c r="B85" s="61" t="s">
        <v>1388</v>
      </c>
      <c r="C85" s="135"/>
      <c r="D85" s="176"/>
      <c r="E85" s="135"/>
      <c r="F85" s="135"/>
      <c r="G85" s="135"/>
      <c r="H85" s="135"/>
      <c r="I85" s="135"/>
      <c r="J85" s="135"/>
      <c r="K85" s="60"/>
      <c r="L85" s="29"/>
      <c r="M85" s="29"/>
      <c r="N85" s="29"/>
      <c r="O85" s="29"/>
      <c r="P85" s="136"/>
      <c r="Q85" s="37"/>
    </row>
    <row r="86" spans="1:17" s="32" customFormat="1" ht="14.25" x14ac:dyDescent="0.2">
      <c r="A86" s="290" t="s">
        <v>1389</v>
      </c>
      <c r="B86" s="291" t="s">
        <v>1390</v>
      </c>
      <c r="C86" s="25"/>
      <c r="D86" s="174"/>
      <c r="E86" s="25"/>
      <c r="F86" s="25"/>
      <c r="G86" s="25"/>
      <c r="H86" s="25"/>
      <c r="I86" s="25"/>
      <c r="J86" s="25"/>
      <c r="K86" s="58"/>
      <c r="L86" s="26"/>
      <c r="M86" s="26"/>
      <c r="N86" s="26"/>
      <c r="O86" s="26"/>
      <c r="P86" s="35"/>
      <c r="Q86" s="37"/>
    </row>
    <row r="87" spans="1:17" s="32" customFormat="1" ht="76.5" x14ac:dyDescent="0.25">
      <c r="A87" s="167"/>
      <c r="B87" s="24" t="s">
        <v>1391</v>
      </c>
      <c r="C87" s="25"/>
      <c r="D87" s="179"/>
      <c r="E87" s="42"/>
      <c r="F87" s="42"/>
      <c r="G87" s="42"/>
      <c r="H87" s="42"/>
      <c r="I87" s="42"/>
      <c r="J87" s="42"/>
      <c r="K87" s="128"/>
      <c r="L87" s="42"/>
      <c r="M87" s="42"/>
      <c r="N87" s="42"/>
      <c r="O87" s="42"/>
      <c r="P87" s="42"/>
      <c r="Q87" s="37"/>
    </row>
    <row r="88" spans="1:17" s="32" customFormat="1" ht="114.75" x14ac:dyDescent="0.25">
      <c r="A88" s="167"/>
      <c r="B88" s="241" t="s">
        <v>1392</v>
      </c>
      <c r="C88" s="25"/>
      <c r="D88" s="179"/>
      <c r="E88" s="42"/>
      <c r="F88" s="42"/>
      <c r="G88" s="42"/>
      <c r="H88" s="42"/>
      <c r="I88" s="42"/>
      <c r="J88" s="42"/>
      <c r="K88" s="128"/>
      <c r="L88" s="42"/>
      <c r="M88" s="42"/>
      <c r="N88" s="42"/>
      <c r="O88" s="42"/>
      <c r="P88" s="42"/>
      <c r="Q88" s="37"/>
    </row>
    <row r="89" spans="1:17" s="32" customFormat="1" ht="38.25" x14ac:dyDescent="0.25">
      <c r="A89" s="167"/>
      <c r="B89" s="24" t="s">
        <v>1393</v>
      </c>
      <c r="C89" s="25"/>
      <c r="D89" s="179"/>
      <c r="E89" s="42"/>
      <c r="F89" s="42"/>
      <c r="G89" s="42"/>
      <c r="H89" s="42"/>
      <c r="I89" s="42"/>
      <c r="J89" s="42"/>
      <c r="K89" s="128"/>
      <c r="L89" s="42"/>
      <c r="M89" s="42"/>
      <c r="N89" s="42"/>
      <c r="O89" s="42"/>
      <c r="P89" s="42"/>
      <c r="Q89" s="37"/>
    </row>
    <row r="90" spans="1:17" s="288" customFormat="1" ht="26.25" thickBot="1" x14ac:dyDescent="0.25">
      <c r="A90" s="282"/>
      <c r="B90" s="292" t="s">
        <v>1394</v>
      </c>
      <c r="C90" s="189" t="s">
        <v>1330</v>
      </c>
      <c r="D90" s="293">
        <f t="shared" ref="D90:I90" si="8">D$4*0</f>
        <v>0</v>
      </c>
      <c r="E90" s="191">
        <f t="shared" si="8"/>
        <v>0</v>
      </c>
      <c r="F90" s="191">
        <f t="shared" si="8"/>
        <v>0</v>
      </c>
      <c r="G90" s="191">
        <f t="shared" si="8"/>
        <v>0</v>
      </c>
      <c r="H90" s="191">
        <f t="shared" si="8"/>
        <v>0</v>
      </c>
      <c r="I90" s="191">
        <f t="shared" si="8"/>
        <v>0</v>
      </c>
      <c r="J90" s="192">
        <f>J$4*(680.7+81.3)*0.4</f>
        <v>304.8</v>
      </c>
      <c r="K90" s="193">
        <f>SUM(D90:J90)</f>
        <v>304.8</v>
      </c>
      <c r="L90" s="190">
        <v>20</v>
      </c>
      <c r="M90" s="191">
        <v>0</v>
      </c>
      <c r="N90" s="191">
        <f>L90+M90</f>
        <v>20</v>
      </c>
      <c r="O90" s="191"/>
      <c r="P90" s="294">
        <f>N90*K90</f>
        <v>6096</v>
      </c>
      <c r="Q90" s="287"/>
    </row>
    <row r="91" spans="1:17" s="32" customFormat="1" ht="14.25" x14ac:dyDescent="0.2">
      <c r="A91" s="290" t="s">
        <v>1395</v>
      </c>
      <c r="B91" s="291" t="s">
        <v>1396</v>
      </c>
      <c r="C91" s="25"/>
      <c r="D91" s="178"/>
      <c r="E91" s="26"/>
      <c r="F91" s="26"/>
      <c r="G91" s="26"/>
      <c r="H91" s="26"/>
      <c r="I91" s="26"/>
      <c r="J91" s="26"/>
      <c r="K91" s="58"/>
      <c r="L91" s="26"/>
      <c r="M91" s="26"/>
      <c r="N91" s="26"/>
      <c r="O91" s="26"/>
      <c r="P91" s="22"/>
      <c r="Q91" s="37"/>
    </row>
    <row r="92" spans="1:17" s="32" customFormat="1" ht="28.5" customHeight="1" x14ac:dyDescent="0.25">
      <c r="A92" s="167"/>
      <c r="B92" s="24" t="s">
        <v>1397</v>
      </c>
      <c r="C92" s="25"/>
      <c r="D92" s="179"/>
      <c r="E92" s="42"/>
      <c r="F92" s="42"/>
      <c r="G92" s="42"/>
      <c r="H92" s="42"/>
      <c r="I92" s="42"/>
      <c r="J92" s="42"/>
      <c r="K92" s="128"/>
      <c r="L92" s="42"/>
      <c r="M92" s="42"/>
      <c r="N92" s="42"/>
      <c r="O92" s="42"/>
      <c r="P92" s="42"/>
      <c r="Q92" s="37"/>
    </row>
    <row r="93" spans="1:17" s="32" customFormat="1" ht="39" thickBot="1" x14ac:dyDescent="0.3">
      <c r="A93" s="167"/>
      <c r="B93" s="24" t="s">
        <v>1393</v>
      </c>
      <c r="C93" s="25"/>
      <c r="D93" s="179"/>
      <c r="E93" s="42"/>
      <c r="F93" s="42"/>
      <c r="G93" s="42"/>
      <c r="H93" s="42"/>
      <c r="I93" s="42"/>
      <c r="J93" s="42"/>
      <c r="K93" s="128"/>
      <c r="L93" s="42"/>
      <c r="M93" s="42"/>
      <c r="N93" s="42"/>
      <c r="O93" s="42"/>
      <c r="P93" s="42"/>
      <c r="Q93" s="37"/>
    </row>
    <row r="94" spans="1:17" s="32" customFormat="1" ht="14.25" x14ac:dyDescent="0.2">
      <c r="A94" s="166"/>
      <c r="B94" s="27" t="s">
        <v>1398</v>
      </c>
      <c r="C94" s="135" t="s">
        <v>56</v>
      </c>
      <c r="D94" s="177">
        <f t="shared" ref="D94:I94" si="9">D$4*0</f>
        <v>0</v>
      </c>
      <c r="E94" s="36">
        <f t="shared" si="9"/>
        <v>0</v>
      </c>
      <c r="F94" s="36">
        <f t="shared" si="9"/>
        <v>0</v>
      </c>
      <c r="G94" s="36">
        <f t="shared" si="9"/>
        <v>0</v>
      </c>
      <c r="H94" s="36">
        <f t="shared" si="9"/>
        <v>0</v>
      </c>
      <c r="I94" s="36">
        <f t="shared" si="9"/>
        <v>0</v>
      </c>
      <c r="J94" s="56">
        <f>J$4*28.57</f>
        <v>28.57</v>
      </c>
      <c r="K94" s="62">
        <f>SUM(D94:J94)</f>
        <v>28.57</v>
      </c>
      <c r="L94" s="55">
        <v>25</v>
      </c>
      <c r="M94" s="36">
        <v>0</v>
      </c>
      <c r="N94" s="36">
        <f>L94+M94</f>
        <v>25</v>
      </c>
      <c r="O94" s="36"/>
      <c r="P94" s="51">
        <f>N94*K94</f>
        <v>714.25</v>
      </c>
      <c r="Q94" s="37"/>
    </row>
    <row r="95" spans="1:17" s="32" customFormat="1" ht="12.75" x14ac:dyDescent="0.2">
      <c r="A95" s="159"/>
      <c r="B95" s="31"/>
      <c r="C95" s="25"/>
      <c r="D95" s="174"/>
      <c r="E95" s="25"/>
      <c r="F95" s="25"/>
      <c r="G95" s="25"/>
      <c r="H95" s="25"/>
      <c r="I95" s="25"/>
      <c r="J95" s="25"/>
      <c r="K95" s="58"/>
      <c r="L95" s="26"/>
      <c r="M95" s="26"/>
      <c r="N95" s="26"/>
      <c r="O95" s="26"/>
      <c r="P95" s="35"/>
      <c r="Q95" s="37"/>
    </row>
    <row r="96" spans="1:17" s="32" customFormat="1" ht="12.75" x14ac:dyDescent="0.2">
      <c r="A96" s="159"/>
      <c r="B96" s="31"/>
      <c r="C96" s="25"/>
      <c r="D96" s="174"/>
      <c r="E96" s="25"/>
      <c r="F96" s="25"/>
      <c r="G96" s="25"/>
      <c r="H96" s="25"/>
      <c r="I96" s="25"/>
      <c r="J96" s="25"/>
      <c r="K96" s="58"/>
      <c r="L96" s="26"/>
      <c r="M96" s="26"/>
      <c r="N96" s="26"/>
      <c r="O96" s="26"/>
      <c r="P96" s="22"/>
      <c r="Q96" s="37"/>
    </row>
    <row r="97" spans="1:17" s="129" customFormat="1" x14ac:dyDescent="0.25">
      <c r="A97" s="165" t="s">
        <v>1399</v>
      </c>
      <c r="B97" s="490" t="s">
        <v>1386</v>
      </c>
      <c r="C97" s="491"/>
      <c r="D97" s="491"/>
      <c r="E97" s="491"/>
      <c r="F97" s="491"/>
      <c r="G97" s="491"/>
      <c r="H97" s="491"/>
      <c r="I97" s="491"/>
      <c r="J97" s="491"/>
      <c r="K97" s="491"/>
      <c r="L97" s="491"/>
      <c r="M97" s="492"/>
      <c r="N97" s="34" t="s">
        <v>0</v>
      </c>
      <c r="O97" s="34"/>
      <c r="P97" s="9">
        <f>SUM(P84:P96)</f>
        <v>6810.25</v>
      </c>
      <c r="Q97" s="150"/>
    </row>
    <row r="98" spans="1:17" s="129" customFormat="1" x14ac:dyDescent="0.25">
      <c r="A98" s="327"/>
      <c r="B98" s="186"/>
      <c r="C98" s="186"/>
      <c r="D98" s="186"/>
      <c r="E98" s="186"/>
      <c r="F98" s="186"/>
      <c r="G98" s="186"/>
      <c r="H98" s="186"/>
      <c r="I98" s="186"/>
      <c r="J98" s="186"/>
      <c r="K98" s="186"/>
      <c r="L98" s="186"/>
      <c r="M98" s="186"/>
      <c r="N98" s="328"/>
      <c r="O98" s="328"/>
      <c r="P98" s="329"/>
      <c r="Q98" s="150"/>
    </row>
    <row r="99" spans="1:17" s="42" customFormat="1" ht="15.75" x14ac:dyDescent="0.25">
      <c r="A99" s="158" t="s">
        <v>86</v>
      </c>
      <c r="B99" s="493" t="s">
        <v>1014</v>
      </c>
      <c r="C99" s="493"/>
      <c r="D99" s="493"/>
      <c r="E99" s="493"/>
      <c r="F99" s="493"/>
      <c r="G99" s="493"/>
      <c r="H99" s="493"/>
      <c r="I99" s="493"/>
      <c r="J99" s="493"/>
      <c r="K99" s="493"/>
      <c r="L99" s="493"/>
      <c r="M99" s="493"/>
      <c r="N99" s="493"/>
      <c r="O99" s="493"/>
      <c r="P99" s="493"/>
      <c r="Q99" s="47"/>
    </row>
    <row r="100" spans="1:17" s="42" customFormat="1" ht="25.5" x14ac:dyDescent="0.25">
      <c r="A100" s="166" t="s">
        <v>1247</v>
      </c>
      <c r="B100" s="27" t="s">
        <v>1017</v>
      </c>
      <c r="C100" s="28"/>
      <c r="D100" s="181"/>
      <c r="E100" s="28"/>
      <c r="F100" s="28"/>
      <c r="G100" s="28"/>
      <c r="H100" s="28"/>
      <c r="I100" s="28"/>
      <c r="J100" s="28"/>
      <c r="K100" s="60"/>
      <c r="L100" s="29"/>
      <c r="M100" s="29"/>
      <c r="N100" s="29"/>
      <c r="O100" s="29"/>
      <c r="P100" s="23"/>
      <c r="Q100" s="152"/>
    </row>
    <row r="101" spans="1:17" s="42" customFormat="1" ht="264.75" customHeight="1" x14ac:dyDescent="0.25">
      <c r="A101" s="167"/>
      <c r="B101" s="30" t="s">
        <v>1354</v>
      </c>
      <c r="C101" s="31"/>
      <c r="D101" s="182"/>
      <c r="E101" s="31"/>
      <c r="F101" s="31"/>
      <c r="G101" s="31"/>
      <c r="H101" s="31"/>
      <c r="I101" s="31"/>
      <c r="J101" s="31"/>
      <c r="K101" s="58"/>
      <c r="L101" s="26"/>
      <c r="M101" s="26"/>
      <c r="N101" s="26"/>
      <c r="O101" s="26"/>
      <c r="P101" s="38"/>
      <c r="Q101" s="152"/>
    </row>
    <row r="102" spans="1:17" s="42" customFormat="1" ht="153" x14ac:dyDescent="0.25">
      <c r="A102" s="167"/>
      <c r="B102" s="30" t="s">
        <v>1355</v>
      </c>
      <c r="C102" s="31"/>
      <c r="D102" s="182"/>
      <c r="E102" s="31"/>
      <c r="F102" s="31"/>
      <c r="G102" s="31"/>
      <c r="H102" s="31"/>
      <c r="I102" s="31"/>
      <c r="J102" s="31"/>
      <c r="K102" s="58"/>
      <c r="L102" s="26"/>
      <c r="M102" s="26"/>
      <c r="N102" s="26"/>
      <c r="O102" s="26"/>
      <c r="P102" s="38"/>
      <c r="Q102" s="152"/>
    </row>
    <row r="103" spans="1:17" s="42" customFormat="1" ht="63.75" x14ac:dyDescent="0.25">
      <c r="A103" s="167"/>
      <c r="B103" s="202" t="s">
        <v>1356</v>
      </c>
      <c r="C103" s="31"/>
      <c r="D103" s="182"/>
      <c r="E103" s="31"/>
      <c r="F103" s="31"/>
      <c r="G103" s="31"/>
      <c r="H103" s="31"/>
      <c r="I103" s="31"/>
      <c r="J103" s="31"/>
      <c r="K103" s="58"/>
      <c r="L103" s="26"/>
      <c r="M103" s="26"/>
      <c r="N103" s="26"/>
      <c r="O103" s="26"/>
      <c r="P103" s="38"/>
      <c r="Q103" s="152"/>
    </row>
    <row r="104" spans="1:17" s="42" customFormat="1" ht="63.75" x14ac:dyDescent="0.25">
      <c r="A104" s="167"/>
      <c r="B104" s="202" t="s">
        <v>1357</v>
      </c>
      <c r="C104" s="31"/>
      <c r="D104" s="182"/>
      <c r="E104" s="31"/>
      <c r="F104" s="31"/>
      <c r="G104" s="31"/>
      <c r="H104" s="31"/>
      <c r="I104" s="31"/>
      <c r="J104" s="31"/>
      <c r="K104" s="58"/>
      <c r="L104" s="26"/>
      <c r="M104" s="26"/>
      <c r="N104" s="26"/>
      <c r="O104" s="26"/>
      <c r="P104" s="38"/>
      <c r="Q104" s="152"/>
    </row>
    <row r="105" spans="1:17" s="42" customFormat="1" ht="166.5" thickBot="1" x14ac:dyDescent="0.3">
      <c r="A105" s="167"/>
      <c r="B105" s="30" t="s">
        <v>1016</v>
      </c>
      <c r="C105" s="31"/>
      <c r="D105" s="182"/>
      <c r="E105" s="31"/>
      <c r="F105" s="31"/>
      <c r="G105" s="31"/>
      <c r="H105" s="31"/>
      <c r="I105" s="31"/>
      <c r="J105" s="31"/>
      <c r="K105" s="58"/>
      <c r="L105" s="26"/>
      <c r="M105" s="26"/>
      <c r="N105" s="26"/>
      <c r="O105" s="26"/>
      <c r="P105" s="38"/>
      <c r="Q105" s="152"/>
    </row>
    <row r="106" spans="1:17" s="200" customFormat="1" ht="15.75" thickBot="1" x14ac:dyDescent="0.3">
      <c r="A106" s="282"/>
      <c r="B106" s="188" t="s">
        <v>1433</v>
      </c>
      <c r="C106" s="189" t="s">
        <v>1330</v>
      </c>
      <c r="D106" s="293">
        <v>0</v>
      </c>
      <c r="E106" s="191">
        <v>0</v>
      </c>
      <c r="F106" s="191">
        <v>0</v>
      </c>
      <c r="G106" s="191">
        <v>0</v>
      </c>
      <c r="H106" s="191">
        <v>0</v>
      </c>
      <c r="I106" s="191">
        <v>0</v>
      </c>
      <c r="J106" s="192">
        <v>708</v>
      </c>
      <c r="K106" s="193">
        <f>SUM(D106:J106)</f>
        <v>708</v>
      </c>
      <c r="L106" s="194">
        <v>74</v>
      </c>
      <c r="M106" s="194">
        <v>0</v>
      </c>
      <c r="N106" s="194">
        <f>L106+M106</f>
        <v>74</v>
      </c>
      <c r="O106" s="194"/>
      <c r="P106" s="195">
        <f>N106*K106</f>
        <v>52392</v>
      </c>
      <c r="Q106" s="208"/>
    </row>
    <row r="107" spans="1:17" s="42" customFormat="1" x14ac:dyDescent="0.25">
      <c r="A107" s="157"/>
      <c r="B107" s="44"/>
      <c r="C107" s="44"/>
      <c r="D107" s="172"/>
      <c r="E107" s="44"/>
      <c r="F107" s="44"/>
      <c r="G107" s="44"/>
      <c r="H107" s="44"/>
      <c r="I107" s="44"/>
      <c r="J107" s="44"/>
      <c r="K107" s="118"/>
      <c r="L107" s="44"/>
      <c r="M107" s="44"/>
      <c r="N107" s="44"/>
      <c r="O107" s="44"/>
      <c r="P107" s="44"/>
      <c r="Q107" s="47"/>
    </row>
    <row r="108" spans="1:17" s="42" customFormat="1" ht="38.25" x14ac:dyDescent="0.25">
      <c r="A108" s="166" t="s">
        <v>1248</v>
      </c>
      <c r="B108" s="27" t="s">
        <v>1018</v>
      </c>
      <c r="C108" s="28"/>
      <c r="D108" s="181"/>
      <c r="E108" s="28"/>
      <c r="F108" s="28"/>
      <c r="G108" s="28"/>
      <c r="H108" s="28"/>
      <c r="I108" s="28"/>
      <c r="J108" s="28"/>
      <c r="K108" s="60"/>
      <c r="L108" s="29"/>
      <c r="M108" s="29"/>
      <c r="N108" s="29"/>
      <c r="O108" s="29"/>
      <c r="P108" s="23"/>
      <c r="Q108" s="152"/>
    </row>
    <row r="109" spans="1:17" s="42" customFormat="1" ht="212.25" customHeight="1" x14ac:dyDescent="0.25">
      <c r="A109" s="167"/>
      <c r="B109" s="202" t="s">
        <v>1360</v>
      </c>
      <c r="C109" s="31"/>
      <c r="D109" s="182"/>
      <c r="E109" s="31"/>
      <c r="F109" s="31"/>
      <c r="G109" s="31"/>
      <c r="H109" s="31"/>
      <c r="I109" s="31"/>
      <c r="J109" s="31"/>
      <c r="K109" s="58"/>
      <c r="L109" s="26"/>
      <c r="M109" s="26"/>
      <c r="N109" s="26"/>
      <c r="O109" s="26"/>
      <c r="P109" s="38"/>
      <c r="Q109" s="152"/>
    </row>
    <row r="110" spans="1:17" s="42" customFormat="1" ht="63.75" x14ac:dyDescent="0.25">
      <c r="A110" s="167"/>
      <c r="B110" s="30" t="s">
        <v>1220</v>
      </c>
      <c r="C110" s="31"/>
      <c r="D110" s="182"/>
      <c r="E110" s="31"/>
      <c r="F110" s="31"/>
      <c r="G110" s="31"/>
      <c r="H110" s="31"/>
      <c r="I110" s="31"/>
      <c r="J110" s="31"/>
      <c r="K110" s="58"/>
      <c r="L110" s="26"/>
      <c r="M110" s="26"/>
      <c r="N110" s="26"/>
      <c r="O110" s="26"/>
      <c r="P110" s="38"/>
      <c r="Q110" s="152"/>
    </row>
    <row r="111" spans="1:17" s="42" customFormat="1" ht="64.5" thickBot="1" x14ac:dyDescent="0.3">
      <c r="A111" s="167"/>
      <c r="B111" s="30" t="s">
        <v>1361</v>
      </c>
      <c r="C111" s="31"/>
      <c r="D111" s="182"/>
      <c r="E111" s="31"/>
      <c r="F111" s="31"/>
      <c r="G111" s="31"/>
      <c r="H111" s="31"/>
      <c r="I111" s="31"/>
      <c r="J111" s="31"/>
      <c r="K111" s="58"/>
      <c r="L111" s="26"/>
      <c r="M111" s="26"/>
      <c r="N111" s="26"/>
      <c r="O111" s="26"/>
      <c r="P111" s="38"/>
      <c r="Q111" s="152"/>
    </row>
    <row r="112" spans="1:17" s="200" customFormat="1" ht="15.75" thickBot="1" x14ac:dyDescent="0.3">
      <c r="A112" s="282"/>
      <c r="B112" s="188" t="s">
        <v>1433</v>
      </c>
      <c r="C112" s="189" t="s">
        <v>1330</v>
      </c>
      <c r="D112" s="293">
        <v>0</v>
      </c>
      <c r="E112" s="191">
        <v>0</v>
      </c>
      <c r="F112" s="191">
        <v>0</v>
      </c>
      <c r="G112" s="191">
        <v>0</v>
      </c>
      <c r="H112" s="191">
        <v>0</v>
      </c>
      <c r="I112" s="191">
        <v>0</v>
      </c>
      <c r="J112" s="192">
        <v>54</v>
      </c>
      <c r="K112" s="193">
        <f>SUM(D112:J112)</f>
        <v>54</v>
      </c>
      <c r="L112" s="194">
        <v>55</v>
      </c>
      <c r="M112" s="194">
        <v>0</v>
      </c>
      <c r="N112" s="194">
        <f>L112+M112</f>
        <v>55</v>
      </c>
      <c r="O112" s="194"/>
      <c r="P112" s="195">
        <f>N112*K112</f>
        <v>2970</v>
      </c>
      <c r="Q112" s="208"/>
    </row>
    <row r="113" spans="1:21" s="42" customFormat="1" x14ac:dyDescent="0.25">
      <c r="A113" s="157"/>
      <c r="B113" s="44"/>
      <c r="C113" s="44"/>
      <c r="D113" s="172"/>
      <c r="E113" s="44"/>
      <c r="F113" s="44"/>
      <c r="G113" s="44"/>
      <c r="H113" s="44"/>
      <c r="I113" s="44"/>
      <c r="J113" s="44"/>
      <c r="K113" s="118"/>
      <c r="L113" s="44"/>
      <c r="M113" s="44"/>
      <c r="N113" s="44"/>
      <c r="O113" s="44"/>
      <c r="P113" s="44"/>
      <c r="Q113" s="47"/>
    </row>
    <row r="114" spans="1:21" s="42" customFormat="1" ht="25.5" x14ac:dyDescent="0.25">
      <c r="A114" s="166" t="s">
        <v>1249</v>
      </c>
      <c r="B114" s="27" t="s">
        <v>1023</v>
      </c>
      <c r="C114" s="28"/>
      <c r="D114" s="181"/>
      <c r="E114" s="28"/>
      <c r="F114" s="28"/>
      <c r="G114" s="28"/>
      <c r="H114" s="28"/>
      <c r="I114" s="28"/>
      <c r="J114" s="28"/>
      <c r="K114" s="60"/>
      <c r="L114" s="29"/>
      <c r="M114" s="29"/>
      <c r="N114" s="29"/>
      <c r="O114" s="29"/>
      <c r="P114" s="23"/>
      <c r="Q114" s="152"/>
    </row>
    <row r="115" spans="1:21" s="42" customFormat="1" ht="51.75" thickBot="1" x14ac:dyDescent="0.3">
      <c r="A115" s="167"/>
      <c r="B115" s="202" t="s">
        <v>1362</v>
      </c>
      <c r="C115" s="31"/>
      <c r="D115" s="182"/>
      <c r="E115" s="31"/>
      <c r="F115" s="31"/>
      <c r="G115" s="31"/>
      <c r="H115" s="31"/>
      <c r="I115" s="31"/>
      <c r="J115" s="31"/>
      <c r="K115" s="58"/>
      <c r="L115" s="26"/>
      <c r="M115" s="26"/>
      <c r="N115" s="26"/>
      <c r="O115" s="26"/>
      <c r="P115" s="38"/>
      <c r="Q115" s="152"/>
    </row>
    <row r="116" spans="1:21" s="42" customFormat="1" ht="15.75" thickBot="1" x14ac:dyDescent="0.3">
      <c r="A116" s="166"/>
      <c r="B116" s="137" t="s">
        <v>1015</v>
      </c>
      <c r="C116" s="135" t="s">
        <v>56</v>
      </c>
      <c r="D116" s="177">
        <v>0</v>
      </c>
      <c r="E116" s="36">
        <v>0</v>
      </c>
      <c r="F116" s="36">
        <v>0</v>
      </c>
      <c r="G116" s="36">
        <v>0</v>
      </c>
      <c r="H116" s="36">
        <v>0</v>
      </c>
      <c r="I116" s="36">
        <v>0</v>
      </c>
      <c r="J116" s="56">
        <v>53.8</v>
      </c>
      <c r="K116" s="62">
        <f>SUM(D116:J116)</f>
        <v>53.8</v>
      </c>
      <c r="L116" s="26">
        <v>0</v>
      </c>
      <c r="M116" s="26">
        <v>0</v>
      </c>
      <c r="N116" s="26">
        <f>L116+M116</f>
        <v>0</v>
      </c>
      <c r="O116" s="26"/>
      <c r="P116" s="22">
        <f>N116*K116</f>
        <v>0</v>
      </c>
      <c r="Q116" s="47"/>
    </row>
    <row r="117" spans="1:21" s="42" customFormat="1" x14ac:dyDescent="0.25">
      <c r="A117" s="157"/>
      <c r="B117" s="44"/>
      <c r="C117" s="44"/>
      <c r="D117" s="172"/>
      <c r="E117" s="44"/>
      <c r="F117" s="44"/>
      <c r="G117" s="44"/>
      <c r="H117" s="44"/>
      <c r="I117" s="44"/>
      <c r="J117" s="44"/>
      <c r="K117" s="118"/>
      <c r="L117" s="44"/>
      <c r="M117" s="44"/>
      <c r="N117" s="44"/>
      <c r="O117" s="44"/>
      <c r="P117" s="44"/>
      <c r="Q117" s="47"/>
    </row>
    <row r="118" spans="1:21" s="42" customFormat="1" ht="38.25" x14ac:dyDescent="0.25">
      <c r="A118" s="166" t="s">
        <v>1250</v>
      </c>
      <c r="B118" s="27" t="s">
        <v>1019</v>
      </c>
      <c r="C118" s="28"/>
      <c r="D118" s="181"/>
      <c r="E118" s="28"/>
      <c r="F118" s="28"/>
      <c r="G118" s="28"/>
      <c r="H118" s="28"/>
      <c r="I118" s="28"/>
      <c r="J118" s="28"/>
      <c r="K118" s="60"/>
      <c r="L118" s="29"/>
      <c r="M118" s="29"/>
      <c r="N118" s="29"/>
      <c r="O118" s="29"/>
      <c r="P118" s="23"/>
      <c r="Q118" s="152"/>
    </row>
    <row r="119" spans="1:21" s="42" customFormat="1" ht="357" x14ac:dyDescent="0.25">
      <c r="A119" s="167"/>
      <c r="B119" s="30" t="s">
        <v>1363</v>
      </c>
      <c r="C119" s="31"/>
      <c r="D119" s="182"/>
      <c r="E119" s="31"/>
      <c r="F119" s="31"/>
      <c r="G119" s="31"/>
      <c r="H119" s="31"/>
      <c r="I119" s="31"/>
      <c r="J119" s="31"/>
      <c r="K119" s="58"/>
      <c r="L119" s="26"/>
      <c r="M119" s="26"/>
      <c r="N119" s="26"/>
      <c r="O119" s="26"/>
      <c r="P119" s="38"/>
      <c r="Q119" s="152"/>
    </row>
    <row r="120" spans="1:21" s="42" customFormat="1" ht="26.25" thickBot="1" x14ac:dyDescent="0.3">
      <c r="A120" s="167"/>
      <c r="B120" s="30" t="s">
        <v>1020</v>
      </c>
      <c r="C120" s="31"/>
      <c r="D120" s="182"/>
      <c r="E120" s="31"/>
      <c r="F120" s="31"/>
      <c r="G120" s="31"/>
      <c r="H120" s="31"/>
      <c r="I120" s="31"/>
      <c r="J120" s="31"/>
      <c r="K120" s="58"/>
      <c r="L120" s="26"/>
      <c r="M120" s="26"/>
      <c r="N120" s="26"/>
      <c r="O120" s="26"/>
      <c r="P120" s="38"/>
      <c r="Q120" s="152"/>
    </row>
    <row r="121" spans="1:21" s="42" customFormat="1" ht="15.75" thickBot="1" x14ac:dyDescent="0.3">
      <c r="A121" s="166"/>
      <c r="B121" s="137" t="s">
        <v>1015</v>
      </c>
      <c r="C121" s="135" t="s">
        <v>56</v>
      </c>
      <c r="D121" s="177">
        <v>0</v>
      </c>
      <c r="E121" s="36">
        <v>0</v>
      </c>
      <c r="F121" s="36">
        <v>0</v>
      </c>
      <c r="G121" s="36">
        <v>0</v>
      </c>
      <c r="H121" s="36">
        <v>0</v>
      </c>
      <c r="I121" s="36">
        <v>0</v>
      </c>
      <c r="J121" s="56">
        <v>28.57</v>
      </c>
      <c r="K121" s="62">
        <f>SUM(D121:J121)</f>
        <v>28.57</v>
      </c>
      <c r="L121" s="26">
        <v>90</v>
      </c>
      <c r="M121" s="26">
        <v>0</v>
      </c>
      <c r="N121" s="26">
        <f>L121+M121</f>
        <v>90</v>
      </c>
      <c r="O121" s="26"/>
      <c r="P121" s="22">
        <f>N121*K121</f>
        <v>2571.3000000000002</v>
      </c>
      <c r="Q121" s="47"/>
    </row>
    <row r="122" spans="1:21" s="32" customFormat="1" ht="12.75" x14ac:dyDescent="0.2">
      <c r="A122" s="159"/>
      <c r="B122" s="31"/>
      <c r="C122" s="25"/>
      <c r="D122" s="174"/>
      <c r="E122" s="25"/>
      <c r="F122" s="25"/>
      <c r="G122" s="25"/>
      <c r="H122" s="25"/>
      <c r="I122" s="25"/>
      <c r="J122" s="25"/>
      <c r="K122" s="58"/>
      <c r="L122" s="26"/>
      <c r="M122" s="26"/>
      <c r="N122" s="26"/>
      <c r="O122" s="26"/>
      <c r="P122" s="35"/>
      <c r="Q122" s="37"/>
    </row>
    <row r="124" spans="1:21" s="185" customFormat="1" ht="15.75" x14ac:dyDescent="0.25">
      <c r="A124" s="183" t="s">
        <v>1251</v>
      </c>
      <c r="B124" s="490" t="s">
        <v>1289</v>
      </c>
      <c r="C124" s="491"/>
      <c r="D124" s="491"/>
      <c r="E124" s="491"/>
      <c r="F124" s="491"/>
      <c r="G124" s="491"/>
      <c r="H124" s="491"/>
      <c r="I124" s="491"/>
      <c r="J124" s="491"/>
      <c r="K124" s="491"/>
      <c r="L124" s="491"/>
      <c r="M124" s="492"/>
      <c r="N124" s="34" t="s">
        <v>0</v>
      </c>
      <c r="O124" s="34"/>
      <c r="P124" s="9">
        <f>SUM(P101:P121,P97,P81)</f>
        <v>73583.55</v>
      </c>
      <c r="Q124" s="184"/>
    </row>
    <row r="126" spans="1:21" s="132" customFormat="1" ht="15.75" x14ac:dyDescent="0.25">
      <c r="A126" s="183" t="s">
        <v>1251</v>
      </c>
      <c r="B126" s="130" t="s">
        <v>1314</v>
      </c>
      <c r="C126" s="49"/>
      <c r="D126" s="49"/>
      <c r="E126" s="49"/>
      <c r="F126" s="49"/>
      <c r="G126" s="49"/>
      <c r="H126" s="49"/>
      <c r="I126" s="49"/>
      <c r="J126" s="49"/>
      <c r="K126" s="49"/>
      <c r="L126" s="49"/>
      <c r="M126" s="49"/>
      <c r="N126" s="49"/>
      <c r="O126" s="131"/>
      <c r="P126" s="49"/>
      <c r="Q126" s="49"/>
      <c r="R126" s="476" t="s">
        <v>57</v>
      </c>
      <c r="S126" s="476"/>
      <c r="T126" s="50">
        <f>P124*6</f>
        <v>441501.30000000005</v>
      </c>
      <c r="U126" s="151"/>
    </row>
    <row r="128" spans="1:21" s="132" customFormat="1" ht="15.75" x14ac:dyDescent="0.25">
      <c r="A128" s="160"/>
      <c r="B128" s="130" t="s">
        <v>1308</v>
      </c>
      <c r="C128" s="49"/>
      <c r="D128" s="49"/>
      <c r="E128" s="49"/>
      <c r="F128" s="49"/>
      <c r="G128" s="49"/>
      <c r="H128" s="49"/>
      <c r="I128" s="49"/>
      <c r="J128" s="49"/>
      <c r="K128" s="49"/>
      <c r="L128" s="49"/>
      <c r="M128" s="49"/>
      <c r="N128" s="49"/>
      <c r="O128" s="131"/>
      <c r="P128" s="49"/>
      <c r="Q128" s="49"/>
      <c r="R128" s="476"/>
      <c r="S128" s="476"/>
      <c r="T128" s="50">
        <f>SUM(T126,T63)</f>
        <v>827295.3</v>
      </c>
      <c r="U128" s="151"/>
    </row>
  </sheetData>
  <mergeCells count="19">
    <mergeCell ref="B61:Q61"/>
    <mergeCell ref="R63:S63"/>
    <mergeCell ref="B124:M124"/>
    <mergeCell ref="D66:J66"/>
    <mergeCell ref="D67:J67"/>
    <mergeCell ref="B81:M81"/>
    <mergeCell ref="B83:N83"/>
    <mergeCell ref="B2:R3"/>
    <mergeCell ref="B5:T5"/>
    <mergeCell ref="D7:N7"/>
    <mergeCell ref="D8:N8"/>
    <mergeCell ref="B35:R35"/>
    <mergeCell ref="B20:R20"/>
    <mergeCell ref="B34:Q34"/>
    <mergeCell ref="B97:M97"/>
    <mergeCell ref="B99:N99"/>
    <mergeCell ref="O99:P99"/>
    <mergeCell ref="R126:S126"/>
    <mergeCell ref="R128:S128"/>
  </mergeCells>
  <conditionalFormatting sqref="P70 P124">
    <cfRule type="cellIs" dxfId="88" priority="19" stopIfTrue="1" operator="greaterThan">
      <formula>0</formula>
    </cfRule>
  </conditionalFormatting>
  <conditionalFormatting sqref="P72">
    <cfRule type="cellIs" dxfId="87" priority="17" stopIfTrue="1" operator="greaterThan">
      <formula>0</formula>
    </cfRule>
  </conditionalFormatting>
  <conditionalFormatting sqref="P74:P77">
    <cfRule type="cellIs" dxfId="86" priority="15" stopIfTrue="1" operator="greaterThan">
      <formula>0</formula>
    </cfRule>
  </conditionalFormatting>
  <conditionalFormatting sqref="P81">
    <cfRule type="cellIs" dxfId="85" priority="18" stopIfTrue="1" operator="greaterThan">
      <formula>0</formula>
    </cfRule>
  </conditionalFormatting>
  <conditionalFormatting sqref="P84:P86">
    <cfRule type="cellIs" dxfId="84" priority="9" stopIfTrue="1" operator="greaterThan">
      <formula>0</formula>
    </cfRule>
  </conditionalFormatting>
  <conditionalFormatting sqref="P95">
    <cfRule type="cellIs" dxfId="83" priority="8" stopIfTrue="1" operator="greaterThan">
      <formula>0</formula>
    </cfRule>
  </conditionalFormatting>
  <conditionalFormatting sqref="P97:P98">
    <cfRule type="cellIs" dxfId="82" priority="6" stopIfTrue="1" operator="greaterThan">
      <formula>0</formula>
    </cfRule>
  </conditionalFormatting>
  <conditionalFormatting sqref="P122">
    <cfRule type="cellIs" dxfId="81" priority="5" stopIfTrue="1" operator="greaterThan">
      <formula>0</formula>
    </cfRule>
  </conditionalFormatting>
  <conditionalFormatting sqref="T11">
    <cfRule type="cellIs" dxfId="80" priority="22" stopIfTrue="1" operator="greaterThan">
      <formula>0</formula>
    </cfRule>
  </conditionalFormatting>
  <conditionalFormatting sqref="T14:T17">
    <cfRule type="cellIs" dxfId="79" priority="21" stopIfTrue="1" operator="greaterThan">
      <formula>0</formula>
    </cfRule>
  </conditionalFormatting>
  <conditionalFormatting sqref="T21:T23">
    <cfRule type="cellIs" dxfId="78" priority="4" stopIfTrue="1" operator="greaterThan">
      <formula>0</formula>
    </cfRule>
  </conditionalFormatting>
  <conditionalFormatting sqref="T32">
    <cfRule type="cellIs" dxfId="77" priority="3" stopIfTrue="1" operator="greaterThan">
      <formula>0</formula>
    </cfRule>
  </conditionalFormatting>
  <conditionalFormatting sqref="T34">
    <cfRule type="cellIs" dxfId="76" priority="1" stopIfTrue="1" operator="greaterThan">
      <formula>0</formula>
    </cfRule>
  </conditionalFormatting>
  <conditionalFormatting sqref="T59:T61">
    <cfRule type="cellIs" dxfId="75" priority="10" stopIfTrue="1" operator="greaterThan">
      <formula>0</formula>
    </cfRule>
  </conditionalFormatting>
  <conditionalFormatting sqref="T63">
    <cfRule type="cellIs" dxfId="74" priority="13" stopIfTrue="1" operator="greaterThan">
      <formula>0</formula>
    </cfRule>
  </conditionalFormatting>
  <conditionalFormatting sqref="T126">
    <cfRule type="cellIs" dxfId="73" priority="12" stopIfTrue="1" operator="greaterThan">
      <formula>0</formula>
    </cfRule>
  </conditionalFormatting>
  <conditionalFormatting sqref="T128">
    <cfRule type="cellIs" dxfId="72" priority="11" stopIfTrue="1"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EA31-0B7E-4C5F-AE36-EE4CEB91A7ED}">
  <sheetPr>
    <tabColor theme="8" tint="0.79998168889431442"/>
  </sheetPr>
  <dimension ref="A1:U214"/>
  <sheetViews>
    <sheetView topLeftCell="A42" zoomScale="55" zoomScaleNormal="55" workbookViewId="0">
      <selection activeCell="P147" sqref="P147"/>
    </sheetView>
  </sheetViews>
  <sheetFormatPr defaultRowHeight="15" x14ac:dyDescent="0.25"/>
  <cols>
    <col min="2" max="2" width="54.140625" customWidth="1"/>
  </cols>
  <sheetData>
    <row r="1" spans="1:21" s="42" customFormat="1" x14ac:dyDescent="0.25">
      <c r="A1" s="157"/>
      <c r="B1" s="112" t="s">
        <v>1198</v>
      </c>
      <c r="C1" s="44"/>
      <c r="D1" s="53"/>
      <c r="E1" s="53"/>
      <c r="F1" s="53"/>
      <c r="G1" s="53"/>
      <c r="H1" s="53"/>
      <c r="I1" s="53"/>
      <c r="J1" s="53"/>
      <c r="K1" s="53"/>
      <c r="L1" s="53"/>
      <c r="M1" s="53"/>
      <c r="N1" s="53"/>
      <c r="O1" s="113"/>
      <c r="P1" s="44"/>
      <c r="Q1" s="44"/>
      <c r="R1" s="44"/>
      <c r="S1" s="44"/>
      <c r="T1" s="44"/>
      <c r="U1" s="47"/>
    </row>
    <row r="2" spans="1:21" s="42" customFormat="1" x14ac:dyDescent="0.25">
      <c r="A2" s="157"/>
      <c r="B2" s="480" t="s">
        <v>11</v>
      </c>
      <c r="C2" s="481"/>
      <c r="D2" s="481"/>
      <c r="E2" s="481"/>
      <c r="F2" s="481"/>
      <c r="G2" s="481"/>
      <c r="H2" s="481"/>
      <c r="I2" s="481"/>
      <c r="J2" s="481"/>
      <c r="K2" s="481"/>
      <c r="L2" s="481"/>
      <c r="M2" s="481"/>
      <c r="N2" s="481"/>
      <c r="O2" s="481"/>
      <c r="P2" s="481"/>
      <c r="Q2" s="481"/>
      <c r="R2" s="482"/>
      <c r="S2" s="7" t="s">
        <v>10</v>
      </c>
      <c r="T2" s="133">
        <v>0</v>
      </c>
      <c r="U2" s="47"/>
    </row>
    <row r="3" spans="1:21" s="42" customFormat="1" x14ac:dyDescent="0.25">
      <c r="A3" s="157"/>
      <c r="B3" s="483"/>
      <c r="C3" s="484"/>
      <c r="D3" s="484"/>
      <c r="E3" s="484"/>
      <c r="F3" s="484"/>
      <c r="G3" s="484"/>
      <c r="H3" s="484"/>
      <c r="I3" s="484"/>
      <c r="J3" s="484"/>
      <c r="K3" s="484"/>
      <c r="L3" s="484"/>
      <c r="M3" s="484"/>
      <c r="N3" s="484"/>
      <c r="O3" s="484"/>
      <c r="P3" s="484"/>
      <c r="Q3" s="484"/>
      <c r="R3" s="485"/>
      <c r="S3" s="7" t="s">
        <v>9</v>
      </c>
      <c r="T3" s="134" t="s">
        <v>1006</v>
      </c>
      <c r="U3" s="47"/>
    </row>
    <row r="4" spans="1:21" s="42" customFormat="1" x14ac:dyDescent="0.25">
      <c r="A4" s="157"/>
      <c r="B4" s="114" t="s">
        <v>1199</v>
      </c>
      <c r="C4" s="114" t="s">
        <v>12</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x14ac:dyDescent="0.25">
      <c r="A5" s="158" t="s">
        <v>1</v>
      </c>
      <c r="B5" s="486" t="s">
        <v>35</v>
      </c>
      <c r="C5" s="486"/>
      <c r="D5" s="486"/>
      <c r="E5" s="486"/>
      <c r="F5" s="486"/>
      <c r="G5" s="486"/>
      <c r="H5" s="486"/>
      <c r="I5" s="486"/>
      <c r="J5" s="486"/>
      <c r="K5" s="486"/>
      <c r="L5" s="486"/>
      <c r="M5" s="486"/>
      <c r="N5" s="486"/>
      <c r="O5" s="486"/>
      <c r="P5" s="486"/>
      <c r="Q5" s="486"/>
      <c r="R5" s="486"/>
      <c r="S5" s="486"/>
      <c r="T5" s="486"/>
      <c r="U5" s="149"/>
    </row>
    <row r="6" spans="1:21" s="42" customFormat="1" ht="15.75"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thickBot="1" x14ac:dyDescent="0.3">
      <c r="A7" s="119" t="s">
        <v>8</v>
      </c>
      <c r="B7" s="119" t="s">
        <v>7</v>
      </c>
      <c r="C7" s="120" t="s">
        <v>6</v>
      </c>
      <c r="D7" s="487"/>
      <c r="E7" s="487"/>
      <c r="F7" s="487"/>
      <c r="G7" s="487"/>
      <c r="H7" s="487"/>
      <c r="I7" s="487"/>
      <c r="J7" s="487"/>
      <c r="K7" s="487"/>
      <c r="L7" s="487"/>
      <c r="M7" s="487"/>
      <c r="N7" s="487"/>
      <c r="O7" s="121" t="s">
        <v>54</v>
      </c>
      <c r="P7" s="122" t="s">
        <v>5</v>
      </c>
      <c r="Q7" s="121" t="s">
        <v>4</v>
      </c>
      <c r="R7" s="121" t="s">
        <v>1004</v>
      </c>
      <c r="S7" s="121"/>
      <c r="T7" s="119" t="s">
        <v>1005</v>
      </c>
      <c r="U7" s="47"/>
    </row>
    <row r="8" spans="1:21" s="42" customFormat="1" ht="15.75" thickBot="1" x14ac:dyDescent="0.3">
      <c r="A8" s="123"/>
      <c r="B8" s="123"/>
      <c r="C8" s="124"/>
      <c r="D8" s="477" t="s">
        <v>1002</v>
      </c>
      <c r="E8" s="478"/>
      <c r="F8" s="478"/>
      <c r="G8" s="478"/>
      <c r="H8" s="478"/>
      <c r="I8" s="478"/>
      <c r="J8" s="478"/>
      <c r="K8" s="478"/>
      <c r="L8" s="478"/>
      <c r="M8" s="478"/>
      <c r="N8" s="479"/>
      <c r="O8" s="125"/>
      <c r="P8" s="124"/>
      <c r="Q8" s="124"/>
      <c r="R8" s="124"/>
      <c r="S8" s="124"/>
      <c r="T8" s="123"/>
      <c r="U8" s="47"/>
    </row>
    <row r="9" spans="1:21" s="42" customFormat="1" ht="60" x14ac:dyDescent="0.25">
      <c r="A9" s="123"/>
      <c r="B9" s="123"/>
      <c r="C9" s="124"/>
      <c r="D9" s="127" t="s">
        <v>1273</v>
      </c>
      <c r="E9" s="127" t="s">
        <v>1274</v>
      </c>
      <c r="F9" s="46" t="s">
        <v>1275</v>
      </c>
      <c r="G9" s="46" t="s">
        <v>1276</v>
      </c>
      <c r="H9" s="46" t="s">
        <v>1277</v>
      </c>
      <c r="I9" s="46" t="s">
        <v>1278</v>
      </c>
      <c r="J9" s="46" t="s">
        <v>1279</v>
      </c>
      <c r="K9" s="46" t="s">
        <v>1280</v>
      </c>
      <c r="L9" s="46" t="s">
        <v>1281</v>
      </c>
      <c r="M9" s="154" t="s">
        <v>1208</v>
      </c>
      <c r="N9" s="126" t="s">
        <v>1003</v>
      </c>
      <c r="O9" s="125"/>
      <c r="P9" s="124"/>
      <c r="Q9" s="124"/>
      <c r="R9" s="124"/>
      <c r="S9" s="124"/>
      <c r="T9" s="123"/>
      <c r="U9" s="47"/>
    </row>
    <row r="10" spans="1:21" s="32" customFormat="1" ht="12.75"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x14ac:dyDescent="0.25">
      <c r="A12" s="160" t="s">
        <v>53</v>
      </c>
      <c r="B12" s="39" t="s">
        <v>1282</v>
      </c>
      <c r="C12" s="40"/>
      <c r="D12" s="40"/>
      <c r="E12" s="40"/>
      <c r="F12" s="40"/>
      <c r="G12" s="40"/>
      <c r="H12" s="40"/>
      <c r="I12" s="40"/>
      <c r="J12" s="40"/>
      <c r="K12" s="40"/>
      <c r="L12" s="40"/>
      <c r="M12" s="40"/>
      <c r="N12" s="40"/>
      <c r="O12" s="59"/>
      <c r="P12" s="40"/>
      <c r="Q12" s="40"/>
      <c r="R12" s="40"/>
      <c r="S12" s="40"/>
      <c r="T12" s="41"/>
      <c r="U12" s="149"/>
    </row>
    <row r="14" spans="1:21" s="117" customFormat="1" ht="15.75" x14ac:dyDescent="0.25">
      <c r="A14" s="158" t="s">
        <v>92</v>
      </c>
      <c r="B14" s="39" t="s">
        <v>93</v>
      </c>
      <c r="C14" s="40"/>
      <c r="D14" s="40"/>
      <c r="E14" s="40"/>
      <c r="F14" s="40"/>
      <c r="G14" s="40"/>
      <c r="H14" s="40"/>
      <c r="I14" s="40"/>
      <c r="J14" s="40"/>
      <c r="K14" s="40"/>
      <c r="L14" s="40"/>
      <c r="M14" s="40"/>
      <c r="N14" s="40"/>
      <c r="O14" s="59"/>
      <c r="P14" s="40"/>
      <c r="Q14" s="40"/>
      <c r="R14" s="40"/>
      <c r="S14" s="40"/>
      <c r="T14" s="41"/>
      <c r="U14" s="149"/>
    </row>
    <row r="15" spans="1:21" s="32" customFormat="1" ht="12.75" x14ac:dyDescent="0.2">
      <c r="A15" s="159"/>
      <c r="B15" s="31"/>
      <c r="C15" s="25"/>
      <c r="D15" s="25"/>
      <c r="E15" s="25"/>
      <c r="F15" s="25"/>
      <c r="G15" s="25"/>
      <c r="H15" s="25"/>
      <c r="I15" s="25"/>
      <c r="J15" s="25"/>
      <c r="K15" s="25"/>
      <c r="L15" s="25"/>
      <c r="M15" s="25"/>
      <c r="N15" s="25"/>
      <c r="O15" s="58"/>
      <c r="P15" s="26"/>
      <c r="Q15" s="26"/>
      <c r="R15" s="26"/>
      <c r="S15" s="26"/>
      <c r="T15" s="35"/>
      <c r="U15" s="37"/>
    </row>
    <row r="16" spans="1:21" s="42" customFormat="1" x14ac:dyDescent="0.25">
      <c r="A16" s="161" t="s">
        <v>95</v>
      </c>
      <c r="B16" s="493" t="s">
        <v>1266</v>
      </c>
      <c r="C16" s="493"/>
      <c r="D16" s="493"/>
      <c r="E16" s="493"/>
      <c r="F16" s="493"/>
      <c r="G16" s="493"/>
      <c r="H16" s="493"/>
      <c r="I16" s="493"/>
      <c r="J16" s="493"/>
      <c r="K16" s="493"/>
      <c r="L16" s="493"/>
      <c r="M16" s="493"/>
      <c r="N16" s="493"/>
      <c r="O16" s="493"/>
      <c r="P16" s="493"/>
      <c r="Q16" s="493"/>
      <c r="R16" s="493"/>
      <c r="S16" s="43"/>
      <c r="T16" s="33"/>
      <c r="U16" s="47"/>
    </row>
    <row r="17" spans="1:21" s="42" customFormat="1" x14ac:dyDescent="0.25">
      <c r="A17" s="157"/>
      <c r="B17" s="44"/>
      <c r="C17" s="44"/>
      <c r="D17" s="44"/>
      <c r="E17" s="44"/>
      <c r="F17" s="44"/>
      <c r="G17" s="44"/>
      <c r="H17" s="44"/>
      <c r="I17" s="44"/>
      <c r="J17" s="44"/>
      <c r="K17" s="44"/>
      <c r="L17" s="44"/>
      <c r="M17" s="44"/>
      <c r="N17" s="44"/>
      <c r="O17" s="118"/>
      <c r="P17" s="44"/>
      <c r="Q17" s="44"/>
      <c r="R17" s="44"/>
      <c r="S17" s="44"/>
      <c r="T17" s="44"/>
      <c r="U17" s="47"/>
    </row>
    <row r="18" spans="1:21" s="42" customFormat="1" x14ac:dyDescent="0.25">
      <c r="A18" s="166" t="s">
        <v>1126</v>
      </c>
      <c r="B18" s="147" t="s">
        <v>1267</v>
      </c>
      <c r="C18" s="28"/>
      <c r="D18" s="28"/>
      <c r="E18" s="28"/>
      <c r="F18" s="28"/>
      <c r="G18" s="28"/>
      <c r="H18" s="28"/>
      <c r="I18" s="28"/>
      <c r="J18" s="28"/>
      <c r="K18" s="28"/>
      <c r="L18" s="28"/>
      <c r="M18" s="28"/>
      <c r="N18" s="28"/>
      <c r="O18" s="60"/>
      <c r="P18" s="29"/>
      <c r="Q18" s="29"/>
      <c r="R18" s="29"/>
      <c r="S18" s="29"/>
      <c r="T18" s="23"/>
      <c r="U18" s="152"/>
    </row>
    <row r="19" spans="1:21" s="42" customFormat="1" ht="38.25" x14ac:dyDescent="0.25">
      <c r="A19" s="167"/>
      <c r="B19" s="141" t="s">
        <v>1269</v>
      </c>
      <c r="C19" s="31"/>
      <c r="D19" s="31"/>
      <c r="E19" s="31"/>
      <c r="F19" s="31"/>
      <c r="G19" s="31"/>
      <c r="H19" s="31"/>
      <c r="I19" s="31"/>
      <c r="J19" s="31"/>
      <c r="K19" s="31"/>
      <c r="L19" s="31"/>
      <c r="M19" s="31"/>
      <c r="N19" s="31"/>
      <c r="O19" s="58"/>
      <c r="P19" s="26"/>
      <c r="Q19" s="26"/>
      <c r="R19" s="26"/>
      <c r="S19" s="26"/>
      <c r="T19" s="38"/>
      <c r="U19" s="152"/>
    </row>
    <row r="20" spans="1:21" s="42" customFormat="1" ht="15.75" thickBot="1" x14ac:dyDescent="0.3">
      <c r="A20" s="167"/>
      <c r="B20" s="141" t="s">
        <v>94</v>
      </c>
      <c r="C20" s="31"/>
      <c r="D20" s="31"/>
      <c r="E20" s="31"/>
      <c r="F20" s="31"/>
      <c r="G20" s="31"/>
      <c r="H20" s="31"/>
      <c r="I20" s="31"/>
      <c r="J20" s="31"/>
      <c r="K20" s="31"/>
      <c r="L20" s="31"/>
      <c r="M20" s="31"/>
      <c r="N20" s="31"/>
      <c r="O20" s="58"/>
      <c r="P20" s="26"/>
      <c r="Q20" s="26"/>
      <c r="R20" s="26"/>
      <c r="S20" s="26"/>
      <c r="T20" s="38"/>
      <c r="U20" s="152"/>
    </row>
    <row r="21" spans="1:21" s="42" customFormat="1" ht="15.75" thickBot="1" x14ac:dyDescent="0.3">
      <c r="A21" s="166" t="s">
        <v>1128</v>
      </c>
      <c r="B21" s="144" t="s">
        <v>1130</v>
      </c>
      <c r="C21" s="135" t="s">
        <v>56</v>
      </c>
      <c r="D21" s="55">
        <v>42.9</v>
      </c>
      <c r="E21" s="55">
        <v>42.9</v>
      </c>
      <c r="F21" s="36">
        <v>44.6</v>
      </c>
      <c r="G21" s="36">
        <v>44.6</v>
      </c>
      <c r="H21" s="36">
        <v>205.2</v>
      </c>
      <c r="I21" s="36">
        <v>48.2</v>
      </c>
      <c r="J21" s="36">
        <v>48.2</v>
      </c>
      <c r="K21" s="36">
        <v>72.599999999999994</v>
      </c>
      <c r="L21" s="36">
        <v>107</v>
      </c>
      <c r="M21" s="36">
        <v>61</v>
      </c>
      <c r="N21" s="56">
        <v>0</v>
      </c>
      <c r="O21" s="62">
        <f>SUM(D21:N21)</f>
        <v>717.19999999999993</v>
      </c>
      <c r="P21" s="26">
        <v>0</v>
      </c>
      <c r="Q21" s="26">
        <v>0</v>
      </c>
      <c r="R21" s="26">
        <f>P21+Q21</f>
        <v>0</v>
      </c>
      <c r="S21" s="26"/>
      <c r="T21" s="22">
        <f>R21*O21</f>
        <v>0</v>
      </c>
      <c r="U21" s="47"/>
    </row>
    <row r="22" spans="1:21" s="42" customFormat="1" ht="15.75" thickBot="1" x14ac:dyDescent="0.3">
      <c r="A22" s="166" t="s">
        <v>1129</v>
      </c>
      <c r="B22" s="144" t="s">
        <v>97</v>
      </c>
      <c r="C22" s="135" t="s">
        <v>56</v>
      </c>
      <c r="D22" s="55">
        <v>4.8499999999999996</v>
      </c>
      <c r="E22" s="55">
        <v>4.8499999999999996</v>
      </c>
      <c r="F22" s="36">
        <v>4.8</v>
      </c>
      <c r="G22" s="36">
        <v>4.8</v>
      </c>
      <c r="H22" s="36">
        <v>25.6</v>
      </c>
      <c r="I22" s="36">
        <v>3.9</v>
      </c>
      <c r="J22" s="36">
        <v>3.9</v>
      </c>
      <c r="K22" s="36">
        <v>10.6</v>
      </c>
      <c r="L22" s="36">
        <v>18.8</v>
      </c>
      <c r="M22" s="36">
        <v>0</v>
      </c>
      <c r="N22" s="56">
        <v>0</v>
      </c>
      <c r="O22" s="62">
        <f>SUM(D22:N22)</f>
        <v>82.100000000000009</v>
      </c>
      <c r="P22" s="26">
        <v>0</v>
      </c>
      <c r="Q22" s="26">
        <v>0</v>
      </c>
      <c r="R22" s="26">
        <f>P22+Q22</f>
        <v>0</v>
      </c>
      <c r="S22" s="26"/>
      <c r="T22" s="22">
        <f>R22*O22</f>
        <v>0</v>
      </c>
      <c r="U22" s="47"/>
    </row>
    <row r="23" spans="1:21" s="42" customFormat="1" x14ac:dyDescent="0.25">
      <c r="A23" s="157"/>
      <c r="B23" s="44"/>
      <c r="C23" s="44"/>
      <c r="D23" s="44"/>
      <c r="E23" s="44"/>
      <c r="F23" s="44"/>
      <c r="G23" s="44"/>
      <c r="H23" s="44"/>
      <c r="I23" s="44"/>
      <c r="J23" s="44"/>
      <c r="K23" s="44"/>
      <c r="L23" s="44"/>
      <c r="M23" s="44"/>
      <c r="N23" s="44"/>
      <c r="O23" s="118"/>
      <c r="P23" s="44"/>
      <c r="Q23" s="44"/>
      <c r="R23" s="44"/>
      <c r="S23" s="44"/>
      <c r="T23" s="44"/>
      <c r="U23" s="47"/>
    </row>
    <row r="24" spans="1:21" s="42" customFormat="1" x14ac:dyDescent="0.25">
      <c r="A24" s="166" t="s">
        <v>1132</v>
      </c>
      <c r="B24" s="147" t="s">
        <v>1268</v>
      </c>
      <c r="C24" s="28"/>
      <c r="D24" s="28"/>
      <c r="E24" s="28"/>
      <c r="F24" s="28"/>
      <c r="G24" s="28"/>
      <c r="H24" s="28"/>
      <c r="I24" s="28"/>
      <c r="J24" s="28"/>
      <c r="K24" s="28"/>
      <c r="L24" s="28"/>
      <c r="M24" s="28"/>
      <c r="N24" s="28"/>
      <c r="O24" s="60"/>
      <c r="P24" s="29"/>
      <c r="Q24" s="29"/>
      <c r="R24" s="29"/>
      <c r="S24" s="29"/>
      <c r="T24" s="23"/>
      <c r="U24" s="152"/>
    </row>
    <row r="25" spans="1:21" s="42" customFormat="1" ht="38.25" x14ac:dyDescent="0.25">
      <c r="A25" s="167"/>
      <c r="B25" s="141" t="s">
        <v>1270</v>
      </c>
      <c r="C25" s="31"/>
      <c r="D25" s="31"/>
      <c r="E25" s="31"/>
      <c r="F25" s="31"/>
      <c r="G25" s="31"/>
      <c r="H25" s="31"/>
      <c r="I25" s="31"/>
      <c r="J25" s="31"/>
      <c r="K25" s="31"/>
      <c r="L25" s="31"/>
      <c r="M25" s="31"/>
      <c r="N25" s="31"/>
      <c r="O25" s="58"/>
      <c r="P25" s="26"/>
      <c r="Q25" s="26"/>
      <c r="R25" s="26"/>
      <c r="S25" s="26"/>
      <c r="T25" s="38"/>
      <c r="U25" s="152"/>
    </row>
    <row r="26" spans="1:21" s="42" customFormat="1" ht="15.75" thickBot="1" x14ac:dyDescent="0.3">
      <c r="A26" s="167"/>
      <c r="B26" s="141" t="s">
        <v>94</v>
      </c>
      <c r="C26" s="31"/>
      <c r="D26" s="31"/>
      <c r="E26" s="31"/>
      <c r="F26" s="31"/>
      <c r="G26" s="31"/>
      <c r="H26" s="31"/>
      <c r="I26" s="31"/>
      <c r="J26" s="31"/>
      <c r="K26" s="31"/>
      <c r="L26" s="31"/>
      <c r="M26" s="31"/>
      <c r="N26" s="31"/>
      <c r="O26" s="58"/>
      <c r="P26" s="26"/>
      <c r="Q26" s="26"/>
      <c r="R26" s="26"/>
      <c r="S26" s="26"/>
      <c r="T26" s="38"/>
      <c r="U26" s="152"/>
    </row>
    <row r="27" spans="1:21" s="42" customFormat="1" ht="15.75" thickBot="1" x14ac:dyDescent="0.3">
      <c r="A27" s="166" t="s">
        <v>1133</v>
      </c>
      <c r="B27" s="144" t="s">
        <v>1130</v>
      </c>
      <c r="C27" s="135" t="s">
        <v>56</v>
      </c>
      <c r="D27" s="55">
        <v>117.6</v>
      </c>
      <c r="E27" s="55">
        <v>117.6</v>
      </c>
      <c r="F27" s="36">
        <v>126.25</v>
      </c>
      <c r="G27" s="36">
        <v>126.25</v>
      </c>
      <c r="H27" s="36">
        <v>650.4</v>
      </c>
      <c r="I27" s="36">
        <v>133.02500000000001</v>
      </c>
      <c r="J27" s="36">
        <v>133.02500000000001</v>
      </c>
      <c r="K27" s="36">
        <v>396.3</v>
      </c>
      <c r="L27" s="36">
        <v>391.65</v>
      </c>
      <c r="M27" s="36">
        <v>45</v>
      </c>
      <c r="N27" s="56">
        <v>0</v>
      </c>
      <c r="O27" s="62">
        <f>SUM(D27:N27)</f>
        <v>2237.1</v>
      </c>
      <c r="P27" s="26">
        <v>0</v>
      </c>
      <c r="Q27" s="26">
        <v>0</v>
      </c>
      <c r="R27" s="26">
        <f>P27+Q27</f>
        <v>0</v>
      </c>
      <c r="S27" s="26"/>
      <c r="T27" s="22">
        <f>R27*O27</f>
        <v>0</v>
      </c>
      <c r="U27" s="47"/>
    </row>
    <row r="28" spans="1:21" s="32" customFormat="1" ht="12.75" x14ac:dyDescent="0.2">
      <c r="A28" s="159"/>
      <c r="B28" s="31"/>
      <c r="C28" s="25"/>
      <c r="D28" s="25"/>
      <c r="E28" s="25"/>
      <c r="F28" s="25"/>
      <c r="G28" s="25"/>
      <c r="H28" s="25"/>
      <c r="I28" s="25"/>
      <c r="J28" s="25"/>
      <c r="K28" s="25"/>
      <c r="L28" s="25"/>
      <c r="M28" s="25"/>
      <c r="N28" s="25"/>
      <c r="O28" s="58"/>
      <c r="P28" s="26"/>
      <c r="Q28" s="26"/>
      <c r="R28" s="26"/>
      <c r="S28" s="26"/>
      <c r="T28" s="22"/>
      <c r="U28" s="37"/>
    </row>
    <row r="29" spans="1:21" s="129" customFormat="1" x14ac:dyDescent="0.25">
      <c r="A29" s="165" t="s">
        <v>96</v>
      </c>
      <c r="B29" s="490" t="s">
        <v>1266</v>
      </c>
      <c r="C29" s="491"/>
      <c r="D29" s="491"/>
      <c r="E29" s="491"/>
      <c r="F29" s="491"/>
      <c r="G29" s="491"/>
      <c r="H29" s="491"/>
      <c r="I29" s="491"/>
      <c r="J29" s="491"/>
      <c r="K29" s="491"/>
      <c r="L29" s="491"/>
      <c r="M29" s="491"/>
      <c r="N29" s="491"/>
      <c r="O29" s="491"/>
      <c r="P29" s="491"/>
      <c r="Q29" s="492"/>
      <c r="R29" s="34" t="s">
        <v>0</v>
      </c>
      <c r="S29" s="34"/>
      <c r="T29" s="9">
        <f>SUM(T18:T28)</f>
        <v>0</v>
      </c>
      <c r="U29" s="150"/>
    </row>
    <row r="30" spans="1:21" s="32" customFormat="1" ht="12.75" x14ac:dyDescent="0.2">
      <c r="A30" s="159"/>
      <c r="B30" s="31"/>
      <c r="C30" s="25"/>
      <c r="D30" s="25"/>
      <c r="E30" s="25"/>
      <c r="F30" s="25"/>
      <c r="G30" s="25"/>
      <c r="H30" s="25"/>
      <c r="I30" s="25"/>
      <c r="J30" s="25"/>
      <c r="K30" s="25"/>
      <c r="L30" s="25"/>
      <c r="M30" s="25"/>
      <c r="N30" s="25"/>
      <c r="O30" s="58"/>
      <c r="P30" s="26"/>
      <c r="Q30" s="26"/>
      <c r="R30" s="26"/>
      <c r="S30" s="26"/>
      <c r="T30" s="35"/>
      <c r="U30" s="37"/>
    </row>
    <row r="31" spans="1:21" s="42" customFormat="1" x14ac:dyDescent="0.25">
      <c r="A31" s="161" t="s">
        <v>98</v>
      </c>
      <c r="B31" s="493" t="s">
        <v>100</v>
      </c>
      <c r="C31" s="493"/>
      <c r="D31" s="493"/>
      <c r="E31" s="493"/>
      <c r="F31" s="493"/>
      <c r="G31" s="493"/>
      <c r="H31" s="493"/>
      <c r="I31" s="493"/>
      <c r="J31" s="493"/>
      <c r="K31" s="493"/>
      <c r="L31" s="493"/>
      <c r="M31" s="493"/>
      <c r="N31" s="493"/>
      <c r="O31" s="493"/>
      <c r="P31" s="493"/>
      <c r="Q31" s="493"/>
      <c r="R31" s="493"/>
      <c r="S31" s="43"/>
      <c r="T31" s="33"/>
      <c r="U31" s="47"/>
    </row>
    <row r="32" spans="1:21" s="42" customFormat="1" x14ac:dyDescent="0.25">
      <c r="A32" s="157"/>
      <c r="B32" s="44"/>
      <c r="C32" s="44"/>
      <c r="D32" s="44"/>
      <c r="E32" s="44"/>
      <c r="F32" s="44"/>
      <c r="G32" s="44"/>
      <c r="H32" s="44"/>
      <c r="I32" s="44"/>
      <c r="J32" s="44"/>
      <c r="K32" s="44"/>
      <c r="L32" s="44"/>
      <c r="M32" s="44"/>
      <c r="N32" s="44"/>
      <c r="O32" s="118"/>
      <c r="P32" s="44"/>
      <c r="Q32" s="44"/>
      <c r="R32" s="44"/>
      <c r="S32" s="44"/>
      <c r="T32" s="44"/>
      <c r="U32" s="47"/>
    </row>
    <row r="33" spans="1:21" s="42" customFormat="1" x14ac:dyDescent="0.25">
      <c r="A33" s="166" t="s">
        <v>1131</v>
      </c>
      <c r="B33" s="147" t="s">
        <v>1135</v>
      </c>
      <c r="C33" s="28"/>
      <c r="D33" s="28"/>
      <c r="E33" s="28"/>
      <c r="F33" s="28"/>
      <c r="G33" s="28"/>
      <c r="H33" s="28"/>
      <c r="I33" s="28"/>
      <c r="J33" s="28"/>
      <c r="K33" s="28"/>
      <c r="L33" s="28"/>
      <c r="M33" s="28"/>
      <c r="N33" s="28"/>
      <c r="O33" s="60"/>
      <c r="P33" s="29"/>
      <c r="Q33" s="29"/>
      <c r="R33" s="29"/>
      <c r="S33" s="29"/>
      <c r="T33" s="23"/>
      <c r="U33" s="152"/>
    </row>
    <row r="34" spans="1:21" s="42" customFormat="1" ht="165.75" x14ac:dyDescent="0.25">
      <c r="A34" s="167"/>
      <c r="B34" s="24" t="s">
        <v>101</v>
      </c>
      <c r="C34" s="31"/>
      <c r="D34" s="31"/>
      <c r="E34" s="31"/>
      <c r="F34" s="31"/>
      <c r="G34" s="31"/>
      <c r="H34" s="31"/>
      <c r="I34" s="31"/>
      <c r="J34" s="31"/>
      <c r="K34" s="31"/>
      <c r="L34" s="31"/>
      <c r="M34" s="31"/>
      <c r="N34" s="31"/>
      <c r="O34" s="58"/>
      <c r="P34" s="26"/>
      <c r="Q34" s="26"/>
      <c r="R34" s="26"/>
      <c r="S34" s="26"/>
      <c r="T34" s="38"/>
      <c r="U34" s="152"/>
    </row>
    <row r="35" spans="1:21" s="42" customFormat="1" ht="26.25" x14ac:dyDescent="0.25">
      <c r="A35" s="167"/>
      <c r="B35" s="138" t="s">
        <v>102</v>
      </c>
      <c r="C35" s="31"/>
      <c r="D35" s="31"/>
      <c r="E35" s="31"/>
      <c r="F35" s="31"/>
      <c r="G35" s="31"/>
      <c r="H35" s="31"/>
      <c r="I35" s="31"/>
      <c r="J35" s="31"/>
      <c r="K35" s="31"/>
      <c r="L35" s="31"/>
      <c r="M35" s="31"/>
      <c r="N35" s="31"/>
      <c r="O35" s="58"/>
      <c r="P35" s="26"/>
      <c r="Q35" s="26"/>
      <c r="R35" s="26"/>
      <c r="S35" s="26"/>
      <c r="T35" s="38"/>
      <c r="U35" s="152"/>
    </row>
    <row r="36" spans="1:21" s="42" customFormat="1" ht="15.75" thickBot="1" x14ac:dyDescent="0.3">
      <c r="A36" s="167"/>
      <c r="B36" s="5" t="s">
        <v>1134</v>
      </c>
      <c r="C36" s="31"/>
      <c r="D36" s="31"/>
      <c r="E36" s="31"/>
      <c r="F36" s="31"/>
      <c r="G36" s="31"/>
      <c r="H36" s="31"/>
      <c r="I36" s="31"/>
      <c r="J36" s="31"/>
      <c r="K36" s="31"/>
      <c r="L36" s="31"/>
      <c r="M36" s="31"/>
      <c r="N36" s="31"/>
      <c r="O36" s="58"/>
      <c r="P36" s="26"/>
      <c r="Q36" s="26"/>
      <c r="R36" s="26"/>
      <c r="S36" s="26"/>
      <c r="T36" s="38"/>
      <c r="U36" s="152"/>
    </row>
    <row r="37" spans="1:21" s="42" customFormat="1" ht="15.75" thickBot="1" x14ac:dyDescent="0.3">
      <c r="A37" s="166"/>
      <c r="B37" s="144" t="s">
        <v>94</v>
      </c>
      <c r="C37" s="135" t="s">
        <v>56</v>
      </c>
      <c r="D37" s="55">
        <v>77.099999999999994</v>
      </c>
      <c r="E37" s="55">
        <v>77.099999999999994</v>
      </c>
      <c r="F37" s="36">
        <v>87</v>
      </c>
      <c r="G37" s="36">
        <v>87</v>
      </c>
      <c r="H37" s="36">
        <v>400</v>
      </c>
      <c r="I37" s="36">
        <v>104.5</v>
      </c>
      <c r="J37" s="36">
        <v>104.5</v>
      </c>
      <c r="K37" s="36">
        <v>162.19999999999999</v>
      </c>
      <c r="L37" s="36">
        <v>178.2</v>
      </c>
      <c r="M37" s="36">
        <v>0</v>
      </c>
      <c r="N37" s="56">
        <v>0</v>
      </c>
      <c r="O37" s="62">
        <f>SUM(D37:N37)</f>
        <v>1277.6000000000001</v>
      </c>
      <c r="P37" s="26">
        <v>0</v>
      </c>
      <c r="Q37" s="26">
        <v>0</v>
      </c>
      <c r="R37" s="26">
        <f>P37+Q37</f>
        <v>0</v>
      </c>
      <c r="S37" s="26"/>
      <c r="T37" s="22">
        <f>R37*O37</f>
        <v>0</v>
      </c>
      <c r="U37" s="47"/>
    </row>
    <row r="38" spans="1:21" s="42" customFormat="1" x14ac:dyDescent="0.25">
      <c r="A38" s="157"/>
      <c r="B38" s="44"/>
      <c r="C38" s="44"/>
      <c r="D38" s="44"/>
      <c r="E38" s="44"/>
      <c r="F38" s="44"/>
      <c r="G38" s="44"/>
      <c r="H38" s="44"/>
      <c r="I38" s="44"/>
      <c r="J38" s="44"/>
      <c r="K38" s="44"/>
      <c r="L38" s="44"/>
      <c r="M38" s="44"/>
      <c r="N38" s="44"/>
      <c r="O38" s="118"/>
      <c r="P38" s="44"/>
      <c r="Q38" s="44"/>
      <c r="R38" s="44"/>
      <c r="S38" s="44"/>
      <c r="T38" s="44"/>
      <c r="U38" s="47"/>
    </row>
    <row r="39" spans="1:21" s="42" customFormat="1" x14ac:dyDescent="0.25">
      <c r="A39" s="166" t="s">
        <v>1136</v>
      </c>
      <c r="B39" s="147" t="s">
        <v>1137</v>
      </c>
      <c r="C39" s="28"/>
      <c r="D39" s="28"/>
      <c r="E39" s="28"/>
      <c r="F39" s="28"/>
      <c r="G39" s="28"/>
      <c r="H39" s="28"/>
      <c r="I39" s="28"/>
      <c r="J39" s="28"/>
      <c r="K39" s="28"/>
      <c r="L39" s="28"/>
      <c r="M39" s="28"/>
      <c r="N39" s="28"/>
      <c r="O39" s="60"/>
      <c r="P39" s="29"/>
      <c r="Q39" s="29"/>
      <c r="R39" s="29"/>
      <c r="S39" s="29"/>
      <c r="T39" s="23"/>
      <c r="U39" s="152"/>
    </row>
    <row r="40" spans="1:21" s="42" customFormat="1" ht="165.75" x14ac:dyDescent="0.25">
      <c r="A40" s="167"/>
      <c r="B40" s="145" t="s">
        <v>103</v>
      </c>
      <c r="C40" s="31"/>
      <c r="D40" s="31"/>
      <c r="E40" s="31"/>
      <c r="F40" s="31"/>
      <c r="G40" s="31"/>
      <c r="H40" s="31"/>
      <c r="I40" s="31"/>
      <c r="J40" s="31"/>
      <c r="K40" s="31"/>
      <c r="L40" s="31"/>
      <c r="M40" s="31"/>
      <c r="N40" s="31"/>
      <c r="O40" s="58"/>
      <c r="P40" s="26"/>
      <c r="Q40" s="26"/>
      <c r="R40" s="26"/>
      <c r="S40" s="26"/>
      <c r="T40" s="38"/>
      <c r="U40" s="152"/>
    </row>
    <row r="41" spans="1:21" s="42" customFormat="1" x14ac:dyDescent="0.25">
      <c r="A41" s="167"/>
      <c r="B41" s="5" t="s">
        <v>1138</v>
      </c>
      <c r="C41" s="31"/>
      <c r="D41" s="31"/>
      <c r="E41" s="31"/>
      <c r="F41" s="31"/>
      <c r="G41" s="31"/>
      <c r="H41" s="31"/>
      <c r="I41" s="31"/>
      <c r="J41" s="31"/>
      <c r="K41" s="31"/>
      <c r="L41" s="31"/>
      <c r="M41" s="31"/>
      <c r="N41" s="31"/>
      <c r="O41" s="58"/>
      <c r="P41" s="26"/>
      <c r="Q41" s="26"/>
      <c r="R41" s="26"/>
      <c r="S41" s="26"/>
      <c r="T41" s="38"/>
      <c r="U41" s="152"/>
    </row>
    <row r="42" spans="1:21" s="42" customFormat="1" ht="15.75" thickBot="1" x14ac:dyDescent="0.3">
      <c r="A42" s="167"/>
      <c r="B42" s="5" t="s">
        <v>94</v>
      </c>
      <c r="C42" s="31"/>
      <c r="D42" s="31"/>
      <c r="E42" s="31"/>
      <c r="F42" s="31"/>
      <c r="G42" s="31"/>
      <c r="H42" s="31"/>
      <c r="I42" s="31"/>
      <c r="J42" s="31"/>
      <c r="K42" s="31"/>
      <c r="L42" s="31"/>
      <c r="M42" s="31"/>
      <c r="N42" s="31"/>
      <c r="O42" s="58"/>
      <c r="P42" s="26"/>
      <c r="Q42" s="26"/>
      <c r="R42" s="26"/>
      <c r="S42" s="26"/>
      <c r="T42" s="38"/>
      <c r="U42" s="152"/>
    </row>
    <row r="43" spans="1:21" s="42" customFormat="1" ht="15.75" thickBot="1" x14ac:dyDescent="0.3">
      <c r="A43" s="166" t="s">
        <v>1140</v>
      </c>
      <c r="B43" s="144" t="s">
        <v>1139</v>
      </c>
      <c r="C43" s="135" t="s">
        <v>56</v>
      </c>
      <c r="D43" s="55">
        <v>30.65</v>
      </c>
      <c r="E43" s="55">
        <v>30.65</v>
      </c>
      <c r="F43" s="36">
        <v>41.7</v>
      </c>
      <c r="G43" s="36">
        <v>41.7</v>
      </c>
      <c r="H43" s="36">
        <v>161.6</v>
      </c>
      <c r="I43" s="36">
        <v>45.85</v>
      </c>
      <c r="J43" s="36">
        <v>45.85</v>
      </c>
      <c r="K43" s="36">
        <v>56</v>
      </c>
      <c r="L43" s="36">
        <v>107</v>
      </c>
      <c r="M43" s="36">
        <v>0</v>
      </c>
      <c r="N43" s="56">
        <v>0</v>
      </c>
      <c r="O43" s="62">
        <f>SUM(D43:N43)</f>
        <v>561</v>
      </c>
      <c r="P43" s="26">
        <v>0</v>
      </c>
      <c r="Q43" s="26">
        <v>0</v>
      </c>
      <c r="R43" s="26">
        <f>P43+Q43</f>
        <v>0</v>
      </c>
      <c r="S43" s="26"/>
      <c r="T43" s="22">
        <f>R43*O43</f>
        <v>0</v>
      </c>
      <c r="U43" s="47"/>
    </row>
    <row r="44" spans="1:21" s="42" customFormat="1" x14ac:dyDescent="0.25">
      <c r="A44" s="167"/>
      <c r="B44" s="5"/>
      <c r="C44" s="25"/>
      <c r="D44" s="26"/>
      <c r="E44" s="26"/>
      <c r="F44" s="26"/>
      <c r="G44" s="26"/>
      <c r="H44" s="26"/>
      <c r="I44" s="26"/>
      <c r="J44" s="26"/>
      <c r="K44" s="26"/>
      <c r="L44" s="26"/>
      <c r="M44" s="26"/>
      <c r="N44" s="26"/>
      <c r="O44" s="58"/>
      <c r="P44" s="26"/>
      <c r="Q44" s="26"/>
      <c r="R44" s="26"/>
      <c r="S44" s="26"/>
      <c r="T44" s="22"/>
      <c r="U44" s="47"/>
    </row>
    <row r="45" spans="1:21" s="42" customFormat="1" x14ac:dyDescent="0.25">
      <c r="A45" s="167"/>
      <c r="B45" s="5" t="s">
        <v>1141</v>
      </c>
      <c r="C45" s="31"/>
      <c r="D45" s="31"/>
      <c r="E45" s="31"/>
      <c r="F45" s="31"/>
      <c r="G45" s="31"/>
      <c r="H45" s="31"/>
      <c r="I45" s="31"/>
      <c r="J45" s="31"/>
      <c r="K45" s="31"/>
      <c r="L45" s="31"/>
      <c r="M45" s="31"/>
      <c r="N45" s="31"/>
      <c r="O45" s="58"/>
      <c r="P45" s="26"/>
      <c r="Q45" s="26"/>
      <c r="R45" s="26"/>
      <c r="S45" s="26"/>
      <c r="T45" s="38"/>
      <c r="U45" s="152"/>
    </row>
    <row r="46" spans="1:21" s="42" customFormat="1" ht="15.75" thickBot="1" x14ac:dyDescent="0.3">
      <c r="A46" s="167"/>
      <c r="B46" s="5" t="s">
        <v>94</v>
      </c>
      <c r="C46" s="31"/>
      <c r="D46" s="31"/>
      <c r="E46" s="31"/>
      <c r="F46" s="31"/>
      <c r="G46" s="31"/>
      <c r="H46" s="31"/>
      <c r="I46" s="31"/>
      <c r="J46" s="31"/>
      <c r="K46" s="31"/>
      <c r="L46" s="31"/>
      <c r="M46" s="31"/>
      <c r="N46" s="31"/>
      <c r="O46" s="58"/>
      <c r="P46" s="26"/>
      <c r="Q46" s="26"/>
      <c r="R46" s="26"/>
      <c r="S46" s="26"/>
      <c r="T46" s="38"/>
      <c r="U46" s="152"/>
    </row>
    <row r="47" spans="1:21" s="42" customFormat="1" ht="15.75" thickBot="1" x14ac:dyDescent="0.3">
      <c r="A47" s="166" t="s">
        <v>1143</v>
      </c>
      <c r="B47" s="144" t="s">
        <v>1142</v>
      </c>
      <c r="C47" s="135" t="s">
        <v>56</v>
      </c>
      <c r="D47" s="55">
        <v>11.8</v>
      </c>
      <c r="E47" s="55">
        <v>11.8</v>
      </c>
      <c r="F47" s="36">
        <v>1.9</v>
      </c>
      <c r="G47" s="36">
        <v>1.9</v>
      </c>
      <c r="H47" s="36">
        <v>44.8</v>
      </c>
      <c r="I47" s="36">
        <v>2.2999999999999998</v>
      </c>
      <c r="J47" s="36">
        <v>2.2999999999999998</v>
      </c>
      <c r="K47" s="36">
        <v>17.600000000000001</v>
      </c>
      <c r="L47" s="36">
        <v>0</v>
      </c>
      <c r="M47" s="36">
        <v>0</v>
      </c>
      <c r="N47" s="56">
        <v>0</v>
      </c>
      <c r="O47" s="62">
        <f>SUM(D47:N47)</f>
        <v>94.399999999999977</v>
      </c>
      <c r="P47" s="26">
        <v>0</v>
      </c>
      <c r="Q47" s="26">
        <v>0</v>
      </c>
      <c r="R47" s="26">
        <f>P47+Q47</f>
        <v>0</v>
      </c>
      <c r="S47" s="26"/>
      <c r="T47" s="22">
        <f>R47*O47</f>
        <v>0</v>
      </c>
      <c r="U47" s="47"/>
    </row>
    <row r="48" spans="1:21" s="42" customFormat="1" x14ac:dyDescent="0.25">
      <c r="A48" s="167"/>
      <c r="B48" s="5"/>
      <c r="C48" s="25"/>
      <c r="D48" s="26"/>
      <c r="E48" s="26"/>
      <c r="F48" s="26"/>
      <c r="G48" s="26"/>
      <c r="H48" s="26"/>
      <c r="I48" s="26"/>
      <c r="J48" s="26"/>
      <c r="K48" s="26"/>
      <c r="L48" s="26"/>
      <c r="M48" s="26"/>
      <c r="N48" s="26"/>
      <c r="O48" s="58"/>
      <c r="P48" s="26"/>
      <c r="Q48" s="26"/>
      <c r="R48" s="26"/>
      <c r="S48" s="26"/>
      <c r="T48" s="22"/>
      <c r="U48" s="47"/>
    </row>
    <row r="49" spans="1:21" s="42" customFormat="1" x14ac:dyDescent="0.25">
      <c r="A49" s="166" t="s">
        <v>1144</v>
      </c>
      <c r="B49" s="147" t="s">
        <v>104</v>
      </c>
      <c r="C49" s="28"/>
      <c r="D49" s="28"/>
      <c r="E49" s="28"/>
      <c r="F49" s="28"/>
      <c r="G49" s="28"/>
      <c r="H49" s="28"/>
      <c r="I49" s="28"/>
      <c r="J49" s="28"/>
      <c r="K49" s="28"/>
      <c r="L49" s="28"/>
      <c r="M49" s="28"/>
      <c r="N49" s="28"/>
      <c r="O49" s="60"/>
      <c r="P49" s="29"/>
      <c r="Q49" s="29"/>
      <c r="R49" s="29"/>
      <c r="S49" s="29"/>
      <c r="T49" s="23"/>
      <c r="U49" s="152"/>
    </row>
    <row r="50" spans="1:21" s="42" customFormat="1" ht="178.5" x14ac:dyDescent="0.25">
      <c r="A50" s="167"/>
      <c r="B50" s="145" t="s">
        <v>1145</v>
      </c>
      <c r="C50" s="31"/>
      <c r="D50" s="31"/>
      <c r="E50" s="31"/>
      <c r="F50" s="31"/>
      <c r="G50" s="31"/>
      <c r="H50" s="31"/>
      <c r="I50" s="31"/>
      <c r="J50" s="31"/>
      <c r="K50" s="31"/>
      <c r="L50" s="31"/>
      <c r="M50" s="31"/>
      <c r="N50" s="31"/>
      <c r="O50" s="58"/>
      <c r="P50" s="26"/>
      <c r="Q50" s="26"/>
      <c r="R50" s="26"/>
      <c r="S50" s="26"/>
      <c r="T50" s="38"/>
      <c r="U50" s="152"/>
    </row>
    <row r="51" spans="1:21" s="42" customFormat="1" ht="15.75" thickBot="1" x14ac:dyDescent="0.3">
      <c r="A51" s="167"/>
      <c r="B51" s="5" t="s">
        <v>1146</v>
      </c>
      <c r="C51" s="31"/>
      <c r="D51" s="31"/>
      <c r="E51" s="31"/>
      <c r="F51" s="31"/>
      <c r="G51" s="31"/>
      <c r="H51" s="31"/>
      <c r="I51" s="31"/>
      <c r="J51" s="31"/>
      <c r="K51" s="31"/>
      <c r="L51" s="31"/>
      <c r="M51" s="31"/>
      <c r="N51" s="31"/>
      <c r="O51" s="58"/>
      <c r="P51" s="26"/>
      <c r="Q51" s="26"/>
      <c r="R51" s="26"/>
      <c r="S51" s="26"/>
      <c r="T51" s="38"/>
      <c r="U51" s="152"/>
    </row>
    <row r="52" spans="1:21" s="42" customFormat="1" ht="15.75" thickBot="1" x14ac:dyDescent="0.3">
      <c r="A52" s="166"/>
      <c r="B52" s="144" t="s">
        <v>94</v>
      </c>
      <c r="C52" s="135" t="s">
        <v>56</v>
      </c>
      <c r="D52" s="55">
        <v>4.8499999999999996</v>
      </c>
      <c r="E52" s="55">
        <v>4.8499999999999996</v>
      </c>
      <c r="F52" s="36">
        <v>4.7</v>
      </c>
      <c r="G52" s="36">
        <v>4.7</v>
      </c>
      <c r="H52" s="36">
        <v>25.2</v>
      </c>
      <c r="I52" s="36">
        <v>3.9</v>
      </c>
      <c r="J52" s="36">
        <v>3.9</v>
      </c>
      <c r="K52" s="36">
        <v>10.4</v>
      </c>
      <c r="L52" s="36">
        <v>18.8</v>
      </c>
      <c r="M52" s="36">
        <v>0</v>
      </c>
      <c r="N52" s="56">
        <v>0</v>
      </c>
      <c r="O52" s="62">
        <f>SUM(D52:N52)</f>
        <v>81.3</v>
      </c>
      <c r="P52" s="26">
        <v>0</v>
      </c>
      <c r="Q52" s="26">
        <v>0</v>
      </c>
      <c r="R52" s="26">
        <f>P52+Q52</f>
        <v>0</v>
      </c>
      <c r="S52" s="26"/>
      <c r="T52" s="22">
        <f>R52*O52</f>
        <v>0</v>
      </c>
      <c r="U52" s="47"/>
    </row>
    <row r="53" spans="1:21" s="32" customFormat="1" ht="12.75" x14ac:dyDescent="0.2">
      <c r="A53" s="159"/>
      <c r="B53" s="31"/>
      <c r="C53" s="25"/>
      <c r="D53" s="25"/>
      <c r="E53" s="25"/>
      <c r="F53" s="25"/>
      <c r="G53" s="25"/>
      <c r="H53" s="25"/>
      <c r="I53" s="25"/>
      <c r="J53" s="25"/>
      <c r="K53" s="25"/>
      <c r="L53" s="25"/>
      <c r="M53" s="25"/>
      <c r="N53" s="25"/>
      <c r="O53" s="58"/>
      <c r="P53" s="26"/>
      <c r="Q53" s="26"/>
      <c r="R53" s="26"/>
      <c r="S53" s="26"/>
      <c r="T53" s="22"/>
      <c r="U53" s="37"/>
    </row>
    <row r="54" spans="1:21" s="129" customFormat="1" x14ac:dyDescent="0.25">
      <c r="A54" s="165" t="s">
        <v>99</v>
      </c>
      <c r="B54" s="490" t="s">
        <v>100</v>
      </c>
      <c r="C54" s="491"/>
      <c r="D54" s="491"/>
      <c r="E54" s="491"/>
      <c r="F54" s="491"/>
      <c r="G54" s="491"/>
      <c r="H54" s="491"/>
      <c r="I54" s="491"/>
      <c r="J54" s="491"/>
      <c r="K54" s="491"/>
      <c r="L54" s="491"/>
      <c r="M54" s="491"/>
      <c r="N54" s="491"/>
      <c r="O54" s="491"/>
      <c r="P54" s="491"/>
      <c r="Q54" s="492"/>
      <c r="R54" s="34" t="s">
        <v>0</v>
      </c>
      <c r="S54" s="34"/>
      <c r="T54" s="9">
        <f>SUM(T33:T53)</f>
        <v>0</v>
      </c>
      <c r="U54" s="150"/>
    </row>
    <row r="55" spans="1:21" s="32" customFormat="1" ht="12.75" x14ac:dyDescent="0.2">
      <c r="A55" s="159"/>
      <c r="B55" s="31"/>
      <c r="C55" s="25"/>
      <c r="D55" s="25"/>
      <c r="E55" s="25"/>
      <c r="F55" s="25"/>
      <c r="G55" s="25"/>
      <c r="H55" s="25"/>
      <c r="I55" s="25"/>
      <c r="J55" s="25"/>
      <c r="K55" s="25"/>
      <c r="L55" s="25"/>
      <c r="M55" s="25"/>
      <c r="N55" s="25"/>
      <c r="O55" s="58"/>
      <c r="P55" s="26"/>
      <c r="Q55" s="26"/>
      <c r="R55" s="26"/>
      <c r="S55" s="26"/>
      <c r="T55" s="35"/>
      <c r="U55" s="37"/>
    </row>
    <row r="56" spans="1:21" s="42" customFormat="1" x14ac:dyDescent="0.25">
      <c r="A56" s="161" t="s">
        <v>105</v>
      </c>
      <c r="B56" s="493" t="s">
        <v>107</v>
      </c>
      <c r="C56" s="493"/>
      <c r="D56" s="493"/>
      <c r="E56" s="493"/>
      <c r="F56" s="493"/>
      <c r="G56" s="493"/>
      <c r="H56" s="493"/>
      <c r="I56" s="493"/>
      <c r="J56" s="493"/>
      <c r="K56" s="493"/>
      <c r="L56" s="493"/>
      <c r="M56" s="493"/>
      <c r="N56" s="493"/>
      <c r="O56" s="493"/>
      <c r="P56" s="493"/>
      <c r="Q56" s="493"/>
      <c r="R56" s="493"/>
      <c r="S56" s="43"/>
      <c r="T56" s="33"/>
      <c r="U56" s="47"/>
    </row>
    <row r="57" spans="1:21" s="42" customFormat="1" x14ac:dyDescent="0.25">
      <c r="A57" s="157"/>
      <c r="B57" s="44"/>
      <c r="C57" s="44"/>
      <c r="D57" s="44"/>
      <c r="E57" s="44"/>
      <c r="F57" s="44"/>
      <c r="G57" s="44"/>
      <c r="H57" s="44"/>
      <c r="I57" s="44"/>
      <c r="J57" s="44"/>
      <c r="K57" s="44"/>
      <c r="L57" s="44"/>
      <c r="M57" s="44"/>
      <c r="N57" s="44"/>
      <c r="O57" s="118"/>
      <c r="P57" s="44"/>
      <c r="Q57" s="44"/>
      <c r="R57" s="44"/>
      <c r="S57" s="44"/>
      <c r="T57" s="44"/>
      <c r="U57" s="47"/>
    </row>
    <row r="58" spans="1:21" s="42" customFormat="1" ht="102" x14ac:dyDescent="0.25">
      <c r="A58" s="157"/>
      <c r="B58" s="141" t="s">
        <v>1147</v>
      </c>
      <c r="C58" s="44"/>
      <c r="D58" s="44"/>
      <c r="E58" s="44"/>
      <c r="F58" s="44"/>
      <c r="G58" s="44"/>
      <c r="H58" s="44"/>
      <c r="I58" s="44"/>
      <c r="J58" s="44"/>
      <c r="K58" s="44"/>
      <c r="L58" s="44"/>
      <c r="M58" s="44"/>
      <c r="N58" s="44"/>
      <c r="O58" s="118"/>
      <c r="P58" s="44"/>
      <c r="Q58" s="44"/>
      <c r="R58" s="44"/>
      <c r="S58" s="44"/>
      <c r="T58" s="44"/>
      <c r="U58" s="47"/>
    </row>
    <row r="59" spans="1:21" s="42" customFormat="1" ht="63.75" x14ac:dyDescent="0.25">
      <c r="A59" s="157"/>
      <c r="B59" s="141" t="s">
        <v>1148</v>
      </c>
      <c r="C59" s="44"/>
      <c r="D59" s="44"/>
      <c r="E59" s="44"/>
      <c r="F59" s="44"/>
      <c r="G59" s="44"/>
      <c r="H59" s="44"/>
      <c r="I59" s="44"/>
      <c r="J59" s="44"/>
      <c r="K59" s="44"/>
      <c r="L59" s="44"/>
      <c r="M59" s="44"/>
      <c r="N59" s="44"/>
      <c r="O59" s="118"/>
      <c r="P59" s="44"/>
      <c r="Q59" s="44"/>
      <c r="R59" s="44"/>
      <c r="S59" s="44"/>
      <c r="T59" s="44"/>
      <c r="U59" s="47"/>
    </row>
    <row r="60" spans="1:21" s="42" customFormat="1" x14ac:dyDescent="0.25">
      <c r="A60" s="157"/>
      <c r="B60" s="44"/>
      <c r="C60" s="44"/>
      <c r="D60" s="44"/>
      <c r="E60" s="44"/>
      <c r="F60" s="44"/>
      <c r="G60" s="44"/>
      <c r="H60" s="44"/>
      <c r="I60" s="44"/>
      <c r="J60" s="44"/>
      <c r="K60" s="44"/>
      <c r="L60" s="44"/>
      <c r="M60" s="44"/>
      <c r="N60" s="44"/>
      <c r="O60" s="118"/>
      <c r="P60" s="44"/>
      <c r="Q60" s="44"/>
      <c r="R60" s="44"/>
      <c r="S60" s="44"/>
      <c r="T60" s="44"/>
      <c r="U60" s="47"/>
    </row>
    <row r="61" spans="1:21" s="42" customFormat="1" x14ac:dyDescent="0.25">
      <c r="A61" s="166" t="s">
        <v>1149</v>
      </c>
      <c r="B61" s="147" t="s">
        <v>1150</v>
      </c>
      <c r="C61" s="28"/>
      <c r="D61" s="28"/>
      <c r="E61" s="28"/>
      <c r="F61" s="28"/>
      <c r="G61" s="28"/>
      <c r="H61" s="28"/>
      <c r="I61" s="28"/>
      <c r="J61" s="28"/>
      <c r="K61" s="28"/>
      <c r="L61" s="28"/>
      <c r="M61" s="28"/>
      <c r="N61" s="28"/>
      <c r="O61" s="60"/>
      <c r="P61" s="29"/>
      <c r="Q61" s="29"/>
      <c r="R61" s="29"/>
      <c r="S61" s="29"/>
      <c r="T61" s="23"/>
      <c r="U61" s="152"/>
    </row>
    <row r="62" spans="1:21" s="42" customFormat="1" ht="25.5" x14ac:dyDescent="0.25">
      <c r="A62" s="167"/>
      <c r="B62" s="24" t="s">
        <v>106</v>
      </c>
      <c r="C62" s="31"/>
      <c r="D62" s="31"/>
      <c r="E62" s="31"/>
      <c r="F62" s="31"/>
      <c r="G62" s="31"/>
      <c r="H62" s="31"/>
      <c r="I62" s="31"/>
      <c r="J62" s="31"/>
      <c r="K62" s="31"/>
      <c r="L62" s="31"/>
      <c r="M62" s="31"/>
      <c r="N62" s="31"/>
      <c r="O62" s="58"/>
      <c r="P62" s="26"/>
      <c r="Q62" s="26"/>
      <c r="R62" s="26"/>
      <c r="S62" s="26"/>
      <c r="T62" s="38"/>
      <c r="U62" s="152"/>
    </row>
    <row r="63" spans="1:21" s="42" customFormat="1" ht="15.75" thickBot="1" x14ac:dyDescent="0.3">
      <c r="A63" s="167"/>
      <c r="B63" s="17" t="s">
        <v>1151</v>
      </c>
      <c r="C63" s="31"/>
      <c r="D63" s="31"/>
      <c r="E63" s="31"/>
      <c r="F63" s="31"/>
      <c r="G63" s="31"/>
      <c r="H63" s="31"/>
      <c r="I63" s="31"/>
      <c r="J63" s="31"/>
      <c r="K63" s="31"/>
      <c r="L63" s="31"/>
      <c r="M63" s="31"/>
      <c r="N63" s="31"/>
      <c r="O63" s="58"/>
      <c r="P63" s="26"/>
      <c r="Q63" s="26"/>
      <c r="R63" s="26"/>
      <c r="S63" s="26"/>
      <c r="T63" s="38"/>
      <c r="U63" s="152"/>
    </row>
    <row r="64" spans="1:21" s="200" customFormat="1" ht="15.75" thickBot="1" x14ac:dyDescent="0.3">
      <c r="A64" s="282"/>
      <c r="B64" s="196" t="s">
        <v>94</v>
      </c>
      <c r="C64" s="189" t="s">
        <v>1330</v>
      </c>
      <c r="D64" s="190">
        <f>D$4*10</f>
        <v>10</v>
      </c>
      <c r="E64" s="190">
        <f>E$4*10</f>
        <v>10</v>
      </c>
      <c r="F64" s="191">
        <f>F$4*7.7</f>
        <v>7.7</v>
      </c>
      <c r="G64" s="191">
        <f>G$4*7.7</f>
        <v>7.7</v>
      </c>
      <c r="H64" s="191">
        <f>H$4*15.4</f>
        <v>61.6</v>
      </c>
      <c r="I64" s="191">
        <f>I$4*7.7</f>
        <v>7.7</v>
      </c>
      <c r="J64" s="191">
        <f>J$4*7.7</f>
        <v>7.7</v>
      </c>
      <c r="K64" s="191">
        <f>K$4*6.75</f>
        <v>13.5</v>
      </c>
      <c r="L64" s="191">
        <f>L$4*130</f>
        <v>130</v>
      </c>
      <c r="M64" s="191">
        <f t="shared" ref="M64:N64" si="0">M$4*0</f>
        <v>0</v>
      </c>
      <c r="N64" s="192">
        <f t="shared" si="0"/>
        <v>0</v>
      </c>
      <c r="O64" s="193">
        <f>SUM(D64:N64)</f>
        <v>255.9</v>
      </c>
      <c r="P64" s="194">
        <v>0</v>
      </c>
      <c r="Q64" s="194">
        <v>0</v>
      </c>
      <c r="R64" s="194">
        <f>P64+Q64</f>
        <v>0</v>
      </c>
      <c r="S64" s="194"/>
      <c r="T64" s="195">
        <f>R64*O64</f>
        <v>0</v>
      </c>
      <c r="U64" s="208"/>
    </row>
    <row r="65" spans="1:21" s="42" customFormat="1" x14ac:dyDescent="0.25">
      <c r="A65" s="157"/>
      <c r="B65" s="44"/>
      <c r="C65" s="44"/>
      <c r="D65" s="44"/>
      <c r="E65" s="44"/>
      <c r="F65" s="44"/>
      <c r="G65" s="44"/>
      <c r="H65" s="44"/>
      <c r="I65" s="44"/>
      <c r="J65" s="44"/>
      <c r="K65" s="44"/>
      <c r="L65" s="44"/>
      <c r="M65" s="44"/>
      <c r="N65" s="44"/>
      <c r="O65" s="118"/>
      <c r="P65" s="44"/>
      <c r="Q65" s="44"/>
      <c r="R65" s="44"/>
      <c r="S65" s="44"/>
      <c r="T65" s="44"/>
      <c r="U65" s="47"/>
    </row>
    <row r="66" spans="1:21" s="42" customFormat="1" x14ac:dyDescent="0.25">
      <c r="A66" s="166" t="s">
        <v>1152</v>
      </c>
      <c r="B66" s="147" t="s">
        <v>1150</v>
      </c>
      <c r="C66" s="28"/>
      <c r="D66" s="28"/>
      <c r="E66" s="28"/>
      <c r="F66" s="28"/>
      <c r="G66" s="28"/>
      <c r="H66" s="28"/>
      <c r="I66" s="28"/>
      <c r="J66" s="28"/>
      <c r="K66" s="28"/>
      <c r="L66" s="28"/>
      <c r="M66" s="28"/>
      <c r="N66" s="28"/>
      <c r="O66" s="60"/>
      <c r="P66" s="29"/>
      <c r="Q66" s="29"/>
      <c r="R66" s="29"/>
      <c r="S66" s="29"/>
      <c r="T66" s="23"/>
      <c r="U66" s="152"/>
    </row>
    <row r="67" spans="1:21" s="42" customFormat="1" ht="25.5" x14ac:dyDescent="0.25">
      <c r="A67" s="167"/>
      <c r="B67" s="24" t="s">
        <v>106</v>
      </c>
      <c r="C67" s="31"/>
      <c r="D67" s="31"/>
      <c r="E67" s="31"/>
      <c r="F67" s="31"/>
      <c r="G67" s="31"/>
      <c r="H67" s="31"/>
      <c r="I67" s="31"/>
      <c r="J67" s="31"/>
      <c r="K67" s="31"/>
      <c r="L67" s="31"/>
      <c r="M67" s="31"/>
      <c r="N67" s="31"/>
      <c r="O67" s="58"/>
      <c r="P67" s="26"/>
      <c r="Q67" s="26"/>
      <c r="R67" s="26"/>
      <c r="S67" s="26"/>
      <c r="T67" s="38"/>
      <c r="U67" s="152"/>
    </row>
    <row r="68" spans="1:21" s="42" customFormat="1" ht="15.75" thickBot="1" x14ac:dyDescent="0.3">
      <c r="A68" s="167"/>
      <c r="B68" s="17" t="s">
        <v>1153</v>
      </c>
      <c r="C68" s="31"/>
      <c r="D68" s="31"/>
      <c r="E68" s="31"/>
      <c r="F68" s="31"/>
      <c r="G68" s="31"/>
      <c r="H68" s="31"/>
      <c r="I68" s="31"/>
      <c r="J68" s="31"/>
      <c r="K68" s="31"/>
      <c r="L68" s="31"/>
      <c r="M68" s="31"/>
      <c r="N68" s="31"/>
      <c r="O68" s="58"/>
      <c r="P68" s="26"/>
      <c r="Q68" s="26"/>
      <c r="R68" s="26"/>
      <c r="S68" s="26"/>
      <c r="T68" s="38"/>
      <c r="U68" s="152"/>
    </row>
    <row r="69" spans="1:21" s="200" customFormat="1" ht="15.75" thickBot="1" x14ac:dyDescent="0.3">
      <c r="A69" s="282"/>
      <c r="B69" s="196" t="s">
        <v>94</v>
      </c>
      <c r="C69" s="189" t="s">
        <v>1330</v>
      </c>
      <c r="D69" s="190">
        <v>13.8</v>
      </c>
      <c r="E69" s="190">
        <v>13.8</v>
      </c>
      <c r="F69" s="191">
        <f>F$4*10.3</f>
        <v>10.3</v>
      </c>
      <c r="G69" s="191">
        <f>G$4*10.3</f>
        <v>10.3</v>
      </c>
      <c r="H69" s="191">
        <f>H$4*13.5</f>
        <v>54</v>
      </c>
      <c r="I69" s="191">
        <f>I$4*10</f>
        <v>10</v>
      </c>
      <c r="J69" s="191">
        <f>J$4*10</f>
        <v>10</v>
      </c>
      <c r="K69" s="191">
        <f>K$4*11.5</f>
        <v>23</v>
      </c>
      <c r="L69" s="191">
        <f>L$4*13.4</f>
        <v>13.4</v>
      </c>
      <c r="M69" s="191">
        <f t="shared" ref="M69:N69" si="1">M$4*0</f>
        <v>0</v>
      </c>
      <c r="N69" s="192">
        <f t="shared" si="1"/>
        <v>0</v>
      </c>
      <c r="O69" s="193">
        <f>SUM(D69:N69)</f>
        <v>158.6</v>
      </c>
      <c r="P69" s="194">
        <v>0</v>
      </c>
      <c r="Q69" s="194">
        <v>0</v>
      </c>
      <c r="R69" s="194">
        <f>P69+Q69</f>
        <v>0</v>
      </c>
      <c r="S69" s="194"/>
      <c r="T69" s="195">
        <f>R69*O69</f>
        <v>0</v>
      </c>
      <c r="U69" s="208"/>
    </row>
    <row r="70" spans="1:21" s="32" customFormat="1" ht="12.75" x14ac:dyDescent="0.2">
      <c r="A70" s="159"/>
      <c r="B70" s="31"/>
      <c r="C70" s="25"/>
      <c r="D70" s="25"/>
      <c r="E70" s="25"/>
      <c r="F70" s="25"/>
      <c r="G70" s="25"/>
      <c r="H70" s="25"/>
      <c r="I70" s="25"/>
      <c r="J70" s="25"/>
      <c r="K70" s="25"/>
      <c r="L70" s="25"/>
      <c r="M70" s="25"/>
      <c r="N70" s="25"/>
      <c r="O70" s="58"/>
      <c r="P70" s="26"/>
      <c r="Q70" s="26"/>
      <c r="R70" s="26"/>
      <c r="S70" s="26"/>
      <c r="T70" s="22"/>
      <c r="U70" s="37"/>
    </row>
    <row r="71" spans="1:21" s="129" customFormat="1" x14ac:dyDescent="0.25">
      <c r="A71" s="165" t="s">
        <v>108</v>
      </c>
      <c r="B71" s="490" t="s">
        <v>107</v>
      </c>
      <c r="C71" s="491"/>
      <c r="D71" s="491"/>
      <c r="E71" s="491"/>
      <c r="F71" s="491"/>
      <c r="G71" s="491"/>
      <c r="H71" s="491"/>
      <c r="I71" s="491"/>
      <c r="J71" s="491"/>
      <c r="K71" s="491"/>
      <c r="L71" s="491"/>
      <c r="M71" s="491"/>
      <c r="N71" s="491"/>
      <c r="O71" s="491"/>
      <c r="P71" s="491"/>
      <c r="Q71" s="492"/>
      <c r="R71" s="34" t="s">
        <v>0</v>
      </c>
      <c r="S71" s="34"/>
      <c r="T71" s="9">
        <f>SUM(T57:T70)</f>
        <v>0</v>
      </c>
      <c r="U71" s="150"/>
    </row>
    <row r="72" spans="1:21" s="32" customFormat="1" ht="12.75" x14ac:dyDescent="0.2">
      <c r="A72" s="159"/>
      <c r="B72" s="31"/>
      <c r="C72" s="25"/>
      <c r="D72" s="25"/>
      <c r="E72" s="25"/>
      <c r="F72" s="25"/>
      <c r="G72" s="25"/>
      <c r="H72" s="25"/>
      <c r="I72" s="25"/>
      <c r="J72" s="25"/>
      <c r="K72" s="25"/>
      <c r="L72" s="25"/>
      <c r="M72" s="25"/>
      <c r="N72" s="25"/>
      <c r="O72" s="58"/>
      <c r="P72" s="26"/>
      <c r="Q72" s="26"/>
      <c r="R72" s="26"/>
      <c r="S72" s="26"/>
      <c r="T72" s="35"/>
      <c r="U72" s="37"/>
    </row>
    <row r="73" spans="1:21" s="32" customFormat="1" ht="12.75" x14ac:dyDescent="0.2">
      <c r="A73" s="159"/>
      <c r="B73" s="31"/>
      <c r="C73" s="25"/>
      <c r="D73" s="25"/>
      <c r="E73" s="25"/>
      <c r="F73" s="25"/>
      <c r="G73" s="25"/>
      <c r="H73" s="25"/>
      <c r="I73" s="25"/>
      <c r="J73" s="25"/>
      <c r="K73" s="25"/>
      <c r="L73" s="25"/>
      <c r="M73" s="25"/>
      <c r="N73" s="25"/>
      <c r="O73" s="58"/>
      <c r="P73" s="26"/>
      <c r="Q73" s="26"/>
      <c r="R73" s="26"/>
      <c r="S73" s="26"/>
      <c r="T73" s="35"/>
      <c r="U73" s="37"/>
    </row>
    <row r="74" spans="1:21" s="132" customFormat="1" ht="15.75" x14ac:dyDescent="0.25">
      <c r="A74" s="160" t="s">
        <v>117</v>
      </c>
      <c r="B74" s="130" t="s">
        <v>93</v>
      </c>
      <c r="C74" s="49"/>
      <c r="D74" s="49"/>
      <c r="E74" s="49"/>
      <c r="F74" s="49"/>
      <c r="G74" s="49"/>
      <c r="H74" s="49"/>
      <c r="I74" s="49"/>
      <c r="J74" s="49"/>
      <c r="K74" s="49"/>
      <c r="L74" s="49"/>
      <c r="M74" s="49"/>
      <c r="N74" s="49"/>
      <c r="O74" s="131"/>
      <c r="P74" s="49"/>
      <c r="Q74" s="49"/>
      <c r="R74" s="476" t="s">
        <v>57</v>
      </c>
      <c r="S74" s="476"/>
      <c r="T74" s="50">
        <f>T29+T54+T71</f>
        <v>0</v>
      </c>
      <c r="U74" s="151"/>
    </row>
    <row r="76" spans="1:21" s="132" customFormat="1" ht="15.75" x14ac:dyDescent="0.25">
      <c r="A76" s="165" t="s">
        <v>1251</v>
      </c>
      <c r="B76" s="130" t="s">
        <v>1316</v>
      </c>
      <c r="C76" s="49"/>
      <c r="D76" s="49"/>
      <c r="E76" s="49"/>
      <c r="F76" s="49"/>
      <c r="G76" s="49"/>
      <c r="H76" s="49"/>
      <c r="I76" s="49"/>
      <c r="J76" s="49"/>
      <c r="K76" s="49"/>
      <c r="L76" s="49"/>
      <c r="M76" s="49"/>
      <c r="N76" s="49"/>
      <c r="O76" s="131"/>
      <c r="P76" s="49"/>
      <c r="Q76" s="49"/>
      <c r="R76" s="476" t="s">
        <v>57</v>
      </c>
      <c r="S76" s="476"/>
      <c r="T76" s="50">
        <f>T74*5</f>
        <v>0</v>
      </c>
      <c r="U76" s="151"/>
    </row>
    <row r="77" spans="1:21" ht="15.75" thickBot="1" x14ac:dyDescent="0.3"/>
    <row r="78" spans="1:21" s="42" customFormat="1" ht="50.1" customHeight="1" thickBot="1" x14ac:dyDescent="0.3">
      <c r="A78" s="119" t="s">
        <v>8</v>
      </c>
      <c r="B78" s="119" t="s">
        <v>7</v>
      </c>
      <c r="C78" s="120" t="s">
        <v>6</v>
      </c>
      <c r="D78" s="487"/>
      <c r="E78" s="487"/>
      <c r="F78" s="487"/>
      <c r="G78" s="487"/>
      <c r="H78" s="487"/>
      <c r="I78" s="487"/>
      <c r="J78" s="487"/>
      <c r="K78" s="121" t="s">
        <v>54</v>
      </c>
      <c r="L78" s="122" t="s">
        <v>5</v>
      </c>
      <c r="M78" s="121" t="s">
        <v>4</v>
      </c>
      <c r="N78" s="121" t="s">
        <v>1004</v>
      </c>
      <c r="O78" s="121"/>
      <c r="P78" s="119" t="s">
        <v>1005</v>
      </c>
      <c r="Q78" s="47"/>
    </row>
    <row r="79" spans="1:21" s="42" customFormat="1" ht="50.1" customHeight="1" thickBot="1" x14ac:dyDescent="0.3">
      <c r="A79" s="123"/>
      <c r="B79" s="123"/>
      <c r="C79" s="124"/>
      <c r="D79" s="477" t="s">
        <v>1283</v>
      </c>
      <c r="E79" s="478"/>
      <c r="F79" s="478"/>
      <c r="G79" s="478"/>
      <c r="H79" s="478"/>
      <c r="I79" s="478"/>
      <c r="J79" s="479"/>
      <c r="K79" s="125"/>
      <c r="L79" s="124"/>
      <c r="M79" s="124"/>
      <c r="N79" s="124"/>
      <c r="O79" s="124"/>
      <c r="P79" s="123"/>
      <c r="Q79" s="47"/>
    </row>
    <row r="80" spans="1:21" s="42" customFormat="1" ht="62.25" customHeight="1" x14ac:dyDescent="0.25">
      <c r="A80" s="123"/>
      <c r="B80" s="123"/>
      <c r="C80" s="124"/>
      <c r="D80" s="173" t="s">
        <v>1284</v>
      </c>
      <c r="E80" s="46" t="s">
        <v>1285</v>
      </c>
      <c r="F80" s="46" t="s">
        <v>1286</v>
      </c>
      <c r="G80" s="46" t="s">
        <v>1287</v>
      </c>
      <c r="H80" s="46" t="s">
        <v>1288</v>
      </c>
      <c r="I80" s="154" t="s">
        <v>1208</v>
      </c>
      <c r="J80" s="126" t="s">
        <v>1003</v>
      </c>
      <c r="K80" s="125"/>
      <c r="L80" s="124"/>
      <c r="M80" s="124"/>
      <c r="N80" s="124"/>
      <c r="O80" s="124"/>
      <c r="P80" s="123"/>
      <c r="Q80" s="47"/>
    </row>
    <row r="82" spans="1:17" s="117" customFormat="1" ht="15.75" x14ac:dyDescent="0.25">
      <c r="A82" s="158" t="s">
        <v>92</v>
      </c>
      <c r="B82" s="39" t="s">
        <v>93</v>
      </c>
      <c r="C82" s="40"/>
      <c r="D82" s="175"/>
      <c r="E82" s="40"/>
      <c r="F82" s="40"/>
      <c r="G82" s="40"/>
      <c r="H82" s="40"/>
      <c r="I82" s="40"/>
      <c r="J82" s="40"/>
      <c r="K82" s="59"/>
      <c r="L82" s="40"/>
      <c r="M82" s="40"/>
      <c r="N82" s="40"/>
      <c r="O82" s="40"/>
      <c r="P82" s="41"/>
      <c r="Q82" s="149"/>
    </row>
    <row r="83" spans="1:17" s="32" customFormat="1" ht="12.75" x14ac:dyDescent="0.2">
      <c r="A83" s="159"/>
      <c r="B83" s="31"/>
      <c r="C83" s="25"/>
      <c r="D83" s="174"/>
      <c r="E83" s="25"/>
      <c r="F83" s="25"/>
      <c r="G83" s="25"/>
      <c r="H83" s="25"/>
      <c r="I83" s="25"/>
      <c r="J83" s="25"/>
      <c r="K83" s="58"/>
      <c r="L83" s="26"/>
      <c r="M83" s="26"/>
      <c r="N83" s="26"/>
      <c r="O83" s="26"/>
      <c r="P83" s="35"/>
      <c r="Q83" s="37"/>
    </row>
    <row r="84" spans="1:17" s="42" customFormat="1" x14ac:dyDescent="0.25">
      <c r="A84" s="161" t="s">
        <v>95</v>
      </c>
      <c r="B84" s="493" t="s">
        <v>1266</v>
      </c>
      <c r="C84" s="493"/>
      <c r="D84" s="493"/>
      <c r="E84" s="493"/>
      <c r="F84" s="493"/>
      <c r="G84" s="493"/>
      <c r="H84" s="493"/>
      <c r="I84" s="493"/>
      <c r="J84" s="493"/>
      <c r="K84" s="493"/>
      <c r="L84" s="493"/>
      <c r="M84" s="493"/>
      <c r="N84" s="493"/>
      <c r="O84" s="43"/>
      <c r="P84" s="33"/>
      <c r="Q84" s="47"/>
    </row>
    <row r="85" spans="1:17" s="42" customFormat="1" x14ac:dyDescent="0.25">
      <c r="A85" s="157"/>
      <c r="B85" s="44"/>
      <c r="C85" s="44"/>
      <c r="D85" s="172"/>
      <c r="E85" s="44"/>
      <c r="F85" s="44"/>
      <c r="G85" s="44"/>
      <c r="H85" s="44"/>
      <c r="I85" s="44"/>
      <c r="J85" s="44"/>
      <c r="K85" s="118"/>
      <c r="L85" s="44"/>
      <c r="M85" s="44"/>
      <c r="N85" s="44"/>
      <c r="O85" s="44"/>
      <c r="P85" s="44"/>
      <c r="Q85" s="47"/>
    </row>
    <row r="86" spans="1:17" s="42" customFormat="1" x14ac:dyDescent="0.25">
      <c r="A86" s="166" t="s">
        <v>1126</v>
      </c>
      <c r="B86" s="147" t="s">
        <v>1267</v>
      </c>
      <c r="C86" s="28"/>
      <c r="D86" s="181"/>
      <c r="E86" s="28"/>
      <c r="F86" s="28"/>
      <c r="G86" s="28"/>
      <c r="H86" s="28"/>
      <c r="I86" s="28"/>
      <c r="J86" s="28"/>
      <c r="K86" s="60"/>
      <c r="L86" s="29"/>
      <c r="M86" s="29"/>
      <c r="N86" s="29"/>
      <c r="O86" s="29"/>
      <c r="P86" s="23"/>
      <c r="Q86" s="152"/>
    </row>
    <row r="87" spans="1:17" s="42" customFormat="1" ht="38.25" x14ac:dyDescent="0.25">
      <c r="A87" s="167"/>
      <c r="B87" s="30" t="s">
        <v>1291</v>
      </c>
      <c r="C87" s="31"/>
      <c r="D87" s="182"/>
      <c r="E87" s="31"/>
      <c r="F87" s="31"/>
      <c r="G87" s="31"/>
      <c r="H87" s="31"/>
      <c r="I87" s="31"/>
      <c r="J87" s="31"/>
      <c r="K87" s="58"/>
      <c r="L87" s="26"/>
      <c r="M87" s="26"/>
      <c r="N87" s="26"/>
      <c r="O87" s="26"/>
      <c r="P87" s="38"/>
      <c r="Q87" s="152"/>
    </row>
    <row r="88" spans="1:17" s="42" customFormat="1" ht="15.75" thickBot="1" x14ac:dyDescent="0.3">
      <c r="A88" s="167"/>
      <c r="B88" s="30" t="s">
        <v>94</v>
      </c>
      <c r="C88" s="31"/>
      <c r="D88" s="182"/>
      <c r="E88" s="31"/>
      <c r="F88" s="31"/>
      <c r="G88" s="31"/>
      <c r="H88" s="31"/>
      <c r="I88" s="31"/>
      <c r="J88" s="31"/>
      <c r="K88" s="58"/>
      <c r="L88" s="26"/>
      <c r="M88" s="26"/>
      <c r="N88" s="26"/>
      <c r="O88" s="26"/>
      <c r="P88" s="38"/>
      <c r="Q88" s="152"/>
    </row>
    <row r="89" spans="1:17" s="200" customFormat="1" ht="15.75" thickBot="1" x14ac:dyDescent="0.3">
      <c r="A89" s="282" t="s">
        <v>1128</v>
      </c>
      <c r="B89" s="196" t="s">
        <v>1130</v>
      </c>
      <c r="C89" s="189" t="s">
        <v>1330</v>
      </c>
      <c r="D89" s="293">
        <v>94</v>
      </c>
      <c r="E89" s="191">
        <v>94</v>
      </c>
      <c r="F89" s="191">
        <v>249.2</v>
      </c>
      <c r="G89" s="191">
        <v>89.2</v>
      </c>
      <c r="H89" s="191">
        <v>115.8</v>
      </c>
      <c r="I89" s="191">
        <v>39</v>
      </c>
      <c r="J89" s="192">
        <v>0</v>
      </c>
      <c r="K89" s="193">
        <f>SUM(D89:J89)</f>
        <v>681.19999999999993</v>
      </c>
      <c r="L89" s="194">
        <v>0</v>
      </c>
      <c r="M89" s="194">
        <v>0</v>
      </c>
      <c r="N89" s="194">
        <f>L89+M89</f>
        <v>0</v>
      </c>
      <c r="O89" s="194"/>
      <c r="P89" s="195">
        <f>N89*K89</f>
        <v>0</v>
      </c>
      <c r="Q89" s="208"/>
    </row>
    <row r="90" spans="1:17" s="200" customFormat="1" ht="15.75" thickBot="1" x14ac:dyDescent="0.3">
      <c r="A90" s="282" t="s">
        <v>1129</v>
      </c>
      <c r="B90" s="196" t="s">
        <v>97</v>
      </c>
      <c r="C90" s="189" t="s">
        <v>1330</v>
      </c>
      <c r="D90" s="293">
        <v>11.2</v>
      </c>
      <c r="E90" s="191">
        <v>11.2</v>
      </c>
      <c r="F90" s="191">
        <v>30</v>
      </c>
      <c r="G90" s="191">
        <v>12.15</v>
      </c>
      <c r="H90" s="191">
        <v>15</v>
      </c>
      <c r="I90" s="191">
        <v>0</v>
      </c>
      <c r="J90" s="192">
        <v>0</v>
      </c>
      <c r="K90" s="193">
        <f>SUM(D90:J90)</f>
        <v>79.55</v>
      </c>
      <c r="L90" s="194">
        <v>0</v>
      </c>
      <c r="M90" s="194">
        <v>0</v>
      </c>
      <c r="N90" s="194">
        <f>L90+M90</f>
        <v>0</v>
      </c>
      <c r="O90" s="194"/>
      <c r="P90" s="195">
        <f>N90*K90</f>
        <v>0</v>
      </c>
      <c r="Q90" s="208"/>
    </row>
    <row r="91" spans="1:17" s="42" customFormat="1" x14ac:dyDescent="0.25">
      <c r="A91" s="157"/>
      <c r="B91" s="44"/>
      <c r="C91" s="44"/>
      <c r="D91" s="172"/>
      <c r="E91" s="44"/>
      <c r="F91" s="44"/>
      <c r="G91" s="44"/>
      <c r="H91" s="44"/>
      <c r="I91" s="44"/>
      <c r="J91" s="44"/>
      <c r="K91" s="118"/>
      <c r="L91" s="44"/>
      <c r="M91" s="44"/>
      <c r="N91" s="44"/>
      <c r="O91" s="44"/>
      <c r="P91" s="44"/>
      <c r="Q91" s="47"/>
    </row>
    <row r="92" spans="1:17" s="42" customFormat="1" x14ac:dyDescent="0.25">
      <c r="A92" s="166" t="s">
        <v>1132</v>
      </c>
      <c r="B92" s="27" t="s">
        <v>1268</v>
      </c>
      <c r="C92" s="28"/>
      <c r="D92" s="181"/>
      <c r="E92" s="28"/>
      <c r="F92" s="28"/>
      <c r="G92" s="28"/>
      <c r="H92" s="28"/>
      <c r="I92" s="28"/>
      <c r="J92" s="28"/>
      <c r="K92" s="60"/>
      <c r="L92" s="29"/>
      <c r="M92" s="29"/>
      <c r="N92" s="29"/>
      <c r="O92" s="29"/>
      <c r="P92" s="23"/>
      <c r="Q92" s="152"/>
    </row>
    <row r="93" spans="1:17" s="42" customFormat="1" ht="38.25" x14ac:dyDescent="0.25">
      <c r="A93" s="167"/>
      <c r="B93" s="30" t="s">
        <v>1292</v>
      </c>
      <c r="C93" s="31"/>
      <c r="D93" s="182"/>
      <c r="E93" s="31"/>
      <c r="F93" s="31"/>
      <c r="G93" s="31"/>
      <c r="H93" s="31"/>
      <c r="I93" s="31"/>
      <c r="J93" s="31"/>
      <c r="K93" s="58"/>
      <c r="L93" s="26"/>
      <c r="M93" s="26"/>
      <c r="N93" s="26"/>
      <c r="O93" s="26"/>
      <c r="P93" s="38"/>
      <c r="Q93" s="152"/>
    </row>
    <row r="94" spans="1:17" s="42" customFormat="1" ht="15.75" thickBot="1" x14ac:dyDescent="0.3">
      <c r="A94" s="167"/>
      <c r="B94" s="30" t="s">
        <v>94</v>
      </c>
      <c r="C94" s="31"/>
      <c r="D94" s="182"/>
      <c r="E94" s="31"/>
      <c r="F94" s="31"/>
      <c r="G94" s="31"/>
      <c r="H94" s="31"/>
      <c r="I94" s="31"/>
      <c r="J94" s="31"/>
      <c r="K94" s="58"/>
      <c r="L94" s="26"/>
      <c r="M94" s="26"/>
      <c r="N94" s="26"/>
      <c r="O94" s="26"/>
      <c r="P94" s="38"/>
      <c r="Q94" s="152"/>
    </row>
    <row r="95" spans="1:17" s="200" customFormat="1" ht="15.75" thickBot="1" x14ac:dyDescent="0.3">
      <c r="A95" s="282" t="s">
        <v>1133</v>
      </c>
      <c r="B95" s="196" t="s">
        <v>1130</v>
      </c>
      <c r="C95" s="189" t="s">
        <v>1330</v>
      </c>
      <c r="D95" s="293">
        <v>291.2</v>
      </c>
      <c r="E95" s="191">
        <v>291.2</v>
      </c>
      <c r="F95" s="191">
        <v>770.2</v>
      </c>
      <c r="G95" s="191">
        <v>287.05</v>
      </c>
      <c r="H95" s="191">
        <v>492.3</v>
      </c>
      <c r="I95" s="191">
        <v>67</v>
      </c>
      <c r="J95" s="192">
        <v>0</v>
      </c>
      <c r="K95" s="193">
        <f>SUM(D95:J95)</f>
        <v>2198.9499999999998</v>
      </c>
      <c r="L95" s="194">
        <v>0</v>
      </c>
      <c r="M95" s="194">
        <v>0</v>
      </c>
      <c r="N95" s="194">
        <f>L95+M95</f>
        <v>0</v>
      </c>
      <c r="O95" s="194"/>
      <c r="P95" s="195">
        <f>N95*K95</f>
        <v>0</v>
      </c>
      <c r="Q95" s="208"/>
    </row>
    <row r="96" spans="1:17" s="32" customFormat="1" ht="12.75" x14ac:dyDescent="0.2">
      <c r="A96" s="159"/>
      <c r="B96" s="31"/>
      <c r="C96" s="25"/>
      <c r="D96" s="174"/>
      <c r="E96" s="25"/>
      <c r="F96" s="25"/>
      <c r="G96" s="25"/>
      <c r="H96" s="25"/>
      <c r="I96" s="25"/>
      <c r="J96" s="25"/>
      <c r="K96" s="58"/>
      <c r="L96" s="26"/>
      <c r="M96" s="26"/>
      <c r="N96" s="26"/>
      <c r="O96" s="26"/>
      <c r="P96" s="22"/>
      <c r="Q96" s="37"/>
    </row>
    <row r="97" spans="1:17" s="129" customFormat="1" x14ac:dyDescent="0.25">
      <c r="A97" s="165" t="s">
        <v>96</v>
      </c>
      <c r="B97" s="490" t="s">
        <v>1266</v>
      </c>
      <c r="C97" s="491"/>
      <c r="D97" s="491"/>
      <c r="E97" s="491"/>
      <c r="F97" s="491"/>
      <c r="G97" s="491"/>
      <c r="H97" s="491"/>
      <c r="I97" s="491"/>
      <c r="J97" s="491"/>
      <c r="K97" s="491"/>
      <c r="L97" s="491"/>
      <c r="M97" s="492"/>
      <c r="N97" s="34" t="s">
        <v>0</v>
      </c>
      <c r="O97" s="34"/>
      <c r="P97" s="9">
        <f>SUM(P86:P96)</f>
        <v>0</v>
      </c>
      <c r="Q97" s="150"/>
    </row>
    <row r="98" spans="1:17" s="32" customFormat="1" ht="12.75" x14ac:dyDescent="0.2">
      <c r="A98" s="159"/>
      <c r="B98" s="31"/>
      <c r="C98" s="25"/>
      <c r="D98" s="174"/>
      <c r="E98" s="25"/>
      <c r="F98" s="25"/>
      <c r="G98" s="25"/>
      <c r="H98" s="25"/>
      <c r="I98" s="25"/>
      <c r="J98" s="25"/>
      <c r="K98" s="58"/>
      <c r="L98" s="26"/>
      <c r="M98" s="26"/>
      <c r="N98" s="26"/>
      <c r="O98" s="26"/>
      <c r="P98" s="35"/>
      <c r="Q98" s="37"/>
    </row>
    <row r="99" spans="1:17" s="32" customFormat="1" ht="12.75" x14ac:dyDescent="0.2">
      <c r="A99" s="159"/>
      <c r="B99" s="31"/>
      <c r="C99" s="25"/>
      <c r="D99" s="174"/>
      <c r="E99" s="25"/>
      <c r="F99" s="25"/>
      <c r="G99" s="25"/>
      <c r="H99" s="25"/>
      <c r="I99" s="25"/>
      <c r="J99" s="25"/>
      <c r="K99" s="58"/>
      <c r="L99" s="26"/>
      <c r="M99" s="26"/>
      <c r="N99" s="26"/>
      <c r="O99" s="26"/>
      <c r="P99" s="35"/>
      <c r="Q99" s="37"/>
    </row>
    <row r="100" spans="1:17" s="42" customFormat="1" x14ac:dyDescent="0.25">
      <c r="A100" s="161" t="s">
        <v>98</v>
      </c>
      <c r="B100" s="493" t="s">
        <v>100</v>
      </c>
      <c r="C100" s="493"/>
      <c r="D100" s="493"/>
      <c r="E100" s="493"/>
      <c r="F100" s="493"/>
      <c r="G100" s="493"/>
      <c r="H100" s="493"/>
      <c r="I100" s="493"/>
      <c r="J100" s="493"/>
      <c r="K100" s="493"/>
      <c r="L100" s="493"/>
      <c r="M100" s="493"/>
      <c r="N100" s="493"/>
      <c r="O100" s="43"/>
      <c r="P100" s="33"/>
      <c r="Q100" s="47"/>
    </row>
    <row r="101" spans="1:17" s="42" customFormat="1" x14ac:dyDescent="0.25">
      <c r="A101" s="157"/>
      <c r="B101" s="44"/>
      <c r="C101" s="44"/>
      <c r="D101" s="172"/>
      <c r="E101" s="44"/>
      <c r="F101" s="44"/>
      <c r="G101" s="44"/>
      <c r="H101" s="44"/>
      <c r="I101" s="44"/>
      <c r="J101" s="44"/>
      <c r="K101" s="118"/>
      <c r="L101" s="44"/>
      <c r="M101" s="44"/>
      <c r="N101" s="44"/>
      <c r="O101" s="44"/>
      <c r="P101" s="44"/>
      <c r="Q101" s="47"/>
    </row>
    <row r="102" spans="1:17" s="42" customFormat="1" x14ac:dyDescent="0.25">
      <c r="A102" s="166" t="s">
        <v>1131</v>
      </c>
      <c r="B102" s="147" t="s">
        <v>1135</v>
      </c>
      <c r="C102" s="28"/>
      <c r="D102" s="181"/>
      <c r="E102" s="28"/>
      <c r="F102" s="28"/>
      <c r="G102" s="28"/>
      <c r="H102" s="28"/>
      <c r="I102" s="28"/>
      <c r="J102" s="28"/>
      <c r="K102" s="60"/>
      <c r="L102" s="29"/>
      <c r="M102" s="29"/>
      <c r="N102" s="29"/>
      <c r="O102" s="29"/>
      <c r="P102" s="23"/>
      <c r="Q102" s="152"/>
    </row>
    <row r="103" spans="1:17" s="42" customFormat="1" ht="170.25" customHeight="1" x14ac:dyDescent="0.25">
      <c r="A103" s="169"/>
      <c r="B103" s="24" t="s">
        <v>101</v>
      </c>
      <c r="C103" s="31"/>
      <c r="D103" s="182"/>
      <c r="E103" s="31"/>
      <c r="F103" s="31"/>
      <c r="G103" s="31"/>
      <c r="H103" s="31"/>
      <c r="I103" s="31"/>
      <c r="J103" s="31"/>
      <c r="K103" s="58"/>
      <c r="L103" s="26"/>
      <c r="M103" s="26"/>
      <c r="N103" s="26"/>
      <c r="O103" s="26"/>
      <c r="P103" s="38"/>
      <c r="Q103" s="152"/>
    </row>
    <row r="104" spans="1:17" s="42" customFormat="1" ht="26.25" x14ac:dyDescent="0.25">
      <c r="A104" s="169"/>
      <c r="B104" s="48" t="s">
        <v>102</v>
      </c>
      <c r="C104" s="31"/>
      <c r="D104" s="182"/>
      <c r="E104" s="31"/>
      <c r="F104" s="31"/>
      <c r="G104" s="31"/>
      <c r="H104" s="31"/>
      <c r="I104" s="31"/>
      <c r="J104" s="31"/>
      <c r="K104" s="58"/>
      <c r="L104" s="26"/>
      <c r="M104" s="26"/>
      <c r="N104" s="26"/>
      <c r="O104" s="26"/>
      <c r="P104" s="38"/>
      <c r="Q104" s="152"/>
    </row>
    <row r="105" spans="1:17" s="42" customFormat="1" ht="15.75" thickBot="1" x14ac:dyDescent="0.3">
      <c r="A105" s="169"/>
      <c r="B105" s="31" t="s">
        <v>1434</v>
      </c>
      <c r="C105" s="31"/>
      <c r="D105" s="182"/>
      <c r="E105" s="31"/>
      <c r="F105" s="31"/>
      <c r="G105" s="31"/>
      <c r="H105" s="31"/>
      <c r="I105" s="31"/>
      <c r="J105" s="31"/>
      <c r="K105" s="58"/>
      <c r="L105" s="26"/>
      <c r="M105" s="26"/>
      <c r="N105" s="26"/>
      <c r="O105" s="26"/>
      <c r="P105" s="38"/>
      <c r="Q105" s="152"/>
    </row>
    <row r="106" spans="1:17" s="200" customFormat="1" ht="15.75" thickBot="1" x14ac:dyDescent="0.3">
      <c r="A106" s="187"/>
      <c r="B106" s="196" t="s">
        <v>94</v>
      </c>
      <c r="C106" s="189" t="s">
        <v>1330</v>
      </c>
      <c r="D106" s="293">
        <v>226</v>
      </c>
      <c r="E106" s="191">
        <v>226</v>
      </c>
      <c r="F106" s="191">
        <v>524</v>
      </c>
      <c r="G106" s="191">
        <v>104</v>
      </c>
      <c r="H106" s="191">
        <v>260</v>
      </c>
      <c r="I106" s="191">
        <v>0</v>
      </c>
      <c r="J106" s="192">
        <v>0</v>
      </c>
      <c r="K106" s="193">
        <f>SUM(D106:J106)</f>
        <v>1340</v>
      </c>
      <c r="L106" s="194">
        <v>0</v>
      </c>
      <c r="M106" s="194">
        <v>0</v>
      </c>
      <c r="N106" s="194">
        <f>L106+M106</f>
        <v>0</v>
      </c>
      <c r="O106" s="194"/>
      <c r="P106" s="195">
        <f>N106*K106</f>
        <v>0</v>
      </c>
      <c r="Q106" s="208"/>
    </row>
    <row r="107" spans="1:17" s="42" customFormat="1" x14ac:dyDescent="0.25">
      <c r="A107" s="157"/>
      <c r="B107" s="44"/>
      <c r="C107" s="44"/>
      <c r="D107" s="172"/>
      <c r="E107" s="44"/>
      <c r="F107" s="44"/>
      <c r="G107" s="44"/>
      <c r="H107" s="44"/>
      <c r="I107" s="44"/>
      <c r="J107" s="44"/>
      <c r="K107" s="118"/>
      <c r="L107" s="44"/>
      <c r="M107" s="44"/>
      <c r="N107" s="44"/>
      <c r="O107" s="44"/>
      <c r="P107" s="44"/>
      <c r="Q107" s="47"/>
    </row>
    <row r="108" spans="1:17" s="42" customFormat="1" x14ac:dyDescent="0.25">
      <c r="A108" s="166" t="s">
        <v>1136</v>
      </c>
      <c r="B108" s="147" t="s">
        <v>1137</v>
      </c>
      <c r="C108" s="28"/>
      <c r="D108" s="181"/>
      <c r="E108" s="28"/>
      <c r="F108" s="28"/>
      <c r="G108" s="28"/>
      <c r="H108" s="28"/>
      <c r="I108" s="28"/>
      <c r="J108" s="28"/>
      <c r="K108" s="60"/>
      <c r="L108" s="29"/>
      <c r="M108" s="29"/>
      <c r="N108" s="29"/>
      <c r="O108" s="29"/>
      <c r="P108" s="23"/>
      <c r="Q108" s="152"/>
    </row>
    <row r="109" spans="1:17" s="42" customFormat="1" ht="165.75" x14ac:dyDescent="0.25">
      <c r="A109" s="167"/>
      <c r="B109" s="145" t="s">
        <v>103</v>
      </c>
      <c r="C109" s="31"/>
      <c r="D109" s="182"/>
      <c r="E109" s="31"/>
      <c r="F109" s="31"/>
      <c r="G109" s="31"/>
      <c r="H109" s="31"/>
      <c r="I109" s="31"/>
      <c r="J109" s="31"/>
      <c r="K109" s="58"/>
      <c r="L109" s="26"/>
      <c r="M109" s="26"/>
      <c r="N109" s="26"/>
      <c r="O109" s="26"/>
      <c r="P109" s="38"/>
      <c r="Q109" s="152"/>
    </row>
    <row r="110" spans="1:17" s="42" customFormat="1" x14ac:dyDescent="0.25">
      <c r="A110" s="167"/>
      <c r="B110" s="5" t="s">
        <v>1138</v>
      </c>
      <c r="C110" s="31"/>
      <c r="D110" s="182"/>
      <c r="E110" s="31"/>
      <c r="F110" s="31"/>
      <c r="G110" s="31"/>
      <c r="H110" s="31"/>
      <c r="I110" s="31"/>
      <c r="J110" s="31"/>
      <c r="K110" s="58"/>
      <c r="L110" s="26"/>
      <c r="M110" s="26"/>
      <c r="N110" s="26"/>
      <c r="O110" s="26"/>
      <c r="P110" s="38"/>
      <c r="Q110" s="152"/>
    </row>
    <row r="111" spans="1:17" s="42" customFormat="1" ht="15.75" thickBot="1" x14ac:dyDescent="0.3">
      <c r="A111" s="167"/>
      <c r="B111" s="5" t="s">
        <v>94</v>
      </c>
      <c r="C111" s="31"/>
      <c r="D111" s="182"/>
      <c r="E111" s="31"/>
      <c r="F111" s="31"/>
      <c r="G111" s="31"/>
      <c r="H111" s="31"/>
      <c r="I111" s="31"/>
      <c r="J111" s="31"/>
      <c r="K111" s="58"/>
      <c r="L111" s="26"/>
      <c r="M111" s="26"/>
      <c r="N111" s="26"/>
      <c r="O111" s="26"/>
      <c r="P111" s="38"/>
      <c r="Q111" s="152"/>
    </row>
    <row r="112" spans="1:17" s="200" customFormat="1" ht="15.75" thickBot="1" x14ac:dyDescent="0.3">
      <c r="A112" s="282" t="s">
        <v>1140</v>
      </c>
      <c r="B112" s="196" t="s">
        <v>1139</v>
      </c>
      <c r="C112" s="189" t="s">
        <v>1330</v>
      </c>
      <c r="D112" s="293">
        <v>70</v>
      </c>
      <c r="E112" s="191">
        <v>70</v>
      </c>
      <c r="F112" s="191">
        <v>246.6</v>
      </c>
      <c r="G112" s="191">
        <v>89</v>
      </c>
      <c r="H112" s="191">
        <v>112.4</v>
      </c>
      <c r="I112" s="191">
        <v>0</v>
      </c>
      <c r="J112" s="192">
        <v>0</v>
      </c>
      <c r="K112" s="193">
        <f>SUM(D112:J112)</f>
        <v>588</v>
      </c>
      <c r="L112" s="194">
        <v>0</v>
      </c>
      <c r="M112" s="194">
        <v>0</v>
      </c>
      <c r="N112" s="194">
        <f>L112+M112</f>
        <v>0</v>
      </c>
      <c r="O112" s="194"/>
      <c r="P112" s="195">
        <f>N112*K112</f>
        <v>0</v>
      </c>
      <c r="Q112" s="208"/>
    </row>
    <row r="113" spans="1:17" s="42" customFormat="1" x14ac:dyDescent="0.25">
      <c r="A113" s="167"/>
      <c r="B113" s="31" t="s">
        <v>1435</v>
      </c>
      <c r="C113" s="31"/>
      <c r="D113" s="182"/>
      <c r="E113" s="31"/>
      <c r="F113" s="31"/>
      <c r="G113" s="31"/>
      <c r="H113" s="31"/>
      <c r="I113" s="31"/>
      <c r="J113" s="31"/>
      <c r="K113" s="58"/>
      <c r="L113" s="26"/>
      <c r="M113" s="26"/>
      <c r="N113" s="26"/>
      <c r="O113" s="26"/>
      <c r="P113" s="38"/>
      <c r="Q113" s="152"/>
    </row>
    <row r="114" spans="1:17" s="42" customFormat="1" ht="15.75" thickBot="1" x14ac:dyDescent="0.3">
      <c r="A114" s="167"/>
      <c r="B114" s="31" t="s">
        <v>94</v>
      </c>
      <c r="C114" s="31"/>
      <c r="D114" s="182"/>
      <c r="E114" s="31"/>
      <c r="F114" s="31"/>
      <c r="G114" s="31"/>
      <c r="H114" s="31"/>
      <c r="I114" s="31"/>
      <c r="J114" s="31"/>
      <c r="K114" s="58"/>
      <c r="L114" s="26"/>
      <c r="M114" s="26"/>
      <c r="N114" s="26"/>
      <c r="O114" s="26"/>
      <c r="P114" s="38"/>
      <c r="Q114" s="152"/>
    </row>
    <row r="115" spans="1:17" s="200" customFormat="1" ht="15.75" thickBot="1" x14ac:dyDescent="0.3">
      <c r="A115" s="282" t="s">
        <v>1143</v>
      </c>
      <c r="B115" s="196" t="s">
        <v>1142</v>
      </c>
      <c r="C115" s="189" t="s">
        <v>1330</v>
      </c>
      <c r="D115" s="293">
        <v>23.8</v>
      </c>
      <c r="E115" s="191">
        <v>23.8</v>
      </c>
      <c r="F115" s="191">
        <v>12</v>
      </c>
      <c r="G115" s="191">
        <v>0</v>
      </c>
      <c r="H115" s="191">
        <v>7</v>
      </c>
      <c r="I115" s="191">
        <v>0</v>
      </c>
      <c r="J115" s="192">
        <v>0</v>
      </c>
      <c r="K115" s="193">
        <f>SUM(D115:J115)</f>
        <v>66.599999999999994</v>
      </c>
      <c r="L115" s="194">
        <v>0</v>
      </c>
      <c r="M115" s="194">
        <v>0</v>
      </c>
      <c r="N115" s="194">
        <f>L115+M115</f>
        <v>0</v>
      </c>
      <c r="O115" s="194"/>
      <c r="P115" s="195">
        <f>N115*K115</f>
        <v>0</v>
      </c>
      <c r="Q115" s="208"/>
    </row>
    <row r="116" spans="1:17" s="42" customFormat="1" x14ac:dyDescent="0.25">
      <c r="A116" s="157"/>
      <c r="B116" s="44"/>
      <c r="C116" s="44"/>
      <c r="D116" s="172"/>
      <c r="E116" s="44"/>
      <c r="F116" s="44"/>
      <c r="G116" s="44"/>
      <c r="H116" s="44"/>
      <c r="I116" s="44"/>
      <c r="J116" s="44"/>
      <c r="K116" s="118"/>
      <c r="L116" s="44"/>
      <c r="M116" s="44"/>
      <c r="N116" s="44"/>
      <c r="O116" s="44"/>
      <c r="P116" s="44"/>
      <c r="Q116" s="47"/>
    </row>
    <row r="117" spans="1:17" s="42" customFormat="1" x14ac:dyDescent="0.25">
      <c r="A117" s="166" t="s">
        <v>1144</v>
      </c>
      <c r="B117" s="27" t="s">
        <v>104</v>
      </c>
      <c r="C117" s="28"/>
      <c r="D117" s="181"/>
      <c r="E117" s="28"/>
      <c r="F117" s="28"/>
      <c r="G117" s="28"/>
      <c r="H117" s="28"/>
      <c r="I117" s="28"/>
      <c r="J117" s="28"/>
      <c r="K117" s="60"/>
      <c r="L117" s="29"/>
      <c r="M117" s="29"/>
      <c r="N117" s="29"/>
      <c r="O117" s="29"/>
      <c r="P117" s="23"/>
      <c r="Q117" s="152"/>
    </row>
    <row r="118" spans="1:17" s="42" customFormat="1" ht="185.25" customHeight="1" x14ac:dyDescent="0.25">
      <c r="A118" s="167"/>
      <c r="B118" s="24" t="s">
        <v>1145</v>
      </c>
      <c r="C118" s="31"/>
      <c r="D118" s="182"/>
      <c r="E118" s="31"/>
      <c r="F118" s="31"/>
      <c r="G118" s="31"/>
      <c r="H118" s="31"/>
      <c r="I118" s="31"/>
      <c r="J118" s="31"/>
      <c r="K118" s="58"/>
      <c r="L118" s="26"/>
      <c r="M118" s="26"/>
      <c r="N118" s="26"/>
      <c r="O118" s="26"/>
      <c r="P118" s="38"/>
      <c r="Q118" s="152"/>
    </row>
    <row r="119" spans="1:17" s="42" customFormat="1" ht="15.75" thickBot="1" x14ac:dyDescent="0.3">
      <c r="A119" s="167"/>
      <c r="B119" s="31" t="s">
        <v>1436</v>
      </c>
      <c r="C119" s="31"/>
      <c r="D119" s="182"/>
      <c r="E119" s="31"/>
      <c r="F119" s="31"/>
      <c r="G119" s="31"/>
      <c r="H119" s="31"/>
      <c r="I119" s="31"/>
      <c r="J119" s="31"/>
      <c r="K119" s="58"/>
      <c r="L119" s="26"/>
      <c r="M119" s="26"/>
      <c r="N119" s="26"/>
      <c r="O119" s="26"/>
      <c r="P119" s="38"/>
      <c r="Q119" s="152"/>
    </row>
    <row r="120" spans="1:17" s="200" customFormat="1" ht="15.75" thickBot="1" x14ac:dyDescent="0.3">
      <c r="A120" s="282"/>
      <c r="B120" s="196" t="s">
        <v>94</v>
      </c>
      <c r="C120" s="189" t="s">
        <v>1330</v>
      </c>
      <c r="D120" s="293">
        <v>11.8</v>
      </c>
      <c r="E120" s="191">
        <v>11.8</v>
      </c>
      <c r="F120" s="191">
        <v>31</v>
      </c>
      <c r="G120" s="191">
        <v>13</v>
      </c>
      <c r="H120" s="191">
        <v>15.6</v>
      </c>
      <c r="I120" s="191">
        <v>0</v>
      </c>
      <c r="J120" s="192">
        <v>0</v>
      </c>
      <c r="K120" s="193">
        <f>SUM(D120:J120)</f>
        <v>83.199999999999989</v>
      </c>
      <c r="L120" s="194">
        <v>0</v>
      </c>
      <c r="M120" s="194">
        <v>0</v>
      </c>
      <c r="N120" s="194">
        <f>L120+M120</f>
        <v>0</v>
      </c>
      <c r="O120" s="194"/>
      <c r="P120" s="195">
        <f>N120*K120</f>
        <v>0</v>
      </c>
      <c r="Q120" s="208"/>
    </row>
    <row r="121" spans="1:17" s="32" customFormat="1" ht="12.75" x14ac:dyDescent="0.2">
      <c r="A121" s="159"/>
      <c r="B121" s="31"/>
      <c r="C121" s="25"/>
      <c r="D121" s="174"/>
      <c r="E121" s="25"/>
      <c r="F121" s="25"/>
      <c r="G121" s="25"/>
      <c r="H121" s="25"/>
      <c r="I121" s="25"/>
      <c r="J121" s="25"/>
      <c r="K121" s="58"/>
      <c r="L121" s="26"/>
      <c r="M121" s="26"/>
      <c r="N121" s="26"/>
      <c r="O121" s="26"/>
      <c r="P121" s="22"/>
      <c r="Q121" s="37"/>
    </row>
    <row r="122" spans="1:17" s="129" customFormat="1" x14ac:dyDescent="0.25">
      <c r="A122" s="165" t="s">
        <v>99</v>
      </c>
      <c r="B122" s="490" t="s">
        <v>100</v>
      </c>
      <c r="C122" s="491"/>
      <c r="D122" s="491"/>
      <c r="E122" s="491"/>
      <c r="F122" s="491"/>
      <c r="G122" s="491"/>
      <c r="H122" s="491"/>
      <c r="I122" s="491"/>
      <c r="J122" s="491"/>
      <c r="K122" s="491"/>
      <c r="L122" s="491"/>
      <c r="M122" s="492"/>
      <c r="N122" s="34" t="s">
        <v>0</v>
      </c>
      <c r="O122" s="34"/>
      <c r="P122" s="9">
        <f>SUM(P101:P121)</f>
        <v>0</v>
      </c>
      <c r="Q122" s="150"/>
    </row>
    <row r="123" spans="1:17" s="32" customFormat="1" ht="12.75" x14ac:dyDescent="0.2">
      <c r="A123" s="159"/>
      <c r="B123" s="31"/>
      <c r="C123" s="25"/>
      <c r="D123" s="174"/>
      <c r="E123" s="25"/>
      <c r="F123" s="25"/>
      <c r="G123" s="25"/>
      <c r="H123" s="25"/>
      <c r="I123" s="25"/>
      <c r="J123" s="25"/>
      <c r="K123" s="58"/>
      <c r="L123" s="26"/>
      <c r="M123" s="26"/>
      <c r="N123" s="26"/>
      <c r="O123" s="26"/>
      <c r="P123" s="35"/>
      <c r="Q123" s="37"/>
    </row>
    <row r="124" spans="1:17" s="42" customFormat="1" x14ac:dyDescent="0.25">
      <c r="A124" s="161" t="s">
        <v>105</v>
      </c>
      <c r="B124" s="493" t="s">
        <v>107</v>
      </c>
      <c r="C124" s="493"/>
      <c r="D124" s="493"/>
      <c r="E124" s="493"/>
      <c r="F124" s="493"/>
      <c r="G124" s="493"/>
      <c r="H124" s="493"/>
      <c r="I124" s="493"/>
      <c r="J124" s="493"/>
      <c r="K124" s="493"/>
      <c r="L124" s="493"/>
      <c r="M124" s="493"/>
      <c r="N124" s="493"/>
      <c r="O124" s="43"/>
      <c r="P124" s="33"/>
      <c r="Q124" s="47"/>
    </row>
    <row r="125" spans="1:17" s="42" customFormat="1" x14ac:dyDescent="0.25">
      <c r="A125" s="157"/>
      <c r="B125" s="44"/>
      <c r="C125" s="44"/>
      <c r="D125" s="172"/>
      <c r="E125" s="44"/>
      <c r="F125" s="44"/>
      <c r="G125" s="44"/>
      <c r="H125" s="44"/>
      <c r="I125" s="44"/>
      <c r="J125" s="44"/>
      <c r="K125" s="118"/>
      <c r="L125" s="44"/>
      <c r="M125" s="44"/>
      <c r="N125" s="44"/>
      <c r="O125" s="44"/>
      <c r="P125" s="44"/>
      <c r="Q125" s="47"/>
    </row>
    <row r="126" spans="1:17" s="42" customFormat="1" ht="102" x14ac:dyDescent="0.25">
      <c r="A126" s="157"/>
      <c r="B126" s="141" t="s">
        <v>1147</v>
      </c>
      <c r="C126" s="44"/>
      <c r="D126" s="172"/>
      <c r="E126" s="44"/>
      <c r="F126" s="44"/>
      <c r="G126" s="44"/>
      <c r="H126" s="44"/>
      <c r="I126" s="44"/>
      <c r="J126" s="44"/>
      <c r="K126" s="118"/>
      <c r="L126" s="44"/>
      <c r="M126" s="44"/>
      <c r="N126" s="44"/>
      <c r="O126" s="44"/>
      <c r="P126" s="44"/>
      <c r="Q126" s="47"/>
    </row>
    <row r="127" spans="1:17" s="42" customFormat="1" ht="63.75" x14ac:dyDescent="0.25">
      <c r="A127" s="157"/>
      <c r="B127" s="141" t="s">
        <v>1148</v>
      </c>
      <c r="C127" s="44"/>
      <c r="D127" s="172"/>
      <c r="E127" s="44"/>
      <c r="F127" s="44"/>
      <c r="G127" s="44"/>
      <c r="H127" s="44"/>
      <c r="I127" s="44"/>
      <c r="J127" s="44"/>
      <c r="K127" s="118"/>
      <c r="L127" s="44"/>
      <c r="M127" s="44"/>
      <c r="N127" s="44"/>
      <c r="O127" s="44"/>
      <c r="P127" s="44"/>
      <c r="Q127" s="47"/>
    </row>
    <row r="128" spans="1:17" s="42" customFormat="1" x14ac:dyDescent="0.25">
      <c r="A128" s="157"/>
      <c r="B128" s="44"/>
      <c r="C128" s="44"/>
      <c r="D128" s="172"/>
      <c r="E128" s="44"/>
      <c r="F128" s="44"/>
      <c r="G128" s="44"/>
      <c r="H128" s="44"/>
      <c r="I128" s="44"/>
      <c r="J128" s="44"/>
      <c r="K128" s="118"/>
      <c r="L128" s="44"/>
      <c r="M128" s="44"/>
      <c r="N128" s="44"/>
      <c r="O128" s="44"/>
      <c r="P128" s="44"/>
      <c r="Q128" s="47"/>
    </row>
    <row r="129" spans="1:17" s="42" customFormat="1" x14ac:dyDescent="0.25">
      <c r="A129" s="166" t="s">
        <v>1149</v>
      </c>
      <c r="B129" s="147" t="s">
        <v>1150</v>
      </c>
      <c r="C129" s="28"/>
      <c r="D129" s="181"/>
      <c r="E129" s="28"/>
      <c r="F129" s="28"/>
      <c r="G129" s="28"/>
      <c r="H129" s="28"/>
      <c r="I129" s="28"/>
      <c r="J129" s="28"/>
      <c r="K129" s="60"/>
      <c r="L129" s="29"/>
      <c r="M129" s="29"/>
      <c r="N129" s="29"/>
      <c r="O129" s="29"/>
      <c r="P129" s="23"/>
      <c r="Q129" s="152"/>
    </row>
    <row r="130" spans="1:17" s="42" customFormat="1" ht="25.5" x14ac:dyDescent="0.25">
      <c r="A130" s="167"/>
      <c r="B130" s="24" t="s">
        <v>106</v>
      </c>
      <c r="C130" s="31"/>
      <c r="D130" s="182"/>
      <c r="E130" s="31"/>
      <c r="F130" s="31"/>
      <c r="G130" s="31"/>
      <c r="H130" s="31"/>
      <c r="I130" s="31"/>
      <c r="J130" s="31"/>
      <c r="K130" s="58"/>
      <c r="L130" s="26"/>
      <c r="M130" s="26"/>
      <c r="N130" s="26"/>
      <c r="O130" s="26"/>
      <c r="P130" s="38"/>
      <c r="Q130" s="152"/>
    </row>
    <row r="131" spans="1:17" s="42" customFormat="1" ht="15.75" thickBot="1" x14ac:dyDescent="0.3">
      <c r="A131" s="167"/>
      <c r="B131" s="336" t="s">
        <v>1437</v>
      </c>
      <c r="C131" s="31"/>
      <c r="D131" s="182"/>
      <c r="E131" s="31"/>
      <c r="F131" s="31"/>
      <c r="G131" s="31"/>
      <c r="H131" s="31"/>
      <c r="I131" s="31"/>
      <c r="J131" s="31"/>
      <c r="K131" s="58"/>
      <c r="L131" s="26"/>
      <c r="M131" s="26"/>
      <c r="N131" s="26"/>
      <c r="O131" s="26"/>
      <c r="P131" s="38"/>
      <c r="Q131" s="152"/>
    </row>
    <row r="132" spans="1:17" s="200" customFormat="1" ht="15.75" thickBot="1" x14ac:dyDescent="0.3">
      <c r="A132" s="282"/>
      <c r="B132" s="196" t="s">
        <v>94</v>
      </c>
      <c r="C132" s="189" t="s">
        <v>1330</v>
      </c>
      <c r="D132" s="293">
        <v>28</v>
      </c>
      <c r="E132" s="191">
        <v>28</v>
      </c>
      <c r="F132" s="191">
        <v>72</v>
      </c>
      <c r="G132" s="191">
        <v>100</v>
      </c>
      <c r="H132" s="191">
        <v>20</v>
      </c>
      <c r="I132" s="191">
        <v>0</v>
      </c>
      <c r="J132" s="192">
        <v>0</v>
      </c>
      <c r="K132" s="193">
        <f>SUM(D132:J132)</f>
        <v>248</v>
      </c>
      <c r="L132" s="194">
        <v>0</v>
      </c>
      <c r="M132" s="194">
        <v>0</v>
      </c>
      <c r="N132" s="194">
        <f>L132+M132</f>
        <v>0</v>
      </c>
      <c r="O132" s="194"/>
      <c r="P132" s="195">
        <f>N132*K132</f>
        <v>0</v>
      </c>
      <c r="Q132" s="208"/>
    </row>
    <row r="133" spans="1:17" s="42" customFormat="1" x14ac:dyDescent="0.25">
      <c r="A133" s="157"/>
      <c r="B133" s="44"/>
      <c r="C133" s="44"/>
      <c r="D133" s="172"/>
      <c r="E133" s="44"/>
      <c r="F133" s="44"/>
      <c r="G133" s="44"/>
      <c r="H133" s="44"/>
      <c r="I133" s="44"/>
      <c r="J133" s="44"/>
      <c r="K133" s="118"/>
      <c r="L133" s="44"/>
      <c r="M133" s="44"/>
      <c r="N133" s="44"/>
      <c r="O133" s="44"/>
      <c r="P133" s="44"/>
      <c r="Q133" s="47"/>
    </row>
    <row r="134" spans="1:17" s="42" customFormat="1" x14ac:dyDescent="0.25">
      <c r="A134" s="166" t="s">
        <v>1152</v>
      </c>
      <c r="B134" s="27" t="s">
        <v>1150</v>
      </c>
      <c r="C134" s="28"/>
      <c r="D134" s="181"/>
      <c r="E134" s="28"/>
      <c r="F134" s="28"/>
      <c r="G134" s="28"/>
      <c r="H134" s="28"/>
      <c r="I134" s="28"/>
      <c r="J134" s="28"/>
      <c r="K134" s="60"/>
      <c r="L134" s="29"/>
      <c r="M134" s="29"/>
      <c r="N134" s="29"/>
      <c r="O134" s="29"/>
      <c r="P134" s="23"/>
      <c r="Q134" s="152"/>
    </row>
    <row r="135" spans="1:17" s="42" customFormat="1" ht="25.5" x14ac:dyDescent="0.25">
      <c r="A135" s="167"/>
      <c r="B135" s="24" t="s">
        <v>106</v>
      </c>
      <c r="C135" s="31"/>
      <c r="D135" s="182"/>
      <c r="E135" s="31"/>
      <c r="F135" s="31"/>
      <c r="G135" s="31"/>
      <c r="H135" s="31"/>
      <c r="I135" s="31"/>
      <c r="J135" s="31"/>
      <c r="K135" s="58"/>
      <c r="L135" s="26"/>
      <c r="M135" s="26"/>
      <c r="N135" s="26"/>
      <c r="O135" s="26"/>
      <c r="P135" s="38"/>
      <c r="Q135" s="152"/>
    </row>
    <row r="136" spans="1:17" s="42" customFormat="1" ht="15.75" thickBot="1" x14ac:dyDescent="0.3">
      <c r="A136" s="167"/>
      <c r="B136" s="336" t="s">
        <v>1438</v>
      </c>
      <c r="C136" s="31"/>
      <c r="D136" s="182"/>
      <c r="E136" s="31"/>
      <c r="F136" s="31"/>
      <c r="G136" s="31"/>
      <c r="H136" s="31"/>
      <c r="I136" s="31"/>
      <c r="J136" s="31"/>
      <c r="K136" s="58"/>
      <c r="L136" s="26"/>
      <c r="M136" s="26"/>
      <c r="N136" s="26"/>
      <c r="O136" s="26"/>
      <c r="P136" s="38"/>
      <c r="Q136" s="152"/>
    </row>
    <row r="137" spans="1:17" s="200" customFormat="1" ht="15.75" thickBot="1" x14ac:dyDescent="0.3">
      <c r="A137" s="282"/>
      <c r="B137" s="196" t="s">
        <v>94</v>
      </c>
      <c r="C137" s="189" t="s">
        <v>1330</v>
      </c>
      <c r="D137" s="293">
        <v>20</v>
      </c>
      <c r="E137" s="191">
        <v>20</v>
      </c>
      <c r="F137" s="191">
        <v>56</v>
      </c>
      <c r="G137" s="191">
        <v>0</v>
      </c>
      <c r="H137" s="191">
        <v>23</v>
      </c>
      <c r="I137" s="191">
        <v>0</v>
      </c>
      <c r="J137" s="192">
        <v>0</v>
      </c>
      <c r="K137" s="193">
        <f>SUM(D137:J137)</f>
        <v>119</v>
      </c>
      <c r="L137" s="194">
        <v>0</v>
      </c>
      <c r="M137" s="194">
        <v>0</v>
      </c>
      <c r="N137" s="194">
        <f>L137+M137</f>
        <v>0</v>
      </c>
      <c r="O137" s="194"/>
      <c r="P137" s="195">
        <f>N137*K137</f>
        <v>0</v>
      </c>
      <c r="Q137" s="208"/>
    </row>
    <row r="138" spans="1:17" s="42" customFormat="1" x14ac:dyDescent="0.25">
      <c r="A138" s="157"/>
      <c r="B138" s="44"/>
      <c r="C138" s="44"/>
      <c r="D138" s="172"/>
      <c r="E138" s="44"/>
      <c r="F138" s="44"/>
      <c r="G138" s="44"/>
      <c r="H138" s="44"/>
      <c r="I138" s="44"/>
      <c r="J138" s="44"/>
      <c r="K138" s="118"/>
      <c r="L138" s="44"/>
      <c r="M138" s="44"/>
      <c r="N138" s="44"/>
      <c r="O138" s="44"/>
      <c r="P138" s="44"/>
      <c r="Q138" s="47"/>
    </row>
    <row r="139" spans="1:17" s="42" customFormat="1" x14ac:dyDescent="0.25">
      <c r="A139" s="166" t="s">
        <v>1293</v>
      </c>
      <c r="B139" s="27" t="s">
        <v>1150</v>
      </c>
      <c r="C139" s="28"/>
      <c r="D139" s="181"/>
      <c r="E139" s="28"/>
      <c r="F139" s="28"/>
      <c r="G139" s="28"/>
      <c r="H139" s="28"/>
      <c r="I139" s="28"/>
      <c r="J139" s="28"/>
      <c r="K139" s="60"/>
      <c r="L139" s="29"/>
      <c r="M139" s="29"/>
      <c r="N139" s="29"/>
      <c r="O139" s="29"/>
      <c r="P139" s="23"/>
      <c r="Q139" s="152"/>
    </row>
    <row r="140" spans="1:17" s="42" customFormat="1" ht="25.5" x14ac:dyDescent="0.25">
      <c r="A140" s="167"/>
      <c r="B140" s="24" t="s">
        <v>106</v>
      </c>
      <c r="C140" s="31"/>
      <c r="D140" s="182"/>
      <c r="E140" s="31"/>
      <c r="F140" s="31"/>
      <c r="G140" s="31"/>
      <c r="H140" s="31"/>
      <c r="I140" s="31"/>
      <c r="J140" s="31"/>
      <c r="K140" s="58"/>
      <c r="L140" s="26"/>
      <c r="M140" s="26"/>
      <c r="N140" s="26"/>
      <c r="O140" s="26"/>
      <c r="P140" s="38"/>
      <c r="Q140" s="152"/>
    </row>
    <row r="141" spans="1:17" s="42" customFormat="1" ht="15.75" thickBot="1" x14ac:dyDescent="0.3">
      <c r="A141" s="167"/>
      <c r="B141" s="336" t="s">
        <v>1439</v>
      </c>
      <c r="C141" s="31"/>
      <c r="D141" s="182"/>
      <c r="E141" s="31"/>
      <c r="F141" s="31"/>
      <c r="G141" s="31"/>
      <c r="H141" s="31"/>
      <c r="I141" s="31"/>
      <c r="J141" s="31"/>
      <c r="K141" s="58"/>
      <c r="L141" s="26"/>
      <c r="M141" s="26"/>
      <c r="N141" s="26"/>
      <c r="O141" s="26"/>
      <c r="P141" s="38"/>
      <c r="Q141" s="152"/>
    </row>
    <row r="142" spans="1:17" s="200" customFormat="1" ht="15.75" thickBot="1" x14ac:dyDescent="0.3">
      <c r="A142" s="282"/>
      <c r="B142" s="196" t="s">
        <v>94</v>
      </c>
      <c r="C142" s="189" t="s">
        <v>1330</v>
      </c>
      <c r="D142" s="293">
        <v>0</v>
      </c>
      <c r="E142" s="191">
        <v>0</v>
      </c>
      <c r="F142" s="191">
        <v>0</v>
      </c>
      <c r="G142" s="191">
        <v>75</v>
      </c>
      <c r="H142" s="191">
        <v>0</v>
      </c>
      <c r="I142" s="191">
        <v>0</v>
      </c>
      <c r="J142" s="192">
        <v>0</v>
      </c>
      <c r="K142" s="193">
        <f>SUM(D142:J142)</f>
        <v>75</v>
      </c>
      <c r="L142" s="194">
        <v>0</v>
      </c>
      <c r="M142" s="194">
        <v>0</v>
      </c>
      <c r="N142" s="194">
        <f>L142+M142</f>
        <v>0</v>
      </c>
      <c r="O142" s="194"/>
      <c r="P142" s="195">
        <f>N142*K142</f>
        <v>0</v>
      </c>
      <c r="Q142" s="208"/>
    </row>
    <row r="143" spans="1:17" s="32" customFormat="1" ht="12.75" x14ac:dyDescent="0.2">
      <c r="A143" s="159"/>
      <c r="B143" s="31"/>
      <c r="C143" s="25"/>
      <c r="D143" s="174"/>
      <c r="E143" s="25"/>
      <c r="F143" s="25"/>
      <c r="G143" s="25"/>
      <c r="H143" s="25"/>
      <c r="I143" s="25"/>
      <c r="J143" s="25"/>
      <c r="K143" s="58"/>
      <c r="L143" s="26"/>
      <c r="M143" s="26"/>
      <c r="N143" s="26"/>
      <c r="O143" s="26"/>
      <c r="P143" s="22"/>
      <c r="Q143" s="37"/>
    </row>
    <row r="144" spans="1:17" s="129" customFormat="1" x14ac:dyDescent="0.25">
      <c r="A144" s="165" t="s">
        <v>108</v>
      </c>
      <c r="B144" s="490" t="s">
        <v>107</v>
      </c>
      <c r="C144" s="491"/>
      <c r="D144" s="491"/>
      <c r="E144" s="491"/>
      <c r="F144" s="491"/>
      <c r="G144" s="491"/>
      <c r="H144" s="491"/>
      <c r="I144" s="491"/>
      <c r="J144" s="491"/>
      <c r="K144" s="491"/>
      <c r="L144" s="491"/>
      <c r="M144" s="492"/>
      <c r="N144" s="34" t="s">
        <v>0</v>
      </c>
      <c r="O144" s="34"/>
      <c r="P144" s="9">
        <f>SUM(P125:P143)</f>
        <v>0</v>
      </c>
      <c r="Q144" s="150"/>
    </row>
    <row r="145" spans="1:21" s="32" customFormat="1" ht="12.75" x14ac:dyDescent="0.2">
      <c r="A145" s="159"/>
      <c r="B145" s="31"/>
      <c r="C145" s="25"/>
      <c r="D145" s="174"/>
      <c r="E145" s="25"/>
      <c r="F145" s="25"/>
      <c r="G145" s="25"/>
      <c r="H145" s="25"/>
      <c r="I145" s="25"/>
      <c r="J145" s="25"/>
      <c r="K145" s="58"/>
      <c r="L145" s="26"/>
      <c r="M145" s="26"/>
      <c r="N145" s="26"/>
      <c r="O145" s="26"/>
      <c r="P145" s="35"/>
      <c r="Q145" s="37"/>
    </row>
    <row r="146" spans="1:21" s="132" customFormat="1" ht="15.75" x14ac:dyDescent="0.25">
      <c r="A146" s="160" t="s">
        <v>117</v>
      </c>
      <c r="B146" s="130" t="s">
        <v>93</v>
      </c>
      <c r="C146" s="49"/>
      <c r="D146" s="180"/>
      <c r="E146" s="49"/>
      <c r="F146" s="49"/>
      <c r="G146" s="49"/>
      <c r="H146" s="49"/>
      <c r="I146" s="49"/>
      <c r="J146" s="49"/>
      <c r="K146" s="131"/>
      <c r="L146" s="49"/>
      <c r="M146" s="49"/>
      <c r="N146" s="476" t="s">
        <v>57</v>
      </c>
      <c r="O146" s="476"/>
      <c r="P146" s="50">
        <f>SUM(P144,P122,P97)</f>
        <v>0</v>
      </c>
      <c r="Q146" s="151"/>
    </row>
    <row r="148" spans="1:21" s="132" customFormat="1" ht="15.75" x14ac:dyDescent="0.25">
      <c r="A148" s="160" t="s">
        <v>117</v>
      </c>
      <c r="B148" s="130" t="s">
        <v>1317</v>
      </c>
      <c r="C148" s="49"/>
      <c r="D148" s="49"/>
      <c r="E148" s="49"/>
      <c r="F148" s="49"/>
      <c r="G148" s="49"/>
      <c r="H148" s="49"/>
      <c r="I148" s="49"/>
      <c r="J148" s="49"/>
      <c r="K148" s="49"/>
      <c r="L148" s="49"/>
      <c r="M148" s="49"/>
      <c r="N148" s="49"/>
      <c r="O148" s="131"/>
      <c r="P148" s="49"/>
      <c r="Q148" s="49"/>
      <c r="R148" s="476" t="s">
        <v>57</v>
      </c>
      <c r="S148" s="476"/>
      <c r="T148" s="50">
        <f>P146*6</f>
        <v>0</v>
      </c>
      <c r="U148" s="151"/>
    </row>
    <row r="150" spans="1:21" s="132" customFormat="1" ht="15.75" x14ac:dyDescent="0.25">
      <c r="A150" s="160"/>
      <c r="B150" s="130" t="s">
        <v>1308</v>
      </c>
      <c r="C150" s="49"/>
      <c r="D150" s="49"/>
      <c r="E150" s="49"/>
      <c r="F150" s="49"/>
      <c r="G150" s="49"/>
      <c r="H150" s="49"/>
      <c r="I150" s="49"/>
      <c r="J150" s="49"/>
      <c r="K150" s="49"/>
      <c r="L150" s="49"/>
      <c r="M150" s="49"/>
      <c r="N150" s="49"/>
      <c r="O150" s="131"/>
      <c r="P150" s="49"/>
      <c r="Q150" s="49"/>
      <c r="R150" s="476"/>
      <c r="S150" s="476"/>
      <c r="T150" s="50">
        <f>SUM(T148,T76)</f>
        <v>0</v>
      </c>
      <c r="U150" s="151"/>
    </row>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2" customFormat="1" x14ac:dyDescent="0.25"/>
    <row r="214" customFormat="1" x14ac:dyDescent="0.25"/>
  </sheetData>
  <mergeCells count="23">
    <mergeCell ref="R148:S148"/>
    <mergeCell ref="B84:N84"/>
    <mergeCell ref="B97:M97"/>
    <mergeCell ref="B100:N100"/>
    <mergeCell ref="B122:M122"/>
    <mergeCell ref="B124:N124"/>
    <mergeCell ref="B144:M144"/>
    <mergeCell ref="R150:S150"/>
    <mergeCell ref="D78:J78"/>
    <mergeCell ref="B2:R3"/>
    <mergeCell ref="B5:T5"/>
    <mergeCell ref="D7:N7"/>
    <mergeCell ref="D8:N8"/>
    <mergeCell ref="B56:R56"/>
    <mergeCell ref="B71:Q71"/>
    <mergeCell ref="R74:S74"/>
    <mergeCell ref="R76:S76"/>
    <mergeCell ref="N146:O146"/>
    <mergeCell ref="D79:J79"/>
    <mergeCell ref="B16:R16"/>
    <mergeCell ref="B29:Q29"/>
    <mergeCell ref="B31:R31"/>
    <mergeCell ref="B54:Q54"/>
  </mergeCells>
  <conditionalFormatting sqref="P83">
    <cfRule type="cellIs" dxfId="71" priority="4" stopIfTrue="1" operator="greaterThan">
      <formula>0</formula>
    </cfRule>
  </conditionalFormatting>
  <conditionalFormatting sqref="P97:P99">
    <cfRule type="cellIs" dxfId="70" priority="3" stopIfTrue="1" operator="greaterThan">
      <formula>0</formula>
    </cfRule>
  </conditionalFormatting>
  <conditionalFormatting sqref="P122:P123">
    <cfRule type="cellIs" dxfId="69" priority="2" stopIfTrue="1" operator="greaterThan">
      <formula>0</formula>
    </cfRule>
  </conditionalFormatting>
  <conditionalFormatting sqref="P144:P146">
    <cfRule type="cellIs" dxfId="68" priority="1" stopIfTrue="1" operator="greaterThan">
      <formula>0</formula>
    </cfRule>
  </conditionalFormatting>
  <conditionalFormatting sqref="T11">
    <cfRule type="cellIs" dxfId="67" priority="16" stopIfTrue="1" operator="greaterThan">
      <formula>0</formula>
    </cfRule>
  </conditionalFormatting>
  <conditionalFormatting sqref="T15">
    <cfRule type="cellIs" dxfId="66" priority="15" stopIfTrue="1" operator="greaterThan">
      <formula>0</formula>
    </cfRule>
  </conditionalFormatting>
  <conditionalFormatting sqref="T29:T30">
    <cfRule type="cellIs" dxfId="65" priority="14" stopIfTrue="1" operator="greaterThan">
      <formula>0</formula>
    </cfRule>
  </conditionalFormatting>
  <conditionalFormatting sqref="T54:T55">
    <cfRule type="cellIs" dxfId="64" priority="13" stopIfTrue="1" operator="greaterThan">
      <formula>0</formula>
    </cfRule>
  </conditionalFormatting>
  <conditionalFormatting sqref="T71:T74">
    <cfRule type="cellIs" dxfId="63" priority="12" stopIfTrue="1" operator="greaterThan">
      <formula>0</formula>
    </cfRule>
  </conditionalFormatting>
  <conditionalFormatting sqref="T76">
    <cfRule type="cellIs" dxfId="62" priority="7" stopIfTrue="1" operator="greaterThan">
      <formula>0</formula>
    </cfRule>
  </conditionalFormatting>
  <conditionalFormatting sqref="T148">
    <cfRule type="cellIs" dxfId="61" priority="6" stopIfTrue="1" operator="greaterThan">
      <formula>0</formula>
    </cfRule>
  </conditionalFormatting>
  <conditionalFormatting sqref="T150">
    <cfRule type="cellIs" dxfId="60" priority="5" stopIfTrue="1" operator="greater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C3C0B-9EF5-4CD5-BA89-1622F724F440}">
  <sheetPr>
    <tabColor theme="9" tint="0.79998168889431442"/>
  </sheetPr>
  <dimension ref="A1:Z296"/>
  <sheetViews>
    <sheetView topLeftCell="A132" zoomScale="70" zoomScaleNormal="70" workbookViewId="0"/>
  </sheetViews>
  <sheetFormatPr defaultRowHeight="15" x14ac:dyDescent="0.25"/>
  <cols>
    <col min="2" max="2" width="41.85546875" customWidth="1"/>
  </cols>
  <sheetData>
    <row r="1" spans="1:21" s="42" customFormat="1" x14ac:dyDescent="0.25">
      <c r="A1" s="157"/>
      <c r="B1" s="112" t="s">
        <v>1198</v>
      </c>
      <c r="C1" s="44"/>
      <c r="D1" s="53"/>
      <c r="E1" s="53"/>
      <c r="F1" s="53"/>
      <c r="G1" s="53"/>
      <c r="H1" s="53"/>
      <c r="I1" s="53"/>
      <c r="J1" s="53"/>
      <c r="K1" s="53"/>
      <c r="L1" s="53"/>
      <c r="M1" s="53"/>
      <c r="N1" s="53"/>
      <c r="O1" s="113"/>
      <c r="P1" s="44"/>
      <c r="Q1" s="44"/>
      <c r="R1" s="44"/>
      <c r="S1" s="44"/>
      <c r="T1" s="44"/>
      <c r="U1" s="47"/>
    </row>
    <row r="2" spans="1:21" s="42" customFormat="1" x14ac:dyDescent="0.25">
      <c r="A2" s="157"/>
      <c r="B2" s="480" t="s">
        <v>11</v>
      </c>
      <c r="C2" s="481"/>
      <c r="D2" s="481"/>
      <c r="E2" s="481"/>
      <c r="F2" s="481"/>
      <c r="G2" s="481"/>
      <c r="H2" s="481"/>
      <c r="I2" s="481"/>
      <c r="J2" s="481"/>
      <c r="K2" s="481"/>
      <c r="L2" s="481"/>
      <c r="M2" s="481"/>
      <c r="N2" s="481"/>
      <c r="O2" s="481"/>
      <c r="P2" s="481"/>
      <c r="Q2" s="481"/>
      <c r="R2" s="482"/>
      <c r="S2" s="7" t="s">
        <v>10</v>
      </c>
      <c r="T2" s="133">
        <v>0</v>
      </c>
      <c r="U2" s="47"/>
    </row>
    <row r="3" spans="1:21" s="42" customFormat="1" x14ac:dyDescent="0.25">
      <c r="A3" s="157"/>
      <c r="B3" s="483"/>
      <c r="C3" s="484"/>
      <c r="D3" s="484"/>
      <c r="E3" s="484"/>
      <c r="F3" s="484"/>
      <c r="G3" s="484"/>
      <c r="H3" s="484"/>
      <c r="I3" s="484"/>
      <c r="J3" s="484"/>
      <c r="K3" s="484"/>
      <c r="L3" s="484"/>
      <c r="M3" s="484"/>
      <c r="N3" s="484"/>
      <c r="O3" s="484"/>
      <c r="P3" s="484"/>
      <c r="Q3" s="484"/>
      <c r="R3" s="485"/>
      <c r="S3" s="7" t="s">
        <v>9</v>
      </c>
      <c r="T3" s="134" t="s">
        <v>1006</v>
      </c>
      <c r="U3" s="47"/>
    </row>
    <row r="4" spans="1:21" s="42" customFormat="1" x14ac:dyDescent="0.25">
      <c r="A4" s="157"/>
      <c r="B4" s="114" t="s">
        <v>1199</v>
      </c>
      <c r="C4" s="114" t="s">
        <v>12</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x14ac:dyDescent="0.25">
      <c r="A5" s="158" t="s">
        <v>1</v>
      </c>
      <c r="B5" s="486" t="s">
        <v>35</v>
      </c>
      <c r="C5" s="486"/>
      <c r="D5" s="486"/>
      <c r="E5" s="486"/>
      <c r="F5" s="486"/>
      <c r="G5" s="486"/>
      <c r="H5" s="486"/>
      <c r="I5" s="486"/>
      <c r="J5" s="486"/>
      <c r="K5" s="486"/>
      <c r="L5" s="486"/>
      <c r="M5" s="486"/>
      <c r="N5" s="486"/>
      <c r="O5" s="486"/>
      <c r="P5" s="486"/>
      <c r="Q5" s="486"/>
      <c r="R5" s="486"/>
      <c r="S5" s="486"/>
      <c r="T5" s="486"/>
      <c r="U5" s="149"/>
    </row>
    <row r="6" spans="1:21" s="42" customFormat="1" ht="15.75"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thickBot="1" x14ac:dyDescent="0.3">
      <c r="A7" s="119" t="s">
        <v>8</v>
      </c>
      <c r="B7" s="119" t="s">
        <v>7</v>
      </c>
      <c r="C7" s="120" t="s">
        <v>6</v>
      </c>
      <c r="D7" s="487"/>
      <c r="E7" s="487"/>
      <c r="F7" s="487"/>
      <c r="G7" s="487"/>
      <c r="H7" s="487"/>
      <c r="I7" s="487"/>
      <c r="J7" s="487"/>
      <c r="K7" s="487"/>
      <c r="L7" s="487"/>
      <c r="M7" s="487"/>
      <c r="N7" s="487"/>
      <c r="O7" s="121" t="s">
        <v>54</v>
      </c>
      <c r="P7" s="122" t="s">
        <v>5</v>
      </c>
      <c r="Q7" s="121" t="s">
        <v>4</v>
      </c>
      <c r="R7" s="121" t="s">
        <v>1004</v>
      </c>
      <c r="S7" s="121"/>
      <c r="T7" s="119" t="s">
        <v>1005</v>
      </c>
      <c r="U7" s="47"/>
    </row>
    <row r="8" spans="1:21" s="42" customFormat="1" ht="15.75" thickBot="1" x14ac:dyDescent="0.3">
      <c r="A8" s="123"/>
      <c r="B8" s="123"/>
      <c r="C8" s="124"/>
      <c r="D8" s="477" t="s">
        <v>1002</v>
      </c>
      <c r="E8" s="478"/>
      <c r="F8" s="478"/>
      <c r="G8" s="478"/>
      <c r="H8" s="478"/>
      <c r="I8" s="478"/>
      <c r="J8" s="478"/>
      <c r="K8" s="478"/>
      <c r="L8" s="478"/>
      <c r="M8" s="478"/>
      <c r="N8" s="479"/>
      <c r="O8" s="125"/>
      <c r="P8" s="124"/>
      <c r="Q8" s="124"/>
      <c r="R8" s="124"/>
      <c r="S8" s="124"/>
      <c r="T8" s="123"/>
      <c r="U8" s="47"/>
    </row>
    <row r="9" spans="1:21" s="42" customFormat="1" ht="60" x14ac:dyDescent="0.25">
      <c r="A9" s="123"/>
      <c r="B9" s="123"/>
      <c r="C9" s="124"/>
      <c r="D9" s="127" t="s">
        <v>1273</v>
      </c>
      <c r="E9" s="127" t="s">
        <v>1274</v>
      </c>
      <c r="F9" s="46" t="s">
        <v>1275</v>
      </c>
      <c r="G9" s="46" t="s">
        <v>1276</v>
      </c>
      <c r="H9" s="46" t="s">
        <v>1277</v>
      </c>
      <c r="I9" s="46" t="s">
        <v>1278</v>
      </c>
      <c r="J9" s="46" t="s">
        <v>1279</v>
      </c>
      <c r="K9" s="46" t="s">
        <v>1280</v>
      </c>
      <c r="L9" s="46" t="s">
        <v>1281</v>
      </c>
      <c r="M9" s="154" t="s">
        <v>1208</v>
      </c>
      <c r="N9" s="126" t="s">
        <v>1003</v>
      </c>
      <c r="O9" s="125"/>
      <c r="P9" s="124"/>
      <c r="Q9" s="124"/>
      <c r="R9" s="124"/>
      <c r="S9" s="124"/>
      <c r="T9" s="123"/>
      <c r="U9" s="47"/>
    </row>
    <row r="10" spans="1:21" s="32" customFormat="1" ht="12.75"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x14ac:dyDescent="0.25">
      <c r="A12" s="160" t="s">
        <v>53</v>
      </c>
      <c r="B12" s="39" t="s">
        <v>1282</v>
      </c>
      <c r="C12" s="40"/>
      <c r="D12" s="40"/>
      <c r="E12" s="40"/>
      <c r="F12" s="40"/>
      <c r="G12" s="40"/>
      <c r="H12" s="40"/>
      <c r="I12" s="40"/>
      <c r="J12" s="40"/>
      <c r="K12" s="40"/>
      <c r="L12" s="40"/>
      <c r="M12" s="40"/>
      <c r="N12" s="40"/>
      <c r="O12" s="59"/>
      <c r="P12" s="40"/>
      <c r="Q12" s="40"/>
      <c r="R12" s="40"/>
      <c r="S12" s="40"/>
      <c r="T12" s="41"/>
      <c r="U12" s="149"/>
    </row>
    <row r="14" spans="1:21" s="42" customFormat="1" x14ac:dyDescent="0.25">
      <c r="A14" s="166" t="s">
        <v>1066</v>
      </c>
      <c r="B14" s="147" t="s">
        <v>60</v>
      </c>
      <c r="C14" s="28"/>
      <c r="D14" s="28"/>
      <c r="E14" s="28"/>
      <c r="F14" s="28"/>
      <c r="G14" s="28"/>
      <c r="H14" s="28"/>
      <c r="I14" s="28"/>
      <c r="J14" s="28"/>
      <c r="K14" s="28"/>
      <c r="L14" s="28"/>
      <c r="M14" s="28"/>
      <c r="N14" s="28"/>
      <c r="O14" s="60"/>
      <c r="P14" s="29"/>
      <c r="Q14" s="29"/>
      <c r="R14" s="29"/>
      <c r="S14" s="29"/>
      <c r="T14" s="23"/>
      <c r="U14" s="152"/>
    </row>
    <row r="15" spans="1:21" s="42" customFormat="1" ht="76.5" x14ac:dyDescent="0.25">
      <c r="A15" s="167"/>
      <c r="B15" s="141" t="s">
        <v>1067</v>
      </c>
      <c r="C15" s="31"/>
      <c r="D15" s="31"/>
      <c r="E15" s="31"/>
      <c r="F15" s="31"/>
      <c r="G15" s="31"/>
      <c r="H15" s="31"/>
      <c r="I15" s="31"/>
      <c r="J15" s="31"/>
      <c r="K15" s="31"/>
      <c r="L15" s="31"/>
      <c r="M15" s="31"/>
      <c r="N15" s="31"/>
      <c r="O15" s="58"/>
      <c r="P15" s="26"/>
      <c r="Q15" s="26"/>
      <c r="R15" s="26"/>
      <c r="S15" s="26"/>
      <c r="T15" s="38"/>
      <c r="U15" s="152"/>
    </row>
    <row r="16" spans="1:21" s="42" customFormat="1" ht="51" x14ac:dyDescent="0.25">
      <c r="A16" s="167"/>
      <c r="B16" s="141" t="s">
        <v>61</v>
      </c>
      <c r="C16" s="31"/>
      <c r="D16" s="31"/>
      <c r="E16" s="31"/>
      <c r="F16" s="31"/>
      <c r="G16" s="31"/>
      <c r="H16" s="31"/>
      <c r="I16" s="31"/>
      <c r="J16" s="31"/>
      <c r="K16" s="31"/>
      <c r="L16" s="31"/>
      <c r="M16" s="31"/>
      <c r="N16" s="31"/>
      <c r="O16" s="58"/>
      <c r="P16" s="26"/>
      <c r="Q16" s="26"/>
      <c r="R16" s="26"/>
      <c r="S16" s="26"/>
      <c r="T16" s="38"/>
      <c r="U16" s="152"/>
    </row>
    <row r="17" spans="1:26" s="42" customFormat="1" ht="51" x14ac:dyDescent="0.25">
      <c r="A17" s="167"/>
      <c r="B17" s="141" t="s">
        <v>62</v>
      </c>
      <c r="C17" s="31"/>
      <c r="D17" s="31"/>
      <c r="E17" s="31"/>
      <c r="F17" s="31"/>
      <c r="G17" s="31"/>
      <c r="H17" s="31"/>
      <c r="I17" s="31"/>
      <c r="J17" s="31"/>
      <c r="K17" s="31"/>
      <c r="L17" s="31"/>
      <c r="M17" s="31"/>
      <c r="N17" s="31"/>
      <c r="O17" s="58"/>
      <c r="P17" s="26"/>
      <c r="Q17" s="26"/>
      <c r="R17" s="26"/>
      <c r="S17" s="26"/>
      <c r="T17" s="38"/>
      <c r="U17" s="152"/>
    </row>
    <row r="18" spans="1:26" s="42" customFormat="1" ht="25.5" x14ac:dyDescent="0.25">
      <c r="A18" s="167"/>
      <c r="B18" s="141" t="s">
        <v>63</v>
      </c>
      <c r="C18" s="31"/>
      <c r="D18" s="31"/>
      <c r="E18" s="31"/>
      <c r="F18" s="31"/>
      <c r="G18" s="31"/>
      <c r="H18" s="31"/>
      <c r="I18" s="31"/>
      <c r="J18" s="31"/>
      <c r="K18" s="31"/>
      <c r="L18" s="31"/>
      <c r="M18" s="31"/>
      <c r="N18" s="31"/>
      <c r="O18" s="58"/>
      <c r="P18" s="26"/>
      <c r="Q18" s="26"/>
      <c r="R18" s="26"/>
      <c r="S18" s="26"/>
      <c r="T18" s="38"/>
      <c r="U18" s="152"/>
    </row>
    <row r="19" spans="1:26" s="42" customFormat="1" ht="102" x14ac:dyDescent="0.25">
      <c r="A19" s="167"/>
      <c r="B19" s="141" t="s">
        <v>64</v>
      </c>
      <c r="C19" s="31"/>
      <c r="D19" s="31"/>
      <c r="E19" s="31"/>
      <c r="F19" s="31"/>
      <c r="G19" s="31"/>
      <c r="H19" s="31"/>
      <c r="I19" s="31"/>
      <c r="J19" s="31"/>
      <c r="K19" s="31"/>
      <c r="L19" s="31"/>
      <c r="M19" s="31"/>
      <c r="N19" s="31"/>
      <c r="O19" s="58"/>
      <c r="P19" s="26"/>
      <c r="Q19" s="26"/>
      <c r="R19" s="26"/>
      <c r="S19" s="26"/>
      <c r="T19" s="38"/>
      <c r="U19" s="152"/>
    </row>
    <row r="20" spans="1:26" s="42" customFormat="1" ht="15.75" thickBot="1" x14ac:dyDescent="0.3">
      <c r="A20" s="167"/>
      <c r="B20" s="30" t="s">
        <v>1008</v>
      </c>
      <c r="C20" s="31"/>
      <c r="D20" s="31"/>
      <c r="E20" s="31"/>
      <c r="F20" s="31"/>
      <c r="G20" s="31"/>
      <c r="H20" s="31"/>
      <c r="I20" s="31"/>
      <c r="J20" s="31"/>
      <c r="K20" s="31"/>
      <c r="L20" s="31"/>
      <c r="M20" s="31"/>
      <c r="N20" s="31"/>
      <c r="O20" s="58"/>
      <c r="P20" s="26"/>
      <c r="Q20" s="26"/>
      <c r="R20" s="26"/>
      <c r="S20" s="26"/>
      <c r="T20" s="38"/>
      <c r="U20" s="152"/>
    </row>
    <row r="21" spans="1:26" s="42" customFormat="1" ht="15.75" thickBot="1" x14ac:dyDescent="0.3">
      <c r="A21" s="166" t="s">
        <v>1069</v>
      </c>
      <c r="B21" s="137" t="s">
        <v>1068</v>
      </c>
      <c r="C21" s="135" t="s">
        <v>56</v>
      </c>
      <c r="D21" s="55">
        <f>D$4*4.75</f>
        <v>4.75</v>
      </c>
      <c r="E21" s="55">
        <f>E$4*4.75</f>
        <v>4.75</v>
      </c>
      <c r="F21" s="36">
        <f>F$4*4.8</f>
        <v>4.8</v>
      </c>
      <c r="G21" s="36">
        <f>G$4*4.8</f>
        <v>4.8</v>
      </c>
      <c r="H21" s="36">
        <f>H$4*6.6</f>
        <v>26.4</v>
      </c>
      <c r="I21" s="36">
        <f>I$4*3.9</f>
        <v>3.9</v>
      </c>
      <c r="J21" s="36">
        <f>J$4*3.9</f>
        <v>3.9</v>
      </c>
      <c r="K21" s="36">
        <f>K$4*5.5</f>
        <v>11</v>
      </c>
      <c r="L21" s="36">
        <f>L$4*24.85</f>
        <v>24.85</v>
      </c>
      <c r="M21" s="36">
        <f t="shared" ref="M21:N21" si="0">M$4*0</f>
        <v>0</v>
      </c>
      <c r="N21" s="56">
        <f t="shared" si="0"/>
        <v>0</v>
      </c>
      <c r="O21" s="62">
        <f>SUM(D21:N21)</f>
        <v>89.15</v>
      </c>
      <c r="P21" s="26">
        <v>0</v>
      </c>
      <c r="Q21" s="26">
        <v>0</v>
      </c>
      <c r="R21" s="26">
        <f>P21+Q21</f>
        <v>0</v>
      </c>
      <c r="S21" s="26"/>
      <c r="T21" s="22">
        <f>R21*O21</f>
        <v>0</v>
      </c>
      <c r="U21" s="47"/>
    </row>
    <row r="22" spans="1:26" s="42" customFormat="1" x14ac:dyDescent="0.25">
      <c r="A22" s="157"/>
      <c r="B22" s="44"/>
      <c r="C22" s="44"/>
      <c r="D22" s="44"/>
      <c r="E22" s="44"/>
      <c r="F22" s="44"/>
      <c r="G22" s="44"/>
      <c r="H22" s="44"/>
      <c r="I22" s="44"/>
      <c r="J22" s="44"/>
      <c r="K22" s="44"/>
      <c r="L22" s="44"/>
      <c r="M22" s="44"/>
      <c r="N22" s="44"/>
      <c r="O22" s="118"/>
      <c r="P22" s="44"/>
      <c r="Q22" s="44"/>
      <c r="R22" s="44"/>
      <c r="S22" s="44"/>
      <c r="T22" s="44"/>
      <c r="U22" s="47"/>
    </row>
    <row r="23" spans="1:26" s="42" customFormat="1" x14ac:dyDescent="0.25">
      <c r="A23" s="166" t="s">
        <v>1070</v>
      </c>
      <c r="B23" s="147" t="s">
        <v>60</v>
      </c>
      <c r="C23" s="28"/>
      <c r="D23" s="28"/>
      <c r="E23" s="28"/>
      <c r="F23" s="28"/>
      <c r="G23" s="28"/>
      <c r="H23" s="28"/>
      <c r="I23" s="28"/>
      <c r="J23" s="28"/>
      <c r="K23" s="28"/>
      <c r="L23" s="28"/>
      <c r="M23" s="28"/>
      <c r="N23" s="28"/>
      <c r="O23" s="60"/>
      <c r="P23" s="29"/>
      <c r="Q23" s="29"/>
      <c r="R23" s="29"/>
      <c r="S23" s="29"/>
      <c r="T23" s="23"/>
      <c r="U23" s="152"/>
    </row>
    <row r="24" spans="1:26" s="42" customFormat="1" ht="294.75" x14ac:dyDescent="0.25">
      <c r="A24" s="167"/>
      <c r="B24" s="141" t="s">
        <v>1072</v>
      </c>
      <c r="C24" s="31"/>
      <c r="D24" s="31"/>
      <c r="E24" s="31"/>
      <c r="F24" s="31"/>
      <c r="G24" s="31"/>
      <c r="H24" s="31"/>
      <c r="I24" s="31"/>
      <c r="J24" s="31"/>
      <c r="K24" s="31"/>
      <c r="L24" s="31"/>
      <c r="M24" s="31"/>
      <c r="N24" s="31"/>
      <c r="O24" s="58"/>
      <c r="P24" s="26"/>
      <c r="Q24" s="26"/>
      <c r="R24" s="26"/>
      <c r="S24" s="26"/>
      <c r="T24" s="38"/>
      <c r="U24" s="152"/>
    </row>
    <row r="25" spans="1:26" s="42" customFormat="1" ht="15.75" thickBot="1" x14ac:dyDescent="0.3">
      <c r="A25" s="167"/>
      <c r="B25" s="30" t="s">
        <v>1008</v>
      </c>
      <c r="C25" s="31"/>
      <c r="D25" s="31"/>
      <c r="E25" s="31"/>
      <c r="F25" s="31"/>
      <c r="G25" s="31"/>
      <c r="H25" s="31"/>
      <c r="I25" s="31"/>
      <c r="J25" s="31"/>
      <c r="K25" s="31"/>
      <c r="L25" s="31"/>
      <c r="M25" s="31"/>
      <c r="N25" s="31"/>
      <c r="O25" s="58"/>
      <c r="P25" s="26"/>
      <c r="Q25" s="26"/>
      <c r="R25" s="26"/>
      <c r="S25" s="26"/>
      <c r="T25" s="38"/>
      <c r="U25" s="152"/>
    </row>
    <row r="26" spans="1:26" s="42" customFormat="1" ht="15.75" thickBot="1" x14ac:dyDescent="0.3">
      <c r="A26" s="166" t="s">
        <v>1071</v>
      </c>
      <c r="B26" s="137" t="s">
        <v>1158</v>
      </c>
      <c r="C26" s="135" t="s">
        <v>56</v>
      </c>
      <c r="D26" s="55">
        <f>D$4*8.75</f>
        <v>8.75</v>
      </c>
      <c r="E26" s="55">
        <f>E$4*8.75</f>
        <v>8.75</v>
      </c>
      <c r="F26" s="36">
        <f>F$4*8.75</f>
        <v>8.75</v>
      </c>
      <c r="G26" s="36">
        <f>G$4*8.75</f>
        <v>8.75</v>
      </c>
      <c r="H26" s="36">
        <f>H$4*10</f>
        <v>40</v>
      </c>
      <c r="I26" s="36">
        <f>I$4*8</f>
        <v>8</v>
      </c>
      <c r="J26" s="36">
        <f>J$4*8</f>
        <v>8</v>
      </c>
      <c r="K26" s="36">
        <f>K$4*8</f>
        <v>16</v>
      </c>
      <c r="L26" s="36">
        <f>L$4*28.65</f>
        <v>28.65</v>
      </c>
      <c r="M26" s="36">
        <f t="shared" ref="M26:N26" si="1">M$4*0</f>
        <v>0</v>
      </c>
      <c r="N26" s="56">
        <f t="shared" si="1"/>
        <v>0</v>
      </c>
      <c r="O26" s="62">
        <f>SUM(D26:N26)</f>
        <v>135.65</v>
      </c>
      <c r="P26" s="26">
        <v>0</v>
      </c>
      <c r="Q26" s="26">
        <v>0</v>
      </c>
      <c r="R26" s="26">
        <f>P26+Q26</f>
        <v>0</v>
      </c>
      <c r="S26" s="26"/>
      <c r="T26" s="22">
        <f>R26*O26</f>
        <v>0</v>
      </c>
      <c r="U26" s="47"/>
    </row>
    <row r="28" spans="1:26" s="117" customFormat="1" ht="15.75" x14ac:dyDescent="0.25">
      <c r="A28" s="158" t="s">
        <v>49</v>
      </c>
      <c r="B28" s="39" t="s">
        <v>1024</v>
      </c>
      <c r="C28" s="40"/>
      <c r="D28" s="40"/>
      <c r="E28" s="40"/>
      <c r="F28" s="40"/>
      <c r="G28" s="40"/>
      <c r="H28" s="40"/>
      <c r="I28" s="40"/>
      <c r="J28" s="40"/>
      <c r="K28" s="40"/>
      <c r="L28" s="40"/>
      <c r="M28" s="40"/>
      <c r="N28" s="40"/>
      <c r="O28" s="59"/>
      <c r="P28" s="40"/>
      <c r="Q28" s="40"/>
      <c r="R28" s="40"/>
      <c r="S28" s="40"/>
      <c r="T28" s="41"/>
      <c r="U28" s="149"/>
    </row>
    <row r="29" spans="1:26" s="1" customFormat="1" ht="12.75" x14ac:dyDescent="0.2">
      <c r="A29" s="163"/>
      <c r="B29" s="5"/>
      <c r="C29" s="139"/>
      <c r="D29" s="31"/>
      <c r="E29" s="31"/>
      <c r="F29" s="31"/>
      <c r="G29" s="31"/>
      <c r="H29" s="31"/>
      <c r="I29" s="31"/>
      <c r="J29" s="31"/>
      <c r="K29" s="31"/>
      <c r="L29" s="31"/>
      <c r="M29" s="31"/>
      <c r="N29" s="31"/>
      <c r="O29" s="58"/>
      <c r="P29" s="26"/>
      <c r="Q29" s="26"/>
      <c r="R29" s="26"/>
      <c r="S29" s="26"/>
      <c r="T29" s="38"/>
      <c r="U29" s="153"/>
      <c r="W29" s="32"/>
      <c r="Z29" s="140"/>
    </row>
    <row r="30" spans="1:26" ht="132.75" customHeight="1" x14ac:dyDescent="0.25">
      <c r="A30" s="52"/>
      <c r="B30" s="141" t="s">
        <v>72</v>
      </c>
      <c r="C30" s="1"/>
      <c r="D30" s="31"/>
      <c r="E30" s="31"/>
      <c r="F30" s="31"/>
      <c r="G30" s="31"/>
      <c r="H30" s="31"/>
      <c r="I30" s="31"/>
      <c r="J30" s="31"/>
      <c r="K30" s="31"/>
      <c r="L30" s="31"/>
      <c r="M30" s="31"/>
      <c r="N30" s="31"/>
      <c r="O30" s="58"/>
      <c r="P30" s="26"/>
      <c r="Q30" s="26"/>
      <c r="R30" s="26"/>
      <c r="S30" s="26"/>
      <c r="T30" s="38"/>
      <c r="U30" s="152"/>
      <c r="W30" s="42"/>
      <c r="Z30" s="142"/>
    </row>
    <row r="31" spans="1:26" s="1" customFormat="1" ht="63.75" x14ac:dyDescent="0.2">
      <c r="A31" s="163"/>
      <c r="B31" s="141" t="s">
        <v>73</v>
      </c>
      <c r="C31" s="139"/>
      <c r="D31" s="31"/>
      <c r="E31" s="31"/>
      <c r="F31" s="31"/>
      <c r="G31" s="31"/>
      <c r="H31" s="31"/>
      <c r="I31" s="31"/>
      <c r="J31" s="31"/>
      <c r="K31" s="31"/>
      <c r="L31" s="31"/>
      <c r="M31" s="31"/>
      <c r="N31" s="31"/>
      <c r="O31" s="58"/>
      <c r="P31" s="26"/>
      <c r="Q31" s="26"/>
      <c r="R31" s="26"/>
      <c r="S31" s="26"/>
      <c r="T31" s="38"/>
      <c r="U31" s="153"/>
      <c r="W31" s="32"/>
      <c r="Z31" s="140"/>
    </row>
    <row r="32" spans="1:26" s="1" customFormat="1" ht="168" customHeight="1" x14ac:dyDescent="0.2">
      <c r="A32" s="163"/>
      <c r="B32" s="30" t="s">
        <v>74</v>
      </c>
      <c r="C32" s="139"/>
      <c r="D32" s="31"/>
      <c r="E32" s="31"/>
      <c r="F32" s="31"/>
      <c r="G32" s="31"/>
      <c r="H32" s="31"/>
      <c r="I32" s="31"/>
      <c r="J32" s="31"/>
      <c r="K32" s="31"/>
      <c r="L32" s="31"/>
      <c r="M32" s="31"/>
      <c r="N32" s="31"/>
      <c r="O32" s="58"/>
      <c r="P32" s="26"/>
      <c r="Q32" s="26"/>
      <c r="R32" s="26"/>
      <c r="S32" s="26"/>
      <c r="T32" s="38"/>
      <c r="U32" s="153"/>
      <c r="W32" s="32"/>
      <c r="Z32" s="140"/>
    </row>
    <row r="33" spans="1:26" ht="30" customHeight="1" x14ac:dyDescent="0.25">
      <c r="A33" s="52"/>
      <c r="B33" s="141" t="s">
        <v>1028</v>
      </c>
      <c r="C33" s="5"/>
      <c r="D33" s="31"/>
      <c r="E33" s="31"/>
      <c r="F33" s="31"/>
      <c r="G33" s="31"/>
      <c r="H33" s="31"/>
      <c r="I33" s="31"/>
      <c r="J33" s="31"/>
      <c r="K33" s="31"/>
      <c r="L33" s="31"/>
      <c r="M33" s="31"/>
      <c r="N33" s="31"/>
      <c r="O33" s="58"/>
      <c r="P33" s="26"/>
      <c r="Q33" s="26"/>
      <c r="R33" s="26"/>
      <c r="S33" s="26"/>
      <c r="T33" s="38"/>
      <c r="U33" s="152"/>
      <c r="W33" s="42"/>
      <c r="Z33" s="142"/>
    </row>
    <row r="34" spans="1:26" s="42" customFormat="1" x14ac:dyDescent="0.25">
      <c r="A34" s="157"/>
      <c r="B34" s="44"/>
      <c r="C34" s="44"/>
      <c r="D34" s="44"/>
      <c r="E34" s="44"/>
      <c r="F34" s="44"/>
      <c r="G34" s="44"/>
      <c r="H34" s="44"/>
      <c r="I34" s="44"/>
      <c r="J34" s="44"/>
      <c r="K34" s="44"/>
      <c r="L34" s="44"/>
      <c r="M34" s="44"/>
      <c r="N34" s="44"/>
      <c r="O34" s="118"/>
      <c r="P34" s="44"/>
      <c r="Q34" s="44"/>
      <c r="R34" s="44"/>
      <c r="S34" s="44"/>
      <c r="T34" s="44"/>
      <c r="U34" s="47"/>
    </row>
    <row r="35" spans="1:26" s="42" customFormat="1" x14ac:dyDescent="0.25">
      <c r="A35" s="166" t="s">
        <v>1025</v>
      </c>
      <c r="B35" s="27" t="s">
        <v>1026</v>
      </c>
      <c r="C35" s="28"/>
      <c r="D35" s="28"/>
      <c r="E35" s="28"/>
      <c r="F35" s="28"/>
      <c r="G35" s="28"/>
      <c r="H35" s="28"/>
      <c r="I35" s="28"/>
      <c r="J35" s="28"/>
      <c r="K35" s="28"/>
      <c r="L35" s="28"/>
      <c r="M35" s="28"/>
      <c r="N35" s="28"/>
      <c r="O35" s="60"/>
      <c r="P35" s="29"/>
      <c r="Q35" s="29"/>
      <c r="R35" s="29"/>
      <c r="S35" s="29"/>
      <c r="T35" s="23"/>
      <c r="U35" s="152"/>
    </row>
    <row r="36" spans="1:26" s="42" customFormat="1" ht="25.5" x14ac:dyDescent="0.25">
      <c r="A36" s="167"/>
      <c r="B36" s="30" t="s">
        <v>77</v>
      </c>
      <c r="C36" s="31"/>
      <c r="D36" s="31"/>
      <c r="E36" s="31"/>
      <c r="F36" s="31"/>
      <c r="G36" s="31"/>
      <c r="H36" s="31"/>
      <c r="I36" s="31"/>
      <c r="J36" s="31"/>
      <c r="K36" s="31"/>
      <c r="L36" s="31"/>
      <c r="M36" s="31"/>
      <c r="N36" s="31"/>
      <c r="O36" s="58"/>
      <c r="P36" s="26"/>
      <c r="Q36" s="26"/>
      <c r="R36" s="26"/>
      <c r="S36" s="26"/>
      <c r="T36" s="38"/>
      <c r="U36" s="152"/>
    </row>
    <row r="37" spans="1:26" s="42" customFormat="1" ht="25.5" x14ac:dyDescent="0.25">
      <c r="A37" s="167"/>
      <c r="B37" s="30" t="s">
        <v>1178</v>
      </c>
      <c r="C37" s="31"/>
      <c r="D37" s="31"/>
      <c r="E37" s="31"/>
      <c r="F37" s="31"/>
      <c r="G37" s="31"/>
      <c r="H37" s="31"/>
      <c r="I37" s="31"/>
      <c r="J37" s="31"/>
      <c r="K37" s="31"/>
      <c r="L37" s="31"/>
      <c r="M37" s="31"/>
      <c r="N37" s="31"/>
      <c r="O37" s="58"/>
      <c r="P37" s="26"/>
      <c r="Q37" s="26"/>
      <c r="R37" s="26"/>
      <c r="S37" s="26"/>
      <c r="T37" s="38"/>
      <c r="U37" s="152"/>
    </row>
    <row r="38" spans="1:26" s="42" customFormat="1" x14ac:dyDescent="0.25">
      <c r="A38" s="167"/>
      <c r="B38" s="30" t="s">
        <v>1172</v>
      </c>
      <c r="C38" s="31"/>
      <c r="D38" s="31"/>
      <c r="E38" s="31"/>
      <c r="F38" s="31"/>
      <c r="G38" s="31"/>
      <c r="H38" s="31"/>
      <c r="I38" s="31"/>
      <c r="J38" s="31"/>
      <c r="K38" s="31"/>
      <c r="L38" s="31"/>
      <c r="M38" s="31"/>
      <c r="N38" s="31"/>
      <c r="O38" s="58"/>
      <c r="P38" s="26"/>
      <c r="Q38" s="26"/>
      <c r="R38" s="26"/>
      <c r="S38" s="26"/>
      <c r="T38" s="38"/>
      <c r="U38" s="152"/>
    </row>
    <row r="39" spans="1:26" s="42" customFormat="1" ht="15.75" thickBot="1" x14ac:dyDescent="0.3">
      <c r="A39" s="167"/>
      <c r="B39" s="30" t="s">
        <v>1173</v>
      </c>
      <c r="C39" s="31"/>
      <c r="D39" s="31"/>
      <c r="E39" s="31"/>
      <c r="F39" s="31"/>
      <c r="G39" s="31"/>
      <c r="H39" s="31"/>
      <c r="I39" s="31"/>
      <c r="J39" s="31"/>
      <c r="K39" s="31"/>
      <c r="L39" s="31"/>
      <c r="M39" s="31"/>
      <c r="N39" s="31"/>
      <c r="O39" s="58"/>
      <c r="P39" s="26"/>
      <c r="Q39" s="26"/>
      <c r="R39" s="26"/>
      <c r="S39" s="26"/>
      <c r="T39" s="38"/>
      <c r="U39" s="152"/>
    </row>
    <row r="40" spans="1:26" s="42" customFormat="1" ht="15.75" thickBot="1" x14ac:dyDescent="0.3">
      <c r="A40" s="166" t="s">
        <v>1029</v>
      </c>
      <c r="B40" s="137" t="s">
        <v>1015</v>
      </c>
      <c r="C40" s="135" t="s">
        <v>56</v>
      </c>
      <c r="D40" s="55">
        <f t="shared" ref="D40:M40" si="2">D$4*0</f>
        <v>0</v>
      </c>
      <c r="E40" s="55">
        <f t="shared" si="2"/>
        <v>0</v>
      </c>
      <c r="F40" s="36">
        <f t="shared" si="2"/>
        <v>0</v>
      </c>
      <c r="G40" s="36">
        <f t="shared" si="2"/>
        <v>0</v>
      </c>
      <c r="H40" s="36">
        <f t="shared" si="2"/>
        <v>0</v>
      </c>
      <c r="I40" s="36">
        <f t="shared" si="2"/>
        <v>0</v>
      </c>
      <c r="J40" s="36">
        <f t="shared" si="2"/>
        <v>0</v>
      </c>
      <c r="K40" s="36">
        <f t="shared" si="2"/>
        <v>0</v>
      </c>
      <c r="L40" s="36">
        <f t="shared" si="2"/>
        <v>0</v>
      </c>
      <c r="M40" s="36">
        <f t="shared" si="2"/>
        <v>0</v>
      </c>
      <c r="N40" s="56">
        <f>N$4*149.6</f>
        <v>149.6</v>
      </c>
      <c r="O40" s="62">
        <f>SUM(D40:N40)</f>
        <v>149.6</v>
      </c>
      <c r="P40" s="26">
        <v>0</v>
      </c>
      <c r="Q40" s="26">
        <v>0</v>
      </c>
      <c r="R40" s="26">
        <f>P40+Q40</f>
        <v>0</v>
      </c>
      <c r="S40" s="26"/>
      <c r="T40" s="22">
        <f>R40*O40</f>
        <v>0</v>
      </c>
      <c r="U40" s="47"/>
    </row>
    <row r="41" spans="1:26" s="42" customFormat="1" ht="77.25" thickBot="1" x14ac:dyDescent="0.3">
      <c r="A41" s="166" t="s">
        <v>1030</v>
      </c>
      <c r="B41" s="137" t="s">
        <v>78</v>
      </c>
      <c r="C41" s="135" t="s">
        <v>56</v>
      </c>
      <c r="D41" s="55">
        <f t="shared" ref="D41:N41" si="3">D40*0.1</f>
        <v>0</v>
      </c>
      <c r="E41" s="55">
        <f t="shared" si="3"/>
        <v>0</v>
      </c>
      <c r="F41" s="36">
        <f t="shared" si="3"/>
        <v>0</v>
      </c>
      <c r="G41" s="36">
        <f t="shared" si="3"/>
        <v>0</v>
      </c>
      <c r="H41" s="36">
        <f t="shared" si="3"/>
        <v>0</v>
      </c>
      <c r="I41" s="36">
        <f t="shared" si="3"/>
        <v>0</v>
      </c>
      <c r="J41" s="36">
        <f t="shared" si="3"/>
        <v>0</v>
      </c>
      <c r="K41" s="36">
        <f t="shared" si="3"/>
        <v>0</v>
      </c>
      <c r="L41" s="36">
        <f t="shared" si="3"/>
        <v>0</v>
      </c>
      <c r="M41" s="36">
        <f t="shared" si="3"/>
        <v>0</v>
      </c>
      <c r="N41" s="56">
        <f t="shared" si="3"/>
        <v>14.96</v>
      </c>
      <c r="O41" s="62">
        <f>SUM(D41:N41)</f>
        <v>14.96</v>
      </c>
      <c r="P41" s="26">
        <v>0</v>
      </c>
      <c r="Q41" s="26">
        <v>0</v>
      </c>
      <c r="R41" s="26">
        <f>P41+Q41</f>
        <v>0</v>
      </c>
      <c r="S41" s="26"/>
      <c r="T41" s="22">
        <f>R41*O41</f>
        <v>0</v>
      </c>
      <c r="U41" s="47"/>
    </row>
    <row r="42" spans="1:26" s="42" customFormat="1" ht="15.75" thickBot="1" x14ac:dyDescent="0.3">
      <c r="A42" s="166" t="s">
        <v>1031</v>
      </c>
      <c r="B42" s="137" t="s">
        <v>79</v>
      </c>
      <c r="C42" s="135" t="s">
        <v>56</v>
      </c>
      <c r="D42" s="55">
        <f t="shared" ref="D42:N42" si="4">D40*0.02</f>
        <v>0</v>
      </c>
      <c r="E42" s="55">
        <f t="shared" si="4"/>
        <v>0</v>
      </c>
      <c r="F42" s="36">
        <f t="shared" si="4"/>
        <v>0</v>
      </c>
      <c r="G42" s="36">
        <f t="shared" si="4"/>
        <v>0</v>
      </c>
      <c r="H42" s="36">
        <f t="shared" si="4"/>
        <v>0</v>
      </c>
      <c r="I42" s="36">
        <f t="shared" si="4"/>
        <v>0</v>
      </c>
      <c r="J42" s="36">
        <f t="shared" si="4"/>
        <v>0</v>
      </c>
      <c r="K42" s="36">
        <f t="shared" si="4"/>
        <v>0</v>
      </c>
      <c r="L42" s="36">
        <f t="shared" si="4"/>
        <v>0</v>
      </c>
      <c r="M42" s="36">
        <f t="shared" si="4"/>
        <v>0</v>
      </c>
      <c r="N42" s="56">
        <f t="shared" si="4"/>
        <v>2.992</v>
      </c>
      <c r="O42" s="62">
        <f>SUM(D42:N42)</f>
        <v>2.992</v>
      </c>
      <c r="P42" s="26">
        <v>0</v>
      </c>
      <c r="Q42" s="26">
        <v>0</v>
      </c>
      <c r="R42" s="26">
        <f>P42+Q42</f>
        <v>0</v>
      </c>
      <c r="S42" s="26"/>
      <c r="T42" s="22">
        <f>R42*O42</f>
        <v>0</v>
      </c>
      <c r="U42" s="47"/>
    </row>
    <row r="43" spans="1:26" s="42" customFormat="1" x14ac:dyDescent="0.25">
      <c r="A43" s="157"/>
      <c r="B43" s="44"/>
      <c r="C43" s="44"/>
      <c r="D43" s="44"/>
      <c r="E43" s="44"/>
      <c r="F43" s="44"/>
      <c r="G43" s="44"/>
      <c r="H43" s="44"/>
      <c r="I43" s="44"/>
      <c r="J43" s="44"/>
      <c r="K43" s="44"/>
      <c r="L43" s="44"/>
      <c r="M43" s="44"/>
      <c r="N43" s="44"/>
      <c r="O43" s="118"/>
      <c r="P43" s="44"/>
      <c r="Q43" s="44"/>
      <c r="R43" s="44"/>
      <c r="S43" s="44"/>
      <c r="T43" s="44"/>
      <c r="U43" s="47"/>
    </row>
    <row r="44" spans="1:26" s="42" customFormat="1" x14ac:dyDescent="0.25">
      <c r="A44" s="166" t="s">
        <v>109</v>
      </c>
      <c r="B44" s="27" t="s">
        <v>1032</v>
      </c>
      <c r="C44" s="28"/>
      <c r="D44" s="28"/>
      <c r="E44" s="28"/>
      <c r="F44" s="28"/>
      <c r="G44" s="28"/>
      <c r="H44" s="28"/>
      <c r="I44" s="28"/>
      <c r="J44" s="28"/>
      <c r="K44" s="28"/>
      <c r="L44" s="28"/>
      <c r="M44" s="28"/>
      <c r="N44" s="28"/>
      <c r="O44" s="60"/>
      <c r="P44" s="29"/>
      <c r="Q44" s="29"/>
      <c r="R44" s="29"/>
      <c r="S44" s="29"/>
      <c r="T44" s="23"/>
      <c r="U44" s="152"/>
    </row>
    <row r="45" spans="1:26" s="42" customFormat="1" ht="25.5" x14ac:dyDescent="0.25">
      <c r="A45" s="167"/>
      <c r="B45" s="30" t="s">
        <v>77</v>
      </c>
      <c r="C45" s="31"/>
      <c r="D45" s="31"/>
      <c r="E45" s="31"/>
      <c r="F45" s="31"/>
      <c r="G45" s="31"/>
      <c r="H45" s="31"/>
      <c r="I45" s="31"/>
      <c r="J45" s="31"/>
      <c r="K45" s="31"/>
      <c r="L45" s="31"/>
      <c r="M45" s="31"/>
      <c r="N45" s="31"/>
      <c r="O45" s="58"/>
      <c r="P45" s="26"/>
      <c r="Q45" s="26"/>
      <c r="R45" s="26"/>
      <c r="S45" s="26"/>
      <c r="T45" s="38"/>
      <c r="U45" s="152"/>
    </row>
    <row r="46" spans="1:26" s="42" customFormat="1" ht="25.5" x14ac:dyDescent="0.25">
      <c r="A46" s="167"/>
      <c r="B46" s="30" t="s">
        <v>1230</v>
      </c>
      <c r="C46" s="31"/>
      <c r="D46" s="31"/>
      <c r="E46" s="31"/>
      <c r="F46" s="31"/>
      <c r="G46" s="31"/>
      <c r="H46" s="31"/>
      <c r="I46" s="31"/>
      <c r="J46" s="31"/>
      <c r="K46" s="31"/>
      <c r="L46" s="31"/>
      <c r="M46" s="31"/>
      <c r="N46" s="31"/>
      <c r="O46" s="58"/>
      <c r="P46" s="26"/>
      <c r="Q46" s="26"/>
      <c r="R46" s="26"/>
      <c r="S46" s="26"/>
      <c r="T46" s="38"/>
      <c r="U46" s="152"/>
    </row>
    <row r="47" spans="1:26" s="42" customFormat="1" ht="15.75" thickBot="1" x14ac:dyDescent="0.3">
      <c r="A47" s="167"/>
      <c r="B47" s="30" t="s">
        <v>1027</v>
      </c>
      <c r="C47" s="31"/>
      <c r="D47" s="31"/>
      <c r="E47" s="31"/>
      <c r="F47" s="31"/>
      <c r="G47" s="31"/>
      <c r="H47" s="31"/>
      <c r="I47" s="31"/>
      <c r="J47" s="31"/>
      <c r="K47" s="31"/>
      <c r="L47" s="31"/>
      <c r="M47" s="31"/>
      <c r="N47" s="31"/>
      <c r="O47" s="58"/>
      <c r="P47" s="26"/>
      <c r="Q47" s="26"/>
      <c r="R47" s="26"/>
      <c r="S47" s="26"/>
      <c r="T47" s="38"/>
      <c r="U47" s="152"/>
    </row>
    <row r="48" spans="1:26" s="42" customFormat="1" ht="15.75" thickBot="1" x14ac:dyDescent="0.3">
      <c r="A48" s="166" t="s">
        <v>1033</v>
      </c>
      <c r="B48" s="137" t="s">
        <v>1015</v>
      </c>
      <c r="C48" s="135" t="s">
        <v>56</v>
      </c>
      <c r="D48" s="55">
        <f t="shared" ref="D48:M48" si="5">D$4*0</f>
        <v>0</v>
      </c>
      <c r="E48" s="55">
        <f t="shared" si="5"/>
        <v>0</v>
      </c>
      <c r="F48" s="36">
        <f t="shared" si="5"/>
        <v>0</v>
      </c>
      <c r="G48" s="36">
        <f t="shared" si="5"/>
        <v>0</v>
      </c>
      <c r="H48" s="36">
        <f t="shared" si="5"/>
        <v>0</v>
      </c>
      <c r="I48" s="36">
        <f t="shared" si="5"/>
        <v>0</v>
      </c>
      <c r="J48" s="36">
        <f t="shared" si="5"/>
        <v>0</v>
      </c>
      <c r="K48" s="36">
        <f t="shared" si="5"/>
        <v>0</v>
      </c>
      <c r="L48" s="36">
        <f t="shared" si="5"/>
        <v>0</v>
      </c>
      <c r="M48" s="36">
        <f t="shared" si="5"/>
        <v>0</v>
      </c>
      <c r="N48" s="56">
        <f>N$4*179.3</f>
        <v>179.3</v>
      </c>
      <c r="O48" s="62">
        <f>SUM(D48:N48)</f>
        <v>179.3</v>
      </c>
      <c r="P48" s="26">
        <v>0</v>
      </c>
      <c r="Q48" s="26">
        <v>0</v>
      </c>
      <c r="R48" s="26">
        <f>P48+Q48</f>
        <v>0</v>
      </c>
      <c r="S48" s="26"/>
      <c r="T48" s="22">
        <f>R48*O48</f>
        <v>0</v>
      </c>
      <c r="U48" s="47"/>
    </row>
    <row r="49" spans="1:21" s="42" customFormat="1" ht="77.25" thickBot="1" x14ac:dyDescent="0.3">
      <c r="A49" s="166" t="s">
        <v>1034</v>
      </c>
      <c r="B49" s="137" t="s">
        <v>78</v>
      </c>
      <c r="C49" s="135" t="s">
        <v>56</v>
      </c>
      <c r="D49" s="55">
        <f t="shared" ref="D49:N49" si="6">D48*0.1</f>
        <v>0</v>
      </c>
      <c r="E49" s="55">
        <f t="shared" si="6"/>
        <v>0</v>
      </c>
      <c r="F49" s="36">
        <f t="shared" si="6"/>
        <v>0</v>
      </c>
      <c r="G49" s="36">
        <f t="shared" si="6"/>
        <v>0</v>
      </c>
      <c r="H49" s="36">
        <f t="shared" si="6"/>
        <v>0</v>
      </c>
      <c r="I49" s="36">
        <f t="shared" si="6"/>
        <v>0</v>
      </c>
      <c r="J49" s="36">
        <f t="shared" si="6"/>
        <v>0</v>
      </c>
      <c r="K49" s="36">
        <f t="shared" si="6"/>
        <v>0</v>
      </c>
      <c r="L49" s="36">
        <f t="shared" si="6"/>
        <v>0</v>
      </c>
      <c r="M49" s="36">
        <f t="shared" si="6"/>
        <v>0</v>
      </c>
      <c r="N49" s="56">
        <f t="shared" si="6"/>
        <v>17.930000000000003</v>
      </c>
      <c r="O49" s="62">
        <f>SUM(D49:N49)</f>
        <v>17.930000000000003</v>
      </c>
      <c r="P49" s="26">
        <v>0</v>
      </c>
      <c r="Q49" s="26">
        <v>0</v>
      </c>
      <c r="R49" s="26">
        <f>P49+Q49</f>
        <v>0</v>
      </c>
      <c r="S49" s="26"/>
      <c r="T49" s="22">
        <f>R49*O49</f>
        <v>0</v>
      </c>
      <c r="U49" s="47"/>
    </row>
    <row r="50" spans="1:21" s="42" customFormat="1" ht="15.75" thickBot="1" x14ac:dyDescent="0.3">
      <c r="A50" s="166" t="s">
        <v>1035</v>
      </c>
      <c r="B50" s="137" t="s">
        <v>79</v>
      </c>
      <c r="C50" s="135" t="s">
        <v>56</v>
      </c>
      <c r="D50" s="55">
        <f t="shared" ref="D50:N50" si="7">D48*0.02</f>
        <v>0</v>
      </c>
      <c r="E50" s="55">
        <f t="shared" si="7"/>
        <v>0</v>
      </c>
      <c r="F50" s="36">
        <f t="shared" si="7"/>
        <v>0</v>
      </c>
      <c r="G50" s="36">
        <f t="shared" si="7"/>
        <v>0</v>
      </c>
      <c r="H50" s="36">
        <f t="shared" si="7"/>
        <v>0</v>
      </c>
      <c r="I50" s="36">
        <f t="shared" si="7"/>
        <v>0</v>
      </c>
      <c r="J50" s="36">
        <f t="shared" si="7"/>
        <v>0</v>
      </c>
      <c r="K50" s="36">
        <f t="shared" si="7"/>
        <v>0</v>
      </c>
      <c r="L50" s="36">
        <f t="shared" si="7"/>
        <v>0</v>
      </c>
      <c r="M50" s="36">
        <f t="shared" si="7"/>
        <v>0</v>
      </c>
      <c r="N50" s="56">
        <f t="shared" si="7"/>
        <v>3.5860000000000003</v>
      </c>
      <c r="O50" s="62">
        <f>SUM(D50:N50)</f>
        <v>3.5860000000000003</v>
      </c>
      <c r="P50" s="26">
        <v>0</v>
      </c>
      <c r="Q50" s="26">
        <v>0</v>
      </c>
      <c r="R50" s="26">
        <f>P50+Q50</f>
        <v>0</v>
      </c>
      <c r="S50" s="26"/>
      <c r="T50" s="22">
        <f>R50*O50</f>
        <v>0</v>
      </c>
      <c r="U50" s="47"/>
    </row>
    <row r="51" spans="1:21" s="42" customFormat="1" x14ac:dyDescent="0.25">
      <c r="A51" s="157"/>
      <c r="B51" s="44"/>
      <c r="C51" s="44"/>
      <c r="D51" s="44"/>
      <c r="E51" s="44"/>
      <c r="F51" s="44"/>
      <c r="G51" s="44"/>
      <c r="H51" s="44"/>
      <c r="I51" s="44"/>
      <c r="J51" s="44"/>
      <c r="K51" s="44"/>
      <c r="L51" s="44"/>
      <c r="M51" s="44"/>
      <c r="N51" s="44"/>
      <c r="O51" s="118"/>
      <c r="P51" s="44"/>
      <c r="Q51" s="44"/>
      <c r="R51" s="44"/>
      <c r="S51" s="44"/>
      <c r="T51" s="44"/>
      <c r="U51" s="47"/>
    </row>
    <row r="52" spans="1:21" s="42" customFormat="1" x14ac:dyDescent="0.25">
      <c r="A52" s="166" t="s">
        <v>1036</v>
      </c>
      <c r="B52" s="27" t="s">
        <v>1040</v>
      </c>
      <c r="C52" s="28"/>
      <c r="D52" s="28"/>
      <c r="E52" s="28"/>
      <c r="F52" s="28"/>
      <c r="G52" s="28"/>
      <c r="H52" s="28"/>
      <c r="I52" s="28"/>
      <c r="J52" s="28"/>
      <c r="K52" s="28"/>
      <c r="L52" s="28"/>
      <c r="M52" s="28"/>
      <c r="N52" s="28"/>
      <c r="O52" s="60"/>
      <c r="P52" s="29"/>
      <c r="Q52" s="29"/>
      <c r="R52" s="29"/>
      <c r="S52" s="29"/>
      <c r="T52" s="23"/>
      <c r="U52" s="152"/>
    </row>
    <row r="53" spans="1:21" s="42" customFormat="1" ht="25.5" x14ac:dyDescent="0.25">
      <c r="A53" s="167"/>
      <c r="B53" s="30" t="s">
        <v>1041</v>
      </c>
      <c r="C53" s="31"/>
      <c r="D53" s="31"/>
      <c r="E53" s="31"/>
      <c r="F53" s="31"/>
      <c r="G53" s="31"/>
      <c r="H53" s="31"/>
      <c r="I53" s="31"/>
      <c r="J53" s="31"/>
      <c r="K53" s="31"/>
      <c r="L53" s="31"/>
      <c r="M53" s="31"/>
      <c r="N53" s="31"/>
      <c r="O53" s="58"/>
      <c r="P53" s="26"/>
      <c r="Q53" s="26"/>
      <c r="R53" s="26"/>
      <c r="S53" s="26"/>
      <c r="T53" s="38"/>
      <c r="U53" s="152"/>
    </row>
    <row r="54" spans="1:21" s="42" customFormat="1" x14ac:dyDescent="0.25">
      <c r="A54" s="167"/>
      <c r="B54" s="30" t="s">
        <v>1174</v>
      </c>
      <c r="C54" s="31"/>
      <c r="D54" s="31"/>
      <c r="E54" s="31"/>
      <c r="F54" s="31"/>
      <c r="G54" s="31"/>
      <c r="H54" s="31"/>
      <c r="I54" s="31"/>
      <c r="J54" s="31"/>
      <c r="K54" s="31"/>
      <c r="L54" s="31"/>
      <c r="M54" s="31"/>
      <c r="N54" s="31"/>
      <c r="O54" s="58"/>
      <c r="P54" s="26"/>
      <c r="Q54" s="26"/>
      <c r="R54" s="26"/>
      <c r="S54" s="26"/>
      <c r="T54" s="38"/>
      <c r="U54" s="152"/>
    </row>
    <row r="55" spans="1:21" s="42" customFormat="1" ht="15.75" thickBot="1" x14ac:dyDescent="0.3">
      <c r="A55" s="167"/>
      <c r="B55" s="30" t="s">
        <v>1027</v>
      </c>
      <c r="C55" s="31"/>
      <c r="D55" s="31"/>
      <c r="E55" s="31"/>
      <c r="F55" s="31"/>
      <c r="G55" s="31"/>
      <c r="H55" s="31"/>
      <c r="I55" s="31"/>
      <c r="J55" s="31"/>
      <c r="K55" s="31"/>
      <c r="L55" s="31"/>
      <c r="M55" s="31"/>
      <c r="N55" s="31"/>
      <c r="O55" s="58"/>
      <c r="P55" s="26"/>
      <c r="Q55" s="26"/>
      <c r="R55" s="26"/>
      <c r="S55" s="26"/>
      <c r="T55" s="38"/>
      <c r="U55" s="152"/>
    </row>
    <row r="56" spans="1:21" s="42" customFormat="1" ht="15.75" thickBot="1" x14ac:dyDescent="0.3">
      <c r="A56" s="166" t="s">
        <v>1037</v>
      </c>
      <c r="B56" s="137" t="s">
        <v>1015</v>
      </c>
      <c r="C56" s="135" t="s">
        <v>56</v>
      </c>
      <c r="D56" s="55">
        <f t="shared" ref="D56:M56" si="8">D$4*0</f>
        <v>0</v>
      </c>
      <c r="E56" s="55">
        <f t="shared" si="8"/>
        <v>0</v>
      </c>
      <c r="F56" s="36">
        <f t="shared" si="8"/>
        <v>0</v>
      </c>
      <c r="G56" s="36">
        <f t="shared" si="8"/>
        <v>0</v>
      </c>
      <c r="H56" s="36">
        <f t="shared" si="8"/>
        <v>0</v>
      </c>
      <c r="I56" s="36">
        <f t="shared" si="8"/>
        <v>0</v>
      </c>
      <c r="J56" s="36">
        <f t="shared" si="8"/>
        <v>0</v>
      </c>
      <c r="K56" s="36">
        <f t="shared" si="8"/>
        <v>0</v>
      </c>
      <c r="L56" s="36">
        <f t="shared" si="8"/>
        <v>0</v>
      </c>
      <c r="M56" s="36">
        <f t="shared" si="8"/>
        <v>0</v>
      </c>
      <c r="N56" s="56">
        <v>7.5</v>
      </c>
      <c r="O56" s="62">
        <f>SUM(D56:N56)</f>
        <v>7.5</v>
      </c>
      <c r="P56" s="26">
        <v>0</v>
      </c>
      <c r="Q56" s="26">
        <v>0</v>
      </c>
      <c r="R56" s="26">
        <f>P56+Q56</f>
        <v>0</v>
      </c>
      <c r="S56" s="26"/>
      <c r="T56" s="22">
        <f>R56*O56</f>
        <v>0</v>
      </c>
      <c r="U56" s="47"/>
    </row>
    <row r="57" spans="1:21" s="42" customFormat="1" ht="77.25" thickBot="1" x14ac:dyDescent="0.3">
      <c r="A57" s="166" t="s">
        <v>1038</v>
      </c>
      <c r="B57" s="137" t="s">
        <v>78</v>
      </c>
      <c r="C57" s="135" t="s">
        <v>56</v>
      </c>
      <c r="D57" s="55">
        <f t="shared" ref="D57:N57" si="9">D56*0.1</f>
        <v>0</v>
      </c>
      <c r="E57" s="55">
        <f t="shared" si="9"/>
        <v>0</v>
      </c>
      <c r="F57" s="36">
        <f t="shared" si="9"/>
        <v>0</v>
      </c>
      <c r="G57" s="36">
        <f t="shared" si="9"/>
        <v>0</v>
      </c>
      <c r="H57" s="36">
        <f t="shared" si="9"/>
        <v>0</v>
      </c>
      <c r="I57" s="36">
        <f t="shared" si="9"/>
        <v>0</v>
      </c>
      <c r="J57" s="36">
        <f t="shared" si="9"/>
        <v>0</v>
      </c>
      <c r="K57" s="36">
        <f t="shared" si="9"/>
        <v>0</v>
      </c>
      <c r="L57" s="36">
        <f t="shared" si="9"/>
        <v>0</v>
      </c>
      <c r="M57" s="36">
        <f t="shared" si="9"/>
        <v>0</v>
      </c>
      <c r="N57" s="56">
        <f t="shared" si="9"/>
        <v>0.75</v>
      </c>
      <c r="O57" s="62">
        <f>SUM(D57:N57)</f>
        <v>0.75</v>
      </c>
      <c r="P57" s="26">
        <v>0</v>
      </c>
      <c r="Q57" s="26">
        <v>0</v>
      </c>
      <c r="R57" s="26">
        <f>P57+Q57</f>
        <v>0</v>
      </c>
      <c r="S57" s="26"/>
      <c r="T57" s="22">
        <f>R57*O57</f>
        <v>0</v>
      </c>
      <c r="U57" s="47"/>
    </row>
    <row r="58" spans="1:21" s="42" customFormat="1" ht="15.75" thickBot="1" x14ac:dyDescent="0.3">
      <c r="A58" s="166" t="s">
        <v>1039</v>
      </c>
      <c r="B58" s="137" t="s">
        <v>79</v>
      </c>
      <c r="C58" s="135" t="s">
        <v>56</v>
      </c>
      <c r="D58" s="55">
        <f t="shared" ref="D58:N58" si="10">D56*0.02</f>
        <v>0</v>
      </c>
      <c r="E58" s="55">
        <f t="shared" si="10"/>
        <v>0</v>
      </c>
      <c r="F58" s="36">
        <f t="shared" si="10"/>
        <v>0</v>
      </c>
      <c r="G58" s="36">
        <f t="shared" si="10"/>
        <v>0</v>
      </c>
      <c r="H58" s="36">
        <f t="shared" si="10"/>
        <v>0</v>
      </c>
      <c r="I58" s="36">
        <f t="shared" si="10"/>
        <v>0</v>
      </c>
      <c r="J58" s="36">
        <f t="shared" si="10"/>
        <v>0</v>
      </c>
      <c r="K58" s="36">
        <f t="shared" si="10"/>
        <v>0</v>
      </c>
      <c r="L58" s="36">
        <f t="shared" si="10"/>
        <v>0</v>
      </c>
      <c r="M58" s="36">
        <f t="shared" si="10"/>
        <v>0</v>
      </c>
      <c r="N58" s="56">
        <f t="shared" si="10"/>
        <v>0.15</v>
      </c>
      <c r="O58" s="62">
        <f>SUM(D58:N58)</f>
        <v>0.15</v>
      </c>
      <c r="P58" s="26">
        <v>0</v>
      </c>
      <c r="Q58" s="26">
        <v>0</v>
      </c>
      <c r="R58" s="26">
        <f>P58+Q58</f>
        <v>0</v>
      </c>
      <c r="S58" s="26"/>
      <c r="T58" s="22">
        <f>R58*O58</f>
        <v>0</v>
      </c>
      <c r="U58" s="47"/>
    </row>
    <row r="59" spans="1:21" s="42" customFormat="1" x14ac:dyDescent="0.25">
      <c r="A59" s="157"/>
      <c r="B59" s="44"/>
      <c r="C59" s="44"/>
      <c r="D59" s="44"/>
      <c r="E59" s="44"/>
      <c r="F59" s="44"/>
      <c r="G59" s="44"/>
      <c r="H59" s="44"/>
      <c r="I59" s="44"/>
      <c r="J59" s="44"/>
      <c r="K59" s="44"/>
      <c r="L59" s="44"/>
      <c r="M59" s="44"/>
      <c r="N59" s="44"/>
      <c r="O59" s="118"/>
      <c r="P59" s="44"/>
      <c r="Q59" s="44"/>
      <c r="R59" s="44"/>
      <c r="S59" s="44"/>
      <c r="T59" s="44"/>
      <c r="U59" s="47"/>
    </row>
    <row r="60" spans="1:21" s="42" customFormat="1" ht="27.75" customHeight="1" x14ac:dyDescent="0.25">
      <c r="A60" s="166" t="s">
        <v>113</v>
      </c>
      <c r="B60" s="147" t="s">
        <v>76</v>
      </c>
      <c r="C60" s="28"/>
      <c r="D60" s="28"/>
      <c r="E60" s="28"/>
      <c r="F60" s="28"/>
      <c r="G60" s="28"/>
      <c r="H60" s="28"/>
      <c r="I60" s="28"/>
      <c r="J60" s="28"/>
      <c r="K60" s="28"/>
      <c r="L60" s="28"/>
      <c r="M60" s="28"/>
      <c r="N60" s="28"/>
      <c r="O60" s="60"/>
      <c r="P60" s="29"/>
      <c r="Q60" s="29"/>
      <c r="R60" s="29"/>
      <c r="S60" s="29"/>
      <c r="T60" s="23"/>
      <c r="U60" s="152"/>
    </row>
    <row r="61" spans="1:21" s="42" customFormat="1" ht="25.5" x14ac:dyDescent="0.25">
      <c r="A61" s="167"/>
      <c r="B61" s="141" t="s">
        <v>1087</v>
      </c>
      <c r="C61" s="31"/>
      <c r="D61" s="31"/>
      <c r="E61" s="31"/>
      <c r="F61" s="31"/>
      <c r="G61" s="31"/>
      <c r="H61" s="31"/>
      <c r="I61" s="31"/>
      <c r="J61" s="31"/>
      <c r="K61" s="31"/>
      <c r="L61" s="31"/>
      <c r="M61" s="31"/>
      <c r="N61" s="31"/>
      <c r="O61" s="58"/>
      <c r="P61" s="26"/>
      <c r="Q61" s="26"/>
      <c r="R61" s="26"/>
      <c r="S61" s="26"/>
      <c r="T61" s="38"/>
      <c r="U61" s="152"/>
    </row>
    <row r="62" spans="1:21" s="42" customFormat="1" ht="25.5" x14ac:dyDescent="0.25">
      <c r="A62" s="167"/>
      <c r="B62" s="141" t="s">
        <v>1088</v>
      </c>
      <c r="C62" s="31"/>
      <c r="D62" s="31"/>
      <c r="E62" s="31"/>
      <c r="F62" s="31"/>
      <c r="G62" s="31"/>
      <c r="H62" s="31"/>
      <c r="I62" s="31"/>
      <c r="J62" s="31"/>
      <c r="K62" s="31"/>
      <c r="L62" s="31"/>
      <c r="M62" s="31"/>
      <c r="N62" s="31"/>
      <c r="O62" s="58"/>
      <c r="P62" s="26"/>
      <c r="Q62" s="26"/>
      <c r="R62" s="26"/>
      <c r="S62" s="26"/>
      <c r="T62" s="38"/>
      <c r="U62" s="152"/>
    </row>
    <row r="63" spans="1:21" s="42" customFormat="1" x14ac:dyDescent="0.25">
      <c r="A63" s="167"/>
      <c r="B63" s="141" t="s">
        <v>115</v>
      </c>
      <c r="C63" s="31"/>
      <c r="D63" s="31"/>
      <c r="E63" s="31"/>
      <c r="F63" s="31"/>
      <c r="G63" s="31"/>
      <c r="H63" s="31"/>
      <c r="I63" s="31"/>
      <c r="J63" s="31"/>
      <c r="K63" s="31"/>
      <c r="L63" s="31"/>
      <c r="M63" s="31"/>
      <c r="N63" s="31"/>
      <c r="O63" s="58"/>
      <c r="P63" s="26"/>
      <c r="Q63" s="26"/>
      <c r="R63" s="26"/>
      <c r="S63" s="26"/>
      <c r="T63" s="38"/>
      <c r="U63" s="152"/>
    </row>
    <row r="64" spans="1:21" s="42" customFormat="1" ht="15.75" thickBot="1" x14ac:dyDescent="0.3">
      <c r="A64" s="167"/>
      <c r="B64" s="141" t="s">
        <v>1089</v>
      </c>
      <c r="C64" s="31"/>
      <c r="D64" s="31"/>
      <c r="E64" s="31"/>
      <c r="F64" s="31"/>
      <c r="G64" s="31"/>
      <c r="H64" s="31"/>
      <c r="I64" s="31"/>
      <c r="J64" s="31"/>
      <c r="K64" s="31"/>
      <c r="L64" s="31"/>
      <c r="M64" s="31"/>
      <c r="N64" s="31"/>
      <c r="O64" s="58"/>
      <c r="P64" s="26"/>
      <c r="Q64" s="26"/>
      <c r="R64" s="26"/>
      <c r="S64" s="26"/>
      <c r="T64" s="38"/>
      <c r="U64" s="152"/>
    </row>
    <row r="65" spans="1:21" s="200" customFormat="1" ht="26.25" thickBot="1" x14ac:dyDescent="0.3">
      <c r="A65" s="282" t="s">
        <v>1084</v>
      </c>
      <c r="B65" s="188" t="s">
        <v>1090</v>
      </c>
      <c r="C65" s="189" t="s">
        <v>1330</v>
      </c>
      <c r="D65" s="190">
        <f>D$4*3.2</f>
        <v>3.2</v>
      </c>
      <c r="E65" s="190">
        <f>E$4*3.2</f>
        <v>3.2</v>
      </c>
      <c r="F65" s="191">
        <f>F$4*3.1</f>
        <v>3.1</v>
      </c>
      <c r="G65" s="191">
        <f>G$4*3.1</f>
        <v>3.1</v>
      </c>
      <c r="H65" s="191">
        <f>H$4*4.5</f>
        <v>18</v>
      </c>
      <c r="I65" s="191">
        <f>I$4*2.5</f>
        <v>2.5</v>
      </c>
      <c r="J65" s="191">
        <f>J$4*2.5</f>
        <v>2.5</v>
      </c>
      <c r="K65" s="191">
        <f>K$4*3.9</f>
        <v>7.8</v>
      </c>
      <c r="L65" s="191">
        <f>L$4*17</f>
        <v>17</v>
      </c>
      <c r="M65" s="191">
        <f t="shared" ref="M65:N65" si="11">M$4*0</f>
        <v>0</v>
      </c>
      <c r="N65" s="192">
        <f t="shared" si="11"/>
        <v>0</v>
      </c>
      <c r="O65" s="193">
        <f>SUM(D65:N65)</f>
        <v>60.4</v>
      </c>
      <c r="P65" s="194">
        <v>0</v>
      </c>
      <c r="Q65" s="194">
        <v>0</v>
      </c>
      <c r="R65" s="194">
        <f>P65+Q65</f>
        <v>0</v>
      </c>
      <c r="S65" s="194"/>
      <c r="T65" s="195">
        <f>R65*O65</f>
        <v>0</v>
      </c>
      <c r="U65" s="208"/>
    </row>
    <row r="66" spans="1:21" s="200" customFormat="1" ht="77.25" thickBot="1" x14ac:dyDescent="0.3">
      <c r="A66" s="282" t="s">
        <v>1085</v>
      </c>
      <c r="B66" s="188" t="s">
        <v>1091</v>
      </c>
      <c r="C66" s="189" t="s">
        <v>1330</v>
      </c>
      <c r="D66" s="190">
        <f t="shared" ref="D66:N66" si="12">D65*0.1</f>
        <v>0.32000000000000006</v>
      </c>
      <c r="E66" s="190">
        <f t="shared" si="12"/>
        <v>0.32000000000000006</v>
      </c>
      <c r="F66" s="191">
        <f t="shared" si="12"/>
        <v>0.31000000000000005</v>
      </c>
      <c r="G66" s="191">
        <f t="shared" si="12"/>
        <v>0.31000000000000005</v>
      </c>
      <c r="H66" s="191">
        <f t="shared" si="12"/>
        <v>1.8</v>
      </c>
      <c r="I66" s="191">
        <f t="shared" si="12"/>
        <v>0.25</v>
      </c>
      <c r="J66" s="191">
        <f t="shared" si="12"/>
        <v>0.25</v>
      </c>
      <c r="K66" s="191">
        <f t="shared" si="12"/>
        <v>0.78</v>
      </c>
      <c r="L66" s="191">
        <f t="shared" si="12"/>
        <v>1.7000000000000002</v>
      </c>
      <c r="M66" s="191">
        <f t="shared" si="12"/>
        <v>0</v>
      </c>
      <c r="N66" s="192">
        <f t="shared" si="12"/>
        <v>0</v>
      </c>
      <c r="O66" s="193">
        <f>SUM(D66:N66)</f>
        <v>6.0400000000000009</v>
      </c>
      <c r="P66" s="194">
        <v>0</v>
      </c>
      <c r="Q66" s="194">
        <v>0</v>
      </c>
      <c r="R66" s="194">
        <f>P66+Q66</f>
        <v>0</v>
      </c>
      <c r="S66" s="194"/>
      <c r="T66" s="195">
        <f>R66*O66</f>
        <v>0</v>
      </c>
      <c r="U66" s="208"/>
    </row>
    <row r="67" spans="1:21" s="200" customFormat="1" ht="15.75" thickBot="1" x14ac:dyDescent="0.3">
      <c r="A67" s="282" t="s">
        <v>1086</v>
      </c>
      <c r="B67" s="188" t="s">
        <v>79</v>
      </c>
      <c r="C67" s="189" t="s">
        <v>1330</v>
      </c>
      <c r="D67" s="190">
        <f t="shared" ref="D67:N67" si="13">D65*0.02</f>
        <v>6.4000000000000001E-2</v>
      </c>
      <c r="E67" s="190">
        <f t="shared" si="13"/>
        <v>6.4000000000000001E-2</v>
      </c>
      <c r="F67" s="191">
        <f t="shared" si="13"/>
        <v>6.2000000000000006E-2</v>
      </c>
      <c r="G67" s="191">
        <f t="shared" si="13"/>
        <v>6.2000000000000006E-2</v>
      </c>
      <c r="H67" s="191">
        <f t="shared" si="13"/>
        <v>0.36</v>
      </c>
      <c r="I67" s="191">
        <f t="shared" si="13"/>
        <v>0.05</v>
      </c>
      <c r="J67" s="191">
        <f t="shared" si="13"/>
        <v>0.05</v>
      </c>
      <c r="K67" s="191">
        <f t="shared" si="13"/>
        <v>0.156</v>
      </c>
      <c r="L67" s="191">
        <f t="shared" si="13"/>
        <v>0.34</v>
      </c>
      <c r="M67" s="191">
        <f t="shared" si="13"/>
        <v>0</v>
      </c>
      <c r="N67" s="192">
        <f t="shared" si="13"/>
        <v>0</v>
      </c>
      <c r="O67" s="193">
        <f>SUM(D67:N67)</f>
        <v>1.2080000000000002</v>
      </c>
      <c r="P67" s="194">
        <v>0</v>
      </c>
      <c r="Q67" s="194">
        <v>0</v>
      </c>
      <c r="R67" s="194">
        <f>P67+Q67</f>
        <v>0</v>
      </c>
      <c r="S67" s="194"/>
      <c r="T67" s="195">
        <f>R67*O67</f>
        <v>0</v>
      </c>
      <c r="U67" s="208"/>
    </row>
    <row r="68" spans="1:21" s="42" customFormat="1" x14ac:dyDescent="0.25">
      <c r="A68" s="157"/>
      <c r="B68" s="44"/>
      <c r="C68" s="44"/>
      <c r="D68" s="44"/>
      <c r="E68" s="44"/>
      <c r="F68" s="44"/>
      <c r="G68" s="44"/>
      <c r="H68" s="44"/>
      <c r="I68" s="44"/>
      <c r="J68" s="44"/>
      <c r="K68" s="44"/>
      <c r="L68" s="44"/>
      <c r="M68" s="44"/>
      <c r="N68" s="44"/>
      <c r="O68" s="118"/>
      <c r="P68" s="44"/>
      <c r="Q68" s="44"/>
      <c r="R68" s="44"/>
      <c r="S68" s="44"/>
      <c r="T68" s="44"/>
      <c r="U68" s="47"/>
    </row>
    <row r="69" spans="1:21" s="42" customFormat="1" ht="27.75" customHeight="1" x14ac:dyDescent="0.25">
      <c r="A69" s="166" t="s">
        <v>114</v>
      </c>
      <c r="B69" s="147" t="s">
        <v>81</v>
      </c>
      <c r="C69" s="28"/>
      <c r="D69" s="28"/>
      <c r="E69" s="28"/>
      <c r="F69" s="28"/>
      <c r="G69" s="28"/>
      <c r="H69" s="28"/>
      <c r="I69" s="28"/>
      <c r="J69" s="28"/>
      <c r="K69" s="28"/>
      <c r="L69" s="28"/>
      <c r="M69" s="28"/>
      <c r="N69" s="28"/>
      <c r="O69" s="60"/>
      <c r="P69" s="29"/>
      <c r="Q69" s="29"/>
      <c r="R69" s="29"/>
      <c r="S69" s="29"/>
      <c r="T69" s="23"/>
      <c r="U69" s="152"/>
    </row>
    <row r="70" spans="1:21" s="42" customFormat="1" x14ac:dyDescent="0.25">
      <c r="A70" s="167"/>
      <c r="B70" s="141" t="s">
        <v>82</v>
      </c>
      <c r="C70" s="31"/>
      <c r="D70" s="31"/>
      <c r="E70" s="31"/>
      <c r="F70" s="31"/>
      <c r="G70" s="31"/>
      <c r="H70" s="31"/>
      <c r="I70" s="31"/>
      <c r="J70" s="31"/>
      <c r="K70" s="31"/>
      <c r="L70" s="31"/>
      <c r="M70" s="31"/>
      <c r="N70" s="31"/>
      <c r="O70" s="58"/>
      <c r="P70" s="26"/>
      <c r="Q70" s="26"/>
      <c r="R70" s="26"/>
      <c r="S70" s="26"/>
      <c r="T70" s="38"/>
      <c r="U70" s="152"/>
    </row>
    <row r="71" spans="1:21" s="42" customFormat="1" ht="25.5" x14ac:dyDescent="0.25">
      <c r="A71" s="167"/>
      <c r="B71" s="141" t="s">
        <v>1105</v>
      </c>
      <c r="C71" s="31"/>
      <c r="D71" s="31"/>
      <c r="E71" s="31"/>
      <c r="F71" s="31"/>
      <c r="G71" s="31"/>
      <c r="H71" s="31"/>
      <c r="I71" s="31"/>
      <c r="J71" s="31"/>
      <c r="K71" s="31"/>
      <c r="L71" s="31"/>
      <c r="M71" s="31"/>
      <c r="N71" s="31"/>
      <c r="O71" s="58"/>
      <c r="P71" s="26"/>
      <c r="Q71" s="26"/>
      <c r="R71" s="26"/>
      <c r="S71" s="26"/>
      <c r="T71" s="38"/>
      <c r="U71" s="152"/>
    </row>
    <row r="72" spans="1:21" s="42" customFormat="1" x14ac:dyDescent="0.25">
      <c r="A72" s="167"/>
      <c r="B72" s="141" t="s">
        <v>83</v>
      </c>
      <c r="C72" s="31"/>
      <c r="D72" s="31"/>
      <c r="E72" s="31"/>
      <c r="F72" s="31"/>
      <c r="G72" s="31"/>
      <c r="H72" s="31"/>
      <c r="I72" s="31"/>
      <c r="J72" s="31"/>
      <c r="K72" s="31"/>
      <c r="L72" s="31"/>
      <c r="M72" s="31"/>
      <c r="N72" s="31"/>
      <c r="O72" s="58"/>
      <c r="P72" s="26"/>
      <c r="Q72" s="26"/>
      <c r="R72" s="26"/>
      <c r="S72" s="26"/>
      <c r="T72" s="38"/>
      <c r="U72" s="152"/>
    </row>
    <row r="73" spans="1:21" s="42" customFormat="1" ht="15.75" thickBot="1" x14ac:dyDescent="0.3">
      <c r="A73" s="167"/>
      <c r="B73" s="141" t="s">
        <v>1106</v>
      </c>
      <c r="C73" s="31"/>
      <c r="D73" s="31"/>
      <c r="E73" s="31"/>
      <c r="F73" s="31"/>
      <c r="G73" s="31"/>
      <c r="H73" s="31"/>
      <c r="I73" s="31"/>
      <c r="J73" s="31"/>
      <c r="K73" s="31"/>
      <c r="L73" s="31"/>
      <c r="M73" s="31"/>
      <c r="N73" s="31"/>
      <c r="O73" s="58"/>
      <c r="P73" s="26"/>
      <c r="Q73" s="26"/>
      <c r="R73" s="26"/>
      <c r="S73" s="26"/>
      <c r="T73" s="38"/>
      <c r="U73" s="152"/>
    </row>
    <row r="74" spans="1:21" s="200" customFormat="1" ht="26.25" thickBot="1" x14ac:dyDescent="0.3">
      <c r="A74" s="282" t="s">
        <v>1092</v>
      </c>
      <c r="B74" s="188" t="s">
        <v>1090</v>
      </c>
      <c r="C74" s="189" t="s">
        <v>1330</v>
      </c>
      <c r="D74" s="190">
        <f>D$4*4.5</f>
        <v>4.5</v>
      </c>
      <c r="E74" s="190">
        <f>E$4*4.5</f>
        <v>4.5</v>
      </c>
      <c r="F74" s="191">
        <f>F$4*4.4</f>
        <v>4.4000000000000004</v>
      </c>
      <c r="G74" s="191">
        <f>G$4*4.4</f>
        <v>4.4000000000000004</v>
      </c>
      <c r="H74" s="191">
        <f>H$4*5.4</f>
        <v>21.6</v>
      </c>
      <c r="I74" s="191">
        <f>I$4*4</f>
        <v>4</v>
      </c>
      <c r="J74" s="191">
        <f>J$4*4</f>
        <v>4</v>
      </c>
      <c r="K74" s="191">
        <f>K$4*3.6</f>
        <v>7.2</v>
      </c>
      <c r="L74" s="191">
        <f>L$4*25.45</f>
        <v>25.45</v>
      </c>
      <c r="M74" s="191">
        <f t="shared" ref="M74:N74" si="14">M$4*0</f>
        <v>0</v>
      </c>
      <c r="N74" s="192">
        <f t="shared" si="14"/>
        <v>0</v>
      </c>
      <c r="O74" s="193">
        <f>SUM(D74:N74)</f>
        <v>80.050000000000011</v>
      </c>
      <c r="P74" s="194">
        <v>0</v>
      </c>
      <c r="Q74" s="194">
        <v>0</v>
      </c>
      <c r="R74" s="194">
        <f>P74+Q74</f>
        <v>0</v>
      </c>
      <c r="S74" s="194"/>
      <c r="T74" s="195">
        <f>R74*O74</f>
        <v>0</v>
      </c>
      <c r="U74" s="208"/>
    </row>
    <row r="75" spans="1:21" s="200" customFormat="1" ht="77.25" thickBot="1" x14ac:dyDescent="0.3">
      <c r="A75" s="282" t="s">
        <v>1093</v>
      </c>
      <c r="B75" s="188" t="s">
        <v>1091</v>
      </c>
      <c r="C75" s="189" t="s">
        <v>1330</v>
      </c>
      <c r="D75" s="190">
        <f t="shared" ref="D75:N75" si="15">D74*0.1</f>
        <v>0.45</v>
      </c>
      <c r="E75" s="190">
        <f t="shared" si="15"/>
        <v>0.45</v>
      </c>
      <c r="F75" s="191">
        <f t="shared" si="15"/>
        <v>0.44000000000000006</v>
      </c>
      <c r="G75" s="191">
        <f t="shared" si="15"/>
        <v>0.44000000000000006</v>
      </c>
      <c r="H75" s="191">
        <f t="shared" si="15"/>
        <v>2.16</v>
      </c>
      <c r="I75" s="191">
        <f t="shared" si="15"/>
        <v>0.4</v>
      </c>
      <c r="J75" s="191">
        <f t="shared" si="15"/>
        <v>0.4</v>
      </c>
      <c r="K75" s="191">
        <f t="shared" si="15"/>
        <v>0.72000000000000008</v>
      </c>
      <c r="L75" s="191">
        <f t="shared" si="15"/>
        <v>2.5449999999999999</v>
      </c>
      <c r="M75" s="191">
        <f t="shared" si="15"/>
        <v>0</v>
      </c>
      <c r="N75" s="192">
        <f t="shared" si="15"/>
        <v>0</v>
      </c>
      <c r="O75" s="193">
        <f>SUM(D75:N75)</f>
        <v>8.0050000000000008</v>
      </c>
      <c r="P75" s="194">
        <v>0</v>
      </c>
      <c r="Q75" s="194">
        <v>0</v>
      </c>
      <c r="R75" s="194">
        <f>P75+Q75</f>
        <v>0</v>
      </c>
      <c r="S75" s="194"/>
      <c r="T75" s="195">
        <f>R75*O75</f>
        <v>0</v>
      </c>
      <c r="U75" s="208"/>
    </row>
    <row r="76" spans="1:21" s="200" customFormat="1" ht="15.75" thickBot="1" x14ac:dyDescent="0.3">
      <c r="A76" s="282" t="s">
        <v>1094</v>
      </c>
      <c r="B76" s="188" t="s">
        <v>79</v>
      </c>
      <c r="C76" s="189" t="s">
        <v>1330</v>
      </c>
      <c r="D76" s="190">
        <f t="shared" ref="D76:N76" si="16">D74*0.02</f>
        <v>0.09</v>
      </c>
      <c r="E76" s="190">
        <f t="shared" si="16"/>
        <v>0.09</v>
      </c>
      <c r="F76" s="191">
        <f t="shared" si="16"/>
        <v>8.8000000000000009E-2</v>
      </c>
      <c r="G76" s="191">
        <f t="shared" si="16"/>
        <v>8.8000000000000009E-2</v>
      </c>
      <c r="H76" s="191">
        <f t="shared" si="16"/>
        <v>0.43200000000000005</v>
      </c>
      <c r="I76" s="191">
        <f t="shared" si="16"/>
        <v>0.08</v>
      </c>
      <c r="J76" s="191">
        <f t="shared" si="16"/>
        <v>0.08</v>
      </c>
      <c r="K76" s="191">
        <f t="shared" si="16"/>
        <v>0.14400000000000002</v>
      </c>
      <c r="L76" s="191">
        <f t="shared" si="16"/>
        <v>0.50900000000000001</v>
      </c>
      <c r="M76" s="191">
        <f t="shared" si="16"/>
        <v>0</v>
      </c>
      <c r="N76" s="192">
        <f t="shared" si="16"/>
        <v>0</v>
      </c>
      <c r="O76" s="193">
        <f>SUM(D76:N76)</f>
        <v>1.601</v>
      </c>
      <c r="P76" s="194">
        <v>0</v>
      </c>
      <c r="Q76" s="194">
        <v>0</v>
      </c>
      <c r="R76" s="194">
        <f>P76+Q76</f>
        <v>0</v>
      </c>
      <c r="S76" s="194"/>
      <c r="T76" s="195">
        <f>R76*O76</f>
        <v>0</v>
      </c>
      <c r="U76" s="208"/>
    </row>
    <row r="77" spans="1:21" s="42" customFormat="1" x14ac:dyDescent="0.25">
      <c r="A77" s="157"/>
      <c r="B77" s="44"/>
      <c r="C77" s="44"/>
      <c r="D77" s="44"/>
      <c r="E77" s="44"/>
      <c r="F77" s="44"/>
      <c r="G77" s="44"/>
      <c r="H77" s="44"/>
      <c r="I77" s="44"/>
      <c r="J77" s="44"/>
      <c r="K77" s="44"/>
      <c r="L77" s="44"/>
      <c r="M77" s="44"/>
      <c r="N77" s="44"/>
      <c r="O77" s="118"/>
      <c r="P77" s="44"/>
      <c r="Q77" s="44"/>
      <c r="R77" s="44"/>
      <c r="S77" s="44"/>
      <c r="T77" s="44"/>
      <c r="U77" s="47"/>
    </row>
    <row r="78" spans="1:21" s="42" customFormat="1" ht="27.75" customHeight="1" x14ac:dyDescent="0.25">
      <c r="A78" s="166" t="s">
        <v>1095</v>
      </c>
      <c r="B78" s="147" t="s">
        <v>85</v>
      </c>
      <c r="C78" s="28"/>
      <c r="D78" s="28"/>
      <c r="E78" s="28"/>
      <c r="F78" s="28"/>
      <c r="G78" s="28"/>
      <c r="H78" s="28"/>
      <c r="I78" s="28"/>
      <c r="J78" s="28"/>
      <c r="K78" s="28"/>
      <c r="L78" s="28"/>
      <c r="M78" s="28"/>
      <c r="N78" s="28"/>
      <c r="O78" s="60"/>
      <c r="P78" s="29"/>
      <c r="Q78" s="29"/>
      <c r="R78" s="29"/>
      <c r="S78" s="29"/>
      <c r="T78" s="23"/>
      <c r="U78" s="152"/>
    </row>
    <row r="79" spans="1:21" s="42" customFormat="1" x14ac:dyDescent="0.25">
      <c r="A79" s="167"/>
      <c r="B79" s="141" t="s">
        <v>82</v>
      </c>
      <c r="C79" s="31"/>
      <c r="D79" s="31"/>
      <c r="E79" s="31"/>
      <c r="F79" s="31"/>
      <c r="G79" s="31"/>
      <c r="H79" s="31"/>
      <c r="I79" s="31"/>
      <c r="J79" s="31"/>
      <c r="K79" s="31"/>
      <c r="L79" s="31"/>
      <c r="M79" s="31"/>
      <c r="N79" s="31"/>
      <c r="O79" s="58"/>
      <c r="P79" s="26"/>
      <c r="Q79" s="26"/>
      <c r="R79" s="26"/>
      <c r="S79" s="26"/>
      <c r="T79" s="38"/>
      <c r="U79" s="152"/>
    </row>
    <row r="80" spans="1:21" s="42" customFormat="1" ht="25.5" x14ac:dyDescent="0.25">
      <c r="A80" s="167"/>
      <c r="B80" s="141" t="s">
        <v>1103</v>
      </c>
      <c r="C80" s="31"/>
      <c r="D80" s="31"/>
      <c r="E80" s="31"/>
      <c r="F80" s="31"/>
      <c r="G80" s="31"/>
      <c r="H80" s="31"/>
      <c r="I80" s="31"/>
      <c r="J80" s="31"/>
      <c r="K80" s="31"/>
      <c r="L80" s="31"/>
      <c r="M80" s="31"/>
      <c r="N80" s="31"/>
      <c r="O80" s="58"/>
      <c r="P80" s="26"/>
      <c r="Q80" s="26"/>
      <c r="R80" s="26"/>
      <c r="S80" s="26"/>
      <c r="T80" s="38"/>
      <c r="U80" s="152"/>
    </row>
    <row r="81" spans="1:21" s="42" customFormat="1" x14ac:dyDescent="0.25">
      <c r="A81" s="167"/>
      <c r="B81" s="141" t="s">
        <v>83</v>
      </c>
      <c r="C81" s="31"/>
      <c r="D81" s="31"/>
      <c r="E81" s="31"/>
      <c r="F81" s="31"/>
      <c r="G81" s="31"/>
      <c r="H81" s="31"/>
      <c r="I81" s="31"/>
      <c r="J81" s="31"/>
      <c r="K81" s="31"/>
      <c r="L81" s="31"/>
      <c r="M81" s="31"/>
      <c r="N81" s="31"/>
      <c r="O81" s="58"/>
      <c r="P81" s="26"/>
      <c r="Q81" s="26"/>
      <c r="R81" s="26"/>
      <c r="S81" s="26"/>
      <c r="T81" s="38"/>
      <c r="U81" s="152"/>
    </row>
    <row r="82" spans="1:21" s="42" customFormat="1" ht="15.75" thickBot="1" x14ac:dyDescent="0.3">
      <c r="A82" s="167"/>
      <c r="B82" s="141" t="s">
        <v>84</v>
      </c>
      <c r="C82" s="31"/>
      <c r="D82" s="31"/>
      <c r="E82" s="31"/>
      <c r="F82" s="31"/>
      <c r="G82" s="31"/>
      <c r="H82" s="31"/>
      <c r="I82" s="31"/>
      <c r="J82" s="31"/>
      <c r="K82" s="31"/>
      <c r="L82" s="31"/>
      <c r="M82" s="31"/>
      <c r="N82" s="31"/>
      <c r="O82" s="58"/>
      <c r="P82" s="26"/>
      <c r="Q82" s="26"/>
      <c r="R82" s="26"/>
      <c r="S82" s="26"/>
      <c r="T82" s="38"/>
      <c r="U82" s="152"/>
    </row>
    <row r="83" spans="1:21" s="200" customFormat="1" ht="26.25" thickBot="1" x14ac:dyDescent="0.3">
      <c r="A83" s="282" t="s">
        <v>1179</v>
      </c>
      <c r="B83" s="188" t="s">
        <v>1090</v>
      </c>
      <c r="C83" s="189" t="s">
        <v>1330</v>
      </c>
      <c r="D83" s="190">
        <f>D$4*18.6</f>
        <v>18.600000000000001</v>
      </c>
      <c r="E83" s="190">
        <f>E$4*18.6</f>
        <v>18.600000000000001</v>
      </c>
      <c r="F83" s="191">
        <f>F$4*21.4</f>
        <v>21.4</v>
      </c>
      <c r="G83" s="191">
        <f>G$4*21.4</f>
        <v>21.4</v>
      </c>
      <c r="H83" s="191">
        <f>H$4*31.35</f>
        <v>125.4</v>
      </c>
      <c r="I83" s="191">
        <f>I$4*16.7</f>
        <v>16.7</v>
      </c>
      <c r="J83" s="191">
        <f>J$4*16.7</f>
        <v>16.7</v>
      </c>
      <c r="K83" s="191">
        <f>K$4*27.9</f>
        <v>55.8</v>
      </c>
      <c r="L83" s="191">
        <f>L$4*37.85</f>
        <v>37.85</v>
      </c>
      <c r="M83" s="191">
        <f t="shared" ref="M83:N83" si="17">M$4*0</f>
        <v>0</v>
      </c>
      <c r="N83" s="192">
        <f t="shared" si="17"/>
        <v>0</v>
      </c>
      <c r="O83" s="193">
        <f>SUM(D83:N83)</f>
        <v>332.45</v>
      </c>
      <c r="P83" s="194">
        <v>0</v>
      </c>
      <c r="Q83" s="194">
        <v>0</v>
      </c>
      <c r="R83" s="194">
        <f>P83+Q83</f>
        <v>0</v>
      </c>
      <c r="S83" s="194"/>
      <c r="T83" s="195">
        <f>R83*O83</f>
        <v>0</v>
      </c>
      <c r="U83" s="208"/>
    </row>
    <row r="84" spans="1:21" s="200" customFormat="1" ht="77.25" thickBot="1" x14ac:dyDescent="0.3">
      <c r="A84" s="282" t="s">
        <v>1180</v>
      </c>
      <c r="B84" s="188" t="s">
        <v>1091</v>
      </c>
      <c r="C84" s="189" t="s">
        <v>1330</v>
      </c>
      <c r="D84" s="190">
        <f t="shared" ref="D84:N84" si="18">D83*0.1</f>
        <v>1.8600000000000003</v>
      </c>
      <c r="E84" s="190">
        <f t="shared" si="18"/>
        <v>1.8600000000000003</v>
      </c>
      <c r="F84" s="191">
        <f t="shared" si="18"/>
        <v>2.14</v>
      </c>
      <c r="G84" s="191">
        <f t="shared" si="18"/>
        <v>2.14</v>
      </c>
      <c r="H84" s="191">
        <f t="shared" si="18"/>
        <v>12.540000000000001</v>
      </c>
      <c r="I84" s="191">
        <f t="shared" si="18"/>
        <v>1.67</v>
      </c>
      <c r="J84" s="191">
        <f t="shared" si="18"/>
        <v>1.67</v>
      </c>
      <c r="K84" s="191">
        <f t="shared" si="18"/>
        <v>5.58</v>
      </c>
      <c r="L84" s="191">
        <f t="shared" si="18"/>
        <v>3.7850000000000001</v>
      </c>
      <c r="M84" s="191">
        <f t="shared" si="18"/>
        <v>0</v>
      </c>
      <c r="N84" s="192">
        <f t="shared" si="18"/>
        <v>0</v>
      </c>
      <c r="O84" s="193">
        <f>SUM(D84:N84)</f>
        <v>33.245000000000005</v>
      </c>
      <c r="P84" s="194">
        <v>0</v>
      </c>
      <c r="Q84" s="194">
        <v>0</v>
      </c>
      <c r="R84" s="194">
        <f>P84+Q84</f>
        <v>0</v>
      </c>
      <c r="S84" s="194"/>
      <c r="T84" s="195">
        <f>R84*O84</f>
        <v>0</v>
      </c>
      <c r="U84" s="208"/>
    </row>
    <row r="85" spans="1:21" s="200" customFormat="1" ht="15.75" thickBot="1" x14ac:dyDescent="0.3">
      <c r="A85" s="282" t="s">
        <v>1181</v>
      </c>
      <c r="B85" s="188" t="s">
        <v>79</v>
      </c>
      <c r="C85" s="189" t="s">
        <v>1330</v>
      </c>
      <c r="D85" s="190">
        <f t="shared" ref="D85:N85" si="19">D83*0.02</f>
        <v>0.37200000000000005</v>
      </c>
      <c r="E85" s="190">
        <f t="shared" si="19"/>
        <v>0.37200000000000005</v>
      </c>
      <c r="F85" s="191">
        <f t="shared" si="19"/>
        <v>0.42799999999999999</v>
      </c>
      <c r="G85" s="191">
        <f t="shared" si="19"/>
        <v>0.42799999999999999</v>
      </c>
      <c r="H85" s="191">
        <f t="shared" si="19"/>
        <v>2.508</v>
      </c>
      <c r="I85" s="191">
        <f t="shared" si="19"/>
        <v>0.33400000000000002</v>
      </c>
      <c r="J85" s="191">
        <f t="shared" si="19"/>
        <v>0.33400000000000002</v>
      </c>
      <c r="K85" s="191">
        <f t="shared" si="19"/>
        <v>1.1159999999999999</v>
      </c>
      <c r="L85" s="191">
        <f t="shared" si="19"/>
        <v>0.75700000000000001</v>
      </c>
      <c r="M85" s="191">
        <f t="shared" si="19"/>
        <v>0</v>
      </c>
      <c r="N85" s="192">
        <f t="shared" si="19"/>
        <v>0</v>
      </c>
      <c r="O85" s="193">
        <f>SUM(D85:N85)</f>
        <v>6.6489999999999991</v>
      </c>
      <c r="P85" s="194">
        <v>0</v>
      </c>
      <c r="Q85" s="194">
        <v>0</v>
      </c>
      <c r="R85" s="194">
        <f>P85+Q85</f>
        <v>0</v>
      </c>
      <c r="S85" s="194"/>
      <c r="T85" s="195">
        <f>R85*O85</f>
        <v>0</v>
      </c>
      <c r="U85" s="208"/>
    </row>
    <row r="86" spans="1:21" s="42" customFormat="1" x14ac:dyDescent="0.25">
      <c r="A86" s="157"/>
      <c r="B86" s="44"/>
      <c r="C86" s="44"/>
      <c r="D86" s="44"/>
      <c r="E86" s="44"/>
      <c r="F86" s="44"/>
      <c r="G86" s="44"/>
      <c r="H86" s="44"/>
      <c r="I86" s="44"/>
      <c r="J86" s="44"/>
      <c r="K86" s="44"/>
      <c r="L86" s="44"/>
      <c r="M86" s="44"/>
      <c r="N86" s="44"/>
      <c r="O86" s="118"/>
      <c r="P86" s="44"/>
      <c r="Q86" s="44"/>
      <c r="R86" s="44"/>
      <c r="S86" s="44"/>
      <c r="T86" s="44"/>
      <c r="U86" s="47"/>
    </row>
    <row r="87" spans="1:21" s="42" customFormat="1" ht="25.5" x14ac:dyDescent="0.25">
      <c r="A87" s="166" t="s">
        <v>1099</v>
      </c>
      <c r="B87" s="147" t="s">
        <v>1107</v>
      </c>
      <c r="C87" s="28"/>
      <c r="D87" s="28"/>
      <c r="E87" s="28"/>
      <c r="F87" s="28"/>
      <c r="G87" s="28"/>
      <c r="H87" s="28"/>
      <c r="I87" s="28"/>
      <c r="J87" s="28"/>
      <c r="K87" s="28"/>
      <c r="L87" s="28"/>
      <c r="M87" s="28"/>
      <c r="N87" s="28"/>
      <c r="O87" s="60"/>
      <c r="P87" s="29"/>
      <c r="Q87" s="29"/>
      <c r="R87" s="29"/>
      <c r="S87" s="29"/>
      <c r="T87" s="23"/>
      <c r="U87" s="152"/>
    </row>
    <row r="88" spans="1:21" s="42" customFormat="1" x14ac:dyDescent="0.25">
      <c r="A88" s="167"/>
      <c r="B88" s="141" t="s">
        <v>82</v>
      </c>
      <c r="C88" s="31"/>
      <c r="D88" s="31"/>
      <c r="E88" s="31"/>
      <c r="F88" s="31"/>
      <c r="G88" s="31"/>
      <c r="H88" s="31"/>
      <c r="I88" s="31"/>
      <c r="J88" s="31"/>
      <c r="K88" s="31"/>
      <c r="L88" s="31"/>
      <c r="M88" s="31"/>
      <c r="N88" s="31"/>
      <c r="O88" s="58"/>
      <c r="P88" s="26"/>
      <c r="Q88" s="26"/>
      <c r="R88" s="26"/>
      <c r="S88" s="26"/>
      <c r="T88" s="38"/>
      <c r="U88" s="152"/>
    </row>
    <row r="89" spans="1:21" s="42" customFormat="1" ht="25.5" x14ac:dyDescent="0.25">
      <c r="A89" s="167"/>
      <c r="B89" s="141" t="s">
        <v>1108</v>
      </c>
      <c r="C89" s="31"/>
      <c r="D89" s="31"/>
      <c r="E89" s="31"/>
      <c r="F89" s="31"/>
      <c r="G89" s="31"/>
      <c r="H89" s="31"/>
      <c r="I89" s="31"/>
      <c r="J89" s="31"/>
      <c r="K89" s="31"/>
      <c r="L89" s="31"/>
      <c r="M89" s="31"/>
      <c r="N89" s="31"/>
      <c r="O89" s="58"/>
      <c r="P89" s="26"/>
      <c r="Q89" s="26"/>
      <c r="R89" s="26"/>
      <c r="S89" s="26"/>
      <c r="T89" s="38"/>
      <c r="U89" s="152"/>
    </row>
    <row r="90" spans="1:21" s="42" customFormat="1" x14ac:dyDescent="0.25">
      <c r="A90" s="167"/>
      <c r="B90" s="141" t="s">
        <v>1109</v>
      </c>
      <c r="C90" s="31"/>
      <c r="D90" s="31"/>
      <c r="E90" s="31"/>
      <c r="F90" s="31"/>
      <c r="G90" s="31"/>
      <c r="H90" s="31"/>
      <c r="I90" s="31"/>
      <c r="J90" s="31"/>
      <c r="K90" s="31"/>
      <c r="L90" s="31"/>
      <c r="M90" s="31"/>
      <c r="N90" s="31"/>
      <c r="O90" s="58"/>
      <c r="P90" s="26"/>
      <c r="Q90" s="26"/>
      <c r="R90" s="26"/>
      <c r="S90" s="26"/>
      <c r="T90" s="38"/>
      <c r="U90" s="152"/>
    </row>
    <row r="91" spans="1:21" s="42" customFormat="1" ht="15.75" thickBot="1" x14ac:dyDescent="0.3">
      <c r="A91" s="167"/>
      <c r="B91" s="141" t="s">
        <v>84</v>
      </c>
      <c r="C91" s="31"/>
      <c r="D91" s="31"/>
      <c r="E91" s="31"/>
      <c r="F91" s="31"/>
      <c r="G91" s="31"/>
      <c r="H91" s="31"/>
      <c r="I91" s="31"/>
      <c r="J91" s="31"/>
      <c r="K91" s="31"/>
      <c r="L91" s="31"/>
      <c r="M91" s="31"/>
      <c r="N91" s="31"/>
      <c r="O91" s="58"/>
      <c r="P91" s="26"/>
      <c r="Q91" s="26"/>
      <c r="R91" s="26"/>
      <c r="S91" s="26"/>
      <c r="T91" s="38"/>
      <c r="U91" s="152"/>
    </row>
    <row r="92" spans="1:21" s="200" customFormat="1" ht="14.25" customHeight="1" thickBot="1" x14ac:dyDescent="0.3">
      <c r="A92" s="282" t="s">
        <v>1182</v>
      </c>
      <c r="B92" s="188" t="s">
        <v>1090</v>
      </c>
      <c r="C92" s="189" t="s">
        <v>1330</v>
      </c>
      <c r="D92" s="190">
        <f>D$4*5.6</f>
        <v>5.6</v>
      </c>
      <c r="E92" s="190">
        <f>E$4*5.6</f>
        <v>5.6</v>
      </c>
      <c r="F92" s="191">
        <f>F$4*3.9</f>
        <v>3.9</v>
      </c>
      <c r="G92" s="191">
        <f>G$4*3.9</f>
        <v>3.9</v>
      </c>
      <c r="H92" s="191">
        <f>H$4*6.6</f>
        <v>26.4</v>
      </c>
      <c r="I92" s="191">
        <f>I$4*5</f>
        <v>5</v>
      </c>
      <c r="J92" s="191">
        <f>J$4*5</f>
        <v>5</v>
      </c>
      <c r="K92" s="191">
        <f>K$4*5.45</f>
        <v>10.9</v>
      </c>
      <c r="L92" s="191">
        <f t="shared" ref="L92:N92" si="20">L$4*0</f>
        <v>0</v>
      </c>
      <c r="M92" s="191">
        <f t="shared" si="20"/>
        <v>0</v>
      </c>
      <c r="N92" s="192">
        <f t="shared" si="20"/>
        <v>0</v>
      </c>
      <c r="O92" s="193">
        <f>SUM(D92:N92)</f>
        <v>66.3</v>
      </c>
      <c r="P92" s="194">
        <v>0</v>
      </c>
      <c r="Q92" s="194">
        <v>0</v>
      </c>
      <c r="R92" s="194">
        <f>P92+Q92</f>
        <v>0</v>
      </c>
      <c r="S92" s="194"/>
      <c r="T92" s="195">
        <f>R92*O92</f>
        <v>0</v>
      </c>
      <c r="U92" s="208"/>
    </row>
    <row r="93" spans="1:21" s="200" customFormat="1" ht="77.25" thickBot="1" x14ac:dyDescent="0.3">
      <c r="A93" s="282" t="s">
        <v>1183</v>
      </c>
      <c r="B93" s="188" t="s">
        <v>1091</v>
      </c>
      <c r="C93" s="189" t="s">
        <v>1330</v>
      </c>
      <c r="D93" s="190">
        <f t="shared" ref="D93:N93" si="21">D92*0.1</f>
        <v>0.55999999999999994</v>
      </c>
      <c r="E93" s="190">
        <f t="shared" si="21"/>
        <v>0.55999999999999994</v>
      </c>
      <c r="F93" s="191">
        <f t="shared" si="21"/>
        <v>0.39</v>
      </c>
      <c r="G93" s="191">
        <f t="shared" si="21"/>
        <v>0.39</v>
      </c>
      <c r="H93" s="191">
        <f t="shared" si="21"/>
        <v>2.64</v>
      </c>
      <c r="I93" s="191">
        <f t="shared" si="21"/>
        <v>0.5</v>
      </c>
      <c r="J93" s="191">
        <f t="shared" si="21"/>
        <v>0.5</v>
      </c>
      <c r="K93" s="191">
        <f t="shared" si="21"/>
        <v>1.0900000000000001</v>
      </c>
      <c r="L93" s="191">
        <f t="shared" si="21"/>
        <v>0</v>
      </c>
      <c r="M93" s="191">
        <f t="shared" si="21"/>
        <v>0</v>
      </c>
      <c r="N93" s="192">
        <f t="shared" si="21"/>
        <v>0</v>
      </c>
      <c r="O93" s="193">
        <f>SUM(D93:N93)</f>
        <v>6.63</v>
      </c>
      <c r="P93" s="194">
        <v>0</v>
      </c>
      <c r="Q93" s="194">
        <v>0</v>
      </c>
      <c r="R93" s="194">
        <f>P93+Q93</f>
        <v>0</v>
      </c>
      <c r="S93" s="194"/>
      <c r="T93" s="195">
        <f>R93*O93</f>
        <v>0</v>
      </c>
      <c r="U93" s="208"/>
    </row>
    <row r="94" spans="1:21" s="200" customFormat="1" ht="15.75" thickBot="1" x14ac:dyDescent="0.3">
      <c r="A94" s="282" t="s">
        <v>1184</v>
      </c>
      <c r="B94" s="188" t="s">
        <v>79</v>
      </c>
      <c r="C94" s="189" t="s">
        <v>1330</v>
      </c>
      <c r="D94" s="190">
        <f t="shared" ref="D94:N94" si="22">D92*0.02</f>
        <v>0.11199999999999999</v>
      </c>
      <c r="E94" s="190">
        <f t="shared" si="22"/>
        <v>0.11199999999999999</v>
      </c>
      <c r="F94" s="191">
        <f t="shared" si="22"/>
        <v>7.8E-2</v>
      </c>
      <c r="G94" s="191">
        <f t="shared" si="22"/>
        <v>7.8E-2</v>
      </c>
      <c r="H94" s="191">
        <f t="shared" si="22"/>
        <v>0.52800000000000002</v>
      </c>
      <c r="I94" s="191">
        <f t="shared" si="22"/>
        <v>0.1</v>
      </c>
      <c r="J94" s="191">
        <f t="shared" si="22"/>
        <v>0.1</v>
      </c>
      <c r="K94" s="191">
        <f t="shared" si="22"/>
        <v>0.218</v>
      </c>
      <c r="L94" s="191">
        <f t="shared" si="22"/>
        <v>0</v>
      </c>
      <c r="M94" s="191">
        <f t="shared" si="22"/>
        <v>0</v>
      </c>
      <c r="N94" s="192">
        <f t="shared" si="22"/>
        <v>0</v>
      </c>
      <c r="O94" s="193">
        <f>SUM(D94:N94)</f>
        <v>1.3260000000000001</v>
      </c>
      <c r="P94" s="194">
        <v>0</v>
      </c>
      <c r="Q94" s="194">
        <v>0</v>
      </c>
      <c r="R94" s="194">
        <f>P94+Q94</f>
        <v>0</v>
      </c>
      <c r="S94" s="194"/>
      <c r="T94" s="195">
        <f>R94*O94</f>
        <v>0</v>
      </c>
      <c r="U94" s="208"/>
    </row>
    <row r="95" spans="1:21" s="42" customFormat="1" x14ac:dyDescent="0.25">
      <c r="A95" s="157"/>
      <c r="B95" s="44"/>
      <c r="C95" s="44"/>
      <c r="D95" s="44"/>
      <c r="E95" s="44"/>
      <c r="F95" s="44"/>
      <c r="G95" s="44"/>
      <c r="H95" s="44"/>
      <c r="I95" s="44"/>
      <c r="J95" s="44"/>
      <c r="K95" s="44"/>
      <c r="L95" s="44"/>
      <c r="M95" s="44"/>
      <c r="N95" s="44"/>
      <c r="O95" s="118"/>
      <c r="P95" s="44"/>
      <c r="Q95" s="44"/>
      <c r="R95" s="44"/>
      <c r="S95" s="44"/>
      <c r="T95" s="44"/>
      <c r="U95" s="47"/>
    </row>
    <row r="96" spans="1:21" s="42" customFormat="1" ht="15" customHeight="1" x14ac:dyDescent="0.25">
      <c r="A96" s="166" t="s">
        <v>1102</v>
      </c>
      <c r="B96" s="147" t="s">
        <v>1100</v>
      </c>
      <c r="C96" s="28"/>
      <c r="D96" s="28"/>
      <c r="E96" s="28"/>
      <c r="F96" s="28"/>
      <c r="G96" s="28"/>
      <c r="H96" s="28"/>
      <c r="I96" s="28"/>
      <c r="J96" s="28"/>
      <c r="K96" s="28"/>
      <c r="L96" s="28"/>
      <c r="M96" s="28"/>
      <c r="N96" s="28"/>
      <c r="O96" s="60"/>
      <c r="P96" s="29"/>
      <c r="Q96" s="29"/>
      <c r="R96" s="29"/>
      <c r="S96" s="29"/>
      <c r="T96" s="23"/>
      <c r="U96" s="152"/>
    </row>
    <row r="97" spans="1:21" s="42" customFormat="1" x14ac:dyDescent="0.25">
      <c r="A97" s="167"/>
      <c r="B97" s="141" t="s">
        <v>1200</v>
      </c>
      <c r="C97" s="31"/>
      <c r="D97" s="31"/>
      <c r="E97" s="31"/>
      <c r="F97" s="31"/>
      <c r="G97" s="31"/>
      <c r="H97" s="31"/>
      <c r="I97" s="31"/>
      <c r="J97" s="31"/>
      <c r="K97" s="31"/>
      <c r="L97" s="31"/>
      <c r="M97" s="31"/>
      <c r="N97" s="31"/>
      <c r="O97" s="58"/>
      <c r="P97" s="26"/>
      <c r="Q97" s="26"/>
      <c r="R97" s="26"/>
      <c r="S97" s="26"/>
      <c r="T97" s="38"/>
      <c r="U97" s="152"/>
    </row>
    <row r="98" spans="1:21" s="42" customFormat="1" ht="26.25" thickBot="1" x14ac:dyDescent="0.3">
      <c r="A98" s="167"/>
      <c r="B98" s="141" t="s">
        <v>1101</v>
      </c>
      <c r="C98" s="31"/>
      <c r="D98" s="31"/>
      <c r="E98" s="31"/>
      <c r="F98" s="31"/>
      <c r="G98" s="31"/>
      <c r="H98" s="31"/>
      <c r="I98" s="31"/>
      <c r="J98" s="31"/>
      <c r="K98" s="31"/>
      <c r="L98" s="31"/>
      <c r="M98" s="31"/>
      <c r="N98" s="31"/>
      <c r="O98" s="58"/>
      <c r="P98" s="26"/>
      <c r="Q98" s="26"/>
      <c r="R98" s="26"/>
      <c r="S98" s="26"/>
      <c r="T98" s="38"/>
      <c r="U98" s="152"/>
    </row>
    <row r="99" spans="1:21" s="200" customFormat="1" ht="15.75" thickBot="1" x14ac:dyDescent="0.3">
      <c r="A99" s="282"/>
      <c r="B99" s="188" t="s">
        <v>46</v>
      </c>
      <c r="C99" s="189" t="s">
        <v>40</v>
      </c>
      <c r="D99" s="190">
        <f>D$4*0</f>
        <v>0</v>
      </c>
      <c r="E99" s="190">
        <f>E$4*7.8</f>
        <v>7.8</v>
      </c>
      <c r="F99" s="191">
        <f>F$4*0</f>
        <v>0</v>
      </c>
      <c r="G99" s="191">
        <f>G$4*10.8</f>
        <v>10.8</v>
      </c>
      <c r="H99" s="191">
        <f>H$4*12.9</f>
        <v>51.6</v>
      </c>
      <c r="I99" s="191">
        <f>I$4*10.4</f>
        <v>10.4</v>
      </c>
      <c r="J99" s="191">
        <f>J$4*10.4</f>
        <v>10.4</v>
      </c>
      <c r="K99" s="191">
        <f>K$4*13.8</f>
        <v>27.6</v>
      </c>
      <c r="L99" s="191">
        <f t="shared" ref="L99:N99" si="23">L$4*0</f>
        <v>0</v>
      </c>
      <c r="M99" s="191">
        <f t="shared" si="23"/>
        <v>0</v>
      </c>
      <c r="N99" s="192">
        <f t="shared" si="23"/>
        <v>0</v>
      </c>
      <c r="O99" s="193">
        <f>SUM(D99:N99)</f>
        <v>118.60000000000002</v>
      </c>
      <c r="P99" s="194">
        <v>0</v>
      </c>
      <c r="Q99" s="194">
        <v>0</v>
      </c>
      <c r="R99" s="194">
        <f>P99+Q99</f>
        <v>0</v>
      </c>
      <c r="S99" s="194"/>
      <c r="T99" s="195">
        <f>R99*O99</f>
        <v>0</v>
      </c>
      <c r="U99" s="208"/>
    </row>
    <row r="100" spans="1:21" s="42" customFormat="1" x14ac:dyDescent="0.25">
      <c r="A100" s="157"/>
      <c r="B100" s="44"/>
      <c r="C100" s="44"/>
      <c r="D100" s="44"/>
      <c r="E100" s="44"/>
      <c r="F100" s="44"/>
      <c r="G100" s="44"/>
      <c r="H100" s="44"/>
      <c r="I100" s="44"/>
      <c r="J100" s="44"/>
      <c r="K100" s="44"/>
      <c r="L100" s="44"/>
      <c r="M100" s="44"/>
      <c r="N100" s="44"/>
      <c r="O100" s="118"/>
      <c r="P100" s="44"/>
      <c r="Q100" s="44"/>
      <c r="R100" s="44"/>
      <c r="S100" s="44"/>
      <c r="T100" s="44"/>
      <c r="U100" s="47"/>
    </row>
    <row r="101" spans="1:21" s="42" customFormat="1" ht="15.75" customHeight="1" x14ac:dyDescent="0.25">
      <c r="A101" s="166" t="s">
        <v>1104</v>
      </c>
      <c r="B101" s="147" t="s">
        <v>1096</v>
      </c>
      <c r="C101" s="28"/>
      <c r="D101" s="28"/>
      <c r="E101" s="28"/>
      <c r="F101" s="28"/>
      <c r="G101" s="28"/>
      <c r="H101" s="28"/>
      <c r="I101" s="28"/>
      <c r="J101" s="28"/>
      <c r="K101" s="28"/>
      <c r="L101" s="28"/>
      <c r="M101" s="28"/>
      <c r="N101" s="28"/>
      <c r="O101" s="60"/>
      <c r="P101" s="29"/>
      <c r="Q101" s="29"/>
      <c r="R101" s="29"/>
      <c r="S101" s="29"/>
      <c r="T101" s="23"/>
      <c r="U101" s="152"/>
    </row>
    <row r="102" spans="1:21" s="42" customFormat="1" x14ac:dyDescent="0.25">
      <c r="A102" s="167"/>
      <c r="B102" s="141" t="s">
        <v>1097</v>
      </c>
      <c r="C102" s="31"/>
      <c r="D102" s="31"/>
      <c r="E102" s="31"/>
      <c r="F102" s="31"/>
      <c r="G102" s="31"/>
      <c r="H102" s="31"/>
      <c r="I102" s="31"/>
      <c r="J102" s="31"/>
      <c r="K102" s="31"/>
      <c r="L102" s="31"/>
      <c r="M102" s="31"/>
      <c r="N102" s="31"/>
      <c r="O102" s="58"/>
      <c r="P102" s="26"/>
      <c r="Q102" s="26"/>
      <c r="R102" s="26"/>
      <c r="S102" s="26"/>
      <c r="T102" s="38"/>
      <c r="U102" s="152"/>
    </row>
    <row r="103" spans="1:21" s="42" customFormat="1" ht="26.25" thickBot="1" x14ac:dyDescent="0.3">
      <c r="A103" s="167"/>
      <c r="B103" s="141" t="s">
        <v>1098</v>
      </c>
      <c r="C103" s="31"/>
      <c r="D103" s="31"/>
      <c r="E103" s="31"/>
      <c r="F103" s="31"/>
      <c r="G103" s="31"/>
      <c r="H103" s="31"/>
      <c r="I103" s="31"/>
      <c r="J103" s="31"/>
      <c r="K103" s="31"/>
      <c r="L103" s="31"/>
      <c r="M103" s="31"/>
      <c r="N103" s="31"/>
      <c r="O103" s="58"/>
      <c r="P103" s="26"/>
      <c r="Q103" s="26"/>
      <c r="R103" s="26"/>
      <c r="S103" s="26"/>
      <c r="T103" s="38"/>
      <c r="U103" s="152"/>
    </row>
    <row r="104" spans="1:21" s="42" customFormat="1" ht="15.75" thickBot="1" x14ac:dyDescent="0.3">
      <c r="A104" s="166"/>
      <c r="B104" s="148" t="s">
        <v>46</v>
      </c>
      <c r="C104" s="135" t="s">
        <v>40</v>
      </c>
      <c r="D104" s="55">
        <f>D$4*0.7</f>
        <v>0.7</v>
      </c>
      <c r="E104" s="55">
        <f>E$4*0.7</f>
        <v>0.7</v>
      </c>
      <c r="F104" s="36">
        <f>F$4*0.7</f>
        <v>0.7</v>
      </c>
      <c r="G104" s="36">
        <f>G$4*0.7</f>
        <v>0.7</v>
      </c>
      <c r="H104" s="36">
        <f>H$4*1.5</f>
        <v>6</v>
      </c>
      <c r="I104" s="36">
        <f t="shared" ref="I104:N104" si="24">I$4*0</f>
        <v>0</v>
      </c>
      <c r="J104" s="36">
        <f t="shared" si="24"/>
        <v>0</v>
      </c>
      <c r="K104" s="36">
        <f t="shared" si="24"/>
        <v>0</v>
      </c>
      <c r="L104" s="36">
        <f>L$4*2.2</f>
        <v>2.2000000000000002</v>
      </c>
      <c r="M104" s="36">
        <f t="shared" si="24"/>
        <v>0</v>
      </c>
      <c r="N104" s="56">
        <f t="shared" si="24"/>
        <v>0</v>
      </c>
      <c r="O104" s="62">
        <f>SUM(D104:N104)</f>
        <v>11</v>
      </c>
      <c r="P104" s="26">
        <v>0</v>
      </c>
      <c r="Q104" s="26">
        <v>0</v>
      </c>
      <c r="R104" s="26">
        <f>P104+Q104</f>
        <v>0</v>
      </c>
      <c r="S104" s="26"/>
      <c r="T104" s="22">
        <f>R104*O104</f>
        <v>0</v>
      </c>
      <c r="U104" s="47"/>
    </row>
    <row r="105" spans="1:21" s="240" customFormat="1" x14ac:dyDescent="0.25">
      <c r="A105" s="283"/>
      <c r="B105" s="239"/>
      <c r="C105" s="239"/>
      <c r="D105" s="239"/>
      <c r="E105" s="239"/>
      <c r="F105" s="239"/>
      <c r="G105" s="239"/>
      <c r="H105" s="239"/>
      <c r="I105" s="239"/>
      <c r="J105" s="239"/>
      <c r="K105" s="239"/>
      <c r="L105" s="239"/>
      <c r="M105" s="239"/>
      <c r="N105" s="239"/>
      <c r="O105" s="284"/>
      <c r="P105" s="239"/>
      <c r="Q105" s="239"/>
      <c r="R105" s="239"/>
      <c r="S105" s="239"/>
      <c r="T105" s="239"/>
      <c r="U105" s="239"/>
    </row>
    <row r="106" spans="1:21" s="240" customFormat="1" ht="25.5" x14ac:dyDescent="0.25">
      <c r="A106" s="225" t="s">
        <v>1294</v>
      </c>
      <c r="B106" s="226" t="s">
        <v>1107</v>
      </c>
      <c r="C106" s="227"/>
      <c r="D106" s="227"/>
      <c r="E106" s="227"/>
      <c r="F106" s="227"/>
      <c r="G106" s="227"/>
      <c r="H106" s="227"/>
      <c r="I106" s="227"/>
      <c r="J106" s="227"/>
      <c r="K106" s="227"/>
      <c r="L106" s="227"/>
      <c r="M106" s="227"/>
      <c r="N106" s="227"/>
      <c r="O106" s="228"/>
      <c r="P106" s="229"/>
      <c r="Q106" s="229"/>
      <c r="R106" s="229"/>
      <c r="S106" s="229"/>
      <c r="T106" s="230"/>
    </row>
    <row r="107" spans="1:21" s="240" customFormat="1" x14ac:dyDescent="0.25">
      <c r="A107" s="201"/>
      <c r="B107" s="281" t="s">
        <v>82</v>
      </c>
      <c r="C107" s="204"/>
      <c r="D107" s="204"/>
      <c r="E107" s="204"/>
      <c r="F107" s="204"/>
      <c r="G107" s="204"/>
      <c r="H107" s="204"/>
      <c r="I107" s="204"/>
      <c r="J107" s="204"/>
      <c r="K107" s="204"/>
      <c r="L107" s="204"/>
      <c r="M107" s="204"/>
      <c r="N107" s="204"/>
      <c r="O107" s="205"/>
      <c r="P107" s="206"/>
      <c r="Q107" s="206"/>
      <c r="R107" s="206"/>
      <c r="S107" s="206"/>
      <c r="T107" s="207"/>
    </row>
    <row r="108" spans="1:21" s="240" customFormat="1" ht="25.5" x14ac:dyDescent="0.25">
      <c r="A108" s="201"/>
      <c r="B108" s="281" t="s">
        <v>1376</v>
      </c>
      <c r="C108" s="204"/>
      <c r="D108" s="204"/>
      <c r="E108" s="204"/>
      <c r="F108" s="204"/>
      <c r="G108" s="204"/>
      <c r="H108" s="204"/>
      <c r="I108" s="204"/>
      <c r="J108" s="204"/>
      <c r="K108" s="204"/>
      <c r="L108" s="204"/>
      <c r="M108" s="204"/>
      <c r="N108" s="204"/>
      <c r="O108" s="205"/>
      <c r="P108" s="206"/>
      <c r="Q108" s="206"/>
      <c r="R108" s="206"/>
      <c r="S108" s="206"/>
      <c r="T108" s="207"/>
    </row>
    <row r="109" spans="1:21" s="240" customFormat="1" x14ac:dyDescent="0.25">
      <c r="A109" s="201"/>
      <c r="B109" s="281" t="s">
        <v>1109</v>
      </c>
      <c r="C109" s="204"/>
      <c r="D109" s="204"/>
      <c r="E109" s="204"/>
      <c r="F109" s="204"/>
      <c r="G109" s="204"/>
      <c r="H109" s="204"/>
      <c r="I109" s="204"/>
      <c r="J109" s="204"/>
      <c r="K109" s="204"/>
      <c r="L109" s="204"/>
      <c r="M109" s="204"/>
      <c r="N109" s="204"/>
      <c r="O109" s="205"/>
      <c r="P109" s="206"/>
      <c r="Q109" s="206"/>
      <c r="R109" s="206"/>
      <c r="S109" s="206"/>
      <c r="T109" s="207"/>
    </row>
    <row r="110" spans="1:21" s="240" customFormat="1" ht="15.75" thickBot="1" x14ac:dyDescent="0.3">
      <c r="A110" s="201"/>
      <c r="B110" s="281" t="s">
        <v>84</v>
      </c>
      <c r="C110" s="204"/>
      <c r="D110" s="204"/>
      <c r="E110" s="204"/>
      <c r="F110" s="204"/>
      <c r="G110" s="204"/>
      <c r="H110" s="204"/>
      <c r="I110" s="204"/>
      <c r="J110" s="204"/>
      <c r="K110" s="204"/>
      <c r="L110" s="204"/>
      <c r="M110" s="204"/>
      <c r="N110" s="204"/>
      <c r="O110" s="205"/>
      <c r="P110" s="206"/>
      <c r="Q110" s="206"/>
      <c r="R110" s="206"/>
      <c r="S110" s="206"/>
      <c r="T110" s="207"/>
    </row>
    <row r="111" spans="1:21" s="240" customFormat="1" ht="14.25" customHeight="1" thickBot="1" x14ac:dyDescent="0.3">
      <c r="A111" s="225" t="s">
        <v>1295</v>
      </c>
      <c r="B111" s="232" t="s">
        <v>1090</v>
      </c>
      <c r="C111" s="233" t="s">
        <v>1347</v>
      </c>
      <c r="D111" s="234">
        <v>0</v>
      </c>
      <c r="E111" s="234">
        <v>0</v>
      </c>
      <c r="F111" s="235">
        <v>0</v>
      </c>
      <c r="G111" s="235">
        <v>0</v>
      </c>
      <c r="H111" s="235">
        <v>0</v>
      </c>
      <c r="I111" s="235">
        <v>0</v>
      </c>
      <c r="J111" s="235">
        <v>0</v>
      </c>
      <c r="K111" s="235">
        <v>0</v>
      </c>
      <c r="L111" s="235">
        <f>L$4*2.9</f>
        <v>2.9</v>
      </c>
      <c r="M111" s="235">
        <f t="shared" ref="M111:N111" si="25">M$4*0</f>
        <v>0</v>
      </c>
      <c r="N111" s="236">
        <f t="shared" si="25"/>
        <v>0</v>
      </c>
      <c r="O111" s="237">
        <f>SUM(D111:N111)</f>
        <v>2.9</v>
      </c>
      <c r="P111" s="206">
        <v>0</v>
      </c>
      <c r="Q111" s="206">
        <v>0</v>
      </c>
      <c r="R111" s="206">
        <f>P111+Q111</f>
        <v>0</v>
      </c>
      <c r="S111" s="206"/>
      <c r="T111" s="238">
        <f>R111*O111</f>
        <v>0</v>
      </c>
      <c r="U111" s="239"/>
    </row>
    <row r="112" spans="1:21" s="240" customFormat="1" ht="77.25" thickBot="1" x14ac:dyDescent="0.3">
      <c r="A112" s="225" t="s">
        <v>1296</v>
      </c>
      <c r="B112" s="232" t="s">
        <v>1091</v>
      </c>
      <c r="C112" s="233" t="s">
        <v>1347</v>
      </c>
      <c r="D112" s="234">
        <f t="shared" ref="D112:N112" si="26">D111*0.1</f>
        <v>0</v>
      </c>
      <c r="E112" s="234">
        <f t="shared" si="26"/>
        <v>0</v>
      </c>
      <c r="F112" s="235">
        <f t="shared" si="26"/>
        <v>0</v>
      </c>
      <c r="G112" s="235">
        <f t="shared" si="26"/>
        <v>0</v>
      </c>
      <c r="H112" s="235">
        <f t="shared" si="26"/>
        <v>0</v>
      </c>
      <c r="I112" s="235">
        <f t="shared" si="26"/>
        <v>0</v>
      </c>
      <c r="J112" s="235">
        <f t="shared" si="26"/>
        <v>0</v>
      </c>
      <c r="K112" s="235">
        <f t="shared" si="26"/>
        <v>0</v>
      </c>
      <c r="L112" s="235">
        <f t="shared" si="26"/>
        <v>0.28999999999999998</v>
      </c>
      <c r="M112" s="235">
        <f t="shared" si="26"/>
        <v>0</v>
      </c>
      <c r="N112" s="236">
        <f t="shared" si="26"/>
        <v>0</v>
      </c>
      <c r="O112" s="237">
        <f>SUM(D112:N112)</f>
        <v>0.28999999999999998</v>
      </c>
      <c r="P112" s="206">
        <v>0</v>
      </c>
      <c r="Q112" s="206">
        <v>0</v>
      </c>
      <c r="R112" s="206">
        <f>P112+Q112</f>
        <v>0</v>
      </c>
      <c r="S112" s="206"/>
      <c r="T112" s="238">
        <f>R112*O112</f>
        <v>0</v>
      </c>
      <c r="U112" s="239"/>
    </row>
    <row r="113" spans="1:21" s="240" customFormat="1" ht="15.75" thickBot="1" x14ac:dyDescent="0.3">
      <c r="A113" s="225" t="s">
        <v>1297</v>
      </c>
      <c r="B113" s="232" t="s">
        <v>79</v>
      </c>
      <c r="C113" s="233" t="s">
        <v>1347</v>
      </c>
      <c r="D113" s="234">
        <f t="shared" ref="D113:N113" si="27">D111*0.02</f>
        <v>0</v>
      </c>
      <c r="E113" s="234">
        <f t="shared" si="27"/>
        <v>0</v>
      </c>
      <c r="F113" s="235">
        <f t="shared" si="27"/>
        <v>0</v>
      </c>
      <c r="G113" s="235">
        <f t="shared" si="27"/>
        <v>0</v>
      </c>
      <c r="H113" s="235">
        <f t="shared" si="27"/>
        <v>0</v>
      </c>
      <c r="I113" s="235">
        <f t="shared" si="27"/>
        <v>0</v>
      </c>
      <c r="J113" s="235">
        <f t="shared" si="27"/>
        <v>0</v>
      </c>
      <c r="K113" s="235">
        <f t="shared" si="27"/>
        <v>0</v>
      </c>
      <c r="L113" s="235">
        <f t="shared" si="27"/>
        <v>5.7999999999999996E-2</v>
      </c>
      <c r="M113" s="235">
        <f t="shared" si="27"/>
        <v>0</v>
      </c>
      <c r="N113" s="236">
        <f t="shared" si="27"/>
        <v>0</v>
      </c>
      <c r="O113" s="237">
        <f>SUM(D113:N113)</f>
        <v>5.7999999999999996E-2</v>
      </c>
      <c r="P113" s="206">
        <v>0</v>
      </c>
      <c r="Q113" s="206">
        <v>0</v>
      </c>
      <c r="R113" s="206">
        <f>P113+Q113</f>
        <v>0</v>
      </c>
      <c r="S113" s="206"/>
      <c r="T113" s="238">
        <f>R113*O113</f>
        <v>0</v>
      </c>
      <c r="U113" s="239"/>
    </row>
    <row r="114" spans="1:21" s="42" customFormat="1" x14ac:dyDescent="0.25">
      <c r="A114" s="157"/>
      <c r="B114" s="44"/>
      <c r="C114" s="44"/>
      <c r="D114" s="44"/>
      <c r="E114" s="44"/>
      <c r="F114" s="44"/>
      <c r="G114" s="44"/>
      <c r="H114" s="44"/>
      <c r="I114" s="44"/>
      <c r="J114" s="44"/>
      <c r="K114" s="44"/>
      <c r="L114" s="44"/>
      <c r="M114" s="44"/>
      <c r="N114" s="44"/>
      <c r="O114" s="118"/>
      <c r="P114" s="44"/>
      <c r="Q114" s="44"/>
      <c r="R114" s="44"/>
      <c r="S114" s="44"/>
      <c r="T114" s="44"/>
      <c r="U114" s="47"/>
    </row>
    <row r="115" spans="1:21" s="42" customFormat="1" ht="14.25" customHeight="1" x14ac:dyDescent="0.25">
      <c r="A115" s="166" t="s">
        <v>1125</v>
      </c>
      <c r="B115" s="147" t="s">
        <v>1176</v>
      </c>
      <c r="C115" s="28"/>
      <c r="D115" s="28"/>
      <c r="E115" s="28"/>
      <c r="F115" s="28"/>
      <c r="G115" s="28"/>
      <c r="H115" s="28"/>
      <c r="I115" s="28"/>
      <c r="J115" s="28"/>
      <c r="K115" s="28"/>
      <c r="L115" s="28"/>
      <c r="M115" s="28"/>
      <c r="N115" s="28"/>
      <c r="O115" s="60"/>
      <c r="P115" s="29"/>
      <c r="Q115" s="29"/>
      <c r="R115" s="29"/>
      <c r="S115" s="29"/>
      <c r="T115" s="23"/>
      <c r="U115" s="152"/>
    </row>
    <row r="116" spans="1:21" s="42" customFormat="1" x14ac:dyDescent="0.25">
      <c r="A116" s="167"/>
      <c r="B116" s="141" t="s">
        <v>1097</v>
      </c>
      <c r="C116" s="31"/>
      <c r="D116" s="31"/>
      <c r="E116" s="31"/>
      <c r="F116" s="31"/>
      <c r="G116" s="31"/>
      <c r="H116" s="31"/>
      <c r="I116" s="31"/>
      <c r="J116" s="31"/>
      <c r="K116" s="31"/>
      <c r="L116" s="31"/>
      <c r="M116" s="31"/>
      <c r="N116" s="31"/>
      <c r="O116" s="58"/>
      <c r="P116" s="26"/>
      <c r="Q116" s="26"/>
      <c r="R116" s="26"/>
      <c r="S116" s="26"/>
      <c r="T116" s="38"/>
      <c r="U116" s="152"/>
    </row>
    <row r="117" spans="1:21" s="42" customFormat="1" ht="26.25" thickBot="1" x14ac:dyDescent="0.3">
      <c r="A117" s="167"/>
      <c r="B117" s="141" t="s">
        <v>1177</v>
      </c>
      <c r="C117" s="31"/>
      <c r="D117" s="31"/>
      <c r="E117" s="31"/>
      <c r="F117" s="31"/>
      <c r="G117" s="31"/>
      <c r="H117" s="31"/>
      <c r="I117" s="31"/>
      <c r="J117" s="31"/>
      <c r="K117" s="31"/>
      <c r="L117" s="31"/>
      <c r="M117" s="31"/>
      <c r="N117" s="31"/>
      <c r="O117" s="58"/>
      <c r="P117" s="26"/>
      <c r="Q117" s="26"/>
      <c r="R117" s="26"/>
      <c r="S117" s="26"/>
      <c r="T117" s="38"/>
      <c r="U117" s="152"/>
    </row>
    <row r="118" spans="1:21" s="42" customFormat="1" ht="15.75" thickBot="1" x14ac:dyDescent="0.3">
      <c r="A118" s="166"/>
      <c r="B118" s="148" t="s">
        <v>46</v>
      </c>
      <c r="C118" s="135" t="s">
        <v>40</v>
      </c>
      <c r="D118" s="55">
        <f>D$4*3.8</f>
        <v>3.8</v>
      </c>
      <c r="E118" s="55">
        <f>E$4*3.8</f>
        <v>3.8</v>
      </c>
      <c r="F118" s="36">
        <f>F$4*3.7</f>
        <v>3.7</v>
      </c>
      <c r="G118" s="36">
        <f>G$4*3.7</f>
        <v>3.7</v>
      </c>
      <c r="H118" s="36">
        <f>H$4*2</f>
        <v>8</v>
      </c>
      <c r="I118" s="36">
        <f>I$4*2.7</f>
        <v>2.7</v>
      </c>
      <c r="J118" s="36">
        <f>J$4*2.7</f>
        <v>2.7</v>
      </c>
      <c r="K118" s="36">
        <f>K$4*14.3</f>
        <v>28.6</v>
      </c>
      <c r="L118" s="36">
        <f>L$4*8.1</f>
        <v>8.1</v>
      </c>
      <c r="M118" s="36">
        <f t="shared" ref="M118:N118" si="28">M$4*0</f>
        <v>0</v>
      </c>
      <c r="N118" s="56">
        <f t="shared" si="28"/>
        <v>0</v>
      </c>
      <c r="O118" s="62">
        <f>SUM(D118:N118)</f>
        <v>65.099999999999994</v>
      </c>
      <c r="P118" s="26">
        <v>0</v>
      </c>
      <c r="Q118" s="26">
        <v>0</v>
      </c>
      <c r="R118" s="26">
        <f>P118+Q118</f>
        <v>0</v>
      </c>
      <c r="S118" s="26"/>
      <c r="T118" s="22">
        <f>R118*O118</f>
        <v>0</v>
      </c>
      <c r="U118" s="47"/>
    </row>
    <row r="119" spans="1:21" s="42" customFormat="1" x14ac:dyDescent="0.25">
      <c r="A119" s="157"/>
      <c r="B119" s="44"/>
      <c r="C119" s="44"/>
      <c r="D119" s="44"/>
      <c r="E119" s="44"/>
      <c r="F119" s="44"/>
      <c r="G119" s="44"/>
      <c r="H119" s="44"/>
      <c r="I119" s="44"/>
      <c r="J119" s="44"/>
      <c r="K119" s="44"/>
      <c r="L119" s="44"/>
      <c r="M119" s="44"/>
      <c r="N119" s="44"/>
      <c r="O119" s="118"/>
      <c r="P119" s="44"/>
      <c r="Q119" s="44"/>
      <c r="R119" s="44"/>
      <c r="S119" s="44"/>
      <c r="T119" s="44"/>
      <c r="U119" s="47"/>
    </row>
    <row r="120" spans="1:21" s="42" customFormat="1" x14ac:dyDescent="0.25">
      <c r="A120" s="166" t="s">
        <v>1175</v>
      </c>
      <c r="B120" s="27" t="s">
        <v>1122</v>
      </c>
      <c r="C120" s="28"/>
      <c r="D120" s="28"/>
      <c r="E120" s="28"/>
      <c r="F120" s="28"/>
      <c r="G120" s="28"/>
      <c r="H120" s="28"/>
      <c r="I120" s="28"/>
      <c r="J120" s="28"/>
      <c r="K120" s="28"/>
      <c r="L120" s="28"/>
      <c r="M120" s="28"/>
      <c r="N120" s="28"/>
      <c r="O120" s="60"/>
      <c r="P120" s="29"/>
      <c r="Q120" s="29"/>
      <c r="R120" s="29"/>
      <c r="S120" s="29"/>
      <c r="T120" s="23"/>
      <c r="U120" s="152"/>
    </row>
    <row r="121" spans="1:21" s="42" customFormat="1" ht="38.25" x14ac:dyDescent="0.25">
      <c r="A121" s="167"/>
      <c r="B121" s="30" t="s">
        <v>1123</v>
      </c>
      <c r="C121" s="31"/>
      <c r="D121" s="31"/>
      <c r="E121" s="31"/>
      <c r="F121" s="31"/>
      <c r="G121" s="31"/>
      <c r="H121" s="31"/>
      <c r="I121" s="31"/>
      <c r="J121" s="31"/>
      <c r="K121" s="31"/>
      <c r="L121" s="31"/>
      <c r="M121" s="31"/>
      <c r="N121" s="31"/>
      <c r="O121" s="58"/>
      <c r="P121" s="26"/>
      <c r="Q121" s="26"/>
      <c r="R121" s="26"/>
      <c r="S121" s="26"/>
      <c r="T121" s="38"/>
      <c r="U121" s="152"/>
    </row>
    <row r="122" spans="1:21" s="42" customFormat="1" x14ac:dyDescent="0.25">
      <c r="A122" s="167"/>
      <c r="B122" s="30" t="s">
        <v>91</v>
      </c>
      <c r="C122" s="31"/>
      <c r="D122" s="31"/>
      <c r="E122" s="31"/>
      <c r="F122" s="31"/>
      <c r="G122" s="31"/>
      <c r="H122" s="31"/>
      <c r="I122" s="31"/>
      <c r="J122" s="31"/>
      <c r="K122" s="31"/>
      <c r="L122" s="31"/>
      <c r="M122" s="31"/>
      <c r="N122" s="31"/>
      <c r="O122" s="58"/>
      <c r="P122" s="26"/>
      <c r="Q122" s="26"/>
      <c r="R122" s="26"/>
      <c r="S122" s="26"/>
      <c r="T122" s="38"/>
      <c r="U122" s="152"/>
    </row>
    <row r="123" spans="1:21" s="42" customFormat="1" ht="15.75" thickBot="1" x14ac:dyDescent="0.3">
      <c r="A123" s="167"/>
      <c r="B123" s="30" t="s">
        <v>1124</v>
      </c>
      <c r="C123" s="31"/>
      <c r="D123" s="31"/>
      <c r="E123" s="31"/>
      <c r="F123" s="31"/>
      <c r="G123" s="31"/>
      <c r="H123" s="31"/>
      <c r="I123" s="31"/>
      <c r="J123" s="31"/>
      <c r="K123" s="31"/>
      <c r="L123" s="31"/>
      <c r="M123" s="31"/>
      <c r="N123" s="31"/>
      <c r="O123" s="58"/>
      <c r="P123" s="26"/>
      <c r="Q123" s="26"/>
      <c r="R123" s="26"/>
      <c r="S123" s="26"/>
      <c r="T123" s="38"/>
      <c r="U123" s="152"/>
    </row>
    <row r="124" spans="1:21" s="156" customFormat="1" ht="15.75" thickBot="1" x14ac:dyDescent="0.3">
      <c r="A124" s="168"/>
      <c r="B124" s="137" t="s">
        <v>94</v>
      </c>
      <c r="C124" s="135" t="s">
        <v>56</v>
      </c>
      <c r="D124" s="55">
        <v>0</v>
      </c>
      <c r="E124" s="55">
        <f>E$4*3</f>
        <v>3</v>
      </c>
      <c r="F124" s="36">
        <f>F$4*0</f>
        <v>0</v>
      </c>
      <c r="G124" s="36">
        <f>G$4*3</f>
        <v>3</v>
      </c>
      <c r="H124" s="36">
        <f>H$4*3</f>
        <v>12</v>
      </c>
      <c r="I124" s="36">
        <f>I$4*0</f>
        <v>0</v>
      </c>
      <c r="J124" s="36">
        <f>J$4*4</f>
        <v>4</v>
      </c>
      <c r="K124" s="36">
        <f>K$4*3</f>
        <v>6</v>
      </c>
      <c r="L124" s="36">
        <f>L$4*28</f>
        <v>28</v>
      </c>
      <c r="M124" s="36">
        <f t="shared" ref="M124:N124" si="29">M$4*0</f>
        <v>0</v>
      </c>
      <c r="N124" s="56">
        <f t="shared" si="29"/>
        <v>0</v>
      </c>
      <c r="O124" s="62">
        <f>SUM(D124:N124)</f>
        <v>56</v>
      </c>
      <c r="P124" s="55">
        <v>0</v>
      </c>
      <c r="Q124" s="36">
        <v>0</v>
      </c>
      <c r="R124" s="36">
        <f>P124+Q124</f>
        <v>0</v>
      </c>
      <c r="S124" s="36"/>
      <c r="T124" s="51">
        <f>R124*O124</f>
        <v>0</v>
      </c>
      <c r="U124" s="155"/>
    </row>
    <row r="125" spans="1:21" s="42" customFormat="1" x14ac:dyDescent="0.25">
      <c r="A125" s="157"/>
      <c r="B125" s="44"/>
      <c r="C125" s="44"/>
      <c r="D125" s="44"/>
      <c r="E125" s="44"/>
      <c r="F125" s="44"/>
      <c r="G125" s="44"/>
      <c r="H125" s="44"/>
      <c r="I125" s="44"/>
      <c r="J125" s="44"/>
      <c r="K125" s="44"/>
      <c r="L125" s="44"/>
      <c r="M125" s="44"/>
      <c r="N125" s="44"/>
      <c r="O125" s="118"/>
      <c r="P125" s="44"/>
      <c r="Q125" s="44"/>
      <c r="R125" s="44"/>
      <c r="S125" s="44"/>
      <c r="T125" s="44"/>
      <c r="U125" s="47"/>
    </row>
    <row r="126" spans="1:21" s="42" customFormat="1" ht="18" customHeight="1" x14ac:dyDescent="0.25">
      <c r="A126" s="166" t="s">
        <v>1201</v>
      </c>
      <c r="B126" s="147" t="s">
        <v>1194</v>
      </c>
      <c r="C126" s="28"/>
      <c r="D126" s="28"/>
      <c r="E126" s="28"/>
      <c r="F126" s="28"/>
      <c r="G126" s="28"/>
      <c r="H126" s="28"/>
      <c r="I126" s="28"/>
      <c r="J126" s="28"/>
      <c r="K126" s="28"/>
      <c r="L126" s="28"/>
      <c r="M126" s="28"/>
      <c r="N126" s="28"/>
      <c r="O126" s="60"/>
      <c r="P126" s="29"/>
      <c r="Q126" s="29"/>
      <c r="R126" s="29"/>
      <c r="S126" s="29"/>
      <c r="T126" s="23"/>
      <c r="U126" s="152"/>
    </row>
    <row r="127" spans="1:21" s="42" customFormat="1" x14ac:dyDescent="0.25">
      <c r="A127" s="167"/>
      <c r="B127" s="141" t="s">
        <v>1195</v>
      </c>
      <c r="C127" s="31"/>
      <c r="D127" s="31"/>
      <c r="E127" s="31"/>
      <c r="F127" s="31"/>
      <c r="G127" s="31"/>
      <c r="H127" s="31"/>
      <c r="I127" s="31"/>
      <c r="J127" s="31"/>
      <c r="K127" s="31"/>
      <c r="L127" s="31"/>
      <c r="M127" s="31"/>
      <c r="N127" s="31"/>
      <c r="O127" s="58"/>
      <c r="P127" s="26"/>
      <c r="Q127" s="26"/>
      <c r="R127" s="26"/>
      <c r="S127" s="26"/>
      <c r="T127" s="38"/>
      <c r="U127" s="152"/>
    </row>
    <row r="128" spans="1:21" s="42" customFormat="1" ht="25.5" x14ac:dyDescent="0.25">
      <c r="A128" s="167"/>
      <c r="B128" s="141" t="s">
        <v>1197</v>
      </c>
      <c r="C128" s="31"/>
      <c r="D128" s="31"/>
      <c r="E128" s="31"/>
      <c r="F128" s="31"/>
      <c r="G128" s="31"/>
      <c r="H128" s="31"/>
      <c r="I128" s="31"/>
      <c r="J128" s="31"/>
      <c r="K128" s="31"/>
      <c r="L128" s="31"/>
      <c r="M128" s="31"/>
      <c r="N128" s="31"/>
      <c r="O128" s="58"/>
      <c r="P128" s="26"/>
      <c r="Q128" s="26"/>
      <c r="R128" s="26"/>
      <c r="S128" s="26"/>
      <c r="T128" s="38"/>
      <c r="U128" s="152"/>
    </row>
    <row r="129" spans="1:21" s="42" customFormat="1" x14ac:dyDescent="0.25">
      <c r="A129" s="167"/>
      <c r="B129" s="141" t="s">
        <v>1196</v>
      </c>
      <c r="C129" s="31"/>
      <c r="D129" s="31"/>
      <c r="E129" s="31"/>
      <c r="F129" s="31"/>
      <c r="G129" s="31"/>
      <c r="H129" s="31"/>
      <c r="I129" s="31"/>
      <c r="J129" s="31"/>
      <c r="K129" s="31"/>
      <c r="L129" s="31"/>
      <c r="M129" s="31"/>
      <c r="N129" s="31"/>
      <c r="O129" s="58"/>
      <c r="P129" s="26"/>
      <c r="Q129" s="26"/>
      <c r="R129" s="26"/>
      <c r="S129" s="26"/>
      <c r="T129" s="38"/>
      <c r="U129" s="152"/>
    </row>
    <row r="130" spans="1:21" s="42" customFormat="1" ht="15.75" thickBot="1" x14ac:dyDescent="0.3">
      <c r="A130" s="167"/>
      <c r="B130" s="141" t="s">
        <v>84</v>
      </c>
      <c r="C130" s="31"/>
      <c r="D130" s="31"/>
      <c r="E130" s="31"/>
      <c r="F130" s="31"/>
      <c r="G130" s="31"/>
      <c r="H130" s="31"/>
      <c r="I130" s="31"/>
      <c r="J130" s="31"/>
      <c r="K130" s="31"/>
      <c r="L130" s="31"/>
      <c r="M130" s="31"/>
      <c r="N130" s="31"/>
      <c r="O130" s="58"/>
      <c r="P130" s="26"/>
      <c r="Q130" s="26"/>
      <c r="R130" s="26"/>
      <c r="S130" s="26"/>
      <c r="T130" s="38"/>
      <c r="U130" s="152"/>
    </row>
    <row r="131" spans="1:21" s="286" customFormat="1" ht="26.25" thickBot="1" x14ac:dyDescent="0.3">
      <c r="A131" s="187" t="s">
        <v>1203</v>
      </c>
      <c r="B131" s="188" t="s">
        <v>1090</v>
      </c>
      <c r="C131" s="189" t="s">
        <v>1330</v>
      </c>
      <c r="D131" s="190">
        <f>D$4*32</f>
        <v>32</v>
      </c>
      <c r="E131" s="190">
        <f t="shared" ref="E131:N131" si="30">E$4*0</f>
        <v>0</v>
      </c>
      <c r="F131" s="191">
        <f>F$4*34</f>
        <v>34</v>
      </c>
      <c r="G131" s="191">
        <f t="shared" si="30"/>
        <v>0</v>
      </c>
      <c r="H131" s="191">
        <f t="shared" si="30"/>
        <v>0</v>
      </c>
      <c r="I131" s="191">
        <f>I$4*38.4</f>
        <v>38.4</v>
      </c>
      <c r="J131" s="191">
        <f>J$4*0</f>
        <v>0</v>
      </c>
      <c r="K131" s="191">
        <f t="shared" si="30"/>
        <v>0</v>
      </c>
      <c r="L131" s="191">
        <f t="shared" si="30"/>
        <v>0</v>
      </c>
      <c r="M131" s="191">
        <f t="shared" si="30"/>
        <v>0</v>
      </c>
      <c r="N131" s="192">
        <f t="shared" si="30"/>
        <v>0</v>
      </c>
      <c r="O131" s="193">
        <f>SUM(D131:N131)</f>
        <v>104.4</v>
      </c>
      <c r="P131" s="194">
        <v>0</v>
      </c>
      <c r="Q131" s="194">
        <v>0</v>
      </c>
      <c r="R131" s="194">
        <f>P131+Q131</f>
        <v>0</v>
      </c>
      <c r="S131" s="194"/>
      <c r="T131" s="195">
        <f>R131*O131</f>
        <v>0</v>
      </c>
      <c r="U131" s="285"/>
    </row>
    <row r="132" spans="1:21" s="286" customFormat="1" ht="77.25" thickBot="1" x14ac:dyDescent="0.3">
      <c r="A132" s="187" t="s">
        <v>1202</v>
      </c>
      <c r="B132" s="188" t="s">
        <v>1091</v>
      </c>
      <c r="C132" s="189" t="s">
        <v>1330</v>
      </c>
      <c r="D132" s="190">
        <f t="shared" ref="D132:N132" si="31">D131*0.1</f>
        <v>3.2</v>
      </c>
      <c r="E132" s="190">
        <f t="shared" si="31"/>
        <v>0</v>
      </c>
      <c r="F132" s="191">
        <f t="shared" si="31"/>
        <v>3.4000000000000004</v>
      </c>
      <c r="G132" s="191">
        <f t="shared" si="31"/>
        <v>0</v>
      </c>
      <c r="H132" s="191">
        <f t="shared" si="31"/>
        <v>0</v>
      </c>
      <c r="I132" s="191">
        <f t="shared" si="31"/>
        <v>3.84</v>
      </c>
      <c r="J132" s="191">
        <f t="shared" si="31"/>
        <v>0</v>
      </c>
      <c r="K132" s="191">
        <f t="shared" si="31"/>
        <v>0</v>
      </c>
      <c r="L132" s="191">
        <f t="shared" si="31"/>
        <v>0</v>
      </c>
      <c r="M132" s="191">
        <f t="shared" si="31"/>
        <v>0</v>
      </c>
      <c r="N132" s="192">
        <f t="shared" si="31"/>
        <v>0</v>
      </c>
      <c r="O132" s="193">
        <f>SUM(D132:N132)</f>
        <v>10.440000000000001</v>
      </c>
      <c r="P132" s="194">
        <v>0</v>
      </c>
      <c r="Q132" s="194">
        <v>0</v>
      </c>
      <c r="R132" s="194">
        <f>P132+Q132</f>
        <v>0</v>
      </c>
      <c r="S132" s="194"/>
      <c r="T132" s="195">
        <f>R132*O132</f>
        <v>0</v>
      </c>
      <c r="U132" s="285"/>
    </row>
    <row r="133" spans="1:21" s="286" customFormat="1" ht="15.75" thickBot="1" x14ac:dyDescent="0.3">
      <c r="A133" s="187" t="s">
        <v>1204</v>
      </c>
      <c r="B133" s="188" t="s">
        <v>79</v>
      </c>
      <c r="C133" s="189" t="s">
        <v>1330</v>
      </c>
      <c r="D133" s="190">
        <f t="shared" ref="D133:N133" si="32">D131*0.02</f>
        <v>0.64</v>
      </c>
      <c r="E133" s="190">
        <f t="shared" si="32"/>
        <v>0</v>
      </c>
      <c r="F133" s="191">
        <f t="shared" si="32"/>
        <v>0.68</v>
      </c>
      <c r="G133" s="191">
        <f t="shared" si="32"/>
        <v>0</v>
      </c>
      <c r="H133" s="191">
        <f t="shared" si="32"/>
        <v>0</v>
      </c>
      <c r="I133" s="191">
        <f t="shared" si="32"/>
        <v>0.76800000000000002</v>
      </c>
      <c r="J133" s="191">
        <f t="shared" si="32"/>
        <v>0</v>
      </c>
      <c r="K133" s="191">
        <f t="shared" si="32"/>
        <v>0</v>
      </c>
      <c r="L133" s="191">
        <f t="shared" si="32"/>
        <v>0</v>
      </c>
      <c r="M133" s="191">
        <f t="shared" si="32"/>
        <v>0</v>
      </c>
      <c r="N133" s="192">
        <f t="shared" si="32"/>
        <v>0</v>
      </c>
      <c r="O133" s="193">
        <f>SUM(D133:N133)</f>
        <v>2.0880000000000001</v>
      </c>
      <c r="P133" s="194">
        <v>0</v>
      </c>
      <c r="Q133" s="194">
        <v>0</v>
      </c>
      <c r="R133" s="194">
        <f>P133+Q133</f>
        <v>0</v>
      </c>
      <c r="S133" s="194"/>
      <c r="T133" s="195">
        <f>R133*O133</f>
        <v>0</v>
      </c>
      <c r="U133" s="285"/>
    </row>
    <row r="134" spans="1:21" s="42" customFormat="1" x14ac:dyDescent="0.25">
      <c r="A134" s="157"/>
      <c r="B134" s="44"/>
      <c r="C134" s="44"/>
      <c r="D134" s="44"/>
      <c r="E134" s="44"/>
      <c r="F134" s="44"/>
      <c r="G134" s="44"/>
      <c r="H134" s="44"/>
      <c r="I134" s="44"/>
      <c r="J134" s="44"/>
      <c r="K134" s="44"/>
      <c r="L134" s="44"/>
      <c r="M134" s="44"/>
      <c r="N134" s="44"/>
      <c r="O134" s="118"/>
      <c r="P134" s="44"/>
      <c r="Q134" s="44"/>
      <c r="R134" s="44"/>
      <c r="S134" s="44"/>
      <c r="T134" s="44"/>
      <c r="U134" s="47"/>
    </row>
    <row r="135" spans="1:21" s="42" customFormat="1" ht="17.25" customHeight="1" x14ac:dyDescent="0.25">
      <c r="A135" s="166" t="s">
        <v>1205</v>
      </c>
      <c r="B135" s="147" t="s">
        <v>1207</v>
      </c>
      <c r="C135" s="28"/>
      <c r="D135" s="28"/>
      <c r="E135" s="28"/>
      <c r="F135" s="28"/>
      <c r="G135" s="28"/>
      <c r="H135" s="28"/>
      <c r="I135" s="28"/>
      <c r="J135" s="28"/>
      <c r="K135" s="28"/>
      <c r="L135" s="28"/>
      <c r="M135" s="28"/>
      <c r="N135" s="28"/>
      <c r="O135" s="60"/>
      <c r="P135" s="29"/>
      <c r="Q135" s="29"/>
      <c r="R135" s="29"/>
      <c r="S135" s="29"/>
      <c r="T135" s="23"/>
      <c r="U135" s="152"/>
    </row>
    <row r="136" spans="1:21" s="42" customFormat="1" x14ac:dyDescent="0.25">
      <c r="A136" s="167"/>
      <c r="B136" s="141" t="s">
        <v>1200</v>
      </c>
      <c r="C136" s="31"/>
      <c r="D136" s="31"/>
      <c r="E136" s="31"/>
      <c r="F136" s="31"/>
      <c r="G136" s="31"/>
      <c r="H136" s="31"/>
      <c r="I136" s="31"/>
      <c r="J136" s="31"/>
      <c r="K136" s="31"/>
      <c r="L136" s="31"/>
      <c r="M136" s="31"/>
      <c r="N136" s="31"/>
      <c r="O136" s="58"/>
      <c r="P136" s="26"/>
      <c r="Q136" s="26"/>
      <c r="R136" s="26"/>
      <c r="S136" s="26"/>
      <c r="T136" s="38"/>
      <c r="U136" s="152"/>
    </row>
    <row r="137" spans="1:21" s="42" customFormat="1" ht="26.25" thickBot="1" x14ac:dyDescent="0.3">
      <c r="A137" s="167"/>
      <c r="B137" s="141" t="s">
        <v>1206</v>
      </c>
      <c r="C137" s="31"/>
      <c r="D137" s="31"/>
      <c r="E137" s="31"/>
      <c r="F137" s="31"/>
      <c r="G137" s="31"/>
      <c r="H137" s="31"/>
      <c r="I137" s="31"/>
      <c r="J137" s="31"/>
      <c r="K137" s="31"/>
      <c r="L137" s="31"/>
      <c r="M137" s="31"/>
      <c r="N137" s="31"/>
      <c r="O137" s="58"/>
      <c r="P137" s="26"/>
      <c r="Q137" s="26"/>
      <c r="R137" s="26"/>
      <c r="S137" s="26"/>
      <c r="T137" s="38"/>
      <c r="U137" s="152"/>
    </row>
    <row r="138" spans="1:21" s="200" customFormat="1" ht="15.75" thickBot="1" x14ac:dyDescent="0.3">
      <c r="A138" s="282"/>
      <c r="B138" s="188" t="s">
        <v>46</v>
      </c>
      <c r="C138" s="189" t="s">
        <v>40</v>
      </c>
      <c r="D138" s="190">
        <f>D$4*7.8</f>
        <v>7.8</v>
      </c>
      <c r="E138" s="190">
        <f>E$4*0</f>
        <v>0</v>
      </c>
      <c r="F138" s="191">
        <f>F$4*10.8</f>
        <v>10.8</v>
      </c>
      <c r="G138" s="191">
        <f>G$4*0</f>
        <v>0</v>
      </c>
      <c r="H138" s="191">
        <f>H$4*0</f>
        <v>0</v>
      </c>
      <c r="I138" s="191">
        <f>I$4*8.15</f>
        <v>8.15</v>
      </c>
      <c r="J138" s="191">
        <f t="shared" ref="J138:N138" si="33">J$4*0</f>
        <v>0</v>
      </c>
      <c r="K138" s="191">
        <f>K$4*0</f>
        <v>0</v>
      </c>
      <c r="L138" s="191">
        <f t="shared" si="33"/>
        <v>0</v>
      </c>
      <c r="M138" s="191">
        <f t="shared" si="33"/>
        <v>0</v>
      </c>
      <c r="N138" s="192">
        <f t="shared" si="33"/>
        <v>0</v>
      </c>
      <c r="O138" s="193">
        <f>SUM(D138:N138)</f>
        <v>26.75</v>
      </c>
      <c r="P138" s="194">
        <v>0</v>
      </c>
      <c r="Q138" s="194">
        <v>0</v>
      </c>
      <c r="R138" s="194">
        <f>P138+Q138</f>
        <v>0</v>
      </c>
      <c r="S138" s="194"/>
      <c r="T138" s="195">
        <f>R138*O138</f>
        <v>0</v>
      </c>
      <c r="U138" s="208"/>
    </row>
    <row r="139" spans="1:21" s="32" customFormat="1" ht="12.75" x14ac:dyDescent="0.2">
      <c r="A139" s="159"/>
      <c r="B139" s="31"/>
      <c r="C139" s="25"/>
      <c r="D139" s="25"/>
      <c r="E139" s="25"/>
      <c r="F139" s="25"/>
      <c r="G139" s="25"/>
      <c r="H139" s="25"/>
      <c r="I139" s="25"/>
      <c r="J139" s="25"/>
      <c r="K139" s="25"/>
      <c r="L139" s="25"/>
      <c r="M139" s="25"/>
      <c r="N139" s="25"/>
      <c r="O139" s="58"/>
      <c r="P139" s="26"/>
      <c r="Q139" s="26"/>
      <c r="R139" s="26"/>
      <c r="S139" s="26"/>
      <c r="T139" s="35"/>
      <c r="U139" s="37"/>
    </row>
    <row r="140" spans="1:21" s="32" customFormat="1" ht="25.5" x14ac:dyDescent="0.2">
      <c r="A140" s="166" t="s">
        <v>1245</v>
      </c>
      <c r="B140" s="27" t="s">
        <v>1241</v>
      </c>
      <c r="C140" s="28"/>
      <c r="D140" s="28"/>
      <c r="E140" s="28"/>
      <c r="F140" s="28"/>
      <c r="G140" s="28"/>
      <c r="H140" s="28"/>
      <c r="I140" s="28"/>
      <c r="J140" s="28"/>
      <c r="K140" s="28"/>
      <c r="L140" s="28"/>
      <c r="M140" s="28"/>
      <c r="N140" s="28"/>
      <c r="O140" s="60"/>
      <c r="P140" s="29"/>
      <c r="Q140" s="29"/>
      <c r="R140" s="29"/>
      <c r="S140" s="29"/>
      <c r="T140" s="23"/>
      <c r="U140" s="37"/>
    </row>
    <row r="141" spans="1:21" s="32" customFormat="1" ht="76.5" x14ac:dyDescent="0.2">
      <c r="A141" s="159"/>
      <c r="B141" s="30" t="s">
        <v>1377</v>
      </c>
      <c r="C141" s="25"/>
      <c r="D141" s="25"/>
      <c r="E141" s="25"/>
      <c r="F141" s="25"/>
      <c r="G141" s="25"/>
      <c r="H141" s="25"/>
      <c r="I141" s="25"/>
      <c r="J141" s="25"/>
      <c r="K141" s="25"/>
      <c r="L141" s="25"/>
      <c r="M141" s="25"/>
      <c r="N141" s="25"/>
      <c r="O141" s="58"/>
      <c r="P141" s="26"/>
      <c r="Q141" s="26"/>
      <c r="R141" s="26"/>
      <c r="S141" s="26"/>
      <c r="T141" s="35"/>
      <c r="U141" s="37"/>
    </row>
    <row r="142" spans="1:21" s="32" customFormat="1" ht="26.25" thickBot="1" x14ac:dyDescent="0.25">
      <c r="A142" s="159"/>
      <c r="B142" s="141" t="s">
        <v>1242</v>
      </c>
      <c r="C142" s="25"/>
      <c r="D142" s="25"/>
      <c r="E142" s="25"/>
      <c r="F142" s="25"/>
      <c r="G142" s="25"/>
      <c r="H142" s="25"/>
      <c r="I142" s="25"/>
      <c r="J142" s="25"/>
      <c r="K142" s="25"/>
      <c r="L142" s="25"/>
      <c r="M142" s="25"/>
      <c r="N142" s="25"/>
      <c r="O142" s="58"/>
      <c r="P142" s="26"/>
      <c r="Q142" s="26"/>
      <c r="R142" s="26"/>
      <c r="S142" s="26"/>
      <c r="T142" s="35"/>
      <c r="U142" s="37"/>
    </row>
    <row r="143" spans="1:21" s="288" customFormat="1" thickBot="1" x14ac:dyDescent="0.25">
      <c r="A143" s="187"/>
      <c r="B143" s="188" t="s">
        <v>46</v>
      </c>
      <c r="C143" s="189" t="s">
        <v>40</v>
      </c>
      <c r="D143" s="190">
        <f>D$4*5.4</f>
        <v>5.4</v>
      </c>
      <c r="E143" s="190">
        <f>E$4*5.4</f>
        <v>5.4</v>
      </c>
      <c r="F143" s="191">
        <f>F$4*5.3</f>
        <v>5.3</v>
      </c>
      <c r="G143" s="191">
        <f>G$4*5.3</f>
        <v>5.3</v>
      </c>
      <c r="H143" s="191">
        <f>H$4*5.6</f>
        <v>22.4</v>
      </c>
      <c r="I143" s="191">
        <f>I$4*5.3</f>
        <v>5.3</v>
      </c>
      <c r="J143" s="191">
        <f>J$4*5.3</f>
        <v>5.3</v>
      </c>
      <c r="K143" s="191">
        <f>K$4*7.5</f>
        <v>15</v>
      </c>
      <c r="L143" s="191">
        <f>L$4*15.1</f>
        <v>15.1</v>
      </c>
      <c r="M143" s="191">
        <f t="shared" ref="M143:N143" si="34">M$4*0</f>
        <v>0</v>
      </c>
      <c r="N143" s="192">
        <f t="shared" si="34"/>
        <v>0</v>
      </c>
      <c r="O143" s="193">
        <f>SUM(D143:N143)</f>
        <v>84.499999999999986</v>
      </c>
      <c r="P143" s="194">
        <v>0</v>
      </c>
      <c r="Q143" s="194">
        <v>0</v>
      </c>
      <c r="R143" s="194">
        <f>P143+Q143</f>
        <v>0</v>
      </c>
      <c r="S143" s="194"/>
      <c r="T143" s="195">
        <f>R143*O143</f>
        <v>0</v>
      </c>
      <c r="U143" s="287"/>
    </row>
    <row r="144" spans="1:21" s="32" customFormat="1" ht="14.25" x14ac:dyDescent="0.2">
      <c r="A144" s="169"/>
      <c r="B144" s="30"/>
      <c r="C144" s="25"/>
      <c r="D144" s="25"/>
      <c r="E144" s="25"/>
      <c r="F144" s="25"/>
      <c r="G144" s="25"/>
      <c r="H144" s="25"/>
      <c r="I144" s="25"/>
      <c r="J144" s="25"/>
      <c r="K144" s="25"/>
      <c r="L144" s="25"/>
      <c r="M144" s="25"/>
      <c r="N144" s="25"/>
      <c r="O144" s="58"/>
      <c r="P144" s="26"/>
      <c r="Q144" s="26"/>
      <c r="R144" s="26"/>
      <c r="S144" s="26"/>
      <c r="T144" s="35"/>
      <c r="U144" s="37"/>
    </row>
    <row r="145" spans="1:21" s="32" customFormat="1" ht="25.5" x14ac:dyDescent="0.2">
      <c r="A145" s="166" t="s">
        <v>1246</v>
      </c>
      <c r="B145" s="27" t="s">
        <v>1243</v>
      </c>
      <c r="C145" s="28"/>
      <c r="D145" s="28"/>
      <c r="E145" s="28"/>
      <c r="F145" s="28"/>
      <c r="G145" s="28"/>
      <c r="H145" s="28"/>
      <c r="I145" s="28"/>
      <c r="J145" s="28"/>
      <c r="K145" s="28"/>
      <c r="L145" s="28"/>
      <c r="M145" s="28"/>
      <c r="N145" s="28"/>
      <c r="O145" s="60"/>
      <c r="P145" s="29"/>
      <c r="Q145" s="29"/>
      <c r="R145" s="29"/>
      <c r="S145" s="29"/>
      <c r="T145" s="23"/>
      <c r="U145" s="37"/>
    </row>
    <row r="146" spans="1:21" s="32" customFormat="1" ht="52.5" customHeight="1" x14ac:dyDescent="0.2">
      <c r="A146" s="159"/>
      <c r="B146" s="30" t="s">
        <v>1378</v>
      </c>
      <c r="C146" s="25"/>
      <c r="D146" s="25"/>
      <c r="E146" s="25"/>
      <c r="F146" s="25"/>
      <c r="G146" s="25"/>
      <c r="H146" s="25"/>
      <c r="I146" s="25"/>
      <c r="J146" s="25"/>
      <c r="K146" s="25"/>
      <c r="L146" s="25"/>
      <c r="M146" s="25"/>
      <c r="N146" s="25"/>
      <c r="O146" s="58"/>
      <c r="P146" s="26"/>
      <c r="Q146" s="26"/>
      <c r="R146" s="26"/>
      <c r="S146" s="26"/>
      <c r="T146" s="35"/>
      <c r="U146" s="37"/>
    </row>
    <row r="147" spans="1:21" s="32" customFormat="1" ht="26.25" thickBot="1" x14ac:dyDescent="0.25">
      <c r="A147" s="159"/>
      <c r="B147" s="141" t="s">
        <v>1244</v>
      </c>
      <c r="C147" s="25"/>
      <c r="D147" s="25"/>
      <c r="E147" s="25"/>
      <c r="F147" s="25"/>
      <c r="G147" s="25"/>
      <c r="H147" s="25"/>
      <c r="I147" s="25"/>
      <c r="J147" s="25"/>
      <c r="K147" s="25"/>
      <c r="L147" s="25"/>
      <c r="M147" s="25"/>
      <c r="N147" s="25"/>
      <c r="O147" s="58"/>
      <c r="P147" s="26"/>
      <c r="Q147" s="26"/>
      <c r="R147" s="26"/>
      <c r="S147" s="26"/>
      <c r="T147" s="35"/>
      <c r="U147" s="37"/>
    </row>
    <row r="148" spans="1:21" s="288" customFormat="1" thickBot="1" x14ac:dyDescent="0.25">
      <c r="A148" s="187"/>
      <c r="B148" s="188" t="s">
        <v>46</v>
      </c>
      <c r="C148" s="189" t="s">
        <v>40</v>
      </c>
      <c r="D148" s="190">
        <f>D$4*2.6</f>
        <v>2.6</v>
      </c>
      <c r="E148" s="190">
        <f>E$4*2.6</f>
        <v>2.6</v>
      </c>
      <c r="F148" s="191">
        <f>F$4*1.8</f>
        <v>1.8</v>
      </c>
      <c r="G148" s="191">
        <f>G$4*1.8</f>
        <v>1.8</v>
      </c>
      <c r="H148" s="191">
        <f>H$4*3.1</f>
        <v>12.4</v>
      </c>
      <c r="I148" s="191">
        <f>I$4*1.8</f>
        <v>1.8</v>
      </c>
      <c r="J148" s="191">
        <f>J$4*1.8</f>
        <v>1.8</v>
      </c>
      <c r="K148" s="191">
        <f>K$4*6.6</f>
        <v>13.2</v>
      </c>
      <c r="L148" s="191">
        <f t="shared" ref="L148:N148" si="35">L$4*0</f>
        <v>0</v>
      </c>
      <c r="M148" s="191">
        <f t="shared" si="35"/>
        <v>0</v>
      </c>
      <c r="N148" s="192">
        <f t="shared" si="35"/>
        <v>0</v>
      </c>
      <c r="O148" s="193">
        <f>SUM(D148:N148)</f>
        <v>38</v>
      </c>
      <c r="P148" s="194">
        <v>0</v>
      </c>
      <c r="Q148" s="194">
        <v>0</v>
      </c>
      <c r="R148" s="194">
        <f>P148+Q148</f>
        <v>0</v>
      </c>
      <c r="S148" s="194"/>
      <c r="T148" s="195">
        <f>R148*O148</f>
        <v>0</v>
      </c>
      <c r="U148" s="287"/>
    </row>
    <row r="149" spans="1:21" s="32" customFormat="1" ht="12.75" x14ac:dyDescent="0.2">
      <c r="A149" s="159"/>
      <c r="B149" s="31"/>
      <c r="C149" s="25"/>
      <c r="D149" s="25"/>
      <c r="E149" s="25"/>
      <c r="F149" s="25"/>
      <c r="G149" s="25"/>
      <c r="H149" s="25"/>
      <c r="I149" s="25"/>
      <c r="J149" s="25"/>
      <c r="K149" s="25"/>
      <c r="L149" s="25"/>
      <c r="M149" s="25"/>
      <c r="N149" s="25"/>
      <c r="O149" s="58"/>
      <c r="P149" s="26"/>
      <c r="Q149" s="26"/>
      <c r="R149" s="26"/>
      <c r="S149" s="26"/>
      <c r="T149" s="35"/>
      <c r="U149" s="37"/>
    </row>
    <row r="150" spans="1:21" s="32" customFormat="1" ht="12.75" x14ac:dyDescent="0.2">
      <c r="A150" s="159"/>
      <c r="B150" s="31"/>
      <c r="C150" s="25"/>
      <c r="D150" s="25"/>
      <c r="E150" s="25"/>
      <c r="F150" s="25"/>
      <c r="G150" s="25"/>
      <c r="H150" s="25"/>
      <c r="I150" s="25"/>
      <c r="J150" s="25"/>
      <c r="K150" s="25"/>
      <c r="L150" s="25"/>
      <c r="M150" s="25"/>
      <c r="N150" s="25"/>
      <c r="O150" s="58"/>
      <c r="P150" s="26"/>
      <c r="Q150" s="26"/>
      <c r="R150" s="26"/>
      <c r="S150" s="26"/>
      <c r="T150" s="35"/>
      <c r="U150" s="37"/>
    </row>
    <row r="151" spans="1:21" s="132" customFormat="1" ht="15.75" x14ac:dyDescent="0.25">
      <c r="A151" s="160" t="s">
        <v>52</v>
      </c>
      <c r="B151" s="130" t="s">
        <v>1024</v>
      </c>
      <c r="C151" s="49"/>
      <c r="D151" s="49"/>
      <c r="E151" s="49"/>
      <c r="F151" s="49"/>
      <c r="G151" s="49"/>
      <c r="H151" s="49"/>
      <c r="I151" s="49"/>
      <c r="J151" s="49"/>
      <c r="K151" s="49"/>
      <c r="L151" s="49"/>
      <c r="M151" s="49"/>
      <c r="N151" s="49"/>
      <c r="O151" s="131"/>
      <c r="P151" s="49"/>
      <c r="Q151" s="49"/>
      <c r="R151" s="476" t="s">
        <v>57</v>
      </c>
      <c r="S151" s="476"/>
      <c r="T151" s="50">
        <f>SUM(T12:T149)</f>
        <v>0</v>
      </c>
      <c r="U151" s="151"/>
    </row>
    <row r="153" spans="1:21" s="132" customFormat="1" ht="15.75" x14ac:dyDescent="0.25">
      <c r="A153" s="160" t="s">
        <v>52</v>
      </c>
      <c r="B153" s="130" t="s">
        <v>1318</v>
      </c>
      <c r="C153" s="49"/>
      <c r="D153" s="49"/>
      <c r="E153" s="49"/>
      <c r="F153" s="49"/>
      <c r="G153" s="49"/>
      <c r="H153" s="49"/>
      <c r="I153" s="49"/>
      <c r="J153" s="49"/>
      <c r="K153" s="49"/>
      <c r="L153" s="49"/>
      <c r="M153" s="49"/>
      <c r="N153" s="49"/>
      <c r="O153" s="131"/>
      <c r="P153" s="49"/>
      <c r="Q153" s="49"/>
      <c r="R153" s="476" t="s">
        <v>57</v>
      </c>
      <c r="S153" s="476"/>
      <c r="T153" s="50">
        <f>T151*5</f>
        <v>0</v>
      </c>
      <c r="U153" s="151"/>
    </row>
    <row r="155" spans="1:21" ht="15.75" thickBot="1" x14ac:dyDescent="0.3"/>
    <row r="156" spans="1:21" s="42" customFormat="1" ht="50.1" customHeight="1" thickBot="1" x14ac:dyDescent="0.3">
      <c r="A156" s="119" t="s">
        <v>8</v>
      </c>
      <c r="B156" s="119" t="s">
        <v>7</v>
      </c>
      <c r="C156" s="120" t="s">
        <v>6</v>
      </c>
      <c r="D156" s="487"/>
      <c r="E156" s="487"/>
      <c r="F156" s="487"/>
      <c r="G156" s="487"/>
      <c r="H156" s="487"/>
      <c r="I156" s="487"/>
      <c r="J156" s="487"/>
      <c r="K156" s="121" t="s">
        <v>54</v>
      </c>
      <c r="L156" s="122" t="s">
        <v>5</v>
      </c>
      <c r="M156" s="121" t="s">
        <v>4</v>
      </c>
      <c r="N156" s="121" t="s">
        <v>1004</v>
      </c>
      <c r="O156" s="121"/>
      <c r="P156" s="119" t="s">
        <v>1005</v>
      </c>
      <c r="Q156" s="47"/>
    </row>
    <row r="157" spans="1:21" s="42" customFormat="1" ht="50.1" customHeight="1" thickBot="1" x14ac:dyDescent="0.3">
      <c r="A157" s="123"/>
      <c r="B157" s="123"/>
      <c r="C157" s="124"/>
      <c r="D157" s="477" t="s">
        <v>1283</v>
      </c>
      <c r="E157" s="478"/>
      <c r="F157" s="478"/>
      <c r="G157" s="478"/>
      <c r="H157" s="478"/>
      <c r="I157" s="478"/>
      <c r="J157" s="479"/>
      <c r="K157" s="125"/>
      <c r="L157" s="124"/>
      <c r="M157" s="124"/>
      <c r="N157" s="124"/>
      <c r="O157" s="124"/>
      <c r="P157" s="123"/>
      <c r="Q157" s="47"/>
    </row>
    <row r="158" spans="1:21" s="42" customFormat="1" ht="62.25" customHeight="1" x14ac:dyDescent="0.25">
      <c r="A158" s="123"/>
      <c r="B158" s="123"/>
      <c r="C158" s="124"/>
      <c r="D158" s="173" t="s">
        <v>1284</v>
      </c>
      <c r="E158" s="46" t="s">
        <v>1285</v>
      </c>
      <c r="F158" s="46" t="s">
        <v>1286</v>
      </c>
      <c r="G158" s="46" t="s">
        <v>1287</v>
      </c>
      <c r="H158" s="46" t="s">
        <v>1288</v>
      </c>
      <c r="I158" s="154" t="s">
        <v>1208</v>
      </c>
      <c r="J158" s="126" t="s">
        <v>1003</v>
      </c>
      <c r="K158" s="125"/>
      <c r="L158" s="124"/>
      <c r="M158" s="124"/>
      <c r="N158" s="124"/>
      <c r="O158" s="124"/>
      <c r="P158" s="123"/>
      <c r="Q158" s="47"/>
    </row>
    <row r="160" spans="1:21" s="42" customFormat="1" x14ac:dyDescent="0.25">
      <c r="A160" s="166" t="s">
        <v>1066</v>
      </c>
      <c r="B160" s="147" t="s">
        <v>60</v>
      </c>
      <c r="C160" s="28"/>
      <c r="D160" s="181"/>
      <c r="E160" s="28"/>
      <c r="F160" s="28"/>
      <c r="G160" s="28"/>
      <c r="H160" s="28"/>
      <c r="I160" s="28"/>
      <c r="J160" s="28"/>
      <c r="K160" s="60"/>
      <c r="L160" s="29"/>
      <c r="M160" s="29"/>
      <c r="N160" s="29"/>
      <c r="O160" s="29"/>
      <c r="P160" s="23"/>
      <c r="Q160" s="152"/>
    </row>
    <row r="161" spans="1:22" s="42" customFormat="1" ht="76.5" x14ac:dyDescent="0.25">
      <c r="A161" s="167"/>
      <c r="B161" s="141" t="s">
        <v>1067</v>
      </c>
      <c r="C161" s="31"/>
      <c r="D161" s="182"/>
      <c r="E161" s="31"/>
      <c r="F161" s="31"/>
      <c r="G161" s="31"/>
      <c r="H161" s="31"/>
      <c r="I161" s="31"/>
      <c r="J161" s="31"/>
      <c r="K161" s="58"/>
      <c r="L161" s="26"/>
      <c r="M161" s="26"/>
      <c r="N161" s="26"/>
      <c r="O161" s="26"/>
      <c r="P161" s="38"/>
      <c r="Q161" s="152"/>
    </row>
    <row r="162" spans="1:22" s="42" customFormat="1" ht="51" x14ac:dyDescent="0.25">
      <c r="A162" s="167"/>
      <c r="B162" s="141" t="s">
        <v>61</v>
      </c>
      <c r="C162" s="31"/>
      <c r="D162" s="182"/>
      <c r="E162" s="31"/>
      <c r="F162" s="31"/>
      <c r="G162" s="31"/>
      <c r="H162" s="31"/>
      <c r="I162" s="31"/>
      <c r="J162" s="31"/>
      <c r="K162" s="58"/>
      <c r="L162" s="26"/>
      <c r="M162" s="26"/>
      <c r="N162" s="26"/>
      <c r="O162" s="26"/>
      <c r="P162" s="38"/>
      <c r="Q162" s="152"/>
    </row>
    <row r="163" spans="1:22" s="42" customFormat="1" ht="51" x14ac:dyDescent="0.25">
      <c r="A163" s="167"/>
      <c r="B163" s="141" t="s">
        <v>62</v>
      </c>
      <c r="C163" s="31"/>
      <c r="D163" s="182"/>
      <c r="E163" s="31"/>
      <c r="F163" s="31"/>
      <c r="G163" s="31"/>
      <c r="H163" s="31"/>
      <c r="I163" s="31"/>
      <c r="J163" s="31"/>
      <c r="K163" s="58"/>
      <c r="L163" s="26"/>
      <c r="M163" s="26"/>
      <c r="N163" s="26"/>
      <c r="O163" s="26"/>
      <c r="P163" s="38"/>
      <c r="Q163" s="152"/>
    </row>
    <row r="164" spans="1:22" s="42" customFormat="1" ht="25.5" x14ac:dyDescent="0.25">
      <c r="A164" s="167"/>
      <c r="B164" s="141" t="s">
        <v>63</v>
      </c>
      <c r="C164" s="31"/>
      <c r="D164" s="182"/>
      <c r="E164" s="31"/>
      <c r="F164" s="31"/>
      <c r="G164" s="31"/>
      <c r="H164" s="31"/>
      <c r="I164" s="31"/>
      <c r="J164" s="31"/>
      <c r="K164" s="58"/>
      <c r="L164" s="26"/>
      <c r="M164" s="26"/>
      <c r="N164" s="26"/>
      <c r="O164" s="26"/>
      <c r="P164" s="38"/>
      <c r="Q164" s="152"/>
    </row>
    <row r="165" spans="1:22" s="42" customFormat="1" ht="102" x14ac:dyDescent="0.25">
      <c r="A165" s="167"/>
      <c r="B165" s="141" t="s">
        <v>64</v>
      </c>
      <c r="C165" s="31"/>
      <c r="D165" s="182"/>
      <c r="E165" s="31"/>
      <c r="F165" s="31"/>
      <c r="G165" s="31"/>
      <c r="H165" s="31"/>
      <c r="I165" s="31"/>
      <c r="J165" s="31"/>
      <c r="K165" s="58"/>
      <c r="L165" s="26"/>
      <c r="M165" s="26"/>
      <c r="N165" s="26"/>
      <c r="O165" s="26"/>
      <c r="P165" s="38"/>
      <c r="Q165" s="152"/>
    </row>
    <row r="166" spans="1:22" s="42" customFormat="1" ht="15.75" thickBot="1" x14ac:dyDescent="0.3">
      <c r="A166" s="167"/>
      <c r="B166" s="30" t="s">
        <v>1008</v>
      </c>
      <c r="C166" s="31"/>
      <c r="D166" s="182"/>
      <c r="E166" s="31"/>
      <c r="F166" s="31"/>
      <c r="G166" s="31"/>
      <c r="H166" s="31"/>
      <c r="I166" s="31"/>
      <c r="J166" s="31"/>
      <c r="K166" s="58"/>
      <c r="L166" s="26"/>
      <c r="M166" s="26"/>
      <c r="N166" s="26"/>
      <c r="O166" s="26"/>
      <c r="P166" s="38"/>
      <c r="Q166" s="152"/>
    </row>
    <row r="167" spans="1:22" s="200" customFormat="1" ht="15.75" thickBot="1" x14ac:dyDescent="0.3">
      <c r="A167" s="282" t="s">
        <v>1069</v>
      </c>
      <c r="B167" s="188" t="s">
        <v>1068</v>
      </c>
      <c r="C167" s="189" t="s">
        <v>1330</v>
      </c>
      <c r="D167" s="293">
        <v>18.399999999999999</v>
      </c>
      <c r="E167" s="191">
        <v>18.399999999999999</v>
      </c>
      <c r="F167" s="191">
        <v>88</v>
      </c>
      <c r="G167" s="191">
        <v>10</v>
      </c>
      <c r="H167" s="191">
        <v>21.2</v>
      </c>
      <c r="I167" s="191">
        <v>0</v>
      </c>
      <c r="J167" s="192">
        <v>0</v>
      </c>
      <c r="K167" s="193">
        <f>SUM(D167:J167)</f>
        <v>156</v>
      </c>
      <c r="L167" s="194">
        <v>0</v>
      </c>
      <c r="M167" s="194">
        <v>0</v>
      </c>
      <c r="N167" s="194">
        <f>L167+M167</f>
        <v>0</v>
      </c>
      <c r="O167" s="194"/>
      <c r="P167" s="195">
        <f>N167*K167</f>
        <v>0</v>
      </c>
      <c r="Q167" s="208"/>
    </row>
    <row r="168" spans="1:22" s="42" customFormat="1" x14ac:dyDescent="0.25">
      <c r="A168" s="157"/>
      <c r="B168" s="44"/>
      <c r="C168" s="44"/>
      <c r="D168" s="172"/>
      <c r="E168" s="44"/>
      <c r="F168" s="44"/>
      <c r="G168" s="44"/>
      <c r="H168" s="44"/>
      <c r="I168" s="44"/>
      <c r="J168" s="44"/>
      <c r="K168" s="118"/>
      <c r="L168" s="44"/>
      <c r="M168" s="44"/>
      <c r="N168" s="44"/>
      <c r="O168" s="44"/>
      <c r="P168" s="44"/>
      <c r="Q168" s="47"/>
    </row>
    <row r="169" spans="1:22" s="42" customFormat="1" x14ac:dyDescent="0.25">
      <c r="A169" s="166" t="s">
        <v>1070</v>
      </c>
      <c r="B169" s="147" t="s">
        <v>60</v>
      </c>
      <c r="C169" s="28"/>
      <c r="D169" s="181"/>
      <c r="E169" s="28"/>
      <c r="F169" s="28"/>
      <c r="G169" s="28"/>
      <c r="H169" s="28"/>
      <c r="I169" s="28"/>
      <c r="J169" s="28"/>
      <c r="K169" s="60"/>
      <c r="L169" s="29"/>
      <c r="M169" s="29"/>
      <c r="N169" s="29"/>
      <c r="O169" s="29"/>
      <c r="P169" s="23"/>
      <c r="Q169" s="152"/>
    </row>
    <row r="170" spans="1:22" s="42" customFormat="1" ht="294.75" x14ac:dyDescent="0.25">
      <c r="A170" s="167"/>
      <c r="B170" s="141" t="s">
        <v>1072</v>
      </c>
      <c r="C170" s="31"/>
      <c r="D170" s="182"/>
      <c r="E170" s="31"/>
      <c r="F170" s="31"/>
      <c r="G170" s="31"/>
      <c r="H170" s="31"/>
      <c r="I170" s="31"/>
      <c r="J170" s="31"/>
      <c r="K170" s="58"/>
      <c r="L170" s="26"/>
      <c r="M170" s="26"/>
      <c r="N170" s="26"/>
      <c r="O170" s="26"/>
      <c r="P170" s="38"/>
      <c r="Q170" s="152"/>
    </row>
    <row r="171" spans="1:22" s="42" customFormat="1" ht="15.75" thickBot="1" x14ac:dyDescent="0.3">
      <c r="A171" s="167"/>
      <c r="B171" s="30" t="s">
        <v>1008</v>
      </c>
      <c r="C171" s="31"/>
      <c r="D171" s="182"/>
      <c r="E171" s="31"/>
      <c r="F171" s="31"/>
      <c r="G171" s="31"/>
      <c r="H171" s="31"/>
      <c r="I171" s="31"/>
      <c r="J171" s="31"/>
      <c r="K171" s="58"/>
      <c r="L171" s="26"/>
      <c r="M171" s="26"/>
      <c r="N171" s="26"/>
      <c r="O171" s="26"/>
      <c r="P171" s="38"/>
      <c r="Q171" s="152"/>
    </row>
    <row r="172" spans="1:22" s="42" customFormat="1" ht="15.75" thickBot="1" x14ac:dyDescent="0.3">
      <c r="A172" s="166" t="s">
        <v>1071</v>
      </c>
      <c r="B172" s="137" t="s">
        <v>1158</v>
      </c>
      <c r="C172" s="135" t="s">
        <v>56</v>
      </c>
      <c r="D172" s="177">
        <v>16</v>
      </c>
      <c r="E172" s="36">
        <v>16</v>
      </c>
      <c r="F172" s="36">
        <v>55</v>
      </c>
      <c r="G172" s="36">
        <v>17.5</v>
      </c>
      <c r="H172" s="36">
        <v>27.5</v>
      </c>
      <c r="I172" s="36">
        <v>0</v>
      </c>
      <c r="J172" s="56">
        <v>0</v>
      </c>
      <c r="K172" s="62">
        <f>SUM(D172:J172)</f>
        <v>132</v>
      </c>
      <c r="L172" s="26">
        <v>0</v>
      </c>
      <c r="M172" s="26">
        <v>0</v>
      </c>
      <c r="N172" s="26">
        <f>L172+M172</f>
        <v>0</v>
      </c>
      <c r="O172" s="26"/>
      <c r="P172" s="22">
        <f>N172*K172</f>
        <v>0</v>
      </c>
      <c r="Q172" s="47"/>
    </row>
    <row r="174" spans="1:22" s="117" customFormat="1" ht="15.75" x14ac:dyDescent="0.25">
      <c r="A174" s="158" t="s">
        <v>49</v>
      </c>
      <c r="B174" s="39" t="s">
        <v>1024</v>
      </c>
      <c r="C174" s="40"/>
      <c r="D174" s="175"/>
      <c r="E174" s="40"/>
      <c r="F174" s="40"/>
      <c r="G174" s="40"/>
      <c r="H174" s="40"/>
      <c r="I174" s="40"/>
      <c r="J174" s="40"/>
      <c r="K174" s="59"/>
      <c r="L174" s="40"/>
      <c r="M174" s="40"/>
      <c r="N174" s="40"/>
      <c r="O174" s="40"/>
      <c r="P174" s="41"/>
      <c r="Q174" s="149"/>
    </row>
    <row r="175" spans="1:22" s="1" customFormat="1" ht="12.75" x14ac:dyDescent="0.2">
      <c r="A175" s="163"/>
      <c r="B175" s="5"/>
      <c r="C175" s="139"/>
      <c r="D175" s="182"/>
      <c r="E175" s="31"/>
      <c r="F175" s="31"/>
      <c r="G175" s="31"/>
      <c r="H175" s="31"/>
      <c r="I175" s="31"/>
      <c r="J175" s="31"/>
      <c r="K175" s="58"/>
      <c r="L175" s="26"/>
      <c r="M175" s="26"/>
      <c r="N175" s="26"/>
      <c r="O175" s="26"/>
      <c r="P175" s="38"/>
      <c r="Q175" s="153"/>
      <c r="S175" s="32"/>
      <c r="V175" s="140"/>
    </row>
    <row r="176" spans="1:22" ht="165.75" x14ac:dyDescent="0.25">
      <c r="A176" s="52"/>
      <c r="B176" s="141" t="s">
        <v>72</v>
      </c>
      <c r="C176" s="1"/>
      <c r="D176" s="182"/>
      <c r="E176" s="31"/>
      <c r="F176" s="31"/>
      <c r="G176" s="31"/>
      <c r="H176" s="31"/>
      <c r="I176" s="31"/>
      <c r="J176" s="31"/>
      <c r="K176" s="58"/>
      <c r="L176" s="26"/>
      <c r="M176" s="26"/>
      <c r="N176" s="26"/>
      <c r="O176" s="26"/>
      <c r="P176" s="38"/>
      <c r="Q176" s="152"/>
      <c r="S176" s="42"/>
      <c r="V176" s="142"/>
    </row>
    <row r="177" spans="1:22" s="1" customFormat="1" ht="63.75" x14ac:dyDescent="0.2">
      <c r="A177" s="163"/>
      <c r="B177" s="141" t="s">
        <v>73</v>
      </c>
      <c r="C177" s="139"/>
      <c r="D177" s="182"/>
      <c r="E177" s="31"/>
      <c r="F177" s="31"/>
      <c r="G177" s="31"/>
      <c r="H177" s="31"/>
      <c r="I177" s="31"/>
      <c r="J177" s="31"/>
      <c r="K177" s="58"/>
      <c r="L177" s="26"/>
      <c r="M177" s="26"/>
      <c r="N177" s="26"/>
      <c r="O177" s="26"/>
      <c r="P177" s="38"/>
      <c r="Q177" s="153"/>
      <c r="S177" s="32"/>
      <c r="V177" s="140"/>
    </row>
    <row r="178" spans="1:22" s="1" customFormat="1" ht="168" customHeight="1" x14ac:dyDescent="0.2">
      <c r="A178" s="163"/>
      <c r="B178" s="30" t="s">
        <v>74</v>
      </c>
      <c r="C178" s="139"/>
      <c r="D178" s="182"/>
      <c r="E178" s="31"/>
      <c r="F178" s="31"/>
      <c r="G178" s="31"/>
      <c r="H178" s="31"/>
      <c r="I178" s="31"/>
      <c r="J178" s="31"/>
      <c r="K178" s="58"/>
      <c r="L178" s="26"/>
      <c r="M178" s="26"/>
      <c r="N178" s="26"/>
      <c r="O178" s="26"/>
      <c r="P178" s="38"/>
      <c r="Q178" s="153"/>
      <c r="S178" s="32"/>
      <c r="V178" s="140"/>
    </row>
    <row r="179" spans="1:22" ht="30" customHeight="1" x14ac:dyDescent="0.25">
      <c r="A179" s="52"/>
      <c r="B179" s="141" t="s">
        <v>1028</v>
      </c>
      <c r="C179" s="5"/>
      <c r="D179" s="182"/>
      <c r="E179" s="31"/>
      <c r="F179" s="31"/>
      <c r="G179" s="31"/>
      <c r="H179" s="31"/>
      <c r="I179" s="31"/>
      <c r="J179" s="31"/>
      <c r="K179" s="58"/>
      <c r="L179" s="26"/>
      <c r="M179" s="26"/>
      <c r="N179" s="26"/>
      <c r="O179" s="26"/>
      <c r="P179" s="38"/>
      <c r="Q179" s="152"/>
      <c r="S179" s="42"/>
      <c r="V179" s="142"/>
    </row>
    <row r="180" spans="1:22" s="42" customFormat="1" x14ac:dyDescent="0.25">
      <c r="A180" s="157"/>
      <c r="B180" s="44"/>
      <c r="C180" s="44"/>
      <c r="D180" s="172"/>
      <c r="E180" s="44"/>
      <c r="F180" s="44"/>
      <c r="G180" s="44"/>
      <c r="H180" s="44"/>
      <c r="I180" s="44"/>
      <c r="J180" s="44"/>
      <c r="K180" s="118"/>
      <c r="L180" s="44"/>
      <c r="M180" s="44"/>
      <c r="N180" s="44"/>
      <c r="O180" s="44"/>
      <c r="P180" s="44"/>
      <c r="Q180" s="47"/>
    </row>
    <row r="181" spans="1:22" s="42" customFormat="1" x14ac:dyDescent="0.25">
      <c r="A181" s="166" t="s">
        <v>1025</v>
      </c>
      <c r="B181" s="27" t="s">
        <v>1026</v>
      </c>
      <c r="C181" s="28"/>
      <c r="D181" s="181"/>
      <c r="E181" s="28"/>
      <c r="F181" s="28"/>
      <c r="G181" s="28"/>
      <c r="H181" s="28"/>
      <c r="I181" s="28"/>
      <c r="J181" s="28"/>
      <c r="K181" s="60"/>
      <c r="L181" s="29"/>
      <c r="M181" s="29"/>
      <c r="N181" s="29"/>
      <c r="O181" s="29"/>
      <c r="P181" s="23"/>
      <c r="Q181" s="152"/>
    </row>
    <row r="182" spans="1:22" s="42" customFormat="1" ht="25.5" x14ac:dyDescent="0.25">
      <c r="A182" s="167"/>
      <c r="B182" s="30" t="s">
        <v>77</v>
      </c>
      <c r="C182" s="31"/>
      <c r="D182" s="182"/>
      <c r="E182" s="31"/>
      <c r="F182" s="31"/>
      <c r="G182" s="31"/>
      <c r="H182" s="31"/>
      <c r="I182" s="31"/>
      <c r="J182" s="31"/>
      <c r="K182" s="58"/>
      <c r="L182" s="26"/>
      <c r="M182" s="26"/>
      <c r="N182" s="26"/>
      <c r="O182" s="26"/>
      <c r="P182" s="38"/>
      <c r="Q182" s="152"/>
    </row>
    <row r="183" spans="1:22" s="42" customFormat="1" ht="25.5" x14ac:dyDescent="0.25">
      <c r="A183" s="167"/>
      <c r="B183" s="30" t="s">
        <v>1178</v>
      </c>
      <c r="C183" s="31"/>
      <c r="D183" s="182"/>
      <c r="E183" s="31"/>
      <c r="F183" s="31"/>
      <c r="G183" s="31"/>
      <c r="H183" s="31"/>
      <c r="I183" s="31"/>
      <c r="J183" s="31"/>
      <c r="K183" s="58"/>
      <c r="L183" s="26"/>
      <c r="M183" s="26"/>
      <c r="N183" s="26"/>
      <c r="O183" s="26"/>
      <c r="P183" s="38"/>
      <c r="Q183" s="152"/>
    </row>
    <row r="184" spans="1:22" s="42" customFormat="1" x14ac:dyDescent="0.25">
      <c r="A184" s="167"/>
      <c r="B184" s="30" t="s">
        <v>1172</v>
      </c>
      <c r="C184" s="31"/>
      <c r="D184" s="182"/>
      <c r="E184" s="31"/>
      <c r="F184" s="31"/>
      <c r="G184" s="31"/>
      <c r="H184" s="31"/>
      <c r="I184" s="31"/>
      <c r="J184" s="31"/>
      <c r="K184" s="58"/>
      <c r="L184" s="26"/>
      <c r="M184" s="26"/>
      <c r="N184" s="26"/>
      <c r="O184" s="26"/>
      <c r="P184" s="38"/>
      <c r="Q184" s="152"/>
    </row>
    <row r="185" spans="1:22" s="42" customFormat="1" ht="15.75" thickBot="1" x14ac:dyDescent="0.3">
      <c r="A185" s="167"/>
      <c r="B185" s="30" t="s">
        <v>1173</v>
      </c>
      <c r="C185" s="31"/>
      <c r="D185" s="182"/>
      <c r="E185" s="31"/>
      <c r="F185" s="31"/>
      <c r="G185" s="31"/>
      <c r="H185" s="31"/>
      <c r="I185" s="31"/>
      <c r="J185" s="31"/>
      <c r="K185" s="58"/>
      <c r="L185" s="26"/>
      <c r="M185" s="26"/>
      <c r="N185" s="26"/>
      <c r="O185" s="26"/>
      <c r="P185" s="38"/>
      <c r="Q185" s="152"/>
    </row>
    <row r="186" spans="1:22" s="42" customFormat="1" ht="15.75" thickBot="1" x14ac:dyDescent="0.3">
      <c r="A186" s="166" t="s">
        <v>1029</v>
      </c>
      <c r="B186" s="137" t="s">
        <v>1015</v>
      </c>
      <c r="C186" s="135" t="s">
        <v>56</v>
      </c>
      <c r="D186" s="177">
        <v>0</v>
      </c>
      <c r="E186" s="36">
        <v>0</v>
      </c>
      <c r="F186" s="36">
        <v>0</v>
      </c>
      <c r="G186" s="36">
        <v>0</v>
      </c>
      <c r="H186" s="36">
        <v>0</v>
      </c>
      <c r="I186" s="36">
        <v>0</v>
      </c>
      <c r="J186" s="56">
        <v>129.19999999999999</v>
      </c>
      <c r="K186" s="62">
        <f>SUM(D186:J186)</f>
        <v>129.19999999999999</v>
      </c>
      <c r="L186" s="26">
        <v>0</v>
      </c>
      <c r="M186" s="26">
        <v>0</v>
      </c>
      <c r="N186" s="26">
        <f>L186+M186</f>
        <v>0</v>
      </c>
      <c r="O186" s="26"/>
      <c r="P186" s="22">
        <f>N186*K186</f>
        <v>0</v>
      </c>
      <c r="Q186" s="47"/>
    </row>
    <row r="187" spans="1:22" s="42" customFormat="1" ht="77.25" thickBot="1" x14ac:dyDescent="0.3">
      <c r="A187" s="166" t="s">
        <v>1030</v>
      </c>
      <c r="B187" s="137" t="s">
        <v>78</v>
      </c>
      <c r="C187" s="135" t="s">
        <v>56</v>
      </c>
      <c r="D187" s="177">
        <v>0</v>
      </c>
      <c r="E187" s="36">
        <v>0</v>
      </c>
      <c r="F187" s="36">
        <v>0</v>
      </c>
      <c r="G187" s="36">
        <v>0</v>
      </c>
      <c r="H187" s="36">
        <v>0</v>
      </c>
      <c r="I187" s="36">
        <v>0</v>
      </c>
      <c r="J187" s="56">
        <v>12.92</v>
      </c>
      <c r="K187" s="62">
        <f>SUM(D187:J187)</f>
        <v>12.92</v>
      </c>
      <c r="L187" s="26">
        <v>0</v>
      </c>
      <c r="M187" s="26">
        <v>0</v>
      </c>
      <c r="N187" s="26">
        <f>L187+M187</f>
        <v>0</v>
      </c>
      <c r="O187" s="26"/>
      <c r="P187" s="22">
        <f>N187*K187</f>
        <v>0</v>
      </c>
      <c r="Q187" s="47"/>
    </row>
    <row r="188" spans="1:22" s="42" customFormat="1" ht="15.75" thickBot="1" x14ac:dyDescent="0.3">
      <c r="A188" s="166" t="s">
        <v>1031</v>
      </c>
      <c r="B188" s="137" t="s">
        <v>79</v>
      </c>
      <c r="C188" s="135" t="s">
        <v>56</v>
      </c>
      <c r="D188" s="177">
        <v>0</v>
      </c>
      <c r="E188" s="36">
        <v>0</v>
      </c>
      <c r="F188" s="36">
        <v>0</v>
      </c>
      <c r="G188" s="36">
        <v>0</v>
      </c>
      <c r="H188" s="36">
        <v>0</v>
      </c>
      <c r="I188" s="36">
        <v>0</v>
      </c>
      <c r="J188" s="56">
        <v>2.5839999999999996</v>
      </c>
      <c r="K188" s="62">
        <f>SUM(D188:J188)</f>
        <v>2.5839999999999996</v>
      </c>
      <c r="L188" s="26">
        <v>0</v>
      </c>
      <c r="M188" s="26">
        <v>0</v>
      </c>
      <c r="N188" s="26">
        <f>L188+M188</f>
        <v>0</v>
      </c>
      <c r="O188" s="26"/>
      <c r="P188" s="22">
        <f>N188*K188</f>
        <v>0</v>
      </c>
      <c r="Q188" s="47"/>
    </row>
    <row r="189" spans="1:22" s="42" customFormat="1" x14ac:dyDescent="0.25">
      <c r="A189" s="157"/>
      <c r="B189" s="44"/>
      <c r="C189" s="44"/>
      <c r="D189" s="172"/>
      <c r="E189" s="44"/>
      <c r="F189" s="44"/>
      <c r="G189" s="44"/>
      <c r="H189" s="44"/>
      <c r="I189" s="44"/>
      <c r="J189" s="44"/>
      <c r="K189" s="118"/>
      <c r="L189" s="44"/>
      <c r="M189" s="44"/>
      <c r="N189" s="44"/>
      <c r="O189" s="44"/>
      <c r="P189" s="44"/>
      <c r="Q189" s="47"/>
    </row>
    <row r="190" spans="1:22" s="42" customFormat="1" x14ac:dyDescent="0.25">
      <c r="A190" s="166" t="s">
        <v>109</v>
      </c>
      <c r="B190" s="27" t="s">
        <v>1032</v>
      </c>
      <c r="C190" s="28"/>
      <c r="D190" s="181"/>
      <c r="E190" s="28"/>
      <c r="F190" s="28"/>
      <c r="G190" s="28"/>
      <c r="H190" s="28"/>
      <c r="I190" s="28"/>
      <c r="J190" s="28"/>
      <c r="K190" s="60"/>
      <c r="L190" s="29"/>
      <c r="M190" s="29"/>
      <c r="N190" s="29"/>
      <c r="O190" s="29"/>
      <c r="P190" s="23"/>
      <c r="Q190" s="152"/>
    </row>
    <row r="191" spans="1:22" s="42" customFormat="1" ht="25.5" x14ac:dyDescent="0.25">
      <c r="A191" s="167"/>
      <c r="B191" s="30" t="s">
        <v>77</v>
      </c>
      <c r="C191" s="31"/>
      <c r="D191" s="182"/>
      <c r="E191" s="31"/>
      <c r="F191" s="31"/>
      <c r="G191" s="31"/>
      <c r="H191" s="31"/>
      <c r="I191" s="31"/>
      <c r="J191" s="31"/>
      <c r="K191" s="58"/>
      <c r="L191" s="26"/>
      <c r="M191" s="26"/>
      <c r="N191" s="26"/>
      <c r="O191" s="26"/>
      <c r="P191" s="38"/>
      <c r="Q191" s="152"/>
    </row>
    <row r="192" spans="1:22" s="42" customFormat="1" ht="25.5" x14ac:dyDescent="0.25">
      <c r="A192" s="167"/>
      <c r="B192" s="30" t="s">
        <v>1440</v>
      </c>
      <c r="C192" s="31"/>
      <c r="D192" s="182"/>
      <c r="E192" s="31"/>
      <c r="F192" s="31"/>
      <c r="G192" s="31"/>
      <c r="H192" s="31"/>
      <c r="I192" s="31"/>
      <c r="J192" s="31"/>
      <c r="K192" s="58"/>
      <c r="L192" s="26"/>
      <c r="M192" s="26"/>
      <c r="N192" s="26"/>
      <c r="O192" s="26"/>
      <c r="P192" s="38"/>
      <c r="Q192" s="152"/>
    </row>
    <row r="193" spans="1:17" s="42" customFormat="1" ht="15.75" thickBot="1" x14ac:dyDescent="0.3">
      <c r="A193" s="167"/>
      <c r="B193" s="30" t="s">
        <v>1027</v>
      </c>
      <c r="C193" s="31"/>
      <c r="D193" s="182"/>
      <c r="E193" s="31"/>
      <c r="F193" s="31"/>
      <c r="G193" s="31"/>
      <c r="H193" s="31"/>
      <c r="I193" s="31"/>
      <c r="J193" s="31"/>
      <c r="K193" s="58"/>
      <c r="L193" s="26"/>
      <c r="M193" s="26"/>
      <c r="N193" s="26"/>
      <c r="O193" s="26"/>
      <c r="P193" s="38"/>
      <c r="Q193" s="152"/>
    </row>
    <row r="194" spans="1:17" s="42" customFormat="1" ht="15.75" thickBot="1" x14ac:dyDescent="0.3">
      <c r="A194" s="166" t="s">
        <v>1033</v>
      </c>
      <c r="B194" s="137" t="s">
        <v>1015</v>
      </c>
      <c r="C194" s="135" t="s">
        <v>56</v>
      </c>
      <c r="D194" s="177">
        <v>0</v>
      </c>
      <c r="E194" s="36">
        <v>0</v>
      </c>
      <c r="F194" s="36">
        <v>0</v>
      </c>
      <c r="G194" s="36">
        <v>0</v>
      </c>
      <c r="H194" s="36">
        <v>0</v>
      </c>
      <c r="I194" s="36">
        <v>0</v>
      </c>
      <c r="J194" s="56">
        <v>104.95</v>
      </c>
      <c r="K194" s="62">
        <f>SUM(D194:J194)</f>
        <v>104.95</v>
      </c>
      <c r="L194" s="26">
        <v>0</v>
      </c>
      <c r="M194" s="26">
        <v>0</v>
      </c>
      <c r="N194" s="26">
        <f>L194+M194</f>
        <v>0</v>
      </c>
      <c r="O194" s="26"/>
      <c r="P194" s="22">
        <f>N194*K194</f>
        <v>0</v>
      </c>
      <c r="Q194" s="47"/>
    </row>
    <row r="195" spans="1:17" s="42" customFormat="1" ht="77.25" thickBot="1" x14ac:dyDescent="0.3">
      <c r="A195" s="166" t="s">
        <v>1034</v>
      </c>
      <c r="B195" s="137" t="s">
        <v>78</v>
      </c>
      <c r="C195" s="135" t="s">
        <v>56</v>
      </c>
      <c r="D195" s="177">
        <v>0</v>
      </c>
      <c r="E195" s="36">
        <v>0</v>
      </c>
      <c r="F195" s="36">
        <v>0</v>
      </c>
      <c r="G195" s="36">
        <v>0</v>
      </c>
      <c r="H195" s="36">
        <v>0</v>
      </c>
      <c r="I195" s="36">
        <v>0</v>
      </c>
      <c r="J195" s="56">
        <v>10.495000000000001</v>
      </c>
      <c r="K195" s="62">
        <f>SUM(D195:J195)</f>
        <v>10.495000000000001</v>
      </c>
      <c r="L195" s="26">
        <v>0</v>
      </c>
      <c r="M195" s="26">
        <v>0</v>
      </c>
      <c r="N195" s="26">
        <f>L195+M195</f>
        <v>0</v>
      </c>
      <c r="O195" s="26"/>
      <c r="P195" s="22">
        <f>N195*K195</f>
        <v>0</v>
      </c>
      <c r="Q195" s="47"/>
    </row>
    <row r="196" spans="1:17" s="42" customFormat="1" ht="15.75" thickBot="1" x14ac:dyDescent="0.3">
      <c r="A196" s="166" t="s">
        <v>1035</v>
      </c>
      <c r="B196" s="137" t="s">
        <v>79</v>
      </c>
      <c r="C196" s="135" t="s">
        <v>56</v>
      </c>
      <c r="D196" s="177">
        <v>0</v>
      </c>
      <c r="E196" s="36">
        <v>0</v>
      </c>
      <c r="F196" s="36">
        <v>0</v>
      </c>
      <c r="G196" s="36">
        <v>0</v>
      </c>
      <c r="H196" s="36">
        <v>0</v>
      </c>
      <c r="I196" s="36">
        <v>0</v>
      </c>
      <c r="J196" s="56">
        <v>2.0990000000000002</v>
      </c>
      <c r="K196" s="62">
        <f>SUM(D196:J196)</f>
        <v>2.0990000000000002</v>
      </c>
      <c r="L196" s="26">
        <v>0</v>
      </c>
      <c r="M196" s="26">
        <v>0</v>
      </c>
      <c r="N196" s="26">
        <f>L196+M196</f>
        <v>0</v>
      </c>
      <c r="O196" s="26"/>
      <c r="P196" s="22">
        <f>N196*K196</f>
        <v>0</v>
      </c>
      <c r="Q196" s="47"/>
    </row>
    <row r="197" spans="1:17" s="42" customFormat="1" x14ac:dyDescent="0.25">
      <c r="A197" s="157"/>
      <c r="B197" s="44"/>
      <c r="C197" s="44"/>
      <c r="D197" s="172"/>
      <c r="E197" s="44"/>
      <c r="F197" s="44"/>
      <c r="G197" s="44"/>
      <c r="H197" s="44"/>
      <c r="I197" s="44"/>
      <c r="J197" s="44"/>
      <c r="K197" s="118"/>
      <c r="L197" s="44"/>
      <c r="M197" s="44"/>
      <c r="N197" s="44"/>
      <c r="O197" s="44"/>
      <c r="P197" s="44"/>
      <c r="Q197" s="47"/>
    </row>
    <row r="198" spans="1:17" s="42" customFormat="1" x14ac:dyDescent="0.25">
      <c r="A198" s="168" t="s">
        <v>1036</v>
      </c>
      <c r="B198" s="27" t="s">
        <v>1040</v>
      </c>
      <c r="C198" s="28"/>
      <c r="D198" s="181"/>
      <c r="E198" s="28"/>
      <c r="F198" s="28"/>
      <c r="G198" s="28"/>
      <c r="H198" s="28"/>
      <c r="I198" s="28"/>
      <c r="J198" s="28"/>
      <c r="K198" s="60"/>
      <c r="L198" s="29"/>
      <c r="M198" s="29"/>
      <c r="N198" s="29"/>
      <c r="O198" s="29"/>
      <c r="P198" s="23"/>
      <c r="Q198" s="152"/>
    </row>
    <row r="199" spans="1:17" s="42" customFormat="1" ht="25.5" x14ac:dyDescent="0.25">
      <c r="A199" s="169"/>
      <c r="B199" s="30" t="s">
        <v>1041</v>
      </c>
      <c r="C199" s="31"/>
      <c r="D199" s="182"/>
      <c r="E199" s="31"/>
      <c r="F199" s="31"/>
      <c r="G199" s="31"/>
      <c r="H199" s="31"/>
      <c r="I199" s="31"/>
      <c r="J199" s="31"/>
      <c r="K199" s="58"/>
      <c r="L199" s="26"/>
      <c r="M199" s="26"/>
      <c r="N199" s="26"/>
      <c r="O199" s="26"/>
      <c r="P199" s="38"/>
      <c r="Q199" s="152"/>
    </row>
    <row r="200" spans="1:17" s="42" customFormat="1" x14ac:dyDescent="0.25">
      <c r="A200" s="169"/>
      <c r="B200" s="30" t="s">
        <v>1174</v>
      </c>
      <c r="C200" s="31"/>
      <c r="D200" s="182"/>
      <c r="E200" s="31"/>
      <c r="F200" s="31"/>
      <c r="G200" s="31"/>
      <c r="H200" s="31"/>
      <c r="I200" s="31"/>
      <c r="J200" s="31"/>
      <c r="K200" s="58"/>
      <c r="L200" s="26"/>
      <c r="M200" s="26"/>
      <c r="N200" s="26"/>
      <c r="O200" s="26"/>
      <c r="P200" s="38"/>
      <c r="Q200" s="152"/>
    </row>
    <row r="201" spans="1:17" s="42" customFormat="1" ht="15.75" thickBot="1" x14ac:dyDescent="0.3">
      <c r="A201" s="169"/>
      <c r="B201" s="30" t="s">
        <v>1027</v>
      </c>
      <c r="C201" s="31"/>
      <c r="D201" s="182"/>
      <c r="E201" s="31"/>
      <c r="F201" s="31"/>
      <c r="G201" s="31"/>
      <c r="H201" s="31"/>
      <c r="I201" s="31"/>
      <c r="J201" s="31"/>
      <c r="K201" s="58"/>
      <c r="L201" s="26"/>
      <c r="M201" s="26"/>
      <c r="N201" s="26"/>
      <c r="O201" s="26"/>
      <c r="P201" s="38"/>
      <c r="Q201" s="152"/>
    </row>
    <row r="202" spans="1:17" s="200" customFormat="1" ht="15.75" thickBot="1" x14ac:dyDescent="0.3">
      <c r="A202" s="187" t="s">
        <v>1037</v>
      </c>
      <c r="B202" s="188" t="s">
        <v>1433</v>
      </c>
      <c r="C202" s="189" t="s">
        <v>1330</v>
      </c>
      <c r="D202" s="293">
        <v>0</v>
      </c>
      <c r="E202" s="191">
        <v>0</v>
      </c>
      <c r="F202" s="191">
        <v>0</v>
      </c>
      <c r="G202" s="191">
        <v>0</v>
      </c>
      <c r="H202" s="191">
        <v>0</v>
      </c>
      <c r="I202" s="191">
        <v>0</v>
      </c>
      <c r="J202" s="192">
        <v>6.4</v>
      </c>
      <c r="K202" s="193">
        <f>SUM(D202:J202)</f>
        <v>6.4</v>
      </c>
      <c r="L202" s="194">
        <v>0</v>
      </c>
      <c r="M202" s="194">
        <v>0</v>
      </c>
      <c r="N202" s="194">
        <f>L202+M202</f>
        <v>0</v>
      </c>
      <c r="O202" s="194"/>
      <c r="P202" s="195">
        <f>N202*K202</f>
        <v>0</v>
      </c>
      <c r="Q202" s="208"/>
    </row>
    <row r="203" spans="1:17" s="200" customFormat="1" ht="77.25" thickBot="1" x14ac:dyDescent="0.3">
      <c r="A203" s="187" t="s">
        <v>1038</v>
      </c>
      <c r="B203" s="188" t="s">
        <v>78</v>
      </c>
      <c r="C203" s="189" t="s">
        <v>1330</v>
      </c>
      <c r="D203" s="293">
        <v>0</v>
      </c>
      <c r="E203" s="191">
        <v>0</v>
      </c>
      <c r="F203" s="191">
        <v>0</v>
      </c>
      <c r="G203" s="191">
        <v>0</v>
      </c>
      <c r="H203" s="191">
        <v>0</v>
      </c>
      <c r="I203" s="191">
        <v>0</v>
      </c>
      <c r="J203" s="192">
        <v>0.64000000000000012</v>
      </c>
      <c r="K203" s="193">
        <f>SUM(D203:J203)</f>
        <v>0.64000000000000012</v>
      </c>
      <c r="L203" s="194">
        <v>0</v>
      </c>
      <c r="M203" s="194">
        <v>0</v>
      </c>
      <c r="N203" s="194">
        <f>L203+M203</f>
        <v>0</v>
      </c>
      <c r="O203" s="194"/>
      <c r="P203" s="195">
        <f>N203*K203</f>
        <v>0</v>
      </c>
      <c r="Q203" s="208"/>
    </row>
    <row r="204" spans="1:17" s="200" customFormat="1" ht="15.75" thickBot="1" x14ac:dyDescent="0.3">
      <c r="A204" s="187" t="s">
        <v>1039</v>
      </c>
      <c r="B204" s="188" t="s">
        <v>79</v>
      </c>
      <c r="C204" s="189" t="s">
        <v>1330</v>
      </c>
      <c r="D204" s="293">
        <v>0</v>
      </c>
      <c r="E204" s="191">
        <v>0</v>
      </c>
      <c r="F204" s="191">
        <v>0</v>
      </c>
      <c r="G204" s="191">
        <v>0</v>
      </c>
      <c r="H204" s="191">
        <v>0</v>
      </c>
      <c r="I204" s="191">
        <v>0</v>
      </c>
      <c r="J204" s="192">
        <v>0.128</v>
      </c>
      <c r="K204" s="193">
        <f>SUM(D204:J204)</f>
        <v>0.128</v>
      </c>
      <c r="L204" s="194">
        <v>0</v>
      </c>
      <c r="M204" s="194">
        <v>0</v>
      </c>
      <c r="N204" s="194">
        <f>L204+M204</f>
        <v>0</v>
      </c>
      <c r="O204" s="194"/>
      <c r="P204" s="195">
        <f>N204*K204</f>
        <v>0</v>
      </c>
      <c r="Q204" s="208"/>
    </row>
    <row r="205" spans="1:17" s="42" customFormat="1" x14ac:dyDescent="0.25">
      <c r="A205" s="157"/>
      <c r="B205" s="44"/>
      <c r="C205" s="44"/>
      <c r="D205" s="172"/>
      <c r="E205" s="44"/>
      <c r="F205" s="44"/>
      <c r="G205" s="44"/>
      <c r="H205" s="44"/>
      <c r="I205" s="44"/>
      <c r="J205" s="44"/>
      <c r="K205" s="118"/>
      <c r="L205" s="44"/>
      <c r="M205" s="44"/>
      <c r="N205" s="44"/>
      <c r="O205" s="44"/>
      <c r="P205" s="44"/>
      <c r="Q205" s="47"/>
    </row>
    <row r="206" spans="1:17" s="42" customFormat="1" ht="27.75" customHeight="1" x14ac:dyDescent="0.25">
      <c r="A206" s="166" t="s">
        <v>113</v>
      </c>
      <c r="B206" s="147" t="s">
        <v>76</v>
      </c>
      <c r="C206" s="28"/>
      <c r="D206" s="181"/>
      <c r="E206" s="28"/>
      <c r="F206" s="28"/>
      <c r="G206" s="28"/>
      <c r="H206" s="28"/>
      <c r="I206" s="28"/>
      <c r="J206" s="28"/>
      <c r="K206" s="60"/>
      <c r="L206" s="29"/>
      <c r="M206" s="29"/>
      <c r="N206" s="29"/>
      <c r="O206" s="29"/>
      <c r="P206" s="23"/>
      <c r="Q206" s="152"/>
    </row>
    <row r="207" spans="1:17" s="42" customFormat="1" ht="25.5" x14ac:dyDescent="0.25">
      <c r="A207" s="167"/>
      <c r="B207" s="141" t="s">
        <v>1087</v>
      </c>
      <c r="C207" s="31"/>
      <c r="D207" s="182"/>
      <c r="E207" s="31"/>
      <c r="F207" s="31"/>
      <c r="G207" s="31"/>
      <c r="H207" s="31"/>
      <c r="I207" s="31"/>
      <c r="J207" s="31"/>
      <c r="K207" s="58"/>
      <c r="L207" s="26"/>
      <c r="M207" s="26"/>
      <c r="N207" s="26"/>
      <c r="O207" s="26"/>
      <c r="P207" s="38"/>
      <c r="Q207" s="152"/>
    </row>
    <row r="208" spans="1:17" s="42" customFormat="1" ht="25.5" x14ac:dyDescent="0.25">
      <c r="A208" s="167"/>
      <c r="B208" s="141" t="s">
        <v>1088</v>
      </c>
      <c r="C208" s="31"/>
      <c r="D208" s="182"/>
      <c r="E208" s="31"/>
      <c r="F208" s="31"/>
      <c r="G208" s="31"/>
      <c r="H208" s="31"/>
      <c r="I208" s="31"/>
      <c r="J208" s="31"/>
      <c r="K208" s="58"/>
      <c r="L208" s="26"/>
      <c r="M208" s="26"/>
      <c r="N208" s="26"/>
      <c r="O208" s="26"/>
      <c r="P208" s="38"/>
      <c r="Q208" s="152"/>
    </row>
    <row r="209" spans="1:17" s="42" customFormat="1" x14ac:dyDescent="0.25">
      <c r="A209" s="167"/>
      <c r="B209" s="30" t="s">
        <v>115</v>
      </c>
      <c r="C209" s="31"/>
      <c r="D209" s="182"/>
      <c r="E209" s="31"/>
      <c r="F209" s="31"/>
      <c r="G209" s="31"/>
      <c r="H209" s="31"/>
      <c r="I209" s="31"/>
      <c r="J209" s="31"/>
      <c r="K209" s="58"/>
      <c r="L209" s="26"/>
      <c r="M209" s="26"/>
      <c r="N209" s="26"/>
      <c r="O209" s="26"/>
      <c r="P209" s="38"/>
      <c r="Q209" s="152"/>
    </row>
    <row r="210" spans="1:17" s="42" customFormat="1" ht="15.75" thickBot="1" x14ac:dyDescent="0.3">
      <c r="A210" s="167"/>
      <c r="B210" s="30" t="s">
        <v>1089</v>
      </c>
      <c r="C210" s="31"/>
      <c r="D210" s="182"/>
      <c r="E210" s="31"/>
      <c r="F210" s="31"/>
      <c r="G210" s="31"/>
      <c r="H210" s="31"/>
      <c r="I210" s="31"/>
      <c r="J210" s="31"/>
      <c r="K210" s="58"/>
      <c r="L210" s="26"/>
      <c r="M210" s="26"/>
      <c r="N210" s="26"/>
      <c r="O210" s="26"/>
      <c r="P210" s="38"/>
      <c r="Q210" s="152"/>
    </row>
    <row r="211" spans="1:17" s="200" customFormat="1" ht="26.25" thickBot="1" x14ac:dyDescent="0.3">
      <c r="A211" s="282" t="s">
        <v>1084</v>
      </c>
      <c r="B211" s="188" t="s">
        <v>1090</v>
      </c>
      <c r="C211" s="189" t="s">
        <v>1330</v>
      </c>
      <c r="D211" s="293">
        <v>9.1999999999999993</v>
      </c>
      <c r="E211" s="191">
        <v>9.1999999999999993</v>
      </c>
      <c r="F211" s="191">
        <v>22</v>
      </c>
      <c r="G211" s="191">
        <v>10</v>
      </c>
      <c r="H211" s="191">
        <v>10.6</v>
      </c>
      <c r="I211" s="191">
        <v>0</v>
      </c>
      <c r="J211" s="192">
        <v>0</v>
      </c>
      <c r="K211" s="193">
        <f>SUM(D211:J211)</f>
        <v>61</v>
      </c>
      <c r="L211" s="194">
        <v>0</v>
      </c>
      <c r="M211" s="194">
        <v>0</v>
      </c>
      <c r="N211" s="194">
        <f>L211+M211</f>
        <v>0</v>
      </c>
      <c r="O211" s="194"/>
      <c r="P211" s="195">
        <f>N211*K211</f>
        <v>0</v>
      </c>
      <c r="Q211" s="208"/>
    </row>
    <row r="212" spans="1:17" s="200" customFormat="1" ht="77.25" thickBot="1" x14ac:dyDescent="0.3">
      <c r="A212" s="282" t="s">
        <v>1085</v>
      </c>
      <c r="B212" s="188" t="s">
        <v>1091</v>
      </c>
      <c r="C212" s="189" t="s">
        <v>1330</v>
      </c>
      <c r="D212" s="293">
        <v>0.91999999999999993</v>
      </c>
      <c r="E212" s="191">
        <v>0.91999999999999993</v>
      </c>
      <c r="F212" s="191">
        <v>2.2000000000000002</v>
      </c>
      <c r="G212" s="191">
        <v>1</v>
      </c>
      <c r="H212" s="191">
        <v>1.06</v>
      </c>
      <c r="I212" s="191">
        <v>0</v>
      </c>
      <c r="J212" s="192">
        <v>0</v>
      </c>
      <c r="K212" s="193">
        <f>SUM(D212:J212)</f>
        <v>6.1</v>
      </c>
      <c r="L212" s="194">
        <v>0</v>
      </c>
      <c r="M212" s="194">
        <v>0</v>
      </c>
      <c r="N212" s="194">
        <f>L212+M212</f>
        <v>0</v>
      </c>
      <c r="O212" s="194"/>
      <c r="P212" s="195">
        <f>N212*K212</f>
        <v>0</v>
      </c>
      <c r="Q212" s="208"/>
    </row>
    <row r="213" spans="1:17" s="200" customFormat="1" ht="15.75" thickBot="1" x14ac:dyDescent="0.3">
      <c r="A213" s="282" t="s">
        <v>1086</v>
      </c>
      <c r="B213" s="188" t="s">
        <v>79</v>
      </c>
      <c r="C213" s="189" t="s">
        <v>1330</v>
      </c>
      <c r="D213" s="293">
        <v>0.184</v>
      </c>
      <c r="E213" s="191">
        <v>0.184</v>
      </c>
      <c r="F213" s="191">
        <v>0.44</v>
      </c>
      <c r="G213" s="191">
        <v>0.2</v>
      </c>
      <c r="H213" s="191">
        <v>0.21199999999999999</v>
      </c>
      <c r="I213" s="191">
        <v>0</v>
      </c>
      <c r="J213" s="192">
        <v>0</v>
      </c>
      <c r="K213" s="193">
        <f>SUM(D213:J213)</f>
        <v>1.22</v>
      </c>
      <c r="L213" s="194">
        <v>0</v>
      </c>
      <c r="M213" s="194">
        <v>0</v>
      </c>
      <c r="N213" s="194">
        <f>L213+M213</f>
        <v>0</v>
      </c>
      <c r="O213" s="194"/>
      <c r="P213" s="195">
        <f>N213*K213</f>
        <v>0</v>
      </c>
      <c r="Q213" s="208"/>
    </row>
    <row r="214" spans="1:17" s="42" customFormat="1" x14ac:dyDescent="0.25">
      <c r="A214" s="157"/>
      <c r="B214" s="44"/>
      <c r="C214" s="44"/>
      <c r="D214" s="172"/>
      <c r="E214" s="44"/>
      <c r="F214" s="44"/>
      <c r="G214" s="44"/>
      <c r="H214" s="44"/>
      <c r="I214" s="44"/>
      <c r="J214" s="44"/>
      <c r="K214" s="118"/>
      <c r="L214" s="44"/>
      <c r="M214" s="44"/>
      <c r="N214" s="44"/>
      <c r="O214" s="44"/>
      <c r="P214" s="44"/>
      <c r="Q214" s="47"/>
    </row>
    <row r="215" spans="1:17" s="42" customFormat="1" ht="27.75" customHeight="1" x14ac:dyDescent="0.25">
      <c r="A215" s="166" t="s">
        <v>114</v>
      </c>
      <c r="B215" s="27" t="s">
        <v>81</v>
      </c>
      <c r="C215" s="28"/>
      <c r="D215" s="181"/>
      <c r="E215" s="28"/>
      <c r="F215" s="28"/>
      <c r="G215" s="28"/>
      <c r="H215" s="28"/>
      <c r="I215" s="28"/>
      <c r="J215" s="28"/>
      <c r="K215" s="60"/>
      <c r="L215" s="29"/>
      <c r="M215" s="29"/>
      <c r="N215" s="29"/>
      <c r="O215" s="29"/>
      <c r="P215" s="23"/>
      <c r="Q215" s="152"/>
    </row>
    <row r="216" spans="1:17" s="42" customFormat="1" x14ac:dyDescent="0.25">
      <c r="A216" s="167"/>
      <c r="B216" s="30" t="s">
        <v>82</v>
      </c>
      <c r="C216" s="31"/>
      <c r="D216" s="182"/>
      <c r="E216" s="31"/>
      <c r="F216" s="31"/>
      <c r="G216" s="31"/>
      <c r="H216" s="31"/>
      <c r="I216" s="31"/>
      <c r="J216" s="31"/>
      <c r="K216" s="58"/>
      <c r="L216" s="26"/>
      <c r="M216" s="26"/>
      <c r="N216" s="26"/>
      <c r="O216" s="26"/>
      <c r="P216" s="38"/>
      <c r="Q216" s="152"/>
    </row>
    <row r="217" spans="1:17" s="42" customFormat="1" ht="25.5" x14ac:dyDescent="0.25">
      <c r="A217" s="167"/>
      <c r="B217" s="30" t="s">
        <v>1441</v>
      </c>
      <c r="C217" s="31"/>
      <c r="D217" s="182"/>
      <c r="E217" s="31"/>
      <c r="F217" s="31"/>
      <c r="G217" s="31"/>
      <c r="H217" s="31"/>
      <c r="I217" s="31"/>
      <c r="J217" s="31"/>
      <c r="K217" s="58"/>
      <c r="L217" s="26"/>
      <c r="M217" s="26"/>
      <c r="N217" s="26"/>
      <c r="O217" s="26"/>
      <c r="P217" s="38"/>
      <c r="Q217" s="152"/>
    </row>
    <row r="218" spans="1:17" s="42" customFormat="1" x14ac:dyDescent="0.25">
      <c r="A218" s="167"/>
      <c r="B218" s="30" t="s">
        <v>83</v>
      </c>
      <c r="C218" s="31"/>
      <c r="D218" s="182"/>
      <c r="E218" s="31"/>
      <c r="F218" s="31"/>
      <c r="G218" s="31"/>
      <c r="H218" s="31"/>
      <c r="I218" s="31"/>
      <c r="J218" s="31"/>
      <c r="K218" s="58"/>
      <c r="L218" s="26"/>
      <c r="M218" s="26"/>
      <c r="N218" s="26"/>
      <c r="O218" s="26"/>
      <c r="P218" s="38"/>
      <c r="Q218" s="152"/>
    </row>
    <row r="219" spans="1:17" s="42" customFormat="1" ht="15.75" thickBot="1" x14ac:dyDescent="0.3">
      <c r="A219" s="167"/>
      <c r="B219" s="30" t="s">
        <v>1106</v>
      </c>
      <c r="C219" s="31"/>
      <c r="D219" s="182"/>
      <c r="E219" s="31"/>
      <c r="F219" s="31"/>
      <c r="G219" s="31"/>
      <c r="H219" s="31"/>
      <c r="I219" s="31"/>
      <c r="J219" s="31"/>
      <c r="K219" s="58"/>
      <c r="L219" s="26"/>
      <c r="M219" s="26"/>
      <c r="N219" s="26"/>
      <c r="O219" s="26"/>
      <c r="P219" s="38"/>
      <c r="Q219" s="152"/>
    </row>
    <row r="220" spans="1:17" s="200" customFormat="1" ht="26.25" thickBot="1" x14ac:dyDescent="0.3">
      <c r="A220" s="282" t="s">
        <v>1092</v>
      </c>
      <c r="B220" s="188" t="s">
        <v>1090</v>
      </c>
      <c r="C220" s="189" t="s">
        <v>1330</v>
      </c>
      <c r="D220" s="293">
        <v>6.8</v>
      </c>
      <c r="E220" s="191">
        <v>6.8</v>
      </c>
      <c r="F220" s="191">
        <v>23.6</v>
      </c>
      <c r="G220" s="191">
        <v>9.8000000000000007</v>
      </c>
      <c r="H220" s="191">
        <v>13</v>
      </c>
      <c r="I220" s="191">
        <v>0</v>
      </c>
      <c r="J220" s="192">
        <v>0</v>
      </c>
      <c r="K220" s="193">
        <f>SUM(D220:J220)</f>
        <v>60</v>
      </c>
      <c r="L220" s="194">
        <v>0</v>
      </c>
      <c r="M220" s="194">
        <v>0</v>
      </c>
      <c r="N220" s="194">
        <f>L220+M220</f>
        <v>0</v>
      </c>
      <c r="O220" s="194"/>
      <c r="P220" s="195">
        <f>N220*K220</f>
        <v>0</v>
      </c>
      <c r="Q220" s="208"/>
    </row>
    <row r="221" spans="1:17" s="200" customFormat="1" ht="77.25" thickBot="1" x14ac:dyDescent="0.3">
      <c r="A221" s="282" t="s">
        <v>1093</v>
      </c>
      <c r="B221" s="188" t="s">
        <v>1091</v>
      </c>
      <c r="C221" s="189" t="s">
        <v>1330</v>
      </c>
      <c r="D221" s="293">
        <v>0.68</v>
      </c>
      <c r="E221" s="191">
        <v>0.68</v>
      </c>
      <c r="F221" s="191">
        <v>2.3600000000000003</v>
      </c>
      <c r="G221" s="191">
        <v>0.98000000000000009</v>
      </c>
      <c r="H221" s="191">
        <v>1.3</v>
      </c>
      <c r="I221" s="191">
        <v>0</v>
      </c>
      <c r="J221" s="192">
        <v>0</v>
      </c>
      <c r="K221" s="193">
        <f>SUM(D221:J221)</f>
        <v>6.0000000000000009</v>
      </c>
      <c r="L221" s="194">
        <v>0</v>
      </c>
      <c r="M221" s="194">
        <v>0</v>
      </c>
      <c r="N221" s="194">
        <f>L221+M221</f>
        <v>0</v>
      </c>
      <c r="O221" s="194"/>
      <c r="P221" s="195">
        <f>N221*K221</f>
        <v>0</v>
      </c>
      <c r="Q221" s="208"/>
    </row>
    <row r="222" spans="1:17" s="200" customFormat="1" ht="15.75" thickBot="1" x14ac:dyDescent="0.3">
      <c r="A222" s="282" t="s">
        <v>1094</v>
      </c>
      <c r="B222" s="188" t="s">
        <v>79</v>
      </c>
      <c r="C222" s="189" t="s">
        <v>1330</v>
      </c>
      <c r="D222" s="293">
        <v>0.13600000000000001</v>
      </c>
      <c r="E222" s="191">
        <v>0.13600000000000001</v>
      </c>
      <c r="F222" s="191">
        <v>0.47200000000000003</v>
      </c>
      <c r="G222" s="191">
        <v>0.19600000000000001</v>
      </c>
      <c r="H222" s="191">
        <v>0.26</v>
      </c>
      <c r="I222" s="191">
        <v>0</v>
      </c>
      <c r="J222" s="192">
        <v>0</v>
      </c>
      <c r="K222" s="193">
        <f>SUM(D222:J222)</f>
        <v>1.2</v>
      </c>
      <c r="L222" s="194">
        <v>0</v>
      </c>
      <c r="M222" s="194">
        <v>0</v>
      </c>
      <c r="N222" s="194">
        <f>L222+M222</f>
        <v>0</v>
      </c>
      <c r="O222" s="194"/>
      <c r="P222" s="195">
        <f>N222*K222</f>
        <v>0</v>
      </c>
      <c r="Q222" s="208"/>
    </row>
    <row r="223" spans="1:17" s="42" customFormat="1" x14ac:dyDescent="0.25">
      <c r="A223" s="157"/>
      <c r="B223" s="44"/>
      <c r="C223" s="44"/>
      <c r="D223" s="172"/>
      <c r="E223" s="44"/>
      <c r="F223" s="44"/>
      <c r="G223" s="44"/>
      <c r="H223" s="44"/>
      <c r="I223" s="44"/>
      <c r="J223" s="44"/>
      <c r="K223" s="118"/>
      <c r="L223" s="44"/>
      <c r="M223" s="44"/>
      <c r="N223" s="44"/>
      <c r="O223" s="44"/>
      <c r="P223" s="44"/>
      <c r="Q223" s="47"/>
    </row>
    <row r="224" spans="1:17" s="42" customFormat="1" ht="27.75" customHeight="1" x14ac:dyDescent="0.25">
      <c r="A224" s="166" t="s">
        <v>1095</v>
      </c>
      <c r="B224" s="27" t="s">
        <v>85</v>
      </c>
      <c r="C224" s="28"/>
      <c r="D224" s="181"/>
      <c r="E224" s="28"/>
      <c r="F224" s="28"/>
      <c r="G224" s="28"/>
      <c r="H224" s="28"/>
      <c r="I224" s="28"/>
      <c r="J224" s="28"/>
      <c r="K224" s="60"/>
      <c r="L224" s="29"/>
      <c r="M224" s="29"/>
      <c r="N224" s="29"/>
      <c r="O224" s="29"/>
      <c r="P224" s="23"/>
      <c r="Q224" s="152"/>
    </row>
    <row r="225" spans="1:17" s="42" customFormat="1" x14ac:dyDescent="0.25">
      <c r="A225" s="167"/>
      <c r="B225" s="30" t="s">
        <v>82</v>
      </c>
      <c r="C225" s="31"/>
      <c r="D225" s="182"/>
      <c r="E225" s="31"/>
      <c r="F225" s="31"/>
      <c r="G225" s="31"/>
      <c r="H225" s="31"/>
      <c r="I225" s="31"/>
      <c r="J225" s="31"/>
      <c r="K225" s="58"/>
      <c r="L225" s="26"/>
      <c r="M225" s="26"/>
      <c r="N225" s="26"/>
      <c r="O225" s="26"/>
      <c r="P225" s="38"/>
      <c r="Q225" s="152"/>
    </row>
    <row r="226" spans="1:17" s="42" customFormat="1" ht="25.5" x14ac:dyDescent="0.25">
      <c r="A226" s="167"/>
      <c r="B226" s="30" t="s">
        <v>1442</v>
      </c>
      <c r="C226" s="31"/>
      <c r="D226" s="182"/>
      <c r="E226" s="31"/>
      <c r="F226" s="31"/>
      <c r="G226" s="31"/>
      <c r="H226" s="31"/>
      <c r="I226" s="31"/>
      <c r="J226" s="31"/>
      <c r="K226" s="58"/>
      <c r="L226" s="26"/>
      <c r="M226" s="26"/>
      <c r="N226" s="26"/>
      <c r="O226" s="26"/>
      <c r="P226" s="38"/>
      <c r="Q226" s="152"/>
    </row>
    <row r="227" spans="1:17" s="42" customFormat="1" x14ac:dyDescent="0.25">
      <c r="A227" s="167"/>
      <c r="B227" s="30" t="s">
        <v>83</v>
      </c>
      <c r="C227" s="31"/>
      <c r="D227" s="182"/>
      <c r="E227" s="31"/>
      <c r="F227" s="31"/>
      <c r="G227" s="31"/>
      <c r="H227" s="31"/>
      <c r="I227" s="31"/>
      <c r="J227" s="31"/>
      <c r="K227" s="58"/>
      <c r="L227" s="26"/>
      <c r="M227" s="26"/>
      <c r="N227" s="26"/>
      <c r="O227" s="26"/>
      <c r="P227" s="38"/>
      <c r="Q227" s="152"/>
    </row>
    <row r="228" spans="1:17" s="42" customFormat="1" ht="15.75" thickBot="1" x14ac:dyDescent="0.3">
      <c r="A228" s="167"/>
      <c r="B228" s="30" t="s">
        <v>84</v>
      </c>
      <c r="C228" s="31"/>
      <c r="D228" s="182"/>
      <c r="E228" s="31"/>
      <c r="F228" s="31"/>
      <c r="G228" s="31"/>
      <c r="H228" s="31"/>
      <c r="I228" s="31"/>
      <c r="J228" s="31"/>
      <c r="K228" s="58"/>
      <c r="L228" s="26"/>
      <c r="M228" s="26"/>
      <c r="N228" s="26"/>
      <c r="O228" s="26"/>
      <c r="P228" s="38"/>
      <c r="Q228" s="152"/>
    </row>
    <row r="229" spans="1:17" s="200" customFormat="1" ht="26.25" thickBot="1" x14ac:dyDescent="0.3">
      <c r="A229" s="282" t="s">
        <v>1179</v>
      </c>
      <c r="B229" s="188" t="s">
        <v>1090</v>
      </c>
      <c r="C229" s="189" t="s">
        <v>1330</v>
      </c>
      <c r="D229" s="293">
        <v>47.2</v>
      </c>
      <c r="E229" s="191">
        <v>47.2</v>
      </c>
      <c r="F229" s="191">
        <v>116</v>
      </c>
      <c r="G229" s="191">
        <v>54</v>
      </c>
      <c r="H229" s="191">
        <v>64</v>
      </c>
      <c r="I229" s="191">
        <v>0</v>
      </c>
      <c r="J229" s="192">
        <v>0</v>
      </c>
      <c r="K229" s="193">
        <f>SUM(D229:J229)</f>
        <v>328.4</v>
      </c>
      <c r="L229" s="194">
        <v>0</v>
      </c>
      <c r="M229" s="194">
        <v>0</v>
      </c>
      <c r="N229" s="194">
        <f>L229+M229</f>
        <v>0</v>
      </c>
      <c r="O229" s="194"/>
      <c r="P229" s="195">
        <f>N229*K229</f>
        <v>0</v>
      </c>
      <c r="Q229" s="208"/>
    </row>
    <row r="230" spans="1:17" s="200" customFormat="1" ht="77.25" thickBot="1" x14ac:dyDescent="0.3">
      <c r="A230" s="282" t="s">
        <v>1180</v>
      </c>
      <c r="B230" s="188" t="s">
        <v>1091</v>
      </c>
      <c r="C230" s="189" t="s">
        <v>1330</v>
      </c>
      <c r="D230" s="293">
        <v>4.7200000000000006</v>
      </c>
      <c r="E230" s="191">
        <v>4.7200000000000006</v>
      </c>
      <c r="F230" s="191">
        <v>11.600000000000001</v>
      </c>
      <c r="G230" s="191">
        <v>5.4</v>
      </c>
      <c r="H230" s="191">
        <v>6.4</v>
      </c>
      <c r="I230" s="191">
        <v>0</v>
      </c>
      <c r="J230" s="192">
        <v>0</v>
      </c>
      <c r="K230" s="193">
        <f>SUM(D230:J230)</f>
        <v>32.840000000000003</v>
      </c>
      <c r="L230" s="194">
        <v>0</v>
      </c>
      <c r="M230" s="194">
        <v>0</v>
      </c>
      <c r="N230" s="194">
        <f>L230+M230</f>
        <v>0</v>
      </c>
      <c r="O230" s="194"/>
      <c r="P230" s="195">
        <f>N230*K230</f>
        <v>0</v>
      </c>
      <c r="Q230" s="208"/>
    </row>
    <row r="231" spans="1:17" s="200" customFormat="1" ht="15.75" thickBot="1" x14ac:dyDescent="0.3">
      <c r="A231" s="282" t="s">
        <v>1181</v>
      </c>
      <c r="B231" s="188" t="s">
        <v>79</v>
      </c>
      <c r="C231" s="189" t="s">
        <v>1330</v>
      </c>
      <c r="D231" s="293">
        <v>0.94400000000000006</v>
      </c>
      <c r="E231" s="191">
        <v>0.94400000000000006</v>
      </c>
      <c r="F231" s="191">
        <v>2.3199999999999998</v>
      </c>
      <c r="G231" s="191">
        <v>1.08</v>
      </c>
      <c r="H231" s="191">
        <v>1.28</v>
      </c>
      <c r="I231" s="191">
        <v>0</v>
      </c>
      <c r="J231" s="192">
        <v>0</v>
      </c>
      <c r="K231" s="193">
        <f>SUM(D231:J231)</f>
        <v>6.5680000000000005</v>
      </c>
      <c r="L231" s="194">
        <v>0</v>
      </c>
      <c r="M231" s="194">
        <v>0</v>
      </c>
      <c r="N231" s="194">
        <f>L231+M231</f>
        <v>0</v>
      </c>
      <c r="O231" s="194"/>
      <c r="P231" s="195">
        <f>N231*K231</f>
        <v>0</v>
      </c>
      <c r="Q231" s="208"/>
    </row>
    <row r="232" spans="1:17" s="42" customFormat="1" x14ac:dyDescent="0.25">
      <c r="A232" s="157"/>
      <c r="B232" s="44"/>
      <c r="C232" s="44"/>
      <c r="D232" s="172"/>
      <c r="E232" s="44"/>
      <c r="F232" s="44"/>
      <c r="G232" s="44"/>
      <c r="H232" s="44"/>
      <c r="I232" s="44"/>
      <c r="J232" s="44"/>
      <c r="K232" s="118"/>
      <c r="L232" s="44"/>
      <c r="M232" s="44"/>
      <c r="N232" s="44"/>
      <c r="O232" s="44"/>
      <c r="P232" s="44"/>
      <c r="Q232" s="47"/>
    </row>
    <row r="233" spans="1:17" s="42" customFormat="1" ht="27.75" customHeight="1" x14ac:dyDescent="0.25">
      <c r="A233" s="166" t="s">
        <v>1099</v>
      </c>
      <c r="B233" s="27" t="s">
        <v>1107</v>
      </c>
      <c r="C233" s="28"/>
      <c r="D233" s="181"/>
      <c r="E233" s="28"/>
      <c r="F233" s="28"/>
      <c r="G233" s="28"/>
      <c r="H233" s="28"/>
      <c r="I233" s="28"/>
      <c r="J233" s="28"/>
      <c r="K233" s="60"/>
      <c r="L233" s="29"/>
      <c r="M233" s="29"/>
      <c r="N233" s="29"/>
      <c r="O233" s="29"/>
      <c r="P233" s="23"/>
      <c r="Q233" s="152"/>
    </row>
    <row r="234" spans="1:17" s="42" customFormat="1" x14ac:dyDescent="0.25">
      <c r="A234" s="167"/>
      <c r="B234" s="30" t="s">
        <v>82</v>
      </c>
      <c r="C234" s="31"/>
      <c r="D234" s="182"/>
      <c r="E234" s="31"/>
      <c r="F234" s="31"/>
      <c r="G234" s="31"/>
      <c r="H234" s="31"/>
      <c r="I234" s="31"/>
      <c r="J234" s="31"/>
      <c r="K234" s="58"/>
      <c r="L234" s="26"/>
      <c r="M234" s="26"/>
      <c r="N234" s="26"/>
      <c r="O234" s="26"/>
      <c r="P234" s="38"/>
      <c r="Q234" s="152"/>
    </row>
    <row r="235" spans="1:17" s="42" customFormat="1" ht="25.5" x14ac:dyDescent="0.25">
      <c r="A235" s="167"/>
      <c r="B235" s="30" t="s">
        <v>1443</v>
      </c>
      <c r="C235" s="31"/>
      <c r="D235" s="182"/>
      <c r="E235" s="31"/>
      <c r="F235" s="31"/>
      <c r="G235" s="31"/>
      <c r="H235" s="31"/>
      <c r="I235" s="31"/>
      <c r="J235" s="31"/>
      <c r="K235" s="58"/>
      <c r="L235" s="26"/>
      <c r="M235" s="26"/>
      <c r="N235" s="26"/>
      <c r="O235" s="26"/>
      <c r="P235" s="38"/>
      <c r="Q235" s="152"/>
    </row>
    <row r="236" spans="1:17" s="42" customFormat="1" x14ac:dyDescent="0.25">
      <c r="A236" s="167"/>
      <c r="B236" s="30" t="s">
        <v>1109</v>
      </c>
      <c r="C236" s="31"/>
      <c r="D236" s="182"/>
      <c r="E236" s="31"/>
      <c r="F236" s="31"/>
      <c r="G236" s="31"/>
      <c r="H236" s="31"/>
      <c r="I236" s="31"/>
      <c r="J236" s="31"/>
      <c r="K236" s="58"/>
      <c r="L236" s="26"/>
      <c r="M236" s="26"/>
      <c r="N236" s="26"/>
      <c r="O236" s="26"/>
      <c r="P236" s="38"/>
      <c r="Q236" s="152"/>
    </row>
    <row r="237" spans="1:17" s="42" customFormat="1" ht="15.75" thickBot="1" x14ac:dyDescent="0.3">
      <c r="A237" s="167"/>
      <c r="B237" s="30" t="s">
        <v>84</v>
      </c>
      <c r="C237" s="31"/>
      <c r="D237" s="182"/>
      <c r="E237" s="31"/>
      <c r="F237" s="31"/>
      <c r="G237" s="31"/>
      <c r="H237" s="31"/>
      <c r="I237" s="31"/>
      <c r="J237" s="31"/>
      <c r="K237" s="58"/>
      <c r="L237" s="26"/>
      <c r="M237" s="26"/>
      <c r="N237" s="26"/>
      <c r="O237" s="26"/>
      <c r="P237" s="38"/>
      <c r="Q237" s="152"/>
    </row>
    <row r="238" spans="1:17" s="42" customFormat="1" ht="26.25" thickBot="1" x14ac:dyDescent="0.3">
      <c r="A238" s="166" t="s">
        <v>1182</v>
      </c>
      <c r="B238" s="137" t="s">
        <v>1090</v>
      </c>
      <c r="C238" s="135" t="s">
        <v>56</v>
      </c>
      <c r="D238" s="177">
        <v>10.6</v>
      </c>
      <c r="E238" s="36">
        <v>10.6</v>
      </c>
      <c r="F238" s="36">
        <v>12.8</v>
      </c>
      <c r="G238" s="36">
        <v>0</v>
      </c>
      <c r="H238" s="36">
        <v>8.4</v>
      </c>
      <c r="I238" s="36">
        <v>0</v>
      </c>
      <c r="J238" s="56">
        <v>0</v>
      </c>
      <c r="K238" s="62">
        <f>SUM(D238:J238)</f>
        <v>42.4</v>
      </c>
      <c r="L238" s="26">
        <v>0</v>
      </c>
      <c r="M238" s="26">
        <v>0</v>
      </c>
      <c r="N238" s="26">
        <f>L238+M238</f>
        <v>0</v>
      </c>
      <c r="O238" s="26"/>
      <c r="P238" s="22">
        <f>N238*K238</f>
        <v>0</v>
      </c>
      <c r="Q238" s="47"/>
    </row>
    <row r="239" spans="1:17" s="42" customFormat="1" ht="77.25" thickBot="1" x14ac:dyDescent="0.3">
      <c r="A239" s="166" t="s">
        <v>1183</v>
      </c>
      <c r="B239" s="137" t="s">
        <v>1091</v>
      </c>
      <c r="C239" s="135" t="s">
        <v>56</v>
      </c>
      <c r="D239" s="177">
        <v>1.06</v>
      </c>
      <c r="E239" s="36">
        <v>1.06</v>
      </c>
      <c r="F239" s="36">
        <v>1.2800000000000002</v>
      </c>
      <c r="G239" s="36">
        <v>0</v>
      </c>
      <c r="H239" s="36">
        <v>0.84000000000000008</v>
      </c>
      <c r="I239" s="36">
        <v>0</v>
      </c>
      <c r="J239" s="56">
        <v>0</v>
      </c>
      <c r="K239" s="62">
        <f>SUM(D239:J239)</f>
        <v>4.24</v>
      </c>
      <c r="L239" s="26">
        <v>0</v>
      </c>
      <c r="M239" s="26">
        <v>0</v>
      </c>
      <c r="N239" s="26">
        <f>L239+M239</f>
        <v>0</v>
      </c>
      <c r="O239" s="26"/>
      <c r="P239" s="22">
        <f>N239*K239</f>
        <v>0</v>
      </c>
      <c r="Q239" s="47"/>
    </row>
    <row r="240" spans="1:17" s="42" customFormat="1" ht="15.75" thickBot="1" x14ac:dyDescent="0.3">
      <c r="A240" s="166" t="s">
        <v>1184</v>
      </c>
      <c r="B240" s="137" t="s">
        <v>79</v>
      </c>
      <c r="C240" s="135" t="s">
        <v>56</v>
      </c>
      <c r="D240" s="177">
        <v>0.21199999999999999</v>
      </c>
      <c r="E240" s="36">
        <v>0.21199999999999999</v>
      </c>
      <c r="F240" s="36">
        <v>0.25600000000000001</v>
      </c>
      <c r="G240" s="36">
        <v>0</v>
      </c>
      <c r="H240" s="36">
        <v>0.16800000000000001</v>
      </c>
      <c r="I240" s="36">
        <v>0</v>
      </c>
      <c r="J240" s="56">
        <v>0</v>
      </c>
      <c r="K240" s="62">
        <f>SUM(D240:J240)</f>
        <v>0.84799999999999998</v>
      </c>
      <c r="L240" s="26">
        <v>0</v>
      </c>
      <c r="M240" s="26">
        <v>0</v>
      </c>
      <c r="N240" s="26">
        <f>L240+M240</f>
        <v>0</v>
      </c>
      <c r="O240" s="26"/>
      <c r="P240" s="22">
        <f>N240*K240</f>
        <v>0</v>
      </c>
      <c r="Q240" s="47"/>
    </row>
    <row r="241" spans="1:17" s="42" customFormat="1" x14ac:dyDescent="0.25">
      <c r="A241" s="157"/>
      <c r="B241" s="44"/>
      <c r="C241" s="44"/>
      <c r="D241" s="172"/>
      <c r="E241" s="44"/>
      <c r="F241" s="44"/>
      <c r="G241" s="44"/>
      <c r="H241" s="44"/>
      <c r="I241" s="44"/>
      <c r="J241" s="44"/>
      <c r="K241" s="118"/>
      <c r="L241" s="44"/>
      <c r="M241" s="44"/>
      <c r="N241" s="44"/>
      <c r="O241" s="44"/>
      <c r="P241" s="44"/>
      <c r="Q241" s="47"/>
    </row>
    <row r="242" spans="1:17" s="42" customFormat="1" ht="27.75" customHeight="1" x14ac:dyDescent="0.25">
      <c r="A242" s="166" t="s">
        <v>1102</v>
      </c>
      <c r="B242" s="27" t="s">
        <v>1100</v>
      </c>
      <c r="C242" s="28"/>
      <c r="D242" s="181"/>
      <c r="E242" s="28"/>
      <c r="F242" s="28"/>
      <c r="G242" s="28"/>
      <c r="H242" s="28"/>
      <c r="I242" s="28"/>
      <c r="J242" s="28"/>
      <c r="K242" s="60"/>
      <c r="L242" s="29"/>
      <c r="M242" s="29"/>
      <c r="N242" s="29"/>
      <c r="O242" s="29"/>
      <c r="P242" s="23"/>
      <c r="Q242" s="152"/>
    </row>
    <row r="243" spans="1:17" s="42" customFormat="1" x14ac:dyDescent="0.25">
      <c r="A243" s="167"/>
      <c r="B243" s="30" t="s">
        <v>1200</v>
      </c>
      <c r="C243" s="31"/>
      <c r="D243" s="182"/>
      <c r="E243" s="31"/>
      <c r="F243" s="31"/>
      <c r="G243" s="31"/>
      <c r="H243" s="31"/>
      <c r="I243" s="31"/>
      <c r="J243" s="31"/>
      <c r="K243" s="58"/>
      <c r="L243" s="26"/>
      <c r="M243" s="26"/>
      <c r="N243" s="26"/>
      <c r="O243" s="26"/>
      <c r="P243" s="38"/>
      <c r="Q243" s="152"/>
    </row>
    <row r="244" spans="1:17" s="42" customFormat="1" ht="26.25" thickBot="1" x14ac:dyDescent="0.3">
      <c r="A244" s="167"/>
      <c r="B244" s="30" t="s">
        <v>1444</v>
      </c>
      <c r="C244" s="31"/>
      <c r="D244" s="182"/>
      <c r="E244" s="31"/>
      <c r="F244" s="31"/>
      <c r="G244" s="31"/>
      <c r="H244" s="31"/>
      <c r="I244" s="31"/>
      <c r="J244" s="31"/>
      <c r="K244" s="58"/>
      <c r="L244" s="26"/>
      <c r="M244" s="26"/>
      <c r="N244" s="26"/>
      <c r="O244" s="26"/>
      <c r="P244" s="38"/>
      <c r="Q244" s="152"/>
    </row>
    <row r="245" spans="1:17" s="200" customFormat="1" ht="15.75" thickBot="1" x14ac:dyDescent="0.3">
      <c r="A245" s="282"/>
      <c r="B245" s="188" t="s">
        <v>46</v>
      </c>
      <c r="C245" s="189" t="s">
        <v>40</v>
      </c>
      <c r="D245" s="293">
        <v>23.2</v>
      </c>
      <c r="E245" s="191">
        <v>23.2</v>
      </c>
      <c r="F245" s="191">
        <v>14.8</v>
      </c>
      <c r="G245" s="191">
        <v>30</v>
      </c>
      <c r="H245" s="191">
        <v>7.4</v>
      </c>
      <c r="I245" s="191">
        <v>0</v>
      </c>
      <c r="J245" s="192">
        <v>0</v>
      </c>
      <c r="K245" s="193">
        <f>SUM(D245:J245)</f>
        <v>98.600000000000009</v>
      </c>
      <c r="L245" s="194">
        <v>0</v>
      </c>
      <c r="M245" s="194">
        <v>0</v>
      </c>
      <c r="N245" s="194">
        <f>L245+M245</f>
        <v>0</v>
      </c>
      <c r="O245" s="194"/>
      <c r="P245" s="195">
        <f>N245*K245</f>
        <v>0</v>
      </c>
      <c r="Q245" s="208"/>
    </row>
    <row r="246" spans="1:17" s="42" customFormat="1" x14ac:dyDescent="0.25">
      <c r="A246" s="157"/>
      <c r="B246" s="44"/>
      <c r="C246" s="44"/>
      <c r="D246" s="172"/>
      <c r="E246" s="44"/>
      <c r="F246" s="44"/>
      <c r="G246" s="44"/>
      <c r="H246" s="44"/>
      <c r="I246" s="44"/>
      <c r="J246" s="44"/>
      <c r="K246" s="118"/>
      <c r="L246" s="44"/>
      <c r="M246" s="44"/>
      <c r="N246" s="44"/>
      <c r="O246" s="44"/>
      <c r="P246" s="44"/>
      <c r="Q246" s="47"/>
    </row>
    <row r="247" spans="1:17" s="42" customFormat="1" ht="27.75" customHeight="1" x14ac:dyDescent="0.25">
      <c r="A247" s="166" t="s">
        <v>1294</v>
      </c>
      <c r="B247" s="147" t="s">
        <v>1107</v>
      </c>
      <c r="C247" s="28"/>
      <c r="D247" s="181"/>
      <c r="E247" s="28"/>
      <c r="F247" s="28"/>
      <c r="G247" s="28"/>
      <c r="H247" s="28"/>
      <c r="I247" s="28"/>
      <c r="J247" s="28"/>
      <c r="K247" s="60"/>
      <c r="L247" s="29"/>
      <c r="M247" s="29"/>
      <c r="N247" s="29"/>
      <c r="O247" s="29"/>
      <c r="P247" s="23"/>
      <c r="Q247" s="152"/>
    </row>
    <row r="248" spans="1:17" s="42" customFormat="1" x14ac:dyDescent="0.25">
      <c r="A248" s="167"/>
      <c r="B248" s="30" t="s">
        <v>82</v>
      </c>
      <c r="C248" s="31"/>
      <c r="D248" s="182"/>
      <c r="E248" s="31"/>
      <c r="F248" s="31"/>
      <c r="G248" s="31"/>
      <c r="H248" s="31"/>
      <c r="I248" s="31"/>
      <c r="J248" s="31"/>
      <c r="K248" s="58"/>
      <c r="L248" s="26"/>
      <c r="M248" s="26"/>
      <c r="N248" s="26"/>
      <c r="O248" s="26"/>
      <c r="P248" s="38"/>
      <c r="Q248" s="152"/>
    </row>
    <row r="249" spans="1:17" s="42" customFormat="1" ht="25.5" x14ac:dyDescent="0.25">
      <c r="A249" s="167"/>
      <c r="B249" s="30" t="s">
        <v>1445</v>
      </c>
      <c r="C249" s="31"/>
      <c r="D249" s="182"/>
      <c r="E249" s="31"/>
      <c r="F249" s="31"/>
      <c r="G249" s="31"/>
      <c r="H249" s="31"/>
      <c r="I249" s="31"/>
      <c r="J249" s="31"/>
      <c r="K249" s="58"/>
      <c r="L249" s="26"/>
      <c r="M249" s="26"/>
      <c r="N249" s="26"/>
      <c r="O249" s="26"/>
      <c r="P249" s="38"/>
      <c r="Q249" s="152"/>
    </row>
    <row r="250" spans="1:17" s="42" customFormat="1" x14ac:dyDescent="0.25">
      <c r="A250" s="167"/>
      <c r="B250" s="30" t="s">
        <v>1109</v>
      </c>
      <c r="C250" s="31"/>
      <c r="D250" s="182"/>
      <c r="E250" s="31"/>
      <c r="F250" s="31"/>
      <c r="G250" s="31"/>
      <c r="H250" s="31"/>
      <c r="I250" s="31"/>
      <c r="J250" s="31"/>
      <c r="K250" s="58"/>
      <c r="L250" s="26"/>
      <c r="M250" s="26"/>
      <c r="N250" s="26"/>
      <c r="O250" s="26"/>
      <c r="P250" s="38"/>
      <c r="Q250" s="152"/>
    </row>
    <row r="251" spans="1:17" s="42" customFormat="1" ht="15.75" thickBot="1" x14ac:dyDescent="0.3">
      <c r="A251" s="167"/>
      <c r="B251" s="30" t="s">
        <v>84</v>
      </c>
      <c r="C251" s="31"/>
      <c r="D251" s="182"/>
      <c r="E251" s="31"/>
      <c r="F251" s="31"/>
      <c r="G251" s="31"/>
      <c r="H251" s="31"/>
      <c r="I251" s="31"/>
      <c r="J251" s="31"/>
      <c r="K251" s="58"/>
      <c r="L251" s="26"/>
      <c r="M251" s="26"/>
      <c r="N251" s="26"/>
      <c r="O251" s="26"/>
      <c r="P251" s="38"/>
      <c r="Q251" s="152"/>
    </row>
    <row r="252" spans="1:17" s="200" customFormat="1" ht="26.25" thickBot="1" x14ac:dyDescent="0.3">
      <c r="A252" s="282" t="s">
        <v>1295</v>
      </c>
      <c r="B252" s="188" t="s">
        <v>1090</v>
      </c>
      <c r="C252" s="189" t="s">
        <v>1330</v>
      </c>
      <c r="D252" s="293">
        <v>0</v>
      </c>
      <c r="E252" s="191">
        <v>0</v>
      </c>
      <c r="F252" s="191">
        <v>0</v>
      </c>
      <c r="G252" s="191">
        <v>2</v>
      </c>
      <c r="H252" s="191">
        <v>0</v>
      </c>
      <c r="I252" s="191">
        <v>0</v>
      </c>
      <c r="J252" s="192">
        <v>0</v>
      </c>
      <c r="K252" s="193">
        <f>SUM(D252:J252)</f>
        <v>2</v>
      </c>
      <c r="L252" s="194">
        <v>0</v>
      </c>
      <c r="M252" s="194">
        <v>0</v>
      </c>
      <c r="N252" s="194">
        <f>L252+M252</f>
        <v>0</v>
      </c>
      <c r="O252" s="194"/>
      <c r="P252" s="195">
        <f>N252*K252</f>
        <v>0</v>
      </c>
      <c r="Q252" s="208"/>
    </row>
    <row r="253" spans="1:17" s="200" customFormat="1" ht="77.25" thickBot="1" x14ac:dyDescent="0.3">
      <c r="A253" s="282" t="s">
        <v>1296</v>
      </c>
      <c r="B253" s="188" t="s">
        <v>1091</v>
      </c>
      <c r="C253" s="189" t="s">
        <v>1330</v>
      </c>
      <c r="D253" s="293">
        <v>0</v>
      </c>
      <c r="E253" s="191">
        <v>0</v>
      </c>
      <c r="F253" s="191">
        <v>0</v>
      </c>
      <c r="G253" s="191">
        <v>0.2</v>
      </c>
      <c r="H253" s="191">
        <v>0</v>
      </c>
      <c r="I253" s="191">
        <v>0</v>
      </c>
      <c r="J253" s="192">
        <v>0</v>
      </c>
      <c r="K253" s="193">
        <f>SUM(D253:J253)</f>
        <v>0.2</v>
      </c>
      <c r="L253" s="194">
        <v>0</v>
      </c>
      <c r="M253" s="194">
        <v>0</v>
      </c>
      <c r="N253" s="194">
        <f>L253+M253</f>
        <v>0</v>
      </c>
      <c r="O253" s="194"/>
      <c r="P253" s="195">
        <f>N253*K253</f>
        <v>0</v>
      </c>
      <c r="Q253" s="208"/>
    </row>
    <row r="254" spans="1:17" s="200" customFormat="1" ht="15.75" thickBot="1" x14ac:dyDescent="0.3">
      <c r="A254" s="282" t="s">
        <v>1297</v>
      </c>
      <c r="B254" s="188" t="s">
        <v>79</v>
      </c>
      <c r="C254" s="189" t="s">
        <v>1330</v>
      </c>
      <c r="D254" s="293">
        <v>0</v>
      </c>
      <c r="E254" s="191">
        <v>0</v>
      </c>
      <c r="F254" s="191">
        <v>0</v>
      </c>
      <c r="G254" s="191">
        <v>0.04</v>
      </c>
      <c r="H254" s="191">
        <v>0</v>
      </c>
      <c r="I254" s="191">
        <v>0</v>
      </c>
      <c r="J254" s="192">
        <v>0</v>
      </c>
      <c r="K254" s="193">
        <f>SUM(D254:J254)</f>
        <v>0.04</v>
      </c>
      <c r="L254" s="194">
        <v>0</v>
      </c>
      <c r="M254" s="194">
        <v>0</v>
      </c>
      <c r="N254" s="194">
        <f>L254+M254</f>
        <v>0</v>
      </c>
      <c r="O254" s="194"/>
      <c r="P254" s="195">
        <f>N254*K254</f>
        <v>0</v>
      </c>
      <c r="Q254" s="208"/>
    </row>
    <row r="255" spans="1:17" s="42" customFormat="1" x14ac:dyDescent="0.25">
      <c r="A255" s="157"/>
      <c r="B255" s="44"/>
      <c r="C255" s="44"/>
      <c r="D255" s="172"/>
      <c r="E255" s="44"/>
      <c r="F255" s="44"/>
      <c r="G255" s="44"/>
      <c r="H255" s="44"/>
      <c r="I255" s="44"/>
      <c r="J255" s="44"/>
      <c r="K255" s="118"/>
      <c r="L255" s="44"/>
      <c r="M255" s="44"/>
      <c r="N255" s="44"/>
      <c r="O255" s="44"/>
      <c r="P255" s="44"/>
      <c r="Q255" s="47"/>
    </row>
    <row r="256" spans="1:17" s="42" customFormat="1" ht="27.75" customHeight="1" x14ac:dyDescent="0.25">
      <c r="A256" s="166" t="s">
        <v>1125</v>
      </c>
      <c r="B256" s="147" t="s">
        <v>1176</v>
      </c>
      <c r="C256" s="28"/>
      <c r="D256" s="181"/>
      <c r="E256" s="28"/>
      <c r="F256" s="28"/>
      <c r="G256" s="28"/>
      <c r="H256" s="28"/>
      <c r="I256" s="28"/>
      <c r="J256" s="28"/>
      <c r="K256" s="60"/>
      <c r="L256" s="29"/>
      <c r="M256" s="29"/>
      <c r="N256" s="29"/>
      <c r="O256" s="29"/>
      <c r="P256" s="23"/>
      <c r="Q256" s="152"/>
    </row>
    <row r="257" spans="1:17" s="42" customFormat="1" x14ac:dyDescent="0.25">
      <c r="A257" s="167"/>
      <c r="B257" s="141" t="s">
        <v>1097</v>
      </c>
      <c r="C257" s="31"/>
      <c r="D257" s="182"/>
      <c r="E257" s="31"/>
      <c r="F257" s="31"/>
      <c r="G257" s="31"/>
      <c r="H257" s="31"/>
      <c r="I257" s="31"/>
      <c r="J257" s="31"/>
      <c r="K257" s="58"/>
      <c r="L257" s="26"/>
      <c r="M257" s="26"/>
      <c r="N257" s="26"/>
      <c r="O257" s="26"/>
      <c r="P257" s="38"/>
      <c r="Q257" s="152"/>
    </row>
    <row r="258" spans="1:17" s="42" customFormat="1" ht="26.25" thickBot="1" x14ac:dyDescent="0.3">
      <c r="A258" s="167"/>
      <c r="B258" s="141" t="s">
        <v>1177</v>
      </c>
      <c r="C258" s="31"/>
      <c r="D258" s="182"/>
      <c r="E258" s="31"/>
      <c r="F258" s="31"/>
      <c r="G258" s="31"/>
      <c r="H258" s="31"/>
      <c r="I258" s="31"/>
      <c r="J258" s="31"/>
      <c r="K258" s="58"/>
      <c r="L258" s="26"/>
      <c r="M258" s="26"/>
      <c r="N258" s="26"/>
      <c r="O258" s="26"/>
      <c r="P258" s="38"/>
      <c r="Q258" s="152"/>
    </row>
    <row r="259" spans="1:17" s="200" customFormat="1" ht="15.75" thickBot="1" x14ac:dyDescent="0.3">
      <c r="A259" s="282"/>
      <c r="B259" s="188" t="s">
        <v>46</v>
      </c>
      <c r="C259" s="189" t="s">
        <v>40</v>
      </c>
      <c r="D259" s="293">
        <v>0</v>
      </c>
      <c r="E259" s="191">
        <v>0</v>
      </c>
      <c r="F259" s="191">
        <v>10.8</v>
      </c>
      <c r="G259" s="191">
        <v>5.2</v>
      </c>
      <c r="H259" s="191">
        <v>5.4</v>
      </c>
      <c r="I259" s="191">
        <v>0</v>
      </c>
      <c r="J259" s="192">
        <v>0</v>
      </c>
      <c r="K259" s="193">
        <f>SUM(D259:J259)</f>
        <v>21.4</v>
      </c>
      <c r="L259" s="194">
        <v>0</v>
      </c>
      <c r="M259" s="194">
        <v>0</v>
      </c>
      <c r="N259" s="194">
        <f>L259+M259</f>
        <v>0</v>
      </c>
      <c r="O259" s="194"/>
      <c r="P259" s="195">
        <f>N259*K259</f>
        <v>0</v>
      </c>
      <c r="Q259" s="208"/>
    </row>
    <row r="260" spans="1:17" s="42" customFormat="1" x14ac:dyDescent="0.25">
      <c r="A260" s="157"/>
      <c r="B260" s="44"/>
      <c r="C260" s="44"/>
      <c r="D260" s="172"/>
      <c r="E260" s="44"/>
      <c r="F260" s="44"/>
      <c r="G260" s="44"/>
      <c r="H260" s="44"/>
      <c r="I260" s="44"/>
      <c r="J260" s="44"/>
      <c r="K260" s="118"/>
      <c r="L260" s="44"/>
      <c r="M260" s="44"/>
      <c r="N260" s="44"/>
      <c r="O260" s="44"/>
      <c r="P260" s="44"/>
      <c r="Q260" s="47"/>
    </row>
    <row r="261" spans="1:17" s="42" customFormat="1" x14ac:dyDescent="0.25">
      <c r="A261" s="166" t="s">
        <v>1175</v>
      </c>
      <c r="B261" s="27" t="s">
        <v>1122</v>
      </c>
      <c r="C261" s="28"/>
      <c r="D261" s="181"/>
      <c r="E261" s="28"/>
      <c r="F261" s="28"/>
      <c r="G261" s="28"/>
      <c r="H261" s="28"/>
      <c r="I261" s="28"/>
      <c r="J261" s="28"/>
      <c r="K261" s="60"/>
      <c r="L261" s="29"/>
      <c r="M261" s="29"/>
      <c r="N261" s="29"/>
      <c r="O261" s="29"/>
      <c r="P261" s="23"/>
      <c r="Q261" s="152"/>
    </row>
    <row r="262" spans="1:17" s="42" customFormat="1" ht="38.25" x14ac:dyDescent="0.25">
      <c r="A262" s="167"/>
      <c r="B262" s="30" t="s">
        <v>1123</v>
      </c>
      <c r="C262" s="31"/>
      <c r="D262" s="182"/>
      <c r="E262" s="31"/>
      <c r="F262" s="31"/>
      <c r="G262" s="31"/>
      <c r="H262" s="31"/>
      <c r="I262" s="31"/>
      <c r="J262" s="31"/>
      <c r="K262" s="58"/>
      <c r="L262" s="26"/>
      <c r="M262" s="26"/>
      <c r="N262" s="26"/>
      <c r="O262" s="26"/>
      <c r="P262" s="38"/>
      <c r="Q262" s="152"/>
    </row>
    <row r="263" spans="1:17" s="42" customFormat="1" x14ac:dyDescent="0.25">
      <c r="A263" s="167"/>
      <c r="B263" s="30" t="s">
        <v>91</v>
      </c>
      <c r="C263" s="31"/>
      <c r="D263" s="182"/>
      <c r="E263" s="31"/>
      <c r="F263" s="31"/>
      <c r="G263" s="31"/>
      <c r="H263" s="31"/>
      <c r="I263" s="31"/>
      <c r="J263" s="31"/>
      <c r="K263" s="58"/>
      <c r="L263" s="26"/>
      <c r="M263" s="26"/>
      <c r="N263" s="26"/>
      <c r="O263" s="26"/>
      <c r="P263" s="38"/>
      <c r="Q263" s="152"/>
    </row>
    <row r="264" spans="1:17" s="42" customFormat="1" ht="15.75" thickBot="1" x14ac:dyDescent="0.3">
      <c r="A264" s="167"/>
      <c r="B264" s="30" t="s">
        <v>1124</v>
      </c>
      <c r="C264" s="31"/>
      <c r="D264" s="182"/>
      <c r="E264" s="31"/>
      <c r="F264" s="31"/>
      <c r="G264" s="31"/>
      <c r="H264" s="31"/>
      <c r="I264" s="31"/>
      <c r="J264" s="31"/>
      <c r="K264" s="58"/>
      <c r="L264" s="26"/>
      <c r="M264" s="26"/>
      <c r="N264" s="26"/>
      <c r="O264" s="26"/>
      <c r="P264" s="38"/>
      <c r="Q264" s="152"/>
    </row>
    <row r="265" spans="1:17" s="156" customFormat="1" ht="15.75" thickBot="1" x14ac:dyDescent="0.3">
      <c r="A265" s="168"/>
      <c r="B265" s="137" t="s">
        <v>94</v>
      </c>
      <c r="C265" s="135" t="s">
        <v>56</v>
      </c>
      <c r="D265" s="177">
        <v>0</v>
      </c>
      <c r="E265" s="36">
        <v>4</v>
      </c>
      <c r="F265" s="36">
        <v>20</v>
      </c>
      <c r="G265" s="36">
        <v>5</v>
      </c>
      <c r="H265" s="36">
        <v>12</v>
      </c>
      <c r="I265" s="36">
        <v>0</v>
      </c>
      <c r="J265" s="56">
        <v>0</v>
      </c>
      <c r="K265" s="62">
        <f>SUM(D265:J265)</f>
        <v>41</v>
      </c>
      <c r="L265" s="55">
        <v>0</v>
      </c>
      <c r="M265" s="36">
        <v>0</v>
      </c>
      <c r="N265" s="36">
        <f>L265+M265</f>
        <v>0</v>
      </c>
      <c r="O265" s="36"/>
      <c r="P265" s="51">
        <f>N265*K265</f>
        <v>0</v>
      </c>
      <c r="Q265" s="155"/>
    </row>
    <row r="266" spans="1:17" s="42" customFormat="1" x14ac:dyDescent="0.25">
      <c r="A266" s="157"/>
      <c r="B266" s="44"/>
      <c r="C266" s="44"/>
      <c r="D266" s="172"/>
      <c r="E266" s="44"/>
      <c r="F266" s="44"/>
      <c r="G266" s="44"/>
      <c r="H266" s="44"/>
      <c r="I266" s="44"/>
      <c r="J266" s="44"/>
      <c r="K266" s="118"/>
      <c r="L266" s="44"/>
      <c r="M266" s="44"/>
      <c r="N266" s="44"/>
      <c r="O266" s="44"/>
      <c r="P266" s="44"/>
      <c r="Q266" s="47"/>
    </row>
    <row r="267" spans="1:17" s="42" customFormat="1" ht="27.75" customHeight="1" x14ac:dyDescent="0.25">
      <c r="A267" s="166" t="s">
        <v>1201</v>
      </c>
      <c r="B267" s="147" t="s">
        <v>1194</v>
      </c>
      <c r="C267" s="28"/>
      <c r="D267" s="181"/>
      <c r="E267" s="28"/>
      <c r="F267" s="28"/>
      <c r="G267" s="28"/>
      <c r="H267" s="28"/>
      <c r="I267" s="28"/>
      <c r="J267" s="28"/>
      <c r="K267" s="60"/>
      <c r="L267" s="29"/>
      <c r="M267" s="29"/>
      <c r="N267" s="29"/>
      <c r="O267" s="29"/>
      <c r="P267" s="23"/>
      <c r="Q267" s="152"/>
    </row>
    <row r="268" spans="1:17" s="42" customFormat="1" x14ac:dyDescent="0.25">
      <c r="A268" s="167"/>
      <c r="B268" s="141" t="s">
        <v>1195</v>
      </c>
      <c r="C268" s="31"/>
      <c r="D268" s="182"/>
      <c r="E268" s="31"/>
      <c r="F268" s="31"/>
      <c r="G268" s="31"/>
      <c r="H268" s="31"/>
      <c r="I268" s="31"/>
      <c r="J268" s="31"/>
      <c r="K268" s="58"/>
      <c r="L268" s="26"/>
      <c r="M268" s="26"/>
      <c r="N268" s="26"/>
      <c r="O268" s="26"/>
      <c r="P268" s="38"/>
      <c r="Q268" s="152"/>
    </row>
    <row r="269" spans="1:17" s="42" customFormat="1" ht="25.5" x14ac:dyDescent="0.25">
      <c r="A269" s="167"/>
      <c r="B269" s="141" t="s">
        <v>1197</v>
      </c>
      <c r="C269" s="31"/>
      <c r="D269" s="182"/>
      <c r="E269" s="31"/>
      <c r="F269" s="31"/>
      <c r="G269" s="31"/>
      <c r="H269" s="31"/>
      <c r="I269" s="31"/>
      <c r="J269" s="31"/>
      <c r="K269" s="58"/>
      <c r="L269" s="26"/>
      <c r="M269" s="26"/>
      <c r="N269" s="26"/>
      <c r="O269" s="26"/>
      <c r="P269" s="38"/>
      <c r="Q269" s="152"/>
    </row>
    <row r="270" spans="1:17" s="42" customFormat="1" x14ac:dyDescent="0.25">
      <c r="A270" s="167"/>
      <c r="B270" s="141" t="s">
        <v>1196</v>
      </c>
      <c r="C270" s="31"/>
      <c r="D270" s="182"/>
      <c r="E270" s="31"/>
      <c r="F270" s="31"/>
      <c r="G270" s="31"/>
      <c r="H270" s="31"/>
      <c r="I270" s="31"/>
      <c r="J270" s="31"/>
      <c r="K270" s="58"/>
      <c r="L270" s="26"/>
      <c r="M270" s="26"/>
      <c r="N270" s="26"/>
      <c r="O270" s="26"/>
      <c r="P270" s="38"/>
      <c r="Q270" s="152"/>
    </row>
    <row r="271" spans="1:17" s="42" customFormat="1" ht="15.75" thickBot="1" x14ac:dyDescent="0.3">
      <c r="A271" s="167"/>
      <c r="B271" s="141" t="s">
        <v>84</v>
      </c>
      <c r="C271" s="31"/>
      <c r="D271" s="182"/>
      <c r="E271" s="31"/>
      <c r="F271" s="31"/>
      <c r="G271" s="31"/>
      <c r="H271" s="31"/>
      <c r="I271" s="31"/>
      <c r="J271" s="31"/>
      <c r="K271" s="58"/>
      <c r="L271" s="26"/>
      <c r="M271" s="26"/>
      <c r="N271" s="26"/>
      <c r="O271" s="26"/>
      <c r="P271" s="38"/>
      <c r="Q271" s="152"/>
    </row>
    <row r="272" spans="1:17" s="200" customFormat="1" ht="26.25" thickBot="1" x14ac:dyDescent="0.3">
      <c r="A272" s="282" t="s">
        <v>1203</v>
      </c>
      <c r="B272" s="188" t="s">
        <v>1090</v>
      </c>
      <c r="C272" s="189" t="s">
        <v>1330</v>
      </c>
      <c r="D272" s="293">
        <v>56</v>
      </c>
      <c r="E272" s="191">
        <v>0</v>
      </c>
      <c r="F272" s="191">
        <v>0</v>
      </c>
      <c r="G272" s="191">
        <v>0</v>
      </c>
      <c r="H272" s="191">
        <v>0</v>
      </c>
      <c r="I272" s="191">
        <v>0</v>
      </c>
      <c r="J272" s="192">
        <v>0</v>
      </c>
      <c r="K272" s="193">
        <f>SUM(D272:J272)</f>
        <v>56</v>
      </c>
      <c r="L272" s="194">
        <v>0</v>
      </c>
      <c r="M272" s="194">
        <v>0</v>
      </c>
      <c r="N272" s="194">
        <f>L272+M272</f>
        <v>0</v>
      </c>
      <c r="O272" s="194"/>
      <c r="P272" s="195">
        <f>N272*K272</f>
        <v>0</v>
      </c>
      <c r="Q272" s="208"/>
    </row>
    <row r="273" spans="1:17" s="200" customFormat="1" ht="77.25" thickBot="1" x14ac:dyDescent="0.3">
      <c r="A273" s="282" t="s">
        <v>1202</v>
      </c>
      <c r="B273" s="188" t="s">
        <v>1091</v>
      </c>
      <c r="C273" s="189" t="s">
        <v>1330</v>
      </c>
      <c r="D273" s="293">
        <v>5.6000000000000005</v>
      </c>
      <c r="E273" s="191">
        <v>0</v>
      </c>
      <c r="F273" s="191">
        <v>0</v>
      </c>
      <c r="G273" s="191">
        <v>0</v>
      </c>
      <c r="H273" s="191">
        <v>0</v>
      </c>
      <c r="I273" s="191">
        <v>0</v>
      </c>
      <c r="J273" s="192">
        <v>0</v>
      </c>
      <c r="K273" s="193">
        <f>SUM(D273:J273)</f>
        <v>5.6000000000000005</v>
      </c>
      <c r="L273" s="194">
        <v>0</v>
      </c>
      <c r="M273" s="194">
        <v>0</v>
      </c>
      <c r="N273" s="194">
        <f>L273+M273</f>
        <v>0</v>
      </c>
      <c r="O273" s="194"/>
      <c r="P273" s="195">
        <f>N273*K273</f>
        <v>0</v>
      </c>
      <c r="Q273" s="208"/>
    </row>
    <row r="274" spans="1:17" s="200" customFormat="1" ht="15.75" thickBot="1" x14ac:dyDescent="0.3">
      <c r="A274" s="282" t="s">
        <v>1204</v>
      </c>
      <c r="B274" s="188" t="s">
        <v>79</v>
      </c>
      <c r="C274" s="189" t="s">
        <v>1330</v>
      </c>
      <c r="D274" s="293">
        <v>1.1200000000000001</v>
      </c>
      <c r="E274" s="191">
        <v>0</v>
      </c>
      <c r="F274" s="191">
        <v>0</v>
      </c>
      <c r="G274" s="191">
        <v>0</v>
      </c>
      <c r="H274" s="191">
        <v>0</v>
      </c>
      <c r="I274" s="191">
        <v>0</v>
      </c>
      <c r="J274" s="192">
        <v>0</v>
      </c>
      <c r="K274" s="193">
        <f>SUM(D274:J274)</f>
        <v>1.1200000000000001</v>
      </c>
      <c r="L274" s="194">
        <v>0</v>
      </c>
      <c r="M274" s="194">
        <v>0</v>
      </c>
      <c r="N274" s="194">
        <f>L274+M274</f>
        <v>0</v>
      </c>
      <c r="O274" s="194"/>
      <c r="P274" s="195">
        <f>N274*K274</f>
        <v>0</v>
      </c>
      <c r="Q274" s="208"/>
    </row>
    <row r="275" spans="1:17" s="42" customFormat="1" x14ac:dyDescent="0.25">
      <c r="A275" s="157"/>
      <c r="B275" s="44"/>
      <c r="C275" s="44"/>
      <c r="D275" s="172"/>
      <c r="E275" s="44"/>
      <c r="F275" s="44"/>
      <c r="G275" s="44"/>
      <c r="H275" s="44"/>
      <c r="I275" s="44"/>
      <c r="J275" s="44"/>
      <c r="K275" s="118"/>
      <c r="L275" s="44"/>
      <c r="M275" s="44"/>
      <c r="N275" s="44"/>
      <c r="O275" s="44"/>
      <c r="P275" s="44"/>
      <c r="Q275" s="47"/>
    </row>
    <row r="276" spans="1:17" s="42" customFormat="1" ht="17.25" customHeight="1" x14ac:dyDescent="0.25">
      <c r="A276" s="166" t="s">
        <v>1205</v>
      </c>
      <c r="B276" s="147" t="s">
        <v>1207</v>
      </c>
      <c r="C276" s="28"/>
      <c r="D276" s="181"/>
      <c r="E276" s="28"/>
      <c r="F276" s="28"/>
      <c r="G276" s="28"/>
      <c r="H276" s="28"/>
      <c r="I276" s="28"/>
      <c r="J276" s="28"/>
      <c r="K276" s="60"/>
      <c r="L276" s="29"/>
      <c r="M276" s="29"/>
      <c r="N276" s="29"/>
      <c r="O276" s="29"/>
      <c r="P276" s="23"/>
      <c r="Q276" s="152"/>
    </row>
    <row r="277" spans="1:17" s="42" customFormat="1" x14ac:dyDescent="0.25">
      <c r="A277" s="167"/>
      <c r="B277" s="141" t="s">
        <v>1200</v>
      </c>
      <c r="C277" s="31"/>
      <c r="D277" s="182"/>
      <c r="E277" s="31"/>
      <c r="F277" s="31"/>
      <c r="G277" s="31"/>
      <c r="H277" s="31"/>
      <c r="I277" s="31"/>
      <c r="J277" s="31"/>
      <c r="K277" s="58"/>
      <c r="L277" s="26"/>
      <c r="M277" s="26"/>
      <c r="N277" s="26"/>
      <c r="O277" s="26"/>
      <c r="P277" s="38"/>
      <c r="Q277" s="152"/>
    </row>
    <row r="278" spans="1:17" s="42" customFormat="1" ht="26.25" thickBot="1" x14ac:dyDescent="0.3">
      <c r="A278" s="167"/>
      <c r="B278" s="141" t="s">
        <v>1206</v>
      </c>
      <c r="C278" s="31"/>
      <c r="D278" s="182"/>
      <c r="E278" s="31"/>
      <c r="F278" s="31"/>
      <c r="G278" s="31"/>
      <c r="H278" s="31"/>
      <c r="I278" s="31"/>
      <c r="J278" s="31"/>
      <c r="K278" s="58"/>
      <c r="L278" s="26"/>
      <c r="M278" s="26"/>
      <c r="N278" s="26"/>
      <c r="O278" s="26"/>
      <c r="P278" s="38"/>
      <c r="Q278" s="152"/>
    </row>
    <row r="279" spans="1:17" s="42" customFormat="1" ht="15.75" thickBot="1" x14ac:dyDescent="0.3">
      <c r="A279" s="166"/>
      <c r="B279" s="148" t="s">
        <v>46</v>
      </c>
      <c r="C279" s="135" t="s">
        <v>40</v>
      </c>
      <c r="D279" s="177">
        <v>21.7</v>
      </c>
      <c r="E279" s="36">
        <v>0</v>
      </c>
      <c r="F279" s="36">
        <v>0</v>
      </c>
      <c r="G279" s="36">
        <v>0</v>
      </c>
      <c r="H279" s="36">
        <v>0</v>
      </c>
      <c r="I279" s="36">
        <v>0</v>
      </c>
      <c r="J279" s="56">
        <v>0</v>
      </c>
      <c r="K279" s="62">
        <f>SUM(D279:J279)</f>
        <v>21.7</v>
      </c>
      <c r="L279" s="26">
        <v>0</v>
      </c>
      <c r="M279" s="26">
        <v>0</v>
      </c>
      <c r="N279" s="26">
        <f>L279+M279</f>
        <v>0</v>
      </c>
      <c r="O279" s="26"/>
      <c r="P279" s="22">
        <f>N279*K279</f>
        <v>0</v>
      </c>
      <c r="Q279" s="47"/>
    </row>
    <row r="280" spans="1:17" s="42" customFormat="1" x14ac:dyDescent="0.25">
      <c r="A280" s="167"/>
      <c r="B280" s="141"/>
      <c r="C280" s="25"/>
      <c r="D280" s="178"/>
      <c r="E280" s="26"/>
      <c r="F280" s="26"/>
      <c r="G280" s="26"/>
      <c r="H280" s="26"/>
      <c r="I280" s="26"/>
      <c r="J280" s="26"/>
      <c r="K280" s="58"/>
      <c r="L280" s="26"/>
      <c r="M280" s="26"/>
      <c r="N280" s="26"/>
      <c r="O280" s="26"/>
      <c r="P280" s="22"/>
      <c r="Q280" s="47"/>
    </row>
    <row r="281" spans="1:17" s="42" customFormat="1" ht="25.5" x14ac:dyDescent="0.25">
      <c r="A281" s="282" t="s">
        <v>1245</v>
      </c>
      <c r="B281" s="27" t="s">
        <v>1241</v>
      </c>
      <c r="C281" s="28"/>
      <c r="D281" s="181"/>
      <c r="E281" s="28"/>
      <c r="F281" s="28"/>
      <c r="G281" s="28"/>
      <c r="H281" s="28"/>
      <c r="I281" s="28"/>
      <c r="J281" s="28"/>
      <c r="K281" s="60"/>
      <c r="L281" s="29"/>
      <c r="M281" s="29"/>
      <c r="N281" s="29"/>
      <c r="O281" s="29"/>
      <c r="P281" s="23"/>
      <c r="Q281" s="47"/>
    </row>
    <row r="282" spans="1:17" s="42" customFormat="1" ht="76.5" x14ac:dyDescent="0.25">
      <c r="A282" s="159"/>
      <c r="B282" s="202" t="s">
        <v>1377</v>
      </c>
      <c r="C282" s="25"/>
      <c r="D282" s="178"/>
      <c r="E282" s="26"/>
      <c r="F282" s="26"/>
      <c r="G282" s="26"/>
      <c r="H282" s="26"/>
      <c r="I282" s="26"/>
      <c r="J282" s="26"/>
      <c r="K282" s="58"/>
      <c r="L282" s="26"/>
      <c r="M282" s="26"/>
      <c r="N282" s="26"/>
      <c r="O282" s="26"/>
      <c r="P282" s="22"/>
      <c r="Q282" s="47"/>
    </row>
    <row r="283" spans="1:17" s="42" customFormat="1" ht="26.25" thickBot="1" x14ac:dyDescent="0.3">
      <c r="A283" s="159"/>
      <c r="B283" s="141" t="s">
        <v>1242</v>
      </c>
      <c r="C283" s="25"/>
      <c r="D283" s="178"/>
      <c r="E283" s="26"/>
      <c r="F283" s="26"/>
      <c r="G283" s="26"/>
      <c r="H283" s="26"/>
      <c r="I283" s="26"/>
      <c r="J283" s="26"/>
      <c r="K283" s="58"/>
      <c r="L283" s="26"/>
      <c r="M283" s="26"/>
      <c r="N283" s="26"/>
      <c r="O283" s="26"/>
      <c r="P283" s="22"/>
      <c r="Q283" s="47"/>
    </row>
    <row r="284" spans="1:17" s="200" customFormat="1" ht="15.75" thickBot="1" x14ac:dyDescent="0.3">
      <c r="A284" s="187"/>
      <c r="B284" s="188" t="s">
        <v>46</v>
      </c>
      <c r="C284" s="189" t="s">
        <v>40</v>
      </c>
      <c r="D284" s="293">
        <v>13.2</v>
      </c>
      <c r="E284" s="191">
        <v>13.2</v>
      </c>
      <c r="F284" s="191">
        <v>35.200000000000003</v>
      </c>
      <c r="G284" s="191">
        <v>15</v>
      </c>
      <c r="H284" s="191">
        <v>21.4</v>
      </c>
      <c r="I284" s="191">
        <v>0</v>
      </c>
      <c r="J284" s="192">
        <v>0</v>
      </c>
      <c r="K284" s="193">
        <f>SUM(D284:J284)</f>
        <v>98</v>
      </c>
      <c r="L284" s="194">
        <v>0</v>
      </c>
      <c r="M284" s="194">
        <v>0</v>
      </c>
      <c r="N284" s="194">
        <f>L284+M284</f>
        <v>0</v>
      </c>
      <c r="O284" s="194"/>
      <c r="P284" s="195">
        <f>N284*K284</f>
        <v>0</v>
      </c>
      <c r="Q284" s="208"/>
    </row>
    <row r="285" spans="1:17" s="42" customFormat="1" x14ac:dyDescent="0.25">
      <c r="A285" s="169"/>
      <c r="B285" s="30"/>
      <c r="C285" s="25"/>
      <c r="D285" s="178"/>
      <c r="E285" s="26"/>
      <c r="F285" s="26"/>
      <c r="G285" s="26"/>
      <c r="H285" s="26"/>
      <c r="I285" s="26"/>
      <c r="J285" s="26"/>
      <c r="K285" s="58"/>
      <c r="L285" s="26"/>
      <c r="M285" s="26"/>
      <c r="N285" s="26"/>
      <c r="O285" s="26"/>
      <c r="P285" s="22"/>
      <c r="Q285" s="47"/>
    </row>
    <row r="286" spans="1:17" s="42" customFormat="1" ht="25.5" x14ac:dyDescent="0.25">
      <c r="A286" s="282" t="s">
        <v>1246</v>
      </c>
      <c r="B286" s="27" t="s">
        <v>1243</v>
      </c>
      <c r="C286" s="28"/>
      <c r="D286" s="181"/>
      <c r="E286" s="28"/>
      <c r="F286" s="28"/>
      <c r="G286" s="28"/>
      <c r="H286" s="28"/>
      <c r="I286" s="28"/>
      <c r="J286" s="28"/>
      <c r="K286" s="60"/>
      <c r="L286" s="29"/>
      <c r="M286" s="29"/>
      <c r="N286" s="29"/>
      <c r="O286" s="29"/>
      <c r="P286" s="23"/>
      <c r="Q286" s="47"/>
    </row>
    <row r="287" spans="1:17" s="42" customFormat="1" ht="63.75" x14ac:dyDescent="0.25">
      <c r="A287" s="159"/>
      <c r="B287" s="202" t="s">
        <v>1378</v>
      </c>
      <c r="C287" s="25"/>
      <c r="D287" s="178"/>
      <c r="E287" s="26"/>
      <c r="F287" s="26"/>
      <c r="G287" s="26"/>
      <c r="H287" s="26"/>
      <c r="I287" s="26"/>
      <c r="J287" s="26"/>
      <c r="K287" s="58"/>
      <c r="L287" s="26"/>
      <c r="M287" s="26"/>
      <c r="N287" s="26"/>
      <c r="O287" s="26"/>
      <c r="P287" s="22"/>
      <c r="Q287" s="47"/>
    </row>
    <row r="288" spans="1:17" s="42" customFormat="1" ht="26.25" thickBot="1" x14ac:dyDescent="0.3">
      <c r="A288" s="159"/>
      <c r="B288" s="141" t="s">
        <v>1244</v>
      </c>
      <c r="C288" s="25"/>
      <c r="D288" s="178"/>
      <c r="E288" s="26"/>
      <c r="F288" s="26"/>
      <c r="G288" s="26"/>
      <c r="H288" s="26"/>
      <c r="I288" s="26"/>
      <c r="J288" s="26"/>
      <c r="K288" s="58"/>
      <c r="L288" s="26"/>
      <c r="M288" s="26"/>
      <c r="N288" s="26"/>
      <c r="O288" s="26"/>
      <c r="P288" s="22"/>
      <c r="Q288" s="47"/>
    </row>
    <row r="289" spans="1:22" s="288" customFormat="1" thickBot="1" x14ac:dyDescent="0.25">
      <c r="A289" s="187"/>
      <c r="B289" s="188" t="s">
        <v>46</v>
      </c>
      <c r="C289" s="189" t="s">
        <v>40</v>
      </c>
      <c r="D289" s="293">
        <v>6</v>
      </c>
      <c r="E289" s="191">
        <v>6</v>
      </c>
      <c r="F289" s="191">
        <v>32.799999999999997</v>
      </c>
      <c r="G289" s="191">
        <v>0</v>
      </c>
      <c r="H289" s="191">
        <v>9.4</v>
      </c>
      <c r="I289" s="191">
        <v>0</v>
      </c>
      <c r="J289" s="192">
        <v>0</v>
      </c>
      <c r="K289" s="193">
        <f>SUM(D289:J289)</f>
        <v>54.199999999999996</v>
      </c>
      <c r="L289" s="194">
        <v>0</v>
      </c>
      <c r="M289" s="194">
        <v>0</v>
      </c>
      <c r="N289" s="194">
        <f>L289+M289</f>
        <v>0</v>
      </c>
      <c r="O289" s="194"/>
      <c r="P289" s="195">
        <f>N289*K289</f>
        <v>0</v>
      </c>
      <c r="Q289" s="287"/>
    </row>
    <row r="290" spans="1:22" s="1" customFormat="1" ht="12.75" x14ac:dyDescent="0.2">
      <c r="A290" s="163"/>
      <c r="B290" s="5"/>
      <c r="C290" s="139"/>
      <c r="D290" s="182"/>
      <c r="E290" s="31"/>
      <c r="F290" s="31"/>
      <c r="G290" s="31"/>
      <c r="H290" s="31"/>
      <c r="I290" s="31"/>
      <c r="J290" s="31"/>
      <c r="K290" s="58"/>
      <c r="L290" s="26"/>
      <c r="M290" s="26"/>
      <c r="N290" s="26"/>
      <c r="O290" s="26"/>
      <c r="P290" s="38"/>
      <c r="Q290" s="153"/>
      <c r="S290" s="32"/>
      <c r="V290" s="140"/>
    </row>
    <row r="291" spans="1:22" s="32" customFormat="1" ht="14.25" x14ac:dyDescent="0.2">
      <c r="A291" s="168"/>
      <c r="B291" s="137"/>
      <c r="C291" s="135"/>
      <c r="D291" s="174"/>
      <c r="E291" s="25"/>
      <c r="F291" s="25"/>
      <c r="G291" s="25"/>
      <c r="H291" s="25"/>
      <c r="I291" s="25"/>
      <c r="J291" s="25"/>
      <c r="K291" s="58"/>
      <c r="L291" s="26"/>
      <c r="M291" s="26"/>
      <c r="N291" s="26"/>
      <c r="O291" s="26"/>
      <c r="P291" s="35"/>
      <c r="Q291" s="37"/>
    </row>
    <row r="292" spans="1:22" s="132" customFormat="1" ht="15.75" x14ac:dyDescent="0.25">
      <c r="A292" s="160" t="s">
        <v>52</v>
      </c>
      <c r="B292" s="130" t="s">
        <v>1024</v>
      </c>
      <c r="C292" s="49"/>
      <c r="D292" s="180"/>
      <c r="E292" s="49"/>
      <c r="F292" s="49"/>
      <c r="G292" s="49"/>
      <c r="H292" s="49"/>
      <c r="I292" s="49"/>
      <c r="J292" s="49"/>
      <c r="K292" s="131"/>
      <c r="L292" s="49"/>
      <c r="M292" s="49"/>
      <c r="N292" s="476" t="s">
        <v>57</v>
      </c>
      <c r="O292" s="476"/>
      <c r="P292" s="50">
        <f>SUM(P159:P290)</f>
        <v>0</v>
      </c>
      <c r="Q292" s="151"/>
    </row>
    <row r="294" spans="1:22" s="132" customFormat="1" ht="15.75" x14ac:dyDescent="0.25">
      <c r="A294" s="160" t="s">
        <v>52</v>
      </c>
      <c r="B294" s="130" t="s">
        <v>1319</v>
      </c>
      <c r="C294" s="49"/>
      <c r="D294" s="49"/>
      <c r="E294" s="49"/>
      <c r="F294" s="49"/>
      <c r="G294" s="49"/>
      <c r="H294" s="49"/>
      <c r="I294" s="49"/>
      <c r="J294" s="49"/>
      <c r="K294" s="49"/>
      <c r="L294" s="49"/>
      <c r="M294" s="49"/>
      <c r="N294" s="49"/>
      <c r="O294" s="131"/>
      <c r="P294" s="49"/>
      <c r="Q294" s="49"/>
      <c r="R294" s="476" t="s">
        <v>57</v>
      </c>
      <c r="S294" s="476"/>
      <c r="T294" s="50">
        <f>P292*6</f>
        <v>0</v>
      </c>
      <c r="U294" s="151"/>
    </row>
    <row r="296" spans="1:22" s="132" customFormat="1" ht="15.75" x14ac:dyDescent="0.25">
      <c r="A296" s="160"/>
      <c r="B296" s="130" t="s">
        <v>1308</v>
      </c>
      <c r="C296" s="49"/>
      <c r="D296" s="49"/>
      <c r="E296" s="49"/>
      <c r="F296" s="49"/>
      <c r="G296" s="49"/>
      <c r="H296" s="49"/>
      <c r="I296" s="49"/>
      <c r="J296" s="49"/>
      <c r="K296" s="49"/>
      <c r="L296" s="49"/>
      <c r="M296" s="49"/>
      <c r="N296" s="49"/>
      <c r="O296" s="131"/>
      <c r="P296" s="49"/>
      <c r="Q296" s="49"/>
      <c r="R296" s="476"/>
      <c r="S296" s="476"/>
      <c r="T296" s="50">
        <f>SUM(T294,T153)</f>
        <v>0</v>
      </c>
      <c r="U296" s="151"/>
    </row>
  </sheetData>
  <mergeCells count="11">
    <mergeCell ref="R294:S294"/>
    <mergeCell ref="R296:S296"/>
    <mergeCell ref="D157:J157"/>
    <mergeCell ref="N292:O292"/>
    <mergeCell ref="B2:R3"/>
    <mergeCell ref="B5:T5"/>
    <mergeCell ref="D7:N7"/>
    <mergeCell ref="D8:N8"/>
    <mergeCell ref="R151:S151"/>
    <mergeCell ref="D156:J156"/>
    <mergeCell ref="R153:S153"/>
  </mergeCells>
  <conditionalFormatting sqref="P291:P292">
    <cfRule type="cellIs" dxfId="59" priority="5" stopIfTrue="1" operator="greaterThan">
      <formula>0</formula>
    </cfRule>
  </conditionalFormatting>
  <conditionalFormatting sqref="T11">
    <cfRule type="cellIs" dxfId="58" priority="7" stopIfTrue="1" operator="greaterThan">
      <formula>0</formula>
    </cfRule>
  </conditionalFormatting>
  <conditionalFormatting sqref="T139 T141:T142 T144 T146:T147 T149:T151">
    <cfRule type="cellIs" dxfId="57" priority="1" stopIfTrue="1" operator="greaterThan">
      <formula>0</formula>
    </cfRule>
  </conditionalFormatting>
  <conditionalFormatting sqref="T153">
    <cfRule type="cellIs" dxfId="56" priority="4" stopIfTrue="1" operator="greaterThan">
      <formula>0</formula>
    </cfRule>
  </conditionalFormatting>
  <conditionalFormatting sqref="T294">
    <cfRule type="cellIs" dxfId="55" priority="3" stopIfTrue="1" operator="greaterThan">
      <formula>0</formula>
    </cfRule>
  </conditionalFormatting>
  <conditionalFormatting sqref="T296">
    <cfRule type="cellIs" dxfId="54" priority="2" stopIfTrue="1" operator="greater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28D99-3AD5-4B5A-8D1C-1A294B5132D7}">
  <sheetPr>
    <tabColor theme="7" tint="0.79998168889431442"/>
  </sheetPr>
  <dimension ref="A1:U97"/>
  <sheetViews>
    <sheetView topLeftCell="A20" zoomScale="70" zoomScaleNormal="70" workbookViewId="0">
      <selection activeCell="A75" sqref="A75:XFD91"/>
    </sheetView>
  </sheetViews>
  <sheetFormatPr defaultRowHeight="15" x14ac:dyDescent="0.25"/>
  <cols>
    <col min="2" max="2" width="39.5703125" customWidth="1"/>
  </cols>
  <sheetData>
    <row r="1" spans="1:21" s="42" customFormat="1" x14ac:dyDescent="0.25">
      <c r="A1" s="157"/>
      <c r="B1" s="112" t="s">
        <v>1198</v>
      </c>
      <c r="C1" s="44"/>
      <c r="D1" s="53"/>
      <c r="E1" s="53"/>
      <c r="F1" s="53"/>
      <c r="G1" s="53"/>
      <c r="H1" s="53"/>
      <c r="I1" s="53"/>
      <c r="J1" s="53"/>
      <c r="K1" s="53"/>
      <c r="L1" s="53"/>
      <c r="M1" s="53"/>
      <c r="N1" s="53"/>
      <c r="O1" s="113"/>
      <c r="P1" s="44"/>
      <c r="Q1" s="44"/>
      <c r="R1" s="44"/>
      <c r="S1" s="44"/>
      <c r="T1" s="44"/>
      <c r="U1" s="47"/>
    </row>
    <row r="2" spans="1:21" s="42" customFormat="1" ht="15" customHeight="1" x14ac:dyDescent="0.25">
      <c r="A2" s="157"/>
      <c r="B2" s="480" t="s">
        <v>11</v>
      </c>
      <c r="C2" s="481"/>
      <c r="D2" s="481"/>
      <c r="E2" s="481"/>
      <c r="F2" s="481"/>
      <c r="G2" s="481"/>
      <c r="H2" s="481"/>
      <c r="I2" s="481"/>
      <c r="J2" s="481"/>
      <c r="K2" s="481"/>
      <c r="L2" s="481"/>
      <c r="M2" s="481"/>
      <c r="N2" s="481"/>
      <c r="O2" s="481"/>
      <c r="P2" s="481"/>
      <c r="Q2" s="481"/>
      <c r="R2" s="482"/>
      <c r="S2" s="7" t="s">
        <v>10</v>
      </c>
      <c r="T2" s="133">
        <v>0</v>
      </c>
      <c r="U2" s="47"/>
    </row>
    <row r="3" spans="1:21" s="42" customFormat="1" x14ac:dyDescent="0.25">
      <c r="A3" s="157"/>
      <c r="B3" s="483"/>
      <c r="C3" s="484"/>
      <c r="D3" s="484"/>
      <c r="E3" s="484"/>
      <c r="F3" s="484"/>
      <c r="G3" s="484"/>
      <c r="H3" s="484"/>
      <c r="I3" s="484"/>
      <c r="J3" s="484"/>
      <c r="K3" s="484"/>
      <c r="L3" s="484"/>
      <c r="M3" s="484"/>
      <c r="N3" s="484"/>
      <c r="O3" s="484"/>
      <c r="P3" s="484"/>
      <c r="Q3" s="484"/>
      <c r="R3" s="485"/>
      <c r="S3" s="7" t="s">
        <v>9</v>
      </c>
      <c r="T3" s="134" t="s">
        <v>1006</v>
      </c>
      <c r="U3" s="47"/>
    </row>
    <row r="4" spans="1:21" s="42" customFormat="1" x14ac:dyDescent="0.25">
      <c r="A4" s="157"/>
      <c r="B4" s="114" t="s">
        <v>1199</v>
      </c>
      <c r="C4" s="114" t="s">
        <v>12</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x14ac:dyDescent="0.25">
      <c r="A5" s="158" t="s">
        <v>1</v>
      </c>
      <c r="B5" s="486" t="s">
        <v>35</v>
      </c>
      <c r="C5" s="486"/>
      <c r="D5" s="486"/>
      <c r="E5" s="486"/>
      <c r="F5" s="486"/>
      <c r="G5" s="486"/>
      <c r="H5" s="486"/>
      <c r="I5" s="486"/>
      <c r="J5" s="486"/>
      <c r="K5" s="486"/>
      <c r="L5" s="486"/>
      <c r="M5" s="486"/>
      <c r="N5" s="486"/>
      <c r="O5" s="486"/>
      <c r="P5" s="486"/>
      <c r="Q5" s="486"/>
      <c r="R5" s="486"/>
      <c r="S5" s="486"/>
      <c r="T5" s="486"/>
      <c r="U5" s="149"/>
    </row>
    <row r="6" spans="1:21" s="42" customFormat="1" ht="15.75"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0.1" customHeight="1" thickBot="1" x14ac:dyDescent="0.3">
      <c r="A7" s="119" t="s">
        <v>8</v>
      </c>
      <c r="B7" s="119" t="s">
        <v>7</v>
      </c>
      <c r="C7" s="120" t="s">
        <v>6</v>
      </c>
      <c r="D7" s="487"/>
      <c r="E7" s="487"/>
      <c r="F7" s="487"/>
      <c r="G7" s="487"/>
      <c r="H7" s="487"/>
      <c r="I7" s="487"/>
      <c r="J7" s="487"/>
      <c r="K7" s="487"/>
      <c r="L7" s="487"/>
      <c r="M7" s="487"/>
      <c r="N7" s="487"/>
      <c r="O7" s="121" t="s">
        <v>54</v>
      </c>
      <c r="P7" s="122" t="s">
        <v>5</v>
      </c>
      <c r="Q7" s="121" t="s">
        <v>4</v>
      </c>
      <c r="R7" s="121" t="s">
        <v>1004</v>
      </c>
      <c r="S7" s="121"/>
      <c r="T7" s="119" t="s">
        <v>1005</v>
      </c>
      <c r="U7" s="47"/>
    </row>
    <row r="8" spans="1:21" s="42" customFormat="1" ht="50.1" customHeight="1" thickBot="1" x14ac:dyDescent="0.3">
      <c r="A8" s="123"/>
      <c r="B8" s="123"/>
      <c r="C8" s="124"/>
      <c r="D8" s="477" t="s">
        <v>1002</v>
      </c>
      <c r="E8" s="478"/>
      <c r="F8" s="478"/>
      <c r="G8" s="478"/>
      <c r="H8" s="478"/>
      <c r="I8" s="478"/>
      <c r="J8" s="478"/>
      <c r="K8" s="478"/>
      <c r="L8" s="478"/>
      <c r="M8" s="478"/>
      <c r="N8" s="479"/>
      <c r="O8" s="125"/>
      <c r="P8" s="124"/>
      <c r="Q8" s="124"/>
      <c r="R8" s="124"/>
      <c r="S8" s="124"/>
      <c r="T8" s="123"/>
      <c r="U8" s="47"/>
    </row>
    <row r="9" spans="1:21" s="42" customFormat="1" ht="62.25" customHeight="1" x14ac:dyDescent="0.25">
      <c r="A9" s="123"/>
      <c r="B9" s="123"/>
      <c r="C9" s="124"/>
      <c r="D9" s="127" t="s">
        <v>1273</v>
      </c>
      <c r="E9" s="127" t="s">
        <v>1274</v>
      </c>
      <c r="F9" s="46" t="s">
        <v>1275</v>
      </c>
      <c r="G9" s="46" t="s">
        <v>1276</v>
      </c>
      <c r="H9" s="46" t="s">
        <v>1277</v>
      </c>
      <c r="I9" s="46" t="s">
        <v>1278</v>
      </c>
      <c r="J9" s="46" t="s">
        <v>1279</v>
      </c>
      <c r="K9" s="46" t="s">
        <v>1280</v>
      </c>
      <c r="L9" s="46" t="s">
        <v>1281</v>
      </c>
      <c r="M9" s="154" t="s">
        <v>1208</v>
      </c>
      <c r="N9" s="126" t="s">
        <v>1003</v>
      </c>
      <c r="O9" s="125"/>
      <c r="P9" s="124"/>
      <c r="Q9" s="124"/>
      <c r="R9" s="124"/>
      <c r="S9" s="124"/>
      <c r="T9" s="123"/>
      <c r="U9" s="47"/>
    </row>
    <row r="10" spans="1:21" s="32" customFormat="1" ht="12.75"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x14ac:dyDescent="0.25">
      <c r="A12" s="160" t="s">
        <v>53</v>
      </c>
      <c r="B12" s="39" t="s">
        <v>1282</v>
      </c>
      <c r="C12" s="40"/>
      <c r="D12" s="40"/>
      <c r="E12" s="40"/>
      <c r="F12" s="40"/>
      <c r="G12" s="40"/>
      <c r="H12" s="40"/>
      <c r="I12" s="40"/>
      <c r="J12" s="40"/>
      <c r="K12" s="40"/>
      <c r="L12" s="40"/>
      <c r="M12" s="40"/>
      <c r="N12" s="40"/>
      <c r="O12" s="59"/>
      <c r="P12" s="40"/>
      <c r="Q12" s="40"/>
      <c r="R12" s="40"/>
      <c r="S12" s="40"/>
      <c r="T12" s="41"/>
      <c r="U12" s="149"/>
    </row>
    <row r="15" spans="1:21" s="42" customFormat="1" x14ac:dyDescent="0.25">
      <c r="A15" s="166" t="s">
        <v>1056</v>
      </c>
      <c r="B15" s="28" t="s">
        <v>1057</v>
      </c>
      <c r="C15" s="28"/>
      <c r="D15" s="28"/>
      <c r="E15" s="28"/>
      <c r="F15" s="28"/>
      <c r="G15" s="28"/>
      <c r="H15" s="28"/>
      <c r="I15" s="28"/>
      <c r="J15" s="28"/>
      <c r="K15" s="28"/>
      <c r="L15" s="28"/>
      <c r="M15" s="28"/>
      <c r="N15" s="28"/>
      <c r="O15" s="60"/>
      <c r="P15" s="29"/>
      <c r="Q15" s="29"/>
      <c r="R15" s="29"/>
      <c r="S15" s="29"/>
      <c r="T15" s="23"/>
      <c r="U15" s="152"/>
    </row>
    <row r="16" spans="1:21" s="42" customFormat="1" ht="128.25" x14ac:dyDescent="0.25">
      <c r="A16" s="167"/>
      <c r="B16" s="48" t="s">
        <v>1058</v>
      </c>
      <c r="C16" s="25"/>
      <c r="D16" s="31"/>
      <c r="E16" s="31"/>
      <c r="F16" s="31"/>
      <c r="G16" s="31"/>
      <c r="H16" s="31"/>
      <c r="I16" s="31"/>
      <c r="J16" s="31"/>
      <c r="K16" s="31"/>
      <c r="L16" s="31"/>
      <c r="M16" s="31"/>
      <c r="N16" s="31"/>
      <c r="O16" s="58"/>
      <c r="P16" s="26"/>
      <c r="Q16" s="26"/>
      <c r="R16" s="26"/>
      <c r="S16" s="26"/>
      <c r="T16" s="38"/>
      <c r="U16" s="152"/>
    </row>
    <row r="17" spans="1:21" s="42" customFormat="1" ht="15.75" thickBot="1" x14ac:dyDescent="0.3">
      <c r="A17" s="167"/>
      <c r="B17" s="48" t="s">
        <v>1008</v>
      </c>
      <c r="C17" s="25"/>
      <c r="D17" s="31"/>
      <c r="E17" s="31"/>
      <c r="F17" s="31"/>
      <c r="G17" s="31"/>
      <c r="H17" s="31"/>
      <c r="I17" s="31"/>
      <c r="J17" s="31"/>
      <c r="K17" s="31"/>
      <c r="L17" s="31"/>
      <c r="M17" s="31"/>
      <c r="N17" s="31"/>
      <c r="O17" s="58"/>
      <c r="P17" s="26"/>
      <c r="Q17" s="26"/>
      <c r="R17" s="26"/>
      <c r="S17" s="26"/>
      <c r="T17" s="38"/>
      <c r="U17" s="152"/>
    </row>
    <row r="18" spans="1:21" s="42" customFormat="1" ht="15.75" thickBot="1" x14ac:dyDescent="0.3">
      <c r="A18" s="166" t="s">
        <v>1059</v>
      </c>
      <c r="B18" s="137" t="s">
        <v>1209</v>
      </c>
      <c r="C18" s="135" t="s">
        <v>56</v>
      </c>
      <c r="D18" s="55">
        <v>0</v>
      </c>
      <c r="E18" s="55">
        <f>E$4*3</f>
        <v>3</v>
      </c>
      <c r="F18" s="36">
        <f>F$4*0</f>
        <v>0</v>
      </c>
      <c r="G18" s="36">
        <f>G$4*3</f>
        <v>3</v>
      </c>
      <c r="H18" s="36">
        <f>H$4*3</f>
        <v>12</v>
      </c>
      <c r="I18" s="36">
        <f>I$4*0</f>
        <v>0</v>
      </c>
      <c r="J18" s="36">
        <f>J$4*4</f>
        <v>4</v>
      </c>
      <c r="K18" s="36">
        <f>K$4*3</f>
        <v>6</v>
      </c>
      <c r="L18" s="36">
        <f>L$4*28</f>
        <v>28</v>
      </c>
      <c r="M18" s="36">
        <f t="shared" ref="M18:N18" si="0">M$4*0</f>
        <v>0</v>
      </c>
      <c r="N18" s="56">
        <f t="shared" si="0"/>
        <v>0</v>
      </c>
      <c r="O18" s="62">
        <f>SUM(D18:N18)</f>
        <v>56</v>
      </c>
      <c r="P18" s="55">
        <v>0</v>
      </c>
      <c r="Q18" s="36">
        <v>0</v>
      </c>
      <c r="R18" s="36">
        <f>P18+Q18</f>
        <v>0</v>
      </c>
      <c r="S18" s="36"/>
      <c r="T18" s="51">
        <f>R18*O18</f>
        <v>0</v>
      </c>
      <c r="U18" s="44"/>
    </row>
    <row r="21" spans="1:21" s="117" customFormat="1" ht="15.75" x14ac:dyDescent="0.25">
      <c r="A21" s="158" t="s">
        <v>33</v>
      </c>
      <c r="B21" s="39" t="s">
        <v>41</v>
      </c>
      <c r="C21" s="40"/>
      <c r="D21" s="40"/>
      <c r="E21" s="40"/>
      <c r="F21" s="40"/>
      <c r="G21" s="40"/>
      <c r="H21" s="40"/>
      <c r="I21" s="40"/>
      <c r="J21" s="40"/>
      <c r="K21" s="40"/>
      <c r="L21" s="40"/>
      <c r="M21" s="40"/>
      <c r="N21" s="40"/>
      <c r="O21" s="59"/>
      <c r="P21" s="40"/>
      <c r="Q21" s="40"/>
      <c r="R21" s="40"/>
      <c r="S21" s="40"/>
      <c r="T21" s="41"/>
      <c r="U21" s="149"/>
    </row>
    <row r="22" spans="1:21" s="42" customFormat="1" x14ac:dyDescent="0.25">
      <c r="A22" s="157"/>
      <c r="B22" s="44"/>
      <c r="C22" s="44"/>
      <c r="D22" s="44"/>
      <c r="E22" s="44"/>
      <c r="F22" s="44"/>
      <c r="G22" s="44"/>
      <c r="H22" s="44"/>
      <c r="I22" s="44"/>
      <c r="J22" s="44"/>
      <c r="K22" s="44"/>
      <c r="L22" s="44"/>
      <c r="M22" s="44"/>
      <c r="N22" s="44"/>
      <c r="O22" s="118"/>
      <c r="P22" s="44"/>
      <c r="Q22" s="44"/>
      <c r="R22" s="44"/>
      <c r="S22" s="44"/>
      <c r="T22" s="44"/>
      <c r="U22" s="47"/>
    </row>
    <row r="23" spans="1:21" s="42" customFormat="1" x14ac:dyDescent="0.25">
      <c r="A23" s="166" t="s">
        <v>1042</v>
      </c>
      <c r="B23" s="147" t="s">
        <v>87</v>
      </c>
      <c r="C23" s="28"/>
      <c r="D23" s="28"/>
      <c r="E23" s="28"/>
      <c r="F23" s="28"/>
      <c r="G23" s="28"/>
      <c r="H23" s="28"/>
      <c r="I23" s="28"/>
      <c r="J23" s="28"/>
      <c r="K23" s="28"/>
      <c r="L23" s="28"/>
      <c r="M23" s="28"/>
      <c r="N23" s="28"/>
      <c r="O23" s="60"/>
      <c r="P23" s="29"/>
      <c r="Q23" s="29"/>
      <c r="R23" s="29"/>
      <c r="S23" s="29"/>
      <c r="T23" s="23"/>
      <c r="U23" s="152"/>
    </row>
    <row r="24" spans="1:21" s="42" customFormat="1" x14ac:dyDescent="0.25">
      <c r="A24" s="167"/>
      <c r="B24" s="141" t="s">
        <v>88</v>
      </c>
      <c r="C24" s="31"/>
      <c r="D24" s="31"/>
      <c r="E24" s="31"/>
      <c r="F24" s="31"/>
      <c r="G24" s="31"/>
      <c r="H24" s="31"/>
      <c r="I24" s="31"/>
      <c r="J24" s="31"/>
      <c r="K24" s="31"/>
      <c r="L24" s="31"/>
      <c r="M24" s="31"/>
      <c r="N24" s="31"/>
      <c r="O24" s="58"/>
      <c r="P24" s="26"/>
      <c r="Q24" s="26"/>
      <c r="R24" s="26"/>
      <c r="S24" s="26"/>
      <c r="T24" s="38"/>
      <c r="U24" s="152"/>
    </row>
    <row r="25" spans="1:21" s="42" customFormat="1" ht="25.5" x14ac:dyDescent="0.25">
      <c r="A25" s="167"/>
      <c r="B25" s="141" t="s">
        <v>1110</v>
      </c>
      <c r="C25" s="31"/>
      <c r="D25" s="31"/>
      <c r="E25" s="31"/>
      <c r="F25" s="31"/>
      <c r="G25" s="31"/>
      <c r="H25" s="31"/>
      <c r="I25" s="31"/>
      <c r="J25" s="31"/>
      <c r="K25" s="31"/>
      <c r="L25" s="31"/>
      <c r="M25" s="31"/>
      <c r="N25" s="31"/>
      <c r="O25" s="58"/>
      <c r="P25" s="26"/>
      <c r="Q25" s="26"/>
      <c r="R25" s="26"/>
      <c r="S25" s="26"/>
      <c r="T25" s="38"/>
      <c r="U25" s="152"/>
    </row>
    <row r="26" spans="1:21" s="42" customFormat="1" x14ac:dyDescent="0.25">
      <c r="A26" s="167"/>
      <c r="B26" s="141" t="s">
        <v>1111</v>
      </c>
      <c r="C26" s="31"/>
      <c r="D26" s="31"/>
      <c r="E26" s="31"/>
      <c r="F26" s="31"/>
      <c r="G26" s="31"/>
      <c r="H26" s="31"/>
      <c r="I26" s="31"/>
      <c r="J26" s="31"/>
      <c r="K26" s="31"/>
      <c r="L26" s="31"/>
      <c r="M26" s="31"/>
      <c r="N26" s="31"/>
      <c r="O26" s="58"/>
      <c r="P26" s="26"/>
      <c r="Q26" s="26"/>
      <c r="R26" s="26"/>
      <c r="S26" s="26"/>
      <c r="T26" s="38"/>
      <c r="U26" s="152"/>
    </row>
    <row r="27" spans="1:21" s="42" customFormat="1" ht="15.75" thickBot="1" x14ac:dyDescent="0.3">
      <c r="A27" s="167"/>
      <c r="B27" s="141" t="s">
        <v>1112</v>
      </c>
      <c r="C27" s="31"/>
      <c r="D27" s="31"/>
      <c r="E27" s="31"/>
      <c r="F27" s="31"/>
      <c r="G27" s="31"/>
      <c r="H27" s="31"/>
      <c r="I27" s="31"/>
      <c r="J27" s="31"/>
      <c r="K27" s="31"/>
      <c r="L27" s="31"/>
      <c r="M27" s="31"/>
      <c r="N27" s="31"/>
      <c r="O27" s="58"/>
      <c r="P27" s="26"/>
      <c r="Q27" s="26"/>
      <c r="R27" s="26"/>
      <c r="S27" s="26"/>
      <c r="T27" s="38"/>
      <c r="U27" s="152"/>
    </row>
    <row r="28" spans="1:21" s="42" customFormat="1" ht="27.75" thickBot="1" x14ac:dyDescent="0.3">
      <c r="A28" s="166" t="s">
        <v>1114</v>
      </c>
      <c r="B28" s="148" t="s">
        <v>1113</v>
      </c>
      <c r="C28" s="135" t="s">
        <v>56</v>
      </c>
      <c r="D28" s="55">
        <f>D$4*12.05</f>
        <v>12.05</v>
      </c>
      <c r="E28" s="55">
        <f>E$4*12.05</f>
        <v>12.05</v>
      </c>
      <c r="F28" s="36">
        <f>F$4*10.5</f>
        <v>10.5</v>
      </c>
      <c r="G28" s="36">
        <f>G$4*10.5</f>
        <v>10.5</v>
      </c>
      <c r="H28" s="36">
        <f>H$4*21.4</f>
        <v>85.6</v>
      </c>
      <c r="I28" s="36">
        <f>I$4*10.95</f>
        <v>10.95</v>
      </c>
      <c r="J28" s="36">
        <f>J$4*10.95</f>
        <v>10.95</v>
      </c>
      <c r="K28" s="36">
        <f>K$4*11.65</f>
        <v>23.3</v>
      </c>
      <c r="L28" s="36">
        <f>L$4*50</f>
        <v>50</v>
      </c>
      <c r="M28" s="36">
        <f>M$4*0</f>
        <v>0</v>
      </c>
      <c r="N28" s="56">
        <f>N$4*0</f>
        <v>0</v>
      </c>
      <c r="O28" s="62">
        <f>SUM(D28:N28)</f>
        <v>225.89999999999998</v>
      </c>
      <c r="P28" s="26">
        <v>0</v>
      </c>
      <c r="Q28" s="26">
        <v>0</v>
      </c>
      <c r="R28" s="26">
        <f>P28+Q28</f>
        <v>0</v>
      </c>
      <c r="S28" s="26"/>
      <c r="T28" s="22">
        <f>R28*O28</f>
        <v>0</v>
      </c>
      <c r="U28" s="47"/>
    </row>
    <row r="29" spans="1:21" s="42" customFormat="1" ht="77.25" thickBot="1" x14ac:dyDescent="0.3">
      <c r="A29" s="166" t="s">
        <v>1115</v>
      </c>
      <c r="B29" s="148" t="s">
        <v>89</v>
      </c>
      <c r="C29" s="135" t="s">
        <v>56</v>
      </c>
      <c r="D29" s="55">
        <f t="shared" ref="D29:N29" si="1">D28*0.1</f>
        <v>1.2050000000000001</v>
      </c>
      <c r="E29" s="55">
        <f t="shared" si="1"/>
        <v>1.2050000000000001</v>
      </c>
      <c r="F29" s="36">
        <f t="shared" si="1"/>
        <v>1.05</v>
      </c>
      <c r="G29" s="36">
        <f t="shared" si="1"/>
        <v>1.05</v>
      </c>
      <c r="H29" s="36">
        <f t="shared" si="1"/>
        <v>8.56</v>
      </c>
      <c r="I29" s="36">
        <f t="shared" si="1"/>
        <v>1.095</v>
      </c>
      <c r="J29" s="36">
        <f t="shared" si="1"/>
        <v>1.095</v>
      </c>
      <c r="K29" s="36">
        <f t="shared" si="1"/>
        <v>2.33</v>
      </c>
      <c r="L29" s="36">
        <f t="shared" si="1"/>
        <v>5</v>
      </c>
      <c r="M29" s="36">
        <f t="shared" si="1"/>
        <v>0</v>
      </c>
      <c r="N29" s="56">
        <f t="shared" si="1"/>
        <v>0</v>
      </c>
      <c r="O29" s="62">
        <f>SUM(D29:N29)</f>
        <v>22.590000000000003</v>
      </c>
      <c r="P29" s="26">
        <v>0</v>
      </c>
      <c r="Q29" s="26">
        <v>0</v>
      </c>
      <c r="R29" s="26">
        <f>P29+Q29</f>
        <v>0</v>
      </c>
      <c r="S29" s="26"/>
      <c r="T29" s="22">
        <f>R29*O29</f>
        <v>0</v>
      </c>
      <c r="U29" s="47"/>
    </row>
    <row r="30" spans="1:21" s="42" customFormat="1" ht="15.75" thickBot="1" x14ac:dyDescent="0.3">
      <c r="A30" s="166" t="s">
        <v>1116</v>
      </c>
      <c r="B30" s="148" t="s">
        <v>90</v>
      </c>
      <c r="C30" s="135" t="s">
        <v>56</v>
      </c>
      <c r="D30" s="55">
        <f t="shared" ref="D30:N30" si="2">D28*0.02</f>
        <v>0.24100000000000002</v>
      </c>
      <c r="E30" s="55">
        <f t="shared" si="2"/>
        <v>0.24100000000000002</v>
      </c>
      <c r="F30" s="36">
        <f t="shared" si="2"/>
        <v>0.21</v>
      </c>
      <c r="G30" s="36">
        <f t="shared" si="2"/>
        <v>0.21</v>
      </c>
      <c r="H30" s="36">
        <f t="shared" si="2"/>
        <v>1.712</v>
      </c>
      <c r="I30" s="36">
        <f t="shared" si="2"/>
        <v>0.219</v>
      </c>
      <c r="J30" s="36">
        <f t="shared" si="2"/>
        <v>0.219</v>
      </c>
      <c r="K30" s="36">
        <f t="shared" si="2"/>
        <v>0.46600000000000003</v>
      </c>
      <c r="L30" s="36">
        <f t="shared" si="2"/>
        <v>1</v>
      </c>
      <c r="M30" s="36">
        <f t="shared" si="2"/>
        <v>0</v>
      </c>
      <c r="N30" s="56">
        <f t="shared" si="2"/>
        <v>0</v>
      </c>
      <c r="O30" s="62">
        <f>SUM(D30:N30)</f>
        <v>4.5179999999999998</v>
      </c>
      <c r="P30" s="26">
        <v>0</v>
      </c>
      <c r="Q30" s="26">
        <v>0</v>
      </c>
      <c r="R30" s="26">
        <f>P30+Q30</f>
        <v>0</v>
      </c>
      <c r="S30" s="26"/>
      <c r="T30" s="22">
        <f>R30*O30</f>
        <v>0</v>
      </c>
      <c r="U30" s="47"/>
    </row>
    <row r="31" spans="1:21" s="42" customFormat="1" x14ac:dyDescent="0.25">
      <c r="A31" s="157"/>
      <c r="B31" s="44"/>
      <c r="C31" s="44"/>
      <c r="D31" s="44"/>
      <c r="E31" s="44"/>
      <c r="F31" s="44"/>
      <c r="G31" s="44"/>
      <c r="H31" s="44"/>
      <c r="I31" s="44"/>
      <c r="J31" s="44"/>
      <c r="K31" s="44"/>
      <c r="L31" s="44"/>
      <c r="M31" s="44"/>
      <c r="N31" s="44"/>
      <c r="O31" s="118"/>
      <c r="P31" s="44"/>
      <c r="Q31" s="44"/>
      <c r="R31" s="44"/>
      <c r="S31" s="44"/>
      <c r="T31" s="44"/>
      <c r="U31" s="47"/>
    </row>
    <row r="32" spans="1:21" s="42" customFormat="1" x14ac:dyDescent="0.25">
      <c r="A32" s="166" t="s">
        <v>1117</v>
      </c>
      <c r="B32" s="147" t="s">
        <v>42</v>
      </c>
      <c r="C32" s="28"/>
      <c r="D32" s="28"/>
      <c r="E32" s="28"/>
      <c r="F32" s="28"/>
      <c r="G32" s="28"/>
      <c r="H32" s="28"/>
      <c r="I32" s="28"/>
      <c r="J32" s="28"/>
      <c r="K32" s="28"/>
      <c r="L32" s="28"/>
      <c r="M32" s="28"/>
      <c r="N32" s="28"/>
      <c r="O32" s="60"/>
      <c r="P32" s="29"/>
      <c r="Q32" s="29"/>
      <c r="R32" s="29"/>
      <c r="S32" s="29"/>
      <c r="T32" s="23"/>
      <c r="U32" s="152"/>
    </row>
    <row r="33" spans="1:21" s="42" customFormat="1" ht="38.25" x14ac:dyDescent="0.25">
      <c r="A33" s="167"/>
      <c r="B33" s="141" t="s">
        <v>43</v>
      </c>
      <c r="C33" s="31"/>
      <c r="D33" s="31"/>
      <c r="E33" s="31"/>
      <c r="F33" s="31"/>
      <c r="G33" s="31"/>
      <c r="H33" s="31"/>
      <c r="I33" s="31"/>
      <c r="J33" s="31"/>
      <c r="K33" s="31"/>
      <c r="L33" s="31"/>
      <c r="M33" s="31"/>
      <c r="N33" s="31"/>
      <c r="O33" s="58"/>
      <c r="P33" s="26"/>
      <c r="Q33" s="26"/>
      <c r="R33" s="26"/>
      <c r="S33" s="26"/>
      <c r="T33" s="38"/>
      <c r="U33" s="152"/>
    </row>
    <row r="34" spans="1:21" s="42" customFormat="1" ht="38.25" x14ac:dyDescent="0.25">
      <c r="A34" s="167"/>
      <c r="B34" s="141" t="s">
        <v>44</v>
      </c>
      <c r="C34" s="31"/>
      <c r="D34" s="31"/>
      <c r="E34" s="31"/>
      <c r="F34" s="31"/>
      <c r="G34" s="31"/>
      <c r="H34" s="31"/>
      <c r="I34" s="31"/>
      <c r="J34" s="31"/>
      <c r="K34" s="31"/>
      <c r="L34" s="31"/>
      <c r="M34" s="31"/>
      <c r="N34" s="31"/>
      <c r="O34" s="58"/>
      <c r="P34" s="26"/>
      <c r="Q34" s="26"/>
      <c r="R34" s="26"/>
      <c r="S34" s="26"/>
      <c r="T34" s="38"/>
      <c r="U34" s="152"/>
    </row>
    <row r="35" spans="1:21" s="42" customFormat="1" ht="25.5" x14ac:dyDescent="0.25">
      <c r="A35" s="167"/>
      <c r="B35" s="141" t="s">
        <v>1121</v>
      </c>
      <c r="C35" s="31"/>
      <c r="D35" s="31"/>
      <c r="E35" s="31"/>
      <c r="F35" s="31"/>
      <c r="G35" s="31"/>
      <c r="H35" s="31"/>
      <c r="I35" s="31"/>
      <c r="J35" s="31"/>
      <c r="K35" s="31"/>
      <c r="L35" s="31"/>
      <c r="M35" s="31"/>
      <c r="N35" s="31"/>
      <c r="O35" s="58"/>
      <c r="P35" s="26"/>
      <c r="Q35" s="26"/>
      <c r="R35" s="26"/>
      <c r="S35" s="26"/>
      <c r="T35" s="38"/>
      <c r="U35" s="152"/>
    </row>
    <row r="36" spans="1:21" s="42" customFormat="1" ht="15.75" thickBot="1" x14ac:dyDescent="0.3">
      <c r="A36" s="167"/>
      <c r="B36" s="141" t="s">
        <v>45</v>
      </c>
      <c r="C36" s="31"/>
      <c r="D36" s="31"/>
      <c r="E36" s="31"/>
      <c r="F36" s="31"/>
      <c r="G36" s="31"/>
      <c r="H36" s="31"/>
      <c r="I36" s="31"/>
      <c r="J36" s="31"/>
      <c r="K36" s="31"/>
      <c r="L36" s="31"/>
      <c r="M36" s="31"/>
      <c r="N36" s="31"/>
      <c r="O36" s="58"/>
      <c r="P36" s="26"/>
      <c r="Q36" s="26"/>
      <c r="R36" s="26"/>
      <c r="S36" s="26"/>
      <c r="T36" s="38"/>
      <c r="U36" s="152"/>
    </row>
    <row r="37" spans="1:21" s="42" customFormat="1" ht="26.25" thickBot="1" x14ac:dyDescent="0.3">
      <c r="A37" s="166" t="s">
        <v>1118</v>
      </c>
      <c r="B37" s="148" t="s">
        <v>46</v>
      </c>
      <c r="C37" s="135" t="s">
        <v>40</v>
      </c>
      <c r="D37" s="55">
        <f>D$4*26.8</f>
        <v>26.8</v>
      </c>
      <c r="E37" s="55">
        <f>E$4*26.8</f>
        <v>26.8</v>
      </c>
      <c r="F37" s="36">
        <f>F$4*30.55</f>
        <v>30.55</v>
      </c>
      <c r="G37" s="36">
        <f>G$4*30.55</f>
        <v>30.55</v>
      </c>
      <c r="H37" s="36">
        <f>H$4*35</f>
        <v>140</v>
      </c>
      <c r="I37" s="36">
        <f>I$4*34.85</f>
        <v>34.85</v>
      </c>
      <c r="J37" s="36">
        <f>J$4*34.85</f>
        <v>34.85</v>
      </c>
      <c r="K37" s="36">
        <f>K$4*29.15</f>
        <v>58.3</v>
      </c>
      <c r="L37" s="36">
        <f>L$4*67.1</f>
        <v>67.099999999999994</v>
      </c>
      <c r="M37" s="36">
        <f>M$4*0</f>
        <v>0</v>
      </c>
      <c r="N37" s="56">
        <f>N$4*0</f>
        <v>0</v>
      </c>
      <c r="O37" s="62">
        <f>SUM(D37:N37)</f>
        <v>449.80000000000007</v>
      </c>
      <c r="P37" s="26">
        <v>0</v>
      </c>
      <c r="Q37" s="26">
        <v>0</v>
      </c>
      <c r="R37" s="26">
        <f>P37+Q37</f>
        <v>0</v>
      </c>
      <c r="S37" s="26"/>
      <c r="T37" s="22">
        <f>R37*O37</f>
        <v>0</v>
      </c>
      <c r="U37" s="47"/>
    </row>
    <row r="38" spans="1:21" s="42" customFormat="1" ht="77.25" thickBot="1" x14ac:dyDescent="0.3">
      <c r="A38" s="166" t="s">
        <v>1119</v>
      </c>
      <c r="B38" s="148" t="s">
        <v>47</v>
      </c>
      <c r="C38" s="135" t="s">
        <v>40</v>
      </c>
      <c r="D38" s="55">
        <f t="shared" ref="D38:N38" si="3">D37*0.1</f>
        <v>2.68</v>
      </c>
      <c r="E38" s="55">
        <f t="shared" si="3"/>
        <v>2.68</v>
      </c>
      <c r="F38" s="36">
        <f t="shared" si="3"/>
        <v>3.0550000000000002</v>
      </c>
      <c r="G38" s="36">
        <f t="shared" si="3"/>
        <v>3.0550000000000002</v>
      </c>
      <c r="H38" s="36">
        <f t="shared" si="3"/>
        <v>14</v>
      </c>
      <c r="I38" s="36">
        <f t="shared" si="3"/>
        <v>3.4850000000000003</v>
      </c>
      <c r="J38" s="36">
        <f t="shared" si="3"/>
        <v>3.4850000000000003</v>
      </c>
      <c r="K38" s="36">
        <f t="shared" si="3"/>
        <v>5.83</v>
      </c>
      <c r="L38" s="36">
        <f t="shared" si="3"/>
        <v>6.71</v>
      </c>
      <c r="M38" s="36">
        <f t="shared" si="3"/>
        <v>0</v>
      </c>
      <c r="N38" s="56">
        <f t="shared" si="3"/>
        <v>0</v>
      </c>
      <c r="O38" s="62">
        <f>SUM(D38:N38)</f>
        <v>44.98</v>
      </c>
      <c r="P38" s="26">
        <v>0</v>
      </c>
      <c r="Q38" s="26">
        <v>0</v>
      </c>
      <c r="R38" s="26">
        <f>P38+Q38</f>
        <v>0</v>
      </c>
      <c r="S38" s="26"/>
      <c r="T38" s="22">
        <f>R38*O38</f>
        <v>0</v>
      </c>
      <c r="U38" s="47"/>
    </row>
    <row r="39" spans="1:21" s="42" customFormat="1" ht="15.75" thickBot="1" x14ac:dyDescent="0.3">
      <c r="A39" s="166" t="s">
        <v>1120</v>
      </c>
      <c r="B39" s="148" t="s">
        <v>48</v>
      </c>
      <c r="C39" s="135" t="s">
        <v>40</v>
      </c>
      <c r="D39" s="55">
        <f t="shared" ref="D39:N39" si="4">0.02*D37</f>
        <v>0.53600000000000003</v>
      </c>
      <c r="E39" s="55">
        <f t="shared" si="4"/>
        <v>0.53600000000000003</v>
      </c>
      <c r="F39" s="36">
        <f t="shared" si="4"/>
        <v>0.61099999999999999</v>
      </c>
      <c r="G39" s="36">
        <f t="shared" si="4"/>
        <v>0.61099999999999999</v>
      </c>
      <c r="H39" s="36">
        <f t="shared" si="4"/>
        <v>2.8000000000000003</v>
      </c>
      <c r="I39" s="36">
        <f t="shared" si="4"/>
        <v>0.69700000000000006</v>
      </c>
      <c r="J39" s="36">
        <f t="shared" si="4"/>
        <v>0.69700000000000006</v>
      </c>
      <c r="K39" s="36">
        <f t="shared" si="4"/>
        <v>1.1659999999999999</v>
      </c>
      <c r="L39" s="36">
        <f t="shared" si="4"/>
        <v>1.3419999999999999</v>
      </c>
      <c r="M39" s="36">
        <f t="shared" si="4"/>
        <v>0</v>
      </c>
      <c r="N39" s="56">
        <f t="shared" si="4"/>
        <v>0</v>
      </c>
      <c r="O39" s="62">
        <f>SUM(D39:N39)</f>
        <v>8.9960000000000004</v>
      </c>
      <c r="P39" s="26">
        <v>0</v>
      </c>
      <c r="Q39" s="26">
        <v>0</v>
      </c>
      <c r="R39" s="26">
        <f>P39+Q39</f>
        <v>0</v>
      </c>
      <c r="S39" s="26"/>
      <c r="T39" s="22">
        <f>R39*O39</f>
        <v>0</v>
      </c>
      <c r="U39" s="47"/>
    </row>
    <row r="40" spans="1:21" s="32" customFormat="1" ht="12.75" x14ac:dyDescent="0.2">
      <c r="A40" s="159"/>
      <c r="B40" s="31"/>
      <c r="C40" s="25"/>
      <c r="D40" s="25"/>
      <c r="E40" s="25"/>
      <c r="F40" s="25"/>
      <c r="G40" s="25"/>
      <c r="H40" s="25"/>
      <c r="I40" s="25"/>
      <c r="J40" s="25"/>
      <c r="K40" s="25"/>
      <c r="L40" s="25"/>
      <c r="M40" s="25"/>
      <c r="N40" s="25"/>
      <c r="O40" s="58"/>
      <c r="P40" s="26"/>
      <c r="Q40" s="26"/>
      <c r="R40" s="26"/>
      <c r="S40" s="26"/>
      <c r="T40" s="35"/>
      <c r="U40" s="37"/>
    </row>
    <row r="41" spans="1:21" s="132" customFormat="1" ht="15.75" x14ac:dyDescent="0.25">
      <c r="A41" s="160" t="s">
        <v>34</v>
      </c>
      <c r="B41" s="130" t="s">
        <v>41</v>
      </c>
      <c r="C41" s="49"/>
      <c r="D41" s="49"/>
      <c r="E41" s="49"/>
      <c r="F41" s="49"/>
      <c r="G41" s="49"/>
      <c r="H41" s="49"/>
      <c r="I41" s="49"/>
      <c r="J41" s="49"/>
      <c r="K41" s="49"/>
      <c r="L41" s="49"/>
      <c r="M41" s="49"/>
      <c r="N41" s="49"/>
      <c r="O41" s="131"/>
      <c r="P41" s="49"/>
      <c r="Q41" s="49"/>
      <c r="R41" s="476" t="s">
        <v>57</v>
      </c>
      <c r="S41" s="476"/>
      <c r="T41" s="50">
        <f>SUM(T12:T40)</f>
        <v>0</v>
      </c>
      <c r="U41" s="151"/>
    </row>
    <row r="43" spans="1:21" s="132" customFormat="1" ht="15.75" x14ac:dyDescent="0.25">
      <c r="A43" s="160" t="s">
        <v>34</v>
      </c>
      <c r="B43" s="130" t="s">
        <v>1320</v>
      </c>
      <c r="C43" s="49"/>
      <c r="D43" s="49"/>
      <c r="E43" s="49"/>
      <c r="F43" s="49"/>
      <c r="G43" s="49"/>
      <c r="H43" s="49"/>
      <c r="I43" s="49"/>
      <c r="J43" s="49"/>
      <c r="K43" s="49"/>
      <c r="L43" s="49"/>
      <c r="M43" s="49"/>
      <c r="N43" s="49"/>
      <c r="O43" s="131"/>
      <c r="P43" s="49"/>
      <c r="Q43" s="49"/>
      <c r="R43" s="476" t="s">
        <v>57</v>
      </c>
      <c r="S43" s="476"/>
      <c r="T43" s="50">
        <f>T41*5</f>
        <v>0</v>
      </c>
      <c r="U43" s="151"/>
    </row>
    <row r="44" spans="1:21" ht="15.75" thickBot="1" x14ac:dyDescent="0.3"/>
    <row r="45" spans="1:21" s="42" customFormat="1" ht="50.1" customHeight="1" thickBot="1" x14ac:dyDescent="0.3">
      <c r="A45" s="119" t="s">
        <v>8</v>
      </c>
      <c r="B45" s="119" t="s">
        <v>7</v>
      </c>
      <c r="C45" s="120" t="s">
        <v>6</v>
      </c>
      <c r="D45" s="487"/>
      <c r="E45" s="487"/>
      <c r="F45" s="487"/>
      <c r="G45" s="487"/>
      <c r="H45" s="487"/>
      <c r="I45" s="487"/>
      <c r="J45" s="487"/>
      <c r="K45" s="121" t="s">
        <v>54</v>
      </c>
      <c r="L45" s="122" t="s">
        <v>5</v>
      </c>
      <c r="M45" s="121" t="s">
        <v>4</v>
      </c>
      <c r="N45" s="121" t="s">
        <v>1004</v>
      </c>
      <c r="O45" s="121"/>
      <c r="P45" s="119" t="s">
        <v>1005</v>
      </c>
      <c r="Q45" s="47"/>
    </row>
    <row r="46" spans="1:21" s="42" customFormat="1" ht="50.1" customHeight="1" thickBot="1" x14ac:dyDescent="0.3">
      <c r="A46" s="123"/>
      <c r="B46" s="123"/>
      <c r="C46" s="124"/>
      <c r="D46" s="477" t="s">
        <v>1283</v>
      </c>
      <c r="E46" s="478"/>
      <c r="F46" s="478"/>
      <c r="G46" s="478"/>
      <c r="H46" s="478"/>
      <c r="I46" s="478"/>
      <c r="J46" s="479"/>
      <c r="K46" s="125"/>
      <c r="L46" s="124"/>
      <c r="M46" s="124"/>
      <c r="N46" s="124"/>
      <c r="O46" s="124"/>
      <c r="P46" s="123"/>
      <c r="Q46" s="47"/>
    </row>
    <row r="47" spans="1:21" s="42" customFormat="1" ht="62.25" customHeight="1" x14ac:dyDescent="0.25">
      <c r="A47" s="123"/>
      <c r="B47" s="123"/>
      <c r="C47" s="124"/>
      <c r="D47" s="173" t="s">
        <v>1284</v>
      </c>
      <c r="E47" s="46" t="s">
        <v>1285</v>
      </c>
      <c r="F47" s="46" t="s">
        <v>1286</v>
      </c>
      <c r="G47" s="46" t="s">
        <v>1287</v>
      </c>
      <c r="H47" s="46" t="s">
        <v>1288</v>
      </c>
      <c r="I47" s="154" t="s">
        <v>1208</v>
      </c>
      <c r="J47" s="126" t="s">
        <v>1003</v>
      </c>
      <c r="K47" s="125"/>
      <c r="L47" s="124"/>
      <c r="M47" s="124"/>
      <c r="N47" s="124"/>
      <c r="O47" s="124"/>
      <c r="P47" s="123"/>
      <c r="Q47" s="47"/>
    </row>
    <row r="50" spans="1:17" s="42" customFormat="1" x14ac:dyDescent="0.25">
      <c r="A50" s="166" t="s">
        <v>1056</v>
      </c>
      <c r="B50" s="28" t="s">
        <v>1057</v>
      </c>
      <c r="C50" s="28"/>
      <c r="D50" s="181"/>
      <c r="E50" s="28"/>
      <c r="F50" s="28"/>
      <c r="G50" s="28"/>
      <c r="H50" s="28"/>
      <c r="I50" s="28"/>
      <c r="J50" s="28"/>
      <c r="K50" s="60"/>
      <c r="L50" s="29"/>
      <c r="M50" s="29"/>
      <c r="N50" s="29"/>
      <c r="O50" s="29"/>
      <c r="P50" s="23"/>
      <c r="Q50" s="152"/>
    </row>
    <row r="51" spans="1:17" s="42" customFormat="1" ht="128.25" x14ac:dyDescent="0.25">
      <c r="A51" s="167"/>
      <c r="B51" s="48" t="s">
        <v>1058</v>
      </c>
      <c r="C51" s="25"/>
      <c r="D51" s="182"/>
      <c r="E51" s="31"/>
      <c r="F51" s="31"/>
      <c r="G51" s="31"/>
      <c r="H51" s="31"/>
      <c r="I51" s="31"/>
      <c r="J51" s="31"/>
      <c r="K51" s="58"/>
      <c r="L51" s="26"/>
      <c r="M51" s="26"/>
      <c r="N51" s="26"/>
      <c r="O51" s="26"/>
      <c r="P51" s="38"/>
      <c r="Q51" s="152"/>
    </row>
    <row r="52" spans="1:17" s="42" customFormat="1" ht="15.75" thickBot="1" x14ac:dyDescent="0.3">
      <c r="A52" s="167"/>
      <c r="B52" s="48" t="s">
        <v>1008</v>
      </c>
      <c r="C52" s="25"/>
      <c r="D52" s="182"/>
      <c r="E52" s="31"/>
      <c r="F52" s="31"/>
      <c r="G52" s="31"/>
      <c r="H52" s="31"/>
      <c r="I52" s="31"/>
      <c r="J52" s="31"/>
      <c r="K52" s="58"/>
      <c r="L52" s="26"/>
      <c r="M52" s="26"/>
      <c r="N52" s="26"/>
      <c r="O52" s="26"/>
      <c r="P52" s="38"/>
      <c r="Q52" s="152"/>
    </row>
    <row r="53" spans="1:17" s="42" customFormat="1" ht="15.75" thickBot="1" x14ac:dyDescent="0.3">
      <c r="A53" s="166" t="s">
        <v>1059</v>
      </c>
      <c r="B53" s="137" t="s">
        <v>1209</v>
      </c>
      <c r="C53" s="135" t="s">
        <v>56</v>
      </c>
      <c r="D53" s="177">
        <f>D$4*0</f>
        <v>0</v>
      </c>
      <c r="E53" s="36">
        <f>E$4*2</f>
        <v>2</v>
      </c>
      <c r="F53" s="36">
        <f>F$4*5</f>
        <v>5</v>
      </c>
      <c r="G53" s="36">
        <f>G$4*5</f>
        <v>5</v>
      </c>
      <c r="H53" s="36">
        <f>H$4*6</f>
        <v>24</v>
      </c>
      <c r="I53" s="36">
        <f t="shared" ref="I53:J53" si="5">I$4*0</f>
        <v>0</v>
      </c>
      <c r="J53" s="56">
        <f t="shared" si="5"/>
        <v>0</v>
      </c>
      <c r="K53" s="62">
        <f>SUM(D53:J53)</f>
        <v>36</v>
      </c>
      <c r="L53" s="55">
        <v>0</v>
      </c>
      <c r="M53" s="36">
        <v>0</v>
      </c>
      <c r="N53" s="36">
        <f>L53+M53</f>
        <v>0</v>
      </c>
      <c r="O53" s="36"/>
      <c r="P53" s="51">
        <f>N53*K53</f>
        <v>0</v>
      </c>
      <c r="Q53" s="44"/>
    </row>
    <row r="55" spans="1:17" s="117" customFormat="1" ht="15.75" x14ac:dyDescent="0.25">
      <c r="A55" s="158" t="s">
        <v>33</v>
      </c>
      <c r="B55" s="39" t="s">
        <v>41</v>
      </c>
      <c r="C55" s="40"/>
      <c r="D55" s="175"/>
      <c r="E55" s="40"/>
      <c r="F55" s="40"/>
      <c r="G55" s="40"/>
      <c r="H55" s="40"/>
      <c r="I55" s="40"/>
      <c r="J55" s="40"/>
      <c r="K55" s="59"/>
      <c r="L55" s="40"/>
      <c r="M55" s="40"/>
      <c r="N55" s="40"/>
      <c r="O55" s="40"/>
      <c r="P55" s="41"/>
      <c r="Q55" s="149"/>
    </row>
    <row r="56" spans="1:17" s="42" customFormat="1" x14ac:dyDescent="0.25">
      <c r="A56" s="157"/>
      <c r="B56" s="44"/>
      <c r="C56" s="44"/>
      <c r="D56" s="172"/>
      <c r="E56" s="44"/>
      <c r="F56" s="44"/>
      <c r="G56" s="44"/>
      <c r="H56" s="44"/>
      <c r="I56" s="44"/>
      <c r="J56" s="44"/>
      <c r="K56" s="118"/>
      <c r="L56" s="44"/>
      <c r="M56" s="44"/>
      <c r="N56" s="44"/>
      <c r="O56" s="44"/>
      <c r="P56" s="44"/>
      <c r="Q56" s="47"/>
    </row>
    <row r="57" spans="1:17" s="42" customFormat="1" x14ac:dyDescent="0.25">
      <c r="A57" s="166" t="s">
        <v>1042</v>
      </c>
      <c r="B57" s="147" t="s">
        <v>87</v>
      </c>
      <c r="C57" s="28"/>
      <c r="D57" s="181"/>
      <c r="E57" s="28"/>
      <c r="F57" s="28"/>
      <c r="G57" s="28"/>
      <c r="H57" s="28"/>
      <c r="I57" s="28"/>
      <c r="J57" s="28"/>
      <c r="K57" s="60"/>
      <c r="L57" s="29"/>
      <c r="M57" s="29"/>
      <c r="N57" s="29"/>
      <c r="O57" s="29"/>
      <c r="P57" s="23"/>
      <c r="Q57" s="152"/>
    </row>
    <row r="58" spans="1:17" s="42" customFormat="1" x14ac:dyDescent="0.25">
      <c r="A58" s="167"/>
      <c r="B58" s="141" t="s">
        <v>88</v>
      </c>
      <c r="C58" s="31"/>
      <c r="D58" s="182"/>
      <c r="E58" s="31"/>
      <c r="F58" s="31"/>
      <c r="G58" s="31"/>
      <c r="H58" s="31"/>
      <c r="I58" s="31"/>
      <c r="J58" s="31"/>
      <c r="K58" s="58"/>
      <c r="L58" s="26"/>
      <c r="M58" s="26"/>
      <c r="N58" s="26"/>
      <c r="O58" s="26"/>
      <c r="P58" s="38"/>
      <c r="Q58" s="152"/>
    </row>
    <row r="59" spans="1:17" s="42" customFormat="1" ht="25.5" x14ac:dyDescent="0.25">
      <c r="A59" s="169"/>
      <c r="B59" s="30" t="s">
        <v>1446</v>
      </c>
      <c r="C59" s="31"/>
      <c r="D59" s="182"/>
      <c r="E59" s="31"/>
      <c r="F59" s="31"/>
      <c r="G59" s="31"/>
      <c r="H59" s="31"/>
      <c r="I59" s="31"/>
      <c r="J59" s="31"/>
      <c r="K59" s="58"/>
      <c r="L59" s="26"/>
      <c r="M59" s="26"/>
      <c r="N59" s="26"/>
      <c r="O59" s="26"/>
      <c r="P59" s="38"/>
      <c r="Q59" s="152"/>
    </row>
    <row r="60" spans="1:17" s="42" customFormat="1" x14ac:dyDescent="0.25">
      <c r="A60" s="169"/>
      <c r="B60" s="30" t="s">
        <v>1111</v>
      </c>
      <c r="C60" s="31"/>
      <c r="D60" s="182"/>
      <c r="E60" s="31"/>
      <c r="F60" s="31"/>
      <c r="G60" s="31"/>
      <c r="H60" s="31"/>
      <c r="I60" s="31"/>
      <c r="J60" s="31"/>
      <c r="K60" s="58"/>
      <c r="L60" s="26"/>
      <c r="M60" s="26"/>
      <c r="N60" s="26"/>
      <c r="O60" s="26"/>
      <c r="P60" s="38"/>
      <c r="Q60" s="152"/>
    </row>
    <row r="61" spans="1:17" s="42" customFormat="1" ht="15.75" thickBot="1" x14ac:dyDescent="0.3">
      <c r="A61" s="169"/>
      <c r="B61" s="30" t="s">
        <v>1112</v>
      </c>
      <c r="C61" s="31"/>
      <c r="D61" s="182"/>
      <c r="E61" s="31"/>
      <c r="F61" s="31"/>
      <c r="G61" s="31"/>
      <c r="H61" s="31"/>
      <c r="I61" s="31"/>
      <c r="J61" s="31"/>
      <c r="K61" s="58"/>
      <c r="L61" s="26"/>
      <c r="M61" s="26"/>
      <c r="N61" s="26"/>
      <c r="O61" s="26"/>
      <c r="P61" s="38"/>
      <c r="Q61" s="152"/>
    </row>
    <row r="62" spans="1:17" s="200" customFormat="1" ht="27.75" thickBot="1" x14ac:dyDescent="0.3">
      <c r="A62" s="187" t="s">
        <v>1114</v>
      </c>
      <c r="B62" s="188" t="s">
        <v>1447</v>
      </c>
      <c r="C62" s="189" t="s">
        <v>1330</v>
      </c>
      <c r="D62" s="293">
        <v>53</v>
      </c>
      <c r="E62" s="191">
        <v>53</v>
      </c>
      <c r="F62" s="191">
        <v>120</v>
      </c>
      <c r="G62" s="191">
        <v>36</v>
      </c>
      <c r="H62" s="191">
        <v>67</v>
      </c>
      <c r="I62" s="191">
        <v>0</v>
      </c>
      <c r="J62" s="192">
        <v>0</v>
      </c>
      <c r="K62" s="193">
        <f>SUM(D62:J62)</f>
        <v>329</v>
      </c>
      <c r="L62" s="194">
        <v>0</v>
      </c>
      <c r="M62" s="194">
        <v>0</v>
      </c>
      <c r="N62" s="194">
        <f>L62+M62</f>
        <v>0</v>
      </c>
      <c r="O62" s="194"/>
      <c r="P62" s="195">
        <f>N62*K62</f>
        <v>0</v>
      </c>
      <c r="Q62" s="208"/>
    </row>
    <row r="63" spans="1:17" s="200" customFormat="1" ht="77.25" thickBot="1" x14ac:dyDescent="0.3">
      <c r="A63" s="187" t="s">
        <v>1115</v>
      </c>
      <c r="B63" s="188" t="s">
        <v>89</v>
      </c>
      <c r="C63" s="189" t="s">
        <v>1330</v>
      </c>
      <c r="D63" s="293">
        <v>5.3000000000000007</v>
      </c>
      <c r="E63" s="191">
        <v>5.3000000000000007</v>
      </c>
      <c r="F63" s="191">
        <v>12</v>
      </c>
      <c r="G63" s="191">
        <v>3.6</v>
      </c>
      <c r="H63" s="191">
        <v>6.7</v>
      </c>
      <c r="I63" s="191">
        <v>0</v>
      </c>
      <c r="J63" s="192">
        <v>0</v>
      </c>
      <c r="K63" s="193">
        <f>SUM(D63:J63)</f>
        <v>32.900000000000006</v>
      </c>
      <c r="L63" s="194">
        <v>0</v>
      </c>
      <c r="M63" s="194">
        <v>0</v>
      </c>
      <c r="N63" s="194">
        <f>L63+M63</f>
        <v>0</v>
      </c>
      <c r="O63" s="194"/>
      <c r="P63" s="195">
        <f>N63*K63</f>
        <v>0</v>
      </c>
      <c r="Q63" s="208"/>
    </row>
    <row r="64" spans="1:17" s="200" customFormat="1" ht="15.75" thickBot="1" x14ac:dyDescent="0.3">
      <c r="A64" s="187" t="s">
        <v>1116</v>
      </c>
      <c r="B64" s="188" t="s">
        <v>90</v>
      </c>
      <c r="C64" s="189" t="s">
        <v>1330</v>
      </c>
      <c r="D64" s="293">
        <v>1.06</v>
      </c>
      <c r="E64" s="191">
        <v>1.06</v>
      </c>
      <c r="F64" s="191">
        <v>2.4</v>
      </c>
      <c r="G64" s="191">
        <v>0.72</v>
      </c>
      <c r="H64" s="191">
        <v>1.34</v>
      </c>
      <c r="I64" s="191">
        <v>0</v>
      </c>
      <c r="J64" s="192">
        <v>0</v>
      </c>
      <c r="K64" s="193">
        <f>SUM(D64:J64)</f>
        <v>6.5799999999999992</v>
      </c>
      <c r="L64" s="194">
        <v>0</v>
      </c>
      <c r="M64" s="194">
        <v>0</v>
      </c>
      <c r="N64" s="194">
        <f>L64+M64</f>
        <v>0</v>
      </c>
      <c r="O64" s="194"/>
      <c r="P64" s="195">
        <f>N64*K64</f>
        <v>0</v>
      </c>
      <c r="Q64" s="208"/>
    </row>
    <row r="65" spans="1:21" s="42" customFormat="1" x14ac:dyDescent="0.25">
      <c r="A65" s="337"/>
      <c r="B65" s="44"/>
      <c r="C65" s="44"/>
      <c r="D65" s="172"/>
      <c r="E65" s="44"/>
      <c r="F65" s="44"/>
      <c r="G65" s="44"/>
      <c r="H65" s="44"/>
      <c r="I65" s="44"/>
      <c r="J65" s="44"/>
      <c r="K65" s="118"/>
      <c r="L65" s="44"/>
      <c r="M65" s="44"/>
      <c r="N65" s="44"/>
      <c r="O65" s="44"/>
      <c r="P65" s="44"/>
      <c r="Q65" s="47"/>
    </row>
    <row r="66" spans="1:21" s="42" customFormat="1" x14ac:dyDescent="0.25">
      <c r="A66" s="168" t="s">
        <v>1117</v>
      </c>
      <c r="B66" s="27" t="s">
        <v>42</v>
      </c>
      <c r="C66" s="28"/>
      <c r="D66" s="181"/>
      <c r="E66" s="28"/>
      <c r="F66" s="28"/>
      <c r="G66" s="28"/>
      <c r="H66" s="28"/>
      <c r="I66" s="28"/>
      <c r="J66" s="28"/>
      <c r="K66" s="60"/>
      <c r="L66" s="29"/>
      <c r="M66" s="29"/>
      <c r="N66" s="29"/>
      <c r="O66" s="29"/>
      <c r="P66" s="23"/>
      <c r="Q66" s="152"/>
    </row>
    <row r="67" spans="1:21" s="42" customFormat="1" ht="38.25" x14ac:dyDescent="0.25">
      <c r="A67" s="169"/>
      <c r="B67" s="30" t="s">
        <v>43</v>
      </c>
      <c r="C67" s="31"/>
      <c r="D67" s="182"/>
      <c r="E67" s="31"/>
      <c r="F67" s="31"/>
      <c r="G67" s="31"/>
      <c r="H67" s="31"/>
      <c r="I67" s="31"/>
      <c r="J67" s="31"/>
      <c r="K67" s="58"/>
      <c r="L67" s="26"/>
      <c r="M67" s="26"/>
      <c r="N67" s="26"/>
      <c r="O67" s="26"/>
      <c r="P67" s="38"/>
      <c r="Q67" s="152"/>
    </row>
    <row r="68" spans="1:21" s="42" customFormat="1" ht="38.25" x14ac:dyDescent="0.25">
      <c r="A68" s="169"/>
      <c r="B68" s="30" t="s">
        <v>44</v>
      </c>
      <c r="C68" s="31"/>
      <c r="D68" s="182"/>
      <c r="E68" s="31"/>
      <c r="F68" s="31"/>
      <c r="G68" s="31"/>
      <c r="H68" s="31"/>
      <c r="I68" s="31"/>
      <c r="J68" s="31"/>
      <c r="K68" s="58"/>
      <c r="L68" s="26"/>
      <c r="M68" s="26"/>
      <c r="N68" s="26"/>
      <c r="O68" s="26"/>
      <c r="P68" s="38"/>
      <c r="Q68" s="152"/>
    </row>
    <row r="69" spans="1:21" s="42" customFormat="1" ht="25.5" x14ac:dyDescent="0.25">
      <c r="A69" s="169"/>
      <c r="B69" s="30" t="s">
        <v>1448</v>
      </c>
      <c r="C69" s="31"/>
      <c r="D69" s="182"/>
      <c r="E69" s="31"/>
      <c r="F69" s="31"/>
      <c r="G69" s="31"/>
      <c r="H69" s="31"/>
      <c r="I69" s="31"/>
      <c r="J69" s="31"/>
      <c r="K69" s="58"/>
      <c r="L69" s="26"/>
      <c r="M69" s="26"/>
      <c r="N69" s="26"/>
      <c r="O69" s="26"/>
      <c r="P69" s="38"/>
      <c r="Q69" s="152"/>
    </row>
    <row r="70" spans="1:21" s="42" customFormat="1" ht="15.75" thickBot="1" x14ac:dyDescent="0.3">
      <c r="A70" s="169"/>
      <c r="B70" s="30" t="s">
        <v>45</v>
      </c>
      <c r="C70" s="31"/>
      <c r="D70" s="182"/>
      <c r="E70" s="31"/>
      <c r="F70" s="31"/>
      <c r="G70" s="31"/>
      <c r="H70" s="31"/>
      <c r="I70" s="31"/>
      <c r="J70" s="31"/>
      <c r="K70" s="58"/>
      <c r="L70" s="26"/>
      <c r="M70" s="26"/>
      <c r="N70" s="26"/>
      <c r="O70" s="26"/>
      <c r="P70" s="38"/>
      <c r="Q70" s="152"/>
    </row>
    <row r="71" spans="1:21" s="200" customFormat="1" ht="26.25" thickBot="1" x14ac:dyDescent="0.3">
      <c r="A71" s="187" t="s">
        <v>1118</v>
      </c>
      <c r="B71" s="188" t="s">
        <v>46</v>
      </c>
      <c r="C71" s="189" t="s">
        <v>40</v>
      </c>
      <c r="D71" s="293">
        <v>65.5</v>
      </c>
      <c r="E71" s="191">
        <v>65.5</v>
      </c>
      <c r="F71" s="191">
        <v>176</v>
      </c>
      <c r="G71" s="191">
        <v>53.5</v>
      </c>
      <c r="H71" s="191">
        <v>73</v>
      </c>
      <c r="I71" s="191">
        <v>0</v>
      </c>
      <c r="J71" s="192">
        <v>0</v>
      </c>
      <c r="K71" s="193">
        <f>SUM(D71:J71)</f>
        <v>433.5</v>
      </c>
      <c r="L71" s="194">
        <v>0</v>
      </c>
      <c r="M71" s="194">
        <v>0</v>
      </c>
      <c r="N71" s="194">
        <f>L71+M71</f>
        <v>0</v>
      </c>
      <c r="O71" s="194"/>
      <c r="P71" s="195">
        <f>N71*K71</f>
        <v>0</v>
      </c>
      <c r="Q71" s="208"/>
    </row>
    <row r="72" spans="1:21" s="200" customFormat="1" ht="77.25" thickBot="1" x14ac:dyDescent="0.3">
      <c r="A72" s="187" t="s">
        <v>1119</v>
      </c>
      <c r="B72" s="188" t="s">
        <v>47</v>
      </c>
      <c r="C72" s="189" t="s">
        <v>40</v>
      </c>
      <c r="D72" s="293">
        <v>6.5500000000000007</v>
      </c>
      <c r="E72" s="191">
        <v>6.5500000000000007</v>
      </c>
      <c r="F72" s="191">
        <v>17.600000000000001</v>
      </c>
      <c r="G72" s="191">
        <v>5.3500000000000005</v>
      </c>
      <c r="H72" s="191">
        <v>7.3000000000000007</v>
      </c>
      <c r="I72" s="191">
        <v>0</v>
      </c>
      <c r="J72" s="192">
        <v>0</v>
      </c>
      <c r="K72" s="193">
        <f>SUM(D72:J72)</f>
        <v>43.350000000000009</v>
      </c>
      <c r="L72" s="194">
        <v>0</v>
      </c>
      <c r="M72" s="194">
        <v>0</v>
      </c>
      <c r="N72" s="194">
        <f>L72+M72</f>
        <v>0</v>
      </c>
      <c r="O72" s="194"/>
      <c r="P72" s="195">
        <f>N72*K72</f>
        <v>0</v>
      </c>
      <c r="Q72" s="208"/>
    </row>
    <row r="73" spans="1:21" s="200" customFormat="1" ht="15.75" thickBot="1" x14ac:dyDescent="0.3">
      <c r="A73" s="187" t="s">
        <v>1120</v>
      </c>
      <c r="B73" s="188" t="s">
        <v>48</v>
      </c>
      <c r="C73" s="189" t="s">
        <v>40</v>
      </c>
      <c r="D73" s="293">
        <v>1.31</v>
      </c>
      <c r="E73" s="191">
        <v>1.31</v>
      </c>
      <c r="F73" s="191">
        <v>3.52</v>
      </c>
      <c r="G73" s="191">
        <v>1.07</v>
      </c>
      <c r="H73" s="191">
        <v>1.46</v>
      </c>
      <c r="I73" s="191">
        <v>0</v>
      </c>
      <c r="J73" s="192">
        <v>0</v>
      </c>
      <c r="K73" s="193">
        <f>SUM(D73:J73)</f>
        <v>8.6700000000000017</v>
      </c>
      <c r="L73" s="194">
        <v>0</v>
      </c>
      <c r="M73" s="194">
        <v>0</v>
      </c>
      <c r="N73" s="194">
        <f>L73+M73</f>
        <v>0</v>
      </c>
      <c r="O73" s="194"/>
      <c r="P73" s="195">
        <f>N73*K73</f>
        <v>0</v>
      </c>
      <c r="Q73" s="208"/>
    </row>
    <row r="74" spans="1:21" s="42" customFormat="1" x14ac:dyDescent="0.25">
      <c r="A74" s="157"/>
      <c r="B74" s="44"/>
      <c r="C74" s="44"/>
      <c r="D74" s="172"/>
      <c r="E74" s="44"/>
      <c r="F74" s="44"/>
      <c r="G74" s="44"/>
      <c r="H74" s="44"/>
      <c r="I74" s="44"/>
      <c r="J74" s="44"/>
      <c r="K74" s="118"/>
      <c r="L74" s="44"/>
      <c r="M74" s="44"/>
      <c r="N74" s="44"/>
      <c r="O74" s="44"/>
      <c r="P74" s="44"/>
      <c r="Q74" s="47"/>
    </row>
    <row r="75" spans="1:21" s="32" customFormat="1" ht="12.75" x14ac:dyDescent="0.2">
      <c r="A75" s="159"/>
      <c r="B75" s="31"/>
      <c r="C75" s="25"/>
      <c r="D75" s="174"/>
      <c r="E75" s="25"/>
      <c r="F75" s="25"/>
      <c r="G75" s="25"/>
      <c r="H75" s="25"/>
      <c r="I75" s="25"/>
      <c r="J75" s="25"/>
      <c r="K75" s="58"/>
      <c r="L75" s="26"/>
      <c r="M75" s="26"/>
      <c r="N75" s="26"/>
      <c r="O75" s="26"/>
      <c r="P75" s="35"/>
      <c r="Q75" s="37"/>
    </row>
    <row r="76" spans="1:21" s="132" customFormat="1" ht="15.75" x14ac:dyDescent="0.25">
      <c r="A76" s="160" t="s">
        <v>34</v>
      </c>
      <c r="B76" s="130" t="s">
        <v>41</v>
      </c>
      <c r="C76" s="49"/>
      <c r="D76" s="180"/>
      <c r="E76" s="49"/>
      <c r="F76" s="49"/>
      <c r="G76" s="49"/>
      <c r="H76" s="49"/>
      <c r="I76" s="49"/>
      <c r="J76" s="49"/>
      <c r="K76" s="131"/>
      <c r="L76" s="49"/>
      <c r="M76" s="49"/>
      <c r="N76" s="476" t="s">
        <v>57</v>
      </c>
      <c r="O76" s="476"/>
      <c r="P76" s="50">
        <f>SUM(P50:P75)</f>
        <v>0</v>
      </c>
      <c r="Q76" s="151"/>
    </row>
    <row r="78" spans="1:21" s="132" customFormat="1" ht="15.75" x14ac:dyDescent="0.25">
      <c r="A78" s="160" t="s">
        <v>34</v>
      </c>
      <c r="B78" s="130" t="s">
        <v>1321</v>
      </c>
      <c r="C78" s="49"/>
      <c r="D78" s="49"/>
      <c r="E78" s="49"/>
      <c r="F78" s="49"/>
      <c r="G78" s="49"/>
      <c r="H78" s="49"/>
      <c r="I78" s="49"/>
      <c r="J78" s="49"/>
      <c r="K78" s="49"/>
      <c r="L78" s="49"/>
      <c r="M78" s="49"/>
      <c r="N78" s="49"/>
      <c r="O78" s="131"/>
      <c r="P78" s="49"/>
      <c r="Q78" s="49"/>
      <c r="R78" s="476" t="s">
        <v>57</v>
      </c>
      <c r="S78" s="476"/>
      <c r="T78" s="50">
        <f>P76*6</f>
        <v>0</v>
      </c>
      <c r="U78" s="151"/>
    </row>
    <row r="80" spans="1:21" s="132" customFormat="1" ht="15.75" x14ac:dyDescent="0.25">
      <c r="A80" s="160"/>
      <c r="B80" s="130" t="s">
        <v>1308</v>
      </c>
      <c r="C80" s="49"/>
      <c r="D80" s="49"/>
      <c r="E80" s="49"/>
      <c r="F80" s="49"/>
      <c r="G80" s="49"/>
      <c r="H80" s="49"/>
      <c r="I80" s="49"/>
      <c r="J80" s="49"/>
      <c r="K80" s="49"/>
      <c r="L80" s="49"/>
      <c r="M80" s="49"/>
      <c r="N80" s="49"/>
      <c r="O80" s="131"/>
      <c r="P80" s="49"/>
      <c r="Q80" s="49"/>
      <c r="R80" s="476"/>
      <c r="S80" s="476"/>
      <c r="T80" s="50">
        <f>SUM(T78,T43)</f>
        <v>0</v>
      </c>
      <c r="U80" s="151"/>
    </row>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5" customFormat="1" x14ac:dyDescent="0.25"/>
    <row r="96" customFormat="1" x14ac:dyDescent="0.25"/>
    <row r="97" customFormat="1" x14ac:dyDescent="0.25"/>
  </sheetData>
  <mergeCells count="11">
    <mergeCell ref="R78:S78"/>
    <mergeCell ref="R80:S80"/>
    <mergeCell ref="D46:J46"/>
    <mergeCell ref="N76:O76"/>
    <mergeCell ref="B2:R3"/>
    <mergeCell ref="B5:T5"/>
    <mergeCell ref="D7:N7"/>
    <mergeCell ref="D8:N8"/>
    <mergeCell ref="R41:S41"/>
    <mergeCell ref="D45:J45"/>
    <mergeCell ref="R43:S43"/>
  </mergeCells>
  <conditionalFormatting sqref="P75:P76">
    <cfRule type="cellIs" dxfId="53" priority="4" stopIfTrue="1" operator="greaterThan">
      <formula>0</formula>
    </cfRule>
  </conditionalFormatting>
  <conditionalFormatting sqref="T11">
    <cfRule type="cellIs" dxfId="52" priority="6" stopIfTrue="1" operator="greaterThan">
      <formula>0</formula>
    </cfRule>
  </conditionalFormatting>
  <conditionalFormatting sqref="T40:T41">
    <cfRule type="cellIs" dxfId="51" priority="5" stopIfTrue="1" operator="greaterThan">
      <formula>0</formula>
    </cfRule>
  </conditionalFormatting>
  <conditionalFormatting sqref="T43">
    <cfRule type="cellIs" dxfId="50" priority="3" stopIfTrue="1" operator="greaterThan">
      <formula>0</formula>
    </cfRule>
  </conditionalFormatting>
  <conditionalFormatting sqref="T78">
    <cfRule type="cellIs" dxfId="49" priority="2" stopIfTrue="1" operator="greaterThan">
      <formula>0</formula>
    </cfRule>
  </conditionalFormatting>
  <conditionalFormatting sqref="T80">
    <cfRule type="cellIs" dxfId="48" priority="1" stopIfTrue="1" operator="greater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CE9B4-3DA8-4FA4-8C54-2038D9F8768F}">
  <sheetPr>
    <tabColor theme="5" tint="0.79998168889431442"/>
  </sheetPr>
  <dimension ref="A1:U77"/>
  <sheetViews>
    <sheetView topLeftCell="A9" zoomScale="70" zoomScaleNormal="70" workbookViewId="0">
      <selection activeCell="A75" sqref="A75:XFD77"/>
    </sheetView>
  </sheetViews>
  <sheetFormatPr defaultRowHeight="15" x14ac:dyDescent="0.25"/>
  <cols>
    <col min="2" max="2" width="59.140625" customWidth="1"/>
  </cols>
  <sheetData>
    <row r="1" spans="1:21" s="42" customFormat="1" x14ac:dyDescent="0.25">
      <c r="A1" s="157"/>
      <c r="B1" s="112" t="s">
        <v>1198</v>
      </c>
      <c r="C1" s="44"/>
      <c r="D1" s="53"/>
      <c r="E1" s="53"/>
      <c r="F1" s="53"/>
      <c r="G1" s="53"/>
      <c r="H1" s="53"/>
      <c r="I1" s="53"/>
      <c r="J1" s="53"/>
      <c r="K1" s="53"/>
      <c r="L1" s="53"/>
      <c r="M1" s="53"/>
      <c r="N1" s="53"/>
      <c r="O1" s="113"/>
      <c r="P1" s="44"/>
      <c r="Q1" s="44"/>
      <c r="R1" s="44"/>
      <c r="S1" s="44"/>
      <c r="T1" s="44"/>
      <c r="U1" s="47"/>
    </row>
    <row r="2" spans="1:21" s="42" customFormat="1" x14ac:dyDescent="0.25">
      <c r="A2" s="157"/>
      <c r="B2" s="480" t="s">
        <v>11</v>
      </c>
      <c r="C2" s="481"/>
      <c r="D2" s="481"/>
      <c r="E2" s="481"/>
      <c r="F2" s="481"/>
      <c r="G2" s="481"/>
      <c r="H2" s="481"/>
      <c r="I2" s="481"/>
      <c r="J2" s="481"/>
      <c r="K2" s="481"/>
      <c r="L2" s="481"/>
      <c r="M2" s="481"/>
      <c r="N2" s="481"/>
      <c r="O2" s="481"/>
      <c r="P2" s="481"/>
      <c r="Q2" s="481"/>
      <c r="R2" s="482"/>
      <c r="S2" s="7" t="s">
        <v>10</v>
      </c>
      <c r="T2" s="133">
        <v>0</v>
      </c>
      <c r="U2" s="47"/>
    </row>
    <row r="3" spans="1:21" s="42" customFormat="1" x14ac:dyDescent="0.25">
      <c r="A3" s="157"/>
      <c r="B3" s="483"/>
      <c r="C3" s="484"/>
      <c r="D3" s="484"/>
      <c r="E3" s="484"/>
      <c r="F3" s="484"/>
      <c r="G3" s="484"/>
      <c r="H3" s="484"/>
      <c r="I3" s="484"/>
      <c r="J3" s="484"/>
      <c r="K3" s="484"/>
      <c r="L3" s="484"/>
      <c r="M3" s="484"/>
      <c r="N3" s="484"/>
      <c r="O3" s="484"/>
      <c r="P3" s="484"/>
      <c r="Q3" s="484"/>
      <c r="R3" s="485"/>
      <c r="S3" s="7" t="s">
        <v>9</v>
      </c>
      <c r="T3" s="134" t="s">
        <v>1006</v>
      </c>
      <c r="U3" s="47"/>
    </row>
    <row r="4" spans="1:21" s="42" customFormat="1" x14ac:dyDescent="0.25">
      <c r="A4" s="157"/>
      <c r="B4" s="114" t="s">
        <v>1199</v>
      </c>
      <c r="C4" s="114" t="s">
        <v>12</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x14ac:dyDescent="0.25">
      <c r="A5" s="158" t="s">
        <v>1</v>
      </c>
      <c r="B5" s="486" t="s">
        <v>35</v>
      </c>
      <c r="C5" s="486"/>
      <c r="D5" s="486"/>
      <c r="E5" s="486"/>
      <c r="F5" s="486"/>
      <c r="G5" s="486"/>
      <c r="H5" s="486"/>
      <c r="I5" s="486"/>
      <c r="J5" s="486"/>
      <c r="K5" s="486"/>
      <c r="L5" s="486"/>
      <c r="M5" s="486"/>
      <c r="N5" s="486"/>
      <c r="O5" s="486"/>
      <c r="P5" s="486"/>
      <c r="Q5" s="486"/>
      <c r="R5" s="486"/>
      <c r="S5" s="486"/>
      <c r="T5" s="486"/>
      <c r="U5" s="149"/>
    </row>
    <row r="6" spans="1:21" s="42" customFormat="1" ht="15.75"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thickBot="1" x14ac:dyDescent="0.3">
      <c r="A7" s="119" t="s">
        <v>8</v>
      </c>
      <c r="B7" s="119" t="s">
        <v>7</v>
      </c>
      <c r="C7" s="120" t="s">
        <v>6</v>
      </c>
      <c r="D7" s="487"/>
      <c r="E7" s="487"/>
      <c r="F7" s="487"/>
      <c r="G7" s="487"/>
      <c r="H7" s="487"/>
      <c r="I7" s="487"/>
      <c r="J7" s="487"/>
      <c r="K7" s="487"/>
      <c r="L7" s="487"/>
      <c r="M7" s="487"/>
      <c r="N7" s="487"/>
      <c r="O7" s="121" t="s">
        <v>54</v>
      </c>
      <c r="P7" s="122" t="s">
        <v>5</v>
      </c>
      <c r="Q7" s="121" t="s">
        <v>4</v>
      </c>
      <c r="R7" s="121" t="s">
        <v>1004</v>
      </c>
      <c r="S7" s="121"/>
      <c r="T7" s="119" t="s">
        <v>1005</v>
      </c>
      <c r="U7" s="47"/>
    </row>
    <row r="8" spans="1:21" s="42" customFormat="1" ht="15.75" thickBot="1" x14ac:dyDescent="0.3">
      <c r="A8" s="123"/>
      <c r="B8" s="123"/>
      <c r="C8" s="124"/>
      <c r="D8" s="477" t="s">
        <v>1002</v>
      </c>
      <c r="E8" s="478"/>
      <c r="F8" s="478"/>
      <c r="G8" s="478"/>
      <c r="H8" s="478"/>
      <c r="I8" s="478"/>
      <c r="J8" s="478"/>
      <c r="K8" s="478"/>
      <c r="L8" s="478"/>
      <c r="M8" s="478"/>
      <c r="N8" s="479"/>
      <c r="O8" s="125"/>
      <c r="P8" s="124"/>
      <c r="Q8" s="124"/>
      <c r="R8" s="124"/>
      <c r="S8" s="124"/>
      <c r="T8" s="123"/>
      <c r="U8" s="47"/>
    </row>
    <row r="9" spans="1:21" s="42" customFormat="1" ht="60" x14ac:dyDescent="0.25">
      <c r="A9" s="123"/>
      <c r="B9" s="123"/>
      <c r="C9" s="124"/>
      <c r="D9" s="127" t="s">
        <v>1273</v>
      </c>
      <c r="E9" s="127" t="s">
        <v>1274</v>
      </c>
      <c r="F9" s="46" t="s">
        <v>1275</v>
      </c>
      <c r="G9" s="46" t="s">
        <v>1276</v>
      </c>
      <c r="H9" s="46" t="s">
        <v>1277</v>
      </c>
      <c r="I9" s="46" t="s">
        <v>1278</v>
      </c>
      <c r="J9" s="46" t="s">
        <v>1279</v>
      </c>
      <c r="K9" s="46" t="s">
        <v>1280</v>
      </c>
      <c r="L9" s="46" t="s">
        <v>1281</v>
      </c>
      <c r="M9" s="154" t="s">
        <v>1208</v>
      </c>
      <c r="N9" s="126" t="s">
        <v>1003</v>
      </c>
      <c r="O9" s="125"/>
      <c r="P9" s="124"/>
      <c r="Q9" s="124"/>
      <c r="R9" s="124"/>
      <c r="S9" s="124"/>
      <c r="T9" s="123"/>
      <c r="U9" s="47"/>
    </row>
    <row r="10" spans="1:21" s="32" customFormat="1" ht="12.75"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x14ac:dyDescent="0.25">
      <c r="A12" s="160" t="s">
        <v>53</v>
      </c>
      <c r="B12" s="39" t="s">
        <v>1282</v>
      </c>
      <c r="C12" s="40"/>
      <c r="D12" s="40"/>
      <c r="E12" s="40"/>
      <c r="F12" s="40"/>
      <c r="G12" s="40"/>
      <c r="H12" s="40"/>
      <c r="I12" s="40"/>
      <c r="J12" s="40"/>
      <c r="K12" s="40"/>
      <c r="L12" s="40"/>
      <c r="M12" s="40"/>
      <c r="N12" s="40"/>
      <c r="O12" s="59"/>
      <c r="P12" s="40"/>
      <c r="Q12" s="40"/>
      <c r="R12" s="40"/>
      <c r="S12" s="40"/>
      <c r="T12" s="41"/>
      <c r="U12" s="149"/>
    </row>
    <row r="14" spans="1:21" s="117" customFormat="1" ht="15.75" x14ac:dyDescent="0.25">
      <c r="A14" s="158" t="s">
        <v>1043</v>
      </c>
      <c r="B14" s="39" t="s">
        <v>116</v>
      </c>
      <c r="C14" s="40"/>
      <c r="D14" s="40"/>
      <c r="E14" s="40"/>
      <c r="F14" s="40"/>
      <c r="G14" s="40"/>
      <c r="H14" s="40"/>
      <c r="I14" s="40"/>
      <c r="J14" s="40"/>
      <c r="K14" s="40"/>
      <c r="L14" s="40"/>
      <c r="M14" s="40"/>
      <c r="N14" s="40"/>
      <c r="O14" s="59"/>
      <c r="P14" s="40"/>
      <c r="Q14" s="40"/>
      <c r="R14" s="40"/>
      <c r="S14" s="40"/>
      <c r="T14" s="41"/>
      <c r="U14" s="149"/>
    </row>
    <row r="15" spans="1:21" s="42" customFormat="1" x14ac:dyDescent="0.25">
      <c r="A15" s="157"/>
      <c r="B15" s="44"/>
      <c r="C15" s="44"/>
      <c r="D15" s="44"/>
      <c r="E15" s="44"/>
      <c r="F15" s="44"/>
      <c r="G15" s="44"/>
      <c r="H15" s="44"/>
      <c r="I15" s="44"/>
      <c r="J15" s="44"/>
      <c r="K15" s="44"/>
      <c r="L15" s="44"/>
      <c r="M15" s="44"/>
      <c r="N15" s="44"/>
      <c r="O15" s="118"/>
      <c r="P15" s="44"/>
      <c r="Q15" s="44"/>
      <c r="R15" s="44"/>
      <c r="S15" s="44"/>
      <c r="T15" s="44"/>
      <c r="U15" s="47"/>
    </row>
    <row r="16" spans="1:21" s="42" customFormat="1" ht="120" x14ac:dyDescent="0.25">
      <c r="A16" s="157"/>
      <c r="B16" s="143" t="s">
        <v>1045</v>
      </c>
      <c r="C16" s="44"/>
      <c r="D16" s="44"/>
      <c r="E16" s="44"/>
      <c r="F16" s="44"/>
      <c r="G16" s="44"/>
      <c r="H16" s="44"/>
      <c r="I16" s="44"/>
      <c r="J16" s="44"/>
      <c r="K16" s="44"/>
      <c r="L16" s="44"/>
      <c r="M16" s="44"/>
      <c r="N16" s="44"/>
      <c r="O16" s="118"/>
      <c r="P16" s="44"/>
      <c r="Q16" s="44"/>
      <c r="R16" s="44"/>
      <c r="S16" s="44"/>
      <c r="T16" s="44"/>
      <c r="U16" s="47"/>
    </row>
    <row r="17" spans="1:21" s="32" customFormat="1" ht="12.75" x14ac:dyDescent="0.2">
      <c r="A17" s="159"/>
      <c r="B17" s="31"/>
      <c r="C17" s="25"/>
      <c r="D17" s="25"/>
      <c r="E17" s="25"/>
      <c r="F17" s="25"/>
      <c r="G17" s="25"/>
      <c r="H17" s="25"/>
      <c r="I17" s="25"/>
      <c r="J17" s="25"/>
      <c r="K17" s="25"/>
      <c r="L17" s="25"/>
      <c r="M17" s="25"/>
      <c r="N17" s="25"/>
      <c r="O17" s="58"/>
      <c r="P17" s="26"/>
      <c r="Q17" s="26"/>
      <c r="R17" s="26"/>
      <c r="S17" s="26"/>
      <c r="T17" s="35"/>
      <c r="U17" s="37"/>
    </row>
    <row r="18" spans="1:21" s="32" customFormat="1" ht="12.75" x14ac:dyDescent="0.2">
      <c r="A18" s="159"/>
      <c r="B18" s="31"/>
      <c r="C18" s="25"/>
      <c r="D18" s="25"/>
      <c r="E18" s="25"/>
      <c r="F18" s="25"/>
      <c r="G18" s="25"/>
      <c r="H18" s="25"/>
      <c r="I18" s="25"/>
      <c r="J18" s="25"/>
      <c r="K18" s="25"/>
      <c r="L18" s="25"/>
      <c r="M18" s="25"/>
      <c r="N18" s="25"/>
      <c r="O18" s="58"/>
      <c r="P18" s="26"/>
      <c r="Q18" s="26"/>
      <c r="R18" s="26"/>
      <c r="S18" s="26"/>
      <c r="T18" s="35"/>
      <c r="U18" s="37"/>
    </row>
    <row r="19" spans="1:21" s="42" customFormat="1" x14ac:dyDescent="0.25">
      <c r="A19" s="161" t="s">
        <v>1046</v>
      </c>
      <c r="B19" s="493" t="s">
        <v>1047</v>
      </c>
      <c r="C19" s="493"/>
      <c r="D19" s="493"/>
      <c r="E19" s="493"/>
      <c r="F19" s="493"/>
      <c r="G19" s="493"/>
      <c r="H19" s="493"/>
      <c r="I19" s="493"/>
      <c r="J19" s="493"/>
      <c r="K19" s="493"/>
      <c r="L19" s="493"/>
      <c r="M19" s="493"/>
      <c r="N19" s="493"/>
      <c r="O19" s="493"/>
      <c r="P19" s="493"/>
      <c r="Q19" s="493"/>
      <c r="R19" s="493"/>
      <c r="S19" s="43"/>
      <c r="T19" s="33"/>
      <c r="U19" s="47"/>
    </row>
    <row r="20" spans="1:21" s="42" customFormat="1" x14ac:dyDescent="0.25">
      <c r="A20" s="157"/>
      <c r="B20" s="44"/>
      <c r="C20" s="44"/>
      <c r="D20" s="44"/>
      <c r="E20" s="44"/>
      <c r="F20" s="44"/>
      <c r="G20" s="44"/>
      <c r="H20" s="44"/>
      <c r="I20" s="44"/>
      <c r="J20" s="44"/>
      <c r="K20" s="44"/>
      <c r="L20" s="44"/>
      <c r="M20" s="44"/>
      <c r="N20" s="44"/>
      <c r="O20" s="118"/>
      <c r="P20" s="44"/>
      <c r="Q20" s="44"/>
      <c r="R20" s="44"/>
      <c r="S20" s="44"/>
      <c r="T20" s="44"/>
      <c r="U20" s="47"/>
    </row>
    <row r="21" spans="1:21" s="42" customFormat="1" x14ac:dyDescent="0.25">
      <c r="A21" s="157"/>
      <c r="B21" s="44"/>
      <c r="C21" s="44"/>
      <c r="D21" s="44"/>
      <c r="E21" s="44"/>
      <c r="F21" s="44"/>
      <c r="G21" s="44"/>
      <c r="H21" s="44"/>
      <c r="I21" s="44"/>
      <c r="J21" s="44"/>
      <c r="K21" s="44"/>
      <c r="L21" s="44"/>
      <c r="M21" s="44"/>
      <c r="N21" s="44"/>
      <c r="O21" s="118"/>
      <c r="P21" s="44"/>
      <c r="Q21" s="44"/>
      <c r="R21" s="44"/>
      <c r="S21" s="44"/>
      <c r="T21" s="44"/>
      <c r="U21" s="47"/>
    </row>
    <row r="22" spans="1:21" s="42" customFormat="1" x14ac:dyDescent="0.25">
      <c r="A22" s="166" t="s">
        <v>1185</v>
      </c>
      <c r="B22" s="27" t="s">
        <v>1186</v>
      </c>
      <c r="C22" s="28"/>
      <c r="D22" s="28"/>
      <c r="E22" s="28"/>
      <c r="F22" s="28"/>
      <c r="G22" s="28"/>
      <c r="H22" s="28"/>
      <c r="I22" s="28"/>
      <c r="J22" s="28"/>
      <c r="K22" s="28"/>
      <c r="L22" s="28"/>
      <c r="M22" s="28"/>
      <c r="N22" s="28"/>
      <c r="O22" s="60"/>
      <c r="P22" s="29"/>
      <c r="Q22" s="29"/>
      <c r="R22" s="29"/>
      <c r="S22" s="29"/>
      <c r="T22" s="23"/>
      <c r="U22" s="152"/>
    </row>
    <row r="23" spans="1:21" s="42" customFormat="1" ht="102" x14ac:dyDescent="0.25">
      <c r="A23" s="167"/>
      <c r="B23" s="30" t="s">
        <v>1239</v>
      </c>
      <c r="C23" s="31"/>
      <c r="D23" s="31"/>
      <c r="E23" s="31"/>
      <c r="F23" s="31"/>
      <c r="G23" s="31"/>
      <c r="H23" s="31"/>
      <c r="I23" s="31"/>
      <c r="J23" s="31"/>
      <c r="K23" s="31"/>
      <c r="L23" s="31"/>
      <c r="M23" s="31"/>
      <c r="N23" s="31"/>
      <c r="O23" s="58"/>
      <c r="P23" s="26"/>
      <c r="Q23" s="26"/>
      <c r="R23" s="26"/>
      <c r="S23" s="26"/>
      <c r="T23" s="38"/>
      <c r="U23" s="152"/>
    </row>
    <row r="24" spans="1:21" s="42" customFormat="1" ht="25.5" x14ac:dyDescent="0.25">
      <c r="A24" s="167"/>
      <c r="B24" s="30" t="s">
        <v>1190</v>
      </c>
      <c r="C24" s="31"/>
      <c r="D24" s="31"/>
      <c r="E24" s="31"/>
      <c r="F24" s="31"/>
      <c r="G24" s="31"/>
      <c r="H24" s="31"/>
      <c r="I24" s="31"/>
      <c r="J24" s="31"/>
      <c r="K24" s="31"/>
      <c r="L24" s="31"/>
      <c r="M24" s="31"/>
      <c r="N24" s="31"/>
      <c r="O24" s="58"/>
      <c r="P24" s="26"/>
      <c r="Q24" s="26"/>
      <c r="R24" s="26"/>
      <c r="S24" s="26"/>
      <c r="T24" s="38"/>
      <c r="U24" s="152"/>
    </row>
    <row r="25" spans="1:21" s="42" customFormat="1" ht="15.75" thickBot="1" x14ac:dyDescent="0.3">
      <c r="A25" s="167"/>
      <c r="B25" s="30" t="s">
        <v>1187</v>
      </c>
      <c r="C25" s="31"/>
      <c r="D25" s="31"/>
      <c r="E25" s="31"/>
      <c r="F25" s="31"/>
      <c r="G25" s="31"/>
      <c r="H25" s="31"/>
      <c r="I25" s="31"/>
      <c r="J25" s="31"/>
      <c r="K25" s="31"/>
      <c r="L25" s="31"/>
      <c r="M25" s="31"/>
      <c r="N25" s="31"/>
      <c r="O25" s="58"/>
      <c r="P25" s="26"/>
      <c r="Q25" s="26"/>
      <c r="R25" s="26"/>
      <c r="S25" s="26"/>
      <c r="T25" s="38"/>
      <c r="U25" s="152"/>
    </row>
    <row r="26" spans="1:21" s="42" customFormat="1" ht="15.75" thickBot="1" x14ac:dyDescent="0.3">
      <c r="A26" s="166"/>
      <c r="B26" s="137" t="s">
        <v>51</v>
      </c>
      <c r="C26" s="135" t="s">
        <v>40</v>
      </c>
      <c r="D26" s="55">
        <f t="shared" ref="D26:M26" si="0">D$4*0</f>
        <v>0</v>
      </c>
      <c r="E26" s="55">
        <f t="shared" si="0"/>
        <v>0</v>
      </c>
      <c r="F26" s="36">
        <f t="shared" si="0"/>
        <v>0</v>
      </c>
      <c r="G26" s="36">
        <f t="shared" si="0"/>
        <v>0</v>
      </c>
      <c r="H26" s="36">
        <f t="shared" si="0"/>
        <v>0</v>
      </c>
      <c r="I26" s="36">
        <f t="shared" si="0"/>
        <v>0</v>
      </c>
      <c r="J26" s="36">
        <f t="shared" si="0"/>
        <v>0</v>
      </c>
      <c r="K26" s="36">
        <f t="shared" si="0"/>
        <v>0</v>
      </c>
      <c r="L26" s="36">
        <f t="shared" si="0"/>
        <v>0</v>
      </c>
      <c r="M26" s="36">
        <f t="shared" si="0"/>
        <v>0</v>
      </c>
      <c r="N26" s="56">
        <f>N$4*105.75</f>
        <v>105.75</v>
      </c>
      <c r="O26" s="62">
        <f>SUM(D26:N26)</f>
        <v>105.75</v>
      </c>
      <c r="P26" s="26">
        <v>0</v>
      </c>
      <c r="Q26" s="26">
        <v>0</v>
      </c>
      <c r="R26" s="26">
        <f>P26+Q26</f>
        <v>0</v>
      </c>
      <c r="S26" s="26"/>
      <c r="T26" s="22">
        <f>R26*O26</f>
        <v>0</v>
      </c>
      <c r="U26" s="47"/>
    </row>
    <row r="27" spans="1:21" s="42" customFormat="1" x14ac:dyDescent="0.25">
      <c r="A27" s="157"/>
      <c r="B27" s="44"/>
      <c r="C27" s="44"/>
      <c r="D27" s="44"/>
      <c r="E27" s="44"/>
      <c r="F27" s="44"/>
      <c r="G27" s="44"/>
      <c r="H27" s="44"/>
      <c r="I27" s="44"/>
      <c r="J27" s="44"/>
      <c r="K27" s="44"/>
      <c r="L27" s="44"/>
      <c r="M27" s="44"/>
      <c r="N27" s="44"/>
      <c r="O27" s="118"/>
      <c r="P27" s="44"/>
      <c r="Q27" s="44"/>
      <c r="R27" s="44"/>
      <c r="S27" s="44"/>
      <c r="T27" s="44"/>
      <c r="U27" s="47"/>
    </row>
    <row r="28" spans="1:21" s="42" customFormat="1" x14ac:dyDescent="0.25">
      <c r="A28" s="166" t="s">
        <v>1157</v>
      </c>
      <c r="B28" s="147" t="s">
        <v>1223</v>
      </c>
      <c r="C28" s="28"/>
      <c r="D28" s="28"/>
      <c r="E28" s="28"/>
      <c r="F28" s="28"/>
      <c r="G28" s="28"/>
      <c r="H28" s="28"/>
      <c r="I28" s="28"/>
      <c r="J28" s="28"/>
      <c r="K28" s="28"/>
      <c r="L28" s="28"/>
      <c r="M28" s="28"/>
      <c r="N28" s="28"/>
      <c r="O28" s="60"/>
      <c r="P28" s="29"/>
      <c r="Q28" s="29"/>
      <c r="R28" s="29"/>
      <c r="S28" s="29"/>
      <c r="T28" s="23"/>
      <c r="U28" s="152"/>
    </row>
    <row r="29" spans="1:21" s="42" customFormat="1" x14ac:dyDescent="0.25">
      <c r="A29" s="167"/>
      <c r="B29" s="24" t="s">
        <v>111</v>
      </c>
      <c r="C29" s="31"/>
      <c r="D29" s="31"/>
      <c r="E29" s="31"/>
      <c r="F29" s="31"/>
      <c r="G29" s="31"/>
      <c r="H29" s="31"/>
      <c r="I29" s="31"/>
      <c r="J29" s="31"/>
      <c r="K29" s="31"/>
      <c r="L29" s="31"/>
      <c r="M29" s="31"/>
      <c r="N29" s="31"/>
      <c r="O29" s="58"/>
      <c r="P29" s="26"/>
      <c r="Q29" s="26"/>
      <c r="R29" s="26"/>
      <c r="S29" s="26"/>
      <c r="T29" s="38"/>
      <c r="U29" s="152"/>
    </row>
    <row r="30" spans="1:21" s="42" customFormat="1" ht="54.75" customHeight="1" x14ac:dyDescent="0.25">
      <c r="A30" s="167"/>
      <c r="B30" s="24" t="s">
        <v>1224</v>
      </c>
      <c r="C30" s="31"/>
      <c r="D30" s="31"/>
      <c r="E30" s="31"/>
      <c r="F30" s="31"/>
      <c r="G30" s="31"/>
      <c r="H30" s="31"/>
      <c r="I30" s="31"/>
      <c r="J30" s="31"/>
      <c r="K30" s="31"/>
      <c r="L30" s="31"/>
      <c r="M30" s="31"/>
      <c r="N30" s="31"/>
      <c r="O30" s="58"/>
      <c r="P30" s="26"/>
      <c r="Q30" s="26"/>
      <c r="R30" s="26"/>
      <c r="S30" s="26"/>
      <c r="T30" s="38"/>
      <c r="U30" s="152"/>
    </row>
    <row r="31" spans="1:21" s="42" customFormat="1" ht="25.5" x14ac:dyDescent="0.25">
      <c r="A31" s="167"/>
      <c r="B31" s="141" t="s">
        <v>1156</v>
      </c>
      <c r="C31" s="31"/>
      <c r="D31" s="31"/>
      <c r="E31" s="31"/>
      <c r="F31" s="31"/>
      <c r="G31" s="31"/>
      <c r="H31" s="31"/>
      <c r="I31" s="31"/>
      <c r="J31" s="31"/>
      <c r="K31" s="31"/>
      <c r="L31" s="31"/>
      <c r="M31" s="31"/>
      <c r="N31" s="31"/>
      <c r="O31" s="58"/>
      <c r="P31" s="26"/>
      <c r="Q31" s="26"/>
      <c r="R31" s="26"/>
      <c r="S31" s="26"/>
      <c r="T31" s="38"/>
      <c r="U31" s="152"/>
    </row>
    <row r="32" spans="1:21" s="42" customFormat="1" ht="38.25" x14ac:dyDescent="0.25">
      <c r="A32" s="167"/>
      <c r="B32" s="141" t="s">
        <v>112</v>
      </c>
      <c r="C32" s="31"/>
      <c r="D32" s="31"/>
      <c r="E32" s="31"/>
      <c r="F32" s="31"/>
      <c r="G32" s="31"/>
      <c r="H32" s="31"/>
      <c r="I32" s="31"/>
      <c r="J32" s="31"/>
      <c r="K32" s="31"/>
      <c r="L32" s="31"/>
      <c r="M32" s="31"/>
      <c r="N32" s="31"/>
      <c r="O32" s="58"/>
      <c r="P32" s="26"/>
      <c r="Q32" s="26"/>
      <c r="R32" s="26"/>
      <c r="S32" s="26"/>
      <c r="T32" s="38"/>
      <c r="U32" s="152"/>
    </row>
    <row r="33" spans="1:21" s="42" customFormat="1" x14ac:dyDescent="0.25">
      <c r="A33" s="167"/>
      <c r="B33" s="17" t="s">
        <v>1225</v>
      </c>
      <c r="C33" s="31"/>
      <c r="D33" s="31"/>
      <c r="E33" s="31"/>
      <c r="F33" s="31"/>
      <c r="G33" s="31"/>
      <c r="H33" s="31"/>
      <c r="I33" s="31"/>
      <c r="J33" s="31"/>
      <c r="K33" s="31"/>
      <c r="L33" s="31"/>
      <c r="M33" s="31"/>
      <c r="N33" s="31"/>
      <c r="O33" s="58"/>
      <c r="P33" s="26"/>
      <c r="Q33" s="26"/>
      <c r="R33" s="26"/>
      <c r="S33" s="26"/>
      <c r="T33" s="38"/>
      <c r="U33" s="152"/>
    </row>
    <row r="34" spans="1:21" s="42" customFormat="1" ht="15.75" thickBot="1" x14ac:dyDescent="0.3">
      <c r="A34" s="167"/>
      <c r="B34" s="141" t="s">
        <v>50</v>
      </c>
      <c r="C34" s="31"/>
      <c r="D34" s="31"/>
      <c r="E34" s="31"/>
      <c r="F34" s="31"/>
      <c r="G34" s="31"/>
      <c r="H34" s="31"/>
      <c r="I34" s="31"/>
      <c r="J34" s="31"/>
      <c r="K34" s="31"/>
      <c r="L34" s="31"/>
      <c r="M34" s="31"/>
      <c r="N34" s="31"/>
      <c r="O34" s="58"/>
      <c r="P34" s="26"/>
      <c r="Q34" s="26"/>
      <c r="R34" s="26"/>
      <c r="S34" s="26"/>
      <c r="T34" s="38"/>
      <c r="U34" s="152"/>
    </row>
    <row r="35" spans="1:21" s="42" customFormat="1" ht="15.75" thickBot="1" x14ac:dyDescent="0.3">
      <c r="A35" s="166" t="s">
        <v>1227</v>
      </c>
      <c r="B35" s="137" t="s">
        <v>1226</v>
      </c>
      <c r="C35" s="135" t="s">
        <v>2</v>
      </c>
      <c r="D35" s="55">
        <f>D$4*1</f>
        <v>1</v>
      </c>
      <c r="E35" s="55">
        <f>E$4*1</f>
        <v>1</v>
      </c>
      <c r="F35" s="36">
        <f>F$4*1</f>
        <v>1</v>
      </c>
      <c r="G35" s="36">
        <f>G$4*1</f>
        <v>1</v>
      </c>
      <c r="H35" s="36">
        <f>H$4*0</f>
        <v>0</v>
      </c>
      <c r="I35" s="36">
        <f>I$4*1</f>
        <v>1</v>
      </c>
      <c r="J35" s="36">
        <f>J$4*0</f>
        <v>0</v>
      </c>
      <c r="K35" s="36">
        <f>K$4*1</f>
        <v>2</v>
      </c>
      <c r="L35" s="36">
        <f>L$4*0</f>
        <v>0</v>
      </c>
      <c r="M35" s="36">
        <f>M$4*0</f>
        <v>0</v>
      </c>
      <c r="N35" s="56">
        <f>N$4*0</f>
        <v>0</v>
      </c>
      <c r="O35" s="62">
        <f>SUM(D35:N35)</f>
        <v>7</v>
      </c>
      <c r="P35" s="26">
        <v>0</v>
      </c>
      <c r="Q35" s="26">
        <v>0</v>
      </c>
      <c r="R35" s="26">
        <f>P35+Q35</f>
        <v>0</v>
      </c>
      <c r="S35" s="26"/>
      <c r="T35" s="22">
        <f>R35*O35</f>
        <v>0</v>
      </c>
      <c r="U35" s="47"/>
    </row>
    <row r="36" spans="1:21" s="42" customFormat="1" ht="15.75" thickBot="1" x14ac:dyDescent="0.3">
      <c r="A36" s="166" t="s">
        <v>1228</v>
      </c>
      <c r="B36" s="137" t="s">
        <v>1222</v>
      </c>
      <c r="C36" s="135" t="s">
        <v>2</v>
      </c>
      <c r="D36" s="55">
        <f t="shared" ref="D36:G37" si="1">D$4*0</f>
        <v>0</v>
      </c>
      <c r="E36" s="55">
        <f t="shared" si="1"/>
        <v>0</v>
      </c>
      <c r="F36" s="36">
        <f t="shared" si="1"/>
        <v>0</v>
      </c>
      <c r="G36" s="36">
        <f t="shared" si="1"/>
        <v>0</v>
      </c>
      <c r="H36" s="36">
        <f>H$4*0</f>
        <v>0</v>
      </c>
      <c r="I36" s="36">
        <f>I$4*0</f>
        <v>0</v>
      </c>
      <c r="J36" s="36">
        <f>J$4*0</f>
        <v>0</v>
      </c>
      <c r="K36" s="36">
        <f>K$4*0</f>
        <v>0</v>
      </c>
      <c r="L36" s="36">
        <f>L$4*1</f>
        <v>1</v>
      </c>
      <c r="M36" s="36">
        <f>M$4*0</f>
        <v>0</v>
      </c>
      <c r="N36" s="56">
        <f>N$4*0</f>
        <v>0</v>
      </c>
      <c r="O36" s="62">
        <f>SUM(D36:N36)</f>
        <v>1</v>
      </c>
      <c r="P36" s="26">
        <v>0</v>
      </c>
      <c r="Q36" s="26">
        <v>0</v>
      </c>
      <c r="R36" s="26">
        <f>P36+Q36</f>
        <v>0</v>
      </c>
      <c r="S36" s="26"/>
      <c r="T36" s="22">
        <f>R36*O36</f>
        <v>0</v>
      </c>
      <c r="U36" s="47"/>
    </row>
    <row r="37" spans="1:21" s="42" customFormat="1" ht="15.75" thickBot="1" x14ac:dyDescent="0.3">
      <c r="A37" s="166" t="s">
        <v>1229</v>
      </c>
      <c r="B37" s="137" t="s">
        <v>1221</v>
      </c>
      <c r="C37" s="135" t="s">
        <v>2</v>
      </c>
      <c r="D37" s="55">
        <f t="shared" si="1"/>
        <v>0</v>
      </c>
      <c r="E37" s="55">
        <f t="shared" si="1"/>
        <v>0</v>
      </c>
      <c r="F37" s="36">
        <f t="shared" si="1"/>
        <v>0</v>
      </c>
      <c r="G37" s="36">
        <f t="shared" si="1"/>
        <v>0</v>
      </c>
      <c r="H37" s="36">
        <f>H$4*2</f>
        <v>8</v>
      </c>
      <c r="I37" s="36">
        <f>I$4*0</f>
        <v>0</v>
      </c>
      <c r="J37" s="36">
        <f>J$4*0</f>
        <v>0</v>
      </c>
      <c r="K37" s="36">
        <f>K$4*0</f>
        <v>0</v>
      </c>
      <c r="L37" s="36">
        <f>L$4*0</f>
        <v>0</v>
      </c>
      <c r="M37" s="36">
        <f>M$4*0</f>
        <v>0</v>
      </c>
      <c r="N37" s="56">
        <f>N$4*0</f>
        <v>0</v>
      </c>
      <c r="O37" s="62">
        <f>SUM(D37:N37)</f>
        <v>8</v>
      </c>
      <c r="P37" s="26">
        <v>0</v>
      </c>
      <c r="Q37" s="26">
        <v>0</v>
      </c>
      <c r="R37" s="26">
        <f>P37+Q37</f>
        <v>0</v>
      </c>
      <c r="S37" s="26"/>
      <c r="T37" s="22">
        <f>R37*O37</f>
        <v>0</v>
      </c>
      <c r="U37" s="47"/>
    </row>
    <row r="38" spans="1:21" s="32" customFormat="1" ht="12.75" x14ac:dyDescent="0.2">
      <c r="A38" s="159"/>
      <c r="B38" s="31"/>
      <c r="C38" s="25"/>
      <c r="D38" s="25"/>
      <c r="E38" s="25"/>
      <c r="F38" s="25"/>
      <c r="G38" s="25"/>
      <c r="H38" s="25"/>
      <c r="I38" s="25"/>
      <c r="J38" s="25"/>
      <c r="K38" s="25"/>
      <c r="L38" s="25"/>
      <c r="M38" s="25"/>
      <c r="N38" s="25"/>
      <c r="O38" s="58"/>
      <c r="P38" s="26"/>
      <c r="Q38" s="26"/>
      <c r="R38" s="26"/>
      <c r="S38" s="26"/>
      <c r="T38" s="22"/>
      <c r="U38" s="37"/>
    </row>
    <row r="39" spans="1:21" s="129" customFormat="1" x14ac:dyDescent="0.25">
      <c r="A39" s="165" t="s">
        <v>1127</v>
      </c>
      <c r="B39" s="490" t="s">
        <v>1047</v>
      </c>
      <c r="C39" s="491"/>
      <c r="D39" s="491"/>
      <c r="E39" s="491"/>
      <c r="F39" s="491"/>
      <c r="G39" s="491"/>
      <c r="H39" s="491"/>
      <c r="I39" s="491"/>
      <c r="J39" s="491"/>
      <c r="K39" s="491"/>
      <c r="L39" s="491"/>
      <c r="M39" s="491"/>
      <c r="N39" s="491"/>
      <c r="O39" s="491"/>
      <c r="P39" s="491"/>
      <c r="Q39" s="492"/>
      <c r="R39" s="34" t="s">
        <v>0</v>
      </c>
      <c r="S39" s="34"/>
      <c r="T39" s="9">
        <f>SUM(T20:T38)</f>
        <v>0</v>
      </c>
      <c r="U39" s="150"/>
    </row>
    <row r="41" spans="1:21" s="132" customFormat="1" ht="15.75" x14ac:dyDescent="0.25">
      <c r="A41" s="160" t="s">
        <v>1127</v>
      </c>
      <c r="B41" s="130" t="s">
        <v>1323</v>
      </c>
      <c r="C41" s="49"/>
      <c r="D41" s="49"/>
      <c r="E41" s="49"/>
      <c r="F41" s="49"/>
      <c r="G41" s="49"/>
      <c r="H41" s="49"/>
      <c r="I41" s="49"/>
      <c r="J41" s="49"/>
      <c r="K41" s="49"/>
      <c r="L41" s="49"/>
      <c r="M41" s="49"/>
      <c r="N41" s="49"/>
      <c r="O41" s="131"/>
      <c r="P41" s="49"/>
      <c r="Q41" s="49"/>
      <c r="R41" s="476" t="s">
        <v>57</v>
      </c>
      <c r="S41" s="476"/>
      <c r="T41" s="50">
        <f>T39*5</f>
        <v>0</v>
      </c>
      <c r="U41" s="151"/>
    </row>
    <row r="42" spans="1:21" ht="15.75" thickBot="1" x14ac:dyDescent="0.3"/>
    <row r="43" spans="1:21" s="42" customFormat="1" ht="50.1" customHeight="1" thickBot="1" x14ac:dyDescent="0.3">
      <c r="A43" s="119" t="s">
        <v>8</v>
      </c>
      <c r="B43" s="119" t="s">
        <v>7</v>
      </c>
      <c r="C43" s="120" t="s">
        <v>6</v>
      </c>
      <c r="D43" s="487"/>
      <c r="E43" s="487"/>
      <c r="F43" s="487"/>
      <c r="G43" s="487"/>
      <c r="H43" s="487"/>
      <c r="I43" s="487"/>
      <c r="J43" s="487"/>
      <c r="K43" s="121" t="s">
        <v>54</v>
      </c>
      <c r="L43" s="122" t="s">
        <v>5</v>
      </c>
      <c r="M43" s="121" t="s">
        <v>4</v>
      </c>
      <c r="N43" s="121" t="s">
        <v>1004</v>
      </c>
      <c r="O43" s="121"/>
      <c r="P43" s="119" t="s">
        <v>1005</v>
      </c>
      <c r="Q43" s="47"/>
    </row>
    <row r="44" spans="1:21" s="42" customFormat="1" ht="50.1" customHeight="1" thickBot="1" x14ac:dyDescent="0.3">
      <c r="A44" s="123"/>
      <c r="B44" s="123"/>
      <c r="C44" s="124"/>
      <c r="D44" s="477" t="s">
        <v>1283</v>
      </c>
      <c r="E44" s="478"/>
      <c r="F44" s="478"/>
      <c r="G44" s="478"/>
      <c r="H44" s="478"/>
      <c r="I44" s="478"/>
      <c r="J44" s="479"/>
      <c r="K44" s="125"/>
      <c r="L44" s="124"/>
      <c r="M44" s="124"/>
      <c r="N44" s="124"/>
      <c r="O44" s="124"/>
      <c r="P44" s="123"/>
      <c r="Q44" s="47"/>
    </row>
    <row r="45" spans="1:21" s="42" customFormat="1" ht="62.25" customHeight="1" x14ac:dyDescent="0.25">
      <c r="A45" s="123"/>
      <c r="B45" s="123"/>
      <c r="C45" s="124"/>
      <c r="D45" s="173" t="s">
        <v>1284</v>
      </c>
      <c r="E45" s="46" t="s">
        <v>1285</v>
      </c>
      <c r="F45" s="46" t="s">
        <v>1286</v>
      </c>
      <c r="G45" s="46" t="s">
        <v>1287</v>
      </c>
      <c r="H45" s="46" t="s">
        <v>1288</v>
      </c>
      <c r="I45" s="154" t="s">
        <v>1208</v>
      </c>
      <c r="J45" s="126" t="s">
        <v>1003</v>
      </c>
      <c r="K45" s="125"/>
      <c r="L45" s="124"/>
      <c r="M45" s="124"/>
      <c r="N45" s="124"/>
      <c r="O45" s="124"/>
      <c r="P45" s="123"/>
      <c r="Q45" s="47"/>
    </row>
    <row r="47" spans="1:21" s="117" customFormat="1" ht="15.75" x14ac:dyDescent="0.25">
      <c r="A47" s="158" t="s">
        <v>1043</v>
      </c>
      <c r="B47" s="39" t="s">
        <v>116</v>
      </c>
      <c r="C47" s="40"/>
      <c r="D47" s="175"/>
      <c r="E47" s="40"/>
      <c r="F47" s="40"/>
      <c r="G47" s="40"/>
      <c r="H47" s="40"/>
      <c r="I47" s="40"/>
      <c r="J47" s="40"/>
      <c r="K47" s="59"/>
      <c r="L47" s="40"/>
      <c r="M47" s="40"/>
      <c r="N47" s="40"/>
      <c r="O47" s="40"/>
      <c r="P47" s="41"/>
      <c r="Q47" s="149"/>
    </row>
    <row r="48" spans="1:21" s="42" customFormat="1" x14ac:dyDescent="0.25">
      <c r="A48" s="157"/>
      <c r="B48" s="44"/>
      <c r="C48" s="44"/>
      <c r="D48" s="172"/>
      <c r="E48" s="44"/>
      <c r="F48" s="44"/>
      <c r="G48" s="44"/>
      <c r="H48" s="44"/>
      <c r="I48" s="44"/>
      <c r="J48" s="44"/>
      <c r="K48" s="118"/>
      <c r="L48" s="44"/>
      <c r="M48" s="44"/>
      <c r="N48" s="44"/>
      <c r="O48" s="44"/>
      <c r="P48" s="44"/>
      <c r="Q48" s="47"/>
    </row>
    <row r="49" spans="1:17" s="42" customFormat="1" ht="126" customHeight="1" x14ac:dyDescent="0.25">
      <c r="A49" s="157"/>
      <c r="B49" s="143" t="s">
        <v>1045</v>
      </c>
      <c r="C49" s="44"/>
      <c r="D49" s="172"/>
      <c r="E49" s="44"/>
      <c r="F49" s="44"/>
      <c r="G49" s="44"/>
      <c r="H49" s="44"/>
      <c r="I49" s="44"/>
      <c r="J49" s="44"/>
      <c r="K49" s="118"/>
      <c r="L49" s="44"/>
      <c r="M49" s="44"/>
      <c r="N49" s="44"/>
      <c r="O49" s="44"/>
      <c r="P49" s="44"/>
      <c r="Q49" s="47"/>
    </row>
    <row r="50" spans="1:17" s="32" customFormat="1" ht="12.75" x14ac:dyDescent="0.2">
      <c r="A50" s="159"/>
      <c r="B50" s="31"/>
      <c r="C50" s="25"/>
      <c r="D50" s="174"/>
      <c r="E50" s="25"/>
      <c r="F50" s="25"/>
      <c r="G50" s="25"/>
      <c r="H50" s="25"/>
      <c r="I50" s="25"/>
      <c r="J50" s="25"/>
      <c r="K50" s="58"/>
      <c r="L50" s="26"/>
      <c r="M50" s="26"/>
      <c r="N50" s="26"/>
      <c r="O50" s="26"/>
      <c r="P50" s="35"/>
      <c r="Q50" s="37"/>
    </row>
    <row r="51" spans="1:17" s="32" customFormat="1" ht="12.75" x14ac:dyDescent="0.2">
      <c r="A51" s="159"/>
      <c r="B51" s="31"/>
      <c r="C51" s="25"/>
      <c r="D51" s="174"/>
      <c r="E51" s="25"/>
      <c r="F51" s="25"/>
      <c r="G51" s="25"/>
      <c r="H51" s="25"/>
      <c r="I51" s="25"/>
      <c r="J51" s="25"/>
      <c r="K51" s="58"/>
      <c r="L51" s="26"/>
      <c r="M51" s="26"/>
      <c r="N51" s="26"/>
      <c r="O51" s="26"/>
      <c r="P51" s="35"/>
      <c r="Q51" s="37"/>
    </row>
    <row r="52" spans="1:17" s="42" customFormat="1" x14ac:dyDescent="0.25">
      <c r="A52" s="157"/>
      <c r="B52" s="44"/>
      <c r="C52" s="44"/>
      <c r="D52" s="172"/>
      <c r="E52" s="44"/>
      <c r="F52" s="44"/>
      <c r="G52" s="44"/>
      <c r="H52" s="44"/>
      <c r="I52" s="44"/>
      <c r="J52" s="44"/>
      <c r="K52" s="118"/>
      <c r="L52" s="44"/>
      <c r="M52" s="44"/>
      <c r="N52" s="44"/>
      <c r="O52" s="44"/>
      <c r="P52" s="44"/>
      <c r="Q52" s="47"/>
    </row>
    <row r="53" spans="1:17" s="42" customFormat="1" x14ac:dyDescent="0.25">
      <c r="A53" s="166" t="s">
        <v>1185</v>
      </c>
      <c r="B53" s="27" t="s">
        <v>1186</v>
      </c>
      <c r="C53" s="28"/>
      <c r="D53" s="181"/>
      <c r="E53" s="28"/>
      <c r="F53" s="28"/>
      <c r="G53" s="28"/>
      <c r="H53" s="28"/>
      <c r="I53" s="28"/>
      <c r="J53" s="28"/>
      <c r="K53" s="60"/>
      <c r="L53" s="29"/>
      <c r="M53" s="29"/>
      <c r="N53" s="29"/>
      <c r="O53" s="29"/>
      <c r="P53" s="23"/>
      <c r="Q53" s="152"/>
    </row>
    <row r="54" spans="1:17" s="42" customFormat="1" ht="102" x14ac:dyDescent="0.25">
      <c r="A54" s="167"/>
      <c r="B54" s="30" t="s">
        <v>1239</v>
      </c>
      <c r="C54" s="31"/>
      <c r="D54" s="182"/>
      <c r="E54" s="31"/>
      <c r="F54" s="31"/>
      <c r="G54" s="31"/>
      <c r="H54" s="31"/>
      <c r="I54" s="31"/>
      <c r="J54" s="31"/>
      <c r="K54" s="58"/>
      <c r="L54" s="26"/>
      <c r="M54" s="26"/>
      <c r="N54" s="26"/>
      <c r="O54" s="26"/>
      <c r="P54" s="38"/>
      <c r="Q54" s="152"/>
    </row>
    <row r="55" spans="1:17" s="42" customFormat="1" ht="25.5" x14ac:dyDescent="0.25">
      <c r="A55" s="167"/>
      <c r="B55" s="30" t="s">
        <v>1190</v>
      </c>
      <c r="C55" s="31"/>
      <c r="D55" s="182"/>
      <c r="E55" s="31"/>
      <c r="F55" s="31"/>
      <c r="G55" s="31"/>
      <c r="H55" s="31"/>
      <c r="I55" s="31"/>
      <c r="J55" s="31"/>
      <c r="K55" s="58"/>
      <c r="L55" s="26"/>
      <c r="M55" s="26"/>
      <c r="N55" s="26"/>
      <c r="O55" s="26"/>
      <c r="P55" s="38"/>
      <c r="Q55" s="152"/>
    </row>
    <row r="56" spans="1:17" s="42" customFormat="1" ht="15.75" thickBot="1" x14ac:dyDescent="0.3">
      <c r="A56" s="167"/>
      <c r="B56" s="30" t="s">
        <v>1187</v>
      </c>
      <c r="C56" s="31"/>
      <c r="D56" s="182"/>
      <c r="E56" s="31"/>
      <c r="F56" s="31"/>
      <c r="G56" s="31"/>
      <c r="H56" s="31"/>
      <c r="I56" s="31"/>
      <c r="J56" s="31"/>
      <c r="K56" s="58"/>
      <c r="L56" s="26"/>
      <c r="M56" s="26"/>
      <c r="N56" s="26"/>
      <c r="O56" s="26"/>
      <c r="P56" s="38"/>
      <c r="Q56" s="152"/>
    </row>
    <row r="57" spans="1:17" s="42" customFormat="1" x14ac:dyDescent="0.25">
      <c r="A57" s="166"/>
      <c r="B57" s="137" t="s">
        <v>51</v>
      </c>
      <c r="C57" s="135" t="s">
        <v>40</v>
      </c>
      <c r="D57" s="177">
        <f t="shared" ref="D57:I57" si="2">D$4*0</f>
        <v>0</v>
      </c>
      <c r="E57" s="36">
        <f t="shared" si="2"/>
        <v>0</v>
      </c>
      <c r="F57" s="36">
        <f t="shared" si="2"/>
        <v>0</v>
      </c>
      <c r="G57" s="36">
        <f t="shared" si="2"/>
        <v>0</v>
      </c>
      <c r="H57" s="36">
        <f t="shared" si="2"/>
        <v>0</v>
      </c>
      <c r="I57" s="36">
        <f t="shared" si="2"/>
        <v>0</v>
      </c>
      <c r="J57" s="56">
        <f>J$4*77.9</f>
        <v>77.900000000000006</v>
      </c>
      <c r="K57" s="62">
        <f>SUM(D57:J57)</f>
        <v>77.900000000000006</v>
      </c>
      <c r="L57" s="26">
        <v>0</v>
      </c>
      <c r="M57" s="26">
        <v>0</v>
      </c>
      <c r="N57" s="26">
        <f>L57+M57</f>
        <v>0</v>
      </c>
      <c r="O57" s="26"/>
      <c r="P57" s="22">
        <f>N57*K57</f>
        <v>0</v>
      </c>
      <c r="Q57" s="47"/>
    </row>
    <row r="58" spans="1:17" s="32" customFormat="1" ht="12.75" x14ac:dyDescent="0.2">
      <c r="A58" s="159"/>
      <c r="B58" s="31"/>
      <c r="C58" s="25"/>
      <c r="D58" s="174"/>
      <c r="E58" s="25"/>
      <c r="F58" s="25"/>
      <c r="G58" s="25"/>
      <c r="H58" s="25"/>
      <c r="I58" s="25"/>
      <c r="J58" s="25"/>
      <c r="K58" s="58"/>
      <c r="L58" s="26"/>
      <c r="M58" s="26"/>
      <c r="N58" s="26"/>
      <c r="O58" s="26"/>
      <c r="P58" s="35"/>
      <c r="Q58" s="37"/>
    </row>
    <row r="59" spans="1:17" s="129" customFormat="1" x14ac:dyDescent="0.25">
      <c r="A59" s="165" t="s">
        <v>1127</v>
      </c>
      <c r="B59" s="490" t="s">
        <v>1047</v>
      </c>
      <c r="C59" s="491"/>
      <c r="D59" s="491"/>
      <c r="E59" s="491"/>
      <c r="F59" s="491"/>
      <c r="G59" s="491"/>
      <c r="H59" s="491"/>
      <c r="I59" s="491"/>
      <c r="J59" s="491"/>
      <c r="K59" s="491"/>
      <c r="L59" s="491"/>
      <c r="M59" s="492"/>
      <c r="N59" s="34" t="s">
        <v>0</v>
      </c>
      <c r="O59" s="34"/>
      <c r="P59" s="9">
        <f>SUM(P52:P58)</f>
        <v>0</v>
      </c>
      <c r="Q59" s="150"/>
    </row>
    <row r="60" spans="1:17" s="32" customFormat="1" ht="12.75" x14ac:dyDescent="0.2">
      <c r="A60" s="159"/>
      <c r="B60" s="31"/>
      <c r="C60" s="25"/>
      <c r="D60" s="174"/>
      <c r="E60" s="25"/>
      <c r="F60" s="25"/>
      <c r="G60" s="25"/>
      <c r="H60" s="25"/>
      <c r="I60" s="25"/>
      <c r="J60" s="25"/>
      <c r="K60" s="58"/>
      <c r="L60" s="26"/>
      <c r="M60" s="26"/>
      <c r="N60" s="26"/>
      <c r="O60" s="26"/>
      <c r="P60" s="35"/>
      <c r="Q60" s="37"/>
    </row>
    <row r="61" spans="1:17" s="42" customFormat="1" x14ac:dyDescent="0.25">
      <c r="A61" s="161" t="s">
        <v>1154</v>
      </c>
      <c r="B61" s="493" t="s">
        <v>110</v>
      </c>
      <c r="C61" s="493"/>
      <c r="D61" s="493"/>
      <c r="E61" s="493"/>
      <c r="F61" s="493"/>
      <c r="G61" s="493"/>
      <c r="H61" s="493"/>
      <c r="I61" s="493"/>
      <c r="J61" s="493"/>
      <c r="K61" s="493"/>
      <c r="L61" s="493"/>
      <c r="M61" s="493"/>
      <c r="N61" s="493"/>
      <c r="O61" s="43"/>
      <c r="P61" s="33"/>
      <c r="Q61" s="47"/>
    </row>
    <row r="62" spans="1:17" s="42" customFormat="1" x14ac:dyDescent="0.25">
      <c r="A62" s="157"/>
      <c r="B62" s="44"/>
      <c r="C62" s="44"/>
      <c r="D62" s="172"/>
      <c r="E62" s="44"/>
      <c r="F62" s="44"/>
      <c r="G62" s="44"/>
      <c r="H62" s="44"/>
      <c r="I62" s="44"/>
      <c r="J62" s="44"/>
      <c r="K62" s="118"/>
      <c r="L62" s="44"/>
      <c r="M62" s="44"/>
      <c r="N62" s="44"/>
      <c r="O62" s="44"/>
      <c r="P62" s="44"/>
      <c r="Q62" s="47"/>
    </row>
    <row r="63" spans="1:17" s="42" customFormat="1" x14ac:dyDescent="0.25">
      <c r="A63" s="166" t="s">
        <v>1157</v>
      </c>
      <c r="B63" s="147" t="s">
        <v>1223</v>
      </c>
      <c r="C63" s="28"/>
      <c r="D63" s="181"/>
      <c r="E63" s="28"/>
      <c r="F63" s="28"/>
      <c r="G63" s="28"/>
      <c r="H63" s="28"/>
      <c r="I63" s="28"/>
      <c r="J63" s="28"/>
      <c r="K63" s="60"/>
      <c r="L63" s="29"/>
      <c r="M63" s="29"/>
      <c r="N63" s="29"/>
      <c r="O63" s="29"/>
      <c r="P63" s="23"/>
      <c r="Q63" s="152"/>
    </row>
    <row r="64" spans="1:17" s="42" customFormat="1" x14ac:dyDescent="0.25">
      <c r="A64" s="167"/>
      <c r="B64" s="24" t="s">
        <v>111</v>
      </c>
      <c r="C64" s="31"/>
      <c r="D64" s="182"/>
      <c r="E64" s="31"/>
      <c r="F64" s="31"/>
      <c r="G64" s="31"/>
      <c r="H64" s="31"/>
      <c r="I64" s="31"/>
      <c r="J64" s="31"/>
      <c r="K64" s="58"/>
      <c r="L64" s="26"/>
      <c r="M64" s="26"/>
      <c r="N64" s="26"/>
      <c r="O64" s="26"/>
      <c r="P64" s="38"/>
      <c r="Q64" s="152"/>
    </row>
    <row r="65" spans="1:21" s="42" customFormat="1" ht="54.75" customHeight="1" x14ac:dyDescent="0.25">
      <c r="A65" s="167"/>
      <c r="B65" s="24" t="s">
        <v>1224</v>
      </c>
      <c r="C65" s="31"/>
      <c r="D65" s="182"/>
      <c r="E65" s="31"/>
      <c r="F65" s="31"/>
      <c r="G65" s="31"/>
      <c r="H65" s="31"/>
      <c r="I65" s="31"/>
      <c r="J65" s="31"/>
      <c r="K65" s="58"/>
      <c r="L65" s="26"/>
      <c r="M65" s="26"/>
      <c r="N65" s="26"/>
      <c r="O65" s="26"/>
      <c r="P65" s="38"/>
      <c r="Q65" s="152"/>
    </row>
    <row r="66" spans="1:21" s="42" customFormat="1" ht="25.5" x14ac:dyDescent="0.25">
      <c r="A66" s="167"/>
      <c r="B66" s="141" t="s">
        <v>1156</v>
      </c>
      <c r="C66" s="31"/>
      <c r="D66" s="182"/>
      <c r="E66" s="31"/>
      <c r="F66" s="31"/>
      <c r="G66" s="31"/>
      <c r="H66" s="31"/>
      <c r="I66" s="31"/>
      <c r="J66" s="31"/>
      <c r="K66" s="58"/>
      <c r="L66" s="26"/>
      <c r="M66" s="26"/>
      <c r="N66" s="26"/>
      <c r="O66" s="26"/>
      <c r="P66" s="38"/>
      <c r="Q66" s="152"/>
    </row>
    <row r="67" spans="1:21" s="42" customFormat="1" ht="38.25" x14ac:dyDescent="0.25">
      <c r="A67" s="167"/>
      <c r="B67" s="141" t="s">
        <v>112</v>
      </c>
      <c r="C67" s="31"/>
      <c r="D67" s="182"/>
      <c r="E67" s="31"/>
      <c r="F67" s="31"/>
      <c r="G67" s="31"/>
      <c r="H67" s="31"/>
      <c r="I67" s="31"/>
      <c r="J67" s="31"/>
      <c r="K67" s="58"/>
      <c r="L67" s="26"/>
      <c r="M67" s="26"/>
      <c r="N67" s="26"/>
      <c r="O67" s="26"/>
      <c r="P67" s="38"/>
      <c r="Q67" s="152"/>
    </row>
    <row r="68" spans="1:21" s="42" customFormat="1" x14ac:dyDescent="0.25">
      <c r="A68" s="167"/>
      <c r="B68" s="17" t="s">
        <v>1225</v>
      </c>
      <c r="C68" s="31"/>
      <c r="D68" s="182"/>
      <c r="E68" s="31"/>
      <c r="F68" s="31"/>
      <c r="G68" s="31"/>
      <c r="H68" s="31"/>
      <c r="I68" s="31"/>
      <c r="J68" s="31"/>
      <c r="K68" s="58"/>
      <c r="L68" s="26"/>
      <c r="M68" s="26"/>
      <c r="N68" s="26"/>
      <c r="O68" s="26"/>
      <c r="P68" s="38"/>
      <c r="Q68" s="152"/>
    </row>
    <row r="69" spans="1:21" s="42" customFormat="1" ht="15.75" thickBot="1" x14ac:dyDescent="0.3">
      <c r="A69" s="167"/>
      <c r="B69" s="141" t="s">
        <v>50</v>
      </c>
      <c r="C69" s="31"/>
      <c r="D69" s="182"/>
      <c r="E69" s="31"/>
      <c r="F69" s="31"/>
      <c r="G69" s="31"/>
      <c r="H69" s="31"/>
      <c r="I69" s="31"/>
      <c r="J69" s="31"/>
      <c r="K69" s="58"/>
      <c r="L69" s="26"/>
      <c r="M69" s="26"/>
      <c r="N69" s="26"/>
      <c r="O69" s="26"/>
      <c r="P69" s="38"/>
      <c r="Q69" s="152"/>
    </row>
    <row r="70" spans="1:21" s="42" customFormat="1" ht="15.75" thickBot="1" x14ac:dyDescent="0.3">
      <c r="A70" s="166" t="s">
        <v>1227</v>
      </c>
      <c r="B70" s="137" t="s">
        <v>1226</v>
      </c>
      <c r="C70" s="135" t="s">
        <v>2</v>
      </c>
      <c r="D70" s="177">
        <f>D$4*1</f>
        <v>1</v>
      </c>
      <c r="E70" s="36">
        <f>E$4*1</f>
        <v>1</v>
      </c>
      <c r="F70" s="36">
        <f>F$4*1</f>
        <v>1</v>
      </c>
      <c r="G70" s="36">
        <f>G$4*2</f>
        <v>2</v>
      </c>
      <c r="H70" s="36">
        <f>H$4*1</f>
        <v>4</v>
      </c>
      <c r="I70" s="36">
        <f t="shared" ref="I70:J70" si="3">I$4*0</f>
        <v>0</v>
      </c>
      <c r="J70" s="56">
        <f t="shared" si="3"/>
        <v>0</v>
      </c>
      <c r="K70" s="62">
        <f>SUM(D70:J70)</f>
        <v>9</v>
      </c>
      <c r="L70" s="26">
        <v>0</v>
      </c>
      <c r="M70" s="26">
        <v>0</v>
      </c>
      <c r="N70" s="26">
        <f>L70+M70</f>
        <v>0</v>
      </c>
      <c r="O70" s="26"/>
      <c r="P70" s="22">
        <f>N70*K70</f>
        <v>0</v>
      </c>
      <c r="Q70" s="47"/>
    </row>
    <row r="71" spans="1:21" s="42" customFormat="1" ht="15.75" thickBot="1" x14ac:dyDescent="0.3">
      <c r="A71" s="166" t="s">
        <v>1229</v>
      </c>
      <c r="B71" s="137" t="s">
        <v>1221</v>
      </c>
      <c r="C71" s="135" t="s">
        <v>2</v>
      </c>
      <c r="D71" s="177">
        <f t="shared" ref="D71:J71" si="4">D$4*0</f>
        <v>0</v>
      </c>
      <c r="E71" s="36">
        <f t="shared" si="4"/>
        <v>0</v>
      </c>
      <c r="F71" s="36">
        <f>F$4*1</f>
        <v>1</v>
      </c>
      <c r="G71" s="36">
        <f t="shared" si="4"/>
        <v>0</v>
      </c>
      <c r="H71" s="36">
        <f>H$4*1</f>
        <v>4</v>
      </c>
      <c r="I71" s="36">
        <f t="shared" si="4"/>
        <v>0</v>
      </c>
      <c r="J71" s="56">
        <f t="shared" si="4"/>
        <v>0</v>
      </c>
      <c r="K71" s="62">
        <f>SUM(D71:J71)</f>
        <v>5</v>
      </c>
      <c r="L71" s="26">
        <v>0</v>
      </c>
      <c r="M71" s="26">
        <v>0</v>
      </c>
      <c r="N71" s="26">
        <f>L71+M71</f>
        <v>0</v>
      </c>
      <c r="O71" s="26"/>
      <c r="P71" s="22">
        <f>N71*K71</f>
        <v>0</v>
      </c>
      <c r="Q71" s="47"/>
    </row>
    <row r="72" spans="1:21" s="32" customFormat="1" ht="12.75" x14ac:dyDescent="0.2">
      <c r="A72" s="159"/>
      <c r="B72" s="31"/>
      <c r="C72" s="25"/>
      <c r="D72" s="174"/>
      <c r="E72" s="25"/>
      <c r="F72" s="25"/>
      <c r="G72" s="25"/>
      <c r="H72" s="25"/>
      <c r="I72" s="25"/>
      <c r="J72" s="25"/>
      <c r="K72" s="58"/>
      <c r="L72" s="26"/>
      <c r="M72" s="26"/>
      <c r="N72" s="26"/>
      <c r="O72" s="26"/>
      <c r="P72" s="22"/>
      <c r="Q72" s="37"/>
    </row>
    <row r="73" spans="1:21" s="129" customFormat="1" x14ac:dyDescent="0.25">
      <c r="A73" s="165" t="s">
        <v>1155</v>
      </c>
      <c r="B73" s="490" t="s">
        <v>110</v>
      </c>
      <c r="C73" s="491"/>
      <c r="D73" s="491"/>
      <c r="E73" s="491"/>
      <c r="F73" s="491"/>
      <c r="G73" s="491"/>
      <c r="H73" s="491"/>
      <c r="I73" s="491"/>
      <c r="J73" s="491"/>
      <c r="K73" s="491"/>
      <c r="L73" s="491"/>
      <c r="M73" s="492"/>
      <c r="N73" s="34" t="s">
        <v>0</v>
      </c>
      <c r="O73" s="34"/>
      <c r="P73" s="9">
        <f>SUM(P62:P72)</f>
        <v>0</v>
      </c>
      <c r="Q73" s="150"/>
    </row>
    <row r="74" spans="1:21" s="32" customFormat="1" ht="12.75" x14ac:dyDescent="0.2">
      <c r="A74" s="159"/>
      <c r="B74" s="31"/>
      <c r="C74" s="25"/>
      <c r="D74" s="174"/>
      <c r="E74" s="25"/>
      <c r="F74" s="25"/>
      <c r="G74" s="25"/>
      <c r="H74" s="25"/>
      <c r="I74" s="25"/>
      <c r="J74" s="25"/>
      <c r="K74" s="58"/>
      <c r="L74" s="26"/>
      <c r="M74" s="26"/>
      <c r="N74" s="26"/>
      <c r="O74" s="26"/>
      <c r="P74" s="35"/>
      <c r="Q74" s="37"/>
    </row>
    <row r="75" spans="1:21" s="132" customFormat="1" ht="15.75" x14ac:dyDescent="0.25">
      <c r="A75" s="160" t="s">
        <v>1155</v>
      </c>
      <c r="B75" s="130" t="s">
        <v>1324</v>
      </c>
      <c r="C75" s="49"/>
      <c r="D75" s="49"/>
      <c r="E75" s="49"/>
      <c r="F75" s="49"/>
      <c r="G75" s="49"/>
      <c r="H75" s="49"/>
      <c r="I75" s="49"/>
      <c r="J75" s="49"/>
      <c r="K75" s="49"/>
      <c r="L75" s="49"/>
      <c r="M75" s="49"/>
      <c r="N75" s="49"/>
      <c r="O75" s="131"/>
      <c r="P75" s="49"/>
      <c r="Q75" s="49"/>
      <c r="R75" s="476" t="s">
        <v>57</v>
      </c>
      <c r="S75" s="476"/>
      <c r="T75" s="50">
        <f>(P73+P59)*6</f>
        <v>0</v>
      </c>
      <c r="U75" s="151"/>
    </row>
    <row r="77" spans="1:21" s="132" customFormat="1" ht="15.75" x14ac:dyDescent="0.25">
      <c r="A77" s="160"/>
      <c r="B77" s="130" t="s">
        <v>1308</v>
      </c>
      <c r="C77" s="49"/>
      <c r="D77" s="49"/>
      <c r="E77" s="49"/>
      <c r="F77" s="49"/>
      <c r="G77" s="49"/>
      <c r="H77" s="49"/>
      <c r="I77" s="49"/>
      <c r="J77" s="49"/>
      <c r="K77" s="49"/>
      <c r="L77" s="49"/>
      <c r="M77" s="49"/>
      <c r="N77" s="49"/>
      <c r="O77" s="131"/>
      <c r="P77" s="49"/>
      <c r="Q77" s="49"/>
      <c r="R77" s="476"/>
      <c r="S77" s="476"/>
      <c r="T77" s="50">
        <f>SUM(T75,T41)</f>
        <v>0</v>
      </c>
      <c r="U77" s="151"/>
    </row>
  </sheetData>
  <mergeCells count="14">
    <mergeCell ref="R41:S41"/>
    <mergeCell ref="R75:S75"/>
    <mergeCell ref="R77:S77"/>
    <mergeCell ref="B39:Q39"/>
    <mergeCell ref="B2:R3"/>
    <mergeCell ref="B5:T5"/>
    <mergeCell ref="D7:N7"/>
    <mergeCell ref="D8:N8"/>
    <mergeCell ref="B19:R19"/>
    <mergeCell ref="D43:J43"/>
    <mergeCell ref="D44:J44"/>
    <mergeCell ref="B59:M59"/>
    <mergeCell ref="B61:N61"/>
    <mergeCell ref="B73:M73"/>
  </mergeCells>
  <conditionalFormatting sqref="P50:P51">
    <cfRule type="cellIs" dxfId="47" priority="6" stopIfTrue="1" operator="greaterThan">
      <formula>0</formula>
    </cfRule>
  </conditionalFormatting>
  <conditionalFormatting sqref="P58:P60">
    <cfRule type="cellIs" dxfId="46" priority="4" stopIfTrue="1" operator="greaterThan">
      <formula>0</formula>
    </cfRule>
  </conditionalFormatting>
  <conditionalFormatting sqref="P73:P74">
    <cfRule type="cellIs" dxfId="45" priority="5" stopIfTrue="1" operator="greaterThan">
      <formula>0</formula>
    </cfRule>
  </conditionalFormatting>
  <conditionalFormatting sqref="T11">
    <cfRule type="cellIs" dxfId="44" priority="9" stopIfTrue="1" operator="greaterThan">
      <formula>0</formula>
    </cfRule>
  </conditionalFormatting>
  <conditionalFormatting sqref="T17:T18">
    <cfRule type="cellIs" dxfId="43" priority="8" stopIfTrue="1" operator="greaterThan">
      <formula>0</formula>
    </cfRule>
  </conditionalFormatting>
  <conditionalFormatting sqref="T39">
    <cfRule type="cellIs" dxfId="42" priority="7" stopIfTrue="1" operator="greaterThan">
      <formula>0</formula>
    </cfRule>
  </conditionalFormatting>
  <conditionalFormatting sqref="T41">
    <cfRule type="cellIs" dxfId="41" priority="3" stopIfTrue="1" operator="greaterThan">
      <formula>0</formula>
    </cfRule>
  </conditionalFormatting>
  <conditionalFormatting sqref="T75">
    <cfRule type="cellIs" dxfId="40" priority="2" stopIfTrue="1" operator="greaterThan">
      <formula>0</formula>
    </cfRule>
  </conditionalFormatting>
  <conditionalFormatting sqref="T77">
    <cfRule type="cellIs" dxfId="39" priority="1" stopIfTrue="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06064-7546-4A4D-82EE-99B3514000AD}">
  <sheetPr>
    <tabColor theme="4" tint="0.79998168889431442"/>
  </sheetPr>
  <dimension ref="A1:U127"/>
  <sheetViews>
    <sheetView topLeftCell="A46" zoomScale="70" zoomScaleNormal="70" workbookViewId="0"/>
  </sheetViews>
  <sheetFormatPr defaultRowHeight="15" x14ac:dyDescent="0.25"/>
  <cols>
    <col min="2" max="2" width="59.140625" customWidth="1"/>
  </cols>
  <sheetData>
    <row r="1" spans="1:21" s="42" customFormat="1" x14ac:dyDescent="0.25">
      <c r="A1" s="157"/>
      <c r="B1" s="112" t="s">
        <v>1198</v>
      </c>
      <c r="C1" s="44"/>
      <c r="D1" s="53"/>
      <c r="E1" s="53"/>
      <c r="F1" s="53"/>
      <c r="G1" s="53"/>
      <c r="H1" s="53"/>
      <c r="I1" s="53"/>
      <c r="J1" s="53"/>
      <c r="K1" s="53"/>
      <c r="L1" s="53"/>
      <c r="M1" s="53"/>
      <c r="N1" s="53"/>
      <c r="O1" s="113"/>
      <c r="P1" s="44"/>
      <c r="Q1" s="44"/>
      <c r="R1" s="44"/>
      <c r="S1" s="44"/>
      <c r="T1" s="44"/>
      <c r="U1" s="47"/>
    </row>
    <row r="2" spans="1:21" s="42" customFormat="1" x14ac:dyDescent="0.25">
      <c r="A2" s="157"/>
      <c r="B2" s="480" t="s">
        <v>11</v>
      </c>
      <c r="C2" s="481"/>
      <c r="D2" s="481"/>
      <c r="E2" s="481"/>
      <c r="F2" s="481"/>
      <c r="G2" s="481"/>
      <c r="H2" s="481"/>
      <c r="I2" s="481"/>
      <c r="J2" s="481"/>
      <c r="K2" s="481"/>
      <c r="L2" s="481"/>
      <c r="M2" s="481"/>
      <c r="N2" s="481"/>
      <c r="O2" s="481"/>
      <c r="P2" s="481"/>
      <c r="Q2" s="481"/>
      <c r="R2" s="482"/>
      <c r="S2" s="7" t="s">
        <v>10</v>
      </c>
      <c r="T2" s="133">
        <v>0</v>
      </c>
      <c r="U2" s="47"/>
    </row>
    <row r="3" spans="1:21" s="42" customFormat="1" x14ac:dyDescent="0.25">
      <c r="A3" s="157"/>
      <c r="B3" s="483"/>
      <c r="C3" s="484"/>
      <c r="D3" s="484"/>
      <c r="E3" s="484"/>
      <c r="F3" s="484"/>
      <c r="G3" s="484"/>
      <c r="H3" s="484"/>
      <c r="I3" s="484"/>
      <c r="J3" s="484"/>
      <c r="K3" s="484"/>
      <c r="L3" s="484"/>
      <c r="M3" s="484"/>
      <c r="N3" s="484"/>
      <c r="O3" s="484"/>
      <c r="P3" s="484"/>
      <c r="Q3" s="484"/>
      <c r="R3" s="485"/>
      <c r="S3" s="7" t="s">
        <v>9</v>
      </c>
      <c r="T3" s="134" t="s">
        <v>1006</v>
      </c>
      <c r="U3" s="47"/>
    </row>
    <row r="4" spans="1:21" s="42" customFormat="1" x14ac:dyDescent="0.25">
      <c r="A4" s="157"/>
      <c r="B4" s="114" t="s">
        <v>1199</v>
      </c>
      <c r="C4" s="114" t="s">
        <v>12</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x14ac:dyDescent="0.25">
      <c r="A5" s="158" t="s">
        <v>1</v>
      </c>
      <c r="B5" s="486" t="s">
        <v>35</v>
      </c>
      <c r="C5" s="486"/>
      <c r="D5" s="486"/>
      <c r="E5" s="486"/>
      <c r="F5" s="486"/>
      <c r="G5" s="486"/>
      <c r="H5" s="486"/>
      <c r="I5" s="486"/>
      <c r="J5" s="486"/>
      <c r="K5" s="486"/>
      <c r="L5" s="486"/>
      <c r="M5" s="486"/>
      <c r="N5" s="486"/>
      <c r="O5" s="486"/>
      <c r="P5" s="486"/>
      <c r="Q5" s="486"/>
      <c r="R5" s="486"/>
      <c r="S5" s="486"/>
      <c r="T5" s="486"/>
      <c r="U5" s="149"/>
    </row>
    <row r="6" spans="1:21" s="42" customFormat="1" ht="15.75"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1.75" thickBot="1" x14ac:dyDescent="0.3">
      <c r="A7" s="119" t="s">
        <v>8</v>
      </c>
      <c r="B7" s="119" t="s">
        <v>7</v>
      </c>
      <c r="C7" s="120" t="s">
        <v>6</v>
      </c>
      <c r="D7" s="487"/>
      <c r="E7" s="487"/>
      <c r="F7" s="487"/>
      <c r="G7" s="487"/>
      <c r="H7" s="487"/>
      <c r="I7" s="487"/>
      <c r="J7" s="487"/>
      <c r="K7" s="487"/>
      <c r="L7" s="487"/>
      <c r="M7" s="487"/>
      <c r="N7" s="487"/>
      <c r="O7" s="121" t="s">
        <v>54</v>
      </c>
      <c r="P7" s="122" t="s">
        <v>5</v>
      </c>
      <c r="Q7" s="121" t="s">
        <v>4</v>
      </c>
      <c r="R7" s="121" t="s">
        <v>1004</v>
      </c>
      <c r="S7" s="121"/>
      <c r="T7" s="119" t="s">
        <v>1005</v>
      </c>
      <c r="U7" s="47"/>
    </row>
    <row r="8" spans="1:21" s="42" customFormat="1" ht="15.75" thickBot="1" x14ac:dyDescent="0.3">
      <c r="A8" s="123"/>
      <c r="B8" s="123"/>
      <c r="C8" s="124"/>
      <c r="D8" s="477" t="s">
        <v>1002</v>
      </c>
      <c r="E8" s="478"/>
      <c r="F8" s="478"/>
      <c r="G8" s="478"/>
      <c r="H8" s="478"/>
      <c r="I8" s="478"/>
      <c r="J8" s="478"/>
      <c r="K8" s="478"/>
      <c r="L8" s="478"/>
      <c r="M8" s="478"/>
      <c r="N8" s="479"/>
      <c r="O8" s="125"/>
      <c r="P8" s="124"/>
      <c r="Q8" s="124"/>
      <c r="R8" s="124"/>
      <c r="S8" s="124"/>
      <c r="T8" s="123"/>
      <c r="U8" s="47"/>
    </row>
    <row r="9" spans="1:21" s="42" customFormat="1" ht="60" x14ac:dyDescent="0.25">
      <c r="A9" s="123"/>
      <c r="B9" s="123"/>
      <c r="C9" s="124"/>
      <c r="D9" s="127" t="s">
        <v>1273</v>
      </c>
      <c r="E9" s="127" t="s">
        <v>1274</v>
      </c>
      <c r="F9" s="46" t="s">
        <v>1275</v>
      </c>
      <c r="G9" s="46" t="s">
        <v>1276</v>
      </c>
      <c r="H9" s="46" t="s">
        <v>1277</v>
      </c>
      <c r="I9" s="46" t="s">
        <v>1278</v>
      </c>
      <c r="J9" s="46" t="s">
        <v>1279</v>
      </c>
      <c r="K9" s="46" t="s">
        <v>1280</v>
      </c>
      <c r="L9" s="46" t="s">
        <v>1281</v>
      </c>
      <c r="M9" s="154" t="s">
        <v>1208</v>
      </c>
      <c r="N9" s="126" t="s">
        <v>1003</v>
      </c>
      <c r="O9" s="125"/>
      <c r="P9" s="124"/>
      <c r="Q9" s="124"/>
      <c r="R9" s="124"/>
      <c r="S9" s="124"/>
      <c r="T9" s="123"/>
      <c r="U9" s="47"/>
    </row>
    <row r="10" spans="1:21" s="32" customFormat="1" ht="12.75"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x14ac:dyDescent="0.25">
      <c r="A12" s="160" t="s">
        <v>53</v>
      </c>
      <c r="B12" s="39" t="s">
        <v>1282</v>
      </c>
      <c r="C12" s="40"/>
      <c r="D12" s="40"/>
      <c r="E12" s="40"/>
      <c r="F12" s="40"/>
      <c r="G12" s="40"/>
      <c r="H12" s="40"/>
      <c r="I12" s="40"/>
      <c r="J12" s="40"/>
      <c r="K12" s="40"/>
      <c r="L12" s="40"/>
      <c r="M12" s="40"/>
      <c r="N12" s="40"/>
      <c r="O12" s="59"/>
      <c r="P12" s="40"/>
      <c r="Q12" s="40"/>
      <c r="R12" s="40"/>
      <c r="S12" s="40"/>
      <c r="T12" s="41"/>
      <c r="U12" s="149"/>
    </row>
    <row r="14" spans="1:21" s="32" customFormat="1" ht="12.75" x14ac:dyDescent="0.2">
      <c r="A14" s="159"/>
      <c r="B14" s="31"/>
      <c r="C14" s="25"/>
      <c r="D14" s="25"/>
      <c r="E14" s="25"/>
      <c r="F14" s="25"/>
      <c r="G14" s="25"/>
      <c r="H14" s="25"/>
      <c r="I14" s="25"/>
      <c r="J14" s="25"/>
      <c r="K14" s="25"/>
      <c r="L14" s="25"/>
      <c r="M14" s="25"/>
      <c r="N14" s="25"/>
      <c r="O14" s="58"/>
      <c r="P14" s="26"/>
      <c r="Q14" s="26"/>
      <c r="R14" s="26"/>
      <c r="S14" s="26"/>
      <c r="T14" s="35"/>
      <c r="U14" s="37"/>
    </row>
    <row r="15" spans="1:21" s="32" customFormat="1" ht="12.75" x14ac:dyDescent="0.2">
      <c r="A15" s="159"/>
      <c r="B15" s="31"/>
      <c r="C15" s="25"/>
      <c r="D15" s="25"/>
      <c r="E15" s="25"/>
      <c r="F15" s="25"/>
      <c r="G15" s="25"/>
      <c r="H15" s="25"/>
      <c r="I15" s="25"/>
      <c r="J15" s="25"/>
      <c r="K15" s="25"/>
      <c r="L15" s="25"/>
      <c r="M15" s="25"/>
      <c r="N15" s="25"/>
      <c r="O15" s="58"/>
      <c r="P15" s="26"/>
      <c r="Q15" s="26"/>
      <c r="R15" s="26"/>
      <c r="S15" s="26"/>
      <c r="T15" s="35"/>
      <c r="U15" s="37"/>
    </row>
    <row r="16" spans="1:21" s="117" customFormat="1" ht="15.75" x14ac:dyDescent="0.25">
      <c r="A16" s="158" t="s">
        <v>1043</v>
      </c>
      <c r="B16" s="39" t="s">
        <v>116</v>
      </c>
      <c r="C16" s="40"/>
      <c r="D16" s="40"/>
      <c r="E16" s="40"/>
      <c r="F16" s="40"/>
      <c r="G16" s="40"/>
      <c r="H16" s="40"/>
      <c r="I16" s="40"/>
      <c r="J16" s="40"/>
      <c r="K16" s="40"/>
      <c r="L16" s="40"/>
      <c r="M16" s="40"/>
      <c r="N16" s="40"/>
      <c r="O16" s="59"/>
      <c r="P16" s="40"/>
      <c r="Q16" s="40"/>
      <c r="R16" s="40"/>
      <c r="S16" s="40"/>
      <c r="T16" s="41"/>
      <c r="U16" s="149"/>
    </row>
    <row r="17" spans="1:21" s="42" customFormat="1" x14ac:dyDescent="0.25">
      <c r="A17" s="157"/>
      <c r="B17" s="44"/>
      <c r="C17" s="44"/>
      <c r="D17" s="44"/>
      <c r="E17" s="44"/>
      <c r="F17" s="44"/>
      <c r="G17" s="44"/>
      <c r="H17" s="44"/>
      <c r="I17" s="44"/>
      <c r="J17" s="44"/>
      <c r="K17" s="44"/>
      <c r="L17" s="44"/>
      <c r="M17" s="44"/>
      <c r="N17" s="44"/>
      <c r="O17" s="118"/>
      <c r="P17" s="44"/>
      <c r="Q17" s="44"/>
      <c r="R17" s="44"/>
      <c r="S17" s="44"/>
      <c r="T17" s="44"/>
      <c r="U17" s="47"/>
    </row>
    <row r="18" spans="1:21" s="42" customFormat="1" ht="137.25" customHeight="1" x14ac:dyDescent="0.25">
      <c r="A18" s="157"/>
      <c r="B18" s="143" t="s">
        <v>1045</v>
      </c>
      <c r="C18" s="44"/>
      <c r="D18" s="44"/>
      <c r="E18" s="44"/>
      <c r="F18" s="44"/>
      <c r="G18" s="44"/>
      <c r="H18" s="44"/>
      <c r="I18" s="44"/>
      <c r="J18" s="44"/>
      <c r="K18" s="44"/>
      <c r="L18" s="44"/>
      <c r="M18" s="44"/>
      <c r="N18" s="44"/>
      <c r="O18" s="118"/>
      <c r="P18" s="44"/>
      <c r="Q18" s="44"/>
      <c r="R18" s="44"/>
      <c r="S18" s="44"/>
      <c r="T18" s="44"/>
      <c r="U18" s="47"/>
    </row>
    <row r="19" spans="1:21" s="32" customFormat="1" ht="12.75" x14ac:dyDescent="0.2">
      <c r="A19" s="159"/>
      <c r="B19" s="31"/>
      <c r="C19" s="25"/>
      <c r="D19" s="25"/>
      <c r="E19" s="25"/>
      <c r="F19" s="25"/>
      <c r="G19" s="25"/>
      <c r="H19" s="25"/>
      <c r="I19" s="25"/>
      <c r="J19" s="25"/>
      <c r="K19" s="25"/>
      <c r="L19" s="25"/>
      <c r="M19" s="25"/>
      <c r="N19" s="25"/>
      <c r="O19" s="58"/>
      <c r="P19" s="26"/>
      <c r="Q19" s="26"/>
      <c r="R19" s="26"/>
      <c r="S19" s="26"/>
      <c r="T19" s="35"/>
      <c r="U19" s="37"/>
    </row>
    <row r="20" spans="1:21" s="32" customFormat="1" ht="12.75" x14ac:dyDescent="0.2">
      <c r="A20" s="159"/>
      <c r="B20" s="31"/>
      <c r="C20" s="25"/>
      <c r="D20" s="25"/>
      <c r="E20" s="25"/>
      <c r="F20" s="25"/>
      <c r="G20" s="25"/>
      <c r="H20" s="25"/>
      <c r="I20" s="25"/>
      <c r="J20" s="25"/>
      <c r="K20" s="25"/>
      <c r="L20" s="25"/>
      <c r="M20" s="25"/>
      <c r="N20" s="25"/>
      <c r="O20" s="58"/>
      <c r="P20" s="26"/>
      <c r="Q20" s="26"/>
      <c r="R20" s="26"/>
      <c r="S20" s="26"/>
      <c r="T20" s="35"/>
      <c r="U20" s="37"/>
    </row>
    <row r="21" spans="1:21" s="42" customFormat="1" x14ac:dyDescent="0.25">
      <c r="A21" s="161" t="s">
        <v>1046</v>
      </c>
      <c r="B21" s="493" t="s">
        <v>1047</v>
      </c>
      <c r="C21" s="493"/>
      <c r="D21" s="493"/>
      <c r="E21" s="493"/>
      <c r="F21" s="493"/>
      <c r="G21" s="493"/>
      <c r="H21" s="493"/>
      <c r="I21" s="493"/>
      <c r="J21" s="493"/>
      <c r="K21" s="493"/>
      <c r="L21" s="493"/>
      <c r="M21" s="493"/>
      <c r="N21" s="493"/>
      <c r="O21" s="493"/>
      <c r="P21" s="493"/>
      <c r="Q21" s="493"/>
      <c r="R21" s="493"/>
      <c r="S21" s="43"/>
      <c r="T21" s="33"/>
      <c r="U21" s="47"/>
    </row>
    <row r="22" spans="1:21" s="42" customFormat="1" x14ac:dyDescent="0.25">
      <c r="A22" s="157"/>
      <c r="B22" s="44"/>
      <c r="C22" s="44"/>
      <c r="D22" s="44"/>
      <c r="E22" s="44"/>
      <c r="F22" s="44"/>
      <c r="G22" s="44"/>
      <c r="H22" s="44"/>
      <c r="I22" s="44"/>
      <c r="J22" s="44"/>
      <c r="K22" s="44"/>
      <c r="L22" s="44"/>
      <c r="M22" s="44"/>
      <c r="N22" s="44"/>
      <c r="O22" s="118"/>
      <c r="P22" s="44"/>
      <c r="Q22" s="44"/>
      <c r="R22" s="44"/>
      <c r="S22" s="44"/>
      <c r="T22" s="44"/>
      <c r="U22" s="47"/>
    </row>
    <row r="23" spans="1:21" s="42" customFormat="1" x14ac:dyDescent="0.25">
      <c r="A23" s="166" t="s">
        <v>1048</v>
      </c>
      <c r="B23" s="27" t="s">
        <v>1049</v>
      </c>
      <c r="C23" s="28"/>
      <c r="D23" s="28"/>
      <c r="E23" s="28"/>
      <c r="F23" s="28"/>
      <c r="G23" s="28"/>
      <c r="H23" s="28"/>
      <c r="I23" s="28"/>
      <c r="J23" s="28"/>
      <c r="K23" s="28"/>
      <c r="L23" s="28"/>
      <c r="M23" s="28"/>
      <c r="N23" s="28"/>
      <c r="O23" s="60"/>
      <c r="P23" s="29"/>
      <c r="Q23" s="29"/>
      <c r="R23" s="29"/>
      <c r="S23" s="29"/>
      <c r="T23" s="23"/>
      <c r="U23" s="152"/>
    </row>
    <row r="24" spans="1:21" s="42" customFormat="1" x14ac:dyDescent="0.25">
      <c r="A24" s="167"/>
      <c r="B24" s="30" t="s">
        <v>1050</v>
      </c>
      <c r="C24" s="31"/>
      <c r="D24" s="31"/>
      <c r="E24" s="31"/>
      <c r="F24" s="31"/>
      <c r="G24" s="31"/>
      <c r="H24" s="31"/>
      <c r="I24" s="31"/>
      <c r="J24" s="31"/>
      <c r="K24" s="31"/>
      <c r="L24" s="31"/>
      <c r="M24" s="31"/>
      <c r="N24" s="31"/>
      <c r="O24" s="58"/>
      <c r="P24" s="26"/>
      <c r="Q24" s="26"/>
      <c r="R24" s="26"/>
      <c r="S24" s="26"/>
      <c r="T24" s="38"/>
      <c r="U24" s="152"/>
    </row>
    <row r="25" spans="1:21" s="42" customFormat="1" x14ac:dyDescent="0.25">
      <c r="A25" s="167"/>
      <c r="B25" s="30" t="s">
        <v>1051</v>
      </c>
      <c r="C25" s="31"/>
      <c r="D25" s="31"/>
      <c r="E25" s="31"/>
      <c r="F25" s="31"/>
      <c r="G25" s="31"/>
      <c r="H25" s="31"/>
      <c r="I25" s="31"/>
      <c r="J25" s="31"/>
      <c r="K25" s="31"/>
      <c r="L25" s="31"/>
      <c r="M25" s="31"/>
      <c r="N25" s="31"/>
      <c r="O25" s="58"/>
      <c r="P25" s="26"/>
      <c r="Q25" s="26"/>
      <c r="R25" s="26"/>
      <c r="S25" s="26"/>
      <c r="T25" s="38"/>
      <c r="U25" s="152"/>
    </row>
    <row r="26" spans="1:21" s="42" customFormat="1" ht="15.75" thickBot="1" x14ac:dyDescent="0.3">
      <c r="A26" s="167"/>
      <c r="B26" s="30" t="s">
        <v>3</v>
      </c>
      <c r="C26" s="31"/>
      <c r="D26" s="31"/>
      <c r="E26" s="31"/>
      <c r="F26" s="31"/>
      <c r="G26" s="31"/>
      <c r="H26" s="31"/>
      <c r="I26" s="31"/>
      <c r="J26" s="31"/>
      <c r="K26" s="31"/>
      <c r="L26" s="31"/>
      <c r="M26" s="31"/>
      <c r="N26" s="31"/>
      <c r="O26" s="58"/>
      <c r="P26" s="26"/>
      <c r="Q26" s="26"/>
      <c r="R26" s="26"/>
      <c r="S26" s="26"/>
      <c r="T26" s="38"/>
      <c r="U26" s="152"/>
    </row>
    <row r="27" spans="1:21" s="42" customFormat="1" ht="15.75" thickBot="1" x14ac:dyDescent="0.3">
      <c r="A27" s="166" t="s">
        <v>1053</v>
      </c>
      <c r="B27" s="137" t="s">
        <v>1052</v>
      </c>
      <c r="C27" s="135" t="s">
        <v>2</v>
      </c>
      <c r="D27" s="55">
        <f t="shared" ref="D27:M27" si="0">D$4*0</f>
        <v>0</v>
      </c>
      <c r="E27" s="55">
        <f t="shared" si="0"/>
        <v>0</v>
      </c>
      <c r="F27" s="36">
        <f t="shared" si="0"/>
        <v>0</v>
      </c>
      <c r="G27" s="36">
        <f t="shared" si="0"/>
        <v>0</v>
      </c>
      <c r="H27" s="36">
        <f t="shared" si="0"/>
        <v>0</v>
      </c>
      <c r="I27" s="36">
        <f t="shared" si="0"/>
        <v>0</v>
      </c>
      <c r="J27" s="36">
        <f t="shared" si="0"/>
        <v>0</v>
      </c>
      <c r="K27" s="36">
        <f t="shared" si="0"/>
        <v>0</v>
      </c>
      <c r="L27" s="36">
        <f t="shared" si="0"/>
        <v>0</v>
      </c>
      <c r="M27" s="36">
        <f t="shared" si="0"/>
        <v>0</v>
      </c>
      <c r="N27" s="56">
        <f>N$4*1</f>
        <v>1</v>
      </c>
      <c r="O27" s="62">
        <f>SUM(D27:N27)</f>
        <v>1</v>
      </c>
      <c r="P27" s="26">
        <v>0</v>
      </c>
      <c r="Q27" s="26">
        <v>0</v>
      </c>
      <c r="R27" s="26">
        <f>P27+Q27</f>
        <v>0</v>
      </c>
      <c r="S27" s="26"/>
      <c r="T27" s="22">
        <f>R27*O27</f>
        <v>0</v>
      </c>
      <c r="U27" s="47"/>
    </row>
    <row r="28" spans="1:21" s="42" customFormat="1" x14ac:dyDescent="0.25">
      <c r="A28" s="157"/>
      <c r="B28" s="44"/>
      <c r="C28" s="44"/>
      <c r="D28" s="44"/>
      <c r="E28" s="44"/>
      <c r="F28" s="44"/>
      <c r="G28" s="44"/>
      <c r="H28" s="44"/>
      <c r="I28" s="44"/>
      <c r="J28" s="44"/>
      <c r="K28" s="44"/>
      <c r="L28" s="44"/>
      <c r="M28" s="44"/>
      <c r="N28" s="44"/>
      <c r="O28" s="118"/>
      <c r="P28" s="44"/>
      <c r="Q28" s="44"/>
      <c r="R28" s="44"/>
      <c r="S28" s="44"/>
      <c r="T28" s="44"/>
      <c r="U28" s="47"/>
    </row>
    <row r="29" spans="1:21" s="42" customFormat="1" x14ac:dyDescent="0.25">
      <c r="A29" s="166" t="s">
        <v>1185</v>
      </c>
      <c r="B29" s="27" t="s">
        <v>1186</v>
      </c>
      <c r="C29" s="28"/>
      <c r="D29" s="28"/>
      <c r="E29" s="28"/>
      <c r="F29" s="28"/>
      <c r="G29" s="28"/>
      <c r="H29" s="28"/>
      <c r="I29" s="28"/>
      <c r="J29" s="28"/>
      <c r="K29" s="28"/>
      <c r="L29" s="28"/>
      <c r="M29" s="28"/>
      <c r="N29" s="28"/>
      <c r="O29" s="60"/>
      <c r="P29" s="29"/>
      <c r="Q29" s="29"/>
      <c r="R29" s="29"/>
      <c r="S29" s="29"/>
      <c r="T29" s="23"/>
      <c r="U29" s="152"/>
    </row>
    <row r="30" spans="1:21" s="42" customFormat="1" ht="132" customHeight="1" x14ac:dyDescent="0.25">
      <c r="A30" s="167"/>
      <c r="B30" s="30" t="s">
        <v>1239</v>
      </c>
      <c r="C30" s="31"/>
      <c r="D30" s="31"/>
      <c r="E30" s="31"/>
      <c r="F30" s="31"/>
      <c r="G30" s="31"/>
      <c r="H30" s="31"/>
      <c r="I30" s="31"/>
      <c r="J30" s="31"/>
      <c r="K30" s="31"/>
      <c r="L30" s="31"/>
      <c r="M30" s="31"/>
      <c r="N30" s="31"/>
      <c r="O30" s="58"/>
      <c r="P30" s="26"/>
      <c r="Q30" s="26"/>
      <c r="R30" s="26"/>
      <c r="S30" s="26"/>
      <c r="T30" s="38"/>
      <c r="U30" s="152"/>
    </row>
    <row r="31" spans="1:21" s="42" customFormat="1" ht="25.5" x14ac:dyDescent="0.25">
      <c r="A31" s="167"/>
      <c r="B31" s="30" t="s">
        <v>1190</v>
      </c>
      <c r="C31" s="31"/>
      <c r="D31" s="31"/>
      <c r="E31" s="31"/>
      <c r="F31" s="31"/>
      <c r="G31" s="31"/>
      <c r="H31" s="31"/>
      <c r="I31" s="31"/>
      <c r="J31" s="31"/>
      <c r="K31" s="31"/>
      <c r="L31" s="31"/>
      <c r="M31" s="31"/>
      <c r="N31" s="31"/>
      <c r="O31" s="58"/>
      <c r="P31" s="26"/>
      <c r="Q31" s="26"/>
      <c r="R31" s="26"/>
      <c r="S31" s="26"/>
      <c r="T31" s="38"/>
      <c r="U31" s="152"/>
    </row>
    <row r="32" spans="1:21" s="42" customFormat="1" ht="15.75" thickBot="1" x14ac:dyDescent="0.3">
      <c r="A32" s="167"/>
      <c r="B32" s="30" t="s">
        <v>1187</v>
      </c>
      <c r="C32" s="31"/>
      <c r="D32" s="31"/>
      <c r="E32" s="31"/>
      <c r="F32" s="31"/>
      <c r="G32" s="31"/>
      <c r="H32" s="31"/>
      <c r="I32" s="31"/>
      <c r="J32" s="31"/>
      <c r="K32" s="31"/>
      <c r="L32" s="31"/>
      <c r="M32" s="31"/>
      <c r="N32" s="31"/>
      <c r="O32" s="58"/>
      <c r="P32" s="26"/>
      <c r="Q32" s="26"/>
      <c r="R32" s="26"/>
      <c r="S32" s="26"/>
      <c r="T32" s="38"/>
      <c r="U32" s="152"/>
    </row>
    <row r="33" spans="1:21" s="42" customFormat="1" ht="15.75" thickBot="1" x14ac:dyDescent="0.3">
      <c r="A33" s="166"/>
      <c r="B33" s="137" t="s">
        <v>51</v>
      </c>
      <c r="C33" s="135" t="s">
        <v>40</v>
      </c>
      <c r="D33" s="55">
        <f t="shared" ref="D33:M33" si="1">D$4*0</f>
        <v>0</v>
      </c>
      <c r="E33" s="55">
        <f t="shared" si="1"/>
        <v>0</v>
      </c>
      <c r="F33" s="36">
        <f t="shared" si="1"/>
        <v>0</v>
      </c>
      <c r="G33" s="36">
        <f t="shared" si="1"/>
        <v>0</v>
      </c>
      <c r="H33" s="36">
        <f t="shared" si="1"/>
        <v>0</v>
      </c>
      <c r="I33" s="36">
        <f t="shared" si="1"/>
        <v>0</v>
      </c>
      <c r="J33" s="36">
        <f t="shared" si="1"/>
        <v>0</v>
      </c>
      <c r="K33" s="36">
        <f t="shared" si="1"/>
        <v>0</v>
      </c>
      <c r="L33" s="36">
        <f t="shared" si="1"/>
        <v>0</v>
      </c>
      <c r="M33" s="36">
        <f t="shared" si="1"/>
        <v>0</v>
      </c>
      <c r="N33" s="56">
        <f>N$4*105.75</f>
        <v>105.75</v>
      </c>
      <c r="O33" s="62">
        <f>SUM(D33:N33)</f>
        <v>105.75</v>
      </c>
      <c r="P33" s="26">
        <v>0</v>
      </c>
      <c r="Q33" s="26">
        <v>0</v>
      </c>
      <c r="R33" s="26">
        <f>P33+Q33</f>
        <v>0</v>
      </c>
      <c r="S33" s="26"/>
      <c r="T33" s="22">
        <f>R33*O33</f>
        <v>0</v>
      </c>
      <c r="U33" s="47"/>
    </row>
    <row r="34" spans="1:21" s="42" customFormat="1" x14ac:dyDescent="0.25">
      <c r="A34" s="157"/>
      <c r="B34" s="44"/>
      <c r="C34" s="44"/>
      <c r="D34" s="44"/>
      <c r="E34" s="44"/>
      <c r="F34" s="44"/>
      <c r="G34" s="44"/>
      <c r="H34" s="44"/>
      <c r="I34" s="44"/>
      <c r="J34" s="44"/>
      <c r="K34" s="44"/>
      <c r="L34" s="44"/>
      <c r="M34" s="44"/>
      <c r="N34" s="44"/>
      <c r="O34" s="118"/>
      <c r="P34" s="44"/>
      <c r="Q34" s="44"/>
      <c r="R34" s="44"/>
      <c r="S34" s="44"/>
      <c r="T34" s="44"/>
      <c r="U34" s="47"/>
    </row>
    <row r="35" spans="1:21" s="42" customFormat="1" x14ac:dyDescent="0.25">
      <c r="A35" s="166" t="s">
        <v>1188</v>
      </c>
      <c r="B35" s="27" t="s">
        <v>1192</v>
      </c>
      <c r="C35" s="28"/>
      <c r="D35" s="28"/>
      <c r="E35" s="28"/>
      <c r="F35" s="28"/>
      <c r="G35" s="28"/>
      <c r="H35" s="28"/>
      <c r="I35" s="28"/>
      <c r="J35" s="28"/>
      <c r="K35" s="28"/>
      <c r="L35" s="28"/>
      <c r="M35" s="28"/>
      <c r="N35" s="28"/>
      <c r="O35" s="60"/>
      <c r="P35" s="29"/>
      <c r="Q35" s="29"/>
      <c r="R35" s="29"/>
      <c r="S35" s="29"/>
      <c r="T35" s="23"/>
      <c r="U35" s="152"/>
    </row>
    <row r="36" spans="1:21" s="42" customFormat="1" ht="25.5" x14ac:dyDescent="0.25">
      <c r="A36" s="167"/>
      <c r="B36" s="30" t="s">
        <v>1189</v>
      </c>
      <c r="C36" s="31"/>
      <c r="D36" s="31"/>
      <c r="E36" s="31"/>
      <c r="F36" s="31"/>
      <c r="G36" s="31"/>
      <c r="H36" s="31"/>
      <c r="I36" s="31"/>
      <c r="J36" s="31"/>
      <c r="K36" s="31"/>
      <c r="L36" s="31"/>
      <c r="M36" s="31"/>
      <c r="N36" s="31"/>
      <c r="O36" s="58"/>
      <c r="P36" s="26"/>
      <c r="Q36" s="26"/>
      <c r="R36" s="26"/>
      <c r="S36" s="26"/>
      <c r="T36" s="38"/>
      <c r="U36" s="152"/>
    </row>
    <row r="37" spans="1:21" s="42" customFormat="1" ht="25.5" x14ac:dyDescent="0.25">
      <c r="A37" s="167"/>
      <c r="B37" s="30" t="s">
        <v>1191</v>
      </c>
      <c r="C37" s="31"/>
      <c r="D37" s="31"/>
      <c r="E37" s="31"/>
      <c r="F37" s="31"/>
      <c r="G37" s="31"/>
      <c r="H37" s="31"/>
      <c r="I37" s="31"/>
      <c r="J37" s="31"/>
      <c r="K37" s="31"/>
      <c r="L37" s="31"/>
      <c r="M37" s="31"/>
      <c r="N37" s="31"/>
      <c r="O37" s="58"/>
      <c r="P37" s="26"/>
      <c r="Q37" s="26"/>
      <c r="R37" s="26"/>
      <c r="S37" s="26"/>
      <c r="T37" s="38"/>
      <c r="U37" s="152"/>
    </row>
    <row r="38" spans="1:21" s="42" customFormat="1" ht="15.75" thickBot="1" x14ac:dyDescent="0.3">
      <c r="A38" s="167"/>
      <c r="B38" s="30" t="s">
        <v>1187</v>
      </c>
      <c r="C38" s="31"/>
      <c r="D38" s="31"/>
      <c r="E38" s="31"/>
      <c r="F38" s="31"/>
      <c r="G38" s="31"/>
      <c r="H38" s="31"/>
      <c r="I38" s="31"/>
      <c r="J38" s="31"/>
      <c r="K38" s="31"/>
      <c r="L38" s="31"/>
      <c r="M38" s="31"/>
      <c r="N38" s="31"/>
      <c r="O38" s="58"/>
      <c r="P38" s="26"/>
      <c r="Q38" s="26"/>
      <c r="R38" s="26"/>
      <c r="S38" s="26"/>
      <c r="T38" s="38"/>
      <c r="U38" s="152"/>
    </row>
    <row r="39" spans="1:21" s="42" customFormat="1" ht="15.75" thickBot="1" x14ac:dyDescent="0.3">
      <c r="A39" s="166"/>
      <c r="B39" s="137" t="s">
        <v>51</v>
      </c>
      <c r="C39" s="135" t="s">
        <v>40</v>
      </c>
      <c r="D39" s="55">
        <f t="shared" ref="D39:M39" si="2">D$4*0</f>
        <v>0</v>
      </c>
      <c r="E39" s="55">
        <f t="shared" si="2"/>
        <v>0</v>
      </c>
      <c r="F39" s="36">
        <f t="shared" si="2"/>
        <v>0</v>
      </c>
      <c r="G39" s="36">
        <f t="shared" si="2"/>
        <v>0</v>
      </c>
      <c r="H39" s="36">
        <f t="shared" si="2"/>
        <v>0</v>
      </c>
      <c r="I39" s="36">
        <f t="shared" si="2"/>
        <v>0</v>
      </c>
      <c r="J39" s="36">
        <f t="shared" si="2"/>
        <v>0</v>
      </c>
      <c r="K39" s="36">
        <f t="shared" si="2"/>
        <v>0</v>
      </c>
      <c r="L39" s="36">
        <f t="shared" si="2"/>
        <v>0</v>
      </c>
      <c r="M39" s="36">
        <f t="shared" si="2"/>
        <v>0</v>
      </c>
      <c r="N39" s="56">
        <f>N$4*35.7</f>
        <v>35.700000000000003</v>
      </c>
      <c r="O39" s="62">
        <f>SUM(D39:N39)</f>
        <v>35.700000000000003</v>
      </c>
      <c r="P39" s="26">
        <v>0</v>
      </c>
      <c r="Q39" s="26">
        <v>0</v>
      </c>
      <c r="R39" s="26">
        <f>P39+Q39</f>
        <v>0</v>
      </c>
      <c r="S39" s="26"/>
      <c r="T39" s="22">
        <f>R39*O39</f>
        <v>0</v>
      </c>
      <c r="U39" s="47"/>
    </row>
    <row r="40" spans="1:21" s="42" customFormat="1" x14ac:dyDescent="0.25">
      <c r="A40" s="167"/>
      <c r="B40" s="30"/>
      <c r="C40" s="25"/>
      <c r="D40" s="26"/>
      <c r="E40" s="26"/>
      <c r="F40" s="26"/>
      <c r="G40" s="26"/>
      <c r="H40" s="26"/>
      <c r="I40" s="26"/>
      <c r="J40" s="26"/>
      <c r="K40" s="26"/>
      <c r="L40" s="26"/>
      <c r="M40" s="26"/>
      <c r="N40" s="26"/>
      <c r="O40" s="58"/>
      <c r="P40" s="26"/>
      <c r="Q40" s="26"/>
      <c r="R40" s="26"/>
      <c r="S40" s="26"/>
      <c r="T40" s="22"/>
      <c r="U40" s="47"/>
    </row>
    <row r="41" spans="1:21" s="42" customFormat="1" x14ac:dyDescent="0.25">
      <c r="A41" s="225" t="s">
        <v>1379</v>
      </c>
      <c r="B41" s="226" t="s">
        <v>1380</v>
      </c>
      <c r="C41" s="227"/>
      <c r="D41" s="28"/>
      <c r="E41" s="28"/>
      <c r="F41" s="28"/>
      <c r="G41" s="28"/>
      <c r="H41" s="28"/>
      <c r="I41" s="28"/>
      <c r="J41" s="28"/>
      <c r="K41" s="28"/>
      <c r="L41" s="28"/>
      <c r="M41" s="28"/>
      <c r="N41" s="28"/>
      <c r="O41" s="60"/>
      <c r="P41" s="29"/>
      <c r="Q41" s="29"/>
      <c r="R41" s="29"/>
      <c r="S41" s="29"/>
      <c r="T41" s="23"/>
      <c r="U41" s="47"/>
    </row>
    <row r="42" spans="1:21" s="42" customFormat="1" ht="39" thickBot="1" x14ac:dyDescent="0.3">
      <c r="A42" s="201"/>
      <c r="B42" s="281" t="s">
        <v>1381</v>
      </c>
      <c r="C42" s="204"/>
      <c r="D42" s="31"/>
      <c r="E42" s="31"/>
      <c r="F42" s="31"/>
      <c r="G42" s="31"/>
      <c r="H42" s="31"/>
      <c r="I42" s="31"/>
      <c r="J42" s="31"/>
      <c r="K42" s="31"/>
      <c r="L42" s="31"/>
      <c r="M42" s="31"/>
      <c r="N42" s="31"/>
      <c r="O42" s="58"/>
      <c r="P42" s="26"/>
      <c r="Q42" s="26"/>
      <c r="R42" s="26"/>
      <c r="S42" s="26"/>
      <c r="T42" s="38"/>
      <c r="U42" s="47"/>
    </row>
    <row r="43" spans="1:21" s="286" customFormat="1" ht="15.75" thickBot="1" x14ac:dyDescent="0.3">
      <c r="A43" s="289"/>
      <c r="B43" s="232" t="s">
        <v>51</v>
      </c>
      <c r="C43" s="233" t="s">
        <v>40</v>
      </c>
      <c r="D43" s="234">
        <f>D$4*2.6</f>
        <v>2.6</v>
      </c>
      <c r="E43" s="234">
        <f>E$4*2.6</f>
        <v>2.6</v>
      </c>
      <c r="F43" s="235">
        <f>F$4*3.5</f>
        <v>3.5</v>
      </c>
      <c r="G43" s="235">
        <f>G$4*3.5</f>
        <v>3.5</v>
      </c>
      <c r="H43" s="235">
        <f>H$4*1.8</f>
        <v>7.2</v>
      </c>
      <c r="I43" s="235">
        <f>I$4*3.5</f>
        <v>3.5</v>
      </c>
      <c r="J43" s="235">
        <f>J$4*3.5</f>
        <v>3.5</v>
      </c>
      <c r="K43" s="235">
        <f>K$4*1.8</f>
        <v>3.6</v>
      </c>
      <c r="L43" s="235">
        <f>L$4*13.3</f>
        <v>13.3</v>
      </c>
      <c r="M43" s="235">
        <f t="shared" ref="M43" si="3">M$4*0</f>
        <v>0</v>
      </c>
      <c r="N43" s="236">
        <f>N$4*0</f>
        <v>0</v>
      </c>
      <c r="O43" s="237">
        <f>SUM(D43:N43)</f>
        <v>43.3</v>
      </c>
      <c r="P43" s="206">
        <v>0</v>
      </c>
      <c r="Q43" s="206">
        <v>0</v>
      </c>
      <c r="R43" s="206">
        <f>P43+Q43</f>
        <v>0</v>
      </c>
      <c r="S43" s="206"/>
      <c r="T43" s="238">
        <f>R43*O43</f>
        <v>0</v>
      </c>
      <c r="U43" s="285"/>
    </row>
    <row r="44" spans="1:21" s="32" customFormat="1" ht="12.75" x14ac:dyDescent="0.2">
      <c r="A44" s="159"/>
      <c r="B44" s="31"/>
      <c r="C44" s="25"/>
      <c r="D44" s="25"/>
      <c r="E44" s="25"/>
      <c r="F44" s="25"/>
      <c r="G44" s="25"/>
      <c r="H44" s="25"/>
      <c r="I44" s="25"/>
      <c r="J44" s="25"/>
      <c r="K44" s="25"/>
      <c r="L44" s="25"/>
      <c r="M44" s="25"/>
      <c r="N44" s="25"/>
      <c r="O44" s="58"/>
      <c r="P44" s="26"/>
      <c r="Q44" s="26"/>
      <c r="R44" s="26"/>
      <c r="S44" s="26"/>
      <c r="T44" s="22"/>
      <c r="U44" s="37"/>
    </row>
    <row r="45" spans="1:21" s="32" customFormat="1" ht="14.25" x14ac:dyDescent="0.2">
      <c r="A45" s="225" t="s">
        <v>1382</v>
      </c>
      <c r="B45" s="226" t="s">
        <v>1383</v>
      </c>
      <c r="C45" s="227"/>
      <c r="D45" s="28"/>
      <c r="E45" s="28"/>
      <c r="F45" s="28"/>
      <c r="G45" s="28"/>
      <c r="H45" s="28"/>
      <c r="I45" s="28"/>
      <c r="J45" s="28"/>
      <c r="K45" s="28"/>
      <c r="L45" s="28"/>
      <c r="M45" s="28"/>
      <c r="N45" s="28"/>
      <c r="O45" s="60"/>
      <c r="P45" s="29"/>
      <c r="Q45" s="29"/>
      <c r="R45" s="29"/>
      <c r="S45" s="29"/>
      <c r="T45" s="23"/>
      <c r="U45" s="37"/>
    </row>
    <row r="46" spans="1:21" s="32" customFormat="1" ht="115.5" thickBot="1" x14ac:dyDescent="0.25">
      <c r="A46" s="201"/>
      <c r="B46" s="281" t="s">
        <v>1384</v>
      </c>
      <c r="C46" s="204"/>
      <c r="D46" s="31"/>
      <c r="E46" s="31"/>
      <c r="F46" s="31"/>
      <c r="G46" s="31"/>
      <c r="H46" s="31"/>
      <c r="I46" s="31"/>
      <c r="J46" s="31"/>
      <c r="K46" s="31"/>
      <c r="L46" s="31"/>
      <c r="M46" s="31"/>
      <c r="N46" s="31"/>
      <c r="O46" s="58"/>
      <c r="P46" s="26"/>
      <c r="Q46" s="26"/>
      <c r="R46" s="26"/>
      <c r="S46" s="26"/>
      <c r="T46" s="38"/>
      <c r="U46" s="37"/>
    </row>
    <row r="47" spans="1:21" s="32" customFormat="1" thickBot="1" x14ac:dyDescent="0.25">
      <c r="A47" s="289"/>
      <c r="B47" s="232" t="s">
        <v>51</v>
      </c>
      <c r="C47" s="233" t="s">
        <v>40</v>
      </c>
      <c r="D47" s="234">
        <f>D$4*0</f>
        <v>0</v>
      </c>
      <c r="E47" s="234">
        <f>E$4*0</f>
        <v>0</v>
      </c>
      <c r="F47" s="235">
        <f>F$4*0</f>
        <v>0</v>
      </c>
      <c r="G47" s="235">
        <f>G$4*0</f>
        <v>0</v>
      </c>
      <c r="H47" s="235">
        <f>H$4*2.5</f>
        <v>10</v>
      </c>
      <c r="I47" s="235">
        <f>I$4*0</f>
        <v>0</v>
      </c>
      <c r="J47" s="235">
        <f>J$4*0</f>
        <v>0</v>
      </c>
      <c r="K47" s="235">
        <f>K$4*5</f>
        <v>10</v>
      </c>
      <c r="L47" s="235">
        <f>L$4*0</f>
        <v>0</v>
      </c>
      <c r="M47" s="235">
        <f t="shared" ref="M47" si="4">M$4*0</f>
        <v>0</v>
      </c>
      <c r="N47" s="236">
        <f>N$4*0</f>
        <v>0</v>
      </c>
      <c r="O47" s="237">
        <f>SUM(D47:N47)</f>
        <v>20</v>
      </c>
      <c r="P47" s="206">
        <v>0</v>
      </c>
      <c r="Q47" s="206">
        <v>0</v>
      </c>
      <c r="R47" s="206">
        <f>P47+Q47</f>
        <v>0</v>
      </c>
      <c r="S47" s="206"/>
      <c r="T47" s="238">
        <f>R47*O47</f>
        <v>0</v>
      </c>
      <c r="U47" s="37"/>
    </row>
    <row r="48" spans="1:21" s="32" customFormat="1" ht="12.75" x14ac:dyDescent="0.2">
      <c r="A48" s="159"/>
      <c r="B48" s="31"/>
      <c r="C48" s="25"/>
      <c r="D48" s="25"/>
      <c r="E48" s="25"/>
      <c r="F48" s="25"/>
      <c r="G48" s="25"/>
      <c r="H48" s="25"/>
      <c r="I48" s="25"/>
      <c r="J48" s="25"/>
      <c r="K48" s="25"/>
      <c r="L48" s="25"/>
      <c r="M48" s="25"/>
      <c r="N48" s="25"/>
      <c r="O48" s="26"/>
      <c r="P48" s="26"/>
      <c r="Q48" s="26"/>
      <c r="R48" s="26"/>
      <c r="S48" s="26"/>
      <c r="T48" s="22"/>
      <c r="U48" s="37"/>
    </row>
    <row r="49" spans="1:21" s="129" customFormat="1" x14ac:dyDescent="0.25">
      <c r="A49" s="165" t="s">
        <v>1127</v>
      </c>
      <c r="B49" s="490" t="s">
        <v>1047</v>
      </c>
      <c r="C49" s="491"/>
      <c r="D49" s="491"/>
      <c r="E49" s="491"/>
      <c r="F49" s="491"/>
      <c r="G49" s="491"/>
      <c r="H49" s="491"/>
      <c r="I49" s="491"/>
      <c r="J49" s="491"/>
      <c r="K49" s="491"/>
      <c r="L49" s="491"/>
      <c r="M49" s="491"/>
      <c r="N49" s="491"/>
      <c r="O49" s="491"/>
      <c r="P49" s="491"/>
      <c r="Q49" s="492"/>
      <c r="R49" s="34" t="s">
        <v>0</v>
      </c>
      <c r="S49" s="34"/>
      <c r="T49" s="9">
        <f>SUM(T22:T48)</f>
        <v>0</v>
      </c>
      <c r="U49" s="150"/>
    </row>
    <row r="50" spans="1:21" s="32" customFormat="1" ht="12.75" x14ac:dyDescent="0.2">
      <c r="A50" s="159"/>
      <c r="B50" s="31"/>
      <c r="C50" s="25"/>
      <c r="D50" s="25"/>
      <c r="E50" s="25"/>
      <c r="F50" s="25"/>
      <c r="G50" s="25"/>
      <c r="H50" s="25"/>
      <c r="I50" s="25"/>
      <c r="J50" s="25"/>
      <c r="K50" s="25"/>
      <c r="L50" s="25"/>
      <c r="M50" s="25"/>
      <c r="N50" s="25"/>
      <c r="O50" s="58"/>
      <c r="P50" s="26"/>
      <c r="Q50" s="26"/>
      <c r="R50" s="26"/>
      <c r="S50" s="26"/>
      <c r="T50" s="35"/>
      <c r="U50" s="37"/>
    </row>
    <row r="51" spans="1:21" s="42" customFormat="1" x14ac:dyDescent="0.25">
      <c r="A51" s="161" t="s">
        <v>1154</v>
      </c>
      <c r="B51" s="493" t="s">
        <v>110</v>
      </c>
      <c r="C51" s="493"/>
      <c r="D51" s="493"/>
      <c r="E51" s="493"/>
      <c r="F51" s="493"/>
      <c r="G51" s="493"/>
      <c r="H51" s="493"/>
      <c r="I51" s="493"/>
      <c r="J51" s="493"/>
      <c r="K51" s="493"/>
      <c r="L51" s="493"/>
      <c r="M51" s="493"/>
      <c r="N51" s="493"/>
      <c r="O51" s="493"/>
      <c r="P51" s="493"/>
      <c r="Q51" s="493"/>
      <c r="R51" s="493"/>
      <c r="S51" s="43"/>
      <c r="T51" s="33"/>
      <c r="U51" s="47"/>
    </row>
    <row r="52" spans="1:21" s="42" customFormat="1" x14ac:dyDescent="0.25">
      <c r="A52" s="157"/>
      <c r="B52" s="44"/>
      <c r="C52" s="44"/>
      <c r="D52" s="44"/>
      <c r="E52" s="44"/>
      <c r="F52" s="44"/>
      <c r="G52" s="44"/>
      <c r="H52" s="44"/>
      <c r="I52" s="44"/>
      <c r="J52" s="44"/>
      <c r="K52" s="44"/>
      <c r="L52" s="44"/>
      <c r="M52" s="44"/>
      <c r="N52" s="44"/>
      <c r="O52" s="118"/>
      <c r="P52" s="44"/>
      <c r="Q52" s="44"/>
      <c r="R52" s="44"/>
      <c r="S52" s="44"/>
      <c r="T52" s="44"/>
      <c r="U52" s="47"/>
    </row>
    <row r="53" spans="1:21" s="42" customFormat="1" x14ac:dyDescent="0.25">
      <c r="A53" s="166" t="s">
        <v>1157</v>
      </c>
      <c r="B53" s="147" t="s">
        <v>1223</v>
      </c>
      <c r="C53" s="28"/>
      <c r="D53" s="28"/>
      <c r="E53" s="28"/>
      <c r="F53" s="28"/>
      <c r="G53" s="28"/>
      <c r="H53" s="28"/>
      <c r="I53" s="28"/>
      <c r="J53" s="28"/>
      <c r="K53" s="28"/>
      <c r="L53" s="28"/>
      <c r="M53" s="28"/>
      <c r="N53" s="28"/>
      <c r="O53" s="60"/>
      <c r="P53" s="29"/>
      <c r="Q53" s="29"/>
      <c r="R53" s="29"/>
      <c r="S53" s="29"/>
      <c r="T53" s="23"/>
      <c r="U53" s="152"/>
    </row>
    <row r="54" spans="1:21" s="42" customFormat="1" x14ac:dyDescent="0.25">
      <c r="A54" s="167"/>
      <c r="B54" s="24" t="s">
        <v>111</v>
      </c>
      <c r="C54" s="31"/>
      <c r="D54" s="31"/>
      <c r="E54" s="31"/>
      <c r="F54" s="31"/>
      <c r="G54" s="31"/>
      <c r="H54" s="31"/>
      <c r="I54" s="31"/>
      <c r="J54" s="31"/>
      <c r="K54" s="31"/>
      <c r="L54" s="31"/>
      <c r="M54" s="31"/>
      <c r="N54" s="31"/>
      <c r="O54" s="58"/>
      <c r="P54" s="26"/>
      <c r="Q54" s="26"/>
      <c r="R54" s="26"/>
      <c r="S54" s="26"/>
      <c r="T54" s="38"/>
      <c r="U54" s="152"/>
    </row>
    <row r="55" spans="1:21" s="42" customFormat="1" ht="54.75" customHeight="1" x14ac:dyDescent="0.25">
      <c r="A55" s="167"/>
      <c r="B55" s="24" t="s">
        <v>1224</v>
      </c>
      <c r="C55" s="31"/>
      <c r="D55" s="31"/>
      <c r="E55" s="31"/>
      <c r="F55" s="31"/>
      <c r="G55" s="31"/>
      <c r="H55" s="31"/>
      <c r="I55" s="31"/>
      <c r="J55" s="31"/>
      <c r="K55" s="31"/>
      <c r="L55" s="31"/>
      <c r="M55" s="31"/>
      <c r="N55" s="31"/>
      <c r="O55" s="58"/>
      <c r="P55" s="26"/>
      <c r="Q55" s="26"/>
      <c r="R55" s="26"/>
      <c r="S55" s="26"/>
      <c r="T55" s="38"/>
      <c r="U55" s="152"/>
    </row>
    <row r="56" spans="1:21" s="42" customFormat="1" ht="25.5" x14ac:dyDescent="0.25">
      <c r="A56" s="167"/>
      <c r="B56" s="141" t="s">
        <v>1156</v>
      </c>
      <c r="C56" s="31"/>
      <c r="D56" s="31"/>
      <c r="E56" s="31"/>
      <c r="F56" s="31"/>
      <c r="G56" s="31"/>
      <c r="H56" s="31"/>
      <c r="I56" s="31"/>
      <c r="J56" s="31"/>
      <c r="K56" s="31"/>
      <c r="L56" s="31"/>
      <c r="M56" s="31"/>
      <c r="N56" s="31"/>
      <c r="O56" s="58"/>
      <c r="P56" s="26"/>
      <c r="Q56" s="26"/>
      <c r="R56" s="26"/>
      <c r="S56" s="26"/>
      <c r="T56" s="38"/>
      <c r="U56" s="152"/>
    </row>
    <row r="57" spans="1:21" s="42" customFormat="1" ht="38.25" x14ac:dyDescent="0.25">
      <c r="A57" s="167"/>
      <c r="B57" s="141" t="s">
        <v>112</v>
      </c>
      <c r="C57" s="31"/>
      <c r="D57" s="31"/>
      <c r="E57" s="31"/>
      <c r="F57" s="31"/>
      <c r="G57" s="31"/>
      <c r="H57" s="31"/>
      <c r="I57" s="31"/>
      <c r="J57" s="31"/>
      <c r="K57" s="31"/>
      <c r="L57" s="31"/>
      <c r="M57" s="31"/>
      <c r="N57" s="31"/>
      <c r="O57" s="58"/>
      <c r="P57" s="26"/>
      <c r="Q57" s="26"/>
      <c r="R57" s="26"/>
      <c r="S57" s="26"/>
      <c r="T57" s="38"/>
      <c r="U57" s="152"/>
    </row>
    <row r="58" spans="1:21" s="42" customFormat="1" x14ac:dyDescent="0.25">
      <c r="A58" s="167"/>
      <c r="B58" s="17" t="s">
        <v>1225</v>
      </c>
      <c r="C58" s="31"/>
      <c r="D58" s="31"/>
      <c r="E58" s="31"/>
      <c r="F58" s="31"/>
      <c r="G58" s="31"/>
      <c r="H58" s="31"/>
      <c r="I58" s="31"/>
      <c r="J58" s="31"/>
      <c r="K58" s="31"/>
      <c r="L58" s="31"/>
      <c r="M58" s="31"/>
      <c r="N58" s="31"/>
      <c r="O58" s="58"/>
      <c r="P58" s="26"/>
      <c r="Q58" s="26"/>
      <c r="R58" s="26"/>
      <c r="S58" s="26"/>
      <c r="T58" s="38"/>
      <c r="U58" s="152"/>
    </row>
    <row r="59" spans="1:21" s="42" customFormat="1" ht="15.75" thickBot="1" x14ac:dyDescent="0.3">
      <c r="A59" s="167"/>
      <c r="B59" s="141" t="s">
        <v>50</v>
      </c>
      <c r="C59" s="31"/>
      <c r="D59" s="31"/>
      <c r="E59" s="31"/>
      <c r="F59" s="31"/>
      <c r="G59" s="31"/>
      <c r="H59" s="31"/>
      <c r="I59" s="31"/>
      <c r="J59" s="31"/>
      <c r="K59" s="31"/>
      <c r="L59" s="31"/>
      <c r="M59" s="31"/>
      <c r="N59" s="31"/>
      <c r="O59" s="58"/>
      <c r="P59" s="26"/>
      <c r="Q59" s="26"/>
      <c r="R59" s="26"/>
      <c r="S59" s="26"/>
      <c r="T59" s="38"/>
      <c r="U59" s="152"/>
    </row>
    <row r="60" spans="1:21" s="42" customFormat="1" ht="15.75" thickBot="1" x14ac:dyDescent="0.3">
      <c r="A60" s="166" t="s">
        <v>1227</v>
      </c>
      <c r="B60" s="137" t="s">
        <v>1226</v>
      </c>
      <c r="C60" s="135" t="s">
        <v>2</v>
      </c>
      <c r="D60" s="55">
        <f>D$4*1</f>
        <v>1</v>
      </c>
      <c r="E60" s="55">
        <f>E$4*1</f>
        <v>1</v>
      </c>
      <c r="F60" s="36">
        <f>F$4*1</f>
        <v>1</v>
      </c>
      <c r="G60" s="36">
        <f>G$4*1</f>
        <v>1</v>
      </c>
      <c r="H60" s="36">
        <f t="shared" ref="H60:N60" si="5">H$4*0</f>
        <v>0</v>
      </c>
      <c r="I60" s="36">
        <f>I$4*1</f>
        <v>1</v>
      </c>
      <c r="J60" s="36">
        <f t="shared" si="5"/>
        <v>0</v>
      </c>
      <c r="K60" s="36">
        <f>K$4*1</f>
        <v>2</v>
      </c>
      <c r="L60" s="36">
        <f t="shared" si="5"/>
        <v>0</v>
      </c>
      <c r="M60" s="36">
        <f t="shared" si="5"/>
        <v>0</v>
      </c>
      <c r="N60" s="56">
        <f t="shared" si="5"/>
        <v>0</v>
      </c>
      <c r="O60" s="62">
        <f>SUM(D60:N60)</f>
        <v>7</v>
      </c>
      <c r="P60" s="26">
        <v>0</v>
      </c>
      <c r="Q60" s="26">
        <v>0</v>
      </c>
      <c r="R60" s="26">
        <f>P60+Q60</f>
        <v>0</v>
      </c>
      <c r="S60" s="26"/>
      <c r="T60" s="22">
        <f>R60*O60</f>
        <v>0</v>
      </c>
      <c r="U60" s="47"/>
    </row>
    <row r="61" spans="1:21" s="42" customFormat="1" ht="15.75" thickBot="1" x14ac:dyDescent="0.3">
      <c r="A61" s="166" t="s">
        <v>1228</v>
      </c>
      <c r="B61" s="137" t="s">
        <v>1222</v>
      </c>
      <c r="C61" s="135" t="s">
        <v>2</v>
      </c>
      <c r="D61" s="55">
        <f t="shared" ref="D61:N62" si="6">D$4*0</f>
        <v>0</v>
      </c>
      <c r="E61" s="55">
        <f t="shared" si="6"/>
        <v>0</v>
      </c>
      <c r="F61" s="36">
        <f t="shared" si="6"/>
        <v>0</v>
      </c>
      <c r="G61" s="36">
        <f t="shared" si="6"/>
        <v>0</v>
      </c>
      <c r="H61" s="36">
        <f t="shared" si="6"/>
        <v>0</v>
      </c>
      <c r="I61" s="36">
        <f t="shared" si="6"/>
        <v>0</v>
      </c>
      <c r="J61" s="36">
        <f t="shared" si="6"/>
        <v>0</v>
      </c>
      <c r="K61" s="36">
        <f t="shared" si="6"/>
        <v>0</v>
      </c>
      <c r="L61" s="36">
        <f>L$4*1</f>
        <v>1</v>
      </c>
      <c r="M61" s="36">
        <f t="shared" si="6"/>
        <v>0</v>
      </c>
      <c r="N61" s="56">
        <f t="shared" si="6"/>
        <v>0</v>
      </c>
      <c r="O61" s="62">
        <f>SUM(D61:N61)</f>
        <v>1</v>
      </c>
      <c r="P61" s="26">
        <v>0</v>
      </c>
      <c r="Q61" s="26">
        <v>0</v>
      </c>
      <c r="R61" s="26">
        <f>P61+Q61</f>
        <v>0</v>
      </c>
      <c r="S61" s="26"/>
      <c r="T61" s="22">
        <f>R61*O61</f>
        <v>0</v>
      </c>
      <c r="U61" s="47"/>
    </row>
    <row r="62" spans="1:21" s="42" customFormat="1" ht="15.75" thickBot="1" x14ac:dyDescent="0.3">
      <c r="A62" s="166" t="s">
        <v>1229</v>
      </c>
      <c r="B62" s="137" t="s">
        <v>1221</v>
      </c>
      <c r="C62" s="135" t="s">
        <v>2</v>
      </c>
      <c r="D62" s="55">
        <f t="shared" si="6"/>
        <v>0</v>
      </c>
      <c r="E62" s="55">
        <f t="shared" si="6"/>
        <v>0</v>
      </c>
      <c r="F62" s="36">
        <f t="shared" si="6"/>
        <v>0</v>
      </c>
      <c r="G62" s="36">
        <f t="shared" si="6"/>
        <v>0</v>
      </c>
      <c r="H62" s="36">
        <f>H$4*2</f>
        <v>8</v>
      </c>
      <c r="I62" s="36">
        <f t="shared" si="6"/>
        <v>0</v>
      </c>
      <c r="J62" s="36">
        <f t="shared" si="6"/>
        <v>0</v>
      </c>
      <c r="K62" s="36">
        <f t="shared" si="6"/>
        <v>0</v>
      </c>
      <c r="L62" s="36">
        <f t="shared" si="6"/>
        <v>0</v>
      </c>
      <c r="M62" s="36">
        <f t="shared" si="6"/>
        <v>0</v>
      </c>
      <c r="N62" s="56">
        <f t="shared" si="6"/>
        <v>0</v>
      </c>
      <c r="O62" s="62">
        <f>SUM(D62:N62)</f>
        <v>8</v>
      </c>
      <c r="P62" s="26">
        <v>0</v>
      </c>
      <c r="Q62" s="26">
        <v>0</v>
      </c>
      <c r="R62" s="26">
        <f>P62+Q62</f>
        <v>0</v>
      </c>
      <c r="S62" s="26"/>
      <c r="T62" s="22">
        <f>R62*O62</f>
        <v>0</v>
      </c>
      <c r="U62" s="47"/>
    </row>
    <row r="63" spans="1:21" s="32" customFormat="1" ht="12.75" x14ac:dyDescent="0.2">
      <c r="A63" s="159"/>
      <c r="B63" s="31"/>
      <c r="C63" s="25"/>
      <c r="D63" s="25"/>
      <c r="E63" s="25"/>
      <c r="F63" s="25"/>
      <c r="G63" s="25"/>
      <c r="H63" s="25"/>
      <c r="I63" s="25"/>
      <c r="J63" s="25"/>
      <c r="K63" s="25"/>
      <c r="L63" s="25"/>
      <c r="M63" s="25"/>
      <c r="N63" s="25"/>
      <c r="O63" s="58"/>
      <c r="P63" s="26"/>
      <c r="Q63" s="26"/>
      <c r="R63" s="26"/>
      <c r="S63" s="26"/>
      <c r="T63" s="22"/>
      <c r="U63" s="37"/>
    </row>
    <row r="64" spans="1:21" s="129" customFormat="1" x14ac:dyDescent="0.25">
      <c r="A64" s="165" t="s">
        <v>1155</v>
      </c>
      <c r="B64" s="490" t="s">
        <v>110</v>
      </c>
      <c r="C64" s="491"/>
      <c r="D64" s="491"/>
      <c r="E64" s="491"/>
      <c r="F64" s="491"/>
      <c r="G64" s="491"/>
      <c r="H64" s="491"/>
      <c r="I64" s="491"/>
      <c r="J64" s="491"/>
      <c r="K64" s="491"/>
      <c r="L64" s="491"/>
      <c r="M64" s="491"/>
      <c r="N64" s="491"/>
      <c r="O64" s="491"/>
      <c r="P64" s="491"/>
      <c r="Q64" s="492"/>
      <c r="R64" s="34" t="s">
        <v>0</v>
      </c>
      <c r="S64" s="34"/>
      <c r="T64" s="9">
        <f>SUM(T52:T63)</f>
        <v>0</v>
      </c>
      <c r="U64" s="150"/>
    </row>
    <row r="65" spans="1:21" s="32" customFormat="1" ht="12.75" x14ac:dyDescent="0.2">
      <c r="A65" s="159"/>
      <c r="B65" s="31"/>
      <c r="C65" s="25"/>
      <c r="D65" s="25"/>
      <c r="E65" s="25"/>
      <c r="F65" s="25"/>
      <c r="G65" s="25"/>
      <c r="H65" s="25"/>
      <c r="I65" s="25"/>
      <c r="J65" s="25"/>
      <c r="K65" s="25"/>
      <c r="L65" s="25"/>
      <c r="M65" s="25"/>
      <c r="N65" s="25"/>
      <c r="O65" s="58"/>
      <c r="P65" s="26"/>
      <c r="Q65" s="26"/>
      <c r="R65" s="26"/>
      <c r="S65" s="26"/>
      <c r="T65" s="22"/>
      <c r="U65" s="37"/>
    </row>
    <row r="66" spans="1:21" s="129" customFormat="1" x14ac:dyDescent="0.25">
      <c r="A66" s="165" t="s">
        <v>1127</v>
      </c>
      <c r="B66" s="490" t="s">
        <v>1047</v>
      </c>
      <c r="C66" s="491"/>
      <c r="D66" s="491"/>
      <c r="E66" s="491"/>
      <c r="F66" s="491"/>
      <c r="G66" s="491"/>
      <c r="H66" s="491"/>
      <c r="I66" s="491"/>
      <c r="J66" s="491"/>
      <c r="K66" s="491"/>
      <c r="L66" s="491"/>
      <c r="M66" s="491"/>
      <c r="N66" s="491"/>
      <c r="O66" s="491"/>
      <c r="P66" s="491"/>
      <c r="Q66" s="492"/>
      <c r="R66" s="34" t="s">
        <v>0</v>
      </c>
      <c r="S66" s="34"/>
      <c r="T66" s="9">
        <f>SUM(T65:T65)</f>
        <v>0</v>
      </c>
      <c r="U66" s="150"/>
    </row>
    <row r="68" spans="1:21" s="132" customFormat="1" ht="15.75" x14ac:dyDescent="0.25">
      <c r="A68" s="160" t="s">
        <v>1127</v>
      </c>
      <c r="B68" s="130" t="s">
        <v>1322</v>
      </c>
      <c r="C68" s="49"/>
      <c r="D68" s="49"/>
      <c r="E68" s="49"/>
      <c r="F68" s="49"/>
      <c r="G68" s="49"/>
      <c r="H68" s="49"/>
      <c r="I68" s="49"/>
      <c r="J68" s="49"/>
      <c r="K68" s="49"/>
      <c r="L68" s="49"/>
      <c r="M68" s="49"/>
      <c r="N68" s="49"/>
      <c r="O68" s="131"/>
      <c r="P68" s="49"/>
      <c r="Q68" s="49"/>
      <c r="R68" s="476" t="s">
        <v>57</v>
      </c>
      <c r="S68" s="476"/>
      <c r="T68" s="50">
        <f>T66*5</f>
        <v>0</v>
      </c>
      <c r="U68" s="151"/>
    </row>
    <row r="69" spans="1:21" ht="15.75" thickBot="1" x14ac:dyDescent="0.3"/>
    <row r="70" spans="1:21" s="42" customFormat="1" ht="50.1" customHeight="1" thickBot="1" x14ac:dyDescent="0.3">
      <c r="A70" s="119" t="s">
        <v>8</v>
      </c>
      <c r="B70" s="119" t="s">
        <v>7</v>
      </c>
      <c r="C70" s="120" t="s">
        <v>6</v>
      </c>
      <c r="D70" s="487"/>
      <c r="E70" s="487"/>
      <c r="F70" s="487"/>
      <c r="G70" s="487"/>
      <c r="H70" s="487"/>
      <c r="I70" s="487"/>
      <c r="J70" s="487"/>
      <c r="K70" s="121" t="s">
        <v>54</v>
      </c>
      <c r="L70" s="122" t="s">
        <v>5</v>
      </c>
      <c r="M70" s="121" t="s">
        <v>4</v>
      </c>
      <c r="N70" s="121" t="s">
        <v>1004</v>
      </c>
      <c r="O70" s="121"/>
      <c r="P70" s="119" t="s">
        <v>1005</v>
      </c>
      <c r="Q70" s="47"/>
    </row>
    <row r="71" spans="1:21" s="42" customFormat="1" ht="50.1" customHeight="1" thickBot="1" x14ac:dyDescent="0.3">
      <c r="A71" s="123"/>
      <c r="B71" s="123"/>
      <c r="C71" s="124"/>
      <c r="D71" s="477" t="s">
        <v>1283</v>
      </c>
      <c r="E71" s="478"/>
      <c r="F71" s="478"/>
      <c r="G71" s="478"/>
      <c r="H71" s="478"/>
      <c r="I71" s="478"/>
      <c r="J71" s="479"/>
      <c r="K71" s="125"/>
      <c r="L71" s="124"/>
      <c r="M71" s="124"/>
      <c r="N71" s="124"/>
      <c r="O71" s="124"/>
      <c r="P71" s="123"/>
      <c r="Q71" s="47"/>
    </row>
    <row r="72" spans="1:21" s="42" customFormat="1" ht="62.25" customHeight="1" x14ac:dyDescent="0.25">
      <c r="A72" s="123"/>
      <c r="B72" s="123"/>
      <c r="C72" s="124"/>
      <c r="D72" s="173" t="s">
        <v>1284</v>
      </c>
      <c r="E72" s="46" t="s">
        <v>1285</v>
      </c>
      <c r="F72" s="46" t="s">
        <v>1286</v>
      </c>
      <c r="G72" s="46" t="s">
        <v>1287</v>
      </c>
      <c r="H72" s="46" t="s">
        <v>1288</v>
      </c>
      <c r="I72" s="154" t="s">
        <v>1208</v>
      </c>
      <c r="J72" s="126" t="s">
        <v>1003</v>
      </c>
      <c r="K72" s="125"/>
      <c r="L72" s="124"/>
      <c r="M72" s="124"/>
      <c r="N72" s="124"/>
      <c r="O72" s="124"/>
      <c r="P72" s="123"/>
      <c r="Q72" s="47"/>
    </row>
    <row r="74" spans="1:21" s="32" customFormat="1" ht="12.75" x14ac:dyDescent="0.2">
      <c r="A74" s="159"/>
      <c r="B74" s="31"/>
      <c r="C74" s="25"/>
      <c r="D74" s="174"/>
      <c r="E74" s="25"/>
      <c r="F74" s="25"/>
      <c r="G74" s="25"/>
      <c r="H74" s="25"/>
      <c r="I74" s="25"/>
      <c r="J74" s="25"/>
      <c r="K74" s="58"/>
      <c r="L74" s="26"/>
      <c r="M74" s="26"/>
      <c r="N74" s="26"/>
      <c r="O74" s="26"/>
      <c r="P74" s="35"/>
      <c r="Q74" s="37"/>
    </row>
    <row r="75" spans="1:21" s="117" customFormat="1" ht="15.75" x14ac:dyDescent="0.25">
      <c r="A75" s="158" t="s">
        <v>1043</v>
      </c>
      <c r="B75" s="39" t="s">
        <v>116</v>
      </c>
      <c r="C75" s="40"/>
      <c r="D75" s="175"/>
      <c r="E75" s="40"/>
      <c r="F75" s="40"/>
      <c r="G75" s="40"/>
      <c r="H75" s="40"/>
      <c r="I75" s="40"/>
      <c r="J75" s="40"/>
      <c r="K75" s="59"/>
      <c r="L75" s="40"/>
      <c r="M75" s="40"/>
      <c r="N75" s="40"/>
      <c r="O75" s="40"/>
      <c r="P75" s="41"/>
      <c r="Q75" s="149"/>
    </row>
    <row r="76" spans="1:21" s="42" customFormat="1" x14ac:dyDescent="0.25">
      <c r="A76" s="157"/>
      <c r="B76" s="44"/>
      <c r="C76" s="44"/>
      <c r="D76" s="172"/>
      <c r="E76" s="44"/>
      <c r="F76" s="44"/>
      <c r="G76" s="44"/>
      <c r="H76" s="44"/>
      <c r="I76" s="44"/>
      <c r="J76" s="44"/>
      <c r="K76" s="118"/>
      <c r="L76" s="44"/>
      <c r="M76" s="44"/>
      <c r="N76" s="44"/>
      <c r="O76" s="44"/>
      <c r="P76" s="44"/>
      <c r="Q76" s="47"/>
    </row>
    <row r="77" spans="1:21" s="42" customFormat="1" ht="120" x14ac:dyDescent="0.25">
      <c r="A77" s="157"/>
      <c r="B77" s="143" t="s">
        <v>1045</v>
      </c>
      <c r="C77" s="44"/>
      <c r="D77" s="172"/>
      <c r="E77" s="44"/>
      <c r="F77" s="44"/>
      <c r="G77" s="44"/>
      <c r="H77" s="44"/>
      <c r="I77" s="44"/>
      <c r="J77" s="44"/>
      <c r="K77" s="118"/>
      <c r="L77" s="44"/>
      <c r="M77" s="44"/>
      <c r="N77" s="44"/>
      <c r="O77" s="44"/>
      <c r="P77" s="44"/>
      <c r="Q77" s="47"/>
    </row>
    <row r="78" spans="1:21" s="32" customFormat="1" ht="12.75" x14ac:dyDescent="0.2">
      <c r="A78" s="159"/>
      <c r="B78" s="31"/>
      <c r="C78" s="25"/>
      <c r="D78" s="174"/>
      <c r="E78" s="25"/>
      <c r="F78" s="25"/>
      <c r="G78" s="25"/>
      <c r="H78" s="25"/>
      <c r="I78" s="25"/>
      <c r="J78" s="25"/>
      <c r="K78" s="58"/>
      <c r="L78" s="26"/>
      <c r="M78" s="26"/>
      <c r="N78" s="26"/>
      <c r="O78" s="26"/>
      <c r="P78" s="35"/>
      <c r="Q78" s="37"/>
    </row>
    <row r="79" spans="1:21" s="32" customFormat="1" ht="12.75" x14ac:dyDescent="0.2">
      <c r="A79" s="159"/>
      <c r="B79" s="31"/>
      <c r="C79" s="25"/>
      <c r="D79" s="174"/>
      <c r="E79" s="25"/>
      <c r="F79" s="25"/>
      <c r="G79" s="25"/>
      <c r="H79" s="25"/>
      <c r="I79" s="25"/>
      <c r="J79" s="25"/>
      <c r="K79" s="58"/>
      <c r="L79" s="26"/>
      <c r="M79" s="26"/>
      <c r="N79" s="26"/>
      <c r="O79" s="26"/>
      <c r="P79" s="35"/>
      <c r="Q79" s="37"/>
    </row>
    <row r="80" spans="1:21" s="42" customFormat="1" x14ac:dyDescent="0.25">
      <c r="A80" s="161" t="s">
        <v>1046</v>
      </c>
      <c r="B80" s="493" t="s">
        <v>1047</v>
      </c>
      <c r="C80" s="493"/>
      <c r="D80" s="493"/>
      <c r="E80" s="493"/>
      <c r="F80" s="493"/>
      <c r="G80" s="493"/>
      <c r="H80" s="493"/>
      <c r="I80" s="493"/>
      <c r="J80" s="493"/>
      <c r="K80" s="493"/>
      <c r="L80" s="493"/>
      <c r="M80" s="493"/>
      <c r="N80" s="493"/>
      <c r="O80" s="43"/>
      <c r="P80" s="33"/>
      <c r="Q80" s="47"/>
    </row>
    <row r="81" spans="1:17" s="42" customFormat="1" x14ac:dyDescent="0.25">
      <c r="A81" s="157"/>
      <c r="B81" s="44"/>
      <c r="C81" s="44"/>
      <c r="D81" s="172"/>
      <c r="E81" s="44"/>
      <c r="F81" s="44"/>
      <c r="G81" s="44"/>
      <c r="H81" s="44"/>
      <c r="I81" s="44"/>
      <c r="J81" s="44"/>
      <c r="K81" s="118"/>
      <c r="L81" s="44"/>
      <c r="M81" s="44"/>
      <c r="N81" s="44"/>
      <c r="O81" s="44"/>
      <c r="P81" s="44"/>
      <c r="Q81" s="47"/>
    </row>
    <row r="82" spans="1:17" s="42" customFormat="1" x14ac:dyDescent="0.25">
      <c r="A82" s="166" t="s">
        <v>1048</v>
      </c>
      <c r="B82" s="27" t="s">
        <v>1049</v>
      </c>
      <c r="C82" s="28"/>
      <c r="D82" s="181"/>
      <c r="E82" s="28"/>
      <c r="F82" s="28"/>
      <c r="G82" s="28"/>
      <c r="H82" s="28"/>
      <c r="I82" s="28"/>
      <c r="J82" s="28"/>
      <c r="K82" s="60"/>
      <c r="L82" s="29"/>
      <c r="M82" s="29"/>
      <c r="N82" s="29"/>
      <c r="O82" s="29"/>
      <c r="P82" s="23"/>
      <c r="Q82" s="152"/>
    </row>
    <row r="83" spans="1:17" s="42" customFormat="1" x14ac:dyDescent="0.25">
      <c r="A83" s="167"/>
      <c r="B83" s="30" t="s">
        <v>1050</v>
      </c>
      <c r="C83" s="31"/>
      <c r="D83" s="182"/>
      <c r="E83" s="31"/>
      <c r="F83" s="31"/>
      <c r="G83" s="31"/>
      <c r="H83" s="31"/>
      <c r="I83" s="31"/>
      <c r="J83" s="31"/>
      <c r="K83" s="58"/>
      <c r="L83" s="26"/>
      <c r="M83" s="26"/>
      <c r="N83" s="26"/>
      <c r="O83" s="26"/>
      <c r="P83" s="38"/>
      <c r="Q83" s="152"/>
    </row>
    <row r="84" spans="1:17" s="42" customFormat="1" x14ac:dyDescent="0.25">
      <c r="A84" s="167"/>
      <c r="B84" s="30" t="s">
        <v>1051</v>
      </c>
      <c r="C84" s="31"/>
      <c r="D84" s="182"/>
      <c r="E84" s="31"/>
      <c r="F84" s="31"/>
      <c r="G84" s="31"/>
      <c r="H84" s="31"/>
      <c r="I84" s="31"/>
      <c r="J84" s="31"/>
      <c r="K84" s="58"/>
      <c r="L84" s="26"/>
      <c r="M84" s="26"/>
      <c r="N84" s="26"/>
      <c r="O84" s="26"/>
      <c r="P84" s="38"/>
      <c r="Q84" s="152"/>
    </row>
    <row r="85" spans="1:17" s="42" customFormat="1" ht="15.75" thickBot="1" x14ac:dyDescent="0.3">
      <c r="A85" s="167"/>
      <c r="B85" s="30" t="s">
        <v>3</v>
      </c>
      <c r="C85" s="31"/>
      <c r="D85" s="182"/>
      <c r="E85" s="31"/>
      <c r="F85" s="31"/>
      <c r="G85" s="31"/>
      <c r="H85" s="31"/>
      <c r="I85" s="31"/>
      <c r="J85" s="31"/>
      <c r="K85" s="58"/>
      <c r="L85" s="26"/>
      <c r="M85" s="26"/>
      <c r="N85" s="26"/>
      <c r="O85" s="26"/>
      <c r="P85" s="38"/>
      <c r="Q85" s="152"/>
    </row>
    <row r="86" spans="1:17" s="42" customFormat="1" ht="15.75" thickBot="1" x14ac:dyDescent="0.3">
      <c r="A86" s="166" t="s">
        <v>1298</v>
      </c>
      <c r="B86" s="137" t="s">
        <v>1299</v>
      </c>
      <c r="C86" s="135" t="s">
        <v>2</v>
      </c>
      <c r="D86" s="177">
        <v>0</v>
      </c>
      <c r="E86" s="36">
        <v>0</v>
      </c>
      <c r="F86" s="36">
        <v>0</v>
      </c>
      <c r="G86" s="36">
        <v>0</v>
      </c>
      <c r="H86" s="36">
        <v>0</v>
      </c>
      <c r="I86" s="36">
        <v>0</v>
      </c>
      <c r="J86" s="56">
        <v>1</v>
      </c>
      <c r="K86" s="62">
        <f>SUM(D86:J86)</f>
        <v>1</v>
      </c>
      <c r="L86" s="26">
        <v>0</v>
      </c>
      <c r="M86" s="26">
        <v>0</v>
      </c>
      <c r="N86" s="26">
        <f>L86+M86</f>
        <v>0</v>
      </c>
      <c r="O86" s="26"/>
      <c r="P86" s="22">
        <f>N86*K86</f>
        <v>0</v>
      </c>
      <c r="Q86" s="47"/>
    </row>
    <row r="87" spans="1:17" s="42" customFormat="1" x14ac:dyDescent="0.25">
      <c r="A87" s="157"/>
      <c r="B87" s="44"/>
      <c r="C87" s="44"/>
      <c r="D87" s="172"/>
      <c r="E87" s="44"/>
      <c r="F87" s="44"/>
      <c r="G87" s="44"/>
      <c r="H87" s="44"/>
      <c r="I87" s="44"/>
      <c r="J87" s="44"/>
      <c r="K87" s="118"/>
      <c r="L87" s="44"/>
      <c r="M87" s="44"/>
      <c r="N87" s="44"/>
      <c r="O87" s="44"/>
      <c r="P87" s="44"/>
      <c r="Q87" s="47"/>
    </row>
    <row r="88" spans="1:17" s="42" customFormat="1" x14ac:dyDescent="0.25">
      <c r="A88" s="166" t="s">
        <v>1185</v>
      </c>
      <c r="B88" s="27" t="s">
        <v>1186</v>
      </c>
      <c r="C88" s="28"/>
      <c r="D88" s="181"/>
      <c r="E88" s="28"/>
      <c r="F88" s="28"/>
      <c r="G88" s="28"/>
      <c r="H88" s="28"/>
      <c r="I88" s="28"/>
      <c r="J88" s="28"/>
      <c r="K88" s="60"/>
      <c r="L88" s="29"/>
      <c r="M88" s="29"/>
      <c r="N88" s="29"/>
      <c r="O88" s="29"/>
      <c r="P88" s="23"/>
      <c r="Q88" s="152"/>
    </row>
    <row r="89" spans="1:17" s="42" customFormat="1" ht="102" x14ac:dyDescent="0.25">
      <c r="A89" s="167"/>
      <c r="B89" s="30" t="s">
        <v>1239</v>
      </c>
      <c r="C89" s="31"/>
      <c r="D89" s="182"/>
      <c r="E89" s="31"/>
      <c r="F89" s="31"/>
      <c r="G89" s="31"/>
      <c r="H89" s="31"/>
      <c r="I89" s="31"/>
      <c r="J89" s="31"/>
      <c r="K89" s="58"/>
      <c r="L89" s="26"/>
      <c r="M89" s="26"/>
      <c r="N89" s="26"/>
      <c r="O89" s="26"/>
      <c r="P89" s="38"/>
      <c r="Q89" s="152"/>
    </row>
    <row r="90" spans="1:17" s="42" customFormat="1" ht="25.5" x14ac:dyDescent="0.25">
      <c r="A90" s="167"/>
      <c r="B90" s="30" t="s">
        <v>1190</v>
      </c>
      <c r="C90" s="31"/>
      <c r="D90" s="182"/>
      <c r="E90" s="31"/>
      <c r="F90" s="31"/>
      <c r="G90" s="31"/>
      <c r="H90" s="31"/>
      <c r="I90" s="31"/>
      <c r="J90" s="31"/>
      <c r="K90" s="58"/>
      <c r="L90" s="26"/>
      <c r="M90" s="26"/>
      <c r="N90" s="26"/>
      <c r="O90" s="26"/>
      <c r="P90" s="38"/>
      <c r="Q90" s="152"/>
    </row>
    <row r="91" spans="1:17" s="42" customFormat="1" ht="15.75" thickBot="1" x14ac:dyDescent="0.3">
      <c r="A91" s="167"/>
      <c r="B91" s="30" t="s">
        <v>1187</v>
      </c>
      <c r="C91" s="31"/>
      <c r="D91" s="182"/>
      <c r="E91" s="31"/>
      <c r="F91" s="31"/>
      <c r="G91" s="31"/>
      <c r="H91" s="31"/>
      <c r="I91" s="31"/>
      <c r="J91" s="31"/>
      <c r="K91" s="58"/>
      <c r="L91" s="26"/>
      <c r="M91" s="26"/>
      <c r="N91" s="26"/>
      <c r="O91" s="26"/>
      <c r="P91" s="38"/>
      <c r="Q91" s="152"/>
    </row>
    <row r="92" spans="1:17" s="42" customFormat="1" ht="15.75" thickBot="1" x14ac:dyDescent="0.3">
      <c r="A92" s="166"/>
      <c r="B92" s="137" t="s">
        <v>51</v>
      </c>
      <c r="C92" s="135" t="s">
        <v>40</v>
      </c>
      <c r="D92" s="177">
        <v>0</v>
      </c>
      <c r="E92" s="36">
        <v>0</v>
      </c>
      <c r="F92" s="36">
        <v>0</v>
      </c>
      <c r="G92" s="36">
        <v>0</v>
      </c>
      <c r="H92" s="36">
        <v>0</v>
      </c>
      <c r="I92" s="36">
        <v>0</v>
      </c>
      <c r="J92" s="56">
        <v>77.900000000000006</v>
      </c>
      <c r="K92" s="62">
        <f>SUM(D92:J92)</f>
        <v>77.900000000000006</v>
      </c>
      <c r="L92" s="26">
        <v>0</v>
      </c>
      <c r="M92" s="26">
        <v>0</v>
      </c>
      <c r="N92" s="26">
        <f>L92+M92</f>
        <v>0</v>
      </c>
      <c r="O92" s="26"/>
      <c r="P92" s="22">
        <f>N92*K92</f>
        <v>0</v>
      </c>
      <c r="Q92" s="47"/>
    </row>
    <row r="93" spans="1:17" s="42" customFormat="1" x14ac:dyDescent="0.25">
      <c r="A93" s="167"/>
      <c r="B93" s="30"/>
      <c r="C93" s="25"/>
      <c r="D93" s="178"/>
      <c r="E93" s="26"/>
      <c r="F93" s="26"/>
      <c r="G93" s="26"/>
      <c r="H93" s="26"/>
      <c r="I93" s="26"/>
      <c r="J93" s="26"/>
      <c r="K93" s="58"/>
      <c r="L93" s="26"/>
      <c r="M93" s="26"/>
      <c r="N93" s="26"/>
      <c r="O93" s="26"/>
      <c r="P93" s="22"/>
      <c r="Q93" s="47"/>
    </row>
    <row r="94" spans="1:17" s="42" customFormat="1" x14ac:dyDescent="0.25">
      <c r="A94" s="225" t="s">
        <v>1188</v>
      </c>
      <c r="B94" s="226" t="s">
        <v>1380</v>
      </c>
      <c r="C94" s="227"/>
      <c r="D94" s="296"/>
      <c r="E94" s="227"/>
      <c r="F94" s="227"/>
      <c r="G94" s="227"/>
      <c r="H94" s="227"/>
      <c r="I94" s="227"/>
      <c r="J94" s="227"/>
      <c r="K94" s="228"/>
      <c r="L94" s="229"/>
      <c r="M94" s="229"/>
      <c r="N94" s="229"/>
      <c r="O94" s="229"/>
      <c r="P94" s="230"/>
      <c r="Q94" s="47"/>
    </row>
    <row r="95" spans="1:17" s="42" customFormat="1" ht="39" thickBot="1" x14ac:dyDescent="0.3">
      <c r="A95" s="201"/>
      <c r="B95" s="281" t="s">
        <v>1381</v>
      </c>
      <c r="C95" s="204"/>
      <c r="D95" s="338"/>
      <c r="E95" s="204"/>
      <c r="F95" s="204"/>
      <c r="G95" s="204"/>
      <c r="H95" s="204"/>
      <c r="I95" s="204"/>
      <c r="J95" s="204"/>
      <c r="K95" s="205"/>
      <c r="L95" s="206"/>
      <c r="M95" s="206"/>
      <c r="N95" s="206"/>
      <c r="O95" s="206"/>
      <c r="P95" s="207"/>
      <c r="Q95" s="47"/>
    </row>
    <row r="96" spans="1:17" s="42" customFormat="1" ht="15.75" thickBot="1" x14ac:dyDescent="0.3">
      <c r="A96" s="225"/>
      <c r="B96" s="232" t="s">
        <v>51</v>
      </c>
      <c r="C96" s="233" t="s">
        <v>40</v>
      </c>
      <c r="D96" s="297">
        <v>7.2</v>
      </c>
      <c r="E96" s="235">
        <v>7.2</v>
      </c>
      <c r="F96" s="235">
        <v>0</v>
      </c>
      <c r="G96" s="235">
        <v>12.6</v>
      </c>
      <c r="H96" s="235">
        <v>10.8</v>
      </c>
      <c r="I96" s="235">
        <v>0</v>
      </c>
      <c r="J96" s="236">
        <v>77.900000000000006</v>
      </c>
      <c r="K96" s="237">
        <f>SUM(D96:J96)</f>
        <v>115.7</v>
      </c>
      <c r="L96" s="206">
        <v>0</v>
      </c>
      <c r="M96" s="206">
        <v>0</v>
      </c>
      <c r="N96" s="206">
        <f>L96+M96</f>
        <v>0</v>
      </c>
      <c r="O96" s="206"/>
      <c r="P96" s="238">
        <f>N96*K96</f>
        <v>0</v>
      </c>
      <c r="Q96" s="47"/>
    </row>
    <row r="97" spans="1:17" s="32" customFormat="1" ht="12.75" x14ac:dyDescent="0.2">
      <c r="A97" s="159"/>
      <c r="B97" s="31"/>
      <c r="C97" s="25"/>
      <c r="D97" s="174"/>
      <c r="E97" s="25"/>
      <c r="F97" s="25"/>
      <c r="G97" s="25"/>
      <c r="H97" s="25"/>
      <c r="I97" s="25"/>
      <c r="J97" s="25"/>
      <c r="K97" s="58"/>
      <c r="L97" s="26"/>
      <c r="M97" s="26"/>
      <c r="N97" s="26"/>
      <c r="O97" s="26"/>
      <c r="P97" s="35"/>
      <c r="Q97" s="37"/>
    </row>
    <row r="98" spans="1:17" s="129" customFormat="1" x14ac:dyDescent="0.25">
      <c r="A98" s="165" t="s">
        <v>1127</v>
      </c>
      <c r="B98" s="490" t="s">
        <v>1047</v>
      </c>
      <c r="C98" s="491"/>
      <c r="D98" s="491"/>
      <c r="E98" s="491"/>
      <c r="F98" s="491"/>
      <c r="G98" s="491"/>
      <c r="H98" s="491"/>
      <c r="I98" s="491"/>
      <c r="J98" s="491"/>
      <c r="K98" s="491"/>
      <c r="L98" s="491"/>
      <c r="M98" s="492"/>
      <c r="N98" s="34" t="s">
        <v>0</v>
      </c>
      <c r="O98" s="34"/>
      <c r="P98" s="9">
        <f>SUM(P81:P97)</f>
        <v>0</v>
      </c>
      <c r="Q98" s="150"/>
    </row>
    <row r="99" spans="1:17" s="32" customFormat="1" ht="12.75" x14ac:dyDescent="0.2">
      <c r="A99" s="159"/>
      <c r="B99" s="31"/>
      <c r="C99" s="25"/>
      <c r="D99" s="174"/>
      <c r="E99" s="25"/>
      <c r="F99" s="25"/>
      <c r="G99" s="25"/>
      <c r="H99" s="25"/>
      <c r="I99" s="25"/>
      <c r="J99" s="25"/>
      <c r="K99" s="58"/>
      <c r="L99" s="26"/>
      <c r="M99" s="26"/>
      <c r="N99" s="26"/>
      <c r="O99" s="26"/>
      <c r="P99" s="35"/>
      <c r="Q99" s="37"/>
    </row>
    <row r="100" spans="1:17" s="42" customFormat="1" x14ac:dyDescent="0.25">
      <c r="A100" s="161" t="s">
        <v>1154</v>
      </c>
      <c r="B100" s="493" t="s">
        <v>110</v>
      </c>
      <c r="C100" s="493"/>
      <c r="D100" s="493"/>
      <c r="E100" s="493"/>
      <c r="F100" s="493"/>
      <c r="G100" s="493"/>
      <c r="H100" s="493"/>
      <c r="I100" s="493"/>
      <c r="J100" s="493"/>
      <c r="K100" s="493"/>
      <c r="L100" s="493"/>
      <c r="M100" s="493"/>
      <c r="N100" s="493"/>
      <c r="O100" s="43"/>
      <c r="P100" s="33"/>
      <c r="Q100" s="47"/>
    </row>
    <row r="101" spans="1:17" s="42" customFormat="1" x14ac:dyDescent="0.25">
      <c r="A101" s="157"/>
      <c r="B101" s="44"/>
      <c r="C101" s="44"/>
      <c r="D101" s="172"/>
      <c r="E101" s="44"/>
      <c r="F101" s="44"/>
      <c r="G101" s="44"/>
      <c r="H101" s="44"/>
      <c r="I101" s="44"/>
      <c r="J101" s="44"/>
      <c r="K101" s="118"/>
      <c r="L101" s="44"/>
      <c r="M101" s="44"/>
      <c r="N101" s="44"/>
      <c r="O101" s="44"/>
      <c r="P101" s="44"/>
      <c r="Q101" s="47"/>
    </row>
    <row r="102" spans="1:17" s="42" customFormat="1" x14ac:dyDescent="0.25">
      <c r="A102" s="166" t="s">
        <v>1157</v>
      </c>
      <c r="B102" s="147" t="s">
        <v>1223</v>
      </c>
      <c r="C102" s="28"/>
      <c r="D102" s="181"/>
      <c r="E102" s="28"/>
      <c r="F102" s="28"/>
      <c r="G102" s="28"/>
      <c r="H102" s="28"/>
      <c r="I102" s="28"/>
      <c r="J102" s="28"/>
      <c r="K102" s="60"/>
      <c r="L102" s="29"/>
      <c r="M102" s="29"/>
      <c r="N102" s="29"/>
      <c r="O102" s="29"/>
      <c r="P102" s="23"/>
      <c r="Q102" s="152"/>
    </row>
    <row r="103" spans="1:17" s="42" customFormat="1" x14ac:dyDescent="0.25">
      <c r="A103" s="167"/>
      <c r="B103" s="24" t="s">
        <v>111</v>
      </c>
      <c r="C103" s="31"/>
      <c r="D103" s="182"/>
      <c r="E103" s="31"/>
      <c r="F103" s="31"/>
      <c r="G103" s="31"/>
      <c r="H103" s="31"/>
      <c r="I103" s="31"/>
      <c r="J103" s="31"/>
      <c r="K103" s="58"/>
      <c r="L103" s="26"/>
      <c r="M103" s="26"/>
      <c r="N103" s="26"/>
      <c r="O103" s="26"/>
      <c r="P103" s="38"/>
      <c r="Q103" s="152"/>
    </row>
    <row r="104" spans="1:17" s="42" customFormat="1" ht="51" x14ac:dyDescent="0.25">
      <c r="A104" s="167"/>
      <c r="B104" s="24" t="s">
        <v>1224</v>
      </c>
      <c r="C104" s="31"/>
      <c r="D104" s="182"/>
      <c r="E104" s="31"/>
      <c r="F104" s="31"/>
      <c r="G104" s="31"/>
      <c r="H104" s="31"/>
      <c r="I104" s="31"/>
      <c r="J104" s="31"/>
      <c r="K104" s="58"/>
      <c r="L104" s="26"/>
      <c r="M104" s="26"/>
      <c r="N104" s="26"/>
      <c r="O104" s="26"/>
      <c r="P104" s="38"/>
      <c r="Q104" s="152"/>
    </row>
    <row r="105" spans="1:17" s="42" customFormat="1" ht="25.5" x14ac:dyDescent="0.25">
      <c r="A105" s="167"/>
      <c r="B105" s="141" t="s">
        <v>1156</v>
      </c>
      <c r="C105" s="31"/>
      <c r="D105" s="182"/>
      <c r="E105" s="31"/>
      <c r="F105" s="31"/>
      <c r="G105" s="31"/>
      <c r="H105" s="31"/>
      <c r="I105" s="31"/>
      <c r="J105" s="31"/>
      <c r="K105" s="58"/>
      <c r="L105" s="26"/>
      <c r="M105" s="26"/>
      <c r="N105" s="26"/>
      <c r="O105" s="26"/>
      <c r="P105" s="38"/>
      <c r="Q105" s="152"/>
    </row>
    <row r="106" spans="1:17" s="42" customFormat="1" ht="38.25" x14ac:dyDescent="0.25">
      <c r="A106" s="167"/>
      <c r="B106" s="141" t="s">
        <v>112</v>
      </c>
      <c r="C106" s="31"/>
      <c r="D106" s="182"/>
      <c r="E106" s="31"/>
      <c r="F106" s="31"/>
      <c r="G106" s="31"/>
      <c r="H106" s="31"/>
      <c r="I106" s="31"/>
      <c r="J106" s="31"/>
      <c r="K106" s="58"/>
      <c r="L106" s="26"/>
      <c r="M106" s="26"/>
      <c r="N106" s="26"/>
      <c r="O106" s="26"/>
      <c r="P106" s="38"/>
      <c r="Q106" s="152"/>
    </row>
    <row r="107" spans="1:17" s="42" customFormat="1" x14ac:dyDescent="0.25">
      <c r="A107" s="167"/>
      <c r="B107" s="17" t="s">
        <v>1225</v>
      </c>
      <c r="C107" s="31"/>
      <c r="D107" s="182"/>
      <c r="E107" s="31"/>
      <c r="F107" s="31"/>
      <c r="G107" s="31"/>
      <c r="H107" s="31"/>
      <c r="I107" s="31"/>
      <c r="J107" s="31"/>
      <c r="K107" s="58"/>
      <c r="L107" s="26"/>
      <c r="M107" s="26"/>
      <c r="N107" s="26"/>
      <c r="O107" s="26"/>
      <c r="P107" s="38"/>
      <c r="Q107" s="152"/>
    </row>
    <row r="108" spans="1:17" s="42" customFormat="1" ht="15.75" thickBot="1" x14ac:dyDescent="0.3">
      <c r="A108" s="167"/>
      <c r="B108" s="141" t="s">
        <v>50</v>
      </c>
      <c r="C108" s="31"/>
      <c r="D108" s="182"/>
      <c r="E108" s="31"/>
      <c r="F108" s="31"/>
      <c r="G108" s="31"/>
      <c r="H108" s="31"/>
      <c r="I108" s="31"/>
      <c r="J108" s="31"/>
      <c r="K108" s="58"/>
      <c r="L108" s="26"/>
      <c r="M108" s="26"/>
      <c r="N108" s="26"/>
      <c r="O108" s="26"/>
      <c r="P108" s="38"/>
      <c r="Q108" s="152"/>
    </row>
    <row r="109" spans="1:17" s="42" customFormat="1" ht="15.75" thickBot="1" x14ac:dyDescent="0.3">
      <c r="A109" s="166" t="s">
        <v>1227</v>
      </c>
      <c r="B109" s="137" t="s">
        <v>1226</v>
      </c>
      <c r="C109" s="135" t="s">
        <v>2</v>
      </c>
      <c r="D109" s="177">
        <v>2</v>
      </c>
      <c r="E109" s="36">
        <v>2</v>
      </c>
      <c r="F109" s="36">
        <v>4</v>
      </c>
      <c r="G109" s="36">
        <v>2</v>
      </c>
      <c r="H109" s="36">
        <v>2</v>
      </c>
      <c r="I109" s="36">
        <v>0</v>
      </c>
      <c r="J109" s="56">
        <v>0</v>
      </c>
      <c r="K109" s="62">
        <f>SUM(D109:J109)</f>
        <v>12</v>
      </c>
      <c r="L109" s="26">
        <v>0</v>
      </c>
      <c r="M109" s="26">
        <v>0</v>
      </c>
      <c r="N109" s="26">
        <f>L109+M109</f>
        <v>0</v>
      </c>
      <c r="O109" s="26"/>
      <c r="P109" s="22">
        <f>N109*K109</f>
        <v>0</v>
      </c>
      <c r="Q109" s="47"/>
    </row>
    <row r="110" spans="1:17" s="42" customFormat="1" ht="15.75" thickBot="1" x14ac:dyDescent="0.3">
      <c r="A110" s="166" t="s">
        <v>1229</v>
      </c>
      <c r="B110" s="137" t="s">
        <v>1221</v>
      </c>
      <c r="C110" s="135" t="s">
        <v>2</v>
      </c>
      <c r="D110" s="177">
        <v>0</v>
      </c>
      <c r="E110" s="36">
        <v>0</v>
      </c>
      <c r="F110" s="36">
        <v>4</v>
      </c>
      <c r="G110" s="36">
        <v>0</v>
      </c>
      <c r="H110" s="36">
        <v>2</v>
      </c>
      <c r="I110" s="36">
        <v>0</v>
      </c>
      <c r="J110" s="56">
        <v>0</v>
      </c>
      <c r="K110" s="62">
        <f>SUM(D110:J110)</f>
        <v>6</v>
      </c>
      <c r="L110" s="26">
        <v>0</v>
      </c>
      <c r="M110" s="26">
        <v>0</v>
      </c>
      <c r="N110" s="26">
        <f>L110+M110</f>
        <v>0</v>
      </c>
      <c r="O110" s="26"/>
      <c r="P110" s="22">
        <f>N110*K110</f>
        <v>0</v>
      </c>
      <c r="Q110" s="47"/>
    </row>
    <row r="111" spans="1:17" s="32" customFormat="1" ht="12.75" x14ac:dyDescent="0.2">
      <c r="A111" s="159"/>
      <c r="B111" s="31"/>
      <c r="C111" s="25"/>
      <c r="D111" s="174"/>
      <c r="E111" s="25"/>
      <c r="F111" s="25"/>
      <c r="G111" s="25"/>
      <c r="H111" s="25"/>
      <c r="I111" s="25"/>
      <c r="J111" s="25"/>
      <c r="K111" s="58"/>
      <c r="L111" s="26"/>
      <c r="M111" s="26"/>
      <c r="N111" s="26"/>
      <c r="O111" s="26"/>
      <c r="P111" s="22"/>
      <c r="Q111" s="37"/>
    </row>
    <row r="112" spans="1:17" s="129" customFormat="1" x14ac:dyDescent="0.25">
      <c r="A112" s="165" t="s">
        <v>1155</v>
      </c>
      <c r="B112" s="490" t="s">
        <v>110</v>
      </c>
      <c r="C112" s="491"/>
      <c r="D112" s="491"/>
      <c r="E112" s="491"/>
      <c r="F112" s="491"/>
      <c r="G112" s="491"/>
      <c r="H112" s="491"/>
      <c r="I112" s="491"/>
      <c r="J112" s="491"/>
      <c r="K112" s="491"/>
      <c r="L112" s="491"/>
      <c r="M112" s="492"/>
      <c r="N112" s="34" t="s">
        <v>0</v>
      </c>
      <c r="O112" s="34"/>
      <c r="P112" s="9">
        <f>SUM(P101:P111)</f>
        <v>0</v>
      </c>
      <c r="Q112" s="150"/>
    </row>
    <row r="113" spans="1:21" s="32" customFormat="1" ht="12.75" x14ac:dyDescent="0.2">
      <c r="A113" s="159"/>
      <c r="B113" s="31"/>
      <c r="C113" s="25"/>
      <c r="D113" s="174"/>
      <c r="E113" s="25"/>
      <c r="F113" s="25"/>
      <c r="G113" s="25"/>
      <c r="H113" s="25"/>
      <c r="I113" s="25"/>
      <c r="J113" s="25"/>
      <c r="K113" s="58"/>
      <c r="L113" s="26"/>
      <c r="M113" s="26"/>
      <c r="N113" s="26"/>
      <c r="O113" s="26"/>
      <c r="P113" s="35"/>
      <c r="Q113" s="37"/>
    </row>
    <row r="114" spans="1:21" s="42" customFormat="1" x14ac:dyDescent="0.25">
      <c r="A114" s="161" t="s">
        <v>1300</v>
      </c>
      <c r="B114" s="493" t="s">
        <v>1231</v>
      </c>
      <c r="C114" s="493"/>
      <c r="D114" s="493"/>
      <c r="E114" s="493"/>
      <c r="F114" s="493"/>
      <c r="G114" s="493"/>
      <c r="H114" s="493"/>
      <c r="I114" s="493"/>
      <c r="J114" s="493"/>
      <c r="K114" s="493"/>
      <c r="L114" s="493"/>
      <c r="M114" s="493"/>
      <c r="N114" s="493"/>
      <c r="O114" s="43"/>
      <c r="P114" s="33"/>
      <c r="Q114" s="47"/>
    </row>
    <row r="115" spans="1:21" s="32" customFormat="1" ht="12.75" x14ac:dyDescent="0.2">
      <c r="A115" s="159"/>
      <c r="B115" s="31"/>
      <c r="C115" s="25"/>
      <c r="D115" s="174"/>
      <c r="E115" s="25"/>
      <c r="F115" s="25"/>
      <c r="G115" s="25"/>
      <c r="H115" s="25"/>
      <c r="I115" s="25"/>
      <c r="J115" s="25"/>
      <c r="K115" s="58"/>
      <c r="L115" s="26"/>
      <c r="M115" s="26"/>
      <c r="N115" s="26"/>
      <c r="O115" s="26"/>
      <c r="P115" s="35"/>
      <c r="Q115" s="37"/>
    </row>
    <row r="116" spans="1:21" s="42" customFormat="1" x14ac:dyDescent="0.25">
      <c r="A116" s="166" t="s">
        <v>1301</v>
      </c>
      <c r="B116" s="147" t="s">
        <v>1302</v>
      </c>
      <c r="C116" s="28"/>
      <c r="D116" s="181"/>
      <c r="E116" s="28"/>
      <c r="F116" s="28"/>
      <c r="G116" s="28"/>
      <c r="H116" s="28"/>
      <c r="I116" s="28"/>
      <c r="J116" s="28"/>
      <c r="K116" s="60"/>
      <c r="L116" s="29"/>
      <c r="M116" s="29"/>
      <c r="N116" s="29"/>
      <c r="O116" s="29"/>
      <c r="P116" s="23"/>
      <c r="Q116" s="152"/>
    </row>
    <row r="117" spans="1:21" s="32" customFormat="1" ht="102.75" thickBot="1" x14ac:dyDescent="0.25">
      <c r="A117" s="159"/>
      <c r="B117" s="24" t="s">
        <v>1303</v>
      </c>
      <c r="C117" s="25"/>
      <c r="D117" s="174"/>
      <c r="E117" s="25"/>
      <c r="F117" s="25"/>
      <c r="G117" s="25"/>
      <c r="H117" s="25"/>
      <c r="I117" s="25"/>
      <c r="J117" s="25"/>
      <c r="K117" s="58"/>
      <c r="L117" s="26"/>
      <c r="M117" s="26"/>
      <c r="N117" s="26"/>
      <c r="O117" s="26"/>
      <c r="P117" s="35"/>
      <c r="Q117" s="37"/>
    </row>
    <row r="118" spans="1:21" s="42" customFormat="1" ht="15.75" thickBot="1" x14ac:dyDescent="0.3">
      <c r="A118" s="166"/>
      <c r="B118" s="137" t="s">
        <v>3</v>
      </c>
      <c r="C118" s="135" t="s">
        <v>2</v>
      </c>
      <c r="D118" s="177">
        <f t="shared" ref="D118:I118" si="7">D$4*0</f>
        <v>0</v>
      </c>
      <c r="E118" s="36">
        <f t="shared" si="7"/>
        <v>0</v>
      </c>
      <c r="F118" s="36">
        <f t="shared" si="7"/>
        <v>0</v>
      </c>
      <c r="G118" s="36">
        <f t="shared" si="7"/>
        <v>0</v>
      </c>
      <c r="H118" s="36">
        <f t="shared" si="7"/>
        <v>0</v>
      </c>
      <c r="I118" s="36">
        <f t="shared" si="7"/>
        <v>0</v>
      </c>
      <c r="J118" s="56">
        <f>J$4*1</f>
        <v>1</v>
      </c>
      <c r="K118" s="62">
        <f>SUM(D118:J118)</f>
        <v>1</v>
      </c>
      <c r="L118" s="26">
        <v>0</v>
      </c>
      <c r="M118" s="26">
        <v>0</v>
      </c>
      <c r="N118" s="26">
        <f>L118+M118</f>
        <v>0</v>
      </c>
      <c r="O118" s="26"/>
      <c r="P118" s="22">
        <f>N118*K118</f>
        <v>0</v>
      </c>
      <c r="Q118" s="47"/>
    </row>
    <row r="119" spans="1:21" s="32" customFormat="1" ht="12.75" x14ac:dyDescent="0.2">
      <c r="A119" s="159"/>
      <c r="B119" s="31"/>
      <c r="C119" s="25"/>
      <c r="D119" s="174"/>
      <c r="E119" s="25"/>
      <c r="F119" s="25"/>
      <c r="G119" s="25"/>
      <c r="H119" s="25"/>
      <c r="I119" s="25"/>
      <c r="J119" s="25"/>
      <c r="K119" s="58"/>
      <c r="L119" s="26"/>
      <c r="M119" s="26"/>
      <c r="N119" s="26"/>
      <c r="O119" s="26"/>
      <c r="P119" s="35"/>
      <c r="Q119" s="37"/>
    </row>
    <row r="120" spans="1:21" s="129" customFormat="1" x14ac:dyDescent="0.25">
      <c r="A120" s="165" t="s">
        <v>1232</v>
      </c>
      <c r="B120" s="490" t="s">
        <v>1231</v>
      </c>
      <c r="C120" s="491"/>
      <c r="D120" s="491"/>
      <c r="E120" s="491"/>
      <c r="F120" s="491"/>
      <c r="G120" s="491"/>
      <c r="H120" s="491"/>
      <c r="I120" s="491"/>
      <c r="J120" s="491"/>
      <c r="K120" s="491"/>
      <c r="L120" s="491"/>
      <c r="M120" s="492"/>
      <c r="N120" s="34" t="s">
        <v>0</v>
      </c>
      <c r="O120" s="34"/>
      <c r="P120" s="9">
        <f>SUM(P115:P119)</f>
        <v>0</v>
      </c>
      <c r="Q120" s="150"/>
    </row>
    <row r="121" spans="1:21" s="32" customFormat="1" ht="12.75" x14ac:dyDescent="0.2">
      <c r="A121" s="159"/>
      <c r="B121" s="31"/>
      <c r="C121" s="25"/>
      <c r="D121" s="174"/>
      <c r="E121" s="25"/>
      <c r="F121" s="25"/>
      <c r="G121" s="25"/>
      <c r="H121" s="25"/>
      <c r="I121" s="25"/>
      <c r="J121" s="25"/>
      <c r="K121" s="58"/>
      <c r="L121" s="26"/>
      <c r="M121" s="26"/>
      <c r="N121" s="26"/>
      <c r="O121" s="26"/>
      <c r="P121" s="35"/>
      <c r="Q121" s="37"/>
    </row>
    <row r="122" spans="1:21" s="32" customFormat="1" ht="12.75" x14ac:dyDescent="0.2">
      <c r="A122" s="159"/>
      <c r="B122" s="31"/>
      <c r="C122" s="25"/>
      <c r="D122" s="174"/>
      <c r="E122" s="25"/>
      <c r="F122" s="25"/>
      <c r="G122" s="25"/>
      <c r="H122" s="25"/>
      <c r="I122" s="25"/>
      <c r="J122" s="25"/>
      <c r="K122" s="58"/>
      <c r="L122" s="26"/>
      <c r="M122" s="26"/>
      <c r="N122" s="26"/>
      <c r="O122" s="26"/>
      <c r="P122" s="35"/>
      <c r="Q122" s="37"/>
    </row>
    <row r="123" spans="1:21" s="132" customFormat="1" ht="15.75" x14ac:dyDescent="0.25">
      <c r="A123" s="160" t="s">
        <v>1044</v>
      </c>
      <c r="B123" s="130" t="s">
        <v>116</v>
      </c>
      <c r="C123" s="49"/>
      <c r="D123" s="180"/>
      <c r="E123" s="49"/>
      <c r="F123" s="49"/>
      <c r="G123" s="49"/>
      <c r="H123" s="49"/>
      <c r="I123" s="49"/>
      <c r="J123" s="49"/>
      <c r="K123" s="131"/>
      <c r="L123" s="49"/>
      <c r="M123" s="49"/>
      <c r="N123" s="476" t="s">
        <v>57</v>
      </c>
      <c r="O123" s="476"/>
      <c r="P123" s="50">
        <f>SUM(P120,P112,P98)</f>
        <v>0</v>
      </c>
      <c r="Q123" s="151"/>
    </row>
    <row r="125" spans="1:21" s="132" customFormat="1" ht="15.75" x14ac:dyDescent="0.25">
      <c r="A125" s="160" t="s">
        <v>1044</v>
      </c>
      <c r="B125" s="130" t="s">
        <v>1325</v>
      </c>
      <c r="C125" s="49"/>
      <c r="D125" s="49"/>
      <c r="E125" s="49"/>
      <c r="F125" s="49"/>
      <c r="G125" s="49"/>
      <c r="H125" s="49"/>
      <c r="I125" s="49"/>
      <c r="J125" s="49"/>
      <c r="K125" s="49"/>
      <c r="L125" s="49"/>
      <c r="M125" s="49"/>
      <c r="N125" s="49"/>
      <c r="O125" s="131"/>
      <c r="P125" s="49"/>
      <c r="Q125" s="49"/>
      <c r="R125" s="476" t="s">
        <v>57</v>
      </c>
      <c r="S125" s="476"/>
      <c r="T125" s="50">
        <f>P123*6</f>
        <v>0</v>
      </c>
      <c r="U125" s="151"/>
    </row>
    <row r="127" spans="1:21" s="132" customFormat="1" ht="15.75" x14ac:dyDescent="0.25">
      <c r="A127" s="160"/>
      <c r="B127" s="130" t="s">
        <v>1308</v>
      </c>
      <c r="C127" s="49"/>
      <c r="D127" s="49"/>
      <c r="E127" s="49"/>
      <c r="F127" s="49"/>
      <c r="G127" s="49"/>
      <c r="H127" s="49"/>
      <c r="I127" s="49"/>
      <c r="J127" s="49"/>
      <c r="K127" s="49"/>
      <c r="L127" s="49"/>
      <c r="M127" s="49"/>
      <c r="N127" s="49"/>
      <c r="O127" s="131"/>
      <c r="P127" s="49"/>
      <c r="Q127" s="49"/>
      <c r="R127" s="476"/>
      <c r="S127" s="476"/>
      <c r="T127" s="50">
        <f>SUM(T125,T68)</f>
        <v>0</v>
      </c>
      <c r="U127" s="151"/>
    </row>
  </sheetData>
  <mergeCells count="21">
    <mergeCell ref="B66:Q66"/>
    <mergeCell ref="B2:R3"/>
    <mergeCell ref="B5:T5"/>
    <mergeCell ref="D7:N7"/>
    <mergeCell ref="D8:N8"/>
    <mergeCell ref="B21:R21"/>
    <mergeCell ref="B49:Q49"/>
    <mergeCell ref="B51:R51"/>
    <mergeCell ref="B64:Q64"/>
    <mergeCell ref="B114:N114"/>
    <mergeCell ref="B120:M120"/>
    <mergeCell ref="R68:S68"/>
    <mergeCell ref="R125:S125"/>
    <mergeCell ref="R127:S127"/>
    <mergeCell ref="N123:O123"/>
    <mergeCell ref="D70:J70"/>
    <mergeCell ref="D71:J71"/>
    <mergeCell ref="B80:N80"/>
    <mergeCell ref="B98:M98"/>
    <mergeCell ref="B100:N100"/>
    <mergeCell ref="B112:M112"/>
  </mergeCells>
  <conditionalFormatting sqref="P74">
    <cfRule type="cellIs" dxfId="38" priority="11" stopIfTrue="1" operator="greaterThan">
      <formula>0</formula>
    </cfRule>
  </conditionalFormatting>
  <conditionalFormatting sqref="P78:P79 P119:P123">
    <cfRule type="cellIs" dxfId="37" priority="3" stopIfTrue="1" operator="greaterThan">
      <formula>0</formula>
    </cfRule>
  </conditionalFormatting>
  <conditionalFormatting sqref="P97:P99">
    <cfRule type="cellIs" dxfId="36" priority="1" stopIfTrue="1" operator="greaterThan">
      <formula>0</formula>
    </cfRule>
  </conditionalFormatting>
  <conditionalFormatting sqref="P112:P113 P115 P117">
    <cfRule type="cellIs" dxfId="35" priority="2" stopIfTrue="1" operator="greaterThan">
      <formula>0</formula>
    </cfRule>
  </conditionalFormatting>
  <conditionalFormatting sqref="T11">
    <cfRule type="cellIs" dxfId="34" priority="14" stopIfTrue="1" operator="greaterThan">
      <formula>0</formula>
    </cfRule>
  </conditionalFormatting>
  <conditionalFormatting sqref="T14:T15">
    <cfRule type="cellIs" dxfId="33" priority="13" stopIfTrue="1" operator="greaterThan">
      <formula>0</formula>
    </cfRule>
  </conditionalFormatting>
  <conditionalFormatting sqref="T19:T20 T64">
    <cfRule type="cellIs" dxfId="32" priority="5" stopIfTrue="1" operator="greaterThan">
      <formula>0</formula>
    </cfRule>
  </conditionalFormatting>
  <conditionalFormatting sqref="T49:T50">
    <cfRule type="cellIs" dxfId="31" priority="4" stopIfTrue="1" operator="greaterThan">
      <formula>0</formula>
    </cfRule>
  </conditionalFormatting>
  <conditionalFormatting sqref="T66">
    <cfRule type="cellIs" dxfId="30" priority="12" stopIfTrue="1" operator="greaterThan">
      <formula>0</formula>
    </cfRule>
  </conditionalFormatting>
  <conditionalFormatting sqref="T68">
    <cfRule type="cellIs" dxfId="29" priority="8" stopIfTrue="1" operator="greaterThan">
      <formula>0</formula>
    </cfRule>
  </conditionalFormatting>
  <conditionalFormatting sqref="T125">
    <cfRule type="cellIs" dxfId="28" priority="7" stopIfTrue="1" operator="greaterThan">
      <formula>0</formula>
    </cfRule>
  </conditionalFormatting>
  <conditionalFormatting sqref="T127">
    <cfRule type="cellIs" dxfId="27" priority="6" stopIfTrue="1"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8682F-93A8-4C90-8B6A-8ACECE420542}">
  <sheetPr>
    <tabColor theme="2" tint="-9.9978637043366805E-2"/>
  </sheetPr>
  <dimension ref="A1:S90"/>
  <sheetViews>
    <sheetView topLeftCell="A6" workbookViewId="0">
      <selection activeCell="M14" sqref="M14"/>
    </sheetView>
  </sheetViews>
  <sheetFormatPr defaultColWidth="9.140625" defaultRowHeight="15" x14ac:dyDescent="0.25"/>
  <cols>
    <col min="1" max="1" width="12.7109375" style="157" customWidth="1"/>
    <col min="2" max="2" width="50.7109375" style="42" customWidth="1"/>
    <col min="3" max="3" width="9.85546875" style="42" customWidth="1"/>
    <col min="4" max="4" width="12.42578125" style="179" customWidth="1"/>
    <col min="5" max="8" width="12.42578125" style="42" customWidth="1"/>
    <col min="9" max="9" width="12.42578125" style="179" customWidth="1"/>
    <col min="10" max="14" width="12.42578125" style="42" customWidth="1"/>
    <col min="15" max="15" width="11" style="128" customWidth="1"/>
    <col min="16" max="17" width="10.7109375" style="42" customWidth="1"/>
    <col min="18" max="18" width="15.7109375" style="42" customWidth="1"/>
    <col min="19" max="19" width="9.140625" style="152"/>
    <col min="20" max="20" width="9.140625" style="42"/>
    <col min="21" max="21" width="56.5703125" style="42" customWidth="1"/>
    <col min="22" max="16384" width="9.140625" style="42"/>
  </cols>
  <sheetData>
    <row r="1" spans="1:19" x14ac:dyDescent="0.25">
      <c r="B1" s="112" t="s">
        <v>1198</v>
      </c>
      <c r="C1" s="44"/>
      <c r="D1" s="342"/>
      <c r="E1" s="53"/>
      <c r="F1" s="53"/>
      <c r="G1" s="53"/>
      <c r="H1" s="53"/>
      <c r="I1" s="342"/>
      <c r="J1" s="53"/>
      <c r="K1" s="53"/>
      <c r="L1" s="53"/>
      <c r="M1" s="53"/>
      <c r="N1" s="53"/>
      <c r="O1" s="113"/>
      <c r="P1" s="44"/>
      <c r="Q1" s="44"/>
      <c r="R1" s="44"/>
      <c r="S1" s="47"/>
    </row>
    <row r="2" spans="1:19" ht="15" customHeight="1" x14ac:dyDescent="0.25">
      <c r="B2" s="480" t="s">
        <v>11</v>
      </c>
      <c r="C2" s="481"/>
      <c r="D2" s="481"/>
      <c r="E2" s="481"/>
      <c r="F2" s="481"/>
      <c r="G2" s="481"/>
      <c r="H2" s="481"/>
      <c r="I2" s="481"/>
      <c r="J2" s="481"/>
      <c r="K2" s="481"/>
      <c r="L2" s="481"/>
      <c r="M2" s="481"/>
      <c r="N2" s="481"/>
      <c r="O2" s="481"/>
      <c r="P2" s="482"/>
      <c r="Q2" s="7" t="s">
        <v>10</v>
      </c>
      <c r="R2" s="133">
        <v>0</v>
      </c>
      <c r="S2" s="47"/>
    </row>
    <row r="3" spans="1:19" x14ac:dyDescent="0.25">
      <c r="B3" s="483"/>
      <c r="C3" s="484"/>
      <c r="D3" s="484"/>
      <c r="E3" s="484"/>
      <c r="F3" s="484"/>
      <c r="G3" s="484"/>
      <c r="H3" s="484"/>
      <c r="I3" s="484"/>
      <c r="J3" s="484"/>
      <c r="K3" s="484"/>
      <c r="L3" s="484"/>
      <c r="M3" s="484"/>
      <c r="N3" s="484"/>
      <c r="O3" s="484"/>
      <c r="P3" s="485"/>
      <c r="Q3" s="7" t="s">
        <v>9</v>
      </c>
      <c r="R3" s="134" t="s">
        <v>1453</v>
      </c>
      <c r="S3" s="47"/>
    </row>
    <row r="4" spans="1:19" ht="15.75" thickBot="1" x14ac:dyDescent="0.3">
      <c r="B4" s="44"/>
      <c r="C4" s="44"/>
      <c r="D4" s="172"/>
      <c r="E4" s="44"/>
      <c r="F4" s="44"/>
      <c r="G4" s="44"/>
      <c r="H4" s="44"/>
      <c r="I4" s="172"/>
      <c r="J4" s="44"/>
      <c r="K4" s="44"/>
      <c r="L4" s="44"/>
      <c r="M4" s="44"/>
      <c r="N4" s="44"/>
      <c r="O4" s="118"/>
      <c r="P4" s="44"/>
      <c r="Q4" s="44"/>
      <c r="R4" s="44"/>
      <c r="S4" s="47"/>
    </row>
    <row r="5" spans="1:19" ht="50.1" customHeight="1" thickBot="1" x14ac:dyDescent="0.3">
      <c r="A5" s="119" t="s">
        <v>8</v>
      </c>
      <c r="B5" s="119" t="s">
        <v>7</v>
      </c>
      <c r="C5" s="120" t="s">
        <v>6</v>
      </c>
      <c r="D5" s="487"/>
      <c r="E5" s="487"/>
      <c r="F5" s="487"/>
      <c r="G5" s="487"/>
      <c r="H5" s="487"/>
      <c r="I5" s="487"/>
      <c r="J5" s="487"/>
      <c r="K5" s="487"/>
      <c r="L5" s="487"/>
      <c r="M5" s="487"/>
      <c r="N5" s="487"/>
      <c r="O5" s="121" t="s">
        <v>54</v>
      </c>
      <c r="P5" s="121" t="s">
        <v>1004</v>
      </c>
      <c r="Q5" s="121"/>
      <c r="R5" s="119" t="s">
        <v>1005</v>
      </c>
      <c r="S5" s="47"/>
    </row>
    <row r="6" spans="1:19" ht="50.1" customHeight="1" thickBot="1" x14ac:dyDescent="0.3">
      <c r="A6" s="123"/>
      <c r="B6" s="123"/>
      <c r="C6" s="124"/>
      <c r="D6" s="494" t="s">
        <v>1002</v>
      </c>
      <c r="E6" s="487"/>
      <c r="F6" s="487"/>
      <c r="G6" s="487"/>
      <c r="H6" s="495"/>
      <c r="I6" s="494" t="s">
        <v>1283</v>
      </c>
      <c r="J6" s="487"/>
      <c r="K6" s="487"/>
      <c r="L6" s="487"/>
      <c r="M6" s="487"/>
      <c r="N6" s="487"/>
      <c r="O6" s="125"/>
      <c r="P6" s="124"/>
      <c r="Q6" s="124"/>
      <c r="R6" s="123"/>
      <c r="S6" s="47"/>
    </row>
    <row r="7" spans="1:19" ht="62.25" customHeight="1" x14ac:dyDescent="0.25">
      <c r="A7" s="123"/>
      <c r="B7" s="123"/>
      <c r="C7" s="124"/>
      <c r="D7" s="173" t="s">
        <v>1454</v>
      </c>
      <c r="E7" s="127" t="s">
        <v>1455</v>
      </c>
      <c r="F7" s="46" t="s">
        <v>1456</v>
      </c>
      <c r="G7" s="46" t="s">
        <v>1457</v>
      </c>
      <c r="H7" s="46" t="s">
        <v>1458</v>
      </c>
      <c r="I7" s="173" t="s">
        <v>1459</v>
      </c>
      <c r="J7" s="127" t="s">
        <v>1460</v>
      </c>
      <c r="K7" s="46" t="s">
        <v>1461</v>
      </c>
      <c r="L7" s="46" t="s">
        <v>1462</v>
      </c>
      <c r="M7" s="46" t="s">
        <v>1463</v>
      </c>
      <c r="N7" s="46" t="s">
        <v>1464</v>
      </c>
      <c r="O7" s="125"/>
      <c r="P7" s="124"/>
      <c r="Q7" s="124"/>
      <c r="R7" s="123"/>
      <c r="S7" s="47"/>
    </row>
    <row r="8" spans="1:19" s="32" customFormat="1" ht="12.75" x14ac:dyDescent="0.2">
      <c r="A8" s="159"/>
      <c r="B8" s="30"/>
      <c r="C8" s="25"/>
      <c r="D8" s="174"/>
      <c r="E8" s="25"/>
      <c r="F8" s="25"/>
      <c r="G8" s="25"/>
      <c r="H8" s="25"/>
      <c r="I8" s="174"/>
      <c r="J8" s="25"/>
      <c r="K8" s="25"/>
      <c r="L8" s="25"/>
      <c r="M8" s="25"/>
      <c r="N8" s="25"/>
      <c r="O8" s="58"/>
      <c r="P8" s="26"/>
      <c r="Q8" s="26"/>
      <c r="R8" s="22"/>
      <c r="S8" s="37"/>
    </row>
    <row r="9" spans="1:19" s="32" customFormat="1" ht="12.75" x14ac:dyDescent="0.2">
      <c r="A9" s="159"/>
      <c r="B9" s="31"/>
      <c r="C9" s="25"/>
      <c r="D9" s="174"/>
      <c r="E9" s="25"/>
      <c r="F9" s="25"/>
      <c r="G9" s="25"/>
      <c r="H9" s="25"/>
      <c r="I9" s="174"/>
      <c r="J9" s="25"/>
      <c r="K9" s="25"/>
      <c r="L9" s="25"/>
      <c r="M9" s="25"/>
      <c r="N9" s="25"/>
      <c r="O9" s="58"/>
      <c r="P9" s="26"/>
      <c r="Q9" s="26"/>
      <c r="R9" s="35"/>
      <c r="S9" s="37"/>
    </row>
    <row r="10" spans="1:19" s="117" customFormat="1" ht="15.75" x14ac:dyDescent="0.25">
      <c r="A10" s="160" t="s">
        <v>53</v>
      </c>
      <c r="B10" s="39" t="s">
        <v>1465</v>
      </c>
      <c r="C10" s="40"/>
      <c r="D10" s="175"/>
      <c r="E10" s="40"/>
      <c r="F10" s="40"/>
      <c r="G10" s="40"/>
      <c r="H10" s="40"/>
      <c r="I10" s="175"/>
      <c r="J10" s="40"/>
      <c r="K10" s="40"/>
      <c r="L10" s="40"/>
      <c r="M10" s="40"/>
      <c r="N10" s="40"/>
      <c r="O10" s="59"/>
      <c r="P10" s="40"/>
      <c r="Q10" s="40"/>
      <c r="R10" s="41"/>
      <c r="S10" s="149"/>
    </row>
    <row r="11" spans="1:19" s="117" customFormat="1" ht="51" x14ac:dyDescent="0.25">
      <c r="A11" s="343"/>
      <c r="B11" s="344" t="s">
        <v>1466</v>
      </c>
      <c r="C11" s="345"/>
      <c r="D11" s="346"/>
      <c r="E11" s="345"/>
      <c r="F11" s="345"/>
      <c r="G11" s="345"/>
      <c r="H11" s="345"/>
      <c r="I11" s="346"/>
      <c r="J11" s="345"/>
      <c r="K11" s="345"/>
      <c r="L11" s="345"/>
      <c r="M11" s="345"/>
      <c r="N11" s="345"/>
      <c r="O11" s="347"/>
      <c r="P11" s="345"/>
      <c r="Q11" s="345"/>
      <c r="R11" s="345"/>
      <c r="S11" s="149"/>
    </row>
    <row r="12" spans="1:19" s="32" customFormat="1" ht="12.75" x14ac:dyDescent="0.2">
      <c r="A12" s="159"/>
      <c r="B12" s="31"/>
      <c r="C12" s="25"/>
      <c r="D12" s="174"/>
      <c r="E12" s="25"/>
      <c r="F12" s="25"/>
      <c r="G12" s="25"/>
      <c r="H12" s="25"/>
      <c r="I12" s="174"/>
      <c r="J12" s="25"/>
      <c r="K12" s="25"/>
      <c r="L12" s="25"/>
      <c r="M12" s="25"/>
      <c r="N12" s="25"/>
      <c r="O12" s="58"/>
      <c r="P12" s="26"/>
      <c r="Q12" s="26"/>
      <c r="R12" s="35"/>
      <c r="S12" s="37"/>
    </row>
    <row r="13" spans="1:19" s="32" customFormat="1" ht="13.5" thickBot="1" x14ac:dyDescent="0.25">
      <c r="A13" s="162" t="s">
        <v>1467</v>
      </c>
      <c r="B13" s="28" t="s">
        <v>1468</v>
      </c>
      <c r="C13" s="135"/>
      <c r="D13" s="176"/>
      <c r="E13" s="135"/>
      <c r="F13" s="135"/>
      <c r="G13" s="135"/>
      <c r="H13" s="348"/>
      <c r="I13" s="176"/>
      <c r="J13" s="135"/>
      <c r="K13" s="135"/>
      <c r="L13" s="135"/>
      <c r="M13" s="135"/>
      <c r="N13" s="348"/>
      <c r="O13" s="60"/>
      <c r="P13" s="29"/>
      <c r="Q13" s="29"/>
      <c r="R13" s="136"/>
      <c r="S13" s="37"/>
    </row>
    <row r="14" spans="1:19" s="32" customFormat="1" ht="262.5" customHeight="1" x14ac:dyDescent="0.2">
      <c r="A14" s="163"/>
      <c r="B14" s="349" t="s">
        <v>1469</v>
      </c>
      <c r="C14" s="350" t="s">
        <v>1470</v>
      </c>
      <c r="D14" s="178">
        <v>5</v>
      </c>
      <c r="E14" s="26">
        <v>0</v>
      </c>
      <c r="F14" s="26">
        <v>0</v>
      </c>
      <c r="G14" s="26">
        <v>0</v>
      </c>
      <c r="H14" s="351">
        <v>2</v>
      </c>
      <c r="I14" s="178">
        <v>0</v>
      </c>
      <c r="J14" s="26">
        <v>5</v>
      </c>
      <c r="K14" s="26">
        <v>6</v>
      </c>
      <c r="L14" s="26">
        <v>5</v>
      </c>
      <c r="M14" s="26">
        <v>2</v>
      </c>
      <c r="N14" s="351">
        <v>0</v>
      </c>
      <c r="O14" s="352">
        <f>SUM(D14:N14)</f>
        <v>25</v>
      </c>
      <c r="P14" s="26"/>
      <c r="Q14" s="26"/>
      <c r="R14" s="353">
        <f>P14*O14</f>
        <v>0</v>
      </c>
      <c r="S14" s="37"/>
    </row>
    <row r="15" spans="1:19" s="32" customFormat="1" ht="12.75" x14ac:dyDescent="0.2">
      <c r="A15" s="163"/>
      <c r="B15" s="31"/>
      <c r="C15" s="25"/>
      <c r="D15" s="178"/>
      <c r="E15" s="26"/>
      <c r="F15" s="26"/>
      <c r="G15" s="26"/>
      <c r="H15" s="26"/>
      <c r="I15" s="178"/>
      <c r="J15" s="26"/>
      <c r="K15" s="26"/>
      <c r="L15" s="26"/>
      <c r="M15" s="26"/>
      <c r="N15" s="26"/>
      <c r="O15" s="58"/>
      <c r="P15" s="26"/>
      <c r="Q15" s="26"/>
      <c r="R15" s="22"/>
      <c r="S15" s="37"/>
    </row>
    <row r="16" spans="1:19" s="32" customFormat="1" ht="13.5" thickBot="1" x14ac:dyDescent="0.25">
      <c r="A16" s="162" t="s">
        <v>1471</v>
      </c>
      <c r="B16" s="28" t="s">
        <v>1472</v>
      </c>
      <c r="C16" s="135"/>
      <c r="D16" s="176"/>
      <c r="E16" s="135"/>
      <c r="F16" s="135"/>
      <c r="G16" s="135"/>
      <c r="H16" s="135"/>
      <c r="I16" s="176"/>
      <c r="J16" s="135"/>
      <c r="K16" s="135"/>
      <c r="L16" s="135"/>
      <c r="M16" s="135"/>
      <c r="N16" s="135"/>
      <c r="O16" s="60"/>
      <c r="P16" s="29"/>
      <c r="Q16" s="29"/>
      <c r="R16" s="136"/>
      <c r="S16" s="37"/>
    </row>
    <row r="17" spans="1:19" s="32" customFormat="1" ht="78.75" customHeight="1" x14ac:dyDescent="0.2">
      <c r="A17" s="163"/>
      <c r="B17" s="349" t="s">
        <v>1473</v>
      </c>
      <c r="C17" s="350" t="s">
        <v>1470</v>
      </c>
      <c r="D17" s="178">
        <v>0</v>
      </c>
      <c r="E17" s="26">
        <v>2</v>
      </c>
      <c r="F17" s="26">
        <v>0</v>
      </c>
      <c r="G17" s="26">
        <v>0</v>
      </c>
      <c r="H17" s="351">
        <v>0</v>
      </c>
      <c r="I17" s="178">
        <v>0</v>
      </c>
      <c r="J17" s="26">
        <v>0</v>
      </c>
      <c r="K17" s="26">
        <v>0</v>
      </c>
      <c r="L17" s="26">
        <v>0</v>
      </c>
      <c r="M17" s="26">
        <v>0</v>
      </c>
      <c r="N17" s="351">
        <v>0</v>
      </c>
      <c r="O17" s="352">
        <f>SUM(D17:N17)</f>
        <v>2</v>
      </c>
      <c r="P17" s="26"/>
      <c r="Q17" s="26"/>
      <c r="R17" s="353">
        <f>P17*O17</f>
        <v>0</v>
      </c>
      <c r="S17" s="37"/>
    </row>
    <row r="18" spans="1:19" s="32" customFormat="1" ht="12.75" x14ac:dyDescent="0.2">
      <c r="A18" s="163"/>
      <c r="B18" s="354"/>
      <c r="C18" s="25"/>
      <c r="D18" s="178"/>
      <c r="E18" s="26"/>
      <c r="F18" s="26"/>
      <c r="G18" s="26"/>
      <c r="H18" s="26"/>
      <c r="I18" s="178"/>
      <c r="J18" s="26"/>
      <c r="K18" s="26"/>
      <c r="L18" s="26"/>
      <c r="M18" s="26"/>
      <c r="N18" s="26"/>
      <c r="O18" s="58"/>
      <c r="P18" s="26"/>
      <c r="Q18" s="26"/>
      <c r="R18" s="22"/>
      <c r="S18" s="37"/>
    </row>
    <row r="19" spans="1:19" s="32" customFormat="1" ht="13.5" thickBot="1" x14ac:dyDescent="0.25">
      <c r="A19" s="162" t="s">
        <v>1474</v>
      </c>
      <c r="B19" s="28" t="s">
        <v>1475</v>
      </c>
      <c r="C19" s="135"/>
      <c r="D19" s="176"/>
      <c r="E19" s="135"/>
      <c r="F19" s="135"/>
      <c r="G19" s="135"/>
      <c r="H19" s="135"/>
      <c r="I19" s="176"/>
      <c r="J19" s="135"/>
      <c r="K19" s="135"/>
      <c r="L19" s="135"/>
      <c r="M19" s="135"/>
      <c r="N19" s="135"/>
      <c r="O19" s="60"/>
      <c r="P19" s="29"/>
      <c r="Q19" s="29"/>
      <c r="R19" s="136"/>
      <c r="S19" s="37"/>
    </row>
    <row r="20" spans="1:19" s="32" customFormat="1" ht="198.75" customHeight="1" x14ac:dyDescent="0.2">
      <c r="A20" s="163"/>
      <c r="B20" s="349" t="s">
        <v>1476</v>
      </c>
      <c r="C20" s="350" t="s">
        <v>1477</v>
      </c>
      <c r="D20" s="178">
        <v>27</v>
      </c>
      <c r="E20" s="26">
        <v>29</v>
      </c>
      <c r="F20" s="26">
        <v>33</v>
      </c>
      <c r="G20" s="26">
        <v>30</v>
      </c>
      <c r="H20" s="351">
        <v>38</v>
      </c>
      <c r="I20" s="178">
        <v>30</v>
      </c>
      <c r="J20" s="26">
        <v>30</v>
      </c>
      <c r="K20" s="26">
        <v>30</v>
      </c>
      <c r="L20" s="26">
        <v>30</v>
      </c>
      <c r="M20" s="26">
        <v>30</v>
      </c>
      <c r="N20" s="351">
        <v>30</v>
      </c>
      <c r="O20" s="352">
        <f>SUM(D20:N20)</f>
        <v>337</v>
      </c>
      <c r="P20" s="26"/>
      <c r="Q20" s="26"/>
      <c r="R20" s="353">
        <f>P20*O20</f>
        <v>0</v>
      </c>
      <c r="S20" s="37"/>
    </row>
    <row r="21" spans="1:19" s="32" customFormat="1" ht="12.75" x14ac:dyDescent="0.2">
      <c r="A21" s="163"/>
      <c r="B21" s="354"/>
      <c r="C21" s="25"/>
      <c r="D21" s="178"/>
      <c r="E21" s="26"/>
      <c r="F21" s="26"/>
      <c r="G21" s="26"/>
      <c r="H21" s="26"/>
      <c r="I21" s="178"/>
      <c r="J21" s="26"/>
      <c r="K21" s="26"/>
      <c r="L21" s="26"/>
      <c r="M21" s="26"/>
      <c r="N21" s="26"/>
      <c r="O21" s="58"/>
      <c r="P21" s="26"/>
      <c r="Q21" s="26"/>
      <c r="R21" s="22"/>
      <c r="S21" s="37"/>
    </row>
    <row r="22" spans="1:19" s="32" customFormat="1" ht="13.5" thickBot="1" x14ac:dyDescent="0.25">
      <c r="A22" s="162" t="s">
        <v>1478</v>
      </c>
      <c r="B22" s="28" t="s">
        <v>1479</v>
      </c>
      <c r="C22" s="135"/>
      <c r="D22" s="176"/>
      <c r="E22" s="135"/>
      <c r="F22" s="135"/>
      <c r="G22" s="135"/>
      <c r="H22" s="135"/>
      <c r="I22" s="176"/>
      <c r="J22" s="135"/>
      <c r="K22" s="135"/>
      <c r="L22" s="135"/>
      <c r="M22" s="135"/>
      <c r="N22" s="135"/>
      <c r="O22" s="60"/>
      <c r="P22" s="29"/>
      <c r="Q22" s="29"/>
      <c r="R22" s="136"/>
      <c r="S22" s="37"/>
    </row>
    <row r="23" spans="1:19" s="32" customFormat="1" ht="114.75" x14ac:dyDescent="0.2">
      <c r="A23" s="163"/>
      <c r="B23" s="354" t="s">
        <v>1480</v>
      </c>
      <c r="C23" s="350" t="s">
        <v>1470</v>
      </c>
      <c r="D23" s="178">
        <v>10</v>
      </c>
      <c r="E23" s="26">
        <v>10</v>
      </c>
      <c r="F23" s="26">
        <v>10</v>
      </c>
      <c r="G23" s="26">
        <v>10</v>
      </c>
      <c r="H23" s="26">
        <v>10</v>
      </c>
      <c r="I23" s="178">
        <v>8</v>
      </c>
      <c r="J23" s="26">
        <v>8</v>
      </c>
      <c r="K23" s="26">
        <v>8</v>
      </c>
      <c r="L23" s="26">
        <v>8</v>
      </c>
      <c r="M23" s="26">
        <v>8</v>
      </c>
      <c r="N23" s="351">
        <v>8</v>
      </c>
      <c r="O23" s="352">
        <f>SUM(D23:N23)</f>
        <v>98</v>
      </c>
      <c r="P23" s="26"/>
      <c r="Q23" s="26"/>
      <c r="R23" s="353">
        <f>P23*O23</f>
        <v>0</v>
      </c>
      <c r="S23" s="37"/>
    </row>
    <row r="24" spans="1:19" s="32" customFormat="1" ht="12.75" x14ac:dyDescent="0.2">
      <c r="A24" s="163"/>
      <c r="B24" s="354"/>
      <c r="C24" s="25"/>
      <c r="D24" s="178"/>
      <c r="E24" s="26"/>
      <c r="F24" s="26"/>
      <c r="G24" s="26"/>
      <c r="H24" s="26"/>
      <c r="I24" s="178"/>
      <c r="J24" s="26"/>
      <c r="K24" s="26"/>
      <c r="L24" s="26"/>
      <c r="M24" s="26"/>
      <c r="N24" s="26"/>
      <c r="O24" s="58"/>
      <c r="P24" s="26"/>
      <c r="Q24" s="26"/>
      <c r="R24" s="22"/>
      <c r="S24" s="37"/>
    </row>
    <row r="25" spans="1:19" s="32" customFormat="1" ht="13.5" thickBot="1" x14ac:dyDescent="0.25">
      <c r="A25" s="162" t="s">
        <v>1481</v>
      </c>
      <c r="B25" s="28" t="s">
        <v>1482</v>
      </c>
      <c r="C25" s="135"/>
      <c r="D25" s="176"/>
      <c r="E25" s="135"/>
      <c r="F25" s="135"/>
      <c r="G25" s="135"/>
      <c r="H25" s="135"/>
      <c r="I25" s="176"/>
      <c r="J25" s="135"/>
      <c r="K25" s="135"/>
      <c r="L25" s="135"/>
      <c r="M25" s="135"/>
      <c r="N25" s="135"/>
      <c r="O25" s="60"/>
      <c r="P25" s="29"/>
      <c r="Q25" s="29"/>
      <c r="R25" s="136"/>
      <c r="S25" s="37"/>
    </row>
    <row r="26" spans="1:19" s="32" customFormat="1" ht="192" thickBot="1" x14ac:dyDescent="0.25">
      <c r="A26" s="163"/>
      <c r="B26" s="354" t="s">
        <v>1483</v>
      </c>
      <c r="C26" s="350"/>
      <c r="D26" s="178"/>
      <c r="E26" s="26"/>
      <c r="F26" s="26"/>
      <c r="G26" s="26"/>
      <c r="H26" s="351"/>
      <c r="I26" s="178"/>
      <c r="J26" s="26"/>
      <c r="K26" s="26"/>
      <c r="L26" s="26"/>
      <c r="M26" s="26"/>
      <c r="N26" s="351"/>
      <c r="O26" s="352"/>
      <c r="P26" s="26"/>
      <c r="Q26" s="26"/>
      <c r="R26" s="353"/>
      <c r="S26" s="37"/>
    </row>
    <row r="27" spans="1:19" s="32" customFormat="1" ht="13.5" thickBot="1" x14ac:dyDescent="0.25">
      <c r="A27" s="163"/>
      <c r="B27" s="354" t="s">
        <v>1484</v>
      </c>
      <c r="C27" s="350" t="s">
        <v>1477</v>
      </c>
      <c r="D27" s="178">
        <v>14</v>
      </c>
      <c r="E27" s="26">
        <v>14</v>
      </c>
      <c r="F27" s="26">
        <v>14</v>
      </c>
      <c r="G27" s="26">
        <v>14</v>
      </c>
      <c r="H27" s="351">
        <v>14</v>
      </c>
      <c r="I27" s="178">
        <v>14</v>
      </c>
      <c r="J27" s="26">
        <v>14</v>
      </c>
      <c r="K27" s="26">
        <v>14</v>
      </c>
      <c r="L27" s="26">
        <v>14</v>
      </c>
      <c r="M27" s="26">
        <v>14</v>
      </c>
      <c r="N27" s="351">
        <v>14</v>
      </c>
      <c r="O27" s="352">
        <f>SUM(D27:N27)</f>
        <v>154</v>
      </c>
      <c r="P27" s="26"/>
      <c r="Q27" s="26"/>
      <c r="R27" s="353">
        <f>P27*O27</f>
        <v>0</v>
      </c>
      <c r="S27" s="37"/>
    </row>
    <row r="28" spans="1:19" s="32" customFormat="1" ht="12.75" x14ac:dyDescent="0.2">
      <c r="A28" s="163"/>
      <c r="B28" s="354" t="s">
        <v>1485</v>
      </c>
      <c r="C28" s="25" t="s">
        <v>2</v>
      </c>
      <c r="D28" s="178">
        <v>16</v>
      </c>
      <c r="E28" s="26">
        <v>16</v>
      </c>
      <c r="F28" s="26">
        <v>16</v>
      </c>
      <c r="G28" s="26">
        <v>16</v>
      </c>
      <c r="H28" s="351">
        <v>16</v>
      </c>
      <c r="I28" s="178">
        <v>18</v>
      </c>
      <c r="J28" s="26">
        <v>18</v>
      </c>
      <c r="K28" s="26">
        <v>18</v>
      </c>
      <c r="L28" s="26">
        <v>18</v>
      </c>
      <c r="M28" s="26">
        <v>18</v>
      </c>
      <c r="N28" s="351">
        <v>18</v>
      </c>
      <c r="O28" s="352">
        <f>SUM(D28:N28)</f>
        <v>188</v>
      </c>
      <c r="P28" s="26"/>
      <c r="Q28" s="26"/>
      <c r="R28" s="353">
        <f>P28*O28</f>
        <v>0</v>
      </c>
      <c r="S28" s="37"/>
    </row>
    <row r="29" spans="1:19" s="32" customFormat="1" ht="12.75" x14ac:dyDescent="0.2">
      <c r="A29" s="163"/>
      <c r="B29" s="354"/>
      <c r="C29" s="25"/>
      <c r="D29" s="178"/>
      <c r="E29" s="26"/>
      <c r="F29" s="26"/>
      <c r="G29" s="26"/>
      <c r="H29" s="26"/>
      <c r="I29" s="178"/>
      <c r="J29" s="26"/>
      <c r="K29" s="26"/>
      <c r="L29" s="26"/>
      <c r="M29" s="26"/>
      <c r="N29" s="26"/>
      <c r="O29" s="58"/>
      <c r="P29" s="26"/>
      <c r="Q29" s="26"/>
      <c r="R29" s="22"/>
      <c r="S29" s="37"/>
    </row>
    <row r="30" spans="1:19" s="32" customFormat="1" ht="13.5" thickBot="1" x14ac:dyDescent="0.25">
      <c r="A30" s="162" t="s">
        <v>1486</v>
      </c>
      <c r="B30" s="28" t="s">
        <v>1487</v>
      </c>
      <c r="C30" s="135"/>
      <c r="D30" s="176"/>
      <c r="E30" s="135"/>
      <c r="F30" s="135"/>
      <c r="G30" s="135"/>
      <c r="H30" s="135"/>
      <c r="I30" s="176"/>
      <c r="J30" s="135"/>
      <c r="K30" s="135"/>
      <c r="L30" s="135"/>
      <c r="M30" s="135"/>
      <c r="N30" s="135"/>
      <c r="O30" s="60"/>
      <c r="P30" s="29"/>
      <c r="Q30" s="29"/>
      <c r="R30" s="136"/>
      <c r="S30" s="37"/>
    </row>
    <row r="31" spans="1:19" s="32" customFormat="1" ht="102" x14ac:dyDescent="0.2">
      <c r="A31" s="163"/>
      <c r="B31" s="354" t="s">
        <v>1488</v>
      </c>
      <c r="C31" s="350" t="s">
        <v>40</v>
      </c>
      <c r="D31" s="178">
        <v>29</v>
      </c>
      <c r="E31" s="26">
        <v>29</v>
      </c>
      <c r="F31" s="26">
        <v>29</v>
      </c>
      <c r="G31" s="26">
        <v>29</v>
      </c>
      <c r="H31" s="351">
        <v>29</v>
      </c>
      <c r="I31" s="178">
        <v>34</v>
      </c>
      <c r="J31" s="26">
        <v>34</v>
      </c>
      <c r="K31" s="26">
        <v>34</v>
      </c>
      <c r="L31" s="26">
        <v>34</v>
      </c>
      <c r="M31" s="26">
        <v>34</v>
      </c>
      <c r="N31" s="351">
        <v>34</v>
      </c>
      <c r="O31" s="352">
        <f>SUM(D31:N31)</f>
        <v>349</v>
      </c>
      <c r="P31" s="26"/>
      <c r="Q31" s="26"/>
      <c r="R31" s="353">
        <f>P31*O31</f>
        <v>0</v>
      </c>
      <c r="S31" s="37"/>
    </row>
    <row r="32" spans="1:19" s="32" customFormat="1" ht="12.75" x14ac:dyDescent="0.2">
      <c r="A32" s="163"/>
      <c r="B32" s="354"/>
      <c r="C32" s="25"/>
      <c r="D32" s="178"/>
      <c r="E32" s="26"/>
      <c r="F32" s="26"/>
      <c r="G32" s="26"/>
      <c r="H32" s="26"/>
      <c r="I32" s="178"/>
      <c r="J32" s="26"/>
      <c r="K32" s="26"/>
      <c r="L32" s="26"/>
      <c r="M32" s="26"/>
      <c r="N32" s="26"/>
      <c r="O32" s="58"/>
      <c r="P32" s="26"/>
      <c r="Q32" s="26"/>
      <c r="R32" s="22"/>
      <c r="S32" s="37"/>
    </row>
    <row r="33" spans="1:19" s="32" customFormat="1" ht="13.5" thickBot="1" x14ac:dyDescent="0.25">
      <c r="A33" s="162" t="s">
        <v>1489</v>
      </c>
      <c r="B33" s="28" t="s">
        <v>1490</v>
      </c>
      <c r="C33" s="135"/>
      <c r="D33" s="176"/>
      <c r="E33" s="135"/>
      <c r="F33" s="135"/>
      <c r="G33" s="135"/>
      <c r="H33" s="135"/>
      <c r="I33" s="176"/>
      <c r="J33" s="135"/>
      <c r="K33" s="135"/>
      <c r="L33" s="135"/>
      <c r="M33" s="135"/>
      <c r="N33" s="135"/>
      <c r="O33" s="60"/>
      <c r="P33" s="29"/>
      <c r="Q33" s="29"/>
      <c r="R33" s="136"/>
      <c r="S33" s="37"/>
    </row>
    <row r="34" spans="1:19" s="32" customFormat="1" ht="102" x14ac:dyDescent="0.2">
      <c r="A34" s="163"/>
      <c r="B34" s="354" t="s">
        <v>1491</v>
      </c>
      <c r="C34" s="350" t="s">
        <v>40</v>
      </c>
      <c r="D34" s="178">
        <v>12</v>
      </c>
      <c r="E34" s="26">
        <v>12</v>
      </c>
      <c r="F34" s="26">
        <v>12</v>
      </c>
      <c r="G34" s="26">
        <v>12</v>
      </c>
      <c r="H34" s="351">
        <v>12</v>
      </c>
      <c r="I34" s="178">
        <v>12</v>
      </c>
      <c r="J34" s="26">
        <v>12</v>
      </c>
      <c r="K34" s="26">
        <v>12</v>
      </c>
      <c r="L34" s="26">
        <v>12</v>
      </c>
      <c r="M34" s="26">
        <v>12</v>
      </c>
      <c r="N34" s="351">
        <v>12</v>
      </c>
      <c r="O34" s="352">
        <f>SUM(D34:N34)</f>
        <v>132</v>
      </c>
      <c r="P34" s="26"/>
      <c r="Q34" s="26"/>
      <c r="R34" s="353">
        <f>P34*O34</f>
        <v>0</v>
      </c>
      <c r="S34" s="37"/>
    </row>
    <row r="35" spans="1:19" s="32" customFormat="1" ht="12.75" x14ac:dyDescent="0.2">
      <c r="A35" s="163"/>
      <c r="B35" s="31"/>
      <c r="C35" s="25"/>
      <c r="D35" s="178"/>
      <c r="E35" s="26"/>
      <c r="F35" s="26"/>
      <c r="G35" s="26"/>
      <c r="H35" s="26"/>
      <c r="I35" s="178"/>
      <c r="J35" s="26"/>
      <c r="K35" s="26"/>
      <c r="L35" s="26"/>
      <c r="M35" s="26"/>
      <c r="N35" s="26"/>
      <c r="O35" s="58"/>
      <c r="P35" s="26"/>
      <c r="Q35" s="26"/>
      <c r="R35" s="22"/>
      <c r="S35" s="37"/>
    </row>
    <row r="36" spans="1:19" s="32" customFormat="1" ht="13.5" thickBot="1" x14ac:dyDescent="0.25">
      <c r="A36" s="162" t="s">
        <v>1492</v>
      </c>
      <c r="B36" s="28" t="s">
        <v>1493</v>
      </c>
      <c r="C36" s="135"/>
      <c r="D36" s="176"/>
      <c r="E36" s="135"/>
      <c r="F36" s="135"/>
      <c r="G36" s="135"/>
      <c r="H36" s="135"/>
      <c r="I36" s="176"/>
      <c r="J36" s="135"/>
      <c r="K36" s="135"/>
      <c r="L36" s="135"/>
      <c r="M36" s="135"/>
      <c r="N36" s="135"/>
      <c r="O36" s="60"/>
      <c r="P36" s="29"/>
      <c r="Q36" s="29"/>
      <c r="R36" s="136"/>
      <c r="S36" s="37"/>
    </row>
    <row r="37" spans="1:19" s="32" customFormat="1" ht="294" thickBot="1" x14ac:dyDescent="0.25">
      <c r="A37" s="163"/>
      <c r="B37" s="354" t="s">
        <v>1494</v>
      </c>
      <c r="D37" s="178"/>
      <c r="H37" s="26"/>
      <c r="I37" s="178"/>
      <c r="N37" s="26"/>
      <c r="O37" s="352"/>
      <c r="S37" s="37"/>
    </row>
    <row r="38" spans="1:19" s="32" customFormat="1" ht="13.5" thickBot="1" x14ac:dyDescent="0.25">
      <c r="A38" s="163"/>
      <c r="B38" s="354" t="s">
        <v>1002</v>
      </c>
      <c r="C38" s="25" t="s">
        <v>1470</v>
      </c>
      <c r="D38" s="178">
        <v>1</v>
      </c>
      <c r="E38" s="26">
        <v>1</v>
      </c>
      <c r="F38" s="26">
        <v>1</v>
      </c>
      <c r="G38" s="26">
        <v>1</v>
      </c>
      <c r="H38" s="26">
        <v>1</v>
      </c>
      <c r="I38" s="178">
        <v>0</v>
      </c>
      <c r="J38" s="26">
        <v>0</v>
      </c>
      <c r="K38" s="26">
        <v>0</v>
      </c>
      <c r="L38" s="26">
        <v>0</v>
      </c>
      <c r="M38" s="26">
        <v>0</v>
      </c>
      <c r="N38" s="26">
        <v>0</v>
      </c>
      <c r="O38" s="352">
        <f>SUM(D38:N38)</f>
        <v>5</v>
      </c>
      <c r="P38" s="26"/>
      <c r="Q38" s="26"/>
      <c r="R38" s="353">
        <f>P38*O38</f>
        <v>0</v>
      </c>
      <c r="S38" s="37"/>
    </row>
    <row r="39" spans="1:19" s="32" customFormat="1" ht="12.75" x14ac:dyDescent="0.2">
      <c r="A39" s="163"/>
      <c r="B39" s="354" t="s">
        <v>1495</v>
      </c>
      <c r="C39" s="25"/>
      <c r="D39" s="178"/>
      <c r="E39" s="26"/>
      <c r="F39" s="26"/>
      <c r="G39" s="26"/>
      <c r="H39" s="26"/>
      <c r="I39" s="178"/>
      <c r="J39" s="26"/>
      <c r="K39" s="26"/>
      <c r="L39" s="26"/>
      <c r="M39" s="26"/>
      <c r="N39" s="26"/>
      <c r="O39" s="352"/>
      <c r="P39" s="26"/>
      <c r="Q39" s="26"/>
      <c r="R39" s="353"/>
      <c r="S39" s="37"/>
    </row>
    <row r="40" spans="1:19" s="32" customFormat="1" ht="12.75" x14ac:dyDescent="0.2">
      <c r="A40" s="163"/>
      <c r="B40" s="354" t="s">
        <v>1496</v>
      </c>
      <c r="C40" s="25"/>
      <c r="D40" s="178"/>
      <c r="E40" s="26"/>
      <c r="F40" s="26"/>
      <c r="G40" s="26"/>
      <c r="H40" s="26"/>
      <c r="I40" s="178"/>
      <c r="J40" s="26"/>
      <c r="K40" s="26"/>
      <c r="L40" s="26"/>
      <c r="M40" s="26"/>
      <c r="N40" s="26"/>
      <c r="O40" s="58"/>
      <c r="P40" s="26"/>
      <c r="Q40" s="26"/>
      <c r="R40" s="353"/>
      <c r="S40" s="37"/>
    </row>
    <row r="41" spans="1:19" s="32" customFormat="1" ht="12.75" x14ac:dyDescent="0.2">
      <c r="A41" s="163"/>
      <c r="B41" s="354" t="s">
        <v>1497</v>
      </c>
      <c r="C41" s="25"/>
      <c r="D41" s="178"/>
      <c r="E41" s="26"/>
      <c r="F41" s="26"/>
      <c r="G41" s="26"/>
      <c r="H41" s="26"/>
      <c r="I41" s="178"/>
      <c r="J41" s="26"/>
      <c r="K41" s="26"/>
      <c r="L41" s="26"/>
      <c r="M41" s="26"/>
      <c r="N41" s="26"/>
      <c r="O41" s="58"/>
      <c r="P41" s="26"/>
      <c r="Q41" s="26"/>
      <c r="R41" s="353"/>
      <c r="S41" s="37"/>
    </row>
    <row r="42" spans="1:19" s="32" customFormat="1" ht="12.75" x14ac:dyDescent="0.2">
      <c r="A42" s="163"/>
      <c r="B42" s="354" t="s">
        <v>1498</v>
      </c>
      <c r="C42" s="25"/>
      <c r="D42" s="178"/>
      <c r="E42" s="26"/>
      <c r="F42" s="26"/>
      <c r="G42" s="26"/>
      <c r="H42" s="26"/>
      <c r="I42" s="178"/>
      <c r="J42" s="26"/>
      <c r="K42" s="26"/>
      <c r="L42" s="26"/>
      <c r="M42" s="26"/>
      <c r="N42" s="26"/>
      <c r="O42" s="58"/>
      <c r="P42" s="26"/>
      <c r="Q42" s="26"/>
      <c r="R42" s="353"/>
      <c r="S42" s="37"/>
    </row>
    <row r="43" spans="1:19" s="32" customFormat="1" ht="12.75" x14ac:dyDescent="0.2">
      <c r="A43" s="163"/>
      <c r="B43" s="354" t="s">
        <v>1499</v>
      </c>
      <c r="C43" s="25"/>
      <c r="D43" s="178"/>
      <c r="E43" s="26"/>
      <c r="F43" s="26"/>
      <c r="G43" s="26"/>
      <c r="H43" s="26"/>
      <c r="I43" s="178"/>
      <c r="J43" s="26"/>
      <c r="K43" s="26"/>
      <c r="L43" s="26"/>
      <c r="M43" s="26"/>
      <c r="N43" s="26"/>
      <c r="O43" s="58"/>
      <c r="P43" s="26"/>
      <c r="Q43" s="26"/>
      <c r="R43" s="353"/>
      <c r="S43" s="37"/>
    </row>
    <row r="44" spans="1:19" s="32" customFormat="1" ht="12.75" x14ac:dyDescent="0.2">
      <c r="A44" s="163"/>
      <c r="B44" s="354" t="s">
        <v>1500</v>
      </c>
      <c r="C44" s="25"/>
      <c r="D44" s="178"/>
      <c r="E44" s="26"/>
      <c r="F44" s="26"/>
      <c r="G44" s="26"/>
      <c r="H44" s="26"/>
      <c r="I44" s="178"/>
      <c r="J44" s="26"/>
      <c r="K44" s="26"/>
      <c r="L44" s="26"/>
      <c r="M44" s="26"/>
      <c r="N44" s="26"/>
      <c r="O44" s="58"/>
      <c r="P44" s="26"/>
      <c r="Q44" s="26"/>
      <c r="R44" s="353"/>
      <c r="S44" s="37"/>
    </row>
    <row r="45" spans="1:19" s="32" customFormat="1" ht="12.75" x14ac:dyDescent="0.2">
      <c r="A45" s="163"/>
      <c r="B45" s="354" t="s">
        <v>1501</v>
      </c>
      <c r="C45" s="25"/>
      <c r="D45" s="178"/>
      <c r="E45" s="26"/>
      <c r="F45" s="26"/>
      <c r="G45" s="26"/>
      <c r="H45" s="26"/>
      <c r="I45" s="178"/>
      <c r="J45" s="26"/>
      <c r="K45" s="26"/>
      <c r="L45" s="26"/>
      <c r="M45" s="26"/>
      <c r="N45" s="26"/>
      <c r="O45" s="58"/>
      <c r="P45" s="26"/>
      <c r="Q45" s="26"/>
      <c r="R45" s="353"/>
      <c r="S45" s="37"/>
    </row>
    <row r="46" spans="1:19" s="32" customFormat="1" ht="12.75" x14ac:dyDescent="0.2">
      <c r="A46" s="163"/>
      <c r="B46" s="354" t="s">
        <v>1502</v>
      </c>
      <c r="C46" s="25"/>
      <c r="D46" s="178"/>
      <c r="E46" s="26"/>
      <c r="F46" s="26"/>
      <c r="G46" s="26"/>
      <c r="H46" s="26"/>
      <c r="I46" s="178"/>
      <c r="J46" s="26"/>
      <c r="K46" s="26"/>
      <c r="L46" s="26"/>
      <c r="M46" s="26"/>
      <c r="N46" s="26"/>
      <c r="O46" s="58"/>
      <c r="P46" s="26"/>
      <c r="Q46" s="26"/>
      <c r="R46" s="353"/>
      <c r="S46" s="37"/>
    </row>
    <row r="47" spans="1:19" s="32" customFormat="1" ht="13.5" thickBot="1" x14ac:dyDescent="0.25">
      <c r="A47" s="163"/>
      <c r="B47" s="354" t="s">
        <v>1503</v>
      </c>
      <c r="C47" s="25"/>
      <c r="D47" s="178"/>
      <c r="E47" s="26"/>
      <c r="F47" s="26"/>
      <c r="G47" s="26"/>
      <c r="H47" s="26"/>
      <c r="I47" s="178"/>
      <c r="J47" s="26"/>
      <c r="K47" s="26"/>
      <c r="L47" s="26"/>
      <c r="M47" s="26"/>
      <c r="N47" s="26"/>
      <c r="O47" s="355"/>
      <c r="P47" s="26"/>
      <c r="Q47" s="26"/>
      <c r="R47" s="353"/>
      <c r="S47" s="37"/>
    </row>
    <row r="48" spans="1:19" s="32" customFormat="1" ht="12.75" x14ac:dyDescent="0.2">
      <c r="A48" s="163"/>
      <c r="B48" s="354" t="s">
        <v>1283</v>
      </c>
      <c r="C48" s="25" t="s">
        <v>1470</v>
      </c>
      <c r="D48" s="178">
        <v>0</v>
      </c>
      <c r="E48" s="26">
        <v>0</v>
      </c>
      <c r="F48" s="26">
        <v>0</v>
      </c>
      <c r="G48" s="26">
        <v>0</v>
      </c>
      <c r="H48" s="26">
        <v>0</v>
      </c>
      <c r="I48" s="178">
        <v>1</v>
      </c>
      <c r="J48" s="26">
        <v>1</v>
      </c>
      <c r="K48" s="26">
        <v>1</v>
      </c>
      <c r="L48" s="26">
        <v>1</v>
      </c>
      <c r="M48" s="26">
        <v>1</v>
      </c>
      <c r="N48" s="26">
        <v>1</v>
      </c>
      <c r="O48" s="58">
        <f>SUM(D48:N48)</f>
        <v>6</v>
      </c>
      <c r="P48" s="26"/>
      <c r="Q48" s="26"/>
      <c r="R48" s="353">
        <f>P48*O48</f>
        <v>0</v>
      </c>
      <c r="S48" s="37"/>
    </row>
    <row r="49" spans="1:19" s="32" customFormat="1" ht="12.75" x14ac:dyDescent="0.2">
      <c r="A49" s="163"/>
      <c r="B49" s="354" t="s">
        <v>1504</v>
      </c>
      <c r="C49" s="25"/>
      <c r="D49" s="178"/>
      <c r="E49" s="26"/>
      <c r="F49" s="26"/>
      <c r="G49" s="26"/>
      <c r="H49" s="26"/>
      <c r="I49" s="178"/>
      <c r="J49" s="26"/>
      <c r="K49" s="26"/>
      <c r="L49" s="26"/>
      <c r="M49" s="26"/>
      <c r="N49" s="26"/>
      <c r="O49" s="58"/>
      <c r="P49" s="26"/>
      <c r="Q49" s="26"/>
      <c r="R49" s="22"/>
      <c r="S49" s="37"/>
    </row>
    <row r="50" spans="1:19" s="32" customFormat="1" ht="12.75" x14ac:dyDescent="0.2">
      <c r="A50" s="163"/>
      <c r="B50" s="354" t="s">
        <v>1496</v>
      </c>
      <c r="C50" s="25"/>
      <c r="D50" s="178"/>
      <c r="E50" s="26"/>
      <c r="F50" s="26"/>
      <c r="G50" s="26"/>
      <c r="H50" s="26"/>
      <c r="I50" s="178"/>
      <c r="J50" s="26"/>
      <c r="K50" s="26"/>
      <c r="L50" s="26"/>
      <c r="M50" s="26"/>
      <c r="N50" s="26"/>
      <c r="O50" s="58"/>
      <c r="P50" s="26"/>
      <c r="Q50" s="26"/>
      <c r="R50" s="22"/>
      <c r="S50" s="37"/>
    </row>
    <row r="51" spans="1:19" s="32" customFormat="1" ht="12.75" x14ac:dyDescent="0.2">
      <c r="A51" s="163"/>
      <c r="B51" s="354" t="s">
        <v>1505</v>
      </c>
      <c r="C51" s="25"/>
      <c r="D51" s="178"/>
      <c r="E51" s="26"/>
      <c r="F51" s="26"/>
      <c r="G51" s="26"/>
      <c r="H51" s="26"/>
      <c r="I51" s="178"/>
      <c r="J51" s="26"/>
      <c r="K51" s="26"/>
      <c r="L51" s="26"/>
      <c r="M51" s="26"/>
      <c r="N51" s="26"/>
      <c r="O51" s="58"/>
      <c r="P51" s="26"/>
      <c r="Q51" s="26"/>
      <c r="R51" s="22"/>
      <c r="S51" s="37"/>
    </row>
    <row r="52" spans="1:19" s="32" customFormat="1" ht="12.75" x14ac:dyDescent="0.2">
      <c r="A52" s="163"/>
      <c r="B52" s="354" t="s">
        <v>1500</v>
      </c>
      <c r="C52" s="25"/>
      <c r="D52" s="178"/>
      <c r="E52" s="26"/>
      <c r="F52" s="26"/>
      <c r="G52" s="26"/>
      <c r="H52" s="26"/>
      <c r="I52" s="178"/>
      <c r="J52" s="26"/>
      <c r="K52" s="26"/>
      <c r="L52" s="26"/>
      <c r="M52" s="26"/>
      <c r="N52" s="26"/>
      <c r="O52" s="58"/>
      <c r="P52" s="26"/>
      <c r="Q52" s="26"/>
      <c r="R52" s="22"/>
      <c r="S52" s="37"/>
    </row>
    <row r="53" spans="1:19" s="32" customFormat="1" ht="12.75" x14ac:dyDescent="0.2">
      <c r="A53" s="163"/>
      <c r="B53" s="354" t="s">
        <v>1506</v>
      </c>
      <c r="C53" s="25"/>
      <c r="D53" s="178"/>
      <c r="E53" s="26"/>
      <c r="F53" s="26"/>
      <c r="G53" s="26"/>
      <c r="H53" s="26"/>
      <c r="I53" s="178"/>
      <c r="J53" s="26"/>
      <c r="K53" s="26"/>
      <c r="L53" s="26"/>
      <c r="M53" s="26"/>
      <c r="N53" s="26"/>
      <c r="O53" s="58"/>
      <c r="P53" s="26"/>
      <c r="Q53" s="26"/>
      <c r="R53" s="22"/>
      <c r="S53" s="37"/>
    </row>
    <row r="54" spans="1:19" s="32" customFormat="1" ht="12.75" x14ac:dyDescent="0.2">
      <c r="A54" s="163"/>
      <c r="B54" s="354" t="s">
        <v>1507</v>
      </c>
      <c r="C54" s="25"/>
      <c r="D54" s="178"/>
      <c r="E54" s="26"/>
      <c r="F54" s="26"/>
      <c r="G54" s="26"/>
      <c r="H54" s="26"/>
      <c r="I54" s="178"/>
      <c r="J54" s="26"/>
      <c r="K54" s="26"/>
      <c r="L54" s="26"/>
      <c r="M54" s="26"/>
      <c r="N54" s="26"/>
      <c r="O54" s="58"/>
      <c r="P54" s="26"/>
      <c r="Q54" s="26"/>
      <c r="R54" s="22"/>
      <c r="S54" s="37"/>
    </row>
    <row r="55" spans="1:19" s="32" customFormat="1" ht="12.75" x14ac:dyDescent="0.2">
      <c r="A55" s="163"/>
      <c r="B55" s="31"/>
      <c r="C55" s="25"/>
      <c r="D55" s="178"/>
      <c r="E55" s="26"/>
      <c r="F55" s="26"/>
      <c r="G55" s="26"/>
      <c r="H55" s="26"/>
      <c r="I55" s="178"/>
      <c r="J55" s="26"/>
      <c r="K55" s="26"/>
      <c r="L55" s="26"/>
      <c r="M55" s="26"/>
      <c r="N55" s="26"/>
      <c r="O55" s="58"/>
      <c r="P55" s="26"/>
      <c r="Q55" s="26"/>
      <c r="R55" s="22"/>
      <c r="S55" s="37"/>
    </row>
    <row r="56" spans="1:19" s="32" customFormat="1" ht="13.5" thickBot="1" x14ac:dyDescent="0.25">
      <c r="A56" s="162" t="s">
        <v>1508</v>
      </c>
      <c r="B56" s="28" t="s">
        <v>1509</v>
      </c>
      <c r="C56" s="135"/>
      <c r="D56" s="176"/>
      <c r="E56" s="135"/>
      <c r="F56" s="135"/>
      <c r="G56" s="135"/>
      <c r="H56" s="135"/>
      <c r="I56" s="176"/>
      <c r="J56" s="135"/>
      <c r="K56" s="135"/>
      <c r="L56" s="135"/>
      <c r="M56" s="135"/>
      <c r="N56" s="135"/>
      <c r="O56" s="60"/>
      <c r="P56" s="29"/>
      <c r="Q56" s="29"/>
      <c r="R56" s="136"/>
      <c r="S56" s="37"/>
    </row>
    <row r="57" spans="1:19" s="32" customFormat="1" ht="282.75" customHeight="1" thickBot="1" x14ac:dyDescent="0.25">
      <c r="A57" s="163"/>
      <c r="B57" s="354" t="s">
        <v>1510</v>
      </c>
      <c r="D57" s="178"/>
      <c r="H57" s="26"/>
      <c r="I57" s="178"/>
      <c r="N57" s="26"/>
      <c r="O57" s="352"/>
      <c r="S57" s="37"/>
    </row>
    <row r="58" spans="1:19" s="32" customFormat="1" ht="13.5" thickBot="1" x14ac:dyDescent="0.25">
      <c r="A58" s="163"/>
      <c r="B58" s="354" t="s">
        <v>1002</v>
      </c>
      <c r="C58" s="25" t="s">
        <v>1470</v>
      </c>
      <c r="D58" s="178">
        <v>1</v>
      </c>
      <c r="E58" s="26">
        <v>1</v>
      </c>
      <c r="F58" s="26">
        <v>1</v>
      </c>
      <c r="G58" s="26">
        <v>1</v>
      </c>
      <c r="H58" s="26">
        <v>1</v>
      </c>
      <c r="I58" s="178">
        <v>0</v>
      </c>
      <c r="J58" s="26">
        <v>0</v>
      </c>
      <c r="K58" s="26">
        <v>0</v>
      </c>
      <c r="L58" s="26">
        <v>0</v>
      </c>
      <c r="M58" s="26">
        <v>0</v>
      </c>
      <c r="N58" s="26">
        <v>0</v>
      </c>
      <c r="O58" s="352">
        <f>SUM(D58:N58)</f>
        <v>5</v>
      </c>
      <c r="P58" s="26"/>
      <c r="Q58" s="26"/>
      <c r="R58" s="353">
        <f>P58*O58</f>
        <v>0</v>
      </c>
      <c r="S58" s="37"/>
    </row>
    <row r="59" spans="1:19" s="32" customFormat="1" ht="12.75" x14ac:dyDescent="0.2">
      <c r="A59" s="163"/>
      <c r="B59" s="354" t="s">
        <v>1283</v>
      </c>
      <c r="C59" s="25" t="s">
        <v>1470</v>
      </c>
      <c r="D59" s="178">
        <v>0</v>
      </c>
      <c r="E59" s="26">
        <v>0</v>
      </c>
      <c r="F59" s="26">
        <v>0</v>
      </c>
      <c r="G59" s="26">
        <v>0</v>
      </c>
      <c r="H59" s="26">
        <v>0</v>
      </c>
      <c r="I59" s="178">
        <v>1</v>
      </c>
      <c r="J59" s="26">
        <v>1</v>
      </c>
      <c r="K59" s="26">
        <v>1</v>
      </c>
      <c r="L59" s="26">
        <v>1</v>
      </c>
      <c r="M59" s="26">
        <v>1</v>
      </c>
      <c r="N59" s="26">
        <v>1</v>
      </c>
      <c r="O59" s="352">
        <f>SUM(D59:N59)</f>
        <v>6</v>
      </c>
      <c r="P59" s="26"/>
      <c r="Q59" s="26"/>
      <c r="R59" s="353">
        <f>P59*O59</f>
        <v>0</v>
      </c>
      <c r="S59" s="37"/>
    </row>
    <row r="60" spans="1:19" s="32" customFormat="1" ht="12.75" x14ac:dyDescent="0.2">
      <c r="A60" s="163"/>
      <c r="B60" s="31"/>
      <c r="C60" s="25"/>
      <c r="D60" s="178"/>
      <c r="E60" s="26"/>
      <c r="F60" s="26"/>
      <c r="G60" s="26"/>
      <c r="H60" s="26"/>
      <c r="I60" s="178"/>
      <c r="J60" s="26"/>
      <c r="K60" s="26"/>
      <c r="L60" s="26"/>
      <c r="M60" s="26"/>
      <c r="N60" s="26"/>
      <c r="O60" s="58"/>
      <c r="P60" s="26"/>
      <c r="Q60" s="26"/>
      <c r="R60" s="22"/>
      <c r="S60" s="37"/>
    </row>
    <row r="61" spans="1:19" s="32" customFormat="1" ht="12.75" x14ac:dyDescent="0.2">
      <c r="A61" s="162" t="s">
        <v>1511</v>
      </c>
      <c r="B61" s="28" t="s">
        <v>1512</v>
      </c>
      <c r="C61" s="135"/>
      <c r="D61" s="176"/>
      <c r="E61" s="135"/>
      <c r="F61" s="135"/>
      <c r="G61" s="135"/>
      <c r="H61" s="135"/>
      <c r="I61" s="176"/>
      <c r="J61" s="135"/>
      <c r="K61" s="135"/>
      <c r="L61" s="135"/>
      <c r="M61" s="135"/>
      <c r="N61" s="135"/>
      <c r="O61" s="60"/>
      <c r="P61" s="29"/>
      <c r="Q61" s="29"/>
      <c r="R61" s="136"/>
      <c r="S61" s="37"/>
    </row>
    <row r="62" spans="1:19" s="32" customFormat="1" ht="115.5" thickBot="1" x14ac:dyDescent="0.25">
      <c r="A62" s="163"/>
      <c r="B62" s="48" t="s">
        <v>1513</v>
      </c>
      <c r="C62" s="25"/>
      <c r="D62" s="174"/>
      <c r="E62" s="25"/>
      <c r="F62" s="25"/>
      <c r="G62" s="25"/>
      <c r="H62" s="25"/>
      <c r="I62" s="174"/>
      <c r="J62" s="25"/>
      <c r="K62" s="25"/>
      <c r="L62" s="25"/>
      <c r="M62" s="25"/>
      <c r="N62" s="25"/>
      <c r="O62" s="58"/>
      <c r="P62" s="26"/>
      <c r="Q62" s="26"/>
      <c r="R62" s="35"/>
      <c r="S62" s="37"/>
    </row>
    <row r="63" spans="1:19" s="32" customFormat="1" ht="13.5" thickBot="1" x14ac:dyDescent="0.25">
      <c r="A63" s="163"/>
      <c r="B63" s="354" t="s">
        <v>1002</v>
      </c>
      <c r="C63" s="25" t="s">
        <v>1470</v>
      </c>
      <c r="D63" s="178">
        <v>1</v>
      </c>
      <c r="E63" s="26">
        <v>1</v>
      </c>
      <c r="F63" s="26">
        <v>1</v>
      </c>
      <c r="G63" s="26">
        <v>1</v>
      </c>
      <c r="H63" s="26">
        <v>1</v>
      </c>
      <c r="I63" s="178">
        <v>0</v>
      </c>
      <c r="J63" s="26">
        <v>0</v>
      </c>
      <c r="K63" s="26">
        <v>0</v>
      </c>
      <c r="L63" s="26">
        <v>0</v>
      </c>
      <c r="M63" s="26">
        <v>0</v>
      </c>
      <c r="N63" s="26">
        <v>0</v>
      </c>
      <c r="O63" s="352">
        <f>SUM(D63:N63)</f>
        <v>5</v>
      </c>
      <c r="P63" s="26"/>
      <c r="Q63" s="26"/>
      <c r="R63" s="353">
        <f>P63*O63</f>
        <v>0</v>
      </c>
      <c r="S63" s="37"/>
    </row>
    <row r="64" spans="1:19" s="32" customFormat="1" ht="12.75" x14ac:dyDescent="0.2">
      <c r="A64" s="163"/>
      <c r="B64" s="354" t="s">
        <v>1283</v>
      </c>
      <c r="C64" s="25" t="s">
        <v>1470</v>
      </c>
      <c r="D64" s="178">
        <v>0</v>
      </c>
      <c r="E64" s="26">
        <v>0</v>
      </c>
      <c r="F64" s="26">
        <v>0</v>
      </c>
      <c r="G64" s="26">
        <v>0</v>
      </c>
      <c r="H64" s="26">
        <v>0</v>
      </c>
      <c r="I64" s="178">
        <v>0</v>
      </c>
      <c r="J64" s="26">
        <v>0</v>
      </c>
      <c r="K64" s="26">
        <v>0</v>
      </c>
      <c r="L64" s="26">
        <v>0</v>
      </c>
      <c r="M64" s="26">
        <v>0</v>
      </c>
      <c r="N64" s="26">
        <v>0</v>
      </c>
      <c r="O64" s="352">
        <f>SUM(D64:N64)</f>
        <v>0</v>
      </c>
      <c r="P64" s="26"/>
      <c r="Q64" s="26"/>
      <c r="R64" s="353">
        <f>P64*O64</f>
        <v>0</v>
      </c>
      <c r="S64" s="37"/>
    </row>
    <row r="65" spans="1:19" s="32" customFormat="1" ht="12.75" x14ac:dyDescent="0.2">
      <c r="A65" s="163"/>
      <c r="B65" s="31"/>
      <c r="C65" s="25"/>
      <c r="D65" s="178"/>
      <c r="E65" s="26"/>
      <c r="F65" s="26"/>
      <c r="G65" s="26"/>
      <c r="H65" s="26"/>
      <c r="I65" s="178"/>
      <c r="J65" s="26"/>
      <c r="K65" s="26"/>
      <c r="L65" s="26"/>
      <c r="M65" s="26"/>
      <c r="N65" s="26"/>
      <c r="O65" s="58"/>
      <c r="P65" s="26"/>
      <c r="Q65" s="26"/>
      <c r="R65" s="22"/>
      <c r="S65" s="37"/>
    </row>
    <row r="66" spans="1:19" s="32" customFormat="1" ht="12.75" x14ac:dyDescent="0.2">
      <c r="A66" s="162" t="s">
        <v>1514</v>
      </c>
      <c r="B66" s="28" t="s">
        <v>1515</v>
      </c>
      <c r="C66" s="135"/>
      <c r="D66" s="176"/>
      <c r="E66" s="135"/>
      <c r="F66" s="135"/>
      <c r="G66" s="135"/>
      <c r="H66" s="135"/>
      <c r="I66" s="176"/>
      <c r="J66" s="135"/>
      <c r="K66" s="135"/>
      <c r="L66" s="135"/>
      <c r="M66" s="135"/>
      <c r="N66" s="135"/>
      <c r="O66" s="60"/>
      <c r="P66" s="29"/>
      <c r="Q66" s="29"/>
      <c r="R66" s="136"/>
      <c r="S66" s="37"/>
    </row>
    <row r="67" spans="1:19" s="32" customFormat="1" ht="180" thickBot="1" x14ac:dyDescent="0.25">
      <c r="A67" s="163"/>
      <c r="B67" s="48" t="s">
        <v>1516</v>
      </c>
      <c r="C67" s="25"/>
      <c r="D67" s="174"/>
      <c r="E67" s="25"/>
      <c r="F67" s="25"/>
      <c r="G67" s="25"/>
      <c r="H67" s="25"/>
      <c r="I67" s="174"/>
      <c r="J67" s="25"/>
      <c r="K67" s="25"/>
      <c r="L67" s="25"/>
      <c r="M67" s="25"/>
      <c r="N67" s="25"/>
      <c r="O67" s="58"/>
      <c r="P67" s="26"/>
      <c r="Q67" s="26"/>
      <c r="R67" s="35"/>
      <c r="S67" s="37"/>
    </row>
    <row r="68" spans="1:19" s="32" customFormat="1" ht="12.75" x14ac:dyDescent="0.2">
      <c r="A68" s="163"/>
      <c r="B68" s="354" t="s">
        <v>1517</v>
      </c>
      <c r="C68" s="25" t="s">
        <v>2</v>
      </c>
      <c r="D68" s="178">
        <v>4</v>
      </c>
      <c r="E68" s="26">
        <v>4</v>
      </c>
      <c r="F68" s="26">
        <v>2</v>
      </c>
      <c r="G68" s="26">
        <v>2</v>
      </c>
      <c r="H68" s="26">
        <v>6</v>
      </c>
      <c r="I68" s="178">
        <v>0</v>
      </c>
      <c r="J68" s="26">
        <v>4</v>
      </c>
      <c r="K68" s="26">
        <v>2</v>
      </c>
      <c r="L68" s="26">
        <v>0</v>
      </c>
      <c r="M68" s="26">
        <v>2</v>
      </c>
      <c r="N68" s="26">
        <v>0</v>
      </c>
      <c r="O68" s="352">
        <f>SUM(D68:N68)</f>
        <v>26</v>
      </c>
      <c r="P68" s="26"/>
      <c r="Q68" s="26"/>
      <c r="R68" s="353">
        <f>P68*O68</f>
        <v>0</v>
      </c>
      <c r="S68" s="37"/>
    </row>
    <row r="69" spans="1:19" s="32" customFormat="1" ht="12.75" x14ac:dyDescent="0.2">
      <c r="A69" s="163"/>
      <c r="B69" s="31"/>
      <c r="C69" s="25"/>
      <c r="D69" s="178"/>
      <c r="E69" s="26"/>
      <c r="F69" s="26"/>
      <c r="G69" s="26"/>
      <c r="H69" s="26"/>
      <c r="I69" s="178"/>
      <c r="J69" s="26"/>
      <c r="K69" s="26"/>
      <c r="L69" s="26"/>
      <c r="M69" s="26"/>
      <c r="N69" s="26"/>
      <c r="O69" s="58"/>
      <c r="P69" s="26"/>
      <c r="Q69" s="26"/>
      <c r="R69" s="22"/>
      <c r="S69" s="37"/>
    </row>
    <row r="70" spans="1:19" s="32" customFormat="1" ht="12.75" x14ac:dyDescent="0.2">
      <c r="A70" s="162" t="s">
        <v>1518</v>
      </c>
      <c r="B70" s="28" t="s">
        <v>1519</v>
      </c>
      <c r="C70" s="135"/>
      <c r="D70" s="176"/>
      <c r="E70" s="135"/>
      <c r="F70" s="135"/>
      <c r="G70" s="135"/>
      <c r="H70" s="135"/>
      <c r="I70" s="176"/>
      <c r="J70" s="135"/>
      <c r="K70" s="135"/>
      <c r="L70" s="135"/>
      <c r="M70" s="135"/>
      <c r="N70" s="135"/>
      <c r="O70" s="60"/>
      <c r="P70" s="29"/>
      <c r="Q70" s="29"/>
      <c r="R70" s="136"/>
      <c r="S70" s="37"/>
    </row>
    <row r="71" spans="1:19" s="32" customFormat="1" ht="164.25" customHeight="1" thickBot="1" x14ac:dyDescent="0.25">
      <c r="A71" s="163"/>
      <c r="B71" s="30" t="s">
        <v>1520</v>
      </c>
      <c r="C71" s="25"/>
      <c r="D71" s="174"/>
      <c r="E71" s="25"/>
      <c r="F71" s="25"/>
      <c r="G71" s="25"/>
      <c r="H71" s="25"/>
      <c r="I71" s="174"/>
      <c r="J71" s="25"/>
      <c r="K71" s="25"/>
      <c r="L71" s="25"/>
      <c r="M71" s="25"/>
      <c r="N71" s="25"/>
      <c r="O71" s="58"/>
      <c r="P71" s="26"/>
      <c r="Q71" s="26"/>
      <c r="R71" s="35"/>
      <c r="S71" s="37"/>
    </row>
    <row r="72" spans="1:19" s="32" customFormat="1" ht="12.75" x14ac:dyDescent="0.2">
      <c r="A72" s="163"/>
      <c r="B72" s="354" t="s">
        <v>1517</v>
      </c>
      <c r="C72" s="25" t="s">
        <v>2</v>
      </c>
      <c r="D72" s="178">
        <v>1</v>
      </c>
      <c r="E72" s="26">
        <v>1</v>
      </c>
      <c r="F72" s="26">
        <v>0</v>
      </c>
      <c r="G72" s="26">
        <v>0</v>
      </c>
      <c r="H72" s="26">
        <v>0</v>
      </c>
      <c r="I72" s="178">
        <v>1</v>
      </c>
      <c r="J72" s="26">
        <v>1</v>
      </c>
      <c r="K72" s="26">
        <v>0</v>
      </c>
      <c r="L72" s="26">
        <v>1</v>
      </c>
      <c r="M72" s="26">
        <v>1</v>
      </c>
      <c r="N72" s="26">
        <v>1</v>
      </c>
      <c r="O72" s="352">
        <f>SUM(D72:N72)</f>
        <v>7</v>
      </c>
      <c r="P72" s="26"/>
      <c r="Q72" s="26"/>
      <c r="R72" s="353">
        <f>P72*O72</f>
        <v>0</v>
      </c>
      <c r="S72" s="37"/>
    </row>
    <row r="73" spans="1:19" s="32" customFormat="1" ht="12.75" x14ac:dyDescent="0.2">
      <c r="A73" s="163"/>
      <c r="B73" s="31"/>
      <c r="C73" s="25"/>
      <c r="D73" s="178"/>
      <c r="E73" s="26"/>
      <c r="F73" s="26"/>
      <c r="G73" s="26"/>
      <c r="H73" s="26"/>
      <c r="I73" s="178"/>
      <c r="J73" s="26"/>
      <c r="K73" s="26"/>
      <c r="L73" s="26"/>
      <c r="M73" s="26"/>
      <c r="N73" s="26"/>
      <c r="O73" s="58"/>
      <c r="P73" s="26"/>
      <c r="Q73" s="26"/>
      <c r="R73" s="22"/>
      <c r="S73" s="37"/>
    </row>
    <row r="74" spans="1:19" s="32" customFormat="1" ht="12.75" x14ac:dyDescent="0.2">
      <c r="A74" s="162" t="s">
        <v>1521</v>
      </c>
      <c r="B74" s="28" t="s">
        <v>1522</v>
      </c>
      <c r="C74" s="135"/>
      <c r="D74" s="176"/>
      <c r="E74" s="135"/>
      <c r="F74" s="135"/>
      <c r="G74" s="135"/>
      <c r="H74" s="135"/>
      <c r="I74" s="176"/>
      <c r="J74" s="135"/>
      <c r="K74" s="135"/>
      <c r="L74" s="135"/>
      <c r="M74" s="135"/>
      <c r="N74" s="135"/>
      <c r="O74" s="60"/>
      <c r="P74" s="29"/>
      <c r="Q74" s="29"/>
      <c r="R74" s="136"/>
      <c r="S74" s="37"/>
    </row>
    <row r="75" spans="1:19" s="32" customFormat="1" ht="165.75" customHeight="1" thickBot="1" x14ac:dyDescent="0.25">
      <c r="A75" s="163"/>
      <c r="B75" s="30" t="s">
        <v>1523</v>
      </c>
      <c r="C75" s="25"/>
      <c r="D75" s="174"/>
      <c r="E75" s="25"/>
      <c r="F75" s="25"/>
      <c r="G75" s="25"/>
      <c r="H75" s="25"/>
      <c r="I75" s="174"/>
      <c r="J75" s="25"/>
      <c r="K75" s="25"/>
      <c r="L75" s="25"/>
      <c r="M75" s="25"/>
      <c r="N75" s="25"/>
      <c r="O75" s="58"/>
      <c r="P75" s="26"/>
      <c r="Q75" s="26"/>
      <c r="R75" s="35"/>
      <c r="S75" s="37"/>
    </row>
    <row r="76" spans="1:19" s="32" customFormat="1" ht="12.75" x14ac:dyDescent="0.2">
      <c r="A76" s="163"/>
      <c r="B76" s="354" t="s">
        <v>1517</v>
      </c>
      <c r="C76" s="25" t="s">
        <v>2</v>
      </c>
      <c r="D76" s="178">
        <v>0</v>
      </c>
      <c r="E76" s="26">
        <v>0</v>
      </c>
      <c r="F76" s="26">
        <v>0</v>
      </c>
      <c r="G76" s="26">
        <v>0</v>
      </c>
      <c r="H76" s="26">
        <v>1</v>
      </c>
      <c r="I76" s="178">
        <v>0</v>
      </c>
      <c r="J76" s="26">
        <v>0</v>
      </c>
      <c r="K76" s="26">
        <v>0</v>
      </c>
      <c r="L76" s="26">
        <v>0</v>
      </c>
      <c r="M76" s="26">
        <v>0</v>
      </c>
      <c r="N76" s="26">
        <v>0</v>
      </c>
      <c r="O76" s="352">
        <f>SUM(D76:N76)</f>
        <v>1</v>
      </c>
      <c r="P76" s="26"/>
      <c r="Q76" s="26"/>
      <c r="R76" s="353">
        <f>P76*O76</f>
        <v>0</v>
      </c>
      <c r="S76" s="37"/>
    </row>
    <row r="77" spans="1:19" s="32" customFormat="1" ht="12.75" x14ac:dyDescent="0.2">
      <c r="A77" s="159"/>
      <c r="B77" s="31"/>
      <c r="C77" s="25"/>
      <c r="D77" s="174"/>
      <c r="E77" s="25"/>
      <c r="F77" s="25"/>
      <c r="G77" s="25"/>
      <c r="H77" s="25"/>
      <c r="I77" s="174"/>
      <c r="J77" s="25"/>
      <c r="K77" s="25"/>
      <c r="L77" s="25"/>
      <c r="M77" s="25"/>
      <c r="N77" s="25"/>
      <c r="O77" s="58"/>
      <c r="P77" s="26"/>
      <c r="Q77" s="26"/>
      <c r="R77" s="35"/>
      <c r="S77" s="37"/>
    </row>
    <row r="78" spans="1:19" s="32" customFormat="1" ht="13.5" thickBot="1" x14ac:dyDescent="0.25">
      <c r="A78" s="162" t="s">
        <v>1524</v>
      </c>
      <c r="B78" s="28" t="s">
        <v>1525</v>
      </c>
      <c r="C78" s="135"/>
      <c r="D78" s="176"/>
      <c r="E78" s="135"/>
      <c r="F78" s="135"/>
      <c r="G78" s="135"/>
      <c r="H78" s="348"/>
      <c r="I78" s="176"/>
      <c r="J78" s="135"/>
      <c r="K78" s="135"/>
      <c r="L78" s="135"/>
      <c r="M78" s="135"/>
      <c r="N78" s="348"/>
      <c r="O78" s="60"/>
      <c r="P78" s="29"/>
      <c r="Q78" s="29"/>
      <c r="R78" s="136"/>
      <c r="S78" s="37"/>
    </row>
    <row r="79" spans="1:19" s="32" customFormat="1" ht="280.5" customHeight="1" x14ac:dyDescent="0.2">
      <c r="A79" s="163"/>
      <c r="B79" s="356" t="s">
        <v>1526</v>
      </c>
      <c r="C79" s="350" t="s">
        <v>1470</v>
      </c>
      <c r="D79" s="178">
        <v>0</v>
      </c>
      <c r="E79" s="26">
        <v>0</v>
      </c>
      <c r="F79" s="26">
        <v>0</v>
      </c>
      <c r="G79" s="26">
        <v>0</v>
      </c>
      <c r="H79" s="351">
        <v>0</v>
      </c>
      <c r="I79" s="178">
        <v>1</v>
      </c>
      <c r="J79" s="26">
        <v>0</v>
      </c>
      <c r="K79" s="26">
        <v>0</v>
      </c>
      <c r="L79" s="26">
        <v>1</v>
      </c>
      <c r="M79" s="26">
        <v>0</v>
      </c>
      <c r="N79" s="351">
        <v>0</v>
      </c>
      <c r="O79" s="352">
        <f>SUM(D79:N79)</f>
        <v>2</v>
      </c>
      <c r="P79" s="26"/>
      <c r="Q79" s="26"/>
      <c r="R79" s="353">
        <f>P79*O79</f>
        <v>0</v>
      </c>
      <c r="S79" s="37"/>
    </row>
    <row r="80" spans="1:19" s="32" customFormat="1" ht="12.75" x14ac:dyDescent="0.2">
      <c r="A80" s="163"/>
      <c r="B80" s="356"/>
      <c r="C80" s="25"/>
      <c r="D80" s="178"/>
      <c r="E80" s="26"/>
      <c r="F80" s="26"/>
      <c r="G80" s="26"/>
      <c r="H80" s="26"/>
      <c r="I80" s="178"/>
      <c r="J80" s="26"/>
      <c r="K80" s="26"/>
      <c r="L80" s="26"/>
      <c r="M80" s="26"/>
      <c r="N80" s="26"/>
      <c r="O80" s="58"/>
      <c r="P80" s="26"/>
      <c r="Q80" s="26"/>
      <c r="R80" s="22"/>
      <c r="S80" s="37"/>
    </row>
    <row r="81" spans="1:19" s="32" customFormat="1" ht="13.5" thickBot="1" x14ac:dyDescent="0.25">
      <c r="A81" s="162" t="s">
        <v>1527</v>
      </c>
      <c r="B81" s="28" t="s">
        <v>1528</v>
      </c>
      <c r="C81" s="135"/>
      <c r="D81" s="176"/>
      <c r="E81" s="135"/>
      <c r="F81" s="135"/>
      <c r="G81" s="135"/>
      <c r="H81" s="348"/>
      <c r="I81" s="176"/>
      <c r="J81" s="135"/>
      <c r="K81" s="135"/>
      <c r="L81" s="135"/>
      <c r="M81" s="135"/>
      <c r="N81" s="348"/>
      <c r="O81" s="60"/>
      <c r="P81" s="29"/>
      <c r="Q81" s="29"/>
      <c r="R81" s="136"/>
      <c r="S81" s="37"/>
    </row>
    <row r="82" spans="1:19" s="32" customFormat="1" ht="114.75" x14ac:dyDescent="0.2">
      <c r="A82" s="163"/>
      <c r="B82" s="356" t="s">
        <v>1529</v>
      </c>
      <c r="C82" s="350" t="s">
        <v>40</v>
      </c>
      <c r="D82" s="178">
        <v>40</v>
      </c>
      <c r="E82" s="26">
        <v>40</v>
      </c>
      <c r="F82" s="26">
        <v>40</v>
      </c>
      <c r="G82" s="26">
        <v>40</v>
      </c>
      <c r="H82" s="351">
        <v>40</v>
      </c>
      <c r="I82" s="178">
        <v>44</v>
      </c>
      <c r="J82" s="26">
        <v>44</v>
      </c>
      <c r="K82" s="26">
        <v>44</v>
      </c>
      <c r="L82" s="26">
        <v>44</v>
      </c>
      <c r="M82" s="26">
        <v>44</v>
      </c>
      <c r="N82" s="351">
        <v>44</v>
      </c>
      <c r="O82" s="352">
        <f>SUM(D82:N82)</f>
        <v>464</v>
      </c>
      <c r="P82" s="26"/>
      <c r="Q82" s="26"/>
      <c r="R82" s="353">
        <f>P82*O82</f>
        <v>0</v>
      </c>
      <c r="S82" s="37"/>
    </row>
    <row r="83" spans="1:19" s="32" customFormat="1" ht="12.75" x14ac:dyDescent="0.2">
      <c r="A83" s="159"/>
      <c r="B83" s="31"/>
      <c r="C83" s="25"/>
      <c r="D83" s="174"/>
      <c r="E83" s="25"/>
      <c r="F83" s="25"/>
      <c r="G83" s="25"/>
      <c r="H83" s="25"/>
      <c r="I83" s="174"/>
      <c r="J83" s="25"/>
      <c r="K83" s="25"/>
      <c r="L83" s="25"/>
      <c r="M83" s="25"/>
      <c r="N83" s="25"/>
      <c r="O83" s="58"/>
      <c r="P83" s="26"/>
      <c r="Q83" s="26"/>
      <c r="R83" s="22"/>
      <c r="S83" s="37"/>
    </row>
    <row r="84" spans="1:19" s="129" customFormat="1" x14ac:dyDescent="0.25">
      <c r="A84" s="165" t="s">
        <v>1530</v>
      </c>
      <c r="B84" s="490" t="s">
        <v>1465</v>
      </c>
      <c r="C84" s="491"/>
      <c r="D84" s="491"/>
      <c r="E84" s="491"/>
      <c r="F84" s="491"/>
      <c r="G84" s="491"/>
      <c r="H84" s="491"/>
      <c r="I84" s="491"/>
      <c r="J84" s="491"/>
      <c r="K84" s="491"/>
      <c r="L84" s="491"/>
      <c r="M84" s="491"/>
      <c r="N84" s="491"/>
      <c r="O84" s="491"/>
      <c r="P84" s="34" t="s">
        <v>0</v>
      </c>
      <c r="Q84" s="34"/>
      <c r="R84" s="9">
        <f>SUM(R13:R83)</f>
        <v>0</v>
      </c>
      <c r="S84" s="150"/>
    </row>
    <row r="85" spans="1:19" s="129" customFormat="1" x14ac:dyDescent="0.25">
      <c r="A85" s="157"/>
      <c r="B85" s="357"/>
      <c r="C85" s="357"/>
      <c r="D85" s="9">
        <f>SUM(D38*P38+D34*P34+D31*P31+D20*P20+D17*P17+D14*P14+D23*P23+D27*P27+D28*P28+D48*P48+D58*P58+D59*P59+D63*P63+D64*P64+D68*P68+D72*P72+D76*P76+D79*P79+D82*P82)</f>
        <v>0</v>
      </c>
      <c r="E85" s="9">
        <f>SUM(E38*P38+E34*P34+E31*P31+E20*P20+E17*P17+E14*P14+E23*P23+E27*P27+E28*P28+E48*P48+E58*P58+E59*P59+E63*P63+E64*P64+E68*P68+E72*P72+E76*P76+E79*P79+E82*P82)</f>
        <v>0</v>
      </c>
      <c r="F85" s="9">
        <f>SUM(F38*P38+F34*P34+F31*P31+F20*P20+F17*P17+F14*P14+F23*P23+F27*P27+F28*P28+F48*P48+F58*P58+F59*P59+F63*P63+F64*P64+F68*P68+F72*P72+F76*P76+F79*P79+F82*P82)</f>
        <v>0</v>
      </c>
      <c r="G85" s="9">
        <f>SUM(G38*P38+G34*P34+G31*P31+G20*P20+G17*P17+G14*P14+G23*P23+G27*P27+G28*P28+G48*P48+G58*P58+G59*P59+G63*P63+G64*P64+G68*P68+G72*P72+G76*P76+G79*P79+G82*P82)</f>
        <v>0</v>
      </c>
      <c r="H85" s="9">
        <f>SUM(H38*P38+H34*P34+H31*P31+H20*P20+H17*P17+H14*P14+H23*P23+H27*P27+H28*P28+H48*P48+H58*P58+H59*P59+H63*P63+H64*P64+H68*P68+H72*P72+H76*P76+H79*P79+H82*P82)</f>
        <v>0</v>
      </c>
      <c r="I85" s="9">
        <f>SUM(I48*P48+I34*P34+I31*P31+I20*P20+I17*P17+I14*P14+I23*P23+I27*P27+I28*P28+I38*P38+I58*P58+I59*P59+I63*P63+I64*P64+I68*P68+I72*P72+I76*P76+I79*P79+I82*P82)</f>
        <v>0</v>
      </c>
      <c r="J85" s="9">
        <f>SUM(J48*P48+J34*P34+J31*P31+J20*P20+J17*P17+J14*P14+J23*P23+J27*P27+J28*P28+J38*P38+J58*P58+J59*P59+J63*P63+J64*P64+J68*P68+J72*P72+J76*P76+J79*P79+J82*P82)</f>
        <v>0</v>
      </c>
      <c r="K85" s="9">
        <f>SUM(K48*P48+K34*P34+K31*P31+K20*P20+K17*P17+K14*P14+K23*P23+K27*P27+K28*P28+K38*P38+K58*P58+K59*P59+K63*P63+K64*P64+K68*P68+K72*P72+K76*P76+K79*P79+K82*P82)</f>
        <v>0</v>
      </c>
      <c r="L85" s="9">
        <f>SUM(L48*P48+L34*P34+L31*P31+L20*P20+L17*P17+L14*P14+L23*P23+L27*P27+L28*P28+L38*P38+L58*P58+L59*P59+L63*P63+L64*P64+L68*P68+L72*P72+L76*P76+L79*P79+L82*P82)</f>
        <v>0</v>
      </c>
      <c r="M85" s="9">
        <f>SUM(M48*P48+M34*P34+M31*P31+M20*P20+M17*P17+M14*P14+M23*P23+M27*P27+M28*P28+M38*P38+M58*P58+M59*P59+M63*P63+M64*P64+M68*P68+M72*P72+M76*P76+M79*P79+M82*P82)</f>
        <v>0</v>
      </c>
      <c r="N85" s="9">
        <f>SUM(N48*P48+N34*P34+N31*P31+N20*P20+N17*P17+N14*P14+N23*P23+N27*P27+N28*P28+N38*P38+N58*P58+N59*P59+N63*P63+N64*P64+N68*P68+N72*P72+N76*P76+N79*P79+N82*P82)</f>
        <v>0</v>
      </c>
      <c r="O85" s="357"/>
      <c r="P85" s="358"/>
      <c r="Q85" s="358"/>
      <c r="R85" s="359"/>
      <c r="S85" s="150"/>
    </row>
    <row r="86" spans="1:19" s="129" customFormat="1" x14ac:dyDescent="0.25">
      <c r="A86" s="165"/>
      <c r="B86" s="490" t="s">
        <v>1531</v>
      </c>
      <c r="C86" s="491"/>
      <c r="D86" s="491"/>
      <c r="E86" s="491"/>
      <c r="F86" s="491"/>
      <c r="G86" s="491"/>
      <c r="H86" s="491"/>
      <c r="I86" s="491"/>
      <c r="J86" s="491"/>
      <c r="K86" s="491"/>
      <c r="L86" s="491"/>
      <c r="M86" s="491"/>
      <c r="N86" s="491"/>
      <c r="O86" s="491"/>
      <c r="P86" s="34" t="s">
        <v>0</v>
      </c>
      <c r="Q86" s="34"/>
      <c r="R86" s="9">
        <f>R84*0.1</f>
        <v>0</v>
      </c>
      <c r="S86" s="150"/>
    </row>
    <row r="87" spans="1:19" x14ac:dyDescent="0.25">
      <c r="B87" s="32"/>
      <c r="C87" s="32"/>
      <c r="D87" s="360"/>
      <c r="E87" s="32"/>
      <c r="F87" s="32"/>
      <c r="G87" s="32"/>
      <c r="H87" s="32"/>
      <c r="I87" s="360"/>
      <c r="J87" s="32"/>
      <c r="K87" s="32"/>
      <c r="L87" s="32"/>
      <c r="M87" s="32"/>
      <c r="N87" s="32"/>
      <c r="O87" s="361"/>
      <c r="P87" s="32"/>
      <c r="Q87" s="32"/>
      <c r="R87" s="32"/>
    </row>
    <row r="88" spans="1:19" s="129" customFormat="1" x14ac:dyDescent="0.25">
      <c r="A88" s="165" t="s">
        <v>1530</v>
      </c>
      <c r="B88" s="490" t="s">
        <v>1532</v>
      </c>
      <c r="C88" s="491"/>
      <c r="D88" s="491"/>
      <c r="E88" s="491"/>
      <c r="F88" s="491"/>
      <c r="G88" s="491"/>
      <c r="H88" s="491"/>
      <c r="I88" s="491"/>
      <c r="J88" s="491"/>
      <c r="K88" s="491"/>
      <c r="L88" s="491"/>
      <c r="M88" s="491"/>
      <c r="N88" s="491"/>
      <c r="O88" s="491"/>
      <c r="P88" s="34" t="s">
        <v>0</v>
      </c>
      <c r="Q88" s="34"/>
      <c r="R88" s="362">
        <f>R84+R86</f>
        <v>0</v>
      </c>
      <c r="S88" s="150"/>
    </row>
    <row r="89" spans="1:19" x14ac:dyDescent="0.25">
      <c r="B89" s="32"/>
      <c r="C89" s="32"/>
      <c r="D89" s="360"/>
      <c r="E89" s="32"/>
      <c r="F89" s="32"/>
      <c r="G89" s="32"/>
      <c r="H89" s="32"/>
      <c r="I89" s="360"/>
      <c r="J89" s="32"/>
      <c r="K89" s="32"/>
      <c r="L89" s="32"/>
      <c r="M89" s="32"/>
      <c r="N89" s="32"/>
      <c r="O89" s="363"/>
      <c r="P89" s="32"/>
      <c r="Q89" s="32"/>
      <c r="R89" s="32"/>
    </row>
    <row r="90" spans="1:19" x14ac:dyDescent="0.25">
      <c r="B90" s="32"/>
      <c r="C90" s="32"/>
      <c r="D90" s="360"/>
      <c r="E90" s="32"/>
      <c r="F90" s="32"/>
      <c r="G90" s="32"/>
      <c r="H90" s="32"/>
      <c r="I90" s="360"/>
      <c r="J90" s="32"/>
      <c r="K90" s="32"/>
      <c r="L90" s="32"/>
      <c r="M90" s="32"/>
      <c r="N90" s="32"/>
      <c r="O90" s="361"/>
      <c r="P90" s="32"/>
      <c r="Q90" s="32"/>
      <c r="R90" s="32"/>
    </row>
  </sheetData>
  <mergeCells count="8">
    <mergeCell ref="B86:O86"/>
    <mergeCell ref="B88:O88"/>
    <mergeCell ref="B2:P3"/>
    <mergeCell ref="D5:H5"/>
    <mergeCell ref="I5:N5"/>
    <mergeCell ref="D6:H6"/>
    <mergeCell ref="I6:N6"/>
    <mergeCell ref="B84:O84"/>
  </mergeCells>
  <conditionalFormatting sqref="D85:N85">
    <cfRule type="cellIs" dxfId="26" priority="11" stopIfTrue="1" operator="greaterThan">
      <formula>0</formula>
    </cfRule>
  </conditionalFormatting>
  <conditionalFormatting sqref="R9">
    <cfRule type="cellIs" dxfId="25" priority="19" stopIfTrue="1" operator="greaterThan">
      <formula>0</formula>
    </cfRule>
  </conditionalFormatting>
  <conditionalFormatting sqref="R12:R13">
    <cfRule type="cellIs" dxfId="24" priority="17" stopIfTrue="1" operator="greaterThan">
      <formula>0</formula>
    </cfRule>
  </conditionalFormatting>
  <conditionalFormatting sqref="R16">
    <cfRule type="cellIs" dxfId="23" priority="16" stopIfTrue="1" operator="greaterThan">
      <formula>0</formula>
    </cfRule>
  </conditionalFormatting>
  <conditionalFormatting sqref="R19">
    <cfRule type="cellIs" dxfId="22" priority="15" stopIfTrue="1" operator="greaterThan">
      <formula>0</formula>
    </cfRule>
  </conditionalFormatting>
  <conditionalFormatting sqref="R22">
    <cfRule type="cellIs" dxfId="21" priority="4" stopIfTrue="1" operator="greaterThan">
      <formula>0</formula>
    </cfRule>
  </conditionalFormatting>
  <conditionalFormatting sqref="R25">
    <cfRule type="cellIs" dxfId="20" priority="3" stopIfTrue="1" operator="greaterThan">
      <formula>0</formula>
    </cfRule>
  </conditionalFormatting>
  <conditionalFormatting sqref="R30">
    <cfRule type="cellIs" dxfId="19" priority="14" stopIfTrue="1" operator="greaterThan">
      <formula>0</formula>
    </cfRule>
  </conditionalFormatting>
  <conditionalFormatting sqref="R33">
    <cfRule type="cellIs" dxfId="18" priority="13" stopIfTrue="1" operator="greaterThan">
      <formula>0</formula>
    </cfRule>
  </conditionalFormatting>
  <conditionalFormatting sqref="R36">
    <cfRule type="cellIs" dxfId="17" priority="12" stopIfTrue="1" operator="greaterThan">
      <formula>0</formula>
    </cfRule>
  </conditionalFormatting>
  <conditionalFormatting sqref="R56">
    <cfRule type="cellIs" dxfId="16" priority="10" stopIfTrue="1" operator="greaterThan">
      <formula>0</formula>
    </cfRule>
  </conditionalFormatting>
  <conditionalFormatting sqref="R61:R62">
    <cfRule type="cellIs" dxfId="15" priority="9" stopIfTrue="1" operator="greaterThan">
      <formula>0</formula>
    </cfRule>
  </conditionalFormatting>
  <conditionalFormatting sqref="R66:R67">
    <cfRule type="cellIs" dxfId="14" priority="8" stopIfTrue="1" operator="greaterThan">
      <formula>0</formula>
    </cfRule>
  </conditionalFormatting>
  <conditionalFormatting sqref="R70:R71">
    <cfRule type="cellIs" dxfId="13" priority="7" stopIfTrue="1" operator="greaterThan">
      <formula>0</formula>
    </cfRule>
  </conditionalFormatting>
  <conditionalFormatting sqref="R74:R75">
    <cfRule type="cellIs" dxfId="12" priority="6" stopIfTrue="1" operator="greaterThan">
      <formula>0</formula>
    </cfRule>
  </conditionalFormatting>
  <conditionalFormatting sqref="R77:R78">
    <cfRule type="cellIs" dxfId="11" priority="5" stopIfTrue="1" operator="greaterThan">
      <formula>0</formula>
    </cfRule>
  </conditionalFormatting>
  <conditionalFormatting sqref="R81">
    <cfRule type="cellIs" dxfId="10" priority="2" stopIfTrue="1" operator="greaterThan">
      <formula>0</formula>
    </cfRule>
  </conditionalFormatting>
  <conditionalFormatting sqref="R84:R86">
    <cfRule type="cellIs" dxfId="9" priority="18" stopIfTrue="1" operator="greaterThan">
      <formula>0</formula>
    </cfRule>
  </conditionalFormatting>
  <conditionalFormatting sqref="R88">
    <cfRule type="cellIs" dxfId="8" priority="1" stopIfTrue="1" operator="greater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0CE34-7E96-4009-9D22-EB91BA1FB16E}">
  <sheetPr>
    <tabColor theme="2" tint="-9.9978637043366805E-2"/>
  </sheetPr>
  <dimension ref="A1:XFD131"/>
  <sheetViews>
    <sheetView topLeftCell="A16" zoomScale="70" zoomScaleNormal="70" workbookViewId="0">
      <selection activeCell="W32" sqref="W32"/>
    </sheetView>
  </sheetViews>
  <sheetFormatPr defaultRowHeight="15" x14ac:dyDescent="0.25"/>
  <cols>
    <col min="2" max="2" width="57.85546875" customWidth="1"/>
  </cols>
  <sheetData>
    <row r="1" spans="1:21" s="42" customFormat="1" x14ac:dyDescent="0.25">
      <c r="A1" s="157"/>
      <c r="B1" s="112" t="s">
        <v>1198</v>
      </c>
      <c r="C1" s="44"/>
      <c r="D1" s="53"/>
      <c r="E1" s="53"/>
      <c r="F1" s="53"/>
      <c r="G1" s="53"/>
      <c r="H1" s="53"/>
      <c r="I1" s="53"/>
      <c r="J1" s="53"/>
      <c r="K1" s="53"/>
      <c r="L1" s="53"/>
      <c r="M1" s="53"/>
      <c r="N1" s="53"/>
      <c r="O1" s="113"/>
      <c r="P1" s="44"/>
      <c r="Q1" s="44"/>
      <c r="R1" s="44"/>
      <c r="S1" s="44"/>
      <c r="T1" s="44"/>
      <c r="U1" s="47"/>
    </row>
    <row r="2" spans="1:21" s="42" customFormat="1" ht="15" customHeight="1" x14ac:dyDescent="0.25">
      <c r="A2" s="157"/>
      <c r="B2" s="480" t="s">
        <v>11</v>
      </c>
      <c r="C2" s="481"/>
      <c r="D2" s="481"/>
      <c r="E2" s="481"/>
      <c r="F2" s="481"/>
      <c r="G2" s="481"/>
      <c r="H2" s="481"/>
      <c r="I2" s="481"/>
      <c r="J2" s="481"/>
      <c r="K2" s="481"/>
      <c r="L2" s="481"/>
      <c r="M2" s="481"/>
      <c r="N2" s="481"/>
      <c r="O2" s="481"/>
      <c r="P2" s="481"/>
      <c r="Q2" s="481"/>
      <c r="R2" s="482"/>
      <c r="S2" s="7" t="s">
        <v>10</v>
      </c>
      <c r="T2" s="133">
        <v>0</v>
      </c>
      <c r="U2" s="47"/>
    </row>
    <row r="3" spans="1:21" s="42" customFormat="1" x14ac:dyDescent="0.25">
      <c r="A3" s="157"/>
      <c r="B3" s="483"/>
      <c r="C3" s="484"/>
      <c r="D3" s="484"/>
      <c r="E3" s="484"/>
      <c r="F3" s="484"/>
      <c r="G3" s="484"/>
      <c r="H3" s="484"/>
      <c r="I3" s="484"/>
      <c r="J3" s="484"/>
      <c r="K3" s="484"/>
      <c r="L3" s="484"/>
      <c r="M3" s="484"/>
      <c r="N3" s="484"/>
      <c r="O3" s="484"/>
      <c r="P3" s="484"/>
      <c r="Q3" s="484"/>
      <c r="R3" s="485"/>
      <c r="S3" s="7" t="s">
        <v>9</v>
      </c>
      <c r="T3" s="134" t="s">
        <v>1006</v>
      </c>
      <c r="U3" s="47"/>
    </row>
    <row r="4" spans="1:21" s="42" customFormat="1" x14ac:dyDescent="0.25">
      <c r="A4" s="157"/>
      <c r="B4" s="114" t="s">
        <v>1199</v>
      </c>
      <c r="C4" s="114" t="s">
        <v>12</v>
      </c>
      <c r="D4" s="115">
        <f>1*N4</f>
        <v>1</v>
      </c>
      <c r="E4" s="115">
        <f>1*N4</f>
        <v>1</v>
      </c>
      <c r="F4" s="115">
        <f>1*N4</f>
        <v>1</v>
      </c>
      <c r="G4" s="115">
        <f>1*N4</f>
        <v>1</v>
      </c>
      <c r="H4" s="115">
        <f>4*$N4</f>
        <v>4</v>
      </c>
      <c r="I4" s="115">
        <f>1*N4</f>
        <v>1</v>
      </c>
      <c r="J4" s="115">
        <f>1*N4</f>
        <v>1</v>
      </c>
      <c r="K4" s="115">
        <f>2*$N4</f>
        <v>2</v>
      </c>
      <c r="L4" s="115">
        <f>1*N4</f>
        <v>1</v>
      </c>
      <c r="M4" s="45">
        <v>1</v>
      </c>
      <c r="N4" s="57">
        <v>1</v>
      </c>
      <c r="O4" s="116">
        <v>13</v>
      </c>
      <c r="P4" s="114"/>
      <c r="Q4" s="114"/>
      <c r="R4" s="114"/>
      <c r="S4" s="44"/>
      <c r="T4" s="44"/>
      <c r="U4" s="47"/>
    </row>
    <row r="5" spans="1:21" s="117" customFormat="1" ht="15.75" x14ac:dyDescent="0.25">
      <c r="A5" s="158" t="s">
        <v>1</v>
      </c>
      <c r="B5" s="486" t="s">
        <v>35</v>
      </c>
      <c r="C5" s="486"/>
      <c r="D5" s="486"/>
      <c r="E5" s="486"/>
      <c r="F5" s="486"/>
      <c r="G5" s="486"/>
      <c r="H5" s="486"/>
      <c r="I5" s="486"/>
      <c r="J5" s="486"/>
      <c r="K5" s="486"/>
      <c r="L5" s="486"/>
      <c r="M5" s="486"/>
      <c r="N5" s="486"/>
      <c r="O5" s="486"/>
      <c r="P5" s="486"/>
      <c r="Q5" s="486"/>
      <c r="R5" s="486"/>
      <c r="S5" s="486"/>
      <c r="T5" s="486"/>
      <c r="U5" s="149"/>
    </row>
    <row r="6" spans="1:21" s="42" customFormat="1" ht="15.75" thickBot="1" x14ac:dyDescent="0.3">
      <c r="A6" s="157"/>
      <c r="B6" s="44"/>
      <c r="C6" s="44"/>
      <c r="D6" s="44"/>
      <c r="E6" s="44"/>
      <c r="F6" s="44"/>
      <c r="G6" s="44"/>
      <c r="H6" s="44"/>
      <c r="I6" s="44"/>
      <c r="J6" s="44"/>
      <c r="K6" s="44"/>
      <c r="L6" s="44"/>
      <c r="M6" s="44"/>
      <c r="N6" s="44"/>
      <c r="O6" s="118"/>
      <c r="P6" s="44"/>
      <c r="Q6" s="44"/>
      <c r="R6" s="44"/>
      <c r="S6" s="44"/>
      <c r="T6" s="44"/>
      <c r="U6" s="47"/>
    </row>
    <row r="7" spans="1:21" s="42" customFormat="1" ht="50.1" customHeight="1" thickBot="1" x14ac:dyDescent="0.3">
      <c r="A7" s="119" t="s">
        <v>8</v>
      </c>
      <c r="B7" s="119" t="s">
        <v>7</v>
      </c>
      <c r="C7" s="120" t="s">
        <v>6</v>
      </c>
      <c r="D7" s="487"/>
      <c r="E7" s="487"/>
      <c r="F7" s="487"/>
      <c r="G7" s="487"/>
      <c r="H7" s="487"/>
      <c r="I7" s="487"/>
      <c r="J7" s="487"/>
      <c r="K7" s="487"/>
      <c r="L7" s="487"/>
      <c r="M7" s="487"/>
      <c r="N7" s="487"/>
      <c r="O7" s="121" t="s">
        <v>54</v>
      </c>
      <c r="P7" s="122" t="s">
        <v>5</v>
      </c>
      <c r="Q7" s="121" t="s">
        <v>4</v>
      </c>
      <c r="R7" s="121" t="s">
        <v>1004</v>
      </c>
      <c r="S7" s="121"/>
      <c r="T7" s="119" t="s">
        <v>1005</v>
      </c>
      <c r="U7" s="47"/>
    </row>
    <row r="8" spans="1:21" s="42" customFormat="1" ht="50.1" customHeight="1" thickBot="1" x14ac:dyDescent="0.3">
      <c r="A8" s="123"/>
      <c r="B8" s="123"/>
      <c r="C8" s="124"/>
      <c r="D8" s="477" t="s">
        <v>1002</v>
      </c>
      <c r="E8" s="478"/>
      <c r="F8" s="478"/>
      <c r="G8" s="478"/>
      <c r="H8" s="478"/>
      <c r="I8" s="478"/>
      <c r="J8" s="478"/>
      <c r="K8" s="478"/>
      <c r="L8" s="478"/>
      <c r="M8" s="478"/>
      <c r="N8" s="479"/>
      <c r="O8" s="125"/>
      <c r="P8" s="124"/>
      <c r="Q8" s="124"/>
      <c r="R8" s="124"/>
      <c r="S8" s="124"/>
      <c r="T8" s="123"/>
      <c r="U8" s="47"/>
    </row>
    <row r="9" spans="1:21" s="42" customFormat="1" ht="62.25" customHeight="1" x14ac:dyDescent="0.25">
      <c r="A9" s="123"/>
      <c r="B9" s="123"/>
      <c r="C9" s="124"/>
      <c r="D9" s="127" t="s">
        <v>1273</v>
      </c>
      <c r="E9" s="127" t="s">
        <v>1274</v>
      </c>
      <c r="F9" s="46" t="s">
        <v>1275</v>
      </c>
      <c r="G9" s="46" t="s">
        <v>1276</v>
      </c>
      <c r="H9" s="46" t="s">
        <v>1277</v>
      </c>
      <c r="I9" s="46" t="s">
        <v>1278</v>
      </c>
      <c r="J9" s="46" t="s">
        <v>1279</v>
      </c>
      <c r="K9" s="46" t="s">
        <v>1280</v>
      </c>
      <c r="L9" s="46" t="s">
        <v>1281</v>
      </c>
      <c r="M9" s="154" t="s">
        <v>1208</v>
      </c>
      <c r="N9" s="126" t="s">
        <v>1003</v>
      </c>
      <c r="O9" s="125"/>
      <c r="P9" s="124"/>
      <c r="Q9" s="124"/>
      <c r="R9" s="124"/>
      <c r="S9" s="124"/>
      <c r="T9" s="123"/>
      <c r="U9" s="47"/>
    </row>
    <row r="10" spans="1:21" s="32" customFormat="1" ht="12.75" x14ac:dyDescent="0.2">
      <c r="A10" s="159"/>
      <c r="B10" s="30"/>
      <c r="C10" s="25"/>
      <c r="D10" s="25"/>
      <c r="E10" s="25"/>
      <c r="F10" s="25"/>
      <c r="G10" s="25"/>
      <c r="H10" s="25"/>
      <c r="I10" s="25"/>
      <c r="J10" s="25"/>
      <c r="K10" s="25"/>
      <c r="L10" s="25"/>
      <c r="M10" s="25"/>
      <c r="N10" s="25"/>
      <c r="O10" s="58"/>
      <c r="P10" s="26"/>
      <c r="Q10" s="26"/>
      <c r="R10" s="26"/>
      <c r="S10" s="26"/>
      <c r="T10" s="22"/>
      <c r="U10" s="37"/>
    </row>
    <row r="11" spans="1:21" s="32" customFormat="1" ht="12.75" x14ac:dyDescent="0.2">
      <c r="A11" s="159"/>
      <c r="B11" s="31"/>
      <c r="C11" s="25"/>
      <c r="D11" s="25"/>
      <c r="E11" s="25"/>
      <c r="F11" s="25"/>
      <c r="G11" s="25"/>
      <c r="H11" s="25"/>
      <c r="I11" s="25"/>
      <c r="J11" s="25"/>
      <c r="K11" s="25"/>
      <c r="L11" s="25"/>
      <c r="M11" s="25"/>
      <c r="N11" s="25"/>
      <c r="O11" s="58"/>
      <c r="P11" s="26"/>
      <c r="Q11" s="26"/>
      <c r="R11" s="26"/>
      <c r="S11" s="26"/>
      <c r="T11" s="35"/>
      <c r="U11" s="37"/>
    </row>
    <row r="12" spans="1:21" s="117" customFormat="1" ht="15.75" x14ac:dyDescent="0.25">
      <c r="A12" s="160" t="s">
        <v>53</v>
      </c>
      <c r="B12" s="39" t="s">
        <v>1282</v>
      </c>
      <c r="C12" s="40"/>
      <c r="D12" s="40"/>
      <c r="E12" s="40"/>
      <c r="F12" s="40"/>
      <c r="G12" s="40"/>
      <c r="H12" s="40"/>
      <c r="I12" s="40"/>
      <c r="J12" s="40"/>
      <c r="K12" s="40"/>
      <c r="L12" s="40"/>
      <c r="M12" s="40"/>
      <c r="N12" s="40"/>
      <c r="O12" s="59"/>
      <c r="P12" s="40"/>
      <c r="Q12" s="40"/>
      <c r="R12" s="40"/>
      <c r="S12" s="40"/>
      <c r="T12" s="41"/>
      <c r="U12" s="149"/>
    </row>
    <row r="14" spans="1:21" s="42" customFormat="1" x14ac:dyDescent="0.25">
      <c r="A14" s="161" t="s">
        <v>1252</v>
      </c>
      <c r="B14" s="493" t="s">
        <v>1253</v>
      </c>
      <c r="C14" s="493"/>
      <c r="D14" s="493"/>
      <c r="E14" s="493"/>
      <c r="F14" s="493"/>
      <c r="G14" s="493"/>
      <c r="H14" s="493"/>
      <c r="I14" s="493"/>
      <c r="J14" s="493"/>
      <c r="K14" s="493"/>
      <c r="L14" s="493"/>
      <c r="M14" s="493"/>
      <c r="N14" s="493"/>
      <c r="O14" s="493"/>
      <c r="P14" s="493"/>
      <c r="Q14" s="493"/>
      <c r="R14" s="493"/>
      <c r="S14" s="43"/>
      <c r="T14" s="33"/>
      <c r="U14" s="47"/>
    </row>
    <row r="15" spans="1:21" s="32" customFormat="1" ht="12.75" x14ac:dyDescent="0.2">
      <c r="A15" s="159"/>
      <c r="B15" s="31"/>
      <c r="C15" s="25"/>
      <c r="D15" s="25"/>
      <c r="E15" s="25"/>
      <c r="F15" s="25"/>
      <c r="G15" s="25"/>
      <c r="H15" s="25"/>
      <c r="I15" s="25"/>
      <c r="J15" s="25"/>
      <c r="K15" s="25"/>
      <c r="L15" s="25"/>
      <c r="M15" s="25"/>
      <c r="N15" s="25"/>
      <c r="O15" s="58"/>
      <c r="P15" s="26"/>
      <c r="Q15" s="26"/>
      <c r="R15" s="26"/>
      <c r="S15" s="26"/>
      <c r="T15" s="35"/>
      <c r="U15" s="37"/>
    </row>
    <row r="16" spans="1:21" s="32" customFormat="1" ht="38.25" x14ac:dyDescent="0.2">
      <c r="A16" s="166" t="s">
        <v>1021</v>
      </c>
      <c r="B16" s="27" t="s">
        <v>1364</v>
      </c>
      <c r="C16" s="28"/>
      <c r="D16" s="28"/>
      <c r="E16" s="28"/>
      <c r="F16" s="28"/>
      <c r="G16" s="28"/>
      <c r="H16" s="28"/>
      <c r="I16" s="28"/>
      <c r="J16" s="28"/>
      <c r="K16" s="28"/>
      <c r="L16" s="28"/>
      <c r="M16" s="28"/>
      <c r="N16" s="28"/>
      <c r="O16" s="60"/>
      <c r="P16" s="29"/>
      <c r="Q16" s="29"/>
      <c r="R16" s="29"/>
      <c r="S16" s="29"/>
      <c r="T16" s="23"/>
      <c r="U16" s="37"/>
    </row>
    <row r="17" spans="1:21" s="32" customFormat="1" ht="89.25" x14ac:dyDescent="0.2">
      <c r="A17" s="159"/>
      <c r="B17" s="266" t="s">
        <v>1365</v>
      </c>
      <c r="C17" s="25"/>
      <c r="D17" s="25"/>
      <c r="E17" s="25"/>
      <c r="F17" s="25"/>
      <c r="G17" s="25"/>
      <c r="H17" s="25"/>
      <c r="I17" s="25"/>
      <c r="J17" s="25"/>
      <c r="K17" s="25"/>
      <c r="L17" s="25"/>
      <c r="M17" s="25"/>
      <c r="N17" s="25"/>
      <c r="O17" s="58"/>
      <c r="P17" s="26"/>
      <c r="Q17" s="26"/>
      <c r="R17" s="26"/>
      <c r="S17" s="26"/>
      <c r="T17" s="35"/>
      <c r="U17" s="37"/>
    </row>
    <row r="18" spans="1:21" s="32" customFormat="1" ht="12.75" x14ac:dyDescent="0.2">
      <c r="A18" s="159"/>
      <c r="B18" s="30" t="s">
        <v>1255</v>
      </c>
      <c r="C18" s="25"/>
      <c r="D18" s="25"/>
      <c r="E18" s="25"/>
      <c r="F18" s="25"/>
      <c r="G18" s="25"/>
      <c r="H18" s="25"/>
      <c r="I18" s="25"/>
      <c r="J18" s="25"/>
      <c r="K18" s="25"/>
      <c r="L18" s="25"/>
      <c r="M18" s="25"/>
      <c r="N18" s="25"/>
      <c r="O18" s="58"/>
      <c r="P18" s="26"/>
      <c r="Q18" s="26"/>
      <c r="R18" s="26"/>
      <c r="S18" s="26"/>
      <c r="T18" s="35"/>
      <c r="U18" s="37"/>
    </row>
    <row r="19" spans="1:21" s="32" customFormat="1" ht="39" thickBot="1" x14ac:dyDescent="0.25">
      <c r="A19" s="159"/>
      <c r="B19" s="30" t="s">
        <v>1256</v>
      </c>
      <c r="C19" s="25"/>
      <c r="D19" s="25"/>
      <c r="E19" s="25"/>
      <c r="F19" s="25"/>
      <c r="G19" s="25"/>
      <c r="H19" s="25"/>
      <c r="I19" s="25"/>
      <c r="J19" s="25"/>
      <c r="K19" s="25"/>
      <c r="L19" s="25"/>
      <c r="M19" s="25"/>
      <c r="N19" s="25"/>
      <c r="O19" s="58"/>
      <c r="P19" s="26"/>
      <c r="Q19" s="26"/>
      <c r="R19" s="26"/>
      <c r="S19" s="26"/>
      <c r="T19" s="35"/>
      <c r="U19" s="37"/>
    </row>
    <row r="20" spans="1:21" s="268" customFormat="1" ht="27.75" thickBot="1" x14ac:dyDescent="0.25">
      <c r="A20" s="209"/>
      <c r="B20" s="210" t="s">
        <v>1366</v>
      </c>
      <c r="C20" s="211" t="s">
        <v>1335</v>
      </c>
      <c r="D20" s="212">
        <f t="shared" ref="D20:M20" si="0">D$4*0</f>
        <v>0</v>
      </c>
      <c r="E20" s="212">
        <f t="shared" si="0"/>
        <v>0</v>
      </c>
      <c r="F20" s="213">
        <f t="shared" si="0"/>
        <v>0</v>
      </c>
      <c r="G20" s="213">
        <f t="shared" si="0"/>
        <v>0</v>
      </c>
      <c r="H20" s="213">
        <f t="shared" si="0"/>
        <v>0</v>
      </c>
      <c r="I20" s="213">
        <f t="shared" si="0"/>
        <v>0</v>
      </c>
      <c r="J20" s="213">
        <f t="shared" si="0"/>
        <v>0</v>
      </c>
      <c r="K20" s="213">
        <f t="shared" si="0"/>
        <v>0</v>
      </c>
      <c r="L20" s="213">
        <f t="shared" si="0"/>
        <v>0</v>
      </c>
      <c r="M20" s="213">
        <f t="shared" si="0"/>
        <v>0</v>
      </c>
      <c r="N20" s="214">
        <f>N$4*348*0.2</f>
        <v>69.600000000000009</v>
      </c>
      <c r="O20" s="215">
        <f>SUM(D20:N20)</f>
        <v>69.600000000000009</v>
      </c>
      <c r="P20" s="216">
        <v>0</v>
      </c>
      <c r="Q20" s="216">
        <v>0</v>
      </c>
      <c r="R20" s="216">
        <f>P20+Q20</f>
        <v>0</v>
      </c>
      <c r="S20" s="216"/>
      <c r="T20" s="217">
        <f>R20*O20</f>
        <v>0</v>
      </c>
      <c r="U20" s="267"/>
    </row>
    <row r="21" spans="1:21" s="270" customFormat="1" ht="12.75" x14ac:dyDescent="0.2">
      <c r="A21" s="159"/>
      <c r="B21" s="30"/>
      <c r="C21" s="25"/>
      <c r="D21" s="25"/>
      <c r="E21" s="25"/>
      <c r="F21" s="25"/>
      <c r="G21" s="25"/>
      <c r="H21" s="25"/>
      <c r="I21" s="25"/>
      <c r="J21" s="25"/>
      <c r="K21" s="25"/>
      <c r="L21" s="25"/>
      <c r="M21" s="25"/>
      <c r="N21" s="25"/>
      <c r="O21" s="58"/>
      <c r="P21" s="26"/>
      <c r="Q21" s="26"/>
      <c r="R21" s="26"/>
      <c r="S21" s="26"/>
      <c r="T21" s="35"/>
      <c r="U21" s="269"/>
    </row>
    <row r="22" spans="1:21" s="270" customFormat="1" ht="14.25" x14ac:dyDescent="0.2">
      <c r="A22" s="166" t="s">
        <v>1022</v>
      </c>
      <c r="B22" s="27" t="s">
        <v>1257</v>
      </c>
      <c r="C22" s="28"/>
      <c r="D22" s="28"/>
      <c r="E22" s="28"/>
      <c r="F22" s="28"/>
      <c r="G22" s="28"/>
      <c r="H22" s="28"/>
      <c r="I22" s="28"/>
      <c r="J22" s="28"/>
      <c r="K22" s="28"/>
      <c r="L22" s="28"/>
      <c r="M22" s="28"/>
      <c r="N22" s="28"/>
      <c r="O22" s="60"/>
      <c r="P22" s="29"/>
      <c r="Q22" s="29"/>
      <c r="R22" s="29"/>
      <c r="S22" s="29"/>
      <c r="T22" s="23"/>
      <c r="U22" s="269"/>
    </row>
    <row r="23" spans="1:21" s="277" customFormat="1" ht="76.5" x14ac:dyDescent="0.2">
      <c r="A23" s="271"/>
      <c r="B23" s="266" t="s">
        <v>1367</v>
      </c>
      <c r="C23" s="272"/>
      <c r="D23" s="272"/>
      <c r="E23" s="272"/>
      <c r="F23" s="272"/>
      <c r="G23" s="272"/>
      <c r="H23" s="272"/>
      <c r="I23" s="272"/>
      <c r="J23" s="272"/>
      <c r="K23" s="272"/>
      <c r="L23" s="272"/>
      <c r="M23" s="272"/>
      <c r="N23" s="272"/>
      <c r="O23" s="273"/>
      <c r="P23" s="274"/>
      <c r="Q23" s="274"/>
      <c r="R23" s="274"/>
      <c r="S23" s="274"/>
      <c r="T23" s="275"/>
      <c r="U23" s="276"/>
    </row>
    <row r="24" spans="1:21" s="270" customFormat="1" ht="13.5" thickBot="1" x14ac:dyDescent="0.25">
      <c r="A24" s="159"/>
      <c r="B24" s="30" t="s">
        <v>1255</v>
      </c>
      <c r="C24" s="25"/>
      <c r="D24" s="25"/>
      <c r="E24" s="25"/>
      <c r="F24" s="25"/>
      <c r="G24" s="25"/>
      <c r="H24" s="25"/>
      <c r="I24" s="25"/>
      <c r="J24" s="25"/>
      <c r="K24" s="25"/>
      <c r="L24" s="25"/>
      <c r="M24" s="25"/>
      <c r="N24" s="25"/>
      <c r="O24" s="58"/>
      <c r="P24" s="26"/>
      <c r="Q24" s="26"/>
      <c r="R24" s="26"/>
      <c r="S24" s="26"/>
      <c r="T24" s="35"/>
      <c r="U24" s="269"/>
    </row>
    <row r="25" spans="1:21" s="279" customFormat="1" ht="26.25" thickBot="1" x14ac:dyDescent="0.25">
      <c r="A25" s="209"/>
      <c r="B25" s="210" t="s">
        <v>1368</v>
      </c>
      <c r="C25" s="211" t="s">
        <v>1335</v>
      </c>
      <c r="D25" s="212">
        <f t="shared" ref="D25:M26" si="1">D$4*0</f>
        <v>0</v>
      </c>
      <c r="E25" s="212">
        <f t="shared" si="1"/>
        <v>0</v>
      </c>
      <c r="F25" s="213">
        <f t="shared" si="1"/>
        <v>0</v>
      </c>
      <c r="G25" s="213">
        <f t="shared" si="1"/>
        <v>0</v>
      </c>
      <c r="H25" s="213">
        <f t="shared" si="1"/>
        <v>0</v>
      </c>
      <c r="I25" s="213">
        <f t="shared" si="1"/>
        <v>0</v>
      </c>
      <c r="J25" s="213">
        <f t="shared" si="1"/>
        <v>0</v>
      </c>
      <c r="K25" s="213">
        <f t="shared" si="1"/>
        <v>0</v>
      </c>
      <c r="L25" s="213">
        <f t="shared" si="1"/>
        <v>0</v>
      </c>
      <c r="M25" s="213">
        <f t="shared" si="1"/>
        <v>0</v>
      </c>
      <c r="N25" s="214">
        <f>N$4*348*0.3</f>
        <v>104.39999999999999</v>
      </c>
      <c r="O25" s="215">
        <f>SUM(D25:N25)</f>
        <v>104.39999999999999</v>
      </c>
      <c r="P25" s="216">
        <v>0</v>
      </c>
      <c r="Q25" s="216">
        <v>0</v>
      </c>
      <c r="R25" s="216">
        <f>P25+Q25</f>
        <v>0</v>
      </c>
      <c r="S25" s="216"/>
      <c r="T25" s="217">
        <f>R25*O25</f>
        <v>0</v>
      </c>
      <c r="U25" s="278"/>
    </row>
    <row r="26" spans="1:21" s="279" customFormat="1" thickBot="1" x14ac:dyDescent="0.25">
      <c r="A26" s="209"/>
      <c r="B26" s="210" t="s">
        <v>51</v>
      </c>
      <c r="C26" s="211" t="s">
        <v>40</v>
      </c>
      <c r="D26" s="212">
        <f t="shared" si="1"/>
        <v>0</v>
      </c>
      <c r="E26" s="212">
        <f t="shared" si="1"/>
        <v>0</v>
      </c>
      <c r="F26" s="213">
        <f t="shared" si="1"/>
        <v>0</v>
      </c>
      <c r="G26" s="213">
        <f t="shared" si="1"/>
        <v>0</v>
      </c>
      <c r="H26" s="213">
        <f t="shared" si="1"/>
        <v>0</v>
      </c>
      <c r="I26" s="213">
        <f t="shared" si="1"/>
        <v>0</v>
      </c>
      <c r="J26" s="213">
        <f t="shared" si="1"/>
        <v>0</v>
      </c>
      <c r="K26" s="213">
        <f t="shared" si="1"/>
        <v>0</v>
      </c>
      <c r="L26" s="213">
        <f t="shared" si="1"/>
        <v>0</v>
      </c>
      <c r="M26" s="213">
        <f t="shared" si="1"/>
        <v>0</v>
      </c>
      <c r="N26" s="214">
        <v>40</v>
      </c>
      <c r="O26" s="215">
        <f>SUM(D26:N26)</f>
        <v>40</v>
      </c>
      <c r="P26" s="216">
        <v>0</v>
      </c>
      <c r="Q26" s="216">
        <v>0</v>
      </c>
      <c r="R26" s="216">
        <f>P26+Q26</f>
        <v>0</v>
      </c>
      <c r="S26" s="216"/>
      <c r="T26" s="217">
        <f>R26*O26</f>
        <v>0</v>
      </c>
      <c r="U26" s="278"/>
    </row>
    <row r="27" spans="1:21" s="32" customFormat="1" ht="12.75" x14ac:dyDescent="0.2">
      <c r="A27" s="159"/>
      <c r="B27" s="30"/>
      <c r="C27" s="25"/>
      <c r="D27" s="25"/>
      <c r="E27" s="25"/>
      <c r="F27" s="25"/>
      <c r="G27" s="25"/>
      <c r="H27" s="25"/>
      <c r="I27" s="25"/>
      <c r="J27" s="25"/>
      <c r="K27" s="25"/>
      <c r="L27" s="25"/>
      <c r="M27" s="25"/>
      <c r="N27" s="25"/>
      <c r="O27" s="58"/>
      <c r="P27" s="26"/>
      <c r="Q27" s="26"/>
      <c r="R27" s="26"/>
      <c r="S27" s="26"/>
      <c r="T27" s="35"/>
      <c r="U27" s="37"/>
    </row>
    <row r="28" spans="1:21" s="32" customFormat="1" ht="25.5" x14ac:dyDescent="0.2">
      <c r="A28" s="166" t="s">
        <v>1258</v>
      </c>
      <c r="B28" s="27" t="s">
        <v>1259</v>
      </c>
      <c r="C28" s="28"/>
      <c r="D28" s="28"/>
      <c r="E28" s="28"/>
      <c r="F28" s="28"/>
      <c r="G28" s="28"/>
      <c r="H28" s="28"/>
      <c r="I28" s="28"/>
      <c r="J28" s="28"/>
      <c r="K28" s="28"/>
      <c r="L28" s="28"/>
      <c r="M28" s="28"/>
      <c r="N28" s="28"/>
      <c r="O28" s="60"/>
      <c r="P28" s="29"/>
      <c r="Q28" s="29"/>
      <c r="R28" s="29"/>
      <c r="S28" s="29"/>
      <c r="T28" s="23"/>
      <c r="U28" s="37"/>
    </row>
    <row r="29" spans="1:21" s="32" customFormat="1" ht="39" thickBot="1" x14ac:dyDescent="0.25">
      <c r="A29" s="159"/>
      <c r="B29" s="24" t="s">
        <v>1260</v>
      </c>
      <c r="C29" s="25"/>
      <c r="D29" s="25"/>
      <c r="E29" s="25"/>
      <c r="F29" s="25"/>
      <c r="G29" s="25"/>
      <c r="H29" s="25"/>
      <c r="I29" s="25"/>
      <c r="J29" s="25"/>
      <c r="K29" s="25"/>
      <c r="L29" s="25"/>
      <c r="M29" s="25"/>
      <c r="N29" s="25"/>
      <c r="O29" s="58"/>
      <c r="P29" s="26"/>
      <c r="Q29" s="26"/>
      <c r="R29" s="26"/>
      <c r="S29" s="26"/>
      <c r="T29" s="35"/>
      <c r="U29" s="37"/>
    </row>
    <row r="30" spans="1:21" s="32" customFormat="1" thickBot="1" x14ac:dyDescent="0.25">
      <c r="A30" s="166"/>
      <c r="B30" s="137" t="s">
        <v>1261</v>
      </c>
      <c r="C30" s="135" t="s">
        <v>56</v>
      </c>
      <c r="D30" s="55">
        <f t="shared" ref="D30:M30" si="2">D$4*0</f>
        <v>0</v>
      </c>
      <c r="E30" s="55">
        <f t="shared" si="2"/>
        <v>0</v>
      </c>
      <c r="F30" s="36">
        <f t="shared" si="2"/>
        <v>0</v>
      </c>
      <c r="G30" s="36">
        <f t="shared" si="2"/>
        <v>0</v>
      </c>
      <c r="H30" s="36">
        <f t="shared" si="2"/>
        <v>0</v>
      </c>
      <c r="I30" s="36">
        <f t="shared" si="2"/>
        <v>0</v>
      </c>
      <c r="J30" s="36">
        <f t="shared" si="2"/>
        <v>0</v>
      </c>
      <c r="K30" s="36">
        <f t="shared" si="2"/>
        <v>0</v>
      </c>
      <c r="L30" s="36">
        <f t="shared" si="2"/>
        <v>0</v>
      </c>
      <c r="M30" s="36">
        <f t="shared" si="2"/>
        <v>0</v>
      </c>
      <c r="N30" s="56">
        <f>N$4*244</f>
        <v>244</v>
      </c>
      <c r="O30" s="62">
        <f>SUM(D30:N30)</f>
        <v>244</v>
      </c>
      <c r="P30" s="26">
        <v>0</v>
      </c>
      <c r="Q30" s="26">
        <v>0</v>
      </c>
      <c r="R30" s="26">
        <f>P30+Q30</f>
        <v>0</v>
      </c>
      <c r="S30" s="26"/>
      <c r="T30" s="22">
        <f>R30*O30</f>
        <v>0</v>
      </c>
      <c r="U30" s="37"/>
    </row>
    <row r="31" spans="1:21" s="32" customFormat="1" ht="12.75" x14ac:dyDescent="0.2">
      <c r="A31" s="159"/>
      <c r="B31" s="24"/>
      <c r="C31" s="25"/>
      <c r="D31" s="25"/>
      <c r="E31" s="25"/>
      <c r="F31" s="25"/>
      <c r="G31" s="25"/>
      <c r="H31" s="25"/>
      <c r="I31" s="25"/>
      <c r="J31" s="25"/>
      <c r="K31" s="25"/>
      <c r="L31" s="25"/>
      <c r="M31" s="25"/>
      <c r="N31" s="25"/>
      <c r="O31" s="58"/>
      <c r="P31" s="26"/>
      <c r="Q31" s="26"/>
      <c r="R31" s="26"/>
      <c r="S31" s="26"/>
      <c r="T31" s="35"/>
      <c r="U31" s="37"/>
    </row>
    <row r="32" spans="1:21" s="32" customFormat="1" ht="27" customHeight="1" x14ac:dyDescent="0.2">
      <c r="A32" s="166" t="s">
        <v>1262</v>
      </c>
      <c r="B32" s="27" t="s">
        <v>1263</v>
      </c>
      <c r="C32" s="28"/>
      <c r="D32" s="28"/>
      <c r="E32" s="28"/>
      <c r="F32" s="28"/>
      <c r="G32" s="28"/>
      <c r="H32" s="28"/>
      <c r="I32" s="28"/>
      <c r="J32" s="28"/>
      <c r="K32" s="28"/>
      <c r="L32" s="28"/>
      <c r="M32" s="28"/>
      <c r="N32" s="28"/>
      <c r="O32" s="60"/>
      <c r="P32" s="29"/>
      <c r="Q32" s="29"/>
      <c r="R32" s="29"/>
      <c r="S32" s="29"/>
      <c r="T32" s="23"/>
      <c r="U32" s="37"/>
    </row>
    <row r="33" spans="1:21" s="32" customFormat="1" ht="39" thickBot="1" x14ac:dyDescent="0.25">
      <c r="A33" s="159"/>
      <c r="B33" s="24" t="s">
        <v>1264</v>
      </c>
      <c r="C33" s="25"/>
      <c r="D33" s="25"/>
      <c r="E33" s="25"/>
      <c r="F33" s="25"/>
      <c r="G33" s="25"/>
      <c r="H33" s="25"/>
      <c r="I33" s="25"/>
      <c r="J33" s="25"/>
      <c r="K33" s="25"/>
      <c r="L33" s="25"/>
      <c r="M33" s="25"/>
      <c r="N33" s="25"/>
      <c r="O33" s="58"/>
      <c r="P33" s="26"/>
      <c r="Q33" s="26"/>
      <c r="R33" s="26"/>
      <c r="S33" s="26"/>
      <c r="T33" s="35"/>
      <c r="U33" s="37"/>
    </row>
    <row r="34" spans="1:21" s="32" customFormat="1" ht="14.25" x14ac:dyDescent="0.2">
      <c r="A34" s="166"/>
      <c r="B34" s="137" t="s">
        <v>1261</v>
      </c>
      <c r="C34" s="135" t="s">
        <v>56</v>
      </c>
      <c r="D34" s="55">
        <f t="shared" ref="D34:M34" si="3">D$4*0</f>
        <v>0</v>
      </c>
      <c r="E34" s="55">
        <f t="shared" si="3"/>
        <v>0</v>
      </c>
      <c r="F34" s="36">
        <f t="shared" si="3"/>
        <v>0</v>
      </c>
      <c r="G34" s="36">
        <f t="shared" si="3"/>
        <v>0</v>
      </c>
      <c r="H34" s="36">
        <f t="shared" si="3"/>
        <v>0</v>
      </c>
      <c r="I34" s="36">
        <f t="shared" si="3"/>
        <v>0</v>
      </c>
      <c r="J34" s="36">
        <f t="shared" si="3"/>
        <v>0</v>
      </c>
      <c r="K34" s="36">
        <f t="shared" si="3"/>
        <v>0</v>
      </c>
      <c r="L34" s="36">
        <f t="shared" si="3"/>
        <v>0</v>
      </c>
      <c r="M34" s="36">
        <f t="shared" si="3"/>
        <v>0</v>
      </c>
      <c r="N34" s="56">
        <f>N$4*348</f>
        <v>348</v>
      </c>
      <c r="O34" s="62">
        <f>SUM(D34:N34)</f>
        <v>348</v>
      </c>
      <c r="P34" s="26">
        <v>0</v>
      </c>
      <c r="Q34" s="26">
        <v>0</v>
      </c>
      <c r="R34" s="26">
        <f>P34+Q34</f>
        <v>0</v>
      </c>
      <c r="S34" s="26"/>
      <c r="T34" s="22">
        <f>R34*O34</f>
        <v>0</v>
      </c>
      <c r="U34" s="37"/>
    </row>
    <row r="35" spans="1:21" s="32" customFormat="1" ht="14.25" x14ac:dyDescent="0.2">
      <c r="A35" s="167"/>
      <c r="B35" s="30"/>
      <c r="C35" s="25"/>
      <c r="D35" s="26"/>
      <c r="E35" s="26"/>
      <c r="F35" s="26"/>
      <c r="G35" s="26"/>
      <c r="H35" s="26"/>
      <c r="I35" s="26"/>
      <c r="J35" s="26"/>
      <c r="K35" s="26"/>
      <c r="L35" s="26"/>
      <c r="M35" s="26"/>
      <c r="N35" s="26"/>
      <c r="O35" s="58"/>
      <c r="P35" s="26"/>
      <c r="Q35" s="26"/>
      <c r="R35" s="26"/>
      <c r="S35" s="26"/>
      <c r="T35" s="22"/>
      <c r="U35" s="37"/>
    </row>
    <row r="36" spans="1:21" s="32" customFormat="1" ht="18.75" customHeight="1" x14ac:dyDescent="0.2">
      <c r="A36" s="225" t="s">
        <v>1369</v>
      </c>
      <c r="B36" s="226" t="s">
        <v>1370</v>
      </c>
      <c r="C36" s="227"/>
      <c r="D36" s="227"/>
      <c r="E36" s="227"/>
      <c r="F36" s="227"/>
      <c r="G36" s="227"/>
      <c r="H36" s="227"/>
      <c r="I36" s="227"/>
      <c r="J36" s="227"/>
      <c r="K36" s="227"/>
      <c r="L36" s="227"/>
      <c r="M36" s="227"/>
      <c r="N36" s="227"/>
      <c r="O36" s="228"/>
      <c r="P36" s="229"/>
      <c r="Q36" s="229"/>
      <c r="R36" s="229"/>
      <c r="S36" s="229"/>
      <c r="T36" s="230"/>
      <c r="U36" s="37"/>
    </row>
    <row r="37" spans="1:21" s="32" customFormat="1" ht="77.25" thickBot="1" x14ac:dyDescent="0.25">
      <c r="A37" s="280"/>
      <c r="B37" s="231" t="s">
        <v>1371</v>
      </c>
      <c r="C37" s="203"/>
      <c r="D37" s="203"/>
      <c r="E37" s="203"/>
      <c r="F37" s="203"/>
      <c r="G37" s="203"/>
      <c r="H37" s="203"/>
      <c r="I37" s="203"/>
      <c r="J37" s="203"/>
      <c r="K37" s="203"/>
      <c r="L37" s="203"/>
      <c r="M37" s="203"/>
      <c r="N37" s="203"/>
      <c r="O37" s="205"/>
      <c r="P37" s="206"/>
      <c r="Q37" s="206"/>
      <c r="R37" s="206"/>
      <c r="S37" s="206"/>
      <c r="T37" s="238"/>
      <c r="U37" s="37"/>
    </row>
    <row r="38" spans="1:21" s="32" customFormat="1" thickBot="1" x14ac:dyDescent="0.25">
      <c r="A38" s="225"/>
      <c r="B38" s="232" t="s">
        <v>1372</v>
      </c>
      <c r="C38" s="233" t="s">
        <v>1347</v>
      </c>
      <c r="D38" s="234">
        <f t="shared" ref="D38:M38" si="4">D$4*0</f>
        <v>0</v>
      </c>
      <c r="E38" s="234">
        <f t="shared" si="4"/>
        <v>0</v>
      </c>
      <c r="F38" s="235">
        <f t="shared" si="4"/>
        <v>0</v>
      </c>
      <c r="G38" s="235">
        <f t="shared" si="4"/>
        <v>0</v>
      </c>
      <c r="H38" s="235">
        <f t="shared" si="4"/>
        <v>0</v>
      </c>
      <c r="I38" s="235">
        <f t="shared" si="4"/>
        <v>0</v>
      </c>
      <c r="J38" s="235">
        <f t="shared" si="4"/>
        <v>0</v>
      </c>
      <c r="K38" s="235">
        <f t="shared" si="4"/>
        <v>0</v>
      </c>
      <c r="L38" s="235">
        <f t="shared" si="4"/>
        <v>0</v>
      </c>
      <c r="M38" s="235">
        <f t="shared" si="4"/>
        <v>0</v>
      </c>
      <c r="N38" s="236">
        <f>N$4*45</f>
        <v>45</v>
      </c>
      <c r="O38" s="237">
        <f>SUM(D38:N38)</f>
        <v>45</v>
      </c>
      <c r="P38" s="206">
        <v>0</v>
      </c>
      <c r="Q38" s="206">
        <v>0</v>
      </c>
      <c r="R38" s="206">
        <f>P38+Q38</f>
        <v>0</v>
      </c>
      <c r="S38" s="206"/>
      <c r="T38" s="238">
        <f>R38*O38</f>
        <v>0</v>
      </c>
      <c r="U38" s="37"/>
    </row>
    <row r="39" spans="1:21" s="32" customFormat="1" ht="14.25" x14ac:dyDescent="0.2">
      <c r="A39" s="167"/>
      <c r="B39" s="30"/>
      <c r="C39" s="25"/>
      <c r="D39" s="26"/>
      <c r="E39" s="26"/>
      <c r="F39" s="26"/>
      <c r="G39" s="26"/>
      <c r="H39" s="26"/>
      <c r="I39" s="26"/>
      <c r="J39" s="26"/>
      <c r="K39" s="26"/>
      <c r="L39" s="26"/>
      <c r="M39" s="26"/>
      <c r="N39" s="26"/>
      <c r="O39" s="58"/>
      <c r="P39" s="26"/>
      <c r="Q39" s="26"/>
      <c r="R39" s="26"/>
      <c r="S39" s="26"/>
      <c r="T39" s="22"/>
      <c r="U39" s="37"/>
    </row>
    <row r="40" spans="1:21" s="32" customFormat="1" ht="14.25" x14ac:dyDescent="0.2">
      <c r="A40" s="225" t="s">
        <v>1373</v>
      </c>
      <c r="B40" s="226" t="s">
        <v>1374</v>
      </c>
      <c r="C40" s="227"/>
      <c r="D40" s="227"/>
      <c r="E40" s="227"/>
      <c r="F40" s="227"/>
      <c r="G40" s="227"/>
      <c r="H40" s="227"/>
      <c r="I40" s="227"/>
      <c r="J40" s="227"/>
      <c r="K40" s="227"/>
      <c r="L40" s="227"/>
      <c r="M40" s="227"/>
      <c r="N40" s="227"/>
      <c r="O40" s="228"/>
      <c r="P40" s="229"/>
      <c r="Q40" s="229"/>
      <c r="R40" s="229"/>
      <c r="S40" s="229"/>
      <c r="T40" s="230"/>
      <c r="U40" s="37"/>
    </row>
    <row r="41" spans="1:21" s="32" customFormat="1" ht="64.5" thickBot="1" x14ac:dyDescent="0.25">
      <c r="A41" s="280"/>
      <c r="B41" s="281" t="s">
        <v>1375</v>
      </c>
      <c r="C41" s="203"/>
      <c r="D41" s="203"/>
      <c r="E41" s="203"/>
      <c r="F41" s="203"/>
      <c r="G41" s="203"/>
      <c r="H41" s="203"/>
      <c r="I41" s="203"/>
      <c r="J41" s="203"/>
      <c r="K41" s="203"/>
      <c r="L41" s="203"/>
      <c r="M41" s="203"/>
      <c r="N41" s="203"/>
      <c r="O41" s="205"/>
      <c r="P41" s="206"/>
      <c r="Q41" s="206"/>
      <c r="R41" s="206"/>
      <c r="S41" s="206"/>
      <c r="T41" s="238"/>
      <c r="U41" s="37"/>
    </row>
    <row r="42" spans="1:21" s="32" customFormat="1" thickBot="1" x14ac:dyDescent="0.25">
      <c r="A42" s="225"/>
      <c r="B42" s="232" t="s">
        <v>3</v>
      </c>
      <c r="C42" s="233" t="s">
        <v>2</v>
      </c>
      <c r="D42" s="234">
        <f t="shared" ref="D42:M42" si="5">D$4*0</f>
        <v>0</v>
      </c>
      <c r="E42" s="234">
        <f t="shared" si="5"/>
        <v>0</v>
      </c>
      <c r="F42" s="235">
        <f t="shared" si="5"/>
        <v>0</v>
      </c>
      <c r="G42" s="235">
        <f t="shared" si="5"/>
        <v>0</v>
      </c>
      <c r="H42" s="235">
        <f t="shared" si="5"/>
        <v>0</v>
      </c>
      <c r="I42" s="235">
        <f t="shared" si="5"/>
        <v>0</v>
      </c>
      <c r="J42" s="235">
        <f t="shared" si="5"/>
        <v>0</v>
      </c>
      <c r="K42" s="235">
        <f t="shared" si="5"/>
        <v>0</v>
      </c>
      <c r="L42" s="235">
        <f t="shared" si="5"/>
        <v>0</v>
      </c>
      <c r="M42" s="235">
        <f t="shared" si="5"/>
        <v>0</v>
      </c>
      <c r="N42" s="236">
        <v>46</v>
      </c>
      <c r="O42" s="237">
        <f>SUM(D42:N42)</f>
        <v>46</v>
      </c>
      <c r="P42" s="206">
        <v>0</v>
      </c>
      <c r="Q42" s="206">
        <v>0</v>
      </c>
      <c r="R42" s="206">
        <f>P42+Q42</f>
        <v>0</v>
      </c>
      <c r="S42" s="206"/>
      <c r="T42" s="238">
        <f>R42*O42</f>
        <v>0</v>
      </c>
      <c r="U42" s="37"/>
    </row>
    <row r="43" spans="1:21" s="32" customFormat="1" ht="12.75" x14ac:dyDescent="0.2">
      <c r="A43" s="159"/>
      <c r="B43" s="31"/>
      <c r="C43" s="25"/>
      <c r="D43" s="25"/>
      <c r="E43" s="25"/>
      <c r="F43" s="25"/>
      <c r="G43" s="25"/>
      <c r="H43" s="25"/>
      <c r="I43" s="25"/>
      <c r="J43" s="25"/>
      <c r="K43" s="25"/>
      <c r="L43" s="25"/>
      <c r="M43" s="25"/>
      <c r="N43" s="25"/>
      <c r="O43" s="58"/>
      <c r="P43" s="26"/>
      <c r="Q43" s="26"/>
      <c r="R43" s="26"/>
      <c r="S43" s="26"/>
      <c r="T43" s="35"/>
      <c r="U43" s="37"/>
    </row>
    <row r="44" spans="1:21" s="129" customFormat="1" x14ac:dyDescent="0.25">
      <c r="A44" s="165" t="s">
        <v>1265</v>
      </c>
      <c r="B44" s="490" t="s">
        <v>1253</v>
      </c>
      <c r="C44" s="491"/>
      <c r="D44" s="491"/>
      <c r="E44" s="491"/>
      <c r="F44" s="491"/>
      <c r="G44" s="491"/>
      <c r="H44" s="491"/>
      <c r="I44" s="491"/>
      <c r="J44" s="491"/>
      <c r="K44" s="491"/>
      <c r="L44" s="491"/>
      <c r="M44" s="491"/>
      <c r="N44" s="491"/>
      <c r="O44" s="491"/>
      <c r="P44" s="491"/>
      <c r="Q44" s="492"/>
      <c r="R44" s="34" t="s">
        <v>0</v>
      </c>
      <c r="S44" s="34"/>
      <c r="T44" s="9">
        <f>SUM(T15:T43)</f>
        <v>0</v>
      </c>
      <c r="U44" s="150"/>
    </row>
    <row r="45" spans="1:21" s="32" customFormat="1" ht="12.75" x14ac:dyDescent="0.2">
      <c r="A45" s="159"/>
      <c r="B45" s="31"/>
      <c r="C45" s="25"/>
      <c r="D45" s="25"/>
      <c r="E45" s="25"/>
      <c r="F45" s="25"/>
      <c r="G45" s="25"/>
      <c r="H45" s="25"/>
      <c r="I45" s="25"/>
      <c r="J45" s="25"/>
      <c r="K45" s="25"/>
      <c r="L45" s="25"/>
      <c r="M45" s="25"/>
      <c r="N45" s="25"/>
      <c r="O45" s="58"/>
      <c r="P45" s="26"/>
      <c r="Q45" s="26"/>
      <c r="R45" s="26"/>
      <c r="S45" s="26"/>
      <c r="T45" s="35"/>
      <c r="U45" s="37"/>
    </row>
    <row r="46" spans="1:21" s="32" customFormat="1" ht="12.75" x14ac:dyDescent="0.2">
      <c r="A46" s="159"/>
      <c r="B46" s="31"/>
      <c r="C46" s="25"/>
      <c r="D46" s="25"/>
      <c r="E46" s="25"/>
      <c r="F46" s="25"/>
      <c r="G46" s="25"/>
      <c r="H46" s="25"/>
      <c r="I46" s="25"/>
      <c r="J46" s="25"/>
      <c r="K46" s="25"/>
      <c r="L46" s="25"/>
      <c r="M46" s="25"/>
      <c r="N46" s="25"/>
      <c r="O46" s="58"/>
      <c r="P46" s="26"/>
      <c r="Q46" s="26"/>
      <c r="R46" s="26"/>
      <c r="S46" s="26"/>
      <c r="T46" s="35"/>
      <c r="U46" s="37"/>
    </row>
    <row r="47" spans="1:21" s="129" customFormat="1" x14ac:dyDescent="0.25">
      <c r="A47" s="165"/>
      <c r="B47" s="186"/>
      <c r="C47" s="186"/>
      <c r="D47" s="186"/>
      <c r="E47" s="186"/>
      <c r="F47" s="186"/>
      <c r="G47" s="186"/>
      <c r="H47" s="186"/>
      <c r="I47" s="186"/>
      <c r="J47" s="186"/>
      <c r="K47" s="186"/>
      <c r="L47" s="186"/>
      <c r="M47" s="186"/>
      <c r="N47" s="186"/>
      <c r="O47" s="186"/>
      <c r="P47" s="186"/>
      <c r="Q47" s="186"/>
      <c r="R47" s="34"/>
      <c r="S47" s="34"/>
      <c r="T47" s="9"/>
      <c r="U47" s="150"/>
    </row>
    <row r="48" spans="1:21" s="132" customFormat="1" ht="15.75" x14ac:dyDescent="0.25">
      <c r="A48" s="160" t="s">
        <v>1265</v>
      </c>
      <c r="B48" s="130" t="s">
        <v>1326</v>
      </c>
      <c r="C48" s="49"/>
      <c r="D48" s="49"/>
      <c r="E48" s="49"/>
      <c r="F48" s="49"/>
      <c r="G48" s="49"/>
      <c r="H48" s="49"/>
      <c r="I48" s="49"/>
      <c r="J48" s="49"/>
      <c r="K48" s="49"/>
      <c r="L48" s="49"/>
      <c r="M48" s="49"/>
      <c r="N48" s="49"/>
      <c r="O48" s="131"/>
      <c r="P48" s="49"/>
      <c r="Q48" s="49"/>
      <c r="R48" s="476" t="s">
        <v>57</v>
      </c>
      <c r="S48" s="476"/>
      <c r="T48" s="50">
        <f>T44*5</f>
        <v>0</v>
      </c>
      <c r="U48" s="151"/>
    </row>
    <row r="49" spans="1:17" ht="15.75" thickBot="1" x14ac:dyDescent="0.3"/>
    <row r="50" spans="1:17" s="42" customFormat="1" ht="50.1" customHeight="1" thickBot="1" x14ac:dyDescent="0.3">
      <c r="A50" s="119" t="s">
        <v>8</v>
      </c>
      <c r="B50" s="119" t="s">
        <v>7</v>
      </c>
      <c r="C50" s="120" t="s">
        <v>6</v>
      </c>
      <c r="D50" s="487"/>
      <c r="E50" s="487"/>
      <c r="F50" s="487"/>
      <c r="G50" s="487"/>
      <c r="H50" s="487"/>
      <c r="I50" s="487"/>
      <c r="J50" s="487"/>
      <c r="K50" s="121" t="s">
        <v>54</v>
      </c>
      <c r="L50" s="122" t="s">
        <v>5</v>
      </c>
      <c r="M50" s="121" t="s">
        <v>4</v>
      </c>
      <c r="N50" s="121" t="s">
        <v>1004</v>
      </c>
      <c r="O50" s="121"/>
      <c r="P50" s="119" t="s">
        <v>1005</v>
      </c>
      <c r="Q50" s="47"/>
    </row>
    <row r="51" spans="1:17" s="42" customFormat="1" ht="50.1" customHeight="1" thickBot="1" x14ac:dyDescent="0.3">
      <c r="A51" s="123"/>
      <c r="B51" s="123"/>
      <c r="C51" s="124"/>
      <c r="D51" s="477" t="s">
        <v>1283</v>
      </c>
      <c r="E51" s="478"/>
      <c r="F51" s="478"/>
      <c r="G51" s="478"/>
      <c r="H51" s="478"/>
      <c r="I51" s="478"/>
      <c r="J51" s="479"/>
      <c r="K51" s="125"/>
      <c r="L51" s="124"/>
      <c r="M51" s="124"/>
      <c r="N51" s="124"/>
      <c r="O51" s="124"/>
      <c r="P51" s="123"/>
      <c r="Q51" s="47"/>
    </row>
    <row r="52" spans="1:17" s="42" customFormat="1" ht="62.25" customHeight="1" x14ac:dyDescent="0.25">
      <c r="A52" s="123"/>
      <c r="B52" s="123"/>
      <c r="C52" s="124"/>
      <c r="D52" s="173" t="s">
        <v>1284</v>
      </c>
      <c r="E52" s="46" t="s">
        <v>1285</v>
      </c>
      <c r="F52" s="46" t="s">
        <v>1286</v>
      </c>
      <c r="G52" s="46" t="s">
        <v>1287</v>
      </c>
      <c r="H52" s="46" t="s">
        <v>1288</v>
      </c>
      <c r="I52" s="154" t="s">
        <v>1208</v>
      </c>
      <c r="J52" s="126" t="s">
        <v>1003</v>
      </c>
      <c r="K52" s="125"/>
      <c r="L52" s="124"/>
      <c r="M52" s="124"/>
      <c r="N52" s="124"/>
      <c r="O52" s="124"/>
      <c r="P52" s="123"/>
      <c r="Q52" s="47"/>
    </row>
    <row r="54" spans="1:17" s="117" customFormat="1" ht="15.75" x14ac:dyDescent="0.25">
      <c r="A54" s="158" t="s">
        <v>1252</v>
      </c>
      <c r="B54" s="493" t="s">
        <v>1253</v>
      </c>
      <c r="C54" s="493"/>
      <c r="D54" s="493"/>
      <c r="E54" s="493"/>
      <c r="F54" s="493"/>
      <c r="G54" s="493"/>
      <c r="H54" s="493"/>
      <c r="I54" s="493"/>
      <c r="J54" s="493"/>
      <c r="K54" s="493"/>
      <c r="L54" s="493"/>
      <c r="M54" s="493"/>
      <c r="N54" s="493"/>
      <c r="O54" s="493"/>
      <c r="P54" s="493"/>
      <c r="Q54" s="149"/>
    </row>
    <row r="55" spans="1:17" s="32" customFormat="1" ht="12.75" x14ac:dyDescent="0.2">
      <c r="A55" s="159"/>
      <c r="B55" s="30"/>
      <c r="C55" s="25"/>
      <c r="D55" s="174"/>
      <c r="E55" s="25"/>
      <c r="F55" s="25"/>
      <c r="G55" s="25"/>
      <c r="H55" s="25"/>
      <c r="I55" s="25"/>
      <c r="J55" s="25"/>
      <c r="K55" s="58"/>
      <c r="L55" s="26"/>
      <c r="M55" s="26"/>
      <c r="N55" s="26"/>
      <c r="O55" s="26"/>
      <c r="P55" s="22"/>
      <c r="Q55" s="37"/>
    </row>
    <row r="56" spans="1:17" s="42" customFormat="1" ht="38.25" x14ac:dyDescent="0.25">
      <c r="A56" s="166" t="s">
        <v>1021</v>
      </c>
      <c r="B56" s="27" t="s">
        <v>1254</v>
      </c>
      <c r="C56" s="28"/>
      <c r="D56" s="181"/>
      <c r="E56" s="28"/>
      <c r="F56" s="28"/>
      <c r="G56" s="28"/>
      <c r="H56" s="28"/>
      <c r="I56" s="28"/>
      <c r="J56" s="28"/>
      <c r="K56" s="60"/>
      <c r="L56" s="29"/>
      <c r="M56" s="29"/>
      <c r="N56" s="29"/>
      <c r="O56" s="29"/>
      <c r="P56" s="23"/>
      <c r="Q56" s="152"/>
    </row>
    <row r="57" spans="1:17" s="32" customFormat="1" ht="89.25" x14ac:dyDescent="0.2">
      <c r="A57" s="159"/>
      <c r="B57" s="266" t="s">
        <v>1365</v>
      </c>
      <c r="C57" s="25"/>
      <c r="D57" s="174"/>
      <c r="E57" s="25"/>
      <c r="F57" s="25"/>
      <c r="G57" s="25"/>
      <c r="H57" s="25"/>
      <c r="I57" s="25"/>
      <c r="J57" s="25"/>
      <c r="K57" s="58"/>
      <c r="L57" s="26"/>
      <c r="M57" s="26"/>
      <c r="N57" s="26"/>
      <c r="O57" s="26"/>
      <c r="P57" s="22"/>
      <c r="Q57" s="37"/>
    </row>
    <row r="58" spans="1:17" s="32" customFormat="1" ht="12.75" x14ac:dyDescent="0.2">
      <c r="A58" s="159"/>
      <c r="B58" s="30" t="s">
        <v>1255</v>
      </c>
      <c r="C58" s="25"/>
      <c r="D58" s="174"/>
      <c r="E58" s="25"/>
      <c r="F58" s="25"/>
      <c r="G58" s="25"/>
      <c r="H58" s="25"/>
      <c r="I58" s="25"/>
      <c r="J58" s="25"/>
      <c r="K58" s="58"/>
      <c r="L58" s="26"/>
      <c r="M58" s="26"/>
      <c r="N58" s="26"/>
      <c r="O58" s="26"/>
      <c r="P58" s="22"/>
      <c r="Q58" s="37"/>
    </row>
    <row r="59" spans="1:17" s="32" customFormat="1" ht="39" thickBot="1" x14ac:dyDescent="0.25">
      <c r="A59" s="159"/>
      <c r="B59" s="30" t="s">
        <v>1256</v>
      </c>
      <c r="C59" s="25"/>
      <c r="D59" s="174"/>
      <c r="E59" s="25"/>
      <c r="F59" s="25"/>
      <c r="G59" s="25"/>
      <c r="H59" s="25"/>
      <c r="I59" s="25"/>
      <c r="J59" s="25"/>
      <c r="K59" s="58"/>
      <c r="L59" s="26"/>
      <c r="M59" s="26"/>
      <c r="N59" s="26"/>
      <c r="O59" s="26"/>
      <c r="P59" s="22"/>
      <c r="Q59" s="37"/>
    </row>
    <row r="60" spans="1:17" s="268" customFormat="1" ht="27.75" thickBot="1" x14ac:dyDescent="0.25">
      <c r="A60" s="209"/>
      <c r="B60" s="210" t="s">
        <v>1366</v>
      </c>
      <c r="C60" s="211" t="s">
        <v>1335</v>
      </c>
      <c r="D60" s="330">
        <v>0</v>
      </c>
      <c r="E60" s="213">
        <v>0</v>
      </c>
      <c r="F60" s="213">
        <v>0</v>
      </c>
      <c r="G60" s="213">
        <v>0</v>
      </c>
      <c r="H60" s="213">
        <v>0</v>
      </c>
      <c r="I60" s="213">
        <v>0</v>
      </c>
      <c r="J60" s="214">
        <v>73.2</v>
      </c>
      <c r="K60" s="215">
        <f>SUM(D60:J60)</f>
        <v>73.2</v>
      </c>
      <c r="L60" s="216">
        <v>0</v>
      </c>
      <c r="M60" s="216">
        <v>0</v>
      </c>
      <c r="N60" s="216">
        <f>L60+M60</f>
        <v>0</v>
      </c>
      <c r="O60" s="216"/>
      <c r="P60" s="217">
        <f>N60*K60</f>
        <v>0</v>
      </c>
      <c r="Q60" s="267"/>
    </row>
    <row r="61" spans="1:17" s="32" customFormat="1" ht="12.75" x14ac:dyDescent="0.2">
      <c r="A61" s="159"/>
      <c r="B61" s="30"/>
      <c r="C61" s="25"/>
      <c r="D61" s="174"/>
      <c r="E61" s="25"/>
      <c r="F61" s="25"/>
      <c r="G61" s="25"/>
      <c r="H61" s="25"/>
      <c r="I61" s="25"/>
      <c r="J61" s="25"/>
      <c r="K61" s="58"/>
      <c r="L61" s="26"/>
      <c r="M61" s="26"/>
      <c r="N61" s="26"/>
      <c r="O61" s="26"/>
      <c r="P61" s="22"/>
      <c r="Q61" s="37"/>
    </row>
    <row r="62" spans="1:17" s="332" customFormat="1" x14ac:dyDescent="0.25">
      <c r="A62" s="166" t="s">
        <v>1022</v>
      </c>
      <c r="B62" s="27" t="s">
        <v>1257</v>
      </c>
      <c r="C62" s="28"/>
      <c r="D62" s="181"/>
      <c r="E62" s="28"/>
      <c r="F62" s="28"/>
      <c r="G62" s="28"/>
      <c r="H62" s="28"/>
      <c r="I62" s="28"/>
      <c r="J62" s="28"/>
      <c r="K62" s="60"/>
      <c r="L62" s="29"/>
      <c r="M62" s="29"/>
      <c r="N62" s="29"/>
      <c r="O62" s="29"/>
      <c r="P62" s="23"/>
      <c r="Q62" s="331"/>
    </row>
    <row r="63" spans="1:17" s="270" customFormat="1" ht="76.5" x14ac:dyDescent="0.2">
      <c r="A63" s="159"/>
      <c r="B63" s="202" t="s">
        <v>1367</v>
      </c>
      <c r="C63" s="25"/>
      <c r="D63" s="174"/>
      <c r="E63" s="25"/>
      <c r="F63" s="25"/>
      <c r="G63" s="25"/>
      <c r="H63" s="25"/>
      <c r="I63" s="25"/>
      <c r="J63" s="25"/>
      <c r="K63" s="58"/>
      <c r="L63" s="26"/>
      <c r="M63" s="26"/>
      <c r="N63" s="26"/>
      <c r="O63" s="26"/>
      <c r="P63" s="22"/>
      <c r="Q63" s="269"/>
    </row>
    <row r="64" spans="1:17" s="270" customFormat="1" ht="13.5" thickBot="1" x14ac:dyDescent="0.25">
      <c r="A64" s="333"/>
      <c r="B64" s="30" t="s">
        <v>1255</v>
      </c>
      <c r="C64" s="25"/>
      <c r="D64" s="174"/>
      <c r="E64" s="25"/>
      <c r="F64" s="25"/>
      <c r="G64" s="25"/>
      <c r="H64" s="25"/>
      <c r="I64" s="25"/>
      <c r="J64" s="25"/>
      <c r="K64" s="58"/>
      <c r="L64" s="26"/>
      <c r="M64" s="26"/>
      <c r="N64" s="26"/>
      <c r="O64" s="26"/>
      <c r="P64" s="22"/>
      <c r="Q64" s="269"/>
    </row>
    <row r="65" spans="1:16384" s="335" customFormat="1" ht="25.5" x14ac:dyDescent="0.2">
      <c r="A65" s="187"/>
      <c r="B65" s="188" t="s">
        <v>1368</v>
      </c>
      <c r="C65" s="189" t="s">
        <v>1330</v>
      </c>
      <c r="D65" s="293">
        <v>0</v>
      </c>
      <c r="E65" s="191">
        <v>0</v>
      </c>
      <c r="F65" s="191">
        <v>0</v>
      </c>
      <c r="G65" s="191">
        <v>0</v>
      </c>
      <c r="H65" s="191">
        <v>0</v>
      </c>
      <c r="I65" s="191">
        <v>0</v>
      </c>
      <c r="J65" s="192">
        <v>109.8</v>
      </c>
      <c r="K65" s="193">
        <f>SUM(D65:J65)</f>
        <v>109.8</v>
      </c>
      <c r="L65" s="194">
        <v>0</v>
      </c>
      <c r="M65" s="194">
        <v>0</v>
      </c>
      <c r="N65" s="194">
        <f>L65+M65</f>
        <v>0</v>
      </c>
      <c r="O65" s="194"/>
      <c r="P65" s="195">
        <f>N65*K65</f>
        <v>0</v>
      </c>
      <c r="Q65" s="334"/>
    </row>
    <row r="66" spans="1:16384" s="335" customFormat="1" thickBot="1" x14ac:dyDescent="0.25">
      <c r="A66" s="187"/>
      <c r="B66" s="188" t="s">
        <v>51</v>
      </c>
      <c r="C66" s="189" t="s">
        <v>40</v>
      </c>
      <c r="D66" s="293">
        <v>0</v>
      </c>
      <c r="E66" s="191">
        <v>0</v>
      </c>
      <c r="F66" s="191">
        <v>0</v>
      </c>
      <c r="G66" s="191">
        <v>0</v>
      </c>
      <c r="H66" s="191">
        <v>0</v>
      </c>
      <c r="I66" s="191">
        <v>0</v>
      </c>
      <c r="J66" s="192">
        <v>44</v>
      </c>
      <c r="K66" s="193">
        <f>SUM(D66:J66)</f>
        <v>44</v>
      </c>
      <c r="L66" s="194">
        <v>0</v>
      </c>
      <c r="M66" s="194">
        <v>0</v>
      </c>
      <c r="N66" s="194">
        <f>L66+M66</f>
        <v>0</v>
      </c>
      <c r="O66" s="194"/>
      <c r="P66" s="195">
        <f>N66*K66</f>
        <v>0</v>
      </c>
      <c r="Q66" s="334"/>
    </row>
    <row r="67" spans="1:16384" s="32" customFormat="1" ht="12.75" x14ac:dyDescent="0.2">
      <c r="A67" s="159"/>
      <c r="B67" s="30"/>
      <c r="C67" s="25"/>
      <c r="D67" s="174"/>
      <c r="E67" s="25"/>
      <c r="F67" s="25"/>
      <c r="G67" s="25"/>
      <c r="H67" s="25"/>
      <c r="I67" s="25"/>
      <c r="J67" s="25"/>
      <c r="K67" s="58"/>
      <c r="L67" s="26"/>
      <c r="M67" s="26"/>
      <c r="N67" s="26"/>
      <c r="O67" s="26"/>
      <c r="P67" s="22"/>
      <c r="Q67" s="37"/>
    </row>
    <row r="68" spans="1:16384" s="32" customFormat="1" ht="25.5" x14ac:dyDescent="0.2">
      <c r="A68" s="166" t="s">
        <v>1258</v>
      </c>
      <c r="B68" s="27" t="s">
        <v>1259</v>
      </c>
      <c r="C68" s="28"/>
      <c r="D68" s="181"/>
      <c r="E68" s="28"/>
      <c r="F68" s="28"/>
      <c r="G68" s="28"/>
      <c r="H68" s="28"/>
      <c r="I68" s="28"/>
      <c r="J68" s="28"/>
      <c r="K68" s="60"/>
      <c r="L68" s="29"/>
      <c r="M68" s="29"/>
      <c r="N68" s="29"/>
      <c r="O68" s="29"/>
      <c r="P68" s="23"/>
      <c r="Q68" s="37"/>
    </row>
    <row r="69" spans="1:16384" s="32" customFormat="1" ht="39" thickBot="1" x14ac:dyDescent="0.25">
      <c r="A69" s="159"/>
      <c r="B69" s="24" t="s">
        <v>1260</v>
      </c>
      <c r="C69" s="25"/>
      <c r="D69" s="174"/>
      <c r="E69" s="25"/>
      <c r="F69" s="25"/>
      <c r="G69" s="25"/>
      <c r="H69" s="25"/>
      <c r="I69" s="25"/>
      <c r="J69" s="25"/>
      <c r="K69" s="58"/>
      <c r="L69" s="26"/>
      <c r="M69" s="26"/>
      <c r="N69" s="26"/>
      <c r="O69" s="26"/>
      <c r="P69" s="22"/>
      <c r="Q69" s="37"/>
    </row>
    <row r="70" spans="1:16384" s="32" customFormat="1" ht="15.75" customHeight="1" thickBot="1" x14ac:dyDescent="0.25">
      <c r="A70" s="166"/>
      <c r="B70" s="137" t="s">
        <v>1261</v>
      </c>
      <c r="C70" s="135" t="s">
        <v>56</v>
      </c>
      <c r="D70" s="177">
        <v>0</v>
      </c>
      <c r="E70" s="36">
        <v>0</v>
      </c>
      <c r="F70" s="36">
        <v>0</v>
      </c>
      <c r="G70" s="36">
        <v>0</v>
      </c>
      <c r="H70" s="36">
        <v>0</v>
      </c>
      <c r="I70" s="36">
        <v>0</v>
      </c>
      <c r="J70" s="56">
        <v>260</v>
      </c>
      <c r="K70" s="62">
        <f>SUM(D70:J70)</f>
        <v>260</v>
      </c>
      <c r="L70" s="26">
        <v>0</v>
      </c>
      <c r="M70" s="26">
        <v>0</v>
      </c>
      <c r="N70" s="26">
        <f>L70+M70</f>
        <v>0</v>
      </c>
      <c r="O70" s="26"/>
      <c r="P70" s="22">
        <f>N70*K70</f>
        <v>0</v>
      </c>
      <c r="Q70" s="37"/>
    </row>
    <row r="71" spans="1:16384" s="32" customFormat="1" ht="12.75" x14ac:dyDescent="0.2">
      <c r="A71" s="159"/>
      <c r="B71" s="24"/>
      <c r="C71" s="25"/>
      <c r="D71" s="174"/>
      <c r="E71" s="25"/>
      <c r="F71" s="25"/>
      <c r="G71" s="25"/>
      <c r="H71" s="25"/>
      <c r="I71" s="25"/>
      <c r="J71" s="25"/>
      <c r="K71" s="58"/>
      <c r="L71" s="26"/>
      <c r="M71" s="26"/>
      <c r="N71" s="26"/>
      <c r="O71" s="26"/>
      <c r="P71" s="22"/>
      <c r="Q71" s="37"/>
    </row>
    <row r="72" spans="1:16384" s="32" customFormat="1" ht="14.25" x14ac:dyDescent="0.2">
      <c r="A72" s="166" t="s">
        <v>1262</v>
      </c>
      <c r="B72" s="27" t="s">
        <v>1263</v>
      </c>
      <c r="C72" s="28"/>
      <c r="D72" s="181"/>
      <c r="E72" s="28"/>
      <c r="F72" s="28"/>
      <c r="G72" s="28"/>
      <c r="H72" s="28"/>
      <c r="I72" s="28"/>
      <c r="J72" s="28"/>
      <c r="K72" s="60"/>
      <c r="L72" s="29"/>
      <c r="M72" s="29"/>
      <c r="N72" s="29"/>
      <c r="O72" s="29"/>
      <c r="P72" s="23"/>
      <c r="Q72" s="37"/>
    </row>
    <row r="73" spans="1:16384" s="32" customFormat="1" ht="39" thickBot="1" x14ac:dyDescent="0.25">
      <c r="A73" s="159"/>
      <c r="B73" s="24" t="s">
        <v>1264</v>
      </c>
      <c r="C73" s="25"/>
      <c r="D73" s="174"/>
      <c r="E73" s="25"/>
      <c r="F73" s="25"/>
      <c r="G73" s="25"/>
      <c r="H73" s="25"/>
      <c r="I73" s="25"/>
      <c r="J73" s="25"/>
      <c r="K73" s="58"/>
      <c r="L73" s="26"/>
      <c r="M73" s="26"/>
      <c r="N73" s="26"/>
      <c r="O73" s="26"/>
      <c r="P73" s="22"/>
      <c r="Q73" s="37"/>
    </row>
    <row r="74" spans="1:16384" s="32" customFormat="1" ht="15.75" customHeight="1" thickBot="1" x14ac:dyDescent="0.25">
      <c r="A74" s="166"/>
      <c r="B74" s="137" t="s">
        <v>1261</v>
      </c>
      <c r="C74" s="135" t="s">
        <v>56</v>
      </c>
      <c r="D74" s="177">
        <v>0</v>
      </c>
      <c r="E74" s="36">
        <v>0</v>
      </c>
      <c r="F74" s="36">
        <v>0</v>
      </c>
      <c r="G74" s="36">
        <v>0</v>
      </c>
      <c r="H74" s="36">
        <v>0</v>
      </c>
      <c r="I74" s="36">
        <v>0</v>
      </c>
      <c r="J74" s="56">
        <v>366</v>
      </c>
      <c r="K74" s="62">
        <f>SUM(D74:J74)</f>
        <v>366</v>
      </c>
      <c r="L74" s="26">
        <v>0</v>
      </c>
      <c r="M74" s="26">
        <v>0</v>
      </c>
      <c r="N74" s="26">
        <f>L74+M74</f>
        <v>0</v>
      </c>
      <c r="O74" s="26"/>
      <c r="P74" s="22">
        <f>N74*K74</f>
        <v>0</v>
      </c>
      <c r="Q74" s="37"/>
    </row>
    <row r="75" spans="1:16384" s="32" customFormat="1" ht="15.75" customHeight="1" x14ac:dyDescent="0.2">
      <c r="A75" s="167"/>
      <c r="B75" s="30"/>
      <c r="C75" s="25"/>
      <c r="D75" s="178"/>
      <c r="E75" s="26"/>
      <c r="F75" s="26"/>
      <c r="G75" s="26"/>
      <c r="H75" s="26"/>
      <c r="I75" s="26"/>
      <c r="J75" s="26"/>
      <c r="K75" s="58"/>
      <c r="L75" s="26"/>
      <c r="M75" s="26"/>
      <c r="N75" s="26"/>
      <c r="O75" s="26"/>
      <c r="P75" s="22"/>
      <c r="Q75" s="37"/>
    </row>
    <row r="76" spans="1:16384" s="32" customFormat="1" ht="15.75" customHeight="1" x14ac:dyDescent="0.2">
      <c r="A76" s="225" t="s">
        <v>1369</v>
      </c>
      <c r="B76" s="226" t="s">
        <v>1370</v>
      </c>
      <c r="C76" s="28"/>
      <c r="D76" s="181"/>
      <c r="E76" s="28"/>
      <c r="F76" s="28"/>
      <c r="G76" s="28"/>
      <c r="H76" s="28"/>
      <c r="I76" s="28"/>
      <c r="J76" s="28"/>
      <c r="K76" s="60"/>
      <c r="L76" s="29"/>
      <c r="M76" s="29"/>
      <c r="N76" s="29"/>
      <c r="O76" s="29"/>
      <c r="P76" s="23"/>
      <c r="Q76" s="167"/>
      <c r="R76" s="30"/>
      <c r="S76" s="25"/>
      <c r="T76" s="178"/>
      <c r="U76" s="26"/>
      <c r="V76" s="26"/>
      <c r="W76" s="26"/>
      <c r="X76" s="26"/>
      <c r="Y76" s="26"/>
      <c r="Z76" s="26"/>
      <c r="AA76" s="58"/>
      <c r="AB76" s="26"/>
      <c r="AC76" s="26"/>
      <c r="AD76" s="26"/>
      <c r="AE76" s="26"/>
      <c r="AF76" s="22"/>
      <c r="AG76" s="167"/>
      <c r="AH76" s="30"/>
      <c r="AI76" s="25"/>
      <c r="AJ76" s="178"/>
      <c r="AK76" s="26"/>
      <c r="AL76" s="26"/>
      <c r="AM76" s="26"/>
      <c r="AN76" s="26"/>
      <c r="AO76" s="26"/>
      <c r="AP76" s="26"/>
      <c r="AQ76" s="58"/>
      <c r="AR76" s="26"/>
      <c r="AS76" s="26"/>
      <c r="AT76" s="26"/>
      <c r="AU76" s="26"/>
      <c r="AV76" s="22"/>
      <c r="AW76" s="167"/>
      <c r="AX76" s="30"/>
      <c r="AY76" s="25"/>
      <c r="AZ76" s="178"/>
      <c r="BA76" s="26"/>
      <c r="BB76" s="26"/>
      <c r="BC76" s="26"/>
      <c r="BD76" s="26"/>
      <c r="BE76" s="26"/>
      <c r="BF76" s="26"/>
      <c r="BG76" s="58"/>
      <c r="BH76" s="26"/>
      <c r="BI76" s="26"/>
      <c r="BJ76" s="26"/>
      <c r="BK76" s="26"/>
      <c r="BL76" s="22"/>
      <c r="BM76" s="167"/>
      <c r="BN76" s="30"/>
      <c r="BO76" s="25"/>
      <c r="BP76" s="178"/>
      <c r="BQ76" s="26"/>
      <c r="BR76" s="26"/>
      <c r="BS76" s="26"/>
      <c r="BT76" s="26"/>
      <c r="BU76" s="26"/>
      <c r="BV76" s="26"/>
      <c r="BW76" s="58"/>
      <c r="BX76" s="26"/>
      <c r="BY76" s="26"/>
      <c r="BZ76" s="26"/>
      <c r="CA76" s="26"/>
      <c r="CB76" s="22"/>
      <c r="CC76" s="167"/>
      <c r="CD76" s="30"/>
      <c r="CE76" s="25"/>
      <c r="CF76" s="178"/>
      <c r="CG76" s="26"/>
      <c r="CH76" s="26"/>
      <c r="CI76" s="26"/>
      <c r="CJ76" s="26"/>
      <c r="CK76" s="26"/>
      <c r="CL76" s="26"/>
      <c r="CM76" s="58"/>
      <c r="CN76" s="26"/>
      <c r="CO76" s="26"/>
      <c r="CP76" s="26"/>
      <c r="CQ76" s="26"/>
      <c r="CR76" s="22"/>
      <c r="CS76" s="167"/>
      <c r="CT76" s="30"/>
      <c r="CU76" s="25"/>
      <c r="CV76" s="178"/>
      <c r="CW76" s="26"/>
      <c r="CX76" s="26"/>
      <c r="CY76" s="26"/>
      <c r="CZ76" s="26"/>
      <c r="DA76" s="26"/>
      <c r="DB76" s="26"/>
      <c r="DC76" s="58"/>
      <c r="DD76" s="26"/>
      <c r="DE76" s="26"/>
      <c r="DF76" s="26"/>
      <c r="DG76" s="26"/>
      <c r="DH76" s="22"/>
      <c r="DI76" s="167"/>
      <c r="DJ76" s="30"/>
      <c r="DK76" s="25"/>
      <c r="DL76" s="178"/>
      <c r="DM76" s="26"/>
      <c r="DN76" s="26"/>
      <c r="DO76" s="26"/>
      <c r="DP76" s="26"/>
      <c r="DQ76" s="26"/>
      <c r="DR76" s="26"/>
      <c r="DS76" s="58"/>
      <c r="DT76" s="26"/>
      <c r="DU76" s="26"/>
      <c r="DV76" s="26"/>
      <c r="DW76" s="26"/>
      <c r="DX76" s="22"/>
      <c r="DY76" s="167"/>
      <c r="DZ76" s="30"/>
      <c r="EA76" s="25"/>
      <c r="EB76" s="178"/>
      <c r="EC76" s="26"/>
      <c r="ED76" s="26"/>
      <c r="EE76" s="26"/>
      <c r="EF76" s="26"/>
      <c r="EG76" s="26"/>
      <c r="EH76" s="26"/>
      <c r="EI76" s="58"/>
      <c r="EJ76" s="26"/>
      <c r="EK76" s="26"/>
      <c r="EL76" s="26"/>
      <c r="EM76" s="26"/>
      <c r="EN76" s="22"/>
      <c r="EO76" s="167"/>
      <c r="EP76" s="30"/>
      <c r="EQ76" s="25"/>
      <c r="ER76" s="178"/>
      <c r="ES76" s="26"/>
      <c r="ET76" s="26"/>
      <c r="EU76" s="26"/>
      <c r="EV76" s="26"/>
      <c r="EW76" s="26"/>
      <c r="EX76" s="26"/>
      <c r="EY76" s="58"/>
      <c r="EZ76" s="26"/>
      <c r="FA76" s="26"/>
      <c r="FB76" s="26"/>
      <c r="FC76" s="26"/>
      <c r="FD76" s="22"/>
      <c r="FE76" s="167"/>
      <c r="FF76" s="30"/>
      <c r="FG76" s="25"/>
      <c r="FH76" s="178"/>
      <c r="FI76" s="26"/>
      <c r="FJ76" s="26"/>
      <c r="FK76" s="26"/>
      <c r="FL76" s="26"/>
      <c r="FM76" s="26"/>
      <c r="FN76" s="26"/>
      <c r="FO76" s="58"/>
      <c r="FP76" s="26"/>
      <c r="FQ76" s="26"/>
      <c r="FR76" s="26"/>
      <c r="FS76" s="26"/>
      <c r="FT76" s="22"/>
      <c r="FU76" s="167"/>
      <c r="FV76" s="30"/>
      <c r="FW76" s="25"/>
      <c r="FX76" s="178"/>
      <c r="FY76" s="26"/>
      <c r="FZ76" s="26"/>
      <c r="GA76" s="26"/>
      <c r="GB76" s="26"/>
      <c r="GC76" s="26"/>
      <c r="GD76" s="26"/>
      <c r="GE76" s="58"/>
      <c r="GF76" s="26"/>
      <c r="GG76" s="26"/>
      <c r="GH76" s="26"/>
      <c r="GI76" s="26"/>
      <c r="GJ76" s="22"/>
      <c r="GK76" s="167"/>
      <c r="GL76" s="30"/>
      <c r="GM76" s="25"/>
      <c r="GN76" s="178"/>
      <c r="GO76" s="26"/>
      <c r="GP76" s="26"/>
      <c r="GQ76" s="26"/>
      <c r="GR76" s="26"/>
      <c r="GS76" s="26"/>
      <c r="GT76" s="26"/>
      <c r="GU76" s="58"/>
      <c r="GV76" s="26"/>
      <c r="GW76" s="26"/>
      <c r="GX76" s="26"/>
      <c r="GY76" s="26"/>
      <c r="GZ76" s="22"/>
      <c r="HA76" s="167"/>
      <c r="HB76" s="30"/>
      <c r="HC76" s="25"/>
      <c r="HD76" s="178"/>
      <c r="HE76" s="26"/>
      <c r="HF76" s="26"/>
      <c r="HG76" s="26"/>
      <c r="HH76" s="26"/>
      <c r="HI76" s="26"/>
      <c r="HJ76" s="26"/>
      <c r="HK76" s="58"/>
      <c r="HL76" s="26"/>
      <c r="HM76" s="26"/>
      <c r="HN76" s="26"/>
      <c r="HO76" s="26"/>
      <c r="HP76" s="22"/>
      <c r="HQ76" s="167"/>
      <c r="HR76" s="30"/>
      <c r="HS76" s="25"/>
      <c r="HT76" s="178"/>
      <c r="HU76" s="26"/>
      <c r="HV76" s="26"/>
      <c r="HW76" s="26"/>
      <c r="HX76" s="26"/>
      <c r="HY76" s="26"/>
      <c r="HZ76" s="26"/>
      <c r="IA76" s="58"/>
      <c r="IB76" s="26"/>
      <c r="IC76" s="26"/>
      <c r="ID76" s="26"/>
      <c r="IE76" s="26"/>
      <c r="IF76" s="22"/>
      <c r="IG76" s="167"/>
      <c r="IH76" s="30"/>
      <c r="II76" s="25"/>
      <c r="IJ76" s="178"/>
      <c r="IK76" s="26"/>
      <c r="IL76" s="26"/>
      <c r="IM76" s="26"/>
      <c r="IN76" s="26"/>
      <c r="IO76" s="26"/>
      <c r="IP76" s="26"/>
      <c r="IQ76" s="58"/>
      <c r="IR76" s="26"/>
      <c r="IS76" s="26"/>
      <c r="IT76" s="26"/>
      <c r="IU76" s="26"/>
      <c r="IV76" s="22"/>
      <c r="IW76" s="167"/>
      <c r="IX76" s="30"/>
      <c r="IY76" s="25"/>
      <c r="IZ76" s="178"/>
      <c r="JA76" s="26"/>
      <c r="JB76" s="26"/>
      <c r="JC76" s="26"/>
      <c r="JD76" s="26"/>
      <c r="JE76" s="26"/>
      <c r="JF76" s="26"/>
      <c r="JG76" s="58"/>
      <c r="JH76" s="26"/>
      <c r="JI76" s="26"/>
      <c r="JJ76" s="26"/>
      <c r="JK76" s="26"/>
      <c r="JL76" s="22"/>
      <c r="JM76" s="167"/>
      <c r="JN76" s="30"/>
      <c r="JO76" s="25"/>
      <c r="JP76" s="178"/>
      <c r="JQ76" s="26"/>
      <c r="JR76" s="26"/>
      <c r="JS76" s="26"/>
      <c r="JT76" s="26"/>
      <c r="JU76" s="26"/>
      <c r="JV76" s="26"/>
      <c r="JW76" s="58"/>
      <c r="JX76" s="26"/>
      <c r="JY76" s="26"/>
      <c r="JZ76" s="26"/>
      <c r="KA76" s="26"/>
      <c r="KB76" s="22"/>
      <c r="KC76" s="167"/>
      <c r="KD76" s="30"/>
      <c r="KE76" s="25"/>
      <c r="KF76" s="178"/>
      <c r="KG76" s="26"/>
      <c r="KH76" s="26"/>
      <c r="KI76" s="26"/>
      <c r="KJ76" s="26"/>
      <c r="KK76" s="26"/>
      <c r="KL76" s="26"/>
      <c r="KM76" s="58"/>
      <c r="KN76" s="26"/>
      <c r="KO76" s="26"/>
      <c r="KP76" s="26"/>
      <c r="KQ76" s="26"/>
      <c r="KR76" s="22"/>
      <c r="KS76" s="167"/>
      <c r="KT76" s="30"/>
      <c r="KU76" s="25"/>
      <c r="KV76" s="178"/>
      <c r="KW76" s="26"/>
      <c r="KX76" s="26"/>
      <c r="KY76" s="26"/>
      <c r="KZ76" s="26"/>
      <c r="LA76" s="26"/>
      <c r="LB76" s="26"/>
      <c r="LC76" s="58"/>
      <c r="LD76" s="26"/>
      <c r="LE76" s="26"/>
      <c r="LF76" s="26"/>
      <c r="LG76" s="26"/>
      <c r="LH76" s="22"/>
      <c r="LI76" s="167"/>
      <c r="LJ76" s="30"/>
      <c r="LK76" s="25"/>
      <c r="LL76" s="178"/>
      <c r="LM76" s="26"/>
      <c r="LN76" s="26"/>
      <c r="LO76" s="26"/>
      <c r="LP76" s="26"/>
      <c r="LQ76" s="26"/>
      <c r="LR76" s="26"/>
      <c r="LS76" s="58"/>
      <c r="LT76" s="26"/>
      <c r="LU76" s="26"/>
      <c r="LV76" s="26"/>
      <c r="LW76" s="26"/>
      <c r="LX76" s="22"/>
      <c r="LY76" s="167"/>
      <c r="LZ76" s="30"/>
      <c r="MA76" s="25"/>
      <c r="MB76" s="178"/>
      <c r="MC76" s="26"/>
      <c r="MD76" s="26"/>
      <c r="ME76" s="26"/>
      <c r="MF76" s="26"/>
      <c r="MG76" s="26"/>
      <c r="MH76" s="26"/>
      <c r="MI76" s="58"/>
      <c r="MJ76" s="26"/>
      <c r="MK76" s="26"/>
      <c r="ML76" s="26"/>
      <c r="MM76" s="26"/>
      <c r="MN76" s="22"/>
      <c r="MO76" s="167"/>
      <c r="MP76" s="30"/>
      <c r="MQ76" s="25"/>
      <c r="MR76" s="178"/>
      <c r="MS76" s="26"/>
      <c r="MT76" s="26"/>
      <c r="MU76" s="26"/>
      <c r="MV76" s="26"/>
      <c r="MW76" s="26"/>
      <c r="MX76" s="26"/>
      <c r="MY76" s="58"/>
      <c r="MZ76" s="26"/>
      <c r="NA76" s="26"/>
      <c r="NB76" s="26"/>
      <c r="NC76" s="26"/>
      <c r="ND76" s="22"/>
      <c r="NE76" s="167"/>
      <c r="NF76" s="30"/>
      <c r="NG76" s="25"/>
      <c r="NH76" s="178"/>
      <c r="NI76" s="26"/>
      <c r="NJ76" s="26"/>
      <c r="NK76" s="26"/>
      <c r="NL76" s="26"/>
      <c r="NM76" s="26"/>
      <c r="NN76" s="26"/>
      <c r="NO76" s="58"/>
      <c r="NP76" s="26"/>
      <c r="NQ76" s="26"/>
      <c r="NR76" s="26"/>
      <c r="NS76" s="26"/>
      <c r="NT76" s="22"/>
      <c r="NU76" s="167"/>
      <c r="NV76" s="30"/>
      <c r="NW76" s="25"/>
      <c r="NX76" s="178"/>
      <c r="NY76" s="26"/>
      <c r="NZ76" s="26"/>
      <c r="OA76" s="26"/>
      <c r="OB76" s="26"/>
      <c r="OC76" s="26"/>
      <c r="OD76" s="26"/>
      <c r="OE76" s="58"/>
      <c r="OF76" s="26"/>
      <c r="OG76" s="26"/>
      <c r="OH76" s="26"/>
      <c r="OI76" s="26"/>
      <c r="OJ76" s="22"/>
      <c r="OK76" s="167"/>
      <c r="OL76" s="30"/>
      <c r="OM76" s="25"/>
      <c r="ON76" s="178"/>
      <c r="OO76" s="26"/>
      <c r="OP76" s="26"/>
      <c r="OQ76" s="26"/>
      <c r="OR76" s="26"/>
      <c r="OS76" s="26"/>
      <c r="OT76" s="26"/>
      <c r="OU76" s="58"/>
      <c r="OV76" s="26"/>
      <c r="OW76" s="26"/>
      <c r="OX76" s="26"/>
      <c r="OY76" s="26"/>
      <c r="OZ76" s="22"/>
      <c r="PA76" s="167"/>
      <c r="PB76" s="30"/>
      <c r="PC76" s="25"/>
      <c r="PD76" s="178"/>
      <c r="PE76" s="26"/>
      <c r="PF76" s="26"/>
      <c r="PG76" s="26"/>
      <c r="PH76" s="26"/>
      <c r="PI76" s="26"/>
      <c r="PJ76" s="26"/>
      <c r="PK76" s="58"/>
      <c r="PL76" s="26"/>
      <c r="PM76" s="26"/>
      <c r="PN76" s="26"/>
      <c r="PO76" s="26"/>
      <c r="PP76" s="22"/>
      <c r="PQ76" s="167"/>
      <c r="PR76" s="30"/>
      <c r="PS76" s="25"/>
      <c r="PT76" s="178"/>
      <c r="PU76" s="26"/>
      <c r="PV76" s="26"/>
      <c r="PW76" s="26"/>
      <c r="PX76" s="26"/>
      <c r="PY76" s="26"/>
      <c r="PZ76" s="26"/>
      <c r="QA76" s="58"/>
      <c r="QB76" s="26"/>
      <c r="QC76" s="26"/>
      <c r="QD76" s="26"/>
      <c r="QE76" s="26"/>
      <c r="QF76" s="22"/>
      <c r="QG76" s="167"/>
      <c r="QH76" s="30"/>
      <c r="QI76" s="25"/>
      <c r="QJ76" s="178"/>
      <c r="QK76" s="26"/>
      <c r="QL76" s="26"/>
      <c r="QM76" s="26"/>
      <c r="QN76" s="26"/>
      <c r="QO76" s="26"/>
      <c r="QP76" s="26"/>
      <c r="QQ76" s="58"/>
      <c r="QR76" s="26"/>
      <c r="QS76" s="26"/>
      <c r="QT76" s="26"/>
      <c r="QU76" s="26"/>
      <c r="QV76" s="22"/>
      <c r="QW76" s="167"/>
      <c r="QX76" s="30"/>
      <c r="QY76" s="25"/>
      <c r="QZ76" s="178"/>
      <c r="RA76" s="26"/>
      <c r="RB76" s="26"/>
      <c r="RC76" s="26"/>
      <c r="RD76" s="26"/>
      <c r="RE76" s="26"/>
      <c r="RF76" s="26"/>
      <c r="RG76" s="58"/>
      <c r="RH76" s="26"/>
      <c r="RI76" s="26"/>
      <c r="RJ76" s="26"/>
      <c r="RK76" s="26"/>
      <c r="RL76" s="22"/>
      <c r="RM76" s="167"/>
      <c r="RN76" s="30"/>
      <c r="RO76" s="25"/>
      <c r="RP76" s="178"/>
      <c r="RQ76" s="26"/>
      <c r="RR76" s="26"/>
      <c r="RS76" s="26"/>
      <c r="RT76" s="26"/>
      <c r="RU76" s="26"/>
      <c r="RV76" s="26"/>
      <c r="RW76" s="58"/>
      <c r="RX76" s="26"/>
      <c r="RY76" s="26"/>
      <c r="RZ76" s="26"/>
      <c r="SA76" s="26"/>
      <c r="SB76" s="22"/>
      <c r="SC76" s="167"/>
      <c r="SD76" s="30"/>
      <c r="SE76" s="25"/>
      <c r="SF76" s="178"/>
      <c r="SG76" s="26"/>
      <c r="SH76" s="26"/>
      <c r="SI76" s="26"/>
      <c r="SJ76" s="26"/>
      <c r="SK76" s="26"/>
      <c r="SL76" s="26"/>
      <c r="SM76" s="58"/>
      <c r="SN76" s="26"/>
      <c r="SO76" s="26"/>
      <c r="SP76" s="26"/>
      <c r="SQ76" s="26"/>
      <c r="SR76" s="22"/>
      <c r="SS76" s="167"/>
      <c r="ST76" s="30"/>
      <c r="SU76" s="25"/>
      <c r="SV76" s="178"/>
      <c r="SW76" s="26"/>
      <c r="SX76" s="26"/>
      <c r="SY76" s="26"/>
      <c r="SZ76" s="26"/>
      <c r="TA76" s="26"/>
      <c r="TB76" s="26"/>
      <c r="TC76" s="58"/>
      <c r="TD76" s="26"/>
      <c r="TE76" s="26"/>
      <c r="TF76" s="26"/>
      <c r="TG76" s="26"/>
      <c r="TH76" s="22"/>
      <c r="TI76" s="167"/>
      <c r="TJ76" s="30"/>
      <c r="TK76" s="25"/>
      <c r="TL76" s="178"/>
      <c r="TM76" s="26"/>
      <c r="TN76" s="26"/>
      <c r="TO76" s="26"/>
      <c r="TP76" s="26"/>
      <c r="TQ76" s="26"/>
      <c r="TR76" s="26"/>
      <c r="TS76" s="58"/>
      <c r="TT76" s="26"/>
      <c r="TU76" s="26"/>
      <c r="TV76" s="26"/>
      <c r="TW76" s="26"/>
      <c r="TX76" s="22"/>
      <c r="TY76" s="167"/>
      <c r="TZ76" s="30"/>
      <c r="UA76" s="25"/>
      <c r="UB76" s="178"/>
      <c r="UC76" s="26"/>
      <c r="UD76" s="26"/>
      <c r="UE76" s="26"/>
      <c r="UF76" s="26"/>
      <c r="UG76" s="26"/>
      <c r="UH76" s="26"/>
      <c r="UI76" s="58"/>
      <c r="UJ76" s="26"/>
      <c r="UK76" s="26"/>
      <c r="UL76" s="26"/>
      <c r="UM76" s="26"/>
      <c r="UN76" s="22"/>
      <c r="UO76" s="167"/>
      <c r="UP76" s="30"/>
      <c r="UQ76" s="25"/>
      <c r="UR76" s="178"/>
      <c r="US76" s="26"/>
      <c r="UT76" s="26"/>
      <c r="UU76" s="26"/>
      <c r="UV76" s="26"/>
      <c r="UW76" s="26"/>
      <c r="UX76" s="26"/>
      <c r="UY76" s="58"/>
      <c r="UZ76" s="26"/>
      <c r="VA76" s="26"/>
      <c r="VB76" s="26"/>
      <c r="VC76" s="26"/>
      <c r="VD76" s="22"/>
      <c r="VE76" s="167"/>
      <c r="VF76" s="30"/>
      <c r="VG76" s="25"/>
      <c r="VH76" s="178"/>
      <c r="VI76" s="26"/>
      <c r="VJ76" s="26"/>
      <c r="VK76" s="26"/>
      <c r="VL76" s="26"/>
      <c r="VM76" s="26"/>
      <c r="VN76" s="26"/>
      <c r="VO76" s="58"/>
      <c r="VP76" s="26"/>
      <c r="VQ76" s="26"/>
      <c r="VR76" s="26"/>
      <c r="VS76" s="26"/>
      <c r="VT76" s="22"/>
      <c r="VU76" s="167"/>
      <c r="VV76" s="30"/>
      <c r="VW76" s="25"/>
      <c r="VX76" s="178"/>
      <c r="VY76" s="26"/>
      <c r="VZ76" s="26"/>
      <c r="WA76" s="26"/>
      <c r="WB76" s="26"/>
      <c r="WC76" s="26"/>
      <c r="WD76" s="26"/>
      <c r="WE76" s="58"/>
      <c r="WF76" s="26"/>
      <c r="WG76" s="26"/>
      <c r="WH76" s="26"/>
      <c r="WI76" s="26"/>
      <c r="WJ76" s="22"/>
      <c r="WK76" s="167"/>
      <c r="WL76" s="30"/>
      <c r="WM76" s="25"/>
      <c r="WN76" s="178"/>
      <c r="WO76" s="26"/>
      <c r="WP76" s="26"/>
      <c r="WQ76" s="26"/>
      <c r="WR76" s="26"/>
      <c r="WS76" s="26"/>
      <c r="WT76" s="26"/>
      <c r="WU76" s="58"/>
      <c r="WV76" s="26"/>
      <c r="WW76" s="26"/>
      <c r="WX76" s="26"/>
      <c r="WY76" s="26"/>
      <c r="WZ76" s="22"/>
      <c r="XA76" s="167"/>
      <c r="XB76" s="30"/>
      <c r="XC76" s="25"/>
      <c r="XD76" s="178"/>
      <c r="XE76" s="26"/>
      <c r="XF76" s="26"/>
      <c r="XG76" s="26"/>
      <c r="XH76" s="26"/>
      <c r="XI76" s="26"/>
      <c r="XJ76" s="26"/>
      <c r="XK76" s="58"/>
      <c r="XL76" s="26"/>
      <c r="XM76" s="26"/>
      <c r="XN76" s="26"/>
      <c r="XO76" s="26"/>
      <c r="XP76" s="22"/>
      <c r="XQ76" s="167"/>
      <c r="XR76" s="30"/>
      <c r="XS76" s="25"/>
      <c r="XT76" s="178"/>
      <c r="XU76" s="26"/>
      <c r="XV76" s="26"/>
      <c r="XW76" s="26"/>
      <c r="XX76" s="26"/>
      <c r="XY76" s="26"/>
      <c r="XZ76" s="26"/>
      <c r="YA76" s="58"/>
      <c r="YB76" s="26"/>
      <c r="YC76" s="26"/>
      <c r="YD76" s="26"/>
      <c r="YE76" s="26"/>
      <c r="YF76" s="22"/>
      <c r="YG76" s="167"/>
      <c r="YH76" s="30"/>
      <c r="YI76" s="25"/>
      <c r="YJ76" s="178"/>
      <c r="YK76" s="26"/>
      <c r="YL76" s="26"/>
      <c r="YM76" s="26"/>
      <c r="YN76" s="26"/>
      <c r="YO76" s="26"/>
      <c r="YP76" s="26"/>
      <c r="YQ76" s="58"/>
      <c r="YR76" s="26"/>
      <c r="YS76" s="26"/>
      <c r="YT76" s="26"/>
      <c r="YU76" s="26"/>
      <c r="YV76" s="22"/>
      <c r="YW76" s="167"/>
      <c r="YX76" s="30"/>
      <c r="YY76" s="25"/>
      <c r="YZ76" s="178"/>
      <c r="ZA76" s="26"/>
      <c r="ZB76" s="26"/>
      <c r="ZC76" s="26"/>
      <c r="ZD76" s="26"/>
      <c r="ZE76" s="26"/>
      <c r="ZF76" s="26"/>
      <c r="ZG76" s="58"/>
      <c r="ZH76" s="26"/>
      <c r="ZI76" s="26"/>
      <c r="ZJ76" s="26"/>
      <c r="ZK76" s="26"/>
      <c r="ZL76" s="22"/>
      <c r="ZM76" s="167"/>
      <c r="ZN76" s="30"/>
      <c r="ZO76" s="25"/>
      <c r="ZP76" s="178"/>
      <c r="ZQ76" s="26"/>
      <c r="ZR76" s="26"/>
      <c r="ZS76" s="26"/>
      <c r="ZT76" s="26"/>
      <c r="ZU76" s="26"/>
      <c r="ZV76" s="26"/>
      <c r="ZW76" s="58"/>
      <c r="ZX76" s="26"/>
      <c r="ZY76" s="26"/>
      <c r="ZZ76" s="26"/>
      <c r="AAA76" s="26"/>
      <c r="AAB76" s="22"/>
      <c r="AAC76" s="167"/>
      <c r="AAD76" s="30"/>
      <c r="AAE76" s="25"/>
      <c r="AAF76" s="178"/>
      <c r="AAG76" s="26"/>
      <c r="AAH76" s="26"/>
      <c r="AAI76" s="26"/>
      <c r="AAJ76" s="26"/>
      <c r="AAK76" s="26"/>
      <c r="AAL76" s="26"/>
      <c r="AAM76" s="58"/>
      <c r="AAN76" s="26"/>
      <c r="AAO76" s="26"/>
      <c r="AAP76" s="26"/>
      <c r="AAQ76" s="26"/>
      <c r="AAR76" s="22"/>
      <c r="AAS76" s="167"/>
      <c r="AAT76" s="30"/>
      <c r="AAU76" s="25"/>
      <c r="AAV76" s="178"/>
      <c r="AAW76" s="26"/>
      <c r="AAX76" s="26"/>
      <c r="AAY76" s="26"/>
      <c r="AAZ76" s="26"/>
      <c r="ABA76" s="26"/>
      <c r="ABB76" s="26"/>
      <c r="ABC76" s="58"/>
      <c r="ABD76" s="26"/>
      <c r="ABE76" s="26"/>
      <c r="ABF76" s="26"/>
      <c r="ABG76" s="26"/>
      <c r="ABH76" s="22"/>
      <c r="ABI76" s="167"/>
      <c r="ABJ76" s="30"/>
      <c r="ABK76" s="25"/>
      <c r="ABL76" s="178"/>
      <c r="ABM76" s="26"/>
      <c r="ABN76" s="26"/>
      <c r="ABO76" s="26"/>
      <c r="ABP76" s="26"/>
      <c r="ABQ76" s="26"/>
      <c r="ABR76" s="26"/>
      <c r="ABS76" s="58"/>
      <c r="ABT76" s="26"/>
      <c r="ABU76" s="26"/>
      <c r="ABV76" s="26"/>
      <c r="ABW76" s="26"/>
      <c r="ABX76" s="22"/>
      <c r="ABY76" s="167"/>
      <c r="ABZ76" s="30"/>
      <c r="ACA76" s="25"/>
      <c r="ACB76" s="178"/>
      <c r="ACC76" s="26"/>
      <c r="ACD76" s="26"/>
      <c r="ACE76" s="26"/>
      <c r="ACF76" s="26"/>
      <c r="ACG76" s="26"/>
      <c r="ACH76" s="26"/>
      <c r="ACI76" s="58"/>
      <c r="ACJ76" s="26"/>
      <c r="ACK76" s="26"/>
      <c r="ACL76" s="26"/>
      <c r="ACM76" s="26"/>
      <c r="ACN76" s="22"/>
      <c r="ACO76" s="167"/>
      <c r="ACP76" s="30"/>
      <c r="ACQ76" s="25"/>
      <c r="ACR76" s="178"/>
      <c r="ACS76" s="26"/>
      <c r="ACT76" s="26"/>
      <c r="ACU76" s="26"/>
      <c r="ACV76" s="26"/>
      <c r="ACW76" s="26"/>
      <c r="ACX76" s="26"/>
      <c r="ACY76" s="58"/>
      <c r="ACZ76" s="26"/>
      <c r="ADA76" s="26"/>
      <c r="ADB76" s="26"/>
      <c r="ADC76" s="26"/>
      <c r="ADD76" s="22"/>
      <c r="ADE76" s="167"/>
      <c r="ADF76" s="30"/>
      <c r="ADG76" s="25"/>
      <c r="ADH76" s="178"/>
      <c r="ADI76" s="26"/>
      <c r="ADJ76" s="26"/>
      <c r="ADK76" s="26"/>
      <c r="ADL76" s="26"/>
      <c r="ADM76" s="26"/>
      <c r="ADN76" s="26"/>
      <c r="ADO76" s="58"/>
      <c r="ADP76" s="26"/>
      <c r="ADQ76" s="26"/>
      <c r="ADR76" s="26"/>
      <c r="ADS76" s="26"/>
      <c r="ADT76" s="22"/>
      <c r="ADU76" s="167"/>
      <c r="ADV76" s="30"/>
      <c r="ADW76" s="25"/>
      <c r="ADX76" s="178"/>
      <c r="ADY76" s="26"/>
      <c r="ADZ76" s="26"/>
      <c r="AEA76" s="26"/>
      <c r="AEB76" s="26"/>
      <c r="AEC76" s="26"/>
      <c r="AED76" s="26"/>
      <c r="AEE76" s="58"/>
      <c r="AEF76" s="26"/>
      <c r="AEG76" s="26"/>
      <c r="AEH76" s="26"/>
      <c r="AEI76" s="26"/>
      <c r="AEJ76" s="22"/>
      <c r="AEK76" s="167"/>
      <c r="AEL76" s="30"/>
      <c r="AEM76" s="25"/>
      <c r="AEN76" s="178"/>
      <c r="AEO76" s="26"/>
      <c r="AEP76" s="26"/>
      <c r="AEQ76" s="26"/>
      <c r="AER76" s="26"/>
      <c r="AES76" s="26"/>
      <c r="AET76" s="26"/>
      <c r="AEU76" s="58"/>
      <c r="AEV76" s="26"/>
      <c r="AEW76" s="26"/>
      <c r="AEX76" s="26"/>
      <c r="AEY76" s="26"/>
      <c r="AEZ76" s="22"/>
      <c r="AFA76" s="167"/>
      <c r="AFB76" s="30"/>
      <c r="AFC76" s="25"/>
      <c r="AFD76" s="178"/>
      <c r="AFE76" s="26"/>
      <c r="AFF76" s="26"/>
      <c r="AFG76" s="26"/>
      <c r="AFH76" s="26"/>
      <c r="AFI76" s="26"/>
      <c r="AFJ76" s="26"/>
      <c r="AFK76" s="58"/>
      <c r="AFL76" s="26"/>
      <c r="AFM76" s="26"/>
      <c r="AFN76" s="26"/>
      <c r="AFO76" s="26"/>
      <c r="AFP76" s="22"/>
      <c r="AFQ76" s="167"/>
      <c r="AFR76" s="30"/>
      <c r="AFS76" s="25"/>
      <c r="AFT76" s="178"/>
      <c r="AFU76" s="26"/>
      <c r="AFV76" s="26"/>
      <c r="AFW76" s="26"/>
      <c r="AFX76" s="26"/>
      <c r="AFY76" s="26"/>
      <c r="AFZ76" s="26"/>
      <c r="AGA76" s="58"/>
      <c r="AGB76" s="26"/>
      <c r="AGC76" s="26"/>
      <c r="AGD76" s="26"/>
      <c r="AGE76" s="26"/>
      <c r="AGF76" s="22"/>
      <c r="AGG76" s="167"/>
      <c r="AGH76" s="30"/>
      <c r="AGI76" s="25"/>
      <c r="AGJ76" s="178"/>
      <c r="AGK76" s="26"/>
      <c r="AGL76" s="26"/>
      <c r="AGM76" s="26"/>
      <c r="AGN76" s="26"/>
      <c r="AGO76" s="26"/>
      <c r="AGP76" s="26"/>
      <c r="AGQ76" s="58"/>
      <c r="AGR76" s="26"/>
      <c r="AGS76" s="26"/>
      <c r="AGT76" s="26"/>
      <c r="AGU76" s="26"/>
      <c r="AGV76" s="22"/>
      <c r="AGW76" s="167"/>
      <c r="AGX76" s="30"/>
      <c r="AGY76" s="25"/>
      <c r="AGZ76" s="178"/>
      <c r="AHA76" s="26"/>
      <c r="AHB76" s="26"/>
      <c r="AHC76" s="26"/>
      <c r="AHD76" s="26"/>
      <c r="AHE76" s="26"/>
      <c r="AHF76" s="26"/>
      <c r="AHG76" s="58"/>
      <c r="AHH76" s="26"/>
      <c r="AHI76" s="26"/>
      <c r="AHJ76" s="26"/>
      <c r="AHK76" s="26"/>
      <c r="AHL76" s="22"/>
      <c r="AHM76" s="167"/>
      <c r="AHN76" s="30"/>
      <c r="AHO76" s="25"/>
      <c r="AHP76" s="178"/>
      <c r="AHQ76" s="26"/>
      <c r="AHR76" s="26"/>
      <c r="AHS76" s="26"/>
      <c r="AHT76" s="26"/>
      <c r="AHU76" s="26"/>
      <c r="AHV76" s="26"/>
      <c r="AHW76" s="58"/>
      <c r="AHX76" s="26"/>
      <c r="AHY76" s="26"/>
      <c r="AHZ76" s="26"/>
      <c r="AIA76" s="26"/>
      <c r="AIB76" s="22"/>
      <c r="AIC76" s="167"/>
      <c r="AID76" s="30"/>
      <c r="AIE76" s="25"/>
      <c r="AIF76" s="178"/>
      <c r="AIG76" s="26"/>
      <c r="AIH76" s="26"/>
      <c r="AII76" s="26"/>
      <c r="AIJ76" s="26"/>
      <c r="AIK76" s="26"/>
      <c r="AIL76" s="26"/>
      <c r="AIM76" s="58"/>
      <c r="AIN76" s="26"/>
      <c r="AIO76" s="26"/>
      <c r="AIP76" s="26"/>
      <c r="AIQ76" s="26"/>
      <c r="AIR76" s="22"/>
      <c r="AIS76" s="167"/>
      <c r="AIT76" s="30"/>
      <c r="AIU76" s="25"/>
      <c r="AIV76" s="178"/>
      <c r="AIW76" s="26"/>
      <c r="AIX76" s="26"/>
      <c r="AIY76" s="26"/>
      <c r="AIZ76" s="26"/>
      <c r="AJA76" s="26"/>
      <c r="AJB76" s="26"/>
      <c r="AJC76" s="58"/>
      <c r="AJD76" s="26"/>
      <c r="AJE76" s="26"/>
      <c r="AJF76" s="26"/>
      <c r="AJG76" s="26"/>
      <c r="AJH76" s="22"/>
      <c r="AJI76" s="167"/>
      <c r="AJJ76" s="30"/>
      <c r="AJK76" s="25"/>
      <c r="AJL76" s="178"/>
      <c r="AJM76" s="26"/>
      <c r="AJN76" s="26"/>
      <c r="AJO76" s="26"/>
      <c r="AJP76" s="26"/>
      <c r="AJQ76" s="26"/>
      <c r="AJR76" s="26"/>
      <c r="AJS76" s="58"/>
      <c r="AJT76" s="26"/>
      <c r="AJU76" s="26"/>
      <c r="AJV76" s="26"/>
      <c r="AJW76" s="26"/>
      <c r="AJX76" s="22"/>
      <c r="AJY76" s="167"/>
      <c r="AJZ76" s="30"/>
      <c r="AKA76" s="25"/>
      <c r="AKB76" s="178"/>
      <c r="AKC76" s="26"/>
      <c r="AKD76" s="26"/>
      <c r="AKE76" s="26"/>
      <c r="AKF76" s="26"/>
      <c r="AKG76" s="26"/>
      <c r="AKH76" s="26"/>
      <c r="AKI76" s="58"/>
      <c r="AKJ76" s="26"/>
      <c r="AKK76" s="26"/>
      <c r="AKL76" s="26"/>
      <c r="AKM76" s="26"/>
      <c r="AKN76" s="22"/>
      <c r="AKO76" s="167"/>
      <c r="AKP76" s="30"/>
      <c r="AKQ76" s="25"/>
      <c r="AKR76" s="178"/>
      <c r="AKS76" s="26"/>
      <c r="AKT76" s="26"/>
      <c r="AKU76" s="26"/>
      <c r="AKV76" s="26"/>
      <c r="AKW76" s="26"/>
      <c r="AKX76" s="26"/>
      <c r="AKY76" s="58"/>
      <c r="AKZ76" s="26"/>
      <c r="ALA76" s="26"/>
      <c r="ALB76" s="26"/>
      <c r="ALC76" s="26"/>
      <c r="ALD76" s="22"/>
      <c r="ALE76" s="167"/>
      <c r="ALF76" s="30"/>
      <c r="ALG76" s="25"/>
      <c r="ALH76" s="178"/>
      <c r="ALI76" s="26"/>
      <c r="ALJ76" s="26"/>
      <c r="ALK76" s="26"/>
      <c r="ALL76" s="26"/>
      <c r="ALM76" s="26"/>
      <c r="ALN76" s="26"/>
      <c r="ALO76" s="58"/>
      <c r="ALP76" s="26"/>
      <c r="ALQ76" s="26"/>
      <c r="ALR76" s="26"/>
      <c r="ALS76" s="26"/>
      <c r="ALT76" s="22"/>
      <c r="ALU76" s="167"/>
      <c r="ALV76" s="30"/>
      <c r="ALW76" s="25"/>
      <c r="ALX76" s="178"/>
      <c r="ALY76" s="26"/>
      <c r="ALZ76" s="26"/>
      <c r="AMA76" s="26"/>
      <c r="AMB76" s="26"/>
      <c r="AMC76" s="26"/>
      <c r="AMD76" s="26"/>
      <c r="AME76" s="58"/>
      <c r="AMF76" s="26"/>
      <c r="AMG76" s="26"/>
      <c r="AMH76" s="26"/>
      <c r="AMI76" s="26"/>
      <c r="AMJ76" s="22"/>
      <c r="AMK76" s="167"/>
      <c r="AML76" s="30"/>
      <c r="AMM76" s="25"/>
      <c r="AMN76" s="178"/>
      <c r="AMO76" s="26"/>
      <c r="AMP76" s="26"/>
      <c r="AMQ76" s="26"/>
      <c r="AMR76" s="26"/>
      <c r="AMS76" s="26"/>
      <c r="AMT76" s="26"/>
      <c r="AMU76" s="58"/>
      <c r="AMV76" s="26"/>
      <c r="AMW76" s="26"/>
      <c r="AMX76" s="26"/>
      <c r="AMY76" s="26"/>
      <c r="AMZ76" s="22"/>
      <c r="ANA76" s="167"/>
      <c r="ANB76" s="30"/>
      <c r="ANC76" s="25"/>
      <c r="AND76" s="178"/>
      <c r="ANE76" s="26"/>
      <c r="ANF76" s="26"/>
      <c r="ANG76" s="26"/>
      <c r="ANH76" s="26"/>
      <c r="ANI76" s="26"/>
      <c r="ANJ76" s="26"/>
      <c r="ANK76" s="58"/>
      <c r="ANL76" s="26"/>
      <c r="ANM76" s="26"/>
      <c r="ANN76" s="26"/>
      <c r="ANO76" s="26"/>
      <c r="ANP76" s="22"/>
      <c r="ANQ76" s="167"/>
      <c r="ANR76" s="30"/>
      <c r="ANS76" s="25"/>
      <c r="ANT76" s="178"/>
      <c r="ANU76" s="26"/>
      <c r="ANV76" s="26"/>
      <c r="ANW76" s="26"/>
      <c r="ANX76" s="26"/>
      <c r="ANY76" s="26"/>
      <c r="ANZ76" s="26"/>
      <c r="AOA76" s="58"/>
      <c r="AOB76" s="26"/>
      <c r="AOC76" s="26"/>
      <c r="AOD76" s="26"/>
      <c r="AOE76" s="26"/>
      <c r="AOF76" s="22"/>
      <c r="AOG76" s="167"/>
      <c r="AOH76" s="30"/>
      <c r="AOI76" s="25"/>
      <c r="AOJ76" s="178"/>
      <c r="AOK76" s="26"/>
      <c r="AOL76" s="26"/>
      <c r="AOM76" s="26"/>
      <c r="AON76" s="26"/>
      <c r="AOO76" s="26"/>
      <c r="AOP76" s="26"/>
      <c r="AOQ76" s="58"/>
      <c r="AOR76" s="26"/>
      <c r="AOS76" s="26"/>
      <c r="AOT76" s="26"/>
      <c r="AOU76" s="26"/>
      <c r="AOV76" s="22"/>
      <c r="AOW76" s="167"/>
      <c r="AOX76" s="30"/>
      <c r="AOY76" s="25"/>
      <c r="AOZ76" s="178"/>
      <c r="APA76" s="26"/>
      <c r="APB76" s="26"/>
      <c r="APC76" s="26"/>
      <c r="APD76" s="26"/>
      <c r="APE76" s="26"/>
      <c r="APF76" s="26"/>
      <c r="APG76" s="58"/>
      <c r="APH76" s="26"/>
      <c r="API76" s="26"/>
      <c r="APJ76" s="26"/>
      <c r="APK76" s="26"/>
      <c r="APL76" s="22"/>
      <c r="APM76" s="167"/>
      <c r="APN76" s="30"/>
      <c r="APO76" s="25"/>
      <c r="APP76" s="178"/>
      <c r="APQ76" s="26"/>
      <c r="APR76" s="26"/>
      <c r="APS76" s="26"/>
      <c r="APT76" s="26"/>
      <c r="APU76" s="26"/>
      <c r="APV76" s="26"/>
      <c r="APW76" s="58"/>
      <c r="APX76" s="26"/>
      <c r="APY76" s="26"/>
      <c r="APZ76" s="26"/>
      <c r="AQA76" s="26"/>
      <c r="AQB76" s="22"/>
      <c r="AQC76" s="167"/>
      <c r="AQD76" s="30"/>
      <c r="AQE76" s="25"/>
      <c r="AQF76" s="178"/>
      <c r="AQG76" s="26"/>
      <c r="AQH76" s="26"/>
      <c r="AQI76" s="26"/>
      <c r="AQJ76" s="26"/>
      <c r="AQK76" s="26"/>
      <c r="AQL76" s="26"/>
      <c r="AQM76" s="58"/>
      <c r="AQN76" s="26"/>
      <c r="AQO76" s="26"/>
      <c r="AQP76" s="26"/>
      <c r="AQQ76" s="26"/>
      <c r="AQR76" s="22"/>
      <c r="AQS76" s="167"/>
      <c r="AQT76" s="30"/>
      <c r="AQU76" s="25"/>
      <c r="AQV76" s="178"/>
      <c r="AQW76" s="26"/>
      <c r="AQX76" s="26"/>
      <c r="AQY76" s="26"/>
      <c r="AQZ76" s="26"/>
      <c r="ARA76" s="26"/>
      <c r="ARB76" s="26"/>
      <c r="ARC76" s="58"/>
      <c r="ARD76" s="26"/>
      <c r="ARE76" s="26"/>
      <c r="ARF76" s="26"/>
      <c r="ARG76" s="26"/>
      <c r="ARH76" s="22"/>
      <c r="ARI76" s="167"/>
      <c r="ARJ76" s="30"/>
      <c r="ARK76" s="25"/>
      <c r="ARL76" s="178"/>
      <c r="ARM76" s="26"/>
      <c r="ARN76" s="26"/>
      <c r="ARO76" s="26"/>
      <c r="ARP76" s="26"/>
      <c r="ARQ76" s="26"/>
      <c r="ARR76" s="26"/>
      <c r="ARS76" s="58"/>
      <c r="ART76" s="26"/>
      <c r="ARU76" s="26"/>
      <c r="ARV76" s="26"/>
      <c r="ARW76" s="26"/>
      <c r="ARX76" s="22"/>
      <c r="ARY76" s="167"/>
      <c r="ARZ76" s="30"/>
      <c r="ASA76" s="25"/>
      <c r="ASB76" s="178"/>
      <c r="ASC76" s="26"/>
      <c r="ASD76" s="26"/>
      <c r="ASE76" s="26"/>
      <c r="ASF76" s="26"/>
      <c r="ASG76" s="26"/>
      <c r="ASH76" s="26"/>
      <c r="ASI76" s="58"/>
      <c r="ASJ76" s="26"/>
      <c r="ASK76" s="26"/>
      <c r="ASL76" s="26"/>
      <c r="ASM76" s="26"/>
      <c r="ASN76" s="22"/>
      <c r="ASO76" s="167"/>
      <c r="ASP76" s="30"/>
      <c r="ASQ76" s="25"/>
      <c r="ASR76" s="178"/>
      <c r="ASS76" s="26"/>
      <c r="AST76" s="26"/>
      <c r="ASU76" s="26"/>
      <c r="ASV76" s="26"/>
      <c r="ASW76" s="26"/>
      <c r="ASX76" s="26"/>
      <c r="ASY76" s="58"/>
      <c r="ASZ76" s="26"/>
      <c r="ATA76" s="26"/>
      <c r="ATB76" s="26"/>
      <c r="ATC76" s="26"/>
      <c r="ATD76" s="22"/>
      <c r="ATE76" s="167"/>
      <c r="ATF76" s="30"/>
      <c r="ATG76" s="25"/>
      <c r="ATH76" s="178"/>
      <c r="ATI76" s="26"/>
      <c r="ATJ76" s="26"/>
      <c r="ATK76" s="26"/>
      <c r="ATL76" s="26"/>
      <c r="ATM76" s="26"/>
      <c r="ATN76" s="26"/>
      <c r="ATO76" s="58"/>
      <c r="ATP76" s="26"/>
      <c r="ATQ76" s="26"/>
      <c r="ATR76" s="26"/>
      <c r="ATS76" s="26"/>
      <c r="ATT76" s="22"/>
      <c r="ATU76" s="167"/>
      <c r="ATV76" s="30"/>
      <c r="ATW76" s="25"/>
      <c r="ATX76" s="178"/>
      <c r="ATY76" s="26"/>
      <c r="ATZ76" s="26"/>
      <c r="AUA76" s="26"/>
      <c r="AUB76" s="26"/>
      <c r="AUC76" s="26"/>
      <c r="AUD76" s="26"/>
      <c r="AUE76" s="58"/>
      <c r="AUF76" s="26"/>
      <c r="AUG76" s="26"/>
      <c r="AUH76" s="26"/>
      <c r="AUI76" s="26"/>
      <c r="AUJ76" s="22"/>
      <c r="AUK76" s="167"/>
      <c r="AUL76" s="30"/>
      <c r="AUM76" s="25"/>
      <c r="AUN76" s="178"/>
      <c r="AUO76" s="26"/>
      <c r="AUP76" s="26"/>
      <c r="AUQ76" s="26"/>
      <c r="AUR76" s="26"/>
      <c r="AUS76" s="26"/>
      <c r="AUT76" s="26"/>
      <c r="AUU76" s="58"/>
      <c r="AUV76" s="26"/>
      <c r="AUW76" s="26"/>
      <c r="AUX76" s="26"/>
      <c r="AUY76" s="26"/>
      <c r="AUZ76" s="22"/>
      <c r="AVA76" s="167"/>
      <c r="AVB76" s="30"/>
      <c r="AVC76" s="25"/>
      <c r="AVD76" s="178"/>
      <c r="AVE76" s="26"/>
      <c r="AVF76" s="26"/>
      <c r="AVG76" s="26"/>
      <c r="AVH76" s="26"/>
      <c r="AVI76" s="26"/>
      <c r="AVJ76" s="26"/>
      <c r="AVK76" s="58"/>
      <c r="AVL76" s="26"/>
      <c r="AVM76" s="26"/>
      <c r="AVN76" s="26"/>
      <c r="AVO76" s="26"/>
      <c r="AVP76" s="22"/>
      <c r="AVQ76" s="167"/>
      <c r="AVR76" s="30"/>
      <c r="AVS76" s="25"/>
      <c r="AVT76" s="178"/>
      <c r="AVU76" s="26"/>
      <c r="AVV76" s="26"/>
      <c r="AVW76" s="26"/>
      <c r="AVX76" s="26"/>
      <c r="AVY76" s="26"/>
      <c r="AVZ76" s="26"/>
      <c r="AWA76" s="58"/>
      <c r="AWB76" s="26"/>
      <c r="AWC76" s="26"/>
      <c r="AWD76" s="26"/>
      <c r="AWE76" s="26"/>
      <c r="AWF76" s="22"/>
      <c r="AWG76" s="167"/>
      <c r="AWH76" s="30"/>
      <c r="AWI76" s="25"/>
      <c r="AWJ76" s="178"/>
      <c r="AWK76" s="26"/>
      <c r="AWL76" s="26"/>
      <c r="AWM76" s="26"/>
      <c r="AWN76" s="26"/>
      <c r="AWO76" s="26"/>
      <c r="AWP76" s="26"/>
      <c r="AWQ76" s="58"/>
      <c r="AWR76" s="26"/>
      <c r="AWS76" s="26"/>
      <c r="AWT76" s="26"/>
      <c r="AWU76" s="26"/>
      <c r="AWV76" s="22"/>
      <c r="AWW76" s="167"/>
      <c r="AWX76" s="30"/>
      <c r="AWY76" s="25"/>
      <c r="AWZ76" s="178"/>
      <c r="AXA76" s="26"/>
      <c r="AXB76" s="26"/>
      <c r="AXC76" s="26"/>
      <c r="AXD76" s="26"/>
      <c r="AXE76" s="26"/>
      <c r="AXF76" s="26"/>
      <c r="AXG76" s="58"/>
      <c r="AXH76" s="26"/>
      <c r="AXI76" s="26"/>
      <c r="AXJ76" s="26"/>
      <c r="AXK76" s="26"/>
      <c r="AXL76" s="22"/>
      <c r="AXM76" s="167"/>
      <c r="AXN76" s="30"/>
      <c r="AXO76" s="25"/>
      <c r="AXP76" s="178"/>
      <c r="AXQ76" s="26"/>
      <c r="AXR76" s="26"/>
      <c r="AXS76" s="26"/>
      <c r="AXT76" s="26"/>
      <c r="AXU76" s="26"/>
      <c r="AXV76" s="26"/>
      <c r="AXW76" s="58"/>
      <c r="AXX76" s="26"/>
      <c r="AXY76" s="26"/>
      <c r="AXZ76" s="26"/>
      <c r="AYA76" s="26"/>
      <c r="AYB76" s="22"/>
      <c r="AYC76" s="167"/>
      <c r="AYD76" s="30"/>
      <c r="AYE76" s="25"/>
      <c r="AYF76" s="178"/>
      <c r="AYG76" s="26"/>
      <c r="AYH76" s="26"/>
      <c r="AYI76" s="26"/>
      <c r="AYJ76" s="26"/>
      <c r="AYK76" s="26"/>
      <c r="AYL76" s="26"/>
      <c r="AYM76" s="58"/>
      <c r="AYN76" s="26"/>
      <c r="AYO76" s="26"/>
      <c r="AYP76" s="26"/>
      <c r="AYQ76" s="26"/>
      <c r="AYR76" s="22"/>
      <c r="AYS76" s="167"/>
      <c r="AYT76" s="30"/>
      <c r="AYU76" s="25"/>
      <c r="AYV76" s="178"/>
      <c r="AYW76" s="26"/>
      <c r="AYX76" s="26"/>
      <c r="AYY76" s="26"/>
      <c r="AYZ76" s="26"/>
      <c r="AZA76" s="26"/>
      <c r="AZB76" s="26"/>
      <c r="AZC76" s="58"/>
      <c r="AZD76" s="26"/>
      <c r="AZE76" s="26"/>
      <c r="AZF76" s="26"/>
      <c r="AZG76" s="26"/>
      <c r="AZH76" s="22"/>
      <c r="AZI76" s="167"/>
      <c r="AZJ76" s="30"/>
      <c r="AZK76" s="25"/>
      <c r="AZL76" s="178"/>
      <c r="AZM76" s="26"/>
      <c r="AZN76" s="26"/>
      <c r="AZO76" s="26"/>
      <c r="AZP76" s="26"/>
      <c r="AZQ76" s="26"/>
      <c r="AZR76" s="26"/>
      <c r="AZS76" s="58"/>
      <c r="AZT76" s="26"/>
      <c r="AZU76" s="26"/>
      <c r="AZV76" s="26"/>
      <c r="AZW76" s="26"/>
      <c r="AZX76" s="22"/>
      <c r="AZY76" s="167"/>
      <c r="AZZ76" s="30"/>
      <c r="BAA76" s="25"/>
      <c r="BAB76" s="178"/>
      <c r="BAC76" s="26"/>
      <c r="BAD76" s="26"/>
      <c r="BAE76" s="26"/>
      <c r="BAF76" s="26"/>
      <c r="BAG76" s="26"/>
      <c r="BAH76" s="26"/>
      <c r="BAI76" s="58"/>
      <c r="BAJ76" s="26"/>
      <c r="BAK76" s="26"/>
      <c r="BAL76" s="26"/>
      <c r="BAM76" s="26"/>
      <c r="BAN76" s="22"/>
      <c r="BAO76" s="167"/>
      <c r="BAP76" s="30"/>
      <c r="BAQ76" s="25"/>
      <c r="BAR76" s="178"/>
      <c r="BAS76" s="26"/>
      <c r="BAT76" s="26"/>
      <c r="BAU76" s="26"/>
      <c r="BAV76" s="26"/>
      <c r="BAW76" s="26"/>
      <c r="BAX76" s="26"/>
      <c r="BAY76" s="58"/>
      <c r="BAZ76" s="26"/>
      <c r="BBA76" s="26"/>
      <c r="BBB76" s="26"/>
      <c r="BBC76" s="26"/>
      <c r="BBD76" s="22"/>
      <c r="BBE76" s="167"/>
      <c r="BBF76" s="30"/>
      <c r="BBG76" s="25"/>
      <c r="BBH76" s="178"/>
      <c r="BBI76" s="26"/>
      <c r="BBJ76" s="26"/>
      <c r="BBK76" s="26"/>
      <c r="BBL76" s="26"/>
      <c r="BBM76" s="26"/>
      <c r="BBN76" s="26"/>
      <c r="BBO76" s="58"/>
      <c r="BBP76" s="26"/>
      <c r="BBQ76" s="26"/>
      <c r="BBR76" s="26"/>
      <c r="BBS76" s="26"/>
      <c r="BBT76" s="22"/>
      <c r="BBU76" s="167"/>
      <c r="BBV76" s="30"/>
      <c r="BBW76" s="25"/>
      <c r="BBX76" s="178"/>
      <c r="BBY76" s="26"/>
      <c r="BBZ76" s="26"/>
      <c r="BCA76" s="26"/>
      <c r="BCB76" s="26"/>
      <c r="BCC76" s="26"/>
      <c r="BCD76" s="26"/>
      <c r="BCE76" s="58"/>
      <c r="BCF76" s="26"/>
      <c r="BCG76" s="26"/>
      <c r="BCH76" s="26"/>
      <c r="BCI76" s="26"/>
      <c r="BCJ76" s="22"/>
      <c r="BCK76" s="167"/>
      <c r="BCL76" s="30"/>
      <c r="BCM76" s="25"/>
      <c r="BCN76" s="178"/>
      <c r="BCO76" s="26"/>
      <c r="BCP76" s="26"/>
      <c r="BCQ76" s="26"/>
      <c r="BCR76" s="26"/>
      <c r="BCS76" s="26"/>
      <c r="BCT76" s="26"/>
      <c r="BCU76" s="58"/>
      <c r="BCV76" s="26"/>
      <c r="BCW76" s="26"/>
      <c r="BCX76" s="26"/>
      <c r="BCY76" s="26"/>
      <c r="BCZ76" s="22"/>
      <c r="BDA76" s="167"/>
      <c r="BDB76" s="30"/>
      <c r="BDC76" s="25"/>
      <c r="BDD76" s="178"/>
      <c r="BDE76" s="26"/>
      <c r="BDF76" s="26"/>
      <c r="BDG76" s="26"/>
      <c r="BDH76" s="26"/>
      <c r="BDI76" s="26"/>
      <c r="BDJ76" s="26"/>
      <c r="BDK76" s="58"/>
      <c r="BDL76" s="26"/>
      <c r="BDM76" s="26"/>
      <c r="BDN76" s="26"/>
      <c r="BDO76" s="26"/>
      <c r="BDP76" s="22"/>
      <c r="BDQ76" s="167"/>
      <c r="BDR76" s="30"/>
      <c r="BDS76" s="25"/>
      <c r="BDT76" s="178"/>
      <c r="BDU76" s="26"/>
      <c r="BDV76" s="26"/>
      <c r="BDW76" s="26"/>
      <c r="BDX76" s="26"/>
      <c r="BDY76" s="26"/>
      <c r="BDZ76" s="26"/>
      <c r="BEA76" s="58"/>
      <c r="BEB76" s="26"/>
      <c r="BEC76" s="26"/>
      <c r="BED76" s="26"/>
      <c r="BEE76" s="26"/>
      <c r="BEF76" s="22"/>
      <c r="BEG76" s="167"/>
      <c r="BEH76" s="30"/>
      <c r="BEI76" s="25"/>
      <c r="BEJ76" s="178"/>
      <c r="BEK76" s="26"/>
      <c r="BEL76" s="26"/>
      <c r="BEM76" s="26"/>
      <c r="BEN76" s="26"/>
      <c r="BEO76" s="26"/>
      <c r="BEP76" s="26"/>
      <c r="BEQ76" s="58"/>
      <c r="BER76" s="26"/>
      <c r="BES76" s="26"/>
      <c r="BET76" s="26"/>
      <c r="BEU76" s="26"/>
      <c r="BEV76" s="22"/>
      <c r="BEW76" s="167"/>
      <c r="BEX76" s="30"/>
      <c r="BEY76" s="25"/>
      <c r="BEZ76" s="178"/>
      <c r="BFA76" s="26"/>
      <c r="BFB76" s="26"/>
      <c r="BFC76" s="26"/>
      <c r="BFD76" s="26"/>
      <c r="BFE76" s="26"/>
      <c r="BFF76" s="26"/>
      <c r="BFG76" s="58"/>
      <c r="BFH76" s="26"/>
      <c r="BFI76" s="26"/>
      <c r="BFJ76" s="26"/>
      <c r="BFK76" s="26"/>
      <c r="BFL76" s="22"/>
      <c r="BFM76" s="167"/>
      <c r="BFN76" s="30"/>
      <c r="BFO76" s="25"/>
      <c r="BFP76" s="178"/>
      <c r="BFQ76" s="26"/>
      <c r="BFR76" s="26"/>
      <c r="BFS76" s="26"/>
      <c r="BFT76" s="26"/>
      <c r="BFU76" s="26"/>
      <c r="BFV76" s="26"/>
      <c r="BFW76" s="58"/>
      <c r="BFX76" s="26"/>
      <c r="BFY76" s="26"/>
      <c r="BFZ76" s="26"/>
      <c r="BGA76" s="26"/>
      <c r="BGB76" s="22"/>
      <c r="BGC76" s="167"/>
      <c r="BGD76" s="30"/>
      <c r="BGE76" s="25"/>
      <c r="BGF76" s="178"/>
      <c r="BGG76" s="26"/>
      <c r="BGH76" s="26"/>
      <c r="BGI76" s="26"/>
      <c r="BGJ76" s="26"/>
      <c r="BGK76" s="26"/>
      <c r="BGL76" s="26"/>
      <c r="BGM76" s="58"/>
      <c r="BGN76" s="26"/>
      <c r="BGO76" s="26"/>
      <c r="BGP76" s="26"/>
      <c r="BGQ76" s="26"/>
      <c r="BGR76" s="22"/>
      <c r="BGS76" s="167"/>
      <c r="BGT76" s="30"/>
      <c r="BGU76" s="25"/>
      <c r="BGV76" s="178"/>
      <c r="BGW76" s="26"/>
      <c r="BGX76" s="26"/>
      <c r="BGY76" s="26"/>
      <c r="BGZ76" s="26"/>
      <c r="BHA76" s="26"/>
      <c r="BHB76" s="26"/>
      <c r="BHC76" s="58"/>
      <c r="BHD76" s="26"/>
      <c r="BHE76" s="26"/>
      <c r="BHF76" s="26"/>
      <c r="BHG76" s="26"/>
      <c r="BHH76" s="22"/>
      <c r="BHI76" s="167"/>
      <c r="BHJ76" s="30"/>
      <c r="BHK76" s="25"/>
      <c r="BHL76" s="178"/>
      <c r="BHM76" s="26"/>
      <c r="BHN76" s="26"/>
      <c r="BHO76" s="26"/>
      <c r="BHP76" s="26"/>
      <c r="BHQ76" s="26"/>
      <c r="BHR76" s="26"/>
      <c r="BHS76" s="58"/>
      <c r="BHT76" s="26"/>
      <c r="BHU76" s="26"/>
      <c r="BHV76" s="26"/>
      <c r="BHW76" s="26"/>
      <c r="BHX76" s="22"/>
      <c r="BHY76" s="167"/>
      <c r="BHZ76" s="30"/>
      <c r="BIA76" s="25"/>
      <c r="BIB76" s="178"/>
      <c r="BIC76" s="26"/>
      <c r="BID76" s="26"/>
      <c r="BIE76" s="26"/>
      <c r="BIF76" s="26"/>
      <c r="BIG76" s="26"/>
      <c r="BIH76" s="26"/>
      <c r="BII76" s="58"/>
      <c r="BIJ76" s="26"/>
      <c r="BIK76" s="26"/>
      <c r="BIL76" s="26"/>
      <c r="BIM76" s="26"/>
      <c r="BIN76" s="22"/>
      <c r="BIO76" s="167"/>
      <c r="BIP76" s="30"/>
      <c r="BIQ76" s="25"/>
      <c r="BIR76" s="178"/>
      <c r="BIS76" s="26"/>
      <c r="BIT76" s="26"/>
      <c r="BIU76" s="26"/>
      <c r="BIV76" s="26"/>
      <c r="BIW76" s="26"/>
      <c r="BIX76" s="26"/>
      <c r="BIY76" s="58"/>
      <c r="BIZ76" s="26"/>
      <c r="BJA76" s="26"/>
      <c r="BJB76" s="26"/>
      <c r="BJC76" s="26"/>
      <c r="BJD76" s="22"/>
      <c r="BJE76" s="167"/>
      <c r="BJF76" s="30"/>
      <c r="BJG76" s="25"/>
      <c r="BJH76" s="178"/>
      <c r="BJI76" s="26"/>
      <c r="BJJ76" s="26"/>
      <c r="BJK76" s="26"/>
      <c r="BJL76" s="26"/>
      <c r="BJM76" s="26"/>
      <c r="BJN76" s="26"/>
      <c r="BJO76" s="58"/>
      <c r="BJP76" s="26"/>
      <c r="BJQ76" s="26"/>
      <c r="BJR76" s="26"/>
      <c r="BJS76" s="26"/>
      <c r="BJT76" s="22"/>
      <c r="BJU76" s="167"/>
      <c r="BJV76" s="30"/>
      <c r="BJW76" s="25"/>
      <c r="BJX76" s="178"/>
      <c r="BJY76" s="26"/>
      <c r="BJZ76" s="26"/>
      <c r="BKA76" s="26"/>
      <c r="BKB76" s="26"/>
      <c r="BKC76" s="26"/>
      <c r="BKD76" s="26"/>
      <c r="BKE76" s="58"/>
      <c r="BKF76" s="26"/>
      <c r="BKG76" s="26"/>
      <c r="BKH76" s="26"/>
      <c r="BKI76" s="26"/>
      <c r="BKJ76" s="22"/>
      <c r="BKK76" s="167"/>
      <c r="BKL76" s="30"/>
      <c r="BKM76" s="25"/>
      <c r="BKN76" s="178"/>
      <c r="BKO76" s="26"/>
      <c r="BKP76" s="26"/>
      <c r="BKQ76" s="26"/>
      <c r="BKR76" s="26"/>
      <c r="BKS76" s="26"/>
      <c r="BKT76" s="26"/>
      <c r="BKU76" s="58"/>
      <c r="BKV76" s="26"/>
      <c r="BKW76" s="26"/>
      <c r="BKX76" s="26"/>
      <c r="BKY76" s="26"/>
      <c r="BKZ76" s="22"/>
      <c r="BLA76" s="167"/>
      <c r="BLB76" s="30"/>
      <c r="BLC76" s="25"/>
      <c r="BLD76" s="178"/>
      <c r="BLE76" s="26"/>
      <c r="BLF76" s="26"/>
      <c r="BLG76" s="26"/>
      <c r="BLH76" s="26"/>
      <c r="BLI76" s="26"/>
      <c r="BLJ76" s="26"/>
      <c r="BLK76" s="58"/>
      <c r="BLL76" s="26"/>
      <c r="BLM76" s="26"/>
      <c r="BLN76" s="26"/>
      <c r="BLO76" s="26"/>
      <c r="BLP76" s="22"/>
      <c r="BLQ76" s="167"/>
      <c r="BLR76" s="30"/>
      <c r="BLS76" s="25"/>
      <c r="BLT76" s="178"/>
      <c r="BLU76" s="26"/>
      <c r="BLV76" s="26"/>
      <c r="BLW76" s="26"/>
      <c r="BLX76" s="26"/>
      <c r="BLY76" s="26"/>
      <c r="BLZ76" s="26"/>
      <c r="BMA76" s="58"/>
      <c r="BMB76" s="26"/>
      <c r="BMC76" s="26"/>
      <c r="BMD76" s="26"/>
      <c r="BME76" s="26"/>
      <c r="BMF76" s="22"/>
      <c r="BMG76" s="167"/>
      <c r="BMH76" s="30"/>
      <c r="BMI76" s="25"/>
      <c r="BMJ76" s="178"/>
      <c r="BMK76" s="26"/>
      <c r="BML76" s="26"/>
      <c r="BMM76" s="26"/>
      <c r="BMN76" s="26"/>
      <c r="BMO76" s="26"/>
      <c r="BMP76" s="26"/>
      <c r="BMQ76" s="58"/>
      <c r="BMR76" s="26"/>
      <c r="BMS76" s="26"/>
      <c r="BMT76" s="26"/>
      <c r="BMU76" s="26"/>
      <c r="BMV76" s="22"/>
      <c r="BMW76" s="167"/>
      <c r="BMX76" s="30"/>
      <c r="BMY76" s="25"/>
      <c r="BMZ76" s="178"/>
      <c r="BNA76" s="26"/>
      <c r="BNB76" s="26"/>
      <c r="BNC76" s="26"/>
      <c r="BND76" s="26"/>
      <c r="BNE76" s="26"/>
      <c r="BNF76" s="26"/>
      <c r="BNG76" s="58"/>
      <c r="BNH76" s="26"/>
      <c r="BNI76" s="26"/>
      <c r="BNJ76" s="26"/>
      <c r="BNK76" s="26"/>
      <c r="BNL76" s="22"/>
      <c r="BNM76" s="167"/>
      <c r="BNN76" s="30"/>
      <c r="BNO76" s="25"/>
      <c r="BNP76" s="178"/>
      <c r="BNQ76" s="26"/>
      <c r="BNR76" s="26"/>
      <c r="BNS76" s="26"/>
      <c r="BNT76" s="26"/>
      <c r="BNU76" s="26"/>
      <c r="BNV76" s="26"/>
      <c r="BNW76" s="58"/>
      <c r="BNX76" s="26"/>
      <c r="BNY76" s="26"/>
      <c r="BNZ76" s="26"/>
      <c r="BOA76" s="26"/>
      <c r="BOB76" s="22"/>
      <c r="BOC76" s="167"/>
      <c r="BOD76" s="30"/>
      <c r="BOE76" s="25"/>
      <c r="BOF76" s="178"/>
      <c r="BOG76" s="26"/>
      <c r="BOH76" s="26"/>
      <c r="BOI76" s="26"/>
      <c r="BOJ76" s="26"/>
      <c r="BOK76" s="26"/>
      <c r="BOL76" s="26"/>
      <c r="BOM76" s="58"/>
      <c r="BON76" s="26"/>
      <c r="BOO76" s="26"/>
      <c r="BOP76" s="26"/>
      <c r="BOQ76" s="26"/>
      <c r="BOR76" s="22"/>
      <c r="BOS76" s="167"/>
      <c r="BOT76" s="30"/>
      <c r="BOU76" s="25"/>
      <c r="BOV76" s="178"/>
      <c r="BOW76" s="26"/>
      <c r="BOX76" s="26"/>
      <c r="BOY76" s="26"/>
      <c r="BOZ76" s="26"/>
      <c r="BPA76" s="26"/>
      <c r="BPB76" s="26"/>
      <c r="BPC76" s="58"/>
      <c r="BPD76" s="26"/>
      <c r="BPE76" s="26"/>
      <c r="BPF76" s="26"/>
      <c r="BPG76" s="26"/>
      <c r="BPH76" s="22"/>
      <c r="BPI76" s="167"/>
      <c r="BPJ76" s="30"/>
      <c r="BPK76" s="25"/>
      <c r="BPL76" s="178"/>
      <c r="BPM76" s="26"/>
      <c r="BPN76" s="26"/>
      <c r="BPO76" s="26"/>
      <c r="BPP76" s="26"/>
      <c r="BPQ76" s="26"/>
      <c r="BPR76" s="26"/>
      <c r="BPS76" s="58"/>
      <c r="BPT76" s="26"/>
      <c r="BPU76" s="26"/>
      <c r="BPV76" s="26"/>
      <c r="BPW76" s="26"/>
      <c r="BPX76" s="22"/>
      <c r="BPY76" s="167"/>
      <c r="BPZ76" s="30"/>
      <c r="BQA76" s="25"/>
      <c r="BQB76" s="178"/>
      <c r="BQC76" s="26"/>
      <c r="BQD76" s="26"/>
      <c r="BQE76" s="26"/>
      <c r="BQF76" s="26"/>
      <c r="BQG76" s="26"/>
      <c r="BQH76" s="26"/>
      <c r="BQI76" s="58"/>
      <c r="BQJ76" s="26"/>
      <c r="BQK76" s="26"/>
      <c r="BQL76" s="26"/>
      <c r="BQM76" s="26"/>
      <c r="BQN76" s="22"/>
      <c r="BQO76" s="167"/>
      <c r="BQP76" s="30"/>
      <c r="BQQ76" s="25"/>
      <c r="BQR76" s="178"/>
      <c r="BQS76" s="26"/>
      <c r="BQT76" s="26"/>
      <c r="BQU76" s="26"/>
      <c r="BQV76" s="26"/>
      <c r="BQW76" s="26"/>
      <c r="BQX76" s="26"/>
      <c r="BQY76" s="58"/>
      <c r="BQZ76" s="26"/>
      <c r="BRA76" s="26"/>
      <c r="BRB76" s="26"/>
      <c r="BRC76" s="26"/>
      <c r="BRD76" s="22"/>
      <c r="BRE76" s="167"/>
      <c r="BRF76" s="30"/>
      <c r="BRG76" s="25"/>
      <c r="BRH76" s="178"/>
      <c r="BRI76" s="26"/>
      <c r="BRJ76" s="26"/>
      <c r="BRK76" s="26"/>
      <c r="BRL76" s="26"/>
      <c r="BRM76" s="26"/>
      <c r="BRN76" s="26"/>
      <c r="BRO76" s="58"/>
      <c r="BRP76" s="26"/>
      <c r="BRQ76" s="26"/>
      <c r="BRR76" s="26"/>
      <c r="BRS76" s="26"/>
      <c r="BRT76" s="22"/>
      <c r="BRU76" s="167"/>
      <c r="BRV76" s="30"/>
      <c r="BRW76" s="25"/>
      <c r="BRX76" s="178"/>
      <c r="BRY76" s="26"/>
      <c r="BRZ76" s="26"/>
      <c r="BSA76" s="26"/>
      <c r="BSB76" s="26"/>
      <c r="BSC76" s="26"/>
      <c r="BSD76" s="26"/>
      <c r="BSE76" s="58"/>
      <c r="BSF76" s="26"/>
      <c r="BSG76" s="26"/>
      <c r="BSH76" s="26"/>
      <c r="BSI76" s="26"/>
      <c r="BSJ76" s="22"/>
      <c r="BSK76" s="167"/>
      <c r="BSL76" s="30"/>
      <c r="BSM76" s="25"/>
      <c r="BSN76" s="178"/>
      <c r="BSO76" s="26"/>
      <c r="BSP76" s="26"/>
      <c r="BSQ76" s="26"/>
      <c r="BSR76" s="26"/>
      <c r="BSS76" s="26"/>
      <c r="BST76" s="26"/>
      <c r="BSU76" s="58"/>
      <c r="BSV76" s="26"/>
      <c r="BSW76" s="26"/>
      <c r="BSX76" s="26"/>
      <c r="BSY76" s="26"/>
      <c r="BSZ76" s="22"/>
      <c r="BTA76" s="167"/>
      <c r="BTB76" s="30"/>
      <c r="BTC76" s="25"/>
      <c r="BTD76" s="178"/>
      <c r="BTE76" s="26"/>
      <c r="BTF76" s="26"/>
      <c r="BTG76" s="26"/>
      <c r="BTH76" s="26"/>
      <c r="BTI76" s="26"/>
      <c r="BTJ76" s="26"/>
      <c r="BTK76" s="58"/>
      <c r="BTL76" s="26"/>
      <c r="BTM76" s="26"/>
      <c r="BTN76" s="26"/>
      <c r="BTO76" s="26"/>
      <c r="BTP76" s="22"/>
      <c r="BTQ76" s="167"/>
      <c r="BTR76" s="30"/>
      <c r="BTS76" s="25"/>
      <c r="BTT76" s="178"/>
      <c r="BTU76" s="26"/>
      <c r="BTV76" s="26"/>
      <c r="BTW76" s="26"/>
      <c r="BTX76" s="26"/>
      <c r="BTY76" s="26"/>
      <c r="BTZ76" s="26"/>
      <c r="BUA76" s="58"/>
      <c r="BUB76" s="26"/>
      <c r="BUC76" s="26"/>
      <c r="BUD76" s="26"/>
      <c r="BUE76" s="26"/>
      <c r="BUF76" s="22"/>
      <c r="BUG76" s="167"/>
      <c r="BUH76" s="30"/>
      <c r="BUI76" s="25"/>
      <c r="BUJ76" s="178"/>
      <c r="BUK76" s="26"/>
      <c r="BUL76" s="26"/>
      <c r="BUM76" s="26"/>
      <c r="BUN76" s="26"/>
      <c r="BUO76" s="26"/>
      <c r="BUP76" s="26"/>
      <c r="BUQ76" s="58"/>
      <c r="BUR76" s="26"/>
      <c r="BUS76" s="26"/>
      <c r="BUT76" s="26"/>
      <c r="BUU76" s="26"/>
      <c r="BUV76" s="22"/>
      <c r="BUW76" s="167"/>
      <c r="BUX76" s="30"/>
      <c r="BUY76" s="25"/>
      <c r="BUZ76" s="178"/>
      <c r="BVA76" s="26"/>
      <c r="BVB76" s="26"/>
      <c r="BVC76" s="26"/>
      <c r="BVD76" s="26"/>
      <c r="BVE76" s="26"/>
      <c r="BVF76" s="26"/>
      <c r="BVG76" s="58"/>
      <c r="BVH76" s="26"/>
      <c r="BVI76" s="26"/>
      <c r="BVJ76" s="26"/>
      <c r="BVK76" s="26"/>
      <c r="BVL76" s="22"/>
      <c r="BVM76" s="167"/>
      <c r="BVN76" s="30"/>
      <c r="BVO76" s="25"/>
      <c r="BVP76" s="178"/>
      <c r="BVQ76" s="26"/>
      <c r="BVR76" s="26"/>
      <c r="BVS76" s="26"/>
      <c r="BVT76" s="26"/>
      <c r="BVU76" s="26"/>
      <c r="BVV76" s="26"/>
      <c r="BVW76" s="58"/>
      <c r="BVX76" s="26"/>
      <c r="BVY76" s="26"/>
      <c r="BVZ76" s="26"/>
      <c r="BWA76" s="26"/>
      <c r="BWB76" s="22"/>
      <c r="BWC76" s="167"/>
      <c r="BWD76" s="30"/>
      <c r="BWE76" s="25"/>
      <c r="BWF76" s="178"/>
      <c r="BWG76" s="26"/>
      <c r="BWH76" s="26"/>
      <c r="BWI76" s="26"/>
      <c r="BWJ76" s="26"/>
      <c r="BWK76" s="26"/>
      <c r="BWL76" s="26"/>
      <c r="BWM76" s="58"/>
      <c r="BWN76" s="26"/>
      <c r="BWO76" s="26"/>
      <c r="BWP76" s="26"/>
      <c r="BWQ76" s="26"/>
      <c r="BWR76" s="22"/>
      <c r="BWS76" s="167"/>
      <c r="BWT76" s="30"/>
      <c r="BWU76" s="25"/>
      <c r="BWV76" s="178"/>
      <c r="BWW76" s="26"/>
      <c r="BWX76" s="26"/>
      <c r="BWY76" s="26"/>
      <c r="BWZ76" s="26"/>
      <c r="BXA76" s="26"/>
      <c r="BXB76" s="26"/>
      <c r="BXC76" s="58"/>
      <c r="BXD76" s="26"/>
      <c r="BXE76" s="26"/>
      <c r="BXF76" s="26"/>
      <c r="BXG76" s="26"/>
      <c r="BXH76" s="22"/>
      <c r="BXI76" s="167"/>
      <c r="BXJ76" s="30"/>
      <c r="BXK76" s="25"/>
      <c r="BXL76" s="178"/>
      <c r="BXM76" s="26"/>
      <c r="BXN76" s="26"/>
      <c r="BXO76" s="26"/>
      <c r="BXP76" s="26"/>
      <c r="BXQ76" s="26"/>
      <c r="BXR76" s="26"/>
      <c r="BXS76" s="58"/>
      <c r="BXT76" s="26"/>
      <c r="BXU76" s="26"/>
      <c r="BXV76" s="26"/>
      <c r="BXW76" s="26"/>
      <c r="BXX76" s="22"/>
      <c r="BXY76" s="167"/>
      <c r="BXZ76" s="30"/>
      <c r="BYA76" s="25"/>
      <c r="BYB76" s="178"/>
      <c r="BYC76" s="26"/>
      <c r="BYD76" s="26"/>
      <c r="BYE76" s="26"/>
      <c r="BYF76" s="26"/>
      <c r="BYG76" s="26"/>
      <c r="BYH76" s="26"/>
      <c r="BYI76" s="58"/>
      <c r="BYJ76" s="26"/>
      <c r="BYK76" s="26"/>
      <c r="BYL76" s="26"/>
      <c r="BYM76" s="26"/>
      <c r="BYN76" s="22"/>
      <c r="BYO76" s="167"/>
      <c r="BYP76" s="30"/>
      <c r="BYQ76" s="25"/>
      <c r="BYR76" s="178"/>
      <c r="BYS76" s="26"/>
      <c r="BYT76" s="26"/>
      <c r="BYU76" s="26"/>
      <c r="BYV76" s="26"/>
      <c r="BYW76" s="26"/>
      <c r="BYX76" s="26"/>
      <c r="BYY76" s="58"/>
      <c r="BYZ76" s="26"/>
      <c r="BZA76" s="26"/>
      <c r="BZB76" s="26"/>
      <c r="BZC76" s="26"/>
      <c r="BZD76" s="22"/>
      <c r="BZE76" s="167"/>
      <c r="BZF76" s="30"/>
      <c r="BZG76" s="25"/>
      <c r="BZH76" s="178"/>
      <c r="BZI76" s="26"/>
      <c r="BZJ76" s="26"/>
      <c r="BZK76" s="26"/>
      <c r="BZL76" s="26"/>
      <c r="BZM76" s="26"/>
      <c r="BZN76" s="26"/>
      <c r="BZO76" s="58"/>
      <c r="BZP76" s="26"/>
      <c r="BZQ76" s="26"/>
      <c r="BZR76" s="26"/>
      <c r="BZS76" s="26"/>
      <c r="BZT76" s="22"/>
      <c r="BZU76" s="167"/>
      <c r="BZV76" s="30"/>
      <c r="BZW76" s="25"/>
      <c r="BZX76" s="178"/>
      <c r="BZY76" s="26"/>
      <c r="BZZ76" s="26"/>
      <c r="CAA76" s="26"/>
      <c r="CAB76" s="26"/>
      <c r="CAC76" s="26"/>
      <c r="CAD76" s="26"/>
      <c r="CAE76" s="58"/>
      <c r="CAF76" s="26"/>
      <c r="CAG76" s="26"/>
      <c r="CAH76" s="26"/>
      <c r="CAI76" s="26"/>
      <c r="CAJ76" s="22"/>
      <c r="CAK76" s="167"/>
      <c r="CAL76" s="30"/>
      <c r="CAM76" s="25"/>
      <c r="CAN76" s="178"/>
      <c r="CAO76" s="26"/>
      <c r="CAP76" s="26"/>
      <c r="CAQ76" s="26"/>
      <c r="CAR76" s="26"/>
      <c r="CAS76" s="26"/>
      <c r="CAT76" s="26"/>
      <c r="CAU76" s="58"/>
      <c r="CAV76" s="26"/>
      <c r="CAW76" s="26"/>
      <c r="CAX76" s="26"/>
      <c r="CAY76" s="26"/>
      <c r="CAZ76" s="22"/>
      <c r="CBA76" s="167"/>
      <c r="CBB76" s="30"/>
      <c r="CBC76" s="25"/>
      <c r="CBD76" s="178"/>
      <c r="CBE76" s="26"/>
      <c r="CBF76" s="26"/>
      <c r="CBG76" s="26"/>
      <c r="CBH76" s="26"/>
      <c r="CBI76" s="26"/>
      <c r="CBJ76" s="26"/>
      <c r="CBK76" s="58"/>
      <c r="CBL76" s="26"/>
      <c r="CBM76" s="26"/>
      <c r="CBN76" s="26"/>
      <c r="CBO76" s="26"/>
      <c r="CBP76" s="22"/>
      <c r="CBQ76" s="167"/>
      <c r="CBR76" s="30"/>
      <c r="CBS76" s="25"/>
      <c r="CBT76" s="178"/>
      <c r="CBU76" s="26"/>
      <c r="CBV76" s="26"/>
      <c r="CBW76" s="26"/>
      <c r="CBX76" s="26"/>
      <c r="CBY76" s="26"/>
      <c r="CBZ76" s="26"/>
      <c r="CCA76" s="58"/>
      <c r="CCB76" s="26"/>
      <c r="CCC76" s="26"/>
      <c r="CCD76" s="26"/>
      <c r="CCE76" s="26"/>
      <c r="CCF76" s="22"/>
      <c r="CCG76" s="167"/>
      <c r="CCH76" s="30"/>
      <c r="CCI76" s="25"/>
      <c r="CCJ76" s="178"/>
      <c r="CCK76" s="26"/>
      <c r="CCL76" s="26"/>
      <c r="CCM76" s="26"/>
      <c r="CCN76" s="26"/>
      <c r="CCO76" s="26"/>
      <c r="CCP76" s="26"/>
      <c r="CCQ76" s="58"/>
      <c r="CCR76" s="26"/>
      <c r="CCS76" s="26"/>
      <c r="CCT76" s="26"/>
      <c r="CCU76" s="26"/>
      <c r="CCV76" s="22"/>
      <c r="CCW76" s="167"/>
      <c r="CCX76" s="30"/>
      <c r="CCY76" s="25"/>
      <c r="CCZ76" s="178"/>
      <c r="CDA76" s="26"/>
      <c r="CDB76" s="26"/>
      <c r="CDC76" s="26"/>
      <c r="CDD76" s="26"/>
      <c r="CDE76" s="26"/>
      <c r="CDF76" s="26"/>
      <c r="CDG76" s="58"/>
      <c r="CDH76" s="26"/>
      <c r="CDI76" s="26"/>
      <c r="CDJ76" s="26"/>
      <c r="CDK76" s="26"/>
      <c r="CDL76" s="22"/>
      <c r="CDM76" s="167"/>
      <c r="CDN76" s="30"/>
      <c r="CDO76" s="25"/>
      <c r="CDP76" s="178"/>
      <c r="CDQ76" s="26"/>
      <c r="CDR76" s="26"/>
      <c r="CDS76" s="26"/>
      <c r="CDT76" s="26"/>
      <c r="CDU76" s="26"/>
      <c r="CDV76" s="26"/>
      <c r="CDW76" s="58"/>
      <c r="CDX76" s="26"/>
      <c r="CDY76" s="26"/>
      <c r="CDZ76" s="26"/>
      <c r="CEA76" s="26"/>
      <c r="CEB76" s="22"/>
      <c r="CEC76" s="167"/>
      <c r="CED76" s="30"/>
      <c r="CEE76" s="25"/>
      <c r="CEF76" s="178"/>
      <c r="CEG76" s="26"/>
      <c r="CEH76" s="26"/>
      <c r="CEI76" s="26"/>
      <c r="CEJ76" s="26"/>
      <c r="CEK76" s="26"/>
      <c r="CEL76" s="26"/>
      <c r="CEM76" s="58"/>
      <c r="CEN76" s="26"/>
      <c r="CEO76" s="26"/>
      <c r="CEP76" s="26"/>
      <c r="CEQ76" s="26"/>
      <c r="CER76" s="22"/>
      <c r="CES76" s="167"/>
      <c r="CET76" s="30"/>
      <c r="CEU76" s="25"/>
      <c r="CEV76" s="178"/>
      <c r="CEW76" s="26"/>
      <c r="CEX76" s="26"/>
      <c r="CEY76" s="26"/>
      <c r="CEZ76" s="26"/>
      <c r="CFA76" s="26"/>
      <c r="CFB76" s="26"/>
      <c r="CFC76" s="58"/>
      <c r="CFD76" s="26"/>
      <c r="CFE76" s="26"/>
      <c r="CFF76" s="26"/>
      <c r="CFG76" s="26"/>
      <c r="CFH76" s="22"/>
      <c r="CFI76" s="167"/>
      <c r="CFJ76" s="30"/>
      <c r="CFK76" s="25"/>
      <c r="CFL76" s="178"/>
      <c r="CFM76" s="26"/>
      <c r="CFN76" s="26"/>
      <c r="CFO76" s="26"/>
      <c r="CFP76" s="26"/>
      <c r="CFQ76" s="26"/>
      <c r="CFR76" s="26"/>
      <c r="CFS76" s="58"/>
      <c r="CFT76" s="26"/>
      <c r="CFU76" s="26"/>
      <c r="CFV76" s="26"/>
      <c r="CFW76" s="26"/>
      <c r="CFX76" s="22"/>
      <c r="CFY76" s="167"/>
      <c r="CFZ76" s="30"/>
      <c r="CGA76" s="25"/>
      <c r="CGB76" s="178"/>
      <c r="CGC76" s="26"/>
      <c r="CGD76" s="26"/>
      <c r="CGE76" s="26"/>
      <c r="CGF76" s="26"/>
      <c r="CGG76" s="26"/>
      <c r="CGH76" s="26"/>
      <c r="CGI76" s="58"/>
      <c r="CGJ76" s="26"/>
      <c r="CGK76" s="26"/>
      <c r="CGL76" s="26"/>
      <c r="CGM76" s="26"/>
      <c r="CGN76" s="22"/>
      <c r="CGO76" s="167"/>
      <c r="CGP76" s="30"/>
      <c r="CGQ76" s="25"/>
      <c r="CGR76" s="178"/>
      <c r="CGS76" s="26"/>
      <c r="CGT76" s="26"/>
      <c r="CGU76" s="26"/>
      <c r="CGV76" s="26"/>
      <c r="CGW76" s="26"/>
      <c r="CGX76" s="26"/>
      <c r="CGY76" s="58"/>
      <c r="CGZ76" s="26"/>
      <c r="CHA76" s="26"/>
      <c r="CHB76" s="26"/>
      <c r="CHC76" s="26"/>
      <c r="CHD76" s="22"/>
      <c r="CHE76" s="167"/>
      <c r="CHF76" s="30"/>
      <c r="CHG76" s="25"/>
      <c r="CHH76" s="178"/>
      <c r="CHI76" s="26"/>
      <c r="CHJ76" s="26"/>
      <c r="CHK76" s="26"/>
      <c r="CHL76" s="26"/>
      <c r="CHM76" s="26"/>
      <c r="CHN76" s="26"/>
      <c r="CHO76" s="58"/>
      <c r="CHP76" s="26"/>
      <c r="CHQ76" s="26"/>
      <c r="CHR76" s="26"/>
      <c r="CHS76" s="26"/>
      <c r="CHT76" s="22"/>
      <c r="CHU76" s="167"/>
      <c r="CHV76" s="30"/>
      <c r="CHW76" s="25"/>
      <c r="CHX76" s="178"/>
      <c r="CHY76" s="26"/>
      <c r="CHZ76" s="26"/>
      <c r="CIA76" s="26"/>
      <c r="CIB76" s="26"/>
      <c r="CIC76" s="26"/>
      <c r="CID76" s="26"/>
      <c r="CIE76" s="58"/>
      <c r="CIF76" s="26"/>
      <c r="CIG76" s="26"/>
      <c r="CIH76" s="26"/>
      <c r="CII76" s="26"/>
      <c r="CIJ76" s="22"/>
      <c r="CIK76" s="167"/>
      <c r="CIL76" s="30"/>
      <c r="CIM76" s="25"/>
      <c r="CIN76" s="178"/>
      <c r="CIO76" s="26"/>
      <c r="CIP76" s="26"/>
      <c r="CIQ76" s="26"/>
      <c r="CIR76" s="26"/>
      <c r="CIS76" s="26"/>
      <c r="CIT76" s="26"/>
      <c r="CIU76" s="58"/>
      <c r="CIV76" s="26"/>
      <c r="CIW76" s="26"/>
      <c r="CIX76" s="26"/>
      <c r="CIY76" s="26"/>
      <c r="CIZ76" s="22"/>
      <c r="CJA76" s="167"/>
      <c r="CJB76" s="30"/>
      <c r="CJC76" s="25"/>
      <c r="CJD76" s="178"/>
      <c r="CJE76" s="26"/>
      <c r="CJF76" s="26"/>
      <c r="CJG76" s="26"/>
      <c r="CJH76" s="26"/>
      <c r="CJI76" s="26"/>
      <c r="CJJ76" s="26"/>
      <c r="CJK76" s="58"/>
      <c r="CJL76" s="26"/>
      <c r="CJM76" s="26"/>
      <c r="CJN76" s="26"/>
      <c r="CJO76" s="26"/>
      <c r="CJP76" s="22"/>
      <c r="CJQ76" s="167"/>
      <c r="CJR76" s="30"/>
      <c r="CJS76" s="25"/>
      <c r="CJT76" s="178"/>
      <c r="CJU76" s="26"/>
      <c r="CJV76" s="26"/>
      <c r="CJW76" s="26"/>
      <c r="CJX76" s="26"/>
      <c r="CJY76" s="26"/>
      <c r="CJZ76" s="26"/>
      <c r="CKA76" s="58"/>
      <c r="CKB76" s="26"/>
      <c r="CKC76" s="26"/>
      <c r="CKD76" s="26"/>
      <c r="CKE76" s="26"/>
      <c r="CKF76" s="22"/>
      <c r="CKG76" s="167"/>
      <c r="CKH76" s="30"/>
      <c r="CKI76" s="25"/>
      <c r="CKJ76" s="178"/>
      <c r="CKK76" s="26"/>
      <c r="CKL76" s="26"/>
      <c r="CKM76" s="26"/>
      <c r="CKN76" s="26"/>
      <c r="CKO76" s="26"/>
      <c r="CKP76" s="26"/>
      <c r="CKQ76" s="58"/>
      <c r="CKR76" s="26"/>
      <c r="CKS76" s="26"/>
      <c r="CKT76" s="26"/>
      <c r="CKU76" s="26"/>
      <c r="CKV76" s="22"/>
      <c r="CKW76" s="167"/>
      <c r="CKX76" s="30"/>
      <c r="CKY76" s="25"/>
      <c r="CKZ76" s="178"/>
      <c r="CLA76" s="26"/>
      <c r="CLB76" s="26"/>
      <c r="CLC76" s="26"/>
      <c r="CLD76" s="26"/>
      <c r="CLE76" s="26"/>
      <c r="CLF76" s="26"/>
      <c r="CLG76" s="58"/>
      <c r="CLH76" s="26"/>
      <c r="CLI76" s="26"/>
      <c r="CLJ76" s="26"/>
      <c r="CLK76" s="26"/>
      <c r="CLL76" s="22"/>
      <c r="CLM76" s="167"/>
      <c r="CLN76" s="30"/>
      <c r="CLO76" s="25"/>
      <c r="CLP76" s="178"/>
      <c r="CLQ76" s="26"/>
      <c r="CLR76" s="26"/>
      <c r="CLS76" s="26"/>
      <c r="CLT76" s="26"/>
      <c r="CLU76" s="26"/>
      <c r="CLV76" s="26"/>
      <c r="CLW76" s="58"/>
      <c r="CLX76" s="26"/>
      <c r="CLY76" s="26"/>
      <c r="CLZ76" s="26"/>
      <c r="CMA76" s="26"/>
      <c r="CMB76" s="22"/>
      <c r="CMC76" s="167"/>
      <c r="CMD76" s="30"/>
      <c r="CME76" s="25"/>
      <c r="CMF76" s="178"/>
      <c r="CMG76" s="26"/>
      <c r="CMH76" s="26"/>
      <c r="CMI76" s="26"/>
      <c r="CMJ76" s="26"/>
      <c r="CMK76" s="26"/>
      <c r="CML76" s="26"/>
      <c r="CMM76" s="58"/>
      <c r="CMN76" s="26"/>
      <c r="CMO76" s="26"/>
      <c r="CMP76" s="26"/>
      <c r="CMQ76" s="26"/>
      <c r="CMR76" s="22"/>
      <c r="CMS76" s="167"/>
      <c r="CMT76" s="30"/>
      <c r="CMU76" s="25"/>
      <c r="CMV76" s="178"/>
      <c r="CMW76" s="26"/>
      <c r="CMX76" s="26"/>
      <c r="CMY76" s="26"/>
      <c r="CMZ76" s="26"/>
      <c r="CNA76" s="26"/>
      <c r="CNB76" s="26"/>
      <c r="CNC76" s="58"/>
      <c r="CND76" s="26"/>
      <c r="CNE76" s="26"/>
      <c r="CNF76" s="26"/>
      <c r="CNG76" s="26"/>
      <c r="CNH76" s="22"/>
      <c r="CNI76" s="167"/>
      <c r="CNJ76" s="30"/>
      <c r="CNK76" s="25"/>
      <c r="CNL76" s="178"/>
      <c r="CNM76" s="26"/>
      <c r="CNN76" s="26"/>
      <c r="CNO76" s="26"/>
      <c r="CNP76" s="26"/>
      <c r="CNQ76" s="26"/>
      <c r="CNR76" s="26"/>
      <c r="CNS76" s="58"/>
      <c r="CNT76" s="26"/>
      <c r="CNU76" s="26"/>
      <c r="CNV76" s="26"/>
      <c r="CNW76" s="26"/>
      <c r="CNX76" s="22"/>
      <c r="CNY76" s="167"/>
      <c r="CNZ76" s="30"/>
      <c r="COA76" s="25"/>
      <c r="COB76" s="178"/>
      <c r="COC76" s="26"/>
      <c r="COD76" s="26"/>
      <c r="COE76" s="26"/>
      <c r="COF76" s="26"/>
      <c r="COG76" s="26"/>
      <c r="COH76" s="26"/>
      <c r="COI76" s="58"/>
      <c r="COJ76" s="26"/>
      <c r="COK76" s="26"/>
      <c r="COL76" s="26"/>
      <c r="COM76" s="26"/>
      <c r="CON76" s="22"/>
      <c r="COO76" s="167"/>
      <c r="COP76" s="30"/>
      <c r="COQ76" s="25"/>
      <c r="COR76" s="178"/>
      <c r="COS76" s="26"/>
      <c r="COT76" s="26"/>
      <c r="COU76" s="26"/>
      <c r="COV76" s="26"/>
      <c r="COW76" s="26"/>
      <c r="COX76" s="26"/>
      <c r="COY76" s="58"/>
      <c r="COZ76" s="26"/>
      <c r="CPA76" s="26"/>
      <c r="CPB76" s="26"/>
      <c r="CPC76" s="26"/>
      <c r="CPD76" s="22"/>
      <c r="CPE76" s="167"/>
      <c r="CPF76" s="30"/>
      <c r="CPG76" s="25"/>
      <c r="CPH76" s="178"/>
      <c r="CPI76" s="26"/>
      <c r="CPJ76" s="26"/>
      <c r="CPK76" s="26"/>
      <c r="CPL76" s="26"/>
      <c r="CPM76" s="26"/>
      <c r="CPN76" s="26"/>
      <c r="CPO76" s="58"/>
      <c r="CPP76" s="26"/>
      <c r="CPQ76" s="26"/>
      <c r="CPR76" s="26"/>
      <c r="CPS76" s="26"/>
      <c r="CPT76" s="22"/>
      <c r="CPU76" s="167"/>
      <c r="CPV76" s="30"/>
      <c r="CPW76" s="25"/>
      <c r="CPX76" s="178"/>
      <c r="CPY76" s="26"/>
      <c r="CPZ76" s="26"/>
      <c r="CQA76" s="26"/>
      <c r="CQB76" s="26"/>
      <c r="CQC76" s="26"/>
      <c r="CQD76" s="26"/>
      <c r="CQE76" s="58"/>
      <c r="CQF76" s="26"/>
      <c r="CQG76" s="26"/>
      <c r="CQH76" s="26"/>
      <c r="CQI76" s="26"/>
      <c r="CQJ76" s="22"/>
      <c r="CQK76" s="167"/>
      <c r="CQL76" s="30"/>
      <c r="CQM76" s="25"/>
      <c r="CQN76" s="178"/>
      <c r="CQO76" s="26"/>
      <c r="CQP76" s="26"/>
      <c r="CQQ76" s="26"/>
      <c r="CQR76" s="26"/>
      <c r="CQS76" s="26"/>
      <c r="CQT76" s="26"/>
      <c r="CQU76" s="58"/>
      <c r="CQV76" s="26"/>
      <c r="CQW76" s="26"/>
      <c r="CQX76" s="26"/>
      <c r="CQY76" s="26"/>
      <c r="CQZ76" s="22"/>
      <c r="CRA76" s="167"/>
      <c r="CRB76" s="30"/>
      <c r="CRC76" s="25"/>
      <c r="CRD76" s="178"/>
      <c r="CRE76" s="26"/>
      <c r="CRF76" s="26"/>
      <c r="CRG76" s="26"/>
      <c r="CRH76" s="26"/>
      <c r="CRI76" s="26"/>
      <c r="CRJ76" s="26"/>
      <c r="CRK76" s="58"/>
      <c r="CRL76" s="26"/>
      <c r="CRM76" s="26"/>
      <c r="CRN76" s="26"/>
      <c r="CRO76" s="26"/>
      <c r="CRP76" s="22"/>
      <c r="CRQ76" s="167"/>
      <c r="CRR76" s="30"/>
      <c r="CRS76" s="25"/>
      <c r="CRT76" s="178"/>
      <c r="CRU76" s="26"/>
      <c r="CRV76" s="26"/>
      <c r="CRW76" s="26"/>
      <c r="CRX76" s="26"/>
      <c r="CRY76" s="26"/>
      <c r="CRZ76" s="26"/>
      <c r="CSA76" s="58"/>
      <c r="CSB76" s="26"/>
      <c r="CSC76" s="26"/>
      <c r="CSD76" s="26"/>
      <c r="CSE76" s="26"/>
      <c r="CSF76" s="22"/>
      <c r="CSG76" s="167"/>
      <c r="CSH76" s="30"/>
      <c r="CSI76" s="25"/>
      <c r="CSJ76" s="178"/>
      <c r="CSK76" s="26"/>
      <c r="CSL76" s="26"/>
      <c r="CSM76" s="26"/>
      <c r="CSN76" s="26"/>
      <c r="CSO76" s="26"/>
      <c r="CSP76" s="26"/>
      <c r="CSQ76" s="58"/>
      <c r="CSR76" s="26"/>
      <c r="CSS76" s="26"/>
      <c r="CST76" s="26"/>
      <c r="CSU76" s="26"/>
      <c r="CSV76" s="22"/>
      <c r="CSW76" s="167"/>
      <c r="CSX76" s="30"/>
      <c r="CSY76" s="25"/>
      <c r="CSZ76" s="178"/>
      <c r="CTA76" s="26"/>
      <c r="CTB76" s="26"/>
      <c r="CTC76" s="26"/>
      <c r="CTD76" s="26"/>
      <c r="CTE76" s="26"/>
      <c r="CTF76" s="26"/>
      <c r="CTG76" s="58"/>
      <c r="CTH76" s="26"/>
      <c r="CTI76" s="26"/>
      <c r="CTJ76" s="26"/>
      <c r="CTK76" s="26"/>
      <c r="CTL76" s="22"/>
      <c r="CTM76" s="167"/>
      <c r="CTN76" s="30"/>
      <c r="CTO76" s="25"/>
      <c r="CTP76" s="178"/>
      <c r="CTQ76" s="26"/>
      <c r="CTR76" s="26"/>
      <c r="CTS76" s="26"/>
      <c r="CTT76" s="26"/>
      <c r="CTU76" s="26"/>
      <c r="CTV76" s="26"/>
      <c r="CTW76" s="58"/>
      <c r="CTX76" s="26"/>
      <c r="CTY76" s="26"/>
      <c r="CTZ76" s="26"/>
      <c r="CUA76" s="26"/>
      <c r="CUB76" s="22"/>
      <c r="CUC76" s="167"/>
      <c r="CUD76" s="30"/>
      <c r="CUE76" s="25"/>
      <c r="CUF76" s="178"/>
      <c r="CUG76" s="26"/>
      <c r="CUH76" s="26"/>
      <c r="CUI76" s="26"/>
      <c r="CUJ76" s="26"/>
      <c r="CUK76" s="26"/>
      <c r="CUL76" s="26"/>
      <c r="CUM76" s="58"/>
      <c r="CUN76" s="26"/>
      <c r="CUO76" s="26"/>
      <c r="CUP76" s="26"/>
      <c r="CUQ76" s="26"/>
      <c r="CUR76" s="22"/>
      <c r="CUS76" s="167"/>
      <c r="CUT76" s="30"/>
      <c r="CUU76" s="25"/>
      <c r="CUV76" s="178"/>
      <c r="CUW76" s="26"/>
      <c r="CUX76" s="26"/>
      <c r="CUY76" s="26"/>
      <c r="CUZ76" s="26"/>
      <c r="CVA76" s="26"/>
      <c r="CVB76" s="26"/>
      <c r="CVC76" s="58"/>
      <c r="CVD76" s="26"/>
      <c r="CVE76" s="26"/>
      <c r="CVF76" s="26"/>
      <c r="CVG76" s="26"/>
      <c r="CVH76" s="22"/>
      <c r="CVI76" s="167"/>
      <c r="CVJ76" s="30"/>
      <c r="CVK76" s="25"/>
      <c r="CVL76" s="178"/>
      <c r="CVM76" s="26"/>
      <c r="CVN76" s="26"/>
      <c r="CVO76" s="26"/>
      <c r="CVP76" s="26"/>
      <c r="CVQ76" s="26"/>
      <c r="CVR76" s="26"/>
      <c r="CVS76" s="58"/>
      <c r="CVT76" s="26"/>
      <c r="CVU76" s="26"/>
      <c r="CVV76" s="26"/>
      <c r="CVW76" s="26"/>
      <c r="CVX76" s="22"/>
      <c r="CVY76" s="167"/>
      <c r="CVZ76" s="30"/>
      <c r="CWA76" s="25"/>
      <c r="CWB76" s="178"/>
      <c r="CWC76" s="26"/>
      <c r="CWD76" s="26"/>
      <c r="CWE76" s="26"/>
      <c r="CWF76" s="26"/>
      <c r="CWG76" s="26"/>
      <c r="CWH76" s="26"/>
      <c r="CWI76" s="58"/>
      <c r="CWJ76" s="26"/>
      <c r="CWK76" s="26"/>
      <c r="CWL76" s="26"/>
      <c r="CWM76" s="26"/>
      <c r="CWN76" s="22"/>
      <c r="CWO76" s="167"/>
      <c r="CWP76" s="30"/>
      <c r="CWQ76" s="25"/>
      <c r="CWR76" s="178"/>
      <c r="CWS76" s="26"/>
      <c r="CWT76" s="26"/>
      <c r="CWU76" s="26"/>
      <c r="CWV76" s="26"/>
      <c r="CWW76" s="26"/>
      <c r="CWX76" s="26"/>
      <c r="CWY76" s="58"/>
      <c r="CWZ76" s="26"/>
      <c r="CXA76" s="26"/>
      <c r="CXB76" s="26"/>
      <c r="CXC76" s="26"/>
      <c r="CXD76" s="22"/>
      <c r="CXE76" s="167"/>
      <c r="CXF76" s="30"/>
      <c r="CXG76" s="25"/>
      <c r="CXH76" s="178"/>
      <c r="CXI76" s="26"/>
      <c r="CXJ76" s="26"/>
      <c r="CXK76" s="26"/>
      <c r="CXL76" s="26"/>
      <c r="CXM76" s="26"/>
      <c r="CXN76" s="26"/>
      <c r="CXO76" s="58"/>
      <c r="CXP76" s="26"/>
      <c r="CXQ76" s="26"/>
      <c r="CXR76" s="26"/>
      <c r="CXS76" s="26"/>
      <c r="CXT76" s="22"/>
      <c r="CXU76" s="167"/>
      <c r="CXV76" s="30"/>
      <c r="CXW76" s="25"/>
      <c r="CXX76" s="178"/>
      <c r="CXY76" s="26"/>
      <c r="CXZ76" s="26"/>
      <c r="CYA76" s="26"/>
      <c r="CYB76" s="26"/>
      <c r="CYC76" s="26"/>
      <c r="CYD76" s="26"/>
      <c r="CYE76" s="58"/>
      <c r="CYF76" s="26"/>
      <c r="CYG76" s="26"/>
      <c r="CYH76" s="26"/>
      <c r="CYI76" s="26"/>
      <c r="CYJ76" s="22"/>
      <c r="CYK76" s="167"/>
      <c r="CYL76" s="30"/>
      <c r="CYM76" s="25"/>
      <c r="CYN76" s="178"/>
      <c r="CYO76" s="26"/>
      <c r="CYP76" s="26"/>
      <c r="CYQ76" s="26"/>
      <c r="CYR76" s="26"/>
      <c r="CYS76" s="26"/>
      <c r="CYT76" s="26"/>
      <c r="CYU76" s="58"/>
      <c r="CYV76" s="26"/>
      <c r="CYW76" s="26"/>
      <c r="CYX76" s="26"/>
      <c r="CYY76" s="26"/>
      <c r="CYZ76" s="22"/>
      <c r="CZA76" s="167"/>
      <c r="CZB76" s="30"/>
      <c r="CZC76" s="25"/>
      <c r="CZD76" s="178"/>
      <c r="CZE76" s="26"/>
      <c r="CZF76" s="26"/>
      <c r="CZG76" s="26"/>
      <c r="CZH76" s="26"/>
      <c r="CZI76" s="26"/>
      <c r="CZJ76" s="26"/>
      <c r="CZK76" s="58"/>
      <c r="CZL76" s="26"/>
      <c r="CZM76" s="26"/>
      <c r="CZN76" s="26"/>
      <c r="CZO76" s="26"/>
      <c r="CZP76" s="22"/>
      <c r="CZQ76" s="167"/>
      <c r="CZR76" s="30"/>
      <c r="CZS76" s="25"/>
      <c r="CZT76" s="178"/>
      <c r="CZU76" s="26"/>
      <c r="CZV76" s="26"/>
      <c r="CZW76" s="26"/>
      <c r="CZX76" s="26"/>
      <c r="CZY76" s="26"/>
      <c r="CZZ76" s="26"/>
      <c r="DAA76" s="58"/>
      <c r="DAB76" s="26"/>
      <c r="DAC76" s="26"/>
      <c r="DAD76" s="26"/>
      <c r="DAE76" s="26"/>
      <c r="DAF76" s="22"/>
      <c r="DAG76" s="167"/>
      <c r="DAH76" s="30"/>
      <c r="DAI76" s="25"/>
      <c r="DAJ76" s="178"/>
      <c r="DAK76" s="26"/>
      <c r="DAL76" s="26"/>
      <c r="DAM76" s="26"/>
      <c r="DAN76" s="26"/>
      <c r="DAO76" s="26"/>
      <c r="DAP76" s="26"/>
      <c r="DAQ76" s="58"/>
      <c r="DAR76" s="26"/>
      <c r="DAS76" s="26"/>
      <c r="DAT76" s="26"/>
      <c r="DAU76" s="26"/>
      <c r="DAV76" s="22"/>
      <c r="DAW76" s="167"/>
      <c r="DAX76" s="30"/>
      <c r="DAY76" s="25"/>
      <c r="DAZ76" s="178"/>
      <c r="DBA76" s="26"/>
      <c r="DBB76" s="26"/>
      <c r="DBC76" s="26"/>
      <c r="DBD76" s="26"/>
      <c r="DBE76" s="26"/>
      <c r="DBF76" s="26"/>
      <c r="DBG76" s="58"/>
      <c r="DBH76" s="26"/>
      <c r="DBI76" s="26"/>
      <c r="DBJ76" s="26"/>
      <c r="DBK76" s="26"/>
      <c r="DBL76" s="22"/>
      <c r="DBM76" s="167"/>
      <c r="DBN76" s="30"/>
      <c r="DBO76" s="25"/>
      <c r="DBP76" s="178"/>
      <c r="DBQ76" s="26"/>
      <c r="DBR76" s="26"/>
      <c r="DBS76" s="26"/>
      <c r="DBT76" s="26"/>
      <c r="DBU76" s="26"/>
      <c r="DBV76" s="26"/>
      <c r="DBW76" s="58"/>
      <c r="DBX76" s="26"/>
      <c r="DBY76" s="26"/>
      <c r="DBZ76" s="26"/>
      <c r="DCA76" s="26"/>
      <c r="DCB76" s="22"/>
      <c r="DCC76" s="167"/>
      <c r="DCD76" s="30"/>
      <c r="DCE76" s="25"/>
      <c r="DCF76" s="178"/>
      <c r="DCG76" s="26"/>
      <c r="DCH76" s="26"/>
      <c r="DCI76" s="26"/>
      <c r="DCJ76" s="26"/>
      <c r="DCK76" s="26"/>
      <c r="DCL76" s="26"/>
      <c r="DCM76" s="58"/>
      <c r="DCN76" s="26"/>
      <c r="DCO76" s="26"/>
      <c r="DCP76" s="26"/>
      <c r="DCQ76" s="26"/>
      <c r="DCR76" s="22"/>
      <c r="DCS76" s="167"/>
      <c r="DCT76" s="30"/>
      <c r="DCU76" s="25"/>
      <c r="DCV76" s="178"/>
      <c r="DCW76" s="26"/>
      <c r="DCX76" s="26"/>
      <c r="DCY76" s="26"/>
      <c r="DCZ76" s="26"/>
      <c r="DDA76" s="26"/>
      <c r="DDB76" s="26"/>
      <c r="DDC76" s="58"/>
      <c r="DDD76" s="26"/>
      <c r="DDE76" s="26"/>
      <c r="DDF76" s="26"/>
      <c r="DDG76" s="26"/>
      <c r="DDH76" s="22"/>
      <c r="DDI76" s="167"/>
      <c r="DDJ76" s="30"/>
      <c r="DDK76" s="25"/>
      <c r="DDL76" s="178"/>
      <c r="DDM76" s="26"/>
      <c r="DDN76" s="26"/>
      <c r="DDO76" s="26"/>
      <c r="DDP76" s="26"/>
      <c r="DDQ76" s="26"/>
      <c r="DDR76" s="26"/>
      <c r="DDS76" s="58"/>
      <c r="DDT76" s="26"/>
      <c r="DDU76" s="26"/>
      <c r="DDV76" s="26"/>
      <c r="DDW76" s="26"/>
      <c r="DDX76" s="22"/>
      <c r="DDY76" s="167"/>
      <c r="DDZ76" s="30"/>
      <c r="DEA76" s="25"/>
      <c r="DEB76" s="178"/>
      <c r="DEC76" s="26"/>
      <c r="DED76" s="26"/>
      <c r="DEE76" s="26"/>
      <c r="DEF76" s="26"/>
      <c r="DEG76" s="26"/>
      <c r="DEH76" s="26"/>
      <c r="DEI76" s="58"/>
      <c r="DEJ76" s="26"/>
      <c r="DEK76" s="26"/>
      <c r="DEL76" s="26"/>
      <c r="DEM76" s="26"/>
      <c r="DEN76" s="22"/>
      <c r="DEO76" s="167"/>
      <c r="DEP76" s="30"/>
      <c r="DEQ76" s="25"/>
      <c r="DER76" s="178"/>
      <c r="DES76" s="26"/>
      <c r="DET76" s="26"/>
      <c r="DEU76" s="26"/>
      <c r="DEV76" s="26"/>
      <c r="DEW76" s="26"/>
      <c r="DEX76" s="26"/>
      <c r="DEY76" s="58"/>
      <c r="DEZ76" s="26"/>
      <c r="DFA76" s="26"/>
      <c r="DFB76" s="26"/>
      <c r="DFC76" s="26"/>
      <c r="DFD76" s="22"/>
      <c r="DFE76" s="167"/>
      <c r="DFF76" s="30"/>
      <c r="DFG76" s="25"/>
      <c r="DFH76" s="178"/>
      <c r="DFI76" s="26"/>
      <c r="DFJ76" s="26"/>
      <c r="DFK76" s="26"/>
      <c r="DFL76" s="26"/>
      <c r="DFM76" s="26"/>
      <c r="DFN76" s="26"/>
      <c r="DFO76" s="58"/>
      <c r="DFP76" s="26"/>
      <c r="DFQ76" s="26"/>
      <c r="DFR76" s="26"/>
      <c r="DFS76" s="26"/>
      <c r="DFT76" s="22"/>
      <c r="DFU76" s="167"/>
      <c r="DFV76" s="30"/>
      <c r="DFW76" s="25"/>
      <c r="DFX76" s="178"/>
      <c r="DFY76" s="26"/>
      <c r="DFZ76" s="26"/>
      <c r="DGA76" s="26"/>
      <c r="DGB76" s="26"/>
      <c r="DGC76" s="26"/>
      <c r="DGD76" s="26"/>
      <c r="DGE76" s="58"/>
      <c r="DGF76" s="26"/>
      <c r="DGG76" s="26"/>
      <c r="DGH76" s="26"/>
      <c r="DGI76" s="26"/>
      <c r="DGJ76" s="22"/>
      <c r="DGK76" s="167"/>
      <c r="DGL76" s="30"/>
      <c r="DGM76" s="25"/>
      <c r="DGN76" s="178"/>
      <c r="DGO76" s="26"/>
      <c r="DGP76" s="26"/>
      <c r="DGQ76" s="26"/>
      <c r="DGR76" s="26"/>
      <c r="DGS76" s="26"/>
      <c r="DGT76" s="26"/>
      <c r="DGU76" s="58"/>
      <c r="DGV76" s="26"/>
      <c r="DGW76" s="26"/>
      <c r="DGX76" s="26"/>
      <c r="DGY76" s="26"/>
      <c r="DGZ76" s="22"/>
      <c r="DHA76" s="167"/>
      <c r="DHB76" s="30"/>
      <c r="DHC76" s="25"/>
      <c r="DHD76" s="178"/>
      <c r="DHE76" s="26"/>
      <c r="DHF76" s="26"/>
      <c r="DHG76" s="26"/>
      <c r="DHH76" s="26"/>
      <c r="DHI76" s="26"/>
      <c r="DHJ76" s="26"/>
      <c r="DHK76" s="58"/>
      <c r="DHL76" s="26"/>
      <c r="DHM76" s="26"/>
      <c r="DHN76" s="26"/>
      <c r="DHO76" s="26"/>
      <c r="DHP76" s="22"/>
      <c r="DHQ76" s="167"/>
      <c r="DHR76" s="30"/>
      <c r="DHS76" s="25"/>
      <c r="DHT76" s="178"/>
      <c r="DHU76" s="26"/>
      <c r="DHV76" s="26"/>
      <c r="DHW76" s="26"/>
      <c r="DHX76" s="26"/>
      <c r="DHY76" s="26"/>
      <c r="DHZ76" s="26"/>
      <c r="DIA76" s="58"/>
      <c r="DIB76" s="26"/>
      <c r="DIC76" s="26"/>
      <c r="DID76" s="26"/>
      <c r="DIE76" s="26"/>
      <c r="DIF76" s="22"/>
      <c r="DIG76" s="167"/>
      <c r="DIH76" s="30"/>
      <c r="DII76" s="25"/>
      <c r="DIJ76" s="178"/>
      <c r="DIK76" s="26"/>
      <c r="DIL76" s="26"/>
      <c r="DIM76" s="26"/>
      <c r="DIN76" s="26"/>
      <c r="DIO76" s="26"/>
      <c r="DIP76" s="26"/>
      <c r="DIQ76" s="58"/>
      <c r="DIR76" s="26"/>
      <c r="DIS76" s="26"/>
      <c r="DIT76" s="26"/>
      <c r="DIU76" s="26"/>
      <c r="DIV76" s="22"/>
      <c r="DIW76" s="167"/>
      <c r="DIX76" s="30"/>
      <c r="DIY76" s="25"/>
      <c r="DIZ76" s="178"/>
      <c r="DJA76" s="26"/>
      <c r="DJB76" s="26"/>
      <c r="DJC76" s="26"/>
      <c r="DJD76" s="26"/>
      <c r="DJE76" s="26"/>
      <c r="DJF76" s="26"/>
      <c r="DJG76" s="58"/>
      <c r="DJH76" s="26"/>
      <c r="DJI76" s="26"/>
      <c r="DJJ76" s="26"/>
      <c r="DJK76" s="26"/>
      <c r="DJL76" s="22"/>
      <c r="DJM76" s="167"/>
      <c r="DJN76" s="30"/>
      <c r="DJO76" s="25"/>
      <c r="DJP76" s="178"/>
      <c r="DJQ76" s="26"/>
      <c r="DJR76" s="26"/>
      <c r="DJS76" s="26"/>
      <c r="DJT76" s="26"/>
      <c r="DJU76" s="26"/>
      <c r="DJV76" s="26"/>
      <c r="DJW76" s="58"/>
      <c r="DJX76" s="26"/>
      <c r="DJY76" s="26"/>
      <c r="DJZ76" s="26"/>
      <c r="DKA76" s="26"/>
      <c r="DKB76" s="22"/>
      <c r="DKC76" s="167"/>
      <c r="DKD76" s="30"/>
      <c r="DKE76" s="25"/>
      <c r="DKF76" s="178"/>
      <c r="DKG76" s="26"/>
      <c r="DKH76" s="26"/>
      <c r="DKI76" s="26"/>
      <c r="DKJ76" s="26"/>
      <c r="DKK76" s="26"/>
      <c r="DKL76" s="26"/>
      <c r="DKM76" s="58"/>
      <c r="DKN76" s="26"/>
      <c r="DKO76" s="26"/>
      <c r="DKP76" s="26"/>
      <c r="DKQ76" s="26"/>
      <c r="DKR76" s="22"/>
      <c r="DKS76" s="167"/>
      <c r="DKT76" s="30"/>
      <c r="DKU76" s="25"/>
      <c r="DKV76" s="178"/>
      <c r="DKW76" s="26"/>
      <c r="DKX76" s="26"/>
      <c r="DKY76" s="26"/>
      <c r="DKZ76" s="26"/>
      <c r="DLA76" s="26"/>
      <c r="DLB76" s="26"/>
      <c r="DLC76" s="58"/>
      <c r="DLD76" s="26"/>
      <c r="DLE76" s="26"/>
      <c r="DLF76" s="26"/>
      <c r="DLG76" s="26"/>
      <c r="DLH76" s="22"/>
      <c r="DLI76" s="167"/>
      <c r="DLJ76" s="30"/>
      <c r="DLK76" s="25"/>
      <c r="DLL76" s="178"/>
      <c r="DLM76" s="26"/>
      <c r="DLN76" s="26"/>
      <c r="DLO76" s="26"/>
      <c r="DLP76" s="26"/>
      <c r="DLQ76" s="26"/>
      <c r="DLR76" s="26"/>
      <c r="DLS76" s="58"/>
      <c r="DLT76" s="26"/>
      <c r="DLU76" s="26"/>
      <c r="DLV76" s="26"/>
      <c r="DLW76" s="26"/>
      <c r="DLX76" s="22"/>
      <c r="DLY76" s="167"/>
      <c r="DLZ76" s="30"/>
      <c r="DMA76" s="25"/>
      <c r="DMB76" s="178"/>
      <c r="DMC76" s="26"/>
      <c r="DMD76" s="26"/>
      <c r="DME76" s="26"/>
      <c r="DMF76" s="26"/>
      <c r="DMG76" s="26"/>
      <c r="DMH76" s="26"/>
      <c r="DMI76" s="58"/>
      <c r="DMJ76" s="26"/>
      <c r="DMK76" s="26"/>
      <c r="DML76" s="26"/>
      <c r="DMM76" s="26"/>
      <c r="DMN76" s="22"/>
      <c r="DMO76" s="167"/>
      <c r="DMP76" s="30"/>
      <c r="DMQ76" s="25"/>
      <c r="DMR76" s="178"/>
      <c r="DMS76" s="26"/>
      <c r="DMT76" s="26"/>
      <c r="DMU76" s="26"/>
      <c r="DMV76" s="26"/>
      <c r="DMW76" s="26"/>
      <c r="DMX76" s="26"/>
      <c r="DMY76" s="58"/>
      <c r="DMZ76" s="26"/>
      <c r="DNA76" s="26"/>
      <c r="DNB76" s="26"/>
      <c r="DNC76" s="26"/>
      <c r="DND76" s="22"/>
      <c r="DNE76" s="167"/>
      <c r="DNF76" s="30"/>
      <c r="DNG76" s="25"/>
      <c r="DNH76" s="178"/>
      <c r="DNI76" s="26"/>
      <c r="DNJ76" s="26"/>
      <c r="DNK76" s="26"/>
      <c r="DNL76" s="26"/>
      <c r="DNM76" s="26"/>
      <c r="DNN76" s="26"/>
      <c r="DNO76" s="58"/>
      <c r="DNP76" s="26"/>
      <c r="DNQ76" s="26"/>
      <c r="DNR76" s="26"/>
      <c r="DNS76" s="26"/>
      <c r="DNT76" s="22"/>
      <c r="DNU76" s="167"/>
      <c r="DNV76" s="30"/>
      <c r="DNW76" s="25"/>
      <c r="DNX76" s="178"/>
      <c r="DNY76" s="26"/>
      <c r="DNZ76" s="26"/>
      <c r="DOA76" s="26"/>
      <c r="DOB76" s="26"/>
      <c r="DOC76" s="26"/>
      <c r="DOD76" s="26"/>
      <c r="DOE76" s="58"/>
      <c r="DOF76" s="26"/>
      <c r="DOG76" s="26"/>
      <c r="DOH76" s="26"/>
      <c r="DOI76" s="26"/>
      <c r="DOJ76" s="22"/>
      <c r="DOK76" s="167"/>
      <c r="DOL76" s="30"/>
      <c r="DOM76" s="25"/>
      <c r="DON76" s="178"/>
      <c r="DOO76" s="26"/>
      <c r="DOP76" s="26"/>
      <c r="DOQ76" s="26"/>
      <c r="DOR76" s="26"/>
      <c r="DOS76" s="26"/>
      <c r="DOT76" s="26"/>
      <c r="DOU76" s="58"/>
      <c r="DOV76" s="26"/>
      <c r="DOW76" s="26"/>
      <c r="DOX76" s="26"/>
      <c r="DOY76" s="26"/>
      <c r="DOZ76" s="22"/>
      <c r="DPA76" s="167"/>
      <c r="DPB76" s="30"/>
      <c r="DPC76" s="25"/>
      <c r="DPD76" s="178"/>
      <c r="DPE76" s="26"/>
      <c r="DPF76" s="26"/>
      <c r="DPG76" s="26"/>
      <c r="DPH76" s="26"/>
      <c r="DPI76" s="26"/>
      <c r="DPJ76" s="26"/>
      <c r="DPK76" s="58"/>
      <c r="DPL76" s="26"/>
      <c r="DPM76" s="26"/>
      <c r="DPN76" s="26"/>
      <c r="DPO76" s="26"/>
      <c r="DPP76" s="22"/>
      <c r="DPQ76" s="167"/>
      <c r="DPR76" s="30"/>
      <c r="DPS76" s="25"/>
      <c r="DPT76" s="178"/>
      <c r="DPU76" s="26"/>
      <c r="DPV76" s="26"/>
      <c r="DPW76" s="26"/>
      <c r="DPX76" s="26"/>
      <c r="DPY76" s="26"/>
      <c r="DPZ76" s="26"/>
      <c r="DQA76" s="58"/>
      <c r="DQB76" s="26"/>
      <c r="DQC76" s="26"/>
      <c r="DQD76" s="26"/>
      <c r="DQE76" s="26"/>
      <c r="DQF76" s="22"/>
      <c r="DQG76" s="167"/>
      <c r="DQH76" s="30"/>
      <c r="DQI76" s="25"/>
      <c r="DQJ76" s="178"/>
      <c r="DQK76" s="26"/>
      <c r="DQL76" s="26"/>
      <c r="DQM76" s="26"/>
      <c r="DQN76" s="26"/>
      <c r="DQO76" s="26"/>
      <c r="DQP76" s="26"/>
      <c r="DQQ76" s="58"/>
      <c r="DQR76" s="26"/>
      <c r="DQS76" s="26"/>
      <c r="DQT76" s="26"/>
      <c r="DQU76" s="26"/>
      <c r="DQV76" s="22"/>
      <c r="DQW76" s="167"/>
      <c r="DQX76" s="30"/>
      <c r="DQY76" s="25"/>
      <c r="DQZ76" s="178"/>
      <c r="DRA76" s="26"/>
      <c r="DRB76" s="26"/>
      <c r="DRC76" s="26"/>
      <c r="DRD76" s="26"/>
      <c r="DRE76" s="26"/>
      <c r="DRF76" s="26"/>
      <c r="DRG76" s="58"/>
      <c r="DRH76" s="26"/>
      <c r="DRI76" s="26"/>
      <c r="DRJ76" s="26"/>
      <c r="DRK76" s="26"/>
      <c r="DRL76" s="22"/>
      <c r="DRM76" s="167"/>
      <c r="DRN76" s="30"/>
      <c r="DRO76" s="25"/>
      <c r="DRP76" s="178"/>
      <c r="DRQ76" s="26"/>
      <c r="DRR76" s="26"/>
      <c r="DRS76" s="26"/>
      <c r="DRT76" s="26"/>
      <c r="DRU76" s="26"/>
      <c r="DRV76" s="26"/>
      <c r="DRW76" s="58"/>
      <c r="DRX76" s="26"/>
      <c r="DRY76" s="26"/>
      <c r="DRZ76" s="26"/>
      <c r="DSA76" s="26"/>
      <c r="DSB76" s="22"/>
      <c r="DSC76" s="167"/>
      <c r="DSD76" s="30"/>
      <c r="DSE76" s="25"/>
      <c r="DSF76" s="178"/>
      <c r="DSG76" s="26"/>
      <c r="DSH76" s="26"/>
      <c r="DSI76" s="26"/>
      <c r="DSJ76" s="26"/>
      <c r="DSK76" s="26"/>
      <c r="DSL76" s="26"/>
      <c r="DSM76" s="58"/>
      <c r="DSN76" s="26"/>
      <c r="DSO76" s="26"/>
      <c r="DSP76" s="26"/>
      <c r="DSQ76" s="26"/>
      <c r="DSR76" s="22"/>
      <c r="DSS76" s="167"/>
      <c r="DST76" s="30"/>
      <c r="DSU76" s="25"/>
      <c r="DSV76" s="178"/>
      <c r="DSW76" s="26"/>
      <c r="DSX76" s="26"/>
      <c r="DSY76" s="26"/>
      <c r="DSZ76" s="26"/>
      <c r="DTA76" s="26"/>
      <c r="DTB76" s="26"/>
      <c r="DTC76" s="58"/>
      <c r="DTD76" s="26"/>
      <c r="DTE76" s="26"/>
      <c r="DTF76" s="26"/>
      <c r="DTG76" s="26"/>
      <c r="DTH76" s="22"/>
      <c r="DTI76" s="167"/>
      <c r="DTJ76" s="30"/>
      <c r="DTK76" s="25"/>
      <c r="DTL76" s="178"/>
      <c r="DTM76" s="26"/>
      <c r="DTN76" s="26"/>
      <c r="DTO76" s="26"/>
      <c r="DTP76" s="26"/>
      <c r="DTQ76" s="26"/>
      <c r="DTR76" s="26"/>
      <c r="DTS76" s="58"/>
      <c r="DTT76" s="26"/>
      <c r="DTU76" s="26"/>
      <c r="DTV76" s="26"/>
      <c r="DTW76" s="26"/>
      <c r="DTX76" s="22"/>
      <c r="DTY76" s="167"/>
      <c r="DTZ76" s="30"/>
      <c r="DUA76" s="25"/>
      <c r="DUB76" s="178"/>
      <c r="DUC76" s="26"/>
      <c r="DUD76" s="26"/>
      <c r="DUE76" s="26"/>
      <c r="DUF76" s="26"/>
      <c r="DUG76" s="26"/>
      <c r="DUH76" s="26"/>
      <c r="DUI76" s="58"/>
      <c r="DUJ76" s="26"/>
      <c r="DUK76" s="26"/>
      <c r="DUL76" s="26"/>
      <c r="DUM76" s="26"/>
      <c r="DUN76" s="22"/>
      <c r="DUO76" s="167"/>
      <c r="DUP76" s="30"/>
      <c r="DUQ76" s="25"/>
      <c r="DUR76" s="178"/>
      <c r="DUS76" s="26"/>
      <c r="DUT76" s="26"/>
      <c r="DUU76" s="26"/>
      <c r="DUV76" s="26"/>
      <c r="DUW76" s="26"/>
      <c r="DUX76" s="26"/>
      <c r="DUY76" s="58"/>
      <c r="DUZ76" s="26"/>
      <c r="DVA76" s="26"/>
      <c r="DVB76" s="26"/>
      <c r="DVC76" s="26"/>
      <c r="DVD76" s="22"/>
      <c r="DVE76" s="167"/>
      <c r="DVF76" s="30"/>
      <c r="DVG76" s="25"/>
      <c r="DVH76" s="178"/>
      <c r="DVI76" s="26"/>
      <c r="DVJ76" s="26"/>
      <c r="DVK76" s="26"/>
      <c r="DVL76" s="26"/>
      <c r="DVM76" s="26"/>
      <c r="DVN76" s="26"/>
      <c r="DVO76" s="58"/>
      <c r="DVP76" s="26"/>
      <c r="DVQ76" s="26"/>
      <c r="DVR76" s="26"/>
      <c r="DVS76" s="26"/>
      <c r="DVT76" s="22"/>
      <c r="DVU76" s="167"/>
      <c r="DVV76" s="30"/>
      <c r="DVW76" s="25"/>
      <c r="DVX76" s="178"/>
      <c r="DVY76" s="26"/>
      <c r="DVZ76" s="26"/>
      <c r="DWA76" s="26"/>
      <c r="DWB76" s="26"/>
      <c r="DWC76" s="26"/>
      <c r="DWD76" s="26"/>
      <c r="DWE76" s="58"/>
      <c r="DWF76" s="26"/>
      <c r="DWG76" s="26"/>
      <c r="DWH76" s="26"/>
      <c r="DWI76" s="26"/>
      <c r="DWJ76" s="22"/>
      <c r="DWK76" s="167"/>
      <c r="DWL76" s="30"/>
      <c r="DWM76" s="25"/>
      <c r="DWN76" s="178"/>
      <c r="DWO76" s="26"/>
      <c r="DWP76" s="26"/>
      <c r="DWQ76" s="26"/>
      <c r="DWR76" s="26"/>
      <c r="DWS76" s="26"/>
      <c r="DWT76" s="26"/>
      <c r="DWU76" s="58"/>
      <c r="DWV76" s="26"/>
      <c r="DWW76" s="26"/>
      <c r="DWX76" s="26"/>
      <c r="DWY76" s="26"/>
      <c r="DWZ76" s="22"/>
      <c r="DXA76" s="167"/>
      <c r="DXB76" s="30"/>
      <c r="DXC76" s="25"/>
      <c r="DXD76" s="178"/>
      <c r="DXE76" s="26"/>
      <c r="DXF76" s="26"/>
      <c r="DXG76" s="26"/>
      <c r="DXH76" s="26"/>
      <c r="DXI76" s="26"/>
      <c r="DXJ76" s="26"/>
      <c r="DXK76" s="58"/>
      <c r="DXL76" s="26"/>
      <c r="DXM76" s="26"/>
      <c r="DXN76" s="26"/>
      <c r="DXO76" s="26"/>
      <c r="DXP76" s="22"/>
      <c r="DXQ76" s="167"/>
      <c r="DXR76" s="30"/>
      <c r="DXS76" s="25"/>
      <c r="DXT76" s="178"/>
      <c r="DXU76" s="26"/>
      <c r="DXV76" s="26"/>
      <c r="DXW76" s="26"/>
      <c r="DXX76" s="26"/>
      <c r="DXY76" s="26"/>
      <c r="DXZ76" s="26"/>
      <c r="DYA76" s="58"/>
      <c r="DYB76" s="26"/>
      <c r="DYC76" s="26"/>
      <c r="DYD76" s="26"/>
      <c r="DYE76" s="26"/>
      <c r="DYF76" s="22"/>
      <c r="DYG76" s="167"/>
      <c r="DYH76" s="30"/>
      <c r="DYI76" s="25"/>
      <c r="DYJ76" s="178"/>
      <c r="DYK76" s="26"/>
      <c r="DYL76" s="26"/>
      <c r="DYM76" s="26"/>
      <c r="DYN76" s="26"/>
      <c r="DYO76" s="26"/>
      <c r="DYP76" s="26"/>
      <c r="DYQ76" s="58"/>
      <c r="DYR76" s="26"/>
      <c r="DYS76" s="26"/>
      <c r="DYT76" s="26"/>
      <c r="DYU76" s="26"/>
      <c r="DYV76" s="22"/>
      <c r="DYW76" s="167"/>
      <c r="DYX76" s="30"/>
      <c r="DYY76" s="25"/>
      <c r="DYZ76" s="178"/>
      <c r="DZA76" s="26"/>
      <c r="DZB76" s="26"/>
      <c r="DZC76" s="26"/>
      <c r="DZD76" s="26"/>
      <c r="DZE76" s="26"/>
      <c r="DZF76" s="26"/>
      <c r="DZG76" s="58"/>
      <c r="DZH76" s="26"/>
      <c r="DZI76" s="26"/>
      <c r="DZJ76" s="26"/>
      <c r="DZK76" s="26"/>
      <c r="DZL76" s="22"/>
      <c r="DZM76" s="167"/>
      <c r="DZN76" s="30"/>
      <c r="DZO76" s="25"/>
      <c r="DZP76" s="178"/>
      <c r="DZQ76" s="26"/>
      <c r="DZR76" s="26"/>
      <c r="DZS76" s="26"/>
      <c r="DZT76" s="26"/>
      <c r="DZU76" s="26"/>
      <c r="DZV76" s="26"/>
      <c r="DZW76" s="58"/>
      <c r="DZX76" s="26"/>
      <c r="DZY76" s="26"/>
      <c r="DZZ76" s="26"/>
      <c r="EAA76" s="26"/>
      <c r="EAB76" s="22"/>
      <c r="EAC76" s="167"/>
      <c r="EAD76" s="30"/>
      <c r="EAE76" s="25"/>
      <c r="EAF76" s="178"/>
      <c r="EAG76" s="26"/>
      <c r="EAH76" s="26"/>
      <c r="EAI76" s="26"/>
      <c r="EAJ76" s="26"/>
      <c r="EAK76" s="26"/>
      <c r="EAL76" s="26"/>
      <c r="EAM76" s="58"/>
      <c r="EAN76" s="26"/>
      <c r="EAO76" s="26"/>
      <c r="EAP76" s="26"/>
      <c r="EAQ76" s="26"/>
      <c r="EAR76" s="22"/>
      <c r="EAS76" s="167"/>
      <c r="EAT76" s="30"/>
      <c r="EAU76" s="25"/>
      <c r="EAV76" s="178"/>
      <c r="EAW76" s="26"/>
      <c r="EAX76" s="26"/>
      <c r="EAY76" s="26"/>
      <c r="EAZ76" s="26"/>
      <c r="EBA76" s="26"/>
      <c r="EBB76" s="26"/>
      <c r="EBC76" s="58"/>
      <c r="EBD76" s="26"/>
      <c r="EBE76" s="26"/>
      <c r="EBF76" s="26"/>
      <c r="EBG76" s="26"/>
      <c r="EBH76" s="22"/>
      <c r="EBI76" s="167"/>
      <c r="EBJ76" s="30"/>
      <c r="EBK76" s="25"/>
      <c r="EBL76" s="178"/>
      <c r="EBM76" s="26"/>
      <c r="EBN76" s="26"/>
      <c r="EBO76" s="26"/>
      <c r="EBP76" s="26"/>
      <c r="EBQ76" s="26"/>
      <c r="EBR76" s="26"/>
      <c r="EBS76" s="58"/>
      <c r="EBT76" s="26"/>
      <c r="EBU76" s="26"/>
      <c r="EBV76" s="26"/>
      <c r="EBW76" s="26"/>
      <c r="EBX76" s="22"/>
      <c r="EBY76" s="167"/>
      <c r="EBZ76" s="30"/>
      <c r="ECA76" s="25"/>
      <c r="ECB76" s="178"/>
      <c r="ECC76" s="26"/>
      <c r="ECD76" s="26"/>
      <c r="ECE76" s="26"/>
      <c r="ECF76" s="26"/>
      <c r="ECG76" s="26"/>
      <c r="ECH76" s="26"/>
      <c r="ECI76" s="58"/>
      <c r="ECJ76" s="26"/>
      <c r="ECK76" s="26"/>
      <c r="ECL76" s="26"/>
      <c r="ECM76" s="26"/>
      <c r="ECN76" s="22"/>
      <c r="ECO76" s="167"/>
      <c r="ECP76" s="30"/>
      <c r="ECQ76" s="25"/>
      <c r="ECR76" s="178"/>
      <c r="ECS76" s="26"/>
      <c r="ECT76" s="26"/>
      <c r="ECU76" s="26"/>
      <c r="ECV76" s="26"/>
      <c r="ECW76" s="26"/>
      <c r="ECX76" s="26"/>
      <c r="ECY76" s="58"/>
      <c r="ECZ76" s="26"/>
      <c r="EDA76" s="26"/>
      <c r="EDB76" s="26"/>
      <c r="EDC76" s="26"/>
      <c r="EDD76" s="22"/>
      <c r="EDE76" s="167"/>
      <c r="EDF76" s="30"/>
      <c r="EDG76" s="25"/>
      <c r="EDH76" s="178"/>
      <c r="EDI76" s="26"/>
      <c r="EDJ76" s="26"/>
      <c r="EDK76" s="26"/>
      <c r="EDL76" s="26"/>
      <c r="EDM76" s="26"/>
      <c r="EDN76" s="26"/>
      <c r="EDO76" s="58"/>
      <c r="EDP76" s="26"/>
      <c r="EDQ76" s="26"/>
      <c r="EDR76" s="26"/>
      <c r="EDS76" s="26"/>
      <c r="EDT76" s="22"/>
      <c r="EDU76" s="167"/>
      <c r="EDV76" s="30"/>
      <c r="EDW76" s="25"/>
      <c r="EDX76" s="178"/>
      <c r="EDY76" s="26"/>
      <c r="EDZ76" s="26"/>
      <c r="EEA76" s="26"/>
      <c r="EEB76" s="26"/>
      <c r="EEC76" s="26"/>
      <c r="EED76" s="26"/>
      <c r="EEE76" s="58"/>
      <c r="EEF76" s="26"/>
      <c r="EEG76" s="26"/>
      <c r="EEH76" s="26"/>
      <c r="EEI76" s="26"/>
      <c r="EEJ76" s="22"/>
      <c r="EEK76" s="167"/>
      <c r="EEL76" s="30"/>
      <c r="EEM76" s="25"/>
      <c r="EEN76" s="178"/>
      <c r="EEO76" s="26"/>
      <c r="EEP76" s="26"/>
      <c r="EEQ76" s="26"/>
      <c r="EER76" s="26"/>
      <c r="EES76" s="26"/>
      <c r="EET76" s="26"/>
      <c r="EEU76" s="58"/>
      <c r="EEV76" s="26"/>
      <c r="EEW76" s="26"/>
      <c r="EEX76" s="26"/>
      <c r="EEY76" s="26"/>
      <c r="EEZ76" s="22"/>
      <c r="EFA76" s="167"/>
      <c r="EFB76" s="30"/>
      <c r="EFC76" s="25"/>
      <c r="EFD76" s="178"/>
      <c r="EFE76" s="26"/>
      <c r="EFF76" s="26"/>
      <c r="EFG76" s="26"/>
      <c r="EFH76" s="26"/>
      <c r="EFI76" s="26"/>
      <c r="EFJ76" s="26"/>
      <c r="EFK76" s="58"/>
      <c r="EFL76" s="26"/>
      <c r="EFM76" s="26"/>
      <c r="EFN76" s="26"/>
      <c r="EFO76" s="26"/>
      <c r="EFP76" s="22"/>
      <c r="EFQ76" s="167"/>
      <c r="EFR76" s="30"/>
      <c r="EFS76" s="25"/>
      <c r="EFT76" s="178"/>
      <c r="EFU76" s="26"/>
      <c r="EFV76" s="26"/>
      <c r="EFW76" s="26"/>
      <c r="EFX76" s="26"/>
      <c r="EFY76" s="26"/>
      <c r="EFZ76" s="26"/>
      <c r="EGA76" s="58"/>
      <c r="EGB76" s="26"/>
      <c r="EGC76" s="26"/>
      <c r="EGD76" s="26"/>
      <c r="EGE76" s="26"/>
      <c r="EGF76" s="22"/>
      <c r="EGG76" s="167"/>
      <c r="EGH76" s="30"/>
      <c r="EGI76" s="25"/>
      <c r="EGJ76" s="178"/>
      <c r="EGK76" s="26"/>
      <c r="EGL76" s="26"/>
      <c r="EGM76" s="26"/>
      <c r="EGN76" s="26"/>
      <c r="EGO76" s="26"/>
      <c r="EGP76" s="26"/>
      <c r="EGQ76" s="58"/>
      <c r="EGR76" s="26"/>
      <c r="EGS76" s="26"/>
      <c r="EGT76" s="26"/>
      <c r="EGU76" s="26"/>
      <c r="EGV76" s="22"/>
      <c r="EGW76" s="167"/>
      <c r="EGX76" s="30"/>
      <c r="EGY76" s="25"/>
      <c r="EGZ76" s="178"/>
      <c r="EHA76" s="26"/>
      <c r="EHB76" s="26"/>
      <c r="EHC76" s="26"/>
      <c r="EHD76" s="26"/>
      <c r="EHE76" s="26"/>
      <c r="EHF76" s="26"/>
      <c r="EHG76" s="58"/>
      <c r="EHH76" s="26"/>
      <c r="EHI76" s="26"/>
      <c r="EHJ76" s="26"/>
      <c r="EHK76" s="26"/>
      <c r="EHL76" s="22"/>
      <c r="EHM76" s="167"/>
      <c r="EHN76" s="30"/>
      <c r="EHO76" s="25"/>
      <c r="EHP76" s="178"/>
      <c r="EHQ76" s="26"/>
      <c r="EHR76" s="26"/>
      <c r="EHS76" s="26"/>
      <c r="EHT76" s="26"/>
      <c r="EHU76" s="26"/>
      <c r="EHV76" s="26"/>
      <c r="EHW76" s="58"/>
      <c r="EHX76" s="26"/>
      <c r="EHY76" s="26"/>
      <c r="EHZ76" s="26"/>
      <c r="EIA76" s="26"/>
      <c r="EIB76" s="22"/>
      <c r="EIC76" s="167"/>
      <c r="EID76" s="30"/>
      <c r="EIE76" s="25"/>
      <c r="EIF76" s="178"/>
      <c r="EIG76" s="26"/>
      <c r="EIH76" s="26"/>
      <c r="EII76" s="26"/>
      <c r="EIJ76" s="26"/>
      <c r="EIK76" s="26"/>
      <c r="EIL76" s="26"/>
      <c r="EIM76" s="58"/>
      <c r="EIN76" s="26"/>
      <c r="EIO76" s="26"/>
      <c r="EIP76" s="26"/>
      <c r="EIQ76" s="26"/>
      <c r="EIR76" s="22"/>
      <c r="EIS76" s="167"/>
      <c r="EIT76" s="30"/>
      <c r="EIU76" s="25"/>
      <c r="EIV76" s="178"/>
      <c r="EIW76" s="26"/>
      <c r="EIX76" s="26"/>
      <c r="EIY76" s="26"/>
      <c r="EIZ76" s="26"/>
      <c r="EJA76" s="26"/>
      <c r="EJB76" s="26"/>
      <c r="EJC76" s="58"/>
      <c r="EJD76" s="26"/>
      <c r="EJE76" s="26"/>
      <c r="EJF76" s="26"/>
      <c r="EJG76" s="26"/>
      <c r="EJH76" s="22"/>
      <c r="EJI76" s="167"/>
      <c r="EJJ76" s="30"/>
      <c r="EJK76" s="25"/>
      <c r="EJL76" s="178"/>
      <c r="EJM76" s="26"/>
      <c r="EJN76" s="26"/>
      <c r="EJO76" s="26"/>
      <c r="EJP76" s="26"/>
      <c r="EJQ76" s="26"/>
      <c r="EJR76" s="26"/>
      <c r="EJS76" s="58"/>
      <c r="EJT76" s="26"/>
      <c r="EJU76" s="26"/>
      <c r="EJV76" s="26"/>
      <c r="EJW76" s="26"/>
      <c r="EJX76" s="22"/>
      <c r="EJY76" s="167"/>
      <c r="EJZ76" s="30"/>
      <c r="EKA76" s="25"/>
      <c r="EKB76" s="178"/>
      <c r="EKC76" s="26"/>
      <c r="EKD76" s="26"/>
      <c r="EKE76" s="26"/>
      <c r="EKF76" s="26"/>
      <c r="EKG76" s="26"/>
      <c r="EKH76" s="26"/>
      <c r="EKI76" s="58"/>
      <c r="EKJ76" s="26"/>
      <c r="EKK76" s="26"/>
      <c r="EKL76" s="26"/>
      <c r="EKM76" s="26"/>
      <c r="EKN76" s="22"/>
      <c r="EKO76" s="167"/>
      <c r="EKP76" s="30"/>
      <c r="EKQ76" s="25"/>
      <c r="EKR76" s="178"/>
      <c r="EKS76" s="26"/>
      <c r="EKT76" s="26"/>
      <c r="EKU76" s="26"/>
      <c r="EKV76" s="26"/>
      <c r="EKW76" s="26"/>
      <c r="EKX76" s="26"/>
      <c r="EKY76" s="58"/>
      <c r="EKZ76" s="26"/>
      <c r="ELA76" s="26"/>
      <c r="ELB76" s="26"/>
      <c r="ELC76" s="26"/>
      <c r="ELD76" s="22"/>
      <c r="ELE76" s="167"/>
      <c r="ELF76" s="30"/>
      <c r="ELG76" s="25"/>
      <c r="ELH76" s="178"/>
      <c r="ELI76" s="26"/>
      <c r="ELJ76" s="26"/>
      <c r="ELK76" s="26"/>
      <c r="ELL76" s="26"/>
      <c r="ELM76" s="26"/>
      <c r="ELN76" s="26"/>
      <c r="ELO76" s="58"/>
      <c r="ELP76" s="26"/>
      <c r="ELQ76" s="26"/>
      <c r="ELR76" s="26"/>
      <c r="ELS76" s="26"/>
      <c r="ELT76" s="22"/>
      <c r="ELU76" s="167"/>
      <c r="ELV76" s="30"/>
      <c r="ELW76" s="25"/>
      <c r="ELX76" s="178"/>
      <c r="ELY76" s="26"/>
      <c r="ELZ76" s="26"/>
      <c r="EMA76" s="26"/>
      <c r="EMB76" s="26"/>
      <c r="EMC76" s="26"/>
      <c r="EMD76" s="26"/>
      <c r="EME76" s="58"/>
      <c r="EMF76" s="26"/>
      <c r="EMG76" s="26"/>
      <c r="EMH76" s="26"/>
      <c r="EMI76" s="26"/>
      <c r="EMJ76" s="22"/>
      <c r="EMK76" s="167"/>
      <c r="EML76" s="30"/>
      <c r="EMM76" s="25"/>
      <c r="EMN76" s="178"/>
      <c r="EMO76" s="26"/>
      <c r="EMP76" s="26"/>
      <c r="EMQ76" s="26"/>
      <c r="EMR76" s="26"/>
      <c r="EMS76" s="26"/>
      <c r="EMT76" s="26"/>
      <c r="EMU76" s="58"/>
      <c r="EMV76" s="26"/>
      <c r="EMW76" s="26"/>
      <c r="EMX76" s="26"/>
      <c r="EMY76" s="26"/>
      <c r="EMZ76" s="22"/>
      <c r="ENA76" s="167"/>
      <c r="ENB76" s="30"/>
      <c r="ENC76" s="25"/>
      <c r="END76" s="178"/>
      <c r="ENE76" s="26"/>
      <c r="ENF76" s="26"/>
      <c r="ENG76" s="26"/>
      <c r="ENH76" s="26"/>
      <c r="ENI76" s="26"/>
      <c r="ENJ76" s="26"/>
      <c r="ENK76" s="58"/>
      <c r="ENL76" s="26"/>
      <c r="ENM76" s="26"/>
      <c r="ENN76" s="26"/>
      <c r="ENO76" s="26"/>
      <c r="ENP76" s="22"/>
      <c r="ENQ76" s="167"/>
      <c r="ENR76" s="30"/>
      <c r="ENS76" s="25"/>
      <c r="ENT76" s="178"/>
      <c r="ENU76" s="26"/>
      <c r="ENV76" s="26"/>
      <c r="ENW76" s="26"/>
      <c r="ENX76" s="26"/>
      <c r="ENY76" s="26"/>
      <c r="ENZ76" s="26"/>
      <c r="EOA76" s="58"/>
      <c r="EOB76" s="26"/>
      <c r="EOC76" s="26"/>
      <c r="EOD76" s="26"/>
      <c r="EOE76" s="26"/>
      <c r="EOF76" s="22"/>
      <c r="EOG76" s="167"/>
      <c r="EOH76" s="30"/>
      <c r="EOI76" s="25"/>
      <c r="EOJ76" s="178"/>
      <c r="EOK76" s="26"/>
      <c r="EOL76" s="26"/>
      <c r="EOM76" s="26"/>
      <c r="EON76" s="26"/>
      <c r="EOO76" s="26"/>
      <c r="EOP76" s="26"/>
      <c r="EOQ76" s="58"/>
      <c r="EOR76" s="26"/>
      <c r="EOS76" s="26"/>
      <c r="EOT76" s="26"/>
      <c r="EOU76" s="26"/>
      <c r="EOV76" s="22"/>
      <c r="EOW76" s="167"/>
      <c r="EOX76" s="30"/>
      <c r="EOY76" s="25"/>
      <c r="EOZ76" s="178"/>
      <c r="EPA76" s="26"/>
      <c r="EPB76" s="26"/>
      <c r="EPC76" s="26"/>
      <c r="EPD76" s="26"/>
      <c r="EPE76" s="26"/>
      <c r="EPF76" s="26"/>
      <c r="EPG76" s="58"/>
      <c r="EPH76" s="26"/>
      <c r="EPI76" s="26"/>
      <c r="EPJ76" s="26"/>
      <c r="EPK76" s="26"/>
      <c r="EPL76" s="22"/>
      <c r="EPM76" s="167"/>
      <c r="EPN76" s="30"/>
      <c r="EPO76" s="25"/>
      <c r="EPP76" s="178"/>
      <c r="EPQ76" s="26"/>
      <c r="EPR76" s="26"/>
      <c r="EPS76" s="26"/>
      <c r="EPT76" s="26"/>
      <c r="EPU76" s="26"/>
      <c r="EPV76" s="26"/>
      <c r="EPW76" s="58"/>
      <c r="EPX76" s="26"/>
      <c r="EPY76" s="26"/>
      <c r="EPZ76" s="26"/>
      <c r="EQA76" s="26"/>
      <c r="EQB76" s="22"/>
      <c r="EQC76" s="167"/>
      <c r="EQD76" s="30"/>
      <c r="EQE76" s="25"/>
      <c r="EQF76" s="178"/>
      <c r="EQG76" s="26"/>
      <c r="EQH76" s="26"/>
      <c r="EQI76" s="26"/>
      <c r="EQJ76" s="26"/>
      <c r="EQK76" s="26"/>
      <c r="EQL76" s="26"/>
      <c r="EQM76" s="58"/>
      <c r="EQN76" s="26"/>
      <c r="EQO76" s="26"/>
      <c r="EQP76" s="26"/>
      <c r="EQQ76" s="26"/>
      <c r="EQR76" s="22"/>
      <c r="EQS76" s="167"/>
      <c r="EQT76" s="30"/>
      <c r="EQU76" s="25"/>
      <c r="EQV76" s="178"/>
      <c r="EQW76" s="26"/>
      <c r="EQX76" s="26"/>
      <c r="EQY76" s="26"/>
      <c r="EQZ76" s="26"/>
      <c r="ERA76" s="26"/>
      <c r="ERB76" s="26"/>
      <c r="ERC76" s="58"/>
      <c r="ERD76" s="26"/>
      <c r="ERE76" s="26"/>
      <c r="ERF76" s="26"/>
      <c r="ERG76" s="26"/>
      <c r="ERH76" s="22"/>
      <c r="ERI76" s="167"/>
      <c r="ERJ76" s="30"/>
      <c r="ERK76" s="25"/>
      <c r="ERL76" s="178"/>
      <c r="ERM76" s="26"/>
      <c r="ERN76" s="26"/>
      <c r="ERO76" s="26"/>
      <c r="ERP76" s="26"/>
      <c r="ERQ76" s="26"/>
      <c r="ERR76" s="26"/>
      <c r="ERS76" s="58"/>
      <c r="ERT76" s="26"/>
      <c r="ERU76" s="26"/>
      <c r="ERV76" s="26"/>
      <c r="ERW76" s="26"/>
      <c r="ERX76" s="22"/>
      <c r="ERY76" s="167"/>
      <c r="ERZ76" s="30"/>
      <c r="ESA76" s="25"/>
      <c r="ESB76" s="178"/>
      <c r="ESC76" s="26"/>
      <c r="ESD76" s="26"/>
      <c r="ESE76" s="26"/>
      <c r="ESF76" s="26"/>
      <c r="ESG76" s="26"/>
      <c r="ESH76" s="26"/>
      <c r="ESI76" s="58"/>
      <c r="ESJ76" s="26"/>
      <c r="ESK76" s="26"/>
      <c r="ESL76" s="26"/>
      <c r="ESM76" s="26"/>
      <c r="ESN76" s="22"/>
      <c r="ESO76" s="167"/>
      <c r="ESP76" s="30"/>
      <c r="ESQ76" s="25"/>
      <c r="ESR76" s="178"/>
      <c r="ESS76" s="26"/>
      <c r="EST76" s="26"/>
      <c r="ESU76" s="26"/>
      <c r="ESV76" s="26"/>
      <c r="ESW76" s="26"/>
      <c r="ESX76" s="26"/>
      <c r="ESY76" s="58"/>
      <c r="ESZ76" s="26"/>
      <c r="ETA76" s="26"/>
      <c r="ETB76" s="26"/>
      <c r="ETC76" s="26"/>
      <c r="ETD76" s="22"/>
      <c r="ETE76" s="167"/>
      <c r="ETF76" s="30"/>
      <c r="ETG76" s="25"/>
      <c r="ETH76" s="178"/>
      <c r="ETI76" s="26"/>
      <c r="ETJ76" s="26"/>
      <c r="ETK76" s="26"/>
      <c r="ETL76" s="26"/>
      <c r="ETM76" s="26"/>
      <c r="ETN76" s="26"/>
      <c r="ETO76" s="58"/>
      <c r="ETP76" s="26"/>
      <c r="ETQ76" s="26"/>
      <c r="ETR76" s="26"/>
      <c r="ETS76" s="26"/>
      <c r="ETT76" s="22"/>
      <c r="ETU76" s="167"/>
      <c r="ETV76" s="30"/>
      <c r="ETW76" s="25"/>
      <c r="ETX76" s="178"/>
      <c r="ETY76" s="26"/>
      <c r="ETZ76" s="26"/>
      <c r="EUA76" s="26"/>
      <c r="EUB76" s="26"/>
      <c r="EUC76" s="26"/>
      <c r="EUD76" s="26"/>
      <c r="EUE76" s="58"/>
      <c r="EUF76" s="26"/>
      <c r="EUG76" s="26"/>
      <c r="EUH76" s="26"/>
      <c r="EUI76" s="26"/>
      <c r="EUJ76" s="22"/>
      <c r="EUK76" s="167"/>
      <c r="EUL76" s="30"/>
      <c r="EUM76" s="25"/>
      <c r="EUN76" s="178"/>
      <c r="EUO76" s="26"/>
      <c r="EUP76" s="26"/>
      <c r="EUQ76" s="26"/>
      <c r="EUR76" s="26"/>
      <c r="EUS76" s="26"/>
      <c r="EUT76" s="26"/>
      <c r="EUU76" s="58"/>
      <c r="EUV76" s="26"/>
      <c r="EUW76" s="26"/>
      <c r="EUX76" s="26"/>
      <c r="EUY76" s="26"/>
      <c r="EUZ76" s="22"/>
      <c r="EVA76" s="167"/>
      <c r="EVB76" s="30"/>
      <c r="EVC76" s="25"/>
      <c r="EVD76" s="178"/>
      <c r="EVE76" s="26"/>
      <c r="EVF76" s="26"/>
      <c r="EVG76" s="26"/>
      <c r="EVH76" s="26"/>
      <c r="EVI76" s="26"/>
      <c r="EVJ76" s="26"/>
      <c r="EVK76" s="58"/>
      <c r="EVL76" s="26"/>
      <c r="EVM76" s="26"/>
      <c r="EVN76" s="26"/>
      <c r="EVO76" s="26"/>
      <c r="EVP76" s="22"/>
      <c r="EVQ76" s="167"/>
      <c r="EVR76" s="30"/>
      <c r="EVS76" s="25"/>
      <c r="EVT76" s="178"/>
      <c r="EVU76" s="26"/>
      <c r="EVV76" s="26"/>
      <c r="EVW76" s="26"/>
      <c r="EVX76" s="26"/>
      <c r="EVY76" s="26"/>
      <c r="EVZ76" s="26"/>
      <c r="EWA76" s="58"/>
      <c r="EWB76" s="26"/>
      <c r="EWC76" s="26"/>
      <c r="EWD76" s="26"/>
      <c r="EWE76" s="26"/>
      <c r="EWF76" s="22"/>
      <c r="EWG76" s="167"/>
      <c r="EWH76" s="30"/>
      <c r="EWI76" s="25"/>
      <c r="EWJ76" s="178"/>
      <c r="EWK76" s="26"/>
      <c r="EWL76" s="26"/>
      <c r="EWM76" s="26"/>
      <c r="EWN76" s="26"/>
      <c r="EWO76" s="26"/>
      <c r="EWP76" s="26"/>
      <c r="EWQ76" s="58"/>
      <c r="EWR76" s="26"/>
      <c r="EWS76" s="26"/>
      <c r="EWT76" s="26"/>
      <c r="EWU76" s="26"/>
      <c r="EWV76" s="22"/>
      <c r="EWW76" s="167"/>
      <c r="EWX76" s="30"/>
      <c r="EWY76" s="25"/>
      <c r="EWZ76" s="178"/>
      <c r="EXA76" s="26"/>
      <c r="EXB76" s="26"/>
      <c r="EXC76" s="26"/>
      <c r="EXD76" s="26"/>
      <c r="EXE76" s="26"/>
      <c r="EXF76" s="26"/>
      <c r="EXG76" s="58"/>
      <c r="EXH76" s="26"/>
      <c r="EXI76" s="26"/>
      <c r="EXJ76" s="26"/>
      <c r="EXK76" s="26"/>
      <c r="EXL76" s="22"/>
      <c r="EXM76" s="167"/>
      <c r="EXN76" s="30"/>
      <c r="EXO76" s="25"/>
      <c r="EXP76" s="178"/>
      <c r="EXQ76" s="26"/>
      <c r="EXR76" s="26"/>
      <c r="EXS76" s="26"/>
      <c r="EXT76" s="26"/>
      <c r="EXU76" s="26"/>
      <c r="EXV76" s="26"/>
      <c r="EXW76" s="58"/>
      <c r="EXX76" s="26"/>
      <c r="EXY76" s="26"/>
      <c r="EXZ76" s="26"/>
      <c r="EYA76" s="26"/>
      <c r="EYB76" s="22"/>
      <c r="EYC76" s="167"/>
      <c r="EYD76" s="30"/>
      <c r="EYE76" s="25"/>
      <c r="EYF76" s="178"/>
      <c r="EYG76" s="26"/>
      <c r="EYH76" s="26"/>
      <c r="EYI76" s="26"/>
      <c r="EYJ76" s="26"/>
      <c r="EYK76" s="26"/>
      <c r="EYL76" s="26"/>
      <c r="EYM76" s="58"/>
      <c r="EYN76" s="26"/>
      <c r="EYO76" s="26"/>
      <c r="EYP76" s="26"/>
      <c r="EYQ76" s="26"/>
      <c r="EYR76" s="22"/>
      <c r="EYS76" s="167"/>
      <c r="EYT76" s="30"/>
      <c r="EYU76" s="25"/>
      <c r="EYV76" s="178"/>
      <c r="EYW76" s="26"/>
      <c r="EYX76" s="26"/>
      <c r="EYY76" s="26"/>
      <c r="EYZ76" s="26"/>
      <c r="EZA76" s="26"/>
      <c r="EZB76" s="26"/>
      <c r="EZC76" s="58"/>
      <c r="EZD76" s="26"/>
      <c r="EZE76" s="26"/>
      <c r="EZF76" s="26"/>
      <c r="EZG76" s="26"/>
      <c r="EZH76" s="22"/>
      <c r="EZI76" s="167"/>
      <c r="EZJ76" s="30"/>
      <c r="EZK76" s="25"/>
      <c r="EZL76" s="178"/>
      <c r="EZM76" s="26"/>
      <c r="EZN76" s="26"/>
      <c r="EZO76" s="26"/>
      <c r="EZP76" s="26"/>
      <c r="EZQ76" s="26"/>
      <c r="EZR76" s="26"/>
      <c r="EZS76" s="58"/>
      <c r="EZT76" s="26"/>
      <c r="EZU76" s="26"/>
      <c r="EZV76" s="26"/>
      <c r="EZW76" s="26"/>
      <c r="EZX76" s="22"/>
      <c r="EZY76" s="167"/>
      <c r="EZZ76" s="30"/>
      <c r="FAA76" s="25"/>
      <c r="FAB76" s="178"/>
      <c r="FAC76" s="26"/>
      <c r="FAD76" s="26"/>
      <c r="FAE76" s="26"/>
      <c r="FAF76" s="26"/>
      <c r="FAG76" s="26"/>
      <c r="FAH76" s="26"/>
      <c r="FAI76" s="58"/>
      <c r="FAJ76" s="26"/>
      <c r="FAK76" s="26"/>
      <c r="FAL76" s="26"/>
      <c r="FAM76" s="26"/>
      <c r="FAN76" s="22"/>
      <c r="FAO76" s="167"/>
      <c r="FAP76" s="30"/>
      <c r="FAQ76" s="25"/>
      <c r="FAR76" s="178"/>
      <c r="FAS76" s="26"/>
      <c r="FAT76" s="26"/>
      <c r="FAU76" s="26"/>
      <c r="FAV76" s="26"/>
      <c r="FAW76" s="26"/>
      <c r="FAX76" s="26"/>
      <c r="FAY76" s="58"/>
      <c r="FAZ76" s="26"/>
      <c r="FBA76" s="26"/>
      <c r="FBB76" s="26"/>
      <c r="FBC76" s="26"/>
      <c r="FBD76" s="22"/>
      <c r="FBE76" s="167"/>
      <c r="FBF76" s="30"/>
      <c r="FBG76" s="25"/>
      <c r="FBH76" s="178"/>
      <c r="FBI76" s="26"/>
      <c r="FBJ76" s="26"/>
      <c r="FBK76" s="26"/>
      <c r="FBL76" s="26"/>
      <c r="FBM76" s="26"/>
      <c r="FBN76" s="26"/>
      <c r="FBO76" s="58"/>
      <c r="FBP76" s="26"/>
      <c r="FBQ76" s="26"/>
      <c r="FBR76" s="26"/>
      <c r="FBS76" s="26"/>
      <c r="FBT76" s="22"/>
      <c r="FBU76" s="167"/>
      <c r="FBV76" s="30"/>
      <c r="FBW76" s="25"/>
      <c r="FBX76" s="178"/>
      <c r="FBY76" s="26"/>
      <c r="FBZ76" s="26"/>
      <c r="FCA76" s="26"/>
      <c r="FCB76" s="26"/>
      <c r="FCC76" s="26"/>
      <c r="FCD76" s="26"/>
      <c r="FCE76" s="58"/>
      <c r="FCF76" s="26"/>
      <c r="FCG76" s="26"/>
      <c r="FCH76" s="26"/>
      <c r="FCI76" s="26"/>
      <c r="FCJ76" s="22"/>
      <c r="FCK76" s="167"/>
      <c r="FCL76" s="30"/>
      <c r="FCM76" s="25"/>
      <c r="FCN76" s="178"/>
      <c r="FCO76" s="26"/>
      <c r="FCP76" s="26"/>
      <c r="FCQ76" s="26"/>
      <c r="FCR76" s="26"/>
      <c r="FCS76" s="26"/>
      <c r="FCT76" s="26"/>
      <c r="FCU76" s="58"/>
      <c r="FCV76" s="26"/>
      <c r="FCW76" s="26"/>
      <c r="FCX76" s="26"/>
      <c r="FCY76" s="26"/>
      <c r="FCZ76" s="22"/>
      <c r="FDA76" s="167"/>
      <c r="FDB76" s="30"/>
      <c r="FDC76" s="25"/>
      <c r="FDD76" s="178"/>
      <c r="FDE76" s="26"/>
      <c r="FDF76" s="26"/>
      <c r="FDG76" s="26"/>
      <c r="FDH76" s="26"/>
      <c r="FDI76" s="26"/>
      <c r="FDJ76" s="26"/>
      <c r="FDK76" s="58"/>
      <c r="FDL76" s="26"/>
      <c r="FDM76" s="26"/>
      <c r="FDN76" s="26"/>
      <c r="FDO76" s="26"/>
      <c r="FDP76" s="22"/>
      <c r="FDQ76" s="167"/>
      <c r="FDR76" s="30"/>
      <c r="FDS76" s="25"/>
      <c r="FDT76" s="178"/>
      <c r="FDU76" s="26"/>
      <c r="FDV76" s="26"/>
      <c r="FDW76" s="26"/>
      <c r="FDX76" s="26"/>
      <c r="FDY76" s="26"/>
      <c r="FDZ76" s="26"/>
      <c r="FEA76" s="58"/>
      <c r="FEB76" s="26"/>
      <c r="FEC76" s="26"/>
      <c r="FED76" s="26"/>
      <c r="FEE76" s="26"/>
      <c r="FEF76" s="22"/>
      <c r="FEG76" s="167"/>
      <c r="FEH76" s="30"/>
      <c r="FEI76" s="25"/>
      <c r="FEJ76" s="178"/>
      <c r="FEK76" s="26"/>
      <c r="FEL76" s="26"/>
      <c r="FEM76" s="26"/>
      <c r="FEN76" s="26"/>
      <c r="FEO76" s="26"/>
      <c r="FEP76" s="26"/>
      <c r="FEQ76" s="58"/>
      <c r="FER76" s="26"/>
      <c r="FES76" s="26"/>
      <c r="FET76" s="26"/>
      <c r="FEU76" s="26"/>
      <c r="FEV76" s="22"/>
      <c r="FEW76" s="167"/>
      <c r="FEX76" s="30"/>
      <c r="FEY76" s="25"/>
      <c r="FEZ76" s="178"/>
      <c r="FFA76" s="26"/>
      <c r="FFB76" s="26"/>
      <c r="FFC76" s="26"/>
      <c r="FFD76" s="26"/>
      <c r="FFE76" s="26"/>
      <c r="FFF76" s="26"/>
      <c r="FFG76" s="58"/>
      <c r="FFH76" s="26"/>
      <c r="FFI76" s="26"/>
      <c r="FFJ76" s="26"/>
      <c r="FFK76" s="26"/>
      <c r="FFL76" s="22"/>
      <c r="FFM76" s="167"/>
      <c r="FFN76" s="30"/>
      <c r="FFO76" s="25"/>
      <c r="FFP76" s="178"/>
      <c r="FFQ76" s="26"/>
      <c r="FFR76" s="26"/>
      <c r="FFS76" s="26"/>
      <c r="FFT76" s="26"/>
      <c r="FFU76" s="26"/>
      <c r="FFV76" s="26"/>
      <c r="FFW76" s="58"/>
      <c r="FFX76" s="26"/>
      <c r="FFY76" s="26"/>
      <c r="FFZ76" s="26"/>
      <c r="FGA76" s="26"/>
      <c r="FGB76" s="22"/>
      <c r="FGC76" s="167"/>
      <c r="FGD76" s="30"/>
      <c r="FGE76" s="25"/>
      <c r="FGF76" s="178"/>
      <c r="FGG76" s="26"/>
      <c r="FGH76" s="26"/>
      <c r="FGI76" s="26"/>
      <c r="FGJ76" s="26"/>
      <c r="FGK76" s="26"/>
      <c r="FGL76" s="26"/>
      <c r="FGM76" s="58"/>
      <c r="FGN76" s="26"/>
      <c r="FGO76" s="26"/>
      <c r="FGP76" s="26"/>
      <c r="FGQ76" s="26"/>
      <c r="FGR76" s="22"/>
      <c r="FGS76" s="167"/>
      <c r="FGT76" s="30"/>
      <c r="FGU76" s="25"/>
      <c r="FGV76" s="178"/>
      <c r="FGW76" s="26"/>
      <c r="FGX76" s="26"/>
      <c r="FGY76" s="26"/>
      <c r="FGZ76" s="26"/>
      <c r="FHA76" s="26"/>
      <c r="FHB76" s="26"/>
      <c r="FHC76" s="58"/>
      <c r="FHD76" s="26"/>
      <c r="FHE76" s="26"/>
      <c r="FHF76" s="26"/>
      <c r="FHG76" s="26"/>
      <c r="FHH76" s="22"/>
      <c r="FHI76" s="167"/>
      <c r="FHJ76" s="30"/>
      <c r="FHK76" s="25"/>
      <c r="FHL76" s="178"/>
      <c r="FHM76" s="26"/>
      <c r="FHN76" s="26"/>
      <c r="FHO76" s="26"/>
      <c r="FHP76" s="26"/>
      <c r="FHQ76" s="26"/>
      <c r="FHR76" s="26"/>
      <c r="FHS76" s="58"/>
      <c r="FHT76" s="26"/>
      <c r="FHU76" s="26"/>
      <c r="FHV76" s="26"/>
      <c r="FHW76" s="26"/>
      <c r="FHX76" s="22"/>
      <c r="FHY76" s="167"/>
      <c r="FHZ76" s="30"/>
      <c r="FIA76" s="25"/>
      <c r="FIB76" s="178"/>
      <c r="FIC76" s="26"/>
      <c r="FID76" s="26"/>
      <c r="FIE76" s="26"/>
      <c r="FIF76" s="26"/>
      <c r="FIG76" s="26"/>
      <c r="FIH76" s="26"/>
      <c r="FII76" s="58"/>
      <c r="FIJ76" s="26"/>
      <c r="FIK76" s="26"/>
      <c r="FIL76" s="26"/>
      <c r="FIM76" s="26"/>
      <c r="FIN76" s="22"/>
      <c r="FIO76" s="167"/>
      <c r="FIP76" s="30"/>
      <c r="FIQ76" s="25"/>
      <c r="FIR76" s="178"/>
      <c r="FIS76" s="26"/>
      <c r="FIT76" s="26"/>
      <c r="FIU76" s="26"/>
      <c r="FIV76" s="26"/>
      <c r="FIW76" s="26"/>
      <c r="FIX76" s="26"/>
      <c r="FIY76" s="58"/>
      <c r="FIZ76" s="26"/>
      <c r="FJA76" s="26"/>
      <c r="FJB76" s="26"/>
      <c r="FJC76" s="26"/>
      <c r="FJD76" s="22"/>
      <c r="FJE76" s="167"/>
      <c r="FJF76" s="30"/>
      <c r="FJG76" s="25"/>
      <c r="FJH76" s="178"/>
      <c r="FJI76" s="26"/>
      <c r="FJJ76" s="26"/>
      <c r="FJK76" s="26"/>
      <c r="FJL76" s="26"/>
      <c r="FJM76" s="26"/>
      <c r="FJN76" s="26"/>
      <c r="FJO76" s="58"/>
      <c r="FJP76" s="26"/>
      <c r="FJQ76" s="26"/>
      <c r="FJR76" s="26"/>
      <c r="FJS76" s="26"/>
      <c r="FJT76" s="22"/>
      <c r="FJU76" s="167"/>
      <c r="FJV76" s="30"/>
      <c r="FJW76" s="25"/>
      <c r="FJX76" s="178"/>
      <c r="FJY76" s="26"/>
      <c r="FJZ76" s="26"/>
      <c r="FKA76" s="26"/>
      <c r="FKB76" s="26"/>
      <c r="FKC76" s="26"/>
      <c r="FKD76" s="26"/>
      <c r="FKE76" s="58"/>
      <c r="FKF76" s="26"/>
      <c r="FKG76" s="26"/>
      <c r="FKH76" s="26"/>
      <c r="FKI76" s="26"/>
      <c r="FKJ76" s="22"/>
      <c r="FKK76" s="167"/>
      <c r="FKL76" s="30"/>
      <c r="FKM76" s="25"/>
      <c r="FKN76" s="178"/>
      <c r="FKO76" s="26"/>
      <c r="FKP76" s="26"/>
      <c r="FKQ76" s="26"/>
      <c r="FKR76" s="26"/>
      <c r="FKS76" s="26"/>
      <c r="FKT76" s="26"/>
      <c r="FKU76" s="58"/>
      <c r="FKV76" s="26"/>
      <c r="FKW76" s="26"/>
      <c r="FKX76" s="26"/>
      <c r="FKY76" s="26"/>
      <c r="FKZ76" s="22"/>
      <c r="FLA76" s="167"/>
      <c r="FLB76" s="30"/>
      <c r="FLC76" s="25"/>
      <c r="FLD76" s="178"/>
      <c r="FLE76" s="26"/>
      <c r="FLF76" s="26"/>
      <c r="FLG76" s="26"/>
      <c r="FLH76" s="26"/>
      <c r="FLI76" s="26"/>
      <c r="FLJ76" s="26"/>
      <c r="FLK76" s="58"/>
      <c r="FLL76" s="26"/>
      <c r="FLM76" s="26"/>
      <c r="FLN76" s="26"/>
      <c r="FLO76" s="26"/>
      <c r="FLP76" s="22"/>
      <c r="FLQ76" s="167"/>
      <c r="FLR76" s="30"/>
      <c r="FLS76" s="25"/>
      <c r="FLT76" s="178"/>
      <c r="FLU76" s="26"/>
      <c r="FLV76" s="26"/>
      <c r="FLW76" s="26"/>
      <c r="FLX76" s="26"/>
      <c r="FLY76" s="26"/>
      <c r="FLZ76" s="26"/>
      <c r="FMA76" s="58"/>
      <c r="FMB76" s="26"/>
      <c r="FMC76" s="26"/>
      <c r="FMD76" s="26"/>
      <c r="FME76" s="26"/>
      <c r="FMF76" s="22"/>
      <c r="FMG76" s="167"/>
      <c r="FMH76" s="30"/>
      <c r="FMI76" s="25"/>
      <c r="FMJ76" s="178"/>
      <c r="FMK76" s="26"/>
      <c r="FML76" s="26"/>
      <c r="FMM76" s="26"/>
      <c r="FMN76" s="26"/>
      <c r="FMO76" s="26"/>
      <c r="FMP76" s="26"/>
      <c r="FMQ76" s="58"/>
      <c r="FMR76" s="26"/>
      <c r="FMS76" s="26"/>
      <c r="FMT76" s="26"/>
      <c r="FMU76" s="26"/>
      <c r="FMV76" s="22"/>
      <c r="FMW76" s="167"/>
      <c r="FMX76" s="30"/>
      <c r="FMY76" s="25"/>
      <c r="FMZ76" s="178"/>
      <c r="FNA76" s="26"/>
      <c r="FNB76" s="26"/>
      <c r="FNC76" s="26"/>
      <c r="FND76" s="26"/>
      <c r="FNE76" s="26"/>
      <c r="FNF76" s="26"/>
      <c r="FNG76" s="58"/>
      <c r="FNH76" s="26"/>
      <c r="FNI76" s="26"/>
      <c r="FNJ76" s="26"/>
      <c r="FNK76" s="26"/>
      <c r="FNL76" s="22"/>
      <c r="FNM76" s="167"/>
      <c r="FNN76" s="30"/>
      <c r="FNO76" s="25"/>
      <c r="FNP76" s="178"/>
      <c r="FNQ76" s="26"/>
      <c r="FNR76" s="26"/>
      <c r="FNS76" s="26"/>
      <c r="FNT76" s="26"/>
      <c r="FNU76" s="26"/>
      <c r="FNV76" s="26"/>
      <c r="FNW76" s="58"/>
      <c r="FNX76" s="26"/>
      <c r="FNY76" s="26"/>
      <c r="FNZ76" s="26"/>
      <c r="FOA76" s="26"/>
      <c r="FOB76" s="22"/>
      <c r="FOC76" s="167"/>
      <c r="FOD76" s="30"/>
      <c r="FOE76" s="25"/>
      <c r="FOF76" s="178"/>
      <c r="FOG76" s="26"/>
      <c r="FOH76" s="26"/>
      <c r="FOI76" s="26"/>
      <c r="FOJ76" s="26"/>
      <c r="FOK76" s="26"/>
      <c r="FOL76" s="26"/>
      <c r="FOM76" s="58"/>
      <c r="FON76" s="26"/>
      <c r="FOO76" s="26"/>
      <c r="FOP76" s="26"/>
      <c r="FOQ76" s="26"/>
      <c r="FOR76" s="22"/>
      <c r="FOS76" s="167"/>
      <c r="FOT76" s="30"/>
      <c r="FOU76" s="25"/>
      <c r="FOV76" s="178"/>
      <c r="FOW76" s="26"/>
      <c r="FOX76" s="26"/>
      <c r="FOY76" s="26"/>
      <c r="FOZ76" s="26"/>
      <c r="FPA76" s="26"/>
      <c r="FPB76" s="26"/>
      <c r="FPC76" s="58"/>
      <c r="FPD76" s="26"/>
      <c r="FPE76" s="26"/>
      <c r="FPF76" s="26"/>
      <c r="FPG76" s="26"/>
      <c r="FPH76" s="22"/>
      <c r="FPI76" s="167"/>
      <c r="FPJ76" s="30"/>
      <c r="FPK76" s="25"/>
      <c r="FPL76" s="178"/>
      <c r="FPM76" s="26"/>
      <c r="FPN76" s="26"/>
      <c r="FPO76" s="26"/>
      <c r="FPP76" s="26"/>
      <c r="FPQ76" s="26"/>
      <c r="FPR76" s="26"/>
      <c r="FPS76" s="58"/>
      <c r="FPT76" s="26"/>
      <c r="FPU76" s="26"/>
      <c r="FPV76" s="26"/>
      <c r="FPW76" s="26"/>
      <c r="FPX76" s="22"/>
      <c r="FPY76" s="167"/>
      <c r="FPZ76" s="30"/>
      <c r="FQA76" s="25"/>
      <c r="FQB76" s="178"/>
      <c r="FQC76" s="26"/>
      <c r="FQD76" s="26"/>
      <c r="FQE76" s="26"/>
      <c r="FQF76" s="26"/>
      <c r="FQG76" s="26"/>
      <c r="FQH76" s="26"/>
      <c r="FQI76" s="58"/>
      <c r="FQJ76" s="26"/>
      <c r="FQK76" s="26"/>
      <c r="FQL76" s="26"/>
      <c r="FQM76" s="26"/>
      <c r="FQN76" s="22"/>
      <c r="FQO76" s="167"/>
      <c r="FQP76" s="30"/>
      <c r="FQQ76" s="25"/>
      <c r="FQR76" s="178"/>
      <c r="FQS76" s="26"/>
      <c r="FQT76" s="26"/>
      <c r="FQU76" s="26"/>
      <c r="FQV76" s="26"/>
      <c r="FQW76" s="26"/>
      <c r="FQX76" s="26"/>
      <c r="FQY76" s="58"/>
      <c r="FQZ76" s="26"/>
      <c r="FRA76" s="26"/>
      <c r="FRB76" s="26"/>
      <c r="FRC76" s="26"/>
      <c r="FRD76" s="22"/>
      <c r="FRE76" s="167"/>
      <c r="FRF76" s="30"/>
      <c r="FRG76" s="25"/>
      <c r="FRH76" s="178"/>
      <c r="FRI76" s="26"/>
      <c r="FRJ76" s="26"/>
      <c r="FRK76" s="26"/>
      <c r="FRL76" s="26"/>
      <c r="FRM76" s="26"/>
      <c r="FRN76" s="26"/>
      <c r="FRO76" s="58"/>
      <c r="FRP76" s="26"/>
      <c r="FRQ76" s="26"/>
      <c r="FRR76" s="26"/>
      <c r="FRS76" s="26"/>
      <c r="FRT76" s="22"/>
      <c r="FRU76" s="167"/>
      <c r="FRV76" s="30"/>
      <c r="FRW76" s="25"/>
      <c r="FRX76" s="178"/>
      <c r="FRY76" s="26"/>
      <c r="FRZ76" s="26"/>
      <c r="FSA76" s="26"/>
      <c r="FSB76" s="26"/>
      <c r="FSC76" s="26"/>
      <c r="FSD76" s="26"/>
      <c r="FSE76" s="58"/>
      <c r="FSF76" s="26"/>
      <c r="FSG76" s="26"/>
      <c r="FSH76" s="26"/>
      <c r="FSI76" s="26"/>
      <c r="FSJ76" s="22"/>
      <c r="FSK76" s="167"/>
      <c r="FSL76" s="30"/>
      <c r="FSM76" s="25"/>
      <c r="FSN76" s="178"/>
      <c r="FSO76" s="26"/>
      <c r="FSP76" s="26"/>
      <c r="FSQ76" s="26"/>
      <c r="FSR76" s="26"/>
      <c r="FSS76" s="26"/>
      <c r="FST76" s="26"/>
      <c r="FSU76" s="58"/>
      <c r="FSV76" s="26"/>
      <c r="FSW76" s="26"/>
      <c r="FSX76" s="26"/>
      <c r="FSY76" s="26"/>
      <c r="FSZ76" s="22"/>
      <c r="FTA76" s="167"/>
      <c r="FTB76" s="30"/>
      <c r="FTC76" s="25"/>
      <c r="FTD76" s="178"/>
      <c r="FTE76" s="26"/>
      <c r="FTF76" s="26"/>
      <c r="FTG76" s="26"/>
      <c r="FTH76" s="26"/>
      <c r="FTI76" s="26"/>
      <c r="FTJ76" s="26"/>
      <c r="FTK76" s="58"/>
      <c r="FTL76" s="26"/>
      <c r="FTM76" s="26"/>
      <c r="FTN76" s="26"/>
      <c r="FTO76" s="26"/>
      <c r="FTP76" s="22"/>
      <c r="FTQ76" s="167"/>
      <c r="FTR76" s="30"/>
      <c r="FTS76" s="25"/>
      <c r="FTT76" s="178"/>
      <c r="FTU76" s="26"/>
      <c r="FTV76" s="26"/>
      <c r="FTW76" s="26"/>
      <c r="FTX76" s="26"/>
      <c r="FTY76" s="26"/>
      <c r="FTZ76" s="26"/>
      <c r="FUA76" s="58"/>
      <c r="FUB76" s="26"/>
      <c r="FUC76" s="26"/>
      <c r="FUD76" s="26"/>
      <c r="FUE76" s="26"/>
      <c r="FUF76" s="22"/>
      <c r="FUG76" s="167"/>
      <c r="FUH76" s="30"/>
      <c r="FUI76" s="25"/>
      <c r="FUJ76" s="178"/>
      <c r="FUK76" s="26"/>
      <c r="FUL76" s="26"/>
      <c r="FUM76" s="26"/>
      <c r="FUN76" s="26"/>
      <c r="FUO76" s="26"/>
      <c r="FUP76" s="26"/>
      <c r="FUQ76" s="58"/>
      <c r="FUR76" s="26"/>
      <c r="FUS76" s="26"/>
      <c r="FUT76" s="26"/>
      <c r="FUU76" s="26"/>
      <c r="FUV76" s="22"/>
      <c r="FUW76" s="167"/>
      <c r="FUX76" s="30"/>
      <c r="FUY76" s="25"/>
      <c r="FUZ76" s="178"/>
      <c r="FVA76" s="26"/>
      <c r="FVB76" s="26"/>
      <c r="FVC76" s="26"/>
      <c r="FVD76" s="26"/>
      <c r="FVE76" s="26"/>
      <c r="FVF76" s="26"/>
      <c r="FVG76" s="58"/>
      <c r="FVH76" s="26"/>
      <c r="FVI76" s="26"/>
      <c r="FVJ76" s="26"/>
      <c r="FVK76" s="26"/>
      <c r="FVL76" s="22"/>
      <c r="FVM76" s="167"/>
      <c r="FVN76" s="30"/>
      <c r="FVO76" s="25"/>
      <c r="FVP76" s="178"/>
      <c r="FVQ76" s="26"/>
      <c r="FVR76" s="26"/>
      <c r="FVS76" s="26"/>
      <c r="FVT76" s="26"/>
      <c r="FVU76" s="26"/>
      <c r="FVV76" s="26"/>
      <c r="FVW76" s="58"/>
      <c r="FVX76" s="26"/>
      <c r="FVY76" s="26"/>
      <c r="FVZ76" s="26"/>
      <c r="FWA76" s="26"/>
      <c r="FWB76" s="22"/>
      <c r="FWC76" s="167"/>
      <c r="FWD76" s="30"/>
      <c r="FWE76" s="25"/>
      <c r="FWF76" s="178"/>
      <c r="FWG76" s="26"/>
      <c r="FWH76" s="26"/>
      <c r="FWI76" s="26"/>
      <c r="FWJ76" s="26"/>
      <c r="FWK76" s="26"/>
      <c r="FWL76" s="26"/>
      <c r="FWM76" s="58"/>
      <c r="FWN76" s="26"/>
      <c r="FWO76" s="26"/>
      <c r="FWP76" s="26"/>
      <c r="FWQ76" s="26"/>
      <c r="FWR76" s="22"/>
      <c r="FWS76" s="167"/>
      <c r="FWT76" s="30"/>
      <c r="FWU76" s="25"/>
      <c r="FWV76" s="178"/>
      <c r="FWW76" s="26"/>
      <c r="FWX76" s="26"/>
      <c r="FWY76" s="26"/>
      <c r="FWZ76" s="26"/>
      <c r="FXA76" s="26"/>
      <c r="FXB76" s="26"/>
      <c r="FXC76" s="58"/>
      <c r="FXD76" s="26"/>
      <c r="FXE76" s="26"/>
      <c r="FXF76" s="26"/>
      <c r="FXG76" s="26"/>
      <c r="FXH76" s="22"/>
      <c r="FXI76" s="167"/>
      <c r="FXJ76" s="30"/>
      <c r="FXK76" s="25"/>
      <c r="FXL76" s="178"/>
      <c r="FXM76" s="26"/>
      <c r="FXN76" s="26"/>
      <c r="FXO76" s="26"/>
      <c r="FXP76" s="26"/>
      <c r="FXQ76" s="26"/>
      <c r="FXR76" s="26"/>
      <c r="FXS76" s="58"/>
      <c r="FXT76" s="26"/>
      <c r="FXU76" s="26"/>
      <c r="FXV76" s="26"/>
      <c r="FXW76" s="26"/>
      <c r="FXX76" s="22"/>
      <c r="FXY76" s="167"/>
      <c r="FXZ76" s="30"/>
      <c r="FYA76" s="25"/>
      <c r="FYB76" s="178"/>
      <c r="FYC76" s="26"/>
      <c r="FYD76" s="26"/>
      <c r="FYE76" s="26"/>
      <c r="FYF76" s="26"/>
      <c r="FYG76" s="26"/>
      <c r="FYH76" s="26"/>
      <c r="FYI76" s="58"/>
      <c r="FYJ76" s="26"/>
      <c r="FYK76" s="26"/>
      <c r="FYL76" s="26"/>
      <c r="FYM76" s="26"/>
      <c r="FYN76" s="22"/>
      <c r="FYO76" s="167"/>
      <c r="FYP76" s="30"/>
      <c r="FYQ76" s="25"/>
      <c r="FYR76" s="178"/>
      <c r="FYS76" s="26"/>
      <c r="FYT76" s="26"/>
      <c r="FYU76" s="26"/>
      <c r="FYV76" s="26"/>
      <c r="FYW76" s="26"/>
      <c r="FYX76" s="26"/>
      <c r="FYY76" s="58"/>
      <c r="FYZ76" s="26"/>
      <c r="FZA76" s="26"/>
      <c r="FZB76" s="26"/>
      <c r="FZC76" s="26"/>
      <c r="FZD76" s="22"/>
      <c r="FZE76" s="167"/>
      <c r="FZF76" s="30"/>
      <c r="FZG76" s="25"/>
      <c r="FZH76" s="178"/>
      <c r="FZI76" s="26"/>
      <c r="FZJ76" s="26"/>
      <c r="FZK76" s="26"/>
      <c r="FZL76" s="26"/>
      <c r="FZM76" s="26"/>
      <c r="FZN76" s="26"/>
      <c r="FZO76" s="58"/>
      <c r="FZP76" s="26"/>
      <c r="FZQ76" s="26"/>
      <c r="FZR76" s="26"/>
      <c r="FZS76" s="26"/>
      <c r="FZT76" s="22"/>
      <c r="FZU76" s="167"/>
      <c r="FZV76" s="30"/>
      <c r="FZW76" s="25"/>
      <c r="FZX76" s="178"/>
      <c r="FZY76" s="26"/>
      <c r="FZZ76" s="26"/>
      <c r="GAA76" s="26"/>
      <c r="GAB76" s="26"/>
      <c r="GAC76" s="26"/>
      <c r="GAD76" s="26"/>
      <c r="GAE76" s="58"/>
      <c r="GAF76" s="26"/>
      <c r="GAG76" s="26"/>
      <c r="GAH76" s="26"/>
      <c r="GAI76" s="26"/>
      <c r="GAJ76" s="22"/>
      <c r="GAK76" s="167"/>
      <c r="GAL76" s="30"/>
      <c r="GAM76" s="25"/>
      <c r="GAN76" s="178"/>
      <c r="GAO76" s="26"/>
      <c r="GAP76" s="26"/>
      <c r="GAQ76" s="26"/>
      <c r="GAR76" s="26"/>
      <c r="GAS76" s="26"/>
      <c r="GAT76" s="26"/>
      <c r="GAU76" s="58"/>
      <c r="GAV76" s="26"/>
      <c r="GAW76" s="26"/>
      <c r="GAX76" s="26"/>
      <c r="GAY76" s="26"/>
      <c r="GAZ76" s="22"/>
      <c r="GBA76" s="167"/>
      <c r="GBB76" s="30"/>
      <c r="GBC76" s="25"/>
      <c r="GBD76" s="178"/>
      <c r="GBE76" s="26"/>
      <c r="GBF76" s="26"/>
      <c r="GBG76" s="26"/>
      <c r="GBH76" s="26"/>
      <c r="GBI76" s="26"/>
      <c r="GBJ76" s="26"/>
      <c r="GBK76" s="58"/>
      <c r="GBL76" s="26"/>
      <c r="GBM76" s="26"/>
      <c r="GBN76" s="26"/>
      <c r="GBO76" s="26"/>
      <c r="GBP76" s="22"/>
      <c r="GBQ76" s="167"/>
      <c r="GBR76" s="30"/>
      <c r="GBS76" s="25"/>
      <c r="GBT76" s="178"/>
      <c r="GBU76" s="26"/>
      <c r="GBV76" s="26"/>
      <c r="GBW76" s="26"/>
      <c r="GBX76" s="26"/>
      <c r="GBY76" s="26"/>
      <c r="GBZ76" s="26"/>
      <c r="GCA76" s="58"/>
      <c r="GCB76" s="26"/>
      <c r="GCC76" s="26"/>
      <c r="GCD76" s="26"/>
      <c r="GCE76" s="26"/>
      <c r="GCF76" s="22"/>
      <c r="GCG76" s="167"/>
      <c r="GCH76" s="30"/>
      <c r="GCI76" s="25"/>
      <c r="GCJ76" s="178"/>
      <c r="GCK76" s="26"/>
      <c r="GCL76" s="26"/>
      <c r="GCM76" s="26"/>
      <c r="GCN76" s="26"/>
      <c r="GCO76" s="26"/>
      <c r="GCP76" s="26"/>
      <c r="GCQ76" s="58"/>
      <c r="GCR76" s="26"/>
      <c r="GCS76" s="26"/>
      <c r="GCT76" s="26"/>
      <c r="GCU76" s="26"/>
      <c r="GCV76" s="22"/>
      <c r="GCW76" s="167"/>
      <c r="GCX76" s="30"/>
      <c r="GCY76" s="25"/>
      <c r="GCZ76" s="178"/>
      <c r="GDA76" s="26"/>
      <c r="GDB76" s="26"/>
      <c r="GDC76" s="26"/>
      <c r="GDD76" s="26"/>
      <c r="GDE76" s="26"/>
      <c r="GDF76" s="26"/>
      <c r="GDG76" s="58"/>
      <c r="GDH76" s="26"/>
      <c r="GDI76" s="26"/>
      <c r="GDJ76" s="26"/>
      <c r="GDK76" s="26"/>
      <c r="GDL76" s="22"/>
      <c r="GDM76" s="167"/>
      <c r="GDN76" s="30"/>
      <c r="GDO76" s="25"/>
      <c r="GDP76" s="178"/>
      <c r="GDQ76" s="26"/>
      <c r="GDR76" s="26"/>
      <c r="GDS76" s="26"/>
      <c r="GDT76" s="26"/>
      <c r="GDU76" s="26"/>
      <c r="GDV76" s="26"/>
      <c r="GDW76" s="58"/>
      <c r="GDX76" s="26"/>
      <c r="GDY76" s="26"/>
      <c r="GDZ76" s="26"/>
      <c r="GEA76" s="26"/>
      <c r="GEB76" s="22"/>
      <c r="GEC76" s="167"/>
      <c r="GED76" s="30"/>
      <c r="GEE76" s="25"/>
      <c r="GEF76" s="178"/>
      <c r="GEG76" s="26"/>
      <c r="GEH76" s="26"/>
      <c r="GEI76" s="26"/>
      <c r="GEJ76" s="26"/>
      <c r="GEK76" s="26"/>
      <c r="GEL76" s="26"/>
      <c r="GEM76" s="58"/>
      <c r="GEN76" s="26"/>
      <c r="GEO76" s="26"/>
      <c r="GEP76" s="26"/>
      <c r="GEQ76" s="26"/>
      <c r="GER76" s="22"/>
      <c r="GES76" s="167"/>
      <c r="GET76" s="30"/>
      <c r="GEU76" s="25"/>
      <c r="GEV76" s="178"/>
      <c r="GEW76" s="26"/>
      <c r="GEX76" s="26"/>
      <c r="GEY76" s="26"/>
      <c r="GEZ76" s="26"/>
      <c r="GFA76" s="26"/>
      <c r="GFB76" s="26"/>
      <c r="GFC76" s="58"/>
      <c r="GFD76" s="26"/>
      <c r="GFE76" s="26"/>
      <c r="GFF76" s="26"/>
      <c r="GFG76" s="26"/>
      <c r="GFH76" s="22"/>
      <c r="GFI76" s="167"/>
      <c r="GFJ76" s="30"/>
      <c r="GFK76" s="25"/>
      <c r="GFL76" s="178"/>
      <c r="GFM76" s="26"/>
      <c r="GFN76" s="26"/>
      <c r="GFO76" s="26"/>
      <c r="GFP76" s="26"/>
      <c r="GFQ76" s="26"/>
      <c r="GFR76" s="26"/>
      <c r="GFS76" s="58"/>
      <c r="GFT76" s="26"/>
      <c r="GFU76" s="26"/>
      <c r="GFV76" s="26"/>
      <c r="GFW76" s="26"/>
      <c r="GFX76" s="22"/>
      <c r="GFY76" s="167"/>
      <c r="GFZ76" s="30"/>
      <c r="GGA76" s="25"/>
      <c r="GGB76" s="178"/>
      <c r="GGC76" s="26"/>
      <c r="GGD76" s="26"/>
      <c r="GGE76" s="26"/>
      <c r="GGF76" s="26"/>
      <c r="GGG76" s="26"/>
      <c r="GGH76" s="26"/>
      <c r="GGI76" s="58"/>
      <c r="GGJ76" s="26"/>
      <c r="GGK76" s="26"/>
      <c r="GGL76" s="26"/>
      <c r="GGM76" s="26"/>
      <c r="GGN76" s="22"/>
      <c r="GGO76" s="167"/>
      <c r="GGP76" s="30"/>
      <c r="GGQ76" s="25"/>
      <c r="GGR76" s="178"/>
      <c r="GGS76" s="26"/>
      <c r="GGT76" s="26"/>
      <c r="GGU76" s="26"/>
      <c r="GGV76" s="26"/>
      <c r="GGW76" s="26"/>
      <c r="GGX76" s="26"/>
      <c r="GGY76" s="58"/>
      <c r="GGZ76" s="26"/>
      <c r="GHA76" s="26"/>
      <c r="GHB76" s="26"/>
      <c r="GHC76" s="26"/>
      <c r="GHD76" s="22"/>
      <c r="GHE76" s="167"/>
      <c r="GHF76" s="30"/>
      <c r="GHG76" s="25"/>
      <c r="GHH76" s="178"/>
      <c r="GHI76" s="26"/>
      <c r="GHJ76" s="26"/>
      <c r="GHK76" s="26"/>
      <c r="GHL76" s="26"/>
      <c r="GHM76" s="26"/>
      <c r="GHN76" s="26"/>
      <c r="GHO76" s="58"/>
      <c r="GHP76" s="26"/>
      <c r="GHQ76" s="26"/>
      <c r="GHR76" s="26"/>
      <c r="GHS76" s="26"/>
      <c r="GHT76" s="22"/>
      <c r="GHU76" s="167"/>
      <c r="GHV76" s="30"/>
      <c r="GHW76" s="25"/>
      <c r="GHX76" s="178"/>
      <c r="GHY76" s="26"/>
      <c r="GHZ76" s="26"/>
      <c r="GIA76" s="26"/>
      <c r="GIB76" s="26"/>
      <c r="GIC76" s="26"/>
      <c r="GID76" s="26"/>
      <c r="GIE76" s="58"/>
      <c r="GIF76" s="26"/>
      <c r="GIG76" s="26"/>
      <c r="GIH76" s="26"/>
      <c r="GII76" s="26"/>
      <c r="GIJ76" s="22"/>
      <c r="GIK76" s="167"/>
      <c r="GIL76" s="30"/>
      <c r="GIM76" s="25"/>
      <c r="GIN76" s="178"/>
      <c r="GIO76" s="26"/>
      <c r="GIP76" s="26"/>
      <c r="GIQ76" s="26"/>
      <c r="GIR76" s="26"/>
      <c r="GIS76" s="26"/>
      <c r="GIT76" s="26"/>
      <c r="GIU76" s="58"/>
      <c r="GIV76" s="26"/>
      <c r="GIW76" s="26"/>
      <c r="GIX76" s="26"/>
      <c r="GIY76" s="26"/>
      <c r="GIZ76" s="22"/>
      <c r="GJA76" s="167"/>
      <c r="GJB76" s="30"/>
      <c r="GJC76" s="25"/>
      <c r="GJD76" s="178"/>
      <c r="GJE76" s="26"/>
      <c r="GJF76" s="26"/>
      <c r="GJG76" s="26"/>
      <c r="GJH76" s="26"/>
      <c r="GJI76" s="26"/>
      <c r="GJJ76" s="26"/>
      <c r="GJK76" s="58"/>
      <c r="GJL76" s="26"/>
      <c r="GJM76" s="26"/>
      <c r="GJN76" s="26"/>
      <c r="GJO76" s="26"/>
      <c r="GJP76" s="22"/>
      <c r="GJQ76" s="167"/>
      <c r="GJR76" s="30"/>
      <c r="GJS76" s="25"/>
      <c r="GJT76" s="178"/>
      <c r="GJU76" s="26"/>
      <c r="GJV76" s="26"/>
      <c r="GJW76" s="26"/>
      <c r="GJX76" s="26"/>
      <c r="GJY76" s="26"/>
      <c r="GJZ76" s="26"/>
      <c r="GKA76" s="58"/>
      <c r="GKB76" s="26"/>
      <c r="GKC76" s="26"/>
      <c r="GKD76" s="26"/>
      <c r="GKE76" s="26"/>
      <c r="GKF76" s="22"/>
      <c r="GKG76" s="167"/>
      <c r="GKH76" s="30"/>
      <c r="GKI76" s="25"/>
      <c r="GKJ76" s="178"/>
      <c r="GKK76" s="26"/>
      <c r="GKL76" s="26"/>
      <c r="GKM76" s="26"/>
      <c r="GKN76" s="26"/>
      <c r="GKO76" s="26"/>
      <c r="GKP76" s="26"/>
      <c r="GKQ76" s="58"/>
      <c r="GKR76" s="26"/>
      <c r="GKS76" s="26"/>
      <c r="GKT76" s="26"/>
      <c r="GKU76" s="26"/>
      <c r="GKV76" s="22"/>
      <c r="GKW76" s="167"/>
      <c r="GKX76" s="30"/>
      <c r="GKY76" s="25"/>
      <c r="GKZ76" s="178"/>
      <c r="GLA76" s="26"/>
      <c r="GLB76" s="26"/>
      <c r="GLC76" s="26"/>
      <c r="GLD76" s="26"/>
      <c r="GLE76" s="26"/>
      <c r="GLF76" s="26"/>
      <c r="GLG76" s="58"/>
      <c r="GLH76" s="26"/>
      <c r="GLI76" s="26"/>
      <c r="GLJ76" s="26"/>
      <c r="GLK76" s="26"/>
      <c r="GLL76" s="22"/>
      <c r="GLM76" s="167"/>
      <c r="GLN76" s="30"/>
      <c r="GLO76" s="25"/>
      <c r="GLP76" s="178"/>
      <c r="GLQ76" s="26"/>
      <c r="GLR76" s="26"/>
      <c r="GLS76" s="26"/>
      <c r="GLT76" s="26"/>
      <c r="GLU76" s="26"/>
      <c r="GLV76" s="26"/>
      <c r="GLW76" s="58"/>
      <c r="GLX76" s="26"/>
      <c r="GLY76" s="26"/>
      <c r="GLZ76" s="26"/>
      <c r="GMA76" s="26"/>
      <c r="GMB76" s="22"/>
      <c r="GMC76" s="167"/>
      <c r="GMD76" s="30"/>
      <c r="GME76" s="25"/>
      <c r="GMF76" s="178"/>
      <c r="GMG76" s="26"/>
      <c r="GMH76" s="26"/>
      <c r="GMI76" s="26"/>
      <c r="GMJ76" s="26"/>
      <c r="GMK76" s="26"/>
      <c r="GML76" s="26"/>
      <c r="GMM76" s="58"/>
      <c r="GMN76" s="26"/>
      <c r="GMO76" s="26"/>
      <c r="GMP76" s="26"/>
      <c r="GMQ76" s="26"/>
      <c r="GMR76" s="22"/>
      <c r="GMS76" s="167"/>
      <c r="GMT76" s="30"/>
      <c r="GMU76" s="25"/>
      <c r="GMV76" s="178"/>
      <c r="GMW76" s="26"/>
      <c r="GMX76" s="26"/>
      <c r="GMY76" s="26"/>
      <c r="GMZ76" s="26"/>
      <c r="GNA76" s="26"/>
      <c r="GNB76" s="26"/>
      <c r="GNC76" s="58"/>
      <c r="GND76" s="26"/>
      <c r="GNE76" s="26"/>
      <c r="GNF76" s="26"/>
      <c r="GNG76" s="26"/>
      <c r="GNH76" s="22"/>
      <c r="GNI76" s="167"/>
      <c r="GNJ76" s="30"/>
      <c r="GNK76" s="25"/>
      <c r="GNL76" s="178"/>
      <c r="GNM76" s="26"/>
      <c r="GNN76" s="26"/>
      <c r="GNO76" s="26"/>
      <c r="GNP76" s="26"/>
      <c r="GNQ76" s="26"/>
      <c r="GNR76" s="26"/>
      <c r="GNS76" s="58"/>
      <c r="GNT76" s="26"/>
      <c r="GNU76" s="26"/>
      <c r="GNV76" s="26"/>
      <c r="GNW76" s="26"/>
      <c r="GNX76" s="22"/>
      <c r="GNY76" s="167"/>
      <c r="GNZ76" s="30"/>
      <c r="GOA76" s="25"/>
      <c r="GOB76" s="178"/>
      <c r="GOC76" s="26"/>
      <c r="GOD76" s="26"/>
      <c r="GOE76" s="26"/>
      <c r="GOF76" s="26"/>
      <c r="GOG76" s="26"/>
      <c r="GOH76" s="26"/>
      <c r="GOI76" s="58"/>
      <c r="GOJ76" s="26"/>
      <c r="GOK76" s="26"/>
      <c r="GOL76" s="26"/>
      <c r="GOM76" s="26"/>
      <c r="GON76" s="22"/>
      <c r="GOO76" s="167"/>
      <c r="GOP76" s="30"/>
      <c r="GOQ76" s="25"/>
      <c r="GOR76" s="178"/>
      <c r="GOS76" s="26"/>
      <c r="GOT76" s="26"/>
      <c r="GOU76" s="26"/>
      <c r="GOV76" s="26"/>
      <c r="GOW76" s="26"/>
      <c r="GOX76" s="26"/>
      <c r="GOY76" s="58"/>
      <c r="GOZ76" s="26"/>
      <c r="GPA76" s="26"/>
      <c r="GPB76" s="26"/>
      <c r="GPC76" s="26"/>
      <c r="GPD76" s="22"/>
      <c r="GPE76" s="167"/>
      <c r="GPF76" s="30"/>
      <c r="GPG76" s="25"/>
      <c r="GPH76" s="178"/>
      <c r="GPI76" s="26"/>
      <c r="GPJ76" s="26"/>
      <c r="GPK76" s="26"/>
      <c r="GPL76" s="26"/>
      <c r="GPM76" s="26"/>
      <c r="GPN76" s="26"/>
      <c r="GPO76" s="58"/>
      <c r="GPP76" s="26"/>
      <c r="GPQ76" s="26"/>
      <c r="GPR76" s="26"/>
      <c r="GPS76" s="26"/>
      <c r="GPT76" s="22"/>
      <c r="GPU76" s="167"/>
      <c r="GPV76" s="30"/>
      <c r="GPW76" s="25"/>
      <c r="GPX76" s="178"/>
      <c r="GPY76" s="26"/>
      <c r="GPZ76" s="26"/>
      <c r="GQA76" s="26"/>
      <c r="GQB76" s="26"/>
      <c r="GQC76" s="26"/>
      <c r="GQD76" s="26"/>
      <c r="GQE76" s="58"/>
      <c r="GQF76" s="26"/>
      <c r="GQG76" s="26"/>
      <c r="GQH76" s="26"/>
      <c r="GQI76" s="26"/>
      <c r="GQJ76" s="22"/>
      <c r="GQK76" s="167"/>
      <c r="GQL76" s="30"/>
      <c r="GQM76" s="25"/>
      <c r="GQN76" s="178"/>
      <c r="GQO76" s="26"/>
      <c r="GQP76" s="26"/>
      <c r="GQQ76" s="26"/>
      <c r="GQR76" s="26"/>
      <c r="GQS76" s="26"/>
      <c r="GQT76" s="26"/>
      <c r="GQU76" s="58"/>
      <c r="GQV76" s="26"/>
      <c r="GQW76" s="26"/>
      <c r="GQX76" s="26"/>
      <c r="GQY76" s="26"/>
      <c r="GQZ76" s="22"/>
      <c r="GRA76" s="167"/>
      <c r="GRB76" s="30"/>
      <c r="GRC76" s="25"/>
      <c r="GRD76" s="178"/>
      <c r="GRE76" s="26"/>
      <c r="GRF76" s="26"/>
      <c r="GRG76" s="26"/>
      <c r="GRH76" s="26"/>
      <c r="GRI76" s="26"/>
      <c r="GRJ76" s="26"/>
      <c r="GRK76" s="58"/>
      <c r="GRL76" s="26"/>
      <c r="GRM76" s="26"/>
      <c r="GRN76" s="26"/>
      <c r="GRO76" s="26"/>
      <c r="GRP76" s="22"/>
      <c r="GRQ76" s="167"/>
      <c r="GRR76" s="30"/>
      <c r="GRS76" s="25"/>
      <c r="GRT76" s="178"/>
      <c r="GRU76" s="26"/>
      <c r="GRV76" s="26"/>
      <c r="GRW76" s="26"/>
      <c r="GRX76" s="26"/>
      <c r="GRY76" s="26"/>
      <c r="GRZ76" s="26"/>
      <c r="GSA76" s="58"/>
      <c r="GSB76" s="26"/>
      <c r="GSC76" s="26"/>
      <c r="GSD76" s="26"/>
      <c r="GSE76" s="26"/>
      <c r="GSF76" s="22"/>
      <c r="GSG76" s="167"/>
      <c r="GSH76" s="30"/>
      <c r="GSI76" s="25"/>
      <c r="GSJ76" s="178"/>
      <c r="GSK76" s="26"/>
      <c r="GSL76" s="26"/>
      <c r="GSM76" s="26"/>
      <c r="GSN76" s="26"/>
      <c r="GSO76" s="26"/>
      <c r="GSP76" s="26"/>
      <c r="GSQ76" s="58"/>
      <c r="GSR76" s="26"/>
      <c r="GSS76" s="26"/>
      <c r="GST76" s="26"/>
      <c r="GSU76" s="26"/>
      <c r="GSV76" s="22"/>
      <c r="GSW76" s="167"/>
      <c r="GSX76" s="30"/>
      <c r="GSY76" s="25"/>
      <c r="GSZ76" s="178"/>
      <c r="GTA76" s="26"/>
      <c r="GTB76" s="26"/>
      <c r="GTC76" s="26"/>
      <c r="GTD76" s="26"/>
      <c r="GTE76" s="26"/>
      <c r="GTF76" s="26"/>
      <c r="GTG76" s="58"/>
      <c r="GTH76" s="26"/>
      <c r="GTI76" s="26"/>
      <c r="GTJ76" s="26"/>
      <c r="GTK76" s="26"/>
      <c r="GTL76" s="22"/>
      <c r="GTM76" s="167"/>
      <c r="GTN76" s="30"/>
      <c r="GTO76" s="25"/>
      <c r="GTP76" s="178"/>
      <c r="GTQ76" s="26"/>
      <c r="GTR76" s="26"/>
      <c r="GTS76" s="26"/>
      <c r="GTT76" s="26"/>
      <c r="GTU76" s="26"/>
      <c r="GTV76" s="26"/>
      <c r="GTW76" s="58"/>
      <c r="GTX76" s="26"/>
      <c r="GTY76" s="26"/>
      <c r="GTZ76" s="26"/>
      <c r="GUA76" s="26"/>
      <c r="GUB76" s="22"/>
      <c r="GUC76" s="167"/>
      <c r="GUD76" s="30"/>
      <c r="GUE76" s="25"/>
      <c r="GUF76" s="178"/>
      <c r="GUG76" s="26"/>
      <c r="GUH76" s="26"/>
      <c r="GUI76" s="26"/>
      <c r="GUJ76" s="26"/>
      <c r="GUK76" s="26"/>
      <c r="GUL76" s="26"/>
      <c r="GUM76" s="58"/>
      <c r="GUN76" s="26"/>
      <c r="GUO76" s="26"/>
      <c r="GUP76" s="26"/>
      <c r="GUQ76" s="26"/>
      <c r="GUR76" s="22"/>
      <c r="GUS76" s="167"/>
      <c r="GUT76" s="30"/>
      <c r="GUU76" s="25"/>
      <c r="GUV76" s="178"/>
      <c r="GUW76" s="26"/>
      <c r="GUX76" s="26"/>
      <c r="GUY76" s="26"/>
      <c r="GUZ76" s="26"/>
      <c r="GVA76" s="26"/>
      <c r="GVB76" s="26"/>
      <c r="GVC76" s="58"/>
      <c r="GVD76" s="26"/>
      <c r="GVE76" s="26"/>
      <c r="GVF76" s="26"/>
      <c r="GVG76" s="26"/>
      <c r="GVH76" s="22"/>
      <c r="GVI76" s="167"/>
      <c r="GVJ76" s="30"/>
      <c r="GVK76" s="25"/>
      <c r="GVL76" s="178"/>
      <c r="GVM76" s="26"/>
      <c r="GVN76" s="26"/>
      <c r="GVO76" s="26"/>
      <c r="GVP76" s="26"/>
      <c r="GVQ76" s="26"/>
      <c r="GVR76" s="26"/>
      <c r="GVS76" s="58"/>
      <c r="GVT76" s="26"/>
      <c r="GVU76" s="26"/>
      <c r="GVV76" s="26"/>
      <c r="GVW76" s="26"/>
      <c r="GVX76" s="22"/>
      <c r="GVY76" s="167"/>
      <c r="GVZ76" s="30"/>
      <c r="GWA76" s="25"/>
      <c r="GWB76" s="178"/>
      <c r="GWC76" s="26"/>
      <c r="GWD76" s="26"/>
      <c r="GWE76" s="26"/>
      <c r="GWF76" s="26"/>
      <c r="GWG76" s="26"/>
      <c r="GWH76" s="26"/>
      <c r="GWI76" s="58"/>
      <c r="GWJ76" s="26"/>
      <c r="GWK76" s="26"/>
      <c r="GWL76" s="26"/>
      <c r="GWM76" s="26"/>
      <c r="GWN76" s="22"/>
      <c r="GWO76" s="167"/>
      <c r="GWP76" s="30"/>
      <c r="GWQ76" s="25"/>
      <c r="GWR76" s="178"/>
      <c r="GWS76" s="26"/>
      <c r="GWT76" s="26"/>
      <c r="GWU76" s="26"/>
      <c r="GWV76" s="26"/>
      <c r="GWW76" s="26"/>
      <c r="GWX76" s="26"/>
      <c r="GWY76" s="58"/>
      <c r="GWZ76" s="26"/>
      <c r="GXA76" s="26"/>
      <c r="GXB76" s="26"/>
      <c r="GXC76" s="26"/>
      <c r="GXD76" s="22"/>
      <c r="GXE76" s="167"/>
      <c r="GXF76" s="30"/>
      <c r="GXG76" s="25"/>
      <c r="GXH76" s="178"/>
      <c r="GXI76" s="26"/>
      <c r="GXJ76" s="26"/>
      <c r="GXK76" s="26"/>
      <c r="GXL76" s="26"/>
      <c r="GXM76" s="26"/>
      <c r="GXN76" s="26"/>
      <c r="GXO76" s="58"/>
      <c r="GXP76" s="26"/>
      <c r="GXQ76" s="26"/>
      <c r="GXR76" s="26"/>
      <c r="GXS76" s="26"/>
      <c r="GXT76" s="22"/>
      <c r="GXU76" s="167"/>
      <c r="GXV76" s="30"/>
      <c r="GXW76" s="25"/>
      <c r="GXX76" s="178"/>
      <c r="GXY76" s="26"/>
      <c r="GXZ76" s="26"/>
      <c r="GYA76" s="26"/>
      <c r="GYB76" s="26"/>
      <c r="GYC76" s="26"/>
      <c r="GYD76" s="26"/>
      <c r="GYE76" s="58"/>
      <c r="GYF76" s="26"/>
      <c r="GYG76" s="26"/>
      <c r="GYH76" s="26"/>
      <c r="GYI76" s="26"/>
      <c r="GYJ76" s="22"/>
      <c r="GYK76" s="167"/>
      <c r="GYL76" s="30"/>
      <c r="GYM76" s="25"/>
      <c r="GYN76" s="178"/>
      <c r="GYO76" s="26"/>
      <c r="GYP76" s="26"/>
      <c r="GYQ76" s="26"/>
      <c r="GYR76" s="26"/>
      <c r="GYS76" s="26"/>
      <c r="GYT76" s="26"/>
      <c r="GYU76" s="58"/>
      <c r="GYV76" s="26"/>
      <c r="GYW76" s="26"/>
      <c r="GYX76" s="26"/>
      <c r="GYY76" s="26"/>
      <c r="GYZ76" s="22"/>
      <c r="GZA76" s="167"/>
      <c r="GZB76" s="30"/>
      <c r="GZC76" s="25"/>
      <c r="GZD76" s="178"/>
      <c r="GZE76" s="26"/>
      <c r="GZF76" s="26"/>
      <c r="GZG76" s="26"/>
      <c r="GZH76" s="26"/>
      <c r="GZI76" s="26"/>
      <c r="GZJ76" s="26"/>
      <c r="GZK76" s="58"/>
      <c r="GZL76" s="26"/>
      <c r="GZM76" s="26"/>
      <c r="GZN76" s="26"/>
      <c r="GZO76" s="26"/>
      <c r="GZP76" s="22"/>
      <c r="GZQ76" s="167"/>
      <c r="GZR76" s="30"/>
      <c r="GZS76" s="25"/>
      <c r="GZT76" s="178"/>
      <c r="GZU76" s="26"/>
      <c r="GZV76" s="26"/>
      <c r="GZW76" s="26"/>
      <c r="GZX76" s="26"/>
      <c r="GZY76" s="26"/>
      <c r="GZZ76" s="26"/>
      <c r="HAA76" s="58"/>
      <c r="HAB76" s="26"/>
      <c r="HAC76" s="26"/>
      <c r="HAD76" s="26"/>
      <c r="HAE76" s="26"/>
      <c r="HAF76" s="22"/>
      <c r="HAG76" s="167"/>
      <c r="HAH76" s="30"/>
      <c r="HAI76" s="25"/>
      <c r="HAJ76" s="178"/>
      <c r="HAK76" s="26"/>
      <c r="HAL76" s="26"/>
      <c r="HAM76" s="26"/>
      <c r="HAN76" s="26"/>
      <c r="HAO76" s="26"/>
      <c r="HAP76" s="26"/>
      <c r="HAQ76" s="58"/>
      <c r="HAR76" s="26"/>
      <c r="HAS76" s="26"/>
      <c r="HAT76" s="26"/>
      <c r="HAU76" s="26"/>
      <c r="HAV76" s="22"/>
      <c r="HAW76" s="167"/>
      <c r="HAX76" s="30"/>
      <c r="HAY76" s="25"/>
      <c r="HAZ76" s="178"/>
      <c r="HBA76" s="26"/>
      <c r="HBB76" s="26"/>
      <c r="HBC76" s="26"/>
      <c r="HBD76" s="26"/>
      <c r="HBE76" s="26"/>
      <c r="HBF76" s="26"/>
      <c r="HBG76" s="58"/>
      <c r="HBH76" s="26"/>
      <c r="HBI76" s="26"/>
      <c r="HBJ76" s="26"/>
      <c r="HBK76" s="26"/>
      <c r="HBL76" s="22"/>
      <c r="HBM76" s="167"/>
      <c r="HBN76" s="30"/>
      <c r="HBO76" s="25"/>
      <c r="HBP76" s="178"/>
      <c r="HBQ76" s="26"/>
      <c r="HBR76" s="26"/>
      <c r="HBS76" s="26"/>
      <c r="HBT76" s="26"/>
      <c r="HBU76" s="26"/>
      <c r="HBV76" s="26"/>
      <c r="HBW76" s="58"/>
      <c r="HBX76" s="26"/>
      <c r="HBY76" s="26"/>
      <c r="HBZ76" s="26"/>
      <c r="HCA76" s="26"/>
      <c r="HCB76" s="22"/>
      <c r="HCC76" s="167"/>
      <c r="HCD76" s="30"/>
      <c r="HCE76" s="25"/>
      <c r="HCF76" s="178"/>
      <c r="HCG76" s="26"/>
      <c r="HCH76" s="26"/>
      <c r="HCI76" s="26"/>
      <c r="HCJ76" s="26"/>
      <c r="HCK76" s="26"/>
      <c r="HCL76" s="26"/>
      <c r="HCM76" s="58"/>
      <c r="HCN76" s="26"/>
      <c r="HCO76" s="26"/>
      <c r="HCP76" s="26"/>
      <c r="HCQ76" s="26"/>
      <c r="HCR76" s="22"/>
      <c r="HCS76" s="167"/>
      <c r="HCT76" s="30"/>
      <c r="HCU76" s="25"/>
      <c r="HCV76" s="178"/>
      <c r="HCW76" s="26"/>
      <c r="HCX76" s="26"/>
      <c r="HCY76" s="26"/>
      <c r="HCZ76" s="26"/>
      <c r="HDA76" s="26"/>
      <c r="HDB76" s="26"/>
      <c r="HDC76" s="58"/>
      <c r="HDD76" s="26"/>
      <c r="HDE76" s="26"/>
      <c r="HDF76" s="26"/>
      <c r="HDG76" s="26"/>
      <c r="HDH76" s="22"/>
      <c r="HDI76" s="167"/>
      <c r="HDJ76" s="30"/>
      <c r="HDK76" s="25"/>
      <c r="HDL76" s="178"/>
      <c r="HDM76" s="26"/>
      <c r="HDN76" s="26"/>
      <c r="HDO76" s="26"/>
      <c r="HDP76" s="26"/>
      <c r="HDQ76" s="26"/>
      <c r="HDR76" s="26"/>
      <c r="HDS76" s="58"/>
      <c r="HDT76" s="26"/>
      <c r="HDU76" s="26"/>
      <c r="HDV76" s="26"/>
      <c r="HDW76" s="26"/>
      <c r="HDX76" s="22"/>
      <c r="HDY76" s="167"/>
      <c r="HDZ76" s="30"/>
      <c r="HEA76" s="25"/>
      <c r="HEB76" s="178"/>
      <c r="HEC76" s="26"/>
      <c r="HED76" s="26"/>
      <c r="HEE76" s="26"/>
      <c r="HEF76" s="26"/>
      <c r="HEG76" s="26"/>
      <c r="HEH76" s="26"/>
      <c r="HEI76" s="58"/>
      <c r="HEJ76" s="26"/>
      <c r="HEK76" s="26"/>
      <c r="HEL76" s="26"/>
      <c r="HEM76" s="26"/>
      <c r="HEN76" s="22"/>
      <c r="HEO76" s="167"/>
      <c r="HEP76" s="30"/>
      <c r="HEQ76" s="25"/>
      <c r="HER76" s="178"/>
      <c r="HES76" s="26"/>
      <c r="HET76" s="26"/>
      <c r="HEU76" s="26"/>
      <c r="HEV76" s="26"/>
      <c r="HEW76" s="26"/>
      <c r="HEX76" s="26"/>
      <c r="HEY76" s="58"/>
      <c r="HEZ76" s="26"/>
      <c r="HFA76" s="26"/>
      <c r="HFB76" s="26"/>
      <c r="HFC76" s="26"/>
      <c r="HFD76" s="22"/>
      <c r="HFE76" s="167"/>
      <c r="HFF76" s="30"/>
      <c r="HFG76" s="25"/>
      <c r="HFH76" s="178"/>
      <c r="HFI76" s="26"/>
      <c r="HFJ76" s="26"/>
      <c r="HFK76" s="26"/>
      <c r="HFL76" s="26"/>
      <c r="HFM76" s="26"/>
      <c r="HFN76" s="26"/>
      <c r="HFO76" s="58"/>
      <c r="HFP76" s="26"/>
      <c r="HFQ76" s="26"/>
      <c r="HFR76" s="26"/>
      <c r="HFS76" s="26"/>
      <c r="HFT76" s="22"/>
      <c r="HFU76" s="167"/>
      <c r="HFV76" s="30"/>
      <c r="HFW76" s="25"/>
      <c r="HFX76" s="178"/>
      <c r="HFY76" s="26"/>
      <c r="HFZ76" s="26"/>
      <c r="HGA76" s="26"/>
      <c r="HGB76" s="26"/>
      <c r="HGC76" s="26"/>
      <c r="HGD76" s="26"/>
      <c r="HGE76" s="58"/>
      <c r="HGF76" s="26"/>
      <c r="HGG76" s="26"/>
      <c r="HGH76" s="26"/>
      <c r="HGI76" s="26"/>
      <c r="HGJ76" s="22"/>
      <c r="HGK76" s="167"/>
      <c r="HGL76" s="30"/>
      <c r="HGM76" s="25"/>
      <c r="HGN76" s="178"/>
      <c r="HGO76" s="26"/>
      <c r="HGP76" s="26"/>
      <c r="HGQ76" s="26"/>
      <c r="HGR76" s="26"/>
      <c r="HGS76" s="26"/>
      <c r="HGT76" s="26"/>
      <c r="HGU76" s="58"/>
      <c r="HGV76" s="26"/>
      <c r="HGW76" s="26"/>
      <c r="HGX76" s="26"/>
      <c r="HGY76" s="26"/>
      <c r="HGZ76" s="22"/>
      <c r="HHA76" s="167"/>
      <c r="HHB76" s="30"/>
      <c r="HHC76" s="25"/>
      <c r="HHD76" s="178"/>
      <c r="HHE76" s="26"/>
      <c r="HHF76" s="26"/>
      <c r="HHG76" s="26"/>
      <c r="HHH76" s="26"/>
      <c r="HHI76" s="26"/>
      <c r="HHJ76" s="26"/>
      <c r="HHK76" s="58"/>
      <c r="HHL76" s="26"/>
      <c r="HHM76" s="26"/>
      <c r="HHN76" s="26"/>
      <c r="HHO76" s="26"/>
      <c r="HHP76" s="22"/>
      <c r="HHQ76" s="167"/>
      <c r="HHR76" s="30"/>
      <c r="HHS76" s="25"/>
      <c r="HHT76" s="178"/>
      <c r="HHU76" s="26"/>
      <c r="HHV76" s="26"/>
      <c r="HHW76" s="26"/>
      <c r="HHX76" s="26"/>
      <c r="HHY76" s="26"/>
      <c r="HHZ76" s="26"/>
      <c r="HIA76" s="58"/>
      <c r="HIB76" s="26"/>
      <c r="HIC76" s="26"/>
      <c r="HID76" s="26"/>
      <c r="HIE76" s="26"/>
      <c r="HIF76" s="22"/>
      <c r="HIG76" s="167"/>
      <c r="HIH76" s="30"/>
      <c r="HII76" s="25"/>
      <c r="HIJ76" s="178"/>
      <c r="HIK76" s="26"/>
      <c r="HIL76" s="26"/>
      <c r="HIM76" s="26"/>
      <c r="HIN76" s="26"/>
      <c r="HIO76" s="26"/>
      <c r="HIP76" s="26"/>
      <c r="HIQ76" s="58"/>
      <c r="HIR76" s="26"/>
      <c r="HIS76" s="26"/>
      <c r="HIT76" s="26"/>
      <c r="HIU76" s="26"/>
      <c r="HIV76" s="22"/>
      <c r="HIW76" s="167"/>
      <c r="HIX76" s="30"/>
      <c r="HIY76" s="25"/>
      <c r="HIZ76" s="178"/>
      <c r="HJA76" s="26"/>
      <c r="HJB76" s="26"/>
      <c r="HJC76" s="26"/>
      <c r="HJD76" s="26"/>
      <c r="HJE76" s="26"/>
      <c r="HJF76" s="26"/>
      <c r="HJG76" s="58"/>
      <c r="HJH76" s="26"/>
      <c r="HJI76" s="26"/>
      <c r="HJJ76" s="26"/>
      <c r="HJK76" s="26"/>
      <c r="HJL76" s="22"/>
      <c r="HJM76" s="167"/>
      <c r="HJN76" s="30"/>
      <c r="HJO76" s="25"/>
      <c r="HJP76" s="178"/>
      <c r="HJQ76" s="26"/>
      <c r="HJR76" s="26"/>
      <c r="HJS76" s="26"/>
      <c r="HJT76" s="26"/>
      <c r="HJU76" s="26"/>
      <c r="HJV76" s="26"/>
      <c r="HJW76" s="58"/>
      <c r="HJX76" s="26"/>
      <c r="HJY76" s="26"/>
      <c r="HJZ76" s="26"/>
      <c r="HKA76" s="26"/>
      <c r="HKB76" s="22"/>
      <c r="HKC76" s="167"/>
      <c r="HKD76" s="30"/>
      <c r="HKE76" s="25"/>
      <c r="HKF76" s="178"/>
      <c r="HKG76" s="26"/>
      <c r="HKH76" s="26"/>
      <c r="HKI76" s="26"/>
      <c r="HKJ76" s="26"/>
      <c r="HKK76" s="26"/>
      <c r="HKL76" s="26"/>
      <c r="HKM76" s="58"/>
      <c r="HKN76" s="26"/>
      <c r="HKO76" s="26"/>
      <c r="HKP76" s="26"/>
      <c r="HKQ76" s="26"/>
      <c r="HKR76" s="22"/>
      <c r="HKS76" s="167"/>
      <c r="HKT76" s="30"/>
      <c r="HKU76" s="25"/>
      <c r="HKV76" s="178"/>
      <c r="HKW76" s="26"/>
      <c r="HKX76" s="26"/>
      <c r="HKY76" s="26"/>
      <c r="HKZ76" s="26"/>
      <c r="HLA76" s="26"/>
      <c r="HLB76" s="26"/>
      <c r="HLC76" s="58"/>
      <c r="HLD76" s="26"/>
      <c r="HLE76" s="26"/>
      <c r="HLF76" s="26"/>
      <c r="HLG76" s="26"/>
      <c r="HLH76" s="22"/>
      <c r="HLI76" s="167"/>
      <c r="HLJ76" s="30"/>
      <c r="HLK76" s="25"/>
      <c r="HLL76" s="178"/>
      <c r="HLM76" s="26"/>
      <c r="HLN76" s="26"/>
      <c r="HLO76" s="26"/>
      <c r="HLP76" s="26"/>
      <c r="HLQ76" s="26"/>
      <c r="HLR76" s="26"/>
      <c r="HLS76" s="58"/>
      <c r="HLT76" s="26"/>
      <c r="HLU76" s="26"/>
      <c r="HLV76" s="26"/>
      <c r="HLW76" s="26"/>
      <c r="HLX76" s="22"/>
      <c r="HLY76" s="167"/>
      <c r="HLZ76" s="30"/>
      <c r="HMA76" s="25"/>
      <c r="HMB76" s="178"/>
      <c r="HMC76" s="26"/>
      <c r="HMD76" s="26"/>
      <c r="HME76" s="26"/>
      <c r="HMF76" s="26"/>
      <c r="HMG76" s="26"/>
      <c r="HMH76" s="26"/>
      <c r="HMI76" s="58"/>
      <c r="HMJ76" s="26"/>
      <c r="HMK76" s="26"/>
      <c r="HML76" s="26"/>
      <c r="HMM76" s="26"/>
      <c r="HMN76" s="22"/>
      <c r="HMO76" s="167"/>
      <c r="HMP76" s="30"/>
      <c r="HMQ76" s="25"/>
      <c r="HMR76" s="178"/>
      <c r="HMS76" s="26"/>
      <c r="HMT76" s="26"/>
      <c r="HMU76" s="26"/>
      <c r="HMV76" s="26"/>
      <c r="HMW76" s="26"/>
      <c r="HMX76" s="26"/>
      <c r="HMY76" s="58"/>
      <c r="HMZ76" s="26"/>
      <c r="HNA76" s="26"/>
      <c r="HNB76" s="26"/>
      <c r="HNC76" s="26"/>
      <c r="HND76" s="22"/>
      <c r="HNE76" s="167"/>
      <c r="HNF76" s="30"/>
      <c r="HNG76" s="25"/>
      <c r="HNH76" s="178"/>
      <c r="HNI76" s="26"/>
      <c r="HNJ76" s="26"/>
      <c r="HNK76" s="26"/>
      <c r="HNL76" s="26"/>
      <c r="HNM76" s="26"/>
      <c r="HNN76" s="26"/>
      <c r="HNO76" s="58"/>
      <c r="HNP76" s="26"/>
      <c r="HNQ76" s="26"/>
      <c r="HNR76" s="26"/>
      <c r="HNS76" s="26"/>
      <c r="HNT76" s="22"/>
      <c r="HNU76" s="167"/>
      <c r="HNV76" s="30"/>
      <c r="HNW76" s="25"/>
      <c r="HNX76" s="178"/>
      <c r="HNY76" s="26"/>
      <c r="HNZ76" s="26"/>
      <c r="HOA76" s="26"/>
      <c r="HOB76" s="26"/>
      <c r="HOC76" s="26"/>
      <c r="HOD76" s="26"/>
      <c r="HOE76" s="58"/>
      <c r="HOF76" s="26"/>
      <c r="HOG76" s="26"/>
      <c r="HOH76" s="26"/>
      <c r="HOI76" s="26"/>
      <c r="HOJ76" s="22"/>
      <c r="HOK76" s="167"/>
      <c r="HOL76" s="30"/>
      <c r="HOM76" s="25"/>
      <c r="HON76" s="178"/>
      <c r="HOO76" s="26"/>
      <c r="HOP76" s="26"/>
      <c r="HOQ76" s="26"/>
      <c r="HOR76" s="26"/>
      <c r="HOS76" s="26"/>
      <c r="HOT76" s="26"/>
      <c r="HOU76" s="58"/>
      <c r="HOV76" s="26"/>
      <c r="HOW76" s="26"/>
      <c r="HOX76" s="26"/>
      <c r="HOY76" s="26"/>
      <c r="HOZ76" s="22"/>
      <c r="HPA76" s="167"/>
      <c r="HPB76" s="30"/>
      <c r="HPC76" s="25"/>
      <c r="HPD76" s="178"/>
      <c r="HPE76" s="26"/>
      <c r="HPF76" s="26"/>
      <c r="HPG76" s="26"/>
      <c r="HPH76" s="26"/>
      <c r="HPI76" s="26"/>
      <c r="HPJ76" s="26"/>
      <c r="HPK76" s="58"/>
      <c r="HPL76" s="26"/>
      <c r="HPM76" s="26"/>
      <c r="HPN76" s="26"/>
      <c r="HPO76" s="26"/>
      <c r="HPP76" s="22"/>
      <c r="HPQ76" s="167"/>
      <c r="HPR76" s="30"/>
      <c r="HPS76" s="25"/>
      <c r="HPT76" s="178"/>
      <c r="HPU76" s="26"/>
      <c r="HPV76" s="26"/>
      <c r="HPW76" s="26"/>
      <c r="HPX76" s="26"/>
      <c r="HPY76" s="26"/>
      <c r="HPZ76" s="26"/>
      <c r="HQA76" s="58"/>
      <c r="HQB76" s="26"/>
      <c r="HQC76" s="26"/>
      <c r="HQD76" s="26"/>
      <c r="HQE76" s="26"/>
      <c r="HQF76" s="22"/>
      <c r="HQG76" s="167"/>
      <c r="HQH76" s="30"/>
      <c r="HQI76" s="25"/>
      <c r="HQJ76" s="178"/>
      <c r="HQK76" s="26"/>
      <c r="HQL76" s="26"/>
      <c r="HQM76" s="26"/>
      <c r="HQN76" s="26"/>
      <c r="HQO76" s="26"/>
      <c r="HQP76" s="26"/>
      <c r="HQQ76" s="58"/>
      <c r="HQR76" s="26"/>
      <c r="HQS76" s="26"/>
      <c r="HQT76" s="26"/>
      <c r="HQU76" s="26"/>
      <c r="HQV76" s="22"/>
      <c r="HQW76" s="167"/>
      <c r="HQX76" s="30"/>
      <c r="HQY76" s="25"/>
      <c r="HQZ76" s="178"/>
      <c r="HRA76" s="26"/>
      <c r="HRB76" s="26"/>
      <c r="HRC76" s="26"/>
      <c r="HRD76" s="26"/>
      <c r="HRE76" s="26"/>
      <c r="HRF76" s="26"/>
      <c r="HRG76" s="58"/>
      <c r="HRH76" s="26"/>
      <c r="HRI76" s="26"/>
      <c r="HRJ76" s="26"/>
      <c r="HRK76" s="26"/>
      <c r="HRL76" s="22"/>
      <c r="HRM76" s="167"/>
      <c r="HRN76" s="30"/>
      <c r="HRO76" s="25"/>
      <c r="HRP76" s="178"/>
      <c r="HRQ76" s="26"/>
      <c r="HRR76" s="26"/>
      <c r="HRS76" s="26"/>
      <c r="HRT76" s="26"/>
      <c r="HRU76" s="26"/>
      <c r="HRV76" s="26"/>
      <c r="HRW76" s="58"/>
      <c r="HRX76" s="26"/>
      <c r="HRY76" s="26"/>
      <c r="HRZ76" s="26"/>
      <c r="HSA76" s="26"/>
      <c r="HSB76" s="22"/>
      <c r="HSC76" s="167"/>
      <c r="HSD76" s="30"/>
      <c r="HSE76" s="25"/>
      <c r="HSF76" s="178"/>
      <c r="HSG76" s="26"/>
      <c r="HSH76" s="26"/>
      <c r="HSI76" s="26"/>
      <c r="HSJ76" s="26"/>
      <c r="HSK76" s="26"/>
      <c r="HSL76" s="26"/>
      <c r="HSM76" s="58"/>
      <c r="HSN76" s="26"/>
      <c r="HSO76" s="26"/>
      <c r="HSP76" s="26"/>
      <c r="HSQ76" s="26"/>
      <c r="HSR76" s="22"/>
      <c r="HSS76" s="167"/>
      <c r="HST76" s="30"/>
      <c r="HSU76" s="25"/>
      <c r="HSV76" s="178"/>
      <c r="HSW76" s="26"/>
      <c r="HSX76" s="26"/>
      <c r="HSY76" s="26"/>
      <c r="HSZ76" s="26"/>
      <c r="HTA76" s="26"/>
      <c r="HTB76" s="26"/>
      <c r="HTC76" s="58"/>
      <c r="HTD76" s="26"/>
      <c r="HTE76" s="26"/>
      <c r="HTF76" s="26"/>
      <c r="HTG76" s="26"/>
      <c r="HTH76" s="22"/>
      <c r="HTI76" s="167"/>
      <c r="HTJ76" s="30"/>
      <c r="HTK76" s="25"/>
      <c r="HTL76" s="178"/>
      <c r="HTM76" s="26"/>
      <c r="HTN76" s="26"/>
      <c r="HTO76" s="26"/>
      <c r="HTP76" s="26"/>
      <c r="HTQ76" s="26"/>
      <c r="HTR76" s="26"/>
      <c r="HTS76" s="58"/>
      <c r="HTT76" s="26"/>
      <c r="HTU76" s="26"/>
      <c r="HTV76" s="26"/>
      <c r="HTW76" s="26"/>
      <c r="HTX76" s="22"/>
      <c r="HTY76" s="167"/>
      <c r="HTZ76" s="30"/>
      <c r="HUA76" s="25"/>
      <c r="HUB76" s="178"/>
      <c r="HUC76" s="26"/>
      <c r="HUD76" s="26"/>
      <c r="HUE76" s="26"/>
      <c r="HUF76" s="26"/>
      <c r="HUG76" s="26"/>
      <c r="HUH76" s="26"/>
      <c r="HUI76" s="58"/>
      <c r="HUJ76" s="26"/>
      <c r="HUK76" s="26"/>
      <c r="HUL76" s="26"/>
      <c r="HUM76" s="26"/>
      <c r="HUN76" s="22"/>
      <c r="HUO76" s="167"/>
      <c r="HUP76" s="30"/>
      <c r="HUQ76" s="25"/>
      <c r="HUR76" s="178"/>
      <c r="HUS76" s="26"/>
      <c r="HUT76" s="26"/>
      <c r="HUU76" s="26"/>
      <c r="HUV76" s="26"/>
      <c r="HUW76" s="26"/>
      <c r="HUX76" s="26"/>
      <c r="HUY76" s="58"/>
      <c r="HUZ76" s="26"/>
      <c r="HVA76" s="26"/>
      <c r="HVB76" s="26"/>
      <c r="HVC76" s="26"/>
      <c r="HVD76" s="22"/>
      <c r="HVE76" s="167"/>
      <c r="HVF76" s="30"/>
      <c r="HVG76" s="25"/>
      <c r="HVH76" s="178"/>
      <c r="HVI76" s="26"/>
      <c r="HVJ76" s="26"/>
      <c r="HVK76" s="26"/>
      <c r="HVL76" s="26"/>
      <c r="HVM76" s="26"/>
      <c r="HVN76" s="26"/>
      <c r="HVO76" s="58"/>
      <c r="HVP76" s="26"/>
      <c r="HVQ76" s="26"/>
      <c r="HVR76" s="26"/>
      <c r="HVS76" s="26"/>
      <c r="HVT76" s="22"/>
      <c r="HVU76" s="167"/>
      <c r="HVV76" s="30"/>
      <c r="HVW76" s="25"/>
      <c r="HVX76" s="178"/>
      <c r="HVY76" s="26"/>
      <c r="HVZ76" s="26"/>
      <c r="HWA76" s="26"/>
      <c r="HWB76" s="26"/>
      <c r="HWC76" s="26"/>
      <c r="HWD76" s="26"/>
      <c r="HWE76" s="58"/>
      <c r="HWF76" s="26"/>
      <c r="HWG76" s="26"/>
      <c r="HWH76" s="26"/>
      <c r="HWI76" s="26"/>
      <c r="HWJ76" s="22"/>
      <c r="HWK76" s="167"/>
      <c r="HWL76" s="30"/>
      <c r="HWM76" s="25"/>
      <c r="HWN76" s="178"/>
      <c r="HWO76" s="26"/>
      <c r="HWP76" s="26"/>
      <c r="HWQ76" s="26"/>
      <c r="HWR76" s="26"/>
      <c r="HWS76" s="26"/>
      <c r="HWT76" s="26"/>
      <c r="HWU76" s="58"/>
      <c r="HWV76" s="26"/>
      <c r="HWW76" s="26"/>
      <c r="HWX76" s="26"/>
      <c r="HWY76" s="26"/>
      <c r="HWZ76" s="22"/>
      <c r="HXA76" s="167"/>
      <c r="HXB76" s="30"/>
      <c r="HXC76" s="25"/>
      <c r="HXD76" s="178"/>
      <c r="HXE76" s="26"/>
      <c r="HXF76" s="26"/>
      <c r="HXG76" s="26"/>
      <c r="HXH76" s="26"/>
      <c r="HXI76" s="26"/>
      <c r="HXJ76" s="26"/>
      <c r="HXK76" s="58"/>
      <c r="HXL76" s="26"/>
      <c r="HXM76" s="26"/>
      <c r="HXN76" s="26"/>
      <c r="HXO76" s="26"/>
      <c r="HXP76" s="22"/>
      <c r="HXQ76" s="167"/>
      <c r="HXR76" s="30"/>
      <c r="HXS76" s="25"/>
      <c r="HXT76" s="178"/>
      <c r="HXU76" s="26"/>
      <c r="HXV76" s="26"/>
      <c r="HXW76" s="26"/>
      <c r="HXX76" s="26"/>
      <c r="HXY76" s="26"/>
      <c r="HXZ76" s="26"/>
      <c r="HYA76" s="58"/>
      <c r="HYB76" s="26"/>
      <c r="HYC76" s="26"/>
      <c r="HYD76" s="26"/>
      <c r="HYE76" s="26"/>
      <c r="HYF76" s="22"/>
      <c r="HYG76" s="167"/>
      <c r="HYH76" s="30"/>
      <c r="HYI76" s="25"/>
      <c r="HYJ76" s="178"/>
      <c r="HYK76" s="26"/>
      <c r="HYL76" s="26"/>
      <c r="HYM76" s="26"/>
      <c r="HYN76" s="26"/>
      <c r="HYO76" s="26"/>
      <c r="HYP76" s="26"/>
      <c r="HYQ76" s="58"/>
      <c r="HYR76" s="26"/>
      <c r="HYS76" s="26"/>
      <c r="HYT76" s="26"/>
      <c r="HYU76" s="26"/>
      <c r="HYV76" s="22"/>
      <c r="HYW76" s="167"/>
      <c r="HYX76" s="30"/>
      <c r="HYY76" s="25"/>
      <c r="HYZ76" s="178"/>
      <c r="HZA76" s="26"/>
      <c r="HZB76" s="26"/>
      <c r="HZC76" s="26"/>
      <c r="HZD76" s="26"/>
      <c r="HZE76" s="26"/>
      <c r="HZF76" s="26"/>
      <c r="HZG76" s="58"/>
      <c r="HZH76" s="26"/>
      <c r="HZI76" s="26"/>
      <c r="HZJ76" s="26"/>
      <c r="HZK76" s="26"/>
      <c r="HZL76" s="22"/>
      <c r="HZM76" s="167"/>
      <c r="HZN76" s="30"/>
      <c r="HZO76" s="25"/>
      <c r="HZP76" s="178"/>
      <c r="HZQ76" s="26"/>
      <c r="HZR76" s="26"/>
      <c r="HZS76" s="26"/>
      <c r="HZT76" s="26"/>
      <c r="HZU76" s="26"/>
      <c r="HZV76" s="26"/>
      <c r="HZW76" s="58"/>
      <c r="HZX76" s="26"/>
      <c r="HZY76" s="26"/>
      <c r="HZZ76" s="26"/>
      <c r="IAA76" s="26"/>
      <c r="IAB76" s="22"/>
      <c r="IAC76" s="167"/>
      <c r="IAD76" s="30"/>
      <c r="IAE76" s="25"/>
      <c r="IAF76" s="178"/>
      <c r="IAG76" s="26"/>
      <c r="IAH76" s="26"/>
      <c r="IAI76" s="26"/>
      <c r="IAJ76" s="26"/>
      <c r="IAK76" s="26"/>
      <c r="IAL76" s="26"/>
      <c r="IAM76" s="58"/>
      <c r="IAN76" s="26"/>
      <c r="IAO76" s="26"/>
      <c r="IAP76" s="26"/>
      <c r="IAQ76" s="26"/>
      <c r="IAR76" s="22"/>
      <c r="IAS76" s="167"/>
      <c r="IAT76" s="30"/>
      <c r="IAU76" s="25"/>
      <c r="IAV76" s="178"/>
      <c r="IAW76" s="26"/>
      <c r="IAX76" s="26"/>
      <c r="IAY76" s="26"/>
      <c r="IAZ76" s="26"/>
      <c r="IBA76" s="26"/>
      <c r="IBB76" s="26"/>
      <c r="IBC76" s="58"/>
      <c r="IBD76" s="26"/>
      <c r="IBE76" s="26"/>
      <c r="IBF76" s="26"/>
      <c r="IBG76" s="26"/>
      <c r="IBH76" s="22"/>
      <c r="IBI76" s="167"/>
      <c r="IBJ76" s="30"/>
      <c r="IBK76" s="25"/>
      <c r="IBL76" s="178"/>
      <c r="IBM76" s="26"/>
      <c r="IBN76" s="26"/>
      <c r="IBO76" s="26"/>
      <c r="IBP76" s="26"/>
      <c r="IBQ76" s="26"/>
      <c r="IBR76" s="26"/>
      <c r="IBS76" s="58"/>
      <c r="IBT76" s="26"/>
      <c r="IBU76" s="26"/>
      <c r="IBV76" s="26"/>
      <c r="IBW76" s="26"/>
      <c r="IBX76" s="22"/>
      <c r="IBY76" s="167"/>
      <c r="IBZ76" s="30"/>
      <c r="ICA76" s="25"/>
      <c r="ICB76" s="178"/>
      <c r="ICC76" s="26"/>
      <c r="ICD76" s="26"/>
      <c r="ICE76" s="26"/>
      <c r="ICF76" s="26"/>
      <c r="ICG76" s="26"/>
      <c r="ICH76" s="26"/>
      <c r="ICI76" s="58"/>
      <c r="ICJ76" s="26"/>
      <c r="ICK76" s="26"/>
      <c r="ICL76" s="26"/>
      <c r="ICM76" s="26"/>
      <c r="ICN76" s="22"/>
      <c r="ICO76" s="167"/>
      <c r="ICP76" s="30"/>
      <c r="ICQ76" s="25"/>
      <c r="ICR76" s="178"/>
      <c r="ICS76" s="26"/>
      <c r="ICT76" s="26"/>
      <c r="ICU76" s="26"/>
      <c r="ICV76" s="26"/>
      <c r="ICW76" s="26"/>
      <c r="ICX76" s="26"/>
      <c r="ICY76" s="58"/>
      <c r="ICZ76" s="26"/>
      <c r="IDA76" s="26"/>
      <c r="IDB76" s="26"/>
      <c r="IDC76" s="26"/>
      <c r="IDD76" s="22"/>
      <c r="IDE76" s="167"/>
      <c r="IDF76" s="30"/>
      <c r="IDG76" s="25"/>
      <c r="IDH76" s="178"/>
      <c r="IDI76" s="26"/>
      <c r="IDJ76" s="26"/>
      <c r="IDK76" s="26"/>
      <c r="IDL76" s="26"/>
      <c r="IDM76" s="26"/>
      <c r="IDN76" s="26"/>
      <c r="IDO76" s="58"/>
      <c r="IDP76" s="26"/>
      <c r="IDQ76" s="26"/>
      <c r="IDR76" s="26"/>
      <c r="IDS76" s="26"/>
      <c r="IDT76" s="22"/>
      <c r="IDU76" s="167"/>
      <c r="IDV76" s="30"/>
      <c r="IDW76" s="25"/>
      <c r="IDX76" s="178"/>
      <c r="IDY76" s="26"/>
      <c r="IDZ76" s="26"/>
      <c r="IEA76" s="26"/>
      <c r="IEB76" s="26"/>
      <c r="IEC76" s="26"/>
      <c r="IED76" s="26"/>
      <c r="IEE76" s="58"/>
      <c r="IEF76" s="26"/>
      <c r="IEG76" s="26"/>
      <c r="IEH76" s="26"/>
      <c r="IEI76" s="26"/>
      <c r="IEJ76" s="22"/>
      <c r="IEK76" s="167"/>
      <c r="IEL76" s="30"/>
      <c r="IEM76" s="25"/>
      <c r="IEN76" s="178"/>
      <c r="IEO76" s="26"/>
      <c r="IEP76" s="26"/>
      <c r="IEQ76" s="26"/>
      <c r="IER76" s="26"/>
      <c r="IES76" s="26"/>
      <c r="IET76" s="26"/>
      <c r="IEU76" s="58"/>
      <c r="IEV76" s="26"/>
      <c r="IEW76" s="26"/>
      <c r="IEX76" s="26"/>
      <c r="IEY76" s="26"/>
      <c r="IEZ76" s="22"/>
      <c r="IFA76" s="167"/>
      <c r="IFB76" s="30"/>
      <c r="IFC76" s="25"/>
      <c r="IFD76" s="178"/>
      <c r="IFE76" s="26"/>
      <c r="IFF76" s="26"/>
      <c r="IFG76" s="26"/>
      <c r="IFH76" s="26"/>
      <c r="IFI76" s="26"/>
      <c r="IFJ76" s="26"/>
      <c r="IFK76" s="58"/>
      <c r="IFL76" s="26"/>
      <c r="IFM76" s="26"/>
      <c r="IFN76" s="26"/>
      <c r="IFO76" s="26"/>
      <c r="IFP76" s="22"/>
      <c r="IFQ76" s="167"/>
      <c r="IFR76" s="30"/>
      <c r="IFS76" s="25"/>
      <c r="IFT76" s="178"/>
      <c r="IFU76" s="26"/>
      <c r="IFV76" s="26"/>
      <c r="IFW76" s="26"/>
      <c r="IFX76" s="26"/>
      <c r="IFY76" s="26"/>
      <c r="IFZ76" s="26"/>
      <c r="IGA76" s="58"/>
      <c r="IGB76" s="26"/>
      <c r="IGC76" s="26"/>
      <c r="IGD76" s="26"/>
      <c r="IGE76" s="26"/>
      <c r="IGF76" s="22"/>
      <c r="IGG76" s="167"/>
      <c r="IGH76" s="30"/>
      <c r="IGI76" s="25"/>
      <c r="IGJ76" s="178"/>
      <c r="IGK76" s="26"/>
      <c r="IGL76" s="26"/>
      <c r="IGM76" s="26"/>
      <c r="IGN76" s="26"/>
      <c r="IGO76" s="26"/>
      <c r="IGP76" s="26"/>
      <c r="IGQ76" s="58"/>
      <c r="IGR76" s="26"/>
      <c r="IGS76" s="26"/>
      <c r="IGT76" s="26"/>
      <c r="IGU76" s="26"/>
      <c r="IGV76" s="22"/>
      <c r="IGW76" s="167"/>
      <c r="IGX76" s="30"/>
      <c r="IGY76" s="25"/>
      <c r="IGZ76" s="178"/>
      <c r="IHA76" s="26"/>
      <c r="IHB76" s="26"/>
      <c r="IHC76" s="26"/>
      <c r="IHD76" s="26"/>
      <c r="IHE76" s="26"/>
      <c r="IHF76" s="26"/>
      <c r="IHG76" s="58"/>
      <c r="IHH76" s="26"/>
      <c r="IHI76" s="26"/>
      <c r="IHJ76" s="26"/>
      <c r="IHK76" s="26"/>
      <c r="IHL76" s="22"/>
      <c r="IHM76" s="167"/>
      <c r="IHN76" s="30"/>
      <c r="IHO76" s="25"/>
      <c r="IHP76" s="178"/>
      <c r="IHQ76" s="26"/>
      <c r="IHR76" s="26"/>
      <c r="IHS76" s="26"/>
      <c r="IHT76" s="26"/>
      <c r="IHU76" s="26"/>
      <c r="IHV76" s="26"/>
      <c r="IHW76" s="58"/>
      <c r="IHX76" s="26"/>
      <c r="IHY76" s="26"/>
      <c r="IHZ76" s="26"/>
      <c r="IIA76" s="26"/>
      <c r="IIB76" s="22"/>
      <c r="IIC76" s="167"/>
      <c r="IID76" s="30"/>
      <c r="IIE76" s="25"/>
      <c r="IIF76" s="178"/>
      <c r="IIG76" s="26"/>
      <c r="IIH76" s="26"/>
      <c r="III76" s="26"/>
      <c r="IIJ76" s="26"/>
      <c r="IIK76" s="26"/>
      <c r="IIL76" s="26"/>
      <c r="IIM76" s="58"/>
      <c r="IIN76" s="26"/>
      <c r="IIO76" s="26"/>
      <c r="IIP76" s="26"/>
      <c r="IIQ76" s="26"/>
      <c r="IIR76" s="22"/>
      <c r="IIS76" s="167"/>
      <c r="IIT76" s="30"/>
      <c r="IIU76" s="25"/>
      <c r="IIV76" s="178"/>
      <c r="IIW76" s="26"/>
      <c r="IIX76" s="26"/>
      <c r="IIY76" s="26"/>
      <c r="IIZ76" s="26"/>
      <c r="IJA76" s="26"/>
      <c r="IJB76" s="26"/>
      <c r="IJC76" s="58"/>
      <c r="IJD76" s="26"/>
      <c r="IJE76" s="26"/>
      <c r="IJF76" s="26"/>
      <c r="IJG76" s="26"/>
      <c r="IJH76" s="22"/>
      <c r="IJI76" s="167"/>
      <c r="IJJ76" s="30"/>
      <c r="IJK76" s="25"/>
      <c r="IJL76" s="178"/>
      <c r="IJM76" s="26"/>
      <c r="IJN76" s="26"/>
      <c r="IJO76" s="26"/>
      <c r="IJP76" s="26"/>
      <c r="IJQ76" s="26"/>
      <c r="IJR76" s="26"/>
      <c r="IJS76" s="58"/>
      <c r="IJT76" s="26"/>
      <c r="IJU76" s="26"/>
      <c r="IJV76" s="26"/>
      <c r="IJW76" s="26"/>
      <c r="IJX76" s="22"/>
      <c r="IJY76" s="167"/>
      <c r="IJZ76" s="30"/>
      <c r="IKA76" s="25"/>
      <c r="IKB76" s="178"/>
      <c r="IKC76" s="26"/>
      <c r="IKD76" s="26"/>
      <c r="IKE76" s="26"/>
      <c r="IKF76" s="26"/>
      <c r="IKG76" s="26"/>
      <c r="IKH76" s="26"/>
      <c r="IKI76" s="58"/>
      <c r="IKJ76" s="26"/>
      <c r="IKK76" s="26"/>
      <c r="IKL76" s="26"/>
      <c r="IKM76" s="26"/>
      <c r="IKN76" s="22"/>
      <c r="IKO76" s="167"/>
      <c r="IKP76" s="30"/>
      <c r="IKQ76" s="25"/>
      <c r="IKR76" s="178"/>
      <c r="IKS76" s="26"/>
      <c r="IKT76" s="26"/>
      <c r="IKU76" s="26"/>
      <c r="IKV76" s="26"/>
      <c r="IKW76" s="26"/>
      <c r="IKX76" s="26"/>
      <c r="IKY76" s="58"/>
      <c r="IKZ76" s="26"/>
      <c r="ILA76" s="26"/>
      <c r="ILB76" s="26"/>
      <c r="ILC76" s="26"/>
      <c r="ILD76" s="22"/>
      <c r="ILE76" s="167"/>
      <c r="ILF76" s="30"/>
      <c r="ILG76" s="25"/>
      <c r="ILH76" s="178"/>
      <c r="ILI76" s="26"/>
      <c r="ILJ76" s="26"/>
      <c r="ILK76" s="26"/>
      <c r="ILL76" s="26"/>
      <c r="ILM76" s="26"/>
      <c r="ILN76" s="26"/>
      <c r="ILO76" s="58"/>
      <c r="ILP76" s="26"/>
      <c r="ILQ76" s="26"/>
      <c r="ILR76" s="26"/>
      <c r="ILS76" s="26"/>
      <c r="ILT76" s="22"/>
      <c r="ILU76" s="167"/>
      <c r="ILV76" s="30"/>
      <c r="ILW76" s="25"/>
      <c r="ILX76" s="178"/>
      <c r="ILY76" s="26"/>
      <c r="ILZ76" s="26"/>
      <c r="IMA76" s="26"/>
      <c r="IMB76" s="26"/>
      <c r="IMC76" s="26"/>
      <c r="IMD76" s="26"/>
      <c r="IME76" s="58"/>
      <c r="IMF76" s="26"/>
      <c r="IMG76" s="26"/>
      <c r="IMH76" s="26"/>
      <c r="IMI76" s="26"/>
      <c r="IMJ76" s="22"/>
      <c r="IMK76" s="167"/>
      <c r="IML76" s="30"/>
      <c r="IMM76" s="25"/>
      <c r="IMN76" s="178"/>
      <c r="IMO76" s="26"/>
      <c r="IMP76" s="26"/>
      <c r="IMQ76" s="26"/>
      <c r="IMR76" s="26"/>
      <c r="IMS76" s="26"/>
      <c r="IMT76" s="26"/>
      <c r="IMU76" s="58"/>
      <c r="IMV76" s="26"/>
      <c r="IMW76" s="26"/>
      <c r="IMX76" s="26"/>
      <c r="IMY76" s="26"/>
      <c r="IMZ76" s="22"/>
      <c r="INA76" s="167"/>
      <c r="INB76" s="30"/>
      <c r="INC76" s="25"/>
      <c r="IND76" s="178"/>
      <c r="INE76" s="26"/>
      <c r="INF76" s="26"/>
      <c r="ING76" s="26"/>
      <c r="INH76" s="26"/>
      <c r="INI76" s="26"/>
      <c r="INJ76" s="26"/>
      <c r="INK76" s="58"/>
      <c r="INL76" s="26"/>
      <c r="INM76" s="26"/>
      <c r="INN76" s="26"/>
      <c r="INO76" s="26"/>
      <c r="INP76" s="22"/>
      <c r="INQ76" s="167"/>
      <c r="INR76" s="30"/>
      <c r="INS76" s="25"/>
      <c r="INT76" s="178"/>
      <c r="INU76" s="26"/>
      <c r="INV76" s="26"/>
      <c r="INW76" s="26"/>
      <c r="INX76" s="26"/>
      <c r="INY76" s="26"/>
      <c r="INZ76" s="26"/>
      <c r="IOA76" s="58"/>
      <c r="IOB76" s="26"/>
      <c r="IOC76" s="26"/>
      <c r="IOD76" s="26"/>
      <c r="IOE76" s="26"/>
      <c r="IOF76" s="22"/>
      <c r="IOG76" s="167"/>
      <c r="IOH76" s="30"/>
      <c r="IOI76" s="25"/>
      <c r="IOJ76" s="178"/>
      <c r="IOK76" s="26"/>
      <c r="IOL76" s="26"/>
      <c r="IOM76" s="26"/>
      <c r="ION76" s="26"/>
      <c r="IOO76" s="26"/>
      <c r="IOP76" s="26"/>
      <c r="IOQ76" s="58"/>
      <c r="IOR76" s="26"/>
      <c r="IOS76" s="26"/>
      <c r="IOT76" s="26"/>
      <c r="IOU76" s="26"/>
      <c r="IOV76" s="22"/>
      <c r="IOW76" s="167"/>
      <c r="IOX76" s="30"/>
      <c r="IOY76" s="25"/>
      <c r="IOZ76" s="178"/>
      <c r="IPA76" s="26"/>
      <c r="IPB76" s="26"/>
      <c r="IPC76" s="26"/>
      <c r="IPD76" s="26"/>
      <c r="IPE76" s="26"/>
      <c r="IPF76" s="26"/>
      <c r="IPG76" s="58"/>
      <c r="IPH76" s="26"/>
      <c r="IPI76" s="26"/>
      <c r="IPJ76" s="26"/>
      <c r="IPK76" s="26"/>
      <c r="IPL76" s="22"/>
      <c r="IPM76" s="167"/>
      <c r="IPN76" s="30"/>
      <c r="IPO76" s="25"/>
      <c r="IPP76" s="178"/>
      <c r="IPQ76" s="26"/>
      <c r="IPR76" s="26"/>
      <c r="IPS76" s="26"/>
      <c r="IPT76" s="26"/>
      <c r="IPU76" s="26"/>
      <c r="IPV76" s="26"/>
      <c r="IPW76" s="58"/>
      <c r="IPX76" s="26"/>
      <c r="IPY76" s="26"/>
      <c r="IPZ76" s="26"/>
      <c r="IQA76" s="26"/>
      <c r="IQB76" s="22"/>
      <c r="IQC76" s="167"/>
      <c r="IQD76" s="30"/>
      <c r="IQE76" s="25"/>
      <c r="IQF76" s="178"/>
      <c r="IQG76" s="26"/>
      <c r="IQH76" s="26"/>
      <c r="IQI76" s="26"/>
      <c r="IQJ76" s="26"/>
      <c r="IQK76" s="26"/>
      <c r="IQL76" s="26"/>
      <c r="IQM76" s="58"/>
      <c r="IQN76" s="26"/>
      <c r="IQO76" s="26"/>
      <c r="IQP76" s="26"/>
      <c r="IQQ76" s="26"/>
      <c r="IQR76" s="22"/>
      <c r="IQS76" s="167"/>
      <c r="IQT76" s="30"/>
      <c r="IQU76" s="25"/>
      <c r="IQV76" s="178"/>
      <c r="IQW76" s="26"/>
      <c r="IQX76" s="26"/>
      <c r="IQY76" s="26"/>
      <c r="IQZ76" s="26"/>
      <c r="IRA76" s="26"/>
      <c r="IRB76" s="26"/>
      <c r="IRC76" s="58"/>
      <c r="IRD76" s="26"/>
      <c r="IRE76" s="26"/>
      <c r="IRF76" s="26"/>
      <c r="IRG76" s="26"/>
      <c r="IRH76" s="22"/>
      <c r="IRI76" s="167"/>
      <c r="IRJ76" s="30"/>
      <c r="IRK76" s="25"/>
      <c r="IRL76" s="178"/>
      <c r="IRM76" s="26"/>
      <c r="IRN76" s="26"/>
      <c r="IRO76" s="26"/>
      <c r="IRP76" s="26"/>
      <c r="IRQ76" s="26"/>
      <c r="IRR76" s="26"/>
      <c r="IRS76" s="58"/>
      <c r="IRT76" s="26"/>
      <c r="IRU76" s="26"/>
      <c r="IRV76" s="26"/>
      <c r="IRW76" s="26"/>
      <c r="IRX76" s="22"/>
      <c r="IRY76" s="167"/>
      <c r="IRZ76" s="30"/>
      <c r="ISA76" s="25"/>
      <c r="ISB76" s="178"/>
      <c r="ISC76" s="26"/>
      <c r="ISD76" s="26"/>
      <c r="ISE76" s="26"/>
      <c r="ISF76" s="26"/>
      <c r="ISG76" s="26"/>
      <c r="ISH76" s="26"/>
      <c r="ISI76" s="58"/>
      <c r="ISJ76" s="26"/>
      <c r="ISK76" s="26"/>
      <c r="ISL76" s="26"/>
      <c r="ISM76" s="26"/>
      <c r="ISN76" s="22"/>
      <c r="ISO76" s="167"/>
      <c r="ISP76" s="30"/>
      <c r="ISQ76" s="25"/>
      <c r="ISR76" s="178"/>
      <c r="ISS76" s="26"/>
      <c r="IST76" s="26"/>
      <c r="ISU76" s="26"/>
      <c r="ISV76" s="26"/>
      <c r="ISW76" s="26"/>
      <c r="ISX76" s="26"/>
      <c r="ISY76" s="58"/>
      <c r="ISZ76" s="26"/>
      <c r="ITA76" s="26"/>
      <c r="ITB76" s="26"/>
      <c r="ITC76" s="26"/>
      <c r="ITD76" s="22"/>
      <c r="ITE76" s="167"/>
      <c r="ITF76" s="30"/>
      <c r="ITG76" s="25"/>
      <c r="ITH76" s="178"/>
      <c r="ITI76" s="26"/>
      <c r="ITJ76" s="26"/>
      <c r="ITK76" s="26"/>
      <c r="ITL76" s="26"/>
      <c r="ITM76" s="26"/>
      <c r="ITN76" s="26"/>
      <c r="ITO76" s="58"/>
      <c r="ITP76" s="26"/>
      <c r="ITQ76" s="26"/>
      <c r="ITR76" s="26"/>
      <c r="ITS76" s="26"/>
      <c r="ITT76" s="22"/>
      <c r="ITU76" s="167"/>
      <c r="ITV76" s="30"/>
      <c r="ITW76" s="25"/>
      <c r="ITX76" s="178"/>
      <c r="ITY76" s="26"/>
      <c r="ITZ76" s="26"/>
      <c r="IUA76" s="26"/>
      <c r="IUB76" s="26"/>
      <c r="IUC76" s="26"/>
      <c r="IUD76" s="26"/>
      <c r="IUE76" s="58"/>
      <c r="IUF76" s="26"/>
      <c r="IUG76" s="26"/>
      <c r="IUH76" s="26"/>
      <c r="IUI76" s="26"/>
      <c r="IUJ76" s="22"/>
      <c r="IUK76" s="167"/>
      <c r="IUL76" s="30"/>
      <c r="IUM76" s="25"/>
      <c r="IUN76" s="178"/>
      <c r="IUO76" s="26"/>
      <c r="IUP76" s="26"/>
      <c r="IUQ76" s="26"/>
      <c r="IUR76" s="26"/>
      <c r="IUS76" s="26"/>
      <c r="IUT76" s="26"/>
      <c r="IUU76" s="58"/>
      <c r="IUV76" s="26"/>
      <c r="IUW76" s="26"/>
      <c r="IUX76" s="26"/>
      <c r="IUY76" s="26"/>
      <c r="IUZ76" s="22"/>
      <c r="IVA76" s="167"/>
      <c r="IVB76" s="30"/>
      <c r="IVC76" s="25"/>
      <c r="IVD76" s="178"/>
      <c r="IVE76" s="26"/>
      <c r="IVF76" s="26"/>
      <c r="IVG76" s="26"/>
      <c r="IVH76" s="26"/>
      <c r="IVI76" s="26"/>
      <c r="IVJ76" s="26"/>
      <c r="IVK76" s="58"/>
      <c r="IVL76" s="26"/>
      <c r="IVM76" s="26"/>
      <c r="IVN76" s="26"/>
      <c r="IVO76" s="26"/>
      <c r="IVP76" s="22"/>
      <c r="IVQ76" s="167"/>
      <c r="IVR76" s="30"/>
      <c r="IVS76" s="25"/>
      <c r="IVT76" s="178"/>
      <c r="IVU76" s="26"/>
      <c r="IVV76" s="26"/>
      <c r="IVW76" s="26"/>
      <c r="IVX76" s="26"/>
      <c r="IVY76" s="26"/>
      <c r="IVZ76" s="26"/>
      <c r="IWA76" s="58"/>
      <c r="IWB76" s="26"/>
      <c r="IWC76" s="26"/>
      <c r="IWD76" s="26"/>
      <c r="IWE76" s="26"/>
      <c r="IWF76" s="22"/>
      <c r="IWG76" s="167"/>
      <c r="IWH76" s="30"/>
      <c r="IWI76" s="25"/>
      <c r="IWJ76" s="178"/>
      <c r="IWK76" s="26"/>
      <c r="IWL76" s="26"/>
      <c r="IWM76" s="26"/>
      <c r="IWN76" s="26"/>
      <c r="IWO76" s="26"/>
      <c r="IWP76" s="26"/>
      <c r="IWQ76" s="58"/>
      <c r="IWR76" s="26"/>
      <c r="IWS76" s="26"/>
      <c r="IWT76" s="26"/>
      <c r="IWU76" s="26"/>
      <c r="IWV76" s="22"/>
      <c r="IWW76" s="167"/>
      <c r="IWX76" s="30"/>
      <c r="IWY76" s="25"/>
      <c r="IWZ76" s="178"/>
      <c r="IXA76" s="26"/>
      <c r="IXB76" s="26"/>
      <c r="IXC76" s="26"/>
      <c r="IXD76" s="26"/>
      <c r="IXE76" s="26"/>
      <c r="IXF76" s="26"/>
      <c r="IXG76" s="58"/>
      <c r="IXH76" s="26"/>
      <c r="IXI76" s="26"/>
      <c r="IXJ76" s="26"/>
      <c r="IXK76" s="26"/>
      <c r="IXL76" s="22"/>
      <c r="IXM76" s="167"/>
      <c r="IXN76" s="30"/>
      <c r="IXO76" s="25"/>
      <c r="IXP76" s="178"/>
      <c r="IXQ76" s="26"/>
      <c r="IXR76" s="26"/>
      <c r="IXS76" s="26"/>
      <c r="IXT76" s="26"/>
      <c r="IXU76" s="26"/>
      <c r="IXV76" s="26"/>
      <c r="IXW76" s="58"/>
      <c r="IXX76" s="26"/>
      <c r="IXY76" s="26"/>
      <c r="IXZ76" s="26"/>
      <c r="IYA76" s="26"/>
      <c r="IYB76" s="22"/>
      <c r="IYC76" s="167"/>
      <c r="IYD76" s="30"/>
      <c r="IYE76" s="25"/>
      <c r="IYF76" s="178"/>
      <c r="IYG76" s="26"/>
      <c r="IYH76" s="26"/>
      <c r="IYI76" s="26"/>
      <c r="IYJ76" s="26"/>
      <c r="IYK76" s="26"/>
      <c r="IYL76" s="26"/>
      <c r="IYM76" s="58"/>
      <c r="IYN76" s="26"/>
      <c r="IYO76" s="26"/>
      <c r="IYP76" s="26"/>
      <c r="IYQ76" s="26"/>
      <c r="IYR76" s="22"/>
      <c r="IYS76" s="167"/>
      <c r="IYT76" s="30"/>
      <c r="IYU76" s="25"/>
      <c r="IYV76" s="178"/>
      <c r="IYW76" s="26"/>
      <c r="IYX76" s="26"/>
      <c r="IYY76" s="26"/>
      <c r="IYZ76" s="26"/>
      <c r="IZA76" s="26"/>
      <c r="IZB76" s="26"/>
      <c r="IZC76" s="58"/>
      <c r="IZD76" s="26"/>
      <c r="IZE76" s="26"/>
      <c r="IZF76" s="26"/>
      <c r="IZG76" s="26"/>
      <c r="IZH76" s="22"/>
      <c r="IZI76" s="167"/>
      <c r="IZJ76" s="30"/>
      <c r="IZK76" s="25"/>
      <c r="IZL76" s="178"/>
      <c r="IZM76" s="26"/>
      <c r="IZN76" s="26"/>
      <c r="IZO76" s="26"/>
      <c r="IZP76" s="26"/>
      <c r="IZQ76" s="26"/>
      <c r="IZR76" s="26"/>
      <c r="IZS76" s="58"/>
      <c r="IZT76" s="26"/>
      <c r="IZU76" s="26"/>
      <c r="IZV76" s="26"/>
      <c r="IZW76" s="26"/>
      <c r="IZX76" s="22"/>
      <c r="IZY76" s="167"/>
      <c r="IZZ76" s="30"/>
      <c r="JAA76" s="25"/>
      <c r="JAB76" s="178"/>
      <c r="JAC76" s="26"/>
      <c r="JAD76" s="26"/>
      <c r="JAE76" s="26"/>
      <c r="JAF76" s="26"/>
      <c r="JAG76" s="26"/>
      <c r="JAH76" s="26"/>
      <c r="JAI76" s="58"/>
      <c r="JAJ76" s="26"/>
      <c r="JAK76" s="26"/>
      <c r="JAL76" s="26"/>
      <c r="JAM76" s="26"/>
      <c r="JAN76" s="22"/>
      <c r="JAO76" s="167"/>
      <c r="JAP76" s="30"/>
      <c r="JAQ76" s="25"/>
      <c r="JAR76" s="178"/>
      <c r="JAS76" s="26"/>
      <c r="JAT76" s="26"/>
      <c r="JAU76" s="26"/>
      <c r="JAV76" s="26"/>
      <c r="JAW76" s="26"/>
      <c r="JAX76" s="26"/>
      <c r="JAY76" s="58"/>
      <c r="JAZ76" s="26"/>
      <c r="JBA76" s="26"/>
      <c r="JBB76" s="26"/>
      <c r="JBC76" s="26"/>
      <c r="JBD76" s="22"/>
      <c r="JBE76" s="167"/>
      <c r="JBF76" s="30"/>
      <c r="JBG76" s="25"/>
      <c r="JBH76" s="178"/>
      <c r="JBI76" s="26"/>
      <c r="JBJ76" s="26"/>
      <c r="JBK76" s="26"/>
      <c r="JBL76" s="26"/>
      <c r="JBM76" s="26"/>
      <c r="JBN76" s="26"/>
      <c r="JBO76" s="58"/>
      <c r="JBP76" s="26"/>
      <c r="JBQ76" s="26"/>
      <c r="JBR76" s="26"/>
      <c r="JBS76" s="26"/>
      <c r="JBT76" s="22"/>
      <c r="JBU76" s="167"/>
      <c r="JBV76" s="30"/>
      <c r="JBW76" s="25"/>
      <c r="JBX76" s="178"/>
      <c r="JBY76" s="26"/>
      <c r="JBZ76" s="26"/>
      <c r="JCA76" s="26"/>
      <c r="JCB76" s="26"/>
      <c r="JCC76" s="26"/>
      <c r="JCD76" s="26"/>
      <c r="JCE76" s="58"/>
      <c r="JCF76" s="26"/>
      <c r="JCG76" s="26"/>
      <c r="JCH76" s="26"/>
      <c r="JCI76" s="26"/>
      <c r="JCJ76" s="22"/>
      <c r="JCK76" s="167"/>
      <c r="JCL76" s="30"/>
      <c r="JCM76" s="25"/>
      <c r="JCN76" s="178"/>
      <c r="JCO76" s="26"/>
      <c r="JCP76" s="26"/>
      <c r="JCQ76" s="26"/>
      <c r="JCR76" s="26"/>
      <c r="JCS76" s="26"/>
      <c r="JCT76" s="26"/>
      <c r="JCU76" s="58"/>
      <c r="JCV76" s="26"/>
      <c r="JCW76" s="26"/>
      <c r="JCX76" s="26"/>
      <c r="JCY76" s="26"/>
      <c r="JCZ76" s="22"/>
      <c r="JDA76" s="167"/>
      <c r="JDB76" s="30"/>
      <c r="JDC76" s="25"/>
      <c r="JDD76" s="178"/>
      <c r="JDE76" s="26"/>
      <c r="JDF76" s="26"/>
      <c r="JDG76" s="26"/>
      <c r="JDH76" s="26"/>
      <c r="JDI76" s="26"/>
      <c r="JDJ76" s="26"/>
      <c r="JDK76" s="58"/>
      <c r="JDL76" s="26"/>
      <c r="JDM76" s="26"/>
      <c r="JDN76" s="26"/>
      <c r="JDO76" s="26"/>
      <c r="JDP76" s="22"/>
      <c r="JDQ76" s="167"/>
      <c r="JDR76" s="30"/>
      <c r="JDS76" s="25"/>
      <c r="JDT76" s="178"/>
      <c r="JDU76" s="26"/>
      <c r="JDV76" s="26"/>
      <c r="JDW76" s="26"/>
      <c r="JDX76" s="26"/>
      <c r="JDY76" s="26"/>
      <c r="JDZ76" s="26"/>
      <c r="JEA76" s="58"/>
      <c r="JEB76" s="26"/>
      <c r="JEC76" s="26"/>
      <c r="JED76" s="26"/>
      <c r="JEE76" s="26"/>
      <c r="JEF76" s="22"/>
      <c r="JEG76" s="167"/>
      <c r="JEH76" s="30"/>
      <c r="JEI76" s="25"/>
      <c r="JEJ76" s="178"/>
      <c r="JEK76" s="26"/>
      <c r="JEL76" s="26"/>
      <c r="JEM76" s="26"/>
      <c r="JEN76" s="26"/>
      <c r="JEO76" s="26"/>
      <c r="JEP76" s="26"/>
      <c r="JEQ76" s="58"/>
      <c r="JER76" s="26"/>
      <c r="JES76" s="26"/>
      <c r="JET76" s="26"/>
      <c r="JEU76" s="26"/>
      <c r="JEV76" s="22"/>
      <c r="JEW76" s="167"/>
      <c r="JEX76" s="30"/>
      <c r="JEY76" s="25"/>
      <c r="JEZ76" s="178"/>
      <c r="JFA76" s="26"/>
      <c r="JFB76" s="26"/>
      <c r="JFC76" s="26"/>
      <c r="JFD76" s="26"/>
      <c r="JFE76" s="26"/>
      <c r="JFF76" s="26"/>
      <c r="JFG76" s="58"/>
      <c r="JFH76" s="26"/>
      <c r="JFI76" s="26"/>
      <c r="JFJ76" s="26"/>
      <c r="JFK76" s="26"/>
      <c r="JFL76" s="22"/>
      <c r="JFM76" s="167"/>
      <c r="JFN76" s="30"/>
      <c r="JFO76" s="25"/>
      <c r="JFP76" s="178"/>
      <c r="JFQ76" s="26"/>
      <c r="JFR76" s="26"/>
      <c r="JFS76" s="26"/>
      <c r="JFT76" s="26"/>
      <c r="JFU76" s="26"/>
      <c r="JFV76" s="26"/>
      <c r="JFW76" s="58"/>
      <c r="JFX76" s="26"/>
      <c r="JFY76" s="26"/>
      <c r="JFZ76" s="26"/>
      <c r="JGA76" s="26"/>
      <c r="JGB76" s="22"/>
      <c r="JGC76" s="167"/>
      <c r="JGD76" s="30"/>
      <c r="JGE76" s="25"/>
      <c r="JGF76" s="178"/>
      <c r="JGG76" s="26"/>
      <c r="JGH76" s="26"/>
      <c r="JGI76" s="26"/>
      <c r="JGJ76" s="26"/>
      <c r="JGK76" s="26"/>
      <c r="JGL76" s="26"/>
      <c r="JGM76" s="58"/>
      <c r="JGN76" s="26"/>
      <c r="JGO76" s="26"/>
      <c r="JGP76" s="26"/>
      <c r="JGQ76" s="26"/>
      <c r="JGR76" s="22"/>
      <c r="JGS76" s="167"/>
      <c r="JGT76" s="30"/>
      <c r="JGU76" s="25"/>
      <c r="JGV76" s="178"/>
      <c r="JGW76" s="26"/>
      <c r="JGX76" s="26"/>
      <c r="JGY76" s="26"/>
      <c r="JGZ76" s="26"/>
      <c r="JHA76" s="26"/>
      <c r="JHB76" s="26"/>
      <c r="JHC76" s="58"/>
      <c r="JHD76" s="26"/>
      <c r="JHE76" s="26"/>
      <c r="JHF76" s="26"/>
      <c r="JHG76" s="26"/>
      <c r="JHH76" s="22"/>
      <c r="JHI76" s="167"/>
      <c r="JHJ76" s="30"/>
      <c r="JHK76" s="25"/>
      <c r="JHL76" s="178"/>
      <c r="JHM76" s="26"/>
      <c r="JHN76" s="26"/>
      <c r="JHO76" s="26"/>
      <c r="JHP76" s="26"/>
      <c r="JHQ76" s="26"/>
      <c r="JHR76" s="26"/>
      <c r="JHS76" s="58"/>
      <c r="JHT76" s="26"/>
      <c r="JHU76" s="26"/>
      <c r="JHV76" s="26"/>
      <c r="JHW76" s="26"/>
      <c r="JHX76" s="22"/>
      <c r="JHY76" s="167"/>
      <c r="JHZ76" s="30"/>
      <c r="JIA76" s="25"/>
      <c r="JIB76" s="178"/>
      <c r="JIC76" s="26"/>
      <c r="JID76" s="26"/>
      <c r="JIE76" s="26"/>
      <c r="JIF76" s="26"/>
      <c r="JIG76" s="26"/>
      <c r="JIH76" s="26"/>
      <c r="JII76" s="58"/>
      <c r="JIJ76" s="26"/>
      <c r="JIK76" s="26"/>
      <c r="JIL76" s="26"/>
      <c r="JIM76" s="26"/>
      <c r="JIN76" s="22"/>
      <c r="JIO76" s="167"/>
      <c r="JIP76" s="30"/>
      <c r="JIQ76" s="25"/>
      <c r="JIR76" s="178"/>
      <c r="JIS76" s="26"/>
      <c r="JIT76" s="26"/>
      <c r="JIU76" s="26"/>
      <c r="JIV76" s="26"/>
      <c r="JIW76" s="26"/>
      <c r="JIX76" s="26"/>
      <c r="JIY76" s="58"/>
      <c r="JIZ76" s="26"/>
      <c r="JJA76" s="26"/>
      <c r="JJB76" s="26"/>
      <c r="JJC76" s="26"/>
      <c r="JJD76" s="22"/>
      <c r="JJE76" s="167"/>
      <c r="JJF76" s="30"/>
      <c r="JJG76" s="25"/>
      <c r="JJH76" s="178"/>
      <c r="JJI76" s="26"/>
      <c r="JJJ76" s="26"/>
      <c r="JJK76" s="26"/>
      <c r="JJL76" s="26"/>
      <c r="JJM76" s="26"/>
      <c r="JJN76" s="26"/>
      <c r="JJO76" s="58"/>
      <c r="JJP76" s="26"/>
      <c r="JJQ76" s="26"/>
      <c r="JJR76" s="26"/>
      <c r="JJS76" s="26"/>
      <c r="JJT76" s="22"/>
      <c r="JJU76" s="167"/>
      <c r="JJV76" s="30"/>
      <c r="JJW76" s="25"/>
      <c r="JJX76" s="178"/>
      <c r="JJY76" s="26"/>
      <c r="JJZ76" s="26"/>
      <c r="JKA76" s="26"/>
      <c r="JKB76" s="26"/>
      <c r="JKC76" s="26"/>
      <c r="JKD76" s="26"/>
      <c r="JKE76" s="58"/>
      <c r="JKF76" s="26"/>
      <c r="JKG76" s="26"/>
      <c r="JKH76" s="26"/>
      <c r="JKI76" s="26"/>
      <c r="JKJ76" s="22"/>
      <c r="JKK76" s="167"/>
      <c r="JKL76" s="30"/>
      <c r="JKM76" s="25"/>
      <c r="JKN76" s="178"/>
      <c r="JKO76" s="26"/>
      <c r="JKP76" s="26"/>
      <c r="JKQ76" s="26"/>
      <c r="JKR76" s="26"/>
      <c r="JKS76" s="26"/>
      <c r="JKT76" s="26"/>
      <c r="JKU76" s="58"/>
      <c r="JKV76" s="26"/>
      <c r="JKW76" s="26"/>
      <c r="JKX76" s="26"/>
      <c r="JKY76" s="26"/>
      <c r="JKZ76" s="22"/>
      <c r="JLA76" s="167"/>
      <c r="JLB76" s="30"/>
      <c r="JLC76" s="25"/>
      <c r="JLD76" s="178"/>
      <c r="JLE76" s="26"/>
      <c r="JLF76" s="26"/>
      <c r="JLG76" s="26"/>
      <c r="JLH76" s="26"/>
      <c r="JLI76" s="26"/>
      <c r="JLJ76" s="26"/>
      <c r="JLK76" s="58"/>
      <c r="JLL76" s="26"/>
      <c r="JLM76" s="26"/>
      <c r="JLN76" s="26"/>
      <c r="JLO76" s="26"/>
      <c r="JLP76" s="22"/>
      <c r="JLQ76" s="167"/>
      <c r="JLR76" s="30"/>
      <c r="JLS76" s="25"/>
      <c r="JLT76" s="178"/>
      <c r="JLU76" s="26"/>
      <c r="JLV76" s="26"/>
      <c r="JLW76" s="26"/>
      <c r="JLX76" s="26"/>
      <c r="JLY76" s="26"/>
      <c r="JLZ76" s="26"/>
      <c r="JMA76" s="58"/>
      <c r="JMB76" s="26"/>
      <c r="JMC76" s="26"/>
      <c r="JMD76" s="26"/>
      <c r="JME76" s="26"/>
      <c r="JMF76" s="22"/>
      <c r="JMG76" s="167"/>
      <c r="JMH76" s="30"/>
      <c r="JMI76" s="25"/>
      <c r="JMJ76" s="178"/>
      <c r="JMK76" s="26"/>
      <c r="JML76" s="26"/>
      <c r="JMM76" s="26"/>
      <c r="JMN76" s="26"/>
      <c r="JMO76" s="26"/>
      <c r="JMP76" s="26"/>
      <c r="JMQ76" s="58"/>
      <c r="JMR76" s="26"/>
      <c r="JMS76" s="26"/>
      <c r="JMT76" s="26"/>
      <c r="JMU76" s="26"/>
      <c r="JMV76" s="22"/>
      <c r="JMW76" s="167"/>
      <c r="JMX76" s="30"/>
      <c r="JMY76" s="25"/>
      <c r="JMZ76" s="178"/>
      <c r="JNA76" s="26"/>
      <c r="JNB76" s="26"/>
      <c r="JNC76" s="26"/>
      <c r="JND76" s="26"/>
      <c r="JNE76" s="26"/>
      <c r="JNF76" s="26"/>
      <c r="JNG76" s="58"/>
      <c r="JNH76" s="26"/>
      <c r="JNI76" s="26"/>
      <c r="JNJ76" s="26"/>
      <c r="JNK76" s="26"/>
      <c r="JNL76" s="22"/>
      <c r="JNM76" s="167"/>
      <c r="JNN76" s="30"/>
      <c r="JNO76" s="25"/>
      <c r="JNP76" s="178"/>
      <c r="JNQ76" s="26"/>
      <c r="JNR76" s="26"/>
      <c r="JNS76" s="26"/>
      <c r="JNT76" s="26"/>
      <c r="JNU76" s="26"/>
      <c r="JNV76" s="26"/>
      <c r="JNW76" s="58"/>
      <c r="JNX76" s="26"/>
      <c r="JNY76" s="26"/>
      <c r="JNZ76" s="26"/>
      <c r="JOA76" s="26"/>
      <c r="JOB76" s="22"/>
      <c r="JOC76" s="167"/>
      <c r="JOD76" s="30"/>
      <c r="JOE76" s="25"/>
      <c r="JOF76" s="178"/>
      <c r="JOG76" s="26"/>
      <c r="JOH76" s="26"/>
      <c r="JOI76" s="26"/>
      <c r="JOJ76" s="26"/>
      <c r="JOK76" s="26"/>
      <c r="JOL76" s="26"/>
      <c r="JOM76" s="58"/>
      <c r="JON76" s="26"/>
      <c r="JOO76" s="26"/>
      <c r="JOP76" s="26"/>
      <c r="JOQ76" s="26"/>
      <c r="JOR76" s="22"/>
      <c r="JOS76" s="167"/>
      <c r="JOT76" s="30"/>
      <c r="JOU76" s="25"/>
      <c r="JOV76" s="178"/>
      <c r="JOW76" s="26"/>
      <c r="JOX76" s="26"/>
      <c r="JOY76" s="26"/>
      <c r="JOZ76" s="26"/>
      <c r="JPA76" s="26"/>
      <c r="JPB76" s="26"/>
      <c r="JPC76" s="58"/>
      <c r="JPD76" s="26"/>
      <c r="JPE76" s="26"/>
      <c r="JPF76" s="26"/>
      <c r="JPG76" s="26"/>
      <c r="JPH76" s="22"/>
      <c r="JPI76" s="167"/>
      <c r="JPJ76" s="30"/>
      <c r="JPK76" s="25"/>
      <c r="JPL76" s="178"/>
      <c r="JPM76" s="26"/>
      <c r="JPN76" s="26"/>
      <c r="JPO76" s="26"/>
      <c r="JPP76" s="26"/>
      <c r="JPQ76" s="26"/>
      <c r="JPR76" s="26"/>
      <c r="JPS76" s="58"/>
      <c r="JPT76" s="26"/>
      <c r="JPU76" s="26"/>
      <c r="JPV76" s="26"/>
      <c r="JPW76" s="26"/>
      <c r="JPX76" s="22"/>
      <c r="JPY76" s="167"/>
      <c r="JPZ76" s="30"/>
      <c r="JQA76" s="25"/>
      <c r="JQB76" s="178"/>
      <c r="JQC76" s="26"/>
      <c r="JQD76" s="26"/>
      <c r="JQE76" s="26"/>
      <c r="JQF76" s="26"/>
      <c r="JQG76" s="26"/>
      <c r="JQH76" s="26"/>
      <c r="JQI76" s="58"/>
      <c r="JQJ76" s="26"/>
      <c r="JQK76" s="26"/>
      <c r="JQL76" s="26"/>
      <c r="JQM76" s="26"/>
      <c r="JQN76" s="22"/>
      <c r="JQO76" s="167"/>
      <c r="JQP76" s="30"/>
      <c r="JQQ76" s="25"/>
      <c r="JQR76" s="178"/>
      <c r="JQS76" s="26"/>
      <c r="JQT76" s="26"/>
      <c r="JQU76" s="26"/>
      <c r="JQV76" s="26"/>
      <c r="JQW76" s="26"/>
      <c r="JQX76" s="26"/>
      <c r="JQY76" s="58"/>
      <c r="JQZ76" s="26"/>
      <c r="JRA76" s="26"/>
      <c r="JRB76" s="26"/>
      <c r="JRC76" s="26"/>
      <c r="JRD76" s="22"/>
      <c r="JRE76" s="167"/>
      <c r="JRF76" s="30"/>
      <c r="JRG76" s="25"/>
      <c r="JRH76" s="178"/>
      <c r="JRI76" s="26"/>
      <c r="JRJ76" s="26"/>
      <c r="JRK76" s="26"/>
      <c r="JRL76" s="26"/>
      <c r="JRM76" s="26"/>
      <c r="JRN76" s="26"/>
      <c r="JRO76" s="58"/>
      <c r="JRP76" s="26"/>
      <c r="JRQ76" s="26"/>
      <c r="JRR76" s="26"/>
      <c r="JRS76" s="26"/>
      <c r="JRT76" s="22"/>
      <c r="JRU76" s="167"/>
      <c r="JRV76" s="30"/>
      <c r="JRW76" s="25"/>
      <c r="JRX76" s="178"/>
      <c r="JRY76" s="26"/>
      <c r="JRZ76" s="26"/>
      <c r="JSA76" s="26"/>
      <c r="JSB76" s="26"/>
      <c r="JSC76" s="26"/>
      <c r="JSD76" s="26"/>
      <c r="JSE76" s="58"/>
      <c r="JSF76" s="26"/>
      <c r="JSG76" s="26"/>
      <c r="JSH76" s="26"/>
      <c r="JSI76" s="26"/>
      <c r="JSJ76" s="22"/>
      <c r="JSK76" s="167"/>
      <c r="JSL76" s="30"/>
      <c r="JSM76" s="25"/>
      <c r="JSN76" s="178"/>
      <c r="JSO76" s="26"/>
      <c r="JSP76" s="26"/>
      <c r="JSQ76" s="26"/>
      <c r="JSR76" s="26"/>
      <c r="JSS76" s="26"/>
      <c r="JST76" s="26"/>
      <c r="JSU76" s="58"/>
      <c r="JSV76" s="26"/>
      <c r="JSW76" s="26"/>
      <c r="JSX76" s="26"/>
      <c r="JSY76" s="26"/>
      <c r="JSZ76" s="22"/>
      <c r="JTA76" s="167"/>
      <c r="JTB76" s="30"/>
      <c r="JTC76" s="25"/>
      <c r="JTD76" s="178"/>
      <c r="JTE76" s="26"/>
      <c r="JTF76" s="26"/>
      <c r="JTG76" s="26"/>
      <c r="JTH76" s="26"/>
      <c r="JTI76" s="26"/>
      <c r="JTJ76" s="26"/>
      <c r="JTK76" s="58"/>
      <c r="JTL76" s="26"/>
      <c r="JTM76" s="26"/>
      <c r="JTN76" s="26"/>
      <c r="JTO76" s="26"/>
      <c r="JTP76" s="22"/>
      <c r="JTQ76" s="167"/>
      <c r="JTR76" s="30"/>
      <c r="JTS76" s="25"/>
      <c r="JTT76" s="178"/>
      <c r="JTU76" s="26"/>
      <c r="JTV76" s="26"/>
      <c r="JTW76" s="26"/>
      <c r="JTX76" s="26"/>
      <c r="JTY76" s="26"/>
      <c r="JTZ76" s="26"/>
      <c r="JUA76" s="58"/>
      <c r="JUB76" s="26"/>
      <c r="JUC76" s="26"/>
      <c r="JUD76" s="26"/>
      <c r="JUE76" s="26"/>
      <c r="JUF76" s="22"/>
      <c r="JUG76" s="167"/>
      <c r="JUH76" s="30"/>
      <c r="JUI76" s="25"/>
      <c r="JUJ76" s="178"/>
      <c r="JUK76" s="26"/>
      <c r="JUL76" s="26"/>
      <c r="JUM76" s="26"/>
      <c r="JUN76" s="26"/>
      <c r="JUO76" s="26"/>
      <c r="JUP76" s="26"/>
      <c r="JUQ76" s="58"/>
      <c r="JUR76" s="26"/>
      <c r="JUS76" s="26"/>
      <c r="JUT76" s="26"/>
      <c r="JUU76" s="26"/>
      <c r="JUV76" s="22"/>
      <c r="JUW76" s="167"/>
      <c r="JUX76" s="30"/>
      <c r="JUY76" s="25"/>
      <c r="JUZ76" s="178"/>
      <c r="JVA76" s="26"/>
      <c r="JVB76" s="26"/>
      <c r="JVC76" s="26"/>
      <c r="JVD76" s="26"/>
      <c r="JVE76" s="26"/>
      <c r="JVF76" s="26"/>
      <c r="JVG76" s="58"/>
      <c r="JVH76" s="26"/>
      <c r="JVI76" s="26"/>
      <c r="JVJ76" s="26"/>
      <c r="JVK76" s="26"/>
      <c r="JVL76" s="22"/>
      <c r="JVM76" s="167"/>
      <c r="JVN76" s="30"/>
      <c r="JVO76" s="25"/>
      <c r="JVP76" s="178"/>
      <c r="JVQ76" s="26"/>
      <c r="JVR76" s="26"/>
      <c r="JVS76" s="26"/>
      <c r="JVT76" s="26"/>
      <c r="JVU76" s="26"/>
      <c r="JVV76" s="26"/>
      <c r="JVW76" s="58"/>
      <c r="JVX76" s="26"/>
      <c r="JVY76" s="26"/>
      <c r="JVZ76" s="26"/>
      <c r="JWA76" s="26"/>
      <c r="JWB76" s="22"/>
      <c r="JWC76" s="167"/>
      <c r="JWD76" s="30"/>
      <c r="JWE76" s="25"/>
      <c r="JWF76" s="178"/>
      <c r="JWG76" s="26"/>
      <c r="JWH76" s="26"/>
      <c r="JWI76" s="26"/>
      <c r="JWJ76" s="26"/>
      <c r="JWK76" s="26"/>
      <c r="JWL76" s="26"/>
      <c r="JWM76" s="58"/>
      <c r="JWN76" s="26"/>
      <c r="JWO76" s="26"/>
      <c r="JWP76" s="26"/>
      <c r="JWQ76" s="26"/>
      <c r="JWR76" s="22"/>
      <c r="JWS76" s="167"/>
      <c r="JWT76" s="30"/>
      <c r="JWU76" s="25"/>
      <c r="JWV76" s="178"/>
      <c r="JWW76" s="26"/>
      <c r="JWX76" s="26"/>
      <c r="JWY76" s="26"/>
      <c r="JWZ76" s="26"/>
      <c r="JXA76" s="26"/>
      <c r="JXB76" s="26"/>
      <c r="JXC76" s="58"/>
      <c r="JXD76" s="26"/>
      <c r="JXE76" s="26"/>
      <c r="JXF76" s="26"/>
      <c r="JXG76" s="26"/>
      <c r="JXH76" s="22"/>
      <c r="JXI76" s="167"/>
      <c r="JXJ76" s="30"/>
      <c r="JXK76" s="25"/>
      <c r="JXL76" s="178"/>
      <c r="JXM76" s="26"/>
      <c r="JXN76" s="26"/>
      <c r="JXO76" s="26"/>
      <c r="JXP76" s="26"/>
      <c r="JXQ76" s="26"/>
      <c r="JXR76" s="26"/>
      <c r="JXS76" s="58"/>
      <c r="JXT76" s="26"/>
      <c r="JXU76" s="26"/>
      <c r="JXV76" s="26"/>
      <c r="JXW76" s="26"/>
      <c r="JXX76" s="22"/>
      <c r="JXY76" s="167"/>
      <c r="JXZ76" s="30"/>
      <c r="JYA76" s="25"/>
      <c r="JYB76" s="178"/>
      <c r="JYC76" s="26"/>
      <c r="JYD76" s="26"/>
      <c r="JYE76" s="26"/>
      <c r="JYF76" s="26"/>
      <c r="JYG76" s="26"/>
      <c r="JYH76" s="26"/>
      <c r="JYI76" s="58"/>
      <c r="JYJ76" s="26"/>
      <c r="JYK76" s="26"/>
      <c r="JYL76" s="26"/>
      <c r="JYM76" s="26"/>
      <c r="JYN76" s="22"/>
      <c r="JYO76" s="167"/>
      <c r="JYP76" s="30"/>
      <c r="JYQ76" s="25"/>
      <c r="JYR76" s="178"/>
      <c r="JYS76" s="26"/>
      <c r="JYT76" s="26"/>
      <c r="JYU76" s="26"/>
      <c r="JYV76" s="26"/>
      <c r="JYW76" s="26"/>
      <c r="JYX76" s="26"/>
      <c r="JYY76" s="58"/>
      <c r="JYZ76" s="26"/>
      <c r="JZA76" s="26"/>
      <c r="JZB76" s="26"/>
      <c r="JZC76" s="26"/>
      <c r="JZD76" s="22"/>
      <c r="JZE76" s="167"/>
      <c r="JZF76" s="30"/>
      <c r="JZG76" s="25"/>
      <c r="JZH76" s="178"/>
      <c r="JZI76" s="26"/>
      <c r="JZJ76" s="26"/>
      <c r="JZK76" s="26"/>
      <c r="JZL76" s="26"/>
      <c r="JZM76" s="26"/>
      <c r="JZN76" s="26"/>
      <c r="JZO76" s="58"/>
      <c r="JZP76" s="26"/>
      <c r="JZQ76" s="26"/>
      <c r="JZR76" s="26"/>
      <c r="JZS76" s="26"/>
      <c r="JZT76" s="22"/>
      <c r="JZU76" s="167"/>
      <c r="JZV76" s="30"/>
      <c r="JZW76" s="25"/>
      <c r="JZX76" s="178"/>
      <c r="JZY76" s="26"/>
      <c r="JZZ76" s="26"/>
      <c r="KAA76" s="26"/>
      <c r="KAB76" s="26"/>
      <c r="KAC76" s="26"/>
      <c r="KAD76" s="26"/>
      <c r="KAE76" s="58"/>
      <c r="KAF76" s="26"/>
      <c r="KAG76" s="26"/>
      <c r="KAH76" s="26"/>
      <c r="KAI76" s="26"/>
      <c r="KAJ76" s="22"/>
      <c r="KAK76" s="167"/>
      <c r="KAL76" s="30"/>
      <c r="KAM76" s="25"/>
      <c r="KAN76" s="178"/>
      <c r="KAO76" s="26"/>
      <c r="KAP76" s="26"/>
      <c r="KAQ76" s="26"/>
      <c r="KAR76" s="26"/>
      <c r="KAS76" s="26"/>
      <c r="KAT76" s="26"/>
      <c r="KAU76" s="58"/>
      <c r="KAV76" s="26"/>
      <c r="KAW76" s="26"/>
      <c r="KAX76" s="26"/>
      <c r="KAY76" s="26"/>
      <c r="KAZ76" s="22"/>
      <c r="KBA76" s="167"/>
      <c r="KBB76" s="30"/>
      <c r="KBC76" s="25"/>
      <c r="KBD76" s="178"/>
      <c r="KBE76" s="26"/>
      <c r="KBF76" s="26"/>
      <c r="KBG76" s="26"/>
      <c r="KBH76" s="26"/>
      <c r="KBI76" s="26"/>
      <c r="KBJ76" s="26"/>
      <c r="KBK76" s="58"/>
      <c r="KBL76" s="26"/>
      <c r="KBM76" s="26"/>
      <c r="KBN76" s="26"/>
      <c r="KBO76" s="26"/>
      <c r="KBP76" s="22"/>
      <c r="KBQ76" s="167"/>
      <c r="KBR76" s="30"/>
      <c r="KBS76" s="25"/>
      <c r="KBT76" s="178"/>
      <c r="KBU76" s="26"/>
      <c r="KBV76" s="26"/>
      <c r="KBW76" s="26"/>
      <c r="KBX76" s="26"/>
      <c r="KBY76" s="26"/>
      <c r="KBZ76" s="26"/>
      <c r="KCA76" s="58"/>
      <c r="KCB76" s="26"/>
      <c r="KCC76" s="26"/>
      <c r="KCD76" s="26"/>
      <c r="KCE76" s="26"/>
      <c r="KCF76" s="22"/>
      <c r="KCG76" s="167"/>
      <c r="KCH76" s="30"/>
      <c r="KCI76" s="25"/>
      <c r="KCJ76" s="178"/>
      <c r="KCK76" s="26"/>
      <c r="KCL76" s="26"/>
      <c r="KCM76" s="26"/>
      <c r="KCN76" s="26"/>
      <c r="KCO76" s="26"/>
      <c r="KCP76" s="26"/>
      <c r="KCQ76" s="58"/>
      <c r="KCR76" s="26"/>
      <c r="KCS76" s="26"/>
      <c r="KCT76" s="26"/>
      <c r="KCU76" s="26"/>
      <c r="KCV76" s="22"/>
      <c r="KCW76" s="167"/>
      <c r="KCX76" s="30"/>
      <c r="KCY76" s="25"/>
      <c r="KCZ76" s="178"/>
      <c r="KDA76" s="26"/>
      <c r="KDB76" s="26"/>
      <c r="KDC76" s="26"/>
      <c r="KDD76" s="26"/>
      <c r="KDE76" s="26"/>
      <c r="KDF76" s="26"/>
      <c r="KDG76" s="58"/>
      <c r="KDH76" s="26"/>
      <c r="KDI76" s="26"/>
      <c r="KDJ76" s="26"/>
      <c r="KDK76" s="26"/>
      <c r="KDL76" s="22"/>
      <c r="KDM76" s="167"/>
      <c r="KDN76" s="30"/>
      <c r="KDO76" s="25"/>
      <c r="KDP76" s="178"/>
      <c r="KDQ76" s="26"/>
      <c r="KDR76" s="26"/>
      <c r="KDS76" s="26"/>
      <c r="KDT76" s="26"/>
      <c r="KDU76" s="26"/>
      <c r="KDV76" s="26"/>
      <c r="KDW76" s="58"/>
      <c r="KDX76" s="26"/>
      <c r="KDY76" s="26"/>
      <c r="KDZ76" s="26"/>
      <c r="KEA76" s="26"/>
      <c r="KEB76" s="22"/>
      <c r="KEC76" s="167"/>
      <c r="KED76" s="30"/>
      <c r="KEE76" s="25"/>
      <c r="KEF76" s="178"/>
      <c r="KEG76" s="26"/>
      <c r="KEH76" s="26"/>
      <c r="KEI76" s="26"/>
      <c r="KEJ76" s="26"/>
      <c r="KEK76" s="26"/>
      <c r="KEL76" s="26"/>
      <c r="KEM76" s="58"/>
      <c r="KEN76" s="26"/>
      <c r="KEO76" s="26"/>
      <c r="KEP76" s="26"/>
      <c r="KEQ76" s="26"/>
      <c r="KER76" s="22"/>
      <c r="KES76" s="167"/>
      <c r="KET76" s="30"/>
      <c r="KEU76" s="25"/>
      <c r="KEV76" s="178"/>
      <c r="KEW76" s="26"/>
      <c r="KEX76" s="26"/>
      <c r="KEY76" s="26"/>
      <c r="KEZ76" s="26"/>
      <c r="KFA76" s="26"/>
      <c r="KFB76" s="26"/>
      <c r="KFC76" s="58"/>
      <c r="KFD76" s="26"/>
      <c r="KFE76" s="26"/>
      <c r="KFF76" s="26"/>
      <c r="KFG76" s="26"/>
      <c r="KFH76" s="22"/>
      <c r="KFI76" s="167"/>
      <c r="KFJ76" s="30"/>
      <c r="KFK76" s="25"/>
      <c r="KFL76" s="178"/>
      <c r="KFM76" s="26"/>
      <c r="KFN76" s="26"/>
      <c r="KFO76" s="26"/>
      <c r="KFP76" s="26"/>
      <c r="KFQ76" s="26"/>
      <c r="KFR76" s="26"/>
      <c r="KFS76" s="58"/>
      <c r="KFT76" s="26"/>
      <c r="KFU76" s="26"/>
      <c r="KFV76" s="26"/>
      <c r="KFW76" s="26"/>
      <c r="KFX76" s="22"/>
      <c r="KFY76" s="167"/>
      <c r="KFZ76" s="30"/>
      <c r="KGA76" s="25"/>
      <c r="KGB76" s="178"/>
      <c r="KGC76" s="26"/>
      <c r="KGD76" s="26"/>
      <c r="KGE76" s="26"/>
      <c r="KGF76" s="26"/>
      <c r="KGG76" s="26"/>
      <c r="KGH76" s="26"/>
      <c r="KGI76" s="58"/>
      <c r="KGJ76" s="26"/>
      <c r="KGK76" s="26"/>
      <c r="KGL76" s="26"/>
      <c r="KGM76" s="26"/>
      <c r="KGN76" s="22"/>
      <c r="KGO76" s="167"/>
      <c r="KGP76" s="30"/>
      <c r="KGQ76" s="25"/>
      <c r="KGR76" s="178"/>
      <c r="KGS76" s="26"/>
      <c r="KGT76" s="26"/>
      <c r="KGU76" s="26"/>
      <c r="KGV76" s="26"/>
      <c r="KGW76" s="26"/>
      <c r="KGX76" s="26"/>
      <c r="KGY76" s="58"/>
      <c r="KGZ76" s="26"/>
      <c r="KHA76" s="26"/>
      <c r="KHB76" s="26"/>
      <c r="KHC76" s="26"/>
      <c r="KHD76" s="22"/>
      <c r="KHE76" s="167"/>
      <c r="KHF76" s="30"/>
      <c r="KHG76" s="25"/>
      <c r="KHH76" s="178"/>
      <c r="KHI76" s="26"/>
      <c r="KHJ76" s="26"/>
      <c r="KHK76" s="26"/>
      <c r="KHL76" s="26"/>
      <c r="KHM76" s="26"/>
      <c r="KHN76" s="26"/>
      <c r="KHO76" s="58"/>
      <c r="KHP76" s="26"/>
      <c r="KHQ76" s="26"/>
      <c r="KHR76" s="26"/>
      <c r="KHS76" s="26"/>
      <c r="KHT76" s="22"/>
      <c r="KHU76" s="167"/>
      <c r="KHV76" s="30"/>
      <c r="KHW76" s="25"/>
      <c r="KHX76" s="178"/>
      <c r="KHY76" s="26"/>
      <c r="KHZ76" s="26"/>
      <c r="KIA76" s="26"/>
      <c r="KIB76" s="26"/>
      <c r="KIC76" s="26"/>
      <c r="KID76" s="26"/>
      <c r="KIE76" s="58"/>
      <c r="KIF76" s="26"/>
      <c r="KIG76" s="26"/>
      <c r="KIH76" s="26"/>
      <c r="KII76" s="26"/>
      <c r="KIJ76" s="22"/>
      <c r="KIK76" s="167"/>
      <c r="KIL76" s="30"/>
      <c r="KIM76" s="25"/>
      <c r="KIN76" s="178"/>
      <c r="KIO76" s="26"/>
      <c r="KIP76" s="26"/>
      <c r="KIQ76" s="26"/>
      <c r="KIR76" s="26"/>
      <c r="KIS76" s="26"/>
      <c r="KIT76" s="26"/>
      <c r="KIU76" s="58"/>
      <c r="KIV76" s="26"/>
      <c r="KIW76" s="26"/>
      <c r="KIX76" s="26"/>
      <c r="KIY76" s="26"/>
      <c r="KIZ76" s="22"/>
      <c r="KJA76" s="167"/>
      <c r="KJB76" s="30"/>
      <c r="KJC76" s="25"/>
      <c r="KJD76" s="178"/>
      <c r="KJE76" s="26"/>
      <c r="KJF76" s="26"/>
      <c r="KJG76" s="26"/>
      <c r="KJH76" s="26"/>
      <c r="KJI76" s="26"/>
      <c r="KJJ76" s="26"/>
      <c r="KJK76" s="58"/>
      <c r="KJL76" s="26"/>
      <c r="KJM76" s="26"/>
      <c r="KJN76" s="26"/>
      <c r="KJO76" s="26"/>
      <c r="KJP76" s="22"/>
      <c r="KJQ76" s="167"/>
      <c r="KJR76" s="30"/>
      <c r="KJS76" s="25"/>
      <c r="KJT76" s="178"/>
      <c r="KJU76" s="26"/>
      <c r="KJV76" s="26"/>
      <c r="KJW76" s="26"/>
      <c r="KJX76" s="26"/>
      <c r="KJY76" s="26"/>
      <c r="KJZ76" s="26"/>
      <c r="KKA76" s="58"/>
      <c r="KKB76" s="26"/>
      <c r="KKC76" s="26"/>
      <c r="KKD76" s="26"/>
      <c r="KKE76" s="26"/>
      <c r="KKF76" s="22"/>
      <c r="KKG76" s="167"/>
      <c r="KKH76" s="30"/>
      <c r="KKI76" s="25"/>
      <c r="KKJ76" s="178"/>
      <c r="KKK76" s="26"/>
      <c r="KKL76" s="26"/>
      <c r="KKM76" s="26"/>
      <c r="KKN76" s="26"/>
      <c r="KKO76" s="26"/>
      <c r="KKP76" s="26"/>
      <c r="KKQ76" s="58"/>
      <c r="KKR76" s="26"/>
      <c r="KKS76" s="26"/>
      <c r="KKT76" s="26"/>
      <c r="KKU76" s="26"/>
      <c r="KKV76" s="22"/>
      <c r="KKW76" s="167"/>
      <c r="KKX76" s="30"/>
      <c r="KKY76" s="25"/>
      <c r="KKZ76" s="178"/>
      <c r="KLA76" s="26"/>
      <c r="KLB76" s="26"/>
      <c r="KLC76" s="26"/>
      <c r="KLD76" s="26"/>
      <c r="KLE76" s="26"/>
      <c r="KLF76" s="26"/>
      <c r="KLG76" s="58"/>
      <c r="KLH76" s="26"/>
      <c r="KLI76" s="26"/>
      <c r="KLJ76" s="26"/>
      <c r="KLK76" s="26"/>
      <c r="KLL76" s="22"/>
      <c r="KLM76" s="167"/>
      <c r="KLN76" s="30"/>
      <c r="KLO76" s="25"/>
      <c r="KLP76" s="178"/>
      <c r="KLQ76" s="26"/>
      <c r="KLR76" s="26"/>
      <c r="KLS76" s="26"/>
      <c r="KLT76" s="26"/>
      <c r="KLU76" s="26"/>
      <c r="KLV76" s="26"/>
      <c r="KLW76" s="58"/>
      <c r="KLX76" s="26"/>
      <c r="KLY76" s="26"/>
      <c r="KLZ76" s="26"/>
      <c r="KMA76" s="26"/>
      <c r="KMB76" s="22"/>
      <c r="KMC76" s="167"/>
      <c r="KMD76" s="30"/>
      <c r="KME76" s="25"/>
      <c r="KMF76" s="178"/>
      <c r="KMG76" s="26"/>
      <c r="KMH76" s="26"/>
      <c r="KMI76" s="26"/>
      <c r="KMJ76" s="26"/>
      <c r="KMK76" s="26"/>
      <c r="KML76" s="26"/>
      <c r="KMM76" s="58"/>
      <c r="KMN76" s="26"/>
      <c r="KMO76" s="26"/>
      <c r="KMP76" s="26"/>
      <c r="KMQ76" s="26"/>
      <c r="KMR76" s="22"/>
      <c r="KMS76" s="167"/>
      <c r="KMT76" s="30"/>
      <c r="KMU76" s="25"/>
      <c r="KMV76" s="178"/>
      <c r="KMW76" s="26"/>
      <c r="KMX76" s="26"/>
      <c r="KMY76" s="26"/>
      <c r="KMZ76" s="26"/>
      <c r="KNA76" s="26"/>
      <c r="KNB76" s="26"/>
      <c r="KNC76" s="58"/>
      <c r="KND76" s="26"/>
      <c r="KNE76" s="26"/>
      <c r="KNF76" s="26"/>
      <c r="KNG76" s="26"/>
      <c r="KNH76" s="22"/>
      <c r="KNI76" s="167"/>
      <c r="KNJ76" s="30"/>
      <c r="KNK76" s="25"/>
      <c r="KNL76" s="178"/>
      <c r="KNM76" s="26"/>
      <c r="KNN76" s="26"/>
      <c r="KNO76" s="26"/>
      <c r="KNP76" s="26"/>
      <c r="KNQ76" s="26"/>
      <c r="KNR76" s="26"/>
      <c r="KNS76" s="58"/>
      <c r="KNT76" s="26"/>
      <c r="KNU76" s="26"/>
      <c r="KNV76" s="26"/>
      <c r="KNW76" s="26"/>
      <c r="KNX76" s="22"/>
      <c r="KNY76" s="167"/>
      <c r="KNZ76" s="30"/>
      <c r="KOA76" s="25"/>
      <c r="KOB76" s="178"/>
      <c r="KOC76" s="26"/>
      <c r="KOD76" s="26"/>
      <c r="KOE76" s="26"/>
      <c r="KOF76" s="26"/>
      <c r="KOG76" s="26"/>
      <c r="KOH76" s="26"/>
      <c r="KOI76" s="58"/>
      <c r="KOJ76" s="26"/>
      <c r="KOK76" s="26"/>
      <c r="KOL76" s="26"/>
      <c r="KOM76" s="26"/>
      <c r="KON76" s="22"/>
      <c r="KOO76" s="167"/>
      <c r="KOP76" s="30"/>
      <c r="KOQ76" s="25"/>
      <c r="KOR76" s="178"/>
      <c r="KOS76" s="26"/>
      <c r="KOT76" s="26"/>
      <c r="KOU76" s="26"/>
      <c r="KOV76" s="26"/>
      <c r="KOW76" s="26"/>
      <c r="KOX76" s="26"/>
      <c r="KOY76" s="58"/>
      <c r="KOZ76" s="26"/>
      <c r="KPA76" s="26"/>
      <c r="KPB76" s="26"/>
      <c r="KPC76" s="26"/>
      <c r="KPD76" s="22"/>
      <c r="KPE76" s="167"/>
      <c r="KPF76" s="30"/>
      <c r="KPG76" s="25"/>
      <c r="KPH76" s="178"/>
      <c r="KPI76" s="26"/>
      <c r="KPJ76" s="26"/>
      <c r="KPK76" s="26"/>
      <c r="KPL76" s="26"/>
      <c r="KPM76" s="26"/>
      <c r="KPN76" s="26"/>
      <c r="KPO76" s="58"/>
      <c r="KPP76" s="26"/>
      <c r="KPQ76" s="26"/>
      <c r="KPR76" s="26"/>
      <c r="KPS76" s="26"/>
      <c r="KPT76" s="22"/>
      <c r="KPU76" s="167"/>
      <c r="KPV76" s="30"/>
      <c r="KPW76" s="25"/>
      <c r="KPX76" s="178"/>
      <c r="KPY76" s="26"/>
      <c r="KPZ76" s="26"/>
      <c r="KQA76" s="26"/>
      <c r="KQB76" s="26"/>
      <c r="KQC76" s="26"/>
      <c r="KQD76" s="26"/>
      <c r="KQE76" s="58"/>
      <c r="KQF76" s="26"/>
      <c r="KQG76" s="26"/>
      <c r="KQH76" s="26"/>
      <c r="KQI76" s="26"/>
      <c r="KQJ76" s="22"/>
      <c r="KQK76" s="167"/>
      <c r="KQL76" s="30"/>
      <c r="KQM76" s="25"/>
      <c r="KQN76" s="178"/>
      <c r="KQO76" s="26"/>
      <c r="KQP76" s="26"/>
      <c r="KQQ76" s="26"/>
      <c r="KQR76" s="26"/>
      <c r="KQS76" s="26"/>
      <c r="KQT76" s="26"/>
      <c r="KQU76" s="58"/>
      <c r="KQV76" s="26"/>
      <c r="KQW76" s="26"/>
      <c r="KQX76" s="26"/>
      <c r="KQY76" s="26"/>
      <c r="KQZ76" s="22"/>
      <c r="KRA76" s="167"/>
      <c r="KRB76" s="30"/>
      <c r="KRC76" s="25"/>
      <c r="KRD76" s="178"/>
      <c r="KRE76" s="26"/>
      <c r="KRF76" s="26"/>
      <c r="KRG76" s="26"/>
      <c r="KRH76" s="26"/>
      <c r="KRI76" s="26"/>
      <c r="KRJ76" s="26"/>
      <c r="KRK76" s="58"/>
      <c r="KRL76" s="26"/>
      <c r="KRM76" s="26"/>
      <c r="KRN76" s="26"/>
      <c r="KRO76" s="26"/>
      <c r="KRP76" s="22"/>
      <c r="KRQ76" s="167"/>
      <c r="KRR76" s="30"/>
      <c r="KRS76" s="25"/>
      <c r="KRT76" s="178"/>
      <c r="KRU76" s="26"/>
      <c r="KRV76" s="26"/>
      <c r="KRW76" s="26"/>
      <c r="KRX76" s="26"/>
      <c r="KRY76" s="26"/>
      <c r="KRZ76" s="26"/>
      <c r="KSA76" s="58"/>
      <c r="KSB76" s="26"/>
      <c r="KSC76" s="26"/>
      <c r="KSD76" s="26"/>
      <c r="KSE76" s="26"/>
      <c r="KSF76" s="22"/>
      <c r="KSG76" s="167"/>
      <c r="KSH76" s="30"/>
      <c r="KSI76" s="25"/>
      <c r="KSJ76" s="178"/>
      <c r="KSK76" s="26"/>
      <c r="KSL76" s="26"/>
      <c r="KSM76" s="26"/>
      <c r="KSN76" s="26"/>
      <c r="KSO76" s="26"/>
      <c r="KSP76" s="26"/>
      <c r="KSQ76" s="58"/>
      <c r="KSR76" s="26"/>
      <c r="KSS76" s="26"/>
      <c r="KST76" s="26"/>
      <c r="KSU76" s="26"/>
      <c r="KSV76" s="22"/>
      <c r="KSW76" s="167"/>
      <c r="KSX76" s="30"/>
      <c r="KSY76" s="25"/>
      <c r="KSZ76" s="178"/>
      <c r="KTA76" s="26"/>
      <c r="KTB76" s="26"/>
      <c r="KTC76" s="26"/>
      <c r="KTD76" s="26"/>
      <c r="KTE76" s="26"/>
      <c r="KTF76" s="26"/>
      <c r="KTG76" s="58"/>
      <c r="KTH76" s="26"/>
      <c r="KTI76" s="26"/>
      <c r="KTJ76" s="26"/>
      <c r="KTK76" s="26"/>
      <c r="KTL76" s="22"/>
      <c r="KTM76" s="167"/>
      <c r="KTN76" s="30"/>
      <c r="KTO76" s="25"/>
      <c r="KTP76" s="178"/>
      <c r="KTQ76" s="26"/>
      <c r="KTR76" s="26"/>
      <c r="KTS76" s="26"/>
      <c r="KTT76" s="26"/>
      <c r="KTU76" s="26"/>
      <c r="KTV76" s="26"/>
      <c r="KTW76" s="58"/>
      <c r="KTX76" s="26"/>
      <c r="KTY76" s="26"/>
      <c r="KTZ76" s="26"/>
      <c r="KUA76" s="26"/>
      <c r="KUB76" s="22"/>
      <c r="KUC76" s="167"/>
      <c r="KUD76" s="30"/>
      <c r="KUE76" s="25"/>
      <c r="KUF76" s="178"/>
      <c r="KUG76" s="26"/>
      <c r="KUH76" s="26"/>
      <c r="KUI76" s="26"/>
      <c r="KUJ76" s="26"/>
      <c r="KUK76" s="26"/>
      <c r="KUL76" s="26"/>
      <c r="KUM76" s="58"/>
      <c r="KUN76" s="26"/>
      <c r="KUO76" s="26"/>
      <c r="KUP76" s="26"/>
      <c r="KUQ76" s="26"/>
      <c r="KUR76" s="22"/>
      <c r="KUS76" s="167"/>
      <c r="KUT76" s="30"/>
      <c r="KUU76" s="25"/>
      <c r="KUV76" s="178"/>
      <c r="KUW76" s="26"/>
      <c r="KUX76" s="26"/>
      <c r="KUY76" s="26"/>
      <c r="KUZ76" s="26"/>
      <c r="KVA76" s="26"/>
      <c r="KVB76" s="26"/>
      <c r="KVC76" s="58"/>
      <c r="KVD76" s="26"/>
      <c r="KVE76" s="26"/>
      <c r="KVF76" s="26"/>
      <c r="KVG76" s="26"/>
      <c r="KVH76" s="22"/>
      <c r="KVI76" s="167"/>
      <c r="KVJ76" s="30"/>
      <c r="KVK76" s="25"/>
      <c r="KVL76" s="178"/>
      <c r="KVM76" s="26"/>
      <c r="KVN76" s="26"/>
      <c r="KVO76" s="26"/>
      <c r="KVP76" s="26"/>
      <c r="KVQ76" s="26"/>
      <c r="KVR76" s="26"/>
      <c r="KVS76" s="58"/>
      <c r="KVT76" s="26"/>
      <c r="KVU76" s="26"/>
      <c r="KVV76" s="26"/>
      <c r="KVW76" s="26"/>
      <c r="KVX76" s="22"/>
      <c r="KVY76" s="167"/>
      <c r="KVZ76" s="30"/>
      <c r="KWA76" s="25"/>
      <c r="KWB76" s="178"/>
      <c r="KWC76" s="26"/>
      <c r="KWD76" s="26"/>
      <c r="KWE76" s="26"/>
      <c r="KWF76" s="26"/>
      <c r="KWG76" s="26"/>
      <c r="KWH76" s="26"/>
      <c r="KWI76" s="58"/>
      <c r="KWJ76" s="26"/>
      <c r="KWK76" s="26"/>
      <c r="KWL76" s="26"/>
      <c r="KWM76" s="26"/>
      <c r="KWN76" s="22"/>
      <c r="KWO76" s="167"/>
      <c r="KWP76" s="30"/>
      <c r="KWQ76" s="25"/>
      <c r="KWR76" s="178"/>
      <c r="KWS76" s="26"/>
      <c r="KWT76" s="26"/>
      <c r="KWU76" s="26"/>
      <c r="KWV76" s="26"/>
      <c r="KWW76" s="26"/>
      <c r="KWX76" s="26"/>
      <c r="KWY76" s="58"/>
      <c r="KWZ76" s="26"/>
      <c r="KXA76" s="26"/>
      <c r="KXB76" s="26"/>
      <c r="KXC76" s="26"/>
      <c r="KXD76" s="22"/>
      <c r="KXE76" s="167"/>
      <c r="KXF76" s="30"/>
      <c r="KXG76" s="25"/>
      <c r="KXH76" s="178"/>
      <c r="KXI76" s="26"/>
      <c r="KXJ76" s="26"/>
      <c r="KXK76" s="26"/>
      <c r="KXL76" s="26"/>
      <c r="KXM76" s="26"/>
      <c r="KXN76" s="26"/>
      <c r="KXO76" s="58"/>
      <c r="KXP76" s="26"/>
      <c r="KXQ76" s="26"/>
      <c r="KXR76" s="26"/>
      <c r="KXS76" s="26"/>
      <c r="KXT76" s="22"/>
      <c r="KXU76" s="167"/>
      <c r="KXV76" s="30"/>
      <c r="KXW76" s="25"/>
      <c r="KXX76" s="178"/>
      <c r="KXY76" s="26"/>
      <c r="KXZ76" s="26"/>
      <c r="KYA76" s="26"/>
      <c r="KYB76" s="26"/>
      <c r="KYC76" s="26"/>
      <c r="KYD76" s="26"/>
      <c r="KYE76" s="58"/>
      <c r="KYF76" s="26"/>
      <c r="KYG76" s="26"/>
      <c r="KYH76" s="26"/>
      <c r="KYI76" s="26"/>
      <c r="KYJ76" s="22"/>
      <c r="KYK76" s="167"/>
      <c r="KYL76" s="30"/>
      <c r="KYM76" s="25"/>
      <c r="KYN76" s="178"/>
      <c r="KYO76" s="26"/>
      <c r="KYP76" s="26"/>
      <c r="KYQ76" s="26"/>
      <c r="KYR76" s="26"/>
      <c r="KYS76" s="26"/>
      <c r="KYT76" s="26"/>
      <c r="KYU76" s="58"/>
      <c r="KYV76" s="26"/>
      <c r="KYW76" s="26"/>
      <c r="KYX76" s="26"/>
      <c r="KYY76" s="26"/>
      <c r="KYZ76" s="22"/>
      <c r="KZA76" s="167"/>
      <c r="KZB76" s="30"/>
      <c r="KZC76" s="25"/>
      <c r="KZD76" s="178"/>
      <c r="KZE76" s="26"/>
      <c r="KZF76" s="26"/>
      <c r="KZG76" s="26"/>
      <c r="KZH76" s="26"/>
      <c r="KZI76" s="26"/>
      <c r="KZJ76" s="26"/>
      <c r="KZK76" s="58"/>
      <c r="KZL76" s="26"/>
      <c r="KZM76" s="26"/>
      <c r="KZN76" s="26"/>
      <c r="KZO76" s="26"/>
      <c r="KZP76" s="22"/>
      <c r="KZQ76" s="167"/>
      <c r="KZR76" s="30"/>
      <c r="KZS76" s="25"/>
      <c r="KZT76" s="178"/>
      <c r="KZU76" s="26"/>
      <c r="KZV76" s="26"/>
      <c r="KZW76" s="26"/>
      <c r="KZX76" s="26"/>
      <c r="KZY76" s="26"/>
      <c r="KZZ76" s="26"/>
      <c r="LAA76" s="58"/>
      <c r="LAB76" s="26"/>
      <c r="LAC76" s="26"/>
      <c r="LAD76" s="26"/>
      <c r="LAE76" s="26"/>
      <c r="LAF76" s="22"/>
      <c r="LAG76" s="167"/>
      <c r="LAH76" s="30"/>
      <c r="LAI76" s="25"/>
      <c r="LAJ76" s="178"/>
      <c r="LAK76" s="26"/>
      <c r="LAL76" s="26"/>
      <c r="LAM76" s="26"/>
      <c r="LAN76" s="26"/>
      <c r="LAO76" s="26"/>
      <c r="LAP76" s="26"/>
      <c r="LAQ76" s="58"/>
      <c r="LAR76" s="26"/>
      <c r="LAS76" s="26"/>
      <c r="LAT76" s="26"/>
      <c r="LAU76" s="26"/>
      <c r="LAV76" s="22"/>
      <c r="LAW76" s="167"/>
      <c r="LAX76" s="30"/>
      <c r="LAY76" s="25"/>
      <c r="LAZ76" s="178"/>
      <c r="LBA76" s="26"/>
      <c r="LBB76" s="26"/>
      <c r="LBC76" s="26"/>
      <c r="LBD76" s="26"/>
      <c r="LBE76" s="26"/>
      <c r="LBF76" s="26"/>
      <c r="LBG76" s="58"/>
      <c r="LBH76" s="26"/>
      <c r="LBI76" s="26"/>
      <c r="LBJ76" s="26"/>
      <c r="LBK76" s="26"/>
      <c r="LBL76" s="22"/>
      <c r="LBM76" s="167"/>
      <c r="LBN76" s="30"/>
      <c r="LBO76" s="25"/>
      <c r="LBP76" s="178"/>
      <c r="LBQ76" s="26"/>
      <c r="LBR76" s="26"/>
      <c r="LBS76" s="26"/>
      <c r="LBT76" s="26"/>
      <c r="LBU76" s="26"/>
      <c r="LBV76" s="26"/>
      <c r="LBW76" s="58"/>
      <c r="LBX76" s="26"/>
      <c r="LBY76" s="26"/>
      <c r="LBZ76" s="26"/>
      <c r="LCA76" s="26"/>
      <c r="LCB76" s="22"/>
      <c r="LCC76" s="167"/>
      <c r="LCD76" s="30"/>
      <c r="LCE76" s="25"/>
      <c r="LCF76" s="178"/>
      <c r="LCG76" s="26"/>
      <c r="LCH76" s="26"/>
      <c r="LCI76" s="26"/>
      <c r="LCJ76" s="26"/>
      <c r="LCK76" s="26"/>
      <c r="LCL76" s="26"/>
      <c r="LCM76" s="58"/>
      <c r="LCN76" s="26"/>
      <c r="LCO76" s="26"/>
      <c r="LCP76" s="26"/>
      <c r="LCQ76" s="26"/>
      <c r="LCR76" s="22"/>
      <c r="LCS76" s="167"/>
      <c r="LCT76" s="30"/>
      <c r="LCU76" s="25"/>
      <c r="LCV76" s="178"/>
      <c r="LCW76" s="26"/>
      <c r="LCX76" s="26"/>
      <c r="LCY76" s="26"/>
      <c r="LCZ76" s="26"/>
      <c r="LDA76" s="26"/>
      <c r="LDB76" s="26"/>
      <c r="LDC76" s="58"/>
      <c r="LDD76" s="26"/>
      <c r="LDE76" s="26"/>
      <c r="LDF76" s="26"/>
      <c r="LDG76" s="26"/>
      <c r="LDH76" s="22"/>
      <c r="LDI76" s="167"/>
      <c r="LDJ76" s="30"/>
      <c r="LDK76" s="25"/>
      <c r="LDL76" s="178"/>
      <c r="LDM76" s="26"/>
      <c r="LDN76" s="26"/>
      <c r="LDO76" s="26"/>
      <c r="LDP76" s="26"/>
      <c r="LDQ76" s="26"/>
      <c r="LDR76" s="26"/>
      <c r="LDS76" s="58"/>
      <c r="LDT76" s="26"/>
      <c r="LDU76" s="26"/>
      <c r="LDV76" s="26"/>
      <c r="LDW76" s="26"/>
      <c r="LDX76" s="22"/>
      <c r="LDY76" s="167"/>
      <c r="LDZ76" s="30"/>
      <c r="LEA76" s="25"/>
      <c r="LEB76" s="178"/>
      <c r="LEC76" s="26"/>
      <c r="LED76" s="26"/>
      <c r="LEE76" s="26"/>
      <c r="LEF76" s="26"/>
      <c r="LEG76" s="26"/>
      <c r="LEH76" s="26"/>
      <c r="LEI76" s="58"/>
      <c r="LEJ76" s="26"/>
      <c r="LEK76" s="26"/>
      <c r="LEL76" s="26"/>
      <c r="LEM76" s="26"/>
      <c r="LEN76" s="22"/>
      <c r="LEO76" s="167"/>
      <c r="LEP76" s="30"/>
      <c r="LEQ76" s="25"/>
      <c r="LER76" s="178"/>
      <c r="LES76" s="26"/>
      <c r="LET76" s="26"/>
      <c r="LEU76" s="26"/>
      <c r="LEV76" s="26"/>
      <c r="LEW76" s="26"/>
      <c r="LEX76" s="26"/>
      <c r="LEY76" s="58"/>
      <c r="LEZ76" s="26"/>
      <c r="LFA76" s="26"/>
      <c r="LFB76" s="26"/>
      <c r="LFC76" s="26"/>
      <c r="LFD76" s="22"/>
      <c r="LFE76" s="167"/>
      <c r="LFF76" s="30"/>
      <c r="LFG76" s="25"/>
      <c r="LFH76" s="178"/>
      <c r="LFI76" s="26"/>
      <c r="LFJ76" s="26"/>
      <c r="LFK76" s="26"/>
      <c r="LFL76" s="26"/>
      <c r="LFM76" s="26"/>
      <c r="LFN76" s="26"/>
      <c r="LFO76" s="58"/>
      <c r="LFP76" s="26"/>
      <c r="LFQ76" s="26"/>
      <c r="LFR76" s="26"/>
      <c r="LFS76" s="26"/>
      <c r="LFT76" s="22"/>
      <c r="LFU76" s="167"/>
      <c r="LFV76" s="30"/>
      <c r="LFW76" s="25"/>
      <c r="LFX76" s="178"/>
      <c r="LFY76" s="26"/>
      <c r="LFZ76" s="26"/>
      <c r="LGA76" s="26"/>
      <c r="LGB76" s="26"/>
      <c r="LGC76" s="26"/>
      <c r="LGD76" s="26"/>
      <c r="LGE76" s="58"/>
      <c r="LGF76" s="26"/>
      <c r="LGG76" s="26"/>
      <c r="LGH76" s="26"/>
      <c r="LGI76" s="26"/>
      <c r="LGJ76" s="22"/>
      <c r="LGK76" s="167"/>
      <c r="LGL76" s="30"/>
      <c r="LGM76" s="25"/>
      <c r="LGN76" s="178"/>
      <c r="LGO76" s="26"/>
      <c r="LGP76" s="26"/>
      <c r="LGQ76" s="26"/>
      <c r="LGR76" s="26"/>
      <c r="LGS76" s="26"/>
      <c r="LGT76" s="26"/>
      <c r="LGU76" s="58"/>
      <c r="LGV76" s="26"/>
      <c r="LGW76" s="26"/>
      <c r="LGX76" s="26"/>
      <c r="LGY76" s="26"/>
      <c r="LGZ76" s="22"/>
      <c r="LHA76" s="167"/>
      <c r="LHB76" s="30"/>
      <c r="LHC76" s="25"/>
      <c r="LHD76" s="178"/>
      <c r="LHE76" s="26"/>
      <c r="LHF76" s="26"/>
      <c r="LHG76" s="26"/>
      <c r="LHH76" s="26"/>
      <c r="LHI76" s="26"/>
      <c r="LHJ76" s="26"/>
      <c r="LHK76" s="58"/>
      <c r="LHL76" s="26"/>
      <c r="LHM76" s="26"/>
      <c r="LHN76" s="26"/>
      <c r="LHO76" s="26"/>
      <c r="LHP76" s="22"/>
      <c r="LHQ76" s="167"/>
      <c r="LHR76" s="30"/>
      <c r="LHS76" s="25"/>
      <c r="LHT76" s="178"/>
      <c r="LHU76" s="26"/>
      <c r="LHV76" s="26"/>
      <c r="LHW76" s="26"/>
      <c r="LHX76" s="26"/>
      <c r="LHY76" s="26"/>
      <c r="LHZ76" s="26"/>
      <c r="LIA76" s="58"/>
      <c r="LIB76" s="26"/>
      <c r="LIC76" s="26"/>
      <c r="LID76" s="26"/>
      <c r="LIE76" s="26"/>
      <c r="LIF76" s="22"/>
      <c r="LIG76" s="167"/>
      <c r="LIH76" s="30"/>
      <c r="LII76" s="25"/>
      <c r="LIJ76" s="178"/>
      <c r="LIK76" s="26"/>
      <c r="LIL76" s="26"/>
      <c r="LIM76" s="26"/>
      <c r="LIN76" s="26"/>
      <c r="LIO76" s="26"/>
      <c r="LIP76" s="26"/>
      <c r="LIQ76" s="58"/>
      <c r="LIR76" s="26"/>
      <c r="LIS76" s="26"/>
      <c r="LIT76" s="26"/>
      <c r="LIU76" s="26"/>
      <c r="LIV76" s="22"/>
      <c r="LIW76" s="167"/>
      <c r="LIX76" s="30"/>
      <c r="LIY76" s="25"/>
      <c r="LIZ76" s="178"/>
      <c r="LJA76" s="26"/>
      <c r="LJB76" s="26"/>
      <c r="LJC76" s="26"/>
      <c r="LJD76" s="26"/>
      <c r="LJE76" s="26"/>
      <c r="LJF76" s="26"/>
      <c r="LJG76" s="58"/>
      <c r="LJH76" s="26"/>
      <c r="LJI76" s="26"/>
      <c r="LJJ76" s="26"/>
      <c r="LJK76" s="26"/>
      <c r="LJL76" s="22"/>
      <c r="LJM76" s="167"/>
      <c r="LJN76" s="30"/>
      <c r="LJO76" s="25"/>
      <c r="LJP76" s="178"/>
      <c r="LJQ76" s="26"/>
      <c r="LJR76" s="26"/>
      <c r="LJS76" s="26"/>
      <c r="LJT76" s="26"/>
      <c r="LJU76" s="26"/>
      <c r="LJV76" s="26"/>
      <c r="LJW76" s="58"/>
      <c r="LJX76" s="26"/>
      <c r="LJY76" s="26"/>
      <c r="LJZ76" s="26"/>
      <c r="LKA76" s="26"/>
      <c r="LKB76" s="22"/>
      <c r="LKC76" s="167"/>
      <c r="LKD76" s="30"/>
      <c r="LKE76" s="25"/>
      <c r="LKF76" s="178"/>
      <c r="LKG76" s="26"/>
      <c r="LKH76" s="26"/>
      <c r="LKI76" s="26"/>
      <c r="LKJ76" s="26"/>
      <c r="LKK76" s="26"/>
      <c r="LKL76" s="26"/>
      <c r="LKM76" s="58"/>
      <c r="LKN76" s="26"/>
      <c r="LKO76" s="26"/>
      <c r="LKP76" s="26"/>
      <c r="LKQ76" s="26"/>
      <c r="LKR76" s="22"/>
      <c r="LKS76" s="167"/>
      <c r="LKT76" s="30"/>
      <c r="LKU76" s="25"/>
      <c r="LKV76" s="178"/>
      <c r="LKW76" s="26"/>
      <c r="LKX76" s="26"/>
      <c r="LKY76" s="26"/>
      <c r="LKZ76" s="26"/>
      <c r="LLA76" s="26"/>
      <c r="LLB76" s="26"/>
      <c r="LLC76" s="58"/>
      <c r="LLD76" s="26"/>
      <c r="LLE76" s="26"/>
      <c r="LLF76" s="26"/>
      <c r="LLG76" s="26"/>
      <c r="LLH76" s="22"/>
      <c r="LLI76" s="167"/>
      <c r="LLJ76" s="30"/>
      <c r="LLK76" s="25"/>
      <c r="LLL76" s="178"/>
      <c r="LLM76" s="26"/>
      <c r="LLN76" s="26"/>
      <c r="LLO76" s="26"/>
      <c r="LLP76" s="26"/>
      <c r="LLQ76" s="26"/>
      <c r="LLR76" s="26"/>
      <c r="LLS76" s="58"/>
      <c r="LLT76" s="26"/>
      <c r="LLU76" s="26"/>
      <c r="LLV76" s="26"/>
      <c r="LLW76" s="26"/>
      <c r="LLX76" s="22"/>
      <c r="LLY76" s="167"/>
      <c r="LLZ76" s="30"/>
      <c r="LMA76" s="25"/>
      <c r="LMB76" s="178"/>
      <c r="LMC76" s="26"/>
      <c r="LMD76" s="26"/>
      <c r="LME76" s="26"/>
      <c r="LMF76" s="26"/>
      <c r="LMG76" s="26"/>
      <c r="LMH76" s="26"/>
      <c r="LMI76" s="58"/>
      <c r="LMJ76" s="26"/>
      <c r="LMK76" s="26"/>
      <c r="LML76" s="26"/>
      <c r="LMM76" s="26"/>
      <c r="LMN76" s="22"/>
      <c r="LMO76" s="167"/>
      <c r="LMP76" s="30"/>
      <c r="LMQ76" s="25"/>
      <c r="LMR76" s="178"/>
      <c r="LMS76" s="26"/>
      <c r="LMT76" s="26"/>
      <c r="LMU76" s="26"/>
      <c r="LMV76" s="26"/>
      <c r="LMW76" s="26"/>
      <c r="LMX76" s="26"/>
      <c r="LMY76" s="58"/>
      <c r="LMZ76" s="26"/>
      <c r="LNA76" s="26"/>
      <c r="LNB76" s="26"/>
      <c r="LNC76" s="26"/>
      <c r="LND76" s="22"/>
      <c r="LNE76" s="167"/>
      <c r="LNF76" s="30"/>
      <c r="LNG76" s="25"/>
      <c r="LNH76" s="178"/>
      <c r="LNI76" s="26"/>
      <c r="LNJ76" s="26"/>
      <c r="LNK76" s="26"/>
      <c r="LNL76" s="26"/>
      <c r="LNM76" s="26"/>
      <c r="LNN76" s="26"/>
      <c r="LNO76" s="58"/>
      <c r="LNP76" s="26"/>
      <c r="LNQ76" s="26"/>
      <c r="LNR76" s="26"/>
      <c r="LNS76" s="26"/>
      <c r="LNT76" s="22"/>
      <c r="LNU76" s="167"/>
      <c r="LNV76" s="30"/>
      <c r="LNW76" s="25"/>
      <c r="LNX76" s="178"/>
      <c r="LNY76" s="26"/>
      <c r="LNZ76" s="26"/>
      <c r="LOA76" s="26"/>
      <c r="LOB76" s="26"/>
      <c r="LOC76" s="26"/>
      <c r="LOD76" s="26"/>
      <c r="LOE76" s="58"/>
      <c r="LOF76" s="26"/>
      <c r="LOG76" s="26"/>
      <c r="LOH76" s="26"/>
      <c r="LOI76" s="26"/>
      <c r="LOJ76" s="22"/>
      <c r="LOK76" s="167"/>
      <c r="LOL76" s="30"/>
      <c r="LOM76" s="25"/>
      <c r="LON76" s="178"/>
      <c r="LOO76" s="26"/>
      <c r="LOP76" s="26"/>
      <c r="LOQ76" s="26"/>
      <c r="LOR76" s="26"/>
      <c r="LOS76" s="26"/>
      <c r="LOT76" s="26"/>
      <c r="LOU76" s="58"/>
      <c r="LOV76" s="26"/>
      <c r="LOW76" s="26"/>
      <c r="LOX76" s="26"/>
      <c r="LOY76" s="26"/>
      <c r="LOZ76" s="22"/>
      <c r="LPA76" s="167"/>
      <c r="LPB76" s="30"/>
      <c r="LPC76" s="25"/>
      <c r="LPD76" s="178"/>
      <c r="LPE76" s="26"/>
      <c r="LPF76" s="26"/>
      <c r="LPG76" s="26"/>
      <c r="LPH76" s="26"/>
      <c r="LPI76" s="26"/>
      <c r="LPJ76" s="26"/>
      <c r="LPK76" s="58"/>
      <c r="LPL76" s="26"/>
      <c r="LPM76" s="26"/>
      <c r="LPN76" s="26"/>
      <c r="LPO76" s="26"/>
      <c r="LPP76" s="22"/>
      <c r="LPQ76" s="167"/>
      <c r="LPR76" s="30"/>
      <c r="LPS76" s="25"/>
      <c r="LPT76" s="178"/>
      <c r="LPU76" s="26"/>
      <c r="LPV76" s="26"/>
      <c r="LPW76" s="26"/>
      <c r="LPX76" s="26"/>
      <c r="LPY76" s="26"/>
      <c r="LPZ76" s="26"/>
      <c r="LQA76" s="58"/>
      <c r="LQB76" s="26"/>
      <c r="LQC76" s="26"/>
      <c r="LQD76" s="26"/>
      <c r="LQE76" s="26"/>
      <c r="LQF76" s="22"/>
      <c r="LQG76" s="167"/>
      <c r="LQH76" s="30"/>
      <c r="LQI76" s="25"/>
      <c r="LQJ76" s="178"/>
      <c r="LQK76" s="26"/>
      <c r="LQL76" s="26"/>
      <c r="LQM76" s="26"/>
      <c r="LQN76" s="26"/>
      <c r="LQO76" s="26"/>
      <c r="LQP76" s="26"/>
      <c r="LQQ76" s="58"/>
      <c r="LQR76" s="26"/>
      <c r="LQS76" s="26"/>
      <c r="LQT76" s="26"/>
      <c r="LQU76" s="26"/>
      <c r="LQV76" s="22"/>
      <c r="LQW76" s="167"/>
      <c r="LQX76" s="30"/>
      <c r="LQY76" s="25"/>
      <c r="LQZ76" s="178"/>
      <c r="LRA76" s="26"/>
      <c r="LRB76" s="26"/>
      <c r="LRC76" s="26"/>
      <c r="LRD76" s="26"/>
      <c r="LRE76" s="26"/>
      <c r="LRF76" s="26"/>
      <c r="LRG76" s="58"/>
      <c r="LRH76" s="26"/>
      <c r="LRI76" s="26"/>
      <c r="LRJ76" s="26"/>
      <c r="LRK76" s="26"/>
      <c r="LRL76" s="22"/>
      <c r="LRM76" s="167"/>
      <c r="LRN76" s="30"/>
      <c r="LRO76" s="25"/>
      <c r="LRP76" s="178"/>
      <c r="LRQ76" s="26"/>
      <c r="LRR76" s="26"/>
      <c r="LRS76" s="26"/>
      <c r="LRT76" s="26"/>
      <c r="LRU76" s="26"/>
      <c r="LRV76" s="26"/>
      <c r="LRW76" s="58"/>
      <c r="LRX76" s="26"/>
      <c r="LRY76" s="26"/>
      <c r="LRZ76" s="26"/>
      <c r="LSA76" s="26"/>
      <c r="LSB76" s="22"/>
      <c r="LSC76" s="167"/>
      <c r="LSD76" s="30"/>
      <c r="LSE76" s="25"/>
      <c r="LSF76" s="178"/>
      <c r="LSG76" s="26"/>
      <c r="LSH76" s="26"/>
      <c r="LSI76" s="26"/>
      <c r="LSJ76" s="26"/>
      <c r="LSK76" s="26"/>
      <c r="LSL76" s="26"/>
      <c r="LSM76" s="58"/>
      <c r="LSN76" s="26"/>
      <c r="LSO76" s="26"/>
      <c r="LSP76" s="26"/>
      <c r="LSQ76" s="26"/>
      <c r="LSR76" s="22"/>
      <c r="LSS76" s="167"/>
      <c r="LST76" s="30"/>
      <c r="LSU76" s="25"/>
      <c r="LSV76" s="178"/>
      <c r="LSW76" s="26"/>
      <c r="LSX76" s="26"/>
      <c r="LSY76" s="26"/>
      <c r="LSZ76" s="26"/>
      <c r="LTA76" s="26"/>
      <c r="LTB76" s="26"/>
      <c r="LTC76" s="58"/>
      <c r="LTD76" s="26"/>
      <c r="LTE76" s="26"/>
      <c r="LTF76" s="26"/>
      <c r="LTG76" s="26"/>
      <c r="LTH76" s="22"/>
      <c r="LTI76" s="167"/>
      <c r="LTJ76" s="30"/>
      <c r="LTK76" s="25"/>
      <c r="LTL76" s="178"/>
      <c r="LTM76" s="26"/>
      <c r="LTN76" s="26"/>
      <c r="LTO76" s="26"/>
      <c r="LTP76" s="26"/>
      <c r="LTQ76" s="26"/>
      <c r="LTR76" s="26"/>
      <c r="LTS76" s="58"/>
      <c r="LTT76" s="26"/>
      <c r="LTU76" s="26"/>
      <c r="LTV76" s="26"/>
      <c r="LTW76" s="26"/>
      <c r="LTX76" s="22"/>
      <c r="LTY76" s="167"/>
      <c r="LTZ76" s="30"/>
      <c r="LUA76" s="25"/>
      <c r="LUB76" s="178"/>
      <c r="LUC76" s="26"/>
      <c r="LUD76" s="26"/>
      <c r="LUE76" s="26"/>
      <c r="LUF76" s="26"/>
      <c r="LUG76" s="26"/>
      <c r="LUH76" s="26"/>
      <c r="LUI76" s="58"/>
      <c r="LUJ76" s="26"/>
      <c r="LUK76" s="26"/>
      <c r="LUL76" s="26"/>
      <c r="LUM76" s="26"/>
      <c r="LUN76" s="22"/>
      <c r="LUO76" s="167"/>
      <c r="LUP76" s="30"/>
      <c r="LUQ76" s="25"/>
      <c r="LUR76" s="178"/>
      <c r="LUS76" s="26"/>
      <c r="LUT76" s="26"/>
      <c r="LUU76" s="26"/>
      <c r="LUV76" s="26"/>
      <c r="LUW76" s="26"/>
      <c r="LUX76" s="26"/>
      <c r="LUY76" s="58"/>
      <c r="LUZ76" s="26"/>
      <c r="LVA76" s="26"/>
      <c r="LVB76" s="26"/>
      <c r="LVC76" s="26"/>
      <c r="LVD76" s="22"/>
      <c r="LVE76" s="167"/>
      <c r="LVF76" s="30"/>
      <c r="LVG76" s="25"/>
      <c r="LVH76" s="178"/>
      <c r="LVI76" s="26"/>
      <c r="LVJ76" s="26"/>
      <c r="LVK76" s="26"/>
      <c r="LVL76" s="26"/>
      <c r="LVM76" s="26"/>
      <c r="LVN76" s="26"/>
      <c r="LVO76" s="58"/>
      <c r="LVP76" s="26"/>
      <c r="LVQ76" s="26"/>
      <c r="LVR76" s="26"/>
      <c r="LVS76" s="26"/>
      <c r="LVT76" s="22"/>
      <c r="LVU76" s="167"/>
      <c r="LVV76" s="30"/>
      <c r="LVW76" s="25"/>
      <c r="LVX76" s="178"/>
      <c r="LVY76" s="26"/>
      <c r="LVZ76" s="26"/>
      <c r="LWA76" s="26"/>
      <c r="LWB76" s="26"/>
      <c r="LWC76" s="26"/>
      <c r="LWD76" s="26"/>
      <c r="LWE76" s="58"/>
      <c r="LWF76" s="26"/>
      <c r="LWG76" s="26"/>
      <c r="LWH76" s="26"/>
      <c r="LWI76" s="26"/>
      <c r="LWJ76" s="22"/>
      <c r="LWK76" s="167"/>
      <c r="LWL76" s="30"/>
      <c r="LWM76" s="25"/>
      <c r="LWN76" s="178"/>
      <c r="LWO76" s="26"/>
      <c r="LWP76" s="26"/>
      <c r="LWQ76" s="26"/>
      <c r="LWR76" s="26"/>
      <c r="LWS76" s="26"/>
      <c r="LWT76" s="26"/>
      <c r="LWU76" s="58"/>
      <c r="LWV76" s="26"/>
      <c r="LWW76" s="26"/>
      <c r="LWX76" s="26"/>
      <c r="LWY76" s="26"/>
      <c r="LWZ76" s="22"/>
      <c r="LXA76" s="167"/>
      <c r="LXB76" s="30"/>
      <c r="LXC76" s="25"/>
      <c r="LXD76" s="178"/>
      <c r="LXE76" s="26"/>
      <c r="LXF76" s="26"/>
      <c r="LXG76" s="26"/>
      <c r="LXH76" s="26"/>
      <c r="LXI76" s="26"/>
      <c r="LXJ76" s="26"/>
      <c r="LXK76" s="58"/>
      <c r="LXL76" s="26"/>
      <c r="LXM76" s="26"/>
      <c r="LXN76" s="26"/>
      <c r="LXO76" s="26"/>
      <c r="LXP76" s="22"/>
      <c r="LXQ76" s="167"/>
      <c r="LXR76" s="30"/>
      <c r="LXS76" s="25"/>
      <c r="LXT76" s="178"/>
      <c r="LXU76" s="26"/>
      <c r="LXV76" s="26"/>
      <c r="LXW76" s="26"/>
      <c r="LXX76" s="26"/>
      <c r="LXY76" s="26"/>
      <c r="LXZ76" s="26"/>
      <c r="LYA76" s="58"/>
      <c r="LYB76" s="26"/>
      <c r="LYC76" s="26"/>
      <c r="LYD76" s="26"/>
      <c r="LYE76" s="26"/>
      <c r="LYF76" s="22"/>
      <c r="LYG76" s="167"/>
      <c r="LYH76" s="30"/>
      <c r="LYI76" s="25"/>
      <c r="LYJ76" s="178"/>
      <c r="LYK76" s="26"/>
      <c r="LYL76" s="26"/>
      <c r="LYM76" s="26"/>
      <c r="LYN76" s="26"/>
      <c r="LYO76" s="26"/>
      <c r="LYP76" s="26"/>
      <c r="LYQ76" s="58"/>
      <c r="LYR76" s="26"/>
      <c r="LYS76" s="26"/>
      <c r="LYT76" s="26"/>
      <c r="LYU76" s="26"/>
      <c r="LYV76" s="22"/>
      <c r="LYW76" s="167"/>
      <c r="LYX76" s="30"/>
      <c r="LYY76" s="25"/>
      <c r="LYZ76" s="178"/>
      <c r="LZA76" s="26"/>
      <c r="LZB76" s="26"/>
      <c r="LZC76" s="26"/>
      <c r="LZD76" s="26"/>
      <c r="LZE76" s="26"/>
      <c r="LZF76" s="26"/>
      <c r="LZG76" s="58"/>
      <c r="LZH76" s="26"/>
      <c r="LZI76" s="26"/>
      <c r="LZJ76" s="26"/>
      <c r="LZK76" s="26"/>
      <c r="LZL76" s="22"/>
      <c r="LZM76" s="167"/>
      <c r="LZN76" s="30"/>
      <c r="LZO76" s="25"/>
      <c r="LZP76" s="178"/>
      <c r="LZQ76" s="26"/>
      <c r="LZR76" s="26"/>
      <c r="LZS76" s="26"/>
      <c r="LZT76" s="26"/>
      <c r="LZU76" s="26"/>
      <c r="LZV76" s="26"/>
      <c r="LZW76" s="58"/>
      <c r="LZX76" s="26"/>
      <c r="LZY76" s="26"/>
      <c r="LZZ76" s="26"/>
      <c r="MAA76" s="26"/>
      <c r="MAB76" s="22"/>
      <c r="MAC76" s="167"/>
      <c r="MAD76" s="30"/>
      <c r="MAE76" s="25"/>
      <c r="MAF76" s="178"/>
      <c r="MAG76" s="26"/>
      <c r="MAH76" s="26"/>
      <c r="MAI76" s="26"/>
      <c r="MAJ76" s="26"/>
      <c r="MAK76" s="26"/>
      <c r="MAL76" s="26"/>
      <c r="MAM76" s="58"/>
      <c r="MAN76" s="26"/>
      <c r="MAO76" s="26"/>
      <c r="MAP76" s="26"/>
      <c r="MAQ76" s="26"/>
      <c r="MAR76" s="22"/>
      <c r="MAS76" s="167"/>
      <c r="MAT76" s="30"/>
      <c r="MAU76" s="25"/>
      <c r="MAV76" s="178"/>
      <c r="MAW76" s="26"/>
      <c r="MAX76" s="26"/>
      <c r="MAY76" s="26"/>
      <c r="MAZ76" s="26"/>
      <c r="MBA76" s="26"/>
      <c r="MBB76" s="26"/>
      <c r="MBC76" s="58"/>
      <c r="MBD76" s="26"/>
      <c r="MBE76" s="26"/>
      <c r="MBF76" s="26"/>
      <c r="MBG76" s="26"/>
      <c r="MBH76" s="22"/>
      <c r="MBI76" s="167"/>
      <c r="MBJ76" s="30"/>
      <c r="MBK76" s="25"/>
      <c r="MBL76" s="178"/>
      <c r="MBM76" s="26"/>
      <c r="MBN76" s="26"/>
      <c r="MBO76" s="26"/>
      <c r="MBP76" s="26"/>
      <c r="MBQ76" s="26"/>
      <c r="MBR76" s="26"/>
      <c r="MBS76" s="58"/>
      <c r="MBT76" s="26"/>
      <c r="MBU76" s="26"/>
      <c r="MBV76" s="26"/>
      <c r="MBW76" s="26"/>
      <c r="MBX76" s="22"/>
      <c r="MBY76" s="167"/>
      <c r="MBZ76" s="30"/>
      <c r="MCA76" s="25"/>
      <c r="MCB76" s="178"/>
      <c r="MCC76" s="26"/>
      <c r="MCD76" s="26"/>
      <c r="MCE76" s="26"/>
      <c r="MCF76" s="26"/>
      <c r="MCG76" s="26"/>
      <c r="MCH76" s="26"/>
      <c r="MCI76" s="58"/>
      <c r="MCJ76" s="26"/>
      <c r="MCK76" s="26"/>
      <c r="MCL76" s="26"/>
      <c r="MCM76" s="26"/>
      <c r="MCN76" s="22"/>
      <c r="MCO76" s="167"/>
      <c r="MCP76" s="30"/>
      <c r="MCQ76" s="25"/>
      <c r="MCR76" s="178"/>
      <c r="MCS76" s="26"/>
      <c r="MCT76" s="26"/>
      <c r="MCU76" s="26"/>
      <c r="MCV76" s="26"/>
      <c r="MCW76" s="26"/>
      <c r="MCX76" s="26"/>
      <c r="MCY76" s="58"/>
      <c r="MCZ76" s="26"/>
      <c r="MDA76" s="26"/>
      <c r="MDB76" s="26"/>
      <c r="MDC76" s="26"/>
      <c r="MDD76" s="22"/>
      <c r="MDE76" s="167"/>
      <c r="MDF76" s="30"/>
      <c r="MDG76" s="25"/>
      <c r="MDH76" s="178"/>
      <c r="MDI76" s="26"/>
      <c r="MDJ76" s="26"/>
      <c r="MDK76" s="26"/>
      <c r="MDL76" s="26"/>
      <c r="MDM76" s="26"/>
      <c r="MDN76" s="26"/>
      <c r="MDO76" s="58"/>
      <c r="MDP76" s="26"/>
      <c r="MDQ76" s="26"/>
      <c r="MDR76" s="26"/>
      <c r="MDS76" s="26"/>
      <c r="MDT76" s="22"/>
      <c r="MDU76" s="167"/>
      <c r="MDV76" s="30"/>
      <c r="MDW76" s="25"/>
      <c r="MDX76" s="178"/>
      <c r="MDY76" s="26"/>
      <c r="MDZ76" s="26"/>
      <c r="MEA76" s="26"/>
      <c r="MEB76" s="26"/>
      <c r="MEC76" s="26"/>
      <c r="MED76" s="26"/>
      <c r="MEE76" s="58"/>
      <c r="MEF76" s="26"/>
      <c r="MEG76" s="26"/>
      <c r="MEH76" s="26"/>
      <c r="MEI76" s="26"/>
      <c r="MEJ76" s="22"/>
      <c r="MEK76" s="167"/>
      <c r="MEL76" s="30"/>
      <c r="MEM76" s="25"/>
      <c r="MEN76" s="178"/>
      <c r="MEO76" s="26"/>
      <c r="MEP76" s="26"/>
      <c r="MEQ76" s="26"/>
      <c r="MER76" s="26"/>
      <c r="MES76" s="26"/>
      <c r="MET76" s="26"/>
      <c r="MEU76" s="58"/>
      <c r="MEV76" s="26"/>
      <c r="MEW76" s="26"/>
      <c r="MEX76" s="26"/>
      <c r="MEY76" s="26"/>
      <c r="MEZ76" s="22"/>
      <c r="MFA76" s="167"/>
      <c r="MFB76" s="30"/>
      <c r="MFC76" s="25"/>
      <c r="MFD76" s="178"/>
      <c r="MFE76" s="26"/>
      <c r="MFF76" s="26"/>
      <c r="MFG76" s="26"/>
      <c r="MFH76" s="26"/>
      <c r="MFI76" s="26"/>
      <c r="MFJ76" s="26"/>
      <c r="MFK76" s="58"/>
      <c r="MFL76" s="26"/>
      <c r="MFM76" s="26"/>
      <c r="MFN76" s="26"/>
      <c r="MFO76" s="26"/>
      <c r="MFP76" s="22"/>
      <c r="MFQ76" s="167"/>
      <c r="MFR76" s="30"/>
      <c r="MFS76" s="25"/>
      <c r="MFT76" s="178"/>
      <c r="MFU76" s="26"/>
      <c r="MFV76" s="26"/>
      <c r="MFW76" s="26"/>
      <c r="MFX76" s="26"/>
      <c r="MFY76" s="26"/>
      <c r="MFZ76" s="26"/>
      <c r="MGA76" s="58"/>
      <c r="MGB76" s="26"/>
      <c r="MGC76" s="26"/>
      <c r="MGD76" s="26"/>
      <c r="MGE76" s="26"/>
      <c r="MGF76" s="22"/>
      <c r="MGG76" s="167"/>
      <c r="MGH76" s="30"/>
      <c r="MGI76" s="25"/>
      <c r="MGJ76" s="178"/>
      <c r="MGK76" s="26"/>
      <c r="MGL76" s="26"/>
      <c r="MGM76" s="26"/>
      <c r="MGN76" s="26"/>
      <c r="MGO76" s="26"/>
      <c r="MGP76" s="26"/>
      <c r="MGQ76" s="58"/>
      <c r="MGR76" s="26"/>
      <c r="MGS76" s="26"/>
      <c r="MGT76" s="26"/>
      <c r="MGU76" s="26"/>
      <c r="MGV76" s="22"/>
      <c r="MGW76" s="167"/>
      <c r="MGX76" s="30"/>
      <c r="MGY76" s="25"/>
      <c r="MGZ76" s="178"/>
      <c r="MHA76" s="26"/>
      <c r="MHB76" s="26"/>
      <c r="MHC76" s="26"/>
      <c r="MHD76" s="26"/>
      <c r="MHE76" s="26"/>
      <c r="MHF76" s="26"/>
      <c r="MHG76" s="58"/>
      <c r="MHH76" s="26"/>
      <c r="MHI76" s="26"/>
      <c r="MHJ76" s="26"/>
      <c r="MHK76" s="26"/>
      <c r="MHL76" s="22"/>
      <c r="MHM76" s="167"/>
      <c r="MHN76" s="30"/>
      <c r="MHO76" s="25"/>
      <c r="MHP76" s="178"/>
      <c r="MHQ76" s="26"/>
      <c r="MHR76" s="26"/>
      <c r="MHS76" s="26"/>
      <c r="MHT76" s="26"/>
      <c r="MHU76" s="26"/>
      <c r="MHV76" s="26"/>
      <c r="MHW76" s="58"/>
      <c r="MHX76" s="26"/>
      <c r="MHY76" s="26"/>
      <c r="MHZ76" s="26"/>
      <c r="MIA76" s="26"/>
      <c r="MIB76" s="22"/>
      <c r="MIC76" s="167"/>
      <c r="MID76" s="30"/>
      <c r="MIE76" s="25"/>
      <c r="MIF76" s="178"/>
      <c r="MIG76" s="26"/>
      <c r="MIH76" s="26"/>
      <c r="MII76" s="26"/>
      <c r="MIJ76" s="26"/>
      <c r="MIK76" s="26"/>
      <c r="MIL76" s="26"/>
      <c r="MIM76" s="58"/>
      <c r="MIN76" s="26"/>
      <c r="MIO76" s="26"/>
      <c r="MIP76" s="26"/>
      <c r="MIQ76" s="26"/>
      <c r="MIR76" s="22"/>
      <c r="MIS76" s="167"/>
      <c r="MIT76" s="30"/>
      <c r="MIU76" s="25"/>
      <c r="MIV76" s="178"/>
      <c r="MIW76" s="26"/>
      <c r="MIX76" s="26"/>
      <c r="MIY76" s="26"/>
      <c r="MIZ76" s="26"/>
      <c r="MJA76" s="26"/>
      <c r="MJB76" s="26"/>
      <c r="MJC76" s="58"/>
      <c r="MJD76" s="26"/>
      <c r="MJE76" s="26"/>
      <c r="MJF76" s="26"/>
      <c r="MJG76" s="26"/>
      <c r="MJH76" s="22"/>
      <c r="MJI76" s="167"/>
      <c r="MJJ76" s="30"/>
      <c r="MJK76" s="25"/>
      <c r="MJL76" s="178"/>
      <c r="MJM76" s="26"/>
      <c r="MJN76" s="26"/>
      <c r="MJO76" s="26"/>
      <c r="MJP76" s="26"/>
      <c r="MJQ76" s="26"/>
      <c r="MJR76" s="26"/>
      <c r="MJS76" s="58"/>
      <c r="MJT76" s="26"/>
      <c r="MJU76" s="26"/>
      <c r="MJV76" s="26"/>
      <c r="MJW76" s="26"/>
      <c r="MJX76" s="22"/>
      <c r="MJY76" s="167"/>
      <c r="MJZ76" s="30"/>
      <c r="MKA76" s="25"/>
      <c r="MKB76" s="178"/>
      <c r="MKC76" s="26"/>
      <c r="MKD76" s="26"/>
      <c r="MKE76" s="26"/>
      <c r="MKF76" s="26"/>
      <c r="MKG76" s="26"/>
      <c r="MKH76" s="26"/>
      <c r="MKI76" s="58"/>
      <c r="MKJ76" s="26"/>
      <c r="MKK76" s="26"/>
      <c r="MKL76" s="26"/>
      <c r="MKM76" s="26"/>
      <c r="MKN76" s="22"/>
      <c r="MKO76" s="167"/>
      <c r="MKP76" s="30"/>
      <c r="MKQ76" s="25"/>
      <c r="MKR76" s="178"/>
      <c r="MKS76" s="26"/>
      <c r="MKT76" s="26"/>
      <c r="MKU76" s="26"/>
      <c r="MKV76" s="26"/>
      <c r="MKW76" s="26"/>
      <c r="MKX76" s="26"/>
      <c r="MKY76" s="58"/>
      <c r="MKZ76" s="26"/>
      <c r="MLA76" s="26"/>
      <c r="MLB76" s="26"/>
      <c r="MLC76" s="26"/>
      <c r="MLD76" s="22"/>
      <c r="MLE76" s="167"/>
      <c r="MLF76" s="30"/>
      <c r="MLG76" s="25"/>
      <c r="MLH76" s="178"/>
      <c r="MLI76" s="26"/>
      <c r="MLJ76" s="26"/>
      <c r="MLK76" s="26"/>
      <c r="MLL76" s="26"/>
      <c r="MLM76" s="26"/>
      <c r="MLN76" s="26"/>
      <c r="MLO76" s="58"/>
      <c r="MLP76" s="26"/>
      <c r="MLQ76" s="26"/>
      <c r="MLR76" s="26"/>
      <c r="MLS76" s="26"/>
      <c r="MLT76" s="22"/>
      <c r="MLU76" s="167"/>
      <c r="MLV76" s="30"/>
      <c r="MLW76" s="25"/>
      <c r="MLX76" s="178"/>
      <c r="MLY76" s="26"/>
      <c r="MLZ76" s="26"/>
      <c r="MMA76" s="26"/>
      <c r="MMB76" s="26"/>
      <c r="MMC76" s="26"/>
      <c r="MMD76" s="26"/>
      <c r="MME76" s="58"/>
      <c r="MMF76" s="26"/>
      <c r="MMG76" s="26"/>
      <c r="MMH76" s="26"/>
      <c r="MMI76" s="26"/>
      <c r="MMJ76" s="22"/>
      <c r="MMK76" s="167"/>
      <c r="MML76" s="30"/>
      <c r="MMM76" s="25"/>
      <c r="MMN76" s="178"/>
      <c r="MMO76" s="26"/>
      <c r="MMP76" s="26"/>
      <c r="MMQ76" s="26"/>
      <c r="MMR76" s="26"/>
      <c r="MMS76" s="26"/>
      <c r="MMT76" s="26"/>
      <c r="MMU76" s="58"/>
      <c r="MMV76" s="26"/>
      <c r="MMW76" s="26"/>
      <c r="MMX76" s="26"/>
      <c r="MMY76" s="26"/>
      <c r="MMZ76" s="22"/>
      <c r="MNA76" s="167"/>
      <c r="MNB76" s="30"/>
      <c r="MNC76" s="25"/>
      <c r="MND76" s="178"/>
      <c r="MNE76" s="26"/>
      <c r="MNF76" s="26"/>
      <c r="MNG76" s="26"/>
      <c r="MNH76" s="26"/>
      <c r="MNI76" s="26"/>
      <c r="MNJ76" s="26"/>
      <c r="MNK76" s="58"/>
      <c r="MNL76" s="26"/>
      <c r="MNM76" s="26"/>
      <c r="MNN76" s="26"/>
      <c r="MNO76" s="26"/>
      <c r="MNP76" s="22"/>
      <c r="MNQ76" s="167"/>
      <c r="MNR76" s="30"/>
      <c r="MNS76" s="25"/>
      <c r="MNT76" s="178"/>
      <c r="MNU76" s="26"/>
      <c r="MNV76" s="26"/>
      <c r="MNW76" s="26"/>
      <c r="MNX76" s="26"/>
      <c r="MNY76" s="26"/>
      <c r="MNZ76" s="26"/>
      <c r="MOA76" s="58"/>
      <c r="MOB76" s="26"/>
      <c r="MOC76" s="26"/>
      <c r="MOD76" s="26"/>
      <c r="MOE76" s="26"/>
      <c r="MOF76" s="22"/>
      <c r="MOG76" s="167"/>
      <c r="MOH76" s="30"/>
      <c r="MOI76" s="25"/>
      <c r="MOJ76" s="178"/>
      <c r="MOK76" s="26"/>
      <c r="MOL76" s="26"/>
      <c r="MOM76" s="26"/>
      <c r="MON76" s="26"/>
      <c r="MOO76" s="26"/>
      <c r="MOP76" s="26"/>
      <c r="MOQ76" s="58"/>
      <c r="MOR76" s="26"/>
      <c r="MOS76" s="26"/>
      <c r="MOT76" s="26"/>
      <c r="MOU76" s="26"/>
      <c r="MOV76" s="22"/>
      <c r="MOW76" s="167"/>
      <c r="MOX76" s="30"/>
      <c r="MOY76" s="25"/>
      <c r="MOZ76" s="178"/>
      <c r="MPA76" s="26"/>
      <c r="MPB76" s="26"/>
      <c r="MPC76" s="26"/>
      <c r="MPD76" s="26"/>
      <c r="MPE76" s="26"/>
      <c r="MPF76" s="26"/>
      <c r="MPG76" s="58"/>
      <c r="MPH76" s="26"/>
      <c r="MPI76" s="26"/>
      <c r="MPJ76" s="26"/>
      <c r="MPK76" s="26"/>
      <c r="MPL76" s="22"/>
      <c r="MPM76" s="167"/>
      <c r="MPN76" s="30"/>
      <c r="MPO76" s="25"/>
      <c r="MPP76" s="178"/>
      <c r="MPQ76" s="26"/>
      <c r="MPR76" s="26"/>
      <c r="MPS76" s="26"/>
      <c r="MPT76" s="26"/>
      <c r="MPU76" s="26"/>
      <c r="MPV76" s="26"/>
      <c r="MPW76" s="58"/>
      <c r="MPX76" s="26"/>
      <c r="MPY76" s="26"/>
      <c r="MPZ76" s="26"/>
      <c r="MQA76" s="26"/>
      <c r="MQB76" s="22"/>
      <c r="MQC76" s="167"/>
      <c r="MQD76" s="30"/>
      <c r="MQE76" s="25"/>
      <c r="MQF76" s="178"/>
      <c r="MQG76" s="26"/>
      <c r="MQH76" s="26"/>
      <c r="MQI76" s="26"/>
      <c r="MQJ76" s="26"/>
      <c r="MQK76" s="26"/>
      <c r="MQL76" s="26"/>
      <c r="MQM76" s="58"/>
      <c r="MQN76" s="26"/>
      <c r="MQO76" s="26"/>
      <c r="MQP76" s="26"/>
      <c r="MQQ76" s="26"/>
      <c r="MQR76" s="22"/>
      <c r="MQS76" s="167"/>
      <c r="MQT76" s="30"/>
      <c r="MQU76" s="25"/>
      <c r="MQV76" s="178"/>
      <c r="MQW76" s="26"/>
      <c r="MQX76" s="26"/>
      <c r="MQY76" s="26"/>
      <c r="MQZ76" s="26"/>
      <c r="MRA76" s="26"/>
      <c r="MRB76" s="26"/>
      <c r="MRC76" s="58"/>
      <c r="MRD76" s="26"/>
      <c r="MRE76" s="26"/>
      <c r="MRF76" s="26"/>
      <c r="MRG76" s="26"/>
      <c r="MRH76" s="22"/>
      <c r="MRI76" s="167"/>
      <c r="MRJ76" s="30"/>
      <c r="MRK76" s="25"/>
      <c r="MRL76" s="178"/>
      <c r="MRM76" s="26"/>
      <c r="MRN76" s="26"/>
      <c r="MRO76" s="26"/>
      <c r="MRP76" s="26"/>
      <c r="MRQ76" s="26"/>
      <c r="MRR76" s="26"/>
      <c r="MRS76" s="58"/>
      <c r="MRT76" s="26"/>
      <c r="MRU76" s="26"/>
      <c r="MRV76" s="26"/>
      <c r="MRW76" s="26"/>
      <c r="MRX76" s="22"/>
      <c r="MRY76" s="167"/>
      <c r="MRZ76" s="30"/>
      <c r="MSA76" s="25"/>
      <c r="MSB76" s="178"/>
      <c r="MSC76" s="26"/>
      <c r="MSD76" s="26"/>
      <c r="MSE76" s="26"/>
      <c r="MSF76" s="26"/>
      <c r="MSG76" s="26"/>
      <c r="MSH76" s="26"/>
      <c r="MSI76" s="58"/>
      <c r="MSJ76" s="26"/>
      <c r="MSK76" s="26"/>
      <c r="MSL76" s="26"/>
      <c r="MSM76" s="26"/>
      <c r="MSN76" s="22"/>
      <c r="MSO76" s="167"/>
      <c r="MSP76" s="30"/>
      <c r="MSQ76" s="25"/>
      <c r="MSR76" s="178"/>
      <c r="MSS76" s="26"/>
      <c r="MST76" s="26"/>
      <c r="MSU76" s="26"/>
      <c r="MSV76" s="26"/>
      <c r="MSW76" s="26"/>
      <c r="MSX76" s="26"/>
      <c r="MSY76" s="58"/>
      <c r="MSZ76" s="26"/>
      <c r="MTA76" s="26"/>
      <c r="MTB76" s="26"/>
      <c r="MTC76" s="26"/>
      <c r="MTD76" s="22"/>
      <c r="MTE76" s="167"/>
      <c r="MTF76" s="30"/>
      <c r="MTG76" s="25"/>
      <c r="MTH76" s="178"/>
      <c r="MTI76" s="26"/>
      <c r="MTJ76" s="26"/>
      <c r="MTK76" s="26"/>
      <c r="MTL76" s="26"/>
      <c r="MTM76" s="26"/>
      <c r="MTN76" s="26"/>
      <c r="MTO76" s="58"/>
      <c r="MTP76" s="26"/>
      <c r="MTQ76" s="26"/>
      <c r="MTR76" s="26"/>
      <c r="MTS76" s="26"/>
      <c r="MTT76" s="22"/>
      <c r="MTU76" s="167"/>
      <c r="MTV76" s="30"/>
      <c r="MTW76" s="25"/>
      <c r="MTX76" s="178"/>
      <c r="MTY76" s="26"/>
      <c r="MTZ76" s="26"/>
      <c r="MUA76" s="26"/>
      <c r="MUB76" s="26"/>
      <c r="MUC76" s="26"/>
      <c r="MUD76" s="26"/>
      <c r="MUE76" s="58"/>
      <c r="MUF76" s="26"/>
      <c r="MUG76" s="26"/>
      <c r="MUH76" s="26"/>
      <c r="MUI76" s="26"/>
      <c r="MUJ76" s="22"/>
      <c r="MUK76" s="167"/>
      <c r="MUL76" s="30"/>
      <c r="MUM76" s="25"/>
      <c r="MUN76" s="178"/>
      <c r="MUO76" s="26"/>
      <c r="MUP76" s="26"/>
      <c r="MUQ76" s="26"/>
      <c r="MUR76" s="26"/>
      <c r="MUS76" s="26"/>
      <c r="MUT76" s="26"/>
      <c r="MUU76" s="58"/>
      <c r="MUV76" s="26"/>
      <c r="MUW76" s="26"/>
      <c r="MUX76" s="26"/>
      <c r="MUY76" s="26"/>
      <c r="MUZ76" s="22"/>
      <c r="MVA76" s="167"/>
      <c r="MVB76" s="30"/>
      <c r="MVC76" s="25"/>
      <c r="MVD76" s="178"/>
      <c r="MVE76" s="26"/>
      <c r="MVF76" s="26"/>
      <c r="MVG76" s="26"/>
      <c r="MVH76" s="26"/>
      <c r="MVI76" s="26"/>
      <c r="MVJ76" s="26"/>
      <c r="MVK76" s="58"/>
      <c r="MVL76" s="26"/>
      <c r="MVM76" s="26"/>
      <c r="MVN76" s="26"/>
      <c r="MVO76" s="26"/>
      <c r="MVP76" s="22"/>
      <c r="MVQ76" s="167"/>
      <c r="MVR76" s="30"/>
      <c r="MVS76" s="25"/>
      <c r="MVT76" s="178"/>
      <c r="MVU76" s="26"/>
      <c r="MVV76" s="26"/>
      <c r="MVW76" s="26"/>
      <c r="MVX76" s="26"/>
      <c r="MVY76" s="26"/>
      <c r="MVZ76" s="26"/>
      <c r="MWA76" s="58"/>
      <c r="MWB76" s="26"/>
      <c r="MWC76" s="26"/>
      <c r="MWD76" s="26"/>
      <c r="MWE76" s="26"/>
      <c r="MWF76" s="22"/>
      <c r="MWG76" s="167"/>
      <c r="MWH76" s="30"/>
      <c r="MWI76" s="25"/>
      <c r="MWJ76" s="178"/>
      <c r="MWK76" s="26"/>
      <c r="MWL76" s="26"/>
      <c r="MWM76" s="26"/>
      <c r="MWN76" s="26"/>
      <c r="MWO76" s="26"/>
      <c r="MWP76" s="26"/>
      <c r="MWQ76" s="58"/>
      <c r="MWR76" s="26"/>
      <c r="MWS76" s="26"/>
      <c r="MWT76" s="26"/>
      <c r="MWU76" s="26"/>
      <c r="MWV76" s="22"/>
      <c r="MWW76" s="167"/>
      <c r="MWX76" s="30"/>
      <c r="MWY76" s="25"/>
      <c r="MWZ76" s="178"/>
      <c r="MXA76" s="26"/>
      <c r="MXB76" s="26"/>
      <c r="MXC76" s="26"/>
      <c r="MXD76" s="26"/>
      <c r="MXE76" s="26"/>
      <c r="MXF76" s="26"/>
      <c r="MXG76" s="58"/>
      <c r="MXH76" s="26"/>
      <c r="MXI76" s="26"/>
      <c r="MXJ76" s="26"/>
      <c r="MXK76" s="26"/>
      <c r="MXL76" s="22"/>
      <c r="MXM76" s="167"/>
      <c r="MXN76" s="30"/>
      <c r="MXO76" s="25"/>
      <c r="MXP76" s="178"/>
      <c r="MXQ76" s="26"/>
      <c r="MXR76" s="26"/>
      <c r="MXS76" s="26"/>
      <c r="MXT76" s="26"/>
      <c r="MXU76" s="26"/>
      <c r="MXV76" s="26"/>
      <c r="MXW76" s="58"/>
      <c r="MXX76" s="26"/>
      <c r="MXY76" s="26"/>
      <c r="MXZ76" s="26"/>
      <c r="MYA76" s="26"/>
      <c r="MYB76" s="22"/>
      <c r="MYC76" s="167"/>
      <c r="MYD76" s="30"/>
      <c r="MYE76" s="25"/>
      <c r="MYF76" s="178"/>
      <c r="MYG76" s="26"/>
      <c r="MYH76" s="26"/>
      <c r="MYI76" s="26"/>
      <c r="MYJ76" s="26"/>
      <c r="MYK76" s="26"/>
      <c r="MYL76" s="26"/>
      <c r="MYM76" s="58"/>
      <c r="MYN76" s="26"/>
      <c r="MYO76" s="26"/>
      <c r="MYP76" s="26"/>
      <c r="MYQ76" s="26"/>
      <c r="MYR76" s="22"/>
      <c r="MYS76" s="167"/>
      <c r="MYT76" s="30"/>
      <c r="MYU76" s="25"/>
      <c r="MYV76" s="178"/>
      <c r="MYW76" s="26"/>
      <c r="MYX76" s="26"/>
      <c r="MYY76" s="26"/>
      <c r="MYZ76" s="26"/>
      <c r="MZA76" s="26"/>
      <c r="MZB76" s="26"/>
      <c r="MZC76" s="58"/>
      <c r="MZD76" s="26"/>
      <c r="MZE76" s="26"/>
      <c r="MZF76" s="26"/>
      <c r="MZG76" s="26"/>
      <c r="MZH76" s="22"/>
      <c r="MZI76" s="167"/>
      <c r="MZJ76" s="30"/>
      <c r="MZK76" s="25"/>
      <c r="MZL76" s="178"/>
      <c r="MZM76" s="26"/>
      <c r="MZN76" s="26"/>
      <c r="MZO76" s="26"/>
      <c r="MZP76" s="26"/>
      <c r="MZQ76" s="26"/>
      <c r="MZR76" s="26"/>
      <c r="MZS76" s="58"/>
      <c r="MZT76" s="26"/>
      <c r="MZU76" s="26"/>
      <c r="MZV76" s="26"/>
      <c r="MZW76" s="26"/>
      <c r="MZX76" s="22"/>
      <c r="MZY76" s="167"/>
      <c r="MZZ76" s="30"/>
      <c r="NAA76" s="25"/>
      <c r="NAB76" s="178"/>
      <c r="NAC76" s="26"/>
      <c r="NAD76" s="26"/>
      <c r="NAE76" s="26"/>
      <c r="NAF76" s="26"/>
      <c r="NAG76" s="26"/>
      <c r="NAH76" s="26"/>
      <c r="NAI76" s="58"/>
      <c r="NAJ76" s="26"/>
      <c r="NAK76" s="26"/>
      <c r="NAL76" s="26"/>
      <c r="NAM76" s="26"/>
      <c r="NAN76" s="22"/>
      <c r="NAO76" s="167"/>
      <c r="NAP76" s="30"/>
      <c r="NAQ76" s="25"/>
      <c r="NAR76" s="178"/>
      <c r="NAS76" s="26"/>
      <c r="NAT76" s="26"/>
      <c r="NAU76" s="26"/>
      <c r="NAV76" s="26"/>
      <c r="NAW76" s="26"/>
      <c r="NAX76" s="26"/>
      <c r="NAY76" s="58"/>
      <c r="NAZ76" s="26"/>
      <c r="NBA76" s="26"/>
      <c r="NBB76" s="26"/>
      <c r="NBC76" s="26"/>
      <c r="NBD76" s="22"/>
      <c r="NBE76" s="167"/>
      <c r="NBF76" s="30"/>
      <c r="NBG76" s="25"/>
      <c r="NBH76" s="178"/>
      <c r="NBI76" s="26"/>
      <c r="NBJ76" s="26"/>
      <c r="NBK76" s="26"/>
      <c r="NBL76" s="26"/>
      <c r="NBM76" s="26"/>
      <c r="NBN76" s="26"/>
      <c r="NBO76" s="58"/>
      <c r="NBP76" s="26"/>
      <c r="NBQ76" s="26"/>
      <c r="NBR76" s="26"/>
      <c r="NBS76" s="26"/>
      <c r="NBT76" s="22"/>
      <c r="NBU76" s="167"/>
      <c r="NBV76" s="30"/>
      <c r="NBW76" s="25"/>
      <c r="NBX76" s="178"/>
      <c r="NBY76" s="26"/>
      <c r="NBZ76" s="26"/>
      <c r="NCA76" s="26"/>
      <c r="NCB76" s="26"/>
      <c r="NCC76" s="26"/>
      <c r="NCD76" s="26"/>
      <c r="NCE76" s="58"/>
      <c r="NCF76" s="26"/>
      <c r="NCG76" s="26"/>
      <c r="NCH76" s="26"/>
      <c r="NCI76" s="26"/>
      <c r="NCJ76" s="22"/>
      <c r="NCK76" s="167"/>
      <c r="NCL76" s="30"/>
      <c r="NCM76" s="25"/>
      <c r="NCN76" s="178"/>
      <c r="NCO76" s="26"/>
      <c r="NCP76" s="26"/>
      <c r="NCQ76" s="26"/>
      <c r="NCR76" s="26"/>
      <c r="NCS76" s="26"/>
      <c r="NCT76" s="26"/>
      <c r="NCU76" s="58"/>
      <c r="NCV76" s="26"/>
      <c r="NCW76" s="26"/>
      <c r="NCX76" s="26"/>
      <c r="NCY76" s="26"/>
      <c r="NCZ76" s="22"/>
      <c r="NDA76" s="167"/>
      <c r="NDB76" s="30"/>
      <c r="NDC76" s="25"/>
      <c r="NDD76" s="178"/>
      <c r="NDE76" s="26"/>
      <c r="NDF76" s="26"/>
      <c r="NDG76" s="26"/>
      <c r="NDH76" s="26"/>
      <c r="NDI76" s="26"/>
      <c r="NDJ76" s="26"/>
      <c r="NDK76" s="58"/>
      <c r="NDL76" s="26"/>
      <c r="NDM76" s="26"/>
      <c r="NDN76" s="26"/>
      <c r="NDO76" s="26"/>
      <c r="NDP76" s="22"/>
      <c r="NDQ76" s="167"/>
      <c r="NDR76" s="30"/>
      <c r="NDS76" s="25"/>
      <c r="NDT76" s="178"/>
      <c r="NDU76" s="26"/>
      <c r="NDV76" s="26"/>
      <c r="NDW76" s="26"/>
      <c r="NDX76" s="26"/>
      <c r="NDY76" s="26"/>
      <c r="NDZ76" s="26"/>
      <c r="NEA76" s="58"/>
      <c r="NEB76" s="26"/>
      <c r="NEC76" s="26"/>
      <c r="NED76" s="26"/>
      <c r="NEE76" s="26"/>
      <c r="NEF76" s="22"/>
      <c r="NEG76" s="167"/>
      <c r="NEH76" s="30"/>
      <c r="NEI76" s="25"/>
      <c r="NEJ76" s="178"/>
      <c r="NEK76" s="26"/>
      <c r="NEL76" s="26"/>
      <c r="NEM76" s="26"/>
      <c r="NEN76" s="26"/>
      <c r="NEO76" s="26"/>
      <c r="NEP76" s="26"/>
      <c r="NEQ76" s="58"/>
      <c r="NER76" s="26"/>
      <c r="NES76" s="26"/>
      <c r="NET76" s="26"/>
      <c r="NEU76" s="26"/>
      <c r="NEV76" s="22"/>
      <c r="NEW76" s="167"/>
      <c r="NEX76" s="30"/>
      <c r="NEY76" s="25"/>
      <c r="NEZ76" s="178"/>
      <c r="NFA76" s="26"/>
      <c r="NFB76" s="26"/>
      <c r="NFC76" s="26"/>
      <c r="NFD76" s="26"/>
      <c r="NFE76" s="26"/>
      <c r="NFF76" s="26"/>
      <c r="NFG76" s="58"/>
      <c r="NFH76" s="26"/>
      <c r="NFI76" s="26"/>
      <c r="NFJ76" s="26"/>
      <c r="NFK76" s="26"/>
      <c r="NFL76" s="22"/>
      <c r="NFM76" s="167"/>
      <c r="NFN76" s="30"/>
      <c r="NFO76" s="25"/>
      <c r="NFP76" s="178"/>
      <c r="NFQ76" s="26"/>
      <c r="NFR76" s="26"/>
      <c r="NFS76" s="26"/>
      <c r="NFT76" s="26"/>
      <c r="NFU76" s="26"/>
      <c r="NFV76" s="26"/>
      <c r="NFW76" s="58"/>
      <c r="NFX76" s="26"/>
      <c r="NFY76" s="26"/>
      <c r="NFZ76" s="26"/>
      <c r="NGA76" s="26"/>
      <c r="NGB76" s="22"/>
      <c r="NGC76" s="167"/>
      <c r="NGD76" s="30"/>
      <c r="NGE76" s="25"/>
      <c r="NGF76" s="178"/>
      <c r="NGG76" s="26"/>
      <c r="NGH76" s="26"/>
      <c r="NGI76" s="26"/>
      <c r="NGJ76" s="26"/>
      <c r="NGK76" s="26"/>
      <c r="NGL76" s="26"/>
      <c r="NGM76" s="58"/>
      <c r="NGN76" s="26"/>
      <c r="NGO76" s="26"/>
      <c r="NGP76" s="26"/>
      <c r="NGQ76" s="26"/>
      <c r="NGR76" s="22"/>
      <c r="NGS76" s="167"/>
      <c r="NGT76" s="30"/>
      <c r="NGU76" s="25"/>
      <c r="NGV76" s="178"/>
      <c r="NGW76" s="26"/>
      <c r="NGX76" s="26"/>
      <c r="NGY76" s="26"/>
      <c r="NGZ76" s="26"/>
      <c r="NHA76" s="26"/>
      <c r="NHB76" s="26"/>
      <c r="NHC76" s="58"/>
      <c r="NHD76" s="26"/>
      <c r="NHE76" s="26"/>
      <c r="NHF76" s="26"/>
      <c r="NHG76" s="26"/>
      <c r="NHH76" s="22"/>
      <c r="NHI76" s="167"/>
      <c r="NHJ76" s="30"/>
      <c r="NHK76" s="25"/>
      <c r="NHL76" s="178"/>
      <c r="NHM76" s="26"/>
      <c r="NHN76" s="26"/>
      <c r="NHO76" s="26"/>
      <c r="NHP76" s="26"/>
      <c r="NHQ76" s="26"/>
      <c r="NHR76" s="26"/>
      <c r="NHS76" s="58"/>
      <c r="NHT76" s="26"/>
      <c r="NHU76" s="26"/>
      <c r="NHV76" s="26"/>
      <c r="NHW76" s="26"/>
      <c r="NHX76" s="22"/>
      <c r="NHY76" s="167"/>
      <c r="NHZ76" s="30"/>
      <c r="NIA76" s="25"/>
      <c r="NIB76" s="178"/>
      <c r="NIC76" s="26"/>
      <c r="NID76" s="26"/>
      <c r="NIE76" s="26"/>
      <c r="NIF76" s="26"/>
      <c r="NIG76" s="26"/>
      <c r="NIH76" s="26"/>
      <c r="NII76" s="58"/>
      <c r="NIJ76" s="26"/>
      <c r="NIK76" s="26"/>
      <c r="NIL76" s="26"/>
      <c r="NIM76" s="26"/>
      <c r="NIN76" s="22"/>
      <c r="NIO76" s="167"/>
      <c r="NIP76" s="30"/>
      <c r="NIQ76" s="25"/>
      <c r="NIR76" s="178"/>
      <c r="NIS76" s="26"/>
      <c r="NIT76" s="26"/>
      <c r="NIU76" s="26"/>
      <c r="NIV76" s="26"/>
      <c r="NIW76" s="26"/>
      <c r="NIX76" s="26"/>
      <c r="NIY76" s="58"/>
      <c r="NIZ76" s="26"/>
      <c r="NJA76" s="26"/>
      <c r="NJB76" s="26"/>
      <c r="NJC76" s="26"/>
      <c r="NJD76" s="22"/>
      <c r="NJE76" s="167"/>
      <c r="NJF76" s="30"/>
      <c r="NJG76" s="25"/>
      <c r="NJH76" s="178"/>
      <c r="NJI76" s="26"/>
      <c r="NJJ76" s="26"/>
      <c r="NJK76" s="26"/>
      <c r="NJL76" s="26"/>
      <c r="NJM76" s="26"/>
      <c r="NJN76" s="26"/>
      <c r="NJO76" s="58"/>
      <c r="NJP76" s="26"/>
      <c r="NJQ76" s="26"/>
      <c r="NJR76" s="26"/>
      <c r="NJS76" s="26"/>
      <c r="NJT76" s="22"/>
      <c r="NJU76" s="167"/>
      <c r="NJV76" s="30"/>
      <c r="NJW76" s="25"/>
      <c r="NJX76" s="178"/>
      <c r="NJY76" s="26"/>
      <c r="NJZ76" s="26"/>
      <c r="NKA76" s="26"/>
      <c r="NKB76" s="26"/>
      <c r="NKC76" s="26"/>
      <c r="NKD76" s="26"/>
      <c r="NKE76" s="58"/>
      <c r="NKF76" s="26"/>
      <c r="NKG76" s="26"/>
      <c r="NKH76" s="26"/>
      <c r="NKI76" s="26"/>
      <c r="NKJ76" s="22"/>
      <c r="NKK76" s="167"/>
      <c r="NKL76" s="30"/>
      <c r="NKM76" s="25"/>
      <c r="NKN76" s="178"/>
      <c r="NKO76" s="26"/>
      <c r="NKP76" s="26"/>
      <c r="NKQ76" s="26"/>
      <c r="NKR76" s="26"/>
      <c r="NKS76" s="26"/>
      <c r="NKT76" s="26"/>
      <c r="NKU76" s="58"/>
      <c r="NKV76" s="26"/>
      <c r="NKW76" s="26"/>
      <c r="NKX76" s="26"/>
      <c r="NKY76" s="26"/>
      <c r="NKZ76" s="22"/>
      <c r="NLA76" s="167"/>
      <c r="NLB76" s="30"/>
      <c r="NLC76" s="25"/>
      <c r="NLD76" s="178"/>
      <c r="NLE76" s="26"/>
      <c r="NLF76" s="26"/>
      <c r="NLG76" s="26"/>
      <c r="NLH76" s="26"/>
      <c r="NLI76" s="26"/>
      <c r="NLJ76" s="26"/>
      <c r="NLK76" s="58"/>
      <c r="NLL76" s="26"/>
      <c r="NLM76" s="26"/>
      <c r="NLN76" s="26"/>
      <c r="NLO76" s="26"/>
      <c r="NLP76" s="22"/>
      <c r="NLQ76" s="167"/>
      <c r="NLR76" s="30"/>
      <c r="NLS76" s="25"/>
      <c r="NLT76" s="178"/>
      <c r="NLU76" s="26"/>
      <c r="NLV76" s="26"/>
      <c r="NLW76" s="26"/>
      <c r="NLX76" s="26"/>
      <c r="NLY76" s="26"/>
      <c r="NLZ76" s="26"/>
      <c r="NMA76" s="58"/>
      <c r="NMB76" s="26"/>
      <c r="NMC76" s="26"/>
      <c r="NMD76" s="26"/>
      <c r="NME76" s="26"/>
      <c r="NMF76" s="22"/>
      <c r="NMG76" s="167"/>
      <c r="NMH76" s="30"/>
      <c r="NMI76" s="25"/>
      <c r="NMJ76" s="178"/>
      <c r="NMK76" s="26"/>
      <c r="NML76" s="26"/>
      <c r="NMM76" s="26"/>
      <c r="NMN76" s="26"/>
      <c r="NMO76" s="26"/>
      <c r="NMP76" s="26"/>
      <c r="NMQ76" s="58"/>
      <c r="NMR76" s="26"/>
      <c r="NMS76" s="26"/>
      <c r="NMT76" s="26"/>
      <c r="NMU76" s="26"/>
      <c r="NMV76" s="22"/>
      <c r="NMW76" s="167"/>
      <c r="NMX76" s="30"/>
      <c r="NMY76" s="25"/>
      <c r="NMZ76" s="178"/>
      <c r="NNA76" s="26"/>
      <c r="NNB76" s="26"/>
      <c r="NNC76" s="26"/>
      <c r="NND76" s="26"/>
      <c r="NNE76" s="26"/>
      <c r="NNF76" s="26"/>
      <c r="NNG76" s="58"/>
      <c r="NNH76" s="26"/>
      <c r="NNI76" s="26"/>
      <c r="NNJ76" s="26"/>
      <c r="NNK76" s="26"/>
      <c r="NNL76" s="22"/>
      <c r="NNM76" s="167"/>
      <c r="NNN76" s="30"/>
      <c r="NNO76" s="25"/>
      <c r="NNP76" s="178"/>
      <c r="NNQ76" s="26"/>
      <c r="NNR76" s="26"/>
      <c r="NNS76" s="26"/>
      <c r="NNT76" s="26"/>
      <c r="NNU76" s="26"/>
      <c r="NNV76" s="26"/>
      <c r="NNW76" s="58"/>
      <c r="NNX76" s="26"/>
      <c r="NNY76" s="26"/>
      <c r="NNZ76" s="26"/>
      <c r="NOA76" s="26"/>
      <c r="NOB76" s="22"/>
      <c r="NOC76" s="167"/>
      <c r="NOD76" s="30"/>
      <c r="NOE76" s="25"/>
      <c r="NOF76" s="178"/>
      <c r="NOG76" s="26"/>
      <c r="NOH76" s="26"/>
      <c r="NOI76" s="26"/>
      <c r="NOJ76" s="26"/>
      <c r="NOK76" s="26"/>
      <c r="NOL76" s="26"/>
      <c r="NOM76" s="58"/>
      <c r="NON76" s="26"/>
      <c r="NOO76" s="26"/>
      <c r="NOP76" s="26"/>
      <c r="NOQ76" s="26"/>
      <c r="NOR76" s="22"/>
      <c r="NOS76" s="167"/>
      <c r="NOT76" s="30"/>
      <c r="NOU76" s="25"/>
      <c r="NOV76" s="178"/>
      <c r="NOW76" s="26"/>
      <c r="NOX76" s="26"/>
      <c r="NOY76" s="26"/>
      <c r="NOZ76" s="26"/>
      <c r="NPA76" s="26"/>
      <c r="NPB76" s="26"/>
      <c r="NPC76" s="58"/>
      <c r="NPD76" s="26"/>
      <c r="NPE76" s="26"/>
      <c r="NPF76" s="26"/>
      <c r="NPG76" s="26"/>
      <c r="NPH76" s="22"/>
      <c r="NPI76" s="167"/>
      <c r="NPJ76" s="30"/>
      <c r="NPK76" s="25"/>
      <c r="NPL76" s="178"/>
      <c r="NPM76" s="26"/>
      <c r="NPN76" s="26"/>
      <c r="NPO76" s="26"/>
      <c r="NPP76" s="26"/>
      <c r="NPQ76" s="26"/>
      <c r="NPR76" s="26"/>
      <c r="NPS76" s="58"/>
      <c r="NPT76" s="26"/>
      <c r="NPU76" s="26"/>
      <c r="NPV76" s="26"/>
      <c r="NPW76" s="26"/>
      <c r="NPX76" s="22"/>
      <c r="NPY76" s="167"/>
      <c r="NPZ76" s="30"/>
      <c r="NQA76" s="25"/>
      <c r="NQB76" s="178"/>
      <c r="NQC76" s="26"/>
      <c r="NQD76" s="26"/>
      <c r="NQE76" s="26"/>
      <c r="NQF76" s="26"/>
      <c r="NQG76" s="26"/>
      <c r="NQH76" s="26"/>
      <c r="NQI76" s="58"/>
      <c r="NQJ76" s="26"/>
      <c r="NQK76" s="26"/>
      <c r="NQL76" s="26"/>
      <c r="NQM76" s="26"/>
      <c r="NQN76" s="22"/>
      <c r="NQO76" s="167"/>
      <c r="NQP76" s="30"/>
      <c r="NQQ76" s="25"/>
      <c r="NQR76" s="178"/>
      <c r="NQS76" s="26"/>
      <c r="NQT76" s="26"/>
      <c r="NQU76" s="26"/>
      <c r="NQV76" s="26"/>
      <c r="NQW76" s="26"/>
      <c r="NQX76" s="26"/>
      <c r="NQY76" s="58"/>
      <c r="NQZ76" s="26"/>
      <c r="NRA76" s="26"/>
      <c r="NRB76" s="26"/>
      <c r="NRC76" s="26"/>
      <c r="NRD76" s="22"/>
      <c r="NRE76" s="167"/>
      <c r="NRF76" s="30"/>
      <c r="NRG76" s="25"/>
      <c r="NRH76" s="178"/>
      <c r="NRI76" s="26"/>
      <c r="NRJ76" s="26"/>
      <c r="NRK76" s="26"/>
      <c r="NRL76" s="26"/>
      <c r="NRM76" s="26"/>
      <c r="NRN76" s="26"/>
      <c r="NRO76" s="58"/>
      <c r="NRP76" s="26"/>
      <c r="NRQ76" s="26"/>
      <c r="NRR76" s="26"/>
      <c r="NRS76" s="26"/>
      <c r="NRT76" s="22"/>
      <c r="NRU76" s="167"/>
      <c r="NRV76" s="30"/>
      <c r="NRW76" s="25"/>
      <c r="NRX76" s="178"/>
      <c r="NRY76" s="26"/>
      <c r="NRZ76" s="26"/>
      <c r="NSA76" s="26"/>
      <c r="NSB76" s="26"/>
      <c r="NSC76" s="26"/>
      <c r="NSD76" s="26"/>
      <c r="NSE76" s="58"/>
      <c r="NSF76" s="26"/>
      <c r="NSG76" s="26"/>
      <c r="NSH76" s="26"/>
      <c r="NSI76" s="26"/>
      <c r="NSJ76" s="22"/>
      <c r="NSK76" s="167"/>
      <c r="NSL76" s="30"/>
      <c r="NSM76" s="25"/>
      <c r="NSN76" s="178"/>
      <c r="NSO76" s="26"/>
      <c r="NSP76" s="26"/>
      <c r="NSQ76" s="26"/>
      <c r="NSR76" s="26"/>
      <c r="NSS76" s="26"/>
      <c r="NST76" s="26"/>
      <c r="NSU76" s="58"/>
      <c r="NSV76" s="26"/>
      <c r="NSW76" s="26"/>
      <c r="NSX76" s="26"/>
      <c r="NSY76" s="26"/>
      <c r="NSZ76" s="22"/>
      <c r="NTA76" s="167"/>
      <c r="NTB76" s="30"/>
      <c r="NTC76" s="25"/>
      <c r="NTD76" s="178"/>
      <c r="NTE76" s="26"/>
      <c r="NTF76" s="26"/>
      <c r="NTG76" s="26"/>
      <c r="NTH76" s="26"/>
      <c r="NTI76" s="26"/>
      <c r="NTJ76" s="26"/>
      <c r="NTK76" s="58"/>
      <c r="NTL76" s="26"/>
      <c r="NTM76" s="26"/>
      <c r="NTN76" s="26"/>
      <c r="NTO76" s="26"/>
      <c r="NTP76" s="22"/>
      <c r="NTQ76" s="167"/>
      <c r="NTR76" s="30"/>
      <c r="NTS76" s="25"/>
      <c r="NTT76" s="178"/>
      <c r="NTU76" s="26"/>
      <c r="NTV76" s="26"/>
      <c r="NTW76" s="26"/>
      <c r="NTX76" s="26"/>
      <c r="NTY76" s="26"/>
      <c r="NTZ76" s="26"/>
      <c r="NUA76" s="58"/>
      <c r="NUB76" s="26"/>
      <c r="NUC76" s="26"/>
      <c r="NUD76" s="26"/>
      <c r="NUE76" s="26"/>
      <c r="NUF76" s="22"/>
      <c r="NUG76" s="167"/>
      <c r="NUH76" s="30"/>
      <c r="NUI76" s="25"/>
      <c r="NUJ76" s="178"/>
      <c r="NUK76" s="26"/>
      <c r="NUL76" s="26"/>
      <c r="NUM76" s="26"/>
      <c r="NUN76" s="26"/>
      <c r="NUO76" s="26"/>
      <c r="NUP76" s="26"/>
      <c r="NUQ76" s="58"/>
      <c r="NUR76" s="26"/>
      <c r="NUS76" s="26"/>
      <c r="NUT76" s="26"/>
      <c r="NUU76" s="26"/>
      <c r="NUV76" s="22"/>
      <c r="NUW76" s="167"/>
      <c r="NUX76" s="30"/>
      <c r="NUY76" s="25"/>
      <c r="NUZ76" s="178"/>
      <c r="NVA76" s="26"/>
      <c r="NVB76" s="26"/>
      <c r="NVC76" s="26"/>
      <c r="NVD76" s="26"/>
      <c r="NVE76" s="26"/>
      <c r="NVF76" s="26"/>
      <c r="NVG76" s="58"/>
      <c r="NVH76" s="26"/>
      <c r="NVI76" s="26"/>
      <c r="NVJ76" s="26"/>
      <c r="NVK76" s="26"/>
      <c r="NVL76" s="22"/>
      <c r="NVM76" s="167"/>
      <c r="NVN76" s="30"/>
      <c r="NVO76" s="25"/>
      <c r="NVP76" s="178"/>
      <c r="NVQ76" s="26"/>
      <c r="NVR76" s="26"/>
      <c r="NVS76" s="26"/>
      <c r="NVT76" s="26"/>
      <c r="NVU76" s="26"/>
      <c r="NVV76" s="26"/>
      <c r="NVW76" s="58"/>
      <c r="NVX76" s="26"/>
      <c r="NVY76" s="26"/>
      <c r="NVZ76" s="26"/>
      <c r="NWA76" s="26"/>
      <c r="NWB76" s="22"/>
      <c r="NWC76" s="167"/>
      <c r="NWD76" s="30"/>
      <c r="NWE76" s="25"/>
      <c r="NWF76" s="178"/>
      <c r="NWG76" s="26"/>
      <c r="NWH76" s="26"/>
      <c r="NWI76" s="26"/>
      <c r="NWJ76" s="26"/>
      <c r="NWK76" s="26"/>
      <c r="NWL76" s="26"/>
      <c r="NWM76" s="58"/>
      <c r="NWN76" s="26"/>
      <c r="NWO76" s="26"/>
      <c r="NWP76" s="26"/>
      <c r="NWQ76" s="26"/>
      <c r="NWR76" s="22"/>
      <c r="NWS76" s="167"/>
      <c r="NWT76" s="30"/>
      <c r="NWU76" s="25"/>
      <c r="NWV76" s="178"/>
      <c r="NWW76" s="26"/>
      <c r="NWX76" s="26"/>
      <c r="NWY76" s="26"/>
      <c r="NWZ76" s="26"/>
      <c r="NXA76" s="26"/>
      <c r="NXB76" s="26"/>
      <c r="NXC76" s="58"/>
      <c r="NXD76" s="26"/>
      <c r="NXE76" s="26"/>
      <c r="NXF76" s="26"/>
      <c r="NXG76" s="26"/>
      <c r="NXH76" s="22"/>
      <c r="NXI76" s="167"/>
      <c r="NXJ76" s="30"/>
      <c r="NXK76" s="25"/>
      <c r="NXL76" s="178"/>
      <c r="NXM76" s="26"/>
      <c r="NXN76" s="26"/>
      <c r="NXO76" s="26"/>
      <c r="NXP76" s="26"/>
      <c r="NXQ76" s="26"/>
      <c r="NXR76" s="26"/>
      <c r="NXS76" s="58"/>
      <c r="NXT76" s="26"/>
      <c r="NXU76" s="26"/>
      <c r="NXV76" s="26"/>
      <c r="NXW76" s="26"/>
      <c r="NXX76" s="22"/>
      <c r="NXY76" s="167"/>
      <c r="NXZ76" s="30"/>
      <c r="NYA76" s="25"/>
      <c r="NYB76" s="178"/>
      <c r="NYC76" s="26"/>
      <c r="NYD76" s="26"/>
      <c r="NYE76" s="26"/>
      <c r="NYF76" s="26"/>
      <c r="NYG76" s="26"/>
      <c r="NYH76" s="26"/>
      <c r="NYI76" s="58"/>
      <c r="NYJ76" s="26"/>
      <c r="NYK76" s="26"/>
      <c r="NYL76" s="26"/>
      <c r="NYM76" s="26"/>
      <c r="NYN76" s="22"/>
      <c r="NYO76" s="167"/>
      <c r="NYP76" s="30"/>
      <c r="NYQ76" s="25"/>
      <c r="NYR76" s="178"/>
      <c r="NYS76" s="26"/>
      <c r="NYT76" s="26"/>
      <c r="NYU76" s="26"/>
      <c r="NYV76" s="26"/>
      <c r="NYW76" s="26"/>
      <c r="NYX76" s="26"/>
      <c r="NYY76" s="58"/>
      <c r="NYZ76" s="26"/>
      <c r="NZA76" s="26"/>
      <c r="NZB76" s="26"/>
      <c r="NZC76" s="26"/>
      <c r="NZD76" s="22"/>
      <c r="NZE76" s="167"/>
      <c r="NZF76" s="30"/>
      <c r="NZG76" s="25"/>
      <c r="NZH76" s="178"/>
      <c r="NZI76" s="26"/>
      <c r="NZJ76" s="26"/>
      <c r="NZK76" s="26"/>
      <c r="NZL76" s="26"/>
      <c r="NZM76" s="26"/>
      <c r="NZN76" s="26"/>
      <c r="NZO76" s="58"/>
      <c r="NZP76" s="26"/>
      <c r="NZQ76" s="26"/>
      <c r="NZR76" s="26"/>
      <c r="NZS76" s="26"/>
      <c r="NZT76" s="22"/>
      <c r="NZU76" s="167"/>
      <c r="NZV76" s="30"/>
      <c r="NZW76" s="25"/>
      <c r="NZX76" s="178"/>
      <c r="NZY76" s="26"/>
      <c r="NZZ76" s="26"/>
      <c r="OAA76" s="26"/>
      <c r="OAB76" s="26"/>
      <c r="OAC76" s="26"/>
      <c r="OAD76" s="26"/>
      <c r="OAE76" s="58"/>
      <c r="OAF76" s="26"/>
      <c r="OAG76" s="26"/>
      <c r="OAH76" s="26"/>
      <c r="OAI76" s="26"/>
      <c r="OAJ76" s="22"/>
      <c r="OAK76" s="167"/>
      <c r="OAL76" s="30"/>
      <c r="OAM76" s="25"/>
      <c r="OAN76" s="178"/>
      <c r="OAO76" s="26"/>
      <c r="OAP76" s="26"/>
      <c r="OAQ76" s="26"/>
      <c r="OAR76" s="26"/>
      <c r="OAS76" s="26"/>
      <c r="OAT76" s="26"/>
      <c r="OAU76" s="58"/>
      <c r="OAV76" s="26"/>
      <c r="OAW76" s="26"/>
      <c r="OAX76" s="26"/>
      <c r="OAY76" s="26"/>
      <c r="OAZ76" s="22"/>
      <c r="OBA76" s="167"/>
      <c r="OBB76" s="30"/>
      <c r="OBC76" s="25"/>
      <c r="OBD76" s="178"/>
      <c r="OBE76" s="26"/>
      <c r="OBF76" s="26"/>
      <c r="OBG76" s="26"/>
      <c r="OBH76" s="26"/>
      <c r="OBI76" s="26"/>
      <c r="OBJ76" s="26"/>
      <c r="OBK76" s="58"/>
      <c r="OBL76" s="26"/>
      <c r="OBM76" s="26"/>
      <c r="OBN76" s="26"/>
      <c r="OBO76" s="26"/>
      <c r="OBP76" s="22"/>
      <c r="OBQ76" s="167"/>
      <c r="OBR76" s="30"/>
      <c r="OBS76" s="25"/>
      <c r="OBT76" s="178"/>
      <c r="OBU76" s="26"/>
      <c r="OBV76" s="26"/>
      <c r="OBW76" s="26"/>
      <c r="OBX76" s="26"/>
      <c r="OBY76" s="26"/>
      <c r="OBZ76" s="26"/>
      <c r="OCA76" s="58"/>
      <c r="OCB76" s="26"/>
      <c r="OCC76" s="26"/>
      <c r="OCD76" s="26"/>
      <c r="OCE76" s="26"/>
      <c r="OCF76" s="22"/>
      <c r="OCG76" s="167"/>
      <c r="OCH76" s="30"/>
      <c r="OCI76" s="25"/>
      <c r="OCJ76" s="178"/>
      <c r="OCK76" s="26"/>
      <c r="OCL76" s="26"/>
      <c r="OCM76" s="26"/>
      <c r="OCN76" s="26"/>
      <c r="OCO76" s="26"/>
      <c r="OCP76" s="26"/>
      <c r="OCQ76" s="58"/>
      <c r="OCR76" s="26"/>
      <c r="OCS76" s="26"/>
      <c r="OCT76" s="26"/>
      <c r="OCU76" s="26"/>
      <c r="OCV76" s="22"/>
      <c r="OCW76" s="167"/>
      <c r="OCX76" s="30"/>
      <c r="OCY76" s="25"/>
      <c r="OCZ76" s="178"/>
      <c r="ODA76" s="26"/>
      <c r="ODB76" s="26"/>
      <c r="ODC76" s="26"/>
      <c r="ODD76" s="26"/>
      <c r="ODE76" s="26"/>
      <c r="ODF76" s="26"/>
      <c r="ODG76" s="58"/>
      <c r="ODH76" s="26"/>
      <c r="ODI76" s="26"/>
      <c r="ODJ76" s="26"/>
      <c r="ODK76" s="26"/>
      <c r="ODL76" s="22"/>
      <c r="ODM76" s="167"/>
      <c r="ODN76" s="30"/>
      <c r="ODO76" s="25"/>
      <c r="ODP76" s="178"/>
      <c r="ODQ76" s="26"/>
      <c r="ODR76" s="26"/>
      <c r="ODS76" s="26"/>
      <c r="ODT76" s="26"/>
      <c r="ODU76" s="26"/>
      <c r="ODV76" s="26"/>
      <c r="ODW76" s="58"/>
      <c r="ODX76" s="26"/>
      <c r="ODY76" s="26"/>
      <c r="ODZ76" s="26"/>
      <c r="OEA76" s="26"/>
      <c r="OEB76" s="22"/>
      <c r="OEC76" s="167"/>
      <c r="OED76" s="30"/>
      <c r="OEE76" s="25"/>
      <c r="OEF76" s="178"/>
      <c r="OEG76" s="26"/>
      <c r="OEH76" s="26"/>
      <c r="OEI76" s="26"/>
      <c r="OEJ76" s="26"/>
      <c r="OEK76" s="26"/>
      <c r="OEL76" s="26"/>
      <c r="OEM76" s="58"/>
      <c r="OEN76" s="26"/>
      <c r="OEO76" s="26"/>
      <c r="OEP76" s="26"/>
      <c r="OEQ76" s="26"/>
      <c r="OER76" s="22"/>
      <c r="OES76" s="167"/>
      <c r="OET76" s="30"/>
      <c r="OEU76" s="25"/>
      <c r="OEV76" s="178"/>
      <c r="OEW76" s="26"/>
      <c r="OEX76" s="26"/>
      <c r="OEY76" s="26"/>
      <c r="OEZ76" s="26"/>
      <c r="OFA76" s="26"/>
      <c r="OFB76" s="26"/>
      <c r="OFC76" s="58"/>
      <c r="OFD76" s="26"/>
      <c r="OFE76" s="26"/>
      <c r="OFF76" s="26"/>
      <c r="OFG76" s="26"/>
      <c r="OFH76" s="22"/>
      <c r="OFI76" s="167"/>
      <c r="OFJ76" s="30"/>
      <c r="OFK76" s="25"/>
      <c r="OFL76" s="178"/>
      <c r="OFM76" s="26"/>
      <c r="OFN76" s="26"/>
      <c r="OFO76" s="26"/>
      <c r="OFP76" s="26"/>
      <c r="OFQ76" s="26"/>
      <c r="OFR76" s="26"/>
      <c r="OFS76" s="58"/>
      <c r="OFT76" s="26"/>
      <c r="OFU76" s="26"/>
      <c r="OFV76" s="26"/>
      <c r="OFW76" s="26"/>
      <c r="OFX76" s="22"/>
      <c r="OFY76" s="167"/>
      <c r="OFZ76" s="30"/>
      <c r="OGA76" s="25"/>
      <c r="OGB76" s="178"/>
      <c r="OGC76" s="26"/>
      <c r="OGD76" s="26"/>
      <c r="OGE76" s="26"/>
      <c r="OGF76" s="26"/>
      <c r="OGG76" s="26"/>
      <c r="OGH76" s="26"/>
      <c r="OGI76" s="58"/>
      <c r="OGJ76" s="26"/>
      <c r="OGK76" s="26"/>
      <c r="OGL76" s="26"/>
      <c r="OGM76" s="26"/>
      <c r="OGN76" s="22"/>
      <c r="OGO76" s="167"/>
      <c r="OGP76" s="30"/>
      <c r="OGQ76" s="25"/>
      <c r="OGR76" s="178"/>
      <c r="OGS76" s="26"/>
      <c r="OGT76" s="26"/>
      <c r="OGU76" s="26"/>
      <c r="OGV76" s="26"/>
      <c r="OGW76" s="26"/>
      <c r="OGX76" s="26"/>
      <c r="OGY76" s="58"/>
      <c r="OGZ76" s="26"/>
      <c r="OHA76" s="26"/>
      <c r="OHB76" s="26"/>
      <c r="OHC76" s="26"/>
      <c r="OHD76" s="22"/>
      <c r="OHE76" s="167"/>
      <c r="OHF76" s="30"/>
      <c r="OHG76" s="25"/>
      <c r="OHH76" s="178"/>
      <c r="OHI76" s="26"/>
      <c r="OHJ76" s="26"/>
      <c r="OHK76" s="26"/>
      <c r="OHL76" s="26"/>
      <c r="OHM76" s="26"/>
      <c r="OHN76" s="26"/>
      <c r="OHO76" s="58"/>
      <c r="OHP76" s="26"/>
      <c r="OHQ76" s="26"/>
      <c r="OHR76" s="26"/>
      <c r="OHS76" s="26"/>
      <c r="OHT76" s="22"/>
      <c r="OHU76" s="167"/>
      <c r="OHV76" s="30"/>
      <c r="OHW76" s="25"/>
      <c r="OHX76" s="178"/>
      <c r="OHY76" s="26"/>
      <c r="OHZ76" s="26"/>
      <c r="OIA76" s="26"/>
      <c r="OIB76" s="26"/>
      <c r="OIC76" s="26"/>
      <c r="OID76" s="26"/>
      <c r="OIE76" s="58"/>
      <c r="OIF76" s="26"/>
      <c r="OIG76" s="26"/>
      <c r="OIH76" s="26"/>
      <c r="OII76" s="26"/>
      <c r="OIJ76" s="22"/>
      <c r="OIK76" s="167"/>
      <c r="OIL76" s="30"/>
      <c r="OIM76" s="25"/>
      <c r="OIN76" s="178"/>
      <c r="OIO76" s="26"/>
      <c r="OIP76" s="26"/>
      <c r="OIQ76" s="26"/>
      <c r="OIR76" s="26"/>
      <c r="OIS76" s="26"/>
      <c r="OIT76" s="26"/>
      <c r="OIU76" s="58"/>
      <c r="OIV76" s="26"/>
      <c r="OIW76" s="26"/>
      <c r="OIX76" s="26"/>
      <c r="OIY76" s="26"/>
      <c r="OIZ76" s="22"/>
      <c r="OJA76" s="167"/>
      <c r="OJB76" s="30"/>
      <c r="OJC76" s="25"/>
      <c r="OJD76" s="178"/>
      <c r="OJE76" s="26"/>
      <c r="OJF76" s="26"/>
      <c r="OJG76" s="26"/>
      <c r="OJH76" s="26"/>
      <c r="OJI76" s="26"/>
      <c r="OJJ76" s="26"/>
      <c r="OJK76" s="58"/>
      <c r="OJL76" s="26"/>
      <c r="OJM76" s="26"/>
      <c r="OJN76" s="26"/>
      <c r="OJO76" s="26"/>
      <c r="OJP76" s="22"/>
      <c r="OJQ76" s="167"/>
      <c r="OJR76" s="30"/>
      <c r="OJS76" s="25"/>
      <c r="OJT76" s="178"/>
      <c r="OJU76" s="26"/>
      <c r="OJV76" s="26"/>
      <c r="OJW76" s="26"/>
      <c r="OJX76" s="26"/>
      <c r="OJY76" s="26"/>
      <c r="OJZ76" s="26"/>
      <c r="OKA76" s="58"/>
      <c r="OKB76" s="26"/>
      <c r="OKC76" s="26"/>
      <c r="OKD76" s="26"/>
      <c r="OKE76" s="26"/>
      <c r="OKF76" s="22"/>
      <c r="OKG76" s="167"/>
      <c r="OKH76" s="30"/>
      <c r="OKI76" s="25"/>
      <c r="OKJ76" s="178"/>
      <c r="OKK76" s="26"/>
      <c r="OKL76" s="26"/>
      <c r="OKM76" s="26"/>
      <c r="OKN76" s="26"/>
      <c r="OKO76" s="26"/>
      <c r="OKP76" s="26"/>
      <c r="OKQ76" s="58"/>
      <c r="OKR76" s="26"/>
      <c r="OKS76" s="26"/>
      <c r="OKT76" s="26"/>
      <c r="OKU76" s="26"/>
      <c r="OKV76" s="22"/>
      <c r="OKW76" s="167"/>
      <c r="OKX76" s="30"/>
      <c r="OKY76" s="25"/>
      <c r="OKZ76" s="178"/>
      <c r="OLA76" s="26"/>
      <c r="OLB76" s="26"/>
      <c r="OLC76" s="26"/>
      <c r="OLD76" s="26"/>
      <c r="OLE76" s="26"/>
      <c r="OLF76" s="26"/>
      <c r="OLG76" s="58"/>
      <c r="OLH76" s="26"/>
      <c r="OLI76" s="26"/>
      <c r="OLJ76" s="26"/>
      <c r="OLK76" s="26"/>
      <c r="OLL76" s="22"/>
      <c r="OLM76" s="167"/>
      <c r="OLN76" s="30"/>
      <c r="OLO76" s="25"/>
      <c r="OLP76" s="178"/>
      <c r="OLQ76" s="26"/>
      <c r="OLR76" s="26"/>
      <c r="OLS76" s="26"/>
      <c r="OLT76" s="26"/>
      <c r="OLU76" s="26"/>
      <c r="OLV76" s="26"/>
      <c r="OLW76" s="58"/>
      <c r="OLX76" s="26"/>
      <c r="OLY76" s="26"/>
      <c r="OLZ76" s="26"/>
      <c r="OMA76" s="26"/>
      <c r="OMB76" s="22"/>
      <c r="OMC76" s="167"/>
      <c r="OMD76" s="30"/>
      <c r="OME76" s="25"/>
      <c r="OMF76" s="178"/>
      <c r="OMG76" s="26"/>
      <c r="OMH76" s="26"/>
      <c r="OMI76" s="26"/>
      <c r="OMJ76" s="26"/>
      <c r="OMK76" s="26"/>
      <c r="OML76" s="26"/>
      <c r="OMM76" s="58"/>
      <c r="OMN76" s="26"/>
      <c r="OMO76" s="26"/>
      <c r="OMP76" s="26"/>
      <c r="OMQ76" s="26"/>
      <c r="OMR76" s="22"/>
      <c r="OMS76" s="167"/>
      <c r="OMT76" s="30"/>
      <c r="OMU76" s="25"/>
      <c r="OMV76" s="178"/>
      <c r="OMW76" s="26"/>
      <c r="OMX76" s="26"/>
      <c r="OMY76" s="26"/>
      <c r="OMZ76" s="26"/>
      <c r="ONA76" s="26"/>
      <c r="ONB76" s="26"/>
      <c r="ONC76" s="58"/>
      <c r="OND76" s="26"/>
      <c r="ONE76" s="26"/>
      <c r="ONF76" s="26"/>
      <c r="ONG76" s="26"/>
      <c r="ONH76" s="22"/>
      <c r="ONI76" s="167"/>
      <c r="ONJ76" s="30"/>
      <c r="ONK76" s="25"/>
      <c r="ONL76" s="178"/>
      <c r="ONM76" s="26"/>
      <c r="ONN76" s="26"/>
      <c r="ONO76" s="26"/>
      <c r="ONP76" s="26"/>
      <c r="ONQ76" s="26"/>
      <c r="ONR76" s="26"/>
      <c r="ONS76" s="58"/>
      <c r="ONT76" s="26"/>
      <c r="ONU76" s="26"/>
      <c r="ONV76" s="26"/>
      <c r="ONW76" s="26"/>
      <c r="ONX76" s="22"/>
      <c r="ONY76" s="167"/>
      <c r="ONZ76" s="30"/>
      <c r="OOA76" s="25"/>
      <c r="OOB76" s="178"/>
      <c r="OOC76" s="26"/>
      <c r="OOD76" s="26"/>
      <c r="OOE76" s="26"/>
      <c r="OOF76" s="26"/>
      <c r="OOG76" s="26"/>
      <c r="OOH76" s="26"/>
      <c r="OOI76" s="58"/>
      <c r="OOJ76" s="26"/>
      <c r="OOK76" s="26"/>
      <c r="OOL76" s="26"/>
      <c r="OOM76" s="26"/>
      <c r="OON76" s="22"/>
      <c r="OOO76" s="167"/>
      <c r="OOP76" s="30"/>
      <c r="OOQ76" s="25"/>
      <c r="OOR76" s="178"/>
      <c r="OOS76" s="26"/>
      <c r="OOT76" s="26"/>
      <c r="OOU76" s="26"/>
      <c r="OOV76" s="26"/>
      <c r="OOW76" s="26"/>
      <c r="OOX76" s="26"/>
      <c r="OOY76" s="58"/>
      <c r="OOZ76" s="26"/>
      <c r="OPA76" s="26"/>
      <c r="OPB76" s="26"/>
      <c r="OPC76" s="26"/>
      <c r="OPD76" s="22"/>
      <c r="OPE76" s="167"/>
      <c r="OPF76" s="30"/>
      <c r="OPG76" s="25"/>
      <c r="OPH76" s="178"/>
      <c r="OPI76" s="26"/>
      <c r="OPJ76" s="26"/>
      <c r="OPK76" s="26"/>
      <c r="OPL76" s="26"/>
      <c r="OPM76" s="26"/>
      <c r="OPN76" s="26"/>
      <c r="OPO76" s="58"/>
      <c r="OPP76" s="26"/>
      <c r="OPQ76" s="26"/>
      <c r="OPR76" s="26"/>
      <c r="OPS76" s="26"/>
      <c r="OPT76" s="22"/>
      <c r="OPU76" s="167"/>
      <c r="OPV76" s="30"/>
      <c r="OPW76" s="25"/>
      <c r="OPX76" s="178"/>
      <c r="OPY76" s="26"/>
      <c r="OPZ76" s="26"/>
      <c r="OQA76" s="26"/>
      <c r="OQB76" s="26"/>
      <c r="OQC76" s="26"/>
      <c r="OQD76" s="26"/>
      <c r="OQE76" s="58"/>
      <c r="OQF76" s="26"/>
      <c r="OQG76" s="26"/>
      <c r="OQH76" s="26"/>
      <c r="OQI76" s="26"/>
      <c r="OQJ76" s="22"/>
      <c r="OQK76" s="167"/>
      <c r="OQL76" s="30"/>
      <c r="OQM76" s="25"/>
      <c r="OQN76" s="178"/>
      <c r="OQO76" s="26"/>
      <c r="OQP76" s="26"/>
      <c r="OQQ76" s="26"/>
      <c r="OQR76" s="26"/>
      <c r="OQS76" s="26"/>
      <c r="OQT76" s="26"/>
      <c r="OQU76" s="58"/>
      <c r="OQV76" s="26"/>
      <c r="OQW76" s="26"/>
      <c r="OQX76" s="26"/>
      <c r="OQY76" s="26"/>
      <c r="OQZ76" s="22"/>
      <c r="ORA76" s="167"/>
      <c r="ORB76" s="30"/>
      <c r="ORC76" s="25"/>
      <c r="ORD76" s="178"/>
      <c r="ORE76" s="26"/>
      <c r="ORF76" s="26"/>
      <c r="ORG76" s="26"/>
      <c r="ORH76" s="26"/>
      <c r="ORI76" s="26"/>
      <c r="ORJ76" s="26"/>
      <c r="ORK76" s="58"/>
      <c r="ORL76" s="26"/>
      <c r="ORM76" s="26"/>
      <c r="ORN76" s="26"/>
      <c r="ORO76" s="26"/>
      <c r="ORP76" s="22"/>
      <c r="ORQ76" s="167"/>
      <c r="ORR76" s="30"/>
      <c r="ORS76" s="25"/>
      <c r="ORT76" s="178"/>
      <c r="ORU76" s="26"/>
      <c r="ORV76" s="26"/>
      <c r="ORW76" s="26"/>
      <c r="ORX76" s="26"/>
      <c r="ORY76" s="26"/>
      <c r="ORZ76" s="26"/>
      <c r="OSA76" s="58"/>
      <c r="OSB76" s="26"/>
      <c r="OSC76" s="26"/>
      <c r="OSD76" s="26"/>
      <c r="OSE76" s="26"/>
      <c r="OSF76" s="22"/>
      <c r="OSG76" s="167"/>
      <c r="OSH76" s="30"/>
      <c r="OSI76" s="25"/>
      <c r="OSJ76" s="178"/>
      <c r="OSK76" s="26"/>
      <c r="OSL76" s="26"/>
      <c r="OSM76" s="26"/>
      <c r="OSN76" s="26"/>
      <c r="OSO76" s="26"/>
      <c r="OSP76" s="26"/>
      <c r="OSQ76" s="58"/>
      <c r="OSR76" s="26"/>
      <c r="OSS76" s="26"/>
      <c r="OST76" s="26"/>
      <c r="OSU76" s="26"/>
      <c r="OSV76" s="22"/>
      <c r="OSW76" s="167"/>
      <c r="OSX76" s="30"/>
      <c r="OSY76" s="25"/>
      <c r="OSZ76" s="178"/>
      <c r="OTA76" s="26"/>
      <c r="OTB76" s="26"/>
      <c r="OTC76" s="26"/>
      <c r="OTD76" s="26"/>
      <c r="OTE76" s="26"/>
      <c r="OTF76" s="26"/>
      <c r="OTG76" s="58"/>
      <c r="OTH76" s="26"/>
      <c r="OTI76" s="26"/>
      <c r="OTJ76" s="26"/>
      <c r="OTK76" s="26"/>
      <c r="OTL76" s="22"/>
      <c r="OTM76" s="167"/>
      <c r="OTN76" s="30"/>
      <c r="OTO76" s="25"/>
      <c r="OTP76" s="178"/>
      <c r="OTQ76" s="26"/>
      <c r="OTR76" s="26"/>
      <c r="OTS76" s="26"/>
      <c r="OTT76" s="26"/>
      <c r="OTU76" s="26"/>
      <c r="OTV76" s="26"/>
      <c r="OTW76" s="58"/>
      <c r="OTX76" s="26"/>
      <c r="OTY76" s="26"/>
      <c r="OTZ76" s="26"/>
      <c r="OUA76" s="26"/>
      <c r="OUB76" s="22"/>
      <c r="OUC76" s="167"/>
      <c r="OUD76" s="30"/>
      <c r="OUE76" s="25"/>
      <c r="OUF76" s="178"/>
      <c r="OUG76" s="26"/>
      <c r="OUH76" s="26"/>
      <c r="OUI76" s="26"/>
      <c r="OUJ76" s="26"/>
      <c r="OUK76" s="26"/>
      <c r="OUL76" s="26"/>
      <c r="OUM76" s="58"/>
      <c r="OUN76" s="26"/>
      <c r="OUO76" s="26"/>
      <c r="OUP76" s="26"/>
      <c r="OUQ76" s="26"/>
      <c r="OUR76" s="22"/>
      <c r="OUS76" s="167"/>
      <c r="OUT76" s="30"/>
      <c r="OUU76" s="25"/>
      <c r="OUV76" s="178"/>
      <c r="OUW76" s="26"/>
      <c r="OUX76" s="26"/>
      <c r="OUY76" s="26"/>
      <c r="OUZ76" s="26"/>
      <c r="OVA76" s="26"/>
      <c r="OVB76" s="26"/>
      <c r="OVC76" s="58"/>
      <c r="OVD76" s="26"/>
      <c r="OVE76" s="26"/>
      <c r="OVF76" s="26"/>
      <c r="OVG76" s="26"/>
      <c r="OVH76" s="22"/>
      <c r="OVI76" s="167"/>
      <c r="OVJ76" s="30"/>
      <c r="OVK76" s="25"/>
      <c r="OVL76" s="178"/>
      <c r="OVM76" s="26"/>
      <c r="OVN76" s="26"/>
      <c r="OVO76" s="26"/>
      <c r="OVP76" s="26"/>
      <c r="OVQ76" s="26"/>
      <c r="OVR76" s="26"/>
      <c r="OVS76" s="58"/>
      <c r="OVT76" s="26"/>
      <c r="OVU76" s="26"/>
      <c r="OVV76" s="26"/>
      <c r="OVW76" s="26"/>
      <c r="OVX76" s="22"/>
      <c r="OVY76" s="167"/>
      <c r="OVZ76" s="30"/>
      <c r="OWA76" s="25"/>
      <c r="OWB76" s="178"/>
      <c r="OWC76" s="26"/>
      <c r="OWD76" s="26"/>
      <c r="OWE76" s="26"/>
      <c r="OWF76" s="26"/>
      <c r="OWG76" s="26"/>
      <c r="OWH76" s="26"/>
      <c r="OWI76" s="58"/>
      <c r="OWJ76" s="26"/>
      <c r="OWK76" s="26"/>
      <c r="OWL76" s="26"/>
      <c r="OWM76" s="26"/>
      <c r="OWN76" s="22"/>
      <c r="OWO76" s="167"/>
      <c r="OWP76" s="30"/>
      <c r="OWQ76" s="25"/>
      <c r="OWR76" s="178"/>
      <c r="OWS76" s="26"/>
      <c r="OWT76" s="26"/>
      <c r="OWU76" s="26"/>
      <c r="OWV76" s="26"/>
      <c r="OWW76" s="26"/>
      <c r="OWX76" s="26"/>
      <c r="OWY76" s="58"/>
      <c r="OWZ76" s="26"/>
      <c r="OXA76" s="26"/>
      <c r="OXB76" s="26"/>
      <c r="OXC76" s="26"/>
      <c r="OXD76" s="22"/>
      <c r="OXE76" s="167"/>
      <c r="OXF76" s="30"/>
      <c r="OXG76" s="25"/>
      <c r="OXH76" s="178"/>
      <c r="OXI76" s="26"/>
      <c r="OXJ76" s="26"/>
      <c r="OXK76" s="26"/>
      <c r="OXL76" s="26"/>
      <c r="OXM76" s="26"/>
      <c r="OXN76" s="26"/>
      <c r="OXO76" s="58"/>
      <c r="OXP76" s="26"/>
      <c r="OXQ76" s="26"/>
      <c r="OXR76" s="26"/>
      <c r="OXS76" s="26"/>
      <c r="OXT76" s="22"/>
      <c r="OXU76" s="167"/>
      <c r="OXV76" s="30"/>
      <c r="OXW76" s="25"/>
      <c r="OXX76" s="178"/>
      <c r="OXY76" s="26"/>
      <c r="OXZ76" s="26"/>
      <c r="OYA76" s="26"/>
      <c r="OYB76" s="26"/>
      <c r="OYC76" s="26"/>
      <c r="OYD76" s="26"/>
      <c r="OYE76" s="58"/>
      <c r="OYF76" s="26"/>
      <c r="OYG76" s="26"/>
      <c r="OYH76" s="26"/>
      <c r="OYI76" s="26"/>
      <c r="OYJ76" s="22"/>
      <c r="OYK76" s="167"/>
      <c r="OYL76" s="30"/>
      <c r="OYM76" s="25"/>
      <c r="OYN76" s="178"/>
      <c r="OYO76" s="26"/>
      <c r="OYP76" s="26"/>
      <c r="OYQ76" s="26"/>
      <c r="OYR76" s="26"/>
      <c r="OYS76" s="26"/>
      <c r="OYT76" s="26"/>
      <c r="OYU76" s="58"/>
      <c r="OYV76" s="26"/>
      <c r="OYW76" s="26"/>
      <c r="OYX76" s="26"/>
      <c r="OYY76" s="26"/>
      <c r="OYZ76" s="22"/>
      <c r="OZA76" s="167"/>
      <c r="OZB76" s="30"/>
      <c r="OZC76" s="25"/>
      <c r="OZD76" s="178"/>
      <c r="OZE76" s="26"/>
      <c r="OZF76" s="26"/>
      <c r="OZG76" s="26"/>
      <c r="OZH76" s="26"/>
      <c r="OZI76" s="26"/>
      <c r="OZJ76" s="26"/>
      <c r="OZK76" s="58"/>
      <c r="OZL76" s="26"/>
      <c r="OZM76" s="26"/>
      <c r="OZN76" s="26"/>
      <c r="OZO76" s="26"/>
      <c r="OZP76" s="22"/>
      <c r="OZQ76" s="167"/>
      <c r="OZR76" s="30"/>
      <c r="OZS76" s="25"/>
      <c r="OZT76" s="178"/>
      <c r="OZU76" s="26"/>
      <c r="OZV76" s="26"/>
      <c r="OZW76" s="26"/>
      <c r="OZX76" s="26"/>
      <c r="OZY76" s="26"/>
      <c r="OZZ76" s="26"/>
      <c r="PAA76" s="58"/>
      <c r="PAB76" s="26"/>
      <c r="PAC76" s="26"/>
      <c r="PAD76" s="26"/>
      <c r="PAE76" s="26"/>
      <c r="PAF76" s="22"/>
      <c r="PAG76" s="167"/>
      <c r="PAH76" s="30"/>
      <c r="PAI76" s="25"/>
      <c r="PAJ76" s="178"/>
      <c r="PAK76" s="26"/>
      <c r="PAL76" s="26"/>
      <c r="PAM76" s="26"/>
      <c r="PAN76" s="26"/>
      <c r="PAO76" s="26"/>
      <c r="PAP76" s="26"/>
      <c r="PAQ76" s="58"/>
      <c r="PAR76" s="26"/>
      <c r="PAS76" s="26"/>
      <c r="PAT76" s="26"/>
      <c r="PAU76" s="26"/>
      <c r="PAV76" s="22"/>
      <c r="PAW76" s="167"/>
      <c r="PAX76" s="30"/>
      <c r="PAY76" s="25"/>
      <c r="PAZ76" s="178"/>
      <c r="PBA76" s="26"/>
      <c r="PBB76" s="26"/>
      <c r="PBC76" s="26"/>
      <c r="PBD76" s="26"/>
      <c r="PBE76" s="26"/>
      <c r="PBF76" s="26"/>
      <c r="PBG76" s="58"/>
      <c r="PBH76" s="26"/>
      <c r="PBI76" s="26"/>
      <c r="PBJ76" s="26"/>
      <c r="PBK76" s="26"/>
      <c r="PBL76" s="22"/>
      <c r="PBM76" s="167"/>
      <c r="PBN76" s="30"/>
      <c r="PBO76" s="25"/>
      <c r="PBP76" s="178"/>
      <c r="PBQ76" s="26"/>
      <c r="PBR76" s="26"/>
      <c r="PBS76" s="26"/>
      <c r="PBT76" s="26"/>
      <c r="PBU76" s="26"/>
      <c r="PBV76" s="26"/>
      <c r="PBW76" s="58"/>
      <c r="PBX76" s="26"/>
      <c r="PBY76" s="26"/>
      <c r="PBZ76" s="26"/>
      <c r="PCA76" s="26"/>
      <c r="PCB76" s="22"/>
      <c r="PCC76" s="167"/>
      <c r="PCD76" s="30"/>
      <c r="PCE76" s="25"/>
      <c r="PCF76" s="178"/>
      <c r="PCG76" s="26"/>
      <c r="PCH76" s="26"/>
      <c r="PCI76" s="26"/>
      <c r="PCJ76" s="26"/>
      <c r="PCK76" s="26"/>
      <c r="PCL76" s="26"/>
      <c r="PCM76" s="58"/>
      <c r="PCN76" s="26"/>
      <c r="PCO76" s="26"/>
      <c r="PCP76" s="26"/>
      <c r="PCQ76" s="26"/>
      <c r="PCR76" s="22"/>
      <c r="PCS76" s="167"/>
      <c r="PCT76" s="30"/>
      <c r="PCU76" s="25"/>
      <c r="PCV76" s="178"/>
      <c r="PCW76" s="26"/>
      <c r="PCX76" s="26"/>
      <c r="PCY76" s="26"/>
      <c r="PCZ76" s="26"/>
      <c r="PDA76" s="26"/>
      <c r="PDB76" s="26"/>
      <c r="PDC76" s="58"/>
      <c r="PDD76" s="26"/>
      <c r="PDE76" s="26"/>
      <c r="PDF76" s="26"/>
      <c r="PDG76" s="26"/>
      <c r="PDH76" s="22"/>
      <c r="PDI76" s="167"/>
      <c r="PDJ76" s="30"/>
      <c r="PDK76" s="25"/>
      <c r="PDL76" s="178"/>
      <c r="PDM76" s="26"/>
      <c r="PDN76" s="26"/>
      <c r="PDO76" s="26"/>
      <c r="PDP76" s="26"/>
      <c r="PDQ76" s="26"/>
      <c r="PDR76" s="26"/>
      <c r="PDS76" s="58"/>
      <c r="PDT76" s="26"/>
      <c r="PDU76" s="26"/>
      <c r="PDV76" s="26"/>
      <c r="PDW76" s="26"/>
      <c r="PDX76" s="22"/>
      <c r="PDY76" s="167"/>
      <c r="PDZ76" s="30"/>
      <c r="PEA76" s="25"/>
      <c r="PEB76" s="178"/>
      <c r="PEC76" s="26"/>
      <c r="PED76" s="26"/>
      <c r="PEE76" s="26"/>
      <c r="PEF76" s="26"/>
      <c r="PEG76" s="26"/>
      <c r="PEH76" s="26"/>
      <c r="PEI76" s="58"/>
      <c r="PEJ76" s="26"/>
      <c r="PEK76" s="26"/>
      <c r="PEL76" s="26"/>
      <c r="PEM76" s="26"/>
      <c r="PEN76" s="22"/>
      <c r="PEO76" s="167"/>
      <c r="PEP76" s="30"/>
      <c r="PEQ76" s="25"/>
      <c r="PER76" s="178"/>
      <c r="PES76" s="26"/>
      <c r="PET76" s="26"/>
      <c r="PEU76" s="26"/>
      <c r="PEV76" s="26"/>
      <c r="PEW76" s="26"/>
      <c r="PEX76" s="26"/>
      <c r="PEY76" s="58"/>
      <c r="PEZ76" s="26"/>
      <c r="PFA76" s="26"/>
      <c r="PFB76" s="26"/>
      <c r="PFC76" s="26"/>
      <c r="PFD76" s="22"/>
      <c r="PFE76" s="167"/>
      <c r="PFF76" s="30"/>
      <c r="PFG76" s="25"/>
      <c r="PFH76" s="178"/>
      <c r="PFI76" s="26"/>
      <c r="PFJ76" s="26"/>
      <c r="PFK76" s="26"/>
      <c r="PFL76" s="26"/>
      <c r="PFM76" s="26"/>
      <c r="PFN76" s="26"/>
      <c r="PFO76" s="58"/>
      <c r="PFP76" s="26"/>
      <c r="PFQ76" s="26"/>
      <c r="PFR76" s="26"/>
      <c r="PFS76" s="26"/>
      <c r="PFT76" s="22"/>
      <c r="PFU76" s="167"/>
      <c r="PFV76" s="30"/>
      <c r="PFW76" s="25"/>
      <c r="PFX76" s="178"/>
      <c r="PFY76" s="26"/>
      <c r="PFZ76" s="26"/>
      <c r="PGA76" s="26"/>
      <c r="PGB76" s="26"/>
      <c r="PGC76" s="26"/>
      <c r="PGD76" s="26"/>
      <c r="PGE76" s="58"/>
      <c r="PGF76" s="26"/>
      <c r="PGG76" s="26"/>
      <c r="PGH76" s="26"/>
      <c r="PGI76" s="26"/>
      <c r="PGJ76" s="22"/>
      <c r="PGK76" s="167"/>
      <c r="PGL76" s="30"/>
      <c r="PGM76" s="25"/>
      <c r="PGN76" s="178"/>
      <c r="PGO76" s="26"/>
      <c r="PGP76" s="26"/>
      <c r="PGQ76" s="26"/>
      <c r="PGR76" s="26"/>
      <c r="PGS76" s="26"/>
      <c r="PGT76" s="26"/>
      <c r="PGU76" s="58"/>
      <c r="PGV76" s="26"/>
      <c r="PGW76" s="26"/>
      <c r="PGX76" s="26"/>
      <c r="PGY76" s="26"/>
      <c r="PGZ76" s="22"/>
      <c r="PHA76" s="167"/>
      <c r="PHB76" s="30"/>
      <c r="PHC76" s="25"/>
      <c r="PHD76" s="178"/>
      <c r="PHE76" s="26"/>
      <c r="PHF76" s="26"/>
      <c r="PHG76" s="26"/>
      <c r="PHH76" s="26"/>
      <c r="PHI76" s="26"/>
      <c r="PHJ76" s="26"/>
      <c r="PHK76" s="58"/>
      <c r="PHL76" s="26"/>
      <c r="PHM76" s="26"/>
      <c r="PHN76" s="26"/>
      <c r="PHO76" s="26"/>
      <c r="PHP76" s="22"/>
      <c r="PHQ76" s="167"/>
      <c r="PHR76" s="30"/>
      <c r="PHS76" s="25"/>
      <c r="PHT76" s="178"/>
      <c r="PHU76" s="26"/>
      <c r="PHV76" s="26"/>
      <c r="PHW76" s="26"/>
      <c r="PHX76" s="26"/>
      <c r="PHY76" s="26"/>
      <c r="PHZ76" s="26"/>
      <c r="PIA76" s="58"/>
      <c r="PIB76" s="26"/>
      <c r="PIC76" s="26"/>
      <c r="PID76" s="26"/>
      <c r="PIE76" s="26"/>
      <c r="PIF76" s="22"/>
      <c r="PIG76" s="167"/>
      <c r="PIH76" s="30"/>
      <c r="PII76" s="25"/>
      <c r="PIJ76" s="178"/>
      <c r="PIK76" s="26"/>
      <c r="PIL76" s="26"/>
      <c r="PIM76" s="26"/>
      <c r="PIN76" s="26"/>
      <c r="PIO76" s="26"/>
      <c r="PIP76" s="26"/>
      <c r="PIQ76" s="58"/>
      <c r="PIR76" s="26"/>
      <c r="PIS76" s="26"/>
      <c r="PIT76" s="26"/>
      <c r="PIU76" s="26"/>
      <c r="PIV76" s="22"/>
      <c r="PIW76" s="167"/>
      <c r="PIX76" s="30"/>
      <c r="PIY76" s="25"/>
      <c r="PIZ76" s="178"/>
      <c r="PJA76" s="26"/>
      <c r="PJB76" s="26"/>
      <c r="PJC76" s="26"/>
      <c r="PJD76" s="26"/>
      <c r="PJE76" s="26"/>
      <c r="PJF76" s="26"/>
      <c r="PJG76" s="58"/>
      <c r="PJH76" s="26"/>
      <c r="PJI76" s="26"/>
      <c r="PJJ76" s="26"/>
      <c r="PJK76" s="26"/>
      <c r="PJL76" s="22"/>
      <c r="PJM76" s="167"/>
      <c r="PJN76" s="30"/>
      <c r="PJO76" s="25"/>
      <c r="PJP76" s="178"/>
      <c r="PJQ76" s="26"/>
      <c r="PJR76" s="26"/>
      <c r="PJS76" s="26"/>
      <c r="PJT76" s="26"/>
      <c r="PJU76" s="26"/>
      <c r="PJV76" s="26"/>
      <c r="PJW76" s="58"/>
      <c r="PJX76" s="26"/>
      <c r="PJY76" s="26"/>
      <c r="PJZ76" s="26"/>
      <c r="PKA76" s="26"/>
      <c r="PKB76" s="22"/>
      <c r="PKC76" s="167"/>
      <c r="PKD76" s="30"/>
      <c r="PKE76" s="25"/>
      <c r="PKF76" s="178"/>
      <c r="PKG76" s="26"/>
      <c r="PKH76" s="26"/>
      <c r="PKI76" s="26"/>
      <c r="PKJ76" s="26"/>
      <c r="PKK76" s="26"/>
      <c r="PKL76" s="26"/>
      <c r="PKM76" s="58"/>
      <c r="PKN76" s="26"/>
      <c r="PKO76" s="26"/>
      <c r="PKP76" s="26"/>
      <c r="PKQ76" s="26"/>
      <c r="PKR76" s="22"/>
      <c r="PKS76" s="167"/>
      <c r="PKT76" s="30"/>
      <c r="PKU76" s="25"/>
      <c r="PKV76" s="178"/>
      <c r="PKW76" s="26"/>
      <c r="PKX76" s="26"/>
      <c r="PKY76" s="26"/>
      <c r="PKZ76" s="26"/>
      <c r="PLA76" s="26"/>
      <c r="PLB76" s="26"/>
      <c r="PLC76" s="58"/>
      <c r="PLD76" s="26"/>
      <c r="PLE76" s="26"/>
      <c r="PLF76" s="26"/>
      <c r="PLG76" s="26"/>
      <c r="PLH76" s="22"/>
      <c r="PLI76" s="167"/>
      <c r="PLJ76" s="30"/>
      <c r="PLK76" s="25"/>
      <c r="PLL76" s="178"/>
      <c r="PLM76" s="26"/>
      <c r="PLN76" s="26"/>
      <c r="PLO76" s="26"/>
      <c r="PLP76" s="26"/>
      <c r="PLQ76" s="26"/>
      <c r="PLR76" s="26"/>
      <c r="PLS76" s="58"/>
      <c r="PLT76" s="26"/>
      <c r="PLU76" s="26"/>
      <c r="PLV76" s="26"/>
      <c r="PLW76" s="26"/>
      <c r="PLX76" s="22"/>
      <c r="PLY76" s="167"/>
      <c r="PLZ76" s="30"/>
      <c r="PMA76" s="25"/>
      <c r="PMB76" s="178"/>
      <c r="PMC76" s="26"/>
      <c r="PMD76" s="26"/>
      <c r="PME76" s="26"/>
      <c r="PMF76" s="26"/>
      <c r="PMG76" s="26"/>
      <c r="PMH76" s="26"/>
      <c r="PMI76" s="58"/>
      <c r="PMJ76" s="26"/>
      <c r="PMK76" s="26"/>
      <c r="PML76" s="26"/>
      <c r="PMM76" s="26"/>
      <c r="PMN76" s="22"/>
      <c r="PMO76" s="167"/>
      <c r="PMP76" s="30"/>
      <c r="PMQ76" s="25"/>
      <c r="PMR76" s="178"/>
      <c r="PMS76" s="26"/>
      <c r="PMT76" s="26"/>
      <c r="PMU76" s="26"/>
      <c r="PMV76" s="26"/>
      <c r="PMW76" s="26"/>
      <c r="PMX76" s="26"/>
      <c r="PMY76" s="58"/>
      <c r="PMZ76" s="26"/>
      <c r="PNA76" s="26"/>
      <c r="PNB76" s="26"/>
      <c r="PNC76" s="26"/>
      <c r="PND76" s="22"/>
      <c r="PNE76" s="167"/>
      <c r="PNF76" s="30"/>
      <c r="PNG76" s="25"/>
      <c r="PNH76" s="178"/>
      <c r="PNI76" s="26"/>
      <c r="PNJ76" s="26"/>
      <c r="PNK76" s="26"/>
      <c r="PNL76" s="26"/>
      <c r="PNM76" s="26"/>
      <c r="PNN76" s="26"/>
      <c r="PNO76" s="58"/>
      <c r="PNP76" s="26"/>
      <c r="PNQ76" s="26"/>
      <c r="PNR76" s="26"/>
      <c r="PNS76" s="26"/>
      <c r="PNT76" s="22"/>
      <c r="PNU76" s="167"/>
      <c r="PNV76" s="30"/>
      <c r="PNW76" s="25"/>
      <c r="PNX76" s="178"/>
      <c r="PNY76" s="26"/>
      <c r="PNZ76" s="26"/>
      <c r="POA76" s="26"/>
      <c r="POB76" s="26"/>
      <c r="POC76" s="26"/>
      <c r="POD76" s="26"/>
      <c r="POE76" s="58"/>
      <c r="POF76" s="26"/>
      <c r="POG76" s="26"/>
      <c r="POH76" s="26"/>
      <c r="POI76" s="26"/>
      <c r="POJ76" s="22"/>
      <c r="POK76" s="167"/>
      <c r="POL76" s="30"/>
      <c r="POM76" s="25"/>
      <c r="PON76" s="178"/>
      <c r="POO76" s="26"/>
      <c r="POP76" s="26"/>
      <c r="POQ76" s="26"/>
      <c r="POR76" s="26"/>
      <c r="POS76" s="26"/>
      <c r="POT76" s="26"/>
      <c r="POU76" s="58"/>
      <c r="POV76" s="26"/>
      <c r="POW76" s="26"/>
      <c r="POX76" s="26"/>
      <c r="POY76" s="26"/>
      <c r="POZ76" s="22"/>
      <c r="PPA76" s="167"/>
      <c r="PPB76" s="30"/>
      <c r="PPC76" s="25"/>
      <c r="PPD76" s="178"/>
      <c r="PPE76" s="26"/>
      <c r="PPF76" s="26"/>
      <c r="PPG76" s="26"/>
      <c r="PPH76" s="26"/>
      <c r="PPI76" s="26"/>
      <c r="PPJ76" s="26"/>
      <c r="PPK76" s="58"/>
      <c r="PPL76" s="26"/>
      <c r="PPM76" s="26"/>
      <c r="PPN76" s="26"/>
      <c r="PPO76" s="26"/>
      <c r="PPP76" s="22"/>
      <c r="PPQ76" s="167"/>
      <c r="PPR76" s="30"/>
      <c r="PPS76" s="25"/>
      <c r="PPT76" s="178"/>
      <c r="PPU76" s="26"/>
      <c r="PPV76" s="26"/>
      <c r="PPW76" s="26"/>
      <c r="PPX76" s="26"/>
      <c r="PPY76" s="26"/>
      <c r="PPZ76" s="26"/>
      <c r="PQA76" s="58"/>
      <c r="PQB76" s="26"/>
      <c r="PQC76" s="26"/>
      <c r="PQD76" s="26"/>
      <c r="PQE76" s="26"/>
      <c r="PQF76" s="22"/>
      <c r="PQG76" s="167"/>
      <c r="PQH76" s="30"/>
      <c r="PQI76" s="25"/>
      <c r="PQJ76" s="178"/>
      <c r="PQK76" s="26"/>
      <c r="PQL76" s="26"/>
      <c r="PQM76" s="26"/>
      <c r="PQN76" s="26"/>
      <c r="PQO76" s="26"/>
      <c r="PQP76" s="26"/>
      <c r="PQQ76" s="58"/>
      <c r="PQR76" s="26"/>
      <c r="PQS76" s="26"/>
      <c r="PQT76" s="26"/>
      <c r="PQU76" s="26"/>
      <c r="PQV76" s="22"/>
      <c r="PQW76" s="167"/>
      <c r="PQX76" s="30"/>
      <c r="PQY76" s="25"/>
      <c r="PQZ76" s="178"/>
      <c r="PRA76" s="26"/>
      <c r="PRB76" s="26"/>
      <c r="PRC76" s="26"/>
      <c r="PRD76" s="26"/>
      <c r="PRE76" s="26"/>
      <c r="PRF76" s="26"/>
      <c r="PRG76" s="58"/>
      <c r="PRH76" s="26"/>
      <c r="PRI76" s="26"/>
      <c r="PRJ76" s="26"/>
      <c r="PRK76" s="26"/>
      <c r="PRL76" s="22"/>
      <c r="PRM76" s="167"/>
      <c r="PRN76" s="30"/>
      <c r="PRO76" s="25"/>
      <c r="PRP76" s="178"/>
      <c r="PRQ76" s="26"/>
      <c r="PRR76" s="26"/>
      <c r="PRS76" s="26"/>
      <c r="PRT76" s="26"/>
      <c r="PRU76" s="26"/>
      <c r="PRV76" s="26"/>
      <c r="PRW76" s="58"/>
      <c r="PRX76" s="26"/>
      <c r="PRY76" s="26"/>
      <c r="PRZ76" s="26"/>
      <c r="PSA76" s="26"/>
      <c r="PSB76" s="22"/>
      <c r="PSC76" s="167"/>
      <c r="PSD76" s="30"/>
      <c r="PSE76" s="25"/>
      <c r="PSF76" s="178"/>
      <c r="PSG76" s="26"/>
      <c r="PSH76" s="26"/>
      <c r="PSI76" s="26"/>
      <c r="PSJ76" s="26"/>
      <c r="PSK76" s="26"/>
      <c r="PSL76" s="26"/>
      <c r="PSM76" s="58"/>
      <c r="PSN76" s="26"/>
      <c r="PSO76" s="26"/>
      <c r="PSP76" s="26"/>
      <c r="PSQ76" s="26"/>
      <c r="PSR76" s="22"/>
      <c r="PSS76" s="167"/>
      <c r="PST76" s="30"/>
      <c r="PSU76" s="25"/>
      <c r="PSV76" s="178"/>
      <c r="PSW76" s="26"/>
      <c r="PSX76" s="26"/>
      <c r="PSY76" s="26"/>
      <c r="PSZ76" s="26"/>
      <c r="PTA76" s="26"/>
      <c r="PTB76" s="26"/>
      <c r="PTC76" s="58"/>
      <c r="PTD76" s="26"/>
      <c r="PTE76" s="26"/>
      <c r="PTF76" s="26"/>
      <c r="PTG76" s="26"/>
      <c r="PTH76" s="22"/>
      <c r="PTI76" s="167"/>
      <c r="PTJ76" s="30"/>
      <c r="PTK76" s="25"/>
      <c r="PTL76" s="178"/>
      <c r="PTM76" s="26"/>
      <c r="PTN76" s="26"/>
      <c r="PTO76" s="26"/>
      <c r="PTP76" s="26"/>
      <c r="PTQ76" s="26"/>
      <c r="PTR76" s="26"/>
      <c r="PTS76" s="58"/>
      <c r="PTT76" s="26"/>
      <c r="PTU76" s="26"/>
      <c r="PTV76" s="26"/>
      <c r="PTW76" s="26"/>
      <c r="PTX76" s="22"/>
      <c r="PTY76" s="167"/>
      <c r="PTZ76" s="30"/>
      <c r="PUA76" s="25"/>
      <c r="PUB76" s="178"/>
      <c r="PUC76" s="26"/>
      <c r="PUD76" s="26"/>
      <c r="PUE76" s="26"/>
      <c r="PUF76" s="26"/>
      <c r="PUG76" s="26"/>
      <c r="PUH76" s="26"/>
      <c r="PUI76" s="58"/>
      <c r="PUJ76" s="26"/>
      <c r="PUK76" s="26"/>
      <c r="PUL76" s="26"/>
      <c r="PUM76" s="26"/>
      <c r="PUN76" s="22"/>
      <c r="PUO76" s="167"/>
      <c r="PUP76" s="30"/>
      <c r="PUQ76" s="25"/>
      <c r="PUR76" s="178"/>
      <c r="PUS76" s="26"/>
      <c r="PUT76" s="26"/>
      <c r="PUU76" s="26"/>
      <c r="PUV76" s="26"/>
      <c r="PUW76" s="26"/>
      <c r="PUX76" s="26"/>
      <c r="PUY76" s="58"/>
      <c r="PUZ76" s="26"/>
      <c r="PVA76" s="26"/>
      <c r="PVB76" s="26"/>
      <c r="PVC76" s="26"/>
      <c r="PVD76" s="22"/>
      <c r="PVE76" s="167"/>
      <c r="PVF76" s="30"/>
      <c r="PVG76" s="25"/>
      <c r="PVH76" s="178"/>
      <c r="PVI76" s="26"/>
      <c r="PVJ76" s="26"/>
      <c r="PVK76" s="26"/>
      <c r="PVL76" s="26"/>
      <c r="PVM76" s="26"/>
      <c r="PVN76" s="26"/>
      <c r="PVO76" s="58"/>
      <c r="PVP76" s="26"/>
      <c r="PVQ76" s="26"/>
      <c r="PVR76" s="26"/>
      <c r="PVS76" s="26"/>
      <c r="PVT76" s="22"/>
      <c r="PVU76" s="167"/>
      <c r="PVV76" s="30"/>
      <c r="PVW76" s="25"/>
      <c r="PVX76" s="178"/>
      <c r="PVY76" s="26"/>
      <c r="PVZ76" s="26"/>
      <c r="PWA76" s="26"/>
      <c r="PWB76" s="26"/>
      <c r="PWC76" s="26"/>
      <c r="PWD76" s="26"/>
      <c r="PWE76" s="58"/>
      <c r="PWF76" s="26"/>
      <c r="PWG76" s="26"/>
      <c r="PWH76" s="26"/>
      <c r="PWI76" s="26"/>
      <c r="PWJ76" s="22"/>
      <c r="PWK76" s="167"/>
      <c r="PWL76" s="30"/>
      <c r="PWM76" s="25"/>
      <c r="PWN76" s="178"/>
      <c r="PWO76" s="26"/>
      <c r="PWP76" s="26"/>
      <c r="PWQ76" s="26"/>
      <c r="PWR76" s="26"/>
      <c r="PWS76" s="26"/>
      <c r="PWT76" s="26"/>
      <c r="PWU76" s="58"/>
      <c r="PWV76" s="26"/>
      <c r="PWW76" s="26"/>
      <c r="PWX76" s="26"/>
      <c r="PWY76" s="26"/>
      <c r="PWZ76" s="22"/>
      <c r="PXA76" s="167"/>
      <c r="PXB76" s="30"/>
      <c r="PXC76" s="25"/>
      <c r="PXD76" s="178"/>
      <c r="PXE76" s="26"/>
      <c r="PXF76" s="26"/>
      <c r="PXG76" s="26"/>
      <c r="PXH76" s="26"/>
      <c r="PXI76" s="26"/>
      <c r="PXJ76" s="26"/>
      <c r="PXK76" s="58"/>
      <c r="PXL76" s="26"/>
      <c r="PXM76" s="26"/>
      <c r="PXN76" s="26"/>
      <c r="PXO76" s="26"/>
      <c r="PXP76" s="22"/>
      <c r="PXQ76" s="167"/>
      <c r="PXR76" s="30"/>
      <c r="PXS76" s="25"/>
      <c r="PXT76" s="178"/>
      <c r="PXU76" s="26"/>
      <c r="PXV76" s="26"/>
      <c r="PXW76" s="26"/>
      <c r="PXX76" s="26"/>
      <c r="PXY76" s="26"/>
      <c r="PXZ76" s="26"/>
      <c r="PYA76" s="58"/>
      <c r="PYB76" s="26"/>
      <c r="PYC76" s="26"/>
      <c r="PYD76" s="26"/>
      <c r="PYE76" s="26"/>
      <c r="PYF76" s="22"/>
      <c r="PYG76" s="167"/>
      <c r="PYH76" s="30"/>
      <c r="PYI76" s="25"/>
      <c r="PYJ76" s="178"/>
      <c r="PYK76" s="26"/>
      <c r="PYL76" s="26"/>
      <c r="PYM76" s="26"/>
      <c r="PYN76" s="26"/>
      <c r="PYO76" s="26"/>
      <c r="PYP76" s="26"/>
      <c r="PYQ76" s="58"/>
      <c r="PYR76" s="26"/>
      <c r="PYS76" s="26"/>
      <c r="PYT76" s="26"/>
      <c r="PYU76" s="26"/>
      <c r="PYV76" s="22"/>
      <c r="PYW76" s="167"/>
      <c r="PYX76" s="30"/>
      <c r="PYY76" s="25"/>
      <c r="PYZ76" s="178"/>
      <c r="PZA76" s="26"/>
      <c r="PZB76" s="26"/>
      <c r="PZC76" s="26"/>
      <c r="PZD76" s="26"/>
      <c r="PZE76" s="26"/>
      <c r="PZF76" s="26"/>
      <c r="PZG76" s="58"/>
      <c r="PZH76" s="26"/>
      <c r="PZI76" s="26"/>
      <c r="PZJ76" s="26"/>
      <c r="PZK76" s="26"/>
      <c r="PZL76" s="22"/>
      <c r="PZM76" s="167"/>
      <c r="PZN76" s="30"/>
      <c r="PZO76" s="25"/>
      <c r="PZP76" s="178"/>
      <c r="PZQ76" s="26"/>
      <c r="PZR76" s="26"/>
      <c r="PZS76" s="26"/>
      <c r="PZT76" s="26"/>
      <c r="PZU76" s="26"/>
      <c r="PZV76" s="26"/>
      <c r="PZW76" s="58"/>
      <c r="PZX76" s="26"/>
      <c r="PZY76" s="26"/>
      <c r="PZZ76" s="26"/>
      <c r="QAA76" s="26"/>
      <c r="QAB76" s="22"/>
      <c r="QAC76" s="167"/>
      <c r="QAD76" s="30"/>
      <c r="QAE76" s="25"/>
      <c r="QAF76" s="178"/>
      <c r="QAG76" s="26"/>
      <c r="QAH76" s="26"/>
      <c r="QAI76" s="26"/>
      <c r="QAJ76" s="26"/>
      <c r="QAK76" s="26"/>
      <c r="QAL76" s="26"/>
      <c r="QAM76" s="58"/>
      <c r="QAN76" s="26"/>
      <c r="QAO76" s="26"/>
      <c r="QAP76" s="26"/>
      <c r="QAQ76" s="26"/>
      <c r="QAR76" s="22"/>
      <c r="QAS76" s="167"/>
      <c r="QAT76" s="30"/>
      <c r="QAU76" s="25"/>
      <c r="QAV76" s="178"/>
      <c r="QAW76" s="26"/>
      <c r="QAX76" s="26"/>
      <c r="QAY76" s="26"/>
      <c r="QAZ76" s="26"/>
      <c r="QBA76" s="26"/>
      <c r="QBB76" s="26"/>
      <c r="QBC76" s="58"/>
      <c r="QBD76" s="26"/>
      <c r="QBE76" s="26"/>
      <c r="QBF76" s="26"/>
      <c r="QBG76" s="26"/>
      <c r="QBH76" s="22"/>
      <c r="QBI76" s="167"/>
      <c r="QBJ76" s="30"/>
      <c r="QBK76" s="25"/>
      <c r="QBL76" s="178"/>
      <c r="QBM76" s="26"/>
      <c r="QBN76" s="26"/>
      <c r="QBO76" s="26"/>
      <c r="QBP76" s="26"/>
      <c r="QBQ76" s="26"/>
      <c r="QBR76" s="26"/>
      <c r="QBS76" s="58"/>
      <c r="QBT76" s="26"/>
      <c r="QBU76" s="26"/>
      <c r="QBV76" s="26"/>
      <c r="QBW76" s="26"/>
      <c r="QBX76" s="22"/>
      <c r="QBY76" s="167"/>
      <c r="QBZ76" s="30"/>
      <c r="QCA76" s="25"/>
      <c r="QCB76" s="178"/>
      <c r="QCC76" s="26"/>
      <c r="QCD76" s="26"/>
      <c r="QCE76" s="26"/>
      <c r="QCF76" s="26"/>
      <c r="QCG76" s="26"/>
      <c r="QCH76" s="26"/>
      <c r="QCI76" s="58"/>
      <c r="QCJ76" s="26"/>
      <c r="QCK76" s="26"/>
      <c r="QCL76" s="26"/>
      <c r="QCM76" s="26"/>
      <c r="QCN76" s="22"/>
      <c r="QCO76" s="167"/>
      <c r="QCP76" s="30"/>
      <c r="QCQ76" s="25"/>
      <c r="QCR76" s="178"/>
      <c r="QCS76" s="26"/>
      <c r="QCT76" s="26"/>
      <c r="QCU76" s="26"/>
      <c r="QCV76" s="26"/>
      <c r="QCW76" s="26"/>
      <c r="QCX76" s="26"/>
      <c r="QCY76" s="58"/>
      <c r="QCZ76" s="26"/>
      <c r="QDA76" s="26"/>
      <c r="QDB76" s="26"/>
      <c r="QDC76" s="26"/>
      <c r="QDD76" s="22"/>
      <c r="QDE76" s="167"/>
      <c r="QDF76" s="30"/>
      <c r="QDG76" s="25"/>
      <c r="QDH76" s="178"/>
      <c r="QDI76" s="26"/>
      <c r="QDJ76" s="26"/>
      <c r="QDK76" s="26"/>
      <c r="QDL76" s="26"/>
      <c r="QDM76" s="26"/>
      <c r="QDN76" s="26"/>
      <c r="QDO76" s="58"/>
      <c r="QDP76" s="26"/>
      <c r="QDQ76" s="26"/>
      <c r="QDR76" s="26"/>
      <c r="QDS76" s="26"/>
      <c r="QDT76" s="22"/>
      <c r="QDU76" s="167"/>
      <c r="QDV76" s="30"/>
      <c r="QDW76" s="25"/>
      <c r="QDX76" s="178"/>
      <c r="QDY76" s="26"/>
      <c r="QDZ76" s="26"/>
      <c r="QEA76" s="26"/>
      <c r="QEB76" s="26"/>
      <c r="QEC76" s="26"/>
      <c r="QED76" s="26"/>
      <c r="QEE76" s="58"/>
      <c r="QEF76" s="26"/>
      <c r="QEG76" s="26"/>
      <c r="QEH76" s="26"/>
      <c r="QEI76" s="26"/>
      <c r="QEJ76" s="22"/>
      <c r="QEK76" s="167"/>
      <c r="QEL76" s="30"/>
      <c r="QEM76" s="25"/>
      <c r="QEN76" s="178"/>
      <c r="QEO76" s="26"/>
      <c r="QEP76" s="26"/>
      <c r="QEQ76" s="26"/>
      <c r="QER76" s="26"/>
      <c r="QES76" s="26"/>
      <c r="QET76" s="26"/>
      <c r="QEU76" s="58"/>
      <c r="QEV76" s="26"/>
      <c r="QEW76" s="26"/>
      <c r="QEX76" s="26"/>
      <c r="QEY76" s="26"/>
      <c r="QEZ76" s="22"/>
      <c r="QFA76" s="167"/>
      <c r="QFB76" s="30"/>
      <c r="QFC76" s="25"/>
      <c r="QFD76" s="178"/>
      <c r="QFE76" s="26"/>
      <c r="QFF76" s="26"/>
      <c r="QFG76" s="26"/>
      <c r="QFH76" s="26"/>
      <c r="QFI76" s="26"/>
      <c r="QFJ76" s="26"/>
      <c r="QFK76" s="58"/>
      <c r="QFL76" s="26"/>
      <c r="QFM76" s="26"/>
      <c r="QFN76" s="26"/>
      <c r="QFO76" s="26"/>
      <c r="QFP76" s="22"/>
      <c r="QFQ76" s="167"/>
      <c r="QFR76" s="30"/>
      <c r="QFS76" s="25"/>
      <c r="QFT76" s="178"/>
      <c r="QFU76" s="26"/>
      <c r="QFV76" s="26"/>
      <c r="QFW76" s="26"/>
      <c r="QFX76" s="26"/>
      <c r="QFY76" s="26"/>
      <c r="QFZ76" s="26"/>
      <c r="QGA76" s="58"/>
      <c r="QGB76" s="26"/>
      <c r="QGC76" s="26"/>
      <c r="QGD76" s="26"/>
      <c r="QGE76" s="26"/>
      <c r="QGF76" s="22"/>
      <c r="QGG76" s="167"/>
      <c r="QGH76" s="30"/>
      <c r="QGI76" s="25"/>
      <c r="QGJ76" s="178"/>
      <c r="QGK76" s="26"/>
      <c r="QGL76" s="26"/>
      <c r="QGM76" s="26"/>
      <c r="QGN76" s="26"/>
      <c r="QGO76" s="26"/>
      <c r="QGP76" s="26"/>
      <c r="QGQ76" s="58"/>
      <c r="QGR76" s="26"/>
      <c r="QGS76" s="26"/>
      <c r="QGT76" s="26"/>
      <c r="QGU76" s="26"/>
      <c r="QGV76" s="22"/>
      <c r="QGW76" s="167"/>
      <c r="QGX76" s="30"/>
      <c r="QGY76" s="25"/>
      <c r="QGZ76" s="178"/>
      <c r="QHA76" s="26"/>
      <c r="QHB76" s="26"/>
      <c r="QHC76" s="26"/>
      <c r="QHD76" s="26"/>
      <c r="QHE76" s="26"/>
      <c r="QHF76" s="26"/>
      <c r="QHG76" s="58"/>
      <c r="QHH76" s="26"/>
      <c r="QHI76" s="26"/>
      <c r="QHJ76" s="26"/>
      <c r="QHK76" s="26"/>
      <c r="QHL76" s="22"/>
      <c r="QHM76" s="167"/>
      <c r="QHN76" s="30"/>
      <c r="QHO76" s="25"/>
      <c r="QHP76" s="178"/>
      <c r="QHQ76" s="26"/>
      <c r="QHR76" s="26"/>
      <c r="QHS76" s="26"/>
      <c r="QHT76" s="26"/>
      <c r="QHU76" s="26"/>
      <c r="QHV76" s="26"/>
      <c r="QHW76" s="58"/>
      <c r="QHX76" s="26"/>
      <c r="QHY76" s="26"/>
      <c r="QHZ76" s="26"/>
      <c r="QIA76" s="26"/>
      <c r="QIB76" s="22"/>
      <c r="QIC76" s="167"/>
      <c r="QID76" s="30"/>
      <c r="QIE76" s="25"/>
      <c r="QIF76" s="178"/>
      <c r="QIG76" s="26"/>
      <c r="QIH76" s="26"/>
      <c r="QII76" s="26"/>
      <c r="QIJ76" s="26"/>
      <c r="QIK76" s="26"/>
      <c r="QIL76" s="26"/>
      <c r="QIM76" s="58"/>
      <c r="QIN76" s="26"/>
      <c r="QIO76" s="26"/>
      <c r="QIP76" s="26"/>
      <c r="QIQ76" s="26"/>
      <c r="QIR76" s="22"/>
      <c r="QIS76" s="167"/>
      <c r="QIT76" s="30"/>
      <c r="QIU76" s="25"/>
      <c r="QIV76" s="178"/>
      <c r="QIW76" s="26"/>
      <c r="QIX76" s="26"/>
      <c r="QIY76" s="26"/>
      <c r="QIZ76" s="26"/>
      <c r="QJA76" s="26"/>
      <c r="QJB76" s="26"/>
      <c r="QJC76" s="58"/>
      <c r="QJD76" s="26"/>
      <c r="QJE76" s="26"/>
      <c r="QJF76" s="26"/>
      <c r="QJG76" s="26"/>
      <c r="QJH76" s="22"/>
      <c r="QJI76" s="167"/>
      <c r="QJJ76" s="30"/>
      <c r="QJK76" s="25"/>
      <c r="QJL76" s="178"/>
      <c r="QJM76" s="26"/>
      <c r="QJN76" s="26"/>
      <c r="QJO76" s="26"/>
      <c r="QJP76" s="26"/>
      <c r="QJQ76" s="26"/>
      <c r="QJR76" s="26"/>
      <c r="QJS76" s="58"/>
      <c r="QJT76" s="26"/>
      <c r="QJU76" s="26"/>
      <c r="QJV76" s="26"/>
      <c r="QJW76" s="26"/>
      <c r="QJX76" s="22"/>
      <c r="QJY76" s="167"/>
      <c r="QJZ76" s="30"/>
      <c r="QKA76" s="25"/>
      <c r="QKB76" s="178"/>
      <c r="QKC76" s="26"/>
      <c r="QKD76" s="26"/>
      <c r="QKE76" s="26"/>
      <c r="QKF76" s="26"/>
      <c r="QKG76" s="26"/>
      <c r="QKH76" s="26"/>
      <c r="QKI76" s="58"/>
      <c r="QKJ76" s="26"/>
      <c r="QKK76" s="26"/>
      <c r="QKL76" s="26"/>
      <c r="QKM76" s="26"/>
      <c r="QKN76" s="22"/>
      <c r="QKO76" s="167"/>
      <c r="QKP76" s="30"/>
      <c r="QKQ76" s="25"/>
      <c r="QKR76" s="178"/>
      <c r="QKS76" s="26"/>
      <c r="QKT76" s="26"/>
      <c r="QKU76" s="26"/>
      <c r="QKV76" s="26"/>
      <c r="QKW76" s="26"/>
      <c r="QKX76" s="26"/>
      <c r="QKY76" s="58"/>
      <c r="QKZ76" s="26"/>
      <c r="QLA76" s="26"/>
      <c r="QLB76" s="26"/>
      <c r="QLC76" s="26"/>
      <c r="QLD76" s="22"/>
      <c r="QLE76" s="167"/>
      <c r="QLF76" s="30"/>
      <c r="QLG76" s="25"/>
      <c r="QLH76" s="178"/>
      <c r="QLI76" s="26"/>
      <c r="QLJ76" s="26"/>
      <c r="QLK76" s="26"/>
      <c r="QLL76" s="26"/>
      <c r="QLM76" s="26"/>
      <c r="QLN76" s="26"/>
      <c r="QLO76" s="58"/>
      <c r="QLP76" s="26"/>
      <c r="QLQ76" s="26"/>
      <c r="QLR76" s="26"/>
      <c r="QLS76" s="26"/>
      <c r="QLT76" s="22"/>
      <c r="QLU76" s="167"/>
      <c r="QLV76" s="30"/>
      <c r="QLW76" s="25"/>
      <c r="QLX76" s="178"/>
      <c r="QLY76" s="26"/>
      <c r="QLZ76" s="26"/>
      <c r="QMA76" s="26"/>
      <c r="QMB76" s="26"/>
      <c r="QMC76" s="26"/>
      <c r="QMD76" s="26"/>
      <c r="QME76" s="58"/>
      <c r="QMF76" s="26"/>
      <c r="QMG76" s="26"/>
      <c r="QMH76" s="26"/>
      <c r="QMI76" s="26"/>
      <c r="QMJ76" s="22"/>
      <c r="QMK76" s="167"/>
      <c r="QML76" s="30"/>
      <c r="QMM76" s="25"/>
      <c r="QMN76" s="178"/>
      <c r="QMO76" s="26"/>
      <c r="QMP76" s="26"/>
      <c r="QMQ76" s="26"/>
      <c r="QMR76" s="26"/>
      <c r="QMS76" s="26"/>
      <c r="QMT76" s="26"/>
      <c r="QMU76" s="58"/>
      <c r="QMV76" s="26"/>
      <c r="QMW76" s="26"/>
      <c r="QMX76" s="26"/>
      <c r="QMY76" s="26"/>
      <c r="QMZ76" s="22"/>
      <c r="QNA76" s="167"/>
      <c r="QNB76" s="30"/>
      <c r="QNC76" s="25"/>
      <c r="QND76" s="178"/>
      <c r="QNE76" s="26"/>
      <c r="QNF76" s="26"/>
      <c r="QNG76" s="26"/>
      <c r="QNH76" s="26"/>
      <c r="QNI76" s="26"/>
      <c r="QNJ76" s="26"/>
      <c r="QNK76" s="58"/>
      <c r="QNL76" s="26"/>
      <c r="QNM76" s="26"/>
      <c r="QNN76" s="26"/>
      <c r="QNO76" s="26"/>
      <c r="QNP76" s="22"/>
      <c r="QNQ76" s="167"/>
      <c r="QNR76" s="30"/>
      <c r="QNS76" s="25"/>
      <c r="QNT76" s="178"/>
      <c r="QNU76" s="26"/>
      <c r="QNV76" s="26"/>
      <c r="QNW76" s="26"/>
      <c r="QNX76" s="26"/>
      <c r="QNY76" s="26"/>
      <c r="QNZ76" s="26"/>
      <c r="QOA76" s="58"/>
      <c r="QOB76" s="26"/>
      <c r="QOC76" s="26"/>
      <c r="QOD76" s="26"/>
      <c r="QOE76" s="26"/>
      <c r="QOF76" s="22"/>
      <c r="QOG76" s="167"/>
      <c r="QOH76" s="30"/>
      <c r="QOI76" s="25"/>
      <c r="QOJ76" s="178"/>
      <c r="QOK76" s="26"/>
      <c r="QOL76" s="26"/>
      <c r="QOM76" s="26"/>
      <c r="QON76" s="26"/>
      <c r="QOO76" s="26"/>
      <c r="QOP76" s="26"/>
      <c r="QOQ76" s="58"/>
      <c r="QOR76" s="26"/>
      <c r="QOS76" s="26"/>
      <c r="QOT76" s="26"/>
      <c r="QOU76" s="26"/>
      <c r="QOV76" s="22"/>
      <c r="QOW76" s="167"/>
      <c r="QOX76" s="30"/>
      <c r="QOY76" s="25"/>
      <c r="QOZ76" s="178"/>
      <c r="QPA76" s="26"/>
      <c r="QPB76" s="26"/>
      <c r="QPC76" s="26"/>
      <c r="QPD76" s="26"/>
      <c r="QPE76" s="26"/>
      <c r="QPF76" s="26"/>
      <c r="QPG76" s="58"/>
      <c r="QPH76" s="26"/>
      <c r="QPI76" s="26"/>
      <c r="QPJ76" s="26"/>
      <c r="QPK76" s="26"/>
      <c r="QPL76" s="22"/>
      <c r="QPM76" s="167"/>
      <c r="QPN76" s="30"/>
      <c r="QPO76" s="25"/>
      <c r="QPP76" s="178"/>
      <c r="QPQ76" s="26"/>
      <c r="QPR76" s="26"/>
      <c r="QPS76" s="26"/>
      <c r="QPT76" s="26"/>
      <c r="QPU76" s="26"/>
      <c r="QPV76" s="26"/>
      <c r="QPW76" s="58"/>
      <c r="QPX76" s="26"/>
      <c r="QPY76" s="26"/>
      <c r="QPZ76" s="26"/>
      <c r="QQA76" s="26"/>
      <c r="QQB76" s="22"/>
      <c r="QQC76" s="167"/>
      <c r="QQD76" s="30"/>
      <c r="QQE76" s="25"/>
      <c r="QQF76" s="178"/>
      <c r="QQG76" s="26"/>
      <c r="QQH76" s="26"/>
      <c r="QQI76" s="26"/>
      <c r="QQJ76" s="26"/>
      <c r="QQK76" s="26"/>
      <c r="QQL76" s="26"/>
      <c r="QQM76" s="58"/>
      <c r="QQN76" s="26"/>
      <c r="QQO76" s="26"/>
      <c r="QQP76" s="26"/>
      <c r="QQQ76" s="26"/>
      <c r="QQR76" s="22"/>
      <c r="QQS76" s="167"/>
      <c r="QQT76" s="30"/>
      <c r="QQU76" s="25"/>
      <c r="QQV76" s="178"/>
      <c r="QQW76" s="26"/>
      <c r="QQX76" s="26"/>
      <c r="QQY76" s="26"/>
      <c r="QQZ76" s="26"/>
      <c r="QRA76" s="26"/>
      <c r="QRB76" s="26"/>
      <c r="QRC76" s="58"/>
      <c r="QRD76" s="26"/>
      <c r="QRE76" s="26"/>
      <c r="QRF76" s="26"/>
      <c r="QRG76" s="26"/>
      <c r="QRH76" s="22"/>
      <c r="QRI76" s="167"/>
      <c r="QRJ76" s="30"/>
      <c r="QRK76" s="25"/>
      <c r="QRL76" s="178"/>
      <c r="QRM76" s="26"/>
      <c r="QRN76" s="26"/>
      <c r="QRO76" s="26"/>
      <c r="QRP76" s="26"/>
      <c r="QRQ76" s="26"/>
      <c r="QRR76" s="26"/>
      <c r="QRS76" s="58"/>
      <c r="QRT76" s="26"/>
      <c r="QRU76" s="26"/>
      <c r="QRV76" s="26"/>
      <c r="QRW76" s="26"/>
      <c r="QRX76" s="22"/>
      <c r="QRY76" s="167"/>
      <c r="QRZ76" s="30"/>
      <c r="QSA76" s="25"/>
      <c r="QSB76" s="178"/>
      <c r="QSC76" s="26"/>
      <c r="QSD76" s="26"/>
      <c r="QSE76" s="26"/>
      <c r="QSF76" s="26"/>
      <c r="QSG76" s="26"/>
      <c r="QSH76" s="26"/>
      <c r="QSI76" s="58"/>
      <c r="QSJ76" s="26"/>
      <c r="QSK76" s="26"/>
      <c r="QSL76" s="26"/>
      <c r="QSM76" s="26"/>
      <c r="QSN76" s="22"/>
      <c r="QSO76" s="167"/>
      <c r="QSP76" s="30"/>
      <c r="QSQ76" s="25"/>
      <c r="QSR76" s="178"/>
      <c r="QSS76" s="26"/>
      <c r="QST76" s="26"/>
      <c r="QSU76" s="26"/>
      <c r="QSV76" s="26"/>
      <c r="QSW76" s="26"/>
      <c r="QSX76" s="26"/>
      <c r="QSY76" s="58"/>
      <c r="QSZ76" s="26"/>
      <c r="QTA76" s="26"/>
      <c r="QTB76" s="26"/>
      <c r="QTC76" s="26"/>
      <c r="QTD76" s="22"/>
      <c r="QTE76" s="167"/>
      <c r="QTF76" s="30"/>
      <c r="QTG76" s="25"/>
      <c r="QTH76" s="178"/>
      <c r="QTI76" s="26"/>
      <c r="QTJ76" s="26"/>
      <c r="QTK76" s="26"/>
      <c r="QTL76" s="26"/>
      <c r="QTM76" s="26"/>
      <c r="QTN76" s="26"/>
      <c r="QTO76" s="58"/>
      <c r="QTP76" s="26"/>
      <c r="QTQ76" s="26"/>
      <c r="QTR76" s="26"/>
      <c r="QTS76" s="26"/>
      <c r="QTT76" s="22"/>
      <c r="QTU76" s="167"/>
      <c r="QTV76" s="30"/>
      <c r="QTW76" s="25"/>
      <c r="QTX76" s="178"/>
      <c r="QTY76" s="26"/>
      <c r="QTZ76" s="26"/>
      <c r="QUA76" s="26"/>
      <c r="QUB76" s="26"/>
      <c r="QUC76" s="26"/>
      <c r="QUD76" s="26"/>
      <c r="QUE76" s="58"/>
      <c r="QUF76" s="26"/>
      <c r="QUG76" s="26"/>
      <c r="QUH76" s="26"/>
      <c r="QUI76" s="26"/>
      <c r="QUJ76" s="22"/>
      <c r="QUK76" s="167"/>
      <c r="QUL76" s="30"/>
      <c r="QUM76" s="25"/>
      <c r="QUN76" s="178"/>
      <c r="QUO76" s="26"/>
      <c r="QUP76" s="26"/>
      <c r="QUQ76" s="26"/>
      <c r="QUR76" s="26"/>
      <c r="QUS76" s="26"/>
      <c r="QUT76" s="26"/>
      <c r="QUU76" s="58"/>
      <c r="QUV76" s="26"/>
      <c r="QUW76" s="26"/>
      <c r="QUX76" s="26"/>
      <c r="QUY76" s="26"/>
      <c r="QUZ76" s="22"/>
      <c r="QVA76" s="167"/>
      <c r="QVB76" s="30"/>
      <c r="QVC76" s="25"/>
      <c r="QVD76" s="178"/>
      <c r="QVE76" s="26"/>
      <c r="QVF76" s="26"/>
      <c r="QVG76" s="26"/>
      <c r="QVH76" s="26"/>
      <c r="QVI76" s="26"/>
      <c r="QVJ76" s="26"/>
      <c r="QVK76" s="58"/>
      <c r="QVL76" s="26"/>
      <c r="QVM76" s="26"/>
      <c r="QVN76" s="26"/>
      <c r="QVO76" s="26"/>
      <c r="QVP76" s="22"/>
      <c r="QVQ76" s="167"/>
      <c r="QVR76" s="30"/>
      <c r="QVS76" s="25"/>
      <c r="QVT76" s="178"/>
      <c r="QVU76" s="26"/>
      <c r="QVV76" s="26"/>
      <c r="QVW76" s="26"/>
      <c r="QVX76" s="26"/>
      <c r="QVY76" s="26"/>
      <c r="QVZ76" s="26"/>
      <c r="QWA76" s="58"/>
      <c r="QWB76" s="26"/>
      <c r="QWC76" s="26"/>
      <c r="QWD76" s="26"/>
      <c r="QWE76" s="26"/>
      <c r="QWF76" s="22"/>
      <c r="QWG76" s="167"/>
      <c r="QWH76" s="30"/>
      <c r="QWI76" s="25"/>
      <c r="QWJ76" s="178"/>
      <c r="QWK76" s="26"/>
      <c r="QWL76" s="26"/>
      <c r="QWM76" s="26"/>
      <c r="QWN76" s="26"/>
      <c r="QWO76" s="26"/>
      <c r="QWP76" s="26"/>
      <c r="QWQ76" s="58"/>
      <c r="QWR76" s="26"/>
      <c r="QWS76" s="26"/>
      <c r="QWT76" s="26"/>
      <c r="QWU76" s="26"/>
      <c r="QWV76" s="22"/>
      <c r="QWW76" s="167"/>
      <c r="QWX76" s="30"/>
      <c r="QWY76" s="25"/>
      <c r="QWZ76" s="178"/>
      <c r="QXA76" s="26"/>
      <c r="QXB76" s="26"/>
      <c r="QXC76" s="26"/>
      <c r="QXD76" s="26"/>
      <c r="QXE76" s="26"/>
      <c r="QXF76" s="26"/>
      <c r="QXG76" s="58"/>
      <c r="QXH76" s="26"/>
      <c r="QXI76" s="26"/>
      <c r="QXJ76" s="26"/>
      <c r="QXK76" s="26"/>
      <c r="QXL76" s="22"/>
      <c r="QXM76" s="167"/>
      <c r="QXN76" s="30"/>
      <c r="QXO76" s="25"/>
      <c r="QXP76" s="178"/>
      <c r="QXQ76" s="26"/>
      <c r="QXR76" s="26"/>
      <c r="QXS76" s="26"/>
      <c r="QXT76" s="26"/>
      <c r="QXU76" s="26"/>
      <c r="QXV76" s="26"/>
      <c r="QXW76" s="58"/>
      <c r="QXX76" s="26"/>
      <c r="QXY76" s="26"/>
      <c r="QXZ76" s="26"/>
      <c r="QYA76" s="26"/>
      <c r="QYB76" s="22"/>
      <c r="QYC76" s="167"/>
      <c r="QYD76" s="30"/>
      <c r="QYE76" s="25"/>
      <c r="QYF76" s="178"/>
      <c r="QYG76" s="26"/>
      <c r="QYH76" s="26"/>
      <c r="QYI76" s="26"/>
      <c r="QYJ76" s="26"/>
      <c r="QYK76" s="26"/>
      <c r="QYL76" s="26"/>
      <c r="QYM76" s="58"/>
      <c r="QYN76" s="26"/>
      <c r="QYO76" s="26"/>
      <c r="QYP76" s="26"/>
      <c r="QYQ76" s="26"/>
      <c r="QYR76" s="22"/>
      <c r="QYS76" s="167"/>
      <c r="QYT76" s="30"/>
      <c r="QYU76" s="25"/>
      <c r="QYV76" s="178"/>
      <c r="QYW76" s="26"/>
      <c r="QYX76" s="26"/>
      <c r="QYY76" s="26"/>
      <c r="QYZ76" s="26"/>
      <c r="QZA76" s="26"/>
      <c r="QZB76" s="26"/>
      <c r="QZC76" s="58"/>
      <c r="QZD76" s="26"/>
      <c r="QZE76" s="26"/>
      <c r="QZF76" s="26"/>
      <c r="QZG76" s="26"/>
      <c r="QZH76" s="22"/>
      <c r="QZI76" s="167"/>
      <c r="QZJ76" s="30"/>
      <c r="QZK76" s="25"/>
      <c r="QZL76" s="178"/>
      <c r="QZM76" s="26"/>
      <c r="QZN76" s="26"/>
      <c r="QZO76" s="26"/>
      <c r="QZP76" s="26"/>
      <c r="QZQ76" s="26"/>
      <c r="QZR76" s="26"/>
      <c r="QZS76" s="58"/>
      <c r="QZT76" s="26"/>
      <c r="QZU76" s="26"/>
      <c r="QZV76" s="26"/>
      <c r="QZW76" s="26"/>
      <c r="QZX76" s="22"/>
      <c r="QZY76" s="167"/>
      <c r="QZZ76" s="30"/>
      <c r="RAA76" s="25"/>
      <c r="RAB76" s="178"/>
      <c r="RAC76" s="26"/>
      <c r="RAD76" s="26"/>
      <c r="RAE76" s="26"/>
      <c r="RAF76" s="26"/>
      <c r="RAG76" s="26"/>
      <c r="RAH76" s="26"/>
      <c r="RAI76" s="58"/>
      <c r="RAJ76" s="26"/>
      <c r="RAK76" s="26"/>
      <c r="RAL76" s="26"/>
      <c r="RAM76" s="26"/>
      <c r="RAN76" s="22"/>
      <c r="RAO76" s="167"/>
      <c r="RAP76" s="30"/>
      <c r="RAQ76" s="25"/>
      <c r="RAR76" s="178"/>
      <c r="RAS76" s="26"/>
      <c r="RAT76" s="26"/>
      <c r="RAU76" s="26"/>
      <c r="RAV76" s="26"/>
      <c r="RAW76" s="26"/>
      <c r="RAX76" s="26"/>
      <c r="RAY76" s="58"/>
      <c r="RAZ76" s="26"/>
      <c r="RBA76" s="26"/>
      <c r="RBB76" s="26"/>
      <c r="RBC76" s="26"/>
      <c r="RBD76" s="22"/>
      <c r="RBE76" s="167"/>
      <c r="RBF76" s="30"/>
      <c r="RBG76" s="25"/>
      <c r="RBH76" s="178"/>
      <c r="RBI76" s="26"/>
      <c r="RBJ76" s="26"/>
      <c r="RBK76" s="26"/>
      <c r="RBL76" s="26"/>
      <c r="RBM76" s="26"/>
      <c r="RBN76" s="26"/>
      <c r="RBO76" s="58"/>
      <c r="RBP76" s="26"/>
      <c r="RBQ76" s="26"/>
      <c r="RBR76" s="26"/>
      <c r="RBS76" s="26"/>
      <c r="RBT76" s="22"/>
      <c r="RBU76" s="167"/>
      <c r="RBV76" s="30"/>
      <c r="RBW76" s="25"/>
      <c r="RBX76" s="178"/>
      <c r="RBY76" s="26"/>
      <c r="RBZ76" s="26"/>
      <c r="RCA76" s="26"/>
      <c r="RCB76" s="26"/>
      <c r="RCC76" s="26"/>
      <c r="RCD76" s="26"/>
      <c r="RCE76" s="58"/>
      <c r="RCF76" s="26"/>
      <c r="RCG76" s="26"/>
      <c r="RCH76" s="26"/>
      <c r="RCI76" s="26"/>
      <c r="RCJ76" s="22"/>
      <c r="RCK76" s="167"/>
      <c r="RCL76" s="30"/>
      <c r="RCM76" s="25"/>
      <c r="RCN76" s="178"/>
      <c r="RCO76" s="26"/>
      <c r="RCP76" s="26"/>
      <c r="RCQ76" s="26"/>
      <c r="RCR76" s="26"/>
      <c r="RCS76" s="26"/>
      <c r="RCT76" s="26"/>
      <c r="RCU76" s="58"/>
      <c r="RCV76" s="26"/>
      <c r="RCW76" s="26"/>
      <c r="RCX76" s="26"/>
      <c r="RCY76" s="26"/>
      <c r="RCZ76" s="22"/>
      <c r="RDA76" s="167"/>
      <c r="RDB76" s="30"/>
      <c r="RDC76" s="25"/>
      <c r="RDD76" s="178"/>
      <c r="RDE76" s="26"/>
      <c r="RDF76" s="26"/>
      <c r="RDG76" s="26"/>
      <c r="RDH76" s="26"/>
      <c r="RDI76" s="26"/>
      <c r="RDJ76" s="26"/>
      <c r="RDK76" s="58"/>
      <c r="RDL76" s="26"/>
      <c r="RDM76" s="26"/>
      <c r="RDN76" s="26"/>
      <c r="RDO76" s="26"/>
      <c r="RDP76" s="22"/>
      <c r="RDQ76" s="167"/>
      <c r="RDR76" s="30"/>
      <c r="RDS76" s="25"/>
      <c r="RDT76" s="178"/>
      <c r="RDU76" s="26"/>
      <c r="RDV76" s="26"/>
      <c r="RDW76" s="26"/>
      <c r="RDX76" s="26"/>
      <c r="RDY76" s="26"/>
      <c r="RDZ76" s="26"/>
      <c r="REA76" s="58"/>
      <c r="REB76" s="26"/>
      <c r="REC76" s="26"/>
      <c r="RED76" s="26"/>
      <c r="REE76" s="26"/>
      <c r="REF76" s="22"/>
      <c r="REG76" s="167"/>
      <c r="REH76" s="30"/>
      <c r="REI76" s="25"/>
      <c r="REJ76" s="178"/>
      <c r="REK76" s="26"/>
      <c r="REL76" s="26"/>
      <c r="REM76" s="26"/>
      <c r="REN76" s="26"/>
      <c r="REO76" s="26"/>
      <c r="REP76" s="26"/>
      <c r="REQ76" s="58"/>
      <c r="RER76" s="26"/>
      <c r="RES76" s="26"/>
      <c r="RET76" s="26"/>
      <c r="REU76" s="26"/>
      <c r="REV76" s="22"/>
      <c r="REW76" s="167"/>
      <c r="REX76" s="30"/>
      <c r="REY76" s="25"/>
      <c r="REZ76" s="178"/>
      <c r="RFA76" s="26"/>
      <c r="RFB76" s="26"/>
      <c r="RFC76" s="26"/>
      <c r="RFD76" s="26"/>
      <c r="RFE76" s="26"/>
      <c r="RFF76" s="26"/>
      <c r="RFG76" s="58"/>
      <c r="RFH76" s="26"/>
      <c r="RFI76" s="26"/>
      <c r="RFJ76" s="26"/>
      <c r="RFK76" s="26"/>
      <c r="RFL76" s="22"/>
      <c r="RFM76" s="167"/>
      <c r="RFN76" s="30"/>
      <c r="RFO76" s="25"/>
      <c r="RFP76" s="178"/>
      <c r="RFQ76" s="26"/>
      <c r="RFR76" s="26"/>
      <c r="RFS76" s="26"/>
      <c r="RFT76" s="26"/>
      <c r="RFU76" s="26"/>
      <c r="RFV76" s="26"/>
      <c r="RFW76" s="58"/>
      <c r="RFX76" s="26"/>
      <c r="RFY76" s="26"/>
      <c r="RFZ76" s="26"/>
      <c r="RGA76" s="26"/>
      <c r="RGB76" s="22"/>
      <c r="RGC76" s="167"/>
      <c r="RGD76" s="30"/>
      <c r="RGE76" s="25"/>
      <c r="RGF76" s="178"/>
      <c r="RGG76" s="26"/>
      <c r="RGH76" s="26"/>
      <c r="RGI76" s="26"/>
      <c r="RGJ76" s="26"/>
      <c r="RGK76" s="26"/>
      <c r="RGL76" s="26"/>
      <c r="RGM76" s="58"/>
      <c r="RGN76" s="26"/>
      <c r="RGO76" s="26"/>
      <c r="RGP76" s="26"/>
      <c r="RGQ76" s="26"/>
      <c r="RGR76" s="22"/>
      <c r="RGS76" s="167"/>
      <c r="RGT76" s="30"/>
      <c r="RGU76" s="25"/>
      <c r="RGV76" s="178"/>
      <c r="RGW76" s="26"/>
      <c r="RGX76" s="26"/>
      <c r="RGY76" s="26"/>
      <c r="RGZ76" s="26"/>
      <c r="RHA76" s="26"/>
      <c r="RHB76" s="26"/>
      <c r="RHC76" s="58"/>
      <c r="RHD76" s="26"/>
      <c r="RHE76" s="26"/>
      <c r="RHF76" s="26"/>
      <c r="RHG76" s="26"/>
      <c r="RHH76" s="22"/>
      <c r="RHI76" s="167"/>
      <c r="RHJ76" s="30"/>
      <c r="RHK76" s="25"/>
      <c r="RHL76" s="178"/>
      <c r="RHM76" s="26"/>
      <c r="RHN76" s="26"/>
      <c r="RHO76" s="26"/>
      <c r="RHP76" s="26"/>
      <c r="RHQ76" s="26"/>
      <c r="RHR76" s="26"/>
      <c r="RHS76" s="58"/>
      <c r="RHT76" s="26"/>
      <c r="RHU76" s="26"/>
      <c r="RHV76" s="26"/>
      <c r="RHW76" s="26"/>
      <c r="RHX76" s="22"/>
      <c r="RHY76" s="167"/>
      <c r="RHZ76" s="30"/>
      <c r="RIA76" s="25"/>
      <c r="RIB76" s="178"/>
      <c r="RIC76" s="26"/>
      <c r="RID76" s="26"/>
      <c r="RIE76" s="26"/>
      <c r="RIF76" s="26"/>
      <c r="RIG76" s="26"/>
      <c r="RIH76" s="26"/>
      <c r="RII76" s="58"/>
      <c r="RIJ76" s="26"/>
      <c r="RIK76" s="26"/>
      <c r="RIL76" s="26"/>
      <c r="RIM76" s="26"/>
      <c r="RIN76" s="22"/>
      <c r="RIO76" s="167"/>
      <c r="RIP76" s="30"/>
      <c r="RIQ76" s="25"/>
      <c r="RIR76" s="178"/>
      <c r="RIS76" s="26"/>
      <c r="RIT76" s="26"/>
      <c r="RIU76" s="26"/>
      <c r="RIV76" s="26"/>
      <c r="RIW76" s="26"/>
      <c r="RIX76" s="26"/>
      <c r="RIY76" s="58"/>
      <c r="RIZ76" s="26"/>
      <c r="RJA76" s="26"/>
      <c r="RJB76" s="26"/>
      <c r="RJC76" s="26"/>
      <c r="RJD76" s="22"/>
      <c r="RJE76" s="167"/>
      <c r="RJF76" s="30"/>
      <c r="RJG76" s="25"/>
      <c r="RJH76" s="178"/>
      <c r="RJI76" s="26"/>
      <c r="RJJ76" s="26"/>
      <c r="RJK76" s="26"/>
      <c r="RJL76" s="26"/>
      <c r="RJM76" s="26"/>
      <c r="RJN76" s="26"/>
      <c r="RJO76" s="58"/>
      <c r="RJP76" s="26"/>
      <c r="RJQ76" s="26"/>
      <c r="RJR76" s="26"/>
      <c r="RJS76" s="26"/>
      <c r="RJT76" s="22"/>
      <c r="RJU76" s="167"/>
      <c r="RJV76" s="30"/>
      <c r="RJW76" s="25"/>
      <c r="RJX76" s="178"/>
      <c r="RJY76" s="26"/>
      <c r="RJZ76" s="26"/>
      <c r="RKA76" s="26"/>
      <c r="RKB76" s="26"/>
      <c r="RKC76" s="26"/>
      <c r="RKD76" s="26"/>
      <c r="RKE76" s="58"/>
      <c r="RKF76" s="26"/>
      <c r="RKG76" s="26"/>
      <c r="RKH76" s="26"/>
      <c r="RKI76" s="26"/>
      <c r="RKJ76" s="22"/>
      <c r="RKK76" s="167"/>
      <c r="RKL76" s="30"/>
      <c r="RKM76" s="25"/>
      <c r="RKN76" s="178"/>
      <c r="RKO76" s="26"/>
      <c r="RKP76" s="26"/>
      <c r="RKQ76" s="26"/>
      <c r="RKR76" s="26"/>
      <c r="RKS76" s="26"/>
      <c r="RKT76" s="26"/>
      <c r="RKU76" s="58"/>
      <c r="RKV76" s="26"/>
      <c r="RKW76" s="26"/>
      <c r="RKX76" s="26"/>
      <c r="RKY76" s="26"/>
      <c r="RKZ76" s="22"/>
      <c r="RLA76" s="167"/>
      <c r="RLB76" s="30"/>
      <c r="RLC76" s="25"/>
      <c r="RLD76" s="178"/>
      <c r="RLE76" s="26"/>
      <c r="RLF76" s="26"/>
      <c r="RLG76" s="26"/>
      <c r="RLH76" s="26"/>
      <c r="RLI76" s="26"/>
      <c r="RLJ76" s="26"/>
      <c r="RLK76" s="58"/>
      <c r="RLL76" s="26"/>
      <c r="RLM76" s="26"/>
      <c r="RLN76" s="26"/>
      <c r="RLO76" s="26"/>
      <c r="RLP76" s="22"/>
      <c r="RLQ76" s="167"/>
      <c r="RLR76" s="30"/>
      <c r="RLS76" s="25"/>
      <c r="RLT76" s="178"/>
      <c r="RLU76" s="26"/>
      <c r="RLV76" s="26"/>
      <c r="RLW76" s="26"/>
      <c r="RLX76" s="26"/>
      <c r="RLY76" s="26"/>
      <c r="RLZ76" s="26"/>
      <c r="RMA76" s="58"/>
      <c r="RMB76" s="26"/>
      <c r="RMC76" s="26"/>
      <c r="RMD76" s="26"/>
      <c r="RME76" s="26"/>
      <c r="RMF76" s="22"/>
      <c r="RMG76" s="167"/>
      <c r="RMH76" s="30"/>
      <c r="RMI76" s="25"/>
      <c r="RMJ76" s="178"/>
      <c r="RMK76" s="26"/>
      <c r="RML76" s="26"/>
      <c r="RMM76" s="26"/>
      <c r="RMN76" s="26"/>
      <c r="RMO76" s="26"/>
      <c r="RMP76" s="26"/>
      <c r="RMQ76" s="58"/>
      <c r="RMR76" s="26"/>
      <c r="RMS76" s="26"/>
      <c r="RMT76" s="26"/>
      <c r="RMU76" s="26"/>
      <c r="RMV76" s="22"/>
      <c r="RMW76" s="167"/>
      <c r="RMX76" s="30"/>
      <c r="RMY76" s="25"/>
      <c r="RMZ76" s="178"/>
      <c r="RNA76" s="26"/>
      <c r="RNB76" s="26"/>
      <c r="RNC76" s="26"/>
      <c r="RND76" s="26"/>
      <c r="RNE76" s="26"/>
      <c r="RNF76" s="26"/>
      <c r="RNG76" s="58"/>
      <c r="RNH76" s="26"/>
      <c r="RNI76" s="26"/>
      <c r="RNJ76" s="26"/>
      <c r="RNK76" s="26"/>
      <c r="RNL76" s="22"/>
      <c r="RNM76" s="167"/>
      <c r="RNN76" s="30"/>
      <c r="RNO76" s="25"/>
      <c r="RNP76" s="178"/>
      <c r="RNQ76" s="26"/>
      <c r="RNR76" s="26"/>
      <c r="RNS76" s="26"/>
      <c r="RNT76" s="26"/>
      <c r="RNU76" s="26"/>
      <c r="RNV76" s="26"/>
      <c r="RNW76" s="58"/>
      <c r="RNX76" s="26"/>
      <c r="RNY76" s="26"/>
      <c r="RNZ76" s="26"/>
      <c r="ROA76" s="26"/>
      <c r="ROB76" s="22"/>
      <c r="ROC76" s="167"/>
      <c r="ROD76" s="30"/>
      <c r="ROE76" s="25"/>
      <c r="ROF76" s="178"/>
      <c r="ROG76" s="26"/>
      <c r="ROH76" s="26"/>
      <c r="ROI76" s="26"/>
      <c r="ROJ76" s="26"/>
      <c r="ROK76" s="26"/>
      <c r="ROL76" s="26"/>
      <c r="ROM76" s="58"/>
      <c r="RON76" s="26"/>
      <c r="ROO76" s="26"/>
      <c r="ROP76" s="26"/>
      <c r="ROQ76" s="26"/>
      <c r="ROR76" s="22"/>
      <c r="ROS76" s="167"/>
      <c r="ROT76" s="30"/>
      <c r="ROU76" s="25"/>
      <c r="ROV76" s="178"/>
      <c r="ROW76" s="26"/>
      <c r="ROX76" s="26"/>
      <c r="ROY76" s="26"/>
      <c r="ROZ76" s="26"/>
      <c r="RPA76" s="26"/>
      <c r="RPB76" s="26"/>
      <c r="RPC76" s="58"/>
      <c r="RPD76" s="26"/>
      <c r="RPE76" s="26"/>
      <c r="RPF76" s="26"/>
      <c r="RPG76" s="26"/>
      <c r="RPH76" s="22"/>
      <c r="RPI76" s="167"/>
      <c r="RPJ76" s="30"/>
      <c r="RPK76" s="25"/>
      <c r="RPL76" s="178"/>
      <c r="RPM76" s="26"/>
      <c r="RPN76" s="26"/>
      <c r="RPO76" s="26"/>
      <c r="RPP76" s="26"/>
      <c r="RPQ76" s="26"/>
      <c r="RPR76" s="26"/>
      <c r="RPS76" s="58"/>
      <c r="RPT76" s="26"/>
      <c r="RPU76" s="26"/>
      <c r="RPV76" s="26"/>
      <c r="RPW76" s="26"/>
      <c r="RPX76" s="22"/>
      <c r="RPY76" s="167"/>
      <c r="RPZ76" s="30"/>
      <c r="RQA76" s="25"/>
      <c r="RQB76" s="178"/>
      <c r="RQC76" s="26"/>
      <c r="RQD76" s="26"/>
      <c r="RQE76" s="26"/>
      <c r="RQF76" s="26"/>
      <c r="RQG76" s="26"/>
      <c r="RQH76" s="26"/>
      <c r="RQI76" s="58"/>
      <c r="RQJ76" s="26"/>
      <c r="RQK76" s="26"/>
      <c r="RQL76" s="26"/>
      <c r="RQM76" s="26"/>
      <c r="RQN76" s="22"/>
      <c r="RQO76" s="167"/>
      <c r="RQP76" s="30"/>
      <c r="RQQ76" s="25"/>
      <c r="RQR76" s="178"/>
      <c r="RQS76" s="26"/>
      <c r="RQT76" s="26"/>
      <c r="RQU76" s="26"/>
      <c r="RQV76" s="26"/>
      <c r="RQW76" s="26"/>
      <c r="RQX76" s="26"/>
      <c r="RQY76" s="58"/>
      <c r="RQZ76" s="26"/>
      <c r="RRA76" s="26"/>
      <c r="RRB76" s="26"/>
      <c r="RRC76" s="26"/>
      <c r="RRD76" s="22"/>
      <c r="RRE76" s="167"/>
      <c r="RRF76" s="30"/>
      <c r="RRG76" s="25"/>
      <c r="RRH76" s="178"/>
      <c r="RRI76" s="26"/>
      <c r="RRJ76" s="26"/>
      <c r="RRK76" s="26"/>
      <c r="RRL76" s="26"/>
      <c r="RRM76" s="26"/>
      <c r="RRN76" s="26"/>
      <c r="RRO76" s="58"/>
      <c r="RRP76" s="26"/>
      <c r="RRQ76" s="26"/>
      <c r="RRR76" s="26"/>
      <c r="RRS76" s="26"/>
      <c r="RRT76" s="22"/>
      <c r="RRU76" s="167"/>
      <c r="RRV76" s="30"/>
      <c r="RRW76" s="25"/>
      <c r="RRX76" s="178"/>
      <c r="RRY76" s="26"/>
      <c r="RRZ76" s="26"/>
      <c r="RSA76" s="26"/>
      <c r="RSB76" s="26"/>
      <c r="RSC76" s="26"/>
      <c r="RSD76" s="26"/>
      <c r="RSE76" s="58"/>
      <c r="RSF76" s="26"/>
      <c r="RSG76" s="26"/>
      <c r="RSH76" s="26"/>
      <c r="RSI76" s="26"/>
      <c r="RSJ76" s="22"/>
      <c r="RSK76" s="167"/>
      <c r="RSL76" s="30"/>
      <c r="RSM76" s="25"/>
      <c r="RSN76" s="178"/>
      <c r="RSO76" s="26"/>
      <c r="RSP76" s="26"/>
      <c r="RSQ76" s="26"/>
      <c r="RSR76" s="26"/>
      <c r="RSS76" s="26"/>
      <c r="RST76" s="26"/>
      <c r="RSU76" s="58"/>
      <c r="RSV76" s="26"/>
      <c r="RSW76" s="26"/>
      <c r="RSX76" s="26"/>
      <c r="RSY76" s="26"/>
      <c r="RSZ76" s="22"/>
      <c r="RTA76" s="167"/>
      <c r="RTB76" s="30"/>
      <c r="RTC76" s="25"/>
      <c r="RTD76" s="178"/>
      <c r="RTE76" s="26"/>
      <c r="RTF76" s="26"/>
      <c r="RTG76" s="26"/>
      <c r="RTH76" s="26"/>
      <c r="RTI76" s="26"/>
      <c r="RTJ76" s="26"/>
      <c r="RTK76" s="58"/>
      <c r="RTL76" s="26"/>
      <c r="RTM76" s="26"/>
      <c r="RTN76" s="26"/>
      <c r="RTO76" s="26"/>
      <c r="RTP76" s="22"/>
      <c r="RTQ76" s="167"/>
      <c r="RTR76" s="30"/>
      <c r="RTS76" s="25"/>
      <c r="RTT76" s="178"/>
      <c r="RTU76" s="26"/>
      <c r="RTV76" s="26"/>
      <c r="RTW76" s="26"/>
      <c r="RTX76" s="26"/>
      <c r="RTY76" s="26"/>
      <c r="RTZ76" s="26"/>
      <c r="RUA76" s="58"/>
      <c r="RUB76" s="26"/>
      <c r="RUC76" s="26"/>
      <c r="RUD76" s="26"/>
      <c r="RUE76" s="26"/>
      <c r="RUF76" s="22"/>
      <c r="RUG76" s="167"/>
      <c r="RUH76" s="30"/>
      <c r="RUI76" s="25"/>
      <c r="RUJ76" s="178"/>
      <c r="RUK76" s="26"/>
      <c r="RUL76" s="26"/>
      <c r="RUM76" s="26"/>
      <c r="RUN76" s="26"/>
      <c r="RUO76" s="26"/>
      <c r="RUP76" s="26"/>
      <c r="RUQ76" s="58"/>
      <c r="RUR76" s="26"/>
      <c r="RUS76" s="26"/>
      <c r="RUT76" s="26"/>
      <c r="RUU76" s="26"/>
      <c r="RUV76" s="22"/>
      <c r="RUW76" s="167"/>
      <c r="RUX76" s="30"/>
      <c r="RUY76" s="25"/>
      <c r="RUZ76" s="178"/>
      <c r="RVA76" s="26"/>
      <c r="RVB76" s="26"/>
      <c r="RVC76" s="26"/>
      <c r="RVD76" s="26"/>
      <c r="RVE76" s="26"/>
      <c r="RVF76" s="26"/>
      <c r="RVG76" s="58"/>
      <c r="RVH76" s="26"/>
      <c r="RVI76" s="26"/>
      <c r="RVJ76" s="26"/>
      <c r="RVK76" s="26"/>
      <c r="RVL76" s="22"/>
      <c r="RVM76" s="167"/>
      <c r="RVN76" s="30"/>
      <c r="RVO76" s="25"/>
      <c r="RVP76" s="178"/>
      <c r="RVQ76" s="26"/>
      <c r="RVR76" s="26"/>
      <c r="RVS76" s="26"/>
      <c r="RVT76" s="26"/>
      <c r="RVU76" s="26"/>
      <c r="RVV76" s="26"/>
      <c r="RVW76" s="58"/>
      <c r="RVX76" s="26"/>
      <c r="RVY76" s="26"/>
      <c r="RVZ76" s="26"/>
      <c r="RWA76" s="26"/>
      <c r="RWB76" s="22"/>
      <c r="RWC76" s="167"/>
      <c r="RWD76" s="30"/>
      <c r="RWE76" s="25"/>
      <c r="RWF76" s="178"/>
      <c r="RWG76" s="26"/>
      <c r="RWH76" s="26"/>
      <c r="RWI76" s="26"/>
      <c r="RWJ76" s="26"/>
      <c r="RWK76" s="26"/>
      <c r="RWL76" s="26"/>
      <c r="RWM76" s="58"/>
      <c r="RWN76" s="26"/>
      <c r="RWO76" s="26"/>
      <c r="RWP76" s="26"/>
      <c r="RWQ76" s="26"/>
      <c r="RWR76" s="22"/>
      <c r="RWS76" s="167"/>
      <c r="RWT76" s="30"/>
      <c r="RWU76" s="25"/>
      <c r="RWV76" s="178"/>
      <c r="RWW76" s="26"/>
      <c r="RWX76" s="26"/>
      <c r="RWY76" s="26"/>
      <c r="RWZ76" s="26"/>
      <c r="RXA76" s="26"/>
      <c r="RXB76" s="26"/>
      <c r="RXC76" s="58"/>
      <c r="RXD76" s="26"/>
      <c r="RXE76" s="26"/>
      <c r="RXF76" s="26"/>
      <c r="RXG76" s="26"/>
      <c r="RXH76" s="22"/>
      <c r="RXI76" s="167"/>
      <c r="RXJ76" s="30"/>
      <c r="RXK76" s="25"/>
      <c r="RXL76" s="178"/>
      <c r="RXM76" s="26"/>
      <c r="RXN76" s="26"/>
      <c r="RXO76" s="26"/>
      <c r="RXP76" s="26"/>
      <c r="RXQ76" s="26"/>
      <c r="RXR76" s="26"/>
      <c r="RXS76" s="58"/>
      <c r="RXT76" s="26"/>
      <c r="RXU76" s="26"/>
      <c r="RXV76" s="26"/>
      <c r="RXW76" s="26"/>
      <c r="RXX76" s="22"/>
      <c r="RXY76" s="167"/>
      <c r="RXZ76" s="30"/>
      <c r="RYA76" s="25"/>
      <c r="RYB76" s="178"/>
      <c r="RYC76" s="26"/>
      <c r="RYD76" s="26"/>
      <c r="RYE76" s="26"/>
      <c r="RYF76" s="26"/>
      <c r="RYG76" s="26"/>
      <c r="RYH76" s="26"/>
      <c r="RYI76" s="58"/>
      <c r="RYJ76" s="26"/>
      <c r="RYK76" s="26"/>
      <c r="RYL76" s="26"/>
      <c r="RYM76" s="26"/>
      <c r="RYN76" s="22"/>
      <c r="RYO76" s="167"/>
      <c r="RYP76" s="30"/>
      <c r="RYQ76" s="25"/>
      <c r="RYR76" s="178"/>
      <c r="RYS76" s="26"/>
      <c r="RYT76" s="26"/>
      <c r="RYU76" s="26"/>
      <c r="RYV76" s="26"/>
      <c r="RYW76" s="26"/>
      <c r="RYX76" s="26"/>
      <c r="RYY76" s="58"/>
      <c r="RYZ76" s="26"/>
      <c r="RZA76" s="26"/>
      <c r="RZB76" s="26"/>
      <c r="RZC76" s="26"/>
      <c r="RZD76" s="22"/>
      <c r="RZE76" s="167"/>
      <c r="RZF76" s="30"/>
      <c r="RZG76" s="25"/>
      <c r="RZH76" s="178"/>
      <c r="RZI76" s="26"/>
      <c r="RZJ76" s="26"/>
      <c r="RZK76" s="26"/>
      <c r="RZL76" s="26"/>
      <c r="RZM76" s="26"/>
      <c r="RZN76" s="26"/>
      <c r="RZO76" s="58"/>
      <c r="RZP76" s="26"/>
      <c r="RZQ76" s="26"/>
      <c r="RZR76" s="26"/>
      <c r="RZS76" s="26"/>
      <c r="RZT76" s="22"/>
      <c r="RZU76" s="167"/>
      <c r="RZV76" s="30"/>
      <c r="RZW76" s="25"/>
      <c r="RZX76" s="178"/>
      <c r="RZY76" s="26"/>
      <c r="RZZ76" s="26"/>
      <c r="SAA76" s="26"/>
      <c r="SAB76" s="26"/>
      <c r="SAC76" s="26"/>
      <c r="SAD76" s="26"/>
      <c r="SAE76" s="58"/>
      <c r="SAF76" s="26"/>
      <c r="SAG76" s="26"/>
      <c r="SAH76" s="26"/>
      <c r="SAI76" s="26"/>
      <c r="SAJ76" s="22"/>
      <c r="SAK76" s="167"/>
      <c r="SAL76" s="30"/>
      <c r="SAM76" s="25"/>
      <c r="SAN76" s="178"/>
      <c r="SAO76" s="26"/>
      <c r="SAP76" s="26"/>
      <c r="SAQ76" s="26"/>
      <c r="SAR76" s="26"/>
      <c r="SAS76" s="26"/>
      <c r="SAT76" s="26"/>
      <c r="SAU76" s="58"/>
      <c r="SAV76" s="26"/>
      <c r="SAW76" s="26"/>
      <c r="SAX76" s="26"/>
      <c r="SAY76" s="26"/>
      <c r="SAZ76" s="22"/>
      <c r="SBA76" s="167"/>
      <c r="SBB76" s="30"/>
      <c r="SBC76" s="25"/>
      <c r="SBD76" s="178"/>
      <c r="SBE76" s="26"/>
      <c r="SBF76" s="26"/>
      <c r="SBG76" s="26"/>
      <c r="SBH76" s="26"/>
      <c r="SBI76" s="26"/>
      <c r="SBJ76" s="26"/>
      <c r="SBK76" s="58"/>
      <c r="SBL76" s="26"/>
      <c r="SBM76" s="26"/>
      <c r="SBN76" s="26"/>
      <c r="SBO76" s="26"/>
      <c r="SBP76" s="22"/>
      <c r="SBQ76" s="167"/>
      <c r="SBR76" s="30"/>
      <c r="SBS76" s="25"/>
      <c r="SBT76" s="178"/>
      <c r="SBU76" s="26"/>
      <c r="SBV76" s="26"/>
      <c r="SBW76" s="26"/>
      <c r="SBX76" s="26"/>
      <c r="SBY76" s="26"/>
      <c r="SBZ76" s="26"/>
      <c r="SCA76" s="58"/>
      <c r="SCB76" s="26"/>
      <c r="SCC76" s="26"/>
      <c r="SCD76" s="26"/>
      <c r="SCE76" s="26"/>
      <c r="SCF76" s="22"/>
      <c r="SCG76" s="167"/>
      <c r="SCH76" s="30"/>
      <c r="SCI76" s="25"/>
      <c r="SCJ76" s="178"/>
      <c r="SCK76" s="26"/>
      <c r="SCL76" s="26"/>
      <c r="SCM76" s="26"/>
      <c r="SCN76" s="26"/>
      <c r="SCO76" s="26"/>
      <c r="SCP76" s="26"/>
      <c r="SCQ76" s="58"/>
      <c r="SCR76" s="26"/>
      <c r="SCS76" s="26"/>
      <c r="SCT76" s="26"/>
      <c r="SCU76" s="26"/>
      <c r="SCV76" s="22"/>
      <c r="SCW76" s="167"/>
      <c r="SCX76" s="30"/>
      <c r="SCY76" s="25"/>
      <c r="SCZ76" s="178"/>
      <c r="SDA76" s="26"/>
      <c r="SDB76" s="26"/>
      <c r="SDC76" s="26"/>
      <c r="SDD76" s="26"/>
      <c r="SDE76" s="26"/>
      <c r="SDF76" s="26"/>
      <c r="SDG76" s="58"/>
      <c r="SDH76" s="26"/>
      <c r="SDI76" s="26"/>
      <c r="SDJ76" s="26"/>
      <c r="SDK76" s="26"/>
      <c r="SDL76" s="22"/>
      <c r="SDM76" s="167"/>
      <c r="SDN76" s="30"/>
      <c r="SDO76" s="25"/>
      <c r="SDP76" s="178"/>
      <c r="SDQ76" s="26"/>
      <c r="SDR76" s="26"/>
      <c r="SDS76" s="26"/>
      <c r="SDT76" s="26"/>
      <c r="SDU76" s="26"/>
      <c r="SDV76" s="26"/>
      <c r="SDW76" s="58"/>
      <c r="SDX76" s="26"/>
      <c r="SDY76" s="26"/>
      <c r="SDZ76" s="26"/>
      <c r="SEA76" s="26"/>
      <c r="SEB76" s="22"/>
      <c r="SEC76" s="167"/>
      <c r="SED76" s="30"/>
      <c r="SEE76" s="25"/>
      <c r="SEF76" s="178"/>
      <c r="SEG76" s="26"/>
      <c r="SEH76" s="26"/>
      <c r="SEI76" s="26"/>
      <c r="SEJ76" s="26"/>
      <c r="SEK76" s="26"/>
      <c r="SEL76" s="26"/>
      <c r="SEM76" s="58"/>
      <c r="SEN76" s="26"/>
      <c r="SEO76" s="26"/>
      <c r="SEP76" s="26"/>
      <c r="SEQ76" s="26"/>
      <c r="SER76" s="22"/>
      <c r="SES76" s="167"/>
      <c r="SET76" s="30"/>
      <c r="SEU76" s="25"/>
      <c r="SEV76" s="178"/>
      <c r="SEW76" s="26"/>
      <c r="SEX76" s="26"/>
      <c r="SEY76" s="26"/>
      <c r="SEZ76" s="26"/>
      <c r="SFA76" s="26"/>
      <c r="SFB76" s="26"/>
      <c r="SFC76" s="58"/>
      <c r="SFD76" s="26"/>
      <c r="SFE76" s="26"/>
      <c r="SFF76" s="26"/>
      <c r="SFG76" s="26"/>
      <c r="SFH76" s="22"/>
      <c r="SFI76" s="167"/>
      <c r="SFJ76" s="30"/>
      <c r="SFK76" s="25"/>
      <c r="SFL76" s="178"/>
      <c r="SFM76" s="26"/>
      <c r="SFN76" s="26"/>
      <c r="SFO76" s="26"/>
      <c r="SFP76" s="26"/>
      <c r="SFQ76" s="26"/>
      <c r="SFR76" s="26"/>
      <c r="SFS76" s="58"/>
      <c r="SFT76" s="26"/>
      <c r="SFU76" s="26"/>
      <c r="SFV76" s="26"/>
      <c r="SFW76" s="26"/>
      <c r="SFX76" s="22"/>
      <c r="SFY76" s="167"/>
      <c r="SFZ76" s="30"/>
      <c r="SGA76" s="25"/>
      <c r="SGB76" s="178"/>
      <c r="SGC76" s="26"/>
      <c r="SGD76" s="26"/>
      <c r="SGE76" s="26"/>
      <c r="SGF76" s="26"/>
      <c r="SGG76" s="26"/>
      <c r="SGH76" s="26"/>
      <c r="SGI76" s="58"/>
      <c r="SGJ76" s="26"/>
      <c r="SGK76" s="26"/>
      <c r="SGL76" s="26"/>
      <c r="SGM76" s="26"/>
      <c r="SGN76" s="22"/>
      <c r="SGO76" s="167"/>
      <c r="SGP76" s="30"/>
      <c r="SGQ76" s="25"/>
      <c r="SGR76" s="178"/>
      <c r="SGS76" s="26"/>
      <c r="SGT76" s="26"/>
      <c r="SGU76" s="26"/>
      <c r="SGV76" s="26"/>
      <c r="SGW76" s="26"/>
      <c r="SGX76" s="26"/>
      <c r="SGY76" s="58"/>
      <c r="SGZ76" s="26"/>
      <c r="SHA76" s="26"/>
      <c r="SHB76" s="26"/>
      <c r="SHC76" s="26"/>
      <c r="SHD76" s="22"/>
      <c r="SHE76" s="167"/>
      <c r="SHF76" s="30"/>
      <c r="SHG76" s="25"/>
      <c r="SHH76" s="178"/>
      <c r="SHI76" s="26"/>
      <c r="SHJ76" s="26"/>
      <c r="SHK76" s="26"/>
      <c r="SHL76" s="26"/>
      <c r="SHM76" s="26"/>
      <c r="SHN76" s="26"/>
      <c r="SHO76" s="58"/>
      <c r="SHP76" s="26"/>
      <c r="SHQ76" s="26"/>
      <c r="SHR76" s="26"/>
      <c r="SHS76" s="26"/>
      <c r="SHT76" s="22"/>
      <c r="SHU76" s="167"/>
      <c r="SHV76" s="30"/>
      <c r="SHW76" s="25"/>
      <c r="SHX76" s="178"/>
      <c r="SHY76" s="26"/>
      <c r="SHZ76" s="26"/>
      <c r="SIA76" s="26"/>
      <c r="SIB76" s="26"/>
      <c r="SIC76" s="26"/>
      <c r="SID76" s="26"/>
      <c r="SIE76" s="58"/>
      <c r="SIF76" s="26"/>
      <c r="SIG76" s="26"/>
      <c r="SIH76" s="26"/>
      <c r="SII76" s="26"/>
      <c r="SIJ76" s="22"/>
      <c r="SIK76" s="167"/>
      <c r="SIL76" s="30"/>
      <c r="SIM76" s="25"/>
      <c r="SIN76" s="178"/>
      <c r="SIO76" s="26"/>
      <c r="SIP76" s="26"/>
      <c r="SIQ76" s="26"/>
      <c r="SIR76" s="26"/>
      <c r="SIS76" s="26"/>
      <c r="SIT76" s="26"/>
      <c r="SIU76" s="58"/>
      <c r="SIV76" s="26"/>
      <c r="SIW76" s="26"/>
      <c r="SIX76" s="26"/>
      <c r="SIY76" s="26"/>
      <c r="SIZ76" s="22"/>
      <c r="SJA76" s="167"/>
      <c r="SJB76" s="30"/>
      <c r="SJC76" s="25"/>
      <c r="SJD76" s="178"/>
      <c r="SJE76" s="26"/>
      <c r="SJF76" s="26"/>
      <c r="SJG76" s="26"/>
      <c r="SJH76" s="26"/>
      <c r="SJI76" s="26"/>
      <c r="SJJ76" s="26"/>
      <c r="SJK76" s="58"/>
      <c r="SJL76" s="26"/>
      <c r="SJM76" s="26"/>
      <c r="SJN76" s="26"/>
      <c r="SJO76" s="26"/>
      <c r="SJP76" s="22"/>
      <c r="SJQ76" s="167"/>
      <c r="SJR76" s="30"/>
      <c r="SJS76" s="25"/>
      <c r="SJT76" s="178"/>
      <c r="SJU76" s="26"/>
      <c r="SJV76" s="26"/>
      <c r="SJW76" s="26"/>
      <c r="SJX76" s="26"/>
      <c r="SJY76" s="26"/>
      <c r="SJZ76" s="26"/>
      <c r="SKA76" s="58"/>
      <c r="SKB76" s="26"/>
      <c r="SKC76" s="26"/>
      <c r="SKD76" s="26"/>
      <c r="SKE76" s="26"/>
      <c r="SKF76" s="22"/>
      <c r="SKG76" s="167"/>
      <c r="SKH76" s="30"/>
      <c r="SKI76" s="25"/>
      <c r="SKJ76" s="178"/>
      <c r="SKK76" s="26"/>
      <c r="SKL76" s="26"/>
      <c r="SKM76" s="26"/>
      <c r="SKN76" s="26"/>
      <c r="SKO76" s="26"/>
      <c r="SKP76" s="26"/>
      <c r="SKQ76" s="58"/>
      <c r="SKR76" s="26"/>
      <c r="SKS76" s="26"/>
      <c r="SKT76" s="26"/>
      <c r="SKU76" s="26"/>
      <c r="SKV76" s="22"/>
      <c r="SKW76" s="167"/>
      <c r="SKX76" s="30"/>
      <c r="SKY76" s="25"/>
      <c r="SKZ76" s="178"/>
      <c r="SLA76" s="26"/>
      <c r="SLB76" s="26"/>
      <c r="SLC76" s="26"/>
      <c r="SLD76" s="26"/>
      <c r="SLE76" s="26"/>
      <c r="SLF76" s="26"/>
      <c r="SLG76" s="58"/>
      <c r="SLH76" s="26"/>
      <c r="SLI76" s="26"/>
      <c r="SLJ76" s="26"/>
      <c r="SLK76" s="26"/>
      <c r="SLL76" s="22"/>
      <c r="SLM76" s="167"/>
      <c r="SLN76" s="30"/>
      <c r="SLO76" s="25"/>
      <c r="SLP76" s="178"/>
      <c r="SLQ76" s="26"/>
      <c r="SLR76" s="26"/>
      <c r="SLS76" s="26"/>
      <c r="SLT76" s="26"/>
      <c r="SLU76" s="26"/>
      <c r="SLV76" s="26"/>
      <c r="SLW76" s="58"/>
      <c r="SLX76" s="26"/>
      <c r="SLY76" s="26"/>
      <c r="SLZ76" s="26"/>
      <c r="SMA76" s="26"/>
      <c r="SMB76" s="22"/>
      <c r="SMC76" s="167"/>
      <c r="SMD76" s="30"/>
      <c r="SME76" s="25"/>
      <c r="SMF76" s="178"/>
      <c r="SMG76" s="26"/>
      <c r="SMH76" s="26"/>
      <c r="SMI76" s="26"/>
      <c r="SMJ76" s="26"/>
      <c r="SMK76" s="26"/>
      <c r="SML76" s="26"/>
      <c r="SMM76" s="58"/>
      <c r="SMN76" s="26"/>
      <c r="SMO76" s="26"/>
      <c r="SMP76" s="26"/>
      <c r="SMQ76" s="26"/>
      <c r="SMR76" s="22"/>
      <c r="SMS76" s="167"/>
      <c r="SMT76" s="30"/>
      <c r="SMU76" s="25"/>
      <c r="SMV76" s="178"/>
      <c r="SMW76" s="26"/>
      <c r="SMX76" s="26"/>
      <c r="SMY76" s="26"/>
      <c r="SMZ76" s="26"/>
      <c r="SNA76" s="26"/>
      <c r="SNB76" s="26"/>
      <c r="SNC76" s="58"/>
      <c r="SND76" s="26"/>
      <c r="SNE76" s="26"/>
      <c r="SNF76" s="26"/>
      <c r="SNG76" s="26"/>
      <c r="SNH76" s="22"/>
      <c r="SNI76" s="167"/>
      <c r="SNJ76" s="30"/>
      <c r="SNK76" s="25"/>
      <c r="SNL76" s="178"/>
      <c r="SNM76" s="26"/>
      <c r="SNN76" s="26"/>
      <c r="SNO76" s="26"/>
      <c r="SNP76" s="26"/>
      <c r="SNQ76" s="26"/>
      <c r="SNR76" s="26"/>
      <c r="SNS76" s="58"/>
      <c r="SNT76" s="26"/>
      <c r="SNU76" s="26"/>
      <c r="SNV76" s="26"/>
      <c r="SNW76" s="26"/>
      <c r="SNX76" s="22"/>
      <c r="SNY76" s="167"/>
      <c r="SNZ76" s="30"/>
      <c r="SOA76" s="25"/>
      <c r="SOB76" s="178"/>
      <c r="SOC76" s="26"/>
      <c r="SOD76" s="26"/>
      <c r="SOE76" s="26"/>
      <c r="SOF76" s="26"/>
      <c r="SOG76" s="26"/>
      <c r="SOH76" s="26"/>
      <c r="SOI76" s="58"/>
      <c r="SOJ76" s="26"/>
      <c r="SOK76" s="26"/>
      <c r="SOL76" s="26"/>
      <c r="SOM76" s="26"/>
      <c r="SON76" s="22"/>
      <c r="SOO76" s="167"/>
      <c r="SOP76" s="30"/>
      <c r="SOQ76" s="25"/>
      <c r="SOR76" s="178"/>
      <c r="SOS76" s="26"/>
      <c r="SOT76" s="26"/>
      <c r="SOU76" s="26"/>
      <c r="SOV76" s="26"/>
      <c r="SOW76" s="26"/>
      <c r="SOX76" s="26"/>
      <c r="SOY76" s="58"/>
      <c r="SOZ76" s="26"/>
      <c r="SPA76" s="26"/>
      <c r="SPB76" s="26"/>
      <c r="SPC76" s="26"/>
      <c r="SPD76" s="22"/>
      <c r="SPE76" s="167"/>
      <c r="SPF76" s="30"/>
      <c r="SPG76" s="25"/>
      <c r="SPH76" s="178"/>
      <c r="SPI76" s="26"/>
      <c r="SPJ76" s="26"/>
      <c r="SPK76" s="26"/>
      <c r="SPL76" s="26"/>
      <c r="SPM76" s="26"/>
      <c r="SPN76" s="26"/>
      <c r="SPO76" s="58"/>
      <c r="SPP76" s="26"/>
      <c r="SPQ76" s="26"/>
      <c r="SPR76" s="26"/>
      <c r="SPS76" s="26"/>
      <c r="SPT76" s="22"/>
      <c r="SPU76" s="167"/>
      <c r="SPV76" s="30"/>
      <c r="SPW76" s="25"/>
      <c r="SPX76" s="178"/>
      <c r="SPY76" s="26"/>
      <c r="SPZ76" s="26"/>
      <c r="SQA76" s="26"/>
      <c r="SQB76" s="26"/>
      <c r="SQC76" s="26"/>
      <c r="SQD76" s="26"/>
      <c r="SQE76" s="58"/>
      <c r="SQF76" s="26"/>
      <c r="SQG76" s="26"/>
      <c r="SQH76" s="26"/>
      <c r="SQI76" s="26"/>
      <c r="SQJ76" s="22"/>
      <c r="SQK76" s="167"/>
      <c r="SQL76" s="30"/>
      <c r="SQM76" s="25"/>
      <c r="SQN76" s="178"/>
      <c r="SQO76" s="26"/>
      <c r="SQP76" s="26"/>
      <c r="SQQ76" s="26"/>
      <c r="SQR76" s="26"/>
      <c r="SQS76" s="26"/>
      <c r="SQT76" s="26"/>
      <c r="SQU76" s="58"/>
      <c r="SQV76" s="26"/>
      <c r="SQW76" s="26"/>
      <c r="SQX76" s="26"/>
      <c r="SQY76" s="26"/>
      <c r="SQZ76" s="22"/>
      <c r="SRA76" s="167"/>
      <c r="SRB76" s="30"/>
      <c r="SRC76" s="25"/>
      <c r="SRD76" s="178"/>
      <c r="SRE76" s="26"/>
      <c r="SRF76" s="26"/>
      <c r="SRG76" s="26"/>
      <c r="SRH76" s="26"/>
      <c r="SRI76" s="26"/>
      <c r="SRJ76" s="26"/>
      <c r="SRK76" s="58"/>
      <c r="SRL76" s="26"/>
      <c r="SRM76" s="26"/>
      <c r="SRN76" s="26"/>
      <c r="SRO76" s="26"/>
      <c r="SRP76" s="22"/>
      <c r="SRQ76" s="167"/>
      <c r="SRR76" s="30"/>
      <c r="SRS76" s="25"/>
      <c r="SRT76" s="178"/>
      <c r="SRU76" s="26"/>
      <c r="SRV76" s="26"/>
      <c r="SRW76" s="26"/>
      <c r="SRX76" s="26"/>
      <c r="SRY76" s="26"/>
      <c r="SRZ76" s="26"/>
      <c r="SSA76" s="58"/>
      <c r="SSB76" s="26"/>
      <c r="SSC76" s="26"/>
      <c r="SSD76" s="26"/>
      <c r="SSE76" s="26"/>
      <c r="SSF76" s="22"/>
      <c r="SSG76" s="167"/>
      <c r="SSH76" s="30"/>
      <c r="SSI76" s="25"/>
      <c r="SSJ76" s="178"/>
      <c r="SSK76" s="26"/>
      <c r="SSL76" s="26"/>
      <c r="SSM76" s="26"/>
      <c r="SSN76" s="26"/>
      <c r="SSO76" s="26"/>
      <c r="SSP76" s="26"/>
      <c r="SSQ76" s="58"/>
      <c r="SSR76" s="26"/>
      <c r="SSS76" s="26"/>
      <c r="SST76" s="26"/>
      <c r="SSU76" s="26"/>
      <c r="SSV76" s="22"/>
      <c r="SSW76" s="167"/>
      <c r="SSX76" s="30"/>
      <c r="SSY76" s="25"/>
      <c r="SSZ76" s="178"/>
      <c r="STA76" s="26"/>
      <c r="STB76" s="26"/>
      <c r="STC76" s="26"/>
      <c r="STD76" s="26"/>
      <c r="STE76" s="26"/>
      <c r="STF76" s="26"/>
      <c r="STG76" s="58"/>
      <c r="STH76" s="26"/>
      <c r="STI76" s="26"/>
      <c r="STJ76" s="26"/>
      <c r="STK76" s="26"/>
      <c r="STL76" s="22"/>
      <c r="STM76" s="167"/>
      <c r="STN76" s="30"/>
      <c r="STO76" s="25"/>
      <c r="STP76" s="178"/>
      <c r="STQ76" s="26"/>
      <c r="STR76" s="26"/>
      <c r="STS76" s="26"/>
      <c r="STT76" s="26"/>
      <c r="STU76" s="26"/>
      <c r="STV76" s="26"/>
      <c r="STW76" s="58"/>
      <c r="STX76" s="26"/>
      <c r="STY76" s="26"/>
      <c r="STZ76" s="26"/>
      <c r="SUA76" s="26"/>
      <c r="SUB76" s="22"/>
      <c r="SUC76" s="167"/>
      <c r="SUD76" s="30"/>
      <c r="SUE76" s="25"/>
      <c r="SUF76" s="178"/>
      <c r="SUG76" s="26"/>
      <c r="SUH76" s="26"/>
      <c r="SUI76" s="26"/>
      <c r="SUJ76" s="26"/>
      <c r="SUK76" s="26"/>
      <c r="SUL76" s="26"/>
      <c r="SUM76" s="58"/>
      <c r="SUN76" s="26"/>
      <c r="SUO76" s="26"/>
      <c r="SUP76" s="26"/>
      <c r="SUQ76" s="26"/>
      <c r="SUR76" s="22"/>
      <c r="SUS76" s="167"/>
      <c r="SUT76" s="30"/>
      <c r="SUU76" s="25"/>
      <c r="SUV76" s="178"/>
      <c r="SUW76" s="26"/>
      <c r="SUX76" s="26"/>
      <c r="SUY76" s="26"/>
      <c r="SUZ76" s="26"/>
      <c r="SVA76" s="26"/>
      <c r="SVB76" s="26"/>
      <c r="SVC76" s="58"/>
      <c r="SVD76" s="26"/>
      <c r="SVE76" s="26"/>
      <c r="SVF76" s="26"/>
      <c r="SVG76" s="26"/>
      <c r="SVH76" s="22"/>
      <c r="SVI76" s="167"/>
      <c r="SVJ76" s="30"/>
      <c r="SVK76" s="25"/>
      <c r="SVL76" s="178"/>
      <c r="SVM76" s="26"/>
      <c r="SVN76" s="26"/>
      <c r="SVO76" s="26"/>
      <c r="SVP76" s="26"/>
      <c r="SVQ76" s="26"/>
      <c r="SVR76" s="26"/>
      <c r="SVS76" s="58"/>
      <c r="SVT76" s="26"/>
      <c r="SVU76" s="26"/>
      <c r="SVV76" s="26"/>
      <c r="SVW76" s="26"/>
      <c r="SVX76" s="22"/>
      <c r="SVY76" s="167"/>
      <c r="SVZ76" s="30"/>
      <c r="SWA76" s="25"/>
      <c r="SWB76" s="178"/>
      <c r="SWC76" s="26"/>
      <c r="SWD76" s="26"/>
      <c r="SWE76" s="26"/>
      <c r="SWF76" s="26"/>
      <c r="SWG76" s="26"/>
      <c r="SWH76" s="26"/>
      <c r="SWI76" s="58"/>
      <c r="SWJ76" s="26"/>
      <c r="SWK76" s="26"/>
      <c r="SWL76" s="26"/>
      <c r="SWM76" s="26"/>
      <c r="SWN76" s="22"/>
      <c r="SWO76" s="167"/>
      <c r="SWP76" s="30"/>
      <c r="SWQ76" s="25"/>
      <c r="SWR76" s="178"/>
      <c r="SWS76" s="26"/>
      <c r="SWT76" s="26"/>
      <c r="SWU76" s="26"/>
      <c r="SWV76" s="26"/>
      <c r="SWW76" s="26"/>
      <c r="SWX76" s="26"/>
      <c r="SWY76" s="58"/>
      <c r="SWZ76" s="26"/>
      <c r="SXA76" s="26"/>
      <c r="SXB76" s="26"/>
      <c r="SXC76" s="26"/>
      <c r="SXD76" s="22"/>
      <c r="SXE76" s="167"/>
      <c r="SXF76" s="30"/>
      <c r="SXG76" s="25"/>
      <c r="SXH76" s="178"/>
      <c r="SXI76" s="26"/>
      <c r="SXJ76" s="26"/>
      <c r="SXK76" s="26"/>
      <c r="SXL76" s="26"/>
      <c r="SXM76" s="26"/>
      <c r="SXN76" s="26"/>
      <c r="SXO76" s="58"/>
      <c r="SXP76" s="26"/>
      <c r="SXQ76" s="26"/>
      <c r="SXR76" s="26"/>
      <c r="SXS76" s="26"/>
      <c r="SXT76" s="22"/>
      <c r="SXU76" s="167"/>
      <c r="SXV76" s="30"/>
      <c r="SXW76" s="25"/>
      <c r="SXX76" s="178"/>
      <c r="SXY76" s="26"/>
      <c r="SXZ76" s="26"/>
      <c r="SYA76" s="26"/>
      <c r="SYB76" s="26"/>
      <c r="SYC76" s="26"/>
      <c r="SYD76" s="26"/>
      <c r="SYE76" s="58"/>
      <c r="SYF76" s="26"/>
      <c r="SYG76" s="26"/>
      <c r="SYH76" s="26"/>
      <c r="SYI76" s="26"/>
      <c r="SYJ76" s="22"/>
      <c r="SYK76" s="167"/>
      <c r="SYL76" s="30"/>
      <c r="SYM76" s="25"/>
      <c r="SYN76" s="178"/>
      <c r="SYO76" s="26"/>
      <c r="SYP76" s="26"/>
      <c r="SYQ76" s="26"/>
      <c r="SYR76" s="26"/>
      <c r="SYS76" s="26"/>
      <c r="SYT76" s="26"/>
      <c r="SYU76" s="58"/>
      <c r="SYV76" s="26"/>
      <c r="SYW76" s="26"/>
      <c r="SYX76" s="26"/>
      <c r="SYY76" s="26"/>
      <c r="SYZ76" s="22"/>
      <c r="SZA76" s="167"/>
      <c r="SZB76" s="30"/>
      <c r="SZC76" s="25"/>
      <c r="SZD76" s="178"/>
      <c r="SZE76" s="26"/>
      <c r="SZF76" s="26"/>
      <c r="SZG76" s="26"/>
      <c r="SZH76" s="26"/>
      <c r="SZI76" s="26"/>
      <c r="SZJ76" s="26"/>
      <c r="SZK76" s="58"/>
      <c r="SZL76" s="26"/>
      <c r="SZM76" s="26"/>
      <c r="SZN76" s="26"/>
      <c r="SZO76" s="26"/>
      <c r="SZP76" s="22"/>
      <c r="SZQ76" s="167"/>
      <c r="SZR76" s="30"/>
      <c r="SZS76" s="25"/>
      <c r="SZT76" s="178"/>
      <c r="SZU76" s="26"/>
      <c r="SZV76" s="26"/>
      <c r="SZW76" s="26"/>
      <c r="SZX76" s="26"/>
      <c r="SZY76" s="26"/>
      <c r="SZZ76" s="26"/>
      <c r="TAA76" s="58"/>
      <c r="TAB76" s="26"/>
      <c r="TAC76" s="26"/>
      <c r="TAD76" s="26"/>
      <c r="TAE76" s="26"/>
      <c r="TAF76" s="22"/>
      <c r="TAG76" s="167"/>
      <c r="TAH76" s="30"/>
      <c r="TAI76" s="25"/>
      <c r="TAJ76" s="178"/>
      <c r="TAK76" s="26"/>
      <c r="TAL76" s="26"/>
      <c r="TAM76" s="26"/>
      <c r="TAN76" s="26"/>
      <c r="TAO76" s="26"/>
      <c r="TAP76" s="26"/>
      <c r="TAQ76" s="58"/>
      <c r="TAR76" s="26"/>
      <c r="TAS76" s="26"/>
      <c r="TAT76" s="26"/>
      <c r="TAU76" s="26"/>
      <c r="TAV76" s="22"/>
      <c r="TAW76" s="167"/>
      <c r="TAX76" s="30"/>
      <c r="TAY76" s="25"/>
      <c r="TAZ76" s="178"/>
      <c r="TBA76" s="26"/>
      <c r="TBB76" s="26"/>
      <c r="TBC76" s="26"/>
      <c r="TBD76" s="26"/>
      <c r="TBE76" s="26"/>
      <c r="TBF76" s="26"/>
      <c r="TBG76" s="58"/>
      <c r="TBH76" s="26"/>
      <c r="TBI76" s="26"/>
      <c r="TBJ76" s="26"/>
      <c r="TBK76" s="26"/>
      <c r="TBL76" s="22"/>
      <c r="TBM76" s="167"/>
      <c r="TBN76" s="30"/>
      <c r="TBO76" s="25"/>
      <c r="TBP76" s="178"/>
      <c r="TBQ76" s="26"/>
      <c r="TBR76" s="26"/>
      <c r="TBS76" s="26"/>
      <c r="TBT76" s="26"/>
      <c r="TBU76" s="26"/>
      <c r="TBV76" s="26"/>
      <c r="TBW76" s="58"/>
      <c r="TBX76" s="26"/>
      <c r="TBY76" s="26"/>
      <c r="TBZ76" s="26"/>
      <c r="TCA76" s="26"/>
      <c r="TCB76" s="22"/>
      <c r="TCC76" s="167"/>
      <c r="TCD76" s="30"/>
      <c r="TCE76" s="25"/>
      <c r="TCF76" s="178"/>
      <c r="TCG76" s="26"/>
      <c r="TCH76" s="26"/>
      <c r="TCI76" s="26"/>
      <c r="TCJ76" s="26"/>
      <c r="TCK76" s="26"/>
      <c r="TCL76" s="26"/>
      <c r="TCM76" s="58"/>
      <c r="TCN76" s="26"/>
      <c r="TCO76" s="26"/>
      <c r="TCP76" s="26"/>
      <c r="TCQ76" s="26"/>
      <c r="TCR76" s="22"/>
      <c r="TCS76" s="167"/>
      <c r="TCT76" s="30"/>
      <c r="TCU76" s="25"/>
      <c r="TCV76" s="178"/>
      <c r="TCW76" s="26"/>
      <c r="TCX76" s="26"/>
      <c r="TCY76" s="26"/>
      <c r="TCZ76" s="26"/>
      <c r="TDA76" s="26"/>
      <c r="TDB76" s="26"/>
      <c r="TDC76" s="58"/>
      <c r="TDD76" s="26"/>
      <c r="TDE76" s="26"/>
      <c r="TDF76" s="26"/>
      <c r="TDG76" s="26"/>
      <c r="TDH76" s="22"/>
      <c r="TDI76" s="167"/>
      <c r="TDJ76" s="30"/>
      <c r="TDK76" s="25"/>
      <c r="TDL76" s="178"/>
      <c r="TDM76" s="26"/>
      <c r="TDN76" s="26"/>
      <c r="TDO76" s="26"/>
      <c r="TDP76" s="26"/>
      <c r="TDQ76" s="26"/>
      <c r="TDR76" s="26"/>
      <c r="TDS76" s="58"/>
      <c r="TDT76" s="26"/>
      <c r="TDU76" s="26"/>
      <c r="TDV76" s="26"/>
      <c r="TDW76" s="26"/>
      <c r="TDX76" s="22"/>
      <c r="TDY76" s="167"/>
      <c r="TDZ76" s="30"/>
      <c r="TEA76" s="25"/>
      <c r="TEB76" s="178"/>
      <c r="TEC76" s="26"/>
      <c r="TED76" s="26"/>
      <c r="TEE76" s="26"/>
      <c r="TEF76" s="26"/>
      <c r="TEG76" s="26"/>
      <c r="TEH76" s="26"/>
      <c r="TEI76" s="58"/>
      <c r="TEJ76" s="26"/>
      <c r="TEK76" s="26"/>
      <c r="TEL76" s="26"/>
      <c r="TEM76" s="26"/>
      <c r="TEN76" s="22"/>
      <c r="TEO76" s="167"/>
      <c r="TEP76" s="30"/>
      <c r="TEQ76" s="25"/>
      <c r="TER76" s="178"/>
      <c r="TES76" s="26"/>
      <c r="TET76" s="26"/>
      <c r="TEU76" s="26"/>
      <c r="TEV76" s="26"/>
      <c r="TEW76" s="26"/>
      <c r="TEX76" s="26"/>
      <c r="TEY76" s="58"/>
      <c r="TEZ76" s="26"/>
      <c r="TFA76" s="26"/>
      <c r="TFB76" s="26"/>
      <c r="TFC76" s="26"/>
      <c r="TFD76" s="22"/>
      <c r="TFE76" s="167"/>
      <c r="TFF76" s="30"/>
      <c r="TFG76" s="25"/>
      <c r="TFH76" s="178"/>
      <c r="TFI76" s="26"/>
      <c r="TFJ76" s="26"/>
      <c r="TFK76" s="26"/>
      <c r="TFL76" s="26"/>
      <c r="TFM76" s="26"/>
      <c r="TFN76" s="26"/>
      <c r="TFO76" s="58"/>
      <c r="TFP76" s="26"/>
      <c r="TFQ76" s="26"/>
      <c r="TFR76" s="26"/>
      <c r="TFS76" s="26"/>
      <c r="TFT76" s="22"/>
      <c r="TFU76" s="167"/>
      <c r="TFV76" s="30"/>
      <c r="TFW76" s="25"/>
      <c r="TFX76" s="178"/>
      <c r="TFY76" s="26"/>
      <c r="TFZ76" s="26"/>
      <c r="TGA76" s="26"/>
      <c r="TGB76" s="26"/>
      <c r="TGC76" s="26"/>
      <c r="TGD76" s="26"/>
      <c r="TGE76" s="58"/>
      <c r="TGF76" s="26"/>
      <c r="TGG76" s="26"/>
      <c r="TGH76" s="26"/>
      <c r="TGI76" s="26"/>
      <c r="TGJ76" s="22"/>
      <c r="TGK76" s="167"/>
      <c r="TGL76" s="30"/>
      <c r="TGM76" s="25"/>
      <c r="TGN76" s="178"/>
      <c r="TGO76" s="26"/>
      <c r="TGP76" s="26"/>
      <c r="TGQ76" s="26"/>
      <c r="TGR76" s="26"/>
      <c r="TGS76" s="26"/>
      <c r="TGT76" s="26"/>
      <c r="TGU76" s="58"/>
      <c r="TGV76" s="26"/>
      <c r="TGW76" s="26"/>
      <c r="TGX76" s="26"/>
      <c r="TGY76" s="26"/>
      <c r="TGZ76" s="22"/>
      <c r="THA76" s="167"/>
      <c r="THB76" s="30"/>
      <c r="THC76" s="25"/>
      <c r="THD76" s="178"/>
      <c r="THE76" s="26"/>
      <c r="THF76" s="26"/>
      <c r="THG76" s="26"/>
      <c r="THH76" s="26"/>
      <c r="THI76" s="26"/>
      <c r="THJ76" s="26"/>
      <c r="THK76" s="58"/>
      <c r="THL76" s="26"/>
      <c r="THM76" s="26"/>
      <c r="THN76" s="26"/>
      <c r="THO76" s="26"/>
      <c r="THP76" s="22"/>
      <c r="THQ76" s="167"/>
      <c r="THR76" s="30"/>
      <c r="THS76" s="25"/>
      <c r="THT76" s="178"/>
      <c r="THU76" s="26"/>
      <c r="THV76" s="26"/>
      <c r="THW76" s="26"/>
      <c r="THX76" s="26"/>
      <c r="THY76" s="26"/>
      <c r="THZ76" s="26"/>
      <c r="TIA76" s="58"/>
      <c r="TIB76" s="26"/>
      <c r="TIC76" s="26"/>
      <c r="TID76" s="26"/>
      <c r="TIE76" s="26"/>
      <c r="TIF76" s="22"/>
      <c r="TIG76" s="167"/>
      <c r="TIH76" s="30"/>
      <c r="TII76" s="25"/>
      <c r="TIJ76" s="178"/>
      <c r="TIK76" s="26"/>
      <c r="TIL76" s="26"/>
      <c r="TIM76" s="26"/>
      <c r="TIN76" s="26"/>
      <c r="TIO76" s="26"/>
      <c r="TIP76" s="26"/>
      <c r="TIQ76" s="58"/>
      <c r="TIR76" s="26"/>
      <c r="TIS76" s="26"/>
      <c r="TIT76" s="26"/>
      <c r="TIU76" s="26"/>
      <c r="TIV76" s="22"/>
      <c r="TIW76" s="167"/>
      <c r="TIX76" s="30"/>
      <c r="TIY76" s="25"/>
      <c r="TIZ76" s="178"/>
      <c r="TJA76" s="26"/>
      <c r="TJB76" s="26"/>
      <c r="TJC76" s="26"/>
      <c r="TJD76" s="26"/>
      <c r="TJE76" s="26"/>
      <c r="TJF76" s="26"/>
      <c r="TJG76" s="58"/>
      <c r="TJH76" s="26"/>
      <c r="TJI76" s="26"/>
      <c r="TJJ76" s="26"/>
      <c r="TJK76" s="26"/>
      <c r="TJL76" s="22"/>
      <c r="TJM76" s="167"/>
      <c r="TJN76" s="30"/>
      <c r="TJO76" s="25"/>
      <c r="TJP76" s="178"/>
      <c r="TJQ76" s="26"/>
      <c r="TJR76" s="26"/>
      <c r="TJS76" s="26"/>
      <c r="TJT76" s="26"/>
      <c r="TJU76" s="26"/>
      <c r="TJV76" s="26"/>
      <c r="TJW76" s="58"/>
      <c r="TJX76" s="26"/>
      <c r="TJY76" s="26"/>
      <c r="TJZ76" s="26"/>
      <c r="TKA76" s="26"/>
      <c r="TKB76" s="22"/>
      <c r="TKC76" s="167"/>
      <c r="TKD76" s="30"/>
      <c r="TKE76" s="25"/>
      <c r="TKF76" s="178"/>
      <c r="TKG76" s="26"/>
      <c r="TKH76" s="26"/>
      <c r="TKI76" s="26"/>
      <c r="TKJ76" s="26"/>
      <c r="TKK76" s="26"/>
      <c r="TKL76" s="26"/>
      <c r="TKM76" s="58"/>
      <c r="TKN76" s="26"/>
      <c r="TKO76" s="26"/>
      <c r="TKP76" s="26"/>
      <c r="TKQ76" s="26"/>
      <c r="TKR76" s="22"/>
      <c r="TKS76" s="167"/>
      <c r="TKT76" s="30"/>
      <c r="TKU76" s="25"/>
      <c r="TKV76" s="178"/>
      <c r="TKW76" s="26"/>
      <c r="TKX76" s="26"/>
      <c r="TKY76" s="26"/>
      <c r="TKZ76" s="26"/>
      <c r="TLA76" s="26"/>
      <c r="TLB76" s="26"/>
      <c r="TLC76" s="58"/>
      <c r="TLD76" s="26"/>
      <c r="TLE76" s="26"/>
      <c r="TLF76" s="26"/>
      <c r="TLG76" s="26"/>
      <c r="TLH76" s="22"/>
      <c r="TLI76" s="167"/>
      <c r="TLJ76" s="30"/>
      <c r="TLK76" s="25"/>
      <c r="TLL76" s="178"/>
      <c r="TLM76" s="26"/>
      <c r="TLN76" s="26"/>
      <c r="TLO76" s="26"/>
      <c r="TLP76" s="26"/>
      <c r="TLQ76" s="26"/>
      <c r="TLR76" s="26"/>
      <c r="TLS76" s="58"/>
      <c r="TLT76" s="26"/>
      <c r="TLU76" s="26"/>
      <c r="TLV76" s="26"/>
      <c r="TLW76" s="26"/>
      <c r="TLX76" s="22"/>
      <c r="TLY76" s="167"/>
      <c r="TLZ76" s="30"/>
      <c r="TMA76" s="25"/>
      <c r="TMB76" s="178"/>
      <c r="TMC76" s="26"/>
      <c r="TMD76" s="26"/>
      <c r="TME76" s="26"/>
      <c r="TMF76" s="26"/>
      <c r="TMG76" s="26"/>
      <c r="TMH76" s="26"/>
      <c r="TMI76" s="58"/>
      <c r="TMJ76" s="26"/>
      <c r="TMK76" s="26"/>
      <c r="TML76" s="26"/>
      <c r="TMM76" s="26"/>
      <c r="TMN76" s="22"/>
      <c r="TMO76" s="167"/>
      <c r="TMP76" s="30"/>
      <c r="TMQ76" s="25"/>
      <c r="TMR76" s="178"/>
      <c r="TMS76" s="26"/>
      <c r="TMT76" s="26"/>
      <c r="TMU76" s="26"/>
      <c r="TMV76" s="26"/>
      <c r="TMW76" s="26"/>
      <c r="TMX76" s="26"/>
      <c r="TMY76" s="58"/>
      <c r="TMZ76" s="26"/>
      <c r="TNA76" s="26"/>
      <c r="TNB76" s="26"/>
      <c r="TNC76" s="26"/>
      <c r="TND76" s="22"/>
      <c r="TNE76" s="167"/>
      <c r="TNF76" s="30"/>
      <c r="TNG76" s="25"/>
      <c r="TNH76" s="178"/>
      <c r="TNI76" s="26"/>
      <c r="TNJ76" s="26"/>
      <c r="TNK76" s="26"/>
      <c r="TNL76" s="26"/>
      <c r="TNM76" s="26"/>
      <c r="TNN76" s="26"/>
      <c r="TNO76" s="58"/>
      <c r="TNP76" s="26"/>
      <c r="TNQ76" s="26"/>
      <c r="TNR76" s="26"/>
      <c r="TNS76" s="26"/>
      <c r="TNT76" s="22"/>
      <c r="TNU76" s="167"/>
      <c r="TNV76" s="30"/>
      <c r="TNW76" s="25"/>
      <c r="TNX76" s="178"/>
      <c r="TNY76" s="26"/>
      <c r="TNZ76" s="26"/>
      <c r="TOA76" s="26"/>
      <c r="TOB76" s="26"/>
      <c r="TOC76" s="26"/>
      <c r="TOD76" s="26"/>
      <c r="TOE76" s="58"/>
      <c r="TOF76" s="26"/>
      <c r="TOG76" s="26"/>
      <c r="TOH76" s="26"/>
      <c r="TOI76" s="26"/>
      <c r="TOJ76" s="22"/>
      <c r="TOK76" s="167"/>
      <c r="TOL76" s="30"/>
      <c r="TOM76" s="25"/>
      <c r="TON76" s="178"/>
      <c r="TOO76" s="26"/>
      <c r="TOP76" s="26"/>
      <c r="TOQ76" s="26"/>
      <c r="TOR76" s="26"/>
      <c r="TOS76" s="26"/>
      <c r="TOT76" s="26"/>
      <c r="TOU76" s="58"/>
      <c r="TOV76" s="26"/>
      <c r="TOW76" s="26"/>
      <c r="TOX76" s="26"/>
      <c r="TOY76" s="26"/>
      <c r="TOZ76" s="22"/>
      <c r="TPA76" s="167"/>
      <c r="TPB76" s="30"/>
      <c r="TPC76" s="25"/>
      <c r="TPD76" s="178"/>
      <c r="TPE76" s="26"/>
      <c r="TPF76" s="26"/>
      <c r="TPG76" s="26"/>
      <c r="TPH76" s="26"/>
      <c r="TPI76" s="26"/>
      <c r="TPJ76" s="26"/>
      <c r="TPK76" s="58"/>
      <c r="TPL76" s="26"/>
      <c r="TPM76" s="26"/>
      <c r="TPN76" s="26"/>
      <c r="TPO76" s="26"/>
      <c r="TPP76" s="22"/>
      <c r="TPQ76" s="167"/>
      <c r="TPR76" s="30"/>
      <c r="TPS76" s="25"/>
      <c r="TPT76" s="178"/>
      <c r="TPU76" s="26"/>
      <c r="TPV76" s="26"/>
      <c r="TPW76" s="26"/>
      <c r="TPX76" s="26"/>
      <c r="TPY76" s="26"/>
      <c r="TPZ76" s="26"/>
      <c r="TQA76" s="58"/>
      <c r="TQB76" s="26"/>
      <c r="TQC76" s="26"/>
      <c r="TQD76" s="26"/>
      <c r="TQE76" s="26"/>
      <c r="TQF76" s="22"/>
      <c r="TQG76" s="167"/>
      <c r="TQH76" s="30"/>
      <c r="TQI76" s="25"/>
      <c r="TQJ76" s="178"/>
      <c r="TQK76" s="26"/>
      <c r="TQL76" s="26"/>
      <c r="TQM76" s="26"/>
      <c r="TQN76" s="26"/>
      <c r="TQO76" s="26"/>
      <c r="TQP76" s="26"/>
      <c r="TQQ76" s="58"/>
      <c r="TQR76" s="26"/>
      <c r="TQS76" s="26"/>
      <c r="TQT76" s="26"/>
      <c r="TQU76" s="26"/>
      <c r="TQV76" s="22"/>
      <c r="TQW76" s="167"/>
      <c r="TQX76" s="30"/>
      <c r="TQY76" s="25"/>
      <c r="TQZ76" s="178"/>
      <c r="TRA76" s="26"/>
      <c r="TRB76" s="26"/>
      <c r="TRC76" s="26"/>
      <c r="TRD76" s="26"/>
      <c r="TRE76" s="26"/>
      <c r="TRF76" s="26"/>
      <c r="TRG76" s="58"/>
      <c r="TRH76" s="26"/>
      <c r="TRI76" s="26"/>
      <c r="TRJ76" s="26"/>
      <c r="TRK76" s="26"/>
      <c r="TRL76" s="22"/>
      <c r="TRM76" s="167"/>
      <c r="TRN76" s="30"/>
      <c r="TRO76" s="25"/>
      <c r="TRP76" s="178"/>
      <c r="TRQ76" s="26"/>
      <c r="TRR76" s="26"/>
      <c r="TRS76" s="26"/>
      <c r="TRT76" s="26"/>
      <c r="TRU76" s="26"/>
      <c r="TRV76" s="26"/>
      <c r="TRW76" s="58"/>
      <c r="TRX76" s="26"/>
      <c r="TRY76" s="26"/>
      <c r="TRZ76" s="26"/>
      <c r="TSA76" s="26"/>
      <c r="TSB76" s="22"/>
      <c r="TSC76" s="167"/>
      <c r="TSD76" s="30"/>
      <c r="TSE76" s="25"/>
      <c r="TSF76" s="178"/>
      <c r="TSG76" s="26"/>
      <c r="TSH76" s="26"/>
      <c r="TSI76" s="26"/>
      <c r="TSJ76" s="26"/>
      <c r="TSK76" s="26"/>
      <c r="TSL76" s="26"/>
      <c r="TSM76" s="58"/>
      <c r="TSN76" s="26"/>
      <c r="TSO76" s="26"/>
      <c r="TSP76" s="26"/>
      <c r="TSQ76" s="26"/>
      <c r="TSR76" s="22"/>
      <c r="TSS76" s="167"/>
      <c r="TST76" s="30"/>
      <c r="TSU76" s="25"/>
      <c r="TSV76" s="178"/>
      <c r="TSW76" s="26"/>
      <c r="TSX76" s="26"/>
      <c r="TSY76" s="26"/>
      <c r="TSZ76" s="26"/>
      <c r="TTA76" s="26"/>
      <c r="TTB76" s="26"/>
      <c r="TTC76" s="58"/>
      <c r="TTD76" s="26"/>
      <c r="TTE76" s="26"/>
      <c r="TTF76" s="26"/>
      <c r="TTG76" s="26"/>
      <c r="TTH76" s="22"/>
      <c r="TTI76" s="167"/>
      <c r="TTJ76" s="30"/>
      <c r="TTK76" s="25"/>
      <c r="TTL76" s="178"/>
      <c r="TTM76" s="26"/>
      <c r="TTN76" s="26"/>
      <c r="TTO76" s="26"/>
      <c r="TTP76" s="26"/>
      <c r="TTQ76" s="26"/>
      <c r="TTR76" s="26"/>
      <c r="TTS76" s="58"/>
      <c r="TTT76" s="26"/>
      <c r="TTU76" s="26"/>
      <c r="TTV76" s="26"/>
      <c r="TTW76" s="26"/>
      <c r="TTX76" s="22"/>
      <c r="TTY76" s="167"/>
      <c r="TTZ76" s="30"/>
      <c r="TUA76" s="25"/>
      <c r="TUB76" s="178"/>
      <c r="TUC76" s="26"/>
      <c r="TUD76" s="26"/>
      <c r="TUE76" s="26"/>
      <c r="TUF76" s="26"/>
      <c r="TUG76" s="26"/>
      <c r="TUH76" s="26"/>
      <c r="TUI76" s="58"/>
      <c r="TUJ76" s="26"/>
      <c r="TUK76" s="26"/>
      <c r="TUL76" s="26"/>
      <c r="TUM76" s="26"/>
      <c r="TUN76" s="22"/>
      <c r="TUO76" s="167"/>
      <c r="TUP76" s="30"/>
      <c r="TUQ76" s="25"/>
      <c r="TUR76" s="178"/>
      <c r="TUS76" s="26"/>
      <c r="TUT76" s="26"/>
      <c r="TUU76" s="26"/>
      <c r="TUV76" s="26"/>
      <c r="TUW76" s="26"/>
      <c r="TUX76" s="26"/>
      <c r="TUY76" s="58"/>
      <c r="TUZ76" s="26"/>
      <c r="TVA76" s="26"/>
      <c r="TVB76" s="26"/>
      <c r="TVC76" s="26"/>
      <c r="TVD76" s="22"/>
      <c r="TVE76" s="167"/>
      <c r="TVF76" s="30"/>
      <c r="TVG76" s="25"/>
      <c r="TVH76" s="178"/>
      <c r="TVI76" s="26"/>
      <c r="TVJ76" s="26"/>
      <c r="TVK76" s="26"/>
      <c r="TVL76" s="26"/>
      <c r="TVM76" s="26"/>
      <c r="TVN76" s="26"/>
      <c r="TVO76" s="58"/>
      <c r="TVP76" s="26"/>
      <c r="TVQ76" s="26"/>
      <c r="TVR76" s="26"/>
      <c r="TVS76" s="26"/>
      <c r="TVT76" s="22"/>
      <c r="TVU76" s="167"/>
      <c r="TVV76" s="30"/>
      <c r="TVW76" s="25"/>
      <c r="TVX76" s="178"/>
      <c r="TVY76" s="26"/>
      <c r="TVZ76" s="26"/>
      <c r="TWA76" s="26"/>
      <c r="TWB76" s="26"/>
      <c r="TWC76" s="26"/>
      <c r="TWD76" s="26"/>
      <c r="TWE76" s="58"/>
      <c r="TWF76" s="26"/>
      <c r="TWG76" s="26"/>
      <c r="TWH76" s="26"/>
      <c r="TWI76" s="26"/>
      <c r="TWJ76" s="22"/>
      <c r="TWK76" s="167"/>
      <c r="TWL76" s="30"/>
      <c r="TWM76" s="25"/>
      <c r="TWN76" s="178"/>
      <c r="TWO76" s="26"/>
      <c r="TWP76" s="26"/>
      <c r="TWQ76" s="26"/>
      <c r="TWR76" s="26"/>
      <c r="TWS76" s="26"/>
      <c r="TWT76" s="26"/>
      <c r="TWU76" s="58"/>
      <c r="TWV76" s="26"/>
      <c r="TWW76" s="26"/>
      <c r="TWX76" s="26"/>
      <c r="TWY76" s="26"/>
      <c r="TWZ76" s="22"/>
      <c r="TXA76" s="167"/>
      <c r="TXB76" s="30"/>
      <c r="TXC76" s="25"/>
      <c r="TXD76" s="178"/>
      <c r="TXE76" s="26"/>
      <c r="TXF76" s="26"/>
      <c r="TXG76" s="26"/>
      <c r="TXH76" s="26"/>
      <c r="TXI76" s="26"/>
      <c r="TXJ76" s="26"/>
      <c r="TXK76" s="58"/>
      <c r="TXL76" s="26"/>
      <c r="TXM76" s="26"/>
      <c r="TXN76" s="26"/>
      <c r="TXO76" s="26"/>
      <c r="TXP76" s="22"/>
      <c r="TXQ76" s="167"/>
      <c r="TXR76" s="30"/>
      <c r="TXS76" s="25"/>
      <c r="TXT76" s="178"/>
      <c r="TXU76" s="26"/>
      <c r="TXV76" s="26"/>
      <c r="TXW76" s="26"/>
      <c r="TXX76" s="26"/>
      <c r="TXY76" s="26"/>
      <c r="TXZ76" s="26"/>
      <c r="TYA76" s="58"/>
      <c r="TYB76" s="26"/>
      <c r="TYC76" s="26"/>
      <c r="TYD76" s="26"/>
      <c r="TYE76" s="26"/>
      <c r="TYF76" s="22"/>
      <c r="TYG76" s="167"/>
      <c r="TYH76" s="30"/>
      <c r="TYI76" s="25"/>
      <c r="TYJ76" s="178"/>
      <c r="TYK76" s="26"/>
      <c r="TYL76" s="26"/>
      <c r="TYM76" s="26"/>
      <c r="TYN76" s="26"/>
      <c r="TYO76" s="26"/>
      <c r="TYP76" s="26"/>
      <c r="TYQ76" s="58"/>
      <c r="TYR76" s="26"/>
      <c r="TYS76" s="26"/>
      <c r="TYT76" s="26"/>
      <c r="TYU76" s="26"/>
      <c r="TYV76" s="22"/>
      <c r="TYW76" s="167"/>
      <c r="TYX76" s="30"/>
      <c r="TYY76" s="25"/>
      <c r="TYZ76" s="178"/>
      <c r="TZA76" s="26"/>
      <c r="TZB76" s="26"/>
      <c r="TZC76" s="26"/>
      <c r="TZD76" s="26"/>
      <c r="TZE76" s="26"/>
      <c r="TZF76" s="26"/>
      <c r="TZG76" s="58"/>
      <c r="TZH76" s="26"/>
      <c r="TZI76" s="26"/>
      <c r="TZJ76" s="26"/>
      <c r="TZK76" s="26"/>
      <c r="TZL76" s="22"/>
      <c r="TZM76" s="167"/>
      <c r="TZN76" s="30"/>
      <c r="TZO76" s="25"/>
      <c r="TZP76" s="178"/>
      <c r="TZQ76" s="26"/>
      <c r="TZR76" s="26"/>
      <c r="TZS76" s="26"/>
      <c r="TZT76" s="26"/>
      <c r="TZU76" s="26"/>
      <c r="TZV76" s="26"/>
      <c r="TZW76" s="58"/>
      <c r="TZX76" s="26"/>
      <c r="TZY76" s="26"/>
      <c r="TZZ76" s="26"/>
      <c r="UAA76" s="26"/>
      <c r="UAB76" s="22"/>
      <c r="UAC76" s="167"/>
      <c r="UAD76" s="30"/>
      <c r="UAE76" s="25"/>
      <c r="UAF76" s="178"/>
      <c r="UAG76" s="26"/>
      <c r="UAH76" s="26"/>
      <c r="UAI76" s="26"/>
      <c r="UAJ76" s="26"/>
      <c r="UAK76" s="26"/>
      <c r="UAL76" s="26"/>
      <c r="UAM76" s="58"/>
      <c r="UAN76" s="26"/>
      <c r="UAO76" s="26"/>
      <c r="UAP76" s="26"/>
      <c r="UAQ76" s="26"/>
      <c r="UAR76" s="22"/>
      <c r="UAS76" s="167"/>
      <c r="UAT76" s="30"/>
      <c r="UAU76" s="25"/>
      <c r="UAV76" s="178"/>
      <c r="UAW76" s="26"/>
      <c r="UAX76" s="26"/>
      <c r="UAY76" s="26"/>
      <c r="UAZ76" s="26"/>
      <c r="UBA76" s="26"/>
      <c r="UBB76" s="26"/>
      <c r="UBC76" s="58"/>
      <c r="UBD76" s="26"/>
      <c r="UBE76" s="26"/>
      <c r="UBF76" s="26"/>
      <c r="UBG76" s="26"/>
      <c r="UBH76" s="22"/>
      <c r="UBI76" s="167"/>
      <c r="UBJ76" s="30"/>
      <c r="UBK76" s="25"/>
      <c r="UBL76" s="178"/>
      <c r="UBM76" s="26"/>
      <c r="UBN76" s="26"/>
      <c r="UBO76" s="26"/>
      <c r="UBP76" s="26"/>
      <c r="UBQ76" s="26"/>
      <c r="UBR76" s="26"/>
      <c r="UBS76" s="58"/>
      <c r="UBT76" s="26"/>
      <c r="UBU76" s="26"/>
      <c r="UBV76" s="26"/>
      <c r="UBW76" s="26"/>
      <c r="UBX76" s="22"/>
      <c r="UBY76" s="167"/>
      <c r="UBZ76" s="30"/>
      <c r="UCA76" s="25"/>
      <c r="UCB76" s="178"/>
      <c r="UCC76" s="26"/>
      <c r="UCD76" s="26"/>
      <c r="UCE76" s="26"/>
      <c r="UCF76" s="26"/>
      <c r="UCG76" s="26"/>
      <c r="UCH76" s="26"/>
      <c r="UCI76" s="58"/>
      <c r="UCJ76" s="26"/>
      <c r="UCK76" s="26"/>
      <c r="UCL76" s="26"/>
      <c r="UCM76" s="26"/>
      <c r="UCN76" s="22"/>
      <c r="UCO76" s="167"/>
      <c r="UCP76" s="30"/>
      <c r="UCQ76" s="25"/>
      <c r="UCR76" s="178"/>
      <c r="UCS76" s="26"/>
      <c r="UCT76" s="26"/>
      <c r="UCU76" s="26"/>
      <c r="UCV76" s="26"/>
      <c r="UCW76" s="26"/>
      <c r="UCX76" s="26"/>
      <c r="UCY76" s="58"/>
      <c r="UCZ76" s="26"/>
      <c r="UDA76" s="26"/>
      <c r="UDB76" s="26"/>
      <c r="UDC76" s="26"/>
      <c r="UDD76" s="22"/>
      <c r="UDE76" s="167"/>
      <c r="UDF76" s="30"/>
      <c r="UDG76" s="25"/>
      <c r="UDH76" s="178"/>
      <c r="UDI76" s="26"/>
      <c r="UDJ76" s="26"/>
      <c r="UDK76" s="26"/>
      <c r="UDL76" s="26"/>
      <c r="UDM76" s="26"/>
      <c r="UDN76" s="26"/>
      <c r="UDO76" s="58"/>
      <c r="UDP76" s="26"/>
      <c r="UDQ76" s="26"/>
      <c r="UDR76" s="26"/>
      <c r="UDS76" s="26"/>
      <c r="UDT76" s="22"/>
      <c r="UDU76" s="167"/>
      <c r="UDV76" s="30"/>
      <c r="UDW76" s="25"/>
      <c r="UDX76" s="178"/>
      <c r="UDY76" s="26"/>
      <c r="UDZ76" s="26"/>
      <c r="UEA76" s="26"/>
      <c r="UEB76" s="26"/>
      <c r="UEC76" s="26"/>
      <c r="UED76" s="26"/>
      <c r="UEE76" s="58"/>
      <c r="UEF76" s="26"/>
      <c r="UEG76" s="26"/>
      <c r="UEH76" s="26"/>
      <c r="UEI76" s="26"/>
      <c r="UEJ76" s="22"/>
      <c r="UEK76" s="167"/>
      <c r="UEL76" s="30"/>
      <c r="UEM76" s="25"/>
      <c r="UEN76" s="178"/>
      <c r="UEO76" s="26"/>
      <c r="UEP76" s="26"/>
      <c r="UEQ76" s="26"/>
      <c r="UER76" s="26"/>
      <c r="UES76" s="26"/>
      <c r="UET76" s="26"/>
      <c r="UEU76" s="58"/>
      <c r="UEV76" s="26"/>
      <c r="UEW76" s="26"/>
      <c r="UEX76" s="26"/>
      <c r="UEY76" s="26"/>
      <c r="UEZ76" s="22"/>
      <c r="UFA76" s="167"/>
      <c r="UFB76" s="30"/>
      <c r="UFC76" s="25"/>
      <c r="UFD76" s="178"/>
      <c r="UFE76" s="26"/>
      <c r="UFF76" s="26"/>
      <c r="UFG76" s="26"/>
      <c r="UFH76" s="26"/>
      <c r="UFI76" s="26"/>
      <c r="UFJ76" s="26"/>
      <c r="UFK76" s="58"/>
      <c r="UFL76" s="26"/>
      <c r="UFM76" s="26"/>
      <c r="UFN76" s="26"/>
      <c r="UFO76" s="26"/>
      <c r="UFP76" s="22"/>
      <c r="UFQ76" s="167"/>
      <c r="UFR76" s="30"/>
      <c r="UFS76" s="25"/>
      <c r="UFT76" s="178"/>
      <c r="UFU76" s="26"/>
      <c r="UFV76" s="26"/>
      <c r="UFW76" s="26"/>
      <c r="UFX76" s="26"/>
      <c r="UFY76" s="26"/>
      <c r="UFZ76" s="26"/>
      <c r="UGA76" s="58"/>
      <c r="UGB76" s="26"/>
      <c r="UGC76" s="26"/>
      <c r="UGD76" s="26"/>
      <c r="UGE76" s="26"/>
      <c r="UGF76" s="22"/>
      <c r="UGG76" s="167"/>
      <c r="UGH76" s="30"/>
      <c r="UGI76" s="25"/>
      <c r="UGJ76" s="178"/>
      <c r="UGK76" s="26"/>
      <c r="UGL76" s="26"/>
      <c r="UGM76" s="26"/>
      <c r="UGN76" s="26"/>
      <c r="UGO76" s="26"/>
      <c r="UGP76" s="26"/>
      <c r="UGQ76" s="58"/>
      <c r="UGR76" s="26"/>
      <c r="UGS76" s="26"/>
      <c r="UGT76" s="26"/>
      <c r="UGU76" s="26"/>
      <c r="UGV76" s="22"/>
      <c r="UGW76" s="167"/>
      <c r="UGX76" s="30"/>
      <c r="UGY76" s="25"/>
      <c r="UGZ76" s="178"/>
      <c r="UHA76" s="26"/>
      <c r="UHB76" s="26"/>
      <c r="UHC76" s="26"/>
      <c r="UHD76" s="26"/>
      <c r="UHE76" s="26"/>
      <c r="UHF76" s="26"/>
      <c r="UHG76" s="58"/>
      <c r="UHH76" s="26"/>
      <c r="UHI76" s="26"/>
      <c r="UHJ76" s="26"/>
      <c r="UHK76" s="26"/>
      <c r="UHL76" s="22"/>
      <c r="UHM76" s="167"/>
      <c r="UHN76" s="30"/>
      <c r="UHO76" s="25"/>
      <c r="UHP76" s="178"/>
      <c r="UHQ76" s="26"/>
      <c r="UHR76" s="26"/>
      <c r="UHS76" s="26"/>
      <c r="UHT76" s="26"/>
      <c r="UHU76" s="26"/>
      <c r="UHV76" s="26"/>
      <c r="UHW76" s="58"/>
      <c r="UHX76" s="26"/>
      <c r="UHY76" s="26"/>
      <c r="UHZ76" s="26"/>
      <c r="UIA76" s="26"/>
      <c r="UIB76" s="22"/>
      <c r="UIC76" s="167"/>
      <c r="UID76" s="30"/>
      <c r="UIE76" s="25"/>
      <c r="UIF76" s="178"/>
      <c r="UIG76" s="26"/>
      <c r="UIH76" s="26"/>
      <c r="UII76" s="26"/>
      <c r="UIJ76" s="26"/>
      <c r="UIK76" s="26"/>
      <c r="UIL76" s="26"/>
      <c r="UIM76" s="58"/>
      <c r="UIN76" s="26"/>
      <c r="UIO76" s="26"/>
      <c r="UIP76" s="26"/>
      <c r="UIQ76" s="26"/>
      <c r="UIR76" s="22"/>
      <c r="UIS76" s="167"/>
      <c r="UIT76" s="30"/>
      <c r="UIU76" s="25"/>
      <c r="UIV76" s="178"/>
      <c r="UIW76" s="26"/>
      <c r="UIX76" s="26"/>
      <c r="UIY76" s="26"/>
      <c r="UIZ76" s="26"/>
      <c r="UJA76" s="26"/>
      <c r="UJB76" s="26"/>
      <c r="UJC76" s="58"/>
      <c r="UJD76" s="26"/>
      <c r="UJE76" s="26"/>
      <c r="UJF76" s="26"/>
      <c r="UJG76" s="26"/>
      <c r="UJH76" s="22"/>
      <c r="UJI76" s="167"/>
      <c r="UJJ76" s="30"/>
      <c r="UJK76" s="25"/>
      <c r="UJL76" s="178"/>
      <c r="UJM76" s="26"/>
      <c r="UJN76" s="26"/>
      <c r="UJO76" s="26"/>
      <c r="UJP76" s="26"/>
      <c r="UJQ76" s="26"/>
      <c r="UJR76" s="26"/>
      <c r="UJS76" s="58"/>
      <c r="UJT76" s="26"/>
      <c r="UJU76" s="26"/>
      <c r="UJV76" s="26"/>
      <c r="UJW76" s="26"/>
      <c r="UJX76" s="22"/>
      <c r="UJY76" s="167"/>
      <c r="UJZ76" s="30"/>
      <c r="UKA76" s="25"/>
      <c r="UKB76" s="178"/>
      <c r="UKC76" s="26"/>
      <c r="UKD76" s="26"/>
      <c r="UKE76" s="26"/>
      <c r="UKF76" s="26"/>
      <c r="UKG76" s="26"/>
      <c r="UKH76" s="26"/>
      <c r="UKI76" s="58"/>
      <c r="UKJ76" s="26"/>
      <c r="UKK76" s="26"/>
      <c r="UKL76" s="26"/>
      <c r="UKM76" s="26"/>
      <c r="UKN76" s="22"/>
      <c r="UKO76" s="167"/>
      <c r="UKP76" s="30"/>
      <c r="UKQ76" s="25"/>
      <c r="UKR76" s="178"/>
      <c r="UKS76" s="26"/>
      <c r="UKT76" s="26"/>
      <c r="UKU76" s="26"/>
      <c r="UKV76" s="26"/>
      <c r="UKW76" s="26"/>
      <c r="UKX76" s="26"/>
      <c r="UKY76" s="58"/>
      <c r="UKZ76" s="26"/>
      <c r="ULA76" s="26"/>
      <c r="ULB76" s="26"/>
      <c r="ULC76" s="26"/>
      <c r="ULD76" s="22"/>
      <c r="ULE76" s="167"/>
      <c r="ULF76" s="30"/>
      <c r="ULG76" s="25"/>
      <c r="ULH76" s="178"/>
      <c r="ULI76" s="26"/>
      <c r="ULJ76" s="26"/>
      <c r="ULK76" s="26"/>
      <c r="ULL76" s="26"/>
      <c r="ULM76" s="26"/>
      <c r="ULN76" s="26"/>
      <c r="ULO76" s="58"/>
      <c r="ULP76" s="26"/>
      <c r="ULQ76" s="26"/>
      <c r="ULR76" s="26"/>
      <c r="ULS76" s="26"/>
      <c r="ULT76" s="22"/>
      <c r="ULU76" s="167"/>
      <c r="ULV76" s="30"/>
      <c r="ULW76" s="25"/>
      <c r="ULX76" s="178"/>
      <c r="ULY76" s="26"/>
      <c r="ULZ76" s="26"/>
      <c r="UMA76" s="26"/>
      <c r="UMB76" s="26"/>
      <c r="UMC76" s="26"/>
      <c r="UMD76" s="26"/>
      <c r="UME76" s="58"/>
      <c r="UMF76" s="26"/>
      <c r="UMG76" s="26"/>
      <c r="UMH76" s="26"/>
      <c r="UMI76" s="26"/>
      <c r="UMJ76" s="22"/>
      <c r="UMK76" s="167"/>
      <c r="UML76" s="30"/>
      <c r="UMM76" s="25"/>
      <c r="UMN76" s="178"/>
      <c r="UMO76" s="26"/>
      <c r="UMP76" s="26"/>
      <c r="UMQ76" s="26"/>
      <c r="UMR76" s="26"/>
      <c r="UMS76" s="26"/>
      <c r="UMT76" s="26"/>
      <c r="UMU76" s="58"/>
      <c r="UMV76" s="26"/>
      <c r="UMW76" s="26"/>
      <c r="UMX76" s="26"/>
      <c r="UMY76" s="26"/>
      <c r="UMZ76" s="22"/>
      <c r="UNA76" s="167"/>
      <c r="UNB76" s="30"/>
      <c r="UNC76" s="25"/>
      <c r="UND76" s="178"/>
      <c r="UNE76" s="26"/>
      <c r="UNF76" s="26"/>
      <c r="UNG76" s="26"/>
      <c r="UNH76" s="26"/>
      <c r="UNI76" s="26"/>
      <c r="UNJ76" s="26"/>
      <c r="UNK76" s="58"/>
      <c r="UNL76" s="26"/>
      <c r="UNM76" s="26"/>
      <c r="UNN76" s="26"/>
      <c r="UNO76" s="26"/>
      <c r="UNP76" s="22"/>
      <c r="UNQ76" s="167"/>
      <c r="UNR76" s="30"/>
      <c r="UNS76" s="25"/>
      <c r="UNT76" s="178"/>
      <c r="UNU76" s="26"/>
      <c r="UNV76" s="26"/>
      <c r="UNW76" s="26"/>
      <c r="UNX76" s="26"/>
      <c r="UNY76" s="26"/>
      <c r="UNZ76" s="26"/>
      <c r="UOA76" s="58"/>
      <c r="UOB76" s="26"/>
      <c r="UOC76" s="26"/>
      <c r="UOD76" s="26"/>
      <c r="UOE76" s="26"/>
      <c r="UOF76" s="22"/>
      <c r="UOG76" s="167"/>
      <c r="UOH76" s="30"/>
      <c r="UOI76" s="25"/>
      <c r="UOJ76" s="178"/>
      <c r="UOK76" s="26"/>
      <c r="UOL76" s="26"/>
      <c r="UOM76" s="26"/>
      <c r="UON76" s="26"/>
      <c r="UOO76" s="26"/>
      <c r="UOP76" s="26"/>
      <c r="UOQ76" s="58"/>
      <c r="UOR76" s="26"/>
      <c r="UOS76" s="26"/>
      <c r="UOT76" s="26"/>
      <c r="UOU76" s="26"/>
      <c r="UOV76" s="22"/>
      <c r="UOW76" s="167"/>
      <c r="UOX76" s="30"/>
      <c r="UOY76" s="25"/>
      <c r="UOZ76" s="178"/>
      <c r="UPA76" s="26"/>
      <c r="UPB76" s="26"/>
      <c r="UPC76" s="26"/>
      <c r="UPD76" s="26"/>
      <c r="UPE76" s="26"/>
      <c r="UPF76" s="26"/>
      <c r="UPG76" s="58"/>
      <c r="UPH76" s="26"/>
      <c r="UPI76" s="26"/>
      <c r="UPJ76" s="26"/>
      <c r="UPK76" s="26"/>
      <c r="UPL76" s="22"/>
      <c r="UPM76" s="167"/>
      <c r="UPN76" s="30"/>
      <c r="UPO76" s="25"/>
      <c r="UPP76" s="178"/>
      <c r="UPQ76" s="26"/>
      <c r="UPR76" s="26"/>
      <c r="UPS76" s="26"/>
      <c r="UPT76" s="26"/>
      <c r="UPU76" s="26"/>
      <c r="UPV76" s="26"/>
      <c r="UPW76" s="58"/>
      <c r="UPX76" s="26"/>
      <c r="UPY76" s="26"/>
      <c r="UPZ76" s="26"/>
      <c r="UQA76" s="26"/>
      <c r="UQB76" s="22"/>
      <c r="UQC76" s="167"/>
      <c r="UQD76" s="30"/>
      <c r="UQE76" s="25"/>
      <c r="UQF76" s="178"/>
      <c r="UQG76" s="26"/>
      <c r="UQH76" s="26"/>
      <c r="UQI76" s="26"/>
      <c r="UQJ76" s="26"/>
      <c r="UQK76" s="26"/>
      <c r="UQL76" s="26"/>
      <c r="UQM76" s="58"/>
      <c r="UQN76" s="26"/>
      <c r="UQO76" s="26"/>
      <c r="UQP76" s="26"/>
      <c r="UQQ76" s="26"/>
      <c r="UQR76" s="22"/>
      <c r="UQS76" s="167"/>
      <c r="UQT76" s="30"/>
      <c r="UQU76" s="25"/>
      <c r="UQV76" s="178"/>
      <c r="UQW76" s="26"/>
      <c r="UQX76" s="26"/>
      <c r="UQY76" s="26"/>
      <c r="UQZ76" s="26"/>
      <c r="URA76" s="26"/>
      <c r="URB76" s="26"/>
      <c r="URC76" s="58"/>
      <c r="URD76" s="26"/>
      <c r="URE76" s="26"/>
      <c r="URF76" s="26"/>
      <c r="URG76" s="26"/>
      <c r="URH76" s="22"/>
      <c r="URI76" s="167"/>
      <c r="URJ76" s="30"/>
      <c r="URK76" s="25"/>
      <c r="URL76" s="178"/>
      <c r="URM76" s="26"/>
      <c r="URN76" s="26"/>
      <c r="URO76" s="26"/>
      <c r="URP76" s="26"/>
      <c r="URQ76" s="26"/>
      <c r="URR76" s="26"/>
      <c r="URS76" s="58"/>
      <c r="URT76" s="26"/>
      <c r="URU76" s="26"/>
      <c r="URV76" s="26"/>
      <c r="URW76" s="26"/>
      <c r="URX76" s="22"/>
      <c r="URY76" s="167"/>
      <c r="URZ76" s="30"/>
      <c r="USA76" s="25"/>
      <c r="USB76" s="178"/>
      <c r="USC76" s="26"/>
      <c r="USD76" s="26"/>
      <c r="USE76" s="26"/>
      <c r="USF76" s="26"/>
      <c r="USG76" s="26"/>
      <c r="USH76" s="26"/>
      <c r="USI76" s="58"/>
      <c r="USJ76" s="26"/>
      <c r="USK76" s="26"/>
      <c r="USL76" s="26"/>
      <c r="USM76" s="26"/>
      <c r="USN76" s="22"/>
      <c r="USO76" s="167"/>
      <c r="USP76" s="30"/>
      <c r="USQ76" s="25"/>
      <c r="USR76" s="178"/>
      <c r="USS76" s="26"/>
      <c r="UST76" s="26"/>
      <c r="USU76" s="26"/>
      <c r="USV76" s="26"/>
      <c r="USW76" s="26"/>
      <c r="USX76" s="26"/>
      <c r="USY76" s="58"/>
      <c r="USZ76" s="26"/>
      <c r="UTA76" s="26"/>
      <c r="UTB76" s="26"/>
      <c r="UTC76" s="26"/>
      <c r="UTD76" s="22"/>
      <c r="UTE76" s="167"/>
      <c r="UTF76" s="30"/>
      <c r="UTG76" s="25"/>
      <c r="UTH76" s="178"/>
      <c r="UTI76" s="26"/>
      <c r="UTJ76" s="26"/>
      <c r="UTK76" s="26"/>
      <c r="UTL76" s="26"/>
      <c r="UTM76" s="26"/>
      <c r="UTN76" s="26"/>
      <c r="UTO76" s="58"/>
      <c r="UTP76" s="26"/>
      <c r="UTQ76" s="26"/>
      <c r="UTR76" s="26"/>
      <c r="UTS76" s="26"/>
      <c r="UTT76" s="22"/>
      <c r="UTU76" s="167"/>
      <c r="UTV76" s="30"/>
      <c r="UTW76" s="25"/>
      <c r="UTX76" s="178"/>
      <c r="UTY76" s="26"/>
      <c r="UTZ76" s="26"/>
      <c r="UUA76" s="26"/>
      <c r="UUB76" s="26"/>
      <c r="UUC76" s="26"/>
      <c r="UUD76" s="26"/>
      <c r="UUE76" s="58"/>
      <c r="UUF76" s="26"/>
      <c r="UUG76" s="26"/>
      <c r="UUH76" s="26"/>
      <c r="UUI76" s="26"/>
      <c r="UUJ76" s="22"/>
      <c r="UUK76" s="167"/>
      <c r="UUL76" s="30"/>
      <c r="UUM76" s="25"/>
      <c r="UUN76" s="178"/>
      <c r="UUO76" s="26"/>
      <c r="UUP76" s="26"/>
      <c r="UUQ76" s="26"/>
      <c r="UUR76" s="26"/>
      <c r="UUS76" s="26"/>
      <c r="UUT76" s="26"/>
      <c r="UUU76" s="58"/>
      <c r="UUV76" s="26"/>
      <c r="UUW76" s="26"/>
      <c r="UUX76" s="26"/>
      <c r="UUY76" s="26"/>
      <c r="UUZ76" s="22"/>
      <c r="UVA76" s="167"/>
      <c r="UVB76" s="30"/>
      <c r="UVC76" s="25"/>
      <c r="UVD76" s="178"/>
      <c r="UVE76" s="26"/>
      <c r="UVF76" s="26"/>
      <c r="UVG76" s="26"/>
      <c r="UVH76" s="26"/>
      <c r="UVI76" s="26"/>
      <c r="UVJ76" s="26"/>
      <c r="UVK76" s="58"/>
      <c r="UVL76" s="26"/>
      <c r="UVM76" s="26"/>
      <c r="UVN76" s="26"/>
      <c r="UVO76" s="26"/>
      <c r="UVP76" s="22"/>
      <c r="UVQ76" s="167"/>
      <c r="UVR76" s="30"/>
      <c r="UVS76" s="25"/>
      <c r="UVT76" s="178"/>
      <c r="UVU76" s="26"/>
      <c r="UVV76" s="26"/>
      <c r="UVW76" s="26"/>
      <c r="UVX76" s="26"/>
      <c r="UVY76" s="26"/>
      <c r="UVZ76" s="26"/>
      <c r="UWA76" s="58"/>
      <c r="UWB76" s="26"/>
      <c r="UWC76" s="26"/>
      <c r="UWD76" s="26"/>
      <c r="UWE76" s="26"/>
      <c r="UWF76" s="22"/>
      <c r="UWG76" s="167"/>
      <c r="UWH76" s="30"/>
      <c r="UWI76" s="25"/>
      <c r="UWJ76" s="178"/>
      <c r="UWK76" s="26"/>
      <c r="UWL76" s="26"/>
      <c r="UWM76" s="26"/>
      <c r="UWN76" s="26"/>
      <c r="UWO76" s="26"/>
      <c r="UWP76" s="26"/>
      <c r="UWQ76" s="58"/>
      <c r="UWR76" s="26"/>
      <c r="UWS76" s="26"/>
      <c r="UWT76" s="26"/>
      <c r="UWU76" s="26"/>
      <c r="UWV76" s="22"/>
      <c r="UWW76" s="167"/>
      <c r="UWX76" s="30"/>
      <c r="UWY76" s="25"/>
      <c r="UWZ76" s="178"/>
      <c r="UXA76" s="26"/>
      <c r="UXB76" s="26"/>
      <c r="UXC76" s="26"/>
      <c r="UXD76" s="26"/>
      <c r="UXE76" s="26"/>
      <c r="UXF76" s="26"/>
      <c r="UXG76" s="58"/>
      <c r="UXH76" s="26"/>
      <c r="UXI76" s="26"/>
      <c r="UXJ76" s="26"/>
      <c r="UXK76" s="26"/>
      <c r="UXL76" s="22"/>
      <c r="UXM76" s="167"/>
      <c r="UXN76" s="30"/>
      <c r="UXO76" s="25"/>
      <c r="UXP76" s="178"/>
      <c r="UXQ76" s="26"/>
      <c r="UXR76" s="26"/>
      <c r="UXS76" s="26"/>
      <c r="UXT76" s="26"/>
      <c r="UXU76" s="26"/>
      <c r="UXV76" s="26"/>
      <c r="UXW76" s="58"/>
      <c r="UXX76" s="26"/>
      <c r="UXY76" s="26"/>
      <c r="UXZ76" s="26"/>
      <c r="UYA76" s="26"/>
      <c r="UYB76" s="22"/>
      <c r="UYC76" s="167"/>
      <c r="UYD76" s="30"/>
      <c r="UYE76" s="25"/>
      <c r="UYF76" s="178"/>
      <c r="UYG76" s="26"/>
      <c r="UYH76" s="26"/>
      <c r="UYI76" s="26"/>
      <c r="UYJ76" s="26"/>
      <c r="UYK76" s="26"/>
      <c r="UYL76" s="26"/>
      <c r="UYM76" s="58"/>
      <c r="UYN76" s="26"/>
      <c r="UYO76" s="26"/>
      <c r="UYP76" s="26"/>
      <c r="UYQ76" s="26"/>
      <c r="UYR76" s="22"/>
      <c r="UYS76" s="167"/>
      <c r="UYT76" s="30"/>
      <c r="UYU76" s="25"/>
      <c r="UYV76" s="178"/>
      <c r="UYW76" s="26"/>
      <c r="UYX76" s="26"/>
      <c r="UYY76" s="26"/>
      <c r="UYZ76" s="26"/>
      <c r="UZA76" s="26"/>
      <c r="UZB76" s="26"/>
      <c r="UZC76" s="58"/>
      <c r="UZD76" s="26"/>
      <c r="UZE76" s="26"/>
      <c r="UZF76" s="26"/>
      <c r="UZG76" s="26"/>
      <c r="UZH76" s="22"/>
      <c r="UZI76" s="167"/>
      <c r="UZJ76" s="30"/>
      <c r="UZK76" s="25"/>
      <c r="UZL76" s="178"/>
      <c r="UZM76" s="26"/>
      <c r="UZN76" s="26"/>
      <c r="UZO76" s="26"/>
      <c r="UZP76" s="26"/>
      <c r="UZQ76" s="26"/>
      <c r="UZR76" s="26"/>
      <c r="UZS76" s="58"/>
      <c r="UZT76" s="26"/>
      <c r="UZU76" s="26"/>
      <c r="UZV76" s="26"/>
      <c r="UZW76" s="26"/>
      <c r="UZX76" s="22"/>
      <c r="UZY76" s="167"/>
      <c r="UZZ76" s="30"/>
      <c r="VAA76" s="25"/>
      <c r="VAB76" s="178"/>
      <c r="VAC76" s="26"/>
      <c r="VAD76" s="26"/>
      <c r="VAE76" s="26"/>
      <c r="VAF76" s="26"/>
      <c r="VAG76" s="26"/>
      <c r="VAH76" s="26"/>
      <c r="VAI76" s="58"/>
      <c r="VAJ76" s="26"/>
      <c r="VAK76" s="26"/>
      <c r="VAL76" s="26"/>
      <c r="VAM76" s="26"/>
      <c r="VAN76" s="22"/>
      <c r="VAO76" s="167"/>
      <c r="VAP76" s="30"/>
      <c r="VAQ76" s="25"/>
      <c r="VAR76" s="178"/>
      <c r="VAS76" s="26"/>
      <c r="VAT76" s="26"/>
      <c r="VAU76" s="26"/>
      <c r="VAV76" s="26"/>
      <c r="VAW76" s="26"/>
      <c r="VAX76" s="26"/>
      <c r="VAY76" s="58"/>
      <c r="VAZ76" s="26"/>
      <c r="VBA76" s="26"/>
      <c r="VBB76" s="26"/>
      <c r="VBC76" s="26"/>
      <c r="VBD76" s="22"/>
      <c r="VBE76" s="167"/>
      <c r="VBF76" s="30"/>
      <c r="VBG76" s="25"/>
      <c r="VBH76" s="178"/>
      <c r="VBI76" s="26"/>
      <c r="VBJ76" s="26"/>
      <c r="VBK76" s="26"/>
      <c r="VBL76" s="26"/>
      <c r="VBM76" s="26"/>
      <c r="VBN76" s="26"/>
      <c r="VBO76" s="58"/>
      <c r="VBP76" s="26"/>
      <c r="VBQ76" s="26"/>
      <c r="VBR76" s="26"/>
      <c r="VBS76" s="26"/>
      <c r="VBT76" s="22"/>
      <c r="VBU76" s="167"/>
      <c r="VBV76" s="30"/>
      <c r="VBW76" s="25"/>
      <c r="VBX76" s="178"/>
      <c r="VBY76" s="26"/>
      <c r="VBZ76" s="26"/>
      <c r="VCA76" s="26"/>
      <c r="VCB76" s="26"/>
      <c r="VCC76" s="26"/>
      <c r="VCD76" s="26"/>
      <c r="VCE76" s="58"/>
      <c r="VCF76" s="26"/>
      <c r="VCG76" s="26"/>
      <c r="VCH76" s="26"/>
      <c r="VCI76" s="26"/>
      <c r="VCJ76" s="22"/>
      <c r="VCK76" s="167"/>
      <c r="VCL76" s="30"/>
      <c r="VCM76" s="25"/>
      <c r="VCN76" s="178"/>
      <c r="VCO76" s="26"/>
      <c r="VCP76" s="26"/>
      <c r="VCQ76" s="26"/>
      <c r="VCR76" s="26"/>
      <c r="VCS76" s="26"/>
      <c r="VCT76" s="26"/>
      <c r="VCU76" s="58"/>
      <c r="VCV76" s="26"/>
      <c r="VCW76" s="26"/>
      <c r="VCX76" s="26"/>
      <c r="VCY76" s="26"/>
      <c r="VCZ76" s="22"/>
      <c r="VDA76" s="167"/>
      <c r="VDB76" s="30"/>
      <c r="VDC76" s="25"/>
      <c r="VDD76" s="178"/>
      <c r="VDE76" s="26"/>
      <c r="VDF76" s="26"/>
      <c r="VDG76" s="26"/>
      <c r="VDH76" s="26"/>
      <c r="VDI76" s="26"/>
      <c r="VDJ76" s="26"/>
      <c r="VDK76" s="58"/>
      <c r="VDL76" s="26"/>
      <c r="VDM76" s="26"/>
      <c r="VDN76" s="26"/>
      <c r="VDO76" s="26"/>
      <c r="VDP76" s="22"/>
      <c r="VDQ76" s="167"/>
      <c r="VDR76" s="30"/>
      <c r="VDS76" s="25"/>
      <c r="VDT76" s="178"/>
      <c r="VDU76" s="26"/>
      <c r="VDV76" s="26"/>
      <c r="VDW76" s="26"/>
      <c r="VDX76" s="26"/>
      <c r="VDY76" s="26"/>
      <c r="VDZ76" s="26"/>
      <c r="VEA76" s="58"/>
      <c r="VEB76" s="26"/>
      <c r="VEC76" s="26"/>
      <c r="VED76" s="26"/>
      <c r="VEE76" s="26"/>
      <c r="VEF76" s="22"/>
      <c r="VEG76" s="167"/>
      <c r="VEH76" s="30"/>
      <c r="VEI76" s="25"/>
      <c r="VEJ76" s="178"/>
      <c r="VEK76" s="26"/>
      <c r="VEL76" s="26"/>
      <c r="VEM76" s="26"/>
      <c r="VEN76" s="26"/>
      <c r="VEO76" s="26"/>
      <c r="VEP76" s="26"/>
      <c r="VEQ76" s="58"/>
      <c r="VER76" s="26"/>
      <c r="VES76" s="26"/>
      <c r="VET76" s="26"/>
      <c r="VEU76" s="26"/>
      <c r="VEV76" s="22"/>
      <c r="VEW76" s="167"/>
      <c r="VEX76" s="30"/>
      <c r="VEY76" s="25"/>
      <c r="VEZ76" s="178"/>
      <c r="VFA76" s="26"/>
      <c r="VFB76" s="26"/>
      <c r="VFC76" s="26"/>
      <c r="VFD76" s="26"/>
      <c r="VFE76" s="26"/>
      <c r="VFF76" s="26"/>
      <c r="VFG76" s="58"/>
      <c r="VFH76" s="26"/>
      <c r="VFI76" s="26"/>
      <c r="VFJ76" s="26"/>
      <c r="VFK76" s="26"/>
      <c r="VFL76" s="22"/>
      <c r="VFM76" s="167"/>
      <c r="VFN76" s="30"/>
      <c r="VFO76" s="25"/>
      <c r="VFP76" s="178"/>
      <c r="VFQ76" s="26"/>
      <c r="VFR76" s="26"/>
      <c r="VFS76" s="26"/>
      <c r="VFT76" s="26"/>
      <c r="VFU76" s="26"/>
      <c r="VFV76" s="26"/>
      <c r="VFW76" s="58"/>
      <c r="VFX76" s="26"/>
      <c r="VFY76" s="26"/>
      <c r="VFZ76" s="26"/>
      <c r="VGA76" s="26"/>
      <c r="VGB76" s="22"/>
      <c r="VGC76" s="167"/>
      <c r="VGD76" s="30"/>
      <c r="VGE76" s="25"/>
      <c r="VGF76" s="178"/>
      <c r="VGG76" s="26"/>
      <c r="VGH76" s="26"/>
      <c r="VGI76" s="26"/>
      <c r="VGJ76" s="26"/>
      <c r="VGK76" s="26"/>
      <c r="VGL76" s="26"/>
      <c r="VGM76" s="58"/>
      <c r="VGN76" s="26"/>
      <c r="VGO76" s="26"/>
      <c r="VGP76" s="26"/>
      <c r="VGQ76" s="26"/>
      <c r="VGR76" s="22"/>
      <c r="VGS76" s="167"/>
      <c r="VGT76" s="30"/>
      <c r="VGU76" s="25"/>
      <c r="VGV76" s="178"/>
      <c r="VGW76" s="26"/>
      <c r="VGX76" s="26"/>
      <c r="VGY76" s="26"/>
      <c r="VGZ76" s="26"/>
      <c r="VHA76" s="26"/>
      <c r="VHB76" s="26"/>
      <c r="VHC76" s="58"/>
      <c r="VHD76" s="26"/>
      <c r="VHE76" s="26"/>
      <c r="VHF76" s="26"/>
      <c r="VHG76" s="26"/>
      <c r="VHH76" s="22"/>
      <c r="VHI76" s="167"/>
      <c r="VHJ76" s="30"/>
      <c r="VHK76" s="25"/>
      <c r="VHL76" s="178"/>
      <c r="VHM76" s="26"/>
      <c r="VHN76" s="26"/>
      <c r="VHO76" s="26"/>
      <c r="VHP76" s="26"/>
      <c r="VHQ76" s="26"/>
      <c r="VHR76" s="26"/>
      <c r="VHS76" s="58"/>
      <c r="VHT76" s="26"/>
      <c r="VHU76" s="26"/>
      <c r="VHV76" s="26"/>
      <c r="VHW76" s="26"/>
      <c r="VHX76" s="22"/>
      <c r="VHY76" s="167"/>
      <c r="VHZ76" s="30"/>
      <c r="VIA76" s="25"/>
      <c r="VIB76" s="178"/>
      <c r="VIC76" s="26"/>
      <c r="VID76" s="26"/>
      <c r="VIE76" s="26"/>
      <c r="VIF76" s="26"/>
      <c r="VIG76" s="26"/>
      <c r="VIH76" s="26"/>
      <c r="VII76" s="58"/>
      <c r="VIJ76" s="26"/>
      <c r="VIK76" s="26"/>
      <c r="VIL76" s="26"/>
      <c r="VIM76" s="26"/>
      <c r="VIN76" s="22"/>
      <c r="VIO76" s="167"/>
      <c r="VIP76" s="30"/>
      <c r="VIQ76" s="25"/>
      <c r="VIR76" s="178"/>
      <c r="VIS76" s="26"/>
      <c r="VIT76" s="26"/>
      <c r="VIU76" s="26"/>
      <c r="VIV76" s="26"/>
      <c r="VIW76" s="26"/>
      <c r="VIX76" s="26"/>
      <c r="VIY76" s="58"/>
      <c r="VIZ76" s="26"/>
      <c r="VJA76" s="26"/>
      <c r="VJB76" s="26"/>
      <c r="VJC76" s="26"/>
      <c r="VJD76" s="22"/>
      <c r="VJE76" s="167"/>
      <c r="VJF76" s="30"/>
      <c r="VJG76" s="25"/>
      <c r="VJH76" s="178"/>
      <c r="VJI76" s="26"/>
      <c r="VJJ76" s="26"/>
      <c r="VJK76" s="26"/>
      <c r="VJL76" s="26"/>
      <c r="VJM76" s="26"/>
      <c r="VJN76" s="26"/>
      <c r="VJO76" s="58"/>
      <c r="VJP76" s="26"/>
      <c r="VJQ76" s="26"/>
      <c r="VJR76" s="26"/>
      <c r="VJS76" s="26"/>
      <c r="VJT76" s="22"/>
      <c r="VJU76" s="167"/>
      <c r="VJV76" s="30"/>
      <c r="VJW76" s="25"/>
      <c r="VJX76" s="178"/>
      <c r="VJY76" s="26"/>
      <c r="VJZ76" s="26"/>
      <c r="VKA76" s="26"/>
      <c r="VKB76" s="26"/>
      <c r="VKC76" s="26"/>
      <c r="VKD76" s="26"/>
      <c r="VKE76" s="58"/>
      <c r="VKF76" s="26"/>
      <c r="VKG76" s="26"/>
      <c r="VKH76" s="26"/>
      <c r="VKI76" s="26"/>
      <c r="VKJ76" s="22"/>
      <c r="VKK76" s="167"/>
      <c r="VKL76" s="30"/>
      <c r="VKM76" s="25"/>
      <c r="VKN76" s="178"/>
      <c r="VKO76" s="26"/>
      <c r="VKP76" s="26"/>
      <c r="VKQ76" s="26"/>
      <c r="VKR76" s="26"/>
      <c r="VKS76" s="26"/>
      <c r="VKT76" s="26"/>
      <c r="VKU76" s="58"/>
      <c r="VKV76" s="26"/>
      <c r="VKW76" s="26"/>
      <c r="VKX76" s="26"/>
      <c r="VKY76" s="26"/>
      <c r="VKZ76" s="22"/>
      <c r="VLA76" s="167"/>
      <c r="VLB76" s="30"/>
      <c r="VLC76" s="25"/>
      <c r="VLD76" s="178"/>
      <c r="VLE76" s="26"/>
      <c r="VLF76" s="26"/>
      <c r="VLG76" s="26"/>
      <c r="VLH76" s="26"/>
      <c r="VLI76" s="26"/>
      <c r="VLJ76" s="26"/>
      <c r="VLK76" s="58"/>
      <c r="VLL76" s="26"/>
      <c r="VLM76" s="26"/>
      <c r="VLN76" s="26"/>
      <c r="VLO76" s="26"/>
      <c r="VLP76" s="22"/>
      <c r="VLQ76" s="167"/>
      <c r="VLR76" s="30"/>
      <c r="VLS76" s="25"/>
      <c r="VLT76" s="178"/>
      <c r="VLU76" s="26"/>
      <c r="VLV76" s="26"/>
      <c r="VLW76" s="26"/>
      <c r="VLX76" s="26"/>
      <c r="VLY76" s="26"/>
      <c r="VLZ76" s="26"/>
      <c r="VMA76" s="58"/>
      <c r="VMB76" s="26"/>
      <c r="VMC76" s="26"/>
      <c r="VMD76" s="26"/>
      <c r="VME76" s="26"/>
      <c r="VMF76" s="22"/>
      <c r="VMG76" s="167"/>
      <c r="VMH76" s="30"/>
      <c r="VMI76" s="25"/>
      <c r="VMJ76" s="178"/>
      <c r="VMK76" s="26"/>
      <c r="VML76" s="26"/>
      <c r="VMM76" s="26"/>
      <c r="VMN76" s="26"/>
      <c r="VMO76" s="26"/>
      <c r="VMP76" s="26"/>
      <c r="VMQ76" s="58"/>
      <c r="VMR76" s="26"/>
      <c r="VMS76" s="26"/>
      <c r="VMT76" s="26"/>
      <c r="VMU76" s="26"/>
      <c r="VMV76" s="22"/>
      <c r="VMW76" s="167"/>
      <c r="VMX76" s="30"/>
      <c r="VMY76" s="25"/>
      <c r="VMZ76" s="178"/>
      <c r="VNA76" s="26"/>
      <c r="VNB76" s="26"/>
      <c r="VNC76" s="26"/>
      <c r="VND76" s="26"/>
      <c r="VNE76" s="26"/>
      <c r="VNF76" s="26"/>
      <c r="VNG76" s="58"/>
      <c r="VNH76" s="26"/>
      <c r="VNI76" s="26"/>
      <c r="VNJ76" s="26"/>
      <c r="VNK76" s="26"/>
      <c r="VNL76" s="22"/>
      <c r="VNM76" s="167"/>
      <c r="VNN76" s="30"/>
      <c r="VNO76" s="25"/>
      <c r="VNP76" s="178"/>
      <c r="VNQ76" s="26"/>
      <c r="VNR76" s="26"/>
      <c r="VNS76" s="26"/>
      <c r="VNT76" s="26"/>
      <c r="VNU76" s="26"/>
      <c r="VNV76" s="26"/>
      <c r="VNW76" s="58"/>
      <c r="VNX76" s="26"/>
      <c r="VNY76" s="26"/>
      <c r="VNZ76" s="26"/>
      <c r="VOA76" s="26"/>
      <c r="VOB76" s="22"/>
      <c r="VOC76" s="167"/>
      <c r="VOD76" s="30"/>
      <c r="VOE76" s="25"/>
      <c r="VOF76" s="178"/>
      <c r="VOG76" s="26"/>
      <c r="VOH76" s="26"/>
      <c r="VOI76" s="26"/>
      <c r="VOJ76" s="26"/>
      <c r="VOK76" s="26"/>
      <c r="VOL76" s="26"/>
      <c r="VOM76" s="58"/>
      <c r="VON76" s="26"/>
      <c r="VOO76" s="26"/>
      <c r="VOP76" s="26"/>
      <c r="VOQ76" s="26"/>
      <c r="VOR76" s="22"/>
      <c r="VOS76" s="167"/>
      <c r="VOT76" s="30"/>
      <c r="VOU76" s="25"/>
      <c r="VOV76" s="178"/>
      <c r="VOW76" s="26"/>
      <c r="VOX76" s="26"/>
      <c r="VOY76" s="26"/>
      <c r="VOZ76" s="26"/>
      <c r="VPA76" s="26"/>
      <c r="VPB76" s="26"/>
      <c r="VPC76" s="58"/>
      <c r="VPD76" s="26"/>
      <c r="VPE76" s="26"/>
      <c r="VPF76" s="26"/>
      <c r="VPG76" s="26"/>
      <c r="VPH76" s="22"/>
      <c r="VPI76" s="167"/>
      <c r="VPJ76" s="30"/>
      <c r="VPK76" s="25"/>
      <c r="VPL76" s="178"/>
      <c r="VPM76" s="26"/>
      <c r="VPN76" s="26"/>
      <c r="VPO76" s="26"/>
      <c r="VPP76" s="26"/>
      <c r="VPQ76" s="26"/>
      <c r="VPR76" s="26"/>
      <c r="VPS76" s="58"/>
      <c r="VPT76" s="26"/>
      <c r="VPU76" s="26"/>
      <c r="VPV76" s="26"/>
      <c r="VPW76" s="26"/>
      <c r="VPX76" s="22"/>
      <c r="VPY76" s="167"/>
      <c r="VPZ76" s="30"/>
      <c r="VQA76" s="25"/>
      <c r="VQB76" s="178"/>
      <c r="VQC76" s="26"/>
      <c r="VQD76" s="26"/>
      <c r="VQE76" s="26"/>
      <c r="VQF76" s="26"/>
      <c r="VQG76" s="26"/>
      <c r="VQH76" s="26"/>
      <c r="VQI76" s="58"/>
      <c r="VQJ76" s="26"/>
      <c r="VQK76" s="26"/>
      <c r="VQL76" s="26"/>
      <c r="VQM76" s="26"/>
      <c r="VQN76" s="22"/>
      <c r="VQO76" s="167"/>
      <c r="VQP76" s="30"/>
      <c r="VQQ76" s="25"/>
      <c r="VQR76" s="178"/>
      <c r="VQS76" s="26"/>
      <c r="VQT76" s="26"/>
      <c r="VQU76" s="26"/>
      <c r="VQV76" s="26"/>
      <c r="VQW76" s="26"/>
      <c r="VQX76" s="26"/>
      <c r="VQY76" s="58"/>
      <c r="VQZ76" s="26"/>
      <c r="VRA76" s="26"/>
      <c r="VRB76" s="26"/>
      <c r="VRC76" s="26"/>
      <c r="VRD76" s="22"/>
      <c r="VRE76" s="167"/>
      <c r="VRF76" s="30"/>
      <c r="VRG76" s="25"/>
      <c r="VRH76" s="178"/>
      <c r="VRI76" s="26"/>
      <c r="VRJ76" s="26"/>
      <c r="VRK76" s="26"/>
      <c r="VRL76" s="26"/>
      <c r="VRM76" s="26"/>
      <c r="VRN76" s="26"/>
      <c r="VRO76" s="58"/>
      <c r="VRP76" s="26"/>
      <c r="VRQ76" s="26"/>
      <c r="VRR76" s="26"/>
      <c r="VRS76" s="26"/>
      <c r="VRT76" s="22"/>
      <c r="VRU76" s="167"/>
      <c r="VRV76" s="30"/>
      <c r="VRW76" s="25"/>
      <c r="VRX76" s="178"/>
      <c r="VRY76" s="26"/>
      <c r="VRZ76" s="26"/>
      <c r="VSA76" s="26"/>
      <c r="VSB76" s="26"/>
      <c r="VSC76" s="26"/>
      <c r="VSD76" s="26"/>
      <c r="VSE76" s="58"/>
      <c r="VSF76" s="26"/>
      <c r="VSG76" s="26"/>
      <c r="VSH76" s="26"/>
      <c r="VSI76" s="26"/>
      <c r="VSJ76" s="22"/>
      <c r="VSK76" s="167"/>
      <c r="VSL76" s="30"/>
      <c r="VSM76" s="25"/>
      <c r="VSN76" s="178"/>
      <c r="VSO76" s="26"/>
      <c r="VSP76" s="26"/>
      <c r="VSQ76" s="26"/>
      <c r="VSR76" s="26"/>
      <c r="VSS76" s="26"/>
      <c r="VST76" s="26"/>
      <c r="VSU76" s="58"/>
      <c r="VSV76" s="26"/>
      <c r="VSW76" s="26"/>
      <c r="VSX76" s="26"/>
      <c r="VSY76" s="26"/>
      <c r="VSZ76" s="22"/>
      <c r="VTA76" s="167"/>
      <c r="VTB76" s="30"/>
      <c r="VTC76" s="25"/>
      <c r="VTD76" s="178"/>
      <c r="VTE76" s="26"/>
      <c r="VTF76" s="26"/>
      <c r="VTG76" s="26"/>
      <c r="VTH76" s="26"/>
      <c r="VTI76" s="26"/>
      <c r="VTJ76" s="26"/>
      <c r="VTK76" s="58"/>
      <c r="VTL76" s="26"/>
      <c r="VTM76" s="26"/>
      <c r="VTN76" s="26"/>
      <c r="VTO76" s="26"/>
      <c r="VTP76" s="22"/>
      <c r="VTQ76" s="167"/>
      <c r="VTR76" s="30"/>
      <c r="VTS76" s="25"/>
      <c r="VTT76" s="178"/>
      <c r="VTU76" s="26"/>
      <c r="VTV76" s="26"/>
      <c r="VTW76" s="26"/>
      <c r="VTX76" s="26"/>
      <c r="VTY76" s="26"/>
      <c r="VTZ76" s="26"/>
      <c r="VUA76" s="58"/>
      <c r="VUB76" s="26"/>
      <c r="VUC76" s="26"/>
      <c r="VUD76" s="26"/>
      <c r="VUE76" s="26"/>
      <c r="VUF76" s="22"/>
      <c r="VUG76" s="167"/>
      <c r="VUH76" s="30"/>
      <c r="VUI76" s="25"/>
      <c r="VUJ76" s="178"/>
      <c r="VUK76" s="26"/>
      <c r="VUL76" s="26"/>
      <c r="VUM76" s="26"/>
      <c r="VUN76" s="26"/>
      <c r="VUO76" s="26"/>
      <c r="VUP76" s="26"/>
      <c r="VUQ76" s="58"/>
      <c r="VUR76" s="26"/>
      <c r="VUS76" s="26"/>
      <c r="VUT76" s="26"/>
      <c r="VUU76" s="26"/>
      <c r="VUV76" s="22"/>
      <c r="VUW76" s="167"/>
      <c r="VUX76" s="30"/>
      <c r="VUY76" s="25"/>
      <c r="VUZ76" s="178"/>
      <c r="VVA76" s="26"/>
      <c r="VVB76" s="26"/>
      <c r="VVC76" s="26"/>
      <c r="VVD76" s="26"/>
      <c r="VVE76" s="26"/>
      <c r="VVF76" s="26"/>
      <c r="VVG76" s="58"/>
      <c r="VVH76" s="26"/>
      <c r="VVI76" s="26"/>
      <c r="VVJ76" s="26"/>
      <c r="VVK76" s="26"/>
      <c r="VVL76" s="22"/>
      <c r="VVM76" s="167"/>
      <c r="VVN76" s="30"/>
      <c r="VVO76" s="25"/>
      <c r="VVP76" s="178"/>
      <c r="VVQ76" s="26"/>
      <c r="VVR76" s="26"/>
      <c r="VVS76" s="26"/>
      <c r="VVT76" s="26"/>
      <c r="VVU76" s="26"/>
      <c r="VVV76" s="26"/>
      <c r="VVW76" s="58"/>
      <c r="VVX76" s="26"/>
      <c r="VVY76" s="26"/>
      <c r="VVZ76" s="26"/>
      <c r="VWA76" s="26"/>
      <c r="VWB76" s="22"/>
      <c r="VWC76" s="167"/>
      <c r="VWD76" s="30"/>
      <c r="VWE76" s="25"/>
      <c r="VWF76" s="178"/>
      <c r="VWG76" s="26"/>
      <c r="VWH76" s="26"/>
      <c r="VWI76" s="26"/>
      <c r="VWJ76" s="26"/>
      <c r="VWK76" s="26"/>
      <c r="VWL76" s="26"/>
      <c r="VWM76" s="58"/>
      <c r="VWN76" s="26"/>
      <c r="VWO76" s="26"/>
      <c r="VWP76" s="26"/>
      <c r="VWQ76" s="26"/>
      <c r="VWR76" s="22"/>
      <c r="VWS76" s="167"/>
      <c r="VWT76" s="30"/>
      <c r="VWU76" s="25"/>
      <c r="VWV76" s="178"/>
      <c r="VWW76" s="26"/>
      <c r="VWX76" s="26"/>
      <c r="VWY76" s="26"/>
      <c r="VWZ76" s="26"/>
      <c r="VXA76" s="26"/>
      <c r="VXB76" s="26"/>
      <c r="VXC76" s="58"/>
      <c r="VXD76" s="26"/>
      <c r="VXE76" s="26"/>
      <c r="VXF76" s="26"/>
      <c r="VXG76" s="26"/>
      <c r="VXH76" s="22"/>
      <c r="VXI76" s="167"/>
      <c r="VXJ76" s="30"/>
      <c r="VXK76" s="25"/>
      <c r="VXL76" s="178"/>
      <c r="VXM76" s="26"/>
      <c r="VXN76" s="26"/>
      <c r="VXO76" s="26"/>
      <c r="VXP76" s="26"/>
      <c r="VXQ76" s="26"/>
      <c r="VXR76" s="26"/>
      <c r="VXS76" s="58"/>
      <c r="VXT76" s="26"/>
      <c r="VXU76" s="26"/>
      <c r="VXV76" s="26"/>
      <c r="VXW76" s="26"/>
      <c r="VXX76" s="22"/>
      <c r="VXY76" s="167"/>
      <c r="VXZ76" s="30"/>
      <c r="VYA76" s="25"/>
      <c r="VYB76" s="178"/>
      <c r="VYC76" s="26"/>
      <c r="VYD76" s="26"/>
      <c r="VYE76" s="26"/>
      <c r="VYF76" s="26"/>
      <c r="VYG76" s="26"/>
      <c r="VYH76" s="26"/>
      <c r="VYI76" s="58"/>
      <c r="VYJ76" s="26"/>
      <c r="VYK76" s="26"/>
      <c r="VYL76" s="26"/>
      <c r="VYM76" s="26"/>
      <c r="VYN76" s="22"/>
      <c r="VYO76" s="167"/>
      <c r="VYP76" s="30"/>
      <c r="VYQ76" s="25"/>
      <c r="VYR76" s="178"/>
      <c r="VYS76" s="26"/>
      <c r="VYT76" s="26"/>
      <c r="VYU76" s="26"/>
      <c r="VYV76" s="26"/>
      <c r="VYW76" s="26"/>
      <c r="VYX76" s="26"/>
      <c r="VYY76" s="58"/>
      <c r="VYZ76" s="26"/>
      <c r="VZA76" s="26"/>
      <c r="VZB76" s="26"/>
      <c r="VZC76" s="26"/>
      <c r="VZD76" s="22"/>
      <c r="VZE76" s="167"/>
      <c r="VZF76" s="30"/>
      <c r="VZG76" s="25"/>
      <c r="VZH76" s="178"/>
      <c r="VZI76" s="26"/>
      <c r="VZJ76" s="26"/>
      <c r="VZK76" s="26"/>
      <c r="VZL76" s="26"/>
      <c r="VZM76" s="26"/>
      <c r="VZN76" s="26"/>
      <c r="VZO76" s="58"/>
      <c r="VZP76" s="26"/>
      <c r="VZQ76" s="26"/>
      <c r="VZR76" s="26"/>
      <c r="VZS76" s="26"/>
      <c r="VZT76" s="22"/>
      <c r="VZU76" s="167"/>
      <c r="VZV76" s="30"/>
      <c r="VZW76" s="25"/>
      <c r="VZX76" s="178"/>
      <c r="VZY76" s="26"/>
      <c r="VZZ76" s="26"/>
      <c r="WAA76" s="26"/>
      <c r="WAB76" s="26"/>
      <c r="WAC76" s="26"/>
      <c r="WAD76" s="26"/>
      <c r="WAE76" s="58"/>
      <c r="WAF76" s="26"/>
      <c r="WAG76" s="26"/>
      <c r="WAH76" s="26"/>
      <c r="WAI76" s="26"/>
      <c r="WAJ76" s="22"/>
      <c r="WAK76" s="167"/>
      <c r="WAL76" s="30"/>
      <c r="WAM76" s="25"/>
      <c r="WAN76" s="178"/>
      <c r="WAO76" s="26"/>
      <c r="WAP76" s="26"/>
      <c r="WAQ76" s="26"/>
      <c r="WAR76" s="26"/>
      <c r="WAS76" s="26"/>
      <c r="WAT76" s="26"/>
      <c r="WAU76" s="58"/>
      <c r="WAV76" s="26"/>
      <c r="WAW76" s="26"/>
      <c r="WAX76" s="26"/>
      <c r="WAY76" s="26"/>
      <c r="WAZ76" s="22"/>
      <c r="WBA76" s="167"/>
      <c r="WBB76" s="30"/>
      <c r="WBC76" s="25"/>
      <c r="WBD76" s="178"/>
      <c r="WBE76" s="26"/>
      <c r="WBF76" s="26"/>
      <c r="WBG76" s="26"/>
      <c r="WBH76" s="26"/>
      <c r="WBI76" s="26"/>
      <c r="WBJ76" s="26"/>
      <c r="WBK76" s="58"/>
      <c r="WBL76" s="26"/>
      <c r="WBM76" s="26"/>
      <c r="WBN76" s="26"/>
      <c r="WBO76" s="26"/>
      <c r="WBP76" s="22"/>
      <c r="WBQ76" s="167"/>
      <c r="WBR76" s="30"/>
      <c r="WBS76" s="25"/>
      <c r="WBT76" s="178"/>
      <c r="WBU76" s="26"/>
      <c r="WBV76" s="26"/>
      <c r="WBW76" s="26"/>
      <c r="WBX76" s="26"/>
      <c r="WBY76" s="26"/>
      <c r="WBZ76" s="26"/>
      <c r="WCA76" s="58"/>
      <c r="WCB76" s="26"/>
      <c r="WCC76" s="26"/>
      <c r="WCD76" s="26"/>
      <c r="WCE76" s="26"/>
      <c r="WCF76" s="22"/>
      <c r="WCG76" s="167"/>
      <c r="WCH76" s="30"/>
      <c r="WCI76" s="25"/>
      <c r="WCJ76" s="178"/>
      <c r="WCK76" s="26"/>
      <c r="WCL76" s="26"/>
      <c r="WCM76" s="26"/>
      <c r="WCN76" s="26"/>
      <c r="WCO76" s="26"/>
      <c r="WCP76" s="26"/>
      <c r="WCQ76" s="58"/>
      <c r="WCR76" s="26"/>
      <c r="WCS76" s="26"/>
      <c r="WCT76" s="26"/>
      <c r="WCU76" s="26"/>
      <c r="WCV76" s="22"/>
      <c r="WCW76" s="167"/>
      <c r="WCX76" s="30"/>
      <c r="WCY76" s="25"/>
      <c r="WCZ76" s="178"/>
      <c r="WDA76" s="26"/>
      <c r="WDB76" s="26"/>
      <c r="WDC76" s="26"/>
      <c r="WDD76" s="26"/>
      <c r="WDE76" s="26"/>
      <c r="WDF76" s="26"/>
      <c r="WDG76" s="58"/>
      <c r="WDH76" s="26"/>
      <c r="WDI76" s="26"/>
      <c r="WDJ76" s="26"/>
      <c r="WDK76" s="26"/>
      <c r="WDL76" s="22"/>
      <c r="WDM76" s="167"/>
      <c r="WDN76" s="30"/>
      <c r="WDO76" s="25"/>
      <c r="WDP76" s="178"/>
      <c r="WDQ76" s="26"/>
      <c r="WDR76" s="26"/>
      <c r="WDS76" s="26"/>
      <c r="WDT76" s="26"/>
      <c r="WDU76" s="26"/>
      <c r="WDV76" s="26"/>
      <c r="WDW76" s="58"/>
      <c r="WDX76" s="26"/>
      <c r="WDY76" s="26"/>
      <c r="WDZ76" s="26"/>
      <c r="WEA76" s="26"/>
      <c r="WEB76" s="22"/>
      <c r="WEC76" s="167"/>
      <c r="WED76" s="30"/>
      <c r="WEE76" s="25"/>
      <c r="WEF76" s="178"/>
      <c r="WEG76" s="26"/>
      <c r="WEH76" s="26"/>
      <c r="WEI76" s="26"/>
      <c r="WEJ76" s="26"/>
      <c r="WEK76" s="26"/>
      <c r="WEL76" s="26"/>
      <c r="WEM76" s="58"/>
      <c r="WEN76" s="26"/>
      <c r="WEO76" s="26"/>
      <c r="WEP76" s="26"/>
      <c r="WEQ76" s="26"/>
      <c r="WER76" s="22"/>
      <c r="WES76" s="167"/>
      <c r="WET76" s="30"/>
      <c r="WEU76" s="25"/>
      <c r="WEV76" s="178"/>
      <c r="WEW76" s="26"/>
      <c r="WEX76" s="26"/>
      <c r="WEY76" s="26"/>
      <c r="WEZ76" s="26"/>
      <c r="WFA76" s="26"/>
      <c r="WFB76" s="26"/>
      <c r="WFC76" s="58"/>
      <c r="WFD76" s="26"/>
      <c r="WFE76" s="26"/>
      <c r="WFF76" s="26"/>
      <c r="WFG76" s="26"/>
      <c r="WFH76" s="22"/>
      <c r="WFI76" s="167"/>
      <c r="WFJ76" s="30"/>
      <c r="WFK76" s="25"/>
      <c r="WFL76" s="178"/>
      <c r="WFM76" s="26"/>
      <c r="WFN76" s="26"/>
      <c r="WFO76" s="26"/>
      <c r="WFP76" s="26"/>
      <c r="WFQ76" s="26"/>
      <c r="WFR76" s="26"/>
      <c r="WFS76" s="58"/>
      <c r="WFT76" s="26"/>
      <c r="WFU76" s="26"/>
      <c r="WFV76" s="26"/>
      <c r="WFW76" s="26"/>
      <c r="WFX76" s="22"/>
      <c r="WFY76" s="167"/>
      <c r="WFZ76" s="30"/>
      <c r="WGA76" s="25"/>
      <c r="WGB76" s="178"/>
      <c r="WGC76" s="26"/>
      <c r="WGD76" s="26"/>
      <c r="WGE76" s="26"/>
      <c r="WGF76" s="26"/>
      <c r="WGG76" s="26"/>
      <c r="WGH76" s="26"/>
      <c r="WGI76" s="58"/>
      <c r="WGJ76" s="26"/>
      <c r="WGK76" s="26"/>
      <c r="WGL76" s="26"/>
      <c r="WGM76" s="26"/>
      <c r="WGN76" s="22"/>
      <c r="WGO76" s="167"/>
      <c r="WGP76" s="30"/>
      <c r="WGQ76" s="25"/>
      <c r="WGR76" s="178"/>
      <c r="WGS76" s="26"/>
      <c r="WGT76" s="26"/>
      <c r="WGU76" s="26"/>
      <c r="WGV76" s="26"/>
      <c r="WGW76" s="26"/>
      <c r="WGX76" s="26"/>
      <c r="WGY76" s="58"/>
      <c r="WGZ76" s="26"/>
      <c r="WHA76" s="26"/>
      <c r="WHB76" s="26"/>
      <c r="WHC76" s="26"/>
      <c r="WHD76" s="22"/>
      <c r="WHE76" s="167"/>
      <c r="WHF76" s="30"/>
      <c r="WHG76" s="25"/>
      <c r="WHH76" s="178"/>
      <c r="WHI76" s="26"/>
      <c r="WHJ76" s="26"/>
      <c r="WHK76" s="26"/>
      <c r="WHL76" s="26"/>
      <c r="WHM76" s="26"/>
      <c r="WHN76" s="26"/>
      <c r="WHO76" s="58"/>
      <c r="WHP76" s="26"/>
      <c r="WHQ76" s="26"/>
      <c r="WHR76" s="26"/>
      <c r="WHS76" s="26"/>
      <c r="WHT76" s="22"/>
      <c r="WHU76" s="167"/>
      <c r="WHV76" s="30"/>
      <c r="WHW76" s="25"/>
      <c r="WHX76" s="178"/>
      <c r="WHY76" s="26"/>
      <c r="WHZ76" s="26"/>
      <c r="WIA76" s="26"/>
      <c r="WIB76" s="26"/>
      <c r="WIC76" s="26"/>
      <c r="WID76" s="26"/>
      <c r="WIE76" s="58"/>
      <c r="WIF76" s="26"/>
      <c r="WIG76" s="26"/>
      <c r="WIH76" s="26"/>
      <c r="WII76" s="26"/>
      <c r="WIJ76" s="22"/>
      <c r="WIK76" s="167"/>
      <c r="WIL76" s="30"/>
      <c r="WIM76" s="25"/>
      <c r="WIN76" s="178"/>
      <c r="WIO76" s="26"/>
      <c r="WIP76" s="26"/>
      <c r="WIQ76" s="26"/>
      <c r="WIR76" s="26"/>
      <c r="WIS76" s="26"/>
      <c r="WIT76" s="26"/>
      <c r="WIU76" s="58"/>
      <c r="WIV76" s="26"/>
      <c r="WIW76" s="26"/>
      <c r="WIX76" s="26"/>
      <c r="WIY76" s="26"/>
      <c r="WIZ76" s="22"/>
      <c r="WJA76" s="167"/>
      <c r="WJB76" s="30"/>
      <c r="WJC76" s="25"/>
      <c r="WJD76" s="178"/>
      <c r="WJE76" s="26"/>
      <c r="WJF76" s="26"/>
      <c r="WJG76" s="26"/>
      <c r="WJH76" s="26"/>
      <c r="WJI76" s="26"/>
      <c r="WJJ76" s="26"/>
      <c r="WJK76" s="58"/>
      <c r="WJL76" s="26"/>
      <c r="WJM76" s="26"/>
      <c r="WJN76" s="26"/>
      <c r="WJO76" s="26"/>
      <c r="WJP76" s="22"/>
      <c r="WJQ76" s="167"/>
      <c r="WJR76" s="30"/>
      <c r="WJS76" s="25"/>
      <c r="WJT76" s="178"/>
      <c r="WJU76" s="26"/>
      <c r="WJV76" s="26"/>
      <c r="WJW76" s="26"/>
      <c r="WJX76" s="26"/>
      <c r="WJY76" s="26"/>
      <c r="WJZ76" s="26"/>
      <c r="WKA76" s="58"/>
      <c r="WKB76" s="26"/>
      <c r="WKC76" s="26"/>
      <c r="WKD76" s="26"/>
      <c r="WKE76" s="26"/>
      <c r="WKF76" s="22"/>
      <c r="WKG76" s="167"/>
      <c r="WKH76" s="30"/>
      <c r="WKI76" s="25"/>
      <c r="WKJ76" s="178"/>
      <c r="WKK76" s="26"/>
      <c r="WKL76" s="26"/>
      <c r="WKM76" s="26"/>
      <c r="WKN76" s="26"/>
      <c r="WKO76" s="26"/>
      <c r="WKP76" s="26"/>
      <c r="WKQ76" s="58"/>
      <c r="WKR76" s="26"/>
      <c r="WKS76" s="26"/>
      <c r="WKT76" s="26"/>
      <c r="WKU76" s="26"/>
      <c r="WKV76" s="22"/>
      <c r="WKW76" s="167"/>
      <c r="WKX76" s="30"/>
      <c r="WKY76" s="25"/>
      <c r="WKZ76" s="178"/>
      <c r="WLA76" s="26"/>
      <c r="WLB76" s="26"/>
      <c r="WLC76" s="26"/>
      <c r="WLD76" s="26"/>
      <c r="WLE76" s="26"/>
      <c r="WLF76" s="26"/>
      <c r="WLG76" s="58"/>
      <c r="WLH76" s="26"/>
      <c r="WLI76" s="26"/>
      <c r="WLJ76" s="26"/>
      <c r="WLK76" s="26"/>
      <c r="WLL76" s="22"/>
      <c r="WLM76" s="167"/>
      <c r="WLN76" s="30"/>
      <c r="WLO76" s="25"/>
      <c r="WLP76" s="178"/>
      <c r="WLQ76" s="26"/>
      <c r="WLR76" s="26"/>
      <c r="WLS76" s="26"/>
      <c r="WLT76" s="26"/>
      <c r="WLU76" s="26"/>
      <c r="WLV76" s="26"/>
      <c r="WLW76" s="58"/>
      <c r="WLX76" s="26"/>
      <c r="WLY76" s="26"/>
      <c r="WLZ76" s="26"/>
      <c r="WMA76" s="26"/>
      <c r="WMB76" s="22"/>
      <c r="WMC76" s="167"/>
      <c r="WMD76" s="30"/>
      <c r="WME76" s="25"/>
      <c r="WMF76" s="178"/>
      <c r="WMG76" s="26"/>
      <c r="WMH76" s="26"/>
      <c r="WMI76" s="26"/>
      <c r="WMJ76" s="26"/>
      <c r="WMK76" s="26"/>
      <c r="WML76" s="26"/>
      <c r="WMM76" s="58"/>
      <c r="WMN76" s="26"/>
      <c r="WMO76" s="26"/>
      <c r="WMP76" s="26"/>
      <c r="WMQ76" s="26"/>
      <c r="WMR76" s="22"/>
      <c r="WMS76" s="167"/>
      <c r="WMT76" s="30"/>
      <c r="WMU76" s="25"/>
      <c r="WMV76" s="178"/>
      <c r="WMW76" s="26"/>
      <c r="WMX76" s="26"/>
      <c r="WMY76" s="26"/>
      <c r="WMZ76" s="26"/>
      <c r="WNA76" s="26"/>
      <c r="WNB76" s="26"/>
      <c r="WNC76" s="58"/>
      <c r="WND76" s="26"/>
      <c r="WNE76" s="26"/>
      <c r="WNF76" s="26"/>
      <c r="WNG76" s="26"/>
      <c r="WNH76" s="22"/>
      <c r="WNI76" s="167"/>
      <c r="WNJ76" s="30"/>
      <c r="WNK76" s="25"/>
      <c r="WNL76" s="178"/>
      <c r="WNM76" s="26"/>
      <c r="WNN76" s="26"/>
      <c r="WNO76" s="26"/>
      <c r="WNP76" s="26"/>
      <c r="WNQ76" s="26"/>
      <c r="WNR76" s="26"/>
      <c r="WNS76" s="58"/>
      <c r="WNT76" s="26"/>
      <c r="WNU76" s="26"/>
      <c r="WNV76" s="26"/>
      <c r="WNW76" s="26"/>
      <c r="WNX76" s="22"/>
      <c r="WNY76" s="167"/>
      <c r="WNZ76" s="30"/>
      <c r="WOA76" s="25"/>
      <c r="WOB76" s="178"/>
      <c r="WOC76" s="26"/>
      <c r="WOD76" s="26"/>
      <c r="WOE76" s="26"/>
      <c r="WOF76" s="26"/>
      <c r="WOG76" s="26"/>
      <c r="WOH76" s="26"/>
      <c r="WOI76" s="58"/>
      <c r="WOJ76" s="26"/>
      <c r="WOK76" s="26"/>
      <c r="WOL76" s="26"/>
      <c r="WOM76" s="26"/>
      <c r="WON76" s="22"/>
      <c r="WOO76" s="167"/>
      <c r="WOP76" s="30"/>
      <c r="WOQ76" s="25"/>
      <c r="WOR76" s="178"/>
      <c r="WOS76" s="26"/>
      <c r="WOT76" s="26"/>
      <c r="WOU76" s="26"/>
      <c r="WOV76" s="26"/>
      <c r="WOW76" s="26"/>
      <c r="WOX76" s="26"/>
      <c r="WOY76" s="58"/>
      <c r="WOZ76" s="26"/>
      <c r="WPA76" s="26"/>
      <c r="WPB76" s="26"/>
      <c r="WPC76" s="26"/>
      <c r="WPD76" s="22"/>
      <c r="WPE76" s="167"/>
      <c r="WPF76" s="30"/>
      <c r="WPG76" s="25"/>
      <c r="WPH76" s="178"/>
      <c r="WPI76" s="26"/>
      <c r="WPJ76" s="26"/>
      <c r="WPK76" s="26"/>
      <c r="WPL76" s="26"/>
      <c r="WPM76" s="26"/>
      <c r="WPN76" s="26"/>
      <c r="WPO76" s="58"/>
      <c r="WPP76" s="26"/>
      <c r="WPQ76" s="26"/>
      <c r="WPR76" s="26"/>
      <c r="WPS76" s="26"/>
      <c r="WPT76" s="22"/>
      <c r="WPU76" s="167"/>
      <c r="WPV76" s="30"/>
      <c r="WPW76" s="25"/>
      <c r="WPX76" s="178"/>
      <c r="WPY76" s="26"/>
      <c r="WPZ76" s="26"/>
      <c r="WQA76" s="26"/>
      <c r="WQB76" s="26"/>
      <c r="WQC76" s="26"/>
      <c r="WQD76" s="26"/>
      <c r="WQE76" s="58"/>
      <c r="WQF76" s="26"/>
      <c r="WQG76" s="26"/>
      <c r="WQH76" s="26"/>
      <c r="WQI76" s="26"/>
      <c r="WQJ76" s="22"/>
      <c r="WQK76" s="167"/>
      <c r="WQL76" s="30"/>
      <c r="WQM76" s="25"/>
      <c r="WQN76" s="178"/>
      <c r="WQO76" s="26"/>
      <c r="WQP76" s="26"/>
      <c r="WQQ76" s="26"/>
      <c r="WQR76" s="26"/>
      <c r="WQS76" s="26"/>
      <c r="WQT76" s="26"/>
      <c r="WQU76" s="58"/>
      <c r="WQV76" s="26"/>
      <c r="WQW76" s="26"/>
      <c r="WQX76" s="26"/>
      <c r="WQY76" s="26"/>
      <c r="WQZ76" s="22"/>
      <c r="WRA76" s="167"/>
      <c r="WRB76" s="30"/>
      <c r="WRC76" s="25"/>
      <c r="WRD76" s="178"/>
      <c r="WRE76" s="26"/>
      <c r="WRF76" s="26"/>
      <c r="WRG76" s="26"/>
      <c r="WRH76" s="26"/>
      <c r="WRI76" s="26"/>
      <c r="WRJ76" s="26"/>
      <c r="WRK76" s="58"/>
      <c r="WRL76" s="26"/>
      <c r="WRM76" s="26"/>
      <c r="WRN76" s="26"/>
      <c r="WRO76" s="26"/>
      <c r="WRP76" s="22"/>
      <c r="WRQ76" s="167"/>
      <c r="WRR76" s="30"/>
      <c r="WRS76" s="25"/>
      <c r="WRT76" s="178"/>
      <c r="WRU76" s="26"/>
      <c r="WRV76" s="26"/>
      <c r="WRW76" s="26"/>
      <c r="WRX76" s="26"/>
      <c r="WRY76" s="26"/>
      <c r="WRZ76" s="26"/>
      <c r="WSA76" s="58"/>
      <c r="WSB76" s="26"/>
      <c r="WSC76" s="26"/>
      <c r="WSD76" s="26"/>
      <c r="WSE76" s="26"/>
      <c r="WSF76" s="22"/>
      <c r="WSG76" s="167"/>
      <c r="WSH76" s="30"/>
      <c r="WSI76" s="25"/>
      <c r="WSJ76" s="178"/>
      <c r="WSK76" s="26"/>
      <c r="WSL76" s="26"/>
      <c r="WSM76" s="26"/>
      <c r="WSN76" s="26"/>
      <c r="WSO76" s="26"/>
      <c r="WSP76" s="26"/>
      <c r="WSQ76" s="58"/>
      <c r="WSR76" s="26"/>
      <c r="WSS76" s="26"/>
      <c r="WST76" s="26"/>
      <c r="WSU76" s="26"/>
      <c r="WSV76" s="22"/>
      <c r="WSW76" s="167"/>
      <c r="WSX76" s="30"/>
      <c r="WSY76" s="25"/>
      <c r="WSZ76" s="178"/>
      <c r="WTA76" s="26"/>
      <c r="WTB76" s="26"/>
      <c r="WTC76" s="26"/>
      <c r="WTD76" s="26"/>
      <c r="WTE76" s="26"/>
      <c r="WTF76" s="26"/>
      <c r="WTG76" s="58"/>
      <c r="WTH76" s="26"/>
      <c r="WTI76" s="26"/>
      <c r="WTJ76" s="26"/>
      <c r="WTK76" s="26"/>
      <c r="WTL76" s="22"/>
      <c r="WTM76" s="167"/>
      <c r="WTN76" s="30"/>
      <c r="WTO76" s="25"/>
      <c r="WTP76" s="178"/>
      <c r="WTQ76" s="26"/>
      <c r="WTR76" s="26"/>
      <c r="WTS76" s="26"/>
      <c r="WTT76" s="26"/>
      <c r="WTU76" s="26"/>
      <c r="WTV76" s="26"/>
      <c r="WTW76" s="58"/>
      <c r="WTX76" s="26"/>
      <c r="WTY76" s="26"/>
      <c r="WTZ76" s="26"/>
      <c r="WUA76" s="26"/>
      <c r="WUB76" s="22"/>
      <c r="WUC76" s="167"/>
      <c r="WUD76" s="30"/>
      <c r="WUE76" s="25"/>
      <c r="WUF76" s="178"/>
      <c r="WUG76" s="26"/>
      <c r="WUH76" s="26"/>
      <c r="WUI76" s="26"/>
      <c r="WUJ76" s="26"/>
      <c r="WUK76" s="26"/>
      <c r="WUL76" s="26"/>
      <c r="WUM76" s="58"/>
      <c r="WUN76" s="26"/>
      <c r="WUO76" s="26"/>
      <c r="WUP76" s="26"/>
      <c r="WUQ76" s="26"/>
      <c r="WUR76" s="22"/>
      <c r="WUS76" s="167"/>
      <c r="WUT76" s="30"/>
      <c r="WUU76" s="25"/>
      <c r="WUV76" s="178"/>
      <c r="WUW76" s="26"/>
      <c r="WUX76" s="26"/>
      <c r="WUY76" s="26"/>
      <c r="WUZ76" s="26"/>
      <c r="WVA76" s="26"/>
      <c r="WVB76" s="26"/>
      <c r="WVC76" s="58"/>
      <c r="WVD76" s="26"/>
      <c r="WVE76" s="26"/>
      <c r="WVF76" s="26"/>
      <c r="WVG76" s="26"/>
      <c r="WVH76" s="22"/>
      <c r="WVI76" s="167"/>
      <c r="WVJ76" s="30"/>
      <c r="WVK76" s="25"/>
      <c r="WVL76" s="178"/>
      <c r="WVM76" s="26"/>
      <c r="WVN76" s="26"/>
      <c r="WVO76" s="26"/>
      <c r="WVP76" s="26"/>
      <c r="WVQ76" s="26"/>
      <c r="WVR76" s="26"/>
      <c r="WVS76" s="58"/>
      <c r="WVT76" s="26"/>
      <c r="WVU76" s="26"/>
      <c r="WVV76" s="26"/>
      <c r="WVW76" s="26"/>
      <c r="WVX76" s="22"/>
      <c r="WVY76" s="167"/>
      <c r="WVZ76" s="30"/>
      <c r="WWA76" s="25"/>
      <c r="WWB76" s="178"/>
      <c r="WWC76" s="26"/>
      <c r="WWD76" s="26"/>
      <c r="WWE76" s="26"/>
      <c r="WWF76" s="26"/>
      <c r="WWG76" s="26"/>
      <c r="WWH76" s="26"/>
      <c r="WWI76" s="58"/>
      <c r="WWJ76" s="26"/>
      <c r="WWK76" s="26"/>
      <c r="WWL76" s="26"/>
      <c r="WWM76" s="26"/>
      <c r="WWN76" s="22"/>
      <c r="WWO76" s="167"/>
      <c r="WWP76" s="30"/>
      <c r="WWQ76" s="25"/>
      <c r="WWR76" s="178"/>
      <c r="WWS76" s="26"/>
      <c r="WWT76" s="26"/>
      <c r="WWU76" s="26"/>
      <c r="WWV76" s="26"/>
      <c r="WWW76" s="26"/>
      <c r="WWX76" s="26"/>
      <c r="WWY76" s="58"/>
      <c r="WWZ76" s="26"/>
      <c r="WXA76" s="26"/>
      <c r="WXB76" s="26"/>
      <c r="WXC76" s="26"/>
      <c r="WXD76" s="22"/>
      <c r="WXE76" s="167"/>
      <c r="WXF76" s="30"/>
      <c r="WXG76" s="25"/>
      <c r="WXH76" s="178"/>
      <c r="WXI76" s="26"/>
      <c r="WXJ76" s="26"/>
      <c r="WXK76" s="26"/>
      <c r="WXL76" s="26"/>
      <c r="WXM76" s="26"/>
      <c r="WXN76" s="26"/>
      <c r="WXO76" s="58"/>
      <c r="WXP76" s="26"/>
      <c r="WXQ76" s="26"/>
      <c r="WXR76" s="26"/>
      <c r="WXS76" s="26"/>
      <c r="WXT76" s="22"/>
      <c r="WXU76" s="167"/>
      <c r="WXV76" s="30"/>
      <c r="WXW76" s="25"/>
      <c r="WXX76" s="178"/>
      <c r="WXY76" s="26"/>
      <c r="WXZ76" s="26"/>
      <c r="WYA76" s="26"/>
      <c r="WYB76" s="26"/>
      <c r="WYC76" s="26"/>
      <c r="WYD76" s="26"/>
      <c r="WYE76" s="58"/>
      <c r="WYF76" s="26"/>
      <c r="WYG76" s="26"/>
      <c r="WYH76" s="26"/>
      <c r="WYI76" s="26"/>
      <c r="WYJ76" s="22"/>
      <c r="WYK76" s="167"/>
      <c r="WYL76" s="30"/>
      <c r="WYM76" s="25"/>
      <c r="WYN76" s="178"/>
      <c r="WYO76" s="26"/>
      <c r="WYP76" s="26"/>
      <c r="WYQ76" s="26"/>
      <c r="WYR76" s="26"/>
      <c r="WYS76" s="26"/>
      <c r="WYT76" s="26"/>
      <c r="WYU76" s="58"/>
      <c r="WYV76" s="26"/>
      <c r="WYW76" s="26"/>
      <c r="WYX76" s="26"/>
      <c r="WYY76" s="26"/>
      <c r="WYZ76" s="22"/>
      <c r="WZA76" s="167"/>
      <c r="WZB76" s="30"/>
      <c r="WZC76" s="25"/>
      <c r="WZD76" s="178"/>
      <c r="WZE76" s="26"/>
      <c r="WZF76" s="26"/>
      <c r="WZG76" s="26"/>
      <c r="WZH76" s="26"/>
      <c r="WZI76" s="26"/>
      <c r="WZJ76" s="26"/>
      <c r="WZK76" s="58"/>
      <c r="WZL76" s="26"/>
      <c r="WZM76" s="26"/>
      <c r="WZN76" s="26"/>
      <c r="WZO76" s="26"/>
      <c r="WZP76" s="22"/>
      <c r="WZQ76" s="167"/>
      <c r="WZR76" s="30"/>
      <c r="WZS76" s="25"/>
      <c r="WZT76" s="178"/>
      <c r="WZU76" s="26"/>
      <c r="WZV76" s="26"/>
      <c r="WZW76" s="26"/>
      <c r="WZX76" s="26"/>
      <c r="WZY76" s="26"/>
      <c r="WZZ76" s="26"/>
      <c r="XAA76" s="58"/>
      <c r="XAB76" s="26"/>
      <c r="XAC76" s="26"/>
      <c r="XAD76" s="26"/>
      <c r="XAE76" s="26"/>
      <c r="XAF76" s="22"/>
      <c r="XAG76" s="167"/>
      <c r="XAH76" s="30"/>
      <c r="XAI76" s="25"/>
      <c r="XAJ76" s="178"/>
      <c r="XAK76" s="26"/>
      <c r="XAL76" s="26"/>
      <c r="XAM76" s="26"/>
      <c r="XAN76" s="26"/>
      <c r="XAO76" s="26"/>
      <c r="XAP76" s="26"/>
      <c r="XAQ76" s="58"/>
      <c r="XAR76" s="26"/>
      <c r="XAS76" s="26"/>
      <c r="XAT76" s="26"/>
      <c r="XAU76" s="26"/>
      <c r="XAV76" s="22"/>
      <c r="XAW76" s="167"/>
      <c r="XAX76" s="30"/>
      <c r="XAY76" s="25"/>
      <c r="XAZ76" s="178"/>
      <c r="XBA76" s="26"/>
      <c r="XBB76" s="26"/>
      <c r="XBC76" s="26"/>
      <c r="XBD76" s="26"/>
      <c r="XBE76" s="26"/>
      <c r="XBF76" s="26"/>
      <c r="XBG76" s="58"/>
      <c r="XBH76" s="26"/>
      <c r="XBI76" s="26"/>
      <c r="XBJ76" s="26"/>
      <c r="XBK76" s="26"/>
      <c r="XBL76" s="22"/>
      <c r="XBM76" s="167"/>
      <c r="XBN76" s="30"/>
      <c r="XBO76" s="25"/>
      <c r="XBP76" s="178"/>
      <c r="XBQ76" s="26"/>
      <c r="XBR76" s="26"/>
      <c r="XBS76" s="26"/>
      <c r="XBT76" s="26"/>
      <c r="XBU76" s="26"/>
      <c r="XBV76" s="26"/>
      <c r="XBW76" s="58"/>
      <c r="XBX76" s="26"/>
      <c r="XBY76" s="26"/>
      <c r="XBZ76" s="26"/>
      <c r="XCA76" s="26"/>
      <c r="XCB76" s="22"/>
      <c r="XCC76" s="167"/>
      <c r="XCD76" s="30"/>
      <c r="XCE76" s="25"/>
      <c r="XCF76" s="178"/>
      <c r="XCG76" s="26"/>
      <c r="XCH76" s="26"/>
      <c r="XCI76" s="26"/>
      <c r="XCJ76" s="26"/>
      <c r="XCK76" s="26"/>
      <c r="XCL76" s="26"/>
      <c r="XCM76" s="58"/>
      <c r="XCN76" s="26"/>
      <c r="XCO76" s="26"/>
      <c r="XCP76" s="26"/>
      <c r="XCQ76" s="26"/>
      <c r="XCR76" s="22"/>
      <c r="XCS76" s="167"/>
      <c r="XCT76" s="30"/>
      <c r="XCU76" s="25"/>
      <c r="XCV76" s="178"/>
      <c r="XCW76" s="26"/>
      <c r="XCX76" s="26"/>
      <c r="XCY76" s="26"/>
      <c r="XCZ76" s="26"/>
      <c r="XDA76" s="26"/>
      <c r="XDB76" s="26"/>
      <c r="XDC76" s="58"/>
      <c r="XDD76" s="26"/>
      <c r="XDE76" s="26"/>
      <c r="XDF76" s="26"/>
      <c r="XDG76" s="26"/>
      <c r="XDH76" s="22"/>
      <c r="XDI76" s="167"/>
      <c r="XDJ76" s="30"/>
      <c r="XDK76" s="25"/>
      <c r="XDL76" s="178"/>
      <c r="XDM76" s="26"/>
      <c r="XDN76" s="26"/>
      <c r="XDO76" s="26"/>
      <c r="XDP76" s="26"/>
      <c r="XDQ76" s="26"/>
      <c r="XDR76" s="26"/>
      <c r="XDS76" s="58"/>
      <c r="XDT76" s="26"/>
      <c r="XDU76" s="26"/>
      <c r="XDV76" s="26"/>
      <c r="XDW76" s="26"/>
      <c r="XDX76" s="22"/>
      <c r="XDY76" s="167"/>
      <c r="XDZ76" s="30"/>
      <c r="XEA76" s="25"/>
      <c r="XEB76" s="178"/>
      <c r="XEC76" s="26"/>
      <c r="XED76" s="26"/>
      <c r="XEE76" s="26"/>
      <c r="XEF76" s="26"/>
      <c r="XEG76" s="26"/>
      <c r="XEH76" s="26"/>
      <c r="XEI76" s="58"/>
      <c r="XEJ76" s="26"/>
      <c r="XEK76" s="26"/>
      <c r="XEL76" s="26"/>
      <c r="XEM76" s="26"/>
      <c r="XEN76" s="22"/>
      <c r="XEO76" s="167"/>
      <c r="XEP76" s="30"/>
      <c r="XEQ76" s="25"/>
      <c r="XER76" s="178"/>
      <c r="XES76" s="26"/>
      <c r="XET76" s="26"/>
      <c r="XEU76" s="26"/>
      <c r="XEV76" s="26"/>
      <c r="XEW76" s="26"/>
      <c r="XEX76" s="26"/>
      <c r="XEY76" s="58"/>
      <c r="XEZ76" s="26"/>
      <c r="XFA76" s="26"/>
      <c r="XFB76" s="26"/>
      <c r="XFC76" s="26"/>
      <c r="XFD76" s="22"/>
    </row>
    <row r="77" spans="1:16384" s="32" customFormat="1" ht="77.25" thickBot="1" x14ac:dyDescent="0.25">
      <c r="A77" s="280"/>
      <c r="B77" s="231" t="s">
        <v>1371</v>
      </c>
      <c r="C77" s="25"/>
      <c r="D77" s="174"/>
      <c r="E77" s="25"/>
      <c r="F77" s="25"/>
      <c r="G77" s="25"/>
      <c r="H77" s="25"/>
      <c r="I77" s="25"/>
      <c r="J77" s="25"/>
      <c r="K77" s="58"/>
      <c r="L77" s="26"/>
      <c r="M77" s="26"/>
      <c r="N77" s="26"/>
      <c r="O77" s="26"/>
      <c r="P77" s="22"/>
      <c r="Q77" s="167"/>
      <c r="R77" s="30"/>
      <c r="S77" s="25"/>
      <c r="T77" s="178"/>
      <c r="U77" s="26"/>
      <c r="V77" s="26"/>
      <c r="W77" s="26"/>
      <c r="X77" s="26"/>
      <c r="Y77" s="26"/>
      <c r="Z77" s="26"/>
      <c r="AA77" s="58"/>
      <c r="AB77" s="26"/>
      <c r="AC77" s="26"/>
      <c r="AD77" s="26"/>
      <c r="AE77" s="26"/>
      <c r="AF77" s="22"/>
      <c r="AG77" s="167"/>
      <c r="AH77" s="30"/>
      <c r="AI77" s="25"/>
      <c r="AJ77" s="178"/>
      <c r="AK77" s="26"/>
      <c r="AL77" s="26"/>
      <c r="AM77" s="26"/>
      <c r="AN77" s="26"/>
      <c r="AO77" s="26"/>
      <c r="AP77" s="26"/>
      <c r="AQ77" s="58"/>
      <c r="AR77" s="26"/>
      <c r="AS77" s="26"/>
      <c r="AT77" s="26"/>
      <c r="AU77" s="26"/>
      <c r="AV77" s="22"/>
      <c r="AW77" s="167"/>
      <c r="AX77" s="30"/>
      <c r="AY77" s="25"/>
      <c r="AZ77" s="178"/>
      <c r="BA77" s="26"/>
      <c r="BB77" s="26"/>
      <c r="BC77" s="26"/>
      <c r="BD77" s="26"/>
      <c r="BE77" s="26"/>
      <c r="BF77" s="26"/>
      <c r="BG77" s="58"/>
      <c r="BH77" s="26"/>
      <c r="BI77" s="26"/>
      <c r="BJ77" s="26"/>
      <c r="BK77" s="26"/>
      <c r="BL77" s="22"/>
      <c r="BM77" s="167"/>
      <c r="BN77" s="30"/>
      <c r="BO77" s="25"/>
      <c r="BP77" s="178"/>
      <c r="BQ77" s="26"/>
      <c r="BR77" s="26"/>
      <c r="BS77" s="26"/>
      <c r="BT77" s="26"/>
      <c r="BU77" s="26"/>
      <c r="BV77" s="26"/>
      <c r="BW77" s="58"/>
      <c r="BX77" s="26"/>
      <c r="BY77" s="26"/>
      <c r="BZ77" s="26"/>
      <c r="CA77" s="26"/>
      <c r="CB77" s="22"/>
      <c r="CC77" s="167"/>
      <c r="CD77" s="30"/>
      <c r="CE77" s="25"/>
      <c r="CF77" s="178"/>
      <c r="CG77" s="26"/>
      <c r="CH77" s="26"/>
      <c r="CI77" s="26"/>
      <c r="CJ77" s="26"/>
      <c r="CK77" s="26"/>
      <c r="CL77" s="26"/>
      <c r="CM77" s="58"/>
      <c r="CN77" s="26"/>
      <c r="CO77" s="26"/>
      <c r="CP77" s="26"/>
      <c r="CQ77" s="26"/>
      <c r="CR77" s="22"/>
      <c r="CS77" s="167"/>
      <c r="CT77" s="30"/>
      <c r="CU77" s="25"/>
      <c r="CV77" s="178"/>
      <c r="CW77" s="26"/>
      <c r="CX77" s="26"/>
      <c r="CY77" s="26"/>
      <c r="CZ77" s="26"/>
      <c r="DA77" s="26"/>
      <c r="DB77" s="26"/>
      <c r="DC77" s="58"/>
      <c r="DD77" s="26"/>
      <c r="DE77" s="26"/>
      <c r="DF77" s="26"/>
      <c r="DG77" s="26"/>
      <c r="DH77" s="22"/>
      <c r="DI77" s="167"/>
      <c r="DJ77" s="30"/>
      <c r="DK77" s="25"/>
      <c r="DL77" s="178"/>
      <c r="DM77" s="26"/>
      <c r="DN77" s="26"/>
      <c r="DO77" s="26"/>
      <c r="DP77" s="26"/>
      <c r="DQ77" s="26"/>
      <c r="DR77" s="26"/>
      <c r="DS77" s="58"/>
      <c r="DT77" s="26"/>
      <c r="DU77" s="26"/>
      <c r="DV77" s="26"/>
      <c r="DW77" s="26"/>
      <c r="DX77" s="22"/>
      <c r="DY77" s="167"/>
      <c r="DZ77" s="30"/>
      <c r="EA77" s="25"/>
      <c r="EB77" s="178"/>
      <c r="EC77" s="26"/>
      <c r="ED77" s="26"/>
      <c r="EE77" s="26"/>
      <c r="EF77" s="26"/>
      <c r="EG77" s="26"/>
      <c r="EH77" s="26"/>
      <c r="EI77" s="58"/>
      <c r="EJ77" s="26"/>
      <c r="EK77" s="26"/>
      <c r="EL77" s="26"/>
      <c r="EM77" s="26"/>
      <c r="EN77" s="22"/>
      <c r="EO77" s="167"/>
      <c r="EP77" s="30"/>
      <c r="EQ77" s="25"/>
      <c r="ER77" s="178"/>
      <c r="ES77" s="26"/>
      <c r="ET77" s="26"/>
      <c r="EU77" s="26"/>
      <c r="EV77" s="26"/>
      <c r="EW77" s="26"/>
      <c r="EX77" s="26"/>
      <c r="EY77" s="58"/>
      <c r="EZ77" s="26"/>
      <c r="FA77" s="26"/>
      <c r="FB77" s="26"/>
      <c r="FC77" s="26"/>
      <c r="FD77" s="22"/>
      <c r="FE77" s="167"/>
      <c r="FF77" s="30"/>
      <c r="FG77" s="25"/>
      <c r="FH77" s="178"/>
      <c r="FI77" s="26"/>
      <c r="FJ77" s="26"/>
      <c r="FK77" s="26"/>
      <c r="FL77" s="26"/>
      <c r="FM77" s="26"/>
      <c r="FN77" s="26"/>
      <c r="FO77" s="58"/>
      <c r="FP77" s="26"/>
      <c r="FQ77" s="26"/>
      <c r="FR77" s="26"/>
      <c r="FS77" s="26"/>
      <c r="FT77" s="22"/>
      <c r="FU77" s="167"/>
      <c r="FV77" s="30"/>
      <c r="FW77" s="25"/>
      <c r="FX77" s="178"/>
      <c r="FY77" s="26"/>
      <c r="FZ77" s="26"/>
      <c r="GA77" s="26"/>
      <c r="GB77" s="26"/>
      <c r="GC77" s="26"/>
      <c r="GD77" s="26"/>
      <c r="GE77" s="58"/>
      <c r="GF77" s="26"/>
      <c r="GG77" s="26"/>
      <c r="GH77" s="26"/>
      <c r="GI77" s="26"/>
      <c r="GJ77" s="22"/>
      <c r="GK77" s="167"/>
      <c r="GL77" s="30"/>
      <c r="GM77" s="25"/>
      <c r="GN77" s="178"/>
      <c r="GO77" s="26"/>
      <c r="GP77" s="26"/>
      <c r="GQ77" s="26"/>
      <c r="GR77" s="26"/>
      <c r="GS77" s="26"/>
      <c r="GT77" s="26"/>
      <c r="GU77" s="58"/>
      <c r="GV77" s="26"/>
      <c r="GW77" s="26"/>
      <c r="GX77" s="26"/>
      <c r="GY77" s="26"/>
      <c r="GZ77" s="22"/>
      <c r="HA77" s="167"/>
      <c r="HB77" s="30"/>
      <c r="HC77" s="25"/>
      <c r="HD77" s="178"/>
      <c r="HE77" s="26"/>
      <c r="HF77" s="26"/>
      <c r="HG77" s="26"/>
      <c r="HH77" s="26"/>
      <c r="HI77" s="26"/>
      <c r="HJ77" s="26"/>
      <c r="HK77" s="58"/>
      <c r="HL77" s="26"/>
      <c r="HM77" s="26"/>
      <c r="HN77" s="26"/>
      <c r="HO77" s="26"/>
      <c r="HP77" s="22"/>
      <c r="HQ77" s="167"/>
      <c r="HR77" s="30"/>
      <c r="HS77" s="25"/>
      <c r="HT77" s="178"/>
      <c r="HU77" s="26"/>
      <c r="HV77" s="26"/>
      <c r="HW77" s="26"/>
      <c r="HX77" s="26"/>
      <c r="HY77" s="26"/>
      <c r="HZ77" s="26"/>
      <c r="IA77" s="58"/>
      <c r="IB77" s="26"/>
      <c r="IC77" s="26"/>
      <c r="ID77" s="26"/>
      <c r="IE77" s="26"/>
      <c r="IF77" s="22"/>
      <c r="IG77" s="167"/>
      <c r="IH77" s="30"/>
      <c r="II77" s="25"/>
      <c r="IJ77" s="178"/>
      <c r="IK77" s="26"/>
      <c r="IL77" s="26"/>
      <c r="IM77" s="26"/>
      <c r="IN77" s="26"/>
      <c r="IO77" s="26"/>
      <c r="IP77" s="26"/>
      <c r="IQ77" s="58"/>
      <c r="IR77" s="26"/>
      <c r="IS77" s="26"/>
      <c r="IT77" s="26"/>
      <c r="IU77" s="26"/>
      <c r="IV77" s="22"/>
      <c r="IW77" s="167"/>
      <c r="IX77" s="30"/>
      <c r="IY77" s="25"/>
      <c r="IZ77" s="178"/>
      <c r="JA77" s="26"/>
      <c r="JB77" s="26"/>
      <c r="JC77" s="26"/>
      <c r="JD77" s="26"/>
      <c r="JE77" s="26"/>
      <c r="JF77" s="26"/>
      <c r="JG77" s="58"/>
      <c r="JH77" s="26"/>
      <c r="JI77" s="26"/>
      <c r="JJ77" s="26"/>
      <c r="JK77" s="26"/>
      <c r="JL77" s="22"/>
      <c r="JM77" s="167"/>
      <c r="JN77" s="30"/>
      <c r="JO77" s="25"/>
      <c r="JP77" s="178"/>
      <c r="JQ77" s="26"/>
      <c r="JR77" s="26"/>
      <c r="JS77" s="26"/>
      <c r="JT77" s="26"/>
      <c r="JU77" s="26"/>
      <c r="JV77" s="26"/>
      <c r="JW77" s="58"/>
      <c r="JX77" s="26"/>
      <c r="JY77" s="26"/>
      <c r="JZ77" s="26"/>
      <c r="KA77" s="26"/>
      <c r="KB77" s="22"/>
      <c r="KC77" s="167"/>
      <c r="KD77" s="30"/>
      <c r="KE77" s="25"/>
      <c r="KF77" s="178"/>
      <c r="KG77" s="26"/>
      <c r="KH77" s="26"/>
      <c r="KI77" s="26"/>
      <c r="KJ77" s="26"/>
      <c r="KK77" s="26"/>
      <c r="KL77" s="26"/>
      <c r="KM77" s="58"/>
      <c r="KN77" s="26"/>
      <c r="KO77" s="26"/>
      <c r="KP77" s="26"/>
      <c r="KQ77" s="26"/>
      <c r="KR77" s="22"/>
      <c r="KS77" s="167"/>
      <c r="KT77" s="30"/>
      <c r="KU77" s="25"/>
      <c r="KV77" s="178"/>
      <c r="KW77" s="26"/>
      <c r="KX77" s="26"/>
      <c r="KY77" s="26"/>
      <c r="KZ77" s="26"/>
      <c r="LA77" s="26"/>
      <c r="LB77" s="26"/>
      <c r="LC77" s="58"/>
      <c r="LD77" s="26"/>
      <c r="LE77" s="26"/>
      <c r="LF77" s="26"/>
      <c r="LG77" s="26"/>
      <c r="LH77" s="22"/>
      <c r="LI77" s="167"/>
      <c r="LJ77" s="30"/>
      <c r="LK77" s="25"/>
      <c r="LL77" s="178"/>
      <c r="LM77" s="26"/>
      <c r="LN77" s="26"/>
      <c r="LO77" s="26"/>
      <c r="LP77" s="26"/>
      <c r="LQ77" s="26"/>
      <c r="LR77" s="26"/>
      <c r="LS77" s="58"/>
      <c r="LT77" s="26"/>
      <c r="LU77" s="26"/>
      <c r="LV77" s="26"/>
      <c r="LW77" s="26"/>
      <c r="LX77" s="22"/>
      <c r="LY77" s="167"/>
      <c r="LZ77" s="30"/>
      <c r="MA77" s="25"/>
      <c r="MB77" s="178"/>
      <c r="MC77" s="26"/>
      <c r="MD77" s="26"/>
      <c r="ME77" s="26"/>
      <c r="MF77" s="26"/>
      <c r="MG77" s="26"/>
      <c r="MH77" s="26"/>
      <c r="MI77" s="58"/>
      <c r="MJ77" s="26"/>
      <c r="MK77" s="26"/>
      <c r="ML77" s="26"/>
      <c r="MM77" s="26"/>
      <c r="MN77" s="22"/>
      <c r="MO77" s="167"/>
      <c r="MP77" s="30"/>
      <c r="MQ77" s="25"/>
      <c r="MR77" s="178"/>
      <c r="MS77" s="26"/>
      <c r="MT77" s="26"/>
      <c r="MU77" s="26"/>
      <c r="MV77" s="26"/>
      <c r="MW77" s="26"/>
      <c r="MX77" s="26"/>
      <c r="MY77" s="58"/>
      <c r="MZ77" s="26"/>
      <c r="NA77" s="26"/>
      <c r="NB77" s="26"/>
      <c r="NC77" s="26"/>
      <c r="ND77" s="22"/>
      <c r="NE77" s="167"/>
      <c r="NF77" s="30"/>
      <c r="NG77" s="25"/>
      <c r="NH77" s="178"/>
      <c r="NI77" s="26"/>
      <c r="NJ77" s="26"/>
      <c r="NK77" s="26"/>
      <c r="NL77" s="26"/>
      <c r="NM77" s="26"/>
      <c r="NN77" s="26"/>
      <c r="NO77" s="58"/>
      <c r="NP77" s="26"/>
      <c r="NQ77" s="26"/>
      <c r="NR77" s="26"/>
      <c r="NS77" s="26"/>
      <c r="NT77" s="22"/>
      <c r="NU77" s="167"/>
      <c r="NV77" s="30"/>
      <c r="NW77" s="25"/>
      <c r="NX77" s="178"/>
      <c r="NY77" s="26"/>
      <c r="NZ77" s="26"/>
      <c r="OA77" s="26"/>
      <c r="OB77" s="26"/>
      <c r="OC77" s="26"/>
      <c r="OD77" s="26"/>
      <c r="OE77" s="58"/>
      <c r="OF77" s="26"/>
      <c r="OG77" s="26"/>
      <c r="OH77" s="26"/>
      <c r="OI77" s="26"/>
      <c r="OJ77" s="22"/>
      <c r="OK77" s="167"/>
      <c r="OL77" s="30"/>
      <c r="OM77" s="25"/>
      <c r="ON77" s="178"/>
      <c r="OO77" s="26"/>
      <c r="OP77" s="26"/>
      <c r="OQ77" s="26"/>
      <c r="OR77" s="26"/>
      <c r="OS77" s="26"/>
      <c r="OT77" s="26"/>
      <c r="OU77" s="58"/>
      <c r="OV77" s="26"/>
      <c r="OW77" s="26"/>
      <c r="OX77" s="26"/>
      <c r="OY77" s="26"/>
      <c r="OZ77" s="22"/>
      <c r="PA77" s="167"/>
      <c r="PB77" s="30"/>
      <c r="PC77" s="25"/>
      <c r="PD77" s="178"/>
      <c r="PE77" s="26"/>
      <c r="PF77" s="26"/>
      <c r="PG77" s="26"/>
      <c r="PH77" s="26"/>
      <c r="PI77" s="26"/>
      <c r="PJ77" s="26"/>
      <c r="PK77" s="58"/>
      <c r="PL77" s="26"/>
      <c r="PM77" s="26"/>
      <c r="PN77" s="26"/>
      <c r="PO77" s="26"/>
      <c r="PP77" s="22"/>
      <c r="PQ77" s="167"/>
      <c r="PR77" s="30"/>
      <c r="PS77" s="25"/>
      <c r="PT77" s="178"/>
      <c r="PU77" s="26"/>
      <c r="PV77" s="26"/>
      <c r="PW77" s="26"/>
      <c r="PX77" s="26"/>
      <c r="PY77" s="26"/>
      <c r="PZ77" s="26"/>
      <c r="QA77" s="58"/>
      <c r="QB77" s="26"/>
      <c r="QC77" s="26"/>
      <c r="QD77" s="26"/>
      <c r="QE77" s="26"/>
      <c r="QF77" s="22"/>
      <c r="QG77" s="167"/>
      <c r="QH77" s="30"/>
      <c r="QI77" s="25"/>
      <c r="QJ77" s="178"/>
      <c r="QK77" s="26"/>
      <c r="QL77" s="26"/>
      <c r="QM77" s="26"/>
      <c r="QN77" s="26"/>
      <c r="QO77" s="26"/>
      <c r="QP77" s="26"/>
      <c r="QQ77" s="58"/>
      <c r="QR77" s="26"/>
      <c r="QS77" s="26"/>
      <c r="QT77" s="26"/>
      <c r="QU77" s="26"/>
      <c r="QV77" s="22"/>
      <c r="QW77" s="167"/>
      <c r="QX77" s="30"/>
      <c r="QY77" s="25"/>
      <c r="QZ77" s="178"/>
      <c r="RA77" s="26"/>
      <c r="RB77" s="26"/>
      <c r="RC77" s="26"/>
      <c r="RD77" s="26"/>
      <c r="RE77" s="26"/>
      <c r="RF77" s="26"/>
      <c r="RG77" s="58"/>
      <c r="RH77" s="26"/>
      <c r="RI77" s="26"/>
      <c r="RJ77" s="26"/>
      <c r="RK77" s="26"/>
      <c r="RL77" s="22"/>
      <c r="RM77" s="167"/>
      <c r="RN77" s="30"/>
      <c r="RO77" s="25"/>
      <c r="RP77" s="178"/>
      <c r="RQ77" s="26"/>
      <c r="RR77" s="26"/>
      <c r="RS77" s="26"/>
      <c r="RT77" s="26"/>
      <c r="RU77" s="26"/>
      <c r="RV77" s="26"/>
      <c r="RW77" s="58"/>
      <c r="RX77" s="26"/>
      <c r="RY77" s="26"/>
      <c r="RZ77" s="26"/>
      <c r="SA77" s="26"/>
      <c r="SB77" s="22"/>
      <c r="SC77" s="167"/>
      <c r="SD77" s="30"/>
      <c r="SE77" s="25"/>
      <c r="SF77" s="178"/>
      <c r="SG77" s="26"/>
      <c r="SH77" s="26"/>
      <c r="SI77" s="26"/>
      <c r="SJ77" s="26"/>
      <c r="SK77" s="26"/>
      <c r="SL77" s="26"/>
      <c r="SM77" s="58"/>
      <c r="SN77" s="26"/>
      <c r="SO77" s="26"/>
      <c r="SP77" s="26"/>
      <c r="SQ77" s="26"/>
      <c r="SR77" s="22"/>
      <c r="SS77" s="167"/>
      <c r="ST77" s="30"/>
      <c r="SU77" s="25"/>
      <c r="SV77" s="178"/>
      <c r="SW77" s="26"/>
      <c r="SX77" s="26"/>
      <c r="SY77" s="26"/>
      <c r="SZ77" s="26"/>
      <c r="TA77" s="26"/>
      <c r="TB77" s="26"/>
      <c r="TC77" s="58"/>
      <c r="TD77" s="26"/>
      <c r="TE77" s="26"/>
      <c r="TF77" s="26"/>
      <c r="TG77" s="26"/>
      <c r="TH77" s="22"/>
      <c r="TI77" s="167"/>
      <c r="TJ77" s="30"/>
      <c r="TK77" s="25"/>
      <c r="TL77" s="178"/>
      <c r="TM77" s="26"/>
      <c r="TN77" s="26"/>
      <c r="TO77" s="26"/>
      <c r="TP77" s="26"/>
      <c r="TQ77" s="26"/>
      <c r="TR77" s="26"/>
      <c r="TS77" s="58"/>
      <c r="TT77" s="26"/>
      <c r="TU77" s="26"/>
      <c r="TV77" s="26"/>
      <c r="TW77" s="26"/>
      <c r="TX77" s="22"/>
      <c r="TY77" s="167"/>
      <c r="TZ77" s="30"/>
      <c r="UA77" s="25"/>
      <c r="UB77" s="178"/>
      <c r="UC77" s="26"/>
      <c r="UD77" s="26"/>
      <c r="UE77" s="26"/>
      <c r="UF77" s="26"/>
      <c r="UG77" s="26"/>
      <c r="UH77" s="26"/>
      <c r="UI77" s="58"/>
      <c r="UJ77" s="26"/>
      <c r="UK77" s="26"/>
      <c r="UL77" s="26"/>
      <c r="UM77" s="26"/>
      <c r="UN77" s="22"/>
      <c r="UO77" s="167"/>
      <c r="UP77" s="30"/>
      <c r="UQ77" s="25"/>
      <c r="UR77" s="178"/>
      <c r="US77" s="26"/>
      <c r="UT77" s="26"/>
      <c r="UU77" s="26"/>
      <c r="UV77" s="26"/>
      <c r="UW77" s="26"/>
      <c r="UX77" s="26"/>
      <c r="UY77" s="58"/>
      <c r="UZ77" s="26"/>
      <c r="VA77" s="26"/>
      <c r="VB77" s="26"/>
      <c r="VC77" s="26"/>
      <c r="VD77" s="22"/>
      <c r="VE77" s="167"/>
      <c r="VF77" s="30"/>
      <c r="VG77" s="25"/>
      <c r="VH77" s="178"/>
      <c r="VI77" s="26"/>
      <c r="VJ77" s="26"/>
      <c r="VK77" s="26"/>
      <c r="VL77" s="26"/>
      <c r="VM77" s="26"/>
      <c r="VN77" s="26"/>
      <c r="VO77" s="58"/>
      <c r="VP77" s="26"/>
      <c r="VQ77" s="26"/>
      <c r="VR77" s="26"/>
      <c r="VS77" s="26"/>
      <c r="VT77" s="22"/>
      <c r="VU77" s="167"/>
      <c r="VV77" s="30"/>
      <c r="VW77" s="25"/>
      <c r="VX77" s="178"/>
      <c r="VY77" s="26"/>
      <c r="VZ77" s="26"/>
      <c r="WA77" s="26"/>
      <c r="WB77" s="26"/>
      <c r="WC77" s="26"/>
      <c r="WD77" s="26"/>
      <c r="WE77" s="58"/>
      <c r="WF77" s="26"/>
      <c r="WG77" s="26"/>
      <c r="WH77" s="26"/>
      <c r="WI77" s="26"/>
      <c r="WJ77" s="22"/>
      <c r="WK77" s="167"/>
      <c r="WL77" s="30"/>
      <c r="WM77" s="25"/>
      <c r="WN77" s="178"/>
      <c r="WO77" s="26"/>
      <c r="WP77" s="26"/>
      <c r="WQ77" s="26"/>
      <c r="WR77" s="26"/>
      <c r="WS77" s="26"/>
      <c r="WT77" s="26"/>
      <c r="WU77" s="58"/>
      <c r="WV77" s="26"/>
      <c r="WW77" s="26"/>
      <c r="WX77" s="26"/>
      <c r="WY77" s="26"/>
      <c r="WZ77" s="22"/>
      <c r="XA77" s="167"/>
      <c r="XB77" s="30"/>
      <c r="XC77" s="25"/>
      <c r="XD77" s="178"/>
      <c r="XE77" s="26"/>
      <c r="XF77" s="26"/>
      <c r="XG77" s="26"/>
      <c r="XH77" s="26"/>
      <c r="XI77" s="26"/>
      <c r="XJ77" s="26"/>
      <c r="XK77" s="58"/>
      <c r="XL77" s="26"/>
      <c r="XM77" s="26"/>
      <c r="XN77" s="26"/>
      <c r="XO77" s="26"/>
      <c r="XP77" s="22"/>
      <c r="XQ77" s="167"/>
      <c r="XR77" s="30"/>
      <c r="XS77" s="25"/>
      <c r="XT77" s="178"/>
      <c r="XU77" s="26"/>
      <c r="XV77" s="26"/>
      <c r="XW77" s="26"/>
      <c r="XX77" s="26"/>
      <c r="XY77" s="26"/>
      <c r="XZ77" s="26"/>
      <c r="YA77" s="58"/>
      <c r="YB77" s="26"/>
      <c r="YC77" s="26"/>
      <c r="YD77" s="26"/>
      <c r="YE77" s="26"/>
      <c r="YF77" s="22"/>
      <c r="YG77" s="167"/>
      <c r="YH77" s="30"/>
      <c r="YI77" s="25"/>
      <c r="YJ77" s="178"/>
      <c r="YK77" s="26"/>
      <c r="YL77" s="26"/>
      <c r="YM77" s="26"/>
      <c r="YN77" s="26"/>
      <c r="YO77" s="26"/>
      <c r="YP77" s="26"/>
      <c r="YQ77" s="58"/>
      <c r="YR77" s="26"/>
      <c r="YS77" s="26"/>
      <c r="YT77" s="26"/>
      <c r="YU77" s="26"/>
      <c r="YV77" s="22"/>
      <c r="YW77" s="167"/>
      <c r="YX77" s="30"/>
      <c r="YY77" s="25"/>
      <c r="YZ77" s="178"/>
      <c r="ZA77" s="26"/>
      <c r="ZB77" s="26"/>
      <c r="ZC77" s="26"/>
      <c r="ZD77" s="26"/>
      <c r="ZE77" s="26"/>
      <c r="ZF77" s="26"/>
      <c r="ZG77" s="58"/>
      <c r="ZH77" s="26"/>
      <c r="ZI77" s="26"/>
      <c r="ZJ77" s="26"/>
      <c r="ZK77" s="26"/>
      <c r="ZL77" s="22"/>
      <c r="ZM77" s="167"/>
      <c r="ZN77" s="30"/>
      <c r="ZO77" s="25"/>
      <c r="ZP77" s="178"/>
      <c r="ZQ77" s="26"/>
      <c r="ZR77" s="26"/>
      <c r="ZS77" s="26"/>
      <c r="ZT77" s="26"/>
      <c r="ZU77" s="26"/>
      <c r="ZV77" s="26"/>
      <c r="ZW77" s="58"/>
      <c r="ZX77" s="26"/>
      <c r="ZY77" s="26"/>
      <c r="ZZ77" s="26"/>
      <c r="AAA77" s="26"/>
      <c r="AAB77" s="22"/>
      <c r="AAC77" s="167"/>
      <c r="AAD77" s="30"/>
      <c r="AAE77" s="25"/>
      <c r="AAF77" s="178"/>
      <c r="AAG77" s="26"/>
      <c r="AAH77" s="26"/>
      <c r="AAI77" s="26"/>
      <c r="AAJ77" s="26"/>
      <c r="AAK77" s="26"/>
      <c r="AAL77" s="26"/>
      <c r="AAM77" s="58"/>
      <c r="AAN77" s="26"/>
      <c r="AAO77" s="26"/>
      <c r="AAP77" s="26"/>
      <c r="AAQ77" s="26"/>
      <c r="AAR77" s="22"/>
      <c r="AAS77" s="167"/>
      <c r="AAT77" s="30"/>
      <c r="AAU77" s="25"/>
      <c r="AAV77" s="178"/>
      <c r="AAW77" s="26"/>
      <c r="AAX77" s="26"/>
      <c r="AAY77" s="26"/>
      <c r="AAZ77" s="26"/>
      <c r="ABA77" s="26"/>
      <c r="ABB77" s="26"/>
      <c r="ABC77" s="58"/>
      <c r="ABD77" s="26"/>
      <c r="ABE77" s="26"/>
      <c r="ABF77" s="26"/>
      <c r="ABG77" s="26"/>
      <c r="ABH77" s="22"/>
      <c r="ABI77" s="167"/>
      <c r="ABJ77" s="30"/>
      <c r="ABK77" s="25"/>
      <c r="ABL77" s="178"/>
      <c r="ABM77" s="26"/>
      <c r="ABN77" s="26"/>
      <c r="ABO77" s="26"/>
      <c r="ABP77" s="26"/>
      <c r="ABQ77" s="26"/>
      <c r="ABR77" s="26"/>
      <c r="ABS77" s="58"/>
      <c r="ABT77" s="26"/>
      <c r="ABU77" s="26"/>
      <c r="ABV77" s="26"/>
      <c r="ABW77" s="26"/>
      <c r="ABX77" s="22"/>
      <c r="ABY77" s="167"/>
      <c r="ABZ77" s="30"/>
      <c r="ACA77" s="25"/>
      <c r="ACB77" s="178"/>
      <c r="ACC77" s="26"/>
      <c r="ACD77" s="26"/>
      <c r="ACE77" s="26"/>
      <c r="ACF77" s="26"/>
      <c r="ACG77" s="26"/>
      <c r="ACH77" s="26"/>
      <c r="ACI77" s="58"/>
      <c r="ACJ77" s="26"/>
      <c r="ACK77" s="26"/>
      <c r="ACL77" s="26"/>
      <c r="ACM77" s="26"/>
      <c r="ACN77" s="22"/>
      <c r="ACO77" s="167"/>
      <c r="ACP77" s="30"/>
      <c r="ACQ77" s="25"/>
      <c r="ACR77" s="178"/>
      <c r="ACS77" s="26"/>
      <c r="ACT77" s="26"/>
      <c r="ACU77" s="26"/>
      <c r="ACV77" s="26"/>
      <c r="ACW77" s="26"/>
      <c r="ACX77" s="26"/>
      <c r="ACY77" s="58"/>
      <c r="ACZ77" s="26"/>
      <c r="ADA77" s="26"/>
      <c r="ADB77" s="26"/>
      <c r="ADC77" s="26"/>
      <c r="ADD77" s="22"/>
      <c r="ADE77" s="167"/>
      <c r="ADF77" s="30"/>
      <c r="ADG77" s="25"/>
      <c r="ADH77" s="178"/>
      <c r="ADI77" s="26"/>
      <c r="ADJ77" s="26"/>
      <c r="ADK77" s="26"/>
      <c r="ADL77" s="26"/>
      <c r="ADM77" s="26"/>
      <c r="ADN77" s="26"/>
      <c r="ADO77" s="58"/>
      <c r="ADP77" s="26"/>
      <c r="ADQ77" s="26"/>
      <c r="ADR77" s="26"/>
      <c r="ADS77" s="26"/>
      <c r="ADT77" s="22"/>
      <c r="ADU77" s="167"/>
      <c r="ADV77" s="30"/>
      <c r="ADW77" s="25"/>
      <c r="ADX77" s="178"/>
      <c r="ADY77" s="26"/>
      <c r="ADZ77" s="26"/>
      <c r="AEA77" s="26"/>
      <c r="AEB77" s="26"/>
      <c r="AEC77" s="26"/>
      <c r="AED77" s="26"/>
      <c r="AEE77" s="58"/>
      <c r="AEF77" s="26"/>
      <c r="AEG77" s="26"/>
      <c r="AEH77" s="26"/>
      <c r="AEI77" s="26"/>
      <c r="AEJ77" s="22"/>
      <c r="AEK77" s="167"/>
      <c r="AEL77" s="30"/>
      <c r="AEM77" s="25"/>
      <c r="AEN77" s="178"/>
      <c r="AEO77" s="26"/>
      <c r="AEP77" s="26"/>
      <c r="AEQ77" s="26"/>
      <c r="AER77" s="26"/>
      <c r="AES77" s="26"/>
      <c r="AET77" s="26"/>
      <c r="AEU77" s="58"/>
      <c r="AEV77" s="26"/>
      <c r="AEW77" s="26"/>
      <c r="AEX77" s="26"/>
      <c r="AEY77" s="26"/>
      <c r="AEZ77" s="22"/>
      <c r="AFA77" s="167"/>
      <c r="AFB77" s="30"/>
      <c r="AFC77" s="25"/>
      <c r="AFD77" s="178"/>
      <c r="AFE77" s="26"/>
      <c r="AFF77" s="26"/>
      <c r="AFG77" s="26"/>
      <c r="AFH77" s="26"/>
      <c r="AFI77" s="26"/>
      <c r="AFJ77" s="26"/>
      <c r="AFK77" s="58"/>
      <c r="AFL77" s="26"/>
      <c r="AFM77" s="26"/>
      <c r="AFN77" s="26"/>
      <c r="AFO77" s="26"/>
      <c r="AFP77" s="22"/>
      <c r="AFQ77" s="167"/>
      <c r="AFR77" s="30"/>
      <c r="AFS77" s="25"/>
      <c r="AFT77" s="178"/>
      <c r="AFU77" s="26"/>
      <c r="AFV77" s="26"/>
      <c r="AFW77" s="26"/>
      <c r="AFX77" s="26"/>
      <c r="AFY77" s="26"/>
      <c r="AFZ77" s="26"/>
      <c r="AGA77" s="58"/>
      <c r="AGB77" s="26"/>
      <c r="AGC77" s="26"/>
      <c r="AGD77" s="26"/>
      <c r="AGE77" s="26"/>
      <c r="AGF77" s="22"/>
      <c r="AGG77" s="167"/>
      <c r="AGH77" s="30"/>
      <c r="AGI77" s="25"/>
      <c r="AGJ77" s="178"/>
      <c r="AGK77" s="26"/>
      <c r="AGL77" s="26"/>
      <c r="AGM77" s="26"/>
      <c r="AGN77" s="26"/>
      <c r="AGO77" s="26"/>
      <c r="AGP77" s="26"/>
      <c r="AGQ77" s="58"/>
      <c r="AGR77" s="26"/>
      <c r="AGS77" s="26"/>
      <c r="AGT77" s="26"/>
      <c r="AGU77" s="26"/>
      <c r="AGV77" s="22"/>
      <c r="AGW77" s="167"/>
      <c r="AGX77" s="30"/>
      <c r="AGY77" s="25"/>
      <c r="AGZ77" s="178"/>
      <c r="AHA77" s="26"/>
      <c r="AHB77" s="26"/>
      <c r="AHC77" s="26"/>
      <c r="AHD77" s="26"/>
      <c r="AHE77" s="26"/>
      <c r="AHF77" s="26"/>
      <c r="AHG77" s="58"/>
      <c r="AHH77" s="26"/>
      <c r="AHI77" s="26"/>
      <c r="AHJ77" s="26"/>
      <c r="AHK77" s="26"/>
      <c r="AHL77" s="22"/>
      <c r="AHM77" s="167"/>
      <c r="AHN77" s="30"/>
      <c r="AHO77" s="25"/>
      <c r="AHP77" s="178"/>
      <c r="AHQ77" s="26"/>
      <c r="AHR77" s="26"/>
      <c r="AHS77" s="26"/>
      <c r="AHT77" s="26"/>
      <c r="AHU77" s="26"/>
      <c r="AHV77" s="26"/>
      <c r="AHW77" s="58"/>
      <c r="AHX77" s="26"/>
      <c r="AHY77" s="26"/>
      <c r="AHZ77" s="26"/>
      <c r="AIA77" s="26"/>
      <c r="AIB77" s="22"/>
      <c r="AIC77" s="167"/>
      <c r="AID77" s="30"/>
      <c r="AIE77" s="25"/>
      <c r="AIF77" s="178"/>
      <c r="AIG77" s="26"/>
      <c r="AIH77" s="26"/>
      <c r="AII77" s="26"/>
      <c r="AIJ77" s="26"/>
      <c r="AIK77" s="26"/>
      <c r="AIL77" s="26"/>
      <c r="AIM77" s="58"/>
      <c r="AIN77" s="26"/>
      <c r="AIO77" s="26"/>
      <c r="AIP77" s="26"/>
      <c r="AIQ77" s="26"/>
      <c r="AIR77" s="22"/>
      <c r="AIS77" s="167"/>
      <c r="AIT77" s="30"/>
      <c r="AIU77" s="25"/>
      <c r="AIV77" s="178"/>
      <c r="AIW77" s="26"/>
      <c r="AIX77" s="26"/>
      <c r="AIY77" s="26"/>
      <c r="AIZ77" s="26"/>
      <c r="AJA77" s="26"/>
      <c r="AJB77" s="26"/>
      <c r="AJC77" s="58"/>
      <c r="AJD77" s="26"/>
      <c r="AJE77" s="26"/>
      <c r="AJF77" s="26"/>
      <c r="AJG77" s="26"/>
      <c r="AJH77" s="22"/>
      <c r="AJI77" s="167"/>
      <c r="AJJ77" s="30"/>
      <c r="AJK77" s="25"/>
      <c r="AJL77" s="178"/>
      <c r="AJM77" s="26"/>
      <c r="AJN77" s="26"/>
      <c r="AJO77" s="26"/>
      <c r="AJP77" s="26"/>
      <c r="AJQ77" s="26"/>
      <c r="AJR77" s="26"/>
      <c r="AJS77" s="58"/>
      <c r="AJT77" s="26"/>
      <c r="AJU77" s="26"/>
      <c r="AJV77" s="26"/>
      <c r="AJW77" s="26"/>
      <c r="AJX77" s="22"/>
      <c r="AJY77" s="167"/>
      <c r="AJZ77" s="30"/>
      <c r="AKA77" s="25"/>
      <c r="AKB77" s="178"/>
      <c r="AKC77" s="26"/>
      <c r="AKD77" s="26"/>
      <c r="AKE77" s="26"/>
      <c r="AKF77" s="26"/>
      <c r="AKG77" s="26"/>
      <c r="AKH77" s="26"/>
      <c r="AKI77" s="58"/>
      <c r="AKJ77" s="26"/>
      <c r="AKK77" s="26"/>
      <c r="AKL77" s="26"/>
      <c r="AKM77" s="26"/>
      <c r="AKN77" s="22"/>
      <c r="AKO77" s="167"/>
      <c r="AKP77" s="30"/>
      <c r="AKQ77" s="25"/>
      <c r="AKR77" s="178"/>
      <c r="AKS77" s="26"/>
      <c r="AKT77" s="26"/>
      <c r="AKU77" s="26"/>
      <c r="AKV77" s="26"/>
      <c r="AKW77" s="26"/>
      <c r="AKX77" s="26"/>
      <c r="AKY77" s="58"/>
      <c r="AKZ77" s="26"/>
      <c r="ALA77" s="26"/>
      <c r="ALB77" s="26"/>
      <c r="ALC77" s="26"/>
      <c r="ALD77" s="22"/>
      <c r="ALE77" s="167"/>
      <c r="ALF77" s="30"/>
      <c r="ALG77" s="25"/>
      <c r="ALH77" s="178"/>
      <c r="ALI77" s="26"/>
      <c r="ALJ77" s="26"/>
      <c r="ALK77" s="26"/>
      <c r="ALL77" s="26"/>
      <c r="ALM77" s="26"/>
      <c r="ALN77" s="26"/>
      <c r="ALO77" s="58"/>
      <c r="ALP77" s="26"/>
      <c r="ALQ77" s="26"/>
      <c r="ALR77" s="26"/>
      <c r="ALS77" s="26"/>
      <c r="ALT77" s="22"/>
      <c r="ALU77" s="167"/>
      <c r="ALV77" s="30"/>
      <c r="ALW77" s="25"/>
      <c r="ALX77" s="178"/>
      <c r="ALY77" s="26"/>
      <c r="ALZ77" s="26"/>
      <c r="AMA77" s="26"/>
      <c r="AMB77" s="26"/>
      <c r="AMC77" s="26"/>
      <c r="AMD77" s="26"/>
      <c r="AME77" s="58"/>
      <c r="AMF77" s="26"/>
      <c r="AMG77" s="26"/>
      <c r="AMH77" s="26"/>
      <c r="AMI77" s="26"/>
      <c r="AMJ77" s="22"/>
      <c r="AMK77" s="167"/>
      <c r="AML77" s="30"/>
      <c r="AMM77" s="25"/>
      <c r="AMN77" s="178"/>
      <c r="AMO77" s="26"/>
      <c r="AMP77" s="26"/>
      <c r="AMQ77" s="26"/>
      <c r="AMR77" s="26"/>
      <c r="AMS77" s="26"/>
      <c r="AMT77" s="26"/>
      <c r="AMU77" s="58"/>
      <c r="AMV77" s="26"/>
      <c r="AMW77" s="26"/>
      <c r="AMX77" s="26"/>
      <c r="AMY77" s="26"/>
      <c r="AMZ77" s="22"/>
      <c r="ANA77" s="167"/>
      <c r="ANB77" s="30"/>
      <c r="ANC77" s="25"/>
      <c r="AND77" s="178"/>
      <c r="ANE77" s="26"/>
      <c r="ANF77" s="26"/>
      <c r="ANG77" s="26"/>
      <c r="ANH77" s="26"/>
      <c r="ANI77" s="26"/>
      <c r="ANJ77" s="26"/>
      <c r="ANK77" s="58"/>
      <c r="ANL77" s="26"/>
      <c r="ANM77" s="26"/>
      <c r="ANN77" s="26"/>
      <c r="ANO77" s="26"/>
      <c r="ANP77" s="22"/>
      <c r="ANQ77" s="167"/>
      <c r="ANR77" s="30"/>
      <c r="ANS77" s="25"/>
      <c r="ANT77" s="178"/>
      <c r="ANU77" s="26"/>
      <c r="ANV77" s="26"/>
      <c r="ANW77" s="26"/>
      <c r="ANX77" s="26"/>
      <c r="ANY77" s="26"/>
      <c r="ANZ77" s="26"/>
      <c r="AOA77" s="58"/>
      <c r="AOB77" s="26"/>
      <c r="AOC77" s="26"/>
      <c r="AOD77" s="26"/>
      <c r="AOE77" s="26"/>
      <c r="AOF77" s="22"/>
      <c r="AOG77" s="167"/>
      <c r="AOH77" s="30"/>
      <c r="AOI77" s="25"/>
      <c r="AOJ77" s="178"/>
      <c r="AOK77" s="26"/>
      <c r="AOL77" s="26"/>
      <c r="AOM77" s="26"/>
      <c r="AON77" s="26"/>
      <c r="AOO77" s="26"/>
      <c r="AOP77" s="26"/>
      <c r="AOQ77" s="58"/>
      <c r="AOR77" s="26"/>
      <c r="AOS77" s="26"/>
      <c r="AOT77" s="26"/>
      <c r="AOU77" s="26"/>
      <c r="AOV77" s="22"/>
      <c r="AOW77" s="167"/>
      <c r="AOX77" s="30"/>
      <c r="AOY77" s="25"/>
      <c r="AOZ77" s="178"/>
      <c r="APA77" s="26"/>
      <c r="APB77" s="26"/>
      <c r="APC77" s="26"/>
      <c r="APD77" s="26"/>
      <c r="APE77" s="26"/>
      <c r="APF77" s="26"/>
      <c r="APG77" s="58"/>
      <c r="APH77" s="26"/>
      <c r="API77" s="26"/>
      <c r="APJ77" s="26"/>
      <c r="APK77" s="26"/>
      <c r="APL77" s="22"/>
      <c r="APM77" s="167"/>
      <c r="APN77" s="30"/>
      <c r="APO77" s="25"/>
      <c r="APP77" s="178"/>
      <c r="APQ77" s="26"/>
      <c r="APR77" s="26"/>
      <c r="APS77" s="26"/>
      <c r="APT77" s="26"/>
      <c r="APU77" s="26"/>
      <c r="APV77" s="26"/>
      <c r="APW77" s="58"/>
      <c r="APX77" s="26"/>
      <c r="APY77" s="26"/>
      <c r="APZ77" s="26"/>
      <c r="AQA77" s="26"/>
      <c r="AQB77" s="22"/>
      <c r="AQC77" s="167"/>
      <c r="AQD77" s="30"/>
      <c r="AQE77" s="25"/>
      <c r="AQF77" s="178"/>
      <c r="AQG77" s="26"/>
      <c r="AQH77" s="26"/>
      <c r="AQI77" s="26"/>
      <c r="AQJ77" s="26"/>
      <c r="AQK77" s="26"/>
      <c r="AQL77" s="26"/>
      <c r="AQM77" s="58"/>
      <c r="AQN77" s="26"/>
      <c r="AQO77" s="26"/>
      <c r="AQP77" s="26"/>
      <c r="AQQ77" s="26"/>
      <c r="AQR77" s="22"/>
      <c r="AQS77" s="167"/>
      <c r="AQT77" s="30"/>
      <c r="AQU77" s="25"/>
      <c r="AQV77" s="178"/>
      <c r="AQW77" s="26"/>
      <c r="AQX77" s="26"/>
      <c r="AQY77" s="26"/>
      <c r="AQZ77" s="26"/>
      <c r="ARA77" s="26"/>
      <c r="ARB77" s="26"/>
      <c r="ARC77" s="58"/>
      <c r="ARD77" s="26"/>
      <c r="ARE77" s="26"/>
      <c r="ARF77" s="26"/>
      <c r="ARG77" s="26"/>
      <c r="ARH77" s="22"/>
      <c r="ARI77" s="167"/>
      <c r="ARJ77" s="30"/>
      <c r="ARK77" s="25"/>
      <c r="ARL77" s="178"/>
      <c r="ARM77" s="26"/>
      <c r="ARN77" s="26"/>
      <c r="ARO77" s="26"/>
      <c r="ARP77" s="26"/>
      <c r="ARQ77" s="26"/>
      <c r="ARR77" s="26"/>
      <c r="ARS77" s="58"/>
      <c r="ART77" s="26"/>
      <c r="ARU77" s="26"/>
      <c r="ARV77" s="26"/>
      <c r="ARW77" s="26"/>
      <c r="ARX77" s="22"/>
      <c r="ARY77" s="167"/>
      <c r="ARZ77" s="30"/>
      <c r="ASA77" s="25"/>
      <c r="ASB77" s="178"/>
      <c r="ASC77" s="26"/>
      <c r="ASD77" s="26"/>
      <c r="ASE77" s="26"/>
      <c r="ASF77" s="26"/>
      <c r="ASG77" s="26"/>
      <c r="ASH77" s="26"/>
      <c r="ASI77" s="58"/>
      <c r="ASJ77" s="26"/>
      <c r="ASK77" s="26"/>
      <c r="ASL77" s="26"/>
      <c r="ASM77" s="26"/>
      <c r="ASN77" s="22"/>
      <c r="ASO77" s="167"/>
      <c r="ASP77" s="30"/>
      <c r="ASQ77" s="25"/>
      <c r="ASR77" s="178"/>
      <c r="ASS77" s="26"/>
      <c r="AST77" s="26"/>
      <c r="ASU77" s="26"/>
      <c r="ASV77" s="26"/>
      <c r="ASW77" s="26"/>
      <c r="ASX77" s="26"/>
      <c r="ASY77" s="58"/>
      <c r="ASZ77" s="26"/>
      <c r="ATA77" s="26"/>
      <c r="ATB77" s="26"/>
      <c r="ATC77" s="26"/>
      <c r="ATD77" s="22"/>
      <c r="ATE77" s="167"/>
      <c r="ATF77" s="30"/>
      <c r="ATG77" s="25"/>
      <c r="ATH77" s="178"/>
      <c r="ATI77" s="26"/>
      <c r="ATJ77" s="26"/>
      <c r="ATK77" s="26"/>
      <c r="ATL77" s="26"/>
      <c r="ATM77" s="26"/>
      <c r="ATN77" s="26"/>
      <c r="ATO77" s="58"/>
      <c r="ATP77" s="26"/>
      <c r="ATQ77" s="26"/>
      <c r="ATR77" s="26"/>
      <c r="ATS77" s="26"/>
      <c r="ATT77" s="22"/>
      <c r="ATU77" s="167"/>
      <c r="ATV77" s="30"/>
      <c r="ATW77" s="25"/>
      <c r="ATX77" s="178"/>
      <c r="ATY77" s="26"/>
      <c r="ATZ77" s="26"/>
      <c r="AUA77" s="26"/>
      <c r="AUB77" s="26"/>
      <c r="AUC77" s="26"/>
      <c r="AUD77" s="26"/>
      <c r="AUE77" s="58"/>
      <c r="AUF77" s="26"/>
      <c r="AUG77" s="26"/>
      <c r="AUH77" s="26"/>
      <c r="AUI77" s="26"/>
      <c r="AUJ77" s="22"/>
      <c r="AUK77" s="167"/>
      <c r="AUL77" s="30"/>
      <c r="AUM77" s="25"/>
      <c r="AUN77" s="178"/>
      <c r="AUO77" s="26"/>
      <c r="AUP77" s="26"/>
      <c r="AUQ77" s="26"/>
      <c r="AUR77" s="26"/>
      <c r="AUS77" s="26"/>
      <c r="AUT77" s="26"/>
      <c r="AUU77" s="58"/>
      <c r="AUV77" s="26"/>
      <c r="AUW77" s="26"/>
      <c r="AUX77" s="26"/>
      <c r="AUY77" s="26"/>
      <c r="AUZ77" s="22"/>
      <c r="AVA77" s="167"/>
      <c r="AVB77" s="30"/>
      <c r="AVC77" s="25"/>
      <c r="AVD77" s="178"/>
      <c r="AVE77" s="26"/>
      <c r="AVF77" s="26"/>
      <c r="AVG77" s="26"/>
      <c r="AVH77" s="26"/>
      <c r="AVI77" s="26"/>
      <c r="AVJ77" s="26"/>
      <c r="AVK77" s="58"/>
      <c r="AVL77" s="26"/>
      <c r="AVM77" s="26"/>
      <c r="AVN77" s="26"/>
      <c r="AVO77" s="26"/>
      <c r="AVP77" s="22"/>
      <c r="AVQ77" s="167"/>
      <c r="AVR77" s="30"/>
      <c r="AVS77" s="25"/>
      <c r="AVT77" s="178"/>
      <c r="AVU77" s="26"/>
      <c r="AVV77" s="26"/>
      <c r="AVW77" s="26"/>
      <c r="AVX77" s="26"/>
      <c r="AVY77" s="26"/>
      <c r="AVZ77" s="26"/>
      <c r="AWA77" s="58"/>
      <c r="AWB77" s="26"/>
      <c r="AWC77" s="26"/>
      <c r="AWD77" s="26"/>
      <c r="AWE77" s="26"/>
      <c r="AWF77" s="22"/>
      <c r="AWG77" s="167"/>
      <c r="AWH77" s="30"/>
      <c r="AWI77" s="25"/>
      <c r="AWJ77" s="178"/>
      <c r="AWK77" s="26"/>
      <c r="AWL77" s="26"/>
      <c r="AWM77" s="26"/>
      <c r="AWN77" s="26"/>
      <c r="AWO77" s="26"/>
      <c r="AWP77" s="26"/>
      <c r="AWQ77" s="58"/>
      <c r="AWR77" s="26"/>
      <c r="AWS77" s="26"/>
      <c r="AWT77" s="26"/>
      <c r="AWU77" s="26"/>
      <c r="AWV77" s="22"/>
      <c r="AWW77" s="167"/>
      <c r="AWX77" s="30"/>
      <c r="AWY77" s="25"/>
      <c r="AWZ77" s="178"/>
      <c r="AXA77" s="26"/>
      <c r="AXB77" s="26"/>
      <c r="AXC77" s="26"/>
      <c r="AXD77" s="26"/>
      <c r="AXE77" s="26"/>
      <c r="AXF77" s="26"/>
      <c r="AXG77" s="58"/>
      <c r="AXH77" s="26"/>
      <c r="AXI77" s="26"/>
      <c r="AXJ77" s="26"/>
      <c r="AXK77" s="26"/>
      <c r="AXL77" s="22"/>
      <c r="AXM77" s="167"/>
      <c r="AXN77" s="30"/>
      <c r="AXO77" s="25"/>
      <c r="AXP77" s="178"/>
      <c r="AXQ77" s="26"/>
      <c r="AXR77" s="26"/>
      <c r="AXS77" s="26"/>
      <c r="AXT77" s="26"/>
      <c r="AXU77" s="26"/>
      <c r="AXV77" s="26"/>
      <c r="AXW77" s="58"/>
      <c r="AXX77" s="26"/>
      <c r="AXY77" s="26"/>
      <c r="AXZ77" s="26"/>
      <c r="AYA77" s="26"/>
      <c r="AYB77" s="22"/>
      <c r="AYC77" s="167"/>
      <c r="AYD77" s="30"/>
      <c r="AYE77" s="25"/>
      <c r="AYF77" s="178"/>
      <c r="AYG77" s="26"/>
      <c r="AYH77" s="26"/>
      <c r="AYI77" s="26"/>
      <c r="AYJ77" s="26"/>
      <c r="AYK77" s="26"/>
      <c r="AYL77" s="26"/>
      <c r="AYM77" s="58"/>
      <c r="AYN77" s="26"/>
      <c r="AYO77" s="26"/>
      <c r="AYP77" s="26"/>
      <c r="AYQ77" s="26"/>
      <c r="AYR77" s="22"/>
      <c r="AYS77" s="167"/>
      <c r="AYT77" s="30"/>
      <c r="AYU77" s="25"/>
      <c r="AYV77" s="178"/>
      <c r="AYW77" s="26"/>
      <c r="AYX77" s="26"/>
      <c r="AYY77" s="26"/>
      <c r="AYZ77" s="26"/>
      <c r="AZA77" s="26"/>
      <c r="AZB77" s="26"/>
      <c r="AZC77" s="58"/>
      <c r="AZD77" s="26"/>
      <c r="AZE77" s="26"/>
      <c r="AZF77" s="26"/>
      <c r="AZG77" s="26"/>
      <c r="AZH77" s="22"/>
      <c r="AZI77" s="167"/>
      <c r="AZJ77" s="30"/>
      <c r="AZK77" s="25"/>
      <c r="AZL77" s="178"/>
      <c r="AZM77" s="26"/>
      <c r="AZN77" s="26"/>
      <c r="AZO77" s="26"/>
      <c r="AZP77" s="26"/>
      <c r="AZQ77" s="26"/>
      <c r="AZR77" s="26"/>
      <c r="AZS77" s="58"/>
      <c r="AZT77" s="26"/>
      <c r="AZU77" s="26"/>
      <c r="AZV77" s="26"/>
      <c r="AZW77" s="26"/>
      <c r="AZX77" s="22"/>
      <c r="AZY77" s="167"/>
      <c r="AZZ77" s="30"/>
      <c r="BAA77" s="25"/>
      <c r="BAB77" s="178"/>
      <c r="BAC77" s="26"/>
      <c r="BAD77" s="26"/>
      <c r="BAE77" s="26"/>
      <c r="BAF77" s="26"/>
      <c r="BAG77" s="26"/>
      <c r="BAH77" s="26"/>
      <c r="BAI77" s="58"/>
      <c r="BAJ77" s="26"/>
      <c r="BAK77" s="26"/>
      <c r="BAL77" s="26"/>
      <c r="BAM77" s="26"/>
      <c r="BAN77" s="22"/>
      <c r="BAO77" s="167"/>
      <c r="BAP77" s="30"/>
      <c r="BAQ77" s="25"/>
      <c r="BAR77" s="178"/>
      <c r="BAS77" s="26"/>
      <c r="BAT77" s="26"/>
      <c r="BAU77" s="26"/>
      <c r="BAV77" s="26"/>
      <c r="BAW77" s="26"/>
      <c r="BAX77" s="26"/>
      <c r="BAY77" s="58"/>
      <c r="BAZ77" s="26"/>
      <c r="BBA77" s="26"/>
      <c r="BBB77" s="26"/>
      <c r="BBC77" s="26"/>
      <c r="BBD77" s="22"/>
      <c r="BBE77" s="167"/>
      <c r="BBF77" s="30"/>
      <c r="BBG77" s="25"/>
      <c r="BBH77" s="178"/>
      <c r="BBI77" s="26"/>
      <c r="BBJ77" s="26"/>
      <c r="BBK77" s="26"/>
      <c r="BBL77" s="26"/>
      <c r="BBM77" s="26"/>
      <c r="BBN77" s="26"/>
      <c r="BBO77" s="58"/>
      <c r="BBP77" s="26"/>
      <c r="BBQ77" s="26"/>
      <c r="BBR77" s="26"/>
      <c r="BBS77" s="26"/>
      <c r="BBT77" s="22"/>
      <c r="BBU77" s="167"/>
      <c r="BBV77" s="30"/>
      <c r="BBW77" s="25"/>
      <c r="BBX77" s="178"/>
      <c r="BBY77" s="26"/>
      <c r="BBZ77" s="26"/>
      <c r="BCA77" s="26"/>
      <c r="BCB77" s="26"/>
      <c r="BCC77" s="26"/>
      <c r="BCD77" s="26"/>
      <c r="BCE77" s="58"/>
      <c r="BCF77" s="26"/>
      <c r="BCG77" s="26"/>
      <c r="BCH77" s="26"/>
      <c r="BCI77" s="26"/>
      <c r="BCJ77" s="22"/>
      <c r="BCK77" s="167"/>
      <c r="BCL77" s="30"/>
      <c r="BCM77" s="25"/>
      <c r="BCN77" s="178"/>
      <c r="BCO77" s="26"/>
      <c r="BCP77" s="26"/>
      <c r="BCQ77" s="26"/>
      <c r="BCR77" s="26"/>
      <c r="BCS77" s="26"/>
      <c r="BCT77" s="26"/>
      <c r="BCU77" s="58"/>
      <c r="BCV77" s="26"/>
      <c r="BCW77" s="26"/>
      <c r="BCX77" s="26"/>
      <c r="BCY77" s="26"/>
      <c r="BCZ77" s="22"/>
      <c r="BDA77" s="167"/>
      <c r="BDB77" s="30"/>
      <c r="BDC77" s="25"/>
      <c r="BDD77" s="178"/>
      <c r="BDE77" s="26"/>
      <c r="BDF77" s="26"/>
      <c r="BDG77" s="26"/>
      <c r="BDH77" s="26"/>
      <c r="BDI77" s="26"/>
      <c r="BDJ77" s="26"/>
      <c r="BDK77" s="58"/>
      <c r="BDL77" s="26"/>
      <c r="BDM77" s="26"/>
      <c r="BDN77" s="26"/>
      <c r="BDO77" s="26"/>
      <c r="BDP77" s="22"/>
      <c r="BDQ77" s="167"/>
      <c r="BDR77" s="30"/>
      <c r="BDS77" s="25"/>
      <c r="BDT77" s="178"/>
      <c r="BDU77" s="26"/>
      <c r="BDV77" s="26"/>
      <c r="BDW77" s="26"/>
      <c r="BDX77" s="26"/>
      <c r="BDY77" s="26"/>
      <c r="BDZ77" s="26"/>
      <c r="BEA77" s="58"/>
      <c r="BEB77" s="26"/>
      <c r="BEC77" s="26"/>
      <c r="BED77" s="26"/>
      <c r="BEE77" s="26"/>
      <c r="BEF77" s="22"/>
      <c r="BEG77" s="167"/>
      <c r="BEH77" s="30"/>
      <c r="BEI77" s="25"/>
      <c r="BEJ77" s="178"/>
      <c r="BEK77" s="26"/>
      <c r="BEL77" s="26"/>
      <c r="BEM77" s="26"/>
      <c r="BEN77" s="26"/>
      <c r="BEO77" s="26"/>
      <c r="BEP77" s="26"/>
      <c r="BEQ77" s="58"/>
      <c r="BER77" s="26"/>
      <c r="BES77" s="26"/>
      <c r="BET77" s="26"/>
      <c r="BEU77" s="26"/>
      <c r="BEV77" s="22"/>
      <c r="BEW77" s="167"/>
      <c r="BEX77" s="30"/>
      <c r="BEY77" s="25"/>
      <c r="BEZ77" s="178"/>
      <c r="BFA77" s="26"/>
      <c r="BFB77" s="26"/>
      <c r="BFC77" s="26"/>
      <c r="BFD77" s="26"/>
      <c r="BFE77" s="26"/>
      <c r="BFF77" s="26"/>
      <c r="BFG77" s="58"/>
      <c r="BFH77" s="26"/>
      <c r="BFI77" s="26"/>
      <c r="BFJ77" s="26"/>
      <c r="BFK77" s="26"/>
      <c r="BFL77" s="22"/>
      <c r="BFM77" s="167"/>
      <c r="BFN77" s="30"/>
      <c r="BFO77" s="25"/>
      <c r="BFP77" s="178"/>
      <c r="BFQ77" s="26"/>
      <c r="BFR77" s="26"/>
      <c r="BFS77" s="26"/>
      <c r="BFT77" s="26"/>
      <c r="BFU77" s="26"/>
      <c r="BFV77" s="26"/>
      <c r="BFW77" s="58"/>
      <c r="BFX77" s="26"/>
      <c r="BFY77" s="26"/>
      <c r="BFZ77" s="26"/>
      <c r="BGA77" s="26"/>
      <c r="BGB77" s="22"/>
      <c r="BGC77" s="167"/>
      <c r="BGD77" s="30"/>
      <c r="BGE77" s="25"/>
      <c r="BGF77" s="178"/>
      <c r="BGG77" s="26"/>
      <c r="BGH77" s="26"/>
      <c r="BGI77" s="26"/>
      <c r="BGJ77" s="26"/>
      <c r="BGK77" s="26"/>
      <c r="BGL77" s="26"/>
      <c r="BGM77" s="58"/>
      <c r="BGN77" s="26"/>
      <c r="BGO77" s="26"/>
      <c r="BGP77" s="26"/>
      <c r="BGQ77" s="26"/>
      <c r="BGR77" s="22"/>
      <c r="BGS77" s="167"/>
      <c r="BGT77" s="30"/>
      <c r="BGU77" s="25"/>
      <c r="BGV77" s="178"/>
      <c r="BGW77" s="26"/>
      <c r="BGX77" s="26"/>
      <c r="BGY77" s="26"/>
      <c r="BGZ77" s="26"/>
      <c r="BHA77" s="26"/>
      <c r="BHB77" s="26"/>
      <c r="BHC77" s="58"/>
      <c r="BHD77" s="26"/>
      <c r="BHE77" s="26"/>
      <c r="BHF77" s="26"/>
      <c r="BHG77" s="26"/>
      <c r="BHH77" s="22"/>
      <c r="BHI77" s="167"/>
      <c r="BHJ77" s="30"/>
      <c r="BHK77" s="25"/>
      <c r="BHL77" s="178"/>
      <c r="BHM77" s="26"/>
      <c r="BHN77" s="26"/>
      <c r="BHO77" s="26"/>
      <c r="BHP77" s="26"/>
      <c r="BHQ77" s="26"/>
      <c r="BHR77" s="26"/>
      <c r="BHS77" s="58"/>
      <c r="BHT77" s="26"/>
      <c r="BHU77" s="26"/>
      <c r="BHV77" s="26"/>
      <c r="BHW77" s="26"/>
      <c r="BHX77" s="22"/>
      <c r="BHY77" s="167"/>
      <c r="BHZ77" s="30"/>
      <c r="BIA77" s="25"/>
      <c r="BIB77" s="178"/>
      <c r="BIC77" s="26"/>
      <c r="BID77" s="26"/>
      <c r="BIE77" s="26"/>
      <c r="BIF77" s="26"/>
      <c r="BIG77" s="26"/>
      <c r="BIH77" s="26"/>
      <c r="BII77" s="58"/>
      <c r="BIJ77" s="26"/>
      <c r="BIK77" s="26"/>
      <c r="BIL77" s="26"/>
      <c r="BIM77" s="26"/>
      <c r="BIN77" s="22"/>
      <c r="BIO77" s="167"/>
      <c r="BIP77" s="30"/>
      <c r="BIQ77" s="25"/>
      <c r="BIR77" s="178"/>
      <c r="BIS77" s="26"/>
      <c r="BIT77" s="26"/>
      <c r="BIU77" s="26"/>
      <c r="BIV77" s="26"/>
      <c r="BIW77" s="26"/>
      <c r="BIX77" s="26"/>
      <c r="BIY77" s="58"/>
      <c r="BIZ77" s="26"/>
      <c r="BJA77" s="26"/>
      <c r="BJB77" s="26"/>
      <c r="BJC77" s="26"/>
      <c r="BJD77" s="22"/>
      <c r="BJE77" s="167"/>
      <c r="BJF77" s="30"/>
      <c r="BJG77" s="25"/>
      <c r="BJH77" s="178"/>
      <c r="BJI77" s="26"/>
      <c r="BJJ77" s="26"/>
      <c r="BJK77" s="26"/>
      <c r="BJL77" s="26"/>
      <c r="BJM77" s="26"/>
      <c r="BJN77" s="26"/>
      <c r="BJO77" s="58"/>
      <c r="BJP77" s="26"/>
      <c r="BJQ77" s="26"/>
      <c r="BJR77" s="26"/>
      <c r="BJS77" s="26"/>
      <c r="BJT77" s="22"/>
      <c r="BJU77" s="167"/>
      <c r="BJV77" s="30"/>
      <c r="BJW77" s="25"/>
      <c r="BJX77" s="178"/>
      <c r="BJY77" s="26"/>
      <c r="BJZ77" s="26"/>
      <c r="BKA77" s="26"/>
      <c r="BKB77" s="26"/>
      <c r="BKC77" s="26"/>
      <c r="BKD77" s="26"/>
      <c r="BKE77" s="58"/>
      <c r="BKF77" s="26"/>
      <c r="BKG77" s="26"/>
      <c r="BKH77" s="26"/>
      <c r="BKI77" s="26"/>
      <c r="BKJ77" s="22"/>
      <c r="BKK77" s="167"/>
      <c r="BKL77" s="30"/>
      <c r="BKM77" s="25"/>
      <c r="BKN77" s="178"/>
      <c r="BKO77" s="26"/>
      <c r="BKP77" s="26"/>
      <c r="BKQ77" s="26"/>
      <c r="BKR77" s="26"/>
      <c r="BKS77" s="26"/>
      <c r="BKT77" s="26"/>
      <c r="BKU77" s="58"/>
      <c r="BKV77" s="26"/>
      <c r="BKW77" s="26"/>
      <c r="BKX77" s="26"/>
      <c r="BKY77" s="26"/>
      <c r="BKZ77" s="22"/>
      <c r="BLA77" s="167"/>
      <c r="BLB77" s="30"/>
      <c r="BLC77" s="25"/>
      <c r="BLD77" s="178"/>
      <c r="BLE77" s="26"/>
      <c r="BLF77" s="26"/>
      <c r="BLG77" s="26"/>
      <c r="BLH77" s="26"/>
      <c r="BLI77" s="26"/>
      <c r="BLJ77" s="26"/>
      <c r="BLK77" s="58"/>
      <c r="BLL77" s="26"/>
      <c r="BLM77" s="26"/>
      <c r="BLN77" s="26"/>
      <c r="BLO77" s="26"/>
      <c r="BLP77" s="22"/>
      <c r="BLQ77" s="167"/>
      <c r="BLR77" s="30"/>
      <c r="BLS77" s="25"/>
      <c r="BLT77" s="178"/>
      <c r="BLU77" s="26"/>
      <c r="BLV77" s="26"/>
      <c r="BLW77" s="26"/>
      <c r="BLX77" s="26"/>
      <c r="BLY77" s="26"/>
      <c r="BLZ77" s="26"/>
      <c r="BMA77" s="58"/>
      <c r="BMB77" s="26"/>
      <c r="BMC77" s="26"/>
      <c r="BMD77" s="26"/>
      <c r="BME77" s="26"/>
      <c r="BMF77" s="22"/>
      <c r="BMG77" s="167"/>
      <c r="BMH77" s="30"/>
      <c r="BMI77" s="25"/>
      <c r="BMJ77" s="178"/>
      <c r="BMK77" s="26"/>
      <c r="BML77" s="26"/>
      <c r="BMM77" s="26"/>
      <c r="BMN77" s="26"/>
      <c r="BMO77" s="26"/>
      <c r="BMP77" s="26"/>
      <c r="BMQ77" s="58"/>
      <c r="BMR77" s="26"/>
      <c r="BMS77" s="26"/>
      <c r="BMT77" s="26"/>
      <c r="BMU77" s="26"/>
      <c r="BMV77" s="22"/>
      <c r="BMW77" s="167"/>
      <c r="BMX77" s="30"/>
      <c r="BMY77" s="25"/>
      <c r="BMZ77" s="178"/>
      <c r="BNA77" s="26"/>
      <c r="BNB77" s="26"/>
      <c r="BNC77" s="26"/>
      <c r="BND77" s="26"/>
      <c r="BNE77" s="26"/>
      <c r="BNF77" s="26"/>
      <c r="BNG77" s="58"/>
      <c r="BNH77" s="26"/>
      <c r="BNI77" s="26"/>
      <c r="BNJ77" s="26"/>
      <c r="BNK77" s="26"/>
      <c r="BNL77" s="22"/>
      <c r="BNM77" s="167"/>
      <c r="BNN77" s="30"/>
      <c r="BNO77" s="25"/>
      <c r="BNP77" s="178"/>
      <c r="BNQ77" s="26"/>
      <c r="BNR77" s="26"/>
      <c r="BNS77" s="26"/>
      <c r="BNT77" s="26"/>
      <c r="BNU77" s="26"/>
      <c r="BNV77" s="26"/>
      <c r="BNW77" s="58"/>
      <c r="BNX77" s="26"/>
      <c r="BNY77" s="26"/>
      <c r="BNZ77" s="26"/>
      <c r="BOA77" s="26"/>
      <c r="BOB77" s="22"/>
      <c r="BOC77" s="167"/>
      <c r="BOD77" s="30"/>
      <c r="BOE77" s="25"/>
      <c r="BOF77" s="178"/>
      <c r="BOG77" s="26"/>
      <c r="BOH77" s="26"/>
      <c r="BOI77" s="26"/>
      <c r="BOJ77" s="26"/>
      <c r="BOK77" s="26"/>
      <c r="BOL77" s="26"/>
      <c r="BOM77" s="58"/>
      <c r="BON77" s="26"/>
      <c r="BOO77" s="26"/>
      <c r="BOP77" s="26"/>
      <c r="BOQ77" s="26"/>
      <c r="BOR77" s="22"/>
      <c r="BOS77" s="167"/>
      <c r="BOT77" s="30"/>
      <c r="BOU77" s="25"/>
      <c r="BOV77" s="178"/>
      <c r="BOW77" s="26"/>
      <c r="BOX77" s="26"/>
      <c r="BOY77" s="26"/>
      <c r="BOZ77" s="26"/>
      <c r="BPA77" s="26"/>
      <c r="BPB77" s="26"/>
      <c r="BPC77" s="58"/>
      <c r="BPD77" s="26"/>
      <c r="BPE77" s="26"/>
      <c r="BPF77" s="26"/>
      <c r="BPG77" s="26"/>
      <c r="BPH77" s="22"/>
      <c r="BPI77" s="167"/>
      <c r="BPJ77" s="30"/>
      <c r="BPK77" s="25"/>
      <c r="BPL77" s="178"/>
      <c r="BPM77" s="26"/>
      <c r="BPN77" s="26"/>
      <c r="BPO77" s="26"/>
      <c r="BPP77" s="26"/>
      <c r="BPQ77" s="26"/>
      <c r="BPR77" s="26"/>
      <c r="BPS77" s="58"/>
      <c r="BPT77" s="26"/>
      <c r="BPU77" s="26"/>
      <c r="BPV77" s="26"/>
      <c r="BPW77" s="26"/>
      <c r="BPX77" s="22"/>
      <c r="BPY77" s="167"/>
      <c r="BPZ77" s="30"/>
      <c r="BQA77" s="25"/>
      <c r="BQB77" s="178"/>
      <c r="BQC77" s="26"/>
      <c r="BQD77" s="26"/>
      <c r="BQE77" s="26"/>
      <c r="BQF77" s="26"/>
      <c r="BQG77" s="26"/>
      <c r="BQH77" s="26"/>
      <c r="BQI77" s="58"/>
      <c r="BQJ77" s="26"/>
      <c r="BQK77" s="26"/>
      <c r="BQL77" s="26"/>
      <c r="BQM77" s="26"/>
      <c r="BQN77" s="22"/>
      <c r="BQO77" s="167"/>
      <c r="BQP77" s="30"/>
      <c r="BQQ77" s="25"/>
      <c r="BQR77" s="178"/>
      <c r="BQS77" s="26"/>
      <c r="BQT77" s="26"/>
      <c r="BQU77" s="26"/>
      <c r="BQV77" s="26"/>
      <c r="BQW77" s="26"/>
      <c r="BQX77" s="26"/>
      <c r="BQY77" s="58"/>
      <c r="BQZ77" s="26"/>
      <c r="BRA77" s="26"/>
      <c r="BRB77" s="26"/>
      <c r="BRC77" s="26"/>
      <c r="BRD77" s="22"/>
      <c r="BRE77" s="167"/>
      <c r="BRF77" s="30"/>
      <c r="BRG77" s="25"/>
      <c r="BRH77" s="178"/>
      <c r="BRI77" s="26"/>
      <c r="BRJ77" s="26"/>
      <c r="BRK77" s="26"/>
      <c r="BRL77" s="26"/>
      <c r="BRM77" s="26"/>
      <c r="BRN77" s="26"/>
      <c r="BRO77" s="58"/>
      <c r="BRP77" s="26"/>
      <c r="BRQ77" s="26"/>
      <c r="BRR77" s="26"/>
      <c r="BRS77" s="26"/>
      <c r="BRT77" s="22"/>
      <c r="BRU77" s="167"/>
      <c r="BRV77" s="30"/>
      <c r="BRW77" s="25"/>
      <c r="BRX77" s="178"/>
      <c r="BRY77" s="26"/>
      <c r="BRZ77" s="26"/>
      <c r="BSA77" s="26"/>
      <c r="BSB77" s="26"/>
      <c r="BSC77" s="26"/>
      <c r="BSD77" s="26"/>
      <c r="BSE77" s="58"/>
      <c r="BSF77" s="26"/>
      <c r="BSG77" s="26"/>
      <c r="BSH77" s="26"/>
      <c r="BSI77" s="26"/>
      <c r="BSJ77" s="22"/>
      <c r="BSK77" s="167"/>
      <c r="BSL77" s="30"/>
      <c r="BSM77" s="25"/>
      <c r="BSN77" s="178"/>
      <c r="BSO77" s="26"/>
      <c r="BSP77" s="26"/>
      <c r="BSQ77" s="26"/>
      <c r="BSR77" s="26"/>
      <c r="BSS77" s="26"/>
      <c r="BST77" s="26"/>
      <c r="BSU77" s="58"/>
      <c r="BSV77" s="26"/>
      <c r="BSW77" s="26"/>
      <c r="BSX77" s="26"/>
      <c r="BSY77" s="26"/>
      <c r="BSZ77" s="22"/>
      <c r="BTA77" s="167"/>
      <c r="BTB77" s="30"/>
      <c r="BTC77" s="25"/>
      <c r="BTD77" s="178"/>
      <c r="BTE77" s="26"/>
      <c r="BTF77" s="26"/>
      <c r="BTG77" s="26"/>
      <c r="BTH77" s="26"/>
      <c r="BTI77" s="26"/>
      <c r="BTJ77" s="26"/>
      <c r="BTK77" s="58"/>
      <c r="BTL77" s="26"/>
      <c r="BTM77" s="26"/>
      <c r="BTN77" s="26"/>
      <c r="BTO77" s="26"/>
      <c r="BTP77" s="22"/>
      <c r="BTQ77" s="167"/>
      <c r="BTR77" s="30"/>
      <c r="BTS77" s="25"/>
      <c r="BTT77" s="178"/>
      <c r="BTU77" s="26"/>
      <c r="BTV77" s="26"/>
      <c r="BTW77" s="26"/>
      <c r="BTX77" s="26"/>
      <c r="BTY77" s="26"/>
      <c r="BTZ77" s="26"/>
      <c r="BUA77" s="58"/>
      <c r="BUB77" s="26"/>
      <c r="BUC77" s="26"/>
      <c r="BUD77" s="26"/>
      <c r="BUE77" s="26"/>
      <c r="BUF77" s="22"/>
      <c r="BUG77" s="167"/>
      <c r="BUH77" s="30"/>
      <c r="BUI77" s="25"/>
      <c r="BUJ77" s="178"/>
      <c r="BUK77" s="26"/>
      <c r="BUL77" s="26"/>
      <c r="BUM77" s="26"/>
      <c r="BUN77" s="26"/>
      <c r="BUO77" s="26"/>
      <c r="BUP77" s="26"/>
      <c r="BUQ77" s="58"/>
      <c r="BUR77" s="26"/>
      <c r="BUS77" s="26"/>
      <c r="BUT77" s="26"/>
      <c r="BUU77" s="26"/>
      <c r="BUV77" s="22"/>
      <c r="BUW77" s="167"/>
      <c r="BUX77" s="30"/>
      <c r="BUY77" s="25"/>
      <c r="BUZ77" s="178"/>
      <c r="BVA77" s="26"/>
      <c r="BVB77" s="26"/>
      <c r="BVC77" s="26"/>
      <c r="BVD77" s="26"/>
      <c r="BVE77" s="26"/>
      <c r="BVF77" s="26"/>
      <c r="BVG77" s="58"/>
      <c r="BVH77" s="26"/>
      <c r="BVI77" s="26"/>
      <c r="BVJ77" s="26"/>
      <c r="BVK77" s="26"/>
      <c r="BVL77" s="22"/>
      <c r="BVM77" s="167"/>
      <c r="BVN77" s="30"/>
      <c r="BVO77" s="25"/>
      <c r="BVP77" s="178"/>
      <c r="BVQ77" s="26"/>
      <c r="BVR77" s="26"/>
      <c r="BVS77" s="26"/>
      <c r="BVT77" s="26"/>
      <c r="BVU77" s="26"/>
      <c r="BVV77" s="26"/>
      <c r="BVW77" s="58"/>
      <c r="BVX77" s="26"/>
      <c r="BVY77" s="26"/>
      <c r="BVZ77" s="26"/>
      <c r="BWA77" s="26"/>
      <c r="BWB77" s="22"/>
      <c r="BWC77" s="167"/>
      <c r="BWD77" s="30"/>
      <c r="BWE77" s="25"/>
      <c r="BWF77" s="178"/>
      <c r="BWG77" s="26"/>
      <c r="BWH77" s="26"/>
      <c r="BWI77" s="26"/>
      <c r="BWJ77" s="26"/>
      <c r="BWK77" s="26"/>
      <c r="BWL77" s="26"/>
      <c r="BWM77" s="58"/>
      <c r="BWN77" s="26"/>
      <c r="BWO77" s="26"/>
      <c r="BWP77" s="26"/>
      <c r="BWQ77" s="26"/>
      <c r="BWR77" s="22"/>
      <c r="BWS77" s="167"/>
      <c r="BWT77" s="30"/>
      <c r="BWU77" s="25"/>
      <c r="BWV77" s="178"/>
      <c r="BWW77" s="26"/>
      <c r="BWX77" s="26"/>
      <c r="BWY77" s="26"/>
      <c r="BWZ77" s="26"/>
      <c r="BXA77" s="26"/>
      <c r="BXB77" s="26"/>
      <c r="BXC77" s="58"/>
      <c r="BXD77" s="26"/>
      <c r="BXE77" s="26"/>
      <c r="BXF77" s="26"/>
      <c r="BXG77" s="26"/>
      <c r="BXH77" s="22"/>
      <c r="BXI77" s="167"/>
      <c r="BXJ77" s="30"/>
      <c r="BXK77" s="25"/>
      <c r="BXL77" s="178"/>
      <c r="BXM77" s="26"/>
      <c r="BXN77" s="26"/>
      <c r="BXO77" s="26"/>
      <c r="BXP77" s="26"/>
      <c r="BXQ77" s="26"/>
      <c r="BXR77" s="26"/>
      <c r="BXS77" s="58"/>
      <c r="BXT77" s="26"/>
      <c r="BXU77" s="26"/>
      <c r="BXV77" s="26"/>
      <c r="BXW77" s="26"/>
      <c r="BXX77" s="22"/>
      <c r="BXY77" s="167"/>
      <c r="BXZ77" s="30"/>
      <c r="BYA77" s="25"/>
      <c r="BYB77" s="178"/>
      <c r="BYC77" s="26"/>
      <c r="BYD77" s="26"/>
      <c r="BYE77" s="26"/>
      <c r="BYF77" s="26"/>
      <c r="BYG77" s="26"/>
      <c r="BYH77" s="26"/>
      <c r="BYI77" s="58"/>
      <c r="BYJ77" s="26"/>
      <c r="BYK77" s="26"/>
      <c r="BYL77" s="26"/>
      <c r="BYM77" s="26"/>
      <c r="BYN77" s="22"/>
      <c r="BYO77" s="167"/>
      <c r="BYP77" s="30"/>
      <c r="BYQ77" s="25"/>
      <c r="BYR77" s="178"/>
      <c r="BYS77" s="26"/>
      <c r="BYT77" s="26"/>
      <c r="BYU77" s="26"/>
      <c r="BYV77" s="26"/>
      <c r="BYW77" s="26"/>
      <c r="BYX77" s="26"/>
      <c r="BYY77" s="58"/>
      <c r="BYZ77" s="26"/>
      <c r="BZA77" s="26"/>
      <c r="BZB77" s="26"/>
      <c r="BZC77" s="26"/>
      <c r="BZD77" s="22"/>
      <c r="BZE77" s="167"/>
      <c r="BZF77" s="30"/>
      <c r="BZG77" s="25"/>
      <c r="BZH77" s="178"/>
      <c r="BZI77" s="26"/>
      <c r="BZJ77" s="26"/>
      <c r="BZK77" s="26"/>
      <c r="BZL77" s="26"/>
      <c r="BZM77" s="26"/>
      <c r="BZN77" s="26"/>
      <c r="BZO77" s="58"/>
      <c r="BZP77" s="26"/>
      <c r="BZQ77" s="26"/>
      <c r="BZR77" s="26"/>
      <c r="BZS77" s="26"/>
      <c r="BZT77" s="22"/>
      <c r="BZU77" s="167"/>
      <c r="BZV77" s="30"/>
      <c r="BZW77" s="25"/>
      <c r="BZX77" s="178"/>
      <c r="BZY77" s="26"/>
      <c r="BZZ77" s="26"/>
      <c r="CAA77" s="26"/>
      <c r="CAB77" s="26"/>
      <c r="CAC77" s="26"/>
      <c r="CAD77" s="26"/>
      <c r="CAE77" s="58"/>
      <c r="CAF77" s="26"/>
      <c r="CAG77" s="26"/>
      <c r="CAH77" s="26"/>
      <c r="CAI77" s="26"/>
      <c r="CAJ77" s="22"/>
      <c r="CAK77" s="167"/>
      <c r="CAL77" s="30"/>
      <c r="CAM77" s="25"/>
      <c r="CAN77" s="178"/>
      <c r="CAO77" s="26"/>
      <c r="CAP77" s="26"/>
      <c r="CAQ77" s="26"/>
      <c r="CAR77" s="26"/>
      <c r="CAS77" s="26"/>
      <c r="CAT77" s="26"/>
      <c r="CAU77" s="58"/>
      <c r="CAV77" s="26"/>
      <c r="CAW77" s="26"/>
      <c r="CAX77" s="26"/>
      <c r="CAY77" s="26"/>
      <c r="CAZ77" s="22"/>
      <c r="CBA77" s="167"/>
      <c r="CBB77" s="30"/>
      <c r="CBC77" s="25"/>
      <c r="CBD77" s="178"/>
      <c r="CBE77" s="26"/>
      <c r="CBF77" s="26"/>
      <c r="CBG77" s="26"/>
      <c r="CBH77" s="26"/>
      <c r="CBI77" s="26"/>
      <c r="CBJ77" s="26"/>
      <c r="CBK77" s="58"/>
      <c r="CBL77" s="26"/>
      <c r="CBM77" s="26"/>
      <c r="CBN77" s="26"/>
      <c r="CBO77" s="26"/>
      <c r="CBP77" s="22"/>
      <c r="CBQ77" s="167"/>
      <c r="CBR77" s="30"/>
      <c r="CBS77" s="25"/>
      <c r="CBT77" s="178"/>
      <c r="CBU77" s="26"/>
      <c r="CBV77" s="26"/>
      <c r="CBW77" s="26"/>
      <c r="CBX77" s="26"/>
      <c r="CBY77" s="26"/>
      <c r="CBZ77" s="26"/>
      <c r="CCA77" s="58"/>
      <c r="CCB77" s="26"/>
      <c r="CCC77" s="26"/>
      <c r="CCD77" s="26"/>
      <c r="CCE77" s="26"/>
      <c r="CCF77" s="22"/>
      <c r="CCG77" s="167"/>
      <c r="CCH77" s="30"/>
      <c r="CCI77" s="25"/>
      <c r="CCJ77" s="178"/>
      <c r="CCK77" s="26"/>
      <c r="CCL77" s="26"/>
      <c r="CCM77" s="26"/>
      <c r="CCN77" s="26"/>
      <c r="CCO77" s="26"/>
      <c r="CCP77" s="26"/>
      <c r="CCQ77" s="58"/>
      <c r="CCR77" s="26"/>
      <c r="CCS77" s="26"/>
      <c r="CCT77" s="26"/>
      <c r="CCU77" s="26"/>
      <c r="CCV77" s="22"/>
      <c r="CCW77" s="167"/>
      <c r="CCX77" s="30"/>
      <c r="CCY77" s="25"/>
      <c r="CCZ77" s="178"/>
      <c r="CDA77" s="26"/>
      <c r="CDB77" s="26"/>
      <c r="CDC77" s="26"/>
      <c r="CDD77" s="26"/>
      <c r="CDE77" s="26"/>
      <c r="CDF77" s="26"/>
      <c r="CDG77" s="58"/>
      <c r="CDH77" s="26"/>
      <c r="CDI77" s="26"/>
      <c r="CDJ77" s="26"/>
      <c r="CDK77" s="26"/>
      <c r="CDL77" s="22"/>
      <c r="CDM77" s="167"/>
      <c r="CDN77" s="30"/>
      <c r="CDO77" s="25"/>
      <c r="CDP77" s="178"/>
      <c r="CDQ77" s="26"/>
      <c r="CDR77" s="26"/>
      <c r="CDS77" s="26"/>
      <c r="CDT77" s="26"/>
      <c r="CDU77" s="26"/>
      <c r="CDV77" s="26"/>
      <c r="CDW77" s="58"/>
      <c r="CDX77" s="26"/>
      <c r="CDY77" s="26"/>
      <c r="CDZ77" s="26"/>
      <c r="CEA77" s="26"/>
      <c r="CEB77" s="22"/>
      <c r="CEC77" s="167"/>
      <c r="CED77" s="30"/>
      <c r="CEE77" s="25"/>
      <c r="CEF77" s="178"/>
      <c r="CEG77" s="26"/>
      <c r="CEH77" s="26"/>
      <c r="CEI77" s="26"/>
      <c r="CEJ77" s="26"/>
      <c r="CEK77" s="26"/>
      <c r="CEL77" s="26"/>
      <c r="CEM77" s="58"/>
      <c r="CEN77" s="26"/>
      <c r="CEO77" s="26"/>
      <c r="CEP77" s="26"/>
      <c r="CEQ77" s="26"/>
      <c r="CER77" s="22"/>
      <c r="CES77" s="167"/>
      <c r="CET77" s="30"/>
      <c r="CEU77" s="25"/>
      <c r="CEV77" s="178"/>
      <c r="CEW77" s="26"/>
      <c r="CEX77" s="26"/>
      <c r="CEY77" s="26"/>
      <c r="CEZ77" s="26"/>
      <c r="CFA77" s="26"/>
      <c r="CFB77" s="26"/>
      <c r="CFC77" s="58"/>
      <c r="CFD77" s="26"/>
      <c r="CFE77" s="26"/>
      <c r="CFF77" s="26"/>
      <c r="CFG77" s="26"/>
      <c r="CFH77" s="22"/>
      <c r="CFI77" s="167"/>
      <c r="CFJ77" s="30"/>
      <c r="CFK77" s="25"/>
      <c r="CFL77" s="178"/>
      <c r="CFM77" s="26"/>
      <c r="CFN77" s="26"/>
      <c r="CFO77" s="26"/>
      <c r="CFP77" s="26"/>
      <c r="CFQ77" s="26"/>
      <c r="CFR77" s="26"/>
      <c r="CFS77" s="58"/>
      <c r="CFT77" s="26"/>
      <c r="CFU77" s="26"/>
      <c r="CFV77" s="26"/>
      <c r="CFW77" s="26"/>
      <c r="CFX77" s="22"/>
      <c r="CFY77" s="167"/>
      <c r="CFZ77" s="30"/>
      <c r="CGA77" s="25"/>
      <c r="CGB77" s="178"/>
      <c r="CGC77" s="26"/>
      <c r="CGD77" s="26"/>
      <c r="CGE77" s="26"/>
      <c r="CGF77" s="26"/>
      <c r="CGG77" s="26"/>
      <c r="CGH77" s="26"/>
      <c r="CGI77" s="58"/>
      <c r="CGJ77" s="26"/>
      <c r="CGK77" s="26"/>
      <c r="CGL77" s="26"/>
      <c r="CGM77" s="26"/>
      <c r="CGN77" s="22"/>
      <c r="CGO77" s="167"/>
      <c r="CGP77" s="30"/>
      <c r="CGQ77" s="25"/>
      <c r="CGR77" s="178"/>
      <c r="CGS77" s="26"/>
      <c r="CGT77" s="26"/>
      <c r="CGU77" s="26"/>
      <c r="CGV77" s="26"/>
      <c r="CGW77" s="26"/>
      <c r="CGX77" s="26"/>
      <c r="CGY77" s="58"/>
      <c r="CGZ77" s="26"/>
      <c r="CHA77" s="26"/>
      <c r="CHB77" s="26"/>
      <c r="CHC77" s="26"/>
      <c r="CHD77" s="22"/>
      <c r="CHE77" s="167"/>
      <c r="CHF77" s="30"/>
      <c r="CHG77" s="25"/>
      <c r="CHH77" s="178"/>
      <c r="CHI77" s="26"/>
      <c r="CHJ77" s="26"/>
      <c r="CHK77" s="26"/>
      <c r="CHL77" s="26"/>
      <c r="CHM77" s="26"/>
      <c r="CHN77" s="26"/>
      <c r="CHO77" s="58"/>
      <c r="CHP77" s="26"/>
      <c r="CHQ77" s="26"/>
      <c r="CHR77" s="26"/>
      <c r="CHS77" s="26"/>
      <c r="CHT77" s="22"/>
      <c r="CHU77" s="167"/>
      <c r="CHV77" s="30"/>
      <c r="CHW77" s="25"/>
      <c r="CHX77" s="178"/>
      <c r="CHY77" s="26"/>
      <c r="CHZ77" s="26"/>
      <c r="CIA77" s="26"/>
      <c r="CIB77" s="26"/>
      <c r="CIC77" s="26"/>
      <c r="CID77" s="26"/>
      <c r="CIE77" s="58"/>
      <c r="CIF77" s="26"/>
      <c r="CIG77" s="26"/>
      <c r="CIH77" s="26"/>
      <c r="CII77" s="26"/>
      <c r="CIJ77" s="22"/>
      <c r="CIK77" s="167"/>
      <c r="CIL77" s="30"/>
      <c r="CIM77" s="25"/>
      <c r="CIN77" s="178"/>
      <c r="CIO77" s="26"/>
      <c r="CIP77" s="26"/>
      <c r="CIQ77" s="26"/>
      <c r="CIR77" s="26"/>
      <c r="CIS77" s="26"/>
      <c r="CIT77" s="26"/>
      <c r="CIU77" s="58"/>
      <c r="CIV77" s="26"/>
      <c r="CIW77" s="26"/>
      <c r="CIX77" s="26"/>
      <c r="CIY77" s="26"/>
      <c r="CIZ77" s="22"/>
      <c r="CJA77" s="167"/>
      <c r="CJB77" s="30"/>
      <c r="CJC77" s="25"/>
      <c r="CJD77" s="178"/>
      <c r="CJE77" s="26"/>
      <c r="CJF77" s="26"/>
      <c r="CJG77" s="26"/>
      <c r="CJH77" s="26"/>
      <c r="CJI77" s="26"/>
      <c r="CJJ77" s="26"/>
      <c r="CJK77" s="58"/>
      <c r="CJL77" s="26"/>
      <c r="CJM77" s="26"/>
      <c r="CJN77" s="26"/>
      <c r="CJO77" s="26"/>
      <c r="CJP77" s="22"/>
      <c r="CJQ77" s="167"/>
      <c r="CJR77" s="30"/>
      <c r="CJS77" s="25"/>
      <c r="CJT77" s="178"/>
      <c r="CJU77" s="26"/>
      <c r="CJV77" s="26"/>
      <c r="CJW77" s="26"/>
      <c r="CJX77" s="26"/>
      <c r="CJY77" s="26"/>
      <c r="CJZ77" s="26"/>
      <c r="CKA77" s="58"/>
      <c r="CKB77" s="26"/>
      <c r="CKC77" s="26"/>
      <c r="CKD77" s="26"/>
      <c r="CKE77" s="26"/>
      <c r="CKF77" s="22"/>
      <c r="CKG77" s="167"/>
      <c r="CKH77" s="30"/>
      <c r="CKI77" s="25"/>
      <c r="CKJ77" s="178"/>
      <c r="CKK77" s="26"/>
      <c r="CKL77" s="26"/>
      <c r="CKM77" s="26"/>
      <c r="CKN77" s="26"/>
      <c r="CKO77" s="26"/>
      <c r="CKP77" s="26"/>
      <c r="CKQ77" s="58"/>
      <c r="CKR77" s="26"/>
      <c r="CKS77" s="26"/>
      <c r="CKT77" s="26"/>
      <c r="CKU77" s="26"/>
      <c r="CKV77" s="22"/>
      <c r="CKW77" s="167"/>
      <c r="CKX77" s="30"/>
      <c r="CKY77" s="25"/>
      <c r="CKZ77" s="178"/>
      <c r="CLA77" s="26"/>
      <c r="CLB77" s="26"/>
      <c r="CLC77" s="26"/>
      <c r="CLD77" s="26"/>
      <c r="CLE77" s="26"/>
      <c r="CLF77" s="26"/>
      <c r="CLG77" s="58"/>
      <c r="CLH77" s="26"/>
      <c r="CLI77" s="26"/>
      <c r="CLJ77" s="26"/>
      <c r="CLK77" s="26"/>
      <c r="CLL77" s="22"/>
      <c r="CLM77" s="167"/>
      <c r="CLN77" s="30"/>
      <c r="CLO77" s="25"/>
      <c r="CLP77" s="178"/>
      <c r="CLQ77" s="26"/>
      <c r="CLR77" s="26"/>
      <c r="CLS77" s="26"/>
      <c r="CLT77" s="26"/>
      <c r="CLU77" s="26"/>
      <c r="CLV77" s="26"/>
      <c r="CLW77" s="58"/>
      <c r="CLX77" s="26"/>
      <c r="CLY77" s="26"/>
      <c r="CLZ77" s="26"/>
      <c r="CMA77" s="26"/>
      <c r="CMB77" s="22"/>
      <c r="CMC77" s="167"/>
      <c r="CMD77" s="30"/>
      <c r="CME77" s="25"/>
      <c r="CMF77" s="178"/>
      <c r="CMG77" s="26"/>
      <c r="CMH77" s="26"/>
      <c r="CMI77" s="26"/>
      <c r="CMJ77" s="26"/>
      <c r="CMK77" s="26"/>
      <c r="CML77" s="26"/>
      <c r="CMM77" s="58"/>
      <c r="CMN77" s="26"/>
      <c r="CMO77" s="26"/>
      <c r="CMP77" s="26"/>
      <c r="CMQ77" s="26"/>
      <c r="CMR77" s="22"/>
      <c r="CMS77" s="167"/>
      <c r="CMT77" s="30"/>
      <c r="CMU77" s="25"/>
      <c r="CMV77" s="178"/>
      <c r="CMW77" s="26"/>
      <c r="CMX77" s="26"/>
      <c r="CMY77" s="26"/>
      <c r="CMZ77" s="26"/>
      <c r="CNA77" s="26"/>
      <c r="CNB77" s="26"/>
      <c r="CNC77" s="58"/>
      <c r="CND77" s="26"/>
      <c r="CNE77" s="26"/>
      <c r="CNF77" s="26"/>
      <c r="CNG77" s="26"/>
      <c r="CNH77" s="22"/>
      <c r="CNI77" s="167"/>
      <c r="CNJ77" s="30"/>
      <c r="CNK77" s="25"/>
      <c r="CNL77" s="178"/>
      <c r="CNM77" s="26"/>
      <c r="CNN77" s="26"/>
      <c r="CNO77" s="26"/>
      <c r="CNP77" s="26"/>
      <c r="CNQ77" s="26"/>
      <c r="CNR77" s="26"/>
      <c r="CNS77" s="58"/>
      <c r="CNT77" s="26"/>
      <c r="CNU77" s="26"/>
      <c r="CNV77" s="26"/>
      <c r="CNW77" s="26"/>
      <c r="CNX77" s="22"/>
      <c r="CNY77" s="167"/>
      <c r="CNZ77" s="30"/>
      <c r="COA77" s="25"/>
      <c r="COB77" s="178"/>
      <c r="COC77" s="26"/>
      <c r="COD77" s="26"/>
      <c r="COE77" s="26"/>
      <c r="COF77" s="26"/>
      <c r="COG77" s="26"/>
      <c r="COH77" s="26"/>
      <c r="COI77" s="58"/>
      <c r="COJ77" s="26"/>
      <c r="COK77" s="26"/>
      <c r="COL77" s="26"/>
      <c r="COM77" s="26"/>
      <c r="CON77" s="22"/>
      <c r="COO77" s="167"/>
      <c r="COP77" s="30"/>
      <c r="COQ77" s="25"/>
      <c r="COR77" s="178"/>
      <c r="COS77" s="26"/>
      <c r="COT77" s="26"/>
      <c r="COU77" s="26"/>
      <c r="COV77" s="26"/>
      <c r="COW77" s="26"/>
      <c r="COX77" s="26"/>
      <c r="COY77" s="58"/>
      <c r="COZ77" s="26"/>
      <c r="CPA77" s="26"/>
      <c r="CPB77" s="26"/>
      <c r="CPC77" s="26"/>
      <c r="CPD77" s="22"/>
      <c r="CPE77" s="167"/>
      <c r="CPF77" s="30"/>
      <c r="CPG77" s="25"/>
      <c r="CPH77" s="178"/>
      <c r="CPI77" s="26"/>
      <c r="CPJ77" s="26"/>
      <c r="CPK77" s="26"/>
      <c r="CPL77" s="26"/>
      <c r="CPM77" s="26"/>
      <c r="CPN77" s="26"/>
      <c r="CPO77" s="58"/>
      <c r="CPP77" s="26"/>
      <c r="CPQ77" s="26"/>
      <c r="CPR77" s="26"/>
      <c r="CPS77" s="26"/>
      <c r="CPT77" s="22"/>
      <c r="CPU77" s="167"/>
      <c r="CPV77" s="30"/>
      <c r="CPW77" s="25"/>
      <c r="CPX77" s="178"/>
      <c r="CPY77" s="26"/>
      <c r="CPZ77" s="26"/>
      <c r="CQA77" s="26"/>
      <c r="CQB77" s="26"/>
      <c r="CQC77" s="26"/>
      <c r="CQD77" s="26"/>
      <c r="CQE77" s="58"/>
      <c r="CQF77" s="26"/>
      <c r="CQG77" s="26"/>
      <c r="CQH77" s="26"/>
      <c r="CQI77" s="26"/>
      <c r="CQJ77" s="22"/>
      <c r="CQK77" s="167"/>
      <c r="CQL77" s="30"/>
      <c r="CQM77" s="25"/>
      <c r="CQN77" s="178"/>
      <c r="CQO77" s="26"/>
      <c r="CQP77" s="26"/>
      <c r="CQQ77" s="26"/>
      <c r="CQR77" s="26"/>
      <c r="CQS77" s="26"/>
      <c r="CQT77" s="26"/>
      <c r="CQU77" s="58"/>
      <c r="CQV77" s="26"/>
      <c r="CQW77" s="26"/>
      <c r="CQX77" s="26"/>
      <c r="CQY77" s="26"/>
      <c r="CQZ77" s="22"/>
      <c r="CRA77" s="167"/>
      <c r="CRB77" s="30"/>
      <c r="CRC77" s="25"/>
      <c r="CRD77" s="178"/>
      <c r="CRE77" s="26"/>
      <c r="CRF77" s="26"/>
      <c r="CRG77" s="26"/>
      <c r="CRH77" s="26"/>
      <c r="CRI77" s="26"/>
      <c r="CRJ77" s="26"/>
      <c r="CRK77" s="58"/>
      <c r="CRL77" s="26"/>
      <c r="CRM77" s="26"/>
      <c r="CRN77" s="26"/>
      <c r="CRO77" s="26"/>
      <c r="CRP77" s="22"/>
      <c r="CRQ77" s="167"/>
      <c r="CRR77" s="30"/>
      <c r="CRS77" s="25"/>
      <c r="CRT77" s="178"/>
      <c r="CRU77" s="26"/>
      <c r="CRV77" s="26"/>
      <c r="CRW77" s="26"/>
      <c r="CRX77" s="26"/>
      <c r="CRY77" s="26"/>
      <c r="CRZ77" s="26"/>
      <c r="CSA77" s="58"/>
      <c r="CSB77" s="26"/>
      <c r="CSC77" s="26"/>
      <c r="CSD77" s="26"/>
      <c r="CSE77" s="26"/>
      <c r="CSF77" s="22"/>
      <c r="CSG77" s="167"/>
      <c r="CSH77" s="30"/>
      <c r="CSI77" s="25"/>
      <c r="CSJ77" s="178"/>
      <c r="CSK77" s="26"/>
      <c r="CSL77" s="26"/>
      <c r="CSM77" s="26"/>
      <c r="CSN77" s="26"/>
      <c r="CSO77" s="26"/>
      <c r="CSP77" s="26"/>
      <c r="CSQ77" s="58"/>
      <c r="CSR77" s="26"/>
      <c r="CSS77" s="26"/>
      <c r="CST77" s="26"/>
      <c r="CSU77" s="26"/>
      <c r="CSV77" s="22"/>
      <c r="CSW77" s="167"/>
      <c r="CSX77" s="30"/>
      <c r="CSY77" s="25"/>
      <c r="CSZ77" s="178"/>
      <c r="CTA77" s="26"/>
      <c r="CTB77" s="26"/>
      <c r="CTC77" s="26"/>
      <c r="CTD77" s="26"/>
      <c r="CTE77" s="26"/>
      <c r="CTF77" s="26"/>
      <c r="CTG77" s="58"/>
      <c r="CTH77" s="26"/>
      <c r="CTI77" s="26"/>
      <c r="CTJ77" s="26"/>
      <c r="CTK77" s="26"/>
      <c r="CTL77" s="22"/>
      <c r="CTM77" s="167"/>
      <c r="CTN77" s="30"/>
      <c r="CTO77" s="25"/>
      <c r="CTP77" s="178"/>
      <c r="CTQ77" s="26"/>
      <c r="CTR77" s="26"/>
      <c r="CTS77" s="26"/>
      <c r="CTT77" s="26"/>
      <c r="CTU77" s="26"/>
      <c r="CTV77" s="26"/>
      <c r="CTW77" s="58"/>
      <c r="CTX77" s="26"/>
      <c r="CTY77" s="26"/>
      <c r="CTZ77" s="26"/>
      <c r="CUA77" s="26"/>
      <c r="CUB77" s="22"/>
      <c r="CUC77" s="167"/>
      <c r="CUD77" s="30"/>
      <c r="CUE77" s="25"/>
      <c r="CUF77" s="178"/>
      <c r="CUG77" s="26"/>
      <c r="CUH77" s="26"/>
      <c r="CUI77" s="26"/>
      <c r="CUJ77" s="26"/>
      <c r="CUK77" s="26"/>
      <c r="CUL77" s="26"/>
      <c r="CUM77" s="58"/>
      <c r="CUN77" s="26"/>
      <c r="CUO77" s="26"/>
      <c r="CUP77" s="26"/>
      <c r="CUQ77" s="26"/>
      <c r="CUR77" s="22"/>
      <c r="CUS77" s="167"/>
      <c r="CUT77" s="30"/>
      <c r="CUU77" s="25"/>
      <c r="CUV77" s="178"/>
      <c r="CUW77" s="26"/>
      <c r="CUX77" s="26"/>
      <c r="CUY77" s="26"/>
      <c r="CUZ77" s="26"/>
      <c r="CVA77" s="26"/>
      <c r="CVB77" s="26"/>
      <c r="CVC77" s="58"/>
      <c r="CVD77" s="26"/>
      <c r="CVE77" s="26"/>
      <c r="CVF77" s="26"/>
      <c r="CVG77" s="26"/>
      <c r="CVH77" s="22"/>
      <c r="CVI77" s="167"/>
      <c r="CVJ77" s="30"/>
      <c r="CVK77" s="25"/>
      <c r="CVL77" s="178"/>
      <c r="CVM77" s="26"/>
      <c r="CVN77" s="26"/>
      <c r="CVO77" s="26"/>
      <c r="CVP77" s="26"/>
      <c r="CVQ77" s="26"/>
      <c r="CVR77" s="26"/>
      <c r="CVS77" s="58"/>
      <c r="CVT77" s="26"/>
      <c r="CVU77" s="26"/>
      <c r="CVV77" s="26"/>
      <c r="CVW77" s="26"/>
      <c r="CVX77" s="22"/>
      <c r="CVY77" s="167"/>
      <c r="CVZ77" s="30"/>
      <c r="CWA77" s="25"/>
      <c r="CWB77" s="178"/>
      <c r="CWC77" s="26"/>
      <c r="CWD77" s="26"/>
      <c r="CWE77" s="26"/>
      <c r="CWF77" s="26"/>
      <c r="CWG77" s="26"/>
      <c r="CWH77" s="26"/>
      <c r="CWI77" s="58"/>
      <c r="CWJ77" s="26"/>
      <c r="CWK77" s="26"/>
      <c r="CWL77" s="26"/>
      <c r="CWM77" s="26"/>
      <c r="CWN77" s="22"/>
      <c r="CWO77" s="167"/>
      <c r="CWP77" s="30"/>
      <c r="CWQ77" s="25"/>
      <c r="CWR77" s="178"/>
      <c r="CWS77" s="26"/>
      <c r="CWT77" s="26"/>
      <c r="CWU77" s="26"/>
      <c r="CWV77" s="26"/>
      <c r="CWW77" s="26"/>
      <c r="CWX77" s="26"/>
      <c r="CWY77" s="58"/>
      <c r="CWZ77" s="26"/>
      <c r="CXA77" s="26"/>
      <c r="CXB77" s="26"/>
      <c r="CXC77" s="26"/>
      <c r="CXD77" s="22"/>
      <c r="CXE77" s="167"/>
      <c r="CXF77" s="30"/>
      <c r="CXG77" s="25"/>
      <c r="CXH77" s="178"/>
      <c r="CXI77" s="26"/>
      <c r="CXJ77" s="26"/>
      <c r="CXK77" s="26"/>
      <c r="CXL77" s="26"/>
      <c r="CXM77" s="26"/>
      <c r="CXN77" s="26"/>
      <c r="CXO77" s="58"/>
      <c r="CXP77" s="26"/>
      <c r="CXQ77" s="26"/>
      <c r="CXR77" s="26"/>
      <c r="CXS77" s="26"/>
      <c r="CXT77" s="22"/>
      <c r="CXU77" s="167"/>
      <c r="CXV77" s="30"/>
      <c r="CXW77" s="25"/>
      <c r="CXX77" s="178"/>
      <c r="CXY77" s="26"/>
      <c r="CXZ77" s="26"/>
      <c r="CYA77" s="26"/>
      <c r="CYB77" s="26"/>
      <c r="CYC77" s="26"/>
      <c r="CYD77" s="26"/>
      <c r="CYE77" s="58"/>
      <c r="CYF77" s="26"/>
      <c r="CYG77" s="26"/>
      <c r="CYH77" s="26"/>
      <c r="CYI77" s="26"/>
      <c r="CYJ77" s="22"/>
      <c r="CYK77" s="167"/>
      <c r="CYL77" s="30"/>
      <c r="CYM77" s="25"/>
      <c r="CYN77" s="178"/>
      <c r="CYO77" s="26"/>
      <c r="CYP77" s="26"/>
      <c r="CYQ77" s="26"/>
      <c r="CYR77" s="26"/>
      <c r="CYS77" s="26"/>
      <c r="CYT77" s="26"/>
      <c r="CYU77" s="58"/>
      <c r="CYV77" s="26"/>
      <c r="CYW77" s="26"/>
      <c r="CYX77" s="26"/>
      <c r="CYY77" s="26"/>
      <c r="CYZ77" s="22"/>
      <c r="CZA77" s="167"/>
      <c r="CZB77" s="30"/>
      <c r="CZC77" s="25"/>
      <c r="CZD77" s="178"/>
      <c r="CZE77" s="26"/>
      <c r="CZF77" s="26"/>
      <c r="CZG77" s="26"/>
      <c r="CZH77" s="26"/>
      <c r="CZI77" s="26"/>
      <c r="CZJ77" s="26"/>
      <c r="CZK77" s="58"/>
      <c r="CZL77" s="26"/>
      <c r="CZM77" s="26"/>
      <c r="CZN77" s="26"/>
      <c r="CZO77" s="26"/>
      <c r="CZP77" s="22"/>
      <c r="CZQ77" s="167"/>
      <c r="CZR77" s="30"/>
      <c r="CZS77" s="25"/>
      <c r="CZT77" s="178"/>
      <c r="CZU77" s="26"/>
      <c r="CZV77" s="26"/>
      <c r="CZW77" s="26"/>
      <c r="CZX77" s="26"/>
      <c r="CZY77" s="26"/>
      <c r="CZZ77" s="26"/>
      <c r="DAA77" s="58"/>
      <c r="DAB77" s="26"/>
      <c r="DAC77" s="26"/>
      <c r="DAD77" s="26"/>
      <c r="DAE77" s="26"/>
      <c r="DAF77" s="22"/>
      <c r="DAG77" s="167"/>
      <c r="DAH77" s="30"/>
      <c r="DAI77" s="25"/>
      <c r="DAJ77" s="178"/>
      <c r="DAK77" s="26"/>
      <c r="DAL77" s="26"/>
      <c r="DAM77" s="26"/>
      <c r="DAN77" s="26"/>
      <c r="DAO77" s="26"/>
      <c r="DAP77" s="26"/>
      <c r="DAQ77" s="58"/>
      <c r="DAR77" s="26"/>
      <c r="DAS77" s="26"/>
      <c r="DAT77" s="26"/>
      <c r="DAU77" s="26"/>
      <c r="DAV77" s="22"/>
      <c r="DAW77" s="167"/>
      <c r="DAX77" s="30"/>
      <c r="DAY77" s="25"/>
      <c r="DAZ77" s="178"/>
      <c r="DBA77" s="26"/>
      <c r="DBB77" s="26"/>
      <c r="DBC77" s="26"/>
      <c r="DBD77" s="26"/>
      <c r="DBE77" s="26"/>
      <c r="DBF77" s="26"/>
      <c r="DBG77" s="58"/>
      <c r="DBH77" s="26"/>
      <c r="DBI77" s="26"/>
      <c r="DBJ77" s="26"/>
      <c r="DBK77" s="26"/>
      <c r="DBL77" s="22"/>
      <c r="DBM77" s="167"/>
      <c r="DBN77" s="30"/>
      <c r="DBO77" s="25"/>
      <c r="DBP77" s="178"/>
      <c r="DBQ77" s="26"/>
      <c r="DBR77" s="26"/>
      <c r="DBS77" s="26"/>
      <c r="DBT77" s="26"/>
      <c r="DBU77" s="26"/>
      <c r="DBV77" s="26"/>
      <c r="DBW77" s="58"/>
      <c r="DBX77" s="26"/>
      <c r="DBY77" s="26"/>
      <c r="DBZ77" s="26"/>
      <c r="DCA77" s="26"/>
      <c r="DCB77" s="22"/>
      <c r="DCC77" s="167"/>
      <c r="DCD77" s="30"/>
      <c r="DCE77" s="25"/>
      <c r="DCF77" s="178"/>
      <c r="DCG77" s="26"/>
      <c r="DCH77" s="26"/>
      <c r="DCI77" s="26"/>
      <c r="DCJ77" s="26"/>
      <c r="DCK77" s="26"/>
      <c r="DCL77" s="26"/>
      <c r="DCM77" s="58"/>
      <c r="DCN77" s="26"/>
      <c r="DCO77" s="26"/>
      <c r="DCP77" s="26"/>
      <c r="DCQ77" s="26"/>
      <c r="DCR77" s="22"/>
      <c r="DCS77" s="167"/>
      <c r="DCT77" s="30"/>
      <c r="DCU77" s="25"/>
      <c r="DCV77" s="178"/>
      <c r="DCW77" s="26"/>
      <c r="DCX77" s="26"/>
      <c r="DCY77" s="26"/>
      <c r="DCZ77" s="26"/>
      <c r="DDA77" s="26"/>
      <c r="DDB77" s="26"/>
      <c r="DDC77" s="58"/>
      <c r="DDD77" s="26"/>
      <c r="DDE77" s="26"/>
      <c r="DDF77" s="26"/>
      <c r="DDG77" s="26"/>
      <c r="DDH77" s="22"/>
      <c r="DDI77" s="167"/>
      <c r="DDJ77" s="30"/>
      <c r="DDK77" s="25"/>
      <c r="DDL77" s="178"/>
      <c r="DDM77" s="26"/>
      <c r="DDN77" s="26"/>
      <c r="DDO77" s="26"/>
      <c r="DDP77" s="26"/>
      <c r="DDQ77" s="26"/>
      <c r="DDR77" s="26"/>
      <c r="DDS77" s="58"/>
      <c r="DDT77" s="26"/>
      <c r="DDU77" s="26"/>
      <c r="DDV77" s="26"/>
      <c r="DDW77" s="26"/>
      <c r="DDX77" s="22"/>
      <c r="DDY77" s="167"/>
      <c r="DDZ77" s="30"/>
      <c r="DEA77" s="25"/>
      <c r="DEB77" s="178"/>
      <c r="DEC77" s="26"/>
      <c r="DED77" s="26"/>
      <c r="DEE77" s="26"/>
      <c r="DEF77" s="26"/>
      <c r="DEG77" s="26"/>
      <c r="DEH77" s="26"/>
      <c r="DEI77" s="58"/>
      <c r="DEJ77" s="26"/>
      <c r="DEK77" s="26"/>
      <c r="DEL77" s="26"/>
      <c r="DEM77" s="26"/>
      <c r="DEN77" s="22"/>
      <c r="DEO77" s="167"/>
      <c r="DEP77" s="30"/>
      <c r="DEQ77" s="25"/>
      <c r="DER77" s="178"/>
      <c r="DES77" s="26"/>
      <c r="DET77" s="26"/>
      <c r="DEU77" s="26"/>
      <c r="DEV77" s="26"/>
      <c r="DEW77" s="26"/>
      <c r="DEX77" s="26"/>
      <c r="DEY77" s="58"/>
      <c r="DEZ77" s="26"/>
      <c r="DFA77" s="26"/>
      <c r="DFB77" s="26"/>
      <c r="DFC77" s="26"/>
      <c r="DFD77" s="22"/>
      <c r="DFE77" s="167"/>
      <c r="DFF77" s="30"/>
      <c r="DFG77" s="25"/>
      <c r="DFH77" s="178"/>
      <c r="DFI77" s="26"/>
      <c r="DFJ77" s="26"/>
      <c r="DFK77" s="26"/>
      <c r="DFL77" s="26"/>
      <c r="DFM77" s="26"/>
      <c r="DFN77" s="26"/>
      <c r="DFO77" s="58"/>
      <c r="DFP77" s="26"/>
      <c r="DFQ77" s="26"/>
      <c r="DFR77" s="26"/>
      <c r="DFS77" s="26"/>
      <c r="DFT77" s="22"/>
      <c r="DFU77" s="167"/>
      <c r="DFV77" s="30"/>
      <c r="DFW77" s="25"/>
      <c r="DFX77" s="178"/>
      <c r="DFY77" s="26"/>
      <c r="DFZ77" s="26"/>
      <c r="DGA77" s="26"/>
      <c r="DGB77" s="26"/>
      <c r="DGC77" s="26"/>
      <c r="DGD77" s="26"/>
      <c r="DGE77" s="58"/>
      <c r="DGF77" s="26"/>
      <c r="DGG77" s="26"/>
      <c r="DGH77" s="26"/>
      <c r="DGI77" s="26"/>
      <c r="DGJ77" s="22"/>
      <c r="DGK77" s="167"/>
      <c r="DGL77" s="30"/>
      <c r="DGM77" s="25"/>
      <c r="DGN77" s="178"/>
      <c r="DGO77" s="26"/>
      <c r="DGP77" s="26"/>
      <c r="DGQ77" s="26"/>
      <c r="DGR77" s="26"/>
      <c r="DGS77" s="26"/>
      <c r="DGT77" s="26"/>
      <c r="DGU77" s="58"/>
      <c r="DGV77" s="26"/>
      <c r="DGW77" s="26"/>
      <c r="DGX77" s="26"/>
      <c r="DGY77" s="26"/>
      <c r="DGZ77" s="22"/>
      <c r="DHA77" s="167"/>
      <c r="DHB77" s="30"/>
      <c r="DHC77" s="25"/>
      <c r="DHD77" s="178"/>
      <c r="DHE77" s="26"/>
      <c r="DHF77" s="26"/>
      <c r="DHG77" s="26"/>
      <c r="DHH77" s="26"/>
      <c r="DHI77" s="26"/>
      <c r="DHJ77" s="26"/>
      <c r="DHK77" s="58"/>
      <c r="DHL77" s="26"/>
      <c r="DHM77" s="26"/>
      <c r="DHN77" s="26"/>
      <c r="DHO77" s="26"/>
      <c r="DHP77" s="22"/>
      <c r="DHQ77" s="167"/>
      <c r="DHR77" s="30"/>
      <c r="DHS77" s="25"/>
      <c r="DHT77" s="178"/>
      <c r="DHU77" s="26"/>
      <c r="DHV77" s="26"/>
      <c r="DHW77" s="26"/>
      <c r="DHX77" s="26"/>
      <c r="DHY77" s="26"/>
      <c r="DHZ77" s="26"/>
      <c r="DIA77" s="58"/>
      <c r="DIB77" s="26"/>
      <c r="DIC77" s="26"/>
      <c r="DID77" s="26"/>
      <c r="DIE77" s="26"/>
      <c r="DIF77" s="22"/>
      <c r="DIG77" s="167"/>
      <c r="DIH77" s="30"/>
      <c r="DII77" s="25"/>
      <c r="DIJ77" s="178"/>
      <c r="DIK77" s="26"/>
      <c r="DIL77" s="26"/>
      <c r="DIM77" s="26"/>
      <c r="DIN77" s="26"/>
      <c r="DIO77" s="26"/>
      <c r="DIP77" s="26"/>
      <c r="DIQ77" s="58"/>
      <c r="DIR77" s="26"/>
      <c r="DIS77" s="26"/>
      <c r="DIT77" s="26"/>
      <c r="DIU77" s="26"/>
      <c r="DIV77" s="22"/>
      <c r="DIW77" s="167"/>
      <c r="DIX77" s="30"/>
      <c r="DIY77" s="25"/>
      <c r="DIZ77" s="178"/>
      <c r="DJA77" s="26"/>
      <c r="DJB77" s="26"/>
      <c r="DJC77" s="26"/>
      <c r="DJD77" s="26"/>
      <c r="DJE77" s="26"/>
      <c r="DJF77" s="26"/>
      <c r="DJG77" s="58"/>
      <c r="DJH77" s="26"/>
      <c r="DJI77" s="26"/>
      <c r="DJJ77" s="26"/>
      <c r="DJK77" s="26"/>
      <c r="DJL77" s="22"/>
      <c r="DJM77" s="167"/>
      <c r="DJN77" s="30"/>
      <c r="DJO77" s="25"/>
      <c r="DJP77" s="178"/>
      <c r="DJQ77" s="26"/>
      <c r="DJR77" s="26"/>
      <c r="DJS77" s="26"/>
      <c r="DJT77" s="26"/>
      <c r="DJU77" s="26"/>
      <c r="DJV77" s="26"/>
      <c r="DJW77" s="58"/>
      <c r="DJX77" s="26"/>
      <c r="DJY77" s="26"/>
      <c r="DJZ77" s="26"/>
      <c r="DKA77" s="26"/>
      <c r="DKB77" s="22"/>
      <c r="DKC77" s="167"/>
      <c r="DKD77" s="30"/>
      <c r="DKE77" s="25"/>
      <c r="DKF77" s="178"/>
      <c r="DKG77" s="26"/>
      <c r="DKH77" s="26"/>
      <c r="DKI77" s="26"/>
      <c r="DKJ77" s="26"/>
      <c r="DKK77" s="26"/>
      <c r="DKL77" s="26"/>
      <c r="DKM77" s="58"/>
      <c r="DKN77" s="26"/>
      <c r="DKO77" s="26"/>
      <c r="DKP77" s="26"/>
      <c r="DKQ77" s="26"/>
      <c r="DKR77" s="22"/>
      <c r="DKS77" s="167"/>
      <c r="DKT77" s="30"/>
      <c r="DKU77" s="25"/>
      <c r="DKV77" s="178"/>
      <c r="DKW77" s="26"/>
      <c r="DKX77" s="26"/>
      <c r="DKY77" s="26"/>
      <c r="DKZ77" s="26"/>
      <c r="DLA77" s="26"/>
      <c r="DLB77" s="26"/>
      <c r="DLC77" s="58"/>
      <c r="DLD77" s="26"/>
      <c r="DLE77" s="26"/>
      <c r="DLF77" s="26"/>
      <c r="DLG77" s="26"/>
      <c r="DLH77" s="22"/>
      <c r="DLI77" s="167"/>
      <c r="DLJ77" s="30"/>
      <c r="DLK77" s="25"/>
      <c r="DLL77" s="178"/>
      <c r="DLM77" s="26"/>
      <c r="DLN77" s="26"/>
      <c r="DLO77" s="26"/>
      <c r="DLP77" s="26"/>
      <c r="DLQ77" s="26"/>
      <c r="DLR77" s="26"/>
      <c r="DLS77" s="58"/>
      <c r="DLT77" s="26"/>
      <c r="DLU77" s="26"/>
      <c r="DLV77" s="26"/>
      <c r="DLW77" s="26"/>
      <c r="DLX77" s="22"/>
      <c r="DLY77" s="167"/>
      <c r="DLZ77" s="30"/>
      <c r="DMA77" s="25"/>
      <c r="DMB77" s="178"/>
      <c r="DMC77" s="26"/>
      <c r="DMD77" s="26"/>
      <c r="DME77" s="26"/>
      <c r="DMF77" s="26"/>
      <c r="DMG77" s="26"/>
      <c r="DMH77" s="26"/>
      <c r="DMI77" s="58"/>
      <c r="DMJ77" s="26"/>
      <c r="DMK77" s="26"/>
      <c r="DML77" s="26"/>
      <c r="DMM77" s="26"/>
      <c r="DMN77" s="22"/>
      <c r="DMO77" s="167"/>
      <c r="DMP77" s="30"/>
      <c r="DMQ77" s="25"/>
      <c r="DMR77" s="178"/>
      <c r="DMS77" s="26"/>
      <c r="DMT77" s="26"/>
      <c r="DMU77" s="26"/>
      <c r="DMV77" s="26"/>
      <c r="DMW77" s="26"/>
      <c r="DMX77" s="26"/>
      <c r="DMY77" s="58"/>
      <c r="DMZ77" s="26"/>
      <c r="DNA77" s="26"/>
      <c r="DNB77" s="26"/>
      <c r="DNC77" s="26"/>
      <c r="DND77" s="22"/>
      <c r="DNE77" s="167"/>
      <c r="DNF77" s="30"/>
      <c r="DNG77" s="25"/>
      <c r="DNH77" s="178"/>
      <c r="DNI77" s="26"/>
      <c r="DNJ77" s="26"/>
      <c r="DNK77" s="26"/>
      <c r="DNL77" s="26"/>
      <c r="DNM77" s="26"/>
      <c r="DNN77" s="26"/>
      <c r="DNO77" s="58"/>
      <c r="DNP77" s="26"/>
      <c r="DNQ77" s="26"/>
      <c r="DNR77" s="26"/>
      <c r="DNS77" s="26"/>
      <c r="DNT77" s="22"/>
      <c r="DNU77" s="167"/>
      <c r="DNV77" s="30"/>
      <c r="DNW77" s="25"/>
      <c r="DNX77" s="178"/>
      <c r="DNY77" s="26"/>
      <c r="DNZ77" s="26"/>
      <c r="DOA77" s="26"/>
      <c r="DOB77" s="26"/>
      <c r="DOC77" s="26"/>
      <c r="DOD77" s="26"/>
      <c r="DOE77" s="58"/>
      <c r="DOF77" s="26"/>
      <c r="DOG77" s="26"/>
      <c r="DOH77" s="26"/>
      <c r="DOI77" s="26"/>
      <c r="DOJ77" s="22"/>
      <c r="DOK77" s="167"/>
      <c r="DOL77" s="30"/>
      <c r="DOM77" s="25"/>
      <c r="DON77" s="178"/>
      <c r="DOO77" s="26"/>
      <c r="DOP77" s="26"/>
      <c r="DOQ77" s="26"/>
      <c r="DOR77" s="26"/>
      <c r="DOS77" s="26"/>
      <c r="DOT77" s="26"/>
      <c r="DOU77" s="58"/>
      <c r="DOV77" s="26"/>
      <c r="DOW77" s="26"/>
      <c r="DOX77" s="26"/>
      <c r="DOY77" s="26"/>
      <c r="DOZ77" s="22"/>
      <c r="DPA77" s="167"/>
      <c r="DPB77" s="30"/>
      <c r="DPC77" s="25"/>
      <c r="DPD77" s="178"/>
      <c r="DPE77" s="26"/>
      <c r="DPF77" s="26"/>
      <c r="DPG77" s="26"/>
      <c r="DPH77" s="26"/>
      <c r="DPI77" s="26"/>
      <c r="DPJ77" s="26"/>
      <c r="DPK77" s="58"/>
      <c r="DPL77" s="26"/>
      <c r="DPM77" s="26"/>
      <c r="DPN77" s="26"/>
      <c r="DPO77" s="26"/>
      <c r="DPP77" s="22"/>
      <c r="DPQ77" s="167"/>
      <c r="DPR77" s="30"/>
      <c r="DPS77" s="25"/>
      <c r="DPT77" s="178"/>
      <c r="DPU77" s="26"/>
      <c r="DPV77" s="26"/>
      <c r="DPW77" s="26"/>
      <c r="DPX77" s="26"/>
      <c r="DPY77" s="26"/>
      <c r="DPZ77" s="26"/>
      <c r="DQA77" s="58"/>
      <c r="DQB77" s="26"/>
      <c r="DQC77" s="26"/>
      <c r="DQD77" s="26"/>
      <c r="DQE77" s="26"/>
      <c r="DQF77" s="22"/>
      <c r="DQG77" s="167"/>
      <c r="DQH77" s="30"/>
      <c r="DQI77" s="25"/>
      <c r="DQJ77" s="178"/>
      <c r="DQK77" s="26"/>
      <c r="DQL77" s="26"/>
      <c r="DQM77" s="26"/>
      <c r="DQN77" s="26"/>
      <c r="DQO77" s="26"/>
      <c r="DQP77" s="26"/>
      <c r="DQQ77" s="58"/>
      <c r="DQR77" s="26"/>
      <c r="DQS77" s="26"/>
      <c r="DQT77" s="26"/>
      <c r="DQU77" s="26"/>
      <c r="DQV77" s="22"/>
      <c r="DQW77" s="167"/>
      <c r="DQX77" s="30"/>
      <c r="DQY77" s="25"/>
      <c r="DQZ77" s="178"/>
      <c r="DRA77" s="26"/>
      <c r="DRB77" s="26"/>
      <c r="DRC77" s="26"/>
      <c r="DRD77" s="26"/>
      <c r="DRE77" s="26"/>
      <c r="DRF77" s="26"/>
      <c r="DRG77" s="58"/>
      <c r="DRH77" s="26"/>
      <c r="DRI77" s="26"/>
      <c r="DRJ77" s="26"/>
      <c r="DRK77" s="26"/>
      <c r="DRL77" s="22"/>
      <c r="DRM77" s="167"/>
      <c r="DRN77" s="30"/>
      <c r="DRO77" s="25"/>
      <c r="DRP77" s="178"/>
      <c r="DRQ77" s="26"/>
      <c r="DRR77" s="26"/>
      <c r="DRS77" s="26"/>
      <c r="DRT77" s="26"/>
      <c r="DRU77" s="26"/>
      <c r="DRV77" s="26"/>
      <c r="DRW77" s="58"/>
      <c r="DRX77" s="26"/>
      <c r="DRY77" s="26"/>
      <c r="DRZ77" s="26"/>
      <c r="DSA77" s="26"/>
      <c r="DSB77" s="22"/>
      <c r="DSC77" s="167"/>
      <c r="DSD77" s="30"/>
      <c r="DSE77" s="25"/>
      <c r="DSF77" s="178"/>
      <c r="DSG77" s="26"/>
      <c r="DSH77" s="26"/>
      <c r="DSI77" s="26"/>
      <c r="DSJ77" s="26"/>
      <c r="DSK77" s="26"/>
      <c r="DSL77" s="26"/>
      <c r="DSM77" s="58"/>
      <c r="DSN77" s="26"/>
      <c r="DSO77" s="26"/>
      <c r="DSP77" s="26"/>
      <c r="DSQ77" s="26"/>
      <c r="DSR77" s="22"/>
      <c r="DSS77" s="167"/>
      <c r="DST77" s="30"/>
      <c r="DSU77" s="25"/>
      <c r="DSV77" s="178"/>
      <c r="DSW77" s="26"/>
      <c r="DSX77" s="26"/>
      <c r="DSY77" s="26"/>
      <c r="DSZ77" s="26"/>
      <c r="DTA77" s="26"/>
      <c r="DTB77" s="26"/>
      <c r="DTC77" s="58"/>
      <c r="DTD77" s="26"/>
      <c r="DTE77" s="26"/>
      <c r="DTF77" s="26"/>
      <c r="DTG77" s="26"/>
      <c r="DTH77" s="22"/>
      <c r="DTI77" s="167"/>
      <c r="DTJ77" s="30"/>
      <c r="DTK77" s="25"/>
      <c r="DTL77" s="178"/>
      <c r="DTM77" s="26"/>
      <c r="DTN77" s="26"/>
      <c r="DTO77" s="26"/>
      <c r="DTP77" s="26"/>
      <c r="DTQ77" s="26"/>
      <c r="DTR77" s="26"/>
      <c r="DTS77" s="58"/>
      <c r="DTT77" s="26"/>
      <c r="DTU77" s="26"/>
      <c r="DTV77" s="26"/>
      <c r="DTW77" s="26"/>
      <c r="DTX77" s="22"/>
      <c r="DTY77" s="167"/>
      <c r="DTZ77" s="30"/>
      <c r="DUA77" s="25"/>
      <c r="DUB77" s="178"/>
      <c r="DUC77" s="26"/>
      <c r="DUD77" s="26"/>
      <c r="DUE77" s="26"/>
      <c r="DUF77" s="26"/>
      <c r="DUG77" s="26"/>
      <c r="DUH77" s="26"/>
      <c r="DUI77" s="58"/>
      <c r="DUJ77" s="26"/>
      <c r="DUK77" s="26"/>
      <c r="DUL77" s="26"/>
      <c r="DUM77" s="26"/>
      <c r="DUN77" s="22"/>
      <c r="DUO77" s="167"/>
      <c r="DUP77" s="30"/>
      <c r="DUQ77" s="25"/>
      <c r="DUR77" s="178"/>
      <c r="DUS77" s="26"/>
      <c r="DUT77" s="26"/>
      <c r="DUU77" s="26"/>
      <c r="DUV77" s="26"/>
      <c r="DUW77" s="26"/>
      <c r="DUX77" s="26"/>
      <c r="DUY77" s="58"/>
      <c r="DUZ77" s="26"/>
      <c r="DVA77" s="26"/>
      <c r="DVB77" s="26"/>
      <c r="DVC77" s="26"/>
      <c r="DVD77" s="22"/>
      <c r="DVE77" s="167"/>
      <c r="DVF77" s="30"/>
      <c r="DVG77" s="25"/>
      <c r="DVH77" s="178"/>
      <c r="DVI77" s="26"/>
      <c r="DVJ77" s="26"/>
      <c r="DVK77" s="26"/>
      <c r="DVL77" s="26"/>
      <c r="DVM77" s="26"/>
      <c r="DVN77" s="26"/>
      <c r="DVO77" s="58"/>
      <c r="DVP77" s="26"/>
      <c r="DVQ77" s="26"/>
      <c r="DVR77" s="26"/>
      <c r="DVS77" s="26"/>
      <c r="DVT77" s="22"/>
      <c r="DVU77" s="167"/>
      <c r="DVV77" s="30"/>
      <c r="DVW77" s="25"/>
      <c r="DVX77" s="178"/>
      <c r="DVY77" s="26"/>
      <c r="DVZ77" s="26"/>
      <c r="DWA77" s="26"/>
      <c r="DWB77" s="26"/>
      <c r="DWC77" s="26"/>
      <c r="DWD77" s="26"/>
      <c r="DWE77" s="58"/>
      <c r="DWF77" s="26"/>
      <c r="DWG77" s="26"/>
      <c r="DWH77" s="26"/>
      <c r="DWI77" s="26"/>
      <c r="DWJ77" s="22"/>
      <c r="DWK77" s="167"/>
      <c r="DWL77" s="30"/>
      <c r="DWM77" s="25"/>
      <c r="DWN77" s="178"/>
      <c r="DWO77" s="26"/>
      <c r="DWP77" s="26"/>
      <c r="DWQ77" s="26"/>
      <c r="DWR77" s="26"/>
      <c r="DWS77" s="26"/>
      <c r="DWT77" s="26"/>
      <c r="DWU77" s="58"/>
      <c r="DWV77" s="26"/>
      <c r="DWW77" s="26"/>
      <c r="DWX77" s="26"/>
      <c r="DWY77" s="26"/>
      <c r="DWZ77" s="22"/>
      <c r="DXA77" s="167"/>
      <c r="DXB77" s="30"/>
      <c r="DXC77" s="25"/>
      <c r="DXD77" s="178"/>
      <c r="DXE77" s="26"/>
      <c r="DXF77" s="26"/>
      <c r="DXG77" s="26"/>
      <c r="DXH77" s="26"/>
      <c r="DXI77" s="26"/>
      <c r="DXJ77" s="26"/>
      <c r="DXK77" s="58"/>
      <c r="DXL77" s="26"/>
      <c r="DXM77" s="26"/>
      <c r="DXN77" s="26"/>
      <c r="DXO77" s="26"/>
      <c r="DXP77" s="22"/>
      <c r="DXQ77" s="167"/>
      <c r="DXR77" s="30"/>
      <c r="DXS77" s="25"/>
      <c r="DXT77" s="178"/>
      <c r="DXU77" s="26"/>
      <c r="DXV77" s="26"/>
      <c r="DXW77" s="26"/>
      <c r="DXX77" s="26"/>
      <c r="DXY77" s="26"/>
      <c r="DXZ77" s="26"/>
      <c r="DYA77" s="58"/>
      <c r="DYB77" s="26"/>
      <c r="DYC77" s="26"/>
      <c r="DYD77" s="26"/>
      <c r="DYE77" s="26"/>
      <c r="DYF77" s="22"/>
      <c r="DYG77" s="167"/>
      <c r="DYH77" s="30"/>
      <c r="DYI77" s="25"/>
      <c r="DYJ77" s="178"/>
      <c r="DYK77" s="26"/>
      <c r="DYL77" s="26"/>
      <c r="DYM77" s="26"/>
      <c r="DYN77" s="26"/>
      <c r="DYO77" s="26"/>
      <c r="DYP77" s="26"/>
      <c r="DYQ77" s="58"/>
      <c r="DYR77" s="26"/>
      <c r="DYS77" s="26"/>
      <c r="DYT77" s="26"/>
      <c r="DYU77" s="26"/>
      <c r="DYV77" s="22"/>
      <c r="DYW77" s="167"/>
      <c r="DYX77" s="30"/>
      <c r="DYY77" s="25"/>
      <c r="DYZ77" s="178"/>
      <c r="DZA77" s="26"/>
      <c r="DZB77" s="26"/>
      <c r="DZC77" s="26"/>
      <c r="DZD77" s="26"/>
      <c r="DZE77" s="26"/>
      <c r="DZF77" s="26"/>
      <c r="DZG77" s="58"/>
      <c r="DZH77" s="26"/>
      <c r="DZI77" s="26"/>
      <c r="DZJ77" s="26"/>
      <c r="DZK77" s="26"/>
      <c r="DZL77" s="22"/>
      <c r="DZM77" s="167"/>
      <c r="DZN77" s="30"/>
      <c r="DZO77" s="25"/>
      <c r="DZP77" s="178"/>
      <c r="DZQ77" s="26"/>
      <c r="DZR77" s="26"/>
      <c r="DZS77" s="26"/>
      <c r="DZT77" s="26"/>
      <c r="DZU77" s="26"/>
      <c r="DZV77" s="26"/>
      <c r="DZW77" s="58"/>
      <c r="DZX77" s="26"/>
      <c r="DZY77" s="26"/>
      <c r="DZZ77" s="26"/>
      <c r="EAA77" s="26"/>
      <c r="EAB77" s="22"/>
      <c r="EAC77" s="167"/>
      <c r="EAD77" s="30"/>
      <c r="EAE77" s="25"/>
      <c r="EAF77" s="178"/>
      <c r="EAG77" s="26"/>
      <c r="EAH77" s="26"/>
      <c r="EAI77" s="26"/>
      <c r="EAJ77" s="26"/>
      <c r="EAK77" s="26"/>
      <c r="EAL77" s="26"/>
      <c r="EAM77" s="58"/>
      <c r="EAN77" s="26"/>
      <c r="EAO77" s="26"/>
      <c r="EAP77" s="26"/>
      <c r="EAQ77" s="26"/>
      <c r="EAR77" s="22"/>
      <c r="EAS77" s="167"/>
      <c r="EAT77" s="30"/>
      <c r="EAU77" s="25"/>
      <c r="EAV77" s="178"/>
      <c r="EAW77" s="26"/>
      <c r="EAX77" s="26"/>
      <c r="EAY77" s="26"/>
      <c r="EAZ77" s="26"/>
      <c r="EBA77" s="26"/>
      <c r="EBB77" s="26"/>
      <c r="EBC77" s="58"/>
      <c r="EBD77" s="26"/>
      <c r="EBE77" s="26"/>
      <c r="EBF77" s="26"/>
      <c r="EBG77" s="26"/>
      <c r="EBH77" s="22"/>
      <c r="EBI77" s="167"/>
      <c r="EBJ77" s="30"/>
      <c r="EBK77" s="25"/>
      <c r="EBL77" s="178"/>
      <c r="EBM77" s="26"/>
      <c r="EBN77" s="26"/>
      <c r="EBO77" s="26"/>
      <c r="EBP77" s="26"/>
      <c r="EBQ77" s="26"/>
      <c r="EBR77" s="26"/>
      <c r="EBS77" s="58"/>
      <c r="EBT77" s="26"/>
      <c r="EBU77" s="26"/>
      <c r="EBV77" s="26"/>
      <c r="EBW77" s="26"/>
      <c r="EBX77" s="22"/>
      <c r="EBY77" s="167"/>
      <c r="EBZ77" s="30"/>
      <c r="ECA77" s="25"/>
      <c r="ECB77" s="178"/>
      <c r="ECC77" s="26"/>
      <c r="ECD77" s="26"/>
      <c r="ECE77" s="26"/>
      <c r="ECF77" s="26"/>
      <c r="ECG77" s="26"/>
      <c r="ECH77" s="26"/>
      <c r="ECI77" s="58"/>
      <c r="ECJ77" s="26"/>
      <c r="ECK77" s="26"/>
      <c r="ECL77" s="26"/>
      <c r="ECM77" s="26"/>
      <c r="ECN77" s="22"/>
      <c r="ECO77" s="167"/>
      <c r="ECP77" s="30"/>
      <c r="ECQ77" s="25"/>
      <c r="ECR77" s="178"/>
      <c r="ECS77" s="26"/>
      <c r="ECT77" s="26"/>
      <c r="ECU77" s="26"/>
      <c r="ECV77" s="26"/>
      <c r="ECW77" s="26"/>
      <c r="ECX77" s="26"/>
      <c r="ECY77" s="58"/>
      <c r="ECZ77" s="26"/>
      <c r="EDA77" s="26"/>
      <c r="EDB77" s="26"/>
      <c r="EDC77" s="26"/>
      <c r="EDD77" s="22"/>
      <c r="EDE77" s="167"/>
      <c r="EDF77" s="30"/>
      <c r="EDG77" s="25"/>
      <c r="EDH77" s="178"/>
      <c r="EDI77" s="26"/>
      <c r="EDJ77" s="26"/>
      <c r="EDK77" s="26"/>
      <c r="EDL77" s="26"/>
      <c r="EDM77" s="26"/>
      <c r="EDN77" s="26"/>
      <c r="EDO77" s="58"/>
      <c r="EDP77" s="26"/>
      <c r="EDQ77" s="26"/>
      <c r="EDR77" s="26"/>
      <c r="EDS77" s="26"/>
      <c r="EDT77" s="22"/>
      <c r="EDU77" s="167"/>
      <c r="EDV77" s="30"/>
      <c r="EDW77" s="25"/>
      <c r="EDX77" s="178"/>
      <c r="EDY77" s="26"/>
      <c r="EDZ77" s="26"/>
      <c r="EEA77" s="26"/>
      <c r="EEB77" s="26"/>
      <c r="EEC77" s="26"/>
      <c r="EED77" s="26"/>
      <c r="EEE77" s="58"/>
      <c r="EEF77" s="26"/>
      <c r="EEG77" s="26"/>
      <c r="EEH77" s="26"/>
      <c r="EEI77" s="26"/>
      <c r="EEJ77" s="22"/>
      <c r="EEK77" s="167"/>
      <c r="EEL77" s="30"/>
      <c r="EEM77" s="25"/>
      <c r="EEN77" s="178"/>
      <c r="EEO77" s="26"/>
      <c r="EEP77" s="26"/>
      <c r="EEQ77" s="26"/>
      <c r="EER77" s="26"/>
      <c r="EES77" s="26"/>
      <c r="EET77" s="26"/>
      <c r="EEU77" s="58"/>
      <c r="EEV77" s="26"/>
      <c r="EEW77" s="26"/>
      <c r="EEX77" s="26"/>
      <c r="EEY77" s="26"/>
      <c r="EEZ77" s="22"/>
      <c r="EFA77" s="167"/>
      <c r="EFB77" s="30"/>
      <c r="EFC77" s="25"/>
      <c r="EFD77" s="178"/>
      <c r="EFE77" s="26"/>
      <c r="EFF77" s="26"/>
      <c r="EFG77" s="26"/>
      <c r="EFH77" s="26"/>
      <c r="EFI77" s="26"/>
      <c r="EFJ77" s="26"/>
      <c r="EFK77" s="58"/>
      <c r="EFL77" s="26"/>
      <c r="EFM77" s="26"/>
      <c r="EFN77" s="26"/>
      <c r="EFO77" s="26"/>
      <c r="EFP77" s="22"/>
      <c r="EFQ77" s="167"/>
      <c r="EFR77" s="30"/>
      <c r="EFS77" s="25"/>
      <c r="EFT77" s="178"/>
      <c r="EFU77" s="26"/>
      <c r="EFV77" s="26"/>
      <c r="EFW77" s="26"/>
      <c r="EFX77" s="26"/>
      <c r="EFY77" s="26"/>
      <c r="EFZ77" s="26"/>
      <c r="EGA77" s="58"/>
      <c r="EGB77" s="26"/>
      <c r="EGC77" s="26"/>
      <c r="EGD77" s="26"/>
      <c r="EGE77" s="26"/>
      <c r="EGF77" s="22"/>
      <c r="EGG77" s="167"/>
      <c r="EGH77" s="30"/>
      <c r="EGI77" s="25"/>
      <c r="EGJ77" s="178"/>
      <c r="EGK77" s="26"/>
      <c r="EGL77" s="26"/>
      <c r="EGM77" s="26"/>
      <c r="EGN77" s="26"/>
      <c r="EGO77" s="26"/>
      <c r="EGP77" s="26"/>
      <c r="EGQ77" s="58"/>
      <c r="EGR77" s="26"/>
      <c r="EGS77" s="26"/>
      <c r="EGT77" s="26"/>
      <c r="EGU77" s="26"/>
      <c r="EGV77" s="22"/>
      <c r="EGW77" s="167"/>
      <c r="EGX77" s="30"/>
      <c r="EGY77" s="25"/>
      <c r="EGZ77" s="178"/>
      <c r="EHA77" s="26"/>
      <c r="EHB77" s="26"/>
      <c r="EHC77" s="26"/>
      <c r="EHD77" s="26"/>
      <c r="EHE77" s="26"/>
      <c r="EHF77" s="26"/>
      <c r="EHG77" s="58"/>
      <c r="EHH77" s="26"/>
      <c r="EHI77" s="26"/>
      <c r="EHJ77" s="26"/>
      <c r="EHK77" s="26"/>
      <c r="EHL77" s="22"/>
      <c r="EHM77" s="167"/>
      <c r="EHN77" s="30"/>
      <c r="EHO77" s="25"/>
      <c r="EHP77" s="178"/>
      <c r="EHQ77" s="26"/>
      <c r="EHR77" s="26"/>
      <c r="EHS77" s="26"/>
      <c r="EHT77" s="26"/>
      <c r="EHU77" s="26"/>
      <c r="EHV77" s="26"/>
      <c r="EHW77" s="58"/>
      <c r="EHX77" s="26"/>
      <c r="EHY77" s="26"/>
      <c r="EHZ77" s="26"/>
      <c r="EIA77" s="26"/>
      <c r="EIB77" s="22"/>
      <c r="EIC77" s="167"/>
      <c r="EID77" s="30"/>
      <c r="EIE77" s="25"/>
      <c r="EIF77" s="178"/>
      <c r="EIG77" s="26"/>
      <c r="EIH77" s="26"/>
      <c r="EII77" s="26"/>
      <c r="EIJ77" s="26"/>
      <c r="EIK77" s="26"/>
      <c r="EIL77" s="26"/>
      <c r="EIM77" s="58"/>
      <c r="EIN77" s="26"/>
      <c r="EIO77" s="26"/>
      <c r="EIP77" s="26"/>
      <c r="EIQ77" s="26"/>
      <c r="EIR77" s="22"/>
      <c r="EIS77" s="167"/>
      <c r="EIT77" s="30"/>
      <c r="EIU77" s="25"/>
      <c r="EIV77" s="178"/>
      <c r="EIW77" s="26"/>
      <c r="EIX77" s="26"/>
      <c r="EIY77" s="26"/>
      <c r="EIZ77" s="26"/>
      <c r="EJA77" s="26"/>
      <c r="EJB77" s="26"/>
      <c r="EJC77" s="58"/>
      <c r="EJD77" s="26"/>
      <c r="EJE77" s="26"/>
      <c r="EJF77" s="26"/>
      <c r="EJG77" s="26"/>
      <c r="EJH77" s="22"/>
      <c r="EJI77" s="167"/>
      <c r="EJJ77" s="30"/>
      <c r="EJK77" s="25"/>
      <c r="EJL77" s="178"/>
      <c r="EJM77" s="26"/>
      <c r="EJN77" s="26"/>
      <c r="EJO77" s="26"/>
      <c r="EJP77" s="26"/>
      <c r="EJQ77" s="26"/>
      <c r="EJR77" s="26"/>
      <c r="EJS77" s="58"/>
      <c r="EJT77" s="26"/>
      <c r="EJU77" s="26"/>
      <c r="EJV77" s="26"/>
      <c r="EJW77" s="26"/>
      <c r="EJX77" s="22"/>
      <c r="EJY77" s="167"/>
      <c r="EJZ77" s="30"/>
      <c r="EKA77" s="25"/>
      <c r="EKB77" s="178"/>
      <c r="EKC77" s="26"/>
      <c r="EKD77" s="26"/>
      <c r="EKE77" s="26"/>
      <c r="EKF77" s="26"/>
      <c r="EKG77" s="26"/>
      <c r="EKH77" s="26"/>
      <c r="EKI77" s="58"/>
      <c r="EKJ77" s="26"/>
      <c r="EKK77" s="26"/>
      <c r="EKL77" s="26"/>
      <c r="EKM77" s="26"/>
      <c r="EKN77" s="22"/>
      <c r="EKO77" s="167"/>
      <c r="EKP77" s="30"/>
      <c r="EKQ77" s="25"/>
      <c r="EKR77" s="178"/>
      <c r="EKS77" s="26"/>
      <c r="EKT77" s="26"/>
      <c r="EKU77" s="26"/>
      <c r="EKV77" s="26"/>
      <c r="EKW77" s="26"/>
      <c r="EKX77" s="26"/>
      <c r="EKY77" s="58"/>
      <c r="EKZ77" s="26"/>
      <c r="ELA77" s="26"/>
      <c r="ELB77" s="26"/>
      <c r="ELC77" s="26"/>
      <c r="ELD77" s="22"/>
      <c r="ELE77" s="167"/>
      <c r="ELF77" s="30"/>
      <c r="ELG77" s="25"/>
      <c r="ELH77" s="178"/>
      <c r="ELI77" s="26"/>
      <c r="ELJ77" s="26"/>
      <c r="ELK77" s="26"/>
      <c r="ELL77" s="26"/>
      <c r="ELM77" s="26"/>
      <c r="ELN77" s="26"/>
      <c r="ELO77" s="58"/>
      <c r="ELP77" s="26"/>
      <c r="ELQ77" s="26"/>
      <c r="ELR77" s="26"/>
      <c r="ELS77" s="26"/>
      <c r="ELT77" s="22"/>
      <c r="ELU77" s="167"/>
      <c r="ELV77" s="30"/>
      <c r="ELW77" s="25"/>
      <c r="ELX77" s="178"/>
      <c r="ELY77" s="26"/>
      <c r="ELZ77" s="26"/>
      <c r="EMA77" s="26"/>
      <c r="EMB77" s="26"/>
      <c r="EMC77" s="26"/>
      <c r="EMD77" s="26"/>
      <c r="EME77" s="58"/>
      <c r="EMF77" s="26"/>
      <c r="EMG77" s="26"/>
      <c r="EMH77" s="26"/>
      <c r="EMI77" s="26"/>
      <c r="EMJ77" s="22"/>
      <c r="EMK77" s="167"/>
      <c r="EML77" s="30"/>
      <c r="EMM77" s="25"/>
      <c r="EMN77" s="178"/>
      <c r="EMO77" s="26"/>
      <c r="EMP77" s="26"/>
      <c r="EMQ77" s="26"/>
      <c r="EMR77" s="26"/>
      <c r="EMS77" s="26"/>
      <c r="EMT77" s="26"/>
      <c r="EMU77" s="58"/>
      <c r="EMV77" s="26"/>
      <c r="EMW77" s="26"/>
      <c r="EMX77" s="26"/>
      <c r="EMY77" s="26"/>
      <c r="EMZ77" s="22"/>
      <c r="ENA77" s="167"/>
      <c r="ENB77" s="30"/>
      <c r="ENC77" s="25"/>
      <c r="END77" s="178"/>
      <c r="ENE77" s="26"/>
      <c r="ENF77" s="26"/>
      <c r="ENG77" s="26"/>
      <c r="ENH77" s="26"/>
      <c r="ENI77" s="26"/>
      <c r="ENJ77" s="26"/>
      <c r="ENK77" s="58"/>
      <c r="ENL77" s="26"/>
      <c r="ENM77" s="26"/>
      <c r="ENN77" s="26"/>
      <c r="ENO77" s="26"/>
      <c r="ENP77" s="22"/>
      <c r="ENQ77" s="167"/>
      <c r="ENR77" s="30"/>
      <c r="ENS77" s="25"/>
      <c r="ENT77" s="178"/>
      <c r="ENU77" s="26"/>
      <c r="ENV77" s="26"/>
      <c r="ENW77" s="26"/>
      <c r="ENX77" s="26"/>
      <c r="ENY77" s="26"/>
      <c r="ENZ77" s="26"/>
      <c r="EOA77" s="58"/>
      <c r="EOB77" s="26"/>
      <c r="EOC77" s="26"/>
      <c r="EOD77" s="26"/>
      <c r="EOE77" s="26"/>
      <c r="EOF77" s="22"/>
      <c r="EOG77" s="167"/>
      <c r="EOH77" s="30"/>
      <c r="EOI77" s="25"/>
      <c r="EOJ77" s="178"/>
      <c r="EOK77" s="26"/>
      <c r="EOL77" s="26"/>
      <c r="EOM77" s="26"/>
      <c r="EON77" s="26"/>
      <c r="EOO77" s="26"/>
      <c r="EOP77" s="26"/>
      <c r="EOQ77" s="58"/>
      <c r="EOR77" s="26"/>
      <c r="EOS77" s="26"/>
      <c r="EOT77" s="26"/>
      <c r="EOU77" s="26"/>
      <c r="EOV77" s="22"/>
      <c r="EOW77" s="167"/>
      <c r="EOX77" s="30"/>
      <c r="EOY77" s="25"/>
      <c r="EOZ77" s="178"/>
      <c r="EPA77" s="26"/>
      <c r="EPB77" s="26"/>
      <c r="EPC77" s="26"/>
      <c r="EPD77" s="26"/>
      <c r="EPE77" s="26"/>
      <c r="EPF77" s="26"/>
      <c r="EPG77" s="58"/>
      <c r="EPH77" s="26"/>
      <c r="EPI77" s="26"/>
      <c r="EPJ77" s="26"/>
      <c r="EPK77" s="26"/>
      <c r="EPL77" s="22"/>
      <c r="EPM77" s="167"/>
      <c r="EPN77" s="30"/>
      <c r="EPO77" s="25"/>
      <c r="EPP77" s="178"/>
      <c r="EPQ77" s="26"/>
      <c r="EPR77" s="26"/>
      <c r="EPS77" s="26"/>
      <c r="EPT77" s="26"/>
      <c r="EPU77" s="26"/>
      <c r="EPV77" s="26"/>
      <c r="EPW77" s="58"/>
      <c r="EPX77" s="26"/>
      <c r="EPY77" s="26"/>
      <c r="EPZ77" s="26"/>
      <c r="EQA77" s="26"/>
      <c r="EQB77" s="22"/>
      <c r="EQC77" s="167"/>
      <c r="EQD77" s="30"/>
      <c r="EQE77" s="25"/>
      <c r="EQF77" s="178"/>
      <c r="EQG77" s="26"/>
      <c r="EQH77" s="26"/>
      <c r="EQI77" s="26"/>
      <c r="EQJ77" s="26"/>
      <c r="EQK77" s="26"/>
      <c r="EQL77" s="26"/>
      <c r="EQM77" s="58"/>
      <c r="EQN77" s="26"/>
      <c r="EQO77" s="26"/>
      <c r="EQP77" s="26"/>
      <c r="EQQ77" s="26"/>
      <c r="EQR77" s="22"/>
      <c r="EQS77" s="167"/>
      <c r="EQT77" s="30"/>
      <c r="EQU77" s="25"/>
      <c r="EQV77" s="178"/>
      <c r="EQW77" s="26"/>
      <c r="EQX77" s="26"/>
      <c r="EQY77" s="26"/>
      <c r="EQZ77" s="26"/>
      <c r="ERA77" s="26"/>
      <c r="ERB77" s="26"/>
      <c r="ERC77" s="58"/>
      <c r="ERD77" s="26"/>
      <c r="ERE77" s="26"/>
      <c r="ERF77" s="26"/>
      <c r="ERG77" s="26"/>
      <c r="ERH77" s="22"/>
      <c r="ERI77" s="167"/>
      <c r="ERJ77" s="30"/>
      <c r="ERK77" s="25"/>
      <c r="ERL77" s="178"/>
      <c r="ERM77" s="26"/>
      <c r="ERN77" s="26"/>
      <c r="ERO77" s="26"/>
      <c r="ERP77" s="26"/>
      <c r="ERQ77" s="26"/>
      <c r="ERR77" s="26"/>
      <c r="ERS77" s="58"/>
      <c r="ERT77" s="26"/>
      <c r="ERU77" s="26"/>
      <c r="ERV77" s="26"/>
      <c r="ERW77" s="26"/>
      <c r="ERX77" s="22"/>
      <c r="ERY77" s="167"/>
      <c r="ERZ77" s="30"/>
      <c r="ESA77" s="25"/>
      <c r="ESB77" s="178"/>
      <c r="ESC77" s="26"/>
      <c r="ESD77" s="26"/>
      <c r="ESE77" s="26"/>
      <c r="ESF77" s="26"/>
      <c r="ESG77" s="26"/>
      <c r="ESH77" s="26"/>
      <c r="ESI77" s="58"/>
      <c r="ESJ77" s="26"/>
      <c r="ESK77" s="26"/>
      <c r="ESL77" s="26"/>
      <c r="ESM77" s="26"/>
      <c r="ESN77" s="22"/>
      <c r="ESO77" s="167"/>
      <c r="ESP77" s="30"/>
      <c r="ESQ77" s="25"/>
      <c r="ESR77" s="178"/>
      <c r="ESS77" s="26"/>
      <c r="EST77" s="26"/>
      <c r="ESU77" s="26"/>
      <c r="ESV77" s="26"/>
      <c r="ESW77" s="26"/>
      <c r="ESX77" s="26"/>
      <c r="ESY77" s="58"/>
      <c r="ESZ77" s="26"/>
      <c r="ETA77" s="26"/>
      <c r="ETB77" s="26"/>
      <c r="ETC77" s="26"/>
      <c r="ETD77" s="22"/>
      <c r="ETE77" s="167"/>
      <c r="ETF77" s="30"/>
      <c r="ETG77" s="25"/>
      <c r="ETH77" s="178"/>
      <c r="ETI77" s="26"/>
      <c r="ETJ77" s="26"/>
      <c r="ETK77" s="26"/>
      <c r="ETL77" s="26"/>
      <c r="ETM77" s="26"/>
      <c r="ETN77" s="26"/>
      <c r="ETO77" s="58"/>
      <c r="ETP77" s="26"/>
      <c r="ETQ77" s="26"/>
      <c r="ETR77" s="26"/>
      <c r="ETS77" s="26"/>
      <c r="ETT77" s="22"/>
      <c r="ETU77" s="167"/>
      <c r="ETV77" s="30"/>
      <c r="ETW77" s="25"/>
      <c r="ETX77" s="178"/>
      <c r="ETY77" s="26"/>
      <c r="ETZ77" s="26"/>
      <c r="EUA77" s="26"/>
      <c r="EUB77" s="26"/>
      <c r="EUC77" s="26"/>
      <c r="EUD77" s="26"/>
      <c r="EUE77" s="58"/>
      <c r="EUF77" s="26"/>
      <c r="EUG77" s="26"/>
      <c r="EUH77" s="26"/>
      <c r="EUI77" s="26"/>
      <c r="EUJ77" s="22"/>
      <c r="EUK77" s="167"/>
      <c r="EUL77" s="30"/>
      <c r="EUM77" s="25"/>
      <c r="EUN77" s="178"/>
      <c r="EUO77" s="26"/>
      <c r="EUP77" s="26"/>
      <c r="EUQ77" s="26"/>
      <c r="EUR77" s="26"/>
      <c r="EUS77" s="26"/>
      <c r="EUT77" s="26"/>
      <c r="EUU77" s="58"/>
      <c r="EUV77" s="26"/>
      <c r="EUW77" s="26"/>
      <c r="EUX77" s="26"/>
      <c r="EUY77" s="26"/>
      <c r="EUZ77" s="22"/>
      <c r="EVA77" s="167"/>
      <c r="EVB77" s="30"/>
      <c r="EVC77" s="25"/>
      <c r="EVD77" s="178"/>
      <c r="EVE77" s="26"/>
      <c r="EVF77" s="26"/>
      <c r="EVG77" s="26"/>
      <c r="EVH77" s="26"/>
      <c r="EVI77" s="26"/>
      <c r="EVJ77" s="26"/>
      <c r="EVK77" s="58"/>
      <c r="EVL77" s="26"/>
      <c r="EVM77" s="26"/>
      <c r="EVN77" s="26"/>
      <c r="EVO77" s="26"/>
      <c r="EVP77" s="22"/>
      <c r="EVQ77" s="167"/>
      <c r="EVR77" s="30"/>
      <c r="EVS77" s="25"/>
      <c r="EVT77" s="178"/>
      <c r="EVU77" s="26"/>
      <c r="EVV77" s="26"/>
      <c r="EVW77" s="26"/>
      <c r="EVX77" s="26"/>
      <c r="EVY77" s="26"/>
      <c r="EVZ77" s="26"/>
      <c r="EWA77" s="58"/>
      <c r="EWB77" s="26"/>
      <c r="EWC77" s="26"/>
      <c r="EWD77" s="26"/>
      <c r="EWE77" s="26"/>
      <c r="EWF77" s="22"/>
      <c r="EWG77" s="167"/>
      <c r="EWH77" s="30"/>
      <c r="EWI77" s="25"/>
      <c r="EWJ77" s="178"/>
      <c r="EWK77" s="26"/>
      <c r="EWL77" s="26"/>
      <c r="EWM77" s="26"/>
      <c r="EWN77" s="26"/>
      <c r="EWO77" s="26"/>
      <c r="EWP77" s="26"/>
      <c r="EWQ77" s="58"/>
      <c r="EWR77" s="26"/>
      <c r="EWS77" s="26"/>
      <c r="EWT77" s="26"/>
      <c r="EWU77" s="26"/>
      <c r="EWV77" s="22"/>
      <c r="EWW77" s="167"/>
      <c r="EWX77" s="30"/>
      <c r="EWY77" s="25"/>
      <c r="EWZ77" s="178"/>
      <c r="EXA77" s="26"/>
      <c r="EXB77" s="26"/>
      <c r="EXC77" s="26"/>
      <c r="EXD77" s="26"/>
      <c r="EXE77" s="26"/>
      <c r="EXF77" s="26"/>
      <c r="EXG77" s="58"/>
      <c r="EXH77" s="26"/>
      <c r="EXI77" s="26"/>
      <c r="EXJ77" s="26"/>
      <c r="EXK77" s="26"/>
      <c r="EXL77" s="22"/>
      <c r="EXM77" s="167"/>
      <c r="EXN77" s="30"/>
      <c r="EXO77" s="25"/>
      <c r="EXP77" s="178"/>
      <c r="EXQ77" s="26"/>
      <c r="EXR77" s="26"/>
      <c r="EXS77" s="26"/>
      <c r="EXT77" s="26"/>
      <c r="EXU77" s="26"/>
      <c r="EXV77" s="26"/>
      <c r="EXW77" s="58"/>
      <c r="EXX77" s="26"/>
      <c r="EXY77" s="26"/>
      <c r="EXZ77" s="26"/>
      <c r="EYA77" s="26"/>
      <c r="EYB77" s="22"/>
      <c r="EYC77" s="167"/>
      <c r="EYD77" s="30"/>
      <c r="EYE77" s="25"/>
      <c r="EYF77" s="178"/>
      <c r="EYG77" s="26"/>
      <c r="EYH77" s="26"/>
      <c r="EYI77" s="26"/>
      <c r="EYJ77" s="26"/>
      <c r="EYK77" s="26"/>
      <c r="EYL77" s="26"/>
      <c r="EYM77" s="58"/>
      <c r="EYN77" s="26"/>
      <c r="EYO77" s="26"/>
      <c r="EYP77" s="26"/>
      <c r="EYQ77" s="26"/>
      <c r="EYR77" s="22"/>
      <c r="EYS77" s="167"/>
      <c r="EYT77" s="30"/>
      <c r="EYU77" s="25"/>
      <c r="EYV77" s="178"/>
      <c r="EYW77" s="26"/>
      <c r="EYX77" s="26"/>
      <c r="EYY77" s="26"/>
      <c r="EYZ77" s="26"/>
      <c r="EZA77" s="26"/>
      <c r="EZB77" s="26"/>
      <c r="EZC77" s="58"/>
      <c r="EZD77" s="26"/>
      <c r="EZE77" s="26"/>
      <c r="EZF77" s="26"/>
      <c r="EZG77" s="26"/>
      <c r="EZH77" s="22"/>
      <c r="EZI77" s="167"/>
      <c r="EZJ77" s="30"/>
      <c r="EZK77" s="25"/>
      <c r="EZL77" s="178"/>
      <c r="EZM77" s="26"/>
      <c r="EZN77" s="26"/>
      <c r="EZO77" s="26"/>
      <c r="EZP77" s="26"/>
      <c r="EZQ77" s="26"/>
      <c r="EZR77" s="26"/>
      <c r="EZS77" s="58"/>
      <c r="EZT77" s="26"/>
      <c r="EZU77" s="26"/>
      <c r="EZV77" s="26"/>
      <c r="EZW77" s="26"/>
      <c r="EZX77" s="22"/>
      <c r="EZY77" s="167"/>
      <c r="EZZ77" s="30"/>
      <c r="FAA77" s="25"/>
      <c r="FAB77" s="178"/>
      <c r="FAC77" s="26"/>
      <c r="FAD77" s="26"/>
      <c r="FAE77" s="26"/>
      <c r="FAF77" s="26"/>
      <c r="FAG77" s="26"/>
      <c r="FAH77" s="26"/>
      <c r="FAI77" s="58"/>
      <c r="FAJ77" s="26"/>
      <c r="FAK77" s="26"/>
      <c r="FAL77" s="26"/>
      <c r="FAM77" s="26"/>
      <c r="FAN77" s="22"/>
      <c r="FAO77" s="167"/>
      <c r="FAP77" s="30"/>
      <c r="FAQ77" s="25"/>
      <c r="FAR77" s="178"/>
      <c r="FAS77" s="26"/>
      <c r="FAT77" s="26"/>
      <c r="FAU77" s="26"/>
      <c r="FAV77" s="26"/>
      <c r="FAW77" s="26"/>
      <c r="FAX77" s="26"/>
      <c r="FAY77" s="58"/>
      <c r="FAZ77" s="26"/>
      <c r="FBA77" s="26"/>
      <c r="FBB77" s="26"/>
      <c r="FBC77" s="26"/>
      <c r="FBD77" s="22"/>
      <c r="FBE77" s="167"/>
      <c r="FBF77" s="30"/>
      <c r="FBG77" s="25"/>
      <c r="FBH77" s="178"/>
      <c r="FBI77" s="26"/>
      <c r="FBJ77" s="26"/>
      <c r="FBK77" s="26"/>
      <c r="FBL77" s="26"/>
      <c r="FBM77" s="26"/>
      <c r="FBN77" s="26"/>
      <c r="FBO77" s="58"/>
      <c r="FBP77" s="26"/>
      <c r="FBQ77" s="26"/>
      <c r="FBR77" s="26"/>
      <c r="FBS77" s="26"/>
      <c r="FBT77" s="22"/>
      <c r="FBU77" s="167"/>
      <c r="FBV77" s="30"/>
      <c r="FBW77" s="25"/>
      <c r="FBX77" s="178"/>
      <c r="FBY77" s="26"/>
      <c r="FBZ77" s="26"/>
      <c r="FCA77" s="26"/>
      <c r="FCB77" s="26"/>
      <c r="FCC77" s="26"/>
      <c r="FCD77" s="26"/>
      <c r="FCE77" s="58"/>
      <c r="FCF77" s="26"/>
      <c r="FCG77" s="26"/>
      <c r="FCH77" s="26"/>
      <c r="FCI77" s="26"/>
      <c r="FCJ77" s="22"/>
      <c r="FCK77" s="167"/>
      <c r="FCL77" s="30"/>
      <c r="FCM77" s="25"/>
      <c r="FCN77" s="178"/>
      <c r="FCO77" s="26"/>
      <c r="FCP77" s="26"/>
      <c r="FCQ77" s="26"/>
      <c r="FCR77" s="26"/>
      <c r="FCS77" s="26"/>
      <c r="FCT77" s="26"/>
      <c r="FCU77" s="58"/>
      <c r="FCV77" s="26"/>
      <c r="FCW77" s="26"/>
      <c r="FCX77" s="26"/>
      <c r="FCY77" s="26"/>
      <c r="FCZ77" s="22"/>
      <c r="FDA77" s="167"/>
      <c r="FDB77" s="30"/>
      <c r="FDC77" s="25"/>
      <c r="FDD77" s="178"/>
      <c r="FDE77" s="26"/>
      <c r="FDF77" s="26"/>
      <c r="FDG77" s="26"/>
      <c r="FDH77" s="26"/>
      <c r="FDI77" s="26"/>
      <c r="FDJ77" s="26"/>
      <c r="FDK77" s="58"/>
      <c r="FDL77" s="26"/>
      <c r="FDM77" s="26"/>
      <c r="FDN77" s="26"/>
      <c r="FDO77" s="26"/>
      <c r="FDP77" s="22"/>
      <c r="FDQ77" s="167"/>
      <c r="FDR77" s="30"/>
      <c r="FDS77" s="25"/>
      <c r="FDT77" s="178"/>
      <c r="FDU77" s="26"/>
      <c r="FDV77" s="26"/>
      <c r="FDW77" s="26"/>
      <c r="FDX77" s="26"/>
      <c r="FDY77" s="26"/>
      <c r="FDZ77" s="26"/>
      <c r="FEA77" s="58"/>
      <c r="FEB77" s="26"/>
      <c r="FEC77" s="26"/>
      <c r="FED77" s="26"/>
      <c r="FEE77" s="26"/>
      <c r="FEF77" s="22"/>
      <c r="FEG77" s="167"/>
      <c r="FEH77" s="30"/>
      <c r="FEI77" s="25"/>
      <c r="FEJ77" s="178"/>
      <c r="FEK77" s="26"/>
      <c r="FEL77" s="26"/>
      <c r="FEM77" s="26"/>
      <c r="FEN77" s="26"/>
      <c r="FEO77" s="26"/>
      <c r="FEP77" s="26"/>
      <c r="FEQ77" s="58"/>
      <c r="FER77" s="26"/>
      <c r="FES77" s="26"/>
      <c r="FET77" s="26"/>
      <c r="FEU77" s="26"/>
      <c r="FEV77" s="22"/>
      <c r="FEW77" s="167"/>
      <c r="FEX77" s="30"/>
      <c r="FEY77" s="25"/>
      <c r="FEZ77" s="178"/>
      <c r="FFA77" s="26"/>
      <c r="FFB77" s="26"/>
      <c r="FFC77" s="26"/>
      <c r="FFD77" s="26"/>
      <c r="FFE77" s="26"/>
      <c r="FFF77" s="26"/>
      <c r="FFG77" s="58"/>
      <c r="FFH77" s="26"/>
      <c r="FFI77" s="26"/>
      <c r="FFJ77" s="26"/>
      <c r="FFK77" s="26"/>
      <c r="FFL77" s="22"/>
      <c r="FFM77" s="167"/>
      <c r="FFN77" s="30"/>
      <c r="FFO77" s="25"/>
      <c r="FFP77" s="178"/>
      <c r="FFQ77" s="26"/>
      <c r="FFR77" s="26"/>
      <c r="FFS77" s="26"/>
      <c r="FFT77" s="26"/>
      <c r="FFU77" s="26"/>
      <c r="FFV77" s="26"/>
      <c r="FFW77" s="58"/>
      <c r="FFX77" s="26"/>
      <c r="FFY77" s="26"/>
      <c r="FFZ77" s="26"/>
      <c r="FGA77" s="26"/>
      <c r="FGB77" s="22"/>
      <c r="FGC77" s="167"/>
      <c r="FGD77" s="30"/>
      <c r="FGE77" s="25"/>
      <c r="FGF77" s="178"/>
      <c r="FGG77" s="26"/>
      <c r="FGH77" s="26"/>
      <c r="FGI77" s="26"/>
      <c r="FGJ77" s="26"/>
      <c r="FGK77" s="26"/>
      <c r="FGL77" s="26"/>
      <c r="FGM77" s="58"/>
      <c r="FGN77" s="26"/>
      <c r="FGO77" s="26"/>
      <c r="FGP77" s="26"/>
      <c r="FGQ77" s="26"/>
      <c r="FGR77" s="22"/>
      <c r="FGS77" s="167"/>
      <c r="FGT77" s="30"/>
      <c r="FGU77" s="25"/>
      <c r="FGV77" s="178"/>
      <c r="FGW77" s="26"/>
      <c r="FGX77" s="26"/>
      <c r="FGY77" s="26"/>
      <c r="FGZ77" s="26"/>
      <c r="FHA77" s="26"/>
      <c r="FHB77" s="26"/>
      <c r="FHC77" s="58"/>
      <c r="FHD77" s="26"/>
      <c r="FHE77" s="26"/>
      <c r="FHF77" s="26"/>
      <c r="FHG77" s="26"/>
      <c r="FHH77" s="22"/>
      <c r="FHI77" s="167"/>
      <c r="FHJ77" s="30"/>
      <c r="FHK77" s="25"/>
      <c r="FHL77" s="178"/>
      <c r="FHM77" s="26"/>
      <c r="FHN77" s="26"/>
      <c r="FHO77" s="26"/>
      <c r="FHP77" s="26"/>
      <c r="FHQ77" s="26"/>
      <c r="FHR77" s="26"/>
      <c r="FHS77" s="58"/>
      <c r="FHT77" s="26"/>
      <c r="FHU77" s="26"/>
      <c r="FHV77" s="26"/>
      <c r="FHW77" s="26"/>
      <c r="FHX77" s="22"/>
      <c r="FHY77" s="167"/>
      <c r="FHZ77" s="30"/>
      <c r="FIA77" s="25"/>
      <c r="FIB77" s="178"/>
      <c r="FIC77" s="26"/>
      <c r="FID77" s="26"/>
      <c r="FIE77" s="26"/>
      <c r="FIF77" s="26"/>
      <c r="FIG77" s="26"/>
      <c r="FIH77" s="26"/>
      <c r="FII77" s="58"/>
      <c r="FIJ77" s="26"/>
      <c r="FIK77" s="26"/>
      <c r="FIL77" s="26"/>
      <c r="FIM77" s="26"/>
      <c r="FIN77" s="22"/>
      <c r="FIO77" s="167"/>
      <c r="FIP77" s="30"/>
      <c r="FIQ77" s="25"/>
      <c r="FIR77" s="178"/>
      <c r="FIS77" s="26"/>
      <c r="FIT77" s="26"/>
      <c r="FIU77" s="26"/>
      <c r="FIV77" s="26"/>
      <c r="FIW77" s="26"/>
      <c r="FIX77" s="26"/>
      <c r="FIY77" s="58"/>
      <c r="FIZ77" s="26"/>
      <c r="FJA77" s="26"/>
      <c r="FJB77" s="26"/>
      <c r="FJC77" s="26"/>
      <c r="FJD77" s="22"/>
      <c r="FJE77" s="167"/>
      <c r="FJF77" s="30"/>
      <c r="FJG77" s="25"/>
      <c r="FJH77" s="178"/>
      <c r="FJI77" s="26"/>
      <c r="FJJ77" s="26"/>
      <c r="FJK77" s="26"/>
      <c r="FJL77" s="26"/>
      <c r="FJM77" s="26"/>
      <c r="FJN77" s="26"/>
      <c r="FJO77" s="58"/>
      <c r="FJP77" s="26"/>
      <c r="FJQ77" s="26"/>
      <c r="FJR77" s="26"/>
      <c r="FJS77" s="26"/>
      <c r="FJT77" s="22"/>
      <c r="FJU77" s="167"/>
      <c r="FJV77" s="30"/>
      <c r="FJW77" s="25"/>
      <c r="FJX77" s="178"/>
      <c r="FJY77" s="26"/>
      <c r="FJZ77" s="26"/>
      <c r="FKA77" s="26"/>
      <c r="FKB77" s="26"/>
      <c r="FKC77" s="26"/>
      <c r="FKD77" s="26"/>
      <c r="FKE77" s="58"/>
      <c r="FKF77" s="26"/>
      <c r="FKG77" s="26"/>
      <c r="FKH77" s="26"/>
      <c r="FKI77" s="26"/>
      <c r="FKJ77" s="22"/>
      <c r="FKK77" s="167"/>
      <c r="FKL77" s="30"/>
      <c r="FKM77" s="25"/>
      <c r="FKN77" s="178"/>
      <c r="FKO77" s="26"/>
      <c r="FKP77" s="26"/>
      <c r="FKQ77" s="26"/>
      <c r="FKR77" s="26"/>
      <c r="FKS77" s="26"/>
      <c r="FKT77" s="26"/>
      <c r="FKU77" s="58"/>
      <c r="FKV77" s="26"/>
      <c r="FKW77" s="26"/>
      <c r="FKX77" s="26"/>
      <c r="FKY77" s="26"/>
      <c r="FKZ77" s="22"/>
      <c r="FLA77" s="167"/>
      <c r="FLB77" s="30"/>
      <c r="FLC77" s="25"/>
      <c r="FLD77" s="178"/>
      <c r="FLE77" s="26"/>
      <c r="FLF77" s="26"/>
      <c r="FLG77" s="26"/>
      <c r="FLH77" s="26"/>
      <c r="FLI77" s="26"/>
      <c r="FLJ77" s="26"/>
      <c r="FLK77" s="58"/>
      <c r="FLL77" s="26"/>
      <c r="FLM77" s="26"/>
      <c r="FLN77" s="26"/>
      <c r="FLO77" s="26"/>
      <c r="FLP77" s="22"/>
      <c r="FLQ77" s="167"/>
      <c r="FLR77" s="30"/>
      <c r="FLS77" s="25"/>
      <c r="FLT77" s="178"/>
      <c r="FLU77" s="26"/>
      <c r="FLV77" s="26"/>
      <c r="FLW77" s="26"/>
      <c r="FLX77" s="26"/>
      <c r="FLY77" s="26"/>
      <c r="FLZ77" s="26"/>
      <c r="FMA77" s="58"/>
      <c r="FMB77" s="26"/>
      <c r="FMC77" s="26"/>
      <c r="FMD77" s="26"/>
      <c r="FME77" s="26"/>
      <c r="FMF77" s="22"/>
      <c r="FMG77" s="167"/>
      <c r="FMH77" s="30"/>
      <c r="FMI77" s="25"/>
      <c r="FMJ77" s="178"/>
      <c r="FMK77" s="26"/>
      <c r="FML77" s="26"/>
      <c r="FMM77" s="26"/>
      <c r="FMN77" s="26"/>
      <c r="FMO77" s="26"/>
      <c r="FMP77" s="26"/>
      <c r="FMQ77" s="58"/>
      <c r="FMR77" s="26"/>
      <c r="FMS77" s="26"/>
      <c r="FMT77" s="26"/>
      <c r="FMU77" s="26"/>
      <c r="FMV77" s="22"/>
      <c r="FMW77" s="167"/>
      <c r="FMX77" s="30"/>
      <c r="FMY77" s="25"/>
      <c r="FMZ77" s="178"/>
      <c r="FNA77" s="26"/>
      <c r="FNB77" s="26"/>
      <c r="FNC77" s="26"/>
      <c r="FND77" s="26"/>
      <c r="FNE77" s="26"/>
      <c r="FNF77" s="26"/>
      <c r="FNG77" s="58"/>
      <c r="FNH77" s="26"/>
      <c r="FNI77" s="26"/>
      <c r="FNJ77" s="26"/>
      <c r="FNK77" s="26"/>
      <c r="FNL77" s="22"/>
      <c r="FNM77" s="167"/>
      <c r="FNN77" s="30"/>
      <c r="FNO77" s="25"/>
      <c r="FNP77" s="178"/>
      <c r="FNQ77" s="26"/>
      <c r="FNR77" s="26"/>
      <c r="FNS77" s="26"/>
      <c r="FNT77" s="26"/>
      <c r="FNU77" s="26"/>
      <c r="FNV77" s="26"/>
      <c r="FNW77" s="58"/>
      <c r="FNX77" s="26"/>
      <c r="FNY77" s="26"/>
      <c r="FNZ77" s="26"/>
      <c r="FOA77" s="26"/>
      <c r="FOB77" s="22"/>
      <c r="FOC77" s="167"/>
      <c r="FOD77" s="30"/>
      <c r="FOE77" s="25"/>
      <c r="FOF77" s="178"/>
      <c r="FOG77" s="26"/>
      <c r="FOH77" s="26"/>
      <c r="FOI77" s="26"/>
      <c r="FOJ77" s="26"/>
      <c r="FOK77" s="26"/>
      <c r="FOL77" s="26"/>
      <c r="FOM77" s="58"/>
      <c r="FON77" s="26"/>
      <c r="FOO77" s="26"/>
      <c r="FOP77" s="26"/>
      <c r="FOQ77" s="26"/>
      <c r="FOR77" s="22"/>
      <c r="FOS77" s="167"/>
      <c r="FOT77" s="30"/>
      <c r="FOU77" s="25"/>
      <c r="FOV77" s="178"/>
      <c r="FOW77" s="26"/>
      <c r="FOX77" s="26"/>
      <c r="FOY77" s="26"/>
      <c r="FOZ77" s="26"/>
      <c r="FPA77" s="26"/>
      <c r="FPB77" s="26"/>
      <c r="FPC77" s="58"/>
      <c r="FPD77" s="26"/>
      <c r="FPE77" s="26"/>
      <c r="FPF77" s="26"/>
      <c r="FPG77" s="26"/>
      <c r="FPH77" s="22"/>
      <c r="FPI77" s="167"/>
      <c r="FPJ77" s="30"/>
      <c r="FPK77" s="25"/>
      <c r="FPL77" s="178"/>
      <c r="FPM77" s="26"/>
      <c r="FPN77" s="26"/>
      <c r="FPO77" s="26"/>
      <c r="FPP77" s="26"/>
      <c r="FPQ77" s="26"/>
      <c r="FPR77" s="26"/>
      <c r="FPS77" s="58"/>
      <c r="FPT77" s="26"/>
      <c r="FPU77" s="26"/>
      <c r="FPV77" s="26"/>
      <c r="FPW77" s="26"/>
      <c r="FPX77" s="22"/>
      <c r="FPY77" s="167"/>
      <c r="FPZ77" s="30"/>
      <c r="FQA77" s="25"/>
      <c r="FQB77" s="178"/>
      <c r="FQC77" s="26"/>
      <c r="FQD77" s="26"/>
      <c r="FQE77" s="26"/>
      <c r="FQF77" s="26"/>
      <c r="FQG77" s="26"/>
      <c r="FQH77" s="26"/>
      <c r="FQI77" s="58"/>
      <c r="FQJ77" s="26"/>
      <c r="FQK77" s="26"/>
      <c r="FQL77" s="26"/>
      <c r="FQM77" s="26"/>
      <c r="FQN77" s="22"/>
      <c r="FQO77" s="167"/>
      <c r="FQP77" s="30"/>
      <c r="FQQ77" s="25"/>
      <c r="FQR77" s="178"/>
      <c r="FQS77" s="26"/>
      <c r="FQT77" s="26"/>
      <c r="FQU77" s="26"/>
      <c r="FQV77" s="26"/>
      <c r="FQW77" s="26"/>
      <c r="FQX77" s="26"/>
      <c r="FQY77" s="58"/>
      <c r="FQZ77" s="26"/>
      <c r="FRA77" s="26"/>
      <c r="FRB77" s="26"/>
      <c r="FRC77" s="26"/>
      <c r="FRD77" s="22"/>
      <c r="FRE77" s="167"/>
      <c r="FRF77" s="30"/>
      <c r="FRG77" s="25"/>
      <c r="FRH77" s="178"/>
      <c r="FRI77" s="26"/>
      <c r="FRJ77" s="26"/>
      <c r="FRK77" s="26"/>
      <c r="FRL77" s="26"/>
      <c r="FRM77" s="26"/>
      <c r="FRN77" s="26"/>
      <c r="FRO77" s="58"/>
      <c r="FRP77" s="26"/>
      <c r="FRQ77" s="26"/>
      <c r="FRR77" s="26"/>
      <c r="FRS77" s="26"/>
      <c r="FRT77" s="22"/>
      <c r="FRU77" s="167"/>
      <c r="FRV77" s="30"/>
      <c r="FRW77" s="25"/>
      <c r="FRX77" s="178"/>
      <c r="FRY77" s="26"/>
      <c r="FRZ77" s="26"/>
      <c r="FSA77" s="26"/>
      <c r="FSB77" s="26"/>
      <c r="FSC77" s="26"/>
      <c r="FSD77" s="26"/>
      <c r="FSE77" s="58"/>
      <c r="FSF77" s="26"/>
      <c r="FSG77" s="26"/>
      <c r="FSH77" s="26"/>
      <c r="FSI77" s="26"/>
      <c r="FSJ77" s="22"/>
      <c r="FSK77" s="167"/>
      <c r="FSL77" s="30"/>
      <c r="FSM77" s="25"/>
      <c r="FSN77" s="178"/>
      <c r="FSO77" s="26"/>
      <c r="FSP77" s="26"/>
      <c r="FSQ77" s="26"/>
      <c r="FSR77" s="26"/>
      <c r="FSS77" s="26"/>
      <c r="FST77" s="26"/>
      <c r="FSU77" s="58"/>
      <c r="FSV77" s="26"/>
      <c r="FSW77" s="26"/>
      <c r="FSX77" s="26"/>
      <c r="FSY77" s="26"/>
      <c r="FSZ77" s="22"/>
      <c r="FTA77" s="167"/>
      <c r="FTB77" s="30"/>
      <c r="FTC77" s="25"/>
      <c r="FTD77" s="178"/>
      <c r="FTE77" s="26"/>
      <c r="FTF77" s="26"/>
      <c r="FTG77" s="26"/>
      <c r="FTH77" s="26"/>
      <c r="FTI77" s="26"/>
      <c r="FTJ77" s="26"/>
      <c r="FTK77" s="58"/>
      <c r="FTL77" s="26"/>
      <c r="FTM77" s="26"/>
      <c r="FTN77" s="26"/>
      <c r="FTO77" s="26"/>
      <c r="FTP77" s="22"/>
      <c r="FTQ77" s="167"/>
      <c r="FTR77" s="30"/>
      <c r="FTS77" s="25"/>
      <c r="FTT77" s="178"/>
      <c r="FTU77" s="26"/>
      <c r="FTV77" s="26"/>
      <c r="FTW77" s="26"/>
      <c r="FTX77" s="26"/>
      <c r="FTY77" s="26"/>
      <c r="FTZ77" s="26"/>
      <c r="FUA77" s="58"/>
      <c r="FUB77" s="26"/>
      <c r="FUC77" s="26"/>
      <c r="FUD77" s="26"/>
      <c r="FUE77" s="26"/>
      <c r="FUF77" s="22"/>
      <c r="FUG77" s="167"/>
      <c r="FUH77" s="30"/>
      <c r="FUI77" s="25"/>
      <c r="FUJ77" s="178"/>
      <c r="FUK77" s="26"/>
      <c r="FUL77" s="26"/>
      <c r="FUM77" s="26"/>
      <c r="FUN77" s="26"/>
      <c r="FUO77" s="26"/>
      <c r="FUP77" s="26"/>
      <c r="FUQ77" s="58"/>
      <c r="FUR77" s="26"/>
      <c r="FUS77" s="26"/>
      <c r="FUT77" s="26"/>
      <c r="FUU77" s="26"/>
      <c r="FUV77" s="22"/>
      <c r="FUW77" s="167"/>
      <c r="FUX77" s="30"/>
      <c r="FUY77" s="25"/>
      <c r="FUZ77" s="178"/>
      <c r="FVA77" s="26"/>
      <c r="FVB77" s="26"/>
      <c r="FVC77" s="26"/>
      <c r="FVD77" s="26"/>
      <c r="FVE77" s="26"/>
      <c r="FVF77" s="26"/>
      <c r="FVG77" s="58"/>
      <c r="FVH77" s="26"/>
      <c r="FVI77" s="26"/>
      <c r="FVJ77" s="26"/>
      <c r="FVK77" s="26"/>
      <c r="FVL77" s="22"/>
      <c r="FVM77" s="167"/>
      <c r="FVN77" s="30"/>
      <c r="FVO77" s="25"/>
      <c r="FVP77" s="178"/>
      <c r="FVQ77" s="26"/>
      <c r="FVR77" s="26"/>
      <c r="FVS77" s="26"/>
      <c r="FVT77" s="26"/>
      <c r="FVU77" s="26"/>
      <c r="FVV77" s="26"/>
      <c r="FVW77" s="58"/>
      <c r="FVX77" s="26"/>
      <c r="FVY77" s="26"/>
      <c r="FVZ77" s="26"/>
      <c r="FWA77" s="26"/>
      <c r="FWB77" s="22"/>
      <c r="FWC77" s="167"/>
      <c r="FWD77" s="30"/>
      <c r="FWE77" s="25"/>
      <c r="FWF77" s="178"/>
      <c r="FWG77" s="26"/>
      <c r="FWH77" s="26"/>
      <c r="FWI77" s="26"/>
      <c r="FWJ77" s="26"/>
      <c r="FWK77" s="26"/>
      <c r="FWL77" s="26"/>
      <c r="FWM77" s="58"/>
      <c r="FWN77" s="26"/>
      <c r="FWO77" s="26"/>
      <c r="FWP77" s="26"/>
      <c r="FWQ77" s="26"/>
      <c r="FWR77" s="22"/>
      <c r="FWS77" s="167"/>
      <c r="FWT77" s="30"/>
      <c r="FWU77" s="25"/>
      <c r="FWV77" s="178"/>
      <c r="FWW77" s="26"/>
      <c r="FWX77" s="26"/>
      <c r="FWY77" s="26"/>
      <c r="FWZ77" s="26"/>
      <c r="FXA77" s="26"/>
      <c r="FXB77" s="26"/>
      <c r="FXC77" s="58"/>
      <c r="FXD77" s="26"/>
      <c r="FXE77" s="26"/>
      <c r="FXF77" s="26"/>
      <c r="FXG77" s="26"/>
      <c r="FXH77" s="22"/>
      <c r="FXI77" s="167"/>
      <c r="FXJ77" s="30"/>
      <c r="FXK77" s="25"/>
      <c r="FXL77" s="178"/>
      <c r="FXM77" s="26"/>
      <c r="FXN77" s="26"/>
      <c r="FXO77" s="26"/>
      <c r="FXP77" s="26"/>
      <c r="FXQ77" s="26"/>
      <c r="FXR77" s="26"/>
      <c r="FXS77" s="58"/>
      <c r="FXT77" s="26"/>
      <c r="FXU77" s="26"/>
      <c r="FXV77" s="26"/>
      <c r="FXW77" s="26"/>
      <c r="FXX77" s="22"/>
      <c r="FXY77" s="167"/>
      <c r="FXZ77" s="30"/>
      <c r="FYA77" s="25"/>
      <c r="FYB77" s="178"/>
      <c r="FYC77" s="26"/>
      <c r="FYD77" s="26"/>
      <c r="FYE77" s="26"/>
      <c r="FYF77" s="26"/>
      <c r="FYG77" s="26"/>
      <c r="FYH77" s="26"/>
      <c r="FYI77" s="58"/>
      <c r="FYJ77" s="26"/>
      <c r="FYK77" s="26"/>
      <c r="FYL77" s="26"/>
      <c r="FYM77" s="26"/>
      <c r="FYN77" s="22"/>
      <c r="FYO77" s="167"/>
      <c r="FYP77" s="30"/>
      <c r="FYQ77" s="25"/>
      <c r="FYR77" s="178"/>
      <c r="FYS77" s="26"/>
      <c r="FYT77" s="26"/>
      <c r="FYU77" s="26"/>
      <c r="FYV77" s="26"/>
      <c r="FYW77" s="26"/>
      <c r="FYX77" s="26"/>
      <c r="FYY77" s="58"/>
      <c r="FYZ77" s="26"/>
      <c r="FZA77" s="26"/>
      <c r="FZB77" s="26"/>
      <c r="FZC77" s="26"/>
      <c r="FZD77" s="22"/>
      <c r="FZE77" s="167"/>
      <c r="FZF77" s="30"/>
      <c r="FZG77" s="25"/>
      <c r="FZH77" s="178"/>
      <c r="FZI77" s="26"/>
      <c r="FZJ77" s="26"/>
      <c r="FZK77" s="26"/>
      <c r="FZL77" s="26"/>
      <c r="FZM77" s="26"/>
      <c r="FZN77" s="26"/>
      <c r="FZO77" s="58"/>
      <c r="FZP77" s="26"/>
      <c r="FZQ77" s="26"/>
      <c r="FZR77" s="26"/>
      <c r="FZS77" s="26"/>
      <c r="FZT77" s="22"/>
      <c r="FZU77" s="167"/>
      <c r="FZV77" s="30"/>
      <c r="FZW77" s="25"/>
      <c r="FZX77" s="178"/>
      <c r="FZY77" s="26"/>
      <c r="FZZ77" s="26"/>
      <c r="GAA77" s="26"/>
      <c r="GAB77" s="26"/>
      <c r="GAC77" s="26"/>
      <c r="GAD77" s="26"/>
      <c r="GAE77" s="58"/>
      <c r="GAF77" s="26"/>
      <c r="GAG77" s="26"/>
      <c r="GAH77" s="26"/>
      <c r="GAI77" s="26"/>
      <c r="GAJ77" s="22"/>
      <c r="GAK77" s="167"/>
      <c r="GAL77" s="30"/>
      <c r="GAM77" s="25"/>
      <c r="GAN77" s="178"/>
      <c r="GAO77" s="26"/>
      <c r="GAP77" s="26"/>
      <c r="GAQ77" s="26"/>
      <c r="GAR77" s="26"/>
      <c r="GAS77" s="26"/>
      <c r="GAT77" s="26"/>
      <c r="GAU77" s="58"/>
      <c r="GAV77" s="26"/>
      <c r="GAW77" s="26"/>
      <c r="GAX77" s="26"/>
      <c r="GAY77" s="26"/>
      <c r="GAZ77" s="22"/>
      <c r="GBA77" s="167"/>
      <c r="GBB77" s="30"/>
      <c r="GBC77" s="25"/>
      <c r="GBD77" s="178"/>
      <c r="GBE77" s="26"/>
      <c r="GBF77" s="26"/>
      <c r="GBG77" s="26"/>
      <c r="GBH77" s="26"/>
      <c r="GBI77" s="26"/>
      <c r="GBJ77" s="26"/>
      <c r="GBK77" s="58"/>
      <c r="GBL77" s="26"/>
      <c r="GBM77" s="26"/>
      <c r="GBN77" s="26"/>
      <c r="GBO77" s="26"/>
      <c r="GBP77" s="22"/>
      <c r="GBQ77" s="167"/>
      <c r="GBR77" s="30"/>
      <c r="GBS77" s="25"/>
      <c r="GBT77" s="178"/>
      <c r="GBU77" s="26"/>
      <c r="GBV77" s="26"/>
      <c r="GBW77" s="26"/>
      <c r="GBX77" s="26"/>
      <c r="GBY77" s="26"/>
      <c r="GBZ77" s="26"/>
      <c r="GCA77" s="58"/>
      <c r="GCB77" s="26"/>
      <c r="GCC77" s="26"/>
      <c r="GCD77" s="26"/>
      <c r="GCE77" s="26"/>
      <c r="GCF77" s="22"/>
      <c r="GCG77" s="167"/>
      <c r="GCH77" s="30"/>
      <c r="GCI77" s="25"/>
      <c r="GCJ77" s="178"/>
      <c r="GCK77" s="26"/>
      <c r="GCL77" s="26"/>
      <c r="GCM77" s="26"/>
      <c r="GCN77" s="26"/>
      <c r="GCO77" s="26"/>
      <c r="GCP77" s="26"/>
      <c r="GCQ77" s="58"/>
      <c r="GCR77" s="26"/>
      <c r="GCS77" s="26"/>
      <c r="GCT77" s="26"/>
      <c r="GCU77" s="26"/>
      <c r="GCV77" s="22"/>
      <c r="GCW77" s="167"/>
      <c r="GCX77" s="30"/>
      <c r="GCY77" s="25"/>
      <c r="GCZ77" s="178"/>
      <c r="GDA77" s="26"/>
      <c r="GDB77" s="26"/>
      <c r="GDC77" s="26"/>
      <c r="GDD77" s="26"/>
      <c r="GDE77" s="26"/>
      <c r="GDF77" s="26"/>
      <c r="GDG77" s="58"/>
      <c r="GDH77" s="26"/>
      <c r="GDI77" s="26"/>
      <c r="GDJ77" s="26"/>
      <c r="GDK77" s="26"/>
      <c r="GDL77" s="22"/>
      <c r="GDM77" s="167"/>
      <c r="GDN77" s="30"/>
      <c r="GDO77" s="25"/>
      <c r="GDP77" s="178"/>
      <c r="GDQ77" s="26"/>
      <c r="GDR77" s="26"/>
      <c r="GDS77" s="26"/>
      <c r="GDT77" s="26"/>
      <c r="GDU77" s="26"/>
      <c r="GDV77" s="26"/>
      <c r="GDW77" s="58"/>
      <c r="GDX77" s="26"/>
      <c r="GDY77" s="26"/>
      <c r="GDZ77" s="26"/>
      <c r="GEA77" s="26"/>
      <c r="GEB77" s="22"/>
      <c r="GEC77" s="167"/>
      <c r="GED77" s="30"/>
      <c r="GEE77" s="25"/>
      <c r="GEF77" s="178"/>
      <c r="GEG77" s="26"/>
      <c r="GEH77" s="26"/>
      <c r="GEI77" s="26"/>
      <c r="GEJ77" s="26"/>
      <c r="GEK77" s="26"/>
      <c r="GEL77" s="26"/>
      <c r="GEM77" s="58"/>
      <c r="GEN77" s="26"/>
      <c r="GEO77" s="26"/>
      <c r="GEP77" s="26"/>
      <c r="GEQ77" s="26"/>
      <c r="GER77" s="22"/>
      <c r="GES77" s="167"/>
      <c r="GET77" s="30"/>
      <c r="GEU77" s="25"/>
      <c r="GEV77" s="178"/>
      <c r="GEW77" s="26"/>
      <c r="GEX77" s="26"/>
      <c r="GEY77" s="26"/>
      <c r="GEZ77" s="26"/>
      <c r="GFA77" s="26"/>
      <c r="GFB77" s="26"/>
      <c r="GFC77" s="58"/>
      <c r="GFD77" s="26"/>
      <c r="GFE77" s="26"/>
      <c r="GFF77" s="26"/>
      <c r="GFG77" s="26"/>
      <c r="GFH77" s="22"/>
      <c r="GFI77" s="167"/>
      <c r="GFJ77" s="30"/>
      <c r="GFK77" s="25"/>
      <c r="GFL77" s="178"/>
      <c r="GFM77" s="26"/>
      <c r="GFN77" s="26"/>
      <c r="GFO77" s="26"/>
      <c r="GFP77" s="26"/>
      <c r="GFQ77" s="26"/>
      <c r="GFR77" s="26"/>
      <c r="GFS77" s="58"/>
      <c r="GFT77" s="26"/>
      <c r="GFU77" s="26"/>
      <c r="GFV77" s="26"/>
      <c r="GFW77" s="26"/>
      <c r="GFX77" s="22"/>
      <c r="GFY77" s="167"/>
      <c r="GFZ77" s="30"/>
      <c r="GGA77" s="25"/>
      <c r="GGB77" s="178"/>
      <c r="GGC77" s="26"/>
      <c r="GGD77" s="26"/>
      <c r="GGE77" s="26"/>
      <c r="GGF77" s="26"/>
      <c r="GGG77" s="26"/>
      <c r="GGH77" s="26"/>
      <c r="GGI77" s="58"/>
      <c r="GGJ77" s="26"/>
      <c r="GGK77" s="26"/>
      <c r="GGL77" s="26"/>
      <c r="GGM77" s="26"/>
      <c r="GGN77" s="22"/>
      <c r="GGO77" s="167"/>
      <c r="GGP77" s="30"/>
      <c r="GGQ77" s="25"/>
      <c r="GGR77" s="178"/>
      <c r="GGS77" s="26"/>
      <c r="GGT77" s="26"/>
      <c r="GGU77" s="26"/>
      <c r="GGV77" s="26"/>
      <c r="GGW77" s="26"/>
      <c r="GGX77" s="26"/>
      <c r="GGY77" s="58"/>
      <c r="GGZ77" s="26"/>
      <c r="GHA77" s="26"/>
      <c r="GHB77" s="26"/>
      <c r="GHC77" s="26"/>
      <c r="GHD77" s="22"/>
      <c r="GHE77" s="167"/>
      <c r="GHF77" s="30"/>
      <c r="GHG77" s="25"/>
      <c r="GHH77" s="178"/>
      <c r="GHI77" s="26"/>
      <c r="GHJ77" s="26"/>
      <c r="GHK77" s="26"/>
      <c r="GHL77" s="26"/>
      <c r="GHM77" s="26"/>
      <c r="GHN77" s="26"/>
      <c r="GHO77" s="58"/>
      <c r="GHP77" s="26"/>
      <c r="GHQ77" s="26"/>
      <c r="GHR77" s="26"/>
      <c r="GHS77" s="26"/>
      <c r="GHT77" s="22"/>
      <c r="GHU77" s="167"/>
      <c r="GHV77" s="30"/>
      <c r="GHW77" s="25"/>
      <c r="GHX77" s="178"/>
      <c r="GHY77" s="26"/>
      <c r="GHZ77" s="26"/>
      <c r="GIA77" s="26"/>
      <c r="GIB77" s="26"/>
      <c r="GIC77" s="26"/>
      <c r="GID77" s="26"/>
      <c r="GIE77" s="58"/>
      <c r="GIF77" s="26"/>
      <c r="GIG77" s="26"/>
      <c r="GIH77" s="26"/>
      <c r="GII77" s="26"/>
      <c r="GIJ77" s="22"/>
      <c r="GIK77" s="167"/>
      <c r="GIL77" s="30"/>
      <c r="GIM77" s="25"/>
      <c r="GIN77" s="178"/>
      <c r="GIO77" s="26"/>
      <c r="GIP77" s="26"/>
      <c r="GIQ77" s="26"/>
      <c r="GIR77" s="26"/>
      <c r="GIS77" s="26"/>
      <c r="GIT77" s="26"/>
      <c r="GIU77" s="58"/>
      <c r="GIV77" s="26"/>
      <c r="GIW77" s="26"/>
      <c r="GIX77" s="26"/>
      <c r="GIY77" s="26"/>
      <c r="GIZ77" s="22"/>
      <c r="GJA77" s="167"/>
      <c r="GJB77" s="30"/>
      <c r="GJC77" s="25"/>
      <c r="GJD77" s="178"/>
      <c r="GJE77" s="26"/>
      <c r="GJF77" s="26"/>
      <c r="GJG77" s="26"/>
      <c r="GJH77" s="26"/>
      <c r="GJI77" s="26"/>
      <c r="GJJ77" s="26"/>
      <c r="GJK77" s="58"/>
      <c r="GJL77" s="26"/>
      <c r="GJM77" s="26"/>
      <c r="GJN77" s="26"/>
      <c r="GJO77" s="26"/>
      <c r="GJP77" s="22"/>
      <c r="GJQ77" s="167"/>
      <c r="GJR77" s="30"/>
      <c r="GJS77" s="25"/>
      <c r="GJT77" s="178"/>
      <c r="GJU77" s="26"/>
      <c r="GJV77" s="26"/>
      <c r="GJW77" s="26"/>
      <c r="GJX77" s="26"/>
      <c r="GJY77" s="26"/>
      <c r="GJZ77" s="26"/>
      <c r="GKA77" s="58"/>
      <c r="GKB77" s="26"/>
      <c r="GKC77" s="26"/>
      <c r="GKD77" s="26"/>
      <c r="GKE77" s="26"/>
      <c r="GKF77" s="22"/>
      <c r="GKG77" s="167"/>
      <c r="GKH77" s="30"/>
      <c r="GKI77" s="25"/>
      <c r="GKJ77" s="178"/>
      <c r="GKK77" s="26"/>
      <c r="GKL77" s="26"/>
      <c r="GKM77" s="26"/>
      <c r="GKN77" s="26"/>
      <c r="GKO77" s="26"/>
      <c r="GKP77" s="26"/>
      <c r="GKQ77" s="58"/>
      <c r="GKR77" s="26"/>
      <c r="GKS77" s="26"/>
      <c r="GKT77" s="26"/>
      <c r="GKU77" s="26"/>
      <c r="GKV77" s="22"/>
      <c r="GKW77" s="167"/>
      <c r="GKX77" s="30"/>
      <c r="GKY77" s="25"/>
      <c r="GKZ77" s="178"/>
      <c r="GLA77" s="26"/>
      <c r="GLB77" s="26"/>
      <c r="GLC77" s="26"/>
      <c r="GLD77" s="26"/>
      <c r="GLE77" s="26"/>
      <c r="GLF77" s="26"/>
      <c r="GLG77" s="58"/>
      <c r="GLH77" s="26"/>
      <c r="GLI77" s="26"/>
      <c r="GLJ77" s="26"/>
      <c r="GLK77" s="26"/>
      <c r="GLL77" s="22"/>
      <c r="GLM77" s="167"/>
      <c r="GLN77" s="30"/>
      <c r="GLO77" s="25"/>
      <c r="GLP77" s="178"/>
      <c r="GLQ77" s="26"/>
      <c r="GLR77" s="26"/>
      <c r="GLS77" s="26"/>
      <c r="GLT77" s="26"/>
      <c r="GLU77" s="26"/>
      <c r="GLV77" s="26"/>
      <c r="GLW77" s="58"/>
      <c r="GLX77" s="26"/>
      <c r="GLY77" s="26"/>
      <c r="GLZ77" s="26"/>
      <c r="GMA77" s="26"/>
      <c r="GMB77" s="22"/>
      <c r="GMC77" s="167"/>
      <c r="GMD77" s="30"/>
      <c r="GME77" s="25"/>
      <c r="GMF77" s="178"/>
      <c r="GMG77" s="26"/>
      <c r="GMH77" s="26"/>
      <c r="GMI77" s="26"/>
      <c r="GMJ77" s="26"/>
      <c r="GMK77" s="26"/>
      <c r="GML77" s="26"/>
      <c r="GMM77" s="58"/>
      <c r="GMN77" s="26"/>
      <c r="GMO77" s="26"/>
      <c r="GMP77" s="26"/>
      <c r="GMQ77" s="26"/>
      <c r="GMR77" s="22"/>
      <c r="GMS77" s="167"/>
      <c r="GMT77" s="30"/>
      <c r="GMU77" s="25"/>
      <c r="GMV77" s="178"/>
      <c r="GMW77" s="26"/>
      <c r="GMX77" s="26"/>
      <c r="GMY77" s="26"/>
      <c r="GMZ77" s="26"/>
      <c r="GNA77" s="26"/>
      <c r="GNB77" s="26"/>
      <c r="GNC77" s="58"/>
      <c r="GND77" s="26"/>
      <c r="GNE77" s="26"/>
      <c r="GNF77" s="26"/>
      <c r="GNG77" s="26"/>
      <c r="GNH77" s="22"/>
      <c r="GNI77" s="167"/>
      <c r="GNJ77" s="30"/>
      <c r="GNK77" s="25"/>
      <c r="GNL77" s="178"/>
      <c r="GNM77" s="26"/>
      <c r="GNN77" s="26"/>
      <c r="GNO77" s="26"/>
      <c r="GNP77" s="26"/>
      <c r="GNQ77" s="26"/>
      <c r="GNR77" s="26"/>
      <c r="GNS77" s="58"/>
      <c r="GNT77" s="26"/>
      <c r="GNU77" s="26"/>
      <c r="GNV77" s="26"/>
      <c r="GNW77" s="26"/>
      <c r="GNX77" s="22"/>
      <c r="GNY77" s="167"/>
      <c r="GNZ77" s="30"/>
      <c r="GOA77" s="25"/>
      <c r="GOB77" s="178"/>
      <c r="GOC77" s="26"/>
      <c r="GOD77" s="26"/>
      <c r="GOE77" s="26"/>
      <c r="GOF77" s="26"/>
      <c r="GOG77" s="26"/>
      <c r="GOH77" s="26"/>
      <c r="GOI77" s="58"/>
      <c r="GOJ77" s="26"/>
      <c r="GOK77" s="26"/>
      <c r="GOL77" s="26"/>
      <c r="GOM77" s="26"/>
      <c r="GON77" s="22"/>
      <c r="GOO77" s="167"/>
      <c r="GOP77" s="30"/>
      <c r="GOQ77" s="25"/>
      <c r="GOR77" s="178"/>
      <c r="GOS77" s="26"/>
      <c r="GOT77" s="26"/>
      <c r="GOU77" s="26"/>
      <c r="GOV77" s="26"/>
      <c r="GOW77" s="26"/>
      <c r="GOX77" s="26"/>
      <c r="GOY77" s="58"/>
      <c r="GOZ77" s="26"/>
      <c r="GPA77" s="26"/>
      <c r="GPB77" s="26"/>
      <c r="GPC77" s="26"/>
      <c r="GPD77" s="22"/>
      <c r="GPE77" s="167"/>
      <c r="GPF77" s="30"/>
      <c r="GPG77" s="25"/>
      <c r="GPH77" s="178"/>
      <c r="GPI77" s="26"/>
      <c r="GPJ77" s="26"/>
      <c r="GPK77" s="26"/>
      <c r="GPL77" s="26"/>
      <c r="GPM77" s="26"/>
      <c r="GPN77" s="26"/>
      <c r="GPO77" s="58"/>
      <c r="GPP77" s="26"/>
      <c r="GPQ77" s="26"/>
      <c r="GPR77" s="26"/>
      <c r="GPS77" s="26"/>
      <c r="GPT77" s="22"/>
      <c r="GPU77" s="167"/>
      <c r="GPV77" s="30"/>
      <c r="GPW77" s="25"/>
      <c r="GPX77" s="178"/>
      <c r="GPY77" s="26"/>
      <c r="GPZ77" s="26"/>
      <c r="GQA77" s="26"/>
      <c r="GQB77" s="26"/>
      <c r="GQC77" s="26"/>
      <c r="GQD77" s="26"/>
      <c r="GQE77" s="58"/>
      <c r="GQF77" s="26"/>
      <c r="GQG77" s="26"/>
      <c r="GQH77" s="26"/>
      <c r="GQI77" s="26"/>
      <c r="GQJ77" s="22"/>
      <c r="GQK77" s="167"/>
      <c r="GQL77" s="30"/>
      <c r="GQM77" s="25"/>
      <c r="GQN77" s="178"/>
      <c r="GQO77" s="26"/>
      <c r="GQP77" s="26"/>
      <c r="GQQ77" s="26"/>
      <c r="GQR77" s="26"/>
      <c r="GQS77" s="26"/>
      <c r="GQT77" s="26"/>
      <c r="GQU77" s="58"/>
      <c r="GQV77" s="26"/>
      <c r="GQW77" s="26"/>
      <c r="GQX77" s="26"/>
      <c r="GQY77" s="26"/>
      <c r="GQZ77" s="22"/>
      <c r="GRA77" s="167"/>
      <c r="GRB77" s="30"/>
      <c r="GRC77" s="25"/>
      <c r="GRD77" s="178"/>
      <c r="GRE77" s="26"/>
      <c r="GRF77" s="26"/>
      <c r="GRG77" s="26"/>
      <c r="GRH77" s="26"/>
      <c r="GRI77" s="26"/>
      <c r="GRJ77" s="26"/>
      <c r="GRK77" s="58"/>
      <c r="GRL77" s="26"/>
      <c r="GRM77" s="26"/>
      <c r="GRN77" s="26"/>
      <c r="GRO77" s="26"/>
      <c r="GRP77" s="22"/>
      <c r="GRQ77" s="167"/>
      <c r="GRR77" s="30"/>
      <c r="GRS77" s="25"/>
      <c r="GRT77" s="178"/>
      <c r="GRU77" s="26"/>
      <c r="GRV77" s="26"/>
      <c r="GRW77" s="26"/>
      <c r="GRX77" s="26"/>
      <c r="GRY77" s="26"/>
      <c r="GRZ77" s="26"/>
      <c r="GSA77" s="58"/>
      <c r="GSB77" s="26"/>
      <c r="GSC77" s="26"/>
      <c r="GSD77" s="26"/>
      <c r="GSE77" s="26"/>
      <c r="GSF77" s="22"/>
      <c r="GSG77" s="167"/>
      <c r="GSH77" s="30"/>
      <c r="GSI77" s="25"/>
      <c r="GSJ77" s="178"/>
      <c r="GSK77" s="26"/>
      <c r="GSL77" s="26"/>
      <c r="GSM77" s="26"/>
      <c r="GSN77" s="26"/>
      <c r="GSO77" s="26"/>
      <c r="GSP77" s="26"/>
      <c r="GSQ77" s="58"/>
      <c r="GSR77" s="26"/>
      <c r="GSS77" s="26"/>
      <c r="GST77" s="26"/>
      <c r="GSU77" s="26"/>
      <c r="GSV77" s="22"/>
      <c r="GSW77" s="167"/>
      <c r="GSX77" s="30"/>
      <c r="GSY77" s="25"/>
      <c r="GSZ77" s="178"/>
      <c r="GTA77" s="26"/>
      <c r="GTB77" s="26"/>
      <c r="GTC77" s="26"/>
      <c r="GTD77" s="26"/>
      <c r="GTE77" s="26"/>
      <c r="GTF77" s="26"/>
      <c r="GTG77" s="58"/>
      <c r="GTH77" s="26"/>
      <c r="GTI77" s="26"/>
      <c r="GTJ77" s="26"/>
      <c r="GTK77" s="26"/>
      <c r="GTL77" s="22"/>
      <c r="GTM77" s="167"/>
      <c r="GTN77" s="30"/>
      <c r="GTO77" s="25"/>
      <c r="GTP77" s="178"/>
      <c r="GTQ77" s="26"/>
      <c r="GTR77" s="26"/>
      <c r="GTS77" s="26"/>
      <c r="GTT77" s="26"/>
      <c r="GTU77" s="26"/>
      <c r="GTV77" s="26"/>
      <c r="GTW77" s="58"/>
      <c r="GTX77" s="26"/>
      <c r="GTY77" s="26"/>
      <c r="GTZ77" s="26"/>
      <c r="GUA77" s="26"/>
      <c r="GUB77" s="22"/>
      <c r="GUC77" s="167"/>
      <c r="GUD77" s="30"/>
      <c r="GUE77" s="25"/>
      <c r="GUF77" s="178"/>
      <c r="GUG77" s="26"/>
      <c r="GUH77" s="26"/>
      <c r="GUI77" s="26"/>
      <c r="GUJ77" s="26"/>
      <c r="GUK77" s="26"/>
      <c r="GUL77" s="26"/>
      <c r="GUM77" s="58"/>
      <c r="GUN77" s="26"/>
      <c r="GUO77" s="26"/>
      <c r="GUP77" s="26"/>
      <c r="GUQ77" s="26"/>
      <c r="GUR77" s="22"/>
      <c r="GUS77" s="167"/>
      <c r="GUT77" s="30"/>
      <c r="GUU77" s="25"/>
      <c r="GUV77" s="178"/>
      <c r="GUW77" s="26"/>
      <c r="GUX77" s="26"/>
      <c r="GUY77" s="26"/>
      <c r="GUZ77" s="26"/>
      <c r="GVA77" s="26"/>
      <c r="GVB77" s="26"/>
      <c r="GVC77" s="58"/>
      <c r="GVD77" s="26"/>
      <c r="GVE77" s="26"/>
      <c r="GVF77" s="26"/>
      <c r="GVG77" s="26"/>
      <c r="GVH77" s="22"/>
      <c r="GVI77" s="167"/>
      <c r="GVJ77" s="30"/>
      <c r="GVK77" s="25"/>
      <c r="GVL77" s="178"/>
      <c r="GVM77" s="26"/>
      <c r="GVN77" s="26"/>
      <c r="GVO77" s="26"/>
      <c r="GVP77" s="26"/>
      <c r="GVQ77" s="26"/>
      <c r="GVR77" s="26"/>
      <c r="GVS77" s="58"/>
      <c r="GVT77" s="26"/>
      <c r="GVU77" s="26"/>
      <c r="GVV77" s="26"/>
      <c r="GVW77" s="26"/>
      <c r="GVX77" s="22"/>
      <c r="GVY77" s="167"/>
      <c r="GVZ77" s="30"/>
      <c r="GWA77" s="25"/>
      <c r="GWB77" s="178"/>
      <c r="GWC77" s="26"/>
      <c r="GWD77" s="26"/>
      <c r="GWE77" s="26"/>
      <c r="GWF77" s="26"/>
      <c r="GWG77" s="26"/>
      <c r="GWH77" s="26"/>
      <c r="GWI77" s="58"/>
      <c r="GWJ77" s="26"/>
      <c r="GWK77" s="26"/>
      <c r="GWL77" s="26"/>
      <c r="GWM77" s="26"/>
      <c r="GWN77" s="22"/>
      <c r="GWO77" s="167"/>
      <c r="GWP77" s="30"/>
      <c r="GWQ77" s="25"/>
      <c r="GWR77" s="178"/>
      <c r="GWS77" s="26"/>
      <c r="GWT77" s="26"/>
      <c r="GWU77" s="26"/>
      <c r="GWV77" s="26"/>
      <c r="GWW77" s="26"/>
      <c r="GWX77" s="26"/>
      <c r="GWY77" s="58"/>
      <c r="GWZ77" s="26"/>
      <c r="GXA77" s="26"/>
      <c r="GXB77" s="26"/>
      <c r="GXC77" s="26"/>
      <c r="GXD77" s="22"/>
      <c r="GXE77" s="167"/>
      <c r="GXF77" s="30"/>
      <c r="GXG77" s="25"/>
      <c r="GXH77" s="178"/>
      <c r="GXI77" s="26"/>
      <c r="GXJ77" s="26"/>
      <c r="GXK77" s="26"/>
      <c r="GXL77" s="26"/>
      <c r="GXM77" s="26"/>
      <c r="GXN77" s="26"/>
      <c r="GXO77" s="58"/>
      <c r="GXP77" s="26"/>
      <c r="GXQ77" s="26"/>
      <c r="GXR77" s="26"/>
      <c r="GXS77" s="26"/>
      <c r="GXT77" s="22"/>
      <c r="GXU77" s="167"/>
      <c r="GXV77" s="30"/>
      <c r="GXW77" s="25"/>
      <c r="GXX77" s="178"/>
      <c r="GXY77" s="26"/>
      <c r="GXZ77" s="26"/>
      <c r="GYA77" s="26"/>
      <c r="GYB77" s="26"/>
      <c r="GYC77" s="26"/>
      <c r="GYD77" s="26"/>
      <c r="GYE77" s="58"/>
      <c r="GYF77" s="26"/>
      <c r="GYG77" s="26"/>
      <c r="GYH77" s="26"/>
      <c r="GYI77" s="26"/>
      <c r="GYJ77" s="22"/>
      <c r="GYK77" s="167"/>
      <c r="GYL77" s="30"/>
      <c r="GYM77" s="25"/>
      <c r="GYN77" s="178"/>
      <c r="GYO77" s="26"/>
      <c r="GYP77" s="26"/>
      <c r="GYQ77" s="26"/>
      <c r="GYR77" s="26"/>
      <c r="GYS77" s="26"/>
      <c r="GYT77" s="26"/>
      <c r="GYU77" s="58"/>
      <c r="GYV77" s="26"/>
      <c r="GYW77" s="26"/>
      <c r="GYX77" s="26"/>
      <c r="GYY77" s="26"/>
      <c r="GYZ77" s="22"/>
      <c r="GZA77" s="167"/>
      <c r="GZB77" s="30"/>
      <c r="GZC77" s="25"/>
      <c r="GZD77" s="178"/>
      <c r="GZE77" s="26"/>
      <c r="GZF77" s="26"/>
      <c r="GZG77" s="26"/>
      <c r="GZH77" s="26"/>
      <c r="GZI77" s="26"/>
      <c r="GZJ77" s="26"/>
      <c r="GZK77" s="58"/>
      <c r="GZL77" s="26"/>
      <c r="GZM77" s="26"/>
      <c r="GZN77" s="26"/>
      <c r="GZO77" s="26"/>
      <c r="GZP77" s="22"/>
      <c r="GZQ77" s="167"/>
      <c r="GZR77" s="30"/>
      <c r="GZS77" s="25"/>
      <c r="GZT77" s="178"/>
      <c r="GZU77" s="26"/>
      <c r="GZV77" s="26"/>
      <c r="GZW77" s="26"/>
      <c r="GZX77" s="26"/>
      <c r="GZY77" s="26"/>
      <c r="GZZ77" s="26"/>
      <c r="HAA77" s="58"/>
      <c r="HAB77" s="26"/>
      <c r="HAC77" s="26"/>
      <c r="HAD77" s="26"/>
      <c r="HAE77" s="26"/>
      <c r="HAF77" s="22"/>
      <c r="HAG77" s="167"/>
      <c r="HAH77" s="30"/>
      <c r="HAI77" s="25"/>
      <c r="HAJ77" s="178"/>
      <c r="HAK77" s="26"/>
      <c r="HAL77" s="26"/>
      <c r="HAM77" s="26"/>
      <c r="HAN77" s="26"/>
      <c r="HAO77" s="26"/>
      <c r="HAP77" s="26"/>
      <c r="HAQ77" s="58"/>
      <c r="HAR77" s="26"/>
      <c r="HAS77" s="26"/>
      <c r="HAT77" s="26"/>
      <c r="HAU77" s="26"/>
      <c r="HAV77" s="22"/>
      <c r="HAW77" s="167"/>
      <c r="HAX77" s="30"/>
      <c r="HAY77" s="25"/>
      <c r="HAZ77" s="178"/>
      <c r="HBA77" s="26"/>
      <c r="HBB77" s="26"/>
      <c r="HBC77" s="26"/>
      <c r="HBD77" s="26"/>
      <c r="HBE77" s="26"/>
      <c r="HBF77" s="26"/>
      <c r="HBG77" s="58"/>
      <c r="HBH77" s="26"/>
      <c r="HBI77" s="26"/>
      <c r="HBJ77" s="26"/>
      <c r="HBK77" s="26"/>
      <c r="HBL77" s="22"/>
      <c r="HBM77" s="167"/>
      <c r="HBN77" s="30"/>
      <c r="HBO77" s="25"/>
      <c r="HBP77" s="178"/>
      <c r="HBQ77" s="26"/>
      <c r="HBR77" s="26"/>
      <c r="HBS77" s="26"/>
      <c r="HBT77" s="26"/>
      <c r="HBU77" s="26"/>
      <c r="HBV77" s="26"/>
      <c r="HBW77" s="58"/>
      <c r="HBX77" s="26"/>
      <c r="HBY77" s="26"/>
      <c r="HBZ77" s="26"/>
      <c r="HCA77" s="26"/>
      <c r="HCB77" s="22"/>
      <c r="HCC77" s="167"/>
      <c r="HCD77" s="30"/>
      <c r="HCE77" s="25"/>
      <c r="HCF77" s="178"/>
      <c r="HCG77" s="26"/>
      <c r="HCH77" s="26"/>
      <c r="HCI77" s="26"/>
      <c r="HCJ77" s="26"/>
      <c r="HCK77" s="26"/>
      <c r="HCL77" s="26"/>
      <c r="HCM77" s="58"/>
      <c r="HCN77" s="26"/>
      <c r="HCO77" s="26"/>
      <c r="HCP77" s="26"/>
      <c r="HCQ77" s="26"/>
      <c r="HCR77" s="22"/>
      <c r="HCS77" s="167"/>
      <c r="HCT77" s="30"/>
      <c r="HCU77" s="25"/>
      <c r="HCV77" s="178"/>
      <c r="HCW77" s="26"/>
      <c r="HCX77" s="26"/>
      <c r="HCY77" s="26"/>
      <c r="HCZ77" s="26"/>
      <c r="HDA77" s="26"/>
      <c r="HDB77" s="26"/>
      <c r="HDC77" s="58"/>
      <c r="HDD77" s="26"/>
      <c r="HDE77" s="26"/>
      <c r="HDF77" s="26"/>
      <c r="HDG77" s="26"/>
      <c r="HDH77" s="22"/>
      <c r="HDI77" s="167"/>
      <c r="HDJ77" s="30"/>
      <c r="HDK77" s="25"/>
      <c r="HDL77" s="178"/>
      <c r="HDM77" s="26"/>
      <c r="HDN77" s="26"/>
      <c r="HDO77" s="26"/>
      <c r="HDP77" s="26"/>
      <c r="HDQ77" s="26"/>
      <c r="HDR77" s="26"/>
      <c r="HDS77" s="58"/>
      <c r="HDT77" s="26"/>
      <c r="HDU77" s="26"/>
      <c r="HDV77" s="26"/>
      <c r="HDW77" s="26"/>
      <c r="HDX77" s="22"/>
      <c r="HDY77" s="167"/>
      <c r="HDZ77" s="30"/>
      <c r="HEA77" s="25"/>
      <c r="HEB77" s="178"/>
      <c r="HEC77" s="26"/>
      <c r="HED77" s="26"/>
      <c r="HEE77" s="26"/>
      <c r="HEF77" s="26"/>
      <c r="HEG77" s="26"/>
      <c r="HEH77" s="26"/>
      <c r="HEI77" s="58"/>
      <c r="HEJ77" s="26"/>
      <c r="HEK77" s="26"/>
      <c r="HEL77" s="26"/>
      <c r="HEM77" s="26"/>
      <c r="HEN77" s="22"/>
      <c r="HEO77" s="167"/>
      <c r="HEP77" s="30"/>
      <c r="HEQ77" s="25"/>
      <c r="HER77" s="178"/>
      <c r="HES77" s="26"/>
      <c r="HET77" s="26"/>
      <c r="HEU77" s="26"/>
      <c r="HEV77" s="26"/>
      <c r="HEW77" s="26"/>
      <c r="HEX77" s="26"/>
      <c r="HEY77" s="58"/>
      <c r="HEZ77" s="26"/>
      <c r="HFA77" s="26"/>
      <c r="HFB77" s="26"/>
      <c r="HFC77" s="26"/>
      <c r="HFD77" s="22"/>
      <c r="HFE77" s="167"/>
      <c r="HFF77" s="30"/>
      <c r="HFG77" s="25"/>
      <c r="HFH77" s="178"/>
      <c r="HFI77" s="26"/>
      <c r="HFJ77" s="26"/>
      <c r="HFK77" s="26"/>
      <c r="HFL77" s="26"/>
      <c r="HFM77" s="26"/>
      <c r="HFN77" s="26"/>
      <c r="HFO77" s="58"/>
      <c r="HFP77" s="26"/>
      <c r="HFQ77" s="26"/>
      <c r="HFR77" s="26"/>
      <c r="HFS77" s="26"/>
      <c r="HFT77" s="22"/>
      <c r="HFU77" s="167"/>
      <c r="HFV77" s="30"/>
      <c r="HFW77" s="25"/>
      <c r="HFX77" s="178"/>
      <c r="HFY77" s="26"/>
      <c r="HFZ77" s="26"/>
      <c r="HGA77" s="26"/>
      <c r="HGB77" s="26"/>
      <c r="HGC77" s="26"/>
      <c r="HGD77" s="26"/>
      <c r="HGE77" s="58"/>
      <c r="HGF77" s="26"/>
      <c r="HGG77" s="26"/>
      <c r="HGH77" s="26"/>
      <c r="HGI77" s="26"/>
      <c r="HGJ77" s="22"/>
      <c r="HGK77" s="167"/>
      <c r="HGL77" s="30"/>
      <c r="HGM77" s="25"/>
      <c r="HGN77" s="178"/>
      <c r="HGO77" s="26"/>
      <c r="HGP77" s="26"/>
      <c r="HGQ77" s="26"/>
      <c r="HGR77" s="26"/>
      <c r="HGS77" s="26"/>
      <c r="HGT77" s="26"/>
      <c r="HGU77" s="58"/>
      <c r="HGV77" s="26"/>
      <c r="HGW77" s="26"/>
      <c r="HGX77" s="26"/>
      <c r="HGY77" s="26"/>
      <c r="HGZ77" s="22"/>
      <c r="HHA77" s="167"/>
      <c r="HHB77" s="30"/>
      <c r="HHC77" s="25"/>
      <c r="HHD77" s="178"/>
      <c r="HHE77" s="26"/>
      <c r="HHF77" s="26"/>
      <c r="HHG77" s="26"/>
      <c r="HHH77" s="26"/>
      <c r="HHI77" s="26"/>
      <c r="HHJ77" s="26"/>
      <c r="HHK77" s="58"/>
      <c r="HHL77" s="26"/>
      <c r="HHM77" s="26"/>
      <c r="HHN77" s="26"/>
      <c r="HHO77" s="26"/>
      <c r="HHP77" s="22"/>
      <c r="HHQ77" s="167"/>
      <c r="HHR77" s="30"/>
      <c r="HHS77" s="25"/>
      <c r="HHT77" s="178"/>
      <c r="HHU77" s="26"/>
      <c r="HHV77" s="26"/>
      <c r="HHW77" s="26"/>
      <c r="HHX77" s="26"/>
      <c r="HHY77" s="26"/>
      <c r="HHZ77" s="26"/>
      <c r="HIA77" s="58"/>
      <c r="HIB77" s="26"/>
      <c r="HIC77" s="26"/>
      <c r="HID77" s="26"/>
      <c r="HIE77" s="26"/>
      <c r="HIF77" s="22"/>
      <c r="HIG77" s="167"/>
      <c r="HIH77" s="30"/>
      <c r="HII77" s="25"/>
      <c r="HIJ77" s="178"/>
      <c r="HIK77" s="26"/>
      <c r="HIL77" s="26"/>
      <c r="HIM77" s="26"/>
      <c r="HIN77" s="26"/>
      <c r="HIO77" s="26"/>
      <c r="HIP77" s="26"/>
      <c r="HIQ77" s="58"/>
      <c r="HIR77" s="26"/>
      <c r="HIS77" s="26"/>
      <c r="HIT77" s="26"/>
      <c r="HIU77" s="26"/>
      <c r="HIV77" s="22"/>
      <c r="HIW77" s="167"/>
      <c r="HIX77" s="30"/>
      <c r="HIY77" s="25"/>
      <c r="HIZ77" s="178"/>
      <c r="HJA77" s="26"/>
      <c r="HJB77" s="26"/>
      <c r="HJC77" s="26"/>
      <c r="HJD77" s="26"/>
      <c r="HJE77" s="26"/>
      <c r="HJF77" s="26"/>
      <c r="HJG77" s="58"/>
      <c r="HJH77" s="26"/>
      <c r="HJI77" s="26"/>
      <c r="HJJ77" s="26"/>
      <c r="HJK77" s="26"/>
      <c r="HJL77" s="22"/>
      <c r="HJM77" s="167"/>
      <c r="HJN77" s="30"/>
      <c r="HJO77" s="25"/>
      <c r="HJP77" s="178"/>
      <c r="HJQ77" s="26"/>
      <c r="HJR77" s="26"/>
      <c r="HJS77" s="26"/>
      <c r="HJT77" s="26"/>
      <c r="HJU77" s="26"/>
      <c r="HJV77" s="26"/>
      <c r="HJW77" s="58"/>
      <c r="HJX77" s="26"/>
      <c r="HJY77" s="26"/>
      <c r="HJZ77" s="26"/>
      <c r="HKA77" s="26"/>
      <c r="HKB77" s="22"/>
      <c r="HKC77" s="167"/>
      <c r="HKD77" s="30"/>
      <c r="HKE77" s="25"/>
      <c r="HKF77" s="178"/>
      <c r="HKG77" s="26"/>
      <c r="HKH77" s="26"/>
      <c r="HKI77" s="26"/>
      <c r="HKJ77" s="26"/>
      <c r="HKK77" s="26"/>
      <c r="HKL77" s="26"/>
      <c r="HKM77" s="58"/>
      <c r="HKN77" s="26"/>
      <c r="HKO77" s="26"/>
      <c r="HKP77" s="26"/>
      <c r="HKQ77" s="26"/>
      <c r="HKR77" s="22"/>
      <c r="HKS77" s="167"/>
      <c r="HKT77" s="30"/>
      <c r="HKU77" s="25"/>
      <c r="HKV77" s="178"/>
      <c r="HKW77" s="26"/>
      <c r="HKX77" s="26"/>
      <c r="HKY77" s="26"/>
      <c r="HKZ77" s="26"/>
      <c r="HLA77" s="26"/>
      <c r="HLB77" s="26"/>
      <c r="HLC77" s="58"/>
      <c r="HLD77" s="26"/>
      <c r="HLE77" s="26"/>
      <c r="HLF77" s="26"/>
      <c r="HLG77" s="26"/>
      <c r="HLH77" s="22"/>
      <c r="HLI77" s="167"/>
      <c r="HLJ77" s="30"/>
      <c r="HLK77" s="25"/>
      <c r="HLL77" s="178"/>
      <c r="HLM77" s="26"/>
      <c r="HLN77" s="26"/>
      <c r="HLO77" s="26"/>
      <c r="HLP77" s="26"/>
      <c r="HLQ77" s="26"/>
      <c r="HLR77" s="26"/>
      <c r="HLS77" s="58"/>
      <c r="HLT77" s="26"/>
      <c r="HLU77" s="26"/>
      <c r="HLV77" s="26"/>
      <c r="HLW77" s="26"/>
      <c r="HLX77" s="22"/>
      <c r="HLY77" s="167"/>
      <c r="HLZ77" s="30"/>
      <c r="HMA77" s="25"/>
      <c r="HMB77" s="178"/>
      <c r="HMC77" s="26"/>
      <c r="HMD77" s="26"/>
      <c r="HME77" s="26"/>
      <c r="HMF77" s="26"/>
      <c r="HMG77" s="26"/>
      <c r="HMH77" s="26"/>
      <c r="HMI77" s="58"/>
      <c r="HMJ77" s="26"/>
      <c r="HMK77" s="26"/>
      <c r="HML77" s="26"/>
      <c r="HMM77" s="26"/>
      <c r="HMN77" s="22"/>
      <c r="HMO77" s="167"/>
      <c r="HMP77" s="30"/>
      <c r="HMQ77" s="25"/>
      <c r="HMR77" s="178"/>
      <c r="HMS77" s="26"/>
      <c r="HMT77" s="26"/>
      <c r="HMU77" s="26"/>
      <c r="HMV77" s="26"/>
      <c r="HMW77" s="26"/>
      <c r="HMX77" s="26"/>
      <c r="HMY77" s="58"/>
      <c r="HMZ77" s="26"/>
      <c r="HNA77" s="26"/>
      <c r="HNB77" s="26"/>
      <c r="HNC77" s="26"/>
      <c r="HND77" s="22"/>
      <c r="HNE77" s="167"/>
      <c r="HNF77" s="30"/>
      <c r="HNG77" s="25"/>
      <c r="HNH77" s="178"/>
      <c r="HNI77" s="26"/>
      <c r="HNJ77" s="26"/>
      <c r="HNK77" s="26"/>
      <c r="HNL77" s="26"/>
      <c r="HNM77" s="26"/>
      <c r="HNN77" s="26"/>
      <c r="HNO77" s="58"/>
      <c r="HNP77" s="26"/>
      <c r="HNQ77" s="26"/>
      <c r="HNR77" s="26"/>
      <c r="HNS77" s="26"/>
      <c r="HNT77" s="22"/>
      <c r="HNU77" s="167"/>
      <c r="HNV77" s="30"/>
      <c r="HNW77" s="25"/>
      <c r="HNX77" s="178"/>
      <c r="HNY77" s="26"/>
      <c r="HNZ77" s="26"/>
      <c r="HOA77" s="26"/>
      <c r="HOB77" s="26"/>
      <c r="HOC77" s="26"/>
      <c r="HOD77" s="26"/>
      <c r="HOE77" s="58"/>
      <c r="HOF77" s="26"/>
      <c r="HOG77" s="26"/>
      <c r="HOH77" s="26"/>
      <c r="HOI77" s="26"/>
      <c r="HOJ77" s="22"/>
      <c r="HOK77" s="167"/>
      <c r="HOL77" s="30"/>
      <c r="HOM77" s="25"/>
      <c r="HON77" s="178"/>
      <c r="HOO77" s="26"/>
      <c r="HOP77" s="26"/>
      <c r="HOQ77" s="26"/>
      <c r="HOR77" s="26"/>
      <c r="HOS77" s="26"/>
      <c r="HOT77" s="26"/>
      <c r="HOU77" s="58"/>
      <c r="HOV77" s="26"/>
      <c r="HOW77" s="26"/>
      <c r="HOX77" s="26"/>
      <c r="HOY77" s="26"/>
      <c r="HOZ77" s="22"/>
      <c r="HPA77" s="167"/>
      <c r="HPB77" s="30"/>
      <c r="HPC77" s="25"/>
      <c r="HPD77" s="178"/>
      <c r="HPE77" s="26"/>
      <c r="HPF77" s="26"/>
      <c r="HPG77" s="26"/>
      <c r="HPH77" s="26"/>
      <c r="HPI77" s="26"/>
      <c r="HPJ77" s="26"/>
      <c r="HPK77" s="58"/>
      <c r="HPL77" s="26"/>
      <c r="HPM77" s="26"/>
      <c r="HPN77" s="26"/>
      <c r="HPO77" s="26"/>
      <c r="HPP77" s="22"/>
      <c r="HPQ77" s="167"/>
      <c r="HPR77" s="30"/>
      <c r="HPS77" s="25"/>
      <c r="HPT77" s="178"/>
      <c r="HPU77" s="26"/>
      <c r="HPV77" s="26"/>
      <c r="HPW77" s="26"/>
      <c r="HPX77" s="26"/>
      <c r="HPY77" s="26"/>
      <c r="HPZ77" s="26"/>
      <c r="HQA77" s="58"/>
      <c r="HQB77" s="26"/>
      <c r="HQC77" s="26"/>
      <c r="HQD77" s="26"/>
      <c r="HQE77" s="26"/>
      <c r="HQF77" s="22"/>
      <c r="HQG77" s="167"/>
      <c r="HQH77" s="30"/>
      <c r="HQI77" s="25"/>
      <c r="HQJ77" s="178"/>
      <c r="HQK77" s="26"/>
      <c r="HQL77" s="26"/>
      <c r="HQM77" s="26"/>
      <c r="HQN77" s="26"/>
      <c r="HQO77" s="26"/>
      <c r="HQP77" s="26"/>
      <c r="HQQ77" s="58"/>
      <c r="HQR77" s="26"/>
      <c r="HQS77" s="26"/>
      <c r="HQT77" s="26"/>
      <c r="HQU77" s="26"/>
      <c r="HQV77" s="22"/>
      <c r="HQW77" s="167"/>
      <c r="HQX77" s="30"/>
      <c r="HQY77" s="25"/>
      <c r="HQZ77" s="178"/>
      <c r="HRA77" s="26"/>
      <c r="HRB77" s="26"/>
      <c r="HRC77" s="26"/>
      <c r="HRD77" s="26"/>
      <c r="HRE77" s="26"/>
      <c r="HRF77" s="26"/>
      <c r="HRG77" s="58"/>
      <c r="HRH77" s="26"/>
      <c r="HRI77" s="26"/>
      <c r="HRJ77" s="26"/>
      <c r="HRK77" s="26"/>
      <c r="HRL77" s="22"/>
      <c r="HRM77" s="167"/>
      <c r="HRN77" s="30"/>
      <c r="HRO77" s="25"/>
      <c r="HRP77" s="178"/>
      <c r="HRQ77" s="26"/>
      <c r="HRR77" s="26"/>
      <c r="HRS77" s="26"/>
      <c r="HRT77" s="26"/>
      <c r="HRU77" s="26"/>
      <c r="HRV77" s="26"/>
      <c r="HRW77" s="58"/>
      <c r="HRX77" s="26"/>
      <c r="HRY77" s="26"/>
      <c r="HRZ77" s="26"/>
      <c r="HSA77" s="26"/>
      <c r="HSB77" s="22"/>
      <c r="HSC77" s="167"/>
      <c r="HSD77" s="30"/>
      <c r="HSE77" s="25"/>
      <c r="HSF77" s="178"/>
      <c r="HSG77" s="26"/>
      <c r="HSH77" s="26"/>
      <c r="HSI77" s="26"/>
      <c r="HSJ77" s="26"/>
      <c r="HSK77" s="26"/>
      <c r="HSL77" s="26"/>
      <c r="HSM77" s="58"/>
      <c r="HSN77" s="26"/>
      <c r="HSO77" s="26"/>
      <c r="HSP77" s="26"/>
      <c r="HSQ77" s="26"/>
      <c r="HSR77" s="22"/>
      <c r="HSS77" s="167"/>
      <c r="HST77" s="30"/>
      <c r="HSU77" s="25"/>
      <c r="HSV77" s="178"/>
      <c r="HSW77" s="26"/>
      <c r="HSX77" s="26"/>
      <c r="HSY77" s="26"/>
      <c r="HSZ77" s="26"/>
      <c r="HTA77" s="26"/>
      <c r="HTB77" s="26"/>
      <c r="HTC77" s="58"/>
      <c r="HTD77" s="26"/>
      <c r="HTE77" s="26"/>
      <c r="HTF77" s="26"/>
      <c r="HTG77" s="26"/>
      <c r="HTH77" s="22"/>
      <c r="HTI77" s="167"/>
      <c r="HTJ77" s="30"/>
      <c r="HTK77" s="25"/>
      <c r="HTL77" s="178"/>
      <c r="HTM77" s="26"/>
      <c r="HTN77" s="26"/>
      <c r="HTO77" s="26"/>
      <c r="HTP77" s="26"/>
      <c r="HTQ77" s="26"/>
      <c r="HTR77" s="26"/>
      <c r="HTS77" s="58"/>
      <c r="HTT77" s="26"/>
      <c r="HTU77" s="26"/>
      <c r="HTV77" s="26"/>
      <c r="HTW77" s="26"/>
      <c r="HTX77" s="22"/>
      <c r="HTY77" s="167"/>
      <c r="HTZ77" s="30"/>
      <c r="HUA77" s="25"/>
      <c r="HUB77" s="178"/>
      <c r="HUC77" s="26"/>
      <c r="HUD77" s="26"/>
      <c r="HUE77" s="26"/>
      <c r="HUF77" s="26"/>
      <c r="HUG77" s="26"/>
      <c r="HUH77" s="26"/>
      <c r="HUI77" s="58"/>
      <c r="HUJ77" s="26"/>
      <c r="HUK77" s="26"/>
      <c r="HUL77" s="26"/>
      <c r="HUM77" s="26"/>
      <c r="HUN77" s="22"/>
      <c r="HUO77" s="167"/>
      <c r="HUP77" s="30"/>
      <c r="HUQ77" s="25"/>
      <c r="HUR77" s="178"/>
      <c r="HUS77" s="26"/>
      <c r="HUT77" s="26"/>
      <c r="HUU77" s="26"/>
      <c r="HUV77" s="26"/>
      <c r="HUW77" s="26"/>
      <c r="HUX77" s="26"/>
      <c r="HUY77" s="58"/>
      <c r="HUZ77" s="26"/>
      <c r="HVA77" s="26"/>
      <c r="HVB77" s="26"/>
      <c r="HVC77" s="26"/>
      <c r="HVD77" s="22"/>
      <c r="HVE77" s="167"/>
      <c r="HVF77" s="30"/>
      <c r="HVG77" s="25"/>
      <c r="HVH77" s="178"/>
      <c r="HVI77" s="26"/>
      <c r="HVJ77" s="26"/>
      <c r="HVK77" s="26"/>
      <c r="HVL77" s="26"/>
      <c r="HVM77" s="26"/>
      <c r="HVN77" s="26"/>
      <c r="HVO77" s="58"/>
      <c r="HVP77" s="26"/>
      <c r="HVQ77" s="26"/>
      <c r="HVR77" s="26"/>
      <c r="HVS77" s="26"/>
      <c r="HVT77" s="22"/>
      <c r="HVU77" s="167"/>
      <c r="HVV77" s="30"/>
      <c r="HVW77" s="25"/>
      <c r="HVX77" s="178"/>
      <c r="HVY77" s="26"/>
      <c r="HVZ77" s="26"/>
      <c r="HWA77" s="26"/>
      <c r="HWB77" s="26"/>
      <c r="HWC77" s="26"/>
      <c r="HWD77" s="26"/>
      <c r="HWE77" s="58"/>
      <c r="HWF77" s="26"/>
      <c r="HWG77" s="26"/>
      <c r="HWH77" s="26"/>
      <c r="HWI77" s="26"/>
      <c r="HWJ77" s="22"/>
      <c r="HWK77" s="167"/>
      <c r="HWL77" s="30"/>
      <c r="HWM77" s="25"/>
      <c r="HWN77" s="178"/>
      <c r="HWO77" s="26"/>
      <c r="HWP77" s="26"/>
      <c r="HWQ77" s="26"/>
      <c r="HWR77" s="26"/>
      <c r="HWS77" s="26"/>
      <c r="HWT77" s="26"/>
      <c r="HWU77" s="58"/>
      <c r="HWV77" s="26"/>
      <c r="HWW77" s="26"/>
      <c r="HWX77" s="26"/>
      <c r="HWY77" s="26"/>
      <c r="HWZ77" s="22"/>
      <c r="HXA77" s="167"/>
      <c r="HXB77" s="30"/>
      <c r="HXC77" s="25"/>
      <c r="HXD77" s="178"/>
      <c r="HXE77" s="26"/>
      <c r="HXF77" s="26"/>
      <c r="HXG77" s="26"/>
      <c r="HXH77" s="26"/>
      <c r="HXI77" s="26"/>
      <c r="HXJ77" s="26"/>
      <c r="HXK77" s="58"/>
      <c r="HXL77" s="26"/>
      <c r="HXM77" s="26"/>
      <c r="HXN77" s="26"/>
      <c r="HXO77" s="26"/>
      <c r="HXP77" s="22"/>
      <c r="HXQ77" s="167"/>
      <c r="HXR77" s="30"/>
      <c r="HXS77" s="25"/>
      <c r="HXT77" s="178"/>
      <c r="HXU77" s="26"/>
      <c r="HXV77" s="26"/>
      <c r="HXW77" s="26"/>
      <c r="HXX77" s="26"/>
      <c r="HXY77" s="26"/>
      <c r="HXZ77" s="26"/>
      <c r="HYA77" s="58"/>
      <c r="HYB77" s="26"/>
      <c r="HYC77" s="26"/>
      <c r="HYD77" s="26"/>
      <c r="HYE77" s="26"/>
      <c r="HYF77" s="22"/>
      <c r="HYG77" s="167"/>
      <c r="HYH77" s="30"/>
      <c r="HYI77" s="25"/>
      <c r="HYJ77" s="178"/>
      <c r="HYK77" s="26"/>
      <c r="HYL77" s="26"/>
      <c r="HYM77" s="26"/>
      <c r="HYN77" s="26"/>
      <c r="HYO77" s="26"/>
      <c r="HYP77" s="26"/>
      <c r="HYQ77" s="58"/>
      <c r="HYR77" s="26"/>
      <c r="HYS77" s="26"/>
      <c r="HYT77" s="26"/>
      <c r="HYU77" s="26"/>
      <c r="HYV77" s="22"/>
      <c r="HYW77" s="167"/>
      <c r="HYX77" s="30"/>
      <c r="HYY77" s="25"/>
      <c r="HYZ77" s="178"/>
      <c r="HZA77" s="26"/>
      <c r="HZB77" s="26"/>
      <c r="HZC77" s="26"/>
      <c r="HZD77" s="26"/>
      <c r="HZE77" s="26"/>
      <c r="HZF77" s="26"/>
      <c r="HZG77" s="58"/>
      <c r="HZH77" s="26"/>
      <c r="HZI77" s="26"/>
      <c r="HZJ77" s="26"/>
      <c r="HZK77" s="26"/>
      <c r="HZL77" s="22"/>
      <c r="HZM77" s="167"/>
      <c r="HZN77" s="30"/>
      <c r="HZO77" s="25"/>
      <c r="HZP77" s="178"/>
      <c r="HZQ77" s="26"/>
      <c r="HZR77" s="26"/>
      <c r="HZS77" s="26"/>
      <c r="HZT77" s="26"/>
      <c r="HZU77" s="26"/>
      <c r="HZV77" s="26"/>
      <c r="HZW77" s="58"/>
      <c r="HZX77" s="26"/>
      <c r="HZY77" s="26"/>
      <c r="HZZ77" s="26"/>
      <c r="IAA77" s="26"/>
      <c r="IAB77" s="22"/>
      <c r="IAC77" s="167"/>
      <c r="IAD77" s="30"/>
      <c r="IAE77" s="25"/>
      <c r="IAF77" s="178"/>
      <c r="IAG77" s="26"/>
      <c r="IAH77" s="26"/>
      <c r="IAI77" s="26"/>
      <c r="IAJ77" s="26"/>
      <c r="IAK77" s="26"/>
      <c r="IAL77" s="26"/>
      <c r="IAM77" s="58"/>
      <c r="IAN77" s="26"/>
      <c r="IAO77" s="26"/>
      <c r="IAP77" s="26"/>
      <c r="IAQ77" s="26"/>
      <c r="IAR77" s="22"/>
      <c r="IAS77" s="167"/>
      <c r="IAT77" s="30"/>
      <c r="IAU77" s="25"/>
      <c r="IAV77" s="178"/>
      <c r="IAW77" s="26"/>
      <c r="IAX77" s="26"/>
      <c r="IAY77" s="26"/>
      <c r="IAZ77" s="26"/>
      <c r="IBA77" s="26"/>
      <c r="IBB77" s="26"/>
      <c r="IBC77" s="58"/>
      <c r="IBD77" s="26"/>
      <c r="IBE77" s="26"/>
      <c r="IBF77" s="26"/>
      <c r="IBG77" s="26"/>
      <c r="IBH77" s="22"/>
      <c r="IBI77" s="167"/>
      <c r="IBJ77" s="30"/>
      <c r="IBK77" s="25"/>
      <c r="IBL77" s="178"/>
      <c r="IBM77" s="26"/>
      <c r="IBN77" s="26"/>
      <c r="IBO77" s="26"/>
      <c r="IBP77" s="26"/>
      <c r="IBQ77" s="26"/>
      <c r="IBR77" s="26"/>
      <c r="IBS77" s="58"/>
      <c r="IBT77" s="26"/>
      <c r="IBU77" s="26"/>
      <c r="IBV77" s="26"/>
      <c r="IBW77" s="26"/>
      <c r="IBX77" s="22"/>
      <c r="IBY77" s="167"/>
      <c r="IBZ77" s="30"/>
      <c r="ICA77" s="25"/>
      <c r="ICB77" s="178"/>
      <c r="ICC77" s="26"/>
      <c r="ICD77" s="26"/>
      <c r="ICE77" s="26"/>
      <c r="ICF77" s="26"/>
      <c r="ICG77" s="26"/>
      <c r="ICH77" s="26"/>
      <c r="ICI77" s="58"/>
      <c r="ICJ77" s="26"/>
      <c r="ICK77" s="26"/>
      <c r="ICL77" s="26"/>
      <c r="ICM77" s="26"/>
      <c r="ICN77" s="22"/>
      <c r="ICO77" s="167"/>
      <c r="ICP77" s="30"/>
      <c r="ICQ77" s="25"/>
      <c r="ICR77" s="178"/>
      <c r="ICS77" s="26"/>
      <c r="ICT77" s="26"/>
      <c r="ICU77" s="26"/>
      <c r="ICV77" s="26"/>
      <c r="ICW77" s="26"/>
      <c r="ICX77" s="26"/>
      <c r="ICY77" s="58"/>
      <c r="ICZ77" s="26"/>
      <c r="IDA77" s="26"/>
      <c r="IDB77" s="26"/>
      <c r="IDC77" s="26"/>
      <c r="IDD77" s="22"/>
      <c r="IDE77" s="167"/>
      <c r="IDF77" s="30"/>
      <c r="IDG77" s="25"/>
      <c r="IDH77" s="178"/>
      <c r="IDI77" s="26"/>
      <c r="IDJ77" s="26"/>
      <c r="IDK77" s="26"/>
      <c r="IDL77" s="26"/>
      <c r="IDM77" s="26"/>
      <c r="IDN77" s="26"/>
      <c r="IDO77" s="58"/>
      <c r="IDP77" s="26"/>
      <c r="IDQ77" s="26"/>
      <c r="IDR77" s="26"/>
      <c r="IDS77" s="26"/>
      <c r="IDT77" s="22"/>
      <c r="IDU77" s="167"/>
      <c r="IDV77" s="30"/>
      <c r="IDW77" s="25"/>
      <c r="IDX77" s="178"/>
      <c r="IDY77" s="26"/>
      <c r="IDZ77" s="26"/>
      <c r="IEA77" s="26"/>
      <c r="IEB77" s="26"/>
      <c r="IEC77" s="26"/>
      <c r="IED77" s="26"/>
      <c r="IEE77" s="58"/>
      <c r="IEF77" s="26"/>
      <c r="IEG77" s="26"/>
      <c r="IEH77" s="26"/>
      <c r="IEI77" s="26"/>
      <c r="IEJ77" s="22"/>
      <c r="IEK77" s="167"/>
      <c r="IEL77" s="30"/>
      <c r="IEM77" s="25"/>
      <c r="IEN77" s="178"/>
      <c r="IEO77" s="26"/>
      <c r="IEP77" s="26"/>
      <c r="IEQ77" s="26"/>
      <c r="IER77" s="26"/>
      <c r="IES77" s="26"/>
      <c r="IET77" s="26"/>
      <c r="IEU77" s="58"/>
      <c r="IEV77" s="26"/>
      <c r="IEW77" s="26"/>
      <c r="IEX77" s="26"/>
      <c r="IEY77" s="26"/>
      <c r="IEZ77" s="22"/>
      <c r="IFA77" s="167"/>
      <c r="IFB77" s="30"/>
      <c r="IFC77" s="25"/>
      <c r="IFD77" s="178"/>
      <c r="IFE77" s="26"/>
      <c r="IFF77" s="26"/>
      <c r="IFG77" s="26"/>
      <c r="IFH77" s="26"/>
      <c r="IFI77" s="26"/>
      <c r="IFJ77" s="26"/>
      <c r="IFK77" s="58"/>
      <c r="IFL77" s="26"/>
      <c r="IFM77" s="26"/>
      <c r="IFN77" s="26"/>
      <c r="IFO77" s="26"/>
      <c r="IFP77" s="22"/>
      <c r="IFQ77" s="167"/>
      <c r="IFR77" s="30"/>
      <c r="IFS77" s="25"/>
      <c r="IFT77" s="178"/>
      <c r="IFU77" s="26"/>
      <c r="IFV77" s="26"/>
      <c r="IFW77" s="26"/>
      <c r="IFX77" s="26"/>
      <c r="IFY77" s="26"/>
      <c r="IFZ77" s="26"/>
      <c r="IGA77" s="58"/>
      <c r="IGB77" s="26"/>
      <c r="IGC77" s="26"/>
      <c r="IGD77" s="26"/>
      <c r="IGE77" s="26"/>
      <c r="IGF77" s="22"/>
      <c r="IGG77" s="167"/>
      <c r="IGH77" s="30"/>
      <c r="IGI77" s="25"/>
      <c r="IGJ77" s="178"/>
      <c r="IGK77" s="26"/>
      <c r="IGL77" s="26"/>
      <c r="IGM77" s="26"/>
      <c r="IGN77" s="26"/>
      <c r="IGO77" s="26"/>
      <c r="IGP77" s="26"/>
      <c r="IGQ77" s="58"/>
      <c r="IGR77" s="26"/>
      <c r="IGS77" s="26"/>
      <c r="IGT77" s="26"/>
      <c r="IGU77" s="26"/>
      <c r="IGV77" s="22"/>
      <c r="IGW77" s="167"/>
      <c r="IGX77" s="30"/>
      <c r="IGY77" s="25"/>
      <c r="IGZ77" s="178"/>
      <c r="IHA77" s="26"/>
      <c r="IHB77" s="26"/>
      <c r="IHC77" s="26"/>
      <c r="IHD77" s="26"/>
      <c r="IHE77" s="26"/>
      <c r="IHF77" s="26"/>
      <c r="IHG77" s="58"/>
      <c r="IHH77" s="26"/>
      <c r="IHI77" s="26"/>
      <c r="IHJ77" s="26"/>
      <c r="IHK77" s="26"/>
      <c r="IHL77" s="22"/>
      <c r="IHM77" s="167"/>
      <c r="IHN77" s="30"/>
      <c r="IHO77" s="25"/>
      <c r="IHP77" s="178"/>
      <c r="IHQ77" s="26"/>
      <c r="IHR77" s="26"/>
      <c r="IHS77" s="26"/>
      <c r="IHT77" s="26"/>
      <c r="IHU77" s="26"/>
      <c r="IHV77" s="26"/>
      <c r="IHW77" s="58"/>
      <c r="IHX77" s="26"/>
      <c r="IHY77" s="26"/>
      <c r="IHZ77" s="26"/>
      <c r="IIA77" s="26"/>
      <c r="IIB77" s="22"/>
      <c r="IIC77" s="167"/>
      <c r="IID77" s="30"/>
      <c r="IIE77" s="25"/>
      <c r="IIF77" s="178"/>
      <c r="IIG77" s="26"/>
      <c r="IIH77" s="26"/>
      <c r="III77" s="26"/>
      <c r="IIJ77" s="26"/>
      <c r="IIK77" s="26"/>
      <c r="IIL77" s="26"/>
      <c r="IIM77" s="58"/>
      <c r="IIN77" s="26"/>
      <c r="IIO77" s="26"/>
      <c r="IIP77" s="26"/>
      <c r="IIQ77" s="26"/>
      <c r="IIR77" s="22"/>
      <c r="IIS77" s="167"/>
      <c r="IIT77" s="30"/>
      <c r="IIU77" s="25"/>
      <c r="IIV77" s="178"/>
      <c r="IIW77" s="26"/>
      <c r="IIX77" s="26"/>
      <c r="IIY77" s="26"/>
      <c r="IIZ77" s="26"/>
      <c r="IJA77" s="26"/>
      <c r="IJB77" s="26"/>
      <c r="IJC77" s="58"/>
      <c r="IJD77" s="26"/>
      <c r="IJE77" s="26"/>
      <c r="IJF77" s="26"/>
      <c r="IJG77" s="26"/>
      <c r="IJH77" s="22"/>
      <c r="IJI77" s="167"/>
      <c r="IJJ77" s="30"/>
      <c r="IJK77" s="25"/>
      <c r="IJL77" s="178"/>
      <c r="IJM77" s="26"/>
      <c r="IJN77" s="26"/>
      <c r="IJO77" s="26"/>
      <c r="IJP77" s="26"/>
      <c r="IJQ77" s="26"/>
      <c r="IJR77" s="26"/>
      <c r="IJS77" s="58"/>
      <c r="IJT77" s="26"/>
      <c r="IJU77" s="26"/>
      <c r="IJV77" s="26"/>
      <c r="IJW77" s="26"/>
      <c r="IJX77" s="22"/>
      <c r="IJY77" s="167"/>
      <c r="IJZ77" s="30"/>
      <c r="IKA77" s="25"/>
      <c r="IKB77" s="178"/>
      <c r="IKC77" s="26"/>
      <c r="IKD77" s="26"/>
      <c r="IKE77" s="26"/>
      <c r="IKF77" s="26"/>
      <c r="IKG77" s="26"/>
      <c r="IKH77" s="26"/>
      <c r="IKI77" s="58"/>
      <c r="IKJ77" s="26"/>
      <c r="IKK77" s="26"/>
      <c r="IKL77" s="26"/>
      <c r="IKM77" s="26"/>
      <c r="IKN77" s="22"/>
      <c r="IKO77" s="167"/>
      <c r="IKP77" s="30"/>
      <c r="IKQ77" s="25"/>
      <c r="IKR77" s="178"/>
      <c r="IKS77" s="26"/>
      <c r="IKT77" s="26"/>
      <c r="IKU77" s="26"/>
      <c r="IKV77" s="26"/>
      <c r="IKW77" s="26"/>
      <c r="IKX77" s="26"/>
      <c r="IKY77" s="58"/>
      <c r="IKZ77" s="26"/>
      <c r="ILA77" s="26"/>
      <c r="ILB77" s="26"/>
      <c r="ILC77" s="26"/>
      <c r="ILD77" s="22"/>
      <c r="ILE77" s="167"/>
      <c r="ILF77" s="30"/>
      <c r="ILG77" s="25"/>
      <c r="ILH77" s="178"/>
      <c r="ILI77" s="26"/>
      <c r="ILJ77" s="26"/>
      <c r="ILK77" s="26"/>
      <c r="ILL77" s="26"/>
      <c r="ILM77" s="26"/>
      <c r="ILN77" s="26"/>
      <c r="ILO77" s="58"/>
      <c r="ILP77" s="26"/>
      <c r="ILQ77" s="26"/>
      <c r="ILR77" s="26"/>
      <c r="ILS77" s="26"/>
      <c r="ILT77" s="22"/>
      <c r="ILU77" s="167"/>
      <c r="ILV77" s="30"/>
      <c r="ILW77" s="25"/>
      <c r="ILX77" s="178"/>
      <c r="ILY77" s="26"/>
      <c r="ILZ77" s="26"/>
      <c r="IMA77" s="26"/>
      <c r="IMB77" s="26"/>
      <c r="IMC77" s="26"/>
      <c r="IMD77" s="26"/>
      <c r="IME77" s="58"/>
      <c r="IMF77" s="26"/>
      <c r="IMG77" s="26"/>
      <c r="IMH77" s="26"/>
      <c r="IMI77" s="26"/>
      <c r="IMJ77" s="22"/>
      <c r="IMK77" s="167"/>
      <c r="IML77" s="30"/>
      <c r="IMM77" s="25"/>
      <c r="IMN77" s="178"/>
      <c r="IMO77" s="26"/>
      <c r="IMP77" s="26"/>
      <c r="IMQ77" s="26"/>
      <c r="IMR77" s="26"/>
      <c r="IMS77" s="26"/>
      <c r="IMT77" s="26"/>
      <c r="IMU77" s="58"/>
      <c r="IMV77" s="26"/>
      <c r="IMW77" s="26"/>
      <c r="IMX77" s="26"/>
      <c r="IMY77" s="26"/>
      <c r="IMZ77" s="22"/>
      <c r="INA77" s="167"/>
      <c r="INB77" s="30"/>
      <c r="INC77" s="25"/>
      <c r="IND77" s="178"/>
      <c r="INE77" s="26"/>
      <c r="INF77" s="26"/>
      <c r="ING77" s="26"/>
      <c r="INH77" s="26"/>
      <c r="INI77" s="26"/>
      <c r="INJ77" s="26"/>
      <c r="INK77" s="58"/>
      <c r="INL77" s="26"/>
      <c r="INM77" s="26"/>
      <c r="INN77" s="26"/>
      <c r="INO77" s="26"/>
      <c r="INP77" s="22"/>
      <c r="INQ77" s="167"/>
      <c r="INR77" s="30"/>
      <c r="INS77" s="25"/>
      <c r="INT77" s="178"/>
      <c r="INU77" s="26"/>
      <c r="INV77" s="26"/>
      <c r="INW77" s="26"/>
      <c r="INX77" s="26"/>
      <c r="INY77" s="26"/>
      <c r="INZ77" s="26"/>
      <c r="IOA77" s="58"/>
      <c r="IOB77" s="26"/>
      <c r="IOC77" s="26"/>
      <c r="IOD77" s="26"/>
      <c r="IOE77" s="26"/>
      <c r="IOF77" s="22"/>
      <c r="IOG77" s="167"/>
      <c r="IOH77" s="30"/>
      <c r="IOI77" s="25"/>
      <c r="IOJ77" s="178"/>
      <c r="IOK77" s="26"/>
      <c r="IOL77" s="26"/>
      <c r="IOM77" s="26"/>
      <c r="ION77" s="26"/>
      <c r="IOO77" s="26"/>
      <c r="IOP77" s="26"/>
      <c r="IOQ77" s="58"/>
      <c r="IOR77" s="26"/>
      <c r="IOS77" s="26"/>
      <c r="IOT77" s="26"/>
      <c r="IOU77" s="26"/>
      <c r="IOV77" s="22"/>
      <c r="IOW77" s="167"/>
      <c r="IOX77" s="30"/>
      <c r="IOY77" s="25"/>
      <c r="IOZ77" s="178"/>
      <c r="IPA77" s="26"/>
      <c r="IPB77" s="26"/>
      <c r="IPC77" s="26"/>
      <c r="IPD77" s="26"/>
      <c r="IPE77" s="26"/>
      <c r="IPF77" s="26"/>
      <c r="IPG77" s="58"/>
      <c r="IPH77" s="26"/>
      <c r="IPI77" s="26"/>
      <c r="IPJ77" s="26"/>
      <c r="IPK77" s="26"/>
      <c r="IPL77" s="22"/>
      <c r="IPM77" s="167"/>
      <c r="IPN77" s="30"/>
      <c r="IPO77" s="25"/>
      <c r="IPP77" s="178"/>
      <c r="IPQ77" s="26"/>
      <c r="IPR77" s="26"/>
      <c r="IPS77" s="26"/>
      <c r="IPT77" s="26"/>
      <c r="IPU77" s="26"/>
      <c r="IPV77" s="26"/>
      <c r="IPW77" s="58"/>
      <c r="IPX77" s="26"/>
      <c r="IPY77" s="26"/>
      <c r="IPZ77" s="26"/>
      <c r="IQA77" s="26"/>
      <c r="IQB77" s="22"/>
      <c r="IQC77" s="167"/>
      <c r="IQD77" s="30"/>
      <c r="IQE77" s="25"/>
      <c r="IQF77" s="178"/>
      <c r="IQG77" s="26"/>
      <c r="IQH77" s="26"/>
      <c r="IQI77" s="26"/>
      <c r="IQJ77" s="26"/>
      <c r="IQK77" s="26"/>
      <c r="IQL77" s="26"/>
      <c r="IQM77" s="58"/>
      <c r="IQN77" s="26"/>
      <c r="IQO77" s="26"/>
      <c r="IQP77" s="26"/>
      <c r="IQQ77" s="26"/>
      <c r="IQR77" s="22"/>
      <c r="IQS77" s="167"/>
      <c r="IQT77" s="30"/>
      <c r="IQU77" s="25"/>
      <c r="IQV77" s="178"/>
      <c r="IQW77" s="26"/>
      <c r="IQX77" s="26"/>
      <c r="IQY77" s="26"/>
      <c r="IQZ77" s="26"/>
      <c r="IRA77" s="26"/>
      <c r="IRB77" s="26"/>
      <c r="IRC77" s="58"/>
      <c r="IRD77" s="26"/>
      <c r="IRE77" s="26"/>
      <c r="IRF77" s="26"/>
      <c r="IRG77" s="26"/>
      <c r="IRH77" s="22"/>
      <c r="IRI77" s="167"/>
      <c r="IRJ77" s="30"/>
      <c r="IRK77" s="25"/>
      <c r="IRL77" s="178"/>
      <c r="IRM77" s="26"/>
      <c r="IRN77" s="26"/>
      <c r="IRO77" s="26"/>
      <c r="IRP77" s="26"/>
      <c r="IRQ77" s="26"/>
      <c r="IRR77" s="26"/>
      <c r="IRS77" s="58"/>
      <c r="IRT77" s="26"/>
      <c r="IRU77" s="26"/>
      <c r="IRV77" s="26"/>
      <c r="IRW77" s="26"/>
      <c r="IRX77" s="22"/>
      <c r="IRY77" s="167"/>
      <c r="IRZ77" s="30"/>
      <c r="ISA77" s="25"/>
      <c r="ISB77" s="178"/>
      <c r="ISC77" s="26"/>
      <c r="ISD77" s="26"/>
      <c r="ISE77" s="26"/>
      <c r="ISF77" s="26"/>
      <c r="ISG77" s="26"/>
      <c r="ISH77" s="26"/>
      <c r="ISI77" s="58"/>
      <c r="ISJ77" s="26"/>
      <c r="ISK77" s="26"/>
      <c r="ISL77" s="26"/>
      <c r="ISM77" s="26"/>
      <c r="ISN77" s="22"/>
      <c r="ISO77" s="167"/>
      <c r="ISP77" s="30"/>
      <c r="ISQ77" s="25"/>
      <c r="ISR77" s="178"/>
      <c r="ISS77" s="26"/>
      <c r="IST77" s="26"/>
      <c r="ISU77" s="26"/>
      <c r="ISV77" s="26"/>
      <c r="ISW77" s="26"/>
      <c r="ISX77" s="26"/>
      <c r="ISY77" s="58"/>
      <c r="ISZ77" s="26"/>
      <c r="ITA77" s="26"/>
      <c r="ITB77" s="26"/>
      <c r="ITC77" s="26"/>
      <c r="ITD77" s="22"/>
      <c r="ITE77" s="167"/>
      <c r="ITF77" s="30"/>
      <c r="ITG77" s="25"/>
      <c r="ITH77" s="178"/>
      <c r="ITI77" s="26"/>
      <c r="ITJ77" s="26"/>
      <c r="ITK77" s="26"/>
      <c r="ITL77" s="26"/>
      <c r="ITM77" s="26"/>
      <c r="ITN77" s="26"/>
      <c r="ITO77" s="58"/>
      <c r="ITP77" s="26"/>
      <c r="ITQ77" s="26"/>
      <c r="ITR77" s="26"/>
      <c r="ITS77" s="26"/>
      <c r="ITT77" s="22"/>
      <c r="ITU77" s="167"/>
      <c r="ITV77" s="30"/>
      <c r="ITW77" s="25"/>
      <c r="ITX77" s="178"/>
      <c r="ITY77" s="26"/>
      <c r="ITZ77" s="26"/>
      <c r="IUA77" s="26"/>
      <c r="IUB77" s="26"/>
      <c r="IUC77" s="26"/>
      <c r="IUD77" s="26"/>
      <c r="IUE77" s="58"/>
      <c r="IUF77" s="26"/>
      <c r="IUG77" s="26"/>
      <c r="IUH77" s="26"/>
      <c r="IUI77" s="26"/>
      <c r="IUJ77" s="22"/>
      <c r="IUK77" s="167"/>
      <c r="IUL77" s="30"/>
      <c r="IUM77" s="25"/>
      <c r="IUN77" s="178"/>
      <c r="IUO77" s="26"/>
      <c r="IUP77" s="26"/>
      <c r="IUQ77" s="26"/>
      <c r="IUR77" s="26"/>
      <c r="IUS77" s="26"/>
      <c r="IUT77" s="26"/>
      <c r="IUU77" s="58"/>
      <c r="IUV77" s="26"/>
      <c r="IUW77" s="26"/>
      <c r="IUX77" s="26"/>
      <c r="IUY77" s="26"/>
      <c r="IUZ77" s="22"/>
      <c r="IVA77" s="167"/>
      <c r="IVB77" s="30"/>
      <c r="IVC77" s="25"/>
      <c r="IVD77" s="178"/>
      <c r="IVE77" s="26"/>
      <c r="IVF77" s="26"/>
      <c r="IVG77" s="26"/>
      <c r="IVH77" s="26"/>
      <c r="IVI77" s="26"/>
      <c r="IVJ77" s="26"/>
      <c r="IVK77" s="58"/>
      <c r="IVL77" s="26"/>
      <c r="IVM77" s="26"/>
      <c r="IVN77" s="26"/>
      <c r="IVO77" s="26"/>
      <c r="IVP77" s="22"/>
      <c r="IVQ77" s="167"/>
      <c r="IVR77" s="30"/>
      <c r="IVS77" s="25"/>
      <c r="IVT77" s="178"/>
      <c r="IVU77" s="26"/>
      <c r="IVV77" s="26"/>
      <c r="IVW77" s="26"/>
      <c r="IVX77" s="26"/>
      <c r="IVY77" s="26"/>
      <c r="IVZ77" s="26"/>
      <c r="IWA77" s="58"/>
      <c r="IWB77" s="26"/>
      <c r="IWC77" s="26"/>
      <c r="IWD77" s="26"/>
      <c r="IWE77" s="26"/>
      <c r="IWF77" s="22"/>
      <c r="IWG77" s="167"/>
      <c r="IWH77" s="30"/>
      <c r="IWI77" s="25"/>
      <c r="IWJ77" s="178"/>
      <c r="IWK77" s="26"/>
      <c r="IWL77" s="26"/>
      <c r="IWM77" s="26"/>
      <c r="IWN77" s="26"/>
      <c r="IWO77" s="26"/>
      <c r="IWP77" s="26"/>
      <c r="IWQ77" s="58"/>
      <c r="IWR77" s="26"/>
      <c r="IWS77" s="26"/>
      <c r="IWT77" s="26"/>
      <c r="IWU77" s="26"/>
      <c r="IWV77" s="22"/>
      <c r="IWW77" s="167"/>
      <c r="IWX77" s="30"/>
      <c r="IWY77" s="25"/>
      <c r="IWZ77" s="178"/>
      <c r="IXA77" s="26"/>
      <c r="IXB77" s="26"/>
      <c r="IXC77" s="26"/>
      <c r="IXD77" s="26"/>
      <c r="IXE77" s="26"/>
      <c r="IXF77" s="26"/>
      <c r="IXG77" s="58"/>
      <c r="IXH77" s="26"/>
      <c r="IXI77" s="26"/>
      <c r="IXJ77" s="26"/>
      <c r="IXK77" s="26"/>
      <c r="IXL77" s="22"/>
      <c r="IXM77" s="167"/>
      <c r="IXN77" s="30"/>
      <c r="IXO77" s="25"/>
      <c r="IXP77" s="178"/>
      <c r="IXQ77" s="26"/>
      <c r="IXR77" s="26"/>
      <c r="IXS77" s="26"/>
      <c r="IXT77" s="26"/>
      <c r="IXU77" s="26"/>
      <c r="IXV77" s="26"/>
      <c r="IXW77" s="58"/>
      <c r="IXX77" s="26"/>
      <c r="IXY77" s="26"/>
      <c r="IXZ77" s="26"/>
      <c r="IYA77" s="26"/>
      <c r="IYB77" s="22"/>
      <c r="IYC77" s="167"/>
      <c r="IYD77" s="30"/>
      <c r="IYE77" s="25"/>
      <c r="IYF77" s="178"/>
      <c r="IYG77" s="26"/>
      <c r="IYH77" s="26"/>
      <c r="IYI77" s="26"/>
      <c r="IYJ77" s="26"/>
      <c r="IYK77" s="26"/>
      <c r="IYL77" s="26"/>
      <c r="IYM77" s="58"/>
      <c r="IYN77" s="26"/>
      <c r="IYO77" s="26"/>
      <c r="IYP77" s="26"/>
      <c r="IYQ77" s="26"/>
      <c r="IYR77" s="22"/>
      <c r="IYS77" s="167"/>
      <c r="IYT77" s="30"/>
      <c r="IYU77" s="25"/>
      <c r="IYV77" s="178"/>
      <c r="IYW77" s="26"/>
      <c r="IYX77" s="26"/>
      <c r="IYY77" s="26"/>
      <c r="IYZ77" s="26"/>
      <c r="IZA77" s="26"/>
      <c r="IZB77" s="26"/>
      <c r="IZC77" s="58"/>
      <c r="IZD77" s="26"/>
      <c r="IZE77" s="26"/>
      <c r="IZF77" s="26"/>
      <c r="IZG77" s="26"/>
      <c r="IZH77" s="22"/>
      <c r="IZI77" s="167"/>
      <c r="IZJ77" s="30"/>
      <c r="IZK77" s="25"/>
      <c r="IZL77" s="178"/>
      <c r="IZM77" s="26"/>
      <c r="IZN77" s="26"/>
      <c r="IZO77" s="26"/>
      <c r="IZP77" s="26"/>
      <c r="IZQ77" s="26"/>
      <c r="IZR77" s="26"/>
      <c r="IZS77" s="58"/>
      <c r="IZT77" s="26"/>
      <c r="IZU77" s="26"/>
      <c r="IZV77" s="26"/>
      <c r="IZW77" s="26"/>
      <c r="IZX77" s="22"/>
      <c r="IZY77" s="167"/>
      <c r="IZZ77" s="30"/>
      <c r="JAA77" s="25"/>
      <c r="JAB77" s="178"/>
      <c r="JAC77" s="26"/>
      <c r="JAD77" s="26"/>
      <c r="JAE77" s="26"/>
      <c r="JAF77" s="26"/>
      <c r="JAG77" s="26"/>
      <c r="JAH77" s="26"/>
      <c r="JAI77" s="58"/>
      <c r="JAJ77" s="26"/>
      <c r="JAK77" s="26"/>
      <c r="JAL77" s="26"/>
      <c r="JAM77" s="26"/>
      <c r="JAN77" s="22"/>
      <c r="JAO77" s="167"/>
      <c r="JAP77" s="30"/>
      <c r="JAQ77" s="25"/>
      <c r="JAR77" s="178"/>
      <c r="JAS77" s="26"/>
      <c r="JAT77" s="26"/>
      <c r="JAU77" s="26"/>
      <c r="JAV77" s="26"/>
      <c r="JAW77" s="26"/>
      <c r="JAX77" s="26"/>
      <c r="JAY77" s="58"/>
      <c r="JAZ77" s="26"/>
      <c r="JBA77" s="26"/>
      <c r="JBB77" s="26"/>
      <c r="JBC77" s="26"/>
      <c r="JBD77" s="22"/>
      <c r="JBE77" s="167"/>
      <c r="JBF77" s="30"/>
      <c r="JBG77" s="25"/>
      <c r="JBH77" s="178"/>
      <c r="JBI77" s="26"/>
      <c r="JBJ77" s="26"/>
      <c r="JBK77" s="26"/>
      <c r="JBL77" s="26"/>
      <c r="JBM77" s="26"/>
      <c r="JBN77" s="26"/>
      <c r="JBO77" s="58"/>
      <c r="JBP77" s="26"/>
      <c r="JBQ77" s="26"/>
      <c r="JBR77" s="26"/>
      <c r="JBS77" s="26"/>
      <c r="JBT77" s="22"/>
      <c r="JBU77" s="167"/>
      <c r="JBV77" s="30"/>
      <c r="JBW77" s="25"/>
      <c r="JBX77" s="178"/>
      <c r="JBY77" s="26"/>
      <c r="JBZ77" s="26"/>
      <c r="JCA77" s="26"/>
      <c r="JCB77" s="26"/>
      <c r="JCC77" s="26"/>
      <c r="JCD77" s="26"/>
      <c r="JCE77" s="58"/>
      <c r="JCF77" s="26"/>
      <c r="JCG77" s="26"/>
      <c r="JCH77" s="26"/>
      <c r="JCI77" s="26"/>
      <c r="JCJ77" s="22"/>
      <c r="JCK77" s="167"/>
      <c r="JCL77" s="30"/>
      <c r="JCM77" s="25"/>
      <c r="JCN77" s="178"/>
      <c r="JCO77" s="26"/>
      <c r="JCP77" s="26"/>
      <c r="JCQ77" s="26"/>
      <c r="JCR77" s="26"/>
      <c r="JCS77" s="26"/>
      <c r="JCT77" s="26"/>
      <c r="JCU77" s="58"/>
      <c r="JCV77" s="26"/>
      <c r="JCW77" s="26"/>
      <c r="JCX77" s="26"/>
      <c r="JCY77" s="26"/>
      <c r="JCZ77" s="22"/>
      <c r="JDA77" s="167"/>
      <c r="JDB77" s="30"/>
      <c r="JDC77" s="25"/>
      <c r="JDD77" s="178"/>
      <c r="JDE77" s="26"/>
      <c r="JDF77" s="26"/>
      <c r="JDG77" s="26"/>
      <c r="JDH77" s="26"/>
      <c r="JDI77" s="26"/>
      <c r="JDJ77" s="26"/>
      <c r="JDK77" s="58"/>
      <c r="JDL77" s="26"/>
      <c r="JDM77" s="26"/>
      <c r="JDN77" s="26"/>
      <c r="JDO77" s="26"/>
      <c r="JDP77" s="22"/>
      <c r="JDQ77" s="167"/>
      <c r="JDR77" s="30"/>
      <c r="JDS77" s="25"/>
      <c r="JDT77" s="178"/>
      <c r="JDU77" s="26"/>
      <c r="JDV77" s="26"/>
      <c r="JDW77" s="26"/>
      <c r="JDX77" s="26"/>
      <c r="JDY77" s="26"/>
      <c r="JDZ77" s="26"/>
      <c r="JEA77" s="58"/>
      <c r="JEB77" s="26"/>
      <c r="JEC77" s="26"/>
      <c r="JED77" s="26"/>
      <c r="JEE77" s="26"/>
      <c r="JEF77" s="22"/>
      <c r="JEG77" s="167"/>
      <c r="JEH77" s="30"/>
      <c r="JEI77" s="25"/>
      <c r="JEJ77" s="178"/>
      <c r="JEK77" s="26"/>
      <c r="JEL77" s="26"/>
      <c r="JEM77" s="26"/>
      <c r="JEN77" s="26"/>
      <c r="JEO77" s="26"/>
      <c r="JEP77" s="26"/>
      <c r="JEQ77" s="58"/>
      <c r="JER77" s="26"/>
      <c r="JES77" s="26"/>
      <c r="JET77" s="26"/>
      <c r="JEU77" s="26"/>
      <c r="JEV77" s="22"/>
      <c r="JEW77" s="167"/>
      <c r="JEX77" s="30"/>
      <c r="JEY77" s="25"/>
      <c r="JEZ77" s="178"/>
      <c r="JFA77" s="26"/>
      <c r="JFB77" s="26"/>
      <c r="JFC77" s="26"/>
      <c r="JFD77" s="26"/>
      <c r="JFE77" s="26"/>
      <c r="JFF77" s="26"/>
      <c r="JFG77" s="58"/>
      <c r="JFH77" s="26"/>
      <c r="JFI77" s="26"/>
      <c r="JFJ77" s="26"/>
      <c r="JFK77" s="26"/>
      <c r="JFL77" s="22"/>
      <c r="JFM77" s="167"/>
      <c r="JFN77" s="30"/>
      <c r="JFO77" s="25"/>
      <c r="JFP77" s="178"/>
      <c r="JFQ77" s="26"/>
      <c r="JFR77" s="26"/>
      <c r="JFS77" s="26"/>
      <c r="JFT77" s="26"/>
      <c r="JFU77" s="26"/>
      <c r="JFV77" s="26"/>
      <c r="JFW77" s="58"/>
      <c r="JFX77" s="26"/>
      <c r="JFY77" s="26"/>
      <c r="JFZ77" s="26"/>
      <c r="JGA77" s="26"/>
      <c r="JGB77" s="22"/>
      <c r="JGC77" s="167"/>
      <c r="JGD77" s="30"/>
      <c r="JGE77" s="25"/>
      <c r="JGF77" s="178"/>
      <c r="JGG77" s="26"/>
      <c r="JGH77" s="26"/>
      <c r="JGI77" s="26"/>
      <c r="JGJ77" s="26"/>
      <c r="JGK77" s="26"/>
      <c r="JGL77" s="26"/>
      <c r="JGM77" s="58"/>
      <c r="JGN77" s="26"/>
      <c r="JGO77" s="26"/>
      <c r="JGP77" s="26"/>
      <c r="JGQ77" s="26"/>
      <c r="JGR77" s="22"/>
      <c r="JGS77" s="167"/>
      <c r="JGT77" s="30"/>
      <c r="JGU77" s="25"/>
      <c r="JGV77" s="178"/>
      <c r="JGW77" s="26"/>
      <c r="JGX77" s="26"/>
      <c r="JGY77" s="26"/>
      <c r="JGZ77" s="26"/>
      <c r="JHA77" s="26"/>
      <c r="JHB77" s="26"/>
      <c r="JHC77" s="58"/>
      <c r="JHD77" s="26"/>
      <c r="JHE77" s="26"/>
      <c r="JHF77" s="26"/>
      <c r="JHG77" s="26"/>
      <c r="JHH77" s="22"/>
      <c r="JHI77" s="167"/>
      <c r="JHJ77" s="30"/>
      <c r="JHK77" s="25"/>
      <c r="JHL77" s="178"/>
      <c r="JHM77" s="26"/>
      <c r="JHN77" s="26"/>
      <c r="JHO77" s="26"/>
      <c r="JHP77" s="26"/>
      <c r="JHQ77" s="26"/>
      <c r="JHR77" s="26"/>
      <c r="JHS77" s="58"/>
      <c r="JHT77" s="26"/>
      <c r="JHU77" s="26"/>
      <c r="JHV77" s="26"/>
      <c r="JHW77" s="26"/>
      <c r="JHX77" s="22"/>
      <c r="JHY77" s="167"/>
      <c r="JHZ77" s="30"/>
      <c r="JIA77" s="25"/>
      <c r="JIB77" s="178"/>
      <c r="JIC77" s="26"/>
      <c r="JID77" s="26"/>
      <c r="JIE77" s="26"/>
      <c r="JIF77" s="26"/>
      <c r="JIG77" s="26"/>
      <c r="JIH77" s="26"/>
      <c r="JII77" s="58"/>
      <c r="JIJ77" s="26"/>
      <c r="JIK77" s="26"/>
      <c r="JIL77" s="26"/>
      <c r="JIM77" s="26"/>
      <c r="JIN77" s="22"/>
      <c r="JIO77" s="167"/>
      <c r="JIP77" s="30"/>
      <c r="JIQ77" s="25"/>
      <c r="JIR77" s="178"/>
      <c r="JIS77" s="26"/>
      <c r="JIT77" s="26"/>
      <c r="JIU77" s="26"/>
      <c r="JIV77" s="26"/>
      <c r="JIW77" s="26"/>
      <c r="JIX77" s="26"/>
      <c r="JIY77" s="58"/>
      <c r="JIZ77" s="26"/>
      <c r="JJA77" s="26"/>
      <c r="JJB77" s="26"/>
      <c r="JJC77" s="26"/>
      <c r="JJD77" s="22"/>
      <c r="JJE77" s="167"/>
      <c r="JJF77" s="30"/>
      <c r="JJG77" s="25"/>
      <c r="JJH77" s="178"/>
      <c r="JJI77" s="26"/>
      <c r="JJJ77" s="26"/>
      <c r="JJK77" s="26"/>
      <c r="JJL77" s="26"/>
      <c r="JJM77" s="26"/>
      <c r="JJN77" s="26"/>
      <c r="JJO77" s="58"/>
      <c r="JJP77" s="26"/>
      <c r="JJQ77" s="26"/>
      <c r="JJR77" s="26"/>
      <c r="JJS77" s="26"/>
      <c r="JJT77" s="22"/>
      <c r="JJU77" s="167"/>
      <c r="JJV77" s="30"/>
      <c r="JJW77" s="25"/>
      <c r="JJX77" s="178"/>
      <c r="JJY77" s="26"/>
      <c r="JJZ77" s="26"/>
      <c r="JKA77" s="26"/>
      <c r="JKB77" s="26"/>
      <c r="JKC77" s="26"/>
      <c r="JKD77" s="26"/>
      <c r="JKE77" s="58"/>
      <c r="JKF77" s="26"/>
      <c r="JKG77" s="26"/>
      <c r="JKH77" s="26"/>
      <c r="JKI77" s="26"/>
      <c r="JKJ77" s="22"/>
      <c r="JKK77" s="167"/>
      <c r="JKL77" s="30"/>
      <c r="JKM77" s="25"/>
      <c r="JKN77" s="178"/>
      <c r="JKO77" s="26"/>
      <c r="JKP77" s="26"/>
      <c r="JKQ77" s="26"/>
      <c r="JKR77" s="26"/>
      <c r="JKS77" s="26"/>
      <c r="JKT77" s="26"/>
      <c r="JKU77" s="58"/>
      <c r="JKV77" s="26"/>
      <c r="JKW77" s="26"/>
      <c r="JKX77" s="26"/>
      <c r="JKY77" s="26"/>
      <c r="JKZ77" s="22"/>
      <c r="JLA77" s="167"/>
      <c r="JLB77" s="30"/>
      <c r="JLC77" s="25"/>
      <c r="JLD77" s="178"/>
      <c r="JLE77" s="26"/>
      <c r="JLF77" s="26"/>
      <c r="JLG77" s="26"/>
      <c r="JLH77" s="26"/>
      <c r="JLI77" s="26"/>
      <c r="JLJ77" s="26"/>
      <c r="JLK77" s="58"/>
      <c r="JLL77" s="26"/>
      <c r="JLM77" s="26"/>
      <c r="JLN77" s="26"/>
      <c r="JLO77" s="26"/>
      <c r="JLP77" s="22"/>
      <c r="JLQ77" s="167"/>
      <c r="JLR77" s="30"/>
      <c r="JLS77" s="25"/>
      <c r="JLT77" s="178"/>
      <c r="JLU77" s="26"/>
      <c r="JLV77" s="26"/>
      <c r="JLW77" s="26"/>
      <c r="JLX77" s="26"/>
      <c r="JLY77" s="26"/>
      <c r="JLZ77" s="26"/>
      <c r="JMA77" s="58"/>
      <c r="JMB77" s="26"/>
      <c r="JMC77" s="26"/>
      <c r="JMD77" s="26"/>
      <c r="JME77" s="26"/>
      <c r="JMF77" s="22"/>
      <c r="JMG77" s="167"/>
      <c r="JMH77" s="30"/>
      <c r="JMI77" s="25"/>
      <c r="JMJ77" s="178"/>
      <c r="JMK77" s="26"/>
      <c r="JML77" s="26"/>
      <c r="JMM77" s="26"/>
      <c r="JMN77" s="26"/>
      <c r="JMO77" s="26"/>
      <c r="JMP77" s="26"/>
      <c r="JMQ77" s="58"/>
      <c r="JMR77" s="26"/>
      <c r="JMS77" s="26"/>
      <c r="JMT77" s="26"/>
      <c r="JMU77" s="26"/>
      <c r="JMV77" s="22"/>
      <c r="JMW77" s="167"/>
      <c r="JMX77" s="30"/>
      <c r="JMY77" s="25"/>
      <c r="JMZ77" s="178"/>
      <c r="JNA77" s="26"/>
      <c r="JNB77" s="26"/>
      <c r="JNC77" s="26"/>
      <c r="JND77" s="26"/>
      <c r="JNE77" s="26"/>
      <c r="JNF77" s="26"/>
      <c r="JNG77" s="58"/>
      <c r="JNH77" s="26"/>
      <c r="JNI77" s="26"/>
      <c r="JNJ77" s="26"/>
      <c r="JNK77" s="26"/>
      <c r="JNL77" s="22"/>
      <c r="JNM77" s="167"/>
      <c r="JNN77" s="30"/>
      <c r="JNO77" s="25"/>
      <c r="JNP77" s="178"/>
      <c r="JNQ77" s="26"/>
      <c r="JNR77" s="26"/>
      <c r="JNS77" s="26"/>
      <c r="JNT77" s="26"/>
      <c r="JNU77" s="26"/>
      <c r="JNV77" s="26"/>
      <c r="JNW77" s="58"/>
      <c r="JNX77" s="26"/>
      <c r="JNY77" s="26"/>
      <c r="JNZ77" s="26"/>
      <c r="JOA77" s="26"/>
      <c r="JOB77" s="22"/>
      <c r="JOC77" s="167"/>
      <c r="JOD77" s="30"/>
      <c r="JOE77" s="25"/>
      <c r="JOF77" s="178"/>
      <c r="JOG77" s="26"/>
      <c r="JOH77" s="26"/>
      <c r="JOI77" s="26"/>
      <c r="JOJ77" s="26"/>
      <c r="JOK77" s="26"/>
      <c r="JOL77" s="26"/>
      <c r="JOM77" s="58"/>
      <c r="JON77" s="26"/>
      <c r="JOO77" s="26"/>
      <c r="JOP77" s="26"/>
      <c r="JOQ77" s="26"/>
      <c r="JOR77" s="22"/>
      <c r="JOS77" s="167"/>
      <c r="JOT77" s="30"/>
      <c r="JOU77" s="25"/>
      <c r="JOV77" s="178"/>
      <c r="JOW77" s="26"/>
      <c r="JOX77" s="26"/>
      <c r="JOY77" s="26"/>
      <c r="JOZ77" s="26"/>
      <c r="JPA77" s="26"/>
      <c r="JPB77" s="26"/>
      <c r="JPC77" s="58"/>
      <c r="JPD77" s="26"/>
      <c r="JPE77" s="26"/>
      <c r="JPF77" s="26"/>
      <c r="JPG77" s="26"/>
      <c r="JPH77" s="22"/>
      <c r="JPI77" s="167"/>
      <c r="JPJ77" s="30"/>
      <c r="JPK77" s="25"/>
      <c r="JPL77" s="178"/>
      <c r="JPM77" s="26"/>
      <c r="JPN77" s="26"/>
      <c r="JPO77" s="26"/>
      <c r="JPP77" s="26"/>
      <c r="JPQ77" s="26"/>
      <c r="JPR77" s="26"/>
      <c r="JPS77" s="58"/>
      <c r="JPT77" s="26"/>
      <c r="JPU77" s="26"/>
      <c r="JPV77" s="26"/>
      <c r="JPW77" s="26"/>
      <c r="JPX77" s="22"/>
      <c r="JPY77" s="167"/>
      <c r="JPZ77" s="30"/>
      <c r="JQA77" s="25"/>
      <c r="JQB77" s="178"/>
      <c r="JQC77" s="26"/>
      <c r="JQD77" s="26"/>
      <c r="JQE77" s="26"/>
      <c r="JQF77" s="26"/>
      <c r="JQG77" s="26"/>
      <c r="JQH77" s="26"/>
      <c r="JQI77" s="58"/>
      <c r="JQJ77" s="26"/>
      <c r="JQK77" s="26"/>
      <c r="JQL77" s="26"/>
      <c r="JQM77" s="26"/>
      <c r="JQN77" s="22"/>
      <c r="JQO77" s="167"/>
      <c r="JQP77" s="30"/>
      <c r="JQQ77" s="25"/>
      <c r="JQR77" s="178"/>
      <c r="JQS77" s="26"/>
      <c r="JQT77" s="26"/>
      <c r="JQU77" s="26"/>
      <c r="JQV77" s="26"/>
      <c r="JQW77" s="26"/>
      <c r="JQX77" s="26"/>
      <c r="JQY77" s="58"/>
      <c r="JQZ77" s="26"/>
      <c r="JRA77" s="26"/>
      <c r="JRB77" s="26"/>
      <c r="JRC77" s="26"/>
      <c r="JRD77" s="22"/>
      <c r="JRE77" s="167"/>
      <c r="JRF77" s="30"/>
      <c r="JRG77" s="25"/>
      <c r="JRH77" s="178"/>
      <c r="JRI77" s="26"/>
      <c r="JRJ77" s="26"/>
      <c r="JRK77" s="26"/>
      <c r="JRL77" s="26"/>
      <c r="JRM77" s="26"/>
      <c r="JRN77" s="26"/>
      <c r="JRO77" s="58"/>
      <c r="JRP77" s="26"/>
      <c r="JRQ77" s="26"/>
      <c r="JRR77" s="26"/>
      <c r="JRS77" s="26"/>
      <c r="JRT77" s="22"/>
      <c r="JRU77" s="167"/>
      <c r="JRV77" s="30"/>
      <c r="JRW77" s="25"/>
      <c r="JRX77" s="178"/>
      <c r="JRY77" s="26"/>
      <c r="JRZ77" s="26"/>
      <c r="JSA77" s="26"/>
      <c r="JSB77" s="26"/>
      <c r="JSC77" s="26"/>
      <c r="JSD77" s="26"/>
      <c r="JSE77" s="58"/>
      <c r="JSF77" s="26"/>
      <c r="JSG77" s="26"/>
      <c r="JSH77" s="26"/>
      <c r="JSI77" s="26"/>
      <c r="JSJ77" s="22"/>
      <c r="JSK77" s="167"/>
      <c r="JSL77" s="30"/>
      <c r="JSM77" s="25"/>
      <c r="JSN77" s="178"/>
      <c r="JSO77" s="26"/>
      <c r="JSP77" s="26"/>
      <c r="JSQ77" s="26"/>
      <c r="JSR77" s="26"/>
      <c r="JSS77" s="26"/>
      <c r="JST77" s="26"/>
      <c r="JSU77" s="58"/>
      <c r="JSV77" s="26"/>
      <c r="JSW77" s="26"/>
      <c r="JSX77" s="26"/>
      <c r="JSY77" s="26"/>
      <c r="JSZ77" s="22"/>
      <c r="JTA77" s="167"/>
      <c r="JTB77" s="30"/>
      <c r="JTC77" s="25"/>
      <c r="JTD77" s="178"/>
      <c r="JTE77" s="26"/>
      <c r="JTF77" s="26"/>
      <c r="JTG77" s="26"/>
      <c r="JTH77" s="26"/>
      <c r="JTI77" s="26"/>
      <c r="JTJ77" s="26"/>
      <c r="JTK77" s="58"/>
      <c r="JTL77" s="26"/>
      <c r="JTM77" s="26"/>
      <c r="JTN77" s="26"/>
      <c r="JTO77" s="26"/>
      <c r="JTP77" s="22"/>
      <c r="JTQ77" s="167"/>
      <c r="JTR77" s="30"/>
      <c r="JTS77" s="25"/>
      <c r="JTT77" s="178"/>
      <c r="JTU77" s="26"/>
      <c r="JTV77" s="26"/>
      <c r="JTW77" s="26"/>
      <c r="JTX77" s="26"/>
      <c r="JTY77" s="26"/>
      <c r="JTZ77" s="26"/>
      <c r="JUA77" s="58"/>
      <c r="JUB77" s="26"/>
      <c r="JUC77" s="26"/>
      <c r="JUD77" s="26"/>
      <c r="JUE77" s="26"/>
      <c r="JUF77" s="22"/>
      <c r="JUG77" s="167"/>
      <c r="JUH77" s="30"/>
      <c r="JUI77" s="25"/>
      <c r="JUJ77" s="178"/>
      <c r="JUK77" s="26"/>
      <c r="JUL77" s="26"/>
      <c r="JUM77" s="26"/>
      <c r="JUN77" s="26"/>
      <c r="JUO77" s="26"/>
      <c r="JUP77" s="26"/>
      <c r="JUQ77" s="58"/>
      <c r="JUR77" s="26"/>
      <c r="JUS77" s="26"/>
      <c r="JUT77" s="26"/>
      <c r="JUU77" s="26"/>
      <c r="JUV77" s="22"/>
      <c r="JUW77" s="167"/>
      <c r="JUX77" s="30"/>
      <c r="JUY77" s="25"/>
      <c r="JUZ77" s="178"/>
      <c r="JVA77" s="26"/>
      <c r="JVB77" s="26"/>
      <c r="JVC77" s="26"/>
      <c r="JVD77" s="26"/>
      <c r="JVE77" s="26"/>
      <c r="JVF77" s="26"/>
      <c r="JVG77" s="58"/>
      <c r="JVH77" s="26"/>
      <c r="JVI77" s="26"/>
      <c r="JVJ77" s="26"/>
      <c r="JVK77" s="26"/>
      <c r="JVL77" s="22"/>
      <c r="JVM77" s="167"/>
      <c r="JVN77" s="30"/>
      <c r="JVO77" s="25"/>
      <c r="JVP77" s="178"/>
      <c r="JVQ77" s="26"/>
      <c r="JVR77" s="26"/>
      <c r="JVS77" s="26"/>
      <c r="JVT77" s="26"/>
      <c r="JVU77" s="26"/>
      <c r="JVV77" s="26"/>
      <c r="JVW77" s="58"/>
      <c r="JVX77" s="26"/>
      <c r="JVY77" s="26"/>
      <c r="JVZ77" s="26"/>
      <c r="JWA77" s="26"/>
      <c r="JWB77" s="22"/>
      <c r="JWC77" s="167"/>
      <c r="JWD77" s="30"/>
      <c r="JWE77" s="25"/>
      <c r="JWF77" s="178"/>
      <c r="JWG77" s="26"/>
      <c r="JWH77" s="26"/>
      <c r="JWI77" s="26"/>
      <c r="JWJ77" s="26"/>
      <c r="JWK77" s="26"/>
      <c r="JWL77" s="26"/>
      <c r="JWM77" s="58"/>
      <c r="JWN77" s="26"/>
      <c r="JWO77" s="26"/>
      <c r="JWP77" s="26"/>
      <c r="JWQ77" s="26"/>
      <c r="JWR77" s="22"/>
      <c r="JWS77" s="167"/>
      <c r="JWT77" s="30"/>
      <c r="JWU77" s="25"/>
      <c r="JWV77" s="178"/>
      <c r="JWW77" s="26"/>
      <c r="JWX77" s="26"/>
      <c r="JWY77" s="26"/>
      <c r="JWZ77" s="26"/>
      <c r="JXA77" s="26"/>
      <c r="JXB77" s="26"/>
      <c r="JXC77" s="58"/>
      <c r="JXD77" s="26"/>
      <c r="JXE77" s="26"/>
      <c r="JXF77" s="26"/>
      <c r="JXG77" s="26"/>
      <c r="JXH77" s="22"/>
      <c r="JXI77" s="167"/>
      <c r="JXJ77" s="30"/>
      <c r="JXK77" s="25"/>
      <c r="JXL77" s="178"/>
      <c r="JXM77" s="26"/>
      <c r="JXN77" s="26"/>
      <c r="JXO77" s="26"/>
      <c r="JXP77" s="26"/>
      <c r="JXQ77" s="26"/>
      <c r="JXR77" s="26"/>
      <c r="JXS77" s="58"/>
      <c r="JXT77" s="26"/>
      <c r="JXU77" s="26"/>
      <c r="JXV77" s="26"/>
      <c r="JXW77" s="26"/>
      <c r="JXX77" s="22"/>
      <c r="JXY77" s="167"/>
      <c r="JXZ77" s="30"/>
      <c r="JYA77" s="25"/>
      <c r="JYB77" s="178"/>
      <c r="JYC77" s="26"/>
      <c r="JYD77" s="26"/>
      <c r="JYE77" s="26"/>
      <c r="JYF77" s="26"/>
      <c r="JYG77" s="26"/>
      <c r="JYH77" s="26"/>
      <c r="JYI77" s="58"/>
      <c r="JYJ77" s="26"/>
      <c r="JYK77" s="26"/>
      <c r="JYL77" s="26"/>
      <c r="JYM77" s="26"/>
      <c r="JYN77" s="22"/>
      <c r="JYO77" s="167"/>
      <c r="JYP77" s="30"/>
      <c r="JYQ77" s="25"/>
      <c r="JYR77" s="178"/>
      <c r="JYS77" s="26"/>
      <c r="JYT77" s="26"/>
      <c r="JYU77" s="26"/>
      <c r="JYV77" s="26"/>
      <c r="JYW77" s="26"/>
      <c r="JYX77" s="26"/>
      <c r="JYY77" s="58"/>
      <c r="JYZ77" s="26"/>
      <c r="JZA77" s="26"/>
      <c r="JZB77" s="26"/>
      <c r="JZC77" s="26"/>
      <c r="JZD77" s="22"/>
      <c r="JZE77" s="167"/>
      <c r="JZF77" s="30"/>
      <c r="JZG77" s="25"/>
      <c r="JZH77" s="178"/>
      <c r="JZI77" s="26"/>
      <c r="JZJ77" s="26"/>
      <c r="JZK77" s="26"/>
      <c r="JZL77" s="26"/>
      <c r="JZM77" s="26"/>
      <c r="JZN77" s="26"/>
      <c r="JZO77" s="58"/>
      <c r="JZP77" s="26"/>
      <c r="JZQ77" s="26"/>
      <c r="JZR77" s="26"/>
      <c r="JZS77" s="26"/>
      <c r="JZT77" s="22"/>
      <c r="JZU77" s="167"/>
      <c r="JZV77" s="30"/>
      <c r="JZW77" s="25"/>
      <c r="JZX77" s="178"/>
      <c r="JZY77" s="26"/>
      <c r="JZZ77" s="26"/>
      <c r="KAA77" s="26"/>
      <c r="KAB77" s="26"/>
      <c r="KAC77" s="26"/>
      <c r="KAD77" s="26"/>
      <c r="KAE77" s="58"/>
      <c r="KAF77" s="26"/>
      <c r="KAG77" s="26"/>
      <c r="KAH77" s="26"/>
      <c r="KAI77" s="26"/>
      <c r="KAJ77" s="22"/>
      <c r="KAK77" s="167"/>
      <c r="KAL77" s="30"/>
      <c r="KAM77" s="25"/>
      <c r="KAN77" s="178"/>
      <c r="KAO77" s="26"/>
      <c r="KAP77" s="26"/>
      <c r="KAQ77" s="26"/>
      <c r="KAR77" s="26"/>
      <c r="KAS77" s="26"/>
      <c r="KAT77" s="26"/>
      <c r="KAU77" s="58"/>
      <c r="KAV77" s="26"/>
      <c r="KAW77" s="26"/>
      <c r="KAX77" s="26"/>
      <c r="KAY77" s="26"/>
      <c r="KAZ77" s="22"/>
      <c r="KBA77" s="167"/>
      <c r="KBB77" s="30"/>
      <c r="KBC77" s="25"/>
      <c r="KBD77" s="178"/>
      <c r="KBE77" s="26"/>
      <c r="KBF77" s="26"/>
      <c r="KBG77" s="26"/>
      <c r="KBH77" s="26"/>
      <c r="KBI77" s="26"/>
      <c r="KBJ77" s="26"/>
      <c r="KBK77" s="58"/>
      <c r="KBL77" s="26"/>
      <c r="KBM77" s="26"/>
      <c r="KBN77" s="26"/>
      <c r="KBO77" s="26"/>
      <c r="KBP77" s="22"/>
      <c r="KBQ77" s="167"/>
      <c r="KBR77" s="30"/>
      <c r="KBS77" s="25"/>
      <c r="KBT77" s="178"/>
      <c r="KBU77" s="26"/>
      <c r="KBV77" s="26"/>
      <c r="KBW77" s="26"/>
      <c r="KBX77" s="26"/>
      <c r="KBY77" s="26"/>
      <c r="KBZ77" s="26"/>
      <c r="KCA77" s="58"/>
      <c r="KCB77" s="26"/>
      <c r="KCC77" s="26"/>
      <c r="KCD77" s="26"/>
      <c r="KCE77" s="26"/>
      <c r="KCF77" s="22"/>
      <c r="KCG77" s="167"/>
      <c r="KCH77" s="30"/>
      <c r="KCI77" s="25"/>
      <c r="KCJ77" s="178"/>
      <c r="KCK77" s="26"/>
      <c r="KCL77" s="26"/>
      <c r="KCM77" s="26"/>
      <c r="KCN77" s="26"/>
      <c r="KCO77" s="26"/>
      <c r="KCP77" s="26"/>
      <c r="KCQ77" s="58"/>
      <c r="KCR77" s="26"/>
      <c r="KCS77" s="26"/>
      <c r="KCT77" s="26"/>
      <c r="KCU77" s="26"/>
      <c r="KCV77" s="22"/>
      <c r="KCW77" s="167"/>
      <c r="KCX77" s="30"/>
      <c r="KCY77" s="25"/>
      <c r="KCZ77" s="178"/>
      <c r="KDA77" s="26"/>
      <c r="KDB77" s="26"/>
      <c r="KDC77" s="26"/>
      <c r="KDD77" s="26"/>
      <c r="KDE77" s="26"/>
      <c r="KDF77" s="26"/>
      <c r="KDG77" s="58"/>
      <c r="KDH77" s="26"/>
      <c r="KDI77" s="26"/>
      <c r="KDJ77" s="26"/>
      <c r="KDK77" s="26"/>
      <c r="KDL77" s="22"/>
      <c r="KDM77" s="167"/>
      <c r="KDN77" s="30"/>
      <c r="KDO77" s="25"/>
      <c r="KDP77" s="178"/>
      <c r="KDQ77" s="26"/>
      <c r="KDR77" s="26"/>
      <c r="KDS77" s="26"/>
      <c r="KDT77" s="26"/>
      <c r="KDU77" s="26"/>
      <c r="KDV77" s="26"/>
      <c r="KDW77" s="58"/>
      <c r="KDX77" s="26"/>
      <c r="KDY77" s="26"/>
      <c r="KDZ77" s="26"/>
      <c r="KEA77" s="26"/>
      <c r="KEB77" s="22"/>
      <c r="KEC77" s="167"/>
      <c r="KED77" s="30"/>
      <c r="KEE77" s="25"/>
      <c r="KEF77" s="178"/>
      <c r="KEG77" s="26"/>
      <c r="KEH77" s="26"/>
      <c r="KEI77" s="26"/>
      <c r="KEJ77" s="26"/>
      <c r="KEK77" s="26"/>
      <c r="KEL77" s="26"/>
      <c r="KEM77" s="58"/>
      <c r="KEN77" s="26"/>
      <c r="KEO77" s="26"/>
      <c r="KEP77" s="26"/>
      <c r="KEQ77" s="26"/>
      <c r="KER77" s="22"/>
      <c r="KES77" s="167"/>
      <c r="KET77" s="30"/>
      <c r="KEU77" s="25"/>
      <c r="KEV77" s="178"/>
      <c r="KEW77" s="26"/>
      <c r="KEX77" s="26"/>
      <c r="KEY77" s="26"/>
      <c r="KEZ77" s="26"/>
      <c r="KFA77" s="26"/>
      <c r="KFB77" s="26"/>
      <c r="KFC77" s="58"/>
      <c r="KFD77" s="26"/>
      <c r="KFE77" s="26"/>
      <c r="KFF77" s="26"/>
      <c r="KFG77" s="26"/>
      <c r="KFH77" s="22"/>
      <c r="KFI77" s="167"/>
      <c r="KFJ77" s="30"/>
      <c r="KFK77" s="25"/>
      <c r="KFL77" s="178"/>
      <c r="KFM77" s="26"/>
      <c r="KFN77" s="26"/>
      <c r="KFO77" s="26"/>
      <c r="KFP77" s="26"/>
      <c r="KFQ77" s="26"/>
      <c r="KFR77" s="26"/>
      <c r="KFS77" s="58"/>
      <c r="KFT77" s="26"/>
      <c r="KFU77" s="26"/>
      <c r="KFV77" s="26"/>
      <c r="KFW77" s="26"/>
      <c r="KFX77" s="22"/>
      <c r="KFY77" s="167"/>
      <c r="KFZ77" s="30"/>
      <c r="KGA77" s="25"/>
      <c r="KGB77" s="178"/>
      <c r="KGC77" s="26"/>
      <c r="KGD77" s="26"/>
      <c r="KGE77" s="26"/>
      <c r="KGF77" s="26"/>
      <c r="KGG77" s="26"/>
      <c r="KGH77" s="26"/>
      <c r="KGI77" s="58"/>
      <c r="KGJ77" s="26"/>
      <c r="KGK77" s="26"/>
      <c r="KGL77" s="26"/>
      <c r="KGM77" s="26"/>
      <c r="KGN77" s="22"/>
      <c r="KGO77" s="167"/>
      <c r="KGP77" s="30"/>
      <c r="KGQ77" s="25"/>
      <c r="KGR77" s="178"/>
      <c r="KGS77" s="26"/>
      <c r="KGT77" s="26"/>
      <c r="KGU77" s="26"/>
      <c r="KGV77" s="26"/>
      <c r="KGW77" s="26"/>
      <c r="KGX77" s="26"/>
      <c r="KGY77" s="58"/>
      <c r="KGZ77" s="26"/>
      <c r="KHA77" s="26"/>
      <c r="KHB77" s="26"/>
      <c r="KHC77" s="26"/>
      <c r="KHD77" s="22"/>
      <c r="KHE77" s="167"/>
      <c r="KHF77" s="30"/>
      <c r="KHG77" s="25"/>
      <c r="KHH77" s="178"/>
      <c r="KHI77" s="26"/>
      <c r="KHJ77" s="26"/>
      <c r="KHK77" s="26"/>
      <c r="KHL77" s="26"/>
      <c r="KHM77" s="26"/>
      <c r="KHN77" s="26"/>
      <c r="KHO77" s="58"/>
      <c r="KHP77" s="26"/>
      <c r="KHQ77" s="26"/>
      <c r="KHR77" s="26"/>
      <c r="KHS77" s="26"/>
      <c r="KHT77" s="22"/>
      <c r="KHU77" s="167"/>
      <c r="KHV77" s="30"/>
      <c r="KHW77" s="25"/>
      <c r="KHX77" s="178"/>
      <c r="KHY77" s="26"/>
      <c r="KHZ77" s="26"/>
      <c r="KIA77" s="26"/>
      <c r="KIB77" s="26"/>
      <c r="KIC77" s="26"/>
      <c r="KID77" s="26"/>
      <c r="KIE77" s="58"/>
      <c r="KIF77" s="26"/>
      <c r="KIG77" s="26"/>
      <c r="KIH77" s="26"/>
      <c r="KII77" s="26"/>
      <c r="KIJ77" s="22"/>
      <c r="KIK77" s="167"/>
      <c r="KIL77" s="30"/>
      <c r="KIM77" s="25"/>
      <c r="KIN77" s="178"/>
      <c r="KIO77" s="26"/>
      <c r="KIP77" s="26"/>
      <c r="KIQ77" s="26"/>
      <c r="KIR77" s="26"/>
      <c r="KIS77" s="26"/>
      <c r="KIT77" s="26"/>
      <c r="KIU77" s="58"/>
      <c r="KIV77" s="26"/>
      <c r="KIW77" s="26"/>
      <c r="KIX77" s="26"/>
      <c r="KIY77" s="26"/>
      <c r="KIZ77" s="22"/>
      <c r="KJA77" s="167"/>
      <c r="KJB77" s="30"/>
      <c r="KJC77" s="25"/>
      <c r="KJD77" s="178"/>
      <c r="KJE77" s="26"/>
      <c r="KJF77" s="26"/>
      <c r="KJG77" s="26"/>
      <c r="KJH77" s="26"/>
      <c r="KJI77" s="26"/>
      <c r="KJJ77" s="26"/>
      <c r="KJK77" s="58"/>
      <c r="KJL77" s="26"/>
      <c r="KJM77" s="26"/>
      <c r="KJN77" s="26"/>
      <c r="KJO77" s="26"/>
      <c r="KJP77" s="22"/>
      <c r="KJQ77" s="167"/>
      <c r="KJR77" s="30"/>
      <c r="KJS77" s="25"/>
      <c r="KJT77" s="178"/>
      <c r="KJU77" s="26"/>
      <c r="KJV77" s="26"/>
      <c r="KJW77" s="26"/>
      <c r="KJX77" s="26"/>
      <c r="KJY77" s="26"/>
      <c r="KJZ77" s="26"/>
      <c r="KKA77" s="58"/>
      <c r="KKB77" s="26"/>
      <c r="KKC77" s="26"/>
      <c r="KKD77" s="26"/>
      <c r="KKE77" s="26"/>
      <c r="KKF77" s="22"/>
      <c r="KKG77" s="167"/>
      <c r="KKH77" s="30"/>
      <c r="KKI77" s="25"/>
      <c r="KKJ77" s="178"/>
      <c r="KKK77" s="26"/>
      <c r="KKL77" s="26"/>
      <c r="KKM77" s="26"/>
      <c r="KKN77" s="26"/>
      <c r="KKO77" s="26"/>
      <c r="KKP77" s="26"/>
      <c r="KKQ77" s="58"/>
      <c r="KKR77" s="26"/>
      <c r="KKS77" s="26"/>
      <c r="KKT77" s="26"/>
      <c r="KKU77" s="26"/>
      <c r="KKV77" s="22"/>
      <c r="KKW77" s="167"/>
      <c r="KKX77" s="30"/>
      <c r="KKY77" s="25"/>
      <c r="KKZ77" s="178"/>
      <c r="KLA77" s="26"/>
      <c r="KLB77" s="26"/>
      <c r="KLC77" s="26"/>
      <c r="KLD77" s="26"/>
      <c r="KLE77" s="26"/>
      <c r="KLF77" s="26"/>
      <c r="KLG77" s="58"/>
      <c r="KLH77" s="26"/>
      <c r="KLI77" s="26"/>
      <c r="KLJ77" s="26"/>
      <c r="KLK77" s="26"/>
      <c r="KLL77" s="22"/>
      <c r="KLM77" s="167"/>
      <c r="KLN77" s="30"/>
      <c r="KLO77" s="25"/>
      <c r="KLP77" s="178"/>
      <c r="KLQ77" s="26"/>
      <c r="KLR77" s="26"/>
      <c r="KLS77" s="26"/>
      <c r="KLT77" s="26"/>
      <c r="KLU77" s="26"/>
      <c r="KLV77" s="26"/>
      <c r="KLW77" s="58"/>
      <c r="KLX77" s="26"/>
      <c r="KLY77" s="26"/>
      <c r="KLZ77" s="26"/>
      <c r="KMA77" s="26"/>
      <c r="KMB77" s="22"/>
      <c r="KMC77" s="167"/>
      <c r="KMD77" s="30"/>
      <c r="KME77" s="25"/>
      <c r="KMF77" s="178"/>
      <c r="KMG77" s="26"/>
      <c r="KMH77" s="26"/>
      <c r="KMI77" s="26"/>
      <c r="KMJ77" s="26"/>
      <c r="KMK77" s="26"/>
      <c r="KML77" s="26"/>
      <c r="KMM77" s="58"/>
      <c r="KMN77" s="26"/>
      <c r="KMO77" s="26"/>
      <c r="KMP77" s="26"/>
      <c r="KMQ77" s="26"/>
      <c r="KMR77" s="22"/>
      <c r="KMS77" s="167"/>
      <c r="KMT77" s="30"/>
      <c r="KMU77" s="25"/>
      <c r="KMV77" s="178"/>
      <c r="KMW77" s="26"/>
      <c r="KMX77" s="26"/>
      <c r="KMY77" s="26"/>
      <c r="KMZ77" s="26"/>
      <c r="KNA77" s="26"/>
      <c r="KNB77" s="26"/>
      <c r="KNC77" s="58"/>
      <c r="KND77" s="26"/>
      <c r="KNE77" s="26"/>
      <c r="KNF77" s="26"/>
      <c r="KNG77" s="26"/>
      <c r="KNH77" s="22"/>
      <c r="KNI77" s="167"/>
      <c r="KNJ77" s="30"/>
      <c r="KNK77" s="25"/>
      <c r="KNL77" s="178"/>
      <c r="KNM77" s="26"/>
      <c r="KNN77" s="26"/>
      <c r="KNO77" s="26"/>
      <c r="KNP77" s="26"/>
      <c r="KNQ77" s="26"/>
      <c r="KNR77" s="26"/>
      <c r="KNS77" s="58"/>
      <c r="KNT77" s="26"/>
      <c r="KNU77" s="26"/>
      <c r="KNV77" s="26"/>
      <c r="KNW77" s="26"/>
      <c r="KNX77" s="22"/>
      <c r="KNY77" s="167"/>
      <c r="KNZ77" s="30"/>
      <c r="KOA77" s="25"/>
      <c r="KOB77" s="178"/>
      <c r="KOC77" s="26"/>
      <c r="KOD77" s="26"/>
      <c r="KOE77" s="26"/>
      <c r="KOF77" s="26"/>
      <c r="KOG77" s="26"/>
      <c r="KOH77" s="26"/>
      <c r="KOI77" s="58"/>
      <c r="KOJ77" s="26"/>
      <c r="KOK77" s="26"/>
      <c r="KOL77" s="26"/>
      <c r="KOM77" s="26"/>
      <c r="KON77" s="22"/>
      <c r="KOO77" s="167"/>
      <c r="KOP77" s="30"/>
      <c r="KOQ77" s="25"/>
      <c r="KOR77" s="178"/>
      <c r="KOS77" s="26"/>
      <c r="KOT77" s="26"/>
      <c r="KOU77" s="26"/>
      <c r="KOV77" s="26"/>
      <c r="KOW77" s="26"/>
      <c r="KOX77" s="26"/>
      <c r="KOY77" s="58"/>
      <c r="KOZ77" s="26"/>
      <c r="KPA77" s="26"/>
      <c r="KPB77" s="26"/>
      <c r="KPC77" s="26"/>
      <c r="KPD77" s="22"/>
      <c r="KPE77" s="167"/>
      <c r="KPF77" s="30"/>
      <c r="KPG77" s="25"/>
      <c r="KPH77" s="178"/>
      <c r="KPI77" s="26"/>
      <c r="KPJ77" s="26"/>
      <c r="KPK77" s="26"/>
      <c r="KPL77" s="26"/>
      <c r="KPM77" s="26"/>
      <c r="KPN77" s="26"/>
      <c r="KPO77" s="58"/>
      <c r="KPP77" s="26"/>
      <c r="KPQ77" s="26"/>
      <c r="KPR77" s="26"/>
      <c r="KPS77" s="26"/>
      <c r="KPT77" s="22"/>
      <c r="KPU77" s="167"/>
      <c r="KPV77" s="30"/>
      <c r="KPW77" s="25"/>
      <c r="KPX77" s="178"/>
      <c r="KPY77" s="26"/>
      <c r="KPZ77" s="26"/>
      <c r="KQA77" s="26"/>
      <c r="KQB77" s="26"/>
      <c r="KQC77" s="26"/>
      <c r="KQD77" s="26"/>
      <c r="KQE77" s="58"/>
      <c r="KQF77" s="26"/>
      <c r="KQG77" s="26"/>
      <c r="KQH77" s="26"/>
      <c r="KQI77" s="26"/>
      <c r="KQJ77" s="22"/>
      <c r="KQK77" s="167"/>
      <c r="KQL77" s="30"/>
      <c r="KQM77" s="25"/>
      <c r="KQN77" s="178"/>
      <c r="KQO77" s="26"/>
      <c r="KQP77" s="26"/>
      <c r="KQQ77" s="26"/>
      <c r="KQR77" s="26"/>
      <c r="KQS77" s="26"/>
      <c r="KQT77" s="26"/>
      <c r="KQU77" s="58"/>
      <c r="KQV77" s="26"/>
      <c r="KQW77" s="26"/>
      <c r="KQX77" s="26"/>
      <c r="KQY77" s="26"/>
      <c r="KQZ77" s="22"/>
      <c r="KRA77" s="167"/>
      <c r="KRB77" s="30"/>
      <c r="KRC77" s="25"/>
      <c r="KRD77" s="178"/>
      <c r="KRE77" s="26"/>
      <c r="KRF77" s="26"/>
      <c r="KRG77" s="26"/>
      <c r="KRH77" s="26"/>
      <c r="KRI77" s="26"/>
      <c r="KRJ77" s="26"/>
      <c r="KRK77" s="58"/>
      <c r="KRL77" s="26"/>
      <c r="KRM77" s="26"/>
      <c r="KRN77" s="26"/>
      <c r="KRO77" s="26"/>
      <c r="KRP77" s="22"/>
      <c r="KRQ77" s="167"/>
      <c r="KRR77" s="30"/>
      <c r="KRS77" s="25"/>
      <c r="KRT77" s="178"/>
      <c r="KRU77" s="26"/>
      <c r="KRV77" s="26"/>
      <c r="KRW77" s="26"/>
      <c r="KRX77" s="26"/>
      <c r="KRY77" s="26"/>
      <c r="KRZ77" s="26"/>
      <c r="KSA77" s="58"/>
      <c r="KSB77" s="26"/>
      <c r="KSC77" s="26"/>
      <c r="KSD77" s="26"/>
      <c r="KSE77" s="26"/>
      <c r="KSF77" s="22"/>
      <c r="KSG77" s="167"/>
      <c r="KSH77" s="30"/>
      <c r="KSI77" s="25"/>
      <c r="KSJ77" s="178"/>
      <c r="KSK77" s="26"/>
      <c r="KSL77" s="26"/>
      <c r="KSM77" s="26"/>
      <c r="KSN77" s="26"/>
      <c r="KSO77" s="26"/>
      <c r="KSP77" s="26"/>
      <c r="KSQ77" s="58"/>
      <c r="KSR77" s="26"/>
      <c r="KSS77" s="26"/>
      <c r="KST77" s="26"/>
      <c r="KSU77" s="26"/>
      <c r="KSV77" s="22"/>
      <c r="KSW77" s="167"/>
      <c r="KSX77" s="30"/>
      <c r="KSY77" s="25"/>
      <c r="KSZ77" s="178"/>
      <c r="KTA77" s="26"/>
      <c r="KTB77" s="26"/>
      <c r="KTC77" s="26"/>
      <c r="KTD77" s="26"/>
      <c r="KTE77" s="26"/>
      <c r="KTF77" s="26"/>
      <c r="KTG77" s="58"/>
      <c r="KTH77" s="26"/>
      <c r="KTI77" s="26"/>
      <c r="KTJ77" s="26"/>
      <c r="KTK77" s="26"/>
      <c r="KTL77" s="22"/>
      <c r="KTM77" s="167"/>
      <c r="KTN77" s="30"/>
      <c r="KTO77" s="25"/>
      <c r="KTP77" s="178"/>
      <c r="KTQ77" s="26"/>
      <c r="KTR77" s="26"/>
      <c r="KTS77" s="26"/>
      <c r="KTT77" s="26"/>
      <c r="KTU77" s="26"/>
      <c r="KTV77" s="26"/>
      <c r="KTW77" s="58"/>
      <c r="KTX77" s="26"/>
      <c r="KTY77" s="26"/>
      <c r="KTZ77" s="26"/>
      <c r="KUA77" s="26"/>
      <c r="KUB77" s="22"/>
      <c r="KUC77" s="167"/>
      <c r="KUD77" s="30"/>
      <c r="KUE77" s="25"/>
      <c r="KUF77" s="178"/>
      <c r="KUG77" s="26"/>
      <c r="KUH77" s="26"/>
      <c r="KUI77" s="26"/>
      <c r="KUJ77" s="26"/>
      <c r="KUK77" s="26"/>
      <c r="KUL77" s="26"/>
      <c r="KUM77" s="58"/>
      <c r="KUN77" s="26"/>
      <c r="KUO77" s="26"/>
      <c r="KUP77" s="26"/>
      <c r="KUQ77" s="26"/>
      <c r="KUR77" s="22"/>
      <c r="KUS77" s="167"/>
      <c r="KUT77" s="30"/>
      <c r="KUU77" s="25"/>
      <c r="KUV77" s="178"/>
      <c r="KUW77" s="26"/>
      <c r="KUX77" s="26"/>
      <c r="KUY77" s="26"/>
      <c r="KUZ77" s="26"/>
      <c r="KVA77" s="26"/>
      <c r="KVB77" s="26"/>
      <c r="KVC77" s="58"/>
      <c r="KVD77" s="26"/>
      <c r="KVE77" s="26"/>
      <c r="KVF77" s="26"/>
      <c r="KVG77" s="26"/>
      <c r="KVH77" s="22"/>
      <c r="KVI77" s="167"/>
      <c r="KVJ77" s="30"/>
      <c r="KVK77" s="25"/>
      <c r="KVL77" s="178"/>
      <c r="KVM77" s="26"/>
      <c r="KVN77" s="26"/>
      <c r="KVO77" s="26"/>
      <c r="KVP77" s="26"/>
      <c r="KVQ77" s="26"/>
      <c r="KVR77" s="26"/>
      <c r="KVS77" s="58"/>
      <c r="KVT77" s="26"/>
      <c r="KVU77" s="26"/>
      <c r="KVV77" s="26"/>
      <c r="KVW77" s="26"/>
      <c r="KVX77" s="22"/>
      <c r="KVY77" s="167"/>
      <c r="KVZ77" s="30"/>
      <c r="KWA77" s="25"/>
      <c r="KWB77" s="178"/>
      <c r="KWC77" s="26"/>
      <c r="KWD77" s="26"/>
      <c r="KWE77" s="26"/>
      <c r="KWF77" s="26"/>
      <c r="KWG77" s="26"/>
      <c r="KWH77" s="26"/>
      <c r="KWI77" s="58"/>
      <c r="KWJ77" s="26"/>
      <c r="KWK77" s="26"/>
      <c r="KWL77" s="26"/>
      <c r="KWM77" s="26"/>
      <c r="KWN77" s="22"/>
      <c r="KWO77" s="167"/>
      <c r="KWP77" s="30"/>
      <c r="KWQ77" s="25"/>
      <c r="KWR77" s="178"/>
      <c r="KWS77" s="26"/>
      <c r="KWT77" s="26"/>
      <c r="KWU77" s="26"/>
      <c r="KWV77" s="26"/>
      <c r="KWW77" s="26"/>
      <c r="KWX77" s="26"/>
      <c r="KWY77" s="58"/>
      <c r="KWZ77" s="26"/>
      <c r="KXA77" s="26"/>
      <c r="KXB77" s="26"/>
      <c r="KXC77" s="26"/>
      <c r="KXD77" s="22"/>
      <c r="KXE77" s="167"/>
      <c r="KXF77" s="30"/>
      <c r="KXG77" s="25"/>
      <c r="KXH77" s="178"/>
      <c r="KXI77" s="26"/>
      <c r="KXJ77" s="26"/>
      <c r="KXK77" s="26"/>
      <c r="KXL77" s="26"/>
      <c r="KXM77" s="26"/>
      <c r="KXN77" s="26"/>
      <c r="KXO77" s="58"/>
      <c r="KXP77" s="26"/>
      <c r="KXQ77" s="26"/>
      <c r="KXR77" s="26"/>
      <c r="KXS77" s="26"/>
      <c r="KXT77" s="22"/>
      <c r="KXU77" s="167"/>
      <c r="KXV77" s="30"/>
      <c r="KXW77" s="25"/>
      <c r="KXX77" s="178"/>
      <c r="KXY77" s="26"/>
      <c r="KXZ77" s="26"/>
      <c r="KYA77" s="26"/>
      <c r="KYB77" s="26"/>
      <c r="KYC77" s="26"/>
      <c r="KYD77" s="26"/>
      <c r="KYE77" s="58"/>
      <c r="KYF77" s="26"/>
      <c r="KYG77" s="26"/>
      <c r="KYH77" s="26"/>
      <c r="KYI77" s="26"/>
      <c r="KYJ77" s="22"/>
      <c r="KYK77" s="167"/>
      <c r="KYL77" s="30"/>
      <c r="KYM77" s="25"/>
      <c r="KYN77" s="178"/>
      <c r="KYO77" s="26"/>
      <c r="KYP77" s="26"/>
      <c r="KYQ77" s="26"/>
      <c r="KYR77" s="26"/>
      <c r="KYS77" s="26"/>
      <c r="KYT77" s="26"/>
      <c r="KYU77" s="58"/>
      <c r="KYV77" s="26"/>
      <c r="KYW77" s="26"/>
      <c r="KYX77" s="26"/>
      <c r="KYY77" s="26"/>
      <c r="KYZ77" s="22"/>
      <c r="KZA77" s="167"/>
      <c r="KZB77" s="30"/>
      <c r="KZC77" s="25"/>
      <c r="KZD77" s="178"/>
      <c r="KZE77" s="26"/>
      <c r="KZF77" s="26"/>
      <c r="KZG77" s="26"/>
      <c r="KZH77" s="26"/>
      <c r="KZI77" s="26"/>
      <c r="KZJ77" s="26"/>
      <c r="KZK77" s="58"/>
      <c r="KZL77" s="26"/>
      <c r="KZM77" s="26"/>
      <c r="KZN77" s="26"/>
      <c r="KZO77" s="26"/>
      <c r="KZP77" s="22"/>
      <c r="KZQ77" s="167"/>
      <c r="KZR77" s="30"/>
      <c r="KZS77" s="25"/>
      <c r="KZT77" s="178"/>
      <c r="KZU77" s="26"/>
      <c r="KZV77" s="26"/>
      <c r="KZW77" s="26"/>
      <c r="KZX77" s="26"/>
      <c r="KZY77" s="26"/>
      <c r="KZZ77" s="26"/>
      <c r="LAA77" s="58"/>
      <c r="LAB77" s="26"/>
      <c r="LAC77" s="26"/>
      <c r="LAD77" s="26"/>
      <c r="LAE77" s="26"/>
      <c r="LAF77" s="22"/>
      <c r="LAG77" s="167"/>
      <c r="LAH77" s="30"/>
      <c r="LAI77" s="25"/>
      <c r="LAJ77" s="178"/>
      <c r="LAK77" s="26"/>
      <c r="LAL77" s="26"/>
      <c r="LAM77" s="26"/>
      <c r="LAN77" s="26"/>
      <c r="LAO77" s="26"/>
      <c r="LAP77" s="26"/>
      <c r="LAQ77" s="58"/>
      <c r="LAR77" s="26"/>
      <c r="LAS77" s="26"/>
      <c r="LAT77" s="26"/>
      <c r="LAU77" s="26"/>
      <c r="LAV77" s="22"/>
      <c r="LAW77" s="167"/>
      <c r="LAX77" s="30"/>
      <c r="LAY77" s="25"/>
      <c r="LAZ77" s="178"/>
      <c r="LBA77" s="26"/>
      <c r="LBB77" s="26"/>
      <c r="LBC77" s="26"/>
      <c r="LBD77" s="26"/>
      <c r="LBE77" s="26"/>
      <c r="LBF77" s="26"/>
      <c r="LBG77" s="58"/>
      <c r="LBH77" s="26"/>
      <c r="LBI77" s="26"/>
      <c r="LBJ77" s="26"/>
      <c r="LBK77" s="26"/>
      <c r="LBL77" s="22"/>
      <c r="LBM77" s="167"/>
      <c r="LBN77" s="30"/>
      <c r="LBO77" s="25"/>
      <c r="LBP77" s="178"/>
      <c r="LBQ77" s="26"/>
      <c r="LBR77" s="26"/>
      <c r="LBS77" s="26"/>
      <c r="LBT77" s="26"/>
      <c r="LBU77" s="26"/>
      <c r="LBV77" s="26"/>
      <c r="LBW77" s="58"/>
      <c r="LBX77" s="26"/>
      <c r="LBY77" s="26"/>
      <c r="LBZ77" s="26"/>
      <c r="LCA77" s="26"/>
      <c r="LCB77" s="22"/>
      <c r="LCC77" s="167"/>
      <c r="LCD77" s="30"/>
      <c r="LCE77" s="25"/>
      <c r="LCF77" s="178"/>
      <c r="LCG77" s="26"/>
      <c r="LCH77" s="26"/>
      <c r="LCI77" s="26"/>
      <c r="LCJ77" s="26"/>
      <c r="LCK77" s="26"/>
      <c r="LCL77" s="26"/>
      <c r="LCM77" s="58"/>
      <c r="LCN77" s="26"/>
      <c r="LCO77" s="26"/>
      <c r="LCP77" s="26"/>
      <c r="LCQ77" s="26"/>
      <c r="LCR77" s="22"/>
      <c r="LCS77" s="167"/>
      <c r="LCT77" s="30"/>
      <c r="LCU77" s="25"/>
      <c r="LCV77" s="178"/>
      <c r="LCW77" s="26"/>
      <c r="LCX77" s="26"/>
      <c r="LCY77" s="26"/>
      <c r="LCZ77" s="26"/>
      <c r="LDA77" s="26"/>
      <c r="LDB77" s="26"/>
      <c r="LDC77" s="58"/>
      <c r="LDD77" s="26"/>
      <c r="LDE77" s="26"/>
      <c r="LDF77" s="26"/>
      <c r="LDG77" s="26"/>
      <c r="LDH77" s="22"/>
      <c r="LDI77" s="167"/>
      <c r="LDJ77" s="30"/>
      <c r="LDK77" s="25"/>
      <c r="LDL77" s="178"/>
      <c r="LDM77" s="26"/>
      <c r="LDN77" s="26"/>
      <c r="LDO77" s="26"/>
      <c r="LDP77" s="26"/>
      <c r="LDQ77" s="26"/>
      <c r="LDR77" s="26"/>
      <c r="LDS77" s="58"/>
      <c r="LDT77" s="26"/>
      <c r="LDU77" s="26"/>
      <c r="LDV77" s="26"/>
      <c r="LDW77" s="26"/>
      <c r="LDX77" s="22"/>
      <c r="LDY77" s="167"/>
      <c r="LDZ77" s="30"/>
      <c r="LEA77" s="25"/>
      <c r="LEB77" s="178"/>
      <c r="LEC77" s="26"/>
      <c r="LED77" s="26"/>
      <c r="LEE77" s="26"/>
      <c r="LEF77" s="26"/>
      <c r="LEG77" s="26"/>
      <c r="LEH77" s="26"/>
      <c r="LEI77" s="58"/>
      <c r="LEJ77" s="26"/>
      <c r="LEK77" s="26"/>
      <c r="LEL77" s="26"/>
      <c r="LEM77" s="26"/>
      <c r="LEN77" s="22"/>
      <c r="LEO77" s="167"/>
      <c r="LEP77" s="30"/>
      <c r="LEQ77" s="25"/>
      <c r="LER77" s="178"/>
      <c r="LES77" s="26"/>
      <c r="LET77" s="26"/>
      <c r="LEU77" s="26"/>
      <c r="LEV77" s="26"/>
      <c r="LEW77" s="26"/>
      <c r="LEX77" s="26"/>
      <c r="LEY77" s="58"/>
      <c r="LEZ77" s="26"/>
      <c r="LFA77" s="26"/>
      <c r="LFB77" s="26"/>
      <c r="LFC77" s="26"/>
      <c r="LFD77" s="22"/>
      <c r="LFE77" s="167"/>
      <c r="LFF77" s="30"/>
      <c r="LFG77" s="25"/>
      <c r="LFH77" s="178"/>
      <c r="LFI77" s="26"/>
      <c r="LFJ77" s="26"/>
      <c r="LFK77" s="26"/>
      <c r="LFL77" s="26"/>
      <c r="LFM77" s="26"/>
      <c r="LFN77" s="26"/>
      <c r="LFO77" s="58"/>
      <c r="LFP77" s="26"/>
      <c r="LFQ77" s="26"/>
      <c r="LFR77" s="26"/>
      <c r="LFS77" s="26"/>
      <c r="LFT77" s="22"/>
      <c r="LFU77" s="167"/>
      <c r="LFV77" s="30"/>
      <c r="LFW77" s="25"/>
      <c r="LFX77" s="178"/>
      <c r="LFY77" s="26"/>
      <c r="LFZ77" s="26"/>
      <c r="LGA77" s="26"/>
      <c r="LGB77" s="26"/>
      <c r="LGC77" s="26"/>
      <c r="LGD77" s="26"/>
      <c r="LGE77" s="58"/>
      <c r="LGF77" s="26"/>
      <c r="LGG77" s="26"/>
      <c r="LGH77" s="26"/>
      <c r="LGI77" s="26"/>
      <c r="LGJ77" s="22"/>
      <c r="LGK77" s="167"/>
      <c r="LGL77" s="30"/>
      <c r="LGM77" s="25"/>
      <c r="LGN77" s="178"/>
      <c r="LGO77" s="26"/>
      <c r="LGP77" s="26"/>
      <c r="LGQ77" s="26"/>
      <c r="LGR77" s="26"/>
      <c r="LGS77" s="26"/>
      <c r="LGT77" s="26"/>
      <c r="LGU77" s="58"/>
      <c r="LGV77" s="26"/>
      <c r="LGW77" s="26"/>
      <c r="LGX77" s="26"/>
      <c r="LGY77" s="26"/>
      <c r="LGZ77" s="22"/>
      <c r="LHA77" s="167"/>
      <c r="LHB77" s="30"/>
      <c r="LHC77" s="25"/>
      <c r="LHD77" s="178"/>
      <c r="LHE77" s="26"/>
      <c r="LHF77" s="26"/>
      <c r="LHG77" s="26"/>
      <c r="LHH77" s="26"/>
      <c r="LHI77" s="26"/>
      <c r="LHJ77" s="26"/>
      <c r="LHK77" s="58"/>
      <c r="LHL77" s="26"/>
      <c r="LHM77" s="26"/>
      <c r="LHN77" s="26"/>
      <c r="LHO77" s="26"/>
      <c r="LHP77" s="22"/>
      <c r="LHQ77" s="167"/>
      <c r="LHR77" s="30"/>
      <c r="LHS77" s="25"/>
      <c r="LHT77" s="178"/>
      <c r="LHU77" s="26"/>
      <c r="LHV77" s="26"/>
      <c r="LHW77" s="26"/>
      <c r="LHX77" s="26"/>
      <c r="LHY77" s="26"/>
      <c r="LHZ77" s="26"/>
      <c r="LIA77" s="58"/>
      <c r="LIB77" s="26"/>
      <c r="LIC77" s="26"/>
      <c r="LID77" s="26"/>
      <c r="LIE77" s="26"/>
      <c r="LIF77" s="22"/>
      <c r="LIG77" s="167"/>
      <c r="LIH77" s="30"/>
      <c r="LII77" s="25"/>
      <c r="LIJ77" s="178"/>
      <c r="LIK77" s="26"/>
      <c r="LIL77" s="26"/>
      <c r="LIM77" s="26"/>
      <c r="LIN77" s="26"/>
      <c r="LIO77" s="26"/>
      <c r="LIP77" s="26"/>
      <c r="LIQ77" s="58"/>
      <c r="LIR77" s="26"/>
      <c r="LIS77" s="26"/>
      <c r="LIT77" s="26"/>
      <c r="LIU77" s="26"/>
      <c r="LIV77" s="22"/>
      <c r="LIW77" s="167"/>
      <c r="LIX77" s="30"/>
      <c r="LIY77" s="25"/>
      <c r="LIZ77" s="178"/>
      <c r="LJA77" s="26"/>
      <c r="LJB77" s="26"/>
      <c r="LJC77" s="26"/>
      <c r="LJD77" s="26"/>
      <c r="LJE77" s="26"/>
      <c r="LJF77" s="26"/>
      <c r="LJG77" s="58"/>
      <c r="LJH77" s="26"/>
      <c r="LJI77" s="26"/>
      <c r="LJJ77" s="26"/>
      <c r="LJK77" s="26"/>
      <c r="LJL77" s="22"/>
      <c r="LJM77" s="167"/>
      <c r="LJN77" s="30"/>
      <c r="LJO77" s="25"/>
      <c r="LJP77" s="178"/>
      <c r="LJQ77" s="26"/>
      <c r="LJR77" s="26"/>
      <c r="LJS77" s="26"/>
      <c r="LJT77" s="26"/>
      <c r="LJU77" s="26"/>
      <c r="LJV77" s="26"/>
      <c r="LJW77" s="58"/>
      <c r="LJX77" s="26"/>
      <c r="LJY77" s="26"/>
      <c r="LJZ77" s="26"/>
      <c r="LKA77" s="26"/>
      <c r="LKB77" s="22"/>
      <c r="LKC77" s="167"/>
      <c r="LKD77" s="30"/>
      <c r="LKE77" s="25"/>
      <c r="LKF77" s="178"/>
      <c r="LKG77" s="26"/>
      <c r="LKH77" s="26"/>
      <c r="LKI77" s="26"/>
      <c r="LKJ77" s="26"/>
      <c r="LKK77" s="26"/>
      <c r="LKL77" s="26"/>
      <c r="LKM77" s="58"/>
      <c r="LKN77" s="26"/>
      <c r="LKO77" s="26"/>
      <c r="LKP77" s="26"/>
      <c r="LKQ77" s="26"/>
      <c r="LKR77" s="22"/>
      <c r="LKS77" s="167"/>
      <c r="LKT77" s="30"/>
      <c r="LKU77" s="25"/>
      <c r="LKV77" s="178"/>
      <c r="LKW77" s="26"/>
      <c r="LKX77" s="26"/>
      <c r="LKY77" s="26"/>
      <c r="LKZ77" s="26"/>
      <c r="LLA77" s="26"/>
      <c r="LLB77" s="26"/>
      <c r="LLC77" s="58"/>
      <c r="LLD77" s="26"/>
      <c r="LLE77" s="26"/>
      <c r="LLF77" s="26"/>
      <c r="LLG77" s="26"/>
      <c r="LLH77" s="22"/>
      <c r="LLI77" s="167"/>
      <c r="LLJ77" s="30"/>
      <c r="LLK77" s="25"/>
      <c r="LLL77" s="178"/>
      <c r="LLM77" s="26"/>
      <c r="LLN77" s="26"/>
      <c r="LLO77" s="26"/>
      <c r="LLP77" s="26"/>
      <c r="LLQ77" s="26"/>
      <c r="LLR77" s="26"/>
      <c r="LLS77" s="58"/>
      <c r="LLT77" s="26"/>
      <c r="LLU77" s="26"/>
      <c r="LLV77" s="26"/>
      <c r="LLW77" s="26"/>
      <c r="LLX77" s="22"/>
      <c r="LLY77" s="167"/>
      <c r="LLZ77" s="30"/>
      <c r="LMA77" s="25"/>
      <c r="LMB77" s="178"/>
      <c r="LMC77" s="26"/>
      <c r="LMD77" s="26"/>
      <c r="LME77" s="26"/>
      <c r="LMF77" s="26"/>
      <c r="LMG77" s="26"/>
      <c r="LMH77" s="26"/>
      <c r="LMI77" s="58"/>
      <c r="LMJ77" s="26"/>
      <c r="LMK77" s="26"/>
      <c r="LML77" s="26"/>
      <c r="LMM77" s="26"/>
      <c r="LMN77" s="22"/>
      <c r="LMO77" s="167"/>
      <c r="LMP77" s="30"/>
      <c r="LMQ77" s="25"/>
      <c r="LMR77" s="178"/>
      <c r="LMS77" s="26"/>
      <c r="LMT77" s="26"/>
      <c r="LMU77" s="26"/>
      <c r="LMV77" s="26"/>
      <c r="LMW77" s="26"/>
      <c r="LMX77" s="26"/>
      <c r="LMY77" s="58"/>
      <c r="LMZ77" s="26"/>
      <c r="LNA77" s="26"/>
      <c r="LNB77" s="26"/>
      <c r="LNC77" s="26"/>
      <c r="LND77" s="22"/>
      <c r="LNE77" s="167"/>
      <c r="LNF77" s="30"/>
      <c r="LNG77" s="25"/>
      <c r="LNH77" s="178"/>
      <c r="LNI77" s="26"/>
      <c r="LNJ77" s="26"/>
      <c r="LNK77" s="26"/>
      <c r="LNL77" s="26"/>
      <c r="LNM77" s="26"/>
      <c r="LNN77" s="26"/>
      <c r="LNO77" s="58"/>
      <c r="LNP77" s="26"/>
      <c r="LNQ77" s="26"/>
      <c r="LNR77" s="26"/>
      <c r="LNS77" s="26"/>
      <c r="LNT77" s="22"/>
      <c r="LNU77" s="167"/>
      <c r="LNV77" s="30"/>
      <c r="LNW77" s="25"/>
      <c r="LNX77" s="178"/>
      <c r="LNY77" s="26"/>
      <c r="LNZ77" s="26"/>
      <c r="LOA77" s="26"/>
      <c r="LOB77" s="26"/>
      <c r="LOC77" s="26"/>
      <c r="LOD77" s="26"/>
      <c r="LOE77" s="58"/>
      <c r="LOF77" s="26"/>
      <c r="LOG77" s="26"/>
      <c r="LOH77" s="26"/>
      <c r="LOI77" s="26"/>
      <c r="LOJ77" s="22"/>
      <c r="LOK77" s="167"/>
      <c r="LOL77" s="30"/>
      <c r="LOM77" s="25"/>
      <c r="LON77" s="178"/>
      <c r="LOO77" s="26"/>
      <c r="LOP77" s="26"/>
      <c r="LOQ77" s="26"/>
      <c r="LOR77" s="26"/>
      <c r="LOS77" s="26"/>
      <c r="LOT77" s="26"/>
      <c r="LOU77" s="58"/>
      <c r="LOV77" s="26"/>
      <c r="LOW77" s="26"/>
      <c r="LOX77" s="26"/>
      <c r="LOY77" s="26"/>
      <c r="LOZ77" s="22"/>
      <c r="LPA77" s="167"/>
      <c r="LPB77" s="30"/>
      <c r="LPC77" s="25"/>
      <c r="LPD77" s="178"/>
      <c r="LPE77" s="26"/>
      <c r="LPF77" s="26"/>
      <c r="LPG77" s="26"/>
      <c r="LPH77" s="26"/>
      <c r="LPI77" s="26"/>
      <c r="LPJ77" s="26"/>
      <c r="LPK77" s="58"/>
      <c r="LPL77" s="26"/>
      <c r="LPM77" s="26"/>
      <c r="LPN77" s="26"/>
      <c r="LPO77" s="26"/>
      <c r="LPP77" s="22"/>
      <c r="LPQ77" s="167"/>
      <c r="LPR77" s="30"/>
      <c r="LPS77" s="25"/>
      <c r="LPT77" s="178"/>
      <c r="LPU77" s="26"/>
      <c r="LPV77" s="26"/>
      <c r="LPW77" s="26"/>
      <c r="LPX77" s="26"/>
      <c r="LPY77" s="26"/>
      <c r="LPZ77" s="26"/>
      <c r="LQA77" s="58"/>
      <c r="LQB77" s="26"/>
      <c r="LQC77" s="26"/>
      <c r="LQD77" s="26"/>
      <c r="LQE77" s="26"/>
      <c r="LQF77" s="22"/>
      <c r="LQG77" s="167"/>
      <c r="LQH77" s="30"/>
      <c r="LQI77" s="25"/>
      <c r="LQJ77" s="178"/>
      <c r="LQK77" s="26"/>
      <c r="LQL77" s="26"/>
      <c r="LQM77" s="26"/>
      <c r="LQN77" s="26"/>
      <c r="LQO77" s="26"/>
      <c r="LQP77" s="26"/>
      <c r="LQQ77" s="58"/>
      <c r="LQR77" s="26"/>
      <c r="LQS77" s="26"/>
      <c r="LQT77" s="26"/>
      <c r="LQU77" s="26"/>
      <c r="LQV77" s="22"/>
      <c r="LQW77" s="167"/>
      <c r="LQX77" s="30"/>
      <c r="LQY77" s="25"/>
      <c r="LQZ77" s="178"/>
      <c r="LRA77" s="26"/>
      <c r="LRB77" s="26"/>
      <c r="LRC77" s="26"/>
      <c r="LRD77" s="26"/>
      <c r="LRE77" s="26"/>
      <c r="LRF77" s="26"/>
      <c r="LRG77" s="58"/>
      <c r="LRH77" s="26"/>
      <c r="LRI77" s="26"/>
      <c r="LRJ77" s="26"/>
      <c r="LRK77" s="26"/>
      <c r="LRL77" s="22"/>
      <c r="LRM77" s="167"/>
      <c r="LRN77" s="30"/>
      <c r="LRO77" s="25"/>
      <c r="LRP77" s="178"/>
      <c r="LRQ77" s="26"/>
      <c r="LRR77" s="26"/>
      <c r="LRS77" s="26"/>
      <c r="LRT77" s="26"/>
      <c r="LRU77" s="26"/>
      <c r="LRV77" s="26"/>
      <c r="LRW77" s="58"/>
      <c r="LRX77" s="26"/>
      <c r="LRY77" s="26"/>
      <c r="LRZ77" s="26"/>
      <c r="LSA77" s="26"/>
      <c r="LSB77" s="22"/>
      <c r="LSC77" s="167"/>
      <c r="LSD77" s="30"/>
      <c r="LSE77" s="25"/>
      <c r="LSF77" s="178"/>
      <c r="LSG77" s="26"/>
      <c r="LSH77" s="26"/>
      <c r="LSI77" s="26"/>
      <c r="LSJ77" s="26"/>
      <c r="LSK77" s="26"/>
      <c r="LSL77" s="26"/>
      <c r="LSM77" s="58"/>
      <c r="LSN77" s="26"/>
      <c r="LSO77" s="26"/>
      <c r="LSP77" s="26"/>
      <c r="LSQ77" s="26"/>
      <c r="LSR77" s="22"/>
      <c r="LSS77" s="167"/>
      <c r="LST77" s="30"/>
      <c r="LSU77" s="25"/>
      <c r="LSV77" s="178"/>
      <c r="LSW77" s="26"/>
      <c r="LSX77" s="26"/>
      <c r="LSY77" s="26"/>
      <c r="LSZ77" s="26"/>
      <c r="LTA77" s="26"/>
      <c r="LTB77" s="26"/>
      <c r="LTC77" s="58"/>
      <c r="LTD77" s="26"/>
      <c r="LTE77" s="26"/>
      <c r="LTF77" s="26"/>
      <c r="LTG77" s="26"/>
      <c r="LTH77" s="22"/>
      <c r="LTI77" s="167"/>
      <c r="LTJ77" s="30"/>
      <c r="LTK77" s="25"/>
      <c r="LTL77" s="178"/>
      <c r="LTM77" s="26"/>
      <c r="LTN77" s="26"/>
      <c r="LTO77" s="26"/>
      <c r="LTP77" s="26"/>
      <c r="LTQ77" s="26"/>
      <c r="LTR77" s="26"/>
      <c r="LTS77" s="58"/>
      <c r="LTT77" s="26"/>
      <c r="LTU77" s="26"/>
      <c r="LTV77" s="26"/>
      <c r="LTW77" s="26"/>
      <c r="LTX77" s="22"/>
      <c r="LTY77" s="167"/>
      <c r="LTZ77" s="30"/>
      <c r="LUA77" s="25"/>
      <c r="LUB77" s="178"/>
      <c r="LUC77" s="26"/>
      <c r="LUD77" s="26"/>
      <c r="LUE77" s="26"/>
      <c r="LUF77" s="26"/>
      <c r="LUG77" s="26"/>
      <c r="LUH77" s="26"/>
      <c r="LUI77" s="58"/>
      <c r="LUJ77" s="26"/>
      <c r="LUK77" s="26"/>
      <c r="LUL77" s="26"/>
      <c r="LUM77" s="26"/>
      <c r="LUN77" s="22"/>
      <c r="LUO77" s="167"/>
      <c r="LUP77" s="30"/>
      <c r="LUQ77" s="25"/>
      <c r="LUR77" s="178"/>
      <c r="LUS77" s="26"/>
      <c r="LUT77" s="26"/>
      <c r="LUU77" s="26"/>
      <c r="LUV77" s="26"/>
      <c r="LUW77" s="26"/>
      <c r="LUX77" s="26"/>
      <c r="LUY77" s="58"/>
      <c r="LUZ77" s="26"/>
      <c r="LVA77" s="26"/>
      <c r="LVB77" s="26"/>
      <c r="LVC77" s="26"/>
      <c r="LVD77" s="22"/>
      <c r="LVE77" s="167"/>
      <c r="LVF77" s="30"/>
      <c r="LVG77" s="25"/>
      <c r="LVH77" s="178"/>
      <c r="LVI77" s="26"/>
      <c r="LVJ77" s="26"/>
      <c r="LVK77" s="26"/>
      <c r="LVL77" s="26"/>
      <c r="LVM77" s="26"/>
      <c r="LVN77" s="26"/>
      <c r="LVO77" s="58"/>
      <c r="LVP77" s="26"/>
      <c r="LVQ77" s="26"/>
      <c r="LVR77" s="26"/>
      <c r="LVS77" s="26"/>
      <c r="LVT77" s="22"/>
      <c r="LVU77" s="167"/>
      <c r="LVV77" s="30"/>
      <c r="LVW77" s="25"/>
      <c r="LVX77" s="178"/>
      <c r="LVY77" s="26"/>
      <c r="LVZ77" s="26"/>
      <c r="LWA77" s="26"/>
      <c r="LWB77" s="26"/>
      <c r="LWC77" s="26"/>
      <c r="LWD77" s="26"/>
      <c r="LWE77" s="58"/>
      <c r="LWF77" s="26"/>
      <c r="LWG77" s="26"/>
      <c r="LWH77" s="26"/>
      <c r="LWI77" s="26"/>
      <c r="LWJ77" s="22"/>
      <c r="LWK77" s="167"/>
      <c r="LWL77" s="30"/>
      <c r="LWM77" s="25"/>
      <c r="LWN77" s="178"/>
      <c r="LWO77" s="26"/>
      <c r="LWP77" s="26"/>
      <c r="LWQ77" s="26"/>
      <c r="LWR77" s="26"/>
      <c r="LWS77" s="26"/>
      <c r="LWT77" s="26"/>
      <c r="LWU77" s="58"/>
      <c r="LWV77" s="26"/>
      <c r="LWW77" s="26"/>
      <c r="LWX77" s="26"/>
      <c r="LWY77" s="26"/>
      <c r="LWZ77" s="22"/>
      <c r="LXA77" s="167"/>
      <c r="LXB77" s="30"/>
      <c r="LXC77" s="25"/>
      <c r="LXD77" s="178"/>
      <c r="LXE77" s="26"/>
      <c r="LXF77" s="26"/>
      <c r="LXG77" s="26"/>
      <c r="LXH77" s="26"/>
      <c r="LXI77" s="26"/>
      <c r="LXJ77" s="26"/>
      <c r="LXK77" s="58"/>
      <c r="LXL77" s="26"/>
      <c r="LXM77" s="26"/>
      <c r="LXN77" s="26"/>
      <c r="LXO77" s="26"/>
      <c r="LXP77" s="22"/>
      <c r="LXQ77" s="167"/>
      <c r="LXR77" s="30"/>
      <c r="LXS77" s="25"/>
      <c r="LXT77" s="178"/>
      <c r="LXU77" s="26"/>
      <c r="LXV77" s="26"/>
      <c r="LXW77" s="26"/>
      <c r="LXX77" s="26"/>
      <c r="LXY77" s="26"/>
      <c r="LXZ77" s="26"/>
      <c r="LYA77" s="58"/>
      <c r="LYB77" s="26"/>
      <c r="LYC77" s="26"/>
      <c r="LYD77" s="26"/>
      <c r="LYE77" s="26"/>
      <c r="LYF77" s="22"/>
      <c r="LYG77" s="167"/>
      <c r="LYH77" s="30"/>
      <c r="LYI77" s="25"/>
      <c r="LYJ77" s="178"/>
      <c r="LYK77" s="26"/>
      <c r="LYL77" s="26"/>
      <c r="LYM77" s="26"/>
      <c r="LYN77" s="26"/>
      <c r="LYO77" s="26"/>
      <c r="LYP77" s="26"/>
      <c r="LYQ77" s="58"/>
      <c r="LYR77" s="26"/>
      <c r="LYS77" s="26"/>
      <c r="LYT77" s="26"/>
      <c r="LYU77" s="26"/>
      <c r="LYV77" s="22"/>
      <c r="LYW77" s="167"/>
      <c r="LYX77" s="30"/>
      <c r="LYY77" s="25"/>
      <c r="LYZ77" s="178"/>
      <c r="LZA77" s="26"/>
      <c r="LZB77" s="26"/>
      <c r="LZC77" s="26"/>
      <c r="LZD77" s="26"/>
      <c r="LZE77" s="26"/>
      <c r="LZF77" s="26"/>
      <c r="LZG77" s="58"/>
      <c r="LZH77" s="26"/>
      <c r="LZI77" s="26"/>
      <c r="LZJ77" s="26"/>
      <c r="LZK77" s="26"/>
      <c r="LZL77" s="22"/>
      <c r="LZM77" s="167"/>
      <c r="LZN77" s="30"/>
      <c r="LZO77" s="25"/>
      <c r="LZP77" s="178"/>
      <c r="LZQ77" s="26"/>
      <c r="LZR77" s="26"/>
      <c r="LZS77" s="26"/>
      <c r="LZT77" s="26"/>
      <c r="LZU77" s="26"/>
      <c r="LZV77" s="26"/>
      <c r="LZW77" s="58"/>
      <c r="LZX77" s="26"/>
      <c r="LZY77" s="26"/>
      <c r="LZZ77" s="26"/>
      <c r="MAA77" s="26"/>
      <c r="MAB77" s="22"/>
      <c r="MAC77" s="167"/>
      <c r="MAD77" s="30"/>
      <c r="MAE77" s="25"/>
      <c r="MAF77" s="178"/>
      <c r="MAG77" s="26"/>
      <c r="MAH77" s="26"/>
      <c r="MAI77" s="26"/>
      <c r="MAJ77" s="26"/>
      <c r="MAK77" s="26"/>
      <c r="MAL77" s="26"/>
      <c r="MAM77" s="58"/>
      <c r="MAN77" s="26"/>
      <c r="MAO77" s="26"/>
      <c r="MAP77" s="26"/>
      <c r="MAQ77" s="26"/>
      <c r="MAR77" s="22"/>
      <c r="MAS77" s="167"/>
      <c r="MAT77" s="30"/>
      <c r="MAU77" s="25"/>
      <c r="MAV77" s="178"/>
      <c r="MAW77" s="26"/>
      <c r="MAX77" s="26"/>
      <c r="MAY77" s="26"/>
      <c r="MAZ77" s="26"/>
      <c r="MBA77" s="26"/>
      <c r="MBB77" s="26"/>
      <c r="MBC77" s="58"/>
      <c r="MBD77" s="26"/>
      <c r="MBE77" s="26"/>
      <c r="MBF77" s="26"/>
      <c r="MBG77" s="26"/>
      <c r="MBH77" s="22"/>
      <c r="MBI77" s="167"/>
      <c r="MBJ77" s="30"/>
      <c r="MBK77" s="25"/>
      <c r="MBL77" s="178"/>
      <c r="MBM77" s="26"/>
      <c r="MBN77" s="26"/>
      <c r="MBO77" s="26"/>
      <c r="MBP77" s="26"/>
      <c r="MBQ77" s="26"/>
      <c r="MBR77" s="26"/>
      <c r="MBS77" s="58"/>
      <c r="MBT77" s="26"/>
      <c r="MBU77" s="26"/>
      <c r="MBV77" s="26"/>
      <c r="MBW77" s="26"/>
      <c r="MBX77" s="22"/>
      <c r="MBY77" s="167"/>
      <c r="MBZ77" s="30"/>
      <c r="MCA77" s="25"/>
      <c r="MCB77" s="178"/>
      <c r="MCC77" s="26"/>
      <c r="MCD77" s="26"/>
      <c r="MCE77" s="26"/>
      <c r="MCF77" s="26"/>
      <c r="MCG77" s="26"/>
      <c r="MCH77" s="26"/>
      <c r="MCI77" s="58"/>
      <c r="MCJ77" s="26"/>
      <c r="MCK77" s="26"/>
      <c r="MCL77" s="26"/>
      <c r="MCM77" s="26"/>
      <c r="MCN77" s="22"/>
      <c r="MCO77" s="167"/>
      <c r="MCP77" s="30"/>
      <c r="MCQ77" s="25"/>
      <c r="MCR77" s="178"/>
      <c r="MCS77" s="26"/>
      <c r="MCT77" s="26"/>
      <c r="MCU77" s="26"/>
      <c r="MCV77" s="26"/>
      <c r="MCW77" s="26"/>
      <c r="MCX77" s="26"/>
      <c r="MCY77" s="58"/>
      <c r="MCZ77" s="26"/>
      <c r="MDA77" s="26"/>
      <c r="MDB77" s="26"/>
      <c r="MDC77" s="26"/>
      <c r="MDD77" s="22"/>
      <c r="MDE77" s="167"/>
      <c r="MDF77" s="30"/>
      <c r="MDG77" s="25"/>
      <c r="MDH77" s="178"/>
      <c r="MDI77" s="26"/>
      <c r="MDJ77" s="26"/>
      <c r="MDK77" s="26"/>
      <c r="MDL77" s="26"/>
      <c r="MDM77" s="26"/>
      <c r="MDN77" s="26"/>
      <c r="MDO77" s="58"/>
      <c r="MDP77" s="26"/>
      <c r="MDQ77" s="26"/>
      <c r="MDR77" s="26"/>
      <c r="MDS77" s="26"/>
      <c r="MDT77" s="22"/>
      <c r="MDU77" s="167"/>
      <c r="MDV77" s="30"/>
      <c r="MDW77" s="25"/>
      <c r="MDX77" s="178"/>
      <c r="MDY77" s="26"/>
      <c r="MDZ77" s="26"/>
      <c r="MEA77" s="26"/>
      <c r="MEB77" s="26"/>
      <c r="MEC77" s="26"/>
      <c r="MED77" s="26"/>
      <c r="MEE77" s="58"/>
      <c r="MEF77" s="26"/>
      <c r="MEG77" s="26"/>
      <c r="MEH77" s="26"/>
      <c r="MEI77" s="26"/>
      <c r="MEJ77" s="22"/>
      <c r="MEK77" s="167"/>
      <c r="MEL77" s="30"/>
      <c r="MEM77" s="25"/>
      <c r="MEN77" s="178"/>
      <c r="MEO77" s="26"/>
      <c r="MEP77" s="26"/>
      <c r="MEQ77" s="26"/>
      <c r="MER77" s="26"/>
      <c r="MES77" s="26"/>
      <c r="MET77" s="26"/>
      <c r="MEU77" s="58"/>
      <c r="MEV77" s="26"/>
      <c r="MEW77" s="26"/>
      <c r="MEX77" s="26"/>
      <c r="MEY77" s="26"/>
      <c r="MEZ77" s="22"/>
      <c r="MFA77" s="167"/>
      <c r="MFB77" s="30"/>
      <c r="MFC77" s="25"/>
      <c r="MFD77" s="178"/>
      <c r="MFE77" s="26"/>
      <c r="MFF77" s="26"/>
      <c r="MFG77" s="26"/>
      <c r="MFH77" s="26"/>
      <c r="MFI77" s="26"/>
      <c r="MFJ77" s="26"/>
      <c r="MFK77" s="58"/>
      <c r="MFL77" s="26"/>
      <c r="MFM77" s="26"/>
      <c r="MFN77" s="26"/>
      <c r="MFO77" s="26"/>
      <c r="MFP77" s="22"/>
      <c r="MFQ77" s="167"/>
      <c r="MFR77" s="30"/>
      <c r="MFS77" s="25"/>
      <c r="MFT77" s="178"/>
      <c r="MFU77" s="26"/>
      <c r="MFV77" s="26"/>
      <c r="MFW77" s="26"/>
      <c r="MFX77" s="26"/>
      <c r="MFY77" s="26"/>
      <c r="MFZ77" s="26"/>
      <c r="MGA77" s="58"/>
      <c r="MGB77" s="26"/>
      <c r="MGC77" s="26"/>
      <c r="MGD77" s="26"/>
      <c r="MGE77" s="26"/>
      <c r="MGF77" s="22"/>
      <c r="MGG77" s="167"/>
      <c r="MGH77" s="30"/>
      <c r="MGI77" s="25"/>
      <c r="MGJ77" s="178"/>
      <c r="MGK77" s="26"/>
      <c r="MGL77" s="26"/>
      <c r="MGM77" s="26"/>
      <c r="MGN77" s="26"/>
      <c r="MGO77" s="26"/>
      <c r="MGP77" s="26"/>
      <c r="MGQ77" s="58"/>
      <c r="MGR77" s="26"/>
      <c r="MGS77" s="26"/>
      <c r="MGT77" s="26"/>
      <c r="MGU77" s="26"/>
      <c r="MGV77" s="22"/>
      <c r="MGW77" s="167"/>
      <c r="MGX77" s="30"/>
      <c r="MGY77" s="25"/>
      <c r="MGZ77" s="178"/>
      <c r="MHA77" s="26"/>
      <c r="MHB77" s="26"/>
      <c r="MHC77" s="26"/>
      <c r="MHD77" s="26"/>
      <c r="MHE77" s="26"/>
      <c r="MHF77" s="26"/>
      <c r="MHG77" s="58"/>
      <c r="MHH77" s="26"/>
      <c r="MHI77" s="26"/>
      <c r="MHJ77" s="26"/>
      <c r="MHK77" s="26"/>
      <c r="MHL77" s="22"/>
      <c r="MHM77" s="167"/>
      <c r="MHN77" s="30"/>
      <c r="MHO77" s="25"/>
      <c r="MHP77" s="178"/>
      <c r="MHQ77" s="26"/>
      <c r="MHR77" s="26"/>
      <c r="MHS77" s="26"/>
      <c r="MHT77" s="26"/>
      <c r="MHU77" s="26"/>
      <c r="MHV77" s="26"/>
      <c r="MHW77" s="58"/>
      <c r="MHX77" s="26"/>
      <c r="MHY77" s="26"/>
      <c r="MHZ77" s="26"/>
      <c r="MIA77" s="26"/>
      <c r="MIB77" s="22"/>
      <c r="MIC77" s="167"/>
      <c r="MID77" s="30"/>
      <c r="MIE77" s="25"/>
      <c r="MIF77" s="178"/>
      <c r="MIG77" s="26"/>
      <c r="MIH77" s="26"/>
      <c r="MII77" s="26"/>
      <c r="MIJ77" s="26"/>
      <c r="MIK77" s="26"/>
      <c r="MIL77" s="26"/>
      <c r="MIM77" s="58"/>
      <c r="MIN77" s="26"/>
      <c r="MIO77" s="26"/>
      <c r="MIP77" s="26"/>
      <c r="MIQ77" s="26"/>
      <c r="MIR77" s="22"/>
      <c r="MIS77" s="167"/>
      <c r="MIT77" s="30"/>
      <c r="MIU77" s="25"/>
      <c r="MIV77" s="178"/>
      <c r="MIW77" s="26"/>
      <c r="MIX77" s="26"/>
      <c r="MIY77" s="26"/>
      <c r="MIZ77" s="26"/>
      <c r="MJA77" s="26"/>
      <c r="MJB77" s="26"/>
      <c r="MJC77" s="58"/>
      <c r="MJD77" s="26"/>
      <c r="MJE77" s="26"/>
      <c r="MJF77" s="26"/>
      <c r="MJG77" s="26"/>
      <c r="MJH77" s="22"/>
      <c r="MJI77" s="167"/>
      <c r="MJJ77" s="30"/>
      <c r="MJK77" s="25"/>
      <c r="MJL77" s="178"/>
      <c r="MJM77" s="26"/>
      <c r="MJN77" s="26"/>
      <c r="MJO77" s="26"/>
      <c r="MJP77" s="26"/>
      <c r="MJQ77" s="26"/>
      <c r="MJR77" s="26"/>
      <c r="MJS77" s="58"/>
      <c r="MJT77" s="26"/>
      <c r="MJU77" s="26"/>
      <c r="MJV77" s="26"/>
      <c r="MJW77" s="26"/>
      <c r="MJX77" s="22"/>
      <c r="MJY77" s="167"/>
      <c r="MJZ77" s="30"/>
      <c r="MKA77" s="25"/>
      <c r="MKB77" s="178"/>
      <c r="MKC77" s="26"/>
      <c r="MKD77" s="26"/>
      <c r="MKE77" s="26"/>
      <c r="MKF77" s="26"/>
      <c r="MKG77" s="26"/>
      <c r="MKH77" s="26"/>
      <c r="MKI77" s="58"/>
      <c r="MKJ77" s="26"/>
      <c r="MKK77" s="26"/>
      <c r="MKL77" s="26"/>
      <c r="MKM77" s="26"/>
      <c r="MKN77" s="22"/>
      <c r="MKO77" s="167"/>
      <c r="MKP77" s="30"/>
      <c r="MKQ77" s="25"/>
      <c r="MKR77" s="178"/>
      <c r="MKS77" s="26"/>
      <c r="MKT77" s="26"/>
      <c r="MKU77" s="26"/>
      <c r="MKV77" s="26"/>
      <c r="MKW77" s="26"/>
      <c r="MKX77" s="26"/>
      <c r="MKY77" s="58"/>
      <c r="MKZ77" s="26"/>
      <c r="MLA77" s="26"/>
      <c r="MLB77" s="26"/>
      <c r="MLC77" s="26"/>
      <c r="MLD77" s="22"/>
      <c r="MLE77" s="167"/>
      <c r="MLF77" s="30"/>
      <c r="MLG77" s="25"/>
      <c r="MLH77" s="178"/>
      <c r="MLI77" s="26"/>
      <c r="MLJ77" s="26"/>
      <c r="MLK77" s="26"/>
      <c r="MLL77" s="26"/>
      <c r="MLM77" s="26"/>
      <c r="MLN77" s="26"/>
      <c r="MLO77" s="58"/>
      <c r="MLP77" s="26"/>
      <c r="MLQ77" s="26"/>
      <c r="MLR77" s="26"/>
      <c r="MLS77" s="26"/>
      <c r="MLT77" s="22"/>
      <c r="MLU77" s="167"/>
      <c r="MLV77" s="30"/>
      <c r="MLW77" s="25"/>
      <c r="MLX77" s="178"/>
      <c r="MLY77" s="26"/>
      <c r="MLZ77" s="26"/>
      <c r="MMA77" s="26"/>
      <c r="MMB77" s="26"/>
      <c r="MMC77" s="26"/>
      <c r="MMD77" s="26"/>
      <c r="MME77" s="58"/>
      <c r="MMF77" s="26"/>
      <c r="MMG77" s="26"/>
      <c r="MMH77" s="26"/>
      <c r="MMI77" s="26"/>
      <c r="MMJ77" s="22"/>
      <c r="MMK77" s="167"/>
      <c r="MML77" s="30"/>
      <c r="MMM77" s="25"/>
      <c r="MMN77" s="178"/>
      <c r="MMO77" s="26"/>
      <c r="MMP77" s="26"/>
      <c r="MMQ77" s="26"/>
      <c r="MMR77" s="26"/>
      <c r="MMS77" s="26"/>
      <c r="MMT77" s="26"/>
      <c r="MMU77" s="58"/>
      <c r="MMV77" s="26"/>
      <c r="MMW77" s="26"/>
      <c r="MMX77" s="26"/>
      <c r="MMY77" s="26"/>
      <c r="MMZ77" s="22"/>
      <c r="MNA77" s="167"/>
      <c r="MNB77" s="30"/>
      <c r="MNC77" s="25"/>
      <c r="MND77" s="178"/>
      <c r="MNE77" s="26"/>
      <c r="MNF77" s="26"/>
      <c r="MNG77" s="26"/>
      <c r="MNH77" s="26"/>
      <c r="MNI77" s="26"/>
      <c r="MNJ77" s="26"/>
      <c r="MNK77" s="58"/>
      <c r="MNL77" s="26"/>
      <c r="MNM77" s="26"/>
      <c r="MNN77" s="26"/>
      <c r="MNO77" s="26"/>
      <c r="MNP77" s="22"/>
      <c r="MNQ77" s="167"/>
      <c r="MNR77" s="30"/>
      <c r="MNS77" s="25"/>
      <c r="MNT77" s="178"/>
      <c r="MNU77" s="26"/>
      <c r="MNV77" s="26"/>
      <c r="MNW77" s="26"/>
      <c r="MNX77" s="26"/>
      <c r="MNY77" s="26"/>
      <c r="MNZ77" s="26"/>
      <c r="MOA77" s="58"/>
      <c r="MOB77" s="26"/>
      <c r="MOC77" s="26"/>
      <c r="MOD77" s="26"/>
      <c r="MOE77" s="26"/>
      <c r="MOF77" s="22"/>
      <c r="MOG77" s="167"/>
      <c r="MOH77" s="30"/>
      <c r="MOI77" s="25"/>
      <c r="MOJ77" s="178"/>
      <c r="MOK77" s="26"/>
      <c r="MOL77" s="26"/>
      <c r="MOM77" s="26"/>
      <c r="MON77" s="26"/>
      <c r="MOO77" s="26"/>
      <c r="MOP77" s="26"/>
      <c r="MOQ77" s="58"/>
      <c r="MOR77" s="26"/>
      <c r="MOS77" s="26"/>
      <c r="MOT77" s="26"/>
      <c r="MOU77" s="26"/>
      <c r="MOV77" s="22"/>
      <c r="MOW77" s="167"/>
      <c r="MOX77" s="30"/>
      <c r="MOY77" s="25"/>
      <c r="MOZ77" s="178"/>
      <c r="MPA77" s="26"/>
      <c r="MPB77" s="26"/>
      <c r="MPC77" s="26"/>
      <c r="MPD77" s="26"/>
      <c r="MPE77" s="26"/>
      <c r="MPF77" s="26"/>
      <c r="MPG77" s="58"/>
      <c r="MPH77" s="26"/>
      <c r="MPI77" s="26"/>
      <c r="MPJ77" s="26"/>
      <c r="MPK77" s="26"/>
      <c r="MPL77" s="22"/>
      <c r="MPM77" s="167"/>
      <c r="MPN77" s="30"/>
      <c r="MPO77" s="25"/>
      <c r="MPP77" s="178"/>
      <c r="MPQ77" s="26"/>
      <c r="MPR77" s="26"/>
      <c r="MPS77" s="26"/>
      <c r="MPT77" s="26"/>
      <c r="MPU77" s="26"/>
      <c r="MPV77" s="26"/>
      <c r="MPW77" s="58"/>
      <c r="MPX77" s="26"/>
      <c r="MPY77" s="26"/>
      <c r="MPZ77" s="26"/>
      <c r="MQA77" s="26"/>
      <c r="MQB77" s="22"/>
      <c r="MQC77" s="167"/>
      <c r="MQD77" s="30"/>
      <c r="MQE77" s="25"/>
      <c r="MQF77" s="178"/>
      <c r="MQG77" s="26"/>
      <c r="MQH77" s="26"/>
      <c r="MQI77" s="26"/>
      <c r="MQJ77" s="26"/>
      <c r="MQK77" s="26"/>
      <c r="MQL77" s="26"/>
      <c r="MQM77" s="58"/>
      <c r="MQN77" s="26"/>
      <c r="MQO77" s="26"/>
      <c r="MQP77" s="26"/>
      <c r="MQQ77" s="26"/>
      <c r="MQR77" s="22"/>
      <c r="MQS77" s="167"/>
      <c r="MQT77" s="30"/>
      <c r="MQU77" s="25"/>
      <c r="MQV77" s="178"/>
      <c r="MQW77" s="26"/>
      <c r="MQX77" s="26"/>
      <c r="MQY77" s="26"/>
      <c r="MQZ77" s="26"/>
      <c r="MRA77" s="26"/>
      <c r="MRB77" s="26"/>
      <c r="MRC77" s="58"/>
      <c r="MRD77" s="26"/>
      <c r="MRE77" s="26"/>
      <c r="MRF77" s="26"/>
      <c r="MRG77" s="26"/>
      <c r="MRH77" s="22"/>
      <c r="MRI77" s="167"/>
      <c r="MRJ77" s="30"/>
      <c r="MRK77" s="25"/>
      <c r="MRL77" s="178"/>
      <c r="MRM77" s="26"/>
      <c r="MRN77" s="26"/>
      <c r="MRO77" s="26"/>
      <c r="MRP77" s="26"/>
      <c r="MRQ77" s="26"/>
      <c r="MRR77" s="26"/>
      <c r="MRS77" s="58"/>
      <c r="MRT77" s="26"/>
      <c r="MRU77" s="26"/>
      <c r="MRV77" s="26"/>
      <c r="MRW77" s="26"/>
      <c r="MRX77" s="22"/>
      <c r="MRY77" s="167"/>
      <c r="MRZ77" s="30"/>
      <c r="MSA77" s="25"/>
      <c r="MSB77" s="178"/>
      <c r="MSC77" s="26"/>
      <c r="MSD77" s="26"/>
      <c r="MSE77" s="26"/>
      <c r="MSF77" s="26"/>
      <c r="MSG77" s="26"/>
      <c r="MSH77" s="26"/>
      <c r="MSI77" s="58"/>
      <c r="MSJ77" s="26"/>
      <c r="MSK77" s="26"/>
      <c r="MSL77" s="26"/>
      <c r="MSM77" s="26"/>
      <c r="MSN77" s="22"/>
      <c r="MSO77" s="167"/>
      <c r="MSP77" s="30"/>
      <c r="MSQ77" s="25"/>
      <c r="MSR77" s="178"/>
      <c r="MSS77" s="26"/>
      <c r="MST77" s="26"/>
      <c r="MSU77" s="26"/>
      <c r="MSV77" s="26"/>
      <c r="MSW77" s="26"/>
      <c r="MSX77" s="26"/>
      <c r="MSY77" s="58"/>
      <c r="MSZ77" s="26"/>
      <c r="MTA77" s="26"/>
      <c r="MTB77" s="26"/>
      <c r="MTC77" s="26"/>
      <c r="MTD77" s="22"/>
      <c r="MTE77" s="167"/>
      <c r="MTF77" s="30"/>
      <c r="MTG77" s="25"/>
      <c r="MTH77" s="178"/>
      <c r="MTI77" s="26"/>
      <c r="MTJ77" s="26"/>
      <c r="MTK77" s="26"/>
      <c r="MTL77" s="26"/>
      <c r="MTM77" s="26"/>
      <c r="MTN77" s="26"/>
      <c r="MTO77" s="58"/>
      <c r="MTP77" s="26"/>
      <c r="MTQ77" s="26"/>
      <c r="MTR77" s="26"/>
      <c r="MTS77" s="26"/>
      <c r="MTT77" s="22"/>
      <c r="MTU77" s="167"/>
      <c r="MTV77" s="30"/>
      <c r="MTW77" s="25"/>
      <c r="MTX77" s="178"/>
      <c r="MTY77" s="26"/>
      <c r="MTZ77" s="26"/>
      <c r="MUA77" s="26"/>
      <c r="MUB77" s="26"/>
      <c r="MUC77" s="26"/>
      <c r="MUD77" s="26"/>
      <c r="MUE77" s="58"/>
      <c r="MUF77" s="26"/>
      <c r="MUG77" s="26"/>
      <c r="MUH77" s="26"/>
      <c r="MUI77" s="26"/>
      <c r="MUJ77" s="22"/>
      <c r="MUK77" s="167"/>
      <c r="MUL77" s="30"/>
      <c r="MUM77" s="25"/>
      <c r="MUN77" s="178"/>
      <c r="MUO77" s="26"/>
      <c r="MUP77" s="26"/>
      <c r="MUQ77" s="26"/>
      <c r="MUR77" s="26"/>
      <c r="MUS77" s="26"/>
      <c r="MUT77" s="26"/>
      <c r="MUU77" s="58"/>
      <c r="MUV77" s="26"/>
      <c r="MUW77" s="26"/>
      <c r="MUX77" s="26"/>
      <c r="MUY77" s="26"/>
      <c r="MUZ77" s="22"/>
      <c r="MVA77" s="167"/>
      <c r="MVB77" s="30"/>
      <c r="MVC77" s="25"/>
      <c r="MVD77" s="178"/>
      <c r="MVE77" s="26"/>
      <c r="MVF77" s="26"/>
      <c r="MVG77" s="26"/>
      <c r="MVH77" s="26"/>
      <c r="MVI77" s="26"/>
      <c r="MVJ77" s="26"/>
      <c r="MVK77" s="58"/>
      <c r="MVL77" s="26"/>
      <c r="MVM77" s="26"/>
      <c r="MVN77" s="26"/>
      <c r="MVO77" s="26"/>
      <c r="MVP77" s="22"/>
      <c r="MVQ77" s="167"/>
      <c r="MVR77" s="30"/>
      <c r="MVS77" s="25"/>
      <c r="MVT77" s="178"/>
      <c r="MVU77" s="26"/>
      <c r="MVV77" s="26"/>
      <c r="MVW77" s="26"/>
      <c r="MVX77" s="26"/>
      <c r="MVY77" s="26"/>
      <c r="MVZ77" s="26"/>
      <c r="MWA77" s="58"/>
      <c r="MWB77" s="26"/>
      <c r="MWC77" s="26"/>
      <c r="MWD77" s="26"/>
      <c r="MWE77" s="26"/>
      <c r="MWF77" s="22"/>
      <c r="MWG77" s="167"/>
      <c r="MWH77" s="30"/>
      <c r="MWI77" s="25"/>
      <c r="MWJ77" s="178"/>
      <c r="MWK77" s="26"/>
      <c r="MWL77" s="26"/>
      <c r="MWM77" s="26"/>
      <c r="MWN77" s="26"/>
      <c r="MWO77" s="26"/>
      <c r="MWP77" s="26"/>
      <c r="MWQ77" s="58"/>
      <c r="MWR77" s="26"/>
      <c r="MWS77" s="26"/>
      <c r="MWT77" s="26"/>
      <c r="MWU77" s="26"/>
      <c r="MWV77" s="22"/>
      <c r="MWW77" s="167"/>
      <c r="MWX77" s="30"/>
      <c r="MWY77" s="25"/>
      <c r="MWZ77" s="178"/>
      <c r="MXA77" s="26"/>
      <c r="MXB77" s="26"/>
      <c r="MXC77" s="26"/>
      <c r="MXD77" s="26"/>
      <c r="MXE77" s="26"/>
      <c r="MXF77" s="26"/>
      <c r="MXG77" s="58"/>
      <c r="MXH77" s="26"/>
      <c r="MXI77" s="26"/>
      <c r="MXJ77" s="26"/>
      <c r="MXK77" s="26"/>
      <c r="MXL77" s="22"/>
      <c r="MXM77" s="167"/>
      <c r="MXN77" s="30"/>
      <c r="MXO77" s="25"/>
      <c r="MXP77" s="178"/>
      <c r="MXQ77" s="26"/>
      <c r="MXR77" s="26"/>
      <c r="MXS77" s="26"/>
      <c r="MXT77" s="26"/>
      <c r="MXU77" s="26"/>
      <c r="MXV77" s="26"/>
      <c r="MXW77" s="58"/>
      <c r="MXX77" s="26"/>
      <c r="MXY77" s="26"/>
      <c r="MXZ77" s="26"/>
      <c r="MYA77" s="26"/>
      <c r="MYB77" s="22"/>
      <c r="MYC77" s="167"/>
      <c r="MYD77" s="30"/>
      <c r="MYE77" s="25"/>
      <c r="MYF77" s="178"/>
      <c r="MYG77" s="26"/>
      <c r="MYH77" s="26"/>
      <c r="MYI77" s="26"/>
      <c r="MYJ77" s="26"/>
      <c r="MYK77" s="26"/>
      <c r="MYL77" s="26"/>
      <c r="MYM77" s="58"/>
      <c r="MYN77" s="26"/>
      <c r="MYO77" s="26"/>
      <c r="MYP77" s="26"/>
      <c r="MYQ77" s="26"/>
      <c r="MYR77" s="22"/>
      <c r="MYS77" s="167"/>
      <c r="MYT77" s="30"/>
      <c r="MYU77" s="25"/>
      <c r="MYV77" s="178"/>
      <c r="MYW77" s="26"/>
      <c r="MYX77" s="26"/>
      <c r="MYY77" s="26"/>
      <c r="MYZ77" s="26"/>
      <c r="MZA77" s="26"/>
      <c r="MZB77" s="26"/>
      <c r="MZC77" s="58"/>
      <c r="MZD77" s="26"/>
      <c r="MZE77" s="26"/>
      <c r="MZF77" s="26"/>
      <c r="MZG77" s="26"/>
      <c r="MZH77" s="22"/>
      <c r="MZI77" s="167"/>
      <c r="MZJ77" s="30"/>
      <c r="MZK77" s="25"/>
      <c r="MZL77" s="178"/>
      <c r="MZM77" s="26"/>
      <c r="MZN77" s="26"/>
      <c r="MZO77" s="26"/>
      <c r="MZP77" s="26"/>
      <c r="MZQ77" s="26"/>
      <c r="MZR77" s="26"/>
      <c r="MZS77" s="58"/>
      <c r="MZT77" s="26"/>
      <c r="MZU77" s="26"/>
      <c r="MZV77" s="26"/>
      <c r="MZW77" s="26"/>
      <c r="MZX77" s="22"/>
      <c r="MZY77" s="167"/>
      <c r="MZZ77" s="30"/>
      <c r="NAA77" s="25"/>
      <c r="NAB77" s="178"/>
      <c r="NAC77" s="26"/>
      <c r="NAD77" s="26"/>
      <c r="NAE77" s="26"/>
      <c r="NAF77" s="26"/>
      <c r="NAG77" s="26"/>
      <c r="NAH77" s="26"/>
      <c r="NAI77" s="58"/>
      <c r="NAJ77" s="26"/>
      <c r="NAK77" s="26"/>
      <c r="NAL77" s="26"/>
      <c r="NAM77" s="26"/>
      <c r="NAN77" s="22"/>
      <c r="NAO77" s="167"/>
      <c r="NAP77" s="30"/>
      <c r="NAQ77" s="25"/>
      <c r="NAR77" s="178"/>
      <c r="NAS77" s="26"/>
      <c r="NAT77" s="26"/>
      <c r="NAU77" s="26"/>
      <c r="NAV77" s="26"/>
      <c r="NAW77" s="26"/>
      <c r="NAX77" s="26"/>
      <c r="NAY77" s="58"/>
      <c r="NAZ77" s="26"/>
      <c r="NBA77" s="26"/>
      <c r="NBB77" s="26"/>
      <c r="NBC77" s="26"/>
      <c r="NBD77" s="22"/>
      <c r="NBE77" s="167"/>
      <c r="NBF77" s="30"/>
      <c r="NBG77" s="25"/>
      <c r="NBH77" s="178"/>
      <c r="NBI77" s="26"/>
      <c r="NBJ77" s="26"/>
      <c r="NBK77" s="26"/>
      <c r="NBL77" s="26"/>
      <c r="NBM77" s="26"/>
      <c r="NBN77" s="26"/>
      <c r="NBO77" s="58"/>
      <c r="NBP77" s="26"/>
      <c r="NBQ77" s="26"/>
      <c r="NBR77" s="26"/>
      <c r="NBS77" s="26"/>
      <c r="NBT77" s="22"/>
      <c r="NBU77" s="167"/>
      <c r="NBV77" s="30"/>
      <c r="NBW77" s="25"/>
      <c r="NBX77" s="178"/>
      <c r="NBY77" s="26"/>
      <c r="NBZ77" s="26"/>
      <c r="NCA77" s="26"/>
      <c r="NCB77" s="26"/>
      <c r="NCC77" s="26"/>
      <c r="NCD77" s="26"/>
      <c r="NCE77" s="58"/>
      <c r="NCF77" s="26"/>
      <c r="NCG77" s="26"/>
      <c r="NCH77" s="26"/>
      <c r="NCI77" s="26"/>
      <c r="NCJ77" s="22"/>
      <c r="NCK77" s="167"/>
      <c r="NCL77" s="30"/>
      <c r="NCM77" s="25"/>
      <c r="NCN77" s="178"/>
      <c r="NCO77" s="26"/>
      <c r="NCP77" s="26"/>
      <c r="NCQ77" s="26"/>
      <c r="NCR77" s="26"/>
      <c r="NCS77" s="26"/>
      <c r="NCT77" s="26"/>
      <c r="NCU77" s="58"/>
      <c r="NCV77" s="26"/>
      <c r="NCW77" s="26"/>
      <c r="NCX77" s="26"/>
      <c r="NCY77" s="26"/>
      <c r="NCZ77" s="22"/>
      <c r="NDA77" s="167"/>
      <c r="NDB77" s="30"/>
      <c r="NDC77" s="25"/>
      <c r="NDD77" s="178"/>
      <c r="NDE77" s="26"/>
      <c r="NDF77" s="26"/>
      <c r="NDG77" s="26"/>
      <c r="NDH77" s="26"/>
      <c r="NDI77" s="26"/>
      <c r="NDJ77" s="26"/>
      <c r="NDK77" s="58"/>
      <c r="NDL77" s="26"/>
      <c r="NDM77" s="26"/>
      <c r="NDN77" s="26"/>
      <c r="NDO77" s="26"/>
      <c r="NDP77" s="22"/>
      <c r="NDQ77" s="167"/>
      <c r="NDR77" s="30"/>
      <c r="NDS77" s="25"/>
      <c r="NDT77" s="178"/>
      <c r="NDU77" s="26"/>
      <c r="NDV77" s="26"/>
      <c r="NDW77" s="26"/>
      <c r="NDX77" s="26"/>
      <c r="NDY77" s="26"/>
      <c r="NDZ77" s="26"/>
      <c r="NEA77" s="58"/>
      <c r="NEB77" s="26"/>
      <c r="NEC77" s="26"/>
      <c r="NED77" s="26"/>
      <c r="NEE77" s="26"/>
      <c r="NEF77" s="22"/>
      <c r="NEG77" s="167"/>
      <c r="NEH77" s="30"/>
      <c r="NEI77" s="25"/>
      <c r="NEJ77" s="178"/>
      <c r="NEK77" s="26"/>
      <c r="NEL77" s="26"/>
      <c r="NEM77" s="26"/>
      <c r="NEN77" s="26"/>
      <c r="NEO77" s="26"/>
      <c r="NEP77" s="26"/>
      <c r="NEQ77" s="58"/>
      <c r="NER77" s="26"/>
      <c r="NES77" s="26"/>
      <c r="NET77" s="26"/>
      <c r="NEU77" s="26"/>
      <c r="NEV77" s="22"/>
      <c r="NEW77" s="167"/>
      <c r="NEX77" s="30"/>
      <c r="NEY77" s="25"/>
      <c r="NEZ77" s="178"/>
      <c r="NFA77" s="26"/>
      <c r="NFB77" s="26"/>
      <c r="NFC77" s="26"/>
      <c r="NFD77" s="26"/>
      <c r="NFE77" s="26"/>
      <c r="NFF77" s="26"/>
      <c r="NFG77" s="58"/>
      <c r="NFH77" s="26"/>
      <c r="NFI77" s="26"/>
      <c r="NFJ77" s="26"/>
      <c r="NFK77" s="26"/>
      <c r="NFL77" s="22"/>
      <c r="NFM77" s="167"/>
      <c r="NFN77" s="30"/>
      <c r="NFO77" s="25"/>
      <c r="NFP77" s="178"/>
      <c r="NFQ77" s="26"/>
      <c r="NFR77" s="26"/>
      <c r="NFS77" s="26"/>
      <c r="NFT77" s="26"/>
      <c r="NFU77" s="26"/>
      <c r="NFV77" s="26"/>
      <c r="NFW77" s="58"/>
      <c r="NFX77" s="26"/>
      <c r="NFY77" s="26"/>
      <c r="NFZ77" s="26"/>
      <c r="NGA77" s="26"/>
      <c r="NGB77" s="22"/>
      <c r="NGC77" s="167"/>
      <c r="NGD77" s="30"/>
      <c r="NGE77" s="25"/>
      <c r="NGF77" s="178"/>
      <c r="NGG77" s="26"/>
      <c r="NGH77" s="26"/>
      <c r="NGI77" s="26"/>
      <c r="NGJ77" s="26"/>
      <c r="NGK77" s="26"/>
      <c r="NGL77" s="26"/>
      <c r="NGM77" s="58"/>
      <c r="NGN77" s="26"/>
      <c r="NGO77" s="26"/>
      <c r="NGP77" s="26"/>
      <c r="NGQ77" s="26"/>
      <c r="NGR77" s="22"/>
      <c r="NGS77" s="167"/>
      <c r="NGT77" s="30"/>
      <c r="NGU77" s="25"/>
      <c r="NGV77" s="178"/>
      <c r="NGW77" s="26"/>
      <c r="NGX77" s="26"/>
      <c r="NGY77" s="26"/>
      <c r="NGZ77" s="26"/>
      <c r="NHA77" s="26"/>
      <c r="NHB77" s="26"/>
      <c r="NHC77" s="58"/>
      <c r="NHD77" s="26"/>
      <c r="NHE77" s="26"/>
      <c r="NHF77" s="26"/>
      <c r="NHG77" s="26"/>
      <c r="NHH77" s="22"/>
      <c r="NHI77" s="167"/>
      <c r="NHJ77" s="30"/>
      <c r="NHK77" s="25"/>
      <c r="NHL77" s="178"/>
      <c r="NHM77" s="26"/>
      <c r="NHN77" s="26"/>
      <c r="NHO77" s="26"/>
      <c r="NHP77" s="26"/>
      <c r="NHQ77" s="26"/>
      <c r="NHR77" s="26"/>
      <c r="NHS77" s="58"/>
      <c r="NHT77" s="26"/>
      <c r="NHU77" s="26"/>
      <c r="NHV77" s="26"/>
      <c r="NHW77" s="26"/>
      <c r="NHX77" s="22"/>
      <c r="NHY77" s="167"/>
      <c r="NHZ77" s="30"/>
      <c r="NIA77" s="25"/>
      <c r="NIB77" s="178"/>
      <c r="NIC77" s="26"/>
      <c r="NID77" s="26"/>
      <c r="NIE77" s="26"/>
      <c r="NIF77" s="26"/>
      <c r="NIG77" s="26"/>
      <c r="NIH77" s="26"/>
      <c r="NII77" s="58"/>
      <c r="NIJ77" s="26"/>
      <c r="NIK77" s="26"/>
      <c r="NIL77" s="26"/>
      <c r="NIM77" s="26"/>
      <c r="NIN77" s="22"/>
      <c r="NIO77" s="167"/>
      <c r="NIP77" s="30"/>
      <c r="NIQ77" s="25"/>
      <c r="NIR77" s="178"/>
      <c r="NIS77" s="26"/>
      <c r="NIT77" s="26"/>
      <c r="NIU77" s="26"/>
      <c r="NIV77" s="26"/>
      <c r="NIW77" s="26"/>
      <c r="NIX77" s="26"/>
      <c r="NIY77" s="58"/>
      <c r="NIZ77" s="26"/>
      <c r="NJA77" s="26"/>
      <c r="NJB77" s="26"/>
      <c r="NJC77" s="26"/>
      <c r="NJD77" s="22"/>
      <c r="NJE77" s="167"/>
      <c r="NJF77" s="30"/>
      <c r="NJG77" s="25"/>
      <c r="NJH77" s="178"/>
      <c r="NJI77" s="26"/>
      <c r="NJJ77" s="26"/>
      <c r="NJK77" s="26"/>
      <c r="NJL77" s="26"/>
      <c r="NJM77" s="26"/>
      <c r="NJN77" s="26"/>
      <c r="NJO77" s="58"/>
      <c r="NJP77" s="26"/>
      <c r="NJQ77" s="26"/>
      <c r="NJR77" s="26"/>
      <c r="NJS77" s="26"/>
      <c r="NJT77" s="22"/>
      <c r="NJU77" s="167"/>
      <c r="NJV77" s="30"/>
      <c r="NJW77" s="25"/>
      <c r="NJX77" s="178"/>
      <c r="NJY77" s="26"/>
      <c r="NJZ77" s="26"/>
      <c r="NKA77" s="26"/>
      <c r="NKB77" s="26"/>
      <c r="NKC77" s="26"/>
      <c r="NKD77" s="26"/>
      <c r="NKE77" s="58"/>
      <c r="NKF77" s="26"/>
      <c r="NKG77" s="26"/>
      <c r="NKH77" s="26"/>
      <c r="NKI77" s="26"/>
      <c r="NKJ77" s="22"/>
      <c r="NKK77" s="167"/>
      <c r="NKL77" s="30"/>
      <c r="NKM77" s="25"/>
      <c r="NKN77" s="178"/>
      <c r="NKO77" s="26"/>
      <c r="NKP77" s="26"/>
      <c r="NKQ77" s="26"/>
      <c r="NKR77" s="26"/>
      <c r="NKS77" s="26"/>
      <c r="NKT77" s="26"/>
      <c r="NKU77" s="58"/>
      <c r="NKV77" s="26"/>
      <c r="NKW77" s="26"/>
      <c r="NKX77" s="26"/>
      <c r="NKY77" s="26"/>
      <c r="NKZ77" s="22"/>
      <c r="NLA77" s="167"/>
      <c r="NLB77" s="30"/>
      <c r="NLC77" s="25"/>
      <c r="NLD77" s="178"/>
      <c r="NLE77" s="26"/>
      <c r="NLF77" s="26"/>
      <c r="NLG77" s="26"/>
      <c r="NLH77" s="26"/>
      <c r="NLI77" s="26"/>
      <c r="NLJ77" s="26"/>
      <c r="NLK77" s="58"/>
      <c r="NLL77" s="26"/>
      <c r="NLM77" s="26"/>
      <c r="NLN77" s="26"/>
      <c r="NLO77" s="26"/>
      <c r="NLP77" s="22"/>
      <c r="NLQ77" s="167"/>
      <c r="NLR77" s="30"/>
      <c r="NLS77" s="25"/>
      <c r="NLT77" s="178"/>
      <c r="NLU77" s="26"/>
      <c r="NLV77" s="26"/>
      <c r="NLW77" s="26"/>
      <c r="NLX77" s="26"/>
      <c r="NLY77" s="26"/>
      <c r="NLZ77" s="26"/>
      <c r="NMA77" s="58"/>
      <c r="NMB77" s="26"/>
      <c r="NMC77" s="26"/>
      <c r="NMD77" s="26"/>
      <c r="NME77" s="26"/>
      <c r="NMF77" s="22"/>
      <c r="NMG77" s="167"/>
      <c r="NMH77" s="30"/>
      <c r="NMI77" s="25"/>
      <c r="NMJ77" s="178"/>
      <c r="NMK77" s="26"/>
      <c r="NML77" s="26"/>
      <c r="NMM77" s="26"/>
      <c r="NMN77" s="26"/>
      <c r="NMO77" s="26"/>
      <c r="NMP77" s="26"/>
      <c r="NMQ77" s="58"/>
      <c r="NMR77" s="26"/>
      <c r="NMS77" s="26"/>
      <c r="NMT77" s="26"/>
      <c r="NMU77" s="26"/>
      <c r="NMV77" s="22"/>
      <c r="NMW77" s="167"/>
      <c r="NMX77" s="30"/>
      <c r="NMY77" s="25"/>
      <c r="NMZ77" s="178"/>
      <c r="NNA77" s="26"/>
      <c r="NNB77" s="26"/>
      <c r="NNC77" s="26"/>
      <c r="NND77" s="26"/>
      <c r="NNE77" s="26"/>
      <c r="NNF77" s="26"/>
      <c r="NNG77" s="58"/>
      <c r="NNH77" s="26"/>
      <c r="NNI77" s="26"/>
      <c r="NNJ77" s="26"/>
      <c r="NNK77" s="26"/>
      <c r="NNL77" s="22"/>
      <c r="NNM77" s="167"/>
      <c r="NNN77" s="30"/>
      <c r="NNO77" s="25"/>
      <c r="NNP77" s="178"/>
      <c r="NNQ77" s="26"/>
      <c r="NNR77" s="26"/>
      <c r="NNS77" s="26"/>
      <c r="NNT77" s="26"/>
      <c r="NNU77" s="26"/>
      <c r="NNV77" s="26"/>
      <c r="NNW77" s="58"/>
      <c r="NNX77" s="26"/>
      <c r="NNY77" s="26"/>
      <c r="NNZ77" s="26"/>
      <c r="NOA77" s="26"/>
      <c r="NOB77" s="22"/>
      <c r="NOC77" s="167"/>
      <c r="NOD77" s="30"/>
      <c r="NOE77" s="25"/>
      <c r="NOF77" s="178"/>
      <c r="NOG77" s="26"/>
      <c r="NOH77" s="26"/>
      <c r="NOI77" s="26"/>
      <c r="NOJ77" s="26"/>
      <c r="NOK77" s="26"/>
      <c r="NOL77" s="26"/>
      <c r="NOM77" s="58"/>
      <c r="NON77" s="26"/>
      <c r="NOO77" s="26"/>
      <c r="NOP77" s="26"/>
      <c r="NOQ77" s="26"/>
      <c r="NOR77" s="22"/>
      <c r="NOS77" s="167"/>
      <c r="NOT77" s="30"/>
      <c r="NOU77" s="25"/>
      <c r="NOV77" s="178"/>
      <c r="NOW77" s="26"/>
      <c r="NOX77" s="26"/>
      <c r="NOY77" s="26"/>
      <c r="NOZ77" s="26"/>
      <c r="NPA77" s="26"/>
      <c r="NPB77" s="26"/>
      <c r="NPC77" s="58"/>
      <c r="NPD77" s="26"/>
      <c r="NPE77" s="26"/>
      <c r="NPF77" s="26"/>
      <c r="NPG77" s="26"/>
      <c r="NPH77" s="22"/>
      <c r="NPI77" s="167"/>
      <c r="NPJ77" s="30"/>
      <c r="NPK77" s="25"/>
      <c r="NPL77" s="178"/>
      <c r="NPM77" s="26"/>
      <c r="NPN77" s="26"/>
      <c r="NPO77" s="26"/>
      <c r="NPP77" s="26"/>
      <c r="NPQ77" s="26"/>
      <c r="NPR77" s="26"/>
      <c r="NPS77" s="58"/>
      <c r="NPT77" s="26"/>
      <c r="NPU77" s="26"/>
      <c r="NPV77" s="26"/>
      <c r="NPW77" s="26"/>
      <c r="NPX77" s="22"/>
      <c r="NPY77" s="167"/>
      <c r="NPZ77" s="30"/>
      <c r="NQA77" s="25"/>
      <c r="NQB77" s="178"/>
      <c r="NQC77" s="26"/>
      <c r="NQD77" s="26"/>
      <c r="NQE77" s="26"/>
      <c r="NQF77" s="26"/>
      <c r="NQG77" s="26"/>
      <c r="NQH77" s="26"/>
      <c r="NQI77" s="58"/>
      <c r="NQJ77" s="26"/>
      <c r="NQK77" s="26"/>
      <c r="NQL77" s="26"/>
      <c r="NQM77" s="26"/>
      <c r="NQN77" s="22"/>
      <c r="NQO77" s="167"/>
      <c r="NQP77" s="30"/>
      <c r="NQQ77" s="25"/>
      <c r="NQR77" s="178"/>
      <c r="NQS77" s="26"/>
      <c r="NQT77" s="26"/>
      <c r="NQU77" s="26"/>
      <c r="NQV77" s="26"/>
      <c r="NQW77" s="26"/>
      <c r="NQX77" s="26"/>
      <c r="NQY77" s="58"/>
      <c r="NQZ77" s="26"/>
      <c r="NRA77" s="26"/>
      <c r="NRB77" s="26"/>
      <c r="NRC77" s="26"/>
      <c r="NRD77" s="22"/>
      <c r="NRE77" s="167"/>
      <c r="NRF77" s="30"/>
      <c r="NRG77" s="25"/>
      <c r="NRH77" s="178"/>
      <c r="NRI77" s="26"/>
      <c r="NRJ77" s="26"/>
      <c r="NRK77" s="26"/>
      <c r="NRL77" s="26"/>
      <c r="NRM77" s="26"/>
      <c r="NRN77" s="26"/>
      <c r="NRO77" s="58"/>
      <c r="NRP77" s="26"/>
      <c r="NRQ77" s="26"/>
      <c r="NRR77" s="26"/>
      <c r="NRS77" s="26"/>
      <c r="NRT77" s="22"/>
      <c r="NRU77" s="167"/>
      <c r="NRV77" s="30"/>
      <c r="NRW77" s="25"/>
      <c r="NRX77" s="178"/>
      <c r="NRY77" s="26"/>
      <c r="NRZ77" s="26"/>
      <c r="NSA77" s="26"/>
      <c r="NSB77" s="26"/>
      <c r="NSC77" s="26"/>
      <c r="NSD77" s="26"/>
      <c r="NSE77" s="58"/>
      <c r="NSF77" s="26"/>
      <c r="NSG77" s="26"/>
      <c r="NSH77" s="26"/>
      <c r="NSI77" s="26"/>
      <c r="NSJ77" s="22"/>
      <c r="NSK77" s="167"/>
      <c r="NSL77" s="30"/>
      <c r="NSM77" s="25"/>
      <c r="NSN77" s="178"/>
      <c r="NSO77" s="26"/>
      <c r="NSP77" s="26"/>
      <c r="NSQ77" s="26"/>
      <c r="NSR77" s="26"/>
      <c r="NSS77" s="26"/>
      <c r="NST77" s="26"/>
      <c r="NSU77" s="58"/>
      <c r="NSV77" s="26"/>
      <c r="NSW77" s="26"/>
      <c r="NSX77" s="26"/>
      <c r="NSY77" s="26"/>
      <c r="NSZ77" s="22"/>
      <c r="NTA77" s="167"/>
      <c r="NTB77" s="30"/>
      <c r="NTC77" s="25"/>
      <c r="NTD77" s="178"/>
      <c r="NTE77" s="26"/>
      <c r="NTF77" s="26"/>
      <c r="NTG77" s="26"/>
      <c r="NTH77" s="26"/>
      <c r="NTI77" s="26"/>
      <c r="NTJ77" s="26"/>
      <c r="NTK77" s="58"/>
      <c r="NTL77" s="26"/>
      <c r="NTM77" s="26"/>
      <c r="NTN77" s="26"/>
      <c r="NTO77" s="26"/>
      <c r="NTP77" s="22"/>
      <c r="NTQ77" s="167"/>
      <c r="NTR77" s="30"/>
      <c r="NTS77" s="25"/>
      <c r="NTT77" s="178"/>
      <c r="NTU77" s="26"/>
      <c r="NTV77" s="26"/>
      <c r="NTW77" s="26"/>
      <c r="NTX77" s="26"/>
      <c r="NTY77" s="26"/>
      <c r="NTZ77" s="26"/>
      <c r="NUA77" s="58"/>
      <c r="NUB77" s="26"/>
      <c r="NUC77" s="26"/>
      <c r="NUD77" s="26"/>
      <c r="NUE77" s="26"/>
      <c r="NUF77" s="22"/>
      <c r="NUG77" s="167"/>
      <c r="NUH77" s="30"/>
      <c r="NUI77" s="25"/>
      <c r="NUJ77" s="178"/>
      <c r="NUK77" s="26"/>
      <c r="NUL77" s="26"/>
      <c r="NUM77" s="26"/>
      <c r="NUN77" s="26"/>
      <c r="NUO77" s="26"/>
      <c r="NUP77" s="26"/>
      <c r="NUQ77" s="58"/>
      <c r="NUR77" s="26"/>
      <c r="NUS77" s="26"/>
      <c r="NUT77" s="26"/>
      <c r="NUU77" s="26"/>
      <c r="NUV77" s="22"/>
      <c r="NUW77" s="167"/>
      <c r="NUX77" s="30"/>
      <c r="NUY77" s="25"/>
      <c r="NUZ77" s="178"/>
      <c r="NVA77" s="26"/>
      <c r="NVB77" s="26"/>
      <c r="NVC77" s="26"/>
      <c r="NVD77" s="26"/>
      <c r="NVE77" s="26"/>
      <c r="NVF77" s="26"/>
      <c r="NVG77" s="58"/>
      <c r="NVH77" s="26"/>
      <c r="NVI77" s="26"/>
      <c r="NVJ77" s="26"/>
      <c r="NVK77" s="26"/>
      <c r="NVL77" s="22"/>
      <c r="NVM77" s="167"/>
      <c r="NVN77" s="30"/>
      <c r="NVO77" s="25"/>
      <c r="NVP77" s="178"/>
      <c r="NVQ77" s="26"/>
      <c r="NVR77" s="26"/>
      <c r="NVS77" s="26"/>
      <c r="NVT77" s="26"/>
      <c r="NVU77" s="26"/>
      <c r="NVV77" s="26"/>
      <c r="NVW77" s="58"/>
      <c r="NVX77" s="26"/>
      <c r="NVY77" s="26"/>
      <c r="NVZ77" s="26"/>
      <c r="NWA77" s="26"/>
      <c r="NWB77" s="22"/>
      <c r="NWC77" s="167"/>
      <c r="NWD77" s="30"/>
      <c r="NWE77" s="25"/>
      <c r="NWF77" s="178"/>
      <c r="NWG77" s="26"/>
      <c r="NWH77" s="26"/>
      <c r="NWI77" s="26"/>
      <c r="NWJ77" s="26"/>
      <c r="NWK77" s="26"/>
      <c r="NWL77" s="26"/>
      <c r="NWM77" s="58"/>
      <c r="NWN77" s="26"/>
      <c r="NWO77" s="26"/>
      <c r="NWP77" s="26"/>
      <c r="NWQ77" s="26"/>
      <c r="NWR77" s="22"/>
      <c r="NWS77" s="167"/>
      <c r="NWT77" s="30"/>
      <c r="NWU77" s="25"/>
      <c r="NWV77" s="178"/>
      <c r="NWW77" s="26"/>
      <c r="NWX77" s="26"/>
      <c r="NWY77" s="26"/>
      <c r="NWZ77" s="26"/>
      <c r="NXA77" s="26"/>
      <c r="NXB77" s="26"/>
      <c r="NXC77" s="58"/>
      <c r="NXD77" s="26"/>
      <c r="NXE77" s="26"/>
      <c r="NXF77" s="26"/>
      <c r="NXG77" s="26"/>
      <c r="NXH77" s="22"/>
      <c r="NXI77" s="167"/>
      <c r="NXJ77" s="30"/>
      <c r="NXK77" s="25"/>
      <c r="NXL77" s="178"/>
      <c r="NXM77" s="26"/>
      <c r="NXN77" s="26"/>
      <c r="NXO77" s="26"/>
      <c r="NXP77" s="26"/>
      <c r="NXQ77" s="26"/>
      <c r="NXR77" s="26"/>
      <c r="NXS77" s="58"/>
      <c r="NXT77" s="26"/>
      <c r="NXU77" s="26"/>
      <c r="NXV77" s="26"/>
      <c r="NXW77" s="26"/>
      <c r="NXX77" s="22"/>
      <c r="NXY77" s="167"/>
      <c r="NXZ77" s="30"/>
      <c r="NYA77" s="25"/>
      <c r="NYB77" s="178"/>
      <c r="NYC77" s="26"/>
      <c r="NYD77" s="26"/>
      <c r="NYE77" s="26"/>
      <c r="NYF77" s="26"/>
      <c r="NYG77" s="26"/>
      <c r="NYH77" s="26"/>
      <c r="NYI77" s="58"/>
      <c r="NYJ77" s="26"/>
      <c r="NYK77" s="26"/>
      <c r="NYL77" s="26"/>
      <c r="NYM77" s="26"/>
      <c r="NYN77" s="22"/>
      <c r="NYO77" s="167"/>
      <c r="NYP77" s="30"/>
      <c r="NYQ77" s="25"/>
      <c r="NYR77" s="178"/>
      <c r="NYS77" s="26"/>
      <c r="NYT77" s="26"/>
      <c r="NYU77" s="26"/>
      <c r="NYV77" s="26"/>
      <c r="NYW77" s="26"/>
      <c r="NYX77" s="26"/>
      <c r="NYY77" s="58"/>
      <c r="NYZ77" s="26"/>
      <c r="NZA77" s="26"/>
      <c r="NZB77" s="26"/>
      <c r="NZC77" s="26"/>
      <c r="NZD77" s="22"/>
      <c r="NZE77" s="167"/>
      <c r="NZF77" s="30"/>
      <c r="NZG77" s="25"/>
      <c r="NZH77" s="178"/>
      <c r="NZI77" s="26"/>
      <c r="NZJ77" s="26"/>
      <c r="NZK77" s="26"/>
      <c r="NZL77" s="26"/>
      <c r="NZM77" s="26"/>
      <c r="NZN77" s="26"/>
      <c r="NZO77" s="58"/>
      <c r="NZP77" s="26"/>
      <c r="NZQ77" s="26"/>
      <c r="NZR77" s="26"/>
      <c r="NZS77" s="26"/>
      <c r="NZT77" s="22"/>
      <c r="NZU77" s="167"/>
      <c r="NZV77" s="30"/>
      <c r="NZW77" s="25"/>
      <c r="NZX77" s="178"/>
      <c r="NZY77" s="26"/>
      <c r="NZZ77" s="26"/>
      <c r="OAA77" s="26"/>
      <c r="OAB77" s="26"/>
      <c r="OAC77" s="26"/>
      <c r="OAD77" s="26"/>
      <c r="OAE77" s="58"/>
      <c r="OAF77" s="26"/>
      <c r="OAG77" s="26"/>
      <c r="OAH77" s="26"/>
      <c r="OAI77" s="26"/>
      <c r="OAJ77" s="22"/>
      <c r="OAK77" s="167"/>
      <c r="OAL77" s="30"/>
      <c r="OAM77" s="25"/>
      <c r="OAN77" s="178"/>
      <c r="OAO77" s="26"/>
      <c r="OAP77" s="26"/>
      <c r="OAQ77" s="26"/>
      <c r="OAR77" s="26"/>
      <c r="OAS77" s="26"/>
      <c r="OAT77" s="26"/>
      <c r="OAU77" s="58"/>
      <c r="OAV77" s="26"/>
      <c r="OAW77" s="26"/>
      <c r="OAX77" s="26"/>
      <c r="OAY77" s="26"/>
      <c r="OAZ77" s="22"/>
      <c r="OBA77" s="167"/>
      <c r="OBB77" s="30"/>
      <c r="OBC77" s="25"/>
      <c r="OBD77" s="178"/>
      <c r="OBE77" s="26"/>
      <c r="OBF77" s="26"/>
      <c r="OBG77" s="26"/>
      <c r="OBH77" s="26"/>
      <c r="OBI77" s="26"/>
      <c r="OBJ77" s="26"/>
      <c r="OBK77" s="58"/>
      <c r="OBL77" s="26"/>
      <c r="OBM77" s="26"/>
      <c r="OBN77" s="26"/>
      <c r="OBO77" s="26"/>
      <c r="OBP77" s="22"/>
      <c r="OBQ77" s="167"/>
      <c r="OBR77" s="30"/>
      <c r="OBS77" s="25"/>
      <c r="OBT77" s="178"/>
      <c r="OBU77" s="26"/>
      <c r="OBV77" s="26"/>
      <c r="OBW77" s="26"/>
      <c r="OBX77" s="26"/>
      <c r="OBY77" s="26"/>
      <c r="OBZ77" s="26"/>
      <c r="OCA77" s="58"/>
      <c r="OCB77" s="26"/>
      <c r="OCC77" s="26"/>
      <c r="OCD77" s="26"/>
      <c r="OCE77" s="26"/>
      <c r="OCF77" s="22"/>
      <c r="OCG77" s="167"/>
      <c r="OCH77" s="30"/>
      <c r="OCI77" s="25"/>
      <c r="OCJ77" s="178"/>
      <c r="OCK77" s="26"/>
      <c r="OCL77" s="26"/>
      <c r="OCM77" s="26"/>
      <c r="OCN77" s="26"/>
      <c r="OCO77" s="26"/>
      <c r="OCP77" s="26"/>
      <c r="OCQ77" s="58"/>
      <c r="OCR77" s="26"/>
      <c r="OCS77" s="26"/>
      <c r="OCT77" s="26"/>
      <c r="OCU77" s="26"/>
      <c r="OCV77" s="22"/>
      <c r="OCW77" s="167"/>
      <c r="OCX77" s="30"/>
      <c r="OCY77" s="25"/>
      <c r="OCZ77" s="178"/>
      <c r="ODA77" s="26"/>
      <c r="ODB77" s="26"/>
      <c r="ODC77" s="26"/>
      <c r="ODD77" s="26"/>
      <c r="ODE77" s="26"/>
      <c r="ODF77" s="26"/>
      <c r="ODG77" s="58"/>
      <c r="ODH77" s="26"/>
      <c r="ODI77" s="26"/>
      <c r="ODJ77" s="26"/>
      <c r="ODK77" s="26"/>
      <c r="ODL77" s="22"/>
      <c r="ODM77" s="167"/>
      <c r="ODN77" s="30"/>
      <c r="ODO77" s="25"/>
      <c r="ODP77" s="178"/>
      <c r="ODQ77" s="26"/>
      <c r="ODR77" s="26"/>
      <c r="ODS77" s="26"/>
      <c r="ODT77" s="26"/>
      <c r="ODU77" s="26"/>
      <c r="ODV77" s="26"/>
      <c r="ODW77" s="58"/>
      <c r="ODX77" s="26"/>
      <c r="ODY77" s="26"/>
      <c r="ODZ77" s="26"/>
      <c r="OEA77" s="26"/>
      <c r="OEB77" s="22"/>
      <c r="OEC77" s="167"/>
      <c r="OED77" s="30"/>
      <c r="OEE77" s="25"/>
      <c r="OEF77" s="178"/>
      <c r="OEG77" s="26"/>
      <c r="OEH77" s="26"/>
      <c r="OEI77" s="26"/>
      <c r="OEJ77" s="26"/>
      <c r="OEK77" s="26"/>
      <c r="OEL77" s="26"/>
      <c r="OEM77" s="58"/>
      <c r="OEN77" s="26"/>
      <c r="OEO77" s="26"/>
      <c r="OEP77" s="26"/>
      <c r="OEQ77" s="26"/>
      <c r="OER77" s="22"/>
      <c r="OES77" s="167"/>
      <c r="OET77" s="30"/>
      <c r="OEU77" s="25"/>
      <c r="OEV77" s="178"/>
      <c r="OEW77" s="26"/>
      <c r="OEX77" s="26"/>
      <c r="OEY77" s="26"/>
      <c r="OEZ77" s="26"/>
      <c r="OFA77" s="26"/>
      <c r="OFB77" s="26"/>
      <c r="OFC77" s="58"/>
      <c r="OFD77" s="26"/>
      <c r="OFE77" s="26"/>
      <c r="OFF77" s="26"/>
      <c r="OFG77" s="26"/>
      <c r="OFH77" s="22"/>
      <c r="OFI77" s="167"/>
      <c r="OFJ77" s="30"/>
      <c r="OFK77" s="25"/>
      <c r="OFL77" s="178"/>
      <c r="OFM77" s="26"/>
      <c r="OFN77" s="26"/>
      <c r="OFO77" s="26"/>
      <c r="OFP77" s="26"/>
      <c r="OFQ77" s="26"/>
      <c r="OFR77" s="26"/>
      <c r="OFS77" s="58"/>
      <c r="OFT77" s="26"/>
      <c r="OFU77" s="26"/>
      <c r="OFV77" s="26"/>
      <c r="OFW77" s="26"/>
      <c r="OFX77" s="22"/>
      <c r="OFY77" s="167"/>
      <c r="OFZ77" s="30"/>
      <c r="OGA77" s="25"/>
      <c r="OGB77" s="178"/>
      <c r="OGC77" s="26"/>
      <c r="OGD77" s="26"/>
      <c r="OGE77" s="26"/>
      <c r="OGF77" s="26"/>
      <c r="OGG77" s="26"/>
      <c r="OGH77" s="26"/>
      <c r="OGI77" s="58"/>
      <c r="OGJ77" s="26"/>
      <c r="OGK77" s="26"/>
      <c r="OGL77" s="26"/>
      <c r="OGM77" s="26"/>
      <c r="OGN77" s="22"/>
      <c r="OGO77" s="167"/>
      <c r="OGP77" s="30"/>
      <c r="OGQ77" s="25"/>
      <c r="OGR77" s="178"/>
      <c r="OGS77" s="26"/>
      <c r="OGT77" s="26"/>
      <c r="OGU77" s="26"/>
      <c r="OGV77" s="26"/>
      <c r="OGW77" s="26"/>
      <c r="OGX77" s="26"/>
      <c r="OGY77" s="58"/>
      <c r="OGZ77" s="26"/>
      <c r="OHA77" s="26"/>
      <c r="OHB77" s="26"/>
      <c r="OHC77" s="26"/>
      <c r="OHD77" s="22"/>
      <c r="OHE77" s="167"/>
      <c r="OHF77" s="30"/>
      <c r="OHG77" s="25"/>
      <c r="OHH77" s="178"/>
      <c r="OHI77" s="26"/>
      <c r="OHJ77" s="26"/>
      <c r="OHK77" s="26"/>
      <c r="OHL77" s="26"/>
      <c r="OHM77" s="26"/>
      <c r="OHN77" s="26"/>
      <c r="OHO77" s="58"/>
      <c r="OHP77" s="26"/>
      <c r="OHQ77" s="26"/>
      <c r="OHR77" s="26"/>
      <c r="OHS77" s="26"/>
      <c r="OHT77" s="22"/>
      <c r="OHU77" s="167"/>
      <c r="OHV77" s="30"/>
      <c r="OHW77" s="25"/>
      <c r="OHX77" s="178"/>
      <c r="OHY77" s="26"/>
      <c r="OHZ77" s="26"/>
      <c r="OIA77" s="26"/>
      <c r="OIB77" s="26"/>
      <c r="OIC77" s="26"/>
      <c r="OID77" s="26"/>
      <c r="OIE77" s="58"/>
      <c r="OIF77" s="26"/>
      <c r="OIG77" s="26"/>
      <c r="OIH77" s="26"/>
      <c r="OII77" s="26"/>
      <c r="OIJ77" s="22"/>
      <c r="OIK77" s="167"/>
      <c r="OIL77" s="30"/>
      <c r="OIM77" s="25"/>
      <c r="OIN77" s="178"/>
      <c r="OIO77" s="26"/>
      <c r="OIP77" s="26"/>
      <c r="OIQ77" s="26"/>
      <c r="OIR77" s="26"/>
      <c r="OIS77" s="26"/>
      <c r="OIT77" s="26"/>
      <c r="OIU77" s="58"/>
      <c r="OIV77" s="26"/>
      <c r="OIW77" s="26"/>
      <c r="OIX77" s="26"/>
      <c r="OIY77" s="26"/>
      <c r="OIZ77" s="22"/>
      <c r="OJA77" s="167"/>
      <c r="OJB77" s="30"/>
      <c r="OJC77" s="25"/>
      <c r="OJD77" s="178"/>
      <c r="OJE77" s="26"/>
      <c r="OJF77" s="26"/>
      <c r="OJG77" s="26"/>
      <c r="OJH77" s="26"/>
      <c r="OJI77" s="26"/>
      <c r="OJJ77" s="26"/>
      <c r="OJK77" s="58"/>
      <c r="OJL77" s="26"/>
      <c r="OJM77" s="26"/>
      <c r="OJN77" s="26"/>
      <c r="OJO77" s="26"/>
      <c r="OJP77" s="22"/>
      <c r="OJQ77" s="167"/>
      <c r="OJR77" s="30"/>
      <c r="OJS77" s="25"/>
      <c r="OJT77" s="178"/>
      <c r="OJU77" s="26"/>
      <c r="OJV77" s="26"/>
      <c r="OJW77" s="26"/>
      <c r="OJX77" s="26"/>
      <c r="OJY77" s="26"/>
      <c r="OJZ77" s="26"/>
      <c r="OKA77" s="58"/>
      <c r="OKB77" s="26"/>
      <c r="OKC77" s="26"/>
      <c r="OKD77" s="26"/>
      <c r="OKE77" s="26"/>
      <c r="OKF77" s="22"/>
      <c r="OKG77" s="167"/>
      <c r="OKH77" s="30"/>
      <c r="OKI77" s="25"/>
      <c r="OKJ77" s="178"/>
      <c r="OKK77" s="26"/>
      <c r="OKL77" s="26"/>
      <c r="OKM77" s="26"/>
      <c r="OKN77" s="26"/>
      <c r="OKO77" s="26"/>
      <c r="OKP77" s="26"/>
      <c r="OKQ77" s="58"/>
      <c r="OKR77" s="26"/>
      <c r="OKS77" s="26"/>
      <c r="OKT77" s="26"/>
      <c r="OKU77" s="26"/>
      <c r="OKV77" s="22"/>
      <c r="OKW77" s="167"/>
      <c r="OKX77" s="30"/>
      <c r="OKY77" s="25"/>
      <c r="OKZ77" s="178"/>
      <c r="OLA77" s="26"/>
      <c r="OLB77" s="26"/>
      <c r="OLC77" s="26"/>
      <c r="OLD77" s="26"/>
      <c r="OLE77" s="26"/>
      <c r="OLF77" s="26"/>
      <c r="OLG77" s="58"/>
      <c r="OLH77" s="26"/>
      <c r="OLI77" s="26"/>
      <c r="OLJ77" s="26"/>
      <c r="OLK77" s="26"/>
      <c r="OLL77" s="22"/>
      <c r="OLM77" s="167"/>
      <c r="OLN77" s="30"/>
      <c r="OLO77" s="25"/>
      <c r="OLP77" s="178"/>
      <c r="OLQ77" s="26"/>
      <c r="OLR77" s="26"/>
      <c r="OLS77" s="26"/>
      <c r="OLT77" s="26"/>
      <c r="OLU77" s="26"/>
      <c r="OLV77" s="26"/>
      <c r="OLW77" s="58"/>
      <c r="OLX77" s="26"/>
      <c r="OLY77" s="26"/>
      <c r="OLZ77" s="26"/>
      <c r="OMA77" s="26"/>
      <c r="OMB77" s="22"/>
      <c r="OMC77" s="167"/>
      <c r="OMD77" s="30"/>
      <c r="OME77" s="25"/>
      <c r="OMF77" s="178"/>
      <c r="OMG77" s="26"/>
      <c r="OMH77" s="26"/>
      <c r="OMI77" s="26"/>
      <c r="OMJ77" s="26"/>
      <c r="OMK77" s="26"/>
      <c r="OML77" s="26"/>
      <c r="OMM77" s="58"/>
      <c r="OMN77" s="26"/>
      <c r="OMO77" s="26"/>
      <c r="OMP77" s="26"/>
      <c r="OMQ77" s="26"/>
      <c r="OMR77" s="22"/>
      <c r="OMS77" s="167"/>
      <c r="OMT77" s="30"/>
      <c r="OMU77" s="25"/>
      <c r="OMV77" s="178"/>
      <c r="OMW77" s="26"/>
      <c r="OMX77" s="26"/>
      <c r="OMY77" s="26"/>
      <c r="OMZ77" s="26"/>
      <c r="ONA77" s="26"/>
      <c r="ONB77" s="26"/>
      <c r="ONC77" s="58"/>
      <c r="OND77" s="26"/>
      <c r="ONE77" s="26"/>
      <c r="ONF77" s="26"/>
      <c r="ONG77" s="26"/>
      <c r="ONH77" s="22"/>
      <c r="ONI77" s="167"/>
      <c r="ONJ77" s="30"/>
      <c r="ONK77" s="25"/>
      <c r="ONL77" s="178"/>
      <c r="ONM77" s="26"/>
      <c r="ONN77" s="26"/>
      <c r="ONO77" s="26"/>
      <c r="ONP77" s="26"/>
      <c r="ONQ77" s="26"/>
      <c r="ONR77" s="26"/>
      <c r="ONS77" s="58"/>
      <c r="ONT77" s="26"/>
      <c r="ONU77" s="26"/>
      <c r="ONV77" s="26"/>
      <c r="ONW77" s="26"/>
      <c r="ONX77" s="22"/>
      <c r="ONY77" s="167"/>
      <c r="ONZ77" s="30"/>
      <c r="OOA77" s="25"/>
      <c r="OOB77" s="178"/>
      <c r="OOC77" s="26"/>
      <c r="OOD77" s="26"/>
      <c r="OOE77" s="26"/>
      <c r="OOF77" s="26"/>
      <c r="OOG77" s="26"/>
      <c r="OOH77" s="26"/>
      <c r="OOI77" s="58"/>
      <c r="OOJ77" s="26"/>
      <c r="OOK77" s="26"/>
      <c r="OOL77" s="26"/>
      <c r="OOM77" s="26"/>
      <c r="OON77" s="22"/>
      <c r="OOO77" s="167"/>
      <c r="OOP77" s="30"/>
      <c r="OOQ77" s="25"/>
      <c r="OOR77" s="178"/>
      <c r="OOS77" s="26"/>
      <c r="OOT77" s="26"/>
      <c r="OOU77" s="26"/>
      <c r="OOV77" s="26"/>
      <c r="OOW77" s="26"/>
      <c r="OOX77" s="26"/>
      <c r="OOY77" s="58"/>
      <c r="OOZ77" s="26"/>
      <c r="OPA77" s="26"/>
      <c r="OPB77" s="26"/>
      <c r="OPC77" s="26"/>
      <c r="OPD77" s="22"/>
      <c r="OPE77" s="167"/>
      <c r="OPF77" s="30"/>
      <c r="OPG77" s="25"/>
      <c r="OPH77" s="178"/>
      <c r="OPI77" s="26"/>
      <c r="OPJ77" s="26"/>
      <c r="OPK77" s="26"/>
      <c r="OPL77" s="26"/>
      <c r="OPM77" s="26"/>
      <c r="OPN77" s="26"/>
      <c r="OPO77" s="58"/>
      <c r="OPP77" s="26"/>
      <c r="OPQ77" s="26"/>
      <c r="OPR77" s="26"/>
      <c r="OPS77" s="26"/>
      <c r="OPT77" s="22"/>
      <c r="OPU77" s="167"/>
      <c r="OPV77" s="30"/>
      <c r="OPW77" s="25"/>
      <c r="OPX77" s="178"/>
      <c r="OPY77" s="26"/>
      <c r="OPZ77" s="26"/>
      <c r="OQA77" s="26"/>
      <c r="OQB77" s="26"/>
      <c r="OQC77" s="26"/>
      <c r="OQD77" s="26"/>
      <c r="OQE77" s="58"/>
      <c r="OQF77" s="26"/>
      <c r="OQG77" s="26"/>
      <c r="OQH77" s="26"/>
      <c r="OQI77" s="26"/>
      <c r="OQJ77" s="22"/>
      <c r="OQK77" s="167"/>
      <c r="OQL77" s="30"/>
      <c r="OQM77" s="25"/>
      <c r="OQN77" s="178"/>
      <c r="OQO77" s="26"/>
      <c r="OQP77" s="26"/>
      <c r="OQQ77" s="26"/>
      <c r="OQR77" s="26"/>
      <c r="OQS77" s="26"/>
      <c r="OQT77" s="26"/>
      <c r="OQU77" s="58"/>
      <c r="OQV77" s="26"/>
      <c r="OQW77" s="26"/>
      <c r="OQX77" s="26"/>
      <c r="OQY77" s="26"/>
      <c r="OQZ77" s="22"/>
      <c r="ORA77" s="167"/>
      <c r="ORB77" s="30"/>
      <c r="ORC77" s="25"/>
      <c r="ORD77" s="178"/>
      <c r="ORE77" s="26"/>
      <c r="ORF77" s="26"/>
      <c r="ORG77" s="26"/>
      <c r="ORH77" s="26"/>
      <c r="ORI77" s="26"/>
      <c r="ORJ77" s="26"/>
      <c r="ORK77" s="58"/>
      <c r="ORL77" s="26"/>
      <c r="ORM77" s="26"/>
      <c r="ORN77" s="26"/>
      <c r="ORO77" s="26"/>
      <c r="ORP77" s="22"/>
      <c r="ORQ77" s="167"/>
      <c r="ORR77" s="30"/>
      <c r="ORS77" s="25"/>
      <c r="ORT77" s="178"/>
      <c r="ORU77" s="26"/>
      <c r="ORV77" s="26"/>
      <c r="ORW77" s="26"/>
      <c r="ORX77" s="26"/>
      <c r="ORY77" s="26"/>
      <c r="ORZ77" s="26"/>
      <c r="OSA77" s="58"/>
      <c r="OSB77" s="26"/>
      <c r="OSC77" s="26"/>
      <c r="OSD77" s="26"/>
      <c r="OSE77" s="26"/>
      <c r="OSF77" s="22"/>
      <c r="OSG77" s="167"/>
      <c r="OSH77" s="30"/>
      <c r="OSI77" s="25"/>
      <c r="OSJ77" s="178"/>
      <c r="OSK77" s="26"/>
      <c r="OSL77" s="26"/>
      <c r="OSM77" s="26"/>
      <c r="OSN77" s="26"/>
      <c r="OSO77" s="26"/>
      <c r="OSP77" s="26"/>
      <c r="OSQ77" s="58"/>
      <c r="OSR77" s="26"/>
      <c r="OSS77" s="26"/>
      <c r="OST77" s="26"/>
      <c r="OSU77" s="26"/>
      <c r="OSV77" s="22"/>
      <c r="OSW77" s="167"/>
      <c r="OSX77" s="30"/>
      <c r="OSY77" s="25"/>
      <c r="OSZ77" s="178"/>
      <c r="OTA77" s="26"/>
      <c r="OTB77" s="26"/>
      <c r="OTC77" s="26"/>
      <c r="OTD77" s="26"/>
      <c r="OTE77" s="26"/>
      <c r="OTF77" s="26"/>
      <c r="OTG77" s="58"/>
      <c r="OTH77" s="26"/>
      <c r="OTI77" s="26"/>
      <c r="OTJ77" s="26"/>
      <c r="OTK77" s="26"/>
      <c r="OTL77" s="22"/>
      <c r="OTM77" s="167"/>
      <c r="OTN77" s="30"/>
      <c r="OTO77" s="25"/>
      <c r="OTP77" s="178"/>
      <c r="OTQ77" s="26"/>
      <c r="OTR77" s="26"/>
      <c r="OTS77" s="26"/>
      <c r="OTT77" s="26"/>
      <c r="OTU77" s="26"/>
      <c r="OTV77" s="26"/>
      <c r="OTW77" s="58"/>
      <c r="OTX77" s="26"/>
      <c r="OTY77" s="26"/>
      <c r="OTZ77" s="26"/>
      <c r="OUA77" s="26"/>
      <c r="OUB77" s="22"/>
      <c r="OUC77" s="167"/>
      <c r="OUD77" s="30"/>
      <c r="OUE77" s="25"/>
      <c r="OUF77" s="178"/>
      <c r="OUG77" s="26"/>
      <c r="OUH77" s="26"/>
      <c r="OUI77" s="26"/>
      <c r="OUJ77" s="26"/>
      <c r="OUK77" s="26"/>
      <c r="OUL77" s="26"/>
      <c r="OUM77" s="58"/>
      <c r="OUN77" s="26"/>
      <c r="OUO77" s="26"/>
      <c r="OUP77" s="26"/>
      <c r="OUQ77" s="26"/>
      <c r="OUR77" s="22"/>
      <c r="OUS77" s="167"/>
      <c r="OUT77" s="30"/>
      <c r="OUU77" s="25"/>
      <c r="OUV77" s="178"/>
      <c r="OUW77" s="26"/>
      <c r="OUX77" s="26"/>
      <c r="OUY77" s="26"/>
      <c r="OUZ77" s="26"/>
      <c r="OVA77" s="26"/>
      <c r="OVB77" s="26"/>
      <c r="OVC77" s="58"/>
      <c r="OVD77" s="26"/>
      <c r="OVE77" s="26"/>
      <c r="OVF77" s="26"/>
      <c r="OVG77" s="26"/>
      <c r="OVH77" s="22"/>
      <c r="OVI77" s="167"/>
      <c r="OVJ77" s="30"/>
      <c r="OVK77" s="25"/>
      <c r="OVL77" s="178"/>
      <c r="OVM77" s="26"/>
      <c r="OVN77" s="26"/>
      <c r="OVO77" s="26"/>
      <c r="OVP77" s="26"/>
      <c r="OVQ77" s="26"/>
      <c r="OVR77" s="26"/>
      <c r="OVS77" s="58"/>
      <c r="OVT77" s="26"/>
      <c r="OVU77" s="26"/>
      <c r="OVV77" s="26"/>
      <c r="OVW77" s="26"/>
      <c r="OVX77" s="22"/>
      <c r="OVY77" s="167"/>
      <c r="OVZ77" s="30"/>
      <c r="OWA77" s="25"/>
      <c r="OWB77" s="178"/>
      <c r="OWC77" s="26"/>
      <c r="OWD77" s="26"/>
      <c r="OWE77" s="26"/>
      <c r="OWF77" s="26"/>
      <c r="OWG77" s="26"/>
      <c r="OWH77" s="26"/>
      <c r="OWI77" s="58"/>
      <c r="OWJ77" s="26"/>
      <c r="OWK77" s="26"/>
      <c r="OWL77" s="26"/>
      <c r="OWM77" s="26"/>
      <c r="OWN77" s="22"/>
      <c r="OWO77" s="167"/>
      <c r="OWP77" s="30"/>
      <c r="OWQ77" s="25"/>
      <c r="OWR77" s="178"/>
      <c r="OWS77" s="26"/>
      <c r="OWT77" s="26"/>
      <c r="OWU77" s="26"/>
      <c r="OWV77" s="26"/>
      <c r="OWW77" s="26"/>
      <c r="OWX77" s="26"/>
      <c r="OWY77" s="58"/>
      <c r="OWZ77" s="26"/>
      <c r="OXA77" s="26"/>
      <c r="OXB77" s="26"/>
      <c r="OXC77" s="26"/>
      <c r="OXD77" s="22"/>
      <c r="OXE77" s="167"/>
      <c r="OXF77" s="30"/>
      <c r="OXG77" s="25"/>
      <c r="OXH77" s="178"/>
      <c r="OXI77" s="26"/>
      <c r="OXJ77" s="26"/>
      <c r="OXK77" s="26"/>
      <c r="OXL77" s="26"/>
      <c r="OXM77" s="26"/>
      <c r="OXN77" s="26"/>
      <c r="OXO77" s="58"/>
      <c r="OXP77" s="26"/>
      <c r="OXQ77" s="26"/>
      <c r="OXR77" s="26"/>
      <c r="OXS77" s="26"/>
      <c r="OXT77" s="22"/>
      <c r="OXU77" s="167"/>
      <c r="OXV77" s="30"/>
      <c r="OXW77" s="25"/>
      <c r="OXX77" s="178"/>
      <c r="OXY77" s="26"/>
      <c r="OXZ77" s="26"/>
      <c r="OYA77" s="26"/>
      <c r="OYB77" s="26"/>
      <c r="OYC77" s="26"/>
      <c r="OYD77" s="26"/>
      <c r="OYE77" s="58"/>
      <c r="OYF77" s="26"/>
      <c r="OYG77" s="26"/>
      <c r="OYH77" s="26"/>
      <c r="OYI77" s="26"/>
      <c r="OYJ77" s="22"/>
      <c r="OYK77" s="167"/>
      <c r="OYL77" s="30"/>
      <c r="OYM77" s="25"/>
      <c r="OYN77" s="178"/>
      <c r="OYO77" s="26"/>
      <c r="OYP77" s="26"/>
      <c r="OYQ77" s="26"/>
      <c r="OYR77" s="26"/>
      <c r="OYS77" s="26"/>
      <c r="OYT77" s="26"/>
      <c r="OYU77" s="58"/>
      <c r="OYV77" s="26"/>
      <c r="OYW77" s="26"/>
      <c r="OYX77" s="26"/>
      <c r="OYY77" s="26"/>
      <c r="OYZ77" s="22"/>
      <c r="OZA77" s="167"/>
      <c r="OZB77" s="30"/>
      <c r="OZC77" s="25"/>
      <c r="OZD77" s="178"/>
      <c r="OZE77" s="26"/>
      <c r="OZF77" s="26"/>
      <c r="OZG77" s="26"/>
      <c r="OZH77" s="26"/>
      <c r="OZI77" s="26"/>
      <c r="OZJ77" s="26"/>
      <c r="OZK77" s="58"/>
      <c r="OZL77" s="26"/>
      <c r="OZM77" s="26"/>
      <c r="OZN77" s="26"/>
      <c r="OZO77" s="26"/>
      <c r="OZP77" s="22"/>
      <c r="OZQ77" s="167"/>
      <c r="OZR77" s="30"/>
      <c r="OZS77" s="25"/>
      <c r="OZT77" s="178"/>
      <c r="OZU77" s="26"/>
      <c r="OZV77" s="26"/>
      <c r="OZW77" s="26"/>
      <c r="OZX77" s="26"/>
      <c r="OZY77" s="26"/>
      <c r="OZZ77" s="26"/>
      <c r="PAA77" s="58"/>
      <c r="PAB77" s="26"/>
      <c r="PAC77" s="26"/>
      <c r="PAD77" s="26"/>
      <c r="PAE77" s="26"/>
      <c r="PAF77" s="22"/>
      <c r="PAG77" s="167"/>
      <c r="PAH77" s="30"/>
      <c r="PAI77" s="25"/>
      <c r="PAJ77" s="178"/>
      <c r="PAK77" s="26"/>
      <c r="PAL77" s="26"/>
      <c r="PAM77" s="26"/>
      <c r="PAN77" s="26"/>
      <c r="PAO77" s="26"/>
      <c r="PAP77" s="26"/>
      <c r="PAQ77" s="58"/>
      <c r="PAR77" s="26"/>
      <c r="PAS77" s="26"/>
      <c r="PAT77" s="26"/>
      <c r="PAU77" s="26"/>
      <c r="PAV77" s="22"/>
      <c r="PAW77" s="167"/>
      <c r="PAX77" s="30"/>
      <c r="PAY77" s="25"/>
      <c r="PAZ77" s="178"/>
      <c r="PBA77" s="26"/>
      <c r="PBB77" s="26"/>
      <c r="PBC77" s="26"/>
      <c r="PBD77" s="26"/>
      <c r="PBE77" s="26"/>
      <c r="PBF77" s="26"/>
      <c r="PBG77" s="58"/>
      <c r="PBH77" s="26"/>
      <c r="PBI77" s="26"/>
      <c r="PBJ77" s="26"/>
      <c r="PBK77" s="26"/>
      <c r="PBL77" s="22"/>
      <c r="PBM77" s="167"/>
      <c r="PBN77" s="30"/>
      <c r="PBO77" s="25"/>
      <c r="PBP77" s="178"/>
      <c r="PBQ77" s="26"/>
      <c r="PBR77" s="26"/>
      <c r="PBS77" s="26"/>
      <c r="PBT77" s="26"/>
      <c r="PBU77" s="26"/>
      <c r="PBV77" s="26"/>
      <c r="PBW77" s="58"/>
      <c r="PBX77" s="26"/>
      <c r="PBY77" s="26"/>
      <c r="PBZ77" s="26"/>
      <c r="PCA77" s="26"/>
      <c r="PCB77" s="22"/>
      <c r="PCC77" s="167"/>
      <c r="PCD77" s="30"/>
      <c r="PCE77" s="25"/>
      <c r="PCF77" s="178"/>
      <c r="PCG77" s="26"/>
      <c r="PCH77" s="26"/>
      <c r="PCI77" s="26"/>
      <c r="PCJ77" s="26"/>
      <c r="PCK77" s="26"/>
      <c r="PCL77" s="26"/>
      <c r="PCM77" s="58"/>
      <c r="PCN77" s="26"/>
      <c r="PCO77" s="26"/>
      <c r="PCP77" s="26"/>
      <c r="PCQ77" s="26"/>
      <c r="PCR77" s="22"/>
      <c r="PCS77" s="167"/>
      <c r="PCT77" s="30"/>
      <c r="PCU77" s="25"/>
      <c r="PCV77" s="178"/>
      <c r="PCW77" s="26"/>
      <c r="PCX77" s="26"/>
      <c r="PCY77" s="26"/>
      <c r="PCZ77" s="26"/>
      <c r="PDA77" s="26"/>
      <c r="PDB77" s="26"/>
      <c r="PDC77" s="58"/>
      <c r="PDD77" s="26"/>
      <c r="PDE77" s="26"/>
      <c r="PDF77" s="26"/>
      <c r="PDG77" s="26"/>
      <c r="PDH77" s="22"/>
      <c r="PDI77" s="167"/>
      <c r="PDJ77" s="30"/>
      <c r="PDK77" s="25"/>
      <c r="PDL77" s="178"/>
      <c r="PDM77" s="26"/>
      <c r="PDN77" s="26"/>
      <c r="PDO77" s="26"/>
      <c r="PDP77" s="26"/>
      <c r="PDQ77" s="26"/>
      <c r="PDR77" s="26"/>
      <c r="PDS77" s="58"/>
      <c r="PDT77" s="26"/>
      <c r="PDU77" s="26"/>
      <c r="PDV77" s="26"/>
      <c r="PDW77" s="26"/>
      <c r="PDX77" s="22"/>
      <c r="PDY77" s="167"/>
      <c r="PDZ77" s="30"/>
      <c r="PEA77" s="25"/>
      <c r="PEB77" s="178"/>
      <c r="PEC77" s="26"/>
      <c r="PED77" s="26"/>
      <c r="PEE77" s="26"/>
      <c r="PEF77" s="26"/>
      <c r="PEG77" s="26"/>
      <c r="PEH77" s="26"/>
      <c r="PEI77" s="58"/>
      <c r="PEJ77" s="26"/>
      <c r="PEK77" s="26"/>
      <c r="PEL77" s="26"/>
      <c r="PEM77" s="26"/>
      <c r="PEN77" s="22"/>
      <c r="PEO77" s="167"/>
      <c r="PEP77" s="30"/>
      <c r="PEQ77" s="25"/>
      <c r="PER77" s="178"/>
      <c r="PES77" s="26"/>
      <c r="PET77" s="26"/>
      <c r="PEU77" s="26"/>
      <c r="PEV77" s="26"/>
      <c r="PEW77" s="26"/>
      <c r="PEX77" s="26"/>
      <c r="PEY77" s="58"/>
      <c r="PEZ77" s="26"/>
      <c r="PFA77" s="26"/>
      <c r="PFB77" s="26"/>
      <c r="PFC77" s="26"/>
      <c r="PFD77" s="22"/>
      <c r="PFE77" s="167"/>
      <c r="PFF77" s="30"/>
      <c r="PFG77" s="25"/>
      <c r="PFH77" s="178"/>
      <c r="PFI77" s="26"/>
      <c r="PFJ77" s="26"/>
      <c r="PFK77" s="26"/>
      <c r="PFL77" s="26"/>
      <c r="PFM77" s="26"/>
      <c r="PFN77" s="26"/>
      <c r="PFO77" s="58"/>
      <c r="PFP77" s="26"/>
      <c r="PFQ77" s="26"/>
      <c r="PFR77" s="26"/>
      <c r="PFS77" s="26"/>
      <c r="PFT77" s="22"/>
      <c r="PFU77" s="167"/>
      <c r="PFV77" s="30"/>
      <c r="PFW77" s="25"/>
      <c r="PFX77" s="178"/>
      <c r="PFY77" s="26"/>
      <c r="PFZ77" s="26"/>
      <c r="PGA77" s="26"/>
      <c r="PGB77" s="26"/>
      <c r="PGC77" s="26"/>
      <c r="PGD77" s="26"/>
      <c r="PGE77" s="58"/>
      <c r="PGF77" s="26"/>
      <c r="PGG77" s="26"/>
      <c r="PGH77" s="26"/>
      <c r="PGI77" s="26"/>
      <c r="PGJ77" s="22"/>
      <c r="PGK77" s="167"/>
      <c r="PGL77" s="30"/>
      <c r="PGM77" s="25"/>
      <c r="PGN77" s="178"/>
      <c r="PGO77" s="26"/>
      <c r="PGP77" s="26"/>
      <c r="PGQ77" s="26"/>
      <c r="PGR77" s="26"/>
      <c r="PGS77" s="26"/>
      <c r="PGT77" s="26"/>
      <c r="PGU77" s="58"/>
      <c r="PGV77" s="26"/>
      <c r="PGW77" s="26"/>
      <c r="PGX77" s="26"/>
      <c r="PGY77" s="26"/>
      <c r="PGZ77" s="22"/>
      <c r="PHA77" s="167"/>
      <c r="PHB77" s="30"/>
      <c r="PHC77" s="25"/>
      <c r="PHD77" s="178"/>
      <c r="PHE77" s="26"/>
      <c r="PHF77" s="26"/>
      <c r="PHG77" s="26"/>
      <c r="PHH77" s="26"/>
      <c r="PHI77" s="26"/>
      <c r="PHJ77" s="26"/>
      <c r="PHK77" s="58"/>
      <c r="PHL77" s="26"/>
      <c r="PHM77" s="26"/>
      <c r="PHN77" s="26"/>
      <c r="PHO77" s="26"/>
      <c r="PHP77" s="22"/>
      <c r="PHQ77" s="167"/>
      <c r="PHR77" s="30"/>
      <c r="PHS77" s="25"/>
      <c r="PHT77" s="178"/>
      <c r="PHU77" s="26"/>
      <c r="PHV77" s="26"/>
      <c r="PHW77" s="26"/>
      <c r="PHX77" s="26"/>
      <c r="PHY77" s="26"/>
      <c r="PHZ77" s="26"/>
      <c r="PIA77" s="58"/>
      <c r="PIB77" s="26"/>
      <c r="PIC77" s="26"/>
      <c r="PID77" s="26"/>
      <c r="PIE77" s="26"/>
      <c r="PIF77" s="22"/>
      <c r="PIG77" s="167"/>
      <c r="PIH77" s="30"/>
      <c r="PII77" s="25"/>
      <c r="PIJ77" s="178"/>
      <c r="PIK77" s="26"/>
      <c r="PIL77" s="26"/>
      <c r="PIM77" s="26"/>
      <c r="PIN77" s="26"/>
      <c r="PIO77" s="26"/>
      <c r="PIP77" s="26"/>
      <c r="PIQ77" s="58"/>
      <c r="PIR77" s="26"/>
      <c r="PIS77" s="26"/>
      <c r="PIT77" s="26"/>
      <c r="PIU77" s="26"/>
      <c r="PIV77" s="22"/>
      <c r="PIW77" s="167"/>
      <c r="PIX77" s="30"/>
      <c r="PIY77" s="25"/>
      <c r="PIZ77" s="178"/>
      <c r="PJA77" s="26"/>
      <c r="PJB77" s="26"/>
      <c r="PJC77" s="26"/>
      <c r="PJD77" s="26"/>
      <c r="PJE77" s="26"/>
      <c r="PJF77" s="26"/>
      <c r="PJG77" s="58"/>
      <c r="PJH77" s="26"/>
      <c r="PJI77" s="26"/>
      <c r="PJJ77" s="26"/>
      <c r="PJK77" s="26"/>
      <c r="PJL77" s="22"/>
      <c r="PJM77" s="167"/>
      <c r="PJN77" s="30"/>
      <c r="PJO77" s="25"/>
      <c r="PJP77" s="178"/>
      <c r="PJQ77" s="26"/>
      <c r="PJR77" s="26"/>
      <c r="PJS77" s="26"/>
      <c r="PJT77" s="26"/>
      <c r="PJU77" s="26"/>
      <c r="PJV77" s="26"/>
      <c r="PJW77" s="58"/>
      <c r="PJX77" s="26"/>
      <c r="PJY77" s="26"/>
      <c r="PJZ77" s="26"/>
      <c r="PKA77" s="26"/>
      <c r="PKB77" s="22"/>
      <c r="PKC77" s="167"/>
      <c r="PKD77" s="30"/>
      <c r="PKE77" s="25"/>
      <c r="PKF77" s="178"/>
      <c r="PKG77" s="26"/>
      <c r="PKH77" s="26"/>
      <c r="PKI77" s="26"/>
      <c r="PKJ77" s="26"/>
      <c r="PKK77" s="26"/>
      <c r="PKL77" s="26"/>
      <c r="PKM77" s="58"/>
      <c r="PKN77" s="26"/>
      <c r="PKO77" s="26"/>
      <c r="PKP77" s="26"/>
      <c r="PKQ77" s="26"/>
      <c r="PKR77" s="22"/>
      <c r="PKS77" s="167"/>
      <c r="PKT77" s="30"/>
      <c r="PKU77" s="25"/>
      <c r="PKV77" s="178"/>
      <c r="PKW77" s="26"/>
      <c r="PKX77" s="26"/>
      <c r="PKY77" s="26"/>
      <c r="PKZ77" s="26"/>
      <c r="PLA77" s="26"/>
      <c r="PLB77" s="26"/>
      <c r="PLC77" s="58"/>
      <c r="PLD77" s="26"/>
      <c r="PLE77" s="26"/>
      <c r="PLF77" s="26"/>
      <c r="PLG77" s="26"/>
      <c r="PLH77" s="22"/>
      <c r="PLI77" s="167"/>
      <c r="PLJ77" s="30"/>
      <c r="PLK77" s="25"/>
      <c r="PLL77" s="178"/>
      <c r="PLM77" s="26"/>
      <c r="PLN77" s="26"/>
      <c r="PLO77" s="26"/>
      <c r="PLP77" s="26"/>
      <c r="PLQ77" s="26"/>
      <c r="PLR77" s="26"/>
      <c r="PLS77" s="58"/>
      <c r="PLT77" s="26"/>
      <c r="PLU77" s="26"/>
      <c r="PLV77" s="26"/>
      <c r="PLW77" s="26"/>
      <c r="PLX77" s="22"/>
      <c r="PLY77" s="167"/>
      <c r="PLZ77" s="30"/>
      <c r="PMA77" s="25"/>
      <c r="PMB77" s="178"/>
      <c r="PMC77" s="26"/>
      <c r="PMD77" s="26"/>
      <c r="PME77" s="26"/>
      <c r="PMF77" s="26"/>
      <c r="PMG77" s="26"/>
      <c r="PMH77" s="26"/>
      <c r="PMI77" s="58"/>
      <c r="PMJ77" s="26"/>
      <c r="PMK77" s="26"/>
      <c r="PML77" s="26"/>
      <c r="PMM77" s="26"/>
      <c r="PMN77" s="22"/>
      <c r="PMO77" s="167"/>
      <c r="PMP77" s="30"/>
      <c r="PMQ77" s="25"/>
      <c r="PMR77" s="178"/>
      <c r="PMS77" s="26"/>
      <c r="PMT77" s="26"/>
      <c r="PMU77" s="26"/>
      <c r="PMV77" s="26"/>
      <c r="PMW77" s="26"/>
      <c r="PMX77" s="26"/>
      <c r="PMY77" s="58"/>
      <c r="PMZ77" s="26"/>
      <c r="PNA77" s="26"/>
      <c r="PNB77" s="26"/>
      <c r="PNC77" s="26"/>
      <c r="PND77" s="22"/>
      <c r="PNE77" s="167"/>
      <c r="PNF77" s="30"/>
      <c r="PNG77" s="25"/>
      <c r="PNH77" s="178"/>
      <c r="PNI77" s="26"/>
      <c r="PNJ77" s="26"/>
      <c r="PNK77" s="26"/>
      <c r="PNL77" s="26"/>
      <c r="PNM77" s="26"/>
      <c r="PNN77" s="26"/>
      <c r="PNO77" s="58"/>
      <c r="PNP77" s="26"/>
      <c r="PNQ77" s="26"/>
      <c r="PNR77" s="26"/>
      <c r="PNS77" s="26"/>
      <c r="PNT77" s="22"/>
      <c r="PNU77" s="167"/>
      <c r="PNV77" s="30"/>
      <c r="PNW77" s="25"/>
      <c r="PNX77" s="178"/>
      <c r="PNY77" s="26"/>
      <c r="PNZ77" s="26"/>
      <c r="POA77" s="26"/>
      <c r="POB77" s="26"/>
      <c r="POC77" s="26"/>
      <c r="POD77" s="26"/>
      <c r="POE77" s="58"/>
      <c r="POF77" s="26"/>
      <c r="POG77" s="26"/>
      <c r="POH77" s="26"/>
      <c r="POI77" s="26"/>
      <c r="POJ77" s="22"/>
      <c r="POK77" s="167"/>
      <c r="POL77" s="30"/>
      <c r="POM77" s="25"/>
      <c r="PON77" s="178"/>
      <c r="POO77" s="26"/>
      <c r="POP77" s="26"/>
      <c r="POQ77" s="26"/>
      <c r="POR77" s="26"/>
      <c r="POS77" s="26"/>
      <c r="POT77" s="26"/>
      <c r="POU77" s="58"/>
      <c r="POV77" s="26"/>
      <c r="POW77" s="26"/>
      <c r="POX77" s="26"/>
      <c r="POY77" s="26"/>
      <c r="POZ77" s="22"/>
      <c r="PPA77" s="167"/>
      <c r="PPB77" s="30"/>
      <c r="PPC77" s="25"/>
      <c r="PPD77" s="178"/>
      <c r="PPE77" s="26"/>
      <c r="PPF77" s="26"/>
      <c r="PPG77" s="26"/>
      <c r="PPH77" s="26"/>
      <c r="PPI77" s="26"/>
      <c r="PPJ77" s="26"/>
      <c r="PPK77" s="58"/>
      <c r="PPL77" s="26"/>
      <c r="PPM77" s="26"/>
      <c r="PPN77" s="26"/>
      <c r="PPO77" s="26"/>
      <c r="PPP77" s="22"/>
      <c r="PPQ77" s="167"/>
      <c r="PPR77" s="30"/>
      <c r="PPS77" s="25"/>
      <c r="PPT77" s="178"/>
      <c r="PPU77" s="26"/>
      <c r="PPV77" s="26"/>
      <c r="PPW77" s="26"/>
      <c r="PPX77" s="26"/>
      <c r="PPY77" s="26"/>
      <c r="PPZ77" s="26"/>
      <c r="PQA77" s="58"/>
      <c r="PQB77" s="26"/>
      <c r="PQC77" s="26"/>
      <c r="PQD77" s="26"/>
      <c r="PQE77" s="26"/>
      <c r="PQF77" s="22"/>
      <c r="PQG77" s="167"/>
      <c r="PQH77" s="30"/>
      <c r="PQI77" s="25"/>
      <c r="PQJ77" s="178"/>
      <c r="PQK77" s="26"/>
      <c r="PQL77" s="26"/>
      <c r="PQM77" s="26"/>
      <c r="PQN77" s="26"/>
      <c r="PQO77" s="26"/>
      <c r="PQP77" s="26"/>
      <c r="PQQ77" s="58"/>
      <c r="PQR77" s="26"/>
      <c r="PQS77" s="26"/>
      <c r="PQT77" s="26"/>
      <c r="PQU77" s="26"/>
      <c r="PQV77" s="22"/>
      <c r="PQW77" s="167"/>
      <c r="PQX77" s="30"/>
      <c r="PQY77" s="25"/>
      <c r="PQZ77" s="178"/>
      <c r="PRA77" s="26"/>
      <c r="PRB77" s="26"/>
      <c r="PRC77" s="26"/>
      <c r="PRD77" s="26"/>
      <c r="PRE77" s="26"/>
      <c r="PRF77" s="26"/>
      <c r="PRG77" s="58"/>
      <c r="PRH77" s="26"/>
      <c r="PRI77" s="26"/>
      <c r="PRJ77" s="26"/>
      <c r="PRK77" s="26"/>
      <c r="PRL77" s="22"/>
      <c r="PRM77" s="167"/>
      <c r="PRN77" s="30"/>
      <c r="PRO77" s="25"/>
      <c r="PRP77" s="178"/>
      <c r="PRQ77" s="26"/>
      <c r="PRR77" s="26"/>
      <c r="PRS77" s="26"/>
      <c r="PRT77" s="26"/>
      <c r="PRU77" s="26"/>
      <c r="PRV77" s="26"/>
      <c r="PRW77" s="58"/>
      <c r="PRX77" s="26"/>
      <c r="PRY77" s="26"/>
      <c r="PRZ77" s="26"/>
      <c r="PSA77" s="26"/>
      <c r="PSB77" s="22"/>
      <c r="PSC77" s="167"/>
      <c r="PSD77" s="30"/>
      <c r="PSE77" s="25"/>
      <c r="PSF77" s="178"/>
      <c r="PSG77" s="26"/>
      <c r="PSH77" s="26"/>
      <c r="PSI77" s="26"/>
      <c r="PSJ77" s="26"/>
      <c r="PSK77" s="26"/>
      <c r="PSL77" s="26"/>
      <c r="PSM77" s="58"/>
      <c r="PSN77" s="26"/>
      <c r="PSO77" s="26"/>
      <c r="PSP77" s="26"/>
      <c r="PSQ77" s="26"/>
      <c r="PSR77" s="22"/>
      <c r="PSS77" s="167"/>
      <c r="PST77" s="30"/>
      <c r="PSU77" s="25"/>
      <c r="PSV77" s="178"/>
      <c r="PSW77" s="26"/>
      <c r="PSX77" s="26"/>
      <c r="PSY77" s="26"/>
      <c r="PSZ77" s="26"/>
      <c r="PTA77" s="26"/>
      <c r="PTB77" s="26"/>
      <c r="PTC77" s="58"/>
      <c r="PTD77" s="26"/>
      <c r="PTE77" s="26"/>
      <c r="PTF77" s="26"/>
      <c r="PTG77" s="26"/>
      <c r="PTH77" s="22"/>
      <c r="PTI77" s="167"/>
      <c r="PTJ77" s="30"/>
      <c r="PTK77" s="25"/>
      <c r="PTL77" s="178"/>
      <c r="PTM77" s="26"/>
      <c r="PTN77" s="26"/>
      <c r="PTO77" s="26"/>
      <c r="PTP77" s="26"/>
      <c r="PTQ77" s="26"/>
      <c r="PTR77" s="26"/>
      <c r="PTS77" s="58"/>
      <c r="PTT77" s="26"/>
      <c r="PTU77" s="26"/>
      <c r="PTV77" s="26"/>
      <c r="PTW77" s="26"/>
      <c r="PTX77" s="22"/>
      <c r="PTY77" s="167"/>
      <c r="PTZ77" s="30"/>
      <c r="PUA77" s="25"/>
      <c r="PUB77" s="178"/>
      <c r="PUC77" s="26"/>
      <c r="PUD77" s="26"/>
      <c r="PUE77" s="26"/>
      <c r="PUF77" s="26"/>
      <c r="PUG77" s="26"/>
      <c r="PUH77" s="26"/>
      <c r="PUI77" s="58"/>
      <c r="PUJ77" s="26"/>
      <c r="PUK77" s="26"/>
      <c r="PUL77" s="26"/>
      <c r="PUM77" s="26"/>
      <c r="PUN77" s="22"/>
      <c r="PUO77" s="167"/>
      <c r="PUP77" s="30"/>
      <c r="PUQ77" s="25"/>
      <c r="PUR77" s="178"/>
      <c r="PUS77" s="26"/>
      <c r="PUT77" s="26"/>
      <c r="PUU77" s="26"/>
      <c r="PUV77" s="26"/>
      <c r="PUW77" s="26"/>
      <c r="PUX77" s="26"/>
      <c r="PUY77" s="58"/>
      <c r="PUZ77" s="26"/>
      <c r="PVA77" s="26"/>
      <c r="PVB77" s="26"/>
      <c r="PVC77" s="26"/>
      <c r="PVD77" s="22"/>
      <c r="PVE77" s="167"/>
      <c r="PVF77" s="30"/>
      <c r="PVG77" s="25"/>
      <c r="PVH77" s="178"/>
      <c r="PVI77" s="26"/>
      <c r="PVJ77" s="26"/>
      <c r="PVK77" s="26"/>
      <c r="PVL77" s="26"/>
      <c r="PVM77" s="26"/>
      <c r="PVN77" s="26"/>
      <c r="PVO77" s="58"/>
      <c r="PVP77" s="26"/>
      <c r="PVQ77" s="26"/>
      <c r="PVR77" s="26"/>
      <c r="PVS77" s="26"/>
      <c r="PVT77" s="22"/>
      <c r="PVU77" s="167"/>
      <c r="PVV77" s="30"/>
      <c r="PVW77" s="25"/>
      <c r="PVX77" s="178"/>
      <c r="PVY77" s="26"/>
      <c r="PVZ77" s="26"/>
      <c r="PWA77" s="26"/>
      <c r="PWB77" s="26"/>
      <c r="PWC77" s="26"/>
      <c r="PWD77" s="26"/>
      <c r="PWE77" s="58"/>
      <c r="PWF77" s="26"/>
      <c r="PWG77" s="26"/>
      <c r="PWH77" s="26"/>
      <c r="PWI77" s="26"/>
      <c r="PWJ77" s="22"/>
      <c r="PWK77" s="167"/>
      <c r="PWL77" s="30"/>
      <c r="PWM77" s="25"/>
      <c r="PWN77" s="178"/>
      <c r="PWO77" s="26"/>
      <c r="PWP77" s="26"/>
      <c r="PWQ77" s="26"/>
      <c r="PWR77" s="26"/>
      <c r="PWS77" s="26"/>
      <c r="PWT77" s="26"/>
      <c r="PWU77" s="58"/>
      <c r="PWV77" s="26"/>
      <c r="PWW77" s="26"/>
      <c r="PWX77" s="26"/>
      <c r="PWY77" s="26"/>
      <c r="PWZ77" s="22"/>
      <c r="PXA77" s="167"/>
      <c r="PXB77" s="30"/>
      <c r="PXC77" s="25"/>
      <c r="PXD77" s="178"/>
      <c r="PXE77" s="26"/>
      <c r="PXF77" s="26"/>
      <c r="PXG77" s="26"/>
      <c r="PXH77" s="26"/>
      <c r="PXI77" s="26"/>
      <c r="PXJ77" s="26"/>
      <c r="PXK77" s="58"/>
      <c r="PXL77" s="26"/>
      <c r="PXM77" s="26"/>
      <c r="PXN77" s="26"/>
      <c r="PXO77" s="26"/>
      <c r="PXP77" s="22"/>
      <c r="PXQ77" s="167"/>
      <c r="PXR77" s="30"/>
      <c r="PXS77" s="25"/>
      <c r="PXT77" s="178"/>
      <c r="PXU77" s="26"/>
      <c r="PXV77" s="26"/>
      <c r="PXW77" s="26"/>
      <c r="PXX77" s="26"/>
      <c r="PXY77" s="26"/>
      <c r="PXZ77" s="26"/>
      <c r="PYA77" s="58"/>
      <c r="PYB77" s="26"/>
      <c r="PYC77" s="26"/>
      <c r="PYD77" s="26"/>
      <c r="PYE77" s="26"/>
      <c r="PYF77" s="22"/>
      <c r="PYG77" s="167"/>
      <c r="PYH77" s="30"/>
      <c r="PYI77" s="25"/>
      <c r="PYJ77" s="178"/>
      <c r="PYK77" s="26"/>
      <c r="PYL77" s="26"/>
      <c r="PYM77" s="26"/>
      <c r="PYN77" s="26"/>
      <c r="PYO77" s="26"/>
      <c r="PYP77" s="26"/>
      <c r="PYQ77" s="58"/>
      <c r="PYR77" s="26"/>
      <c r="PYS77" s="26"/>
      <c r="PYT77" s="26"/>
      <c r="PYU77" s="26"/>
      <c r="PYV77" s="22"/>
      <c r="PYW77" s="167"/>
      <c r="PYX77" s="30"/>
      <c r="PYY77" s="25"/>
      <c r="PYZ77" s="178"/>
      <c r="PZA77" s="26"/>
      <c r="PZB77" s="26"/>
      <c r="PZC77" s="26"/>
      <c r="PZD77" s="26"/>
      <c r="PZE77" s="26"/>
      <c r="PZF77" s="26"/>
      <c r="PZG77" s="58"/>
      <c r="PZH77" s="26"/>
      <c r="PZI77" s="26"/>
      <c r="PZJ77" s="26"/>
      <c r="PZK77" s="26"/>
      <c r="PZL77" s="22"/>
      <c r="PZM77" s="167"/>
      <c r="PZN77" s="30"/>
      <c r="PZO77" s="25"/>
      <c r="PZP77" s="178"/>
      <c r="PZQ77" s="26"/>
      <c r="PZR77" s="26"/>
      <c r="PZS77" s="26"/>
      <c r="PZT77" s="26"/>
      <c r="PZU77" s="26"/>
      <c r="PZV77" s="26"/>
      <c r="PZW77" s="58"/>
      <c r="PZX77" s="26"/>
      <c r="PZY77" s="26"/>
      <c r="PZZ77" s="26"/>
      <c r="QAA77" s="26"/>
      <c r="QAB77" s="22"/>
      <c r="QAC77" s="167"/>
      <c r="QAD77" s="30"/>
      <c r="QAE77" s="25"/>
      <c r="QAF77" s="178"/>
      <c r="QAG77" s="26"/>
      <c r="QAH77" s="26"/>
      <c r="QAI77" s="26"/>
      <c r="QAJ77" s="26"/>
      <c r="QAK77" s="26"/>
      <c r="QAL77" s="26"/>
      <c r="QAM77" s="58"/>
      <c r="QAN77" s="26"/>
      <c r="QAO77" s="26"/>
      <c r="QAP77" s="26"/>
      <c r="QAQ77" s="26"/>
      <c r="QAR77" s="22"/>
      <c r="QAS77" s="167"/>
      <c r="QAT77" s="30"/>
      <c r="QAU77" s="25"/>
      <c r="QAV77" s="178"/>
      <c r="QAW77" s="26"/>
      <c r="QAX77" s="26"/>
      <c r="QAY77" s="26"/>
      <c r="QAZ77" s="26"/>
      <c r="QBA77" s="26"/>
      <c r="QBB77" s="26"/>
      <c r="QBC77" s="58"/>
      <c r="QBD77" s="26"/>
      <c r="QBE77" s="26"/>
      <c r="QBF77" s="26"/>
      <c r="QBG77" s="26"/>
      <c r="QBH77" s="22"/>
      <c r="QBI77" s="167"/>
      <c r="QBJ77" s="30"/>
      <c r="QBK77" s="25"/>
      <c r="QBL77" s="178"/>
      <c r="QBM77" s="26"/>
      <c r="QBN77" s="26"/>
      <c r="QBO77" s="26"/>
      <c r="QBP77" s="26"/>
      <c r="QBQ77" s="26"/>
      <c r="QBR77" s="26"/>
      <c r="QBS77" s="58"/>
      <c r="QBT77" s="26"/>
      <c r="QBU77" s="26"/>
      <c r="QBV77" s="26"/>
      <c r="QBW77" s="26"/>
      <c r="QBX77" s="22"/>
      <c r="QBY77" s="167"/>
      <c r="QBZ77" s="30"/>
      <c r="QCA77" s="25"/>
      <c r="QCB77" s="178"/>
      <c r="QCC77" s="26"/>
      <c r="QCD77" s="26"/>
      <c r="QCE77" s="26"/>
      <c r="QCF77" s="26"/>
      <c r="QCG77" s="26"/>
      <c r="QCH77" s="26"/>
      <c r="QCI77" s="58"/>
      <c r="QCJ77" s="26"/>
      <c r="QCK77" s="26"/>
      <c r="QCL77" s="26"/>
      <c r="QCM77" s="26"/>
      <c r="QCN77" s="22"/>
      <c r="QCO77" s="167"/>
      <c r="QCP77" s="30"/>
      <c r="QCQ77" s="25"/>
      <c r="QCR77" s="178"/>
      <c r="QCS77" s="26"/>
      <c r="QCT77" s="26"/>
      <c r="QCU77" s="26"/>
      <c r="QCV77" s="26"/>
      <c r="QCW77" s="26"/>
      <c r="QCX77" s="26"/>
      <c r="QCY77" s="58"/>
      <c r="QCZ77" s="26"/>
      <c r="QDA77" s="26"/>
      <c r="QDB77" s="26"/>
      <c r="QDC77" s="26"/>
      <c r="QDD77" s="22"/>
      <c r="QDE77" s="167"/>
      <c r="QDF77" s="30"/>
      <c r="QDG77" s="25"/>
      <c r="QDH77" s="178"/>
      <c r="QDI77" s="26"/>
      <c r="QDJ77" s="26"/>
      <c r="QDK77" s="26"/>
      <c r="QDL77" s="26"/>
      <c r="QDM77" s="26"/>
      <c r="QDN77" s="26"/>
      <c r="QDO77" s="58"/>
      <c r="QDP77" s="26"/>
      <c r="QDQ77" s="26"/>
      <c r="QDR77" s="26"/>
      <c r="QDS77" s="26"/>
      <c r="QDT77" s="22"/>
      <c r="QDU77" s="167"/>
      <c r="QDV77" s="30"/>
      <c r="QDW77" s="25"/>
      <c r="QDX77" s="178"/>
      <c r="QDY77" s="26"/>
      <c r="QDZ77" s="26"/>
      <c r="QEA77" s="26"/>
      <c r="QEB77" s="26"/>
      <c r="QEC77" s="26"/>
      <c r="QED77" s="26"/>
      <c r="QEE77" s="58"/>
      <c r="QEF77" s="26"/>
      <c r="QEG77" s="26"/>
      <c r="QEH77" s="26"/>
      <c r="QEI77" s="26"/>
      <c r="QEJ77" s="22"/>
      <c r="QEK77" s="167"/>
      <c r="QEL77" s="30"/>
      <c r="QEM77" s="25"/>
      <c r="QEN77" s="178"/>
      <c r="QEO77" s="26"/>
      <c r="QEP77" s="26"/>
      <c r="QEQ77" s="26"/>
      <c r="QER77" s="26"/>
      <c r="QES77" s="26"/>
      <c r="QET77" s="26"/>
      <c r="QEU77" s="58"/>
      <c r="QEV77" s="26"/>
      <c r="QEW77" s="26"/>
      <c r="QEX77" s="26"/>
      <c r="QEY77" s="26"/>
      <c r="QEZ77" s="22"/>
      <c r="QFA77" s="167"/>
      <c r="QFB77" s="30"/>
      <c r="QFC77" s="25"/>
      <c r="QFD77" s="178"/>
      <c r="QFE77" s="26"/>
      <c r="QFF77" s="26"/>
      <c r="QFG77" s="26"/>
      <c r="QFH77" s="26"/>
      <c r="QFI77" s="26"/>
      <c r="QFJ77" s="26"/>
      <c r="QFK77" s="58"/>
      <c r="QFL77" s="26"/>
      <c r="QFM77" s="26"/>
      <c r="QFN77" s="26"/>
      <c r="QFO77" s="26"/>
      <c r="QFP77" s="22"/>
      <c r="QFQ77" s="167"/>
      <c r="QFR77" s="30"/>
      <c r="QFS77" s="25"/>
      <c r="QFT77" s="178"/>
      <c r="QFU77" s="26"/>
      <c r="QFV77" s="26"/>
      <c r="QFW77" s="26"/>
      <c r="QFX77" s="26"/>
      <c r="QFY77" s="26"/>
      <c r="QFZ77" s="26"/>
      <c r="QGA77" s="58"/>
      <c r="QGB77" s="26"/>
      <c r="QGC77" s="26"/>
      <c r="QGD77" s="26"/>
      <c r="QGE77" s="26"/>
      <c r="QGF77" s="22"/>
      <c r="QGG77" s="167"/>
      <c r="QGH77" s="30"/>
      <c r="QGI77" s="25"/>
      <c r="QGJ77" s="178"/>
      <c r="QGK77" s="26"/>
      <c r="QGL77" s="26"/>
      <c r="QGM77" s="26"/>
      <c r="QGN77" s="26"/>
      <c r="QGO77" s="26"/>
      <c r="QGP77" s="26"/>
      <c r="QGQ77" s="58"/>
      <c r="QGR77" s="26"/>
      <c r="QGS77" s="26"/>
      <c r="QGT77" s="26"/>
      <c r="QGU77" s="26"/>
      <c r="QGV77" s="22"/>
      <c r="QGW77" s="167"/>
      <c r="QGX77" s="30"/>
      <c r="QGY77" s="25"/>
      <c r="QGZ77" s="178"/>
      <c r="QHA77" s="26"/>
      <c r="QHB77" s="26"/>
      <c r="QHC77" s="26"/>
      <c r="QHD77" s="26"/>
      <c r="QHE77" s="26"/>
      <c r="QHF77" s="26"/>
      <c r="QHG77" s="58"/>
      <c r="QHH77" s="26"/>
      <c r="QHI77" s="26"/>
      <c r="QHJ77" s="26"/>
      <c r="QHK77" s="26"/>
      <c r="QHL77" s="22"/>
      <c r="QHM77" s="167"/>
      <c r="QHN77" s="30"/>
      <c r="QHO77" s="25"/>
      <c r="QHP77" s="178"/>
      <c r="QHQ77" s="26"/>
      <c r="QHR77" s="26"/>
      <c r="QHS77" s="26"/>
      <c r="QHT77" s="26"/>
      <c r="QHU77" s="26"/>
      <c r="QHV77" s="26"/>
      <c r="QHW77" s="58"/>
      <c r="QHX77" s="26"/>
      <c r="QHY77" s="26"/>
      <c r="QHZ77" s="26"/>
      <c r="QIA77" s="26"/>
      <c r="QIB77" s="22"/>
      <c r="QIC77" s="167"/>
      <c r="QID77" s="30"/>
      <c r="QIE77" s="25"/>
      <c r="QIF77" s="178"/>
      <c r="QIG77" s="26"/>
      <c r="QIH77" s="26"/>
      <c r="QII77" s="26"/>
      <c r="QIJ77" s="26"/>
      <c r="QIK77" s="26"/>
      <c r="QIL77" s="26"/>
      <c r="QIM77" s="58"/>
      <c r="QIN77" s="26"/>
      <c r="QIO77" s="26"/>
      <c r="QIP77" s="26"/>
      <c r="QIQ77" s="26"/>
      <c r="QIR77" s="22"/>
      <c r="QIS77" s="167"/>
      <c r="QIT77" s="30"/>
      <c r="QIU77" s="25"/>
      <c r="QIV77" s="178"/>
      <c r="QIW77" s="26"/>
      <c r="QIX77" s="26"/>
      <c r="QIY77" s="26"/>
      <c r="QIZ77" s="26"/>
      <c r="QJA77" s="26"/>
      <c r="QJB77" s="26"/>
      <c r="QJC77" s="58"/>
      <c r="QJD77" s="26"/>
      <c r="QJE77" s="26"/>
      <c r="QJF77" s="26"/>
      <c r="QJG77" s="26"/>
      <c r="QJH77" s="22"/>
      <c r="QJI77" s="167"/>
      <c r="QJJ77" s="30"/>
      <c r="QJK77" s="25"/>
      <c r="QJL77" s="178"/>
      <c r="QJM77" s="26"/>
      <c r="QJN77" s="26"/>
      <c r="QJO77" s="26"/>
      <c r="QJP77" s="26"/>
      <c r="QJQ77" s="26"/>
      <c r="QJR77" s="26"/>
      <c r="QJS77" s="58"/>
      <c r="QJT77" s="26"/>
      <c r="QJU77" s="26"/>
      <c r="QJV77" s="26"/>
      <c r="QJW77" s="26"/>
      <c r="QJX77" s="22"/>
      <c r="QJY77" s="167"/>
      <c r="QJZ77" s="30"/>
      <c r="QKA77" s="25"/>
      <c r="QKB77" s="178"/>
      <c r="QKC77" s="26"/>
      <c r="QKD77" s="26"/>
      <c r="QKE77" s="26"/>
      <c r="QKF77" s="26"/>
      <c r="QKG77" s="26"/>
      <c r="QKH77" s="26"/>
      <c r="QKI77" s="58"/>
      <c r="QKJ77" s="26"/>
      <c r="QKK77" s="26"/>
      <c r="QKL77" s="26"/>
      <c r="QKM77" s="26"/>
      <c r="QKN77" s="22"/>
      <c r="QKO77" s="167"/>
      <c r="QKP77" s="30"/>
      <c r="QKQ77" s="25"/>
      <c r="QKR77" s="178"/>
      <c r="QKS77" s="26"/>
      <c r="QKT77" s="26"/>
      <c r="QKU77" s="26"/>
      <c r="QKV77" s="26"/>
      <c r="QKW77" s="26"/>
      <c r="QKX77" s="26"/>
      <c r="QKY77" s="58"/>
      <c r="QKZ77" s="26"/>
      <c r="QLA77" s="26"/>
      <c r="QLB77" s="26"/>
      <c r="QLC77" s="26"/>
      <c r="QLD77" s="22"/>
      <c r="QLE77" s="167"/>
      <c r="QLF77" s="30"/>
      <c r="QLG77" s="25"/>
      <c r="QLH77" s="178"/>
      <c r="QLI77" s="26"/>
      <c r="QLJ77" s="26"/>
      <c r="QLK77" s="26"/>
      <c r="QLL77" s="26"/>
      <c r="QLM77" s="26"/>
      <c r="QLN77" s="26"/>
      <c r="QLO77" s="58"/>
      <c r="QLP77" s="26"/>
      <c r="QLQ77" s="26"/>
      <c r="QLR77" s="26"/>
      <c r="QLS77" s="26"/>
      <c r="QLT77" s="22"/>
      <c r="QLU77" s="167"/>
      <c r="QLV77" s="30"/>
      <c r="QLW77" s="25"/>
      <c r="QLX77" s="178"/>
      <c r="QLY77" s="26"/>
      <c r="QLZ77" s="26"/>
      <c r="QMA77" s="26"/>
      <c r="QMB77" s="26"/>
      <c r="QMC77" s="26"/>
      <c r="QMD77" s="26"/>
      <c r="QME77" s="58"/>
      <c r="QMF77" s="26"/>
      <c r="QMG77" s="26"/>
      <c r="QMH77" s="26"/>
      <c r="QMI77" s="26"/>
      <c r="QMJ77" s="22"/>
      <c r="QMK77" s="167"/>
      <c r="QML77" s="30"/>
      <c r="QMM77" s="25"/>
      <c r="QMN77" s="178"/>
      <c r="QMO77" s="26"/>
      <c r="QMP77" s="26"/>
      <c r="QMQ77" s="26"/>
      <c r="QMR77" s="26"/>
      <c r="QMS77" s="26"/>
      <c r="QMT77" s="26"/>
      <c r="QMU77" s="58"/>
      <c r="QMV77" s="26"/>
      <c r="QMW77" s="26"/>
      <c r="QMX77" s="26"/>
      <c r="QMY77" s="26"/>
      <c r="QMZ77" s="22"/>
      <c r="QNA77" s="167"/>
      <c r="QNB77" s="30"/>
      <c r="QNC77" s="25"/>
      <c r="QND77" s="178"/>
      <c r="QNE77" s="26"/>
      <c r="QNF77" s="26"/>
      <c r="QNG77" s="26"/>
      <c r="QNH77" s="26"/>
      <c r="QNI77" s="26"/>
      <c r="QNJ77" s="26"/>
      <c r="QNK77" s="58"/>
      <c r="QNL77" s="26"/>
      <c r="QNM77" s="26"/>
      <c r="QNN77" s="26"/>
      <c r="QNO77" s="26"/>
      <c r="QNP77" s="22"/>
      <c r="QNQ77" s="167"/>
      <c r="QNR77" s="30"/>
      <c r="QNS77" s="25"/>
      <c r="QNT77" s="178"/>
      <c r="QNU77" s="26"/>
      <c r="QNV77" s="26"/>
      <c r="QNW77" s="26"/>
      <c r="QNX77" s="26"/>
      <c r="QNY77" s="26"/>
      <c r="QNZ77" s="26"/>
      <c r="QOA77" s="58"/>
      <c r="QOB77" s="26"/>
      <c r="QOC77" s="26"/>
      <c r="QOD77" s="26"/>
      <c r="QOE77" s="26"/>
      <c r="QOF77" s="22"/>
      <c r="QOG77" s="167"/>
      <c r="QOH77" s="30"/>
      <c r="QOI77" s="25"/>
      <c r="QOJ77" s="178"/>
      <c r="QOK77" s="26"/>
      <c r="QOL77" s="26"/>
      <c r="QOM77" s="26"/>
      <c r="QON77" s="26"/>
      <c r="QOO77" s="26"/>
      <c r="QOP77" s="26"/>
      <c r="QOQ77" s="58"/>
      <c r="QOR77" s="26"/>
      <c r="QOS77" s="26"/>
      <c r="QOT77" s="26"/>
      <c r="QOU77" s="26"/>
      <c r="QOV77" s="22"/>
      <c r="QOW77" s="167"/>
      <c r="QOX77" s="30"/>
      <c r="QOY77" s="25"/>
      <c r="QOZ77" s="178"/>
      <c r="QPA77" s="26"/>
      <c r="QPB77" s="26"/>
      <c r="QPC77" s="26"/>
      <c r="QPD77" s="26"/>
      <c r="QPE77" s="26"/>
      <c r="QPF77" s="26"/>
      <c r="QPG77" s="58"/>
      <c r="QPH77" s="26"/>
      <c r="QPI77" s="26"/>
      <c r="QPJ77" s="26"/>
      <c r="QPK77" s="26"/>
      <c r="QPL77" s="22"/>
      <c r="QPM77" s="167"/>
      <c r="QPN77" s="30"/>
      <c r="QPO77" s="25"/>
      <c r="QPP77" s="178"/>
      <c r="QPQ77" s="26"/>
      <c r="QPR77" s="26"/>
      <c r="QPS77" s="26"/>
      <c r="QPT77" s="26"/>
      <c r="QPU77" s="26"/>
      <c r="QPV77" s="26"/>
      <c r="QPW77" s="58"/>
      <c r="QPX77" s="26"/>
      <c r="QPY77" s="26"/>
      <c r="QPZ77" s="26"/>
      <c r="QQA77" s="26"/>
      <c r="QQB77" s="22"/>
      <c r="QQC77" s="167"/>
      <c r="QQD77" s="30"/>
      <c r="QQE77" s="25"/>
      <c r="QQF77" s="178"/>
      <c r="QQG77" s="26"/>
      <c r="QQH77" s="26"/>
      <c r="QQI77" s="26"/>
      <c r="QQJ77" s="26"/>
      <c r="QQK77" s="26"/>
      <c r="QQL77" s="26"/>
      <c r="QQM77" s="58"/>
      <c r="QQN77" s="26"/>
      <c r="QQO77" s="26"/>
      <c r="QQP77" s="26"/>
      <c r="QQQ77" s="26"/>
      <c r="QQR77" s="22"/>
      <c r="QQS77" s="167"/>
      <c r="QQT77" s="30"/>
      <c r="QQU77" s="25"/>
      <c r="QQV77" s="178"/>
      <c r="QQW77" s="26"/>
      <c r="QQX77" s="26"/>
      <c r="QQY77" s="26"/>
      <c r="QQZ77" s="26"/>
      <c r="QRA77" s="26"/>
      <c r="QRB77" s="26"/>
      <c r="QRC77" s="58"/>
      <c r="QRD77" s="26"/>
      <c r="QRE77" s="26"/>
      <c r="QRF77" s="26"/>
      <c r="QRG77" s="26"/>
      <c r="QRH77" s="22"/>
      <c r="QRI77" s="167"/>
      <c r="QRJ77" s="30"/>
      <c r="QRK77" s="25"/>
      <c r="QRL77" s="178"/>
      <c r="QRM77" s="26"/>
      <c r="QRN77" s="26"/>
      <c r="QRO77" s="26"/>
      <c r="QRP77" s="26"/>
      <c r="QRQ77" s="26"/>
      <c r="QRR77" s="26"/>
      <c r="QRS77" s="58"/>
      <c r="QRT77" s="26"/>
      <c r="QRU77" s="26"/>
      <c r="QRV77" s="26"/>
      <c r="QRW77" s="26"/>
      <c r="QRX77" s="22"/>
      <c r="QRY77" s="167"/>
      <c r="QRZ77" s="30"/>
      <c r="QSA77" s="25"/>
      <c r="QSB77" s="178"/>
      <c r="QSC77" s="26"/>
      <c r="QSD77" s="26"/>
      <c r="QSE77" s="26"/>
      <c r="QSF77" s="26"/>
      <c r="QSG77" s="26"/>
      <c r="QSH77" s="26"/>
      <c r="QSI77" s="58"/>
      <c r="QSJ77" s="26"/>
      <c r="QSK77" s="26"/>
      <c r="QSL77" s="26"/>
      <c r="QSM77" s="26"/>
      <c r="QSN77" s="22"/>
      <c r="QSO77" s="167"/>
      <c r="QSP77" s="30"/>
      <c r="QSQ77" s="25"/>
      <c r="QSR77" s="178"/>
      <c r="QSS77" s="26"/>
      <c r="QST77" s="26"/>
      <c r="QSU77" s="26"/>
      <c r="QSV77" s="26"/>
      <c r="QSW77" s="26"/>
      <c r="QSX77" s="26"/>
      <c r="QSY77" s="58"/>
      <c r="QSZ77" s="26"/>
      <c r="QTA77" s="26"/>
      <c r="QTB77" s="26"/>
      <c r="QTC77" s="26"/>
      <c r="QTD77" s="22"/>
      <c r="QTE77" s="167"/>
      <c r="QTF77" s="30"/>
      <c r="QTG77" s="25"/>
      <c r="QTH77" s="178"/>
      <c r="QTI77" s="26"/>
      <c r="QTJ77" s="26"/>
      <c r="QTK77" s="26"/>
      <c r="QTL77" s="26"/>
      <c r="QTM77" s="26"/>
      <c r="QTN77" s="26"/>
      <c r="QTO77" s="58"/>
      <c r="QTP77" s="26"/>
      <c r="QTQ77" s="26"/>
      <c r="QTR77" s="26"/>
      <c r="QTS77" s="26"/>
      <c r="QTT77" s="22"/>
      <c r="QTU77" s="167"/>
      <c r="QTV77" s="30"/>
      <c r="QTW77" s="25"/>
      <c r="QTX77" s="178"/>
      <c r="QTY77" s="26"/>
      <c r="QTZ77" s="26"/>
      <c r="QUA77" s="26"/>
      <c r="QUB77" s="26"/>
      <c r="QUC77" s="26"/>
      <c r="QUD77" s="26"/>
      <c r="QUE77" s="58"/>
      <c r="QUF77" s="26"/>
      <c r="QUG77" s="26"/>
      <c r="QUH77" s="26"/>
      <c r="QUI77" s="26"/>
      <c r="QUJ77" s="22"/>
      <c r="QUK77" s="167"/>
      <c r="QUL77" s="30"/>
      <c r="QUM77" s="25"/>
      <c r="QUN77" s="178"/>
      <c r="QUO77" s="26"/>
      <c r="QUP77" s="26"/>
      <c r="QUQ77" s="26"/>
      <c r="QUR77" s="26"/>
      <c r="QUS77" s="26"/>
      <c r="QUT77" s="26"/>
      <c r="QUU77" s="58"/>
      <c r="QUV77" s="26"/>
      <c r="QUW77" s="26"/>
      <c r="QUX77" s="26"/>
      <c r="QUY77" s="26"/>
      <c r="QUZ77" s="22"/>
      <c r="QVA77" s="167"/>
      <c r="QVB77" s="30"/>
      <c r="QVC77" s="25"/>
      <c r="QVD77" s="178"/>
      <c r="QVE77" s="26"/>
      <c r="QVF77" s="26"/>
      <c r="QVG77" s="26"/>
      <c r="QVH77" s="26"/>
      <c r="QVI77" s="26"/>
      <c r="QVJ77" s="26"/>
      <c r="QVK77" s="58"/>
      <c r="QVL77" s="26"/>
      <c r="QVM77" s="26"/>
      <c r="QVN77" s="26"/>
      <c r="QVO77" s="26"/>
      <c r="QVP77" s="22"/>
      <c r="QVQ77" s="167"/>
      <c r="QVR77" s="30"/>
      <c r="QVS77" s="25"/>
      <c r="QVT77" s="178"/>
      <c r="QVU77" s="26"/>
      <c r="QVV77" s="26"/>
      <c r="QVW77" s="26"/>
      <c r="QVX77" s="26"/>
      <c r="QVY77" s="26"/>
      <c r="QVZ77" s="26"/>
      <c r="QWA77" s="58"/>
      <c r="QWB77" s="26"/>
      <c r="QWC77" s="26"/>
      <c r="QWD77" s="26"/>
      <c r="QWE77" s="26"/>
      <c r="QWF77" s="22"/>
      <c r="QWG77" s="167"/>
      <c r="QWH77" s="30"/>
      <c r="QWI77" s="25"/>
      <c r="QWJ77" s="178"/>
      <c r="QWK77" s="26"/>
      <c r="QWL77" s="26"/>
      <c r="QWM77" s="26"/>
      <c r="QWN77" s="26"/>
      <c r="QWO77" s="26"/>
      <c r="QWP77" s="26"/>
      <c r="QWQ77" s="58"/>
      <c r="QWR77" s="26"/>
      <c r="QWS77" s="26"/>
      <c r="QWT77" s="26"/>
      <c r="QWU77" s="26"/>
      <c r="QWV77" s="22"/>
      <c r="QWW77" s="167"/>
      <c r="QWX77" s="30"/>
      <c r="QWY77" s="25"/>
      <c r="QWZ77" s="178"/>
      <c r="QXA77" s="26"/>
      <c r="QXB77" s="26"/>
      <c r="QXC77" s="26"/>
      <c r="QXD77" s="26"/>
      <c r="QXE77" s="26"/>
      <c r="QXF77" s="26"/>
      <c r="QXG77" s="58"/>
      <c r="QXH77" s="26"/>
      <c r="QXI77" s="26"/>
      <c r="QXJ77" s="26"/>
      <c r="QXK77" s="26"/>
      <c r="QXL77" s="22"/>
      <c r="QXM77" s="167"/>
      <c r="QXN77" s="30"/>
      <c r="QXO77" s="25"/>
      <c r="QXP77" s="178"/>
      <c r="QXQ77" s="26"/>
      <c r="QXR77" s="26"/>
      <c r="QXS77" s="26"/>
      <c r="QXT77" s="26"/>
      <c r="QXU77" s="26"/>
      <c r="QXV77" s="26"/>
      <c r="QXW77" s="58"/>
      <c r="QXX77" s="26"/>
      <c r="QXY77" s="26"/>
      <c r="QXZ77" s="26"/>
      <c r="QYA77" s="26"/>
      <c r="QYB77" s="22"/>
      <c r="QYC77" s="167"/>
      <c r="QYD77" s="30"/>
      <c r="QYE77" s="25"/>
      <c r="QYF77" s="178"/>
      <c r="QYG77" s="26"/>
      <c r="QYH77" s="26"/>
      <c r="QYI77" s="26"/>
      <c r="QYJ77" s="26"/>
      <c r="QYK77" s="26"/>
      <c r="QYL77" s="26"/>
      <c r="QYM77" s="58"/>
      <c r="QYN77" s="26"/>
      <c r="QYO77" s="26"/>
      <c r="QYP77" s="26"/>
      <c r="QYQ77" s="26"/>
      <c r="QYR77" s="22"/>
      <c r="QYS77" s="167"/>
      <c r="QYT77" s="30"/>
      <c r="QYU77" s="25"/>
      <c r="QYV77" s="178"/>
      <c r="QYW77" s="26"/>
      <c r="QYX77" s="26"/>
      <c r="QYY77" s="26"/>
      <c r="QYZ77" s="26"/>
      <c r="QZA77" s="26"/>
      <c r="QZB77" s="26"/>
      <c r="QZC77" s="58"/>
      <c r="QZD77" s="26"/>
      <c r="QZE77" s="26"/>
      <c r="QZF77" s="26"/>
      <c r="QZG77" s="26"/>
      <c r="QZH77" s="22"/>
      <c r="QZI77" s="167"/>
      <c r="QZJ77" s="30"/>
      <c r="QZK77" s="25"/>
      <c r="QZL77" s="178"/>
      <c r="QZM77" s="26"/>
      <c r="QZN77" s="26"/>
      <c r="QZO77" s="26"/>
      <c r="QZP77" s="26"/>
      <c r="QZQ77" s="26"/>
      <c r="QZR77" s="26"/>
      <c r="QZS77" s="58"/>
      <c r="QZT77" s="26"/>
      <c r="QZU77" s="26"/>
      <c r="QZV77" s="26"/>
      <c r="QZW77" s="26"/>
      <c r="QZX77" s="22"/>
      <c r="QZY77" s="167"/>
      <c r="QZZ77" s="30"/>
      <c r="RAA77" s="25"/>
      <c r="RAB77" s="178"/>
      <c r="RAC77" s="26"/>
      <c r="RAD77" s="26"/>
      <c r="RAE77" s="26"/>
      <c r="RAF77" s="26"/>
      <c r="RAG77" s="26"/>
      <c r="RAH77" s="26"/>
      <c r="RAI77" s="58"/>
      <c r="RAJ77" s="26"/>
      <c r="RAK77" s="26"/>
      <c r="RAL77" s="26"/>
      <c r="RAM77" s="26"/>
      <c r="RAN77" s="22"/>
      <c r="RAO77" s="167"/>
      <c r="RAP77" s="30"/>
      <c r="RAQ77" s="25"/>
      <c r="RAR77" s="178"/>
      <c r="RAS77" s="26"/>
      <c r="RAT77" s="26"/>
      <c r="RAU77" s="26"/>
      <c r="RAV77" s="26"/>
      <c r="RAW77" s="26"/>
      <c r="RAX77" s="26"/>
      <c r="RAY77" s="58"/>
      <c r="RAZ77" s="26"/>
      <c r="RBA77" s="26"/>
      <c r="RBB77" s="26"/>
      <c r="RBC77" s="26"/>
      <c r="RBD77" s="22"/>
      <c r="RBE77" s="167"/>
      <c r="RBF77" s="30"/>
      <c r="RBG77" s="25"/>
      <c r="RBH77" s="178"/>
      <c r="RBI77" s="26"/>
      <c r="RBJ77" s="26"/>
      <c r="RBK77" s="26"/>
      <c r="RBL77" s="26"/>
      <c r="RBM77" s="26"/>
      <c r="RBN77" s="26"/>
      <c r="RBO77" s="58"/>
      <c r="RBP77" s="26"/>
      <c r="RBQ77" s="26"/>
      <c r="RBR77" s="26"/>
      <c r="RBS77" s="26"/>
      <c r="RBT77" s="22"/>
      <c r="RBU77" s="167"/>
      <c r="RBV77" s="30"/>
      <c r="RBW77" s="25"/>
      <c r="RBX77" s="178"/>
      <c r="RBY77" s="26"/>
      <c r="RBZ77" s="26"/>
      <c r="RCA77" s="26"/>
      <c r="RCB77" s="26"/>
      <c r="RCC77" s="26"/>
      <c r="RCD77" s="26"/>
      <c r="RCE77" s="58"/>
      <c r="RCF77" s="26"/>
      <c r="RCG77" s="26"/>
      <c r="RCH77" s="26"/>
      <c r="RCI77" s="26"/>
      <c r="RCJ77" s="22"/>
      <c r="RCK77" s="167"/>
      <c r="RCL77" s="30"/>
      <c r="RCM77" s="25"/>
      <c r="RCN77" s="178"/>
      <c r="RCO77" s="26"/>
      <c r="RCP77" s="26"/>
      <c r="RCQ77" s="26"/>
      <c r="RCR77" s="26"/>
      <c r="RCS77" s="26"/>
      <c r="RCT77" s="26"/>
      <c r="RCU77" s="58"/>
      <c r="RCV77" s="26"/>
      <c r="RCW77" s="26"/>
      <c r="RCX77" s="26"/>
      <c r="RCY77" s="26"/>
      <c r="RCZ77" s="22"/>
      <c r="RDA77" s="167"/>
      <c r="RDB77" s="30"/>
      <c r="RDC77" s="25"/>
      <c r="RDD77" s="178"/>
      <c r="RDE77" s="26"/>
      <c r="RDF77" s="26"/>
      <c r="RDG77" s="26"/>
      <c r="RDH77" s="26"/>
      <c r="RDI77" s="26"/>
      <c r="RDJ77" s="26"/>
      <c r="RDK77" s="58"/>
      <c r="RDL77" s="26"/>
      <c r="RDM77" s="26"/>
      <c r="RDN77" s="26"/>
      <c r="RDO77" s="26"/>
      <c r="RDP77" s="22"/>
      <c r="RDQ77" s="167"/>
      <c r="RDR77" s="30"/>
      <c r="RDS77" s="25"/>
      <c r="RDT77" s="178"/>
      <c r="RDU77" s="26"/>
      <c r="RDV77" s="26"/>
      <c r="RDW77" s="26"/>
      <c r="RDX77" s="26"/>
      <c r="RDY77" s="26"/>
      <c r="RDZ77" s="26"/>
      <c r="REA77" s="58"/>
      <c r="REB77" s="26"/>
      <c r="REC77" s="26"/>
      <c r="RED77" s="26"/>
      <c r="REE77" s="26"/>
      <c r="REF77" s="22"/>
      <c r="REG77" s="167"/>
      <c r="REH77" s="30"/>
      <c r="REI77" s="25"/>
      <c r="REJ77" s="178"/>
      <c r="REK77" s="26"/>
      <c r="REL77" s="26"/>
      <c r="REM77" s="26"/>
      <c r="REN77" s="26"/>
      <c r="REO77" s="26"/>
      <c r="REP77" s="26"/>
      <c r="REQ77" s="58"/>
      <c r="RER77" s="26"/>
      <c r="RES77" s="26"/>
      <c r="RET77" s="26"/>
      <c r="REU77" s="26"/>
      <c r="REV77" s="22"/>
      <c r="REW77" s="167"/>
      <c r="REX77" s="30"/>
      <c r="REY77" s="25"/>
      <c r="REZ77" s="178"/>
      <c r="RFA77" s="26"/>
      <c r="RFB77" s="26"/>
      <c r="RFC77" s="26"/>
      <c r="RFD77" s="26"/>
      <c r="RFE77" s="26"/>
      <c r="RFF77" s="26"/>
      <c r="RFG77" s="58"/>
      <c r="RFH77" s="26"/>
      <c r="RFI77" s="26"/>
      <c r="RFJ77" s="26"/>
      <c r="RFK77" s="26"/>
      <c r="RFL77" s="22"/>
      <c r="RFM77" s="167"/>
      <c r="RFN77" s="30"/>
      <c r="RFO77" s="25"/>
      <c r="RFP77" s="178"/>
      <c r="RFQ77" s="26"/>
      <c r="RFR77" s="26"/>
      <c r="RFS77" s="26"/>
      <c r="RFT77" s="26"/>
      <c r="RFU77" s="26"/>
      <c r="RFV77" s="26"/>
      <c r="RFW77" s="58"/>
      <c r="RFX77" s="26"/>
      <c r="RFY77" s="26"/>
      <c r="RFZ77" s="26"/>
      <c r="RGA77" s="26"/>
      <c r="RGB77" s="22"/>
      <c r="RGC77" s="167"/>
      <c r="RGD77" s="30"/>
      <c r="RGE77" s="25"/>
      <c r="RGF77" s="178"/>
      <c r="RGG77" s="26"/>
      <c r="RGH77" s="26"/>
      <c r="RGI77" s="26"/>
      <c r="RGJ77" s="26"/>
      <c r="RGK77" s="26"/>
      <c r="RGL77" s="26"/>
      <c r="RGM77" s="58"/>
      <c r="RGN77" s="26"/>
      <c r="RGO77" s="26"/>
      <c r="RGP77" s="26"/>
      <c r="RGQ77" s="26"/>
      <c r="RGR77" s="22"/>
      <c r="RGS77" s="167"/>
      <c r="RGT77" s="30"/>
      <c r="RGU77" s="25"/>
      <c r="RGV77" s="178"/>
      <c r="RGW77" s="26"/>
      <c r="RGX77" s="26"/>
      <c r="RGY77" s="26"/>
      <c r="RGZ77" s="26"/>
      <c r="RHA77" s="26"/>
      <c r="RHB77" s="26"/>
      <c r="RHC77" s="58"/>
      <c r="RHD77" s="26"/>
      <c r="RHE77" s="26"/>
      <c r="RHF77" s="26"/>
      <c r="RHG77" s="26"/>
      <c r="RHH77" s="22"/>
      <c r="RHI77" s="167"/>
      <c r="RHJ77" s="30"/>
      <c r="RHK77" s="25"/>
      <c r="RHL77" s="178"/>
      <c r="RHM77" s="26"/>
      <c r="RHN77" s="26"/>
      <c r="RHO77" s="26"/>
      <c r="RHP77" s="26"/>
      <c r="RHQ77" s="26"/>
      <c r="RHR77" s="26"/>
      <c r="RHS77" s="58"/>
      <c r="RHT77" s="26"/>
      <c r="RHU77" s="26"/>
      <c r="RHV77" s="26"/>
      <c r="RHW77" s="26"/>
      <c r="RHX77" s="22"/>
      <c r="RHY77" s="167"/>
      <c r="RHZ77" s="30"/>
      <c r="RIA77" s="25"/>
      <c r="RIB77" s="178"/>
      <c r="RIC77" s="26"/>
      <c r="RID77" s="26"/>
      <c r="RIE77" s="26"/>
      <c r="RIF77" s="26"/>
      <c r="RIG77" s="26"/>
      <c r="RIH77" s="26"/>
      <c r="RII77" s="58"/>
      <c r="RIJ77" s="26"/>
      <c r="RIK77" s="26"/>
      <c r="RIL77" s="26"/>
      <c r="RIM77" s="26"/>
      <c r="RIN77" s="22"/>
      <c r="RIO77" s="167"/>
      <c r="RIP77" s="30"/>
      <c r="RIQ77" s="25"/>
      <c r="RIR77" s="178"/>
      <c r="RIS77" s="26"/>
      <c r="RIT77" s="26"/>
      <c r="RIU77" s="26"/>
      <c r="RIV77" s="26"/>
      <c r="RIW77" s="26"/>
      <c r="RIX77" s="26"/>
      <c r="RIY77" s="58"/>
      <c r="RIZ77" s="26"/>
      <c r="RJA77" s="26"/>
      <c r="RJB77" s="26"/>
      <c r="RJC77" s="26"/>
      <c r="RJD77" s="22"/>
      <c r="RJE77" s="167"/>
      <c r="RJF77" s="30"/>
      <c r="RJG77" s="25"/>
      <c r="RJH77" s="178"/>
      <c r="RJI77" s="26"/>
      <c r="RJJ77" s="26"/>
      <c r="RJK77" s="26"/>
      <c r="RJL77" s="26"/>
      <c r="RJM77" s="26"/>
      <c r="RJN77" s="26"/>
      <c r="RJO77" s="58"/>
      <c r="RJP77" s="26"/>
      <c r="RJQ77" s="26"/>
      <c r="RJR77" s="26"/>
      <c r="RJS77" s="26"/>
      <c r="RJT77" s="22"/>
      <c r="RJU77" s="167"/>
      <c r="RJV77" s="30"/>
      <c r="RJW77" s="25"/>
      <c r="RJX77" s="178"/>
      <c r="RJY77" s="26"/>
      <c r="RJZ77" s="26"/>
      <c r="RKA77" s="26"/>
      <c r="RKB77" s="26"/>
      <c r="RKC77" s="26"/>
      <c r="RKD77" s="26"/>
      <c r="RKE77" s="58"/>
      <c r="RKF77" s="26"/>
      <c r="RKG77" s="26"/>
      <c r="RKH77" s="26"/>
      <c r="RKI77" s="26"/>
      <c r="RKJ77" s="22"/>
      <c r="RKK77" s="167"/>
      <c r="RKL77" s="30"/>
      <c r="RKM77" s="25"/>
      <c r="RKN77" s="178"/>
      <c r="RKO77" s="26"/>
      <c r="RKP77" s="26"/>
      <c r="RKQ77" s="26"/>
      <c r="RKR77" s="26"/>
      <c r="RKS77" s="26"/>
      <c r="RKT77" s="26"/>
      <c r="RKU77" s="58"/>
      <c r="RKV77" s="26"/>
      <c r="RKW77" s="26"/>
      <c r="RKX77" s="26"/>
      <c r="RKY77" s="26"/>
      <c r="RKZ77" s="22"/>
      <c r="RLA77" s="167"/>
      <c r="RLB77" s="30"/>
      <c r="RLC77" s="25"/>
      <c r="RLD77" s="178"/>
      <c r="RLE77" s="26"/>
      <c r="RLF77" s="26"/>
      <c r="RLG77" s="26"/>
      <c r="RLH77" s="26"/>
      <c r="RLI77" s="26"/>
      <c r="RLJ77" s="26"/>
      <c r="RLK77" s="58"/>
      <c r="RLL77" s="26"/>
      <c r="RLM77" s="26"/>
      <c r="RLN77" s="26"/>
      <c r="RLO77" s="26"/>
      <c r="RLP77" s="22"/>
      <c r="RLQ77" s="167"/>
      <c r="RLR77" s="30"/>
      <c r="RLS77" s="25"/>
      <c r="RLT77" s="178"/>
      <c r="RLU77" s="26"/>
      <c r="RLV77" s="26"/>
      <c r="RLW77" s="26"/>
      <c r="RLX77" s="26"/>
      <c r="RLY77" s="26"/>
      <c r="RLZ77" s="26"/>
      <c r="RMA77" s="58"/>
      <c r="RMB77" s="26"/>
      <c r="RMC77" s="26"/>
      <c r="RMD77" s="26"/>
      <c r="RME77" s="26"/>
      <c r="RMF77" s="22"/>
      <c r="RMG77" s="167"/>
      <c r="RMH77" s="30"/>
      <c r="RMI77" s="25"/>
      <c r="RMJ77" s="178"/>
      <c r="RMK77" s="26"/>
      <c r="RML77" s="26"/>
      <c r="RMM77" s="26"/>
      <c r="RMN77" s="26"/>
      <c r="RMO77" s="26"/>
      <c r="RMP77" s="26"/>
      <c r="RMQ77" s="58"/>
      <c r="RMR77" s="26"/>
      <c r="RMS77" s="26"/>
      <c r="RMT77" s="26"/>
      <c r="RMU77" s="26"/>
      <c r="RMV77" s="22"/>
      <c r="RMW77" s="167"/>
      <c r="RMX77" s="30"/>
      <c r="RMY77" s="25"/>
      <c r="RMZ77" s="178"/>
      <c r="RNA77" s="26"/>
      <c r="RNB77" s="26"/>
      <c r="RNC77" s="26"/>
      <c r="RND77" s="26"/>
      <c r="RNE77" s="26"/>
      <c r="RNF77" s="26"/>
      <c r="RNG77" s="58"/>
      <c r="RNH77" s="26"/>
      <c r="RNI77" s="26"/>
      <c r="RNJ77" s="26"/>
      <c r="RNK77" s="26"/>
      <c r="RNL77" s="22"/>
      <c r="RNM77" s="167"/>
      <c r="RNN77" s="30"/>
      <c r="RNO77" s="25"/>
      <c r="RNP77" s="178"/>
      <c r="RNQ77" s="26"/>
      <c r="RNR77" s="26"/>
      <c r="RNS77" s="26"/>
      <c r="RNT77" s="26"/>
      <c r="RNU77" s="26"/>
      <c r="RNV77" s="26"/>
      <c r="RNW77" s="58"/>
      <c r="RNX77" s="26"/>
      <c r="RNY77" s="26"/>
      <c r="RNZ77" s="26"/>
      <c r="ROA77" s="26"/>
      <c r="ROB77" s="22"/>
      <c r="ROC77" s="167"/>
      <c r="ROD77" s="30"/>
      <c r="ROE77" s="25"/>
      <c r="ROF77" s="178"/>
      <c r="ROG77" s="26"/>
      <c r="ROH77" s="26"/>
      <c r="ROI77" s="26"/>
      <c r="ROJ77" s="26"/>
      <c r="ROK77" s="26"/>
      <c r="ROL77" s="26"/>
      <c r="ROM77" s="58"/>
      <c r="RON77" s="26"/>
      <c r="ROO77" s="26"/>
      <c r="ROP77" s="26"/>
      <c r="ROQ77" s="26"/>
      <c r="ROR77" s="22"/>
      <c r="ROS77" s="167"/>
      <c r="ROT77" s="30"/>
      <c r="ROU77" s="25"/>
      <c r="ROV77" s="178"/>
      <c r="ROW77" s="26"/>
      <c r="ROX77" s="26"/>
      <c r="ROY77" s="26"/>
      <c r="ROZ77" s="26"/>
      <c r="RPA77" s="26"/>
      <c r="RPB77" s="26"/>
      <c r="RPC77" s="58"/>
      <c r="RPD77" s="26"/>
      <c r="RPE77" s="26"/>
      <c r="RPF77" s="26"/>
      <c r="RPG77" s="26"/>
      <c r="RPH77" s="22"/>
      <c r="RPI77" s="167"/>
      <c r="RPJ77" s="30"/>
      <c r="RPK77" s="25"/>
      <c r="RPL77" s="178"/>
      <c r="RPM77" s="26"/>
      <c r="RPN77" s="26"/>
      <c r="RPO77" s="26"/>
      <c r="RPP77" s="26"/>
      <c r="RPQ77" s="26"/>
      <c r="RPR77" s="26"/>
      <c r="RPS77" s="58"/>
      <c r="RPT77" s="26"/>
      <c r="RPU77" s="26"/>
      <c r="RPV77" s="26"/>
      <c r="RPW77" s="26"/>
      <c r="RPX77" s="22"/>
      <c r="RPY77" s="167"/>
      <c r="RPZ77" s="30"/>
      <c r="RQA77" s="25"/>
      <c r="RQB77" s="178"/>
      <c r="RQC77" s="26"/>
      <c r="RQD77" s="26"/>
      <c r="RQE77" s="26"/>
      <c r="RQF77" s="26"/>
      <c r="RQG77" s="26"/>
      <c r="RQH77" s="26"/>
      <c r="RQI77" s="58"/>
      <c r="RQJ77" s="26"/>
      <c r="RQK77" s="26"/>
      <c r="RQL77" s="26"/>
      <c r="RQM77" s="26"/>
      <c r="RQN77" s="22"/>
      <c r="RQO77" s="167"/>
      <c r="RQP77" s="30"/>
      <c r="RQQ77" s="25"/>
      <c r="RQR77" s="178"/>
      <c r="RQS77" s="26"/>
      <c r="RQT77" s="26"/>
      <c r="RQU77" s="26"/>
      <c r="RQV77" s="26"/>
      <c r="RQW77" s="26"/>
      <c r="RQX77" s="26"/>
      <c r="RQY77" s="58"/>
      <c r="RQZ77" s="26"/>
      <c r="RRA77" s="26"/>
      <c r="RRB77" s="26"/>
      <c r="RRC77" s="26"/>
      <c r="RRD77" s="22"/>
      <c r="RRE77" s="167"/>
      <c r="RRF77" s="30"/>
      <c r="RRG77" s="25"/>
      <c r="RRH77" s="178"/>
      <c r="RRI77" s="26"/>
      <c r="RRJ77" s="26"/>
      <c r="RRK77" s="26"/>
      <c r="RRL77" s="26"/>
      <c r="RRM77" s="26"/>
      <c r="RRN77" s="26"/>
      <c r="RRO77" s="58"/>
      <c r="RRP77" s="26"/>
      <c r="RRQ77" s="26"/>
      <c r="RRR77" s="26"/>
      <c r="RRS77" s="26"/>
      <c r="RRT77" s="22"/>
      <c r="RRU77" s="167"/>
      <c r="RRV77" s="30"/>
      <c r="RRW77" s="25"/>
      <c r="RRX77" s="178"/>
      <c r="RRY77" s="26"/>
      <c r="RRZ77" s="26"/>
      <c r="RSA77" s="26"/>
      <c r="RSB77" s="26"/>
      <c r="RSC77" s="26"/>
      <c r="RSD77" s="26"/>
      <c r="RSE77" s="58"/>
      <c r="RSF77" s="26"/>
      <c r="RSG77" s="26"/>
      <c r="RSH77" s="26"/>
      <c r="RSI77" s="26"/>
      <c r="RSJ77" s="22"/>
      <c r="RSK77" s="167"/>
      <c r="RSL77" s="30"/>
      <c r="RSM77" s="25"/>
      <c r="RSN77" s="178"/>
      <c r="RSO77" s="26"/>
      <c r="RSP77" s="26"/>
      <c r="RSQ77" s="26"/>
      <c r="RSR77" s="26"/>
      <c r="RSS77" s="26"/>
      <c r="RST77" s="26"/>
      <c r="RSU77" s="58"/>
      <c r="RSV77" s="26"/>
      <c r="RSW77" s="26"/>
      <c r="RSX77" s="26"/>
      <c r="RSY77" s="26"/>
      <c r="RSZ77" s="22"/>
      <c r="RTA77" s="167"/>
      <c r="RTB77" s="30"/>
      <c r="RTC77" s="25"/>
      <c r="RTD77" s="178"/>
      <c r="RTE77" s="26"/>
      <c r="RTF77" s="26"/>
      <c r="RTG77" s="26"/>
      <c r="RTH77" s="26"/>
      <c r="RTI77" s="26"/>
      <c r="RTJ77" s="26"/>
      <c r="RTK77" s="58"/>
      <c r="RTL77" s="26"/>
      <c r="RTM77" s="26"/>
      <c r="RTN77" s="26"/>
      <c r="RTO77" s="26"/>
      <c r="RTP77" s="22"/>
      <c r="RTQ77" s="167"/>
      <c r="RTR77" s="30"/>
      <c r="RTS77" s="25"/>
      <c r="RTT77" s="178"/>
      <c r="RTU77" s="26"/>
      <c r="RTV77" s="26"/>
      <c r="RTW77" s="26"/>
      <c r="RTX77" s="26"/>
      <c r="RTY77" s="26"/>
      <c r="RTZ77" s="26"/>
      <c r="RUA77" s="58"/>
      <c r="RUB77" s="26"/>
      <c r="RUC77" s="26"/>
      <c r="RUD77" s="26"/>
      <c r="RUE77" s="26"/>
      <c r="RUF77" s="22"/>
      <c r="RUG77" s="167"/>
      <c r="RUH77" s="30"/>
      <c r="RUI77" s="25"/>
      <c r="RUJ77" s="178"/>
      <c r="RUK77" s="26"/>
      <c r="RUL77" s="26"/>
      <c r="RUM77" s="26"/>
      <c r="RUN77" s="26"/>
      <c r="RUO77" s="26"/>
      <c r="RUP77" s="26"/>
      <c r="RUQ77" s="58"/>
      <c r="RUR77" s="26"/>
      <c r="RUS77" s="26"/>
      <c r="RUT77" s="26"/>
      <c r="RUU77" s="26"/>
      <c r="RUV77" s="22"/>
      <c r="RUW77" s="167"/>
      <c r="RUX77" s="30"/>
      <c r="RUY77" s="25"/>
      <c r="RUZ77" s="178"/>
      <c r="RVA77" s="26"/>
      <c r="RVB77" s="26"/>
      <c r="RVC77" s="26"/>
      <c r="RVD77" s="26"/>
      <c r="RVE77" s="26"/>
      <c r="RVF77" s="26"/>
      <c r="RVG77" s="58"/>
      <c r="RVH77" s="26"/>
      <c r="RVI77" s="26"/>
      <c r="RVJ77" s="26"/>
      <c r="RVK77" s="26"/>
      <c r="RVL77" s="22"/>
      <c r="RVM77" s="167"/>
      <c r="RVN77" s="30"/>
      <c r="RVO77" s="25"/>
      <c r="RVP77" s="178"/>
      <c r="RVQ77" s="26"/>
      <c r="RVR77" s="26"/>
      <c r="RVS77" s="26"/>
      <c r="RVT77" s="26"/>
      <c r="RVU77" s="26"/>
      <c r="RVV77" s="26"/>
      <c r="RVW77" s="58"/>
      <c r="RVX77" s="26"/>
      <c r="RVY77" s="26"/>
      <c r="RVZ77" s="26"/>
      <c r="RWA77" s="26"/>
      <c r="RWB77" s="22"/>
      <c r="RWC77" s="167"/>
      <c r="RWD77" s="30"/>
      <c r="RWE77" s="25"/>
      <c r="RWF77" s="178"/>
      <c r="RWG77" s="26"/>
      <c r="RWH77" s="26"/>
      <c r="RWI77" s="26"/>
      <c r="RWJ77" s="26"/>
      <c r="RWK77" s="26"/>
      <c r="RWL77" s="26"/>
      <c r="RWM77" s="58"/>
      <c r="RWN77" s="26"/>
      <c r="RWO77" s="26"/>
      <c r="RWP77" s="26"/>
      <c r="RWQ77" s="26"/>
      <c r="RWR77" s="22"/>
      <c r="RWS77" s="167"/>
      <c r="RWT77" s="30"/>
      <c r="RWU77" s="25"/>
      <c r="RWV77" s="178"/>
      <c r="RWW77" s="26"/>
      <c r="RWX77" s="26"/>
      <c r="RWY77" s="26"/>
      <c r="RWZ77" s="26"/>
      <c r="RXA77" s="26"/>
      <c r="RXB77" s="26"/>
      <c r="RXC77" s="58"/>
      <c r="RXD77" s="26"/>
      <c r="RXE77" s="26"/>
      <c r="RXF77" s="26"/>
      <c r="RXG77" s="26"/>
      <c r="RXH77" s="22"/>
      <c r="RXI77" s="167"/>
      <c r="RXJ77" s="30"/>
      <c r="RXK77" s="25"/>
      <c r="RXL77" s="178"/>
      <c r="RXM77" s="26"/>
      <c r="RXN77" s="26"/>
      <c r="RXO77" s="26"/>
      <c r="RXP77" s="26"/>
      <c r="RXQ77" s="26"/>
      <c r="RXR77" s="26"/>
      <c r="RXS77" s="58"/>
      <c r="RXT77" s="26"/>
      <c r="RXU77" s="26"/>
      <c r="RXV77" s="26"/>
      <c r="RXW77" s="26"/>
      <c r="RXX77" s="22"/>
      <c r="RXY77" s="167"/>
      <c r="RXZ77" s="30"/>
      <c r="RYA77" s="25"/>
      <c r="RYB77" s="178"/>
      <c r="RYC77" s="26"/>
      <c r="RYD77" s="26"/>
      <c r="RYE77" s="26"/>
      <c r="RYF77" s="26"/>
      <c r="RYG77" s="26"/>
      <c r="RYH77" s="26"/>
      <c r="RYI77" s="58"/>
      <c r="RYJ77" s="26"/>
      <c r="RYK77" s="26"/>
      <c r="RYL77" s="26"/>
      <c r="RYM77" s="26"/>
      <c r="RYN77" s="22"/>
      <c r="RYO77" s="167"/>
      <c r="RYP77" s="30"/>
      <c r="RYQ77" s="25"/>
      <c r="RYR77" s="178"/>
      <c r="RYS77" s="26"/>
      <c r="RYT77" s="26"/>
      <c r="RYU77" s="26"/>
      <c r="RYV77" s="26"/>
      <c r="RYW77" s="26"/>
      <c r="RYX77" s="26"/>
      <c r="RYY77" s="58"/>
      <c r="RYZ77" s="26"/>
      <c r="RZA77" s="26"/>
      <c r="RZB77" s="26"/>
      <c r="RZC77" s="26"/>
      <c r="RZD77" s="22"/>
      <c r="RZE77" s="167"/>
      <c r="RZF77" s="30"/>
      <c r="RZG77" s="25"/>
      <c r="RZH77" s="178"/>
      <c r="RZI77" s="26"/>
      <c r="RZJ77" s="26"/>
      <c r="RZK77" s="26"/>
      <c r="RZL77" s="26"/>
      <c r="RZM77" s="26"/>
      <c r="RZN77" s="26"/>
      <c r="RZO77" s="58"/>
      <c r="RZP77" s="26"/>
      <c r="RZQ77" s="26"/>
      <c r="RZR77" s="26"/>
      <c r="RZS77" s="26"/>
      <c r="RZT77" s="22"/>
      <c r="RZU77" s="167"/>
      <c r="RZV77" s="30"/>
      <c r="RZW77" s="25"/>
      <c r="RZX77" s="178"/>
      <c r="RZY77" s="26"/>
      <c r="RZZ77" s="26"/>
      <c r="SAA77" s="26"/>
      <c r="SAB77" s="26"/>
      <c r="SAC77" s="26"/>
      <c r="SAD77" s="26"/>
      <c r="SAE77" s="58"/>
      <c r="SAF77" s="26"/>
      <c r="SAG77" s="26"/>
      <c r="SAH77" s="26"/>
      <c r="SAI77" s="26"/>
      <c r="SAJ77" s="22"/>
      <c r="SAK77" s="167"/>
      <c r="SAL77" s="30"/>
      <c r="SAM77" s="25"/>
      <c r="SAN77" s="178"/>
      <c r="SAO77" s="26"/>
      <c r="SAP77" s="26"/>
      <c r="SAQ77" s="26"/>
      <c r="SAR77" s="26"/>
      <c r="SAS77" s="26"/>
      <c r="SAT77" s="26"/>
      <c r="SAU77" s="58"/>
      <c r="SAV77" s="26"/>
      <c r="SAW77" s="26"/>
      <c r="SAX77" s="26"/>
      <c r="SAY77" s="26"/>
      <c r="SAZ77" s="22"/>
      <c r="SBA77" s="167"/>
      <c r="SBB77" s="30"/>
      <c r="SBC77" s="25"/>
      <c r="SBD77" s="178"/>
      <c r="SBE77" s="26"/>
      <c r="SBF77" s="26"/>
      <c r="SBG77" s="26"/>
      <c r="SBH77" s="26"/>
      <c r="SBI77" s="26"/>
      <c r="SBJ77" s="26"/>
      <c r="SBK77" s="58"/>
      <c r="SBL77" s="26"/>
      <c r="SBM77" s="26"/>
      <c r="SBN77" s="26"/>
      <c r="SBO77" s="26"/>
      <c r="SBP77" s="22"/>
      <c r="SBQ77" s="167"/>
      <c r="SBR77" s="30"/>
      <c r="SBS77" s="25"/>
      <c r="SBT77" s="178"/>
      <c r="SBU77" s="26"/>
      <c r="SBV77" s="26"/>
      <c r="SBW77" s="26"/>
      <c r="SBX77" s="26"/>
      <c r="SBY77" s="26"/>
      <c r="SBZ77" s="26"/>
      <c r="SCA77" s="58"/>
      <c r="SCB77" s="26"/>
      <c r="SCC77" s="26"/>
      <c r="SCD77" s="26"/>
      <c r="SCE77" s="26"/>
      <c r="SCF77" s="22"/>
      <c r="SCG77" s="167"/>
      <c r="SCH77" s="30"/>
      <c r="SCI77" s="25"/>
      <c r="SCJ77" s="178"/>
      <c r="SCK77" s="26"/>
      <c r="SCL77" s="26"/>
      <c r="SCM77" s="26"/>
      <c r="SCN77" s="26"/>
      <c r="SCO77" s="26"/>
      <c r="SCP77" s="26"/>
      <c r="SCQ77" s="58"/>
      <c r="SCR77" s="26"/>
      <c r="SCS77" s="26"/>
      <c r="SCT77" s="26"/>
      <c r="SCU77" s="26"/>
      <c r="SCV77" s="22"/>
      <c r="SCW77" s="167"/>
      <c r="SCX77" s="30"/>
      <c r="SCY77" s="25"/>
      <c r="SCZ77" s="178"/>
      <c r="SDA77" s="26"/>
      <c r="SDB77" s="26"/>
      <c r="SDC77" s="26"/>
      <c r="SDD77" s="26"/>
      <c r="SDE77" s="26"/>
      <c r="SDF77" s="26"/>
      <c r="SDG77" s="58"/>
      <c r="SDH77" s="26"/>
      <c r="SDI77" s="26"/>
      <c r="SDJ77" s="26"/>
      <c r="SDK77" s="26"/>
      <c r="SDL77" s="22"/>
      <c r="SDM77" s="167"/>
      <c r="SDN77" s="30"/>
      <c r="SDO77" s="25"/>
      <c r="SDP77" s="178"/>
      <c r="SDQ77" s="26"/>
      <c r="SDR77" s="26"/>
      <c r="SDS77" s="26"/>
      <c r="SDT77" s="26"/>
      <c r="SDU77" s="26"/>
      <c r="SDV77" s="26"/>
      <c r="SDW77" s="58"/>
      <c r="SDX77" s="26"/>
      <c r="SDY77" s="26"/>
      <c r="SDZ77" s="26"/>
      <c r="SEA77" s="26"/>
      <c r="SEB77" s="22"/>
      <c r="SEC77" s="167"/>
      <c r="SED77" s="30"/>
      <c r="SEE77" s="25"/>
      <c r="SEF77" s="178"/>
      <c r="SEG77" s="26"/>
      <c r="SEH77" s="26"/>
      <c r="SEI77" s="26"/>
      <c r="SEJ77" s="26"/>
      <c r="SEK77" s="26"/>
      <c r="SEL77" s="26"/>
      <c r="SEM77" s="58"/>
      <c r="SEN77" s="26"/>
      <c r="SEO77" s="26"/>
      <c r="SEP77" s="26"/>
      <c r="SEQ77" s="26"/>
      <c r="SER77" s="22"/>
      <c r="SES77" s="167"/>
      <c r="SET77" s="30"/>
      <c r="SEU77" s="25"/>
      <c r="SEV77" s="178"/>
      <c r="SEW77" s="26"/>
      <c r="SEX77" s="26"/>
      <c r="SEY77" s="26"/>
      <c r="SEZ77" s="26"/>
      <c r="SFA77" s="26"/>
      <c r="SFB77" s="26"/>
      <c r="SFC77" s="58"/>
      <c r="SFD77" s="26"/>
      <c r="SFE77" s="26"/>
      <c r="SFF77" s="26"/>
      <c r="SFG77" s="26"/>
      <c r="SFH77" s="22"/>
      <c r="SFI77" s="167"/>
      <c r="SFJ77" s="30"/>
      <c r="SFK77" s="25"/>
      <c r="SFL77" s="178"/>
      <c r="SFM77" s="26"/>
      <c r="SFN77" s="26"/>
      <c r="SFO77" s="26"/>
      <c r="SFP77" s="26"/>
      <c r="SFQ77" s="26"/>
      <c r="SFR77" s="26"/>
      <c r="SFS77" s="58"/>
      <c r="SFT77" s="26"/>
      <c r="SFU77" s="26"/>
      <c r="SFV77" s="26"/>
      <c r="SFW77" s="26"/>
      <c r="SFX77" s="22"/>
      <c r="SFY77" s="167"/>
      <c r="SFZ77" s="30"/>
      <c r="SGA77" s="25"/>
      <c r="SGB77" s="178"/>
      <c r="SGC77" s="26"/>
      <c r="SGD77" s="26"/>
      <c r="SGE77" s="26"/>
      <c r="SGF77" s="26"/>
      <c r="SGG77" s="26"/>
      <c r="SGH77" s="26"/>
      <c r="SGI77" s="58"/>
      <c r="SGJ77" s="26"/>
      <c r="SGK77" s="26"/>
      <c r="SGL77" s="26"/>
      <c r="SGM77" s="26"/>
      <c r="SGN77" s="22"/>
      <c r="SGO77" s="167"/>
      <c r="SGP77" s="30"/>
      <c r="SGQ77" s="25"/>
      <c r="SGR77" s="178"/>
      <c r="SGS77" s="26"/>
      <c r="SGT77" s="26"/>
      <c r="SGU77" s="26"/>
      <c r="SGV77" s="26"/>
      <c r="SGW77" s="26"/>
      <c r="SGX77" s="26"/>
      <c r="SGY77" s="58"/>
      <c r="SGZ77" s="26"/>
      <c r="SHA77" s="26"/>
      <c r="SHB77" s="26"/>
      <c r="SHC77" s="26"/>
      <c r="SHD77" s="22"/>
      <c r="SHE77" s="167"/>
      <c r="SHF77" s="30"/>
      <c r="SHG77" s="25"/>
      <c r="SHH77" s="178"/>
      <c r="SHI77" s="26"/>
      <c r="SHJ77" s="26"/>
      <c r="SHK77" s="26"/>
      <c r="SHL77" s="26"/>
      <c r="SHM77" s="26"/>
      <c r="SHN77" s="26"/>
      <c r="SHO77" s="58"/>
      <c r="SHP77" s="26"/>
      <c r="SHQ77" s="26"/>
      <c r="SHR77" s="26"/>
      <c r="SHS77" s="26"/>
      <c r="SHT77" s="22"/>
      <c r="SHU77" s="167"/>
      <c r="SHV77" s="30"/>
      <c r="SHW77" s="25"/>
      <c r="SHX77" s="178"/>
      <c r="SHY77" s="26"/>
      <c r="SHZ77" s="26"/>
      <c r="SIA77" s="26"/>
      <c r="SIB77" s="26"/>
      <c r="SIC77" s="26"/>
      <c r="SID77" s="26"/>
      <c r="SIE77" s="58"/>
      <c r="SIF77" s="26"/>
      <c r="SIG77" s="26"/>
      <c r="SIH77" s="26"/>
      <c r="SII77" s="26"/>
      <c r="SIJ77" s="22"/>
      <c r="SIK77" s="167"/>
      <c r="SIL77" s="30"/>
      <c r="SIM77" s="25"/>
      <c r="SIN77" s="178"/>
      <c r="SIO77" s="26"/>
      <c r="SIP77" s="26"/>
      <c r="SIQ77" s="26"/>
      <c r="SIR77" s="26"/>
      <c r="SIS77" s="26"/>
      <c r="SIT77" s="26"/>
      <c r="SIU77" s="58"/>
      <c r="SIV77" s="26"/>
      <c r="SIW77" s="26"/>
      <c r="SIX77" s="26"/>
      <c r="SIY77" s="26"/>
      <c r="SIZ77" s="22"/>
      <c r="SJA77" s="167"/>
      <c r="SJB77" s="30"/>
      <c r="SJC77" s="25"/>
      <c r="SJD77" s="178"/>
      <c r="SJE77" s="26"/>
      <c r="SJF77" s="26"/>
      <c r="SJG77" s="26"/>
      <c r="SJH77" s="26"/>
      <c r="SJI77" s="26"/>
      <c r="SJJ77" s="26"/>
      <c r="SJK77" s="58"/>
      <c r="SJL77" s="26"/>
      <c r="SJM77" s="26"/>
      <c r="SJN77" s="26"/>
      <c r="SJO77" s="26"/>
      <c r="SJP77" s="22"/>
      <c r="SJQ77" s="167"/>
      <c r="SJR77" s="30"/>
      <c r="SJS77" s="25"/>
      <c r="SJT77" s="178"/>
      <c r="SJU77" s="26"/>
      <c r="SJV77" s="26"/>
      <c r="SJW77" s="26"/>
      <c r="SJX77" s="26"/>
      <c r="SJY77" s="26"/>
      <c r="SJZ77" s="26"/>
      <c r="SKA77" s="58"/>
      <c r="SKB77" s="26"/>
      <c r="SKC77" s="26"/>
      <c r="SKD77" s="26"/>
      <c r="SKE77" s="26"/>
      <c r="SKF77" s="22"/>
      <c r="SKG77" s="167"/>
      <c r="SKH77" s="30"/>
      <c r="SKI77" s="25"/>
      <c r="SKJ77" s="178"/>
      <c r="SKK77" s="26"/>
      <c r="SKL77" s="26"/>
      <c r="SKM77" s="26"/>
      <c r="SKN77" s="26"/>
      <c r="SKO77" s="26"/>
      <c r="SKP77" s="26"/>
      <c r="SKQ77" s="58"/>
      <c r="SKR77" s="26"/>
      <c r="SKS77" s="26"/>
      <c r="SKT77" s="26"/>
      <c r="SKU77" s="26"/>
      <c r="SKV77" s="22"/>
      <c r="SKW77" s="167"/>
      <c r="SKX77" s="30"/>
      <c r="SKY77" s="25"/>
      <c r="SKZ77" s="178"/>
      <c r="SLA77" s="26"/>
      <c r="SLB77" s="26"/>
      <c r="SLC77" s="26"/>
      <c r="SLD77" s="26"/>
      <c r="SLE77" s="26"/>
      <c r="SLF77" s="26"/>
      <c r="SLG77" s="58"/>
      <c r="SLH77" s="26"/>
      <c r="SLI77" s="26"/>
      <c r="SLJ77" s="26"/>
      <c r="SLK77" s="26"/>
      <c r="SLL77" s="22"/>
      <c r="SLM77" s="167"/>
      <c r="SLN77" s="30"/>
      <c r="SLO77" s="25"/>
      <c r="SLP77" s="178"/>
      <c r="SLQ77" s="26"/>
      <c r="SLR77" s="26"/>
      <c r="SLS77" s="26"/>
      <c r="SLT77" s="26"/>
      <c r="SLU77" s="26"/>
      <c r="SLV77" s="26"/>
      <c r="SLW77" s="58"/>
      <c r="SLX77" s="26"/>
      <c r="SLY77" s="26"/>
      <c r="SLZ77" s="26"/>
      <c r="SMA77" s="26"/>
      <c r="SMB77" s="22"/>
      <c r="SMC77" s="167"/>
      <c r="SMD77" s="30"/>
      <c r="SME77" s="25"/>
      <c r="SMF77" s="178"/>
      <c r="SMG77" s="26"/>
      <c r="SMH77" s="26"/>
      <c r="SMI77" s="26"/>
      <c r="SMJ77" s="26"/>
      <c r="SMK77" s="26"/>
      <c r="SML77" s="26"/>
      <c r="SMM77" s="58"/>
      <c r="SMN77" s="26"/>
      <c r="SMO77" s="26"/>
      <c r="SMP77" s="26"/>
      <c r="SMQ77" s="26"/>
      <c r="SMR77" s="22"/>
      <c r="SMS77" s="167"/>
      <c r="SMT77" s="30"/>
      <c r="SMU77" s="25"/>
      <c r="SMV77" s="178"/>
      <c r="SMW77" s="26"/>
      <c r="SMX77" s="26"/>
      <c r="SMY77" s="26"/>
      <c r="SMZ77" s="26"/>
      <c r="SNA77" s="26"/>
      <c r="SNB77" s="26"/>
      <c r="SNC77" s="58"/>
      <c r="SND77" s="26"/>
      <c r="SNE77" s="26"/>
      <c r="SNF77" s="26"/>
      <c r="SNG77" s="26"/>
      <c r="SNH77" s="22"/>
      <c r="SNI77" s="167"/>
      <c r="SNJ77" s="30"/>
      <c r="SNK77" s="25"/>
      <c r="SNL77" s="178"/>
      <c r="SNM77" s="26"/>
      <c r="SNN77" s="26"/>
      <c r="SNO77" s="26"/>
      <c r="SNP77" s="26"/>
      <c r="SNQ77" s="26"/>
      <c r="SNR77" s="26"/>
      <c r="SNS77" s="58"/>
      <c r="SNT77" s="26"/>
      <c r="SNU77" s="26"/>
      <c r="SNV77" s="26"/>
      <c r="SNW77" s="26"/>
      <c r="SNX77" s="22"/>
      <c r="SNY77" s="167"/>
      <c r="SNZ77" s="30"/>
      <c r="SOA77" s="25"/>
      <c r="SOB77" s="178"/>
      <c r="SOC77" s="26"/>
      <c r="SOD77" s="26"/>
      <c r="SOE77" s="26"/>
      <c r="SOF77" s="26"/>
      <c r="SOG77" s="26"/>
      <c r="SOH77" s="26"/>
      <c r="SOI77" s="58"/>
      <c r="SOJ77" s="26"/>
      <c r="SOK77" s="26"/>
      <c r="SOL77" s="26"/>
      <c r="SOM77" s="26"/>
      <c r="SON77" s="22"/>
      <c r="SOO77" s="167"/>
      <c r="SOP77" s="30"/>
      <c r="SOQ77" s="25"/>
      <c r="SOR77" s="178"/>
      <c r="SOS77" s="26"/>
      <c r="SOT77" s="26"/>
      <c r="SOU77" s="26"/>
      <c r="SOV77" s="26"/>
      <c r="SOW77" s="26"/>
      <c r="SOX77" s="26"/>
      <c r="SOY77" s="58"/>
      <c r="SOZ77" s="26"/>
      <c r="SPA77" s="26"/>
      <c r="SPB77" s="26"/>
      <c r="SPC77" s="26"/>
      <c r="SPD77" s="22"/>
      <c r="SPE77" s="167"/>
      <c r="SPF77" s="30"/>
      <c r="SPG77" s="25"/>
      <c r="SPH77" s="178"/>
      <c r="SPI77" s="26"/>
      <c r="SPJ77" s="26"/>
      <c r="SPK77" s="26"/>
      <c r="SPL77" s="26"/>
      <c r="SPM77" s="26"/>
      <c r="SPN77" s="26"/>
      <c r="SPO77" s="58"/>
      <c r="SPP77" s="26"/>
      <c r="SPQ77" s="26"/>
      <c r="SPR77" s="26"/>
      <c r="SPS77" s="26"/>
      <c r="SPT77" s="22"/>
      <c r="SPU77" s="167"/>
      <c r="SPV77" s="30"/>
      <c r="SPW77" s="25"/>
      <c r="SPX77" s="178"/>
      <c r="SPY77" s="26"/>
      <c r="SPZ77" s="26"/>
      <c r="SQA77" s="26"/>
      <c r="SQB77" s="26"/>
      <c r="SQC77" s="26"/>
      <c r="SQD77" s="26"/>
      <c r="SQE77" s="58"/>
      <c r="SQF77" s="26"/>
      <c r="SQG77" s="26"/>
      <c r="SQH77" s="26"/>
      <c r="SQI77" s="26"/>
      <c r="SQJ77" s="22"/>
      <c r="SQK77" s="167"/>
      <c r="SQL77" s="30"/>
      <c r="SQM77" s="25"/>
      <c r="SQN77" s="178"/>
      <c r="SQO77" s="26"/>
      <c r="SQP77" s="26"/>
      <c r="SQQ77" s="26"/>
      <c r="SQR77" s="26"/>
      <c r="SQS77" s="26"/>
      <c r="SQT77" s="26"/>
      <c r="SQU77" s="58"/>
      <c r="SQV77" s="26"/>
      <c r="SQW77" s="26"/>
      <c r="SQX77" s="26"/>
      <c r="SQY77" s="26"/>
      <c r="SQZ77" s="22"/>
      <c r="SRA77" s="167"/>
      <c r="SRB77" s="30"/>
      <c r="SRC77" s="25"/>
      <c r="SRD77" s="178"/>
      <c r="SRE77" s="26"/>
      <c r="SRF77" s="26"/>
      <c r="SRG77" s="26"/>
      <c r="SRH77" s="26"/>
      <c r="SRI77" s="26"/>
      <c r="SRJ77" s="26"/>
      <c r="SRK77" s="58"/>
      <c r="SRL77" s="26"/>
      <c r="SRM77" s="26"/>
      <c r="SRN77" s="26"/>
      <c r="SRO77" s="26"/>
      <c r="SRP77" s="22"/>
      <c r="SRQ77" s="167"/>
      <c r="SRR77" s="30"/>
      <c r="SRS77" s="25"/>
      <c r="SRT77" s="178"/>
      <c r="SRU77" s="26"/>
      <c r="SRV77" s="26"/>
      <c r="SRW77" s="26"/>
      <c r="SRX77" s="26"/>
      <c r="SRY77" s="26"/>
      <c r="SRZ77" s="26"/>
      <c r="SSA77" s="58"/>
      <c r="SSB77" s="26"/>
      <c r="SSC77" s="26"/>
      <c r="SSD77" s="26"/>
      <c r="SSE77" s="26"/>
      <c r="SSF77" s="22"/>
      <c r="SSG77" s="167"/>
      <c r="SSH77" s="30"/>
      <c r="SSI77" s="25"/>
      <c r="SSJ77" s="178"/>
      <c r="SSK77" s="26"/>
      <c r="SSL77" s="26"/>
      <c r="SSM77" s="26"/>
      <c r="SSN77" s="26"/>
      <c r="SSO77" s="26"/>
      <c r="SSP77" s="26"/>
      <c r="SSQ77" s="58"/>
      <c r="SSR77" s="26"/>
      <c r="SSS77" s="26"/>
      <c r="SST77" s="26"/>
      <c r="SSU77" s="26"/>
      <c r="SSV77" s="22"/>
      <c r="SSW77" s="167"/>
      <c r="SSX77" s="30"/>
      <c r="SSY77" s="25"/>
      <c r="SSZ77" s="178"/>
      <c r="STA77" s="26"/>
      <c r="STB77" s="26"/>
      <c r="STC77" s="26"/>
      <c r="STD77" s="26"/>
      <c r="STE77" s="26"/>
      <c r="STF77" s="26"/>
      <c r="STG77" s="58"/>
      <c r="STH77" s="26"/>
      <c r="STI77" s="26"/>
      <c r="STJ77" s="26"/>
      <c r="STK77" s="26"/>
      <c r="STL77" s="22"/>
      <c r="STM77" s="167"/>
      <c r="STN77" s="30"/>
      <c r="STO77" s="25"/>
      <c r="STP77" s="178"/>
      <c r="STQ77" s="26"/>
      <c r="STR77" s="26"/>
      <c r="STS77" s="26"/>
      <c r="STT77" s="26"/>
      <c r="STU77" s="26"/>
      <c r="STV77" s="26"/>
      <c r="STW77" s="58"/>
      <c r="STX77" s="26"/>
      <c r="STY77" s="26"/>
      <c r="STZ77" s="26"/>
      <c r="SUA77" s="26"/>
      <c r="SUB77" s="22"/>
      <c r="SUC77" s="167"/>
      <c r="SUD77" s="30"/>
      <c r="SUE77" s="25"/>
      <c r="SUF77" s="178"/>
      <c r="SUG77" s="26"/>
      <c r="SUH77" s="26"/>
      <c r="SUI77" s="26"/>
      <c r="SUJ77" s="26"/>
      <c r="SUK77" s="26"/>
      <c r="SUL77" s="26"/>
      <c r="SUM77" s="58"/>
      <c r="SUN77" s="26"/>
      <c r="SUO77" s="26"/>
      <c r="SUP77" s="26"/>
      <c r="SUQ77" s="26"/>
      <c r="SUR77" s="22"/>
      <c r="SUS77" s="167"/>
      <c r="SUT77" s="30"/>
      <c r="SUU77" s="25"/>
      <c r="SUV77" s="178"/>
      <c r="SUW77" s="26"/>
      <c r="SUX77" s="26"/>
      <c r="SUY77" s="26"/>
      <c r="SUZ77" s="26"/>
      <c r="SVA77" s="26"/>
      <c r="SVB77" s="26"/>
      <c r="SVC77" s="58"/>
      <c r="SVD77" s="26"/>
      <c r="SVE77" s="26"/>
      <c r="SVF77" s="26"/>
      <c r="SVG77" s="26"/>
      <c r="SVH77" s="22"/>
      <c r="SVI77" s="167"/>
      <c r="SVJ77" s="30"/>
      <c r="SVK77" s="25"/>
      <c r="SVL77" s="178"/>
      <c r="SVM77" s="26"/>
      <c r="SVN77" s="26"/>
      <c r="SVO77" s="26"/>
      <c r="SVP77" s="26"/>
      <c r="SVQ77" s="26"/>
      <c r="SVR77" s="26"/>
      <c r="SVS77" s="58"/>
      <c r="SVT77" s="26"/>
      <c r="SVU77" s="26"/>
      <c r="SVV77" s="26"/>
      <c r="SVW77" s="26"/>
      <c r="SVX77" s="22"/>
      <c r="SVY77" s="167"/>
      <c r="SVZ77" s="30"/>
      <c r="SWA77" s="25"/>
      <c r="SWB77" s="178"/>
      <c r="SWC77" s="26"/>
      <c r="SWD77" s="26"/>
      <c r="SWE77" s="26"/>
      <c r="SWF77" s="26"/>
      <c r="SWG77" s="26"/>
      <c r="SWH77" s="26"/>
      <c r="SWI77" s="58"/>
      <c r="SWJ77" s="26"/>
      <c r="SWK77" s="26"/>
      <c r="SWL77" s="26"/>
      <c r="SWM77" s="26"/>
      <c r="SWN77" s="22"/>
      <c r="SWO77" s="167"/>
      <c r="SWP77" s="30"/>
      <c r="SWQ77" s="25"/>
      <c r="SWR77" s="178"/>
      <c r="SWS77" s="26"/>
      <c r="SWT77" s="26"/>
      <c r="SWU77" s="26"/>
      <c r="SWV77" s="26"/>
      <c r="SWW77" s="26"/>
      <c r="SWX77" s="26"/>
      <c r="SWY77" s="58"/>
      <c r="SWZ77" s="26"/>
      <c r="SXA77" s="26"/>
      <c r="SXB77" s="26"/>
      <c r="SXC77" s="26"/>
      <c r="SXD77" s="22"/>
      <c r="SXE77" s="167"/>
      <c r="SXF77" s="30"/>
      <c r="SXG77" s="25"/>
      <c r="SXH77" s="178"/>
      <c r="SXI77" s="26"/>
      <c r="SXJ77" s="26"/>
      <c r="SXK77" s="26"/>
      <c r="SXL77" s="26"/>
      <c r="SXM77" s="26"/>
      <c r="SXN77" s="26"/>
      <c r="SXO77" s="58"/>
      <c r="SXP77" s="26"/>
      <c r="SXQ77" s="26"/>
      <c r="SXR77" s="26"/>
      <c r="SXS77" s="26"/>
      <c r="SXT77" s="22"/>
      <c r="SXU77" s="167"/>
      <c r="SXV77" s="30"/>
      <c r="SXW77" s="25"/>
      <c r="SXX77" s="178"/>
      <c r="SXY77" s="26"/>
      <c r="SXZ77" s="26"/>
      <c r="SYA77" s="26"/>
      <c r="SYB77" s="26"/>
      <c r="SYC77" s="26"/>
      <c r="SYD77" s="26"/>
      <c r="SYE77" s="58"/>
      <c r="SYF77" s="26"/>
      <c r="SYG77" s="26"/>
      <c r="SYH77" s="26"/>
      <c r="SYI77" s="26"/>
      <c r="SYJ77" s="22"/>
      <c r="SYK77" s="167"/>
      <c r="SYL77" s="30"/>
      <c r="SYM77" s="25"/>
      <c r="SYN77" s="178"/>
      <c r="SYO77" s="26"/>
      <c r="SYP77" s="26"/>
      <c r="SYQ77" s="26"/>
      <c r="SYR77" s="26"/>
      <c r="SYS77" s="26"/>
      <c r="SYT77" s="26"/>
      <c r="SYU77" s="58"/>
      <c r="SYV77" s="26"/>
      <c r="SYW77" s="26"/>
      <c r="SYX77" s="26"/>
      <c r="SYY77" s="26"/>
      <c r="SYZ77" s="22"/>
      <c r="SZA77" s="167"/>
      <c r="SZB77" s="30"/>
      <c r="SZC77" s="25"/>
      <c r="SZD77" s="178"/>
      <c r="SZE77" s="26"/>
      <c r="SZF77" s="26"/>
      <c r="SZG77" s="26"/>
      <c r="SZH77" s="26"/>
      <c r="SZI77" s="26"/>
      <c r="SZJ77" s="26"/>
      <c r="SZK77" s="58"/>
      <c r="SZL77" s="26"/>
      <c r="SZM77" s="26"/>
      <c r="SZN77" s="26"/>
      <c r="SZO77" s="26"/>
      <c r="SZP77" s="22"/>
      <c r="SZQ77" s="167"/>
      <c r="SZR77" s="30"/>
      <c r="SZS77" s="25"/>
      <c r="SZT77" s="178"/>
      <c r="SZU77" s="26"/>
      <c r="SZV77" s="26"/>
      <c r="SZW77" s="26"/>
      <c r="SZX77" s="26"/>
      <c r="SZY77" s="26"/>
      <c r="SZZ77" s="26"/>
      <c r="TAA77" s="58"/>
      <c r="TAB77" s="26"/>
      <c r="TAC77" s="26"/>
      <c r="TAD77" s="26"/>
      <c r="TAE77" s="26"/>
      <c r="TAF77" s="22"/>
      <c r="TAG77" s="167"/>
      <c r="TAH77" s="30"/>
      <c r="TAI77" s="25"/>
      <c r="TAJ77" s="178"/>
      <c r="TAK77" s="26"/>
      <c r="TAL77" s="26"/>
      <c r="TAM77" s="26"/>
      <c r="TAN77" s="26"/>
      <c r="TAO77" s="26"/>
      <c r="TAP77" s="26"/>
      <c r="TAQ77" s="58"/>
      <c r="TAR77" s="26"/>
      <c r="TAS77" s="26"/>
      <c r="TAT77" s="26"/>
      <c r="TAU77" s="26"/>
      <c r="TAV77" s="22"/>
      <c r="TAW77" s="167"/>
      <c r="TAX77" s="30"/>
      <c r="TAY77" s="25"/>
      <c r="TAZ77" s="178"/>
      <c r="TBA77" s="26"/>
      <c r="TBB77" s="26"/>
      <c r="TBC77" s="26"/>
      <c r="TBD77" s="26"/>
      <c r="TBE77" s="26"/>
      <c r="TBF77" s="26"/>
      <c r="TBG77" s="58"/>
      <c r="TBH77" s="26"/>
      <c r="TBI77" s="26"/>
      <c r="TBJ77" s="26"/>
      <c r="TBK77" s="26"/>
      <c r="TBL77" s="22"/>
      <c r="TBM77" s="167"/>
      <c r="TBN77" s="30"/>
      <c r="TBO77" s="25"/>
      <c r="TBP77" s="178"/>
      <c r="TBQ77" s="26"/>
      <c r="TBR77" s="26"/>
      <c r="TBS77" s="26"/>
      <c r="TBT77" s="26"/>
      <c r="TBU77" s="26"/>
      <c r="TBV77" s="26"/>
      <c r="TBW77" s="58"/>
      <c r="TBX77" s="26"/>
      <c r="TBY77" s="26"/>
      <c r="TBZ77" s="26"/>
      <c r="TCA77" s="26"/>
      <c r="TCB77" s="22"/>
      <c r="TCC77" s="167"/>
      <c r="TCD77" s="30"/>
      <c r="TCE77" s="25"/>
      <c r="TCF77" s="178"/>
      <c r="TCG77" s="26"/>
      <c r="TCH77" s="26"/>
      <c r="TCI77" s="26"/>
      <c r="TCJ77" s="26"/>
      <c r="TCK77" s="26"/>
      <c r="TCL77" s="26"/>
      <c r="TCM77" s="58"/>
      <c r="TCN77" s="26"/>
      <c r="TCO77" s="26"/>
      <c r="TCP77" s="26"/>
      <c r="TCQ77" s="26"/>
      <c r="TCR77" s="22"/>
      <c r="TCS77" s="167"/>
      <c r="TCT77" s="30"/>
      <c r="TCU77" s="25"/>
      <c r="TCV77" s="178"/>
      <c r="TCW77" s="26"/>
      <c r="TCX77" s="26"/>
      <c r="TCY77" s="26"/>
      <c r="TCZ77" s="26"/>
      <c r="TDA77" s="26"/>
      <c r="TDB77" s="26"/>
      <c r="TDC77" s="58"/>
      <c r="TDD77" s="26"/>
      <c r="TDE77" s="26"/>
      <c r="TDF77" s="26"/>
      <c r="TDG77" s="26"/>
      <c r="TDH77" s="22"/>
      <c r="TDI77" s="167"/>
      <c r="TDJ77" s="30"/>
      <c r="TDK77" s="25"/>
      <c r="TDL77" s="178"/>
      <c r="TDM77" s="26"/>
      <c r="TDN77" s="26"/>
      <c r="TDO77" s="26"/>
      <c r="TDP77" s="26"/>
      <c r="TDQ77" s="26"/>
      <c r="TDR77" s="26"/>
      <c r="TDS77" s="58"/>
      <c r="TDT77" s="26"/>
      <c r="TDU77" s="26"/>
      <c r="TDV77" s="26"/>
      <c r="TDW77" s="26"/>
      <c r="TDX77" s="22"/>
      <c r="TDY77" s="167"/>
      <c r="TDZ77" s="30"/>
      <c r="TEA77" s="25"/>
      <c r="TEB77" s="178"/>
      <c r="TEC77" s="26"/>
      <c r="TED77" s="26"/>
      <c r="TEE77" s="26"/>
      <c r="TEF77" s="26"/>
      <c r="TEG77" s="26"/>
      <c r="TEH77" s="26"/>
      <c r="TEI77" s="58"/>
      <c r="TEJ77" s="26"/>
      <c r="TEK77" s="26"/>
      <c r="TEL77" s="26"/>
      <c r="TEM77" s="26"/>
      <c r="TEN77" s="22"/>
      <c r="TEO77" s="167"/>
      <c r="TEP77" s="30"/>
      <c r="TEQ77" s="25"/>
      <c r="TER77" s="178"/>
      <c r="TES77" s="26"/>
      <c r="TET77" s="26"/>
      <c r="TEU77" s="26"/>
      <c r="TEV77" s="26"/>
      <c r="TEW77" s="26"/>
      <c r="TEX77" s="26"/>
      <c r="TEY77" s="58"/>
      <c r="TEZ77" s="26"/>
      <c r="TFA77" s="26"/>
      <c r="TFB77" s="26"/>
      <c r="TFC77" s="26"/>
      <c r="TFD77" s="22"/>
      <c r="TFE77" s="167"/>
      <c r="TFF77" s="30"/>
      <c r="TFG77" s="25"/>
      <c r="TFH77" s="178"/>
      <c r="TFI77" s="26"/>
      <c r="TFJ77" s="26"/>
      <c r="TFK77" s="26"/>
      <c r="TFL77" s="26"/>
      <c r="TFM77" s="26"/>
      <c r="TFN77" s="26"/>
      <c r="TFO77" s="58"/>
      <c r="TFP77" s="26"/>
      <c r="TFQ77" s="26"/>
      <c r="TFR77" s="26"/>
      <c r="TFS77" s="26"/>
      <c r="TFT77" s="22"/>
      <c r="TFU77" s="167"/>
      <c r="TFV77" s="30"/>
      <c r="TFW77" s="25"/>
      <c r="TFX77" s="178"/>
      <c r="TFY77" s="26"/>
      <c r="TFZ77" s="26"/>
      <c r="TGA77" s="26"/>
      <c r="TGB77" s="26"/>
      <c r="TGC77" s="26"/>
      <c r="TGD77" s="26"/>
      <c r="TGE77" s="58"/>
      <c r="TGF77" s="26"/>
      <c r="TGG77" s="26"/>
      <c r="TGH77" s="26"/>
      <c r="TGI77" s="26"/>
      <c r="TGJ77" s="22"/>
      <c r="TGK77" s="167"/>
      <c r="TGL77" s="30"/>
      <c r="TGM77" s="25"/>
      <c r="TGN77" s="178"/>
      <c r="TGO77" s="26"/>
      <c r="TGP77" s="26"/>
      <c r="TGQ77" s="26"/>
      <c r="TGR77" s="26"/>
      <c r="TGS77" s="26"/>
      <c r="TGT77" s="26"/>
      <c r="TGU77" s="58"/>
      <c r="TGV77" s="26"/>
      <c r="TGW77" s="26"/>
      <c r="TGX77" s="26"/>
      <c r="TGY77" s="26"/>
      <c r="TGZ77" s="22"/>
      <c r="THA77" s="167"/>
      <c r="THB77" s="30"/>
      <c r="THC77" s="25"/>
      <c r="THD77" s="178"/>
      <c r="THE77" s="26"/>
      <c r="THF77" s="26"/>
      <c r="THG77" s="26"/>
      <c r="THH77" s="26"/>
      <c r="THI77" s="26"/>
      <c r="THJ77" s="26"/>
      <c r="THK77" s="58"/>
      <c r="THL77" s="26"/>
      <c r="THM77" s="26"/>
      <c r="THN77" s="26"/>
      <c r="THO77" s="26"/>
      <c r="THP77" s="22"/>
      <c r="THQ77" s="167"/>
      <c r="THR77" s="30"/>
      <c r="THS77" s="25"/>
      <c r="THT77" s="178"/>
      <c r="THU77" s="26"/>
      <c r="THV77" s="26"/>
      <c r="THW77" s="26"/>
      <c r="THX77" s="26"/>
      <c r="THY77" s="26"/>
      <c r="THZ77" s="26"/>
      <c r="TIA77" s="58"/>
      <c r="TIB77" s="26"/>
      <c r="TIC77" s="26"/>
      <c r="TID77" s="26"/>
      <c r="TIE77" s="26"/>
      <c r="TIF77" s="22"/>
      <c r="TIG77" s="167"/>
      <c r="TIH77" s="30"/>
      <c r="TII77" s="25"/>
      <c r="TIJ77" s="178"/>
      <c r="TIK77" s="26"/>
      <c r="TIL77" s="26"/>
      <c r="TIM77" s="26"/>
      <c r="TIN77" s="26"/>
      <c r="TIO77" s="26"/>
      <c r="TIP77" s="26"/>
      <c r="TIQ77" s="58"/>
      <c r="TIR77" s="26"/>
      <c r="TIS77" s="26"/>
      <c r="TIT77" s="26"/>
      <c r="TIU77" s="26"/>
      <c r="TIV77" s="22"/>
      <c r="TIW77" s="167"/>
      <c r="TIX77" s="30"/>
      <c r="TIY77" s="25"/>
      <c r="TIZ77" s="178"/>
      <c r="TJA77" s="26"/>
      <c r="TJB77" s="26"/>
      <c r="TJC77" s="26"/>
      <c r="TJD77" s="26"/>
      <c r="TJE77" s="26"/>
      <c r="TJF77" s="26"/>
      <c r="TJG77" s="58"/>
      <c r="TJH77" s="26"/>
      <c r="TJI77" s="26"/>
      <c r="TJJ77" s="26"/>
      <c r="TJK77" s="26"/>
      <c r="TJL77" s="22"/>
      <c r="TJM77" s="167"/>
      <c r="TJN77" s="30"/>
      <c r="TJO77" s="25"/>
      <c r="TJP77" s="178"/>
      <c r="TJQ77" s="26"/>
      <c r="TJR77" s="26"/>
      <c r="TJS77" s="26"/>
      <c r="TJT77" s="26"/>
      <c r="TJU77" s="26"/>
      <c r="TJV77" s="26"/>
      <c r="TJW77" s="58"/>
      <c r="TJX77" s="26"/>
      <c r="TJY77" s="26"/>
      <c r="TJZ77" s="26"/>
      <c r="TKA77" s="26"/>
      <c r="TKB77" s="22"/>
      <c r="TKC77" s="167"/>
      <c r="TKD77" s="30"/>
      <c r="TKE77" s="25"/>
      <c r="TKF77" s="178"/>
      <c r="TKG77" s="26"/>
      <c r="TKH77" s="26"/>
      <c r="TKI77" s="26"/>
      <c r="TKJ77" s="26"/>
      <c r="TKK77" s="26"/>
      <c r="TKL77" s="26"/>
      <c r="TKM77" s="58"/>
      <c r="TKN77" s="26"/>
      <c r="TKO77" s="26"/>
      <c r="TKP77" s="26"/>
      <c r="TKQ77" s="26"/>
      <c r="TKR77" s="22"/>
      <c r="TKS77" s="167"/>
      <c r="TKT77" s="30"/>
      <c r="TKU77" s="25"/>
      <c r="TKV77" s="178"/>
      <c r="TKW77" s="26"/>
      <c r="TKX77" s="26"/>
      <c r="TKY77" s="26"/>
      <c r="TKZ77" s="26"/>
      <c r="TLA77" s="26"/>
      <c r="TLB77" s="26"/>
      <c r="TLC77" s="58"/>
      <c r="TLD77" s="26"/>
      <c r="TLE77" s="26"/>
      <c r="TLF77" s="26"/>
      <c r="TLG77" s="26"/>
      <c r="TLH77" s="22"/>
      <c r="TLI77" s="167"/>
      <c r="TLJ77" s="30"/>
      <c r="TLK77" s="25"/>
      <c r="TLL77" s="178"/>
      <c r="TLM77" s="26"/>
      <c r="TLN77" s="26"/>
      <c r="TLO77" s="26"/>
      <c r="TLP77" s="26"/>
      <c r="TLQ77" s="26"/>
      <c r="TLR77" s="26"/>
      <c r="TLS77" s="58"/>
      <c r="TLT77" s="26"/>
      <c r="TLU77" s="26"/>
      <c r="TLV77" s="26"/>
      <c r="TLW77" s="26"/>
      <c r="TLX77" s="22"/>
      <c r="TLY77" s="167"/>
      <c r="TLZ77" s="30"/>
      <c r="TMA77" s="25"/>
      <c r="TMB77" s="178"/>
      <c r="TMC77" s="26"/>
      <c r="TMD77" s="26"/>
      <c r="TME77" s="26"/>
      <c r="TMF77" s="26"/>
      <c r="TMG77" s="26"/>
      <c r="TMH77" s="26"/>
      <c r="TMI77" s="58"/>
      <c r="TMJ77" s="26"/>
      <c r="TMK77" s="26"/>
      <c r="TML77" s="26"/>
      <c r="TMM77" s="26"/>
      <c r="TMN77" s="22"/>
      <c r="TMO77" s="167"/>
      <c r="TMP77" s="30"/>
      <c r="TMQ77" s="25"/>
      <c r="TMR77" s="178"/>
      <c r="TMS77" s="26"/>
      <c r="TMT77" s="26"/>
      <c r="TMU77" s="26"/>
      <c r="TMV77" s="26"/>
      <c r="TMW77" s="26"/>
      <c r="TMX77" s="26"/>
      <c r="TMY77" s="58"/>
      <c r="TMZ77" s="26"/>
      <c r="TNA77" s="26"/>
      <c r="TNB77" s="26"/>
      <c r="TNC77" s="26"/>
      <c r="TND77" s="22"/>
      <c r="TNE77" s="167"/>
      <c r="TNF77" s="30"/>
      <c r="TNG77" s="25"/>
      <c r="TNH77" s="178"/>
      <c r="TNI77" s="26"/>
      <c r="TNJ77" s="26"/>
      <c r="TNK77" s="26"/>
      <c r="TNL77" s="26"/>
      <c r="TNM77" s="26"/>
      <c r="TNN77" s="26"/>
      <c r="TNO77" s="58"/>
      <c r="TNP77" s="26"/>
      <c r="TNQ77" s="26"/>
      <c r="TNR77" s="26"/>
      <c r="TNS77" s="26"/>
      <c r="TNT77" s="22"/>
      <c r="TNU77" s="167"/>
      <c r="TNV77" s="30"/>
      <c r="TNW77" s="25"/>
      <c r="TNX77" s="178"/>
      <c r="TNY77" s="26"/>
      <c r="TNZ77" s="26"/>
      <c r="TOA77" s="26"/>
      <c r="TOB77" s="26"/>
      <c r="TOC77" s="26"/>
      <c r="TOD77" s="26"/>
      <c r="TOE77" s="58"/>
      <c r="TOF77" s="26"/>
      <c r="TOG77" s="26"/>
      <c r="TOH77" s="26"/>
      <c r="TOI77" s="26"/>
      <c r="TOJ77" s="22"/>
      <c r="TOK77" s="167"/>
      <c r="TOL77" s="30"/>
      <c r="TOM77" s="25"/>
      <c r="TON77" s="178"/>
      <c r="TOO77" s="26"/>
      <c r="TOP77" s="26"/>
      <c r="TOQ77" s="26"/>
      <c r="TOR77" s="26"/>
      <c r="TOS77" s="26"/>
      <c r="TOT77" s="26"/>
      <c r="TOU77" s="58"/>
      <c r="TOV77" s="26"/>
      <c r="TOW77" s="26"/>
      <c r="TOX77" s="26"/>
      <c r="TOY77" s="26"/>
      <c r="TOZ77" s="22"/>
      <c r="TPA77" s="167"/>
      <c r="TPB77" s="30"/>
      <c r="TPC77" s="25"/>
      <c r="TPD77" s="178"/>
      <c r="TPE77" s="26"/>
      <c r="TPF77" s="26"/>
      <c r="TPG77" s="26"/>
      <c r="TPH77" s="26"/>
      <c r="TPI77" s="26"/>
      <c r="TPJ77" s="26"/>
      <c r="TPK77" s="58"/>
      <c r="TPL77" s="26"/>
      <c r="TPM77" s="26"/>
      <c r="TPN77" s="26"/>
      <c r="TPO77" s="26"/>
      <c r="TPP77" s="22"/>
      <c r="TPQ77" s="167"/>
      <c r="TPR77" s="30"/>
      <c r="TPS77" s="25"/>
      <c r="TPT77" s="178"/>
      <c r="TPU77" s="26"/>
      <c r="TPV77" s="26"/>
      <c r="TPW77" s="26"/>
      <c r="TPX77" s="26"/>
      <c r="TPY77" s="26"/>
      <c r="TPZ77" s="26"/>
      <c r="TQA77" s="58"/>
      <c r="TQB77" s="26"/>
      <c r="TQC77" s="26"/>
      <c r="TQD77" s="26"/>
      <c r="TQE77" s="26"/>
      <c r="TQF77" s="22"/>
      <c r="TQG77" s="167"/>
      <c r="TQH77" s="30"/>
      <c r="TQI77" s="25"/>
      <c r="TQJ77" s="178"/>
      <c r="TQK77" s="26"/>
      <c r="TQL77" s="26"/>
      <c r="TQM77" s="26"/>
      <c r="TQN77" s="26"/>
      <c r="TQO77" s="26"/>
      <c r="TQP77" s="26"/>
      <c r="TQQ77" s="58"/>
      <c r="TQR77" s="26"/>
      <c r="TQS77" s="26"/>
      <c r="TQT77" s="26"/>
      <c r="TQU77" s="26"/>
      <c r="TQV77" s="22"/>
      <c r="TQW77" s="167"/>
      <c r="TQX77" s="30"/>
      <c r="TQY77" s="25"/>
      <c r="TQZ77" s="178"/>
      <c r="TRA77" s="26"/>
      <c r="TRB77" s="26"/>
      <c r="TRC77" s="26"/>
      <c r="TRD77" s="26"/>
      <c r="TRE77" s="26"/>
      <c r="TRF77" s="26"/>
      <c r="TRG77" s="58"/>
      <c r="TRH77" s="26"/>
      <c r="TRI77" s="26"/>
      <c r="TRJ77" s="26"/>
      <c r="TRK77" s="26"/>
      <c r="TRL77" s="22"/>
      <c r="TRM77" s="167"/>
      <c r="TRN77" s="30"/>
      <c r="TRO77" s="25"/>
      <c r="TRP77" s="178"/>
      <c r="TRQ77" s="26"/>
      <c r="TRR77" s="26"/>
      <c r="TRS77" s="26"/>
      <c r="TRT77" s="26"/>
      <c r="TRU77" s="26"/>
      <c r="TRV77" s="26"/>
      <c r="TRW77" s="58"/>
      <c r="TRX77" s="26"/>
      <c r="TRY77" s="26"/>
      <c r="TRZ77" s="26"/>
      <c r="TSA77" s="26"/>
      <c r="TSB77" s="22"/>
      <c r="TSC77" s="167"/>
      <c r="TSD77" s="30"/>
      <c r="TSE77" s="25"/>
      <c r="TSF77" s="178"/>
      <c r="TSG77" s="26"/>
      <c r="TSH77" s="26"/>
      <c r="TSI77" s="26"/>
      <c r="TSJ77" s="26"/>
      <c r="TSK77" s="26"/>
      <c r="TSL77" s="26"/>
      <c r="TSM77" s="58"/>
      <c r="TSN77" s="26"/>
      <c r="TSO77" s="26"/>
      <c r="TSP77" s="26"/>
      <c r="TSQ77" s="26"/>
      <c r="TSR77" s="22"/>
      <c r="TSS77" s="167"/>
      <c r="TST77" s="30"/>
      <c r="TSU77" s="25"/>
      <c r="TSV77" s="178"/>
      <c r="TSW77" s="26"/>
      <c r="TSX77" s="26"/>
      <c r="TSY77" s="26"/>
      <c r="TSZ77" s="26"/>
      <c r="TTA77" s="26"/>
      <c r="TTB77" s="26"/>
      <c r="TTC77" s="58"/>
      <c r="TTD77" s="26"/>
      <c r="TTE77" s="26"/>
      <c r="TTF77" s="26"/>
      <c r="TTG77" s="26"/>
      <c r="TTH77" s="22"/>
      <c r="TTI77" s="167"/>
      <c r="TTJ77" s="30"/>
      <c r="TTK77" s="25"/>
      <c r="TTL77" s="178"/>
      <c r="TTM77" s="26"/>
      <c r="TTN77" s="26"/>
      <c r="TTO77" s="26"/>
      <c r="TTP77" s="26"/>
      <c r="TTQ77" s="26"/>
      <c r="TTR77" s="26"/>
      <c r="TTS77" s="58"/>
      <c r="TTT77" s="26"/>
      <c r="TTU77" s="26"/>
      <c r="TTV77" s="26"/>
      <c r="TTW77" s="26"/>
      <c r="TTX77" s="22"/>
      <c r="TTY77" s="167"/>
      <c r="TTZ77" s="30"/>
      <c r="TUA77" s="25"/>
      <c r="TUB77" s="178"/>
      <c r="TUC77" s="26"/>
      <c r="TUD77" s="26"/>
      <c r="TUE77" s="26"/>
      <c r="TUF77" s="26"/>
      <c r="TUG77" s="26"/>
      <c r="TUH77" s="26"/>
      <c r="TUI77" s="58"/>
      <c r="TUJ77" s="26"/>
      <c r="TUK77" s="26"/>
      <c r="TUL77" s="26"/>
      <c r="TUM77" s="26"/>
      <c r="TUN77" s="22"/>
      <c r="TUO77" s="167"/>
      <c r="TUP77" s="30"/>
      <c r="TUQ77" s="25"/>
      <c r="TUR77" s="178"/>
      <c r="TUS77" s="26"/>
      <c r="TUT77" s="26"/>
      <c r="TUU77" s="26"/>
      <c r="TUV77" s="26"/>
      <c r="TUW77" s="26"/>
      <c r="TUX77" s="26"/>
      <c r="TUY77" s="58"/>
      <c r="TUZ77" s="26"/>
      <c r="TVA77" s="26"/>
      <c r="TVB77" s="26"/>
      <c r="TVC77" s="26"/>
      <c r="TVD77" s="22"/>
      <c r="TVE77" s="167"/>
      <c r="TVF77" s="30"/>
      <c r="TVG77" s="25"/>
      <c r="TVH77" s="178"/>
      <c r="TVI77" s="26"/>
      <c r="TVJ77" s="26"/>
      <c r="TVK77" s="26"/>
      <c r="TVL77" s="26"/>
      <c r="TVM77" s="26"/>
      <c r="TVN77" s="26"/>
      <c r="TVO77" s="58"/>
      <c r="TVP77" s="26"/>
      <c r="TVQ77" s="26"/>
      <c r="TVR77" s="26"/>
      <c r="TVS77" s="26"/>
      <c r="TVT77" s="22"/>
      <c r="TVU77" s="167"/>
      <c r="TVV77" s="30"/>
      <c r="TVW77" s="25"/>
      <c r="TVX77" s="178"/>
      <c r="TVY77" s="26"/>
      <c r="TVZ77" s="26"/>
      <c r="TWA77" s="26"/>
      <c r="TWB77" s="26"/>
      <c r="TWC77" s="26"/>
      <c r="TWD77" s="26"/>
      <c r="TWE77" s="58"/>
      <c r="TWF77" s="26"/>
      <c r="TWG77" s="26"/>
      <c r="TWH77" s="26"/>
      <c r="TWI77" s="26"/>
      <c r="TWJ77" s="22"/>
      <c r="TWK77" s="167"/>
      <c r="TWL77" s="30"/>
      <c r="TWM77" s="25"/>
      <c r="TWN77" s="178"/>
      <c r="TWO77" s="26"/>
      <c r="TWP77" s="26"/>
      <c r="TWQ77" s="26"/>
      <c r="TWR77" s="26"/>
      <c r="TWS77" s="26"/>
      <c r="TWT77" s="26"/>
      <c r="TWU77" s="58"/>
      <c r="TWV77" s="26"/>
      <c r="TWW77" s="26"/>
      <c r="TWX77" s="26"/>
      <c r="TWY77" s="26"/>
      <c r="TWZ77" s="22"/>
      <c r="TXA77" s="167"/>
      <c r="TXB77" s="30"/>
      <c r="TXC77" s="25"/>
      <c r="TXD77" s="178"/>
      <c r="TXE77" s="26"/>
      <c r="TXF77" s="26"/>
      <c r="TXG77" s="26"/>
      <c r="TXH77" s="26"/>
      <c r="TXI77" s="26"/>
      <c r="TXJ77" s="26"/>
      <c r="TXK77" s="58"/>
      <c r="TXL77" s="26"/>
      <c r="TXM77" s="26"/>
      <c r="TXN77" s="26"/>
      <c r="TXO77" s="26"/>
      <c r="TXP77" s="22"/>
      <c r="TXQ77" s="167"/>
      <c r="TXR77" s="30"/>
      <c r="TXS77" s="25"/>
      <c r="TXT77" s="178"/>
      <c r="TXU77" s="26"/>
      <c r="TXV77" s="26"/>
      <c r="TXW77" s="26"/>
      <c r="TXX77" s="26"/>
      <c r="TXY77" s="26"/>
      <c r="TXZ77" s="26"/>
      <c r="TYA77" s="58"/>
      <c r="TYB77" s="26"/>
      <c r="TYC77" s="26"/>
      <c r="TYD77" s="26"/>
      <c r="TYE77" s="26"/>
      <c r="TYF77" s="22"/>
      <c r="TYG77" s="167"/>
      <c r="TYH77" s="30"/>
      <c r="TYI77" s="25"/>
      <c r="TYJ77" s="178"/>
      <c r="TYK77" s="26"/>
      <c r="TYL77" s="26"/>
      <c r="TYM77" s="26"/>
      <c r="TYN77" s="26"/>
      <c r="TYO77" s="26"/>
      <c r="TYP77" s="26"/>
      <c r="TYQ77" s="58"/>
      <c r="TYR77" s="26"/>
      <c r="TYS77" s="26"/>
      <c r="TYT77" s="26"/>
      <c r="TYU77" s="26"/>
      <c r="TYV77" s="22"/>
      <c r="TYW77" s="167"/>
      <c r="TYX77" s="30"/>
      <c r="TYY77" s="25"/>
      <c r="TYZ77" s="178"/>
      <c r="TZA77" s="26"/>
      <c r="TZB77" s="26"/>
      <c r="TZC77" s="26"/>
      <c r="TZD77" s="26"/>
      <c r="TZE77" s="26"/>
      <c r="TZF77" s="26"/>
      <c r="TZG77" s="58"/>
      <c r="TZH77" s="26"/>
      <c r="TZI77" s="26"/>
      <c r="TZJ77" s="26"/>
      <c r="TZK77" s="26"/>
      <c r="TZL77" s="22"/>
      <c r="TZM77" s="167"/>
      <c r="TZN77" s="30"/>
      <c r="TZO77" s="25"/>
      <c r="TZP77" s="178"/>
      <c r="TZQ77" s="26"/>
      <c r="TZR77" s="26"/>
      <c r="TZS77" s="26"/>
      <c r="TZT77" s="26"/>
      <c r="TZU77" s="26"/>
      <c r="TZV77" s="26"/>
      <c r="TZW77" s="58"/>
      <c r="TZX77" s="26"/>
      <c r="TZY77" s="26"/>
      <c r="TZZ77" s="26"/>
      <c r="UAA77" s="26"/>
      <c r="UAB77" s="22"/>
      <c r="UAC77" s="167"/>
      <c r="UAD77" s="30"/>
      <c r="UAE77" s="25"/>
      <c r="UAF77" s="178"/>
      <c r="UAG77" s="26"/>
      <c r="UAH77" s="26"/>
      <c r="UAI77" s="26"/>
      <c r="UAJ77" s="26"/>
      <c r="UAK77" s="26"/>
      <c r="UAL77" s="26"/>
      <c r="UAM77" s="58"/>
      <c r="UAN77" s="26"/>
      <c r="UAO77" s="26"/>
      <c r="UAP77" s="26"/>
      <c r="UAQ77" s="26"/>
      <c r="UAR77" s="22"/>
      <c r="UAS77" s="167"/>
      <c r="UAT77" s="30"/>
      <c r="UAU77" s="25"/>
      <c r="UAV77" s="178"/>
      <c r="UAW77" s="26"/>
      <c r="UAX77" s="26"/>
      <c r="UAY77" s="26"/>
      <c r="UAZ77" s="26"/>
      <c r="UBA77" s="26"/>
      <c r="UBB77" s="26"/>
      <c r="UBC77" s="58"/>
      <c r="UBD77" s="26"/>
      <c r="UBE77" s="26"/>
      <c r="UBF77" s="26"/>
      <c r="UBG77" s="26"/>
      <c r="UBH77" s="22"/>
      <c r="UBI77" s="167"/>
      <c r="UBJ77" s="30"/>
      <c r="UBK77" s="25"/>
      <c r="UBL77" s="178"/>
      <c r="UBM77" s="26"/>
      <c r="UBN77" s="26"/>
      <c r="UBO77" s="26"/>
      <c r="UBP77" s="26"/>
      <c r="UBQ77" s="26"/>
      <c r="UBR77" s="26"/>
      <c r="UBS77" s="58"/>
      <c r="UBT77" s="26"/>
      <c r="UBU77" s="26"/>
      <c r="UBV77" s="26"/>
      <c r="UBW77" s="26"/>
      <c r="UBX77" s="22"/>
      <c r="UBY77" s="167"/>
      <c r="UBZ77" s="30"/>
      <c r="UCA77" s="25"/>
      <c r="UCB77" s="178"/>
      <c r="UCC77" s="26"/>
      <c r="UCD77" s="26"/>
      <c r="UCE77" s="26"/>
      <c r="UCF77" s="26"/>
      <c r="UCG77" s="26"/>
      <c r="UCH77" s="26"/>
      <c r="UCI77" s="58"/>
      <c r="UCJ77" s="26"/>
      <c r="UCK77" s="26"/>
      <c r="UCL77" s="26"/>
      <c r="UCM77" s="26"/>
      <c r="UCN77" s="22"/>
      <c r="UCO77" s="167"/>
      <c r="UCP77" s="30"/>
      <c r="UCQ77" s="25"/>
      <c r="UCR77" s="178"/>
      <c r="UCS77" s="26"/>
      <c r="UCT77" s="26"/>
      <c r="UCU77" s="26"/>
      <c r="UCV77" s="26"/>
      <c r="UCW77" s="26"/>
      <c r="UCX77" s="26"/>
      <c r="UCY77" s="58"/>
      <c r="UCZ77" s="26"/>
      <c r="UDA77" s="26"/>
      <c r="UDB77" s="26"/>
      <c r="UDC77" s="26"/>
      <c r="UDD77" s="22"/>
      <c r="UDE77" s="167"/>
      <c r="UDF77" s="30"/>
      <c r="UDG77" s="25"/>
      <c r="UDH77" s="178"/>
      <c r="UDI77" s="26"/>
      <c r="UDJ77" s="26"/>
      <c r="UDK77" s="26"/>
      <c r="UDL77" s="26"/>
      <c r="UDM77" s="26"/>
      <c r="UDN77" s="26"/>
      <c r="UDO77" s="58"/>
      <c r="UDP77" s="26"/>
      <c r="UDQ77" s="26"/>
      <c r="UDR77" s="26"/>
      <c r="UDS77" s="26"/>
      <c r="UDT77" s="22"/>
      <c r="UDU77" s="167"/>
      <c r="UDV77" s="30"/>
      <c r="UDW77" s="25"/>
      <c r="UDX77" s="178"/>
      <c r="UDY77" s="26"/>
      <c r="UDZ77" s="26"/>
      <c r="UEA77" s="26"/>
      <c r="UEB77" s="26"/>
      <c r="UEC77" s="26"/>
      <c r="UED77" s="26"/>
      <c r="UEE77" s="58"/>
      <c r="UEF77" s="26"/>
      <c r="UEG77" s="26"/>
      <c r="UEH77" s="26"/>
      <c r="UEI77" s="26"/>
      <c r="UEJ77" s="22"/>
      <c r="UEK77" s="167"/>
      <c r="UEL77" s="30"/>
      <c r="UEM77" s="25"/>
      <c r="UEN77" s="178"/>
      <c r="UEO77" s="26"/>
      <c r="UEP77" s="26"/>
      <c r="UEQ77" s="26"/>
      <c r="UER77" s="26"/>
      <c r="UES77" s="26"/>
      <c r="UET77" s="26"/>
      <c r="UEU77" s="58"/>
      <c r="UEV77" s="26"/>
      <c r="UEW77" s="26"/>
      <c r="UEX77" s="26"/>
      <c r="UEY77" s="26"/>
      <c r="UEZ77" s="22"/>
      <c r="UFA77" s="167"/>
      <c r="UFB77" s="30"/>
      <c r="UFC77" s="25"/>
      <c r="UFD77" s="178"/>
      <c r="UFE77" s="26"/>
      <c r="UFF77" s="26"/>
      <c r="UFG77" s="26"/>
      <c r="UFH77" s="26"/>
      <c r="UFI77" s="26"/>
      <c r="UFJ77" s="26"/>
      <c r="UFK77" s="58"/>
      <c r="UFL77" s="26"/>
      <c r="UFM77" s="26"/>
      <c r="UFN77" s="26"/>
      <c r="UFO77" s="26"/>
      <c r="UFP77" s="22"/>
      <c r="UFQ77" s="167"/>
      <c r="UFR77" s="30"/>
      <c r="UFS77" s="25"/>
      <c r="UFT77" s="178"/>
      <c r="UFU77" s="26"/>
      <c r="UFV77" s="26"/>
      <c r="UFW77" s="26"/>
      <c r="UFX77" s="26"/>
      <c r="UFY77" s="26"/>
      <c r="UFZ77" s="26"/>
      <c r="UGA77" s="58"/>
      <c r="UGB77" s="26"/>
      <c r="UGC77" s="26"/>
      <c r="UGD77" s="26"/>
      <c r="UGE77" s="26"/>
      <c r="UGF77" s="22"/>
      <c r="UGG77" s="167"/>
      <c r="UGH77" s="30"/>
      <c r="UGI77" s="25"/>
      <c r="UGJ77" s="178"/>
      <c r="UGK77" s="26"/>
      <c r="UGL77" s="26"/>
      <c r="UGM77" s="26"/>
      <c r="UGN77" s="26"/>
      <c r="UGO77" s="26"/>
      <c r="UGP77" s="26"/>
      <c r="UGQ77" s="58"/>
      <c r="UGR77" s="26"/>
      <c r="UGS77" s="26"/>
      <c r="UGT77" s="26"/>
      <c r="UGU77" s="26"/>
      <c r="UGV77" s="22"/>
      <c r="UGW77" s="167"/>
      <c r="UGX77" s="30"/>
      <c r="UGY77" s="25"/>
      <c r="UGZ77" s="178"/>
      <c r="UHA77" s="26"/>
      <c r="UHB77" s="26"/>
      <c r="UHC77" s="26"/>
      <c r="UHD77" s="26"/>
      <c r="UHE77" s="26"/>
      <c r="UHF77" s="26"/>
      <c r="UHG77" s="58"/>
      <c r="UHH77" s="26"/>
      <c r="UHI77" s="26"/>
      <c r="UHJ77" s="26"/>
      <c r="UHK77" s="26"/>
      <c r="UHL77" s="22"/>
      <c r="UHM77" s="167"/>
      <c r="UHN77" s="30"/>
      <c r="UHO77" s="25"/>
      <c r="UHP77" s="178"/>
      <c r="UHQ77" s="26"/>
      <c r="UHR77" s="26"/>
      <c r="UHS77" s="26"/>
      <c r="UHT77" s="26"/>
      <c r="UHU77" s="26"/>
      <c r="UHV77" s="26"/>
      <c r="UHW77" s="58"/>
      <c r="UHX77" s="26"/>
      <c r="UHY77" s="26"/>
      <c r="UHZ77" s="26"/>
      <c r="UIA77" s="26"/>
      <c r="UIB77" s="22"/>
      <c r="UIC77" s="167"/>
      <c r="UID77" s="30"/>
      <c r="UIE77" s="25"/>
      <c r="UIF77" s="178"/>
      <c r="UIG77" s="26"/>
      <c r="UIH77" s="26"/>
      <c r="UII77" s="26"/>
      <c r="UIJ77" s="26"/>
      <c r="UIK77" s="26"/>
      <c r="UIL77" s="26"/>
      <c r="UIM77" s="58"/>
      <c r="UIN77" s="26"/>
      <c r="UIO77" s="26"/>
      <c r="UIP77" s="26"/>
      <c r="UIQ77" s="26"/>
      <c r="UIR77" s="22"/>
      <c r="UIS77" s="167"/>
      <c r="UIT77" s="30"/>
      <c r="UIU77" s="25"/>
      <c r="UIV77" s="178"/>
      <c r="UIW77" s="26"/>
      <c r="UIX77" s="26"/>
      <c r="UIY77" s="26"/>
      <c r="UIZ77" s="26"/>
      <c r="UJA77" s="26"/>
      <c r="UJB77" s="26"/>
      <c r="UJC77" s="58"/>
      <c r="UJD77" s="26"/>
      <c r="UJE77" s="26"/>
      <c r="UJF77" s="26"/>
      <c r="UJG77" s="26"/>
      <c r="UJH77" s="22"/>
      <c r="UJI77" s="167"/>
      <c r="UJJ77" s="30"/>
      <c r="UJK77" s="25"/>
      <c r="UJL77" s="178"/>
      <c r="UJM77" s="26"/>
      <c r="UJN77" s="26"/>
      <c r="UJO77" s="26"/>
      <c r="UJP77" s="26"/>
      <c r="UJQ77" s="26"/>
      <c r="UJR77" s="26"/>
      <c r="UJS77" s="58"/>
      <c r="UJT77" s="26"/>
      <c r="UJU77" s="26"/>
      <c r="UJV77" s="26"/>
      <c r="UJW77" s="26"/>
      <c r="UJX77" s="22"/>
      <c r="UJY77" s="167"/>
      <c r="UJZ77" s="30"/>
      <c r="UKA77" s="25"/>
      <c r="UKB77" s="178"/>
      <c r="UKC77" s="26"/>
      <c r="UKD77" s="26"/>
      <c r="UKE77" s="26"/>
      <c r="UKF77" s="26"/>
      <c r="UKG77" s="26"/>
      <c r="UKH77" s="26"/>
      <c r="UKI77" s="58"/>
      <c r="UKJ77" s="26"/>
      <c r="UKK77" s="26"/>
      <c r="UKL77" s="26"/>
      <c r="UKM77" s="26"/>
      <c r="UKN77" s="22"/>
      <c r="UKO77" s="167"/>
      <c r="UKP77" s="30"/>
      <c r="UKQ77" s="25"/>
      <c r="UKR77" s="178"/>
      <c r="UKS77" s="26"/>
      <c r="UKT77" s="26"/>
      <c r="UKU77" s="26"/>
      <c r="UKV77" s="26"/>
      <c r="UKW77" s="26"/>
      <c r="UKX77" s="26"/>
      <c r="UKY77" s="58"/>
      <c r="UKZ77" s="26"/>
      <c r="ULA77" s="26"/>
      <c r="ULB77" s="26"/>
      <c r="ULC77" s="26"/>
      <c r="ULD77" s="22"/>
      <c r="ULE77" s="167"/>
      <c r="ULF77" s="30"/>
      <c r="ULG77" s="25"/>
      <c r="ULH77" s="178"/>
      <c r="ULI77" s="26"/>
      <c r="ULJ77" s="26"/>
      <c r="ULK77" s="26"/>
      <c r="ULL77" s="26"/>
      <c r="ULM77" s="26"/>
      <c r="ULN77" s="26"/>
      <c r="ULO77" s="58"/>
      <c r="ULP77" s="26"/>
      <c r="ULQ77" s="26"/>
      <c r="ULR77" s="26"/>
      <c r="ULS77" s="26"/>
      <c r="ULT77" s="22"/>
      <c r="ULU77" s="167"/>
      <c r="ULV77" s="30"/>
      <c r="ULW77" s="25"/>
      <c r="ULX77" s="178"/>
      <c r="ULY77" s="26"/>
      <c r="ULZ77" s="26"/>
      <c r="UMA77" s="26"/>
      <c r="UMB77" s="26"/>
      <c r="UMC77" s="26"/>
      <c r="UMD77" s="26"/>
      <c r="UME77" s="58"/>
      <c r="UMF77" s="26"/>
      <c r="UMG77" s="26"/>
      <c r="UMH77" s="26"/>
      <c r="UMI77" s="26"/>
      <c r="UMJ77" s="22"/>
      <c r="UMK77" s="167"/>
      <c r="UML77" s="30"/>
      <c r="UMM77" s="25"/>
      <c r="UMN77" s="178"/>
      <c r="UMO77" s="26"/>
      <c r="UMP77" s="26"/>
      <c r="UMQ77" s="26"/>
      <c r="UMR77" s="26"/>
      <c r="UMS77" s="26"/>
      <c r="UMT77" s="26"/>
      <c r="UMU77" s="58"/>
      <c r="UMV77" s="26"/>
      <c r="UMW77" s="26"/>
      <c r="UMX77" s="26"/>
      <c r="UMY77" s="26"/>
      <c r="UMZ77" s="22"/>
      <c r="UNA77" s="167"/>
      <c r="UNB77" s="30"/>
      <c r="UNC77" s="25"/>
      <c r="UND77" s="178"/>
      <c r="UNE77" s="26"/>
      <c r="UNF77" s="26"/>
      <c r="UNG77" s="26"/>
      <c r="UNH77" s="26"/>
      <c r="UNI77" s="26"/>
      <c r="UNJ77" s="26"/>
      <c r="UNK77" s="58"/>
      <c r="UNL77" s="26"/>
      <c r="UNM77" s="26"/>
      <c r="UNN77" s="26"/>
      <c r="UNO77" s="26"/>
      <c r="UNP77" s="22"/>
      <c r="UNQ77" s="167"/>
      <c r="UNR77" s="30"/>
      <c r="UNS77" s="25"/>
      <c r="UNT77" s="178"/>
      <c r="UNU77" s="26"/>
      <c r="UNV77" s="26"/>
      <c r="UNW77" s="26"/>
      <c r="UNX77" s="26"/>
      <c r="UNY77" s="26"/>
      <c r="UNZ77" s="26"/>
      <c r="UOA77" s="58"/>
      <c r="UOB77" s="26"/>
      <c r="UOC77" s="26"/>
      <c r="UOD77" s="26"/>
      <c r="UOE77" s="26"/>
      <c r="UOF77" s="22"/>
      <c r="UOG77" s="167"/>
      <c r="UOH77" s="30"/>
      <c r="UOI77" s="25"/>
      <c r="UOJ77" s="178"/>
      <c r="UOK77" s="26"/>
      <c r="UOL77" s="26"/>
      <c r="UOM77" s="26"/>
      <c r="UON77" s="26"/>
      <c r="UOO77" s="26"/>
      <c r="UOP77" s="26"/>
      <c r="UOQ77" s="58"/>
      <c r="UOR77" s="26"/>
      <c r="UOS77" s="26"/>
      <c r="UOT77" s="26"/>
      <c r="UOU77" s="26"/>
      <c r="UOV77" s="22"/>
      <c r="UOW77" s="167"/>
      <c r="UOX77" s="30"/>
      <c r="UOY77" s="25"/>
      <c r="UOZ77" s="178"/>
      <c r="UPA77" s="26"/>
      <c r="UPB77" s="26"/>
      <c r="UPC77" s="26"/>
      <c r="UPD77" s="26"/>
      <c r="UPE77" s="26"/>
      <c r="UPF77" s="26"/>
      <c r="UPG77" s="58"/>
      <c r="UPH77" s="26"/>
      <c r="UPI77" s="26"/>
      <c r="UPJ77" s="26"/>
      <c r="UPK77" s="26"/>
      <c r="UPL77" s="22"/>
      <c r="UPM77" s="167"/>
      <c r="UPN77" s="30"/>
      <c r="UPO77" s="25"/>
      <c r="UPP77" s="178"/>
      <c r="UPQ77" s="26"/>
      <c r="UPR77" s="26"/>
      <c r="UPS77" s="26"/>
      <c r="UPT77" s="26"/>
      <c r="UPU77" s="26"/>
      <c r="UPV77" s="26"/>
      <c r="UPW77" s="58"/>
      <c r="UPX77" s="26"/>
      <c r="UPY77" s="26"/>
      <c r="UPZ77" s="26"/>
      <c r="UQA77" s="26"/>
      <c r="UQB77" s="22"/>
      <c r="UQC77" s="167"/>
      <c r="UQD77" s="30"/>
      <c r="UQE77" s="25"/>
      <c r="UQF77" s="178"/>
      <c r="UQG77" s="26"/>
      <c r="UQH77" s="26"/>
      <c r="UQI77" s="26"/>
      <c r="UQJ77" s="26"/>
      <c r="UQK77" s="26"/>
      <c r="UQL77" s="26"/>
      <c r="UQM77" s="58"/>
      <c r="UQN77" s="26"/>
      <c r="UQO77" s="26"/>
      <c r="UQP77" s="26"/>
      <c r="UQQ77" s="26"/>
      <c r="UQR77" s="22"/>
      <c r="UQS77" s="167"/>
      <c r="UQT77" s="30"/>
      <c r="UQU77" s="25"/>
      <c r="UQV77" s="178"/>
      <c r="UQW77" s="26"/>
      <c r="UQX77" s="26"/>
      <c r="UQY77" s="26"/>
      <c r="UQZ77" s="26"/>
      <c r="URA77" s="26"/>
      <c r="URB77" s="26"/>
      <c r="URC77" s="58"/>
      <c r="URD77" s="26"/>
      <c r="URE77" s="26"/>
      <c r="URF77" s="26"/>
      <c r="URG77" s="26"/>
      <c r="URH77" s="22"/>
      <c r="URI77" s="167"/>
      <c r="URJ77" s="30"/>
      <c r="URK77" s="25"/>
      <c r="URL77" s="178"/>
      <c r="URM77" s="26"/>
      <c r="URN77" s="26"/>
      <c r="URO77" s="26"/>
      <c r="URP77" s="26"/>
      <c r="URQ77" s="26"/>
      <c r="URR77" s="26"/>
      <c r="URS77" s="58"/>
      <c r="URT77" s="26"/>
      <c r="URU77" s="26"/>
      <c r="URV77" s="26"/>
      <c r="URW77" s="26"/>
      <c r="URX77" s="22"/>
      <c r="URY77" s="167"/>
      <c r="URZ77" s="30"/>
      <c r="USA77" s="25"/>
      <c r="USB77" s="178"/>
      <c r="USC77" s="26"/>
      <c r="USD77" s="26"/>
      <c r="USE77" s="26"/>
      <c r="USF77" s="26"/>
      <c r="USG77" s="26"/>
      <c r="USH77" s="26"/>
      <c r="USI77" s="58"/>
      <c r="USJ77" s="26"/>
      <c r="USK77" s="26"/>
      <c r="USL77" s="26"/>
      <c r="USM77" s="26"/>
      <c r="USN77" s="22"/>
      <c r="USO77" s="167"/>
      <c r="USP77" s="30"/>
      <c r="USQ77" s="25"/>
      <c r="USR77" s="178"/>
      <c r="USS77" s="26"/>
      <c r="UST77" s="26"/>
      <c r="USU77" s="26"/>
      <c r="USV77" s="26"/>
      <c r="USW77" s="26"/>
      <c r="USX77" s="26"/>
      <c r="USY77" s="58"/>
      <c r="USZ77" s="26"/>
      <c r="UTA77" s="26"/>
      <c r="UTB77" s="26"/>
      <c r="UTC77" s="26"/>
      <c r="UTD77" s="22"/>
      <c r="UTE77" s="167"/>
      <c r="UTF77" s="30"/>
      <c r="UTG77" s="25"/>
      <c r="UTH77" s="178"/>
      <c r="UTI77" s="26"/>
      <c r="UTJ77" s="26"/>
      <c r="UTK77" s="26"/>
      <c r="UTL77" s="26"/>
      <c r="UTM77" s="26"/>
      <c r="UTN77" s="26"/>
      <c r="UTO77" s="58"/>
      <c r="UTP77" s="26"/>
      <c r="UTQ77" s="26"/>
      <c r="UTR77" s="26"/>
      <c r="UTS77" s="26"/>
      <c r="UTT77" s="22"/>
      <c r="UTU77" s="167"/>
      <c r="UTV77" s="30"/>
      <c r="UTW77" s="25"/>
      <c r="UTX77" s="178"/>
      <c r="UTY77" s="26"/>
      <c r="UTZ77" s="26"/>
      <c r="UUA77" s="26"/>
      <c r="UUB77" s="26"/>
      <c r="UUC77" s="26"/>
      <c r="UUD77" s="26"/>
      <c r="UUE77" s="58"/>
      <c r="UUF77" s="26"/>
      <c r="UUG77" s="26"/>
      <c r="UUH77" s="26"/>
      <c r="UUI77" s="26"/>
      <c r="UUJ77" s="22"/>
      <c r="UUK77" s="167"/>
      <c r="UUL77" s="30"/>
      <c r="UUM77" s="25"/>
      <c r="UUN77" s="178"/>
      <c r="UUO77" s="26"/>
      <c r="UUP77" s="26"/>
      <c r="UUQ77" s="26"/>
      <c r="UUR77" s="26"/>
      <c r="UUS77" s="26"/>
      <c r="UUT77" s="26"/>
      <c r="UUU77" s="58"/>
      <c r="UUV77" s="26"/>
      <c r="UUW77" s="26"/>
      <c r="UUX77" s="26"/>
      <c r="UUY77" s="26"/>
      <c r="UUZ77" s="22"/>
      <c r="UVA77" s="167"/>
      <c r="UVB77" s="30"/>
      <c r="UVC77" s="25"/>
      <c r="UVD77" s="178"/>
      <c r="UVE77" s="26"/>
      <c r="UVF77" s="26"/>
      <c r="UVG77" s="26"/>
      <c r="UVH77" s="26"/>
      <c r="UVI77" s="26"/>
      <c r="UVJ77" s="26"/>
      <c r="UVK77" s="58"/>
      <c r="UVL77" s="26"/>
      <c r="UVM77" s="26"/>
      <c r="UVN77" s="26"/>
      <c r="UVO77" s="26"/>
      <c r="UVP77" s="22"/>
      <c r="UVQ77" s="167"/>
      <c r="UVR77" s="30"/>
      <c r="UVS77" s="25"/>
      <c r="UVT77" s="178"/>
      <c r="UVU77" s="26"/>
      <c r="UVV77" s="26"/>
      <c r="UVW77" s="26"/>
      <c r="UVX77" s="26"/>
      <c r="UVY77" s="26"/>
      <c r="UVZ77" s="26"/>
      <c r="UWA77" s="58"/>
      <c r="UWB77" s="26"/>
      <c r="UWC77" s="26"/>
      <c r="UWD77" s="26"/>
      <c r="UWE77" s="26"/>
      <c r="UWF77" s="22"/>
      <c r="UWG77" s="167"/>
      <c r="UWH77" s="30"/>
      <c r="UWI77" s="25"/>
      <c r="UWJ77" s="178"/>
      <c r="UWK77" s="26"/>
      <c r="UWL77" s="26"/>
      <c r="UWM77" s="26"/>
      <c r="UWN77" s="26"/>
      <c r="UWO77" s="26"/>
      <c r="UWP77" s="26"/>
      <c r="UWQ77" s="58"/>
      <c r="UWR77" s="26"/>
      <c r="UWS77" s="26"/>
      <c r="UWT77" s="26"/>
      <c r="UWU77" s="26"/>
      <c r="UWV77" s="22"/>
      <c r="UWW77" s="167"/>
      <c r="UWX77" s="30"/>
      <c r="UWY77" s="25"/>
      <c r="UWZ77" s="178"/>
      <c r="UXA77" s="26"/>
      <c r="UXB77" s="26"/>
      <c r="UXC77" s="26"/>
      <c r="UXD77" s="26"/>
      <c r="UXE77" s="26"/>
      <c r="UXF77" s="26"/>
      <c r="UXG77" s="58"/>
      <c r="UXH77" s="26"/>
      <c r="UXI77" s="26"/>
      <c r="UXJ77" s="26"/>
      <c r="UXK77" s="26"/>
      <c r="UXL77" s="22"/>
      <c r="UXM77" s="167"/>
      <c r="UXN77" s="30"/>
      <c r="UXO77" s="25"/>
      <c r="UXP77" s="178"/>
      <c r="UXQ77" s="26"/>
      <c r="UXR77" s="26"/>
      <c r="UXS77" s="26"/>
      <c r="UXT77" s="26"/>
      <c r="UXU77" s="26"/>
      <c r="UXV77" s="26"/>
      <c r="UXW77" s="58"/>
      <c r="UXX77" s="26"/>
      <c r="UXY77" s="26"/>
      <c r="UXZ77" s="26"/>
      <c r="UYA77" s="26"/>
      <c r="UYB77" s="22"/>
      <c r="UYC77" s="167"/>
      <c r="UYD77" s="30"/>
      <c r="UYE77" s="25"/>
      <c r="UYF77" s="178"/>
      <c r="UYG77" s="26"/>
      <c r="UYH77" s="26"/>
      <c r="UYI77" s="26"/>
      <c r="UYJ77" s="26"/>
      <c r="UYK77" s="26"/>
      <c r="UYL77" s="26"/>
      <c r="UYM77" s="58"/>
      <c r="UYN77" s="26"/>
      <c r="UYO77" s="26"/>
      <c r="UYP77" s="26"/>
      <c r="UYQ77" s="26"/>
      <c r="UYR77" s="22"/>
      <c r="UYS77" s="167"/>
      <c r="UYT77" s="30"/>
      <c r="UYU77" s="25"/>
      <c r="UYV77" s="178"/>
      <c r="UYW77" s="26"/>
      <c r="UYX77" s="26"/>
      <c r="UYY77" s="26"/>
      <c r="UYZ77" s="26"/>
      <c r="UZA77" s="26"/>
      <c r="UZB77" s="26"/>
      <c r="UZC77" s="58"/>
      <c r="UZD77" s="26"/>
      <c r="UZE77" s="26"/>
      <c r="UZF77" s="26"/>
      <c r="UZG77" s="26"/>
      <c r="UZH77" s="22"/>
      <c r="UZI77" s="167"/>
      <c r="UZJ77" s="30"/>
      <c r="UZK77" s="25"/>
      <c r="UZL77" s="178"/>
      <c r="UZM77" s="26"/>
      <c r="UZN77" s="26"/>
      <c r="UZO77" s="26"/>
      <c r="UZP77" s="26"/>
      <c r="UZQ77" s="26"/>
      <c r="UZR77" s="26"/>
      <c r="UZS77" s="58"/>
      <c r="UZT77" s="26"/>
      <c r="UZU77" s="26"/>
      <c r="UZV77" s="26"/>
      <c r="UZW77" s="26"/>
      <c r="UZX77" s="22"/>
      <c r="UZY77" s="167"/>
      <c r="UZZ77" s="30"/>
      <c r="VAA77" s="25"/>
      <c r="VAB77" s="178"/>
      <c r="VAC77" s="26"/>
      <c r="VAD77" s="26"/>
      <c r="VAE77" s="26"/>
      <c r="VAF77" s="26"/>
      <c r="VAG77" s="26"/>
      <c r="VAH77" s="26"/>
      <c r="VAI77" s="58"/>
      <c r="VAJ77" s="26"/>
      <c r="VAK77" s="26"/>
      <c r="VAL77" s="26"/>
      <c r="VAM77" s="26"/>
      <c r="VAN77" s="22"/>
      <c r="VAO77" s="167"/>
      <c r="VAP77" s="30"/>
      <c r="VAQ77" s="25"/>
      <c r="VAR77" s="178"/>
      <c r="VAS77" s="26"/>
      <c r="VAT77" s="26"/>
      <c r="VAU77" s="26"/>
      <c r="VAV77" s="26"/>
      <c r="VAW77" s="26"/>
      <c r="VAX77" s="26"/>
      <c r="VAY77" s="58"/>
      <c r="VAZ77" s="26"/>
      <c r="VBA77" s="26"/>
      <c r="VBB77" s="26"/>
      <c r="VBC77" s="26"/>
      <c r="VBD77" s="22"/>
      <c r="VBE77" s="167"/>
      <c r="VBF77" s="30"/>
      <c r="VBG77" s="25"/>
      <c r="VBH77" s="178"/>
      <c r="VBI77" s="26"/>
      <c r="VBJ77" s="26"/>
      <c r="VBK77" s="26"/>
      <c r="VBL77" s="26"/>
      <c r="VBM77" s="26"/>
      <c r="VBN77" s="26"/>
      <c r="VBO77" s="58"/>
      <c r="VBP77" s="26"/>
      <c r="VBQ77" s="26"/>
      <c r="VBR77" s="26"/>
      <c r="VBS77" s="26"/>
      <c r="VBT77" s="22"/>
      <c r="VBU77" s="167"/>
      <c r="VBV77" s="30"/>
      <c r="VBW77" s="25"/>
      <c r="VBX77" s="178"/>
      <c r="VBY77" s="26"/>
      <c r="VBZ77" s="26"/>
      <c r="VCA77" s="26"/>
      <c r="VCB77" s="26"/>
      <c r="VCC77" s="26"/>
      <c r="VCD77" s="26"/>
      <c r="VCE77" s="58"/>
      <c r="VCF77" s="26"/>
      <c r="VCG77" s="26"/>
      <c r="VCH77" s="26"/>
      <c r="VCI77" s="26"/>
      <c r="VCJ77" s="22"/>
      <c r="VCK77" s="167"/>
      <c r="VCL77" s="30"/>
      <c r="VCM77" s="25"/>
      <c r="VCN77" s="178"/>
      <c r="VCO77" s="26"/>
      <c r="VCP77" s="26"/>
      <c r="VCQ77" s="26"/>
      <c r="VCR77" s="26"/>
      <c r="VCS77" s="26"/>
      <c r="VCT77" s="26"/>
      <c r="VCU77" s="58"/>
      <c r="VCV77" s="26"/>
      <c r="VCW77" s="26"/>
      <c r="VCX77" s="26"/>
      <c r="VCY77" s="26"/>
      <c r="VCZ77" s="22"/>
      <c r="VDA77" s="167"/>
      <c r="VDB77" s="30"/>
      <c r="VDC77" s="25"/>
      <c r="VDD77" s="178"/>
      <c r="VDE77" s="26"/>
      <c r="VDF77" s="26"/>
      <c r="VDG77" s="26"/>
      <c r="VDH77" s="26"/>
      <c r="VDI77" s="26"/>
      <c r="VDJ77" s="26"/>
      <c r="VDK77" s="58"/>
      <c r="VDL77" s="26"/>
      <c r="VDM77" s="26"/>
      <c r="VDN77" s="26"/>
      <c r="VDO77" s="26"/>
      <c r="VDP77" s="22"/>
      <c r="VDQ77" s="167"/>
      <c r="VDR77" s="30"/>
      <c r="VDS77" s="25"/>
      <c r="VDT77" s="178"/>
      <c r="VDU77" s="26"/>
      <c r="VDV77" s="26"/>
      <c r="VDW77" s="26"/>
      <c r="VDX77" s="26"/>
      <c r="VDY77" s="26"/>
      <c r="VDZ77" s="26"/>
      <c r="VEA77" s="58"/>
      <c r="VEB77" s="26"/>
      <c r="VEC77" s="26"/>
      <c r="VED77" s="26"/>
      <c r="VEE77" s="26"/>
      <c r="VEF77" s="22"/>
      <c r="VEG77" s="167"/>
      <c r="VEH77" s="30"/>
      <c r="VEI77" s="25"/>
      <c r="VEJ77" s="178"/>
      <c r="VEK77" s="26"/>
      <c r="VEL77" s="26"/>
      <c r="VEM77" s="26"/>
      <c r="VEN77" s="26"/>
      <c r="VEO77" s="26"/>
      <c r="VEP77" s="26"/>
      <c r="VEQ77" s="58"/>
      <c r="VER77" s="26"/>
      <c r="VES77" s="26"/>
      <c r="VET77" s="26"/>
      <c r="VEU77" s="26"/>
      <c r="VEV77" s="22"/>
      <c r="VEW77" s="167"/>
      <c r="VEX77" s="30"/>
      <c r="VEY77" s="25"/>
      <c r="VEZ77" s="178"/>
      <c r="VFA77" s="26"/>
      <c r="VFB77" s="26"/>
      <c r="VFC77" s="26"/>
      <c r="VFD77" s="26"/>
      <c r="VFE77" s="26"/>
      <c r="VFF77" s="26"/>
      <c r="VFG77" s="58"/>
      <c r="VFH77" s="26"/>
      <c r="VFI77" s="26"/>
      <c r="VFJ77" s="26"/>
      <c r="VFK77" s="26"/>
      <c r="VFL77" s="22"/>
      <c r="VFM77" s="167"/>
      <c r="VFN77" s="30"/>
      <c r="VFO77" s="25"/>
      <c r="VFP77" s="178"/>
      <c r="VFQ77" s="26"/>
      <c r="VFR77" s="26"/>
      <c r="VFS77" s="26"/>
      <c r="VFT77" s="26"/>
      <c r="VFU77" s="26"/>
      <c r="VFV77" s="26"/>
      <c r="VFW77" s="58"/>
      <c r="VFX77" s="26"/>
      <c r="VFY77" s="26"/>
      <c r="VFZ77" s="26"/>
      <c r="VGA77" s="26"/>
      <c r="VGB77" s="22"/>
      <c r="VGC77" s="167"/>
      <c r="VGD77" s="30"/>
      <c r="VGE77" s="25"/>
      <c r="VGF77" s="178"/>
      <c r="VGG77" s="26"/>
      <c r="VGH77" s="26"/>
      <c r="VGI77" s="26"/>
      <c r="VGJ77" s="26"/>
      <c r="VGK77" s="26"/>
      <c r="VGL77" s="26"/>
      <c r="VGM77" s="58"/>
      <c r="VGN77" s="26"/>
      <c r="VGO77" s="26"/>
      <c r="VGP77" s="26"/>
      <c r="VGQ77" s="26"/>
      <c r="VGR77" s="22"/>
      <c r="VGS77" s="167"/>
      <c r="VGT77" s="30"/>
      <c r="VGU77" s="25"/>
      <c r="VGV77" s="178"/>
      <c r="VGW77" s="26"/>
      <c r="VGX77" s="26"/>
      <c r="VGY77" s="26"/>
      <c r="VGZ77" s="26"/>
      <c r="VHA77" s="26"/>
      <c r="VHB77" s="26"/>
      <c r="VHC77" s="58"/>
      <c r="VHD77" s="26"/>
      <c r="VHE77" s="26"/>
      <c r="VHF77" s="26"/>
      <c r="VHG77" s="26"/>
      <c r="VHH77" s="22"/>
      <c r="VHI77" s="167"/>
      <c r="VHJ77" s="30"/>
      <c r="VHK77" s="25"/>
      <c r="VHL77" s="178"/>
      <c r="VHM77" s="26"/>
      <c r="VHN77" s="26"/>
      <c r="VHO77" s="26"/>
      <c r="VHP77" s="26"/>
      <c r="VHQ77" s="26"/>
      <c r="VHR77" s="26"/>
      <c r="VHS77" s="58"/>
      <c r="VHT77" s="26"/>
      <c r="VHU77" s="26"/>
      <c r="VHV77" s="26"/>
      <c r="VHW77" s="26"/>
      <c r="VHX77" s="22"/>
      <c r="VHY77" s="167"/>
      <c r="VHZ77" s="30"/>
      <c r="VIA77" s="25"/>
      <c r="VIB77" s="178"/>
      <c r="VIC77" s="26"/>
      <c r="VID77" s="26"/>
      <c r="VIE77" s="26"/>
      <c r="VIF77" s="26"/>
      <c r="VIG77" s="26"/>
      <c r="VIH77" s="26"/>
      <c r="VII77" s="58"/>
      <c r="VIJ77" s="26"/>
      <c r="VIK77" s="26"/>
      <c r="VIL77" s="26"/>
      <c r="VIM77" s="26"/>
      <c r="VIN77" s="22"/>
      <c r="VIO77" s="167"/>
      <c r="VIP77" s="30"/>
      <c r="VIQ77" s="25"/>
      <c r="VIR77" s="178"/>
      <c r="VIS77" s="26"/>
      <c r="VIT77" s="26"/>
      <c r="VIU77" s="26"/>
      <c r="VIV77" s="26"/>
      <c r="VIW77" s="26"/>
      <c r="VIX77" s="26"/>
      <c r="VIY77" s="58"/>
      <c r="VIZ77" s="26"/>
      <c r="VJA77" s="26"/>
      <c r="VJB77" s="26"/>
      <c r="VJC77" s="26"/>
      <c r="VJD77" s="22"/>
      <c r="VJE77" s="167"/>
      <c r="VJF77" s="30"/>
      <c r="VJG77" s="25"/>
      <c r="VJH77" s="178"/>
      <c r="VJI77" s="26"/>
      <c r="VJJ77" s="26"/>
      <c r="VJK77" s="26"/>
      <c r="VJL77" s="26"/>
      <c r="VJM77" s="26"/>
      <c r="VJN77" s="26"/>
      <c r="VJO77" s="58"/>
      <c r="VJP77" s="26"/>
      <c r="VJQ77" s="26"/>
      <c r="VJR77" s="26"/>
      <c r="VJS77" s="26"/>
      <c r="VJT77" s="22"/>
      <c r="VJU77" s="167"/>
      <c r="VJV77" s="30"/>
      <c r="VJW77" s="25"/>
      <c r="VJX77" s="178"/>
      <c r="VJY77" s="26"/>
      <c r="VJZ77" s="26"/>
      <c r="VKA77" s="26"/>
      <c r="VKB77" s="26"/>
      <c r="VKC77" s="26"/>
      <c r="VKD77" s="26"/>
      <c r="VKE77" s="58"/>
      <c r="VKF77" s="26"/>
      <c r="VKG77" s="26"/>
      <c r="VKH77" s="26"/>
      <c r="VKI77" s="26"/>
      <c r="VKJ77" s="22"/>
      <c r="VKK77" s="167"/>
      <c r="VKL77" s="30"/>
      <c r="VKM77" s="25"/>
      <c r="VKN77" s="178"/>
      <c r="VKO77" s="26"/>
      <c r="VKP77" s="26"/>
      <c r="VKQ77" s="26"/>
      <c r="VKR77" s="26"/>
      <c r="VKS77" s="26"/>
      <c r="VKT77" s="26"/>
      <c r="VKU77" s="58"/>
      <c r="VKV77" s="26"/>
      <c r="VKW77" s="26"/>
      <c r="VKX77" s="26"/>
      <c r="VKY77" s="26"/>
      <c r="VKZ77" s="22"/>
      <c r="VLA77" s="167"/>
      <c r="VLB77" s="30"/>
      <c r="VLC77" s="25"/>
      <c r="VLD77" s="178"/>
      <c r="VLE77" s="26"/>
      <c r="VLF77" s="26"/>
      <c r="VLG77" s="26"/>
      <c r="VLH77" s="26"/>
      <c r="VLI77" s="26"/>
      <c r="VLJ77" s="26"/>
      <c r="VLK77" s="58"/>
      <c r="VLL77" s="26"/>
      <c r="VLM77" s="26"/>
      <c r="VLN77" s="26"/>
      <c r="VLO77" s="26"/>
      <c r="VLP77" s="22"/>
      <c r="VLQ77" s="167"/>
      <c r="VLR77" s="30"/>
      <c r="VLS77" s="25"/>
      <c r="VLT77" s="178"/>
      <c r="VLU77" s="26"/>
      <c r="VLV77" s="26"/>
      <c r="VLW77" s="26"/>
      <c r="VLX77" s="26"/>
      <c r="VLY77" s="26"/>
      <c r="VLZ77" s="26"/>
      <c r="VMA77" s="58"/>
      <c r="VMB77" s="26"/>
      <c r="VMC77" s="26"/>
      <c r="VMD77" s="26"/>
      <c r="VME77" s="26"/>
      <c r="VMF77" s="22"/>
      <c r="VMG77" s="167"/>
      <c r="VMH77" s="30"/>
      <c r="VMI77" s="25"/>
      <c r="VMJ77" s="178"/>
      <c r="VMK77" s="26"/>
      <c r="VML77" s="26"/>
      <c r="VMM77" s="26"/>
      <c r="VMN77" s="26"/>
      <c r="VMO77" s="26"/>
      <c r="VMP77" s="26"/>
      <c r="VMQ77" s="58"/>
      <c r="VMR77" s="26"/>
      <c r="VMS77" s="26"/>
      <c r="VMT77" s="26"/>
      <c r="VMU77" s="26"/>
      <c r="VMV77" s="22"/>
      <c r="VMW77" s="167"/>
      <c r="VMX77" s="30"/>
      <c r="VMY77" s="25"/>
      <c r="VMZ77" s="178"/>
      <c r="VNA77" s="26"/>
      <c r="VNB77" s="26"/>
      <c r="VNC77" s="26"/>
      <c r="VND77" s="26"/>
      <c r="VNE77" s="26"/>
      <c r="VNF77" s="26"/>
      <c r="VNG77" s="58"/>
      <c r="VNH77" s="26"/>
      <c r="VNI77" s="26"/>
      <c r="VNJ77" s="26"/>
      <c r="VNK77" s="26"/>
      <c r="VNL77" s="22"/>
      <c r="VNM77" s="167"/>
      <c r="VNN77" s="30"/>
      <c r="VNO77" s="25"/>
      <c r="VNP77" s="178"/>
      <c r="VNQ77" s="26"/>
      <c r="VNR77" s="26"/>
      <c r="VNS77" s="26"/>
      <c r="VNT77" s="26"/>
      <c r="VNU77" s="26"/>
      <c r="VNV77" s="26"/>
      <c r="VNW77" s="58"/>
      <c r="VNX77" s="26"/>
      <c r="VNY77" s="26"/>
      <c r="VNZ77" s="26"/>
      <c r="VOA77" s="26"/>
      <c r="VOB77" s="22"/>
      <c r="VOC77" s="167"/>
      <c r="VOD77" s="30"/>
      <c r="VOE77" s="25"/>
      <c r="VOF77" s="178"/>
      <c r="VOG77" s="26"/>
      <c r="VOH77" s="26"/>
      <c r="VOI77" s="26"/>
      <c r="VOJ77" s="26"/>
      <c r="VOK77" s="26"/>
      <c r="VOL77" s="26"/>
      <c r="VOM77" s="58"/>
      <c r="VON77" s="26"/>
      <c r="VOO77" s="26"/>
      <c r="VOP77" s="26"/>
      <c r="VOQ77" s="26"/>
      <c r="VOR77" s="22"/>
      <c r="VOS77" s="167"/>
      <c r="VOT77" s="30"/>
      <c r="VOU77" s="25"/>
      <c r="VOV77" s="178"/>
      <c r="VOW77" s="26"/>
      <c r="VOX77" s="26"/>
      <c r="VOY77" s="26"/>
      <c r="VOZ77" s="26"/>
      <c r="VPA77" s="26"/>
      <c r="VPB77" s="26"/>
      <c r="VPC77" s="58"/>
      <c r="VPD77" s="26"/>
      <c r="VPE77" s="26"/>
      <c r="VPF77" s="26"/>
      <c r="VPG77" s="26"/>
      <c r="VPH77" s="22"/>
      <c r="VPI77" s="167"/>
      <c r="VPJ77" s="30"/>
      <c r="VPK77" s="25"/>
      <c r="VPL77" s="178"/>
      <c r="VPM77" s="26"/>
      <c r="VPN77" s="26"/>
      <c r="VPO77" s="26"/>
      <c r="VPP77" s="26"/>
      <c r="VPQ77" s="26"/>
      <c r="VPR77" s="26"/>
      <c r="VPS77" s="58"/>
      <c r="VPT77" s="26"/>
      <c r="VPU77" s="26"/>
      <c r="VPV77" s="26"/>
      <c r="VPW77" s="26"/>
      <c r="VPX77" s="22"/>
      <c r="VPY77" s="167"/>
      <c r="VPZ77" s="30"/>
      <c r="VQA77" s="25"/>
      <c r="VQB77" s="178"/>
      <c r="VQC77" s="26"/>
      <c r="VQD77" s="26"/>
      <c r="VQE77" s="26"/>
      <c r="VQF77" s="26"/>
      <c r="VQG77" s="26"/>
      <c r="VQH77" s="26"/>
      <c r="VQI77" s="58"/>
      <c r="VQJ77" s="26"/>
      <c r="VQK77" s="26"/>
      <c r="VQL77" s="26"/>
      <c r="VQM77" s="26"/>
      <c r="VQN77" s="22"/>
      <c r="VQO77" s="167"/>
      <c r="VQP77" s="30"/>
      <c r="VQQ77" s="25"/>
      <c r="VQR77" s="178"/>
      <c r="VQS77" s="26"/>
      <c r="VQT77" s="26"/>
      <c r="VQU77" s="26"/>
      <c r="VQV77" s="26"/>
      <c r="VQW77" s="26"/>
      <c r="VQX77" s="26"/>
      <c r="VQY77" s="58"/>
      <c r="VQZ77" s="26"/>
      <c r="VRA77" s="26"/>
      <c r="VRB77" s="26"/>
      <c r="VRC77" s="26"/>
      <c r="VRD77" s="22"/>
      <c r="VRE77" s="167"/>
      <c r="VRF77" s="30"/>
      <c r="VRG77" s="25"/>
      <c r="VRH77" s="178"/>
      <c r="VRI77" s="26"/>
      <c r="VRJ77" s="26"/>
      <c r="VRK77" s="26"/>
      <c r="VRL77" s="26"/>
      <c r="VRM77" s="26"/>
      <c r="VRN77" s="26"/>
      <c r="VRO77" s="58"/>
      <c r="VRP77" s="26"/>
      <c r="VRQ77" s="26"/>
      <c r="VRR77" s="26"/>
      <c r="VRS77" s="26"/>
      <c r="VRT77" s="22"/>
      <c r="VRU77" s="167"/>
      <c r="VRV77" s="30"/>
      <c r="VRW77" s="25"/>
      <c r="VRX77" s="178"/>
      <c r="VRY77" s="26"/>
      <c r="VRZ77" s="26"/>
      <c r="VSA77" s="26"/>
      <c r="VSB77" s="26"/>
      <c r="VSC77" s="26"/>
      <c r="VSD77" s="26"/>
      <c r="VSE77" s="58"/>
      <c r="VSF77" s="26"/>
      <c r="VSG77" s="26"/>
      <c r="VSH77" s="26"/>
      <c r="VSI77" s="26"/>
      <c r="VSJ77" s="22"/>
      <c r="VSK77" s="167"/>
      <c r="VSL77" s="30"/>
      <c r="VSM77" s="25"/>
      <c r="VSN77" s="178"/>
      <c r="VSO77" s="26"/>
      <c r="VSP77" s="26"/>
      <c r="VSQ77" s="26"/>
      <c r="VSR77" s="26"/>
      <c r="VSS77" s="26"/>
      <c r="VST77" s="26"/>
      <c r="VSU77" s="58"/>
      <c r="VSV77" s="26"/>
      <c r="VSW77" s="26"/>
      <c r="VSX77" s="26"/>
      <c r="VSY77" s="26"/>
      <c r="VSZ77" s="22"/>
      <c r="VTA77" s="167"/>
      <c r="VTB77" s="30"/>
      <c r="VTC77" s="25"/>
      <c r="VTD77" s="178"/>
      <c r="VTE77" s="26"/>
      <c r="VTF77" s="26"/>
      <c r="VTG77" s="26"/>
      <c r="VTH77" s="26"/>
      <c r="VTI77" s="26"/>
      <c r="VTJ77" s="26"/>
      <c r="VTK77" s="58"/>
      <c r="VTL77" s="26"/>
      <c r="VTM77" s="26"/>
      <c r="VTN77" s="26"/>
      <c r="VTO77" s="26"/>
      <c r="VTP77" s="22"/>
      <c r="VTQ77" s="167"/>
      <c r="VTR77" s="30"/>
      <c r="VTS77" s="25"/>
      <c r="VTT77" s="178"/>
      <c r="VTU77" s="26"/>
      <c r="VTV77" s="26"/>
      <c r="VTW77" s="26"/>
      <c r="VTX77" s="26"/>
      <c r="VTY77" s="26"/>
      <c r="VTZ77" s="26"/>
      <c r="VUA77" s="58"/>
      <c r="VUB77" s="26"/>
      <c r="VUC77" s="26"/>
      <c r="VUD77" s="26"/>
      <c r="VUE77" s="26"/>
      <c r="VUF77" s="22"/>
      <c r="VUG77" s="167"/>
      <c r="VUH77" s="30"/>
      <c r="VUI77" s="25"/>
      <c r="VUJ77" s="178"/>
      <c r="VUK77" s="26"/>
      <c r="VUL77" s="26"/>
      <c r="VUM77" s="26"/>
      <c r="VUN77" s="26"/>
      <c r="VUO77" s="26"/>
      <c r="VUP77" s="26"/>
      <c r="VUQ77" s="58"/>
      <c r="VUR77" s="26"/>
      <c r="VUS77" s="26"/>
      <c r="VUT77" s="26"/>
      <c r="VUU77" s="26"/>
      <c r="VUV77" s="22"/>
      <c r="VUW77" s="167"/>
      <c r="VUX77" s="30"/>
      <c r="VUY77" s="25"/>
      <c r="VUZ77" s="178"/>
      <c r="VVA77" s="26"/>
      <c r="VVB77" s="26"/>
      <c r="VVC77" s="26"/>
      <c r="VVD77" s="26"/>
      <c r="VVE77" s="26"/>
      <c r="VVF77" s="26"/>
      <c r="VVG77" s="58"/>
      <c r="VVH77" s="26"/>
      <c r="VVI77" s="26"/>
      <c r="VVJ77" s="26"/>
      <c r="VVK77" s="26"/>
      <c r="VVL77" s="22"/>
      <c r="VVM77" s="167"/>
      <c r="VVN77" s="30"/>
      <c r="VVO77" s="25"/>
      <c r="VVP77" s="178"/>
      <c r="VVQ77" s="26"/>
      <c r="VVR77" s="26"/>
      <c r="VVS77" s="26"/>
      <c r="VVT77" s="26"/>
      <c r="VVU77" s="26"/>
      <c r="VVV77" s="26"/>
      <c r="VVW77" s="58"/>
      <c r="VVX77" s="26"/>
      <c r="VVY77" s="26"/>
      <c r="VVZ77" s="26"/>
      <c r="VWA77" s="26"/>
      <c r="VWB77" s="22"/>
      <c r="VWC77" s="167"/>
      <c r="VWD77" s="30"/>
      <c r="VWE77" s="25"/>
      <c r="VWF77" s="178"/>
      <c r="VWG77" s="26"/>
      <c r="VWH77" s="26"/>
      <c r="VWI77" s="26"/>
      <c r="VWJ77" s="26"/>
      <c r="VWK77" s="26"/>
      <c r="VWL77" s="26"/>
      <c r="VWM77" s="58"/>
      <c r="VWN77" s="26"/>
      <c r="VWO77" s="26"/>
      <c r="VWP77" s="26"/>
      <c r="VWQ77" s="26"/>
      <c r="VWR77" s="22"/>
      <c r="VWS77" s="167"/>
      <c r="VWT77" s="30"/>
      <c r="VWU77" s="25"/>
      <c r="VWV77" s="178"/>
      <c r="VWW77" s="26"/>
      <c r="VWX77" s="26"/>
      <c r="VWY77" s="26"/>
      <c r="VWZ77" s="26"/>
      <c r="VXA77" s="26"/>
      <c r="VXB77" s="26"/>
      <c r="VXC77" s="58"/>
      <c r="VXD77" s="26"/>
      <c r="VXE77" s="26"/>
      <c r="VXF77" s="26"/>
      <c r="VXG77" s="26"/>
      <c r="VXH77" s="22"/>
      <c r="VXI77" s="167"/>
      <c r="VXJ77" s="30"/>
      <c r="VXK77" s="25"/>
      <c r="VXL77" s="178"/>
      <c r="VXM77" s="26"/>
      <c r="VXN77" s="26"/>
      <c r="VXO77" s="26"/>
      <c r="VXP77" s="26"/>
      <c r="VXQ77" s="26"/>
      <c r="VXR77" s="26"/>
      <c r="VXS77" s="58"/>
      <c r="VXT77" s="26"/>
      <c r="VXU77" s="26"/>
      <c r="VXV77" s="26"/>
      <c r="VXW77" s="26"/>
      <c r="VXX77" s="22"/>
      <c r="VXY77" s="167"/>
      <c r="VXZ77" s="30"/>
      <c r="VYA77" s="25"/>
      <c r="VYB77" s="178"/>
      <c r="VYC77" s="26"/>
      <c r="VYD77" s="26"/>
      <c r="VYE77" s="26"/>
      <c r="VYF77" s="26"/>
      <c r="VYG77" s="26"/>
      <c r="VYH77" s="26"/>
      <c r="VYI77" s="58"/>
      <c r="VYJ77" s="26"/>
      <c r="VYK77" s="26"/>
      <c r="VYL77" s="26"/>
      <c r="VYM77" s="26"/>
      <c r="VYN77" s="22"/>
      <c r="VYO77" s="167"/>
      <c r="VYP77" s="30"/>
      <c r="VYQ77" s="25"/>
      <c r="VYR77" s="178"/>
      <c r="VYS77" s="26"/>
      <c r="VYT77" s="26"/>
      <c r="VYU77" s="26"/>
      <c r="VYV77" s="26"/>
      <c r="VYW77" s="26"/>
      <c r="VYX77" s="26"/>
      <c r="VYY77" s="58"/>
      <c r="VYZ77" s="26"/>
      <c r="VZA77" s="26"/>
      <c r="VZB77" s="26"/>
      <c r="VZC77" s="26"/>
      <c r="VZD77" s="22"/>
      <c r="VZE77" s="167"/>
      <c r="VZF77" s="30"/>
      <c r="VZG77" s="25"/>
      <c r="VZH77" s="178"/>
      <c r="VZI77" s="26"/>
      <c r="VZJ77" s="26"/>
      <c r="VZK77" s="26"/>
      <c r="VZL77" s="26"/>
      <c r="VZM77" s="26"/>
      <c r="VZN77" s="26"/>
      <c r="VZO77" s="58"/>
      <c r="VZP77" s="26"/>
      <c r="VZQ77" s="26"/>
      <c r="VZR77" s="26"/>
      <c r="VZS77" s="26"/>
      <c r="VZT77" s="22"/>
      <c r="VZU77" s="167"/>
      <c r="VZV77" s="30"/>
      <c r="VZW77" s="25"/>
      <c r="VZX77" s="178"/>
      <c r="VZY77" s="26"/>
      <c r="VZZ77" s="26"/>
      <c r="WAA77" s="26"/>
      <c r="WAB77" s="26"/>
      <c r="WAC77" s="26"/>
      <c r="WAD77" s="26"/>
      <c r="WAE77" s="58"/>
      <c r="WAF77" s="26"/>
      <c r="WAG77" s="26"/>
      <c r="WAH77" s="26"/>
      <c r="WAI77" s="26"/>
      <c r="WAJ77" s="22"/>
      <c r="WAK77" s="167"/>
      <c r="WAL77" s="30"/>
      <c r="WAM77" s="25"/>
      <c r="WAN77" s="178"/>
      <c r="WAO77" s="26"/>
      <c r="WAP77" s="26"/>
      <c r="WAQ77" s="26"/>
      <c r="WAR77" s="26"/>
      <c r="WAS77" s="26"/>
      <c r="WAT77" s="26"/>
      <c r="WAU77" s="58"/>
      <c r="WAV77" s="26"/>
      <c r="WAW77" s="26"/>
      <c r="WAX77" s="26"/>
      <c r="WAY77" s="26"/>
      <c r="WAZ77" s="22"/>
      <c r="WBA77" s="167"/>
      <c r="WBB77" s="30"/>
      <c r="WBC77" s="25"/>
      <c r="WBD77" s="178"/>
      <c r="WBE77" s="26"/>
      <c r="WBF77" s="26"/>
      <c r="WBG77" s="26"/>
      <c r="WBH77" s="26"/>
      <c r="WBI77" s="26"/>
      <c r="WBJ77" s="26"/>
      <c r="WBK77" s="58"/>
      <c r="WBL77" s="26"/>
      <c r="WBM77" s="26"/>
      <c r="WBN77" s="26"/>
      <c r="WBO77" s="26"/>
      <c r="WBP77" s="22"/>
      <c r="WBQ77" s="167"/>
      <c r="WBR77" s="30"/>
      <c r="WBS77" s="25"/>
      <c r="WBT77" s="178"/>
      <c r="WBU77" s="26"/>
      <c r="WBV77" s="26"/>
      <c r="WBW77" s="26"/>
      <c r="WBX77" s="26"/>
      <c r="WBY77" s="26"/>
      <c r="WBZ77" s="26"/>
      <c r="WCA77" s="58"/>
      <c r="WCB77" s="26"/>
      <c r="WCC77" s="26"/>
      <c r="WCD77" s="26"/>
      <c r="WCE77" s="26"/>
      <c r="WCF77" s="22"/>
      <c r="WCG77" s="167"/>
      <c r="WCH77" s="30"/>
      <c r="WCI77" s="25"/>
      <c r="WCJ77" s="178"/>
      <c r="WCK77" s="26"/>
      <c r="WCL77" s="26"/>
      <c r="WCM77" s="26"/>
      <c r="WCN77" s="26"/>
      <c r="WCO77" s="26"/>
      <c r="WCP77" s="26"/>
      <c r="WCQ77" s="58"/>
      <c r="WCR77" s="26"/>
      <c r="WCS77" s="26"/>
      <c r="WCT77" s="26"/>
      <c r="WCU77" s="26"/>
      <c r="WCV77" s="22"/>
      <c r="WCW77" s="167"/>
      <c r="WCX77" s="30"/>
      <c r="WCY77" s="25"/>
      <c r="WCZ77" s="178"/>
      <c r="WDA77" s="26"/>
      <c r="WDB77" s="26"/>
      <c r="WDC77" s="26"/>
      <c r="WDD77" s="26"/>
      <c r="WDE77" s="26"/>
      <c r="WDF77" s="26"/>
      <c r="WDG77" s="58"/>
      <c r="WDH77" s="26"/>
      <c r="WDI77" s="26"/>
      <c r="WDJ77" s="26"/>
      <c r="WDK77" s="26"/>
      <c r="WDL77" s="22"/>
      <c r="WDM77" s="167"/>
      <c r="WDN77" s="30"/>
      <c r="WDO77" s="25"/>
      <c r="WDP77" s="178"/>
      <c r="WDQ77" s="26"/>
      <c r="WDR77" s="26"/>
      <c r="WDS77" s="26"/>
      <c r="WDT77" s="26"/>
      <c r="WDU77" s="26"/>
      <c r="WDV77" s="26"/>
      <c r="WDW77" s="58"/>
      <c r="WDX77" s="26"/>
      <c r="WDY77" s="26"/>
      <c r="WDZ77" s="26"/>
      <c r="WEA77" s="26"/>
      <c r="WEB77" s="22"/>
      <c r="WEC77" s="167"/>
      <c r="WED77" s="30"/>
      <c r="WEE77" s="25"/>
      <c r="WEF77" s="178"/>
      <c r="WEG77" s="26"/>
      <c r="WEH77" s="26"/>
      <c r="WEI77" s="26"/>
      <c r="WEJ77" s="26"/>
      <c r="WEK77" s="26"/>
      <c r="WEL77" s="26"/>
      <c r="WEM77" s="58"/>
      <c r="WEN77" s="26"/>
      <c r="WEO77" s="26"/>
      <c r="WEP77" s="26"/>
      <c r="WEQ77" s="26"/>
      <c r="WER77" s="22"/>
      <c r="WES77" s="167"/>
      <c r="WET77" s="30"/>
      <c r="WEU77" s="25"/>
      <c r="WEV77" s="178"/>
      <c r="WEW77" s="26"/>
      <c r="WEX77" s="26"/>
      <c r="WEY77" s="26"/>
      <c r="WEZ77" s="26"/>
      <c r="WFA77" s="26"/>
      <c r="WFB77" s="26"/>
      <c r="WFC77" s="58"/>
      <c r="WFD77" s="26"/>
      <c r="WFE77" s="26"/>
      <c r="WFF77" s="26"/>
      <c r="WFG77" s="26"/>
      <c r="WFH77" s="22"/>
      <c r="WFI77" s="167"/>
      <c r="WFJ77" s="30"/>
      <c r="WFK77" s="25"/>
      <c r="WFL77" s="178"/>
      <c r="WFM77" s="26"/>
      <c r="WFN77" s="26"/>
      <c r="WFO77" s="26"/>
      <c r="WFP77" s="26"/>
      <c r="WFQ77" s="26"/>
      <c r="WFR77" s="26"/>
      <c r="WFS77" s="58"/>
      <c r="WFT77" s="26"/>
      <c r="WFU77" s="26"/>
      <c r="WFV77" s="26"/>
      <c r="WFW77" s="26"/>
      <c r="WFX77" s="22"/>
      <c r="WFY77" s="167"/>
      <c r="WFZ77" s="30"/>
      <c r="WGA77" s="25"/>
      <c r="WGB77" s="178"/>
      <c r="WGC77" s="26"/>
      <c r="WGD77" s="26"/>
      <c r="WGE77" s="26"/>
      <c r="WGF77" s="26"/>
      <c r="WGG77" s="26"/>
      <c r="WGH77" s="26"/>
      <c r="WGI77" s="58"/>
      <c r="WGJ77" s="26"/>
      <c r="WGK77" s="26"/>
      <c r="WGL77" s="26"/>
      <c r="WGM77" s="26"/>
      <c r="WGN77" s="22"/>
      <c r="WGO77" s="167"/>
      <c r="WGP77" s="30"/>
      <c r="WGQ77" s="25"/>
      <c r="WGR77" s="178"/>
      <c r="WGS77" s="26"/>
      <c r="WGT77" s="26"/>
      <c r="WGU77" s="26"/>
      <c r="WGV77" s="26"/>
      <c r="WGW77" s="26"/>
      <c r="WGX77" s="26"/>
      <c r="WGY77" s="58"/>
      <c r="WGZ77" s="26"/>
      <c r="WHA77" s="26"/>
      <c r="WHB77" s="26"/>
      <c r="WHC77" s="26"/>
      <c r="WHD77" s="22"/>
      <c r="WHE77" s="167"/>
      <c r="WHF77" s="30"/>
      <c r="WHG77" s="25"/>
      <c r="WHH77" s="178"/>
      <c r="WHI77" s="26"/>
      <c r="WHJ77" s="26"/>
      <c r="WHK77" s="26"/>
      <c r="WHL77" s="26"/>
      <c r="WHM77" s="26"/>
      <c r="WHN77" s="26"/>
      <c r="WHO77" s="58"/>
      <c r="WHP77" s="26"/>
      <c r="WHQ77" s="26"/>
      <c r="WHR77" s="26"/>
      <c r="WHS77" s="26"/>
      <c r="WHT77" s="22"/>
      <c r="WHU77" s="167"/>
      <c r="WHV77" s="30"/>
      <c r="WHW77" s="25"/>
      <c r="WHX77" s="178"/>
      <c r="WHY77" s="26"/>
      <c r="WHZ77" s="26"/>
      <c r="WIA77" s="26"/>
      <c r="WIB77" s="26"/>
      <c r="WIC77" s="26"/>
      <c r="WID77" s="26"/>
      <c r="WIE77" s="58"/>
      <c r="WIF77" s="26"/>
      <c r="WIG77" s="26"/>
      <c r="WIH77" s="26"/>
      <c r="WII77" s="26"/>
      <c r="WIJ77" s="22"/>
      <c r="WIK77" s="167"/>
      <c r="WIL77" s="30"/>
      <c r="WIM77" s="25"/>
      <c r="WIN77" s="178"/>
      <c r="WIO77" s="26"/>
      <c r="WIP77" s="26"/>
      <c r="WIQ77" s="26"/>
      <c r="WIR77" s="26"/>
      <c r="WIS77" s="26"/>
      <c r="WIT77" s="26"/>
      <c r="WIU77" s="58"/>
      <c r="WIV77" s="26"/>
      <c r="WIW77" s="26"/>
      <c r="WIX77" s="26"/>
      <c r="WIY77" s="26"/>
      <c r="WIZ77" s="22"/>
      <c r="WJA77" s="167"/>
      <c r="WJB77" s="30"/>
      <c r="WJC77" s="25"/>
      <c r="WJD77" s="178"/>
      <c r="WJE77" s="26"/>
      <c r="WJF77" s="26"/>
      <c r="WJG77" s="26"/>
      <c r="WJH77" s="26"/>
      <c r="WJI77" s="26"/>
      <c r="WJJ77" s="26"/>
      <c r="WJK77" s="58"/>
      <c r="WJL77" s="26"/>
      <c r="WJM77" s="26"/>
      <c r="WJN77" s="26"/>
      <c r="WJO77" s="26"/>
      <c r="WJP77" s="22"/>
      <c r="WJQ77" s="167"/>
      <c r="WJR77" s="30"/>
      <c r="WJS77" s="25"/>
      <c r="WJT77" s="178"/>
      <c r="WJU77" s="26"/>
      <c r="WJV77" s="26"/>
      <c r="WJW77" s="26"/>
      <c r="WJX77" s="26"/>
      <c r="WJY77" s="26"/>
      <c r="WJZ77" s="26"/>
      <c r="WKA77" s="58"/>
      <c r="WKB77" s="26"/>
      <c r="WKC77" s="26"/>
      <c r="WKD77" s="26"/>
      <c r="WKE77" s="26"/>
      <c r="WKF77" s="22"/>
      <c r="WKG77" s="167"/>
      <c r="WKH77" s="30"/>
      <c r="WKI77" s="25"/>
      <c r="WKJ77" s="178"/>
      <c r="WKK77" s="26"/>
      <c r="WKL77" s="26"/>
      <c r="WKM77" s="26"/>
      <c r="WKN77" s="26"/>
      <c r="WKO77" s="26"/>
      <c r="WKP77" s="26"/>
      <c r="WKQ77" s="58"/>
      <c r="WKR77" s="26"/>
      <c r="WKS77" s="26"/>
      <c r="WKT77" s="26"/>
      <c r="WKU77" s="26"/>
      <c r="WKV77" s="22"/>
      <c r="WKW77" s="167"/>
      <c r="WKX77" s="30"/>
      <c r="WKY77" s="25"/>
      <c r="WKZ77" s="178"/>
      <c r="WLA77" s="26"/>
      <c r="WLB77" s="26"/>
      <c r="WLC77" s="26"/>
      <c r="WLD77" s="26"/>
      <c r="WLE77" s="26"/>
      <c r="WLF77" s="26"/>
      <c r="WLG77" s="58"/>
      <c r="WLH77" s="26"/>
      <c r="WLI77" s="26"/>
      <c r="WLJ77" s="26"/>
      <c r="WLK77" s="26"/>
      <c r="WLL77" s="22"/>
      <c r="WLM77" s="167"/>
      <c r="WLN77" s="30"/>
      <c r="WLO77" s="25"/>
      <c r="WLP77" s="178"/>
      <c r="WLQ77" s="26"/>
      <c r="WLR77" s="26"/>
      <c r="WLS77" s="26"/>
      <c r="WLT77" s="26"/>
      <c r="WLU77" s="26"/>
      <c r="WLV77" s="26"/>
      <c r="WLW77" s="58"/>
      <c r="WLX77" s="26"/>
      <c r="WLY77" s="26"/>
      <c r="WLZ77" s="26"/>
      <c r="WMA77" s="26"/>
      <c r="WMB77" s="22"/>
      <c r="WMC77" s="167"/>
      <c r="WMD77" s="30"/>
      <c r="WME77" s="25"/>
      <c r="WMF77" s="178"/>
      <c r="WMG77" s="26"/>
      <c r="WMH77" s="26"/>
      <c r="WMI77" s="26"/>
      <c r="WMJ77" s="26"/>
      <c r="WMK77" s="26"/>
      <c r="WML77" s="26"/>
      <c r="WMM77" s="58"/>
      <c r="WMN77" s="26"/>
      <c r="WMO77" s="26"/>
      <c r="WMP77" s="26"/>
      <c r="WMQ77" s="26"/>
      <c r="WMR77" s="22"/>
      <c r="WMS77" s="167"/>
      <c r="WMT77" s="30"/>
      <c r="WMU77" s="25"/>
      <c r="WMV77" s="178"/>
      <c r="WMW77" s="26"/>
      <c r="WMX77" s="26"/>
      <c r="WMY77" s="26"/>
      <c r="WMZ77" s="26"/>
      <c r="WNA77" s="26"/>
      <c r="WNB77" s="26"/>
      <c r="WNC77" s="58"/>
      <c r="WND77" s="26"/>
      <c r="WNE77" s="26"/>
      <c r="WNF77" s="26"/>
      <c r="WNG77" s="26"/>
      <c r="WNH77" s="22"/>
      <c r="WNI77" s="167"/>
      <c r="WNJ77" s="30"/>
      <c r="WNK77" s="25"/>
      <c r="WNL77" s="178"/>
      <c r="WNM77" s="26"/>
      <c r="WNN77" s="26"/>
      <c r="WNO77" s="26"/>
      <c r="WNP77" s="26"/>
      <c r="WNQ77" s="26"/>
      <c r="WNR77" s="26"/>
      <c r="WNS77" s="58"/>
      <c r="WNT77" s="26"/>
      <c r="WNU77" s="26"/>
      <c r="WNV77" s="26"/>
      <c r="WNW77" s="26"/>
      <c r="WNX77" s="22"/>
      <c r="WNY77" s="167"/>
      <c r="WNZ77" s="30"/>
      <c r="WOA77" s="25"/>
      <c r="WOB77" s="178"/>
      <c r="WOC77" s="26"/>
      <c r="WOD77" s="26"/>
      <c r="WOE77" s="26"/>
      <c r="WOF77" s="26"/>
      <c r="WOG77" s="26"/>
      <c r="WOH77" s="26"/>
      <c r="WOI77" s="58"/>
      <c r="WOJ77" s="26"/>
      <c r="WOK77" s="26"/>
      <c r="WOL77" s="26"/>
      <c r="WOM77" s="26"/>
      <c r="WON77" s="22"/>
      <c r="WOO77" s="167"/>
      <c r="WOP77" s="30"/>
      <c r="WOQ77" s="25"/>
      <c r="WOR77" s="178"/>
      <c r="WOS77" s="26"/>
      <c r="WOT77" s="26"/>
      <c r="WOU77" s="26"/>
      <c r="WOV77" s="26"/>
      <c r="WOW77" s="26"/>
      <c r="WOX77" s="26"/>
      <c r="WOY77" s="58"/>
      <c r="WOZ77" s="26"/>
      <c r="WPA77" s="26"/>
      <c r="WPB77" s="26"/>
      <c r="WPC77" s="26"/>
      <c r="WPD77" s="22"/>
      <c r="WPE77" s="167"/>
      <c r="WPF77" s="30"/>
      <c r="WPG77" s="25"/>
      <c r="WPH77" s="178"/>
      <c r="WPI77" s="26"/>
      <c r="WPJ77" s="26"/>
      <c r="WPK77" s="26"/>
      <c r="WPL77" s="26"/>
      <c r="WPM77" s="26"/>
      <c r="WPN77" s="26"/>
      <c r="WPO77" s="58"/>
      <c r="WPP77" s="26"/>
      <c r="WPQ77" s="26"/>
      <c r="WPR77" s="26"/>
      <c r="WPS77" s="26"/>
      <c r="WPT77" s="22"/>
      <c r="WPU77" s="167"/>
      <c r="WPV77" s="30"/>
      <c r="WPW77" s="25"/>
      <c r="WPX77" s="178"/>
      <c r="WPY77" s="26"/>
      <c r="WPZ77" s="26"/>
      <c r="WQA77" s="26"/>
      <c r="WQB77" s="26"/>
      <c r="WQC77" s="26"/>
      <c r="WQD77" s="26"/>
      <c r="WQE77" s="58"/>
      <c r="WQF77" s="26"/>
      <c r="WQG77" s="26"/>
      <c r="WQH77" s="26"/>
      <c r="WQI77" s="26"/>
      <c r="WQJ77" s="22"/>
      <c r="WQK77" s="167"/>
      <c r="WQL77" s="30"/>
      <c r="WQM77" s="25"/>
      <c r="WQN77" s="178"/>
      <c r="WQO77" s="26"/>
      <c r="WQP77" s="26"/>
      <c r="WQQ77" s="26"/>
      <c r="WQR77" s="26"/>
      <c r="WQS77" s="26"/>
      <c r="WQT77" s="26"/>
      <c r="WQU77" s="58"/>
      <c r="WQV77" s="26"/>
      <c r="WQW77" s="26"/>
      <c r="WQX77" s="26"/>
      <c r="WQY77" s="26"/>
      <c r="WQZ77" s="22"/>
      <c r="WRA77" s="167"/>
      <c r="WRB77" s="30"/>
      <c r="WRC77" s="25"/>
      <c r="WRD77" s="178"/>
      <c r="WRE77" s="26"/>
      <c r="WRF77" s="26"/>
      <c r="WRG77" s="26"/>
      <c r="WRH77" s="26"/>
      <c r="WRI77" s="26"/>
      <c r="WRJ77" s="26"/>
      <c r="WRK77" s="58"/>
      <c r="WRL77" s="26"/>
      <c r="WRM77" s="26"/>
      <c r="WRN77" s="26"/>
      <c r="WRO77" s="26"/>
      <c r="WRP77" s="22"/>
      <c r="WRQ77" s="167"/>
      <c r="WRR77" s="30"/>
      <c r="WRS77" s="25"/>
      <c r="WRT77" s="178"/>
      <c r="WRU77" s="26"/>
      <c r="WRV77" s="26"/>
      <c r="WRW77" s="26"/>
      <c r="WRX77" s="26"/>
      <c r="WRY77" s="26"/>
      <c r="WRZ77" s="26"/>
      <c r="WSA77" s="58"/>
      <c r="WSB77" s="26"/>
      <c r="WSC77" s="26"/>
      <c r="WSD77" s="26"/>
      <c r="WSE77" s="26"/>
      <c r="WSF77" s="22"/>
      <c r="WSG77" s="167"/>
      <c r="WSH77" s="30"/>
      <c r="WSI77" s="25"/>
      <c r="WSJ77" s="178"/>
      <c r="WSK77" s="26"/>
      <c r="WSL77" s="26"/>
      <c r="WSM77" s="26"/>
      <c r="WSN77" s="26"/>
      <c r="WSO77" s="26"/>
      <c r="WSP77" s="26"/>
      <c r="WSQ77" s="58"/>
      <c r="WSR77" s="26"/>
      <c r="WSS77" s="26"/>
      <c r="WST77" s="26"/>
      <c r="WSU77" s="26"/>
      <c r="WSV77" s="22"/>
      <c r="WSW77" s="167"/>
      <c r="WSX77" s="30"/>
      <c r="WSY77" s="25"/>
      <c r="WSZ77" s="178"/>
      <c r="WTA77" s="26"/>
      <c r="WTB77" s="26"/>
      <c r="WTC77" s="26"/>
      <c r="WTD77" s="26"/>
      <c r="WTE77" s="26"/>
      <c r="WTF77" s="26"/>
      <c r="WTG77" s="58"/>
      <c r="WTH77" s="26"/>
      <c r="WTI77" s="26"/>
      <c r="WTJ77" s="26"/>
      <c r="WTK77" s="26"/>
      <c r="WTL77" s="22"/>
      <c r="WTM77" s="167"/>
      <c r="WTN77" s="30"/>
      <c r="WTO77" s="25"/>
      <c r="WTP77" s="178"/>
      <c r="WTQ77" s="26"/>
      <c r="WTR77" s="26"/>
      <c r="WTS77" s="26"/>
      <c r="WTT77" s="26"/>
      <c r="WTU77" s="26"/>
      <c r="WTV77" s="26"/>
      <c r="WTW77" s="58"/>
      <c r="WTX77" s="26"/>
      <c r="WTY77" s="26"/>
      <c r="WTZ77" s="26"/>
      <c r="WUA77" s="26"/>
      <c r="WUB77" s="22"/>
      <c r="WUC77" s="167"/>
      <c r="WUD77" s="30"/>
      <c r="WUE77" s="25"/>
      <c r="WUF77" s="178"/>
      <c r="WUG77" s="26"/>
      <c r="WUH77" s="26"/>
      <c r="WUI77" s="26"/>
      <c r="WUJ77" s="26"/>
      <c r="WUK77" s="26"/>
      <c r="WUL77" s="26"/>
      <c r="WUM77" s="58"/>
      <c r="WUN77" s="26"/>
      <c r="WUO77" s="26"/>
      <c r="WUP77" s="26"/>
      <c r="WUQ77" s="26"/>
      <c r="WUR77" s="22"/>
      <c r="WUS77" s="167"/>
      <c r="WUT77" s="30"/>
      <c r="WUU77" s="25"/>
      <c r="WUV77" s="178"/>
      <c r="WUW77" s="26"/>
      <c r="WUX77" s="26"/>
      <c r="WUY77" s="26"/>
      <c r="WUZ77" s="26"/>
      <c r="WVA77" s="26"/>
      <c r="WVB77" s="26"/>
      <c r="WVC77" s="58"/>
      <c r="WVD77" s="26"/>
      <c r="WVE77" s="26"/>
      <c r="WVF77" s="26"/>
      <c r="WVG77" s="26"/>
      <c r="WVH77" s="22"/>
      <c r="WVI77" s="167"/>
      <c r="WVJ77" s="30"/>
      <c r="WVK77" s="25"/>
      <c r="WVL77" s="178"/>
      <c r="WVM77" s="26"/>
      <c r="WVN77" s="26"/>
      <c r="WVO77" s="26"/>
      <c r="WVP77" s="26"/>
      <c r="WVQ77" s="26"/>
      <c r="WVR77" s="26"/>
      <c r="WVS77" s="58"/>
      <c r="WVT77" s="26"/>
      <c r="WVU77" s="26"/>
      <c r="WVV77" s="26"/>
      <c r="WVW77" s="26"/>
      <c r="WVX77" s="22"/>
      <c r="WVY77" s="167"/>
      <c r="WVZ77" s="30"/>
      <c r="WWA77" s="25"/>
      <c r="WWB77" s="178"/>
      <c r="WWC77" s="26"/>
      <c r="WWD77" s="26"/>
      <c r="WWE77" s="26"/>
      <c r="WWF77" s="26"/>
      <c r="WWG77" s="26"/>
      <c r="WWH77" s="26"/>
      <c r="WWI77" s="58"/>
      <c r="WWJ77" s="26"/>
      <c r="WWK77" s="26"/>
      <c r="WWL77" s="26"/>
      <c r="WWM77" s="26"/>
      <c r="WWN77" s="22"/>
      <c r="WWO77" s="167"/>
      <c r="WWP77" s="30"/>
      <c r="WWQ77" s="25"/>
      <c r="WWR77" s="178"/>
      <c r="WWS77" s="26"/>
      <c r="WWT77" s="26"/>
      <c r="WWU77" s="26"/>
      <c r="WWV77" s="26"/>
      <c r="WWW77" s="26"/>
      <c r="WWX77" s="26"/>
      <c r="WWY77" s="58"/>
      <c r="WWZ77" s="26"/>
      <c r="WXA77" s="26"/>
      <c r="WXB77" s="26"/>
      <c r="WXC77" s="26"/>
      <c r="WXD77" s="22"/>
      <c r="WXE77" s="167"/>
      <c r="WXF77" s="30"/>
      <c r="WXG77" s="25"/>
      <c r="WXH77" s="178"/>
      <c r="WXI77" s="26"/>
      <c r="WXJ77" s="26"/>
      <c r="WXK77" s="26"/>
      <c r="WXL77" s="26"/>
      <c r="WXM77" s="26"/>
      <c r="WXN77" s="26"/>
      <c r="WXO77" s="58"/>
      <c r="WXP77" s="26"/>
      <c r="WXQ77" s="26"/>
      <c r="WXR77" s="26"/>
      <c r="WXS77" s="26"/>
      <c r="WXT77" s="22"/>
      <c r="WXU77" s="167"/>
      <c r="WXV77" s="30"/>
      <c r="WXW77" s="25"/>
      <c r="WXX77" s="178"/>
      <c r="WXY77" s="26"/>
      <c r="WXZ77" s="26"/>
      <c r="WYA77" s="26"/>
      <c r="WYB77" s="26"/>
      <c r="WYC77" s="26"/>
      <c r="WYD77" s="26"/>
      <c r="WYE77" s="58"/>
      <c r="WYF77" s="26"/>
      <c r="WYG77" s="26"/>
      <c r="WYH77" s="26"/>
      <c r="WYI77" s="26"/>
      <c r="WYJ77" s="22"/>
      <c r="WYK77" s="167"/>
      <c r="WYL77" s="30"/>
      <c r="WYM77" s="25"/>
      <c r="WYN77" s="178"/>
      <c r="WYO77" s="26"/>
      <c r="WYP77" s="26"/>
      <c r="WYQ77" s="26"/>
      <c r="WYR77" s="26"/>
      <c r="WYS77" s="26"/>
      <c r="WYT77" s="26"/>
      <c r="WYU77" s="58"/>
      <c r="WYV77" s="26"/>
      <c r="WYW77" s="26"/>
      <c r="WYX77" s="26"/>
      <c r="WYY77" s="26"/>
      <c r="WYZ77" s="22"/>
      <c r="WZA77" s="167"/>
      <c r="WZB77" s="30"/>
      <c r="WZC77" s="25"/>
      <c r="WZD77" s="178"/>
      <c r="WZE77" s="26"/>
      <c r="WZF77" s="26"/>
      <c r="WZG77" s="26"/>
      <c r="WZH77" s="26"/>
      <c r="WZI77" s="26"/>
      <c r="WZJ77" s="26"/>
      <c r="WZK77" s="58"/>
      <c r="WZL77" s="26"/>
      <c r="WZM77" s="26"/>
      <c r="WZN77" s="26"/>
      <c r="WZO77" s="26"/>
      <c r="WZP77" s="22"/>
      <c r="WZQ77" s="167"/>
      <c r="WZR77" s="30"/>
      <c r="WZS77" s="25"/>
      <c r="WZT77" s="178"/>
      <c r="WZU77" s="26"/>
      <c r="WZV77" s="26"/>
      <c r="WZW77" s="26"/>
      <c r="WZX77" s="26"/>
      <c r="WZY77" s="26"/>
      <c r="WZZ77" s="26"/>
      <c r="XAA77" s="58"/>
      <c r="XAB77" s="26"/>
      <c r="XAC77" s="26"/>
      <c r="XAD77" s="26"/>
      <c r="XAE77" s="26"/>
      <c r="XAF77" s="22"/>
      <c r="XAG77" s="167"/>
      <c r="XAH77" s="30"/>
      <c r="XAI77" s="25"/>
      <c r="XAJ77" s="178"/>
      <c r="XAK77" s="26"/>
      <c r="XAL77" s="26"/>
      <c r="XAM77" s="26"/>
      <c r="XAN77" s="26"/>
      <c r="XAO77" s="26"/>
      <c r="XAP77" s="26"/>
      <c r="XAQ77" s="58"/>
      <c r="XAR77" s="26"/>
      <c r="XAS77" s="26"/>
      <c r="XAT77" s="26"/>
      <c r="XAU77" s="26"/>
      <c r="XAV77" s="22"/>
      <c r="XAW77" s="167"/>
      <c r="XAX77" s="30"/>
      <c r="XAY77" s="25"/>
      <c r="XAZ77" s="178"/>
      <c r="XBA77" s="26"/>
      <c r="XBB77" s="26"/>
      <c r="XBC77" s="26"/>
      <c r="XBD77" s="26"/>
      <c r="XBE77" s="26"/>
      <c r="XBF77" s="26"/>
      <c r="XBG77" s="58"/>
      <c r="XBH77" s="26"/>
      <c r="XBI77" s="26"/>
      <c r="XBJ77" s="26"/>
      <c r="XBK77" s="26"/>
      <c r="XBL77" s="22"/>
      <c r="XBM77" s="167"/>
      <c r="XBN77" s="30"/>
      <c r="XBO77" s="25"/>
      <c r="XBP77" s="178"/>
      <c r="XBQ77" s="26"/>
      <c r="XBR77" s="26"/>
      <c r="XBS77" s="26"/>
      <c r="XBT77" s="26"/>
      <c r="XBU77" s="26"/>
      <c r="XBV77" s="26"/>
      <c r="XBW77" s="58"/>
      <c r="XBX77" s="26"/>
      <c r="XBY77" s="26"/>
      <c r="XBZ77" s="26"/>
      <c r="XCA77" s="26"/>
      <c r="XCB77" s="22"/>
      <c r="XCC77" s="167"/>
      <c r="XCD77" s="30"/>
      <c r="XCE77" s="25"/>
      <c r="XCF77" s="178"/>
      <c r="XCG77" s="26"/>
      <c r="XCH77" s="26"/>
      <c r="XCI77" s="26"/>
      <c r="XCJ77" s="26"/>
      <c r="XCK77" s="26"/>
      <c r="XCL77" s="26"/>
      <c r="XCM77" s="58"/>
      <c r="XCN77" s="26"/>
      <c r="XCO77" s="26"/>
      <c r="XCP77" s="26"/>
      <c r="XCQ77" s="26"/>
      <c r="XCR77" s="22"/>
      <c r="XCS77" s="167"/>
      <c r="XCT77" s="30"/>
      <c r="XCU77" s="25"/>
      <c r="XCV77" s="178"/>
      <c r="XCW77" s="26"/>
      <c r="XCX77" s="26"/>
      <c r="XCY77" s="26"/>
      <c r="XCZ77" s="26"/>
      <c r="XDA77" s="26"/>
      <c r="XDB77" s="26"/>
      <c r="XDC77" s="58"/>
      <c r="XDD77" s="26"/>
      <c r="XDE77" s="26"/>
      <c r="XDF77" s="26"/>
      <c r="XDG77" s="26"/>
      <c r="XDH77" s="22"/>
      <c r="XDI77" s="167"/>
      <c r="XDJ77" s="30"/>
      <c r="XDK77" s="25"/>
      <c r="XDL77" s="178"/>
      <c r="XDM77" s="26"/>
      <c r="XDN77" s="26"/>
      <c r="XDO77" s="26"/>
      <c r="XDP77" s="26"/>
      <c r="XDQ77" s="26"/>
      <c r="XDR77" s="26"/>
      <c r="XDS77" s="58"/>
      <c r="XDT77" s="26"/>
      <c r="XDU77" s="26"/>
      <c r="XDV77" s="26"/>
      <c r="XDW77" s="26"/>
      <c r="XDX77" s="22"/>
      <c r="XDY77" s="167"/>
      <c r="XDZ77" s="30"/>
      <c r="XEA77" s="25"/>
      <c r="XEB77" s="178"/>
      <c r="XEC77" s="26"/>
      <c r="XED77" s="26"/>
      <c r="XEE77" s="26"/>
      <c r="XEF77" s="26"/>
      <c r="XEG77" s="26"/>
      <c r="XEH77" s="26"/>
      <c r="XEI77" s="58"/>
      <c r="XEJ77" s="26"/>
      <c r="XEK77" s="26"/>
      <c r="XEL77" s="26"/>
      <c r="XEM77" s="26"/>
      <c r="XEN77" s="22"/>
      <c r="XEO77" s="167"/>
      <c r="XEP77" s="30"/>
      <c r="XEQ77" s="25"/>
      <c r="XER77" s="178"/>
      <c r="XES77" s="26"/>
      <c r="XET77" s="26"/>
      <c r="XEU77" s="26"/>
      <c r="XEV77" s="26"/>
      <c r="XEW77" s="26"/>
      <c r="XEX77" s="26"/>
      <c r="XEY77" s="58"/>
      <c r="XEZ77" s="26"/>
      <c r="XFA77" s="26"/>
      <c r="XFB77" s="26"/>
      <c r="XFC77" s="26"/>
      <c r="XFD77" s="22"/>
    </row>
    <row r="78" spans="1:16384" s="32" customFormat="1" ht="15.75" customHeight="1" thickBot="1" x14ac:dyDescent="0.25">
      <c r="A78" s="225"/>
      <c r="B78" s="232" t="s">
        <v>1372</v>
      </c>
      <c r="C78" s="135" t="s">
        <v>56</v>
      </c>
      <c r="D78" s="177">
        <v>0</v>
      </c>
      <c r="E78" s="36">
        <v>0</v>
      </c>
      <c r="F78" s="36">
        <v>0</v>
      </c>
      <c r="G78" s="36">
        <v>0</v>
      </c>
      <c r="H78" s="36">
        <v>0</v>
      </c>
      <c r="I78" s="36">
        <v>0</v>
      </c>
      <c r="J78" s="56">
        <v>54</v>
      </c>
      <c r="K78" s="62">
        <f>SUM(D78:J78)</f>
        <v>54</v>
      </c>
      <c r="L78" s="26">
        <v>0</v>
      </c>
      <c r="M78" s="26">
        <v>0</v>
      </c>
      <c r="N78" s="26">
        <f>L78+M78</f>
        <v>0</v>
      </c>
      <c r="O78" s="26"/>
      <c r="P78" s="22">
        <f>N78*K78</f>
        <v>0</v>
      </c>
      <c r="Q78" s="37"/>
    </row>
    <row r="79" spans="1:16384" s="32" customFormat="1" ht="15.75" customHeight="1" x14ac:dyDescent="0.2">
      <c r="A79" s="201"/>
      <c r="B79" s="281"/>
      <c r="C79" s="25"/>
      <c r="D79" s="178"/>
      <c r="E79" s="26"/>
      <c r="F79" s="26"/>
      <c r="G79" s="26"/>
      <c r="H79" s="26"/>
      <c r="I79" s="26"/>
      <c r="J79" s="26"/>
      <c r="K79" s="58"/>
      <c r="L79" s="26"/>
      <c r="M79" s="26"/>
      <c r="N79" s="26"/>
      <c r="O79" s="26"/>
      <c r="P79" s="22"/>
      <c r="Q79" s="37"/>
    </row>
    <row r="80" spans="1:16384" s="32" customFormat="1" ht="14.25" x14ac:dyDescent="0.2">
      <c r="A80" s="225" t="s">
        <v>1373</v>
      </c>
      <c r="B80" s="226" t="s">
        <v>1374</v>
      </c>
      <c r="C80" s="28"/>
      <c r="D80" s="181"/>
      <c r="E80" s="28"/>
      <c r="F80" s="28"/>
      <c r="G80" s="28"/>
      <c r="H80" s="28"/>
      <c r="I80" s="28"/>
      <c r="J80" s="28"/>
      <c r="K80" s="60"/>
      <c r="L80" s="29"/>
      <c r="M80" s="29"/>
      <c r="N80" s="29"/>
      <c r="O80" s="29"/>
      <c r="P80" s="23"/>
      <c r="Q80" s="37"/>
    </row>
    <row r="81" spans="1:21" s="32" customFormat="1" ht="64.5" thickBot="1" x14ac:dyDescent="0.25">
      <c r="A81" s="201"/>
      <c r="B81" s="281" t="s">
        <v>1375</v>
      </c>
      <c r="C81" s="25"/>
      <c r="D81" s="178"/>
      <c r="E81" s="26"/>
      <c r="F81" s="26"/>
      <c r="G81" s="26"/>
      <c r="H81" s="26"/>
      <c r="I81" s="26"/>
      <c r="J81" s="26"/>
      <c r="K81" s="58"/>
      <c r="L81" s="26"/>
      <c r="M81" s="26"/>
      <c r="N81" s="26"/>
      <c r="O81" s="26"/>
      <c r="P81" s="22"/>
      <c r="Q81" s="37"/>
    </row>
    <row r="82" spans="1:21" s="32" customFormat="1" ht="15.75" customHeight="1" thickBot="1" x14ac:dyDescent="0.25">
      <c r="A82" s="225"/>
      <c r="B82" s="232" t="s">
        <v>3</v>
      </c>
      <c r="C82" s="135" t="s">
        <v>2</v>
      </c>
      <c r="D82" s="177">
        <v>0</v>
      </c>
      <c r="E82" s="36">
        <v>0</v>
      </c>
      <c r="F82" s="36">
        <v>0</v>
      </c>
      <c r="G82" s="36">
        <v>0</v>
      </c>
      <c r="H82" s="36">
        <v>0</v>
      </c>
      <c r="I82" s="36">
        <v>0</v>
      </c>
      <c r="J82" s="56">
        <v>44</v>
      </c>
      <c r="K82" s="62">
        <f>SUM(D82:J82)</f>
        <v>44</v>
      </c>
      <c r="L82" s="26">
        <v>0</v>
      </c>
      <c r="M82" s="26">
        <v>0</v>
      </c>
      <c r="N82" s="26">
        <f>L82+M82</f>
        <v>0</v>
      </c>
      <c r="O82" s="26"/>
      <c r="P82" s="22">
        <f>N82*K82</f>
        <v>0</v>
      </c>
      <c r="Q82" s="37"/>
    </row>
    <row r="83" spans="1:21" s="32" customFormat="1" ht="12.75" x14ac:dyDescent="0.2">
      <c r="A83" s="159"/>
      <c r="B83" s="24"/>
      <c r="C83" s="25"/>
      <c r="D83" s="174"/>
      <c r="E83" s="25"/>
      <c r="F83" s="25"/>
      <c r="G83" s="25"/>
      <c r="H83" s="25"/>
      <c r="I83" s="25"/>
      <c r="J83" s="25"/>
      <c r="K83" s="58"/>
      <c r="L83" s="26"/>
      <c r="M83" s="26"/>
      <c r="N83" s="26"/>
      <c r="O83" s="26"/>
      <c r="P83" s="22"/>
      <c r="Q83" s="37"/>
    </row>
    <row r="86" spans="1:21" s="185" customFormat="1" ht="15.75" x14ac:dyDescent="0.25">
      <c r="A86" s="183" t="s">
        <v>1265</v>
      </c>
      <c r="B86" s="490" t="s">
        <v>1290</v>
      </c>
      <c r="C86" s="491"/>
      <c r="D86" s="491"/>
      <c r="E86" s="491"/>
      <c r="F86" s="491"/>
      <c r="G86" s="491"/>
      <c r="H86" s="491"/>
      <c r="I86" s="491"/>
      <c r="J86" s="491"/>
      <c r="K86" s="491"/>
      <c r="L86" s="491"/>
      <c r="M86" s="492"/>
      <c r="N86" s="34" t="s">
        <v>0</v>
      </c>
      <c r="O86" s="34"/>
      <c r="P86" s="9">
        <f>SUM(P59:P82)</f>
        <v>0</v>
      </c>
      <c r="Q86" s="184"/>
    </row>
    <row r="88" spans="1:21" s="132" customFormat="1" ht="15.75" x14ac:dyDescent="0.25">
      <c r="A88" s="160" t="s">
        <v>1265</v>
      </c>
      <c r="B88" s="130" t="s">
        <v>1327</v>
      </c>
      <c r="C88" s="49"/>
      <c r="D88" s="49"/>
      <c r="E88" s="49"/>
      <c r="F88" s="49"/>
      <c r="G88" s="49"/>
      <c r="H88" s="49"/>
      <c r="I88" s="49"/>
      <c r="J88" s="49"/>
      <c r="K88" s="49"/>
      <c r="L88" s="49"/>
      <c r="M88" s="49"/>
      <c r="N88" s="49"/>
      <c r="O88" s="131"/>
      <c r="P88" s="49"/>
      <c r="Q88" s="49"/>
      <c r="R88" s="476" t="s">
        <v>57</v>
      </c>
      <c r="S88" s="476"/>
      <c r="T88" s="50">
        <f>P86*6</f>
        <v>0</v>
      </c>
      <c r="U88" s="151"/>
    </row>
    <row r="90" spans="1:21" s="132" customFormat="1" ht="15.75" x14ac:dyDescent="0.25">
      <c r="A90" s="160"/>
      <c r="B90" s="130" t="s">
        <v>1308</v>
      </c>
      <c r="C90" s="49"/>
      <c r="D90" s="49"/>
      <c r="E90" s="49"/>
      <c r="F90" s="49"/>
      <c r="G90" s="49"/>
      <c r="H90" s="49"/>
      <c r="I90" s="49"/>
      <c r="J90" s="49"/>
      <c r="K90" s="49"/>
      <c r="L90" s="49"/>
      <c r="M90" s="49"/>
      <c r="N90" s="49"/>
      <c r="O90" s="131"/>
      <c r="P90" s="49"/>
      <c r="Q90" s="49"/>
      <c r="R90" s="476"/>
      <c r="S90" s="476"/>
      <c r="T90" s="50">
        <f>SUM(T88,T48)</f>
        <v>0</v>
      </c>
      <c r="U90" s="151"/>
    </row>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7" customFormat="1" x14ac:dyDescent="0.25"/>
    <row r="128" customFormat="1" x14ac:dyDescent="0.25"/>
    <row r="129" customFormat="1" x14ac:dyDescent="0.25"/>
    <row r="131" customFormat="1" x14ac:dyDescent="0.25"/>
  </sheetData>
  <mergeCells count="14">
    <mergeCell ref="R88:S88"/>
    <mergeCell ref="R90:S90"/>
    <mergeCell ref="B86:M86"/>
    <mergeCell ref="D50:J50"/>
    <mergeCell ref="D51:J51"/>
    <mergeCell ref="B54:N54"/>
    <mergeCell ref="O54:P54"/>
    <mergeCell ref="B2:R3"/>
    <mergeCell ref="B5:T5"/>
    <mergeCell ref="D7:N7"/>
    <mergeCell ref="D8:N8"/>
    <mergeCell ref="R48:S48"/>
    <mergeCell ref="B14:R14"/>
    <mergeCell ref="B44:Q44"/>
  </mergeCells>
  <conditionalFormatting sqref="P86">
    <cfRule type="cellIs" dxfId="7" priority="10" stopIfTrue="1" operator="greaterThan">
      <formula>0</formula>
    </cfRule>
  </conditionalFormatting>
  <conditionalFormatting sqref="T11">
    <cfRule type="cellIs" dxfId="6" priority="15" stopIfTrue="1" operator="greaterThan">
      <formula>0</formula>
    </cfRule>
  </conditionalFormatting>
  <conditionalFormatting sqref="T15 T17:T19 T21 T23:T24 T27 T29 T31 T33">
    <cfRule type="cellIs" dxfId="5" priority="5" stopIfTrue="1" operator="greaterThan">
      <formula>0</formula>
    </cfRule>
  </conditionalFormatting>
  <conditionalFormatting sqref="T37">
    <cfRule type="cellIs" dxfId="4" priority="3" stopIfTrue="1" operator="greaterThan">
      <formula>0</formula>
    </cfRule>
  </conditionalFormatting>
  <conditionalFormatting sqref="T41">
    <cfRule type="cellIs" dxfId="3" priority="2" stopIfTrue="1" operator="greaterThan">
      <formula>0</formula>
    </cfRule>
  </conditionalFormatting>
  <conditionalFormatting sqref="T43:T48">
    <cfRule type="cellIs" dxfId="2" priority="4" stopIfTrue="1" operator="greaterThan">
      <formula>0</formula>
    </cfRule>
  </conditionalFormatting>
  <conditionalFormatting sqref="T88">
    <cfRule type="cellIs" dxfId="1" priority="7" stopIfTrue="1" operator="greaterThan">
      <formula>0</formula>
    </cfRule>
  </conditionalFormatting>
  <conditionalFormatting sqref="T90">
    <cfRule type="cellIs" dxfId="0" priority="6" stopIfTrue="1" operator="greaterThan">
      <formula>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83012C601FB0C4D8E4C0505AE29F9A7" ma:contentTypeVersion="15" ma:contentTypeDescription="Ustvari nov dokument." ma:contentTypeScope="" ma:versionID="566064a940b97c385c9b7a64fa8131a5">
  <xsd:schema xmlns:xsd="http://www.w3.org/2001/XMLSchema" xmlns:xs="http://www.w3.org/2001/XMLSchema" xmlns:p="http://schemas.microsoft.com/office/2006/metadata/properties" xmlns:ns2="82ffdcdb-0f51-46c7-a78f-772b97c7297e" xmlns:ns3="64fa8e57-0570-40d4-a5ea-6fa638bc4c89" targetNamespace="http://schemas.microsoft.com/office/2006/metadata/properties" ma:root="true" ma:fieldsID="8f3739975798d069c67b5a7abd70fd74" ns2:_="" ns3:_="">
    <xsd:import namespace="82ffdcdb-0f51-46c7-a78f-772b97c7297e"/>
    <xsd:import namespace="64fa8e57-0570-40d4-a5ea-6fa638bc4c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ffdcdb-0f51-46c7-a78f-772b97c729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Oznake slike" ma:readOnly="false" ma:fieldId="{5cf76f15-5ced-4ddc-b409-7134ff3c332f}" ma:taxonomyMulti="true" ma:sspId="3cdd2db9-37dc-43b4-aed3-0eea83ec8170"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fa8e57-0570-40d4-a5ea-6fa638bc4c89" elementFormDefault="qualified">
    <xsd:import namespace="http://schemas.microsoft.com/office/2006/documentManagement/types"/>
    <xsd:import namespace="http://schemas.microsoft.com/office/infopath/2007/PartnerControls"/>
    <xsd:element name="SharedWithUsers" ma:index="15" nillable="true" ma:displayName="V skupni rabi z"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V skupni rabi s podrobnostmi" ma:internalName="SharedWithDetails" ma:readOnly="true">
      <xsd:simpleType>
        <xsd:restriction base="dms:Note">
          <xsd:maxLength value="255"/>
        </xsd:restriction>
      </xsd:simpleType>
    </xsd:element>
    <xsd:element name="TaxCatchAll" ma:index="21" nillable="true" ma:displayName="Taxonomy Catch All Column" ma:hidden="true" ma:list="{10b47ead-3028-4f03-8ff0-67f4672d5188}" ma:internalName="TaxCatchAll" ma:showField="CatchAllData" ma:web="64fa8e57-0570-40d4-a5ea-6fa638bc4c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vsebine"/>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2ffdcdb-0f51-46c7-a78f-772b97c7297e">
      <Terms xmlns="http://schemas.microsoft.com/office/infopath/2007/PartnerControls"/>
    </lcf76f155ced4ddcb4097134ff3c332f>
    <TaxCatchAll xmlns="64fa8e57-0570-40d4-a5ea-6fa638bc4c8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F648E6-1645-4FC1-8E37-273002B6DD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ffdcdb-0f51-46c7-a78f-772b97c7297e"/>
    <ds:schemaRef ds:uri="64fa8e57-0570-40d4-a5ea-6fa638bc4c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EC52B8-9174-4EEF-A611-92BFE64DB9B4}">
  <ds:schemaRefs>
    <ds:schemaRef ds:uri="http://schemas.microsoft.com/office/2006/metadata/properties"/>
    <ds:schemaRef ds:uri="http://schemas.microsoft.com/office/infopath/2007/PartnerControls"/>
    <ds:schemaRef ds:uri="82ffdcdb-0f51-46c7-a78f-772b97c7297e"/>
    <ds:schemaRef ds:uri="64fa8e57-0570-40d4-a5ea-6fa638bc4c89"/>
  </ds:schemaRefs>
</ds:datastoreItem>
</file>

<file path=customXml/itemProps3.xml><?xml version="1.0" encoding="utf-8"?>
<ds:datastoreItem xmlns:ds="http://schemas.openxmlformats.org/officeDocument/2006/customXml" ds:itemID="{6B7407EC-9395-42F2-9A82-C2A59F3830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Naslovnica</vt:lpstr>
      <vt:lpstr>Opci-GOR</vt:lpstr>
      <vt:lpstr>CEMENTNI ESTRIH</vt:lpstr>
      <vt:lpstr>HIDROIZOLACIJA</vt:lpstr>
      <vt:lpstr>GIPS KARTON</vt:lpstr>
      <vt:lpstr>FASADERSKI</vt:lpstr>
      <vt:lpstr>SOBOSLIKARSKI</vt:lpstr>
      <vt:lpstr>KERAMIČARSKI</vt:lpstr>
      <vt:lpstr>PODOPOLAGAČKI</vt:lpstr>
      <vt:lpstr>STEKLARSKI</vt:lpstr>
      <vt:lpstr>BRAVARSKI</vt:lpstr>
      <vt:lpstr>KROVNA KONSTR.</vt:lpstr>
      <vt:lpstr>KROV</vt:lpstr>
      <vt:lpstr>Naslovnica!Print_Area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Marko Marendić</dc:creator>
  <cp:lastModifiedBy>Ivan Cakaric</cp:lastModifiedBy>
  <cp:lastPrinted>2025-07-30T11:30:23Z</cp:lastPrinted>
  <dcterms:created xsi:type="dcterms:W3CDTF">2024-09-16T09:45:21Z</dcterms:created>
  <dcterms:modified xsi:type="dcterms:W3CDTF">2025-11-26T11:50:58Z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0x010100183012C601FB0C4D8E4C0505AE29F9A7</vt:lpwstr>
  </property>
  <property fmtid="{D5CDD505-2E9C-101B-9397-08002B2CF9AE}" pid="3" name="MediaServiceImageTags">
    <vt:lpwstr/>
  </property>
</Properties>
</file>