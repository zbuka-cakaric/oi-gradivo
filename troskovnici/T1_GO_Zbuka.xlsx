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defaultThemeVersion="124226"/>
  <xr:revisionPtr revIDLastSave="0" documentId="13_ncr:1_{99D61CE8-DDDA-4FD5-9094-0DF215BF7404}" xr6:coauthVersionLast="47" xr6:coauthVersionMax="47" xr10:uidLastSave="{00000000-0000-0000-0000-000000000000}"/>
  <bookViews>
    <workbookView xWindow="47175" yWindow="1095" windowWidth="29250" windowHeight="19890" tabRatio="935" activeTab="2" xr2:uid="{00000000-000D-0000-FFFF-FFFF00000000}"/>
  </bookViews>
  <sheets>
    <sheet name="REKAPITULACIJA_go" sheetId="46" r:id="rId1"/>
    <sheet name="općenito" sheetId="5" r:id="rId2"/>
    <sheet name="GO6_ZIDARSKI RADOVI" sheetId="56" r:id="rId3"/>
  </sheets>
  <definedNames>
    <definedName name="_xlnm.Print_Area" localSheetId="2">'GO6_ZIDARSKI RADOVI'!$A$1:$X$111</definedName>
    <definedName name="_xlnm.Print_Area" localSheetId="1">općenito!$A$1:$A$36</definedName>
    <definedName name="_xlnm.Print_Area" localSheetId="0">REKAPITULACIJA_go!$A$1:$M$38</definedName>
    <definedName name="_xlnm.Print_Titles" localSheetId="2">'GO6_ZIDARSKI RADOVI'!$2:$3</definedName>
  </definedNames>
  <calcPr calcId="191029"/>
</workbook>
</file>

<file path=xl/calcChain.xml><?xml version="1.0" encoding="utf-8"?>
<calcChain xmlns="http://schemas.openxmlformats.org/spreadsheetml/2006/main">
  <c r="P33" i="56" l="1"/>
  <c r="F35" i="46"/>
  <c r="L35" i="46"/>
  <c r="K35" i="46"/>
  <c r="D35" i="46"/>
  <c r="B35" i="46"/>
  <c r="A35" i="46"/>
  <c r="N24" i="56"/>
  <c r="N26" i="56"/>
  <c r="E35" i="46" l="1"/>
  <c r="G35" i="46"/>
  <c r="I35" i="46"/>
  <c r="M35" i="46"/>
  <c r="H35" i="46"/>
  <c r="J35" i="46"/>
  <c r="C35" i="46" l="1"/>
  <c r="E34" i="46" l="1"/>
  <c r="K36" i="46" l="1"/>
  <c r="M33" i="46"/>
  <c r="L33" i="46"/>
  <c r="G33" i="46"/>
  <c r="F33" i="46"/>
  <c r="E33" i="46"/>
  <c r="L30" i="46"/>
  <c r="K30" i="46"/>
  <c r="F30" i="46"/>
  <c r="D30" i="46"/>
  <c r="L28" i="46"/>
  <c r="E27" i="46"/>
  <c r="K24" i="46"/>
  <c r="E24" i="46"/>
  <c r="E22" i="46"/>
  <c r="E20" i="46"/>
  <c r="K28" i="46" l="1"/>
  <c r="F26" i="46"/>
  <c r="G23" i="46"/>
  <c r="D23" i="46"/>
  <c r="D17" i="46"/>
  <c r="F15" i="46"/>
  <c r="D15" i="46"/>
  <c r="I30" i="46" l="1"/>
  <c r="X73" i="56"/>
  <c r="X62" i="56"/>
  <c r="X25" i="56"/>
  <c r="N73" i="56"/>
  <c r="N65" i="56"/>
  <c r="N50" i="56"/>
  <c r="N44" i="56"/>
  <c r="E31" i="46" l="1"/>
  <c r="E30" i="46"/>
  <c r="J33" i="46" l="1"/>
  <c r="R25" i="56" l="1"/>
  <c r="X111" i="56" l="1"/>
  <c r="V111" i="56"/>
  <c r="T111" i="56"/>
  <c r="R111" i="56"/>
  <c r="N111" i="56"/>
  <c r="L111" i="56"/>
  <c r="J111" i="56"/>
  <c r="F111" i="56"/>
  <c r="T93" i="56"/>
  <c r="J93" i="56"/>
  <c r="L93" i="56"/>
  <c r="G22" i="46" l="1"/>
  <c r="J58" i="56"/>
  <c r="P111" i="56" l="1"/>
  <c r="P101" i="56"/>
  <c r="P73" i="56"/>
  <c r="P93" i="56"/>
  <c r="I25" i="46" l="1"/>
  <c r="L29" i="46" l="1"/>
  <c r="F27" i="46"/>
  <c r="M27" i="46"/>
  <c r="J29" i="46"/>
  <c r="D27" i="46" l="1"/>
  <c r="L18" i="46"/>
  <c r="K18" i="46"/>
  <c r="I18" i="46"/>
  <c r="F18" i="46"/>
  <c r="E18" i="46"/>
  <c r="L17" i="46"/>
  <c r="K17" i="46"/>
  <c r="F17" i="46"/>
  <c r="E17" i="46"/>
  <c r="L27" i="46" l="1"/>
  <c r="L23" i="46"/>
  <c r="M23" i="46"/>
  <c r="E23" i="46"/>
  <c r="H25" i="46" l="1"/>
  <c r="K34" i="46"/>
  <c r="D34" i="46"/>
  <c r="J34" i="46"/>
  <c r="L34" i="46"/>
  <c r="I34" i="46"/>
  <c r="M34" i="46"/>
  <c r="D33" i="46"/>
  <c r="H33" i="46"/>
  <c r="K33" i="46"/>
  <c r="L32" i="46"/>
  <c r="J32" i="46"/>
  <c r="M31" i="46"/>
  <c r="G31" i="46"/>
  <c r="H31" i="46"/>
  <c r="J31" i="46"/>
  <c r="D31" i="46"/>
  <c r="F31" i="46"/>
  <c r="I29" i="46"/>
  <c r="H29" i="46"/>
  <c r="M28" i="46"/>
  <c r="G28" i="46"/>
  <c r="I28" i="46"/>
  <c r="K27" i="46"/>
  <c r="G27" i="46"/>
  <c r="G26" i="46"/>
  <c r="H26" i="46"/>
  <c r="I26" i="46"/>
  <c r="J25" i="46"/>
  <c r="H24" i="46"/>
  <c r="M24" i="46"/>
  <c r="I24" i="46"/>
  <c r="G24" i="46"/>
  <c r="J24" i="46"/>
  <c r="L24" i="46"/>
  <c r="D24" i="46"/>
  <c r="I23" i="46"/>
  <c r="F23" i="46"/>
  <c r="J23" i="46"/>
  <c r="M22" i="46"/>
  <c r="H22" i="46"/>
  <c r="J22" i="46"/>
  <c r="I22" i="46"/>
  <c r="J21" i="46"/>
  <c r="G21" i="46"/>
  <c r="E21" i="46"/>
  <c r="D21" i="46"/>
  <c r="H21" i="46"/>
  <c r="F20" i="46"/>
  <c r="I20" i="46"/>
  <c r="J20" i="46"/>
  <c r="K20" i="46"/>
  <c r="M20" i="46"/>
  <c r="L20" i="46"/>
  <c r="D20" i="46"/>
  <c r="G20" i="46"/>
  <c r="H20" i="46"/>
  <c r="J27" i="46"/>
  <c r="I27" i="46"/>
  <c r="L25" i="46"/>
  <c r="J36" i="46"/>
  <c r="M36" i="46"/>
  <c r="F29" i="46"/>
  <c r="H30" i="46"/>
  <c r="H27" i="46"/>
  <c r="I32" i="46"/>
  <c r="G36" i="46"/>
  <c r="E36" i="46"/>
  <c r="H36" i="46"/>
  <c r="I36" i="46"/>
  <c r="F34" i="46"/>
  <c r="G34" i="46"/>
  <c r="H34" i="46"/>
  <c r="H32" i="46"/>
  <c r="G32" i="46"/>
  <c r="L31" i="46"/>
  <c r="I31" i="46"/>
  <c r="K31" i="46"/>
  <c r="M30" i="46"/>
  <c r="J30" i="46"/>
  <c r="G30" i="46"/>
  <c r="J28" i="46"/>
  <c r="M25" i="46"/>
  <c r="D25" i="46"/>
  <c r="F24" i="46"/>
  <c r="D22" i="46"/>
  <c r="F22" i="46"/>
  <c r="L22" i="46"/>
  <c r="M21" i="46"/>
  <c r="F21" i="46"/>
  <c r="K21" i="46"/>
  <c r="I21" i="46"/>
  <c r="L21" i="46"/>
  <c r="G29" i="46"/>
  <c r="D29" i="46"/>
  <c r="K29" i="46"/>
  <c r="M29" i="46"/>
  <c r="E29" i="46"/>
  <c r="D28" i="46"/>
  <c r="E28" i="46"/>
  <c r="F28" i="46"/>
  <c r="D26" i="46"/>
  <c r="E25" i="46"/>
  <c r="K23" i="46"/>
  <c r="H23" i="46"/>
  <c r="I33" i="46"/>
  <c r="L36" i="46"/>
  <c r="D36" i="46"/>
  <c r="F36" i="46"/>
  <c r="K32" i="46"/>
  <c r="D32" i="46"/>
  <c r="F32" i="46"/>
  <c r="E32" i="46"/>
  <c r="K26" i="46"/>
  <c r="J26" i="46"/>
  <c r="E26" i="46"/>
  <c r="L26" i="46"/>
  <c r="M26" i="46"/>
  <c r="G25" i="46"/>
  <c r="F25" i="46"/>
  <c r="K25" i="46"/>
  <c r="N25" i="56"/>
  <c r="P25" i="56"/>
  <c r="L25" i="56"/>
  <c r="X44" i="56"/>
  <c r="R44" i="56"/>
  <c r="P44" i="56"/>
  <c r="N43" i="56"/>
  <c r="L44" i="56"/>
  <c r="J44" i="56"/>
  <c r="X43" i="56"/>
  <c r="X50" i="56"/>
  <c r="T50" i="56"/>
  <c r="R50" i="56"/>
  <c r="P50" i="56"/>
  <c r="L50" i="56"/>
  <c r="X58" i="56"/>
  <c r="V58" i="56"/>
  <c r="T58" i="56"/>
  <c r="R58" i="56"/>
  <c r="P58" i="56"/>
  <c r="N58" i="56"/>
  <c r="L58" i="56"/>
  <c r="R62" i="56"/>
  <c r="P62" i="56"/>
  <c r="N62" i="56"/>
  <c r="X65" i="56"/>
  <c r="R65" i="56"/>
  <c r="P65" i="56"/>
  <c r="R73" i="56"/>
  <c r="X83" i="56"/>
  <c r="V83" i="56"/>
  <c r="T83" i="56"/>
  <c r="R83" i="56"/>
  <c r="P83" i="56"/>
  <c r="N83" i="56"/>
  <c r="L83" i="56"/>
  <c r="J83" i="56"/>
  <c r="H83" i="56"/>
  <c r="F83" i="56"/>
  <c r="X89" i="56"/>
  <c r="V89" i="56"/>
  <c r="T89" i="56"/>
  <c r="R89" i="56"/>
  <c r="P89" i="56"/>
  <c r="N89" i="56"/>
  <c r="L89" i="56"/>
  <c r="J89" i="56"/>
  <c r="F89" i="56"/>
  <c r="X106" i="56"/>
  <c r="V106" i="56"/>
  <c r="R106" i="56"/>
  <c r="P106" i="56"/>
  <c r="N106" i="56"/>
  <c r="L106" i="56"/>
  <c r="J106" i="56"/>
  <c r="F106" i="56"/>
  <c r="V109" i="56"/>
  <c r="R109" i="56"/>
  <c r="P109" i="56"/>
  <c r="N109" i="56"/>
  <c r="J109" i="56"/>
  <c r="F109" i="56"/>
  <c r="D18" i="46"/>
  <c r="M1" i="56" l="1"/>
  <c r="H19" i="46" s="1"/>
  <c r="C33" i="46"/>
  <c r="C26" i="46"/>
  <c r="C20" i="46"/>
  <c r="S1" i="56"/>
  <c r="K19" i="46" s="1"/>
  <c r="W1" i="56"/>
  <c r="M19" i="46" s="1"/>
  <c r="I1" i="56"/>
  <c r="F19" i="46" s="1"/>
  <c r="E1" i="56"/>
  <c r="G1" i="56"/>
  <c r="E19" i="46" s="1"/>
  <c r="Q1" i="56"/>
  <c r="J19" i="46" s="1"/>
  <c r="K1" i="56"/>
  <c r="G19" i="46" s="1"/>
  <c r="U1" i="56"/>
  <c r="L19" i="46" s="1"/>
  <c r="O1" i="56"/>
  <c r="I19" i="46" s="1"/>
  <c r="I17" i="46"/>
  <c r="H17" i="46"/>
  <c r="I16" i="46"/>
  <c r="M16" i="46"/>
  <c r="E16" i="46"/>
  <c r="H16" i="46"/>
  <c r="F16" i="46"/>
  <c r="G15" i="46"/>
  <c r="I15" i="46"/>
  <c r="J15" i="46"/>
  <c r="I14" i="46"/>
  <c r="H14" i="46"/>
  <c r="E14" i="46"/>
  <c r="J14" i="46"/>
  <c r="D14" i="46"/>
  <c r="K14" i="46"/>
  <c r="C27" i="46"/>
  <c r="C23" i="46"/>
  <c r="C34" i="46"/>
  <c r="G16" i="46"/>
  <c r="C29" i="46"/>
  <c r="C24" i="46"/>
  <c r="C36" i="46"/>
  <c r="C31" i="46"/>
  <c r="C30" i="46"/>
  <c r="D19" i="46"/>
  <c r="J18" i="46"/>
  <c r="H18" i="46"/>
  <c r="G18" i="46"/>
  <c r="H15" i="46"/>
  <c r="M15" i="46"/>
  <c r="E15" i="46"/>
  <c r="L14" i="46"/>
  <c r="M14" i="46"/>
  <c r="G14" i="46"/>
  <c r="C25" i="46"/>
  <c r="C21" i="46"/>
  <c r="J17" i="46"/>
  <c r="G17" i="46"/>
  <c r="M17" i="46"/>
  <c r="M18" i="46"/>
  <c r="K16" i="46"/>
  <c r="L16" i="46"/>
  <c r="D16" i="46"/>
  <c r="J16" i="46"/>
  <c r="L15" i="46"/>
  <c r="K15" i="46"/>
  <c r="E37" i="46" l="1"/>
  <c r="C16" i="46"/>
  <c r="C19" i="46"/>
  <c r="C18" i="46"/>
  <c r="I37" i="46"/>
  <c r="D37" i="46"/>
  <c r="F14" i="46"/>
  <c r="F37" i="46" s="1"/>
  <c r="L37" i="46"/>
  <c r="J37" i="46"/>
  <c r="C17" i="46"/>
  <c r="G37" i="46"/>
  <c r="C15" i="46"/>
  <c r="B36" i="46"/>
  <c r="A36" i="46"/>
  <c r="B34" i="46"/>
  <c r="A34" i="46"/>
  <c r="B33" i="46"/>
  <c r="A33" i="46"/>
  <c r="B32" i="46"/>
  <c r="A32" i="46"/>
  <c r="B31" i="46"/>
  <c r="A31" i="46"/>
  <c r="B30" i="46"/>
  <c r="A30" i="46"/>
  <c r="B29" i="46"/>
  <c r="A29" i="46"/>
  <c r="B28" i="46"/>
  <c r="A28" i="46"/>
  <c r="B27" i="46"/>
  <c r="A27" i="46"/>
  <c r="B26" i="46"/>
  <c r="A26" i="46"/>
  <c r="B25" i="46"/>
  <c r="A25" i="46"/>
  <c r="B24" i="46"/>
  <c r="A24" i="46"/>
  <c r="B23" i="46"/>
  <c r="A23" i="46"/>
  <c r="B22" i="46"/>
  <c r="A22" i="46"/>
  <c r="B21" i="46"/>
  <c r="A21" i="46"/>
  <c r="B20" i="46"/>
  <c r="A20" i="46"/>
  <c r="B19" i="46"/>
  <c r="A19" i="46"/>
  <c r="B18" i="46"/>
  <c r="A18" i="46"/>
  <c r="B17" i="46"/>
  <c r="A17" i="46"/>
  <c r="B16" i="46"/>
  <c r="A16" i="46"/>
  <c r="B15" i="46"/>
  <c r="A15" i="46"/>
  <c r="B14" i="46" l="1"/>
  <c r="A14" i="46"/>
  <c r="C14" i="46" l="1"/>
  <c r="M32" i="46"/>
  <c r="M37" i="46" l="1"/>
  <c r="C32" i="46"/>
  <c r="K22" i="46"/>
  <c r="K37" i="46" l="1"/>
  <c r="C22" i="46"/>
  <c r="H28" i="46"/>
  <c r="H37" i="46" l="1"/>
  <c r="C28" i="46"/>
  <c r="C37" i="46" s="1"/>
</calcChain>
</file>

<file path=xl/sharedStrings.xml><?xml version="1.0" encoding="utf-8"?>
<sst xmlns="http://schemas.openxmlformats.org/spreadsheetml/2006/main" count="250" uniqueCount="207">
  <si>
    <t>INVESTITOR:</t>
  </si>
  <si>
    <t>NAZIV GRAĐEVINE:</t>
  </si>
  <si>
    <t>VRSTA PROJEKTA:</t>
  </si>
  <si>
    <t>REVIZIJA:</t>
  </si>
  <si>
    <t>OPĆENITO</t>
  </si>
  <si>
    <t>DATUM:</t>
  </si>
  <si>
    <t>LOKACIJA :</t>
  </si>
  <si>
    <t xml:space="preserve">* NAPOMENA - vrijedi za sve stavke troškovnika svih radova: 
</t>
  </si>
  <si>
    <t xml:space="preserve">* Jednakovrijednost proizvoda 
Svi proizvodi koji su u Troškovniku navedeni s imenom proizvođača ili kataloškim brojem ili tržišnim nazivom ili na bilo koji način indiciraju o kojem se proizvođaču radi, ne favoriziraju tog proizvođača ili taj proizvod nego su ti proizvodni nazivi poslužili samo i isključivo da bi se predmetni proizvod mogao bolje opisati. Ponuditelji imaju pravo ponuditi proizvode bilo kojeg proizvođača koji imaju jednakovrijedne karakteristike kao proizvodi koji su naznačeni Troškovnikom. 
Jednakovrijednost proizvoda dokazuje se prema u stavkama propisanim kriterijima za ocjenu jednakovrijednosti proizvoda. U stavkama u kojima nisu dodatno propisani kriteriji za ocjenu jednakovrijednosti proizvoda, brojčane vrijednosti kriterija jednakovrijednosti bit će određeni vrijednostima navedenog proizvoda.
</t>
  </si>
  <si>
    <t>REDNI BROJ</t>
  </si>
  <si>
    <t>STAVKA</t>
  </si>
  <si>
    <t>JEDINICA MJERE</t>
  </si>
  <si>
    <t>TROŠKOVNIK</t>
  </si>
  <si>
    <t xml:space="preserve">Budući da je građevina u kojoj se obavlja uređenje u funkciji, potrebno je pri formiranju ponudbene jedinične cijene voditi računa o faznosti izvođenja radova, te o otežanim uvijetima rada, kao što je rad u 3 smjene i u neradne dane, otežanoj dopremi materijala i dnevnom odnašanju otpadnog materijala na privremeni gradilišni deponij, svakodnevnom čišćenju prostora i sl., te sve to uključiti kod formiranja jedinične cijene za svaku stavku radova, ovisno koje otežavajuće okolnosti na nju utječu.  </t>
  </si>
  <si>
    <t xml:space="preserve">* Budući da je građevina u kojoj se obavlja uređenje u funkciji, potrebno je pri formiranju ponudbene jedinične cijene voditi računa o faznosti izvođenja radova, te o otežanim uvijetima rada, kao što je rad u 3 smjene i u neradne dane, otežanoj dopremi materijala i dnevnom odnašanju otpadnog materijala na privremeni gradilišni deponij, svakodnevnom čišćenju prostora i sl., te sve to uključiti kod formiranja jedinične cijene za svaku stavku radova, ovisno koje otežavajuće okolnosti na nju utječu.  
</t>
  </si>
  <si>
    <t>Ponuditelj je obvezan prije dostavljanja ponude proučiti kompletnu dokumentaciju za nadmetanje temeljem koje će ponuditi izvođenje radova koje su predmet nabave. Ponuditelj se treba upoznati s lokacijama kao i s uvjetima za izvođenje radova, jer iz razloga nepoznavanja istih neće imati pravo na kasniju izmjenu svoje ponude.</t>
  </si>
  <si>
    <t>Kod popunjavanja troškovnika potrebno je popuniti sve elemente troškovnika budući da troškovnik sadrži automatske formule za izračunavanje.</t>
  </si>
  <si>
    <t>Jedinična cijena sadrži:
 -sav potreban rad,energiju i materijal za izvršenje stavke a sve do pune funkcije
 -sve potrebne prijenose i transporte u vertikalnom i horizontalnom smislu
-svo potrebno deponiranje na javnu registriranu deponiju sa utovarom ,odvozom i deponiranjem
- zapisničku primopredaju  materijala i opreme  sa deponiranjem na mjesto gdje odredi investitor ili Nadzor za stavku gdje se to zahtjeva
 -sve potrebno  osiguranje okolnih površina I prostora te sva potrebna zaštita u smislu  sprečavanja okolnh oštećenja
 -sve potrebno čišćenje nakon izvršenja stavke,te odvoz šute smeća i otpada sa deponiranjem na za to registriranu deponiju 
 -sav potrebni atestni i certicfikacijski  materijal te dokazi o kvaliteti gradivog materijala
 -sva potrebna ispitivanja kvalitete ugrađenog materijala 
 -sve organizacijske troškove gradilišta
-sve troškove zaštite prilazne prometnice,trotoara te privatne i javne površine oko zgrade</t>
  </si>
  <si>
    <t>Prije izvedbe,narudžbe ili bilo kojeg početka rada izvođač radova obavezno je dužan  na licu mjesta uzete sve potrebe mjere kote i  svu izmjeru potrebnu za izradu stavke.Naznačene dimenzije i kote u nacrtima treba obavezno provjeriti na licu mjesta.</t>
  </si>
  <si>
    <t>Radovi po fazama, uz napomenu:</t>
  </si>
  <si>
    <t xml:space="preserve"> - prilikom rekonstrukcije neće se moći potpuno nesmetano koristiti ostatak zgrade (buka, prašina, manja zadiranja u prostor, otežane komunikacije i sl.) </t>
  </si>
  <si>
    <t xml:space="preserve"> - prije početka radova izvođač će morati izraditi detaljni terminski plan i prostorni plan selenja postojeće opreme.</t>
  </si>
  <si>
    <t xml:space="preserve">* RADIONIČKA DOKUMENTACIJA I DOKUMENTACIJA IZVEDENOG STANJA
Ugovorna obveza Izvođača je izrada i isporuka radioničke dokumentacije i dokumentacije izvedenog stanja, te ti radovi trebaju biti uključeni u ponudbene cijene, bez obzira da li je isto definirano troškovničkim stavkama ili ne.
* radionička dokumentacija dostavlja se Naručitelju u dva (2) tiskana primjerka te u digitalnom (pdf/dwg) formatu 
* projekti izvedenog stanja dostavljaju se Naručitelju, nakon što su prethodno odobreni od strane Inženjera, u dva (2) tiskana primjerka, i jednom (1) digitalnomformatu (editabilnom i needitabilnom – xls., doc., dwg. i pdf ili slično).
</t>
  </si>
  <si>
    <t xml:space="preserve">Ponuditelj je za svaku od stavki opreme kojoj je u troškovniku omogućen unos u kolonu ponuđeni proizvod (stupac D, prazne bijele ćelije) dužan upisati ime ponuđenog proizvoda (proizvođač / tip / model-šifra / naslov tehničke dokumentacije) te podastrijeti dokaze o jednakovrijednosti s specifikacijom s naslovom tehničke dokumentacije. </t>
  </si>
  <si>
    <r>
      <t>* Općenito 
J</t>
    </r>
    <r>
      <rPr>
        <sz val="10"/>
        <rFont val="Arial Narrow"/>
        <family val="2"/>
      </rPr>
      <t>edinična i ukupna cijena svak</t>
    </r>
    <r>
      <rPr>
        <b/>
        <sz val="10"/>
        <rFont val="Arial Narrow"/>
        <family val="2"/>
      </rPr>
      <t xml:space="preserve">e stavke Troškovnika moraju biti zaokružene na dvije decimale. Ponuditeljima nije dopušteno mijenjati tekst Troškovnika osim u slučaju nuđenja jednakovrijedne stavke u odnosu na propisanu, gdje je primjenjivo. Sve stavke Troškovnika trebaju biti ispunjene. Cijena stavke izračunava se kao umnožak količine i jedinične cijene stavke. U Troškovniku se ne smiju mijenjati količine u pojedinim stavkama Troškovnika.
Cijena Ponude izražava se u kunama i piše brojkama za cjelokupni predmet nabave bez PDV-a.
Odredbe o jednakovrijednosti i odredbe o načinu ispunjavanja troškovnika propisane su Dokumentacijom o nabavi, te iste vrijede i primjenjuju se i na ovaj troškovnik koji je sastavni dio Dokumentacije o nabavi.
U cijenu Ponude moraju biti uračunati svi troškovi i popusti, te ih nije dopušteno zasebno iskazivati.
Ponuditelji će s odgovarajućom pažnjom uvažiti sve informacije koje bi mogle imati utjecaja prilikom formiranja cijene Ponude, ili koje bi mogle imati utjecaja na rok i izvršavanje radova. 
Ako Ponuditelj ne postupi u skladu sa zahtjevima iz poglavlja DON-a ili promijeni tekst ili količine navedene u Troškovniku, smatrat će se da je takav Troškovnik nepotpun i nevažeći te će Ponuda biti odbijena.
</t>
    </r>
  </si>
  <si>
    <t>STRUKOVNA ODREDNICA:</t>
  </si>
  <si>
    <t>komplet</t>
  </si>
  <si>
    <t>GRAĐEVINSKO-OBRTNIČKI RADOVI</t>
  </si>
  <si>
    <t>m2</t>
  </si>
  <si>
    <t>ARHITEKTONSKO-GRAĐEVINSKO-OBRTNIČKI RADOVI</t>
  </si>
  <si>
    <t xml:space="preserve">PRIPREMNO-ZAVRŠNI RADOVI
Prije davanja ponude potrebno je proučiti projekt i preporuča se pogledati stanje na terenu kao i udaljenost legalne deponije zemlje,šute i građ.otpada od gradilišta. Dio pripremnih radova obuhvaćen je i u instalaterskim radovima. Organizacija  gradilišta (ograda gradilišta, osiguranje puteva do gradilišta, unutarnji transport, tabla gradilišta, uprava gradilišta, sanitarni i energetski priključci, shema gradilišta) uključena u cijenu stavaka.
</t>
  </si>
  <si>
    <t xml:space="preserve">ZEMLJANI RADOVI
U jediničnu cijenu stavki obvezno uključiti sve utovare i  istovare, sva potrebna razupiranja,osiguranja iskopa od urušavanja,vađenje ostataka šute,opeke,starih cijevi,korijenja ili betonskih podzemnih objekata,crpljenje podzemne i oborinske vode,koeficijente rastresitosti (svi obračuni se vrše u sraslom stanju) i sve ostale osnovne i pomoćne radove i materijale, sve do potpune funkcionalne gotovosti pojedine stavke.
Prilikom iskopa zemlje za temeljnu ploču i trakaste temelje izvođač je dužan osigurati arheološki nadzor, te pregled temeljnog tla od strane ovlaštenog geomehaničara. Sve uočene dijelove nestabilnog tla ("džepove" nasipa) potrebno je ukloniti i na njegovo mjesto izvesti "zamjensko tlo" (kameni nasip, prema odabiru geomehaničara). Posteljicu je potrebno ispitati,te, ukoliko je potrebno,zbiti do min. Mv od 20 MPa. Na zbijenu posteljicu ugraditi kameni nasip (prema naputku geomehaničara) debljine cca 50 cm ispod temeljnih greda u prolazima zgrade i trakastih temelja lijevog i desnog krila odnosno 20 cm ispod ab temeljne ploče podruma te zbiti do min.Mv od 60 Mpa.Točnu debljinu utvrđuje geomehaničar prema situaciji na terenu. Jediničnim cijenama također obuhvatiti svakodnevno čišćenje prometnice, od zemlje i blata,ispred parcele i dalje do izlaska na mjesnu prometnicu.
Zemlju od iskopa odvesti na mjesnu deponiju ili na za to određenu destinaciju, do 25 km udaljenosti. Utovar,odvoz,istovar i taksa za deponiranje zemlje u cijeni.
</t>
  </si>
  <si>
    <t xml:space="preserve">BETONSKI I ARMIRANO-BETONSKI RADOVI
U betonsku konstrukciju ugrađuje se samo projektirani beton (beton sa specificiranim tehničkim svojstvima). Stavkom ugradnje betona obuhvatiti i sve kontrolne postupke utvrđivanja kvalitete betona. Prije početka radova izvoditelj je dužan predočiti precizan plan i program kontrole kvalitete betona izrađen od strane licencirane tvrtke. Plan i program kontrole kvalitete mora biti usklađen s dinamičkim planom izvođenja konstrukcije te odobren od strane nadzornog inženjera za konstrukciju.U okviru sustava osiguranja 
kvalitete na gradilištu izvoditelj mora ustrojiti sustav upravljanja i osiguranja kvalitete ugradnje. U jedinične cijene stavki obvezno uključiti sav pomoćni materijal,rad strojeva i ljudi,sve transporte,pvc ili čelične podmetače i distancere za točan položaj armature, skele  (vanjske i unutarnje), prilaze, troškove svih potrebnih ispitivanja i dokaza kvalitete, sve do potpune funkcionalne gotovosti pojedine stavke,uključujući čišćenje gradilišta tijekom i nakon dovršetka faza radova te njegovanje svih ugrađenih betona, strojnu ugradnju i spravljanje betona te montažu i demontažu oplate.Armatura obračunata ukupno u posebnoj stavci. 
</t>
  </si>
  <si>
    <t xml:space="preserve">ZIDARSKI RADOVI
U jedinične cijene stavki obvezno uključiti sav rad, materijal, fasadne i radne skele,strojeve,sve horizontalne i vertikalne transporte te čišćenje gradilišta tijekom i nakon dovršetka pojedinih faza radova.
</t>
  </si>
  <si>
    <t xml:space="preserve">IZOLATERSKI RADOVI
U jedinične cijene stavki obvezno uključiti sav materijal, rad strojeva i ljudi,fasadne i radne skele,horizontalne i vertikalne  transporte te čišćenje gradilišta tijekom i nakon dovršetka pojedinih faza radova.
</t>
  </si>
  <si>
    <t xml:space="preserve">ALUMINIJSKA VANJSKA BRAVARIJA </t>
  </si>
  <si>
    <t xml:space="preserve">Ugrađeni Al. prozor mora zadovoljavati uvjete: 
ZRAKOPROPUSNOSTI
VODONEPROPUSNOSTI
OTPORNOST NA OPTEREĆENJE VJETROM
Postava Al. prozora unutar AB zida pomoću samoreznih,  galvaniziranih ili pocinčanih vijaka s upuštenom glavom primjerenih za takvu vrstu montaže. Sastavni dio stavke je samoljepljiva RAL ili jednakovrijedna traka koja zadovoljava uvjete vodonepropusnosti-paropropusnosti sa vanjske strane, te zrakonepropusnosti-paronepropusnosti s unutarnje strane, a sve prema RAL ili jednakovrijedniim smjernicama postavljeno po cijelom obodu doprozornika. Obostrano ljepljiva folija mora udovoljavati traženim tehničkim karakteristikama.Kao i svi potrebni rubni, vanjski i unutarnji opšavi. Sve izrađeno iz Al. lima d=1,5 mm, te vanjska ekstrudirana klupčica d= 2 mm, cca r.š.= 280 mm s okapom 40 mm, koja se montira na pripremljeni PVC "podštok" učvršćen u donjoj zoni al. prozora. Al. klupčica i opšav  plastificirani,  u mat RAL-u 9007 ili jednakovrijedno. Unutarnja klupčica nije predmet ove stavke.Izvođač Al. radova dužan je izraditi projektnu dokumentaciju sa izvedbenim shemama i svim detaljima ugradbe, te ju predati na pregled i ovjeru projektantu arhitekture. Samo po usuglašenim shemama i detaljima izvođač može pristupiti izradi radioničke dokumentacije na osnovu koje se predmetne Al. stavke izrađuju i montiraju.Obračun po komadu.
</t>
  </si>
  <si>
    <t xml:space="preserve">VRATA
Izrada dostava i montaža Al. zaokretnih vrata,  izvedena u sustavu profila s prekinutim toplinskim mostom i poboljšanim toplinskim svojstvima, plastificirani u mat RAL-u 9007 ili jednakovrijedno.Sve prema pripadnoj shemi. Profil dovratnika i krila obostrano u istoj ravnini. Brtvljenje i spajanje Al. vrata izvodi se prema sustavnim rješenjima propisanom od proizvođača sustava. Ugradbena dubina doprozornika min.70 mm, širine min.75 mm, krilo dubine min. 70 mm, ukupne širine min. 100 mm. Izrada Al. vrata izvodi se tako da su spojevi  izvedeni s kutnim  spojnicama koje omogućuju pričvršćenje sa Al. ili inox trnovima, te ljepljene spoja dvokomponentnim ljepilom što omogućuje čvrsti spoj. Vanjska i unutarnja brtva svojim oblikom prilagođena je da preklapa u cijelosti obodno cijelu površinu stakla unutar staklodržaća što omogućuje prekid toplinskih tokove uokolo ruba stakla ("brtve sa repićima"). Vanjska brtva debljine 4 mm, a unutarnja 8 mm.Vrata se izvode sa pragom visine 20 mm.  Al. vrata su opremljena s tri para okruglih panta po krilu, s unutarnje strane mat inox kvakom I klase,po izboru projektanta, s vanjske strane mat inox roukohvatom visine 1800 / 1600 m, zakošen 45°, mat inox bravom zatvaranja u tri točke s rolicom i cilindrom, mat inox prihvatnom lajsnom, hidrauličkim samozatvaračem vratnog krila s kliznom letvom i kočnicom adekvatnim za veličinu i težinu vrata.Odabrani sustav Al. profila treba konstruktivno, tehnički i kvalitativno zadovoljavati,u potpunosti, uvjete iz troškovničkog opisa, kvalitetu i oblikovno rješenje iz projekta arhitekture, kao i zadovoljiti uvjet koeficijenta prolaza topline Uf=2.7 W/(m²K), a u kombinaciji s odabranim staklom, koje zadovoljava uvjet Ug=0,5 W/(m²K),  ukupni koeficijent prolaza topline za karakteristična jednokrilna vrata dim. 1230X2180 mm iznosi  Uw≤ 1.5 W/(m²K).Mogućnost ugradnje stakla u vratna krila od 6-45 mm. 
</t>
  </si>
  <si>
    <t xml:space="preserve">Ustakljenje Al vrata; 
Ustakljenje IZO staklom 6+16+4+16+6= 48 mm;
- Ug=0.5 W/(m²K)
- solar faktor - g= min 35 % 
- Energy Reflection - ρe min 38 %
vanjsko staklo s poboljšanim termičkim svojstvima koja umanjuju g faktor
- d= 6 mm
međuprostor:
- ARGON 90% d= 16 mm (letvica s poboljšanim termičkim svojstvima)
srednje staklo; 
- d= 4 mm
međuprostor:
- ARGON 90% d= 16 mm (letvica s poboljšanim termičkim svojstvima)
unutarnje staklo s poboljšanim termičkim svojstvima koja umanjuju g faktor
- d= 6 
</t>
  </si>
  <si>
    <t xml:space="preserve">Ugrađena Al. vrata moraju zadovoljiti slijedeće uvjete: 
ZRAKOPROPUSNOSTI
VODONEPROPUSNOSTI
OTPORNOST NA OPTEREĆENJE VJETROM
Postava Al. vrata unutar AB zida pomoću samoreznih,  galvaniziranih ili pocinčanih vijaka sa upuštenom glavom primjerenih za takvu vrstu montaže. Sastavni dio stavke je samoljepljiva RAL traka ili jednakovrijedna koja zadovoljava uvjete vodonepropusnosti-paropropusnosti s vanjske strane, te zrakonepropusnosti-paronepropusnosti s unutarnje strane, a sve prema RAL ili jednakovrijednim smjernicama postavljeno po cijelom obodu doprozornika. Obostrano ljepljiva folija treba odgovarati traženim tehničkim karakteristikama,kao i svi potrebni rubni, vanjski i unutarnji opšavi . Sve izrađeno iz Al. lima d=1,5 mm i plastificirani  u mat RAL-u 9007 ili jednakovrijedno. Izvođač Al. radova dužan je izraditi projektnu dokumentaciju s izvedbenim shemama i svim detaljima ugradbe, te ju predati na pregled i ovjeru projektantu arhitekture. Samo po usuglašenim shemama i detaljima izvođač može pristupiti izradi radioničke dokumentacije na osnovu koje se izrađuju Al. stavke i montiraju.Obračun po komadu.
</t>
  </si>
  <si>
    <t xml:space="preserve">PROTUPOŽARNA BRAVARIJA
Protupožarnu bravariju izvesti u razredu vatrootpornosti EI 90. Dovratnik i krilo čelične konstrukcije, obložene izolacijskom oblogom i završnom oblogom od tipskih aluminijskih profila.Završna plastifikacija mat RAL 9007 ili jednakovrijedno. Spojnica (pant) s ležajem niklovan, brava centralna protupožarne izvedbe (EN12209 ili jednakovrijedno,
hidraulički zatvarač protupožarne izvedbe (EN 1154 ili jednakovrijedno),
inox kvaka obostrano, protupožarne izvedbe (EN 1906 ili jednakovrijedno),
a kod nekih i dodatno panik poluga (letva). Ustakljenje protupožarnim staklom požarne otpornosti EI 90. Vrata imaju brtve u dovratniku,trostrano (gumena i ekspandirajuća, u podu bez praga, ali sa spuštajućom brtvom.Izvođač je dužan napraviti radioničke nacrte i detalje te ih usuglasiti s projektantom arhitekture. Kontrola mjera i količina na licu mjesta.
</t>
  </si>
  <si>
    <t xml:space="preserve">CRNA BRAVARIJA
Bravarske elemente ograda stubišta i podesta izvesti od čeličnih profila prema priloženim shemama.Sva zavarivanja potrebno je fino obraditi.Svi upotrebljeni materijali moraju odgovarati tehničkim propisima i standardima za bravarske radove.Sve čelične profile antikorozivno zaštititi i ličiti tamno sivom kvalitetnom bojom (slično RAL-u 9007 ili jednakovrijedno) za metal. Vanjska ograda je tipska i izvodi se prema tehničkim uputama proizvođača ograde.Kontrola mjera i količina na licu mjesta. U cijeni je sav rad,materijal,strojevi,potrebne skele i svi transporti. Izvođač je dužan usuglasiti radioničke detalje s projektantom arhitekture.
</t>
  </si>
  <si>
    <t xml:space="preserve">GIPSPREGRADNI ZIDOVI
U jedinične cijene stavki obvezno uključiti sav rad, materijal, fasadne i radne skele,strojeve,sve horizontalne i vertikalne transporte te čišćenje gradilišta tijekom i nakon dovršetka pojedinih faza radova. 
</t>
  </si>
  <si>
    <t xml:space="preserve">STOLARIJA I MODULARNE PREGRADE
Stolariju izvesti prema priloženim shemama,s aluminijskim dovratnicima u debljini gips pregradnih zidova (15 cm).Dovratnik 
opremljen brtvenim trakama (dihtung gumama),ugradnja prema RAL smjernicama.Vratno krilo drveno,debljine 50 mm,obostrano obloženo s MDF pločom,ispuna od cjevaste iverice (okal),kompletan okov koji treba dobiti odobrenje projektanta arhitekture.Vratno krilo pri dnu ima ugrađenu brtvu sa četkicama koje se spuste kad su vrata zatvorena, zvučna izolacija tih vrata min.Rw=35 dB.
Vrata sanitarnih, garderobnih i manjih prostorija imaju pri dnu ugrađene pvc rešetke.Zaštita od udarca izvodi se s vanjske strane vrata -prema hodniku - to je obrađeno posebnom stavkom. Vrata ordinacija prema hodniku imaju kuglu umjesto kvake. Kvaka ili kugla u mat inoxu, po odobrenju projektanta arhitekture.Brava cilindrična sa sigurnosnim mehaničkim cilindrom s rotirajućim diskovima i mehaničkim sistemskim ključevima (master ključ i ključ prostorije).Vratno krilo kapacitirano sa četiri usadne šarke odnosno adekvatno veličini i težini vrata. Sve ličiti poliuretanskom bojom po izboru projektanta.U cijenu ulazi ugradnja,izrada i obrada svih opšava s obje strane vrata,kompletan rad, svi materijali i transporti,sve do potpune gotovosti. Izvoditelj je dužan dostaviti radioničke detalje na suglasnost projektantu arhitekture. Obračun vrata, ovisno o dimenzijama, po komadu.
</t>
  </si>
  <si>
    <t xml:space="preserve">SPUŠTENI STROPOVI
U jedinične cijene stavki obvezno uključiti sav rad, materijal, fasadne i radne skele,strojeve,sve horizontalne i vertikalne transporte te čišćenje gradilišta tijekom i nakon dovršetka pojedinih faza radova. 
</t>
  </si>
  <si>
    <t xml:space="preserve">ČELIČNA KONSTRUKCIJA
Pri izradi čelične konstrukcije posebnu pozornost obratiti na mjere zaštite gradilišta u fazama građenja, zbog zaštite i sigurnosti prolaza ljudi. Radovi se odvijaju na krovu građevine i na fasadama. Svaka stavka uključuje dobavu,izradu i montažu čelične konstrukcije, sav osnovni,pomoćni i pričvrsni materijal (kao elektrode,vijci i sl.),sve potrebne pomične skele i podeste, sav transport:vanjski, u radionici i na gradilištu, zbrinjavanje otpada i čišćenje gradilišta tijekom i nakon završetka pojedinih faza radova.Sastavni dio ovog troškovnika su: tehnički opisi konstrukcije, nacrti čelične konstrukcije (radionički nacrti su u obvezi izvoditelja čelične konstrukcije) i program kontrole i osiguranja kvalitete čelične konstrukcije. Sav upotrebljeni i ugrađeni materijal mora odgovarati zahtjevima tehničke dokumentacije i biti pravovaljano atestiran.Čelična konstrukcija mora biti antikorozivno zaštićena i protupožarno premazana (vatrootpornost 60 min) atestiranim sredstvima. 
</t>
  </si>
  <si>
    <t xml:space="preserve">FASADERSKI RADOVI
Fasadna obloga gotovim fasadnim sendvič panelima
Čelična konstrukcija trećeg kata,gdje je strojarnica, obodno se zatvara gotovim fasadnim sendvič panelima,s ispunom izolacije. Postavljanje fasadnih panela vertikalno, spoj između pojedinih panela nevidljiv (invisio), na horizontalnu čeličnu potkonstrukciju (obračunata posebno). Vanjski lim panela u boji po odabiru projektanta. Prije montaže izvoditelj će na gradilištu postaviti svu potrebnu opremu (dizalica,strojevi,alat,)te provesti sve potrebne mjere osiguranja za sigurnu i kvalitetnu montažu. Prije početka radova  izvoditelj će dostaviti plan montaže oblaganja fasada. U stavkama fasaderskih radova uključene su sve stavke vezane uz oblaganje čelične konstrukcije trećeg kata fasadnim sendvič panelima i potrebnom potkonstrukcijom za ugradnju rešetkastih prozora i vrata u njima.Svi detalji su tipski, po sustavu renomiranog proizvođača fasadnih sendvič panela,svi elementi  moraju biti tvornički izvedeni. Izvoditelj je dužan, nakon izvedenih radova oblaganja fasada, dati potrebnu garanciju na izvedene radove.
</t>
  </si>
  <si>
    <t xml:space="preserve">PROZORI
Izrada, dobava i montaža do potpune gotovosti Al. prozora u sistemu profila dubine min.70 mm s prekinutim toplinskim mostom i poboljšanim toplinskim svojstvima, plastificirani u boji po odabiru projektanta.Sve prema pripadnoj shemi. Brtvljenje i spajanje Al. prozora izvodi se prema sustavnim rješenjima propisanim od proizvođača sustava. Izrada Al. prozora izvodi se tako da su spojevi  izvedeni s kutnim ili ravnim spojnicama koje omogućuju pričvršćenje sa Al. ili inox trnovima, te ljepljene spoja dvokomponentnim ljepilom što omogućuje čvrsti spoj. Vanjska i unutarnja brtva svojim oblikom prilagođena je da preklapa u cijelosti obodno cijelu površinu stakla unutar staklodržača što omogućuje prekid toplinskih tokova uokolo ruba stakla ("brtve sa repićima"). Vanjska brtva debljine min.9 mm, a unutarnja min.8 mm. Odabrani sustav Al. profila treba konstruktivno, tehnički i kvalitativno zadovoljiti u potpunosti uvjete iz troškovničkog opisa, traženu kvalitetu i oblikovno rješenje iz projekta arhitekture, kao i zadovoljiti uvjet koeficijenta prolaza topline Uf=1.4 W/(m²K), a u kombinaciji s odabranim staklom koji zadovoljava uvjet Ug=0.5 W/(m²K), ukupni koeficijent prolaza topline za karakteristični jednokrilni prozor dim. 1230X1480 mm  iznosi  w≤0,95W/(m²K).Izvoditelj radova u obavezi je računski dokazati i predati na uvid nadzornom inženjeru građevine da je ukupni koeficijent prolaza topline za cijelokupnu površinu svih prozora Uw≤ 0,95 W/(m²K). Mogućnost ugradnje stakla u fiksni dio Al. stijene od 6-45 mm, a u prozorsko krilo od 10-55 mm. Boja okova po odabiru projektanta arhitekture, a sve prema proizvodnom programu proizvođača okova. Odabrani okov prilagoditi težini i geometriji krila, tako da nesmetano zadovoljava funkciju otvaranja. Okov za sustav O/Z otvaranja s aluminijskom poluolivom nosivosti 150 kg, s mogućnošću podešavanja okova u tri smjera.Na O/Z prozore visine H&gt;/= 1250 mm potrebno je ugraditi dodatno zaključavanje po visini.Za sustav otklopnog otvaranja u gornjem dijelu prozora ugrađuje se ventus mehanizam s ugrađena dva ili tri panta, sigurnosnim jednim ili dviju škara, te šipkom ili sajlom. Poluga za otvaranje postavlja se na 150 cm od gotovog poda. U cijeni stavke uključiti komplet sav potreban rad i materijal prema opisu u troškovniku, kao i sve dodatne radove i materijale potrebne da se izradi kompletna stavka kao oblikovna i funkcionalna cjelina. Svi spojni limovi, opšavi, tolinske izolacije, hidroizolacije i parne brane koje se prema pravilima struke ugrađuju sastavni su dio ove stavke. 
</t>
  </si>
  <si>
    <t>Uključivo:</t>
  </si>
  <si>
    <t>Uključivo :</t>
  </si>
  <si>
    <t>G06.</t>
  </si>
  <si>
    <t>ZIDARSKI RADOVI</t>
  </si>
  <si>
    <t>Vatrootpornost stijene REI 90</t>
  </si>
  <si>
    <t>Visina rada do 1200 cm</t>
  </si>
  <si>
    <t>Dobavu i pripremu materijala</t>
  </si>
  <si>
    <t>Potrebne pokretne skele</t>
  </si>
  <si>
    <t>Obračun po m2 novog zida.</t>
  </si>
  <si>
    <t>Dobava, priprema i ugradnja, pokretna skela i podesti za rad.Završna površina mora biti ravna i glatka  pripravna za bojanje.U sloj žbuke po potrebi se postavlja rabitz pletivo što je obuhvaćeno posebnom stavkom.</t>
  </si>
  <si>
    <t>Obračun po m2.</t>
  </si>
  <si>
    <t>Pranje i čišćenje betonskih površina</t>
  </si>
  <si>
    <t>Visina rada do 10.00m.</t>
  </si>
  <si>
    <t>Dobava, priprema i ugradnja materijala</t>
  </si>
  <si>
    <t>Postizanje potpuno jednolike, ravne i glatke površine</t>
  </si>
  <si>
    <t xml:space="preserve">Obračun po m2 obrađenih površina </t>
  </si>
  <si>
    <t>Ugradnja rabitz pletiva u sloj žbuke na zidu ili stropu:na spoju različitih konstrukcija,preko usjeka i sl.</t>
  </si>
  <si>
    <t>Izvesti 2 sloja rabitz pletiva s učvršćivanjem,</t>
  </si>
  <si>
    <t>te štrcanje jakim cementnim mlijekom</t>
  </si>
  <si>
    <t>Dobavu, pripremu i ugradnju materijala</t>
  </si>
  <si>
    <t>Obračun po m2 sloja žbuke ojačanog pletivom.</t>
  </si>
  <si>
    <t>Zidarska ugradnja metalne unutarnje ograde na stubištima i rubu galerije.</t>
  </si>
  <si>
    <t xml:space="preserve">~ visina ograde 110 cm od sredine gazišta.                                           </t>
  </si>
  <si>
    <t>m1</t>
  </si>
  <si>
    <t>Zidarska ugradnja metalnih penjalica na krov s leđobranom i rukohvatom.</t>
  </si>
  <si>
    <t>Dubljenje otvora u zidu, obrada špaleta.</t>
  </si>
  <si>
    <t>Pomoć pri ugradnji ormarića i učvršćenju</t>
  </si>
  <si>
    <t>Ormariće daje izvođač instalacija</t>
  </si>
  <si>
    <t>Obračun po komadu ugrađenog ormara.</t>
  </si>
  <si>
    <t xml:space="preserve">~ prosječna veličina ormarića do: 40x55x20 cm             kom           </t>
  </si>
  <si>
    <t>Popravak oštećenih dijelova oko otvora u zidu iz Ytong blokova ili betona, a nakon postavljanja instalacija.</t>
  </si>
  <si>
    <t>~ produžni cementni mort M-50 (1:2:6 )</t>
  </si>
  <si>
    <t>~ komadi Ytong blokova (eventualno)</t>
  </si>
  <si>
    <t>~ visina rada do 320 cm</t>
  </si>
  <si>
    <t>~ dobavu i pripremu materijala</t>
  </si>
  <si>
    <t>~ potrebne pokretne skele</t>
  </si>
  <si>
    <t>Obračun po m2 prosječno velikog oštećenja.</t>
  </si>
  <si>
    <t>Dvokratno čišćenje podnih površina u toku izvođenja radova.</t>
  </si>
  <si>
    <t>Prije polaganja horizontalnih hidroizolacija</t>
  </si>
  <si>
    <t>Prije polaganja podnih keramičkih pločica</t>
  </si>
  <si>
    <t>Uključivo vodoravni i okomiti prijenos otpadnog materijala s odlaganjem na gradilišno odlagalište.</t>
  </si>
  <si>
    <t>Obračun po m2 podova.</t>
  </si>
  <si>
    <t>Grubo i fino čišćenje građevine po završetku svih radova na gradilištu.</t>
  </si>
  <si>
    <t>Fino čišćenje svih ostakljenih površina</t>
  </si>
  <si>
    <t>Obračun po m2 obostrane očišćene površine.</t>
  </si>
  <si>
    <t>G06.01.</t>
  </si>
  <si>
    <t>G06.02.</t>
  </si>
  <si>
    <t>G06.03.</t>
  </si>
  <si>
    <t>G06.04.</t>
  </si>
  <si>
    <t>G06.05.</t>
  </si>
  <si>
    <t>G06.06.</t>
  </si>
  <si>
    <t>G06.07.</t>
  </si>
  <si>
    <t>G06.08.</t>
  </si>
  <si>
    <t>G06.10.</t>
  </si>
  <si>
    <t>G06.11.</t>
  </si>
  <si>
    <t>G06.12.</t>
  </si>
  <si>
    <t>T1</t>
  </si>
  <si>
    <t xml:space="preserve">NAPOMENA:
Budući da je proizvodni pogon i pripadajući prostori u kojima se obavlja rekonstrukcija u funkciji, potrebno je pri formiranju ponudbene jedinične cijene voditi računa o faznosti izvođenja radova, te o otežanim uvijetima rada, kao što je rad u 3 smjene i u neradne dane, otežanoj dopremi materijala i dnevnom odnašanju otpadnog materijala na privremeni gradilišni deponij, svakodnevnom čišćenju prostora i sl., te sve to uključiti kod formiranja jedinične cijene za svaku stavku radova, ovisno koje otežavajuće okolnosti na nju utječu. </t>
  </si>
  <si>
    <t>Dobava materijala i zidanje  zidova iz blok opeke debljine 15 cm.</t>
  </si>
  <si>
    <t>Materijal:šuplja opeka 15/25/19 u produžnom cementnom  mortu     M - 50 (1:2:6)</t>
  </si>
  <si>
    <t>Visina rada do 1400 cm</t>
  </si>
  <si>
    <t>Zidarska obrada  betonskih zidova, stropova.</t>
  </si>
  <si>
    <t>a) zidovi</t>
  </si>
  <si>
    <t>b) stropovi</t>
  </si>
  <si>
    <t>Izvedba tankoslojne strojne žbuke zidova od YTONGA, specijalnom Ytong glet žbukom.Uključivo čišćenje i vlaženje zida, te priprema za bolje prijanjanje.Izvodi se sloj debljine oko 1 cm.Visna rada do 14.00m .</t>
  </si>
  <si>
    <t>G06.09.</t>
  </si>
  <si>
    <t>G06.13.</t>
  </si>
  <si>
    <r>
      <t xml:space="preserve">EMPWR d.o.o.
</t>
    </r>
    <r>
      <rPr>
        <sz val="14"/>
        <rFont val="Arial Narrow"/>
        <family val="2"/>
      </rPr>
      <t>Industrijska ulica 15, 35400 Nova Gradiška
OIB: 60396692377</t>
    </r>
  </si>
  <si>
    <t>k.č.br. 874/2  k.o. Prvča</t>
  </si>
  <si>
    <t>ADRESA :</t>
  </si>
  <si>
    <t>Industrijska ulica 15 , 35 400 Nova Gradiška</t>
  </si>
  <si>
    <t>OZNAKA PROJEKTA EMPWR:</t>
  </si>
  <si>
    <t>R0</t>
  </si>
  <si>
    <t>VELEBIT 2</t>
  </si>
  <si>
    <t>FAZA PROJEKTA:</t>
  </si>
  <si>
    <t>rekonstrukcija kata (istraživanje i razvoj (R&amp;D) i multipakiranje)</t>
  </si>
  <si>
    <t>proširenje parkirališta (zapad)
nadstrešnica za bicikle</t>
  </si>
  <si>
    <t>rekonstrukcija restorana (prizemlje)
rekonstrukcija garderoba i ureda (kat)</t>
  </si>
  <si>
    <t>skladište tekućih sirovina (tankovi)
nadstrešnica pretakanja  tekućina</t>
  </si>
  <si>
    <t>skladište poluproizvoda (istok)
mokro miješanje 2 (istok)
rekonstrukcija dezibarijera (jug i sjever)
rekonstrukcija vjetrobrana (jug)</t>
  </si>
  <si>
    <t>uredska zgrada i spojni mostovi</t>
  </si>
  <si>
    <t>skladište A (zapad 3)
paletni most
paletno skladište 
vanjski prostor za pušače
zapadne prometnice</t>
  </si>
  <si>
    <t>izmiještanje malog WM 1 u mokro miješanje 2
nova sortirnica (Tomra) i povećanje radionice 
rekonstrukcija skladišta poluproizvoda (WM)</t>
  </si>
  <si>
    <t xml:space="preserve">UKUPNO </t>
  </si>
  <si>
    <t>FAZA I.</t>
  </si>
  <si>
    <t>FAZA II.</t>
  </si>
  <si>
    <t>FAZA III.</t>
  </si>
  <si>
    <t>FAZA IV.</t>
  </si>
  <si>
    <t>FAZA V.</t>
  </si>
  <si>
    <t>FAZA VI.</t>
  </si>
  <si>
    <t>FAZA VII.</t>
  </si>
  <si>
    <t>FAZA VIII.</t>
  </si>
  <si>
    <t>FAZA IX.</t>
  </si>
  <si>
    <t>projekt VELEBIT 2 faznost: 
REKONSTRUKCIJA, DOGRADNJA I IZGRADNJA
TVORNICE ENERGETSKIH PLOČICA EMPWR 2025.</t>
  </si>
  <si>
    <t>REKAPITULACIJA
GRAĐEVINSKO-OBRTNIČKI RADOVI</t>
  </si>
  <si>
    <t>poglavlje:</t>
  </si>
  <si>
    <t>stavka:</t>
  </si>
  <si>
    <t>cijena bez pdv-a (EUR):</t>
  </si>
  <si>
    <t>GRAĐEVINSKO OBRTNIČKI RADOVI</t>
  </si>
  <si>
    <t>JEDINIČNA CIJENA
JC</t>
  </si>
  <si>
    <t>UKUPNO FAZA I.</t>
  </si>
  <si>
    <r>
      <t xml:space="preserve">UKUPNA CIJENA </t>
    </r>
    <r>
      <rPr>
        <sz val="8"/>
        <color rgb="FF0070C0"/>
        <rFont val="Arial Narrow"/>
        <family val="2"/>
      </rPr>
      <t>=JCxKfazaI.</t>
    </r>
  </si>
  <si>
    <t>UKUPNO FAZA II.</t>
  </si>
  <si>
    <t>KOLIČINA
faza I.</t>
  </si>
  <si>
    <t>KOLIČINA
faza II.</t>
  </si>
  <si>
    <t>UKUPNO FAZA III.</t>
  </si>
  <si>
    <t>KOLIČINA
faza III.</t>
  </si>
  <si>
    <t>UKUPNO FAZA IV.</t>
  </si>
  <si>
    <t>KOLIČINA
faza IV.</t>
  </si>
  <si>
    <t>UKUPNO FAZA V.</t>
  </si>
  <si>
    <t>KOLIČINA
faza V.</t>
  </si>
  <si>
    <t>UKUPNO FAZA VI.</t>
  </si>
  <si>
    <t>KOLIČINA
faza VI.</t>
  </si>
  <si>
    <r>
      <t xml:space="preserve">UKUPNA CIJENA </t>
    </r>
    <r>
      <rPr>
        <sz val="8"/>
        <color theme="6" tint="-0.249977111117893"/>
        <rFont val="Arial Narrow"/>
        <family val="2"/>
      </rPr>
      <t>=JCxKfazaII.</t>
    </r>
  </si>
  <si>
    <r>
      <t xml:space="preserve">UKUPNA CIJENA </t>
    </r>
    <r>
      <rPr>
        <sz val="8"/>
        <color theme="4" tint="-0.249977111117893"/>
        <rFont val="Arial Narrow"/>
        <family val="2"/>
      </rPr>
      <t>=JCxKfazaIII.</t>
    </r>
  </si>
  <si>
    <r>
      <t xml:space="preserve">UKUPNA CIJENA </t>
    </r>
    <r>
      <rPr>
        <sz val="8"/>
        <color rgb="FFFF11CC"/>
        <rFont val="Arial Narrow"/>
        <family val="2"/>
      </rPr>
      <t>=JCxKfazaIV.</t>
    </r>
  </si>
  <si>
    <r>
      <t xml:space="preserve">UKUPNA CIJENA </t>
    </r>
    <r>
      <rPr>
        <sz val="8"/>
        <color rgb="FF7030A0"/>
        <rFont val="Arial Narrow"/>
        <family val="2"/>
      </rPr>
      <t>=JCxKfazaV.</t>
    </r>
  </si>
  <si>
    <r>
      <t xml:space="preserve">UKUPNA CIJENA </t>
    </r>
    <r>
      <rPr>
        <sz val="8"/>
        <color theme="1" tint="0.14999847407452621"/>
        <rFont val="Arial Narrow"/>
        <family val="2"/>
      </rPr>
      <t>=JCxKfazaVI.</t>
    </r>
  </si>
  <si>
    <t>UKUPNO FAZA VII.</t>
  </si>
  <si>
    <t>KOLIČINA
faza VII.</t>
  </si>
  <si>
    <r>
      <t xml:space="preserve">UKUPNA CIJENA </t>
    </r>
    <r>
      <rPr>
        <sz val="8"/>
        <color theme="9" tint="-0.249977111117893"/>
        <rFont val="Arial Narrow"/>
        <family val="2"/>
      </rPr>
      <t>=JCxKfazaVII.</t>
    </r>
  </si>
  <si>
    <t>UKUPNO FAZA VIII.</t>
  </si>
  <si>
    <t>KOLIČINA
faza VIII.</t>
  </si>
  <si>
    <r>
      <t xml:space="preserve">UKUPNA CIJENA </t>
    </r>
    <r>
      <rPr>
        <sz val="8"/>
        <color theme="7" tint="-0.249977111117893"/>
        <rFont val="Arial Narrow"/>
        <family val="2"/>
      </rPr>
      <t>=JCxKfazaVIII.</t>
    </r>
  </si>
  <si>
    <t>UKUPNO FAZA IX.</t>
  </si>
  <si>
    <t>KOLIČINA
faza IX.</t>
  </si>
  <si>
    <r>
      <t xml:space="preserve">UKUPNA CIJENA </t>
    </r>
    <r>
      <rPr>
        <sz val="8"/>
        <color theme="9" tint="-0.499984740745262"/>
        <rFont val="Arial Narrow"/>
        <family val="2"/>
      </rPr>
      <t>=JCxKfazaIX.</t>
    </r>
  </si>
  <si>
    <t>UKUPNO FAZA X.</t>
  </si>
  <si>
    <t>KOLIČINA
faza X.</t>
  </si>
  <si>
    <r>
      <t xml:space="preserve">UKUPNA CIJENA </t>
    </r>
    <r>
      <rPr>
        <sz val="8"/>
        <color rgb="FF403C46"/>
        <rFont val="Arial Narrow"/>
        <family val="2"/>
      </rPr>
      <t>=JCxKfazaX.</t>
    </r>
  </si>
  <si>
    <t>G06.14.</t>
  </si>
  <si>
    <t>Nanošanje specijalnog morta za beton (gletanje),brušenje betonskih površina,okno dizala.</t>
  </si>
  <si>
    <t>Zidarska ugradnja krovnog poklopca na izlazu na ravni krov.</t>
  </si>
  <si>
    <t>Fiksiranje u otvor u ploči, obrada špaleta.</t>
  </si>
  <si>
    <t>Pomoć pri ugradnji poklopca  i učvršćenju</t>
  </si>
  <si>
    <t>Obračun po komadu ugrađenog poklopca.</t>
  </si>
  <si>
    <t xml:space="preserve">~ prosječna veličina  do: 60/60 cm             kom           </t>
  </si>
  <si>
    <t>G06.15.</t>
  </si>
  <si>
    <t>G06.16.</t>
  </si>
  <si>
    <t>Obračun po radnim satima</t>
  </si>
  <si>
    <t>sat</t>
  </si>
  <si>
    <t>d=15 cm</t>
  </si>
  <si>
    <t>Armirani cementni estrih, vodoravni i u padu.</t>
  </si>
  <si>
    <t xml:space="preserve">~ plivajući cementni estrih C20, debljine 4-7 cm 
~ na spoju sa zidom uložiti trake polistirena debljine 1 cm
~ konstruktivno armirati polipropilenskim vlaknima (cca 1 kg/m3 betona, odnosno prema uputama odabranog proizvođača)
~ izvoditi u dilatiranim površinama do 25 m2, odjeljenim  trakom  krovne ljepenke
~ estrih završno zaglađen "helikopterom" ili sl. (za direktno ljepljenje keramičkih pločica, kamena, parketa, linoleuma, izvedbu lijevanih podova i/ili sl.)
Uključivo :
~ dobava, priprema i ugradnja cementnog estriha i "armature"
~ potrebne dilatacije iz ljepenke i ekspandiranog polistirena
(Napomena:Na dijelu gdje je estrih oštećen radovima potrebno je sanirati cca 30%, odnosi se na fazu III)                                                         Obračun po m2 cementnog estriha.
</t>
  </si>
  <si>
    <t>Razna zidarska pripomoć pri izvođenju raznih radova</t>
  </si>
  <si>
    <t xml:space="preserve">dužina : 450 cm, širina : 50 cm  Uredska:270 cm ;faza V:150 cm                                        </t>
  </si>
  <si>
    <t>Zidarska ugradnja raznih ormarića za instalacije u zid, pod</t>
  </si>
  <si>
    <t>FAZA X.</t>
  </si>
  <si>
    <t xml:space="preserve">
skladište B1 (zapad4)</t>
  </si>
  <si>
    <t xml:space="preserve">rekonstrukcija zone automatske paletizacije
rekonstrukcija kata R&amp;D linije, uredi
</t>
  </si>
  <si>
    <t>GLAVNI PROJEKT</t>
  </si>
  <si>
    <t>listopad 2025.</t>
  </si>
  <si>
    <t>REKONSTRUKCIJA, DOGRADNJA I IZGRADNJA
TVORNICE ENERGETSKIH PLOČICA EMPWR, Nova Gradiška</t>
  </si>
  <si>
    <t>Izvedba produžne žbuke zidova, arm.betona cementnim produžnim mortom M 5.Uključivo čišćenje i vlaženje zida, te priprema za bolje prijanjanje.Izvodi se sloj debljin oko 2 cm.VisIna rada do 10.00 m .</t>
  </si>
  <si>
    <t>d=20 cm</t>
  </si>
  <si>
    <t>d=25 cm</t>
  </si>
  <si>
    <t>Dobava materijala i zidanje  zidova od YTONG blokova  debljine:15, 20 i 25 cm.</t>
  </si>
  <si>
    <t>Materijal:YTONG blokovi 25/60/15 (20) (25) ,kao vezivo koristiti Ytong ljepilo (tankoslojni mort).Stavka uključuje i Ytong blokove s rupama za vertikalne serklaže (15% blokova) te vezne elemente za povezivanje zida sa montažnom AB konstrukcijom stupova i greda.</t>
  </si>
  <si>
    <t>TROŠKOVNIK
Troškovnik je izrađen za postupak izbora izvođača u fazi izrade glavnog projekta, te su moguća odstupanja (±20%) u opisu i količinama u odnosu na kasnije faze projektne dokumentacije.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</si>
</sst>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 #,##0.00\ &quot;kn&quot;_-;\-* #,##0.00\ &quot;kn&quot;_-;_-* &quot;-&quot;??\ &quot;kn&quot;_-;_-@_-"/>
    <numFmt numFmtId="43" formatCode="_-* #,##0.00_-;\-* #,##0.00_-;_-* &quot;-&quot;??_-;_-@_-"/>
    <numFmt numFmtId="164" formatCode="_-* #,##0.00\ _k_n_-;\-* #,##0.00\ _k_n_-;_-* &quot;-&quot;??\ _k_n_-;_-@_-"/>
    <numFmt numFmtId="165" formatCode="_(&quot;kn&quot;* #,##0.00_);_(&quot;kn&quot;* \(#,##0.00\);_(&quot;kn&quot;* &quot;-&quot;??_);_(@_)"/>
    <numFmt numFmtId="166" formatCode="_(* #,##0.00_);_(* \(#,##0.00\);_(* &quot;-&quot;??_);_(@_)"/>
    <numFmt numFmtId="167" formatCode="#,##0.00\ &quot;kn&quot;"/>
    <numFmt numFmtId="168" formatCode="_-* #,##0.00_-;\-* #,##0.00_-;_-* \-??_-;_-@_-"/>
    <numFmt numFmtId="169" formatCode="#,##0.0"/>
    <numFmt numFmtId="170" formatCode="_-* #,##0.00\ _k_n_-;\-* #,##0.00\ _k_n_-;_-* \-??\ _k_n_-;_-@_-"/>
    <numFmt numFmtId="171" formatCode="#,##0.00&quot; kn&quot;"/>
    <numFmt numFmtId="172" formatCode="_-* #,##0.00&quot; kn&quot;_-;\-* #,##0.00&quot; kn&quot;_-;_-* \-??&quot; kn&quot;_-;_-@_-"/>
    <numFmt numFmtId="173" formatCode="_-* #,##0.00\ _H_R_K_-;\-* #,##0.00\ _H_R_K_-;_-* &quot;-&quot;??\ _H_R_K_-;_-@_-"/>
    <numFmt numFmtId="174" formatCode="_(&quot;$&quot;* #,##0.00_);_(&quot;$&quot;* \(#,##0.00\);_(&quot;$&quot;* &quot;-&quot;??_);_(@_)"/>
    <numFmt numFmtId="175" formatCode="_-&quot;£&quot;* #,##0.00_-;\-&quot;£&quot;* #,##0.00_-;_-&quot;£&quot;* &quot;-&quot;??_-;_-@_-"/>
    <numFmt numFmtId="176" formatCode="_-* #,##0.00\ [$€-1]_-;\-* #,##0.00\ [$€-1]_-;_-* &quot;-&quot;??\ [$€-1]_-;_-@_-"/>
    <numFmt numFmtId="177" formatCode="_-&quot;€&quot;\ * #,##0.00_-;_-&quot;€&quot;\ * #,##0.00\-;_-&quot;€&quot;\ * &quot;-&quot;??_-;_-@_-"/>
    <numFmt numFmtId="178" formatCode="_(* #,##0.00_);_(* \(#,##0.00\);_(* \-??_);_(@_)"/>
    <numFmt numFmtId="179" formatCode="#,##0.00\ [$kn-41A]"/>
    <numFmt numFmtId="180" formatCode="_-&quot;kn&quot;\ * #,##0.00_-;\-&quot;kn&quot;\ * #,##0.00_-;_-&quot;kn&quot;\ * &quot;-&quot;??_-;_-@_-"/>
    <numFmt numFmtId="181" formatCode="_-* #,##0.00\ [$€-41A]_-;\-* #,##0.00\ [$€-41A]_-;_-* &quot;-&quot;??\ [$€-41A]_-;_-@_-"/>
    <numFmt numFmtId="182" formatCode="#,##0.00\ [$€-41A]"/>
  </numFmts>
  <fonts count="181">
    <font>
      <sz val="11"/>
      <color theme="1"/>
      <name val="Calibri"/>
      <family val="2"/>
      <charset val="238"/>
      <scheme val="minor"/>
    </font>
    <font>
      <sz val="10"/>
      <name val="Arial"/>
      <family val="2"/>
      <charset val="238"/>
    </font>
    <font>
      <sz val="10"/>
      <name val="Arial Narrow"/>
      <family val="2"/>
    </font>
    <font>
      <sz val="12"/>
      <name val="Arial Narrow"/>
      <family val="2"/>
    </font>
    <font>
      <sz val="14"/>
      <name val="Arial Narrow"/>
      <family val="2"/>
    </font>
    <font>
      <sz val="12"/>
      <name val="Arial"/>
      <family val="2"/>
    </font>
    <font>
      <sz val="10"/>
      <name val="Arial"/>
      <family val="2"/>
    </font>
    <font>
      <b/>
      <sz val="14"/>
      <name val="Arial Narrow"/>
      <family val="2"/>
    </font>
    <font>
      <b/>
      <sz val="12"/>
      <name val="Arial"/>
      <family val="2"/>
    </font>
    <font>
      <b/>
      <sz val="20"/>
      <name val="Arial Narrow"/>
      <family val="2"/>
    </font>
    <font>
      <sz val="10"/>
      <name val="Arial"/>
      <family val="2"/>
      <charset val="238"/>
    </font>
    <font>
      <sz val="11"/>
      <color indexed="8"/>
      <name val="Calibri"/>
      <family val="2"/>
    </font>
    <font>
      <sz val="11"/>
      <color indexed="8"/>
      <name val="Calibri"/>
      <family val="2"/>
      <charset val="238"/>
    </font>
    <font>
      <sz val="11"/>
      <color indexed="9"/>
      <name val="Calibri"/>
      <family val="2"/>
    </font>
    <font>
      <sz val="11"/>
      <color indexed="9"/>
      <name val="Calibri"/>
      <family val="2"/>
      <charset val="238"/>
    </font>
    <font>
      <sz val="11"/>
      <color indexed="20"/>
      <name val="Calibri"/>
      <family val="2"/>
    </font>
    <font>
      <sz val="11"/>
      <color indexed="20"/>
      <name val="Calibri"/>
      <family val="2"/>
      <charset val="238"/>
    </font>
    <font>
      <b/>
      <sz val="11"/>
      <color indexed="52"/>
      <name val="Calibri"/>
      <family val="2"/>
    </font>
    <font>
      <b/>
      <sz val="11"/>
      <color indexed="52"/>
      <name val="Calibri"/>
      <family val="2"/>
      <charset val="238"/>
    </font>
    <font>
      <b/>
      <sz val="11"/>
      <color indexed="9"/>
      <name val="Calibri"/>
      <family val="2"/>
    </font>
    <font>
      <b/>
      <sz val="11"/>
      <color indexed="9"/>
      <name val="Calibri"/>
      <family val="2"/>
      <charset val="238"/>
    </font>
    <font>
      <sz val="10"/>
      <name val="Mangal"/>
      <family val="1"/>
    </font>
    <font>
      <sz val="9"/>
      <name val="Tahoma"/>
      <family val="2"/>
    </font>
    <font>
      <sz val="11"/>
      <color indexed="17"/>
      <name val="Calibri"/>
      <family val="2"/>
    </font>
    <font>
      <sz val="11"/>
      <color indexed="17"/>
      <name val="Calibri"/>
      <family val="2"/>
      <charset val="238"/>
    </font>
    <font>
      <i/>
      <sz val="11"/>
      <color indexed="23"/>
      <name val="Calibri"/>
      <family val="2"/>
    </font>
    <font>
      <i/>
      <sz val="11"/>
      <color indexed="23"/>
      <name val="Calibri"/>
      <family val="2"/>
      <charset val="238"/>
    </font>
    <font>
      <b/>
      <sz val="15"/>
      <color indexed="56"/>
      <name val="Calibri"/>
      <family val="2"/>
    </font>
    <font>
      <b/>
      <sz val="15"/>
      <color indexed="56"/>
      <name val="Calibri"/>
      <family val="2"/>
      <charset val="238"/>
    </font>
    <font>
      <b/>
      <sz val="13"/>
      <color indexed="56"/>
      <name val="Calibri"/>
      <family val="2"/>
    </font>
    <font>
      <b/>
      <sz val="13"/>
      <color indexed="56"/>
      <name val="Calibri"/>
      <family val="2"/>
      <charset val="238"/>
    </font>
    <font>
      <b/>
      <sz val="11"/>
      <color indexed="56"/>
      <name val="Calibri"/>
      <family val="2"/>
    </font>
    <font>
      <b/>
      <sz val="11"/>
      <color indexed="56"/>
      <name val="Calibri"/>
      <family val="2"/>
      <charset val="238"/>
    </font>
    <font>
      <u/>
      <sz val="10"/>
      <color indexed="12"/>
      <name val="Arial"/>
      <family val="2"/>
      <charset val="238"/>
    </font>
    <font>
      <sz val="11"/>
      <color indexed="62"/>
      <name val="Calibri"/>
      <family val="2"/>
    </font>
    <font>
      <sz val="11"/>
      <color indexed="62"/>
      <name val="Calibri"/>
      <family val="2"/>
      <charset val="238"/>
    </font>
    <font>
      <b/>
      <sz val="11"/>
      <color indexed="63"/>
      <name val="Calibri"/>
      <family val="2"/>
    </font>
    <font>
      <b/>
      <sz val="11"/>
      <color indexed="63"/>
      <name val="Calibri"/>
      <family val="2"/>
      <charset val="238"/>
    </font>
    <font>
      <b/>
      <sz val="11"/>
      <color indexed="10"/>
      <name val="Calibri"/>
      <family val="2"/>
      <charset val="238"/>
    </font>
    <font>
      <b/>
      <sz val="11"/>
      <color indexed="10"/>
      <name val="Calibri"/>
      <family val="2"/>
    </font>
    <font>
      <sz val="11"/>
      <color indexed="52"/>
      <name val="Calibri"/>
      <family val="2"/>
    </font>
    <font>
      <sz val="11"/>
      <color indexed="52"/>
      <name val="Calibri"/>
      <family val="2"/>
      <charset val="238"/>
    </font>
    <font>
      <b/>
      <sz val="15"/>
      <color indexed="62"/>
      <name val="Calibri"/>
      <family val="2"/>
      <charset val="238"/>
    </font>
    <font>
      <b/>
      <sz val="15"/>
      <color indexed="62"/>
      <name val="Calibri"/>
      <family val="2"/>
    </font>
    <font>
      <b/>
      <sz val="13"/>
      <color indexed="62"/>
      <name val="Calibri"/>
      <family val="2"/>
      <charset val="238"/>
    </font>
    <font>
      <b/>
      <sz val="13"/>
      <color indexed="62"/>
      <name val="Calibri"/>
      <family val="2"/>
    </font>
    <font>
      <b/>
      <sz val="11"/>
      <color indexed="62"/>
      <name val="Calibri"/>
      <family val="2"/>
      <charset val="238"/>
    </font>
    <font>
      <b/>
      <sz val="11"/>
      <color indexed="62"/>
      <name val="Calibri"/>
      <family val="2"/>
    </font>
    <font>
      <b/>
      <sz val="18"/>
      <color indexed="56"/>
      <name val="Cambria"/>
      <family val="1"/>
    </font>
    <font>
      <b/>
      <sz val="18"/>
      <color indexed="62"/>
      <name val="Cambria"/>
      <family val="1"/>
      <charset val="238"/>
    </font>
    <font>
      <b/>
      <sz val="18"/>
      <color indexed="56"/>
      <name val="Cambria"/>
      <family val="1"/>
      <charset val="238"/>
    </font>
    <font>
      <b/>
      <sz val="18"/>
      <color indexed="62"/>
      <name val="Cambria"/>
      <family val="1"/>
    </font>
    <font>
      <sz val="12"/>
      <name val="Courier"/>
      <family val="3"/>
    </font>
    <font>
      <sz val="11"/>
      <color indexed="60"/>
      <name val="Calibri"/>
      <family val="2"/>
    </font>
    <font>
      <sz val="11"/>
      <color indexed="60"/>
      <name val="Calibri"/>
      <family val="2"/>
      <charset val="238"/>
    </font>
    <font>
      <sz val="11"/>
      <color indexed="19"/>
      <name val="Calibri"/>
      <family val="2"/>
      <charset val="238"/>
    </font>
    <font>
      <sz val="11"/>
      <color indexed="19"/>
      <name val="Calibri"/>
      <family val="2"/>
    </font>
    <font>
      <sz val="10"/>
      <name val="Arial CE"/>
      <charset val="238"/>
    </font>
    <font>
      <sz val="10"/>
      <name val="MS Sans Serif"/>
      <family val="2"/>
    </font>
    <font>
      <sz val="10"/>
      <name val="MS Sans Serif"/>
      <family val="2"/>
      <charset val="238"/>
    </font>
    <font>
      <sz val="10"/>
      <name val="ElegaGarmnd BT"/>
      <charset val="238"/>
    </font>
    <font>
      <sz val="11"/>
      <name val="Arial"/>
      <family val="2"/>
    </font>
    <font>
      <sz val="11"/>
      <name val="Arial"/>
      <family val="2"/>
      <charset val="238"/>
    </font>
    <font>
      <sz val="9"/>
      <name val="Tahoma"/>
      <family val="2"/>
      <charset val="238"/>
    </font>
    <font>
      <sz val="10"/>
      <name val="Myriad Pro"/>
      <charset val="238"/>
    </font>
    <font>
      <sz val="10"/>
      <name val="Arial "/>
      <charset val="238"/>
    </font>
    <font>
      <sz val="12"/>
      <name val="Arial"/>
      <family val="2"/>
      <charset val="238"/>
    </font>
    <font>
      <sz val="11"/>
      <color indexed="10"/>
      <name val="Calibri"/>
      <family val="2"/>
      <charset val="238"/>
    </font>
    <font>
      <sz val="11"/>
      <color indexed="10"/>
      <name val="Calibri"/>
      <family val="2"/>
    </font>
    <font>
      <sz val="10"/>
      <color indexed="8"/>
      <name val="Arial CE"/>
      <charset val="238"/>
    </font>
    <font>
      <sz val="10"/>
      <name val="Helv"/>
      <charset val="238"/>
    </font>
    <font>
      <b/>
      <sz val="11"/>
      <color indexed="8"/>
      <name val="Calibri"/>
      <family val="2"/>
    </font>
    <font>
      <b/>
      <sz val="11"/>
      <color indexed="8"/>
      <name val="Calibri"/>
      <family val="2"/>
      <charset val="238"/>
    </font>
    <font>
      <b/>
      <sz val="10"/>
      <name val="Arial Narrow"/>
      <family val="2"/>
    </font>
    <font>
      <b/>
      <sz val="12"/>
      <name val="Arial Narrow"/>
      <family val="2"/>
    </font>
    <font>
      <sz val="10"/>
      <name val="Arial Narrow"/>
      <family val="2"/>
      <charset val="238"/>
    </font>
    <font>
      <b/>
      <sz val="12"/>
      <name val="Arial Narrow"/>
      <family val="2"/>
      <charset val="238"/>
    </font>
    <font>
      <b/>
      <sz val="9"/>
      <name val="Arial Narrow"/>
      <family val="2"/>
      <charset val="238"/>
    </font>
    <font>
      <b/>
      <sz val="8"/>
      <color indexed="23"/>
      <name val="Arial Narrow"/>
      <family val="2"/>
    </font>
    <font>
      <b/>
      <sz val="10"/>
      <name val="Arial"/>
      <family val="2"/>
      <charset val="238"/>
    </font>
    <font>
      <sz val="10"/>
      <name val="Arial"/>
      <family val="2"/>
    </font>
    <font>
      <sz val="11"/>
      <color theme="1"/>
      <name val="Calibri"/>
      <family val="2"/>
      <charset val="238"/>
      <scheme val="minor"/>
    </font>
    <font>
      <sz val="10"/>
      <name val="Arial CE"/>
      <family val="2"/>
      <charset val="238"/>
    </font>
    <font>
      <sz val="10"/>
      <color indexed="8"/>
      <name val="Arial CE"/>
      <family val="2"/>
      <charset val="238"/>
    </font>
    <font>
      <b/>
      <sz val="18"/>
      <color indexed="56"/>
      <name val="Cambria"/>
      <family val="2"/>
      <charset val="238"/>
    </font>
    <font>
      <sz val="10"/>
      <name val="Helv"/>
    </font>
    <font>
      <sz val="10"/>
      <name val="Mangal"/>
      <family val="2"/>
      <charset val="238"/>
    </font>
    <font>
      <sz val="10"/>
      <name val="ElegaGarmnd BT"/>
      <family val="1"/>
    </font>
    <font>
      <b/>
      <sz val="18"/>
      <color indexed="62"/>
      <name val="Cambria"/>
      <family val="2"/>
      <charset val="238"/>
    </font>
    <font>
      <sz val="10"/>
      <name val="Myriad Pro"/>
      <family val="2"/>
    </font>
    <font>
      <sz val="11"/>
      <color theme="1"/>
      <name val="Calibri"/>
      <family val="2"/>
      <scheme val="minor"/>
    </font>
    <font>
      <sz val="10"/>
      <name val="Arial"/>
      <family val="2"/>
    </font>
    <font>
      <sz val="10"/>
      <color theme="1"/>
      <name val="Arial"/>
      <family val="2"/>
      <charset val="238"/>
    </font>
    <font>
      <sz val="12"/>
      <name val="Times"/>
      <family val="1"/>
      <charset val="238"/>
    </font>
    <font>
      <u/>
      <sz val="11.75"/>
      <color indexed="12"/>
      <name val="Times"/>
      <family val="1"/>
      <charset val="238"/>
    </font>
    <font>
      <sz val="10"/>
      <name val="Times New Roman CE"/>
      <family val="1"/>
      <charset val="238"/>
    </font>
    <font>
      <sz val="12"/>
      <name val="Times New Roman CE"/>
      <family val="1"/>
      <charset val="238"/>
    </font>
    <font>
      <sz val="10"/>
      <name val="Dutch"/>
      <charset val="238"/>
    </font>
    <font>
      <sz val="11"/>
      <name val="Times New Roman"/>
      <family val="1"/>
      <charset val="238"/>
    </font>
    <font>
      <sz val="12"/>
      <name val="Times New Roman"/>
      <family val="1"/>
      <charset val="238"/>
    </font>
    <font>
      <sz val="12"/>
      <name val="Helv"/>
    </font>
    <font>
      <sz val="10"/>
      <color indexed="8"/>
      <name val="Arial"/>
      <family val="2"/>
      <charset val="238"/>
    </font>
    <font>
      <sz val="11"/>
      <name val="Arial CE"/>
      <charset val="238"/>
    </font>
    <font>
      <u/>
      <sz val="11"/>
      <color indexed="12"/>
      <name val="Arial CE"/>
      <charset val="238"/>
    </font>
    <font>
      <u/>
      <sz val="12"/>
      <color theme="10"/>
      <name val="Times"/>
      <family val="1"/>
      <charset val="238"/>
    </font>
    <font>
      <sz val="12"/>
      <color theme="1"/>
      <name val="Calibri"/>
      <family val="2"/>
      <scheme val="minor"/>
    </font>
    <font>
      <sz val="11"/>
      <name val="Arial"/>
      <family val="1"/>
    </font>
    <font>
      <sz val="10"/>
      <name val="Tahoma"/>
      <family val="2"/>
      <charset val="238"/>
    </font>
    <font>
      <sz val="10"/>
      <name val="CRO_Swiss_Con-Normal"/>
      <family val="2"/>
      <charset val="238"/>
    </font>
    <font>
      <sz val="11"/>
      <name val="7_Futura"/>
      <charset val="238"/>
    </font>
    <font>
      <sz val="11"/>
      <color indexed="8"/>
      <name val="Calibri"/>
      <family val="2"/>
      <charset val="1"/>
    </font>
    <font>
      <sz val="11"/>
      <color rgb="FF000000"/>
      <name val="Calibri"/>
      <family val="2"/>
      <charset val="238"/>
    </font>
    <font>
      <sz val="10"/>
      <name val="Arial CE"/>
    </font>
    <font>
      <sz val="12"/>
      <color rgb="FF006699"/>
      <name val="Calibri"/>
      <family val="2"/>
      <scheme val="minor"/>
    </font>
    <font>
      <sz val="10"/>
      <color theme="1"/>
      <name val="Arial"/>
      <family val="2"/>
    </font>
    <font>
      <sz val="12"/>
      <color rgb="FF000000"/>
      <name val="Helvetica Neue"/>
    </font>
    <font>
      <sz val="8"/>
      <color theme="1"/>
      <name val="Arial Narrow"/>
      <family val="2"/>
    </font>
    <font>
      <sz val="9"/>
      <name val="Arial CE"/>
      <charset val="238"/>
    </font>
    <font>
      <sz val="10"/>
      <name val="Arial"/>
      <family val="2"/>
    </font>
    <font>
      <sz val="8"/>
      <name val="Arial Narrow"/>
      <family val="2"/>
    </font>
    <font>
      <b/>
      <sz val="11"/>
      <name val="Arial Narrow"/>
      <family val="2"/>
    </font>
    <font>
      <b/>
      <sz val="12"/>
      <color theme="4" tint="-0.249977111117893"/>
      <name val="Arial Narrow"/>
      <family val="2"/>
      <charset val="238"/>
    </font>
    <font>
      <sz val="11"/>
      <color theme="4" tint="-0.249977111117893"/>
      <name val="Calibri"/>
      <family val="2"/>
      <charset val="238"/>
      <scheme val="minor"/>
    </font>
    <font>
      <b/>
      <sz val="8"/>
      <color theme="4" tint="-0.249977111117893"/>
      <name val="Arial Narrow"/>
      <family val="2"/>
    </font>
    <font>
      <sz val="8"/>
      <color theme="4" tint="-0.249977111117893"/>
      <name val="Arial Narrow"/>
      <family val="2"/>
    </font>
    <font>
      <sz val="10"/>
      <color theme="4" tint="-0.249977111117893"/>
      <name val="Arial Narrow"/>
      <family val="2"/>
      <charset val="238"/>
    </font>
    <font>
      <sz val="10"/>
      <color theme="4" tint="-0.249977111117893"/>
      <name val="Arial Narrow"/>
      <family val="2"/>
    </font>
    <font>
      <b/>
      <sz val="12"/>
      <color rgb="FF0070C0"/>
      <name val="Arial Narrow"/>
      <family val="2"/>
      <charset val="238"/>
    </font>
    <font>
      <sz val="11"/>
      <color rgb="FF0070C0"/>
      <name val="Calibri"/>
      <family val="2"/>
      <charset val="238"/>
      <scheme val="minor"/>
    </font>
    <font>
      <b/>
      <sz val="8"/>
      <color rgb="FF0070C0"/>
      <name val="Arial Narrow"/>
      <family val="2"/>
    </font>
    <font>
      <sz val="8"/>
      <color rgb="FF0070C0"/>
      <name val="Arial Narrow"/>
      <family val="2"/>
    </font>
    <font>
      <sz val="10"/>
      <color rgb="FF0070C0"/>
      <name val="Arial Narrow"/>
      <family val="2"/>
      <charset val="238"/>
    </font>
    <font>
      <sz val="10"/>
      <color rgb="FF0070C0"/>
      <name val="Arial Narrow"/>
      <family val="2"/>
    </font>
    <font>
      <b/>
      <sz val="12"/>
      <color theme="6" tint="-0.249977111117893"/>
      <name val="Arial Narrow"/>
      <family val="2"/>
      <charset val="238"/>
    </font>
    <font>
      <sz val="11"/>
      <color theme="6" tint="-0.249977111117893"/>
      <name val="Calibri"/>
      <family val="2"/>
      <charset val="238"/>
      <scheme val="minor"/>
    </font>
    <font>
      <b/>
      <sz val="8"/>
      <color theme="6" tint="-0.249977111117893"/>
      <name val="Arial Narrow"/>
      <family val="2"/>
    </font>
    <font>
      <sz val="8"/>
      <color theme="6" tint="-0.249977111117893"/>
      <name val="Arial Narrow"/>
      <family val="2"/>
    </font>
    <font>
      <sz val="10"/>
      <color theme="6" tint="-0.249977111117893"/>
      <name val="Arial Narrow"/>
      <family val="2"/>
      <charset val="238"/>
    </font>
    <font>
      <sz val="10"/>
      <color theme="6" tint="-0.249977111117893"/>
      <name val="Arial Narrow"/>
      <family val="2"/>
    </font>
    <font>
      <b/>
      <sz val="12"/>
      <color rgb="FFFF11CC"/>
      <name val="Arial Narrow"/>
      <family val="2"/>
      <charset val="238"/>
    </font>
    <font>
      <sz val="11"/>
      <color rgb="FFFF11CC"/>
      <name val="Calibri"/>
      <family val="2"/>
      <charset val="238"/>
      <scheme val="minor"/>
    </font>
    <font>
      <b/>
      <sz val="8"/>
      <color rgb="FFFF11CC"/>
      <name val="Arial Narrow"/>
      <family val="2"/>
    </font>
    <font>
      <sz val="8"/>
      <color rgb="FFFF11CC"/>
      <name val="Arial Narrow"/>
      <family val="2"/>
    </font>
    <font>
      <sz val="10"/>
      <color rgb="FFFF11CC"/>
      <name val="Arial Narrow"/>
      <family val="2"/>
      <charset val="238"/>
    </font>
    <font>
      <sz val="10"/>
      <color rgb="FFFF11CC"/>
      <name val="Arial Narrow"/>
      <family val="2"/>
    </font>
    <font>
      <b/>
      <sz val="12"/>
      <color rgb="FF7030A0"/>
      <name val="Arial Narrow"/>
      <family val="2"/>
      <charset val="238"/>
    </font>
    <font>
      <sz val="11"/>
      <color rgb="FF7030A0"/>
      <name val="Calibri"/>
      <family val="2"/>
      <charset val="238"/>
      <scheme val="minor"/>
    </font>
    <font>
      <b/>
      <sz val="8"/>
      <color rgb="FF7030A0"/>
      <name val="Arial Narrow"/>
      <family val="2"/>
    </font>
    <font>
      <sz val="8"/>
      <color rgb="FF7030A0"/>
      <name val="Arial Narrow"/>
      <family val="2"/>
    </font>
    <font>
      <sz val="10"/>
      <color rgb="FF7030A0"/>
      <name val="Arial Narrow"/>
      <family val="2"/>
      <charset val="238"/>
    </font>
    <font>
      <sz val="10"/>
      <color rgb="FF7030A0"/>
      <name val="Arial Narrow"/>
      <family val="2"/>
    </font>
    <font>
      <b/>
      <sz val="12"/>
      <color theme="1" tint="0.14999847407452621"/>
      <name val="Arial Narrow"/>
      <family val="2"/>
      <charset val="238"/>
    </font>
    <font>
      <sz val="11"/>
      <color theme="1" tint="0.14999847407452621"/>
      <name val="Calibri"/>
      <family val="2"/>
      <charset val="238"/>
      <scheme val="minor"/>
    </font>
    <font>
      <b/>
      <sz val="8"/>
      <color theme="1" tint="0.14999847407452621"/>
      <name val="Arial Narrow"/>
      <family val="2"/>
    </font>
    <font>
      <sz val="8"/>
      <color theme="1" tint="0.14999847407452621"/>
      <name val="Arial Narrow"/>
      <family val="2"/>
    </font>
    <font>
      <sz val="10"/>
      <color theme="1" tint="0.14999847407452621"/>
      <name val="Arial Narrow"/>
      <family val="2"/>
      <charset val="238"/>
    </font>
    <font>
      <sz val="10"/>
      <color theme="1" tint="0.14999847407452621"/>
      <name val="Arial Narrow"/>
      <family val="2"/>
    </font>
    <font>
      <b/>
      <sz val="12"/>
      <color theme="9" tint="-0.249977111117893"/>
      <name val="Arial Narrow"/>
      <family val="2"/>
      <charset val="238"/>
    </font>
    <font>
      <sz val="11"/>
      <color theme="9" tint="-0.249977111117893"/>
      <name val="Calibri"/>
      <family val="2"/>
      <charset val="238"/>
      <scheme val="minor"/>
    </font>
    <font>
      <b/>
      <sz val="8"/>
      <color theme="9" tint="-0.249977111117893"/>
      <name val="Arial Narrow"/>
      <family val="2"/>
    </font>
    <font>
      <sz val="8"/>
      <color theme="9" tint="-0.249977111117893"/>
      <name val="Arial Narrow"/>
      <family val="2"/>
    </font>
    <font>
      <sz val="10"/>
      <color theme="9" tint="-0.249977111117893"/>
      <name val="Arial Narrow"/>
      <family val="2"/>
      <charset val="238"/>
    </font>
    <font>
      <sz val="10"/>
      <color theme="9" tint="-0.249977111117893"/>
      <name val="Arial Narrow"/>
      <family val="2"/>
    </font>
    <font>
      <b/>
      <sz val="12"/>
      <color theme="7" tint="-0.249977111117893"/>
      <name val="Arial Narrow"/>
      <family val="2"/>
      <charset val="238"/>
    </font>
    <font>
      <sz val="11"/>
      <color theme="7" tint="-0.249977111117893"/>
      <name val="Calibri"/>
      <family val="2"/>
      <charset val="238"/>
      <scheme val="minor"/>
    </font>
    <font>
      <b/>
      <sz val="8"/>
      <color theme="7" tint="-0.249977111117893"/>
      <name val="Arial Narrow"/>
      <family val="2"/>
    </font>
    <font>
      <sz val="8"/>
      <color theme="7" tint="-0.249977111117893"/>
      <name val="Arial Narrow"/>
      <family val="2"/>
    </font>
    <font>
      <sz val="10"/>
      <color theme="7" tint="-0.249977111117893"/>
      <name val="Arial Narrow"/>
      <family val="2"/>
      <charset val="238"/>
    </font>
    <font>
      <sz val="10"/>
      <color theme="7" tint="-0.249977111117893"/>
      <name val="Arial Narrow"/>
      <family val="2"/>
    </font>
    <font>
      <b/>
      <sz val="12"/>
      <color theme="9" tint="-0.499984740745262"/>
      <name val="Arial Narrow"/>
      <family val="2"/>
      <charset val="238"/>
    </font>
    <font>
      <sz val="11"/>
      <color theme="9" tint="-0.499984740745262"/>
      <name val="Calibri"/>
      <family val="2"/>
      <charset val="238"/>
      <scheme val="minor"/>
    </font>
    <font>
      <b/>
      <sz val="8"/>
      <color theme="9" tint="-0.499984740745262"/>
      <name val="Arial Narrow"/>
      <family val="2"/>
    </font>
    <font>
      <sz val="8"/>
      <color theme="9" tint="-0.499984740745262"/>
      <name val="Arial Narrow"/>
      <family val="2"/>
    </font>
    <font>
      <sz val="10"/>
      <color theme="9" tint="-0.499984740745262"/>
      <name val="Arial Narrow"/>
      <family val="2"/>
      <charset val="238"/>
    </font>
    <font>
      <sz val="10"/>
      <color theme="9" tint="-0.499984740745262"/>
      <name val="Arial Narrow"/>
      <family val="2"/>
    </font>
    <font>
      <b/>
      <sz val="12"/>
      <color rgb="FF403C46"/>
      <name val="Arial Narrow"/>
      <family val="2"/>
      <charset val="238"/>
    </font>
    <font>
      <sz val="11"/>
      <color rgb="FF403C46"/>
      <name val="Calibri"/>
      <family val="2"/>
      <charset val="238"/>
      <scheme val="minor"/>
    </font>
    <font>
      <b/>
      <sz val="8"/>
      <color rgb="FF403C46"/>
      <name val="Arial Narrow"/>
      <family val="2"/>
    </font>
    <font>
      <sz val="8"/>
      <color rgb="FF403C46"/>
      <name val="Arial Narrow"/>
      <family val="2"/>
    </font>
    <font>
      <sz val="10"/>
      <color rgb="FF403C46"/>
      <name val="Arial Narrow"/>
      <family val="2"/>
      <charset val="238"/>
    </font>
    <font>
      <sz val="10"/>
      <color rgb="FF403C46"/>
      <name val="Arial Narrow"/>
      <family val="2"/>
    </font>
  </fonts>
  <fills count="73">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11"/>
        <bgColor indexed="64"/>
      </patternFill>
    </fill>
    <fill>
      <patternFill patternType="solid">
        <fgColor indexed="51"/>
        <bgColor indexed="64"/>
      </patternFill>
    </fill>
    <fill>
      <patternFill patternType="solid">
        <fgColor indexed="43"/>
        <bgColor indexed="64"/>
      </patternFill>
    </fill>
    <fill>
      <patternFill patternType="solid">
        <fgColor indexed="30"/>
        <bgColor indexed="64"/>
      </patternFill>
    </fill>
    <fill>
      <patternFill patternType="solid">
        <fgColor indexed="36"/>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53"/>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22"/>
        <bgColor indexed="64"/>
      </patternFill>
    </fill>
    <fill>
      <patternFill patternType="solid">
        <fgColor indexed="55"/>
        <bgColor indexed="64"/>
      </patternFill>
    </fill>
    <fill>
      <patternFill patternType="solid">
        <fgColor indexed="56"/>
        <bgColor indexed="64"/>
      </patternFill>
    </fill>
    <fill>
      <patternFill patternType="solid">
        <fgColor indexed="54"/>
        <bgColor indexed="64"/>
      </patternFill>
    </fill>
    <fill>
      <patternFill patternType="solid">
        <fgColor indexed="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43"/>
      </patternFill>
    </fill>
    <fill>
      <patternFill patternType="solid">
        <fgColor indexed="51"/>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53"/>
      </patternFill>
    </fill>
    <fill>
      <patternFill patternType="solid">
        <fgColor indexed="49"/>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6"/>
        <bgColor indexed="9"/>
      </patternFill>
    </fill>
    <fill>
      <patternFill patternType="solid">
        <fgColor indexed="22"/>
        <bgColor indexed="31"/>
      </patternFill>
    </fill>
    <fill>
      <patternFill patternType="solid">
        <fgColor indexed="55"/>
        <bgColor indexed="23"/>
      </patternFill>
    </fill>
    <fill>
      <patternFill patternType="solid">
        <fgColor indexed="56"/>
      </patternFill>
    </fill>
    <fill>
      <patternFill patternType="solid">
        <fgColor indexed="10"/>
      </patternFill>
    </fill>
    <fill>
      <patternFill patternType="solid">
        <fgColor indexed="54"/>
      </patternFill>
    </fill>
    <fill>
      <patternFill patternType="solid">
        <fgColor indexed="9"/>
      </patternFill>
    </fill>
    <fill>
      <patternFill patternType="solid">
        <fgColor indexed="43"/>
        <bgColor indexed="26"/>
      </patternFill>
    </fill>
    <fill>
      <patternFill patternType="solid">
        <fgColor indexed="55"/>
      </patternFill>
    </fill>
    <fill>
      <patternFill patternType="solid">
        <fgColor indexed="22"/>
      </patternFill>
    </fill>
    <fill>
      <patternFill patternType="solid">
        <fgColor indexed="57"/>
      </patternFill>
    </fill>
    <fill>
      <patternFill patternType="solid">
        <fgColor indexed="42"/>
      </patternFill>
    </fill>
    <fill>
      <patternFill patternType="solid">
        <fgColor theme="5" tint="0.39997558519241921"/>
        <bgColor indexed="64"/>
      </patternFill>
    </fill>
    <fill>
      <patternFill patternType="solid">
        <fgColor rgb="FFFFC000"/>
        <bgColor indexed="64"/>
      </patternFill>
    </fill>
  </fills>
  <borders count="55">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62"/>
      </top>
      <bottom style="double">
        <color indexed="62"/>
      </bottom>
      <diagonal/>
    </border>
    <border>
      <left/>
      <right/>
      <top style="thin">
        <color indexed="56"/>
      </top>
      <bottom style="double">
        <color indexed="56"/>
      </bottom>
      <diagonal/>
    </border>
    <border>
      <left/>
      <right/>
      <top/>
      <bottom style="medium">
        <color indexed="62"/>
      </bottom>
      <diagonal/>
    </border>
    <border>
      <left/>
      <right/>
      <top/>
      <bottom style="medium">
        <color indexed="22"/>
      </bottom>
      <diagonal/>
    </border>
    <border>
      <left/>
      <right/>
      <top/>
      <bottom style="thin">
        <color indexed="30"/>
      </bottom>
      <diagonal/>
    </border>
    <border>
      <left/>
      <right/>
      <top/>
      <bottom style="thick">
        <color indexed="49"/>
      </bottom>
      <diagonal/>
    </border>
    <border>
      <left/>
      <right/>
      <top/>
      <bottom style="medium">
        <color indexed="49"/>
      </bottom>
      <diagonal/>
    </border>
    <border>
      <left style="thin">
        <color indexed="8"/>
      </left>
      <right style="thin">
        <color indexed="8"/>
      </right>
      <top/>
      <bottom/>
      <diagonal/>
    </border>
    <border>
      <left/>
      <right/>
      <top style="thin">
        <color indexed="49"/>
      </top>
      <bottom style="double">
        <color indexed="49"/>
      </bottom>
      <diagonal/>
    </border>
    <border>
      <left/>
      <right/>
      <top style="hair">
        <color indexed="8"/>
      </top>
      <bottom style="hair">
        <color indexed="8"/>
      </bottom>
      <diagonal/>
    </border>
    <border>
      <left style="thin">
        <color indexed="23"/>
      </left>
      <right style="thin">
        <color indexed="23"/>
      </right>
      <top style="thin">
        <color indexed="23"/>
      </top>
      <bottom/>
      <diagonal/>
    </border>
    <border>
      <left style="thin">
        <color indexed="23"/>
      </left>
      <right style="thin">
        <color indexed="23"/>
      </right>
      <top/>
      <bottom style="thin">
        <color indexed="64"/>
      </bottom>
      <diagonal/>
    </border>
    <border>
      <left style="hair">
        <color indexed="64"/>
      </left>
      <right style="hair">
        <color indexed="64"/>
      </right>
      <top/>
      <bottom style="hair">
        <color indexed="64"/>
      </bottom>
      <diagonal/>
    </border>
    <border>
      <left/>
      <right/>
      <top style="hair">
        <color indexed="8"/>
      </top>
      <bottom style="hair">
        <color indexed="8"/>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thin">
        <color indexed="64"/>
      </bottom>
      <diagonal/>
    </border>
    <border>
      <left style="thin">
        <color indexed="23"/>
      </left>
      <right/>
      <top style="thin">
        <color indexed="64"/>
      </top>
      <bottom/>
      <diagonal/>
    </border>
    <border>
      <left style="thin">
        <color indexed="23"/>
      </left>
      <right/>
      <top/>
      <bottom style="thin">
        <color indexed="2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23"/>
      </bottom>
      <diagonal/>
    </border>
    <border>
      <left/>
      <right style="thin">
        <color indexed="64"/>
      </right>
      <top style="thin">
        <color indexed="64"/>
      </top>
      <bottom style="thin">
        <color indexed="23"/>
      </bottom>
      <diagonal/>
    </border>
    <border>
      <left style="thin">
        <color indexed="64"/>
      </left>
      <right style="thin">
        <color indexed="23"/>
      </right>
      <top style="thin">
        <color indexed="23"/>
      </top>
      <bottom style="thin">
        <color indexed="64"/>
      </bottom>
      <diagonal/>
    </border>
    <border>
      <left style="thin">
        <color indexed="23"/>
      </left>
      <right style="thin">
        <color indexed="64"/>
      </right>
      <top style="thin">
        <color indexed="23"/>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23"/>
      </right>
      <top style="thin">
        <color indexed="23"/>
      </top>
      <bottom/>
      <diagonal/>
    </border>
    <border>
      <left style="thin">
        <color indexed="64"/>
      </left>
      <right style="thin">
        <color indexed="23"/>
      </right>
      <top/>
      <bottom style="thin">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style="thin">
        <color auto="1"/>
      </right>
      <top/>
      <bottom style="hair">
        <color auto="1"/>
      </bottom>
      <diagonal/>
    </border>
  </borders>
  <cellStyleXfs count="3585">
    <xf numFmtId="0" fontId="0" fillId="0" borderId="0"/>
    <xf numFmtId="0" fontId="6" fillId="0" borderId="0"/>
    <xf numFmtId="0" fontId="6" fillId="0" borderId="0"/>
    <xf numFmtId="0" fontId="6" fillId="0" borderId="0"/>
    <xf numFmtId="0" fontId="10" fillId="0" borderId="0"/>
    <xf numFmtId="0" fontId="10" fillId="0" borderId="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alignment vertical="center"/>
    </xf>
    <xf numFmtId="0" fontId="12" fillId="2" borderId="0" applyNumberFormat="0" applyBorder="0" applyAlignment="0" applyProtection="0"/>
    <xf numFmtId="0" fontId="11" fillId="2" borderId="0" applyNumberFormat="0" applyBorder="0" applyAlignment="0" applyProtection="0">
      <alignment vertical="center"/>
    </xf>
    <xf numFmtId="0" fontId="11" fillId="2" borderId="0" applyNumberFormat="0" applyBorder="0" applyAlignment="0" applyProtection="0"/>
    <xf numFmtId="0" fontId="12"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alignment vertical="center"/>
    </xf>
    <xf numFmtId="0" fontId="11" fillId="3" borderId="0" applyNumberFormat="0" applyBorder="0" applyAlignment="0" applyProtection="0"/>
    <xf numFmtId="0" fontId="11" fillId="3" borderId="0" applyNumberFormat="0" applyBorder="0" applyAlignment="0" applyProtection="0">
      <alignment vertical="center"/>
    </xf>
    <xf numFmtId="0" fontId="12" fillId="3" borderId="0" applyNumberFormat="0" applyBorder="0" applyAlignment="0" applyProtection="0"/>
    <xf numFmtId="0" fontId="11" fillId="3" borderId="0" applyNumberFormat="0" applyBorder="0" applyAlignment="0" applyProtection="0"/>
    <xf numFmtId="0" fontId="12"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alignment vertical="center"/>
    </xf>
    <xf numFmtId="0" fontId="11" fillId="4" borderId="0" applyNumberFormat="0" applyBorder="0" applyAlignment="0" applyProtection="0">
      <alignment vertical="center"/>
    </xf>
    <xf numFmtId="0" fontId="11" fillId="4" borderId="0" applyNumberFormat="0" applyBorder="0" applyAlignment="0" applyProtection="0"/>
    <xf numFmtId="0" fontId="12" fillId="4" borderId="0" applyNumberFormat="0" applyBorder="0" applyAlignment="0" applyProtection="0"/>
    <xf numFmtId="0" fontId="11" fillId="4" borderId="0" applyNumberFormat="0" applyBorder="0" applyAlignment="0" applyProtection="0"/>
    <xf numFmtId="0" fontId="12"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2" fillId="5" borderId="0" applyNumberFormat="0" applyBorder="0" applyAlignment="0" applyProtection="0"/>
    <xf numFmtId="0" fontId="11" fillId="5" borderId="0" applyNumberFormat="0" applyBorder="0" applyAlignment="0" applyProtection="0"/>
    <xf numFmtId="0" fontId="12"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2" fillId="6" borderId="0" applyNumberFormat="0" applyBorder="0" applyAlignment="0" applyProtection="0"/>
    <xf numFmtId="0" fontId="11" fillId="6" borderId="0" applyNumberFormat="0" applyBorder="0" applyAlignment="0" applyProtection="0"/>
    <xf numFmtId="0" fontId="12"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2" fillId="7" borderId="0" applyNumberFormat="0" applyBorder="0" applyAlignment="0" applyProtection="0"/>
    <xf numFmtId="0" fontId="11" fillId="7" borderId="0" applyNumberFormat="0" applyBorder="0" applyAlignment="0" applyProtection="0"/>
    <xf numFmtId="0" fontId="12" fillId="7"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2" fillId="8" borderId="0" applyNumberFormat="0" applyBorder="0" applyAlignment="0" applyProtection="0"/>
    <xf numFmtId="0" fontId="12"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2" fillId="2" borderId="0" applyNumberFormat="0" applyBorder="0" applyAlignment="0" applyProtection="0"/>
    <xf numFmtId="0" fontId="11" fillId="8" borderId="0" applyNumberFormat="0" applyBorder="0" applyAlignment="0" applyProtection="0"/>
    <xf numFmtId="0" fontId="11" fillId="2" borderId="0" applyNumberFormat="0" applyBorder="0" applyAlignment="0" applyProtection="0"/>
    <xf numFmtId="0" fontId="12"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2" fillId="9" borderId="0" applyNumberFormat="0" applyBorder="0" applyAlignment="0" applyProtection="0"/>
    <xf numFmtId="0" fontId="12" fillId="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2" fillId="3" borderId="0" applyNumberFormat="0" applyBorder="0" applyAlignment="0" applyProtection="0"/>
    <xf numFmtId="0" fontId="11" fillId="9" borderId="0" applyNumberFormat="0" applyBorder="0" applyAlignment="0" applyProtection="0"/>
    <xf numFmtId="0" fontId="11" fillId="3" borderId="0" applyNumberFormat="0" applyBorder="0" applyAlignment="0" applyProtection="0"/>
    <xf numFmtId="0" fontId="12"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10" borderId="0" applyNumberFormat="0" applyBorder="0" applyAlignment="0" applyProtection="0"/>
    <xf numFmtId="0" fontId="12"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4" borderId="0" applyNumberFormat="0" applyBorder="0" applyAlignment="0" applyProtection="0"/>
    <xf numFmtId="0" fontId="11" fillId="10" borderId="0" applyNumberFormat="0" applyBorder="0" applyAlignment="0" applyProtection="0"/>
    <xf numFmtId="0" fontId="11" fillId="4" borderId="0" applyNumberFormat="0" applyBorder="0" applyAlignment="0" applyProtection="0"/>
    <xf numFmtId="0" fontId="12"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2" fillId="7" borderId="0" applyNumberFormat="0" applyBorder="0" applyAlignment="0" applyProtection="0"/>
    <xf numFmtId="0" fontId="12"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2" fillId="5" borderId="0" applyNumberFormat="0" applyBorder="0" applyAlignment="0" applyProtection="0"/>
    <xf numFmtId="0" fontId="11" fillId="7" borderId="0" applyNumberFormat="0" applyBorder="0" applyAlignment="0" applyProtection="0"/>
    <xf numFmtId="0" fontId="11" fillId="5" borderId="0" applyNumberFormat="0" applyBorder="0" applyAlignment="0" applyProtection="0"/>
    <xf numFmtId="0" fontId="12"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2" fillId="6" borderId="0" applyNumberFormat="0" applyBorder="0" applyAlignment="0" applyProtection="0"/>
    <xf numFmtId="0" fontId="11" fillId="6" borderId="0" applyNumberFormat="0" applyBorder="0" applyAlignment="0" applyProtection="0"/>
    <xf numFmtId="0" fontId="12"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2" fillId="10" borderId="0" applyNumberFormat="0" applyBorder="0" applyAlignment="0" applyProtection="0"/>
    <xf numFmtId="0" fontId="12"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2" fillId="7" borderId="0" applyNumberFormat="0" applyBorder="0" applyAlignment="0" applyProtection="0"/>
    <xf numFmtId="0" fontId="11" fillId="10" borderId="0" applyNumberFormat="0" applyBorder="0" applyAlignment="0" applyProtection="0"/>
    <xf numFmtId="0" fontId="11" fillId="7" borderId="0" applyNumberFormat="0" applyBorder="0" applyAlignment="0" applyProtection="0"/>
    <xf numFmtId="0" fontId="12"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2" fillId="8" borderId="0" applyNumberFormat="0" applyBorder="0" applyAlignment="0" applyProtection="0"/>
    <xf numFmtId="0" fontId="11" fillId="8" borderId="0" applyNumberFormat="0" applyBorder="0" applyAlignment="0" applyProtection="0"/>
    <xf numFmtId="0" fontId="12"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2" fillId="9" borderId="0" applyNumberFormat="0" applyBorder="0" applyAlignment="0" applyProtection="0"/>
    <xf numFmtId="0" fontId="11" fillId="9" borderId="0" applyNumberFormat="0" applyBorder="0" applyAlignment="0" applyProtection="0"/>
    <xf numFmtId="0" fontId="12" fillId="9"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2" fillId="11" borderId="0" applyNumberFormat="0" applyBorder="0" applyAlignment="0" applyProtection="0"/>
    <xf numFmtId="0" fontId="11" fillId="11" borderId="0" applyNumberFormat="0" applyBorder="0" applyAlignment="0" applyProtection="0"/>
    <xf numFmtId="0" fontId="12" fillId="11"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2" fillId="5" borderId="0" applyNumberFormat="0" applyBorder="0" applyAlignment="0" applyProtection="0"/>
    <xf numFmtId="0" fontId="11" fillId="5" borderId="0" applyNumberFormat="0" applyBorder="0" applyAlignment="0" applyProtection="0"/>
    <xf numFmtId="0" fontId="12" fillId="5"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2" fillId="8" borderId="0" applyNumberFormat="0" applyBorder="0" applyAlignment="0" applyProtection="0"/>
    <xf numFmtId="0" fontId="11" fillId="8" borderId="0" applyNumberFormat="0" applyBorder="0" applyAlignment="0" applyProtection="0"/>
    <xf numFmtId="0" fontId="12" fillId="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2" fillId="12" borderId="0" applyNumberFormat="0" applyBorder="0" applyAlignment="0" applyProtection="0"/>
    <xf numFmtId="0" fontId="11" fillId="12" borderId="0" applyNumberFormat="0" applyBorder="0" applyAlignment="0" applyProtection="0"/>
    <xf numFmtId="0" fontId="12" fillId="12"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2" fillId="6" borderId="0" applyNumberFormat="0" applyBorder="0" applyAlignment="0" applyProtection="0"/>
    <xf numFmtId="0" fontId="12"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2" fillId="8" borderId="0" applyNumberFormat="0" applyBorder="0" applyAlignment="0" applyProtection="0"/>
    <xf numFmtId="0" fontId="11" fillId="6" borderId="0" applyNumberFormat="0" applyBorder="0" applyAlignment="0" applyProtection="0"/>
    <xf numFmtId="0" fontId="11" fillId="8" borderId="0" applyNumberFormat="0" applyBorder="0" applyAlignment="0" applyProtection="0"/>
    <xf numFmtId="0" fontId="12"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2" fillId="9" borderId="0" applyNumberFormat="0" applyBorder="0" applyAlignment="0" applyProtection="0"/>
    <xf numFmtId="0" fontId="11" fillId="9" borderId="0" applyNumberFormat="0" applyBorder="0" applyAlignment="0" applyProtection="0"/>
    <xf numFmtId="0" fontId="12" fillId="9"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2" fillId="13" borderId="0" applyNumberFormat="0" applyBorder="0" applyAlignment="0" applyProtection="0"/>
    <xf numFmtId="0" fontId="12"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2" fillId="11" borderId="0" applyNumberFormat="0" applyBorder="0" applyAlignment="0" applyProtection="0"/>
    <xf numFmtId="0" fontId="11" fillId="13" borderId="0" applyNumberFormat="0" applyBorder="0" applyAlignment="0" applyProtection="0"/>
    <xf numFmtId="0" fontId="11" fillId="11" borderId="0" applyNumberFormat="0" applyBorder="0" applyAlignment="0" applyProtection="0"/>
    <xf numFmtId="0" fontId="12" fillId="11"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2" fillId="3" borderId="0" applyNumberFormat="0" applyBorder="0" applyAlignment="0" applyProtection="0"/>
    <xf numFmtId="0" fontId="12"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2" fillId="5" borderId="0" applyNumberFormat="0" applyBorder="0" applyAlignment="0" applyProtection="0"/>
    <xf numFmtId="0" fontId="11" fillId="3" borderId="0" applyNumberFormat="0" applyBorder="0" applyAlignment="0" applyProtection="0"/>
    <xf numFmtId="0" fontId="11" fillId="5" borderId="0" applyNumberFormat="0" applyBorder="0" applyAlignment="0" applyProtection="0"/>
    <xf numFmtId="0" fontId="12" fillId="5"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2" fillId="6" borderId="0" applyNumberFormat="0" applyBorder="0" applyAlignment="0" applyProtection="0"/>
    <xf numFmtId="0" fontId="12"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2" fillId="8" borderId="0" applyNumberFormat="0" applyBorder="0" applyAlignment="0" applyProtection="0"/>
    <xf numFmtId="0" fontId="11" fillId="6" borderId="0" applyNumberFormat="0" applyBorder="0" applyAlignment="0" applyProtection="0"/>
    <xf numFmtId="0" fontId="11" fillId="8" borderId="0" applyNumberFormat="0" applyBorder="0" applyAlignment="0" applyProtection="0"/>
    <xf numFmtId="0" fontId="12" fillId="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2" fillId="10" borderId="0" applyNumberFormat="0" applyBorder="0" applyAlignment="0" applyProtection="0"/>
    <xf numFmtId="0" fontId="12"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2" fillId="12" borderId="0" applyNumberFormat="0" applyBorder="0" applyAlignment="0" applyProtection="0"/>
    <xf numFmtId="0" fontId="11" fillId="10" borderId="0" applyNumberFormat="0" applyBorder="0" applyAlignment="0" applyProtection="0"/>
    <xf numFmtId="0" fontId="11" fillId="12" borderId="0" applyNumberFormat="0" applyBorder="0" applyAlignment="0" applyProtection="0"/>
    <xf numFmtId="0" fontId="12" fillId="12"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4" fillId="14" borderId="0" applyNumberFormat="0" applyBorder="0" applyAlignment="0" applyProtection="0"/>
    <xf numFmtId="0" fontId="13" fillId="14" borderId="0" applyNumberFormat="0" applyBorder="0" applyAlignment="0" applyProtection="0"/>
    <xf numFmtId="0" fontId="14" fillId="14"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4" fillId="9" borderId="0" applyNumberFormat="0" applyBorder="0" applyAlignment="0" applyProtection="0"/>
    <xf numFmtId="0" fontId="13" fillId="9" borderId="0" applyNumberFormat="0" applyBorder="0" applyAlignment="0" applyProtection="0"/>
    <xf numFmtId="0" fontId="14" fillId="9"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4" fillId="11" borderId="0" applyNumberFormat="0" applyBorder="0" applyAlignment="0" applyProtection="0"/>
    <xf numFmtId="0" fontId="13" fillId="11" borderId="0" applyNumberFormat="0" applyBorder="0" applyAlignment="0" applyProtection="0"/>
    <xf numFmtId="0" fontId="14" fillId="11"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4" fillId="16" borderId="0" applyNumberFormat="0" applyBorder="0" applyAlignment="0" applyProtection="0"/>
    <xf numFmtId="0" fontId="13" fillId="15" borderId="0" applyNumberFormat="0" applyBorder="0" applyAlignment="0" applyProtection="0"/>
    <xf numFmtId="0" fontId="14" fillId="15"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4" fillId="17" borderId="0" applyNumberFormat="0" applyBorder="0" applyAlignment="0" applyProtection="0"/>
    <xf numFmtId="0" fontId="13" fillId="17" borderId="0" applyNumberFormat="0" applyBorder="0" applyAlignment="0" applyProtection="0"/>
    <xf numFmtId="0" fontId="14" fillId="17"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4" fillId="18" borderId="0" applyNumberFormat="0" applyBorder="0" applyAlignment="0" applyProtection="0"/>
    <xf numFmtId="0" fontId="13" fillId="18" borderId="0" applyNumberFormat="0" applyBorder="0" applyAlignment="0" applyProtection="0"/>
    <xf numFmtId="0" fontId="14" fillId="18"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4" fillId="6" borderId="0" applyNumberFormat="0" applyBorder="0" applyAlignment="0" applyProtection="0"/>
    <xf numFmtId="0" fontId="14" fillId="14"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4" fillId="14" borderId="0" applyNumberFormat="0" applyBorder="0" applyAlignment="0" applyProtection="0"/>
    <xf numFmtId="0" fontId="13" fillId="6" borderId="0" applyNumberFormat="0" applyBorder="0" applyAlignment="0" applyProtection="0"/>
    <xf numFmtId="0" fontId="13" fillId="14" borderId="0" applyNumberFormat="0" applyBorder="0" applyAlignment="0" applyProtection="0"/>
    <xf numFmtId="0" fontId="14" fillId="14"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4" fillId="19" borderId="0" applyNumberFormat="0" applyBorder="0" applyAlignment="0" applyProtection="0"/>
    <xf numFmtId="0" fontId="14"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4" fillId="9" borderId="0" applyNumberFormat="0" applyBorder="0" applyAlignment="0" applyProtection="0"/>
    <xf numFmtId="0" fontId="13" fillId="19" borderId="0" applyNumberFormat="0" applyBorder="0" applyAlignment="0" applyProtection="0"/>
    <xf numFmtId="0" fontId="13" fillId="9" borderId="0" applyNumberFormat="0" applyBorder="0" applyAlignment="0" applyProtection="0"/>
    <xf numFmtId="0" fontId="14" fillId="9"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4" fillId="11" borderId="0" applyNumberFormat="0" applyBorder="0" applyAlignment="0" applyProtection="0"/>
    <xf numFmtId="0" fontId="13" fillId="12" borderId="0" applyNumberFormat="0" applyBorder="0" applyAlignment="0" applyProtection="0"/>
    <xf numFmtId="0" fontId="13" fillId="11" borderId="0" applyNumberFormat="0" applyBorder="0" applyAlignment="0" applyProtection="0"/>
    <xf numFmtId="0" fontId="14" fillId="11"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4" fillId="3" borderId="0" applyNumberFormat="0" applyBorder="0" applyAlignment="0" applyProtection="0"/>
    <xf numFmtId="0" fontId="14" fillId="15"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4" fillId="16" borderId="0" applyNumberFormat="0" applyBorder="0" applyAlignment="0" applyProtection="0"/>
    <xf numFmtId="0" fontId="13" fillId="3" borderId="0" applyNumberFormat="0" applyBorder="0" applyAlignment="0" applyProtection="0"/>
    <xf numFmtId="0" fontId="13" fillId="15" borderId="0" applyNumberFormat="0" applyBorder="0" applyAlignment="0" applyProtection="0"/>
    <xf numFmtId="0" fontId="14" fillId="15"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4" fillId="6" borderId="0" applyNumberFormat="0" applyBorder="0" applyAlignment="0" applyProtection="0"/>
    <xf numFmtId="0" fontId="14"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4" fillId="17" borderId="0" applyNumberFormat="0" applyBorder="0" applyAlignment="0" applyProtection="0"/>
    <xf numFmtId="0" fontId="13" fillId="6" borderId="0" applyNumberFormat="0" applyBorder="0" applyAlignment="0" applyProtection="0"/>
    <xf numFmtId="0" fontId="13" fillId="17" borderId="0" applyNumberFormat="0" applyBorder="0" applyAlignment="0" applyProtection="0"/>
    <xf numFmtId="0" fontId="14" fillId="17"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4" fillId="9" borderId="0" applyNumberFormat="0" applyBorder="0" applyAlignment="0" applyProtection="0"/>
    <xf numFmtId="0" fontId="14"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4" fillId="18" borderId="0" applyNumberFormat="0" applyBorder="0" applyAlignment="0" applyProtection="0"/>
    <xf numFmtId="0" fontId="13" fillId="9" borderId="0" applyNumberFormat="0" applyBorder="0" applyAlignment="0" applyProtection="0"/>
    <xf numFmtId="0" fontId="13" fillId="18" borderId="0" applyNumberFormat="0" applyBorder="0" applyAlignment="0" applyProtection="0"/>
    <xf numFmtId="0" fontId="14" fillId="18" borderId="0" applyNumberFormat="0" applyBorder="0" applyAlignment="0" applyProtection="0"/>
    <xf numFmtId="0" fontId="6" fillId="0" borderId="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4" fillId="20" borderId="0" applyNumberFormat="0" applyBorder="0" applyAlignment="0" applyProtection="0"/>
    <xf numFmtId="0" fontId="13" fillId="20" borderId="0" applyNumberFormat="0" applyBorder="0" applyAlignment="0" applyProtection="0"/>
    <xf numFmtId="0" fontId="14" fillId="20"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4"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alignment vertical="center"/>
    </xf>
    <xf numFmtId="0" fontId="13" fillId="21" borderId="0" applyNumberFormat="0" applyBorder="0" applyAlignment="0" applyProtection="0">
      <alignment vertical="center"/>
    </xf>
    <xf numFmtId="0" fontId="14" fillId="21"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4" fillId="22" borderId="0" applyNumberFormat="0" applyBorder="0" applyAlignment="0" applyProtection="0"/>
    <xf numFmtId="0" fontId="13" fillId="22" borderId="0" applyNumberFormat="0" applyBorder="0" applyAlignment="0" applyProtection="0"/>
    <xf numFmtId="0" fontId="14" fillId="2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4" fillId="16" borderId="0" applyNumberFormat="0" applyBorder="0" applyAlignment="0" applyProtection="0"/>
    <xf numFmtId="0" fontId="13" fillId="15" borderId="0" applyNumberFormat="0" applyBorder="0" applyAlignment="0" applyProtection="0"/>
    <xf numFmtId="0" fontId="14" fillId="15"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4" fillId="17" borderId="0" applyNumberFormat="0" applyBorder="0" applyAlignment="0" applyProtection="0"/>
    <xf numFmtId="0" fontId="13" fillId="17" borderId="0" applyNumberFormat="0" applyBorder="0" applyAlignment="0" applyProtection="0"/>
    <xf numFmtId="0" fontId="14" fillId="17"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4" fillId="19" borderId="0" applyNumberFormat="0" applyBorder="0" applyAlignment="0" applyProtection="0"/>
    <xf numFmtId="0" fontId="13" fillId="19" borderId="0" applyNumberFormat="0" applyBorder="0" applyAlignment="0" applyProtection="0"/>
    <xf numFmtId="0" fontId="14" fillId="19"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6" fillId="3" borderId="0" applyNumberFormat="0" applyBorder="0" applyAlignment="0" applyProtection="0"/>
    <xf numFmtId="0" fontId="15" fillId="3" borderId="0" applyNumberFormat="0" applyBorder="0" applyAlignment="0" applyProtection="0"/>
    <xf numFmtId="0" fontId="16" fillId="3" borderId="0" applyNumberFormat="0" applyBorder="0" applyAlignment="0" applyProtection="0"/>
    <xf numFmtId="0" fontId="6" fillId="10" borderId="1" applyNumberFormat="0" applyFont="0" applyAlignment="0" applyProtection="0"/>
    <xf numFmtId="0" fontId="6" fillId="10" borderId="1" applyNumberFormat="0" applyFont="0" applyAlignment="0" applyProtection="0"/>
    <xf numFmtId="0" fontId="10" fillId="10" borderId="1" applyNumberFormat="0" applyFont="0" applyAlignment="0" applyProtection="0"/>
    <xf numFmtId="0" fontId="10" fillId="10" borderId="1" applyNumberFormat="0" applyFont="0" applyAlignment="0" applyProtection="0"/>
    <xf numFmtId="0" fontId="6" fillId="10" borderId="1" applyNumberFormat="0" applyAlignment="0" applyProtection="0"/>
    <xf numFmtId="0" fontId="6" fillId="10" borderId="1" applyNumberFormat="0" applyAlignment="0" applyProtection="0"/>
    <xf numFmtId="0" fontId="10" fillId="10" borderId="1" applyNumberFormat="0" applyAlignment="0" applyProtection="0"/>
    <xf numFmtId="0" fontId="6" fillId="10" borderId="1" applyNumberFormat="0" applyFont="0" applyAlignment="0" applyProtection="0"/>
    <xf numFmtId="0" fontId="6" fillId="10" borderId="1" applyNumberFormat="0" applyFont="0" applyAlignment="0" applyProtection="0"/>
    <xf numFmtId="0" fontId="10" fillId="10" borderId="1" applyNumberFormat="0" applyFont="0" applyAlignment="0" applyProtection="0"/>
    <xf numFmtId="0" fontId="17" fillId="23" borderId="2" applyNumberFormat="0" applyAlignment="0" applyProtection="0"/>
    <xf numFmtId="0" fontId="17" fillId="23" borderId="2" applyNumberFormat="0" applyAlignment="0" applyProtection="0"/>
    <xf numFmtId="0" fontId="17" fillId="23" borderId="2" applyNumberFormat="0" applyAlignment="0" applyProtection="0"/>
    <xf numFmtId="0" fontId="18" fillId="23" borderId="2" applyNumberFormat="0" applyAlignment="0" applyProtection="0"/>
    <xf numFmtId="0" fontId="17" fillId="23" borderId="2" applyNumberFormat="0" applyAlignment="0" applyProtection="0"/>
    <xf numFmtId="0" fontId="18" fillId="23" borderId="2" applyNumberFormat="0" applyAlignment="0" applyProtection="0"/>
    <xf numFmtId="0" fontId="19" fillId="24" borderId="3" applyNumberFormat="0" applyAlignment="0" applyProtection="0"/>
    <xf numFmtId="0" fontId="19" fillId="24" borderId="3" applyNumberFormat="0" applyAlignment="0" applyProtection="0"/>
    <xf numFmtId="0" fontId="19" fillId="24" borderId="3" applyNumberFormat="0" applyAlignment="0" applyProtection="0"/>
    <xf numFmtId="0" fontId="20" fillId="24" borderId="3" applyNumberFormat="0" applyAlignment="0" applyProtection="0"/>
    <xf numFmtId="0" fontId="19" fillId="24" borderId="3" applyNumberFormat="0" applyAlignment="0" applyProtection="0"/>
    <xf numFmtId="0" fontId="20" fillId="24" borderId="3" applyNumberFormat="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9" fontId="21"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9" fontId="21" fillId="0" borderId="0" applyFill="0" applyBorder="0" applyAlignment="0" applyProtection="0"/>
    <xf numFmtId="169" fontId="21" fillId="0" borderId="0" applyFill="0" applyBorder="0" applyAlignment="0" applyProtection="0"/>
    <xf numFmtId="170" fontId="21" fillId="0" borderId="0" applyFill="0" applyBorder="0" applyAlignment="0" applyProtection="0"/>
    <xf numFmtId="171" fontId="21" fillId="0" borderId="0" applyFill="0" applyBorder="0" applyAlignment="0" applyProtection="0"/>
    <xf numFmtId="171" fontId="21" fillId="0" borderId="0" applyFill="0" applyBorder="0" applyAlignment="0" applyProtection="0"/>
    <xf numFmtId="171" fontId="21" fillId="0" borderId="0" applyFill="0" applyBorder="0" applyAlignment="0" applyProtection="0"/>
    <xf numFmtId="170" fontId="21" fillId="0" borderId="0" applyFill="0" applyBorder="0" applyAlignment="0" applyProtection="0"/>
    <xf numFmtId="170"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71" fontId="21" fillId="0" borderId="0" applyFill="0" applyBorder="0" applyAlignment="0" applyProtection="0"/>
    <xf numFmtId="171" fontId="21" fillId="0" borderId="0" applyFill="0" applyBorder="0" applyAlignment="0" applyProtection="0"/>
    <xf numFmtId="171" fontId="21" fillId="0" borderId="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170" fontId="21" fillId="0" borderId="0" applyFill="0" applyBorder="0" applyAlignment="0" applyProtection="0"/>
    <xf numFmtId="170" fontId="21" fillId="0" borderId="0" applyFill="0" applyBorder="0" applyAlignment="0" applyProtection="0"/>
    <xf numFmtId="170" fontId="21" fillId="0" borderId="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166" fontId="6" fillId="0" borderId="0" applyFont="0" applyFill="0" applyBorder="0" applyAlignment="0" applyProtection="0"/>
    <xf numFmtId="171" fontId="21" fillId="0" borderId="0" applyFill="0" applyBorder="0" applyAlignment="0" applyProtection="0"/>
    <xf numFmtId="171" fontId="21" fillId="0" borderId="0" applyFill="0" applyBorder="0" applyAlignment="0" applyProtection="0"/>
    <xf numFmtId="171" fontId="21" fillId="0" borderId="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170" fontId="6" fillId="0" borderId="0" applyFill="0" applyBorder="0" applyAlignment="0" applyProtection="0"/>
    <xf numFmtId="170" fontId="10" fillId="0" borderId="0" applyFill="0" applyBorder="0" applyAlignment="0" applyProtection="0"/>
    <xf numFmtId="170" fontId="21" fillId="0" borderId="0" applyFill="0" applyBorder="0" applyAlignment="0" applyProtection="0"/>
    <xf numFmtId="170" fontId="21" fillId="0" borderId="0" applyFill="0" applyBorder="0" applyAlignment="0" applyProtection="0"/>
    <xf numFmtId="170" fontId="21" fillId="0" borderId="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8" fontId="6" fillId="0" borderId="0" applyFill="0" applyBorder="0" applyAlignment="0" applyProtection="0"/>
    <xf numFmtId="166" fontId="6" fillId="0" borderId="0" applyFont="0" applyFill="0" applyBorder="0" applyAlignment="0" applyProtection="0"/>
    <xf numFmtId="171" fontId="6" fillId="0" borderId="0" applyFill="0" applyBorder="0" applyAlignment="0" applyProtection="0"/>
    <xf numFmtId="171" fontId="6" fillId="0" borderId="0" applyFill="0" applyBorder="0" applyAlignment="0" applyProtection="0"/>
    <xf numFmtId="171" fontId="10" fillId="0" borderId="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21" fillId="0" borderId="0" applyFill="0" applyBorder="0" applyAlignment="0" applyProtection="0"/>
    <xf numFmtId="170" fontId="6" fillId="0" borderId="0" applyFill="0" applyBorder="0" applyAlignment="0" applyProtection="0"/>
    <xf numFmtId="170" fontId="6" fillId="0" borderId="0" applyFill="0" applyBorder="0" applyAlignment="0" applyProtection="0"/>
    <xf numFmtId="170" fontId="10" fillId="0" borderId="0" applyFill="0" applyBorder="0" applyAlignment="0" applyProtection="0"/>
    <xf numFmtId="43" fontId="21" fillId="0" borderId="0" applyFill="0" applyBorder="0" applyAlignment="0" applyProtection="0"/>
    <xf numFmtId="43" fontId="21" fillId="0" borderId="0" applyFill="0" applyBorder="0" applyAlignment="0" applyProtection="0"/>
    <xf numFmtId="43" fontId="21" fillId="0" borderId="0" applyFill="0" applyBorder="0" applyAlignment="0" applyProtection="0"/>
    <xf numFmtId="168" fontId="21" fillId="0" borderId="0" applyFill="0" applyBorder="0" applyAlignment="0" applyProtection="0"/>
    <xf numFmtId="168" fontId="21" fillId="0" borderId="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68" fontId="6" fillId="0" borderId="0" applyFill="0" applyBorder="0" applyAlignment="0" applyProtection="0"/>
    <xf numFmtId="168" fontId="6" fillId="0" borderId="0" applyFill="0" applyBorder="0" applyAlignment="0" applyProtection="0"/>
    <xf numFmtId="168" fontId="10" fillId="0" borderId="0" applyFill="0" applyBorder="0" applyAlignment="0" applyProtection="0"/>
    <xf numFmtId="172" fontId="11" fillId="0" borderId="0" applyFill="0" applyBorder="0" applyProtection="0">
      <alignment horizontal="justify" wrapText="1"/>
    </xf>
    <xf numFmtId="172" fontId="11" fillId="0" borderId="0" applyFill="0" applyBorder="0" applyProtection="0">
      <alignment horizontal="justify" wrapText="1"/>
    </xf>
    <xf numFmtId="172" fontId="12" fillId="0" borderId="0" applyFill="0" applyBorder="0" applyProtection="0">
      <alignment horizontal="justify" wrapText="1"/>
    </xf>
    <xf numFmtId="0" fontId="22" fillId="0" borderId="0" applyBorder="0" applyProtection="0">
      <alignment horizontal="left" wrapText="1" indent="1"/>
    </xf>
    <xf numFmtId="0" fontId="23" fillId="4" borderId="0" applyNumberFormat="0" applyBorder="0" applyAlignment="0" applyProtection="0"/>
    <xf numFmtId="0" fontId="23" fillId="4" borderId="0" applyNumberFormat="0" applyBorder="0" applyAlignment="0" applyProtection="0"/>
    <xf numFmtId="0" fontId="24" fillId="6" borderId="0" applyNumberFormat="0" applyBorder="0" applyAlignment="0" applyProtection="0"/>
    <xf numFmtId="0" fontId="24"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4" fillId="4" borderId="0" applyNumberFormat="0" applyBorder="0" applyAlignment="0" applyProtection="0"/>
    <xf numFmtId="0" fontId="23" fillId="6" borderId="0" applyNumberFormat="0" applyBorder="0" applyAlignment="0" applyProtection="0"/>
    <xf numFmtId="0" fontId="23" fillId="4" borderId="0" applyNumberFormat="0" applyBorder="0" applyAlignment="0" applyProtection="0"/>
    <xf numFmtId="0" fontId="24" fillId="4" borderId="0" applyNumberFormat="0" applyBorder="0" applyAlignment="0" applyProtection="0"/>
    <xf numFmtId="0" fontId="6" fillId="0" borderId="0"/>
    <xf numFmtId="0" fontId="6" fillId="0" borderId="0"/>
    <xf numFmtId="0" fontId="6" fillId="0" borderId="0"/>
    <xf numFmtId="0" fontId="10" fillId="0" borderId="0"/>
    <xf numFmtId="0" fontId="6" fillId="0" borderId="0"/>
    <xf numFmtId="0" fontId="10" fillId="0" borderId="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23" fillId="4" borderId="0" applyNumberFormat="0" applyBorder="0" applyAlignment="0" applyProtection="0"/>
    <xf numFmtId="0" fontId="23" fillId="4" borderId="0" applyNumberFormat="0" applyBorder="0" applyAlignment="0" applyProtection="0"/>
    <xf numFmtId="0" fontId="24" fillId="4" borderId="0" applyNumberFormat="0" applyBorder="0" applyAlignment="0" applyProtection="0"/>
    <xf numFmtId="0" fontId="27" fillId="0" borderId="4" applyNumberFormat="0" applyFill="0" applyAlignment="0" applyProtection="0"/>
    <xf numFmtId="0" fontId="27" fillId="0" borderId="4" applyNumberFormat="0" applyFill="0" applyAlignment="0" applyProtection="0"/>
    <xf numFmtId="0" fontId="27" fillId="0" borderId="4" applyNumberFormat="0" applyFill="0" applyAlignment="0" applyProtection="0"/>
    <xf numFmtId="0" fontId="28" fillId="0" borderId="4" applyNumberFormat="0" applyFill="0" applyAlignment="0" applyProtection="0"/>
    <xf numFmtId="0" fontId="27" fillId="0" borderId="4" applyNumberFormat="0" applyFill="0" applyAlignment="0" applyProtection="0"/>
    <xf numFmtId="0" fontId="28" fillId="0" borderId="4" applyNumberFormat="0" applyFill="0" applyAlignment="0" applyProtection="0"/>
    <xf numFmtId="0" fontId="27" fillId="0" borderId="4" applyNumberFormat="0" applyFill="0" applyAlignment="0" applyProtection="0">
      <alignment vertical="center"/>
    </xf>
    <xf numFmtId="0" fontId="29" fillId="0" borderId="5" applyNumberFormat="0" applyFill="0" applyAlignment="0" applyProtection="0"/>
    <xf numFmtId="0" fontId="29" fillId="0" borderId="5" applyNumberFormat="0" applyFill="0" applyAlignment="0" applyProtection="0"/>
    <xf numFmtId="0" fontId="29" fillId="0" borderId="5" applyNumberFormat="0" applyFill="0" applyAlignment="0" applyProtection="0"/>
    <xf numFmtId="0" fontId="30" fillId="0" borderId="5" applyNumberFormat="0" applyFill="0" applyAlignment="0" applyProtection="0"/>
    <xf numFmtId="0" fontId="29" fillId="0" borderId="5"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2" fillId="0" borderId="6" applyNumberFormat="0" applyFill="0" applyAlignment="0" applyProtection="0"/>
    <xf numFmtId="0" fontId="31" fillId="0" borderId="6" applyNumberFormat="0" applyFill="0" applyAlignment="0" applyProtection="0"/>
    <xf numFmtId="0" fontId="32" fillId="0" borderId="6"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34" fillId="7" borderId="2" applyNumberFormat="0" applyAlignment="0" applyProtection="0"/>
    <xf numFmtId="0" fontId="34" fillId="7" borderId="2" applyNumberFormat="0" applyAlignment="0" applyProtection="0"/>
    <xf numFmtId="0" fontId="34" fillId="7" borderId="2" applyNumberFormat="0" applyAlignment="0" applyProtection="0"/>
    <xf numFmtId="0" fontId="35" fillId="7" borderId="2" applyNumberFormat="0" applyAlignment="0" applyProtection="0"/>
    <xf numFmtId="0" fontId="34" fillId="7" borderId="2" applyNumberFormat="0" applyAlignment="0" applyProtection="0"/>
    <xf numFmtId="0" fontId="35" fillId="7" borderId="2" applyNumberFormat="0" applyAlignment="0" applyProtection="0"/>
    <xf numFmtId="0" fontId="13" fillId="20" borderId="0" applyNumberFormat="0" applyBorder="0" applyAlignment="0" applyProtection="0"/>
    <xf numFmtId="0" fontId="13" fillId="20" borderId="0" applyNumberFormat="0" applyBorder="0" applyAlignment="0" applyProtection="0"/>
    <xf numFmtId="0" fontId="14" fillId="25" borderId="0" applyNumberFormat="0" applyBorder="0" applyAlignment="0" applyProtection="0"/>
    <xf numFmtId="0" fontId="14"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4" fillId="20" borderId="0" applyNumberFormat="0" applyBorder="0" applyAlignment="0" applyProtection="0"/>
    <xf numFmtId="0" fontId="13" fillId="25" borderId="0" applyNumberFormat="0" applyBorder="0" applyAlignment="0" applyProtection="0"/>
    <xf numFmtId="0" fontId="13" fillId="20" borderId="0" applyNumberFormat="0" applyBorder="0" applyAlignment="0" applyProtection="0"/>
    <xf numFmtId="0" fontId="14" fillId="20"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4" fillId="19" borderId="0" applyNumberFormat="0" applyBorder="0" applyAlignment="0" applyProtection="0"/>
    <xf numFmtId="0" fontId="14" fillId="21"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4" fillId="21" borderId="0" applyNumberFormat="0" applyBorder="0" applyAlignment="0" applyProtection="0"/>
    <xf numFmtId="0" fontId="13" fillId="19" borderId="0" applyNumberFormat="0" applyBorder="0" applyAlignment="0" applyProtection="0"/>
    <xf numFmtId="0" fontId="13" fillId="21" borderId="0" applyNumberFormat="0" applyBorder="0" applyAlignment="0" applyProtection="0"/>
    <xf numFmtId="0" fontId="14" fillId="21"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4" fillId="12" borderId="0" applyNumberFormat="0" applyBorder="0" applyAlignment="0" applyProtection="0"/>
    <xf numFmtId="0" fontId="14"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4" fillId="22" borderId="0" applyNumberFormat="0" applyBorder="0" applyAlignment="0" applyProtection="0"/>
    <xf numFmtId="0" fontId="13" fillId="12" borderId="0" applyNumberFormat="0" applyBorder="0" applyAlignment="0" applyProtection="0"/>
    <xf numFmtId="0" fontId="13" fillId="22" borderId="0" applyNumberFormat="0" applyBorder="0" applyAlignment="0" applyProtection="0"/>
    <xf numFmtId="0" fontId="14" fillId="22"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4" fillId="26" borderId="0" applyNumberFormat="0" applyBorder="0" applyAlignment="0" applyProtection="0"/>
    <xf numFmtId="0" fontId="14" fillId="15"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4" fillId="16" borderId="0" applyNumberFormat="0" applyBorder="0" applyAlignment="0" applyProtection="0"/>
    <xf numFmtId="0" fontId="13" fillId="26" borderId="0" applyNumberFormat="0" applyBorder="0" applyAlignment="0" applyProtection="0"/>
    <xf numFmtId="0" fontId="13" fillId="15" borderId="0" applyNumberFormat="0" applyBorder="0" applyAlignment="0" applyProtection="0"/>
    <xf numFmtId="0" fontId="14" fillId="15"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4" fillId="17" borderId="0" applyNumberFormat="0" applyBorder="0" applyAlignment="0" applyProtection="0"/>
    <xf numFmtId="0" fontId="13" fillId="17" borderId="0" applyNumberFormat="0" applyBorder="0" applyAlignment="0" applyProtection="0"/>
    <xf numFmtId="0" fontId="14" fillId="17"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4" fillId="21" borderId="0" applyNumberFormat="0" applyBorder="0" applyAlignment="0" applyProtection="0"/>
    <xf numFmtId="0" fontId="14"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4" fillId="19" borderId="0" applyNumberFormat="0" applyBorder="0" applyAlignment="0" applyProtection="0"/>
    <xf numFmtId="0" fontId="13" fillId="21" borderId="0" applyNumberFormat="0" applyBorder="0" applyAlignment="0" applyProtection="0"/>
    <xf numFmtId="0" fontId="13" fillId="19" borderId="0" applyNumberFormat="0" applyBorder="0" applyAlignment="0" applyProtection="0"/>
    <xf numFmtId="0" fontId="14" fillId="19" borderId="0" applyNumberFormat="0" applyBorder="0" applyAlignment="0" applyProtection="0"/>
    <xf numFmtId="0" fontId="36" fillId="23" borderId="7" applyNumberFormat="0" applyAlignment="0" applyProtection="0"/>
    <xf numFmtId="0" fontId="36" fillId="23" borderId="7" applyNumberFormat="0" applyAlignment="0" applyProtection="0"/>
    <xf numFmtId="0" fontId="37" fillId="27" borderId="7" applyNumberFormat="0" applyAlignment="0" applyProtection="0"/>
    <xf numFmtId="0" fontId="37" fillId="23" borderId="7" applyNumberFormat="0" applyAlignment="0" applyProtection="0"/>
    <xf numFmtId="0" fontId="36" fillId="23" borderId="7" applyNumberFormat="0" applyAlignment="0" applyProtection="0"/>
    <xf numFmtId="0" fontId="36" fillId="23" borderId="7" applyNumberFormat="0" applyAlignment="0" applyProtection="0"/>
    <xf numFmtId="0" fontId="37" fillId="23" borderId="7" applyNumberFormat="0" applyAlignment="0" applyProtection="0"/>
    <xf numFmtId="0" fontId="36" fillId="27" borderId="7" applyNumberFormat="0" applyAlignment="0" applyProtection="0"/>
    <xf numFmtId="0" fontId="36" fillId="23" borderId="7" applyNumberFormat="0" applyAlignment="0" applyProtection="0"/>
    <xf numFmtId="0" fontId="37" fillId="23" borderId="7" applyNumberFormat="0" applyAlignment="0" applyProtection="0"/>
    <xf numFmtId="0" fontId="17" fillId="23" borderId="2" applyNumberFormat="0" applyAlignment="0" applyProtection="0"/>
    <xf numFmtId="0" fontId="17" fillId="23" borderId="2" applyNumberFormat="0" applyAlignment="0" applyProtection="0"/>
    <xf numFmtId="0" fontId="38" fillId="27" borderId="2" applyNumberFormat="0" applyAlignment="0" applyProtection="0"/>
    <xf numFmtId="0" fontId="18" fillId="23" borderId="2" applyNumberFormat="0" applyAlignment="0" applyProtection="0"/>
    <xf numFmtId="0" fontId="17" fillId="23" borderId="2" applyNumberFormat="0" applyAlignment="0" applyProtection="0"/>
    <xf numFmtId="0" fontId="17" fillId="23" borderId="2" applyNumberFormat="0" applyAlignment="0" applyProtection="0"/>
    <xf numFmtId="0" fontId="18" fillId="23" borderId="2" applyNumberFormat="0" applyAlignment="0" applyProtection="0"/>
    <xf numFmtId="0" fontId="39" fillId="27" borderId="2" applyNumberFormat="0" applyAlignment="0" applyProtection="0"/>
    <xf numFmtId="0" fontId="17" fillId="23" borderId="2" applyNumberFormat="0" applyAlignment="0" applyProtection="0"/>
    <xf numFmtId="0" fontId="18" fillId="23" borderId="2" applyNumberFormat="0" applyAlignment="0" applyProtection="0"/>
    <xf numFmtId="0" fontId="40" fillId="0" borderId="8" applyNumberFormat="0" applyFill="0" applyAlignment="0" applyProtection="0"/>
    <xf numFmtId="0" fontId="40" fillId="0" borderId="8" applyNumberFormat="0" applyFill="0" applyAlignment="0" applyProtection="0"/>
    <xf numFmtId="0" fontId="40" fillId="0" borderId="8" applyNumberFormat="0" applyFill="0" applyAlignment="0" applyProtection="0"/>
    <xf numFmtId="0" fontId="41" fillId="0" borderId="8" applyNumberFormat="0" applyFill="0" applyAlignment="0" applyProtection="0"/>
    <xf numFmtId="0" fontId="40" fillId="0" borderId="8" applyNumberFormat="0" applyFill="0" applyAlignment="0" applyProtection="0"/>
    <xf numFmtId="0" fontId="41" fillId="0" borderId="8" applyNumberFormat="0" applyFill="0" applyAlignment="0" applyProtection="0"/>
    <xf numFmtId="0" fontId="15" fillId="3" borderId="0" applyNumberFormat="0" applyBorder="0" applyAlignment="0" applyProtection="0"/>
    <xf numFmtId="0" fontId="15" fillId="3" borderId="0" applyNumberFormat="0" applyBorder="0" applyAlignment="0" applyProtection="0"/>
    <xf numFmtId="0" fontId="16" fillId="5" borderId="0" applyNumberFormat="0" applyBorder="0" applyAlignment="0" applyProtection="0"/>
    <xf numFmtId="0" fontId="16"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6" fillId="3" borderId="0" applyNumberFormat="0" applyBorder="0" applyAlignment="0" applyProtection="0"/>
    <xf numFmtId="0" fontId="15" fillId="5" borderId="0" applyNumberFormat="0" applyBorder="0" applyAlignment="0" applyProtection="0"/>
    <xf numFmtId="0" fontId="15" fillId="3" borderId="0" applyNumberFormat="0" applyBorder="0" applyAlignment="0" applyProtection="0"/>
    <xf numFmtId="0" fontId="16" fillId="3" borderId="0" applyNumberFormat="0" applyBorder="0" applyAlignment="0" applyProtection="0"/>
    <xf numFmtId="0" fontId="10" fillId="0" borderId="0">
      <alignment horizontal="justify" vertical="top" wrapText="1"/>
    </xf>
    <xf numFmtId="0" fontId="27" fillId="0" borderId="4" applyNumberFormat="0" applyFill="0" applyAlignment="0" applyProtection="0"/>
    <xf numFmtId="0" fontId="27" fillId="0" borderId="4" applyNumberFormat="0" applyFill="0" applyAlignment="0" applyProtection="0"/>
    <xf numFmtId="0" fontId="42" fillId="0" borderId="9" applyNumberFormat="0" applyFill="0" applyAlignment="0" applyProtection="0"/>
    <xf numFmtId="0" fontId="28" fillId="0" borderId="4" applyNumberFormat="0" applyFill="0" applyAlignment="0" applyProtection="0"/>
    <xf numFmtId="0" fontId="43" fillId="0" borderId="9" applyNumberFormat="0" applyFill="0" applyAlignment="0" applyProtection="0"/>
    <xf numFmtId="0" fontId="27" fillId="0" borderId="4" applyNumberFormat="0" applyFill="0" applyAlignment="0" applyProtection="0"/>
    <xf numFmtId="0" fontId="28" fillId="0" borderId="4" applyNumberFormat="0" applyFill="0" applyAlignment="0" applyProtection="0"/>
    <xf numFmtId="0" fontId="29" fillId="0" borderId="5" applyNumberFormat="0" applyFill="0" applyAlignment="0" applyProtection="0"/>
    <xf numFmtId="0" fontId="29" fillId="0" borderId="5" applyNumberFormat="0" applyFill="0" applyAlignment="0" applyProtection="0"/>
    <xf numFmtId="0" fontId="44" fillId="0" borderId="10" applyNumberFormat="0" applyFill="0" applyAlignment="0" applyProtection="0"/>
    <xf numFmtId="0" fontId="30" fillId="0" borderId="5" applyNumberFormat="0" applyFill="0" applyAlignment="0" applyProtection="0"/>
    <xf numFmtId="0" fontId="45" fillId="0" borderId="10" applyNumberFormat="0" applyFill="0" applyAlignment="0" applyProtection="0"/>
    <xf numFmtId="0" fontId="29" fillId="0" borderId="5"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46" fillId="0" borderId="11" applyNumberFormat="0" applyFill="0" applyAlignment="0" applyProtection="0"/>
    <xf numFmtId="0" fontId="32" fillId="0" borderId="6" applyNumberFormat="0" applyFill="0" applyAlignment="0" applyProtection="0"/>
    <xf numFmtId="0" fontId="47" fillId="0" borderId="11" applyNumberFormat="0" applyFill="0" applyAlignment="0" applyProtection="0"/>
    <xf numFmtId="0" fontId="31" fillId="0" borderId="6" applyNumberFormat="0" applyFill="0" applyAlignment="0" applyProtection="0"/>
    <xf numFmtId="0" fontId="32" fillId="0" borderId="6"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46" fillId="0" borderId="0" applyNumberFormat="0" applyFill="0" applyBorder="0" applyAlignment="0" applyProtection="0"/>
    <xf numFmtId="0" fontId="32" fillId="0" borderId="0" applyNumberFormat="0" applyFill="0" applyBorder="0" applyAlignment="0" applyProtection="0"/>
    <xf numFmtId="0" fontId="47"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48" fillId="0" borderId="0" applyNumberFormat="0" applyFill="0" applyBorder="0" applyAlignment="0" applyProtection="0"/>
    <xf numFmtId="0" fontId="50" fillId="0" borderId="0" applyNumberFormat="0" applyFill="0" applyBorder="0" applyAlignment="0" applyProtection="0"/>
    <xf numFmtId="0" fontId="52" fillId="0" borderId="0"/>
    <xf numFmtId="0" fontId="53" fillId="13" borderId="0" applyNumberFormat="0" applyBorder="0" applyAlignment="0" applyProtection="0"/>
    <xf numFmtId="0" fontId="53" fillId="13" borderId="0" applyNumberFormat="0" applyBorder="0" applyAlignment="0" applyProtection="0"/>
    <xf numFmtId="0" fontId="53" fillId="13" borderId="0" applyNumberFormat="0" applyBorder="0" applyAlignment="0" applyProtection="0"/>
    <xf numFmtId="0" fontId="54" fillId="13" borderId="0" applyNumberFormat="0" applyBorder="0" applyAlignment="0" applyProtection="0"/>
    <xf numFmtId="0" fontId="53" fillId="13" borderId="0" applyNumberFormat="0" applyBorder="0" applyAlignment="0" applyProtection="0"/>
    <xf numFmtId="0" fontId="54" fillId="13" borderId="0" applyNumberFormat="0" applyBorder="0" applyAlignment="0" applyProtection="0"/>
    <xf numFmtId="0" fontId="53" fillId="13" borderId="0" applyNumberFormat="0" applyBorder="0" applyAlignment="0" applyProtection="0"/>
    <xf numFmtId="0" fontId="53" fillId="13" borderId="0" applyNumberFormat="0" applyBorder="0" applyAlignment="0" applyProtection="0"/>
    <xf numFmtId="0" fontId="55" fillId="13" borderId="0" applyNumberFormat="0" applyBorder="0" applyAlignment="0" applyProtection="0"/>
    <xf numFmtId="0" fontId="54" fillId="13" borderId="0" applyNumberFormat="0" applyBorder="0" applyAlignment="0" applyProtection="0"/>
    <xf numFmtId="0" fontId="53" fillId="13" borderId="0" applyNumberFormat="0" applyBorder="0" applyAlignment="0" applyProtection="0"/>
    <xf numFmtId="0" fontId="53" fillId="13" borderId="0" applyNumberFormat="0" applyBorder="0" applyAlignment="0" applyProtection="0"/>
    <xf numFmtId="0" fontId="54" fillId="13" borderId="0" applyNumberFormat="0" applyBorder="0" applyAlignment="0" applyProtection="0"/>
    <xf numFmtId="0" fontId="56" fillId="13" borderId="0" applyNumberFormat="0" applyBorder="0" applyAlignment="0" applyProtection="0"/>
    <xf numFmtId="0" fontId="53" fillId="13" borderId="0" applyNumberFormat="0" applyBorder="0" applyAlignment="0" applyProtection="0"/>
    <xf numFmtId="0" fontId="54" fillId="13" borderId="0" applyNumberFormat="0" applyBorder="0" applyAlignment="0" applyProtection="0"/>
    <xf numFmtId="0" fontId="10" fillId="0" borderId="0"/>
    <xf numFmtId="0" fontId="6" fillId="0" borderId="0"/>
    <xf numFmtId="0" fontId="6" fillId="0" borderId="0"/>
    <xf numFmtId="0" fontId="10" fillId="0" borderId="0"/>
    <xf numFmtId="0" fontId="11" fillId="0" borderId="0">
      <alignment vertical="center"/>
    </xf>
    <xf numFmtId="0" fontId="10" fillId="0" borderId="0"/>
    <xf numFmtId="0" fontId="6" fillId="0" borderId="0"/>
    <xf numFmtId="0" fontId="57" fillId="0" borderId="0"/>
    <xf numFmtId="0" fontId="57" fillId="0" borderId="0"/>
    <xf numFmtId="0" fontId="6" fillId="0" borderId="0"/>
    <xf numFmtId="0" fontId="10" fillId="0" borderId="0"/>
    <xf numFmtId="0" fontId="6" fillId="0" borderId="0"/>
    <xf numFmtId="0" fontId="10" fillId="0" borderId="0"/>
    <xf numFmtId="0" fontId="58" fillId="0" borderId="0"/>
    <xf numFmtId="0" fontId="58" fillId="0" borderId="0"/>
    <xf numFmtId="0" fontId="58" fillId="0" borderId="0"/>
    <xf numFmtId="0" fontId="59" fillId="0" borderId="0"/>
    <xf numFmtId="0" fontId="58" fillId="0" borderId="0"/>
    <xf numFmtId="0" fontId="58" fillId="0" borderId="0"/>
    <xf numFmtId="0" fontId="59" fillId="0" borderId="0"/>
    <xf numFmtId="0" fontId="58" fillId="0" borderId="0"/>
    <xf numFmtId="0" fontId="59" fillId="0" borderId="0"/>
    <xf numFmtId="0" fontId="58" fillId="0" borderId="0"/>
    <xf numFmtId="0" fontId="58" fillId="0" borderId="0"/>
    <xf numFmtId="0" fontId="59" fillId="0" borderId="0"/>
    <xf numFmtId="0" fontId="22" fillId="0" borderId="0">
      <alignment horizontal="justify" wrapText="1"/>
    </xf>
    <xf numFmtId="0" fontId="6" fillId="0" borderId="0">
      <alignment vertical="center"/>
    </xf>
    <xf numFmtId="0" fontId="11" fillId="0" borderId="0"/>
    <xf numFmtId="0" fontId="11" fillId="0" borderId="0"/>
    <xf numFmtId="0" fontId="6" fillId="0" borderId="0"/>
    <xf numFmtId="0" fontId="6" fillId="0" borderId="0"/>
    <xf numFmtId="0" fontId="12" fillId="0" borderId="0"/>
    <xf numFmtId="0" fontId="12" fillId="0" borderId="0"/>
    <xf numFmtId="0" fontId="10" fillId="0" borderId="0"/>
    <xf numFmtId="0" fontId="11" fillId="0" borderId="0"/>
    <xf numFmtId="0" fontId="12" fillId="0" borderId="0"/>
    <xf numFmtId="0" fontId="6" fillId="0" borderId="0"/>
    <xf numFmtId="0" fontId="6" fillId="0" borderId="0"/>
    <xf numFmtId="0" fontId="10" fillId="0" borderId="0"/>
    <xf numFmtId="0" fontId="11" fillId="0" borderId="0"/>
    <xf numFmtId="0" fontId="60" fillId="0" borderId="0"/>
    <xf numFmtId="0" fontId="12" fillId="0" borderId="0"/>
    <xf numFmtId="0" fontId="6" fillId="0" borderId="0"/>
    <xf numFmtId="0" fontId="6" fillId="0" borderId="0"/>
    <xf numFmtId="0" fontId="10" fillId="0" borderId="0"/>
    <xf numFmtId="0" fontId="11" fillId="0" borderId="0"/>
    <xf numFmtId="0" fontId="6" fillId="0" borderId="0"/>
    <xf numFmtId="0" fontId="6" fillId="0" borderId="0"/>
    <xf numFmtId="0" fontId="10" fillId="0" borderId="0"/>
    <xf numFmtId="0" fontId="11" fillId="0" borderId="0"/>
    <xf numFmtId="0" fontId="12" fillId="0" borderId="0"/>
    <xf numFmtId="0" fontId="6" fillId="0" borderId="0"/>
    <xf numFmtId="0" fontId="10" fillId="0" borderId="0"/>
    <xf numFmtId="0" fontId="61" fillId="0" borderId="0"/>
    <xf numFmtId="0" fontId="61" fillId="0" borderId="0"/>
    <xf numFmtId="0" fontId="62" fillId="0" borderId="0"/>
    <xf numFmtId="0" fontId="6" fillId="0" borderId="0" applyNumberFormat="0"/>
    <xf numFmtId="0" fontId="22" fillId="0" borderId="0">
      <alignment horizontal="justify" wrapText="1"/>
    </xf>
    <xf numFmtId="0" fontId="63" fillId="0" borderId="0">
      <alignment horizontal="justify" wrapText="1"/>
    </xf>
    <xf numFmtId="0" fontId="6" fillId="0" borderId="0"/>
    <xf numFmtId="0" fontId="58" fillId="0" borderId="0"/>
    <xf numFmtId="0" fontId="58" fillId="0" borderId="0"/>
    <xf numFmtId="0" fontId="58" fillId="0" borderId="0"/>
    <xf numFmtId="0" fontId="59" fillId="0" borderId="0"/>
    <xf numFmtId="0" fontId="58" fillId="0" borderId="0"/>
    <xf numFmtId="0" fontId="58" fillId="0" borderId="0"/>
    <xf numFmtId="0" fontId="59" fillId="0" borderId="0"/>
    <xf numFmtId="0" fontId="58" fillId="0" borderId="0"/>
    <xf numFmtId="0" fontId="59"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22" fillId="0" borderId="0">
      <alignment horizontal="justify" vertical="top" wrapText="1"/>
    </xf>
    <xf numFmtId="0" fontId="6" fillId="0" borderId="0"/>
    <xf numFmtId="0" fontId="6" fillId="0" borderId="0"/>
    <xf numFmtId="0" fontId="10" fillId="0" borderId="0"/>
    <xf numFmtId="0" fontId="10" fillId="0" borderId="0"/>
    <xf numFmtId="0" fontId="11" fillId="0" borderId="0"/>
    <xf numFmtId="0" fontId="11" fillId="0" borderId="0"/>
    <xf numFmtId="0" fontId="12" fillId="0" borderId="0"/>
    <xf numFmtId="0" fontId="22" fillId="0" borderId="0">
      <alignment horizontal="justify" vertical="top" wrapText="1"/>
    </xf>
    <xf numFmtId="0" fontId="63" fillId="0" borderId="0">
      <alignment horizontal="justify" vertical="top" wrapText="1"/>
    </xf>
    <xf numFmtId="0" fontId="11" fillId="0" borderId="0"/>
    <xf numFmtId="0" fontId="11" fillId="0" borderId="0"/>
    <xf numFmtId="0" fontId="12" fillId="0" borderId="0"/>
    <xf numFmtId="0" fontId="6" fillId="0" borderId="0"/>
    <xf numFmtId="0" fontId="6" fillId="0" borderId="0"/>
    <xf numFmtId="0" fontId="6" fillId="0" borderId="0"/>
    <xf numFmtId="0" fontId="10"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11" fillId="0" borderId="0"/>
    <xf numFmtId="0" fontId="64" fillId="0" borderId="0"/>
    <xf numFmtId="0" fontId="6" fillId="0" borderId="0"/>
    <xf numFmtId="0" fontId="10" fillId="0" borderId="0"/>
    <xf numFmtId="0" fontId="11" fillId="0" borderId="0"/>
    <xf numFmtId="0" fontId="11" fillId="0" borderId="0"/>
    <xf numFmtId="0" fontId="12" fillId="0" borderId="0"/>
    <xf numFmtId="0" fontId="11" fillId="0" borderId="0"/>
    <xf numFmtId="0" fontId="11" fillId="0" borderId="0"/>
    <xf numFmtId="0" fontId="11" fillId="0" borderId="0"/>
    <xf numFmtId="0" fontId="11" fillId="0" borderId="0"/>
    <xf numFmtId="0" fontId="12" fillId="0" borderId="0"/>
    <xf numFmtId="0" fontId="11" fillId="0" borderId="0"/>
    <xf numFmtId="0" fontId="12" fillId="0" borderId="0"/>
    <xf numFmtId="0" fontId="11" fillId="0" borderId="0"/>
    <xf numFmtId="0" fontId="11" fillId="0" borderId="0"/>
    <xf numFmtId="0" fontId="12" fillId="0" borderId="0"/>
    <xf numFmtId="0" fontId="6" fillId="0" borderId="0"/>
    <xf numFmtId="0" fontId="6" fillId="0" borderId="0"/>
    <xf numFmtId="0" fontId="10" fillId="0" borderId="0"/>
    <xf numFmtId="0" fontId="65" fillId="0" borderId="0"/>
    <xf numFmtId="0" fontId="11" fillId="0" borderId="0"/>
    <xf numFmtId="0" fontId="12" fillId="0" borderId="0"/>
    <xf numFmtId="0" fontId="6" fillId="0" borderId="0">
      <alignment vertical="center"/>
    </xf>
    <xf numFmtId="0" fontId="11" fillId="0" borderId="0"/>
    <xf numFmtId="0" fontId="11" fillId="0" borderId="0"/>
    <xf numFmtId="0" fontId="12"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11" fillId="0" borderId="0"/>
    <xf numFmtId="0" fontId="11" fillId="0" borderId="0"/>
    <xf numFmtId="0" fontId="12" fillId="0" borderId="0"/>
    <xf numFmtId="0" fontId="58" fillId="0" borderId="0"/>
    <xf numFmtId="0" fontId="58" fillId="0" borderId="0"/>
    <xf numFmtId="0" fontId="59" fillId="0" borderId="0"/>
    <xf numFmtId="0" fontId="6" fillId="0" borderId="0">
      <alignment vertical="center"/>
    </xf>
    <xf numFmtId="0" fontId="6" fillId="0" borderId="0"/>
    <xf numFmtId="4" fontId="6" fillId="0" borderId="0">
      <alignment horizontal="centerContinuous" vertical="justify"/>
    </xf>
    <xf numFmtId="4" fontId="6" fillId="0" borderId="0">
      <alignment horizontal="justify" vertical="justify"/>
    </xf>
    <xf numFmtId="0" fontId="60" fillId="0" borderId="0"/>
    <xf numFmtId="0" fontId="60" fillId="0" borderId="0"/>
    <xf numFmtId="0" fontId="60" fillId="0" borderId="0"/>
    <xf numFmtId="0" fontId="60" fillId="0" borderId="0"/>
    <xf numFmtId="43" fontId="60" fillId="0" borderId="0" applyFill="0" applyBorder="0" applyAlignment="0" applyProtection="0"/>
    <xf numFmtId="0" fontId="10" fillId="0" borderId="0"/>
    <xf numFmtId="0" fontId="66" fillId="0" borderId="0"/>
    <xf numFmtId="0" fontId="60" fillId="0" borderId="0"/>
    <xf numFmtId="0" fontId="10" fillId="0" borderId="0"/>
    <xf numFmtId="0" fontId="80" fillId="0" borderId="0"/>
    <xf numFmtId="0" fontId="1" fillId="0" borderId="0"/>
    <xf numFmtId="0" fontId="6" fillId="0" borderId="0"/>
    <xf numFmtId="0" fontId="6" fillId="0" borderId="0"/>
    <xf numFmtId="0" fontId="10" fillId="0" borderId="0"/>
    <xf numFmtId="0" fontId="10" fillId="0" borderId="0"/>
    <xf numFmtId="0" fontId="6" fillId="0" borderId="0"/>
    <xf numFmtId="0" fontId="6" fillId="0" borderId="0"/>
    <xf numFmtId="0" fontId="10" fillId="0" borderId="0"/>
    <xf numFmtId="0" fontId="10" fillId="0" borderId="0"/>
    <xf numFmtId="0" fontId="6" fillId="0" borderId="0"/>
    <xf numFmtId="0" fontId="10"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11" fillId="0" borderId="0"/>
    <xf numFmtId="0" fontId="11" fillId="0" borderId="0"/>
    <xf numFmtId="0" fontId="12" fillId="0" borderId="0"/>
    <xf numFmtId="0" fontId="6" fillId="0" borderId="0"/>
    <xf numFmtId="0" fontId="10" fillId="0" borderId="0"/>
    <xf numFmtId="0" fontId="11" fillId="0" borderId="0"/>
    <xf numFmtId="0" fontId="10" fillId="0" borderId="0"/>
    <xf numFmtId="0" fontId="11" fillId="0" borderId="0"/>
    <xf numFmtId="0" fontId="11" fillId="0" borderId="0"/>
    <xf numFmtId="0" fontId="11" fillId="0" borderId="0"/>
    <xf numFmtId="0" fontId="12" fillId="0" borderId="0"/>
    <xf numFmtId="0" fontId="12" fillId="0" borderId="0"/>
    <xf numFmtId="0" fontId="12" fillId="0" borderId="0"/>
    <xf numFmtId="0" fontId="12" fillId="0" borderId="0"/>
    <xf numFmtId="0" fontId="12" fillId="0" borderId="0"/>
    <xf numFmtId="0" fontId="61" fillId="0" borderId="0"/>
    <xf numFmtId="0" fontId="61" fillId="0" borderId="0"/>
    <xf numFmtId="43" fontId="60" fillId="0" borderId="0" applyFill="0" applyBorder="0" applyAlignment="0" applyProtection="0"/>
    <xf numFmtId="0" fontId="12" fillId="0" borderId="0"/>
    <xf numFmtId="0" fontId="12" fillId="0" borderId="0"/>
    <xf numFmtId="43" fontId="60" fillId="0" borderId="0" applyFill="0" applyBorder="0" applyAlignment="0" applyProtection="0"/>
    <xf numFmtId="0" fontId="62" fillId="0" borderId="0"/>
    <xf numFmtId="0" fontId="6" fillId="0" borderId="0"/>
    <xf numFmtId="0" fontId="10" fillId="0" borderId="0"/>
    <xf numFmtId="0" fontId="11" fillId="0" borderId="0"/>
    <xf numFmtId="0" fontId="10" fillId="0" borderId="0"/>
    <xf numFmtId="0" fontId="10" fillId="0" borderId="0"/>
    <xf numFmtId="0" fontId="60" fillId="0" borderId="0"/>
    <xf numFmtId="0" fontId="59" fillId="0" borderId="0"/>
    <xf numFmtId="0" fontId="12" fillId="0" borderId="0"/>
    <xf numFmtId="0" fontId="11" fillId="0" borderId="0"/>
    <xf numFmtId="0" fontId="11" fillId="0" borderId="0"/>
    <xf numFmtId="0" fontId="10" fillId="0" borderId="0"/>
    <xf numFmtId="0" fontId="60" fillId="0" borderId="0"/>
    <xf numFmtId="0" fontId="10" fillId="0" borderId="0"/>
    <xf numFmtId="0" fontId="12" fillId="0" borderId="0"/>
    <xf numFmtId="0" fontId="12" fillId="0" borderId="0"/>
    <xf numFmtId="0" fontId="65" fillId="0" borderId="0"/>
    <xf numFmtId="0" fontId="10" fillId="0" borderId="0"/>
    <xf numFmtId="0" fontId="60" fillId="0" borderId="0"/>
    <xf numFmtId="0" fontId="10" fillId="0" borderId="0"/>
    <xf numFmtId="0" fontId="11" fillId="0" borderId="0">
      <alignment vertical="center"/>
    </xf>
    <xf numFmtId="0" fontId="60" fillId="0" borderId="0"/>
    <xf numFmtId="0" fontId="10" fillId="0" borderId="0"/>
    <xf numFmtId="0" fontId="60" fillId="0" borderId="0"/>
    <xf numFmtId="0" fontId="60" fillId="0" borderId="0"/>
    <xf numFmtId="0" fontId="6" fillId="10" borderId="1" applyNumberFormat="0" applyAlignment="0" applyProtection="0"/>
    <xf numFmtId="0" fontId="6" fillId="10" borderId="1" applyNumberFormat="0" applyAlignment="0" applyProtection="0"/>
    <xf numFmtId="0" fontId="10" fillId="10" borderId="1" applyNumberFormat="0" applyAlignment="0" applyProtection="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1" fillId="0" borderId="0"/>
    <xf numFmtId="0" fontId="61" fillId="0" borderId="0"/>
    <xf numFmtId="0" fontId="62"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11" fillId="0" borderId="0"/>
    <xf numFmtId="0" fontId="11" fillId="0" borderId="0"/>
    <xf numFmtId="0" fontId="12"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6" fillId="0" borderId="0"/>
    <xf numFmtId="0" fontId="6" fillId="0" borderId="0"/>
    <xf numFmtId="0" fontId="6" fillId="0" borderId="0"/>
    <xf numFmtId="0" fontId="10" fillId="0" borderId="0"/>
    <xf numFmtId="0" fontId="6" fillId="0" borderId="0"/>
    <xf numFmtId="0" fontId="5" fillId="0" borderId="0"/>
    <xf numFmtId="0" fontId="5" fillId="0" borderId="0"/>
    <xf numFmtId="0" fontId="5" fillId="0" borderId="0"/>
    <xf numFmtId="0" fontId="66"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6" fillId="0" borderId="0"/>
    <xf numFmtId="0" fontId="6"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6" fillId="23" borderId="7" applyNumberFormat="0" applyAlignment="0" applyProtection="0"/>
    <xf numFmtId="0" fontId="36" fillId="23" borderId="7" applyNumberFormat="0" applyAlignment="0" applyProtection="0"/>
    <xf numFmtId="0" fontId="37" fillId="23" borderId="7" applyNumberFormat="0" applyAlignment="0" applyProtection="0"/>
    <xf numFmtId="9" fontId="6" fillId="0" borderId="0" applyFont="0" applyFill="0" applyBorder="0" applyAlignment="0" applyProtection="0"/>
    <xf numFmtId="9" fontId="1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0" fillId="0" borderId="8" applyNumberFormat="0" applyFill="0" applyAlignment="0" applyProtection="0"/>
    <xf numFmtId="0" fontId="40" fillId="0" borderId="8" applyNumberFormat="0" applyFill="0" applyAlignment="0" applyProtection="0"/>
    <xf numFmtId="0" fontId="67" fillId="0" borderId="12" applyNumberFormat="0" applyFill="0" applyAlignment="0" applyProtection="0"/>
    <xf numFmtId="0" fontId="41" fillId="0" borderId="8" applyNumberFormat="0" applyFill="0" applyAlignment="0" applyProtection="0"/>
    <xf numFmtId="0" fontId="68" fillId="0" borderId="12" applyNumberFormat="0" applyFill="0" applyAlignment="0" applyProtection="0"/>
    <xf numFmtId="0" fontId="40" fillId="0" borderId="8" applyNumberFormat="0" applyFill="0" applyAlignment="0" applyProtection="0"/>
    <xf numFmtId="0" fontId="41" fillId="0" borderId="8" applyNumberFormat="0" applyFill="0" applyAlignment="0" applyProtection="0"/>
    <xf numFmtId="0" fontId="19" fillId="24" borderId="3" applyNumberFormat="0" applyAlignment="0" applyProtection="0"/>
    <xf numFmtId="0" fontId="19" fillId="24" borderId="3" applyNumberFormat="0" applyAlignment="0" applyProtection="0"/>
    <xf numFmtId="0" fontId="20" fillId="24" borderId="3" applyNumberFormat="0" applyAlignment="0" applyProtection="0"/>
    <xf numFmtId="0" fontId="20" fillId="24" borderId="3" applyNumberFormat="0" applyAlignment="0" applyProtection="0"/>
    <xf numFmtId="0" fontId="19" fillId="24" borderId="3" applyNumberFormat="0" applyAlignment="0" applyProtection="0"/>
    <xf numFmtId="0" fontId="19" fillId="24" borderId="3" applyNumberFormat="0" applyAlignment="0" applyProtection="0"/>
    <xf numFmtId="0" fontId="20" fillId="24" borderId="3" applyNumberFormat="0" applyAlignment="0" applyProtection="0"/>
    <xf numFmtId="0" fontId="19" fillId="24" borderId="3" applyNumberFormat="0" applyAlignment="0" applyProtection="0"/>
    <xf numFmtId="0" fontId="20" fillId="24" borderId="3" applyNumberFormat="0" applyAlignment="0" applyProtection="0"/>
    <xf numFmtId="0" fontId="69" fillId="0" borderId="0"/>
    <xf numFmtId="0" fontId="69" fillId="0" borderId="0"/>
    <xf numFmtId="0" fontId="70" fillId="0" borderId="0"/>
    <xf numFmtId="0" fontId="70" fillId="0" borderId="0"/>
    <xf numFmtId="0" fontId="70" fillId="0" borderId="0"/>
    <xf numFmtId="0" fontId="6" fillId="0" borderId="0"/>
    <xf numFmtId="0" fontId="6" fillId="0" borderId="0"/>
    <xf numFmtId="0" fontId="6" fillId="0" borderId="0"/>
    <xf numFmtId="0" fontId="10" fillId="0" borderId="0"/>
    <xf numFmtId="0" fontId="6" fillId="0" borderId="0"/>
    <xf numFmtId="0" fontId="10" fillId="0" borderId="0"/>
    <xf numFmtId="0" fontId="6" fillId="0" borderId="0"/>
    <xf numFmtId="0" fontId="6" fillId="0" borderId="0"/>
    <xf numFmtId="0" fontId="10" fillId="0" borderId="0"/>
    <xf numFmtId="0" fontId="70" fillId="0" borderId="0"/>
    <xf numFmtId="0" fontId="70" fillId="0" borderId="0"/>
    <xf numFmtId="0" fontId="6" fillId="0" borderId="0"/>
    <xf numFmtId="0" fontId="10" fillId="0" borderId="0"/>
    <xf numFmtId="0" fontId="70" fillId="0" borderId="0"/>
    <xf numFmtId="0" fontId="6" fillId="0" borderId="0"/>
    <xf numFmtId="170" fontId="6" fillId="0" borderId="0"/>
    <xf numFmtId="0" fontId="6" fillId="0" borderId="0"/>
    <xf numFmtId="0" fontId="6" fillId="0" borderId="0"/>
    <xf numFmtId="0" fontId="10" fillId="0" borderId="0"/>
    <xf numFmtId="170" fontId="6" fillId="0" borderId="0"/>
    <xf numFmtId="170" fontId="10" fillId="0" borderId="0"/>
    <xf numFmtId="0" fontId="6" fillId="0" borderId="0"/>
    <xf numFmtId="0" fontId="10" fillId="0" borderId="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7"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50" fillId="0" borderId="0" applyNumberFormat="0" applyFill="0" applyBorder="0" applyAlignment="0" applyProtection="0"/>
    <xf numFmtId="0" fontId="71" fillId="0" borderId="13" applyNumberFormat="0" applyFill="0" applyAlignment="0" applyProtection="0"/>
    <xf numFmtId="0" fontId="71" fillId="0" borderId="13" applyNumberFormat="0" applyFill="0" applyAlignment="0" applyProtection="0"/>
    <xf numFmtId="0" fontId="71" fillId="0" borderId="13" applyNumberFormat="0" applyFill="0" applyAlignment="0" applyProtection="0"/>
    <xf numFmtId="0" fontId="72" fillId="0" borderId="13" applyNumberFormat="0" applyFill="0" applyAlignment="0" applyProtection="0"/>
    <xf numFmtId="0" fontId="71" fillId="0" borderId="13" applyNumberFormat="0" applyFill="0" applyAlignment="0" applyProtection="0"/>
    <xf numFmtId="0" fontId="72" fillId="0" borderId="13" applyNumberFormat="0" applyFill="0" applyAlignment="0" applyProtection="0"/>
    <xf numFmtId="0" fontId="71" fillId="0" borderId="13" applyNumberFormat="0" applyFill="0" applyAlignment="0" applyProtection="0"/>
    <xf numFmtId="0" fontId="71" fillId="0" borderId="13" applyNumberFormat="0" applyFill="0" applyAlignment="0" applyProtection="0"/>
    <xf numFmtId="0" fontId="72" fillId="0" borderId="14" applyNumberFormat="0" applyFill="0" applyAlignment="0" applyProtection="0"/>
    <xf numFmtId="0" fontId="72" fillId="0" borderId="13" applyNumberFormat="0" applyFill="0" applyAlignment="0" applyProtection="0"/>
    <xf numFmtId="0" fontId="71" fillId="0" borderId="14" applyNumberFormat="0" applyFill="0" applyAlignment="0" applyProtection="0"/>
    <xf numFmtId="0" fontId="71" fillId="0" borderId="13" applyNumberFormat="0" applyFill="0" applyAlignment="0" applyProtection="0"/>
    <xf numFmtId="0" fontId="72" fillId="0" borderId="13" applyNumberFormat="0" applyFill="0" applyAlignment="0" applyProtection="0"/>
    <xf numFmtId="0" fontId="34" fillId="7" borderId="2" applyNumberFormat="0" applyAlignment="0" applyProtection="0"/>
    <xf numFmtId="0" fontId="34" fillId="7" borderId="2" applyNumberFormat="0" applyAlignment="0" applyProtection="0"/>
    <xf numFmtId="0" fontId="35" fillId="13" borderId="2" applyNumberFormat="0" applyAlignment="0" applyProtection="0"/>
    <xf numFmtId="0" fontId="35" fillId="7" borderId="2" applyNumberFormat="0" applyAlignment="0" applyProtection="0"/>
    <xf numFmtId="0" fontId="34" fillId="7" borderId="2" applyNumberFormat="0" applyAlignment="0" applyProtection="0"/>
    <xf numFmtId="0" fontId="34" fillId="7" borderId="2" applyNumberFormat="0" applyAlignment="0" applyProtection="0"/>
    <xf numFmtId="0" fontId="35" fillId="7" borderId="2" applyNumberFormat="0" applyAlignment="0" applyProtection="0"/>
    <xf numFmtId="0" fontId="34" fillId="13" borderId="2" applyNumberFormat="0" applyAlignment="0" applyProtection="0"/>
    <xf numFmtId="0" fontId="34" fillId="7" borderId="2" applyNumberFormat="0" applyAlignment="0" applyProtection="0"/>
    <xf numFmtId="0" fontId="35" fillId="7" borderId="2" applyNumberFormat="0" applyAlignment="0" applyProtection="0"/>
    <xf numFmtId="165" fontId="6" fillId="0" borderId="0" applyFont="0" applyFill="0" applyBorder="0" applyAlignment="0" applyProtection="0"/>
    <xf numFmtId="165" fontId="6" fillId="0" borderId="0" applyFont="0" applyFill="0" applyBorder="0" applyAlignment="0" applyProtection="0"/>
    <xf numFmtId="165" fontId="10" fillId="0" borderId="0" applyFon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7" fillId="0" borderId="0" applyNumberFormat="0" applyFill="0" applyBorder="0" applyAlignment="0" applyProtection="0"/>
    <xf numFmtId="170" fontId="6" fillId="0" borderId="0" applyFill="0" applyBorder="0" applyAlignment="0" applyProtection="0"/>
    <xf numFmtId="170" fontId="6" fillId="0" borderId="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70" fontId="10" fillId="0" borderId="0" applyFill="0" applyBorder="0" applyAlignment="0" applyProtection="0"/>
    <xf numFmtId="173" fontId="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166" fontId="6" fillId="0" borderId="0" applyFont="0" applyFill="0" applyBorder="0" applyAlignment="0" applyProtection="0">
      <alignment vertical="center"/>
    </xf>
    <xf numFmtId="0" fontId="1" fillId="0" borderId="0"/>
    <xf numFmtId="0" fontId="1" fillId="0" borderId="0"/>
    <xf numFmtId="0" fontId="1" fillId="10" borderId="1" applyNumberFormat="0" applyFont="0" applyAlignment="0" applyProtection="0"/>
    <xf numFmtId="0" fontId="1" fillId="10" borderId="1" applyNumberFormat="0" applyFont="0" applyAlignment="0" applyProtection="0"/>
    <xf numFmtId="0" fontId="1" fillId="10" borderId="1" applyNumberFormat="0" applyAlignment="0" applyProtection="0"/>
    <xf numFmtId="0" fontId="1" fillId="10" borderId="1" applyNumberFormat="0" applyFont="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0" fontId="1" fillId="0" borderId="0" applyFill="0" applyBorder="0" applyAlignment="0" applyProtection="0"/>
    <xf numFmtId="43" fontId="1" fillId="0" borderId="0" applyFont="0" applyFill="0" applyBorder="0" applyAlignment="0" applyProtection="0"/>
    <xf numFmtId="171" fontId="1" fillId="0" borderId="0" applyFill="0" applyBorder="0" applyAlignment="0" applyProtection="0"/>
    <xf numFmtId="166" fontId="1" fillId="0" borderId="0" applyFont="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70" fontId="1" fillId="0" borderId="0" applyFill="0" applyBorder="0" applyAlignment="0" applyProtection="0"/>
    <xf numFmtId="166" fontId="1" fillId="0" borderId="0" applyFont="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168" fontId="1" fillId="0" borderId="0" applyFill="0" applyBorder="0" applyAlignment="0" applyProtection="0"/>
    <xf numFmtId="0" fontId="1" fillId="0" borderId="0"/>
    <xf numFmtId="0" fontId="1" fillId="0" borderId="0"/>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1"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70" fontId="1" fillId="0" borderId="0"/>
    <xf numFmtId="0" fontId="1" fillId="0" borderId="0"/>
    <xf numFmtId="165"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0" fontId="1"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4"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12" fillId="30" borderId="0" applyNumberFormat="0" applyBorder="0" applyAlignment="0" applyProtection="0"/>
    <xf numFmtId="0" fontId="12" fillId="38" borderId="0" applyNumberFormat="0" applyBorder="0" applyAlignment="0" applyProtection="0"/>
    <xf numFmtId="0" fontId="12" fillId="31" borderId="0" applyNumberFormat="0" applyBorder="0" applyAlignment="0" applyProtection="0"/>
    <xf numFmtId="0" fontId="12" fillId="39" borderId="0" applyNumberFormat="0" applyBorder="0" applyAlignment="0" applyProtection="0"/>
    <xf numFmtId="0" fontId="12" fillId="32" borderId="0" applyNumberFormat="0" applyBorder="0" applyAlignment="0" applyProtection="0"/>
    <xf numFmtId="0" fontId="12" fillId="41" borderId="0" applyNumberFormat="0" applyBorder="0" applyAlignment="0" applyProtection="0"/>
    <xf numFmtId="0" fontId="12" fillId="33" borderId="0" applyNumberFormat="0" applyBorder="0" applyAlignment="0" applyProtection="0"/>
    <xf numFmtId="0" fontId="12" fillId="42" borderId="0" applyNumberFormat="0" applyBorder="0" applyAlignment="0" applyProtection="0"/>
    <xf numFmtId="0" fontId="12" fillId="34" borderId="0" applyNumberFormat="0" applyBorder="0" applyAlignment="0" applyProtection="0"/>
    <xf numFmtId="0" fontId="12" fillId="39" borderId="0" applyNumberFormat="0" applyBorder="0" applyAlignment="0" applyProtection="0"/>
    <xf numFmtId="0" fontId="12" fillId="35"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33" borderId="0" applyNumberFormat="0" applyBorder="0" applyAlignment="0" applyProtection="0"/>
    <xf numFmtId="0" fontId="12" fillId="43" borderId="0" applyNumberFormat="0" applyBorder="0" applyAlignment="0" applyProtection="0"/>
    <xf numFmtId="0" fontId="12" fillId="46"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38"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5" borderId="0" applyNumberFormat="0" applyBorder="0" applyAlignment="0" applyProtection="0"/>
    <xf numFmtId="0" fontId="12" fillId="37" borderId="0" applyNumberFormat="0" applyBorder="0" applyAlignment="0" applyProtection="0"/>
    <xf numFmtId="0" fontId="12" fillId="33"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39" borderId="0" applyNumberFormat="0" applyBorder="0" applyAlignment="0" applyProtection="0"/>
    <xf numFmtId="0" fontId="12" fillId="46" borderId="0" applyNumberFormat="0" applyBorder="0" applyAlignment="0" applyProtection="0"/>
    <xf numFmtId="0" fontId="14" fillId="49" borderId="0" applyNumberFormat="0" applyBorder="0" applyAlignment="0" applyProtection="0"/>
    <xf numFmtId="0" fontId="14" fillId="44" borderId="0" applyNumberFormat="0" applyBorder="0" applyAlignment="0" applyProtection="0"/>
    <xf numFmtId="0" fontId="14" fillId="45"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42" borderId="0" applyNumberFormat="0" applyBorder="0" applyAlignment="0" applyProtection="0"/>
    <xf numFmtId="0" fontId="14" fillId="49" borderId="0" applyNumberFormat="0" applyBorder="0" applyAlignment="0" applyProtection="0"/>
    <xf numFmtId="0" fontId="14" fillId="53" borderId="0" applyNumberFormat="0" applyBorder="0" applyAlignment="0" applyProtection="0"/>
    <xf numFmtId="0" fontId="14" fillId="44" borderId="0" applyNumberFormat="0" applyBorder="0" applyAlignment="0" applyProtection="0"/>
    <xf numFmtId="0" fontId="14" fillId="48" borderId="0" applyNumberFormat="0" applyBorder="0" applyAlignment="0" applyProtection="0"/>
    <xf numFmtId="0" fontId="14" fillId="45" borderId="0" applyNumberFormat="0" applyBorder="0" applyAlignment="0" applyProtection="0"/>
    <xf numFmtId="0" fontId="14" fillId="37" borderId="0" applyNumberFormat="0" applyBorder="0" applyAlignment="0" applyProtection="0"/>
    <xf numFmtId="0" fontId="14" fillId="50" borderId="0" applyNumberFormat="0" applyBorder="0" applyAlignment="0" applyProtection="0"/>
    <xf numFmtId="0" fontId="14" fillId="42" borderId="0" applyNumberFormat="0" applyBorder="0" applyAlignment="0" applyProtection="0"/>
    <xf numFmtId="0" fontId="14" fillId="51" borderId="0" applyNumberFormat="0" applyBorder="0" applyAlignment="0" applyProtection="0"/>
    <xf numFmtId="0" fontId="14" fillId="38" borderId="0" applyNumberFormat="0" applyBorder="0" applyAlignment="0" applyProtection="0"/>
    <xf numFmtId="0" fontId="14" fillId="52"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7"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8" borderId="0" applyNumberFormat="0" applyBorder="0" applyAlignment="0" applyProtection="0"/>
    <xf numFmtId="0" fontId="16" fillId="31" borderId="0" applyNumberFormat="0" applyBorder="0" applyAlignment="0" applyProtection="0"/>
    <xf numFmtId="0" fontId="87" fillId="39" borderId="1" applyNumberFormat="0" applyFont="0" applyAlignment="0" applyProtection="0"/>
    <xf numFmtId="0" fontId="1" fillId="59" borderId="1" applyNumberFormat="0" applyAlignment="0" applyProtection="0"/>
    <xf numFmtId="0" fontId="18" fillId="60" borderId="2" applyNumberFormat="0" applyAlignment="0" applyProtection="0"/>
    <xf numFmtId="0" fontId="20" fillId="61" borderId="3" applyNumberFormat="0" applyAlignment="0" applyProtection="0"/>
    <xf numFmtId="169" fontId="86" fillId="0" borderId="0" applyFill="0" applyBorder="0" applyAlignment="0" applyProtection="0"/>
    <xf numFmtId="170" fontId="86" fillId="0" borderId="0" applyFill="0" applyBorder="0" applyAlignment="0" applyProtection="0"/>
    <xf numFmtId="171" fontId="86" fillId="0" borderId="0" applyFill="0" applyBorder="0" applyAlignment="0" applyProtection="0"/>
    <xf numFmtId="168" fontId="86" fillId="0" borderId="0" applyFill="0" applyBorder="0" applyAlignment="0" applyProtection="0"/>
    <xf numFmtId="168" fontId="86" fillId="0" borderId="0" applyFill="0" applyBorder="0" applyAlignment="0" applyProtection="0"/>
    <xf numFmtId="168" fontId="86" fillId="0" borderId="0" applyFill="0" applyBorder="0" applyAlignment="0" applyProtection="0"/>
    <xf numFmtId="168" fontId="86" fillId="0" borderId="0" applyFill="0" applyBorder="0" applyAlignment="0" applyProtection="0"/>
    <xf numFmtId="168" fontId="86" fillId="0" borderId="0" applyFill="0" applyBorder="0" applyAlignment="0" applyProtection="0"/>
    <xf numFmtId="164" fontId="11" fillId="0" borderId="0" applyFont="0" applyFill="0" applyBorder="0" applyAlignment="0" applyProtection="0"/>
    <xf numFmtId="164" fontId="1" fillId="0" borderId="0" applyFont="0" applyFill="0" applyBorder="0" applyAlignment="0" applyProtection="0"/>
    <xf numFmtId="171" fontId="86" fillId="0" borderId="0" applyFill="0" applyBorder="0" applyAlignment="0" applyProtection="0"/>
    <xf numFmtId="170" fontId="86" fillId="0" borderId="0" applyFill="0" applyBorder="0" applyAlignment="0" applyProtection="0"/>
    <xf numFmtId="164" fontId="1" fillId="0" borderId="0" applyFont="0" applyFill="0" applyBorder="0" applyAlignment="0" applyProtection="0"/>
    <xf numFmtId="171" fontId="86" fillId="0" borderId="0" applyFill="0" applyBorder="0" applyAlignment="0" applyProtection="0"/>
    <xf numFmtId="170" fontId="86" fillId="0" borderId="0" applyFill="0" applyBorder="0" applyAlignment="0" applyProtection="0"/>
    <xf numFmtId="168" fontId="86" fillId="0" borderId="0" applyFill="0" applyBorder="0" applyAlignment="0" applyProtection="0"/>
    <xf numFmtId="168" fontId="86" fillId="0" borderId="0" applyFill="0" applyBorder="0" applyAlignment="0" applyProtection="0"/>
    <xf numFmtId="168" fontId="86" fillId="0" borderId="0" applyFill="0" applyBorder="0" applyAlignment="0" applyProtection="0"/>
    <xf numFmtId="164" fontId="1" fillId="0" borderId="0" applyFont="0" applyFill="0" applyBorder="0" applyAlignment="0" applyProtection="0"/>
    <xf numFmtId="168" fontId="86" fillId="0" borderId="0" applyFill="0" applyBorder="0" applyAlignment="0" applyProtection="0"/>
    <xf numFmtId="43" fontId="86" fillId="0" borderId="0" applyFill="0" applyBorder="0" applyAlignment="0" applyProtection="0"/>
    <xf numFmtId="164" fontId="1" fillId="0" borderId="0" applyFont="0" applyFill="0" applyBorder="0" applyAlignment="0" applyProtection="0"/>
    <xf numFmtId="0" fontId="24" fillId="4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35" fillId="35" borderId="2" applyNumberFormat="0" applyAlignment="0" applyProtection="0"/>
    <xf numFmtId="0" fontId="14" fillId="62" borderId="0" applyNumberFormat="0" applyBorder="0" applyAlignment="0" applyProtection="0"/>
    <xf numFmtId="0" fontId="14" fillId="55" borderId="0" applyNumberFormat="0" applyBorder="0" applyAlignment="0" applyProtection="0"/>
    <xf numFmtId="0" fontId="14" fillId="53" borderId="0" applyNumberFormat="0" applyBorder="0" applyAlignment="0" applyProtection="0"/>
    <xf numFmtId="0" fontId="14" fillId="56" borderId="0" applyNumberFormat="0" applyBorder="0" applyAlignment="0" applyProtection="0"/>
    <xf numFmtId="0" fontId="14" fillId="48" borderId="0" applyNumberFormat="0" applyBorder="0" applyAlignment="0" applyProtection="0"/>
    <xf numFmtId="0" fontId="14" fillId="57" borderId="0" applyNumberFormat="0" applyBorder="0" applyAlignment="0" applyProtection="0"/>
    <xf numFmtId="0" fontId="14" fillId="64"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51" borderId="0" applyNumberFormat="0" applyBorder="0" applyAlignment="0" applyProtection="0"/>
    <xf numFmtId="0" fontId="14" fillId="63" borderId="0" applyNumberFormat="0" applyBorder="0" applyAlignment="0" applyProtection="0"/>
    <xf numFmtId="0" fontId="14" fillId="58" borderId="0" applyNumberFormat="0" applyBorder="0" applyAlignment="0" applyProtection="0"/>
    <xf numFmtId="0" fontId="37" fillId="65" borderId="7" applyNumberFormat="0" applyAlignment="0" applyProtection="0"/>
    <xf numFmtId="0" fontId="37" fillId="60" borderId="7" applyNumberFormat="0" applyAlignment="0" applyProtection="0"/>
    <xf numFmtId="0" fontId="38" fillId="65" borderId="2" applyNumberFormat="0" applyAlignment="0" applyProtection="0"/>
    <xf numFmtId="0" fontId="18" fillId="60" borderId="2" applyNumberFormat="0" applyAlignment="0" applyProtection="0"/>
    <xf numFmtId="0" fontId="16" fillId="40" borderId="0" applyNumberFormat="0" applyBorder="0" applyAlignment="0" applyProtection="0"/>
    <xf numFmtId="0" fontId="16" fillId="31" borderId="0" applyNumberFormat="0" applyBorder="0" applyAlignment="0" applyProtection="0"/>
    <xf numFmtId="0" fontId="88" fillId="0" borderId="0" applyNumberFormat="0" applyFill="0" applyBorder="0" applyAlignment="0" applyProtection="0"/>
    <xf numFmtId="0" fontId="84" fillId="0" borderId="0" applyNumberFormat="0" applyFill="0" applyBorder="0" applyAlignment="0" applyProtection="0"/>
    <xf numFmtId="0" fontId="54" fillId="66" borderId="0" applyNumberFormat="0" applyBorder="0" applyAlignment="0" applyProtection="0"/>
    <xf numFmtId="0" fontId="55" fillId="47" borderId="0" applyNumberFormat="0" applyBorder="0" applyAlignment="0" applyProtection="0"/>
    <xf numFmtId="0" fontId="54" fillId="66" borderId="0" applyNumberFormat="0" applyBorder="0" applyAlignment="0" applyProtection="0"/>
    <xf numFmtId="0" fontId="82" fillId="0" borderId="0"/>
    <xf numFmtId="0" fontId="81" fillId="0" borderId="0"/>
    <xf numFmtId="0" fontId="81" fillId="0" borderId="0"/>
    <xf numFmtId="0" fontId="81" fillId="0" borderId="0"/>
    <xf numFmtId="0" fontId="81" fillId="0" borderId="0"/>
    <xf numFmtId="0" fontId="87" fillId="0" borderId="0"/>
    <xf numFmtId="0" fontId="81" fillId="0" borderId="0"/>
    <xf numFmtId="0" fontId="81" fillId="0" borderId="0"/>
    <xf numFmtId="0" fontId="89"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7" fillId="0" borderId="0"/>
    <xf numFmtId="0" fontId="87" fillId="0" borderId="0"/>
    <xf numFmtId="0" fontId="87" fillId="0" borderId="0"/>
    <xf numFmtId="0" fontId="87" fillId="0" borderId="0"/>
    <xf numFmtId="43" fontId="87" fillId="0" borderId="0" applyFill="0" applyBorder="0" applyAlignment="0" applyProtection="0"/>
    <xf numFmtId="0" fontId="87"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43" fontId="87" fillId="0" borderId="0" applyFill="0" applyBorder="0" applyAlignment="0" applyProtection="0"/>
    <xf numFmtId="0" fontId="81" fillId="0" borderId="0"/>
    <xf numFmtId="43" fontId="87" fillId="0" borderId="0" applyFill="0" applyBorder="0" applyAlignment="0" applyProtection="0"/>
    <xf numFmtId="0" fontId="87" fillId="0" borderId="0"/>
    <xf numFmtId="0" fontId="90" fillId="0" borderId="0"/>
    <xf numFmtId="0" fontId="87" fillId="0" borderId="0"/>
    <xf numFmtId="0" fontId="81" fillId="0" borderId="0"/>
    <xf numFmtId="0" fontId="87" fillId="0" borderId="0"/>
    <xf numFmtId="0" fontId="87" fillId="0" borderId="0"/>
    <xf numFmtId="0" fontId="87" fillId="0" borderId="0"/>
    <xf numFmtId="0" fontId="87" fillId="0" borderId="0"/>
    <xf numFmtId="0" fontId="1" fillId="59" borderId="1" applyNumberFormat="0" applyAlignment="0" applyProtection="0"/>
    <xf numFmtId="0" fontId="81" fillId="0" borderId="0"/>
    <xf numFmtId="0" fontId="37" fillId="60" borderId="7" applyNumberFormat="0" applyAlignment="0" applyProtection="0"/>
    <xf numFmtId="0" fontId="20" fillId="67" borderId="3" applyNumberFormat="0" applyAlignment="0" applyProtection="0"/>
    <xf numFmtId="0" fontId="20" fillId="61" borderId="3" applyNumberFormat="0" applyAlignment="0" applyProtection="0"/>
    <xf numFmtId="0" fontId="83" fillId="0" borderId="0"/>
    <xf numFmtId="0" fontId="85" fillId="0" borderId="0"/>
    <xf numFmtId="0" fontId="85" fillId="0" borderId="0"/>
    <xf numFmtId="0" fontId="85" fillId="0" borderId="0"/>
    <xf numFmtId="0" fontId="84" fillId="0" borderId="0" applyNumberFormat="0" applyFill="0" applyBorder="0" applyAlignment="0" applyProtection="0"/>
    <xf numFmtId="0" fontId="35" fillId="47" borderId="2" applyNumberFormat="0" applyAlignment="0" applyProtection="0"/>
    <xf numFmtId="0" fontId="35" fillId="35" borderId="2" applyNumberFormat="0" applyAlignment="0" applyProtection="0"/>
    <xf numFmtId="44" fontId="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81" fillId="0" borderId="0" applyFont="0" applyFill="0" applyBorder="0" applyAlignment="0" applyProtection="0"/>
    <xf numFmtId="164" fontId="8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91" fillId="0" borderId="0"/>
    <xf numFmtId="0" fontId="66" fillId="0" borderId="0"/>
    <xf numFmtId="0" fontId="66" fillId="0" borderId="0"/>
    <xf numFmtId="0" fontId="66" fillId="0" borderId="0"/>
    <xf numFmtId="0" fontId="66" fillId="0" borderId="0"/>
    <xf numFmtId="0" fontId="66"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32" fillId="0" borderId="17" applyNumberFormat="0" applyFill="0" applyAlignment="0" applyProtection="0"/>
    <xf numFmtId="0" fontId="30" fillId="0" borderId="16" applyNumberFormat="0" applyFill="0" applyAlignment="0" applyProtection="0"/>
    <xf numFmtId="0" fontId="28" fillId="0" borderId="15" applyNumberFormat="0" applyFill="0" applyAlignment="0" applyProtection="0"/>
    <xf numFmtId="0" fontId="32" fillId="0" borderId="17" applyNumberFormat="0" applyFill="0" applyAlignment="0" applyProtection="0"/>
    <xf numFmtId="0" fontId="30" fillId="0" borderId="16" applyNumberFormat="0" applyFill="0" applyAlignment="0" applyProtection="0"/>
    <xf numFmtId="0" fontId="28" fillId="0" borderId="15" applyNumberFormat="0" applyFill="0" applyAlignment="0" applyProtection="0"/>
    <xf numFmtId="0" fontId="12" fillId="43" borderId="0" applyNumberFormat="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9" fontId="1" fillId="0" borderId="0" applyFill="0" applyBorder="0" applyAlignment="0" applyProtection="0"/>
    <xf numFmtId="170" fontId="1" fillId="0" borderId="0"/>
    <xf numFmtId="164" fontId="12" fillId="0" borderId="0" applyFont="0" applyFill="0" applyBorder="0" applyAlignment="0" applyProtection="0"/>
    <xf numFmtId="164" fontId="12" fillId="0" borderId="0" applyFont="0" applyFill="0" applyBorder="0" applyAlignment="0" applyProtection="0"/>
    <xf numFmtId="0" fontId="104" fillId="0" borderId="0" applyNumberFormat="0" applyFill="0" applyBorder="0" applyAlignment="0" applyProtection="0"/>
    <xf numFmtId="0" fontId="93" fillId="0" borderId="0"/>
    <xf numFmtId="0" fontId="90" fillId="0" borderId="0"/>
    <xf numFmtId="0" fontId="93" fillId="0" borderId="0"/>
    <xf numFmtId="0" fontId="93" fillId="0" borderId="0"/>
    <xf numFmtId="0" fontId="81" fillId="0" borderId="0"/>
    <xf numFmtId="0" fontId="81" fillId="0" borderId="0"/>
    <xf numFmtId="0" fontId="90" fillId="0" borderId="0"/>
    <xf numFmtId="0" fontId="1" fillId="0" borderId="0"/>
    <xf numFmtId="0" fontId="1" fillId="0" borderId="0"/>
    <xf numFmtId="180" fontId="1" fillId="0" borderId="0" applyFont="0" applyFill="0" applyBorder="0" applyAlignment="0" applyProtection="0"/>
    <xf numFmtId="44" fontId="12" fillId="0" borderId="0" applyFont="0" applyFill="0" applyBorder="0" applyAlignment="0" applyProtection="0"/>
    <xf numFmtId="0" fontId="1" fillId="0" borderId="0"/>
    <xf numFmtId="0" fontId="93" fillId="0" borderId="0"/>
    <xf numFmtId="0" fontId="93" fillId="0" borderId="0"/>
    <xf numFmtId="0" fontId="93" fillId="0" borderId="0"/>
    <xf numFmtId="0" fontId="93" fillId="0" borderId="0"/>
    <xf numFmtId="0" fontId="93" fillId="0" borderId="0"/>
    <xf numFmtId="164" fontId="98"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98" fillId="0" borderId="0" applyFont="0" applyFill="0" applyBorder="0" applyAlignment="0" applyProtection="0"/>
    <xf numFmtId="0" fontId="93" fillId="0" borderId="0"/>
    <xf numFmtId="0" fontId="93" fillId="0" borderId="0"/>
    <xf numFmtId="0" fontId="59" fillId="0" borderId="0"/>
    <xf numFmtId="176" fontId="12" fillId="0" borderId="0"/>
    <xf numFmtId="0" fontId="1" fillId="0" borderId="0"/>
    <xf numFmtId="0" fontId="1" fillId="0" borderId="0"/>
    <xf numFmtId="0" fontId="12" fillId="0" borderId="0"/>
    <xf numFmtId="0" fontId="97" fillId="0" borderId="0"/>
    <xf numFmtId="175" fontId="9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92" fillId="0" borderId="0"/>
    <xf numFmtId="0" fontId="1" fillId="0" borderId="0"/>
    <xf numFmtId="179" fontId="1" fillId="0" borderId="0"/>
    <xf numFmtId="0" fontId="1" fillId="0" borderId="0"/>
    <xf numFmtId="0" fontId="6" fillId="0" borderId="0"/>
    <xf numFmtId="179" fontId="1" fillId="0" borderId="0"/>
    <xf numFmtId="179" fontId="1" fillId="0" borderId="0"/>
    <xf numFmtId="0" fontId="81" fillId="0" borderId="0"/>
    <xf numFmtId="0" fontId="90" fillId="0" borderId="0"/>
    <xf numFmtId="0" fontId="114" fillId="0" borderId="0"/>
    <xf numFmtId="0" fontId="90" fillId="0" borderId="0"/>
    <xf numFmtId="0" fontId="6" fillId="0" borderId="0"/>
    <xf numFmtId="0" fontId="105" fillId="0" borderId="0"/>
    <xf numFmtId="0" fontId="113" fillId="0" borderId="0" applyNumberFormat="0" applyFill="0" applyBorder="0" applyAlignment="0" applyProtection="0"/>
    <xf numFmtId="177" fontId="105" fillId="0" borderId="0" applyFont="0" applyFill="0" applyBorder="0" applyAlignment="0" applyProtection="0"/>
    <xf numFmtId="0" fontId="1" fillId="0" borderId="0"/>
    <xf numFmtId="164" fontId="81" fillId="0" borderId="0" applyFont="0" applyFill="0" applyBorder="0" applyAlignment="0" applyProtection="0"/>
    <xf numFmtId="0" fontId="12" fillId="0" borderId="0"/>
    <xf numFmtId="164" fontId="81" fillId="0" borderId="0" applyFont="0" applyFill="0" applyBorder="0" applyAlignment="0" applyProtection="0"/>
    <xf numFmtId="0" fontId="81" fillId="0" borderId="0"/>
    <xf numFmtId="0" fontId="92" fillId="0" borderId="0"/>
    <xf numFmtId="0" fontId="92" fillId="0" borderId="0"/>
    <xf numFmtId="0" fontId="92" fillId="0" borderId="0"/>
    <xf numFmtId="0" fontId="92" fillId="0" borderId="0"/>
    <xf numFmtId="0" fontId="1" fillId="0" borderId="0"/>
    <xf numFmtId="0" fontId="12" fillId="0" borderId="0"/>
    <xf numFmtId="0" fontId="98" fillId="0" borderId="0">
      <alignment horizontal="left"/>
    </xf>
    <xf numFmtId="164" fontId="81" fillId="0" borderId="0" applyFont="0" applyFill="0" applyBorder="0" applyAlignment="0" applyProtection="0"/>
    <xf numFmtId="0" fontId="81" fillId="0" borderId="0"/>
    <xf numFmtId="0" fontId="81" fillId="0" borderId="0"/>
    <xf numFmtId="4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2" fillId="0" borderId="0"/>
    <xf numFmtId="0" fontId="1" fillId="0" borderId="0"/>
    <xf numFmtId="0" fontId="1" fillId="0" borderId="0"/>
    <xf numFmtId="0" fontId="81" fillId="0" borderId="0"/>
    <xf numFmtId="0" fontId="57" fillId="0" borderId="0"/>
    <xf numFmtId="0" fontId="81" fillId="0" borderId="0"/>
    <xf numFmtId="0" fontId="112" fillId="0" borderId="0"/>
    <xf numFmtId="0" fontId="57" fillId="0" borderId="0"/>
    <xf numFmtId="0" fontId="81" fillId="0" borderId="0"/>
    <xf numFmtId="0" fontId="81" fillId="0" borderId="0"/>
    <xf numFmtId="0" fontId="1" fillId="0" borderId="0"/>
    <xf numFmtId="0" fontId="81" fillId="0" borderId="0"/>
    <xf numFmtId="0" fontId="57" fillId="0" borderId="0"/>
    <xf numFmtId="0" fontId="1" fillId="0" borderId="0"/>
    <xf numFmtId="0" fontId="1" fillId="0" borderId="0"/>
    <xf numFmtId="0" fontId="90" fillId="0" borderId="0"/>
    <xf numFmtId="0" fontId="98" fillId="0" borderId="0">
      <alignment horizontal="left"/>
    </xf>
    <xf numFmtId="0" fontId="98" fillId="0" borderId="0"/>
    <xf numFmtId="0" fontId="98" fillId="0" borderId="0"/>
    <xf numFmtId="0" fontId="98" fillId="0" borderId="0"/>
    <xf numFmtId="0" fontId="98" fillId="0" borderId="0">
      <alignment horizontal="left"/>
    </xf>
    <xf numFmtId="0" fontId="98" fillId="0" borderId="0">
      <alignment horizontal="left"/>
    </xf>
    <xf numFmtId="0" fontId="98" fillId="0" borderId="0">
      <alignment horizontal="left"/>
    </xf>
    <xf numFmtId="0" fontId="98" fillId="0" borderId="0">
      <alignment horizontal="left"/>
    </xf>
    <xf numFmtId="0" fontId="81" fillId="0" borderId="0"/>
    <xf numFmtId="0" fontId="81" fillId="0" borderId="0"/>
    <xf numFmtId="164" fontId="1" fillId="0" borderId="0" applyFont="0" applyFill="0" applyBorder="0" applyAlignment="0" applyProtection="0"/>
    <xf numFmtId="0" fontId="81" fillId="0" borderId="0"/>
    <xf numFmtId="164" fontId="1" fillId="0" borderId="0" applyFont="0" applyFill="0" applyBorder="0" applyAlignment="0" applyProtection="0"/>
    <xf numFmtId="0" fontId="1" fillId="0" borderId="0"/>
    <xf numFmtId="0" fontId="81" fillId="0" borderId="0"/>
    <xf numFmtId="0" fontId="90" fillId="0" borderId="0"/>
    <xf numFmtId="0" fontId="90" fillId="0" borderId="0"/>
    <xf numFmtId="0" fontId="90" fillId="0" borderId="0"/>
    <xf numFmtId="0" fontId="90" fillId="0" borderId="0"/>
    <xf numFmtId="0" fontId="90" fillId="0" borderId="0"/>
    <xf numFmtId="0" fontId="90" fillId="0" borderId="0"/>
    <xf numFmtId="0" fontId="66" fillId="0" borderId="0"/>
    <xf numFmtId="0" fontId="90" fillId="0" borderId="0"/>
    <xf numFmtId="0" fontId="90" fillId="0" borderId="0"/>
    <xf numFmtId="0" fontId="90" fillId="0" borderId="0"/>
    <xf numFmtId="0" fontId="81" fillId="0" borderId="0"/>
    <xf numFmtId="0" fontId="90" fillId="0" borderId="0"/>
    <xf numFmtId="0" fontId="81" fillId="0" borderId="0"/>
    <xf numFmtId="0" fontId="111" fillId="0" borderId="0"/>
    <xf numFmtId="0" fontId="111" fillId="0" borderId="0"/>
    <xf numFmtId="0" fontId="110" fillId="0" borderId="0"/>
    <xf numFmtId="0" fontId="1" fillId="0" borderId="0"/>
    <xf numFmtId="0" fontId="62" fillId="0" borderId="0">
      <alignment horizontal="left" vertical="top" wrapText="1"/>
    </xf>
    <xf numFmtId="9" fontId="1" fillId="0" borderId="0" applyFill="0" applyBorder="0" applyAlignment="0" applyProtection="0"/>
    <xf numFmtId="9" fontId="1" fillId="0" borderId="0" applyFill="0" applyBorder="0" applyAlignment="0" applyProtection="0"/>
    <xf numFmtId="0" fontId="1" fillId="0" borderId="0">
      <alignment vertical="top"/>
    </xf>
    <xf numFmtId="0" fontId="1" fillId="0" borderId="0">
      <alignment vertical="top"/>
    </xf>
    <xf numFmtId="171" fontId="99" fillId="0" borderId="0"/>
    <xf numFmtId="0" fontId="12" fillId="0" borderId="0"/>
    <xf numFmtId="0" fontId="108" fillId="0" borderId="0"/>
    <xf numFmtId="0" fontId="107" fillId="0" borderId="0">
      <alignment vertical="top" wrapText="1"/>
    </xf>
    <xf numFmtId="0" fontId="99" fillId="0" borderId="0"/>
    <xf numFmtId="171" fontId="1" fillId="0" borderId="0" applyFill="0" applyBorder="0" applyAlignment="0" applyProtection="0"/>
    <xf numFmtId="170" fontId="1" fillId="0" borderId="0" applyFill="0" applyBorder="0" applyAlignment="0" applyProtection="0"/>
    <xf numFmtId="170" fontId="1" fillId="0" borderId="0" applyFill="0" applyBorder="0" applyAlignment="0" applyProtection="0"/>
    <xf numFmtId="0" fontId="1" fillId="0" borderId="0"/>
    <xf numFmtId="0" fontId="33" fillId="0" borderId="0" applyNumberFormat="0" applyFill="0" applyBorder="0" applyAlignment="0" applyProtection="0"/>
    <xf numFmtId="178" fontId="109"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0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1" fillId="0" borderId="0"/>
    <xf numFmtId="164" fontId="1" fillId="0" borderId="0" applyFont="0" applyFill="0" applyBorder="0" applyAlignment="0" applyProtection="0"/>
    <xf numFmtId="0" fontId="90" fillId="0" borderId="0"/>
    <xf numFmtId="0" fontId="90" fillId="0" borderId="0"/>
    <xf numFmtId="177" fontId="105" fillId="0" borderId="0" applyFont="0" applyFill="0" applyBorder="0" applyAlignment="0" applyProtection="0"/>
    <xf numFmtId="164" fontId="1" fillId="0" borderId="0" applyFont="0" applyFill="0" applyBorder="0" applyAlignment="0" applyProtection="0"/>
    <xf numFmtId="0" fontId="81" fillId="0" borderId="0"/>
    <xf numFmtId="0" fontId="81" fillId="0" borderId="0"/>
    <xf numFmtId="168" fontId="79" fillId="34" borderId="22">
      <alignment vertical="center"/>
    </xf>
    <xf numFmtId="0" fontId="72" fillId="0" borderId="21" applyNumberFormat="0" applyFill="0" applyAlignment="0" applyProtection="0"/>
    <xf numFmtId="0" fontId="88" fillId="0" borderId="0" applyNumberFormat="0" applyFill="0" applyBorder="0" applyAlignment="0" applyProtection="0"/>
    <xf numFmtId="0" fontId="37" fillId="65" borderId="7" applyNumberFormat="0" applyAlignment="0" applyProtection="0"/>
    <xf numFmtId="0" fontId="1" fillId="0" borderId="0" applyProtection="0"/>
    <xf numFmtId="0" fontId="1" fillId="0" borderId="0" applyProtection="0"/>
    <xf numFmtId="0" fontId="101" fillId="0" borderId="0"/>
    <xf numFmtId="0" fontId="101" fillId="0" borderId="0"/>
    <xf numFmtId="0" fontId="1" fillId="0" borderId="0" applyProtection="0"/>
    <xf numFmtId="0" fontId="1" fillId="0" borderId="0" applyProtection="0"/>
    <xf numFmtId="0" fontId="1" fillId="0" borderId="0" applyProtection="0"/>
    <xf numFmtId="0" fontId="1" fillId="0" borderId="0" applyProtection="0"/>
    <xf numFmtId="0" fontId="1" fillId="0" borderId="0" applyProtection="0"/>
    <xf numFmtId="0" fontId="1" fillId="0" borderId="0" applyProtection="0"/>
    <xf numFmtId="0" fontId="1" fillId="0" borderId="0" applyProtection="0"/>
    <xf numFmtId="0" fontId="1" fillId="0" borderId="0" applyProtection="0"/>
    <xf numFmtId="0" fontId="1" fillId="0" borderId="0" applyProtection="0"/>
    <xf numFmtId="0" fontId="1" fillId="0" borderId="0" applyProtection="0"/>
    <xf numFmtId="0" fontId="1" fillId="0" borderId="0" applyProtection="0"/>
    <xf numFmtId="0" fontId="101" fillId="0" borderId="0"/>
    <xf numFmtId="0" fontId="59" fillId="0" borderId="0"/>
    <xf numFmtId="176" fontId="12" fillId="0" borderId="0"/>
    <xf numFmtId="0" fontId="1" fillId="0" borderId="0" applyProtection="0"/>
    <xf numFmtId="0" fontId="1" fillId="0" borderId="0" applyProtection="0"/>
    <xf numFmtId="0" fontId="1" fillId="0" borderId="0" applyProtection="0"/>
    <xf numFmtId="0" fontId="1" fillId="0" borderId="0" applyProtection="0"/>
    <xf numFmtId="0" fontId="1" fillId="0" borderId="0" applyProtection="0"/>
    <xf numFmtId="0" fontId="1" fillId="39" borderId="1" applyNumberFormat="0" applyFont="0" applyAlignment="0" applyProtection="0"/>
    <xf numFmtId="0" fontId="1" fillId="0" borderId="0"/>
    <xf numFmtId="4" fontId="61" fillId="0" borderId="0">
      <alignment horizontal="justify"/>
    </xf>
    <xf numFmtId="4" fontId="62" fillId="0" borderId="0">
      <alignment horizontal="justify" vertical="justify"/>
    </xf>
    <xf numFmtId="0" fontId="102" fillId="0" borderId="0"/>
    <xf numFmtId="0" fontId="98" fillId="0" borderId="0"/>
    <xf numFmtId="0" fontId="98" fillId="0" borderId="0"/>
    <xf numFmtId="0" fontId="1" fillId="0" borderId="0"/>
    <xf numFmtId="0" fontId="12" fillId="0" borderId="0"/>
    <xf numFmtId="0" fontId="12" fillId="0" borderId="0"/>
    <xf numFmtId="0" fontId="1" fillId="0" borderId="0"/>
    <xf numFmtId="0" fontId="1" fillId="0" borderId="0"/>
    <xf numFmtId="0" fontId="1" fillId="0" borderId="0"/>
    <xf numFmtId="0" fontId="97" fillId="0" borderId="0"/>
    <xf numFmtId="0" fontId="93" fillId="0" borderId="0"/>
    <xf numFmtId="0" fontId="93" fillId="0" borderId="0"/>
    <xf numFmtId="0" fontId="93" fillId="0" borderId="0"/>
    <xf numFmtId="0" fontId="1" fillId="0" borderId="0"/>
    <xf numFmtId="0" fontId="85" fillId="0" borderId="0"/>
    <xf numFmtId="0" fontId="100" fillId="0" borderId="20"/>
    <xf numFmtId="0" fontId="55" fillId="47" borderId="0" applyNumberFormat="0" applyBorder="0" applyAlignment="0" applyProtection="0"/>
    <xf numFmtId="0" fontId="54" fillId="47" borderId="0" applyNumberFormat="0" applyBorder="0" applyAlignment="0" applyProtection="0"/>
    <xf numFmtId="4" fontId="96" fillId="0" borderId="0">
      <alignment horizontal="right"/>
    </xf>
    <xf numFmtId="0" fontId="96" fillId="0" borderId="0">
      <alignment horizontal="right"/>
    </xf>
    <xf numFmtId="4" fontId="96" fillId="0" borderId="0">
      <alignment horizontal="right" wrapText="1"/>
    </xf>
    <xf numFmtId="0" fontId="96" fillId="0" borderId="0">
      <alignment horizontal="right"/>
    </xf>
    <xf numFmtId="4" fontId="96" fillId="0" borderId="0">
      <alignment horizontal="right"/>
    </xf>
    <xf numFmtId="0" fontId="95" fillId="0" borderId="0">
      <alignment horizontal="left"/>
    </xf>
    <xf numFmtId="0" fontId="96" fillId="0" borderId="0">
      <alignment horizontal="justify" vertical="top" wrapText="1"/>
    </xf>
    <xf numFmtId="0" fontId="95" fillId="0" borderId="0">
      <alignment horizontal="right" vertical="top"/>
    </xf>
    <xf numFmtId="0" fontId="35" fillId="41" borderId="2" applyNumberFormat="0" applyAlignment="0" applyProtection="0"/>
    <xf numFmtId="0" fontId="33" fillId="0" borderId="0" applyNumberFormat="0" applyFill="0" applyBorder="0" applyAlignment="0" applyProtection="0">
      <alignment vertical="top"/>
      <protection locked="0"/>
    </xf>
    <xf numFmtId="0" fontId="104" fillId="0" borderId="0" applyNumberFormat="0" applyFill="0" applyBorder="0" applyAlignment="0" applyProtection="0"/>
    <xf numFmtId="0" fontId="103" fillId="0" borderId="0" applyNumberFormat="0" applyFill="0" applyBorder="0" applyAlignment="0" applyProtection="0">
      <alignment vertical="top"/>
      <protection locked="0"/>
    </xf>
    <xf numFmtId="0" fontId="94" fillId="0" borderId="0" applyNumberFormat="0" applyFill="0" applyBorder="0" applyAlignment="0" applyProtection="0">
      <alignment vertical="top"/>
      <protection locked="0"/>
    </xf>
    <xf numFmtId="0" fontId="46" fillId="0" borderId="0" applyNumberFormat="0" applyFill="0" applyBorder="0" applyAlignment="0" applyProtection="0"/>
    <xf numFmtId="0" fontId="46" fillId="0" borderId="19" applyNumberFormat="0" applyFill="0" applyAlignment="0" applyProtection="0"/>
    <xf numFmtId="0" fontId="44" fillId="0" borderId="5" applyNumberFormat="0" applyFill="0" applyAlignment="0" applyProtection="0"/>
    <xf numFmtId="0" fontId="42" fillId="0" borderId="18" applyNumberFormat="0" applyFill="0" applyAlignment="0" applyProtection="0"/>
    <xf numFmtId="0" fontId="24" fillId="70" borderId="0" applyNumberFormat="0" applyBorder="0" applyAlignment="0" applyProtection="0"/>
    <xf numFmtId="175" fontId="99" fillId="0" borderId="0" applyFont="0" applyFill="0" applyBorder="0" applyAlignment="0" applyProtection="0"/>
    <xf numFmtId="164" fontId="98" fillId="0" borderId="0" applyFont="0" applyFill="0" applyBorder="0" applyAlignment="0" applyProtection="0"/>
    <xf numFmtId="164" fontId="1" fillId="0" borderId="0" applyFont="0" applyFill="0" applyBorder="0" applyAlignment="0" applyProtection="0"/>
    <xf numFmtId="164" fontId="98" fillId="0" borderId="0" applyFont="0" applyFill="0" applyBorder="0" applyAlignment="0" applyProtection="0"/>
    <xf numFmtId="0" fontId="20" fillId="67" borderId="3" applyNumberFormat="0" applyAlignment="0" applyProtection="0"/>
    <xf numFmtId="0" fontId="18" fillId="65" borderId="2" applyNumberFormat="0" applyAlignment="0" applyProtection="0"/>
    <xf numFmtId="0" fontId="16" fillId="37"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64" borderId="0" applyNumberFormat="0" applyBorder="0" applyAlignment="0" applyProtection="0"/>
    <xf numFmtId="0" fontId="14" fillId="69" borderId="0" applyNumberFormat="0" applyBorder="0" applyAlignment="0" applyProtection="0"/>
    <xf numFmtId="0" fontId="14" fillId="63" borderId="0" applyNumberFormat="0" applyBorder="0" applyAlignment="0" applyProtection="0"/>
    <xf numFmtId="0" fontId="14" fillId="54" borderId="0" applyNumberFormat="0" applyBorder="0" applyAlignment="0" applyProtection="0"/>
    <xf numFmtId="0" fontId="14" fillId="41" borderId="0" applyNumberFormat="0" applyBorder="0" applyAlignment="0" applyProtection="0"/>
    <xf numFmtId="0" fontId="14" fillId="54" borderId="0" applyNumberFormat="0" applyBorder="0" applyAlignment="0" applyProtection="0"/>
    <xf numFmtId="0" fontId="14" fillId="68" borderId="0" applyNumberFormat="0" applyBorder="0" applyAlignment="0" applyProtection="0"/>
    <xf numFmtId="0" fontId="14" fillId="47" borderId="0" applyNumberFormat="0" applyBorder="0" applyAlignment="0" applyProtection="0"/>
    <xf numFmtId="0" fontId="14" fillId="38" borderId="0" applyNumberFormat="0" applyBorder="0" applyAlignment="0" applyProtection="0"/>
    <xf numFmtId="0" fontId="14" fillId="54" borderId="0" applyNumberFormat="0" applyBorder="0" applyAlignment="0" applyProtection="0"/>
    <xf numFmtId="0" fontId="12" fillId="41" borderId="0" applyNumberFormat="0" applyBorder="0" applyAlignment="0" applyProtection="0"/>
    <xf numFmtId="0" fontId="12" fillId="36" borderId="0" applyNumberFormat="0" applyBorder="0" applyAlignment="0" applyProtection="0"/>
    <xf numFmtId="0" fontId="12" fillId="68" borderId="0" applyNumberFormat="0" applyBorder="0" applyAlignment="0" applyProtection="0"/>
    <xf numFmtId="0" fontId="12" fillId="47" borderId="0" applyNumberFormat="0" applyBorder="0" applyAlignment="0" applyProtection="0"/>
    <xf numFmtId="0" fontId="12" fillId="38" borderId="0" applyNumberFormat="0" applyBorder="0" applyAlignment="0" applyProtection="0"/>
    <xf numFmtId="0" fontId="12" fillId="68" borderId="0" applyNumberFormat="0" applyBorder="0" applyAlignment="0" applyProtection="0"/>
    <xf numFmtId="0" fontId="12" fillId="41" borderId="0" applyNumberFormat="0" applyBorder="0" applyAlignment="0" applyProtection="0"/>
    <xf numFmtId="0" fontId="12" fillId="42" borderId="0" applyNumberFormat="0" applyBorder="0" applyAlignment="0" applyProtection="0"/>
    <xf numFmtId="0" fontId="12" fillId="65" borderId="0" applyNumberFormat="0" applyBorder="0" applyAlignment="0" applyProtection="0"/>
    <xf numFmtId="0" fontId="12" fillId="39" borderId="0" applyNumberFormat="0" applyBorder="0" applyAlignment="0" applyProtection="0"/>
    <xf numFmtId="0" fontId="12" fillId="41" borderId="0" applyNumberFormat="0" applyBorder="0" applyAlignment="0" applyProtection="0"/>
    <xf numFmtId="0" fontId="12" fillId="65" borderId="0" applyNumberFormat="0" applyBorder="0" applyAlignment="0" applyProtection="0"/>
    <xf numFmtId="0" fontId="62" fillId="0" borderId="0"/>
    <xf numFmtId="0" fontId="62" fillId="0" borderId="0"/>
    <xf numFmtId="0" fontId="85" fillId="0" borderId="0"/>
    <xf numFmtId="0" fontId="85" fillId="0" borderId="0"/>
    <xf numFmtId="0" fontId="85" fillId="0" borderId="0"/>
    <xf numFmtId="0" fontId="85" fillId="0" borderId="0"/>
    <xf numFmtId="0" fontId="62" fillId="0" borderId="0"/>
    <xf numFmtId="0" fontId="62" fillId="0" borderId="0"/>
    <xf numFmtId="0" fontId="93" fillId="0" borderId="0"/>
    <xf numFmtId="174" fontId="6" fillId="0" borderId="0" applyFont="0" applyFill="0" applyBorder="0" applyAlignment="0" applyProtection="0"/>
    <xf numFmtId="0" fontId="93" fillId="0" borderId="0"/>
    <xf numFmtId="0" fontId="1" fillId="0" borderId="0"/>
    <xf numFmtId="0" fontId="1" fillId="0" borderId="0"/>
    <xf numFmtId="0" fontId="113" fillId="0" borderId="0" applyNumberFormat="0" applyFill="0" applyBorder="0" applyAlignment="0" applyProtection="0"/>
    <xf numFmtId="0" fontId="115" fillId="0" borderId="0"/>
    <xf numFmtId="0" fontId="117" fillId="0" borderId="0"/>
    <xf numFmtId="0" fontId="118" fillId="0" borderId="0"/>
    <xf numFmtId="164" fontId="118" fillId="0" borderId="0" applyFont="0" applyFill="0" applyBorder="0" applyAlignment="0" applyProtection="0"/>
    <xf numFmtId="166" fontId="1" fillId="0" borderId="0" applyFont="0" applyFill="0" applyBorder="0" applyAlignment="0" applyProtection="0"/>
    <xf numFmtId="0" fontId="59" fillId="0" borderId="0"/>
    <xf numFmtId="0" fontId="1" fillId="0" borderId="0" applyNumberFormat="0" applyFont="0" applyBorder="0" applyAlignment="0"/>
    <xf numFmtId="0" fontId="1" fillId="0" borderId="0"/>
    <xf numFmtId="0" fontId="92" fillId="0" borderId="0"/>
    <xf numFmtId="0" fontId="1" fillId="0" borderId="0"/>
    <xf numFmtId="0" fontId="85" fillId="0" borderId="0"/>
    <xf numFmtId="0" fontId="85" fillId="0" borderId="0"/>
    <xf numFmtId="0" fontId="6" fillId="0" borderId="0"/>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6">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0" fontId="24" fillId="32" borderId="0" applyNumberFormat="0" applyBorder="0" applyAlignment="0" applyProtection="0"/>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0" fontId="67" fillId="0" borderId="0" applyNumberFormat="0" applyFill="0" applyBorder="0" applyAlignment="0" applyProtection="0"/>
    <xf numFmtId="0" fontId="1" fillId="59" borderId="1" applyNumberFormat="0" applyAlignment="0" applyProtection="0"/>
    <xf numFmtId="168" fontId="79" fillId="34" borderId="22">
      <alignment vertical="center"/>
    </xf>
    <xf numFmtId="168" fontId="79" fillId="34" borderId="22">
      <alignment vertical="center"/>
    </xf>
    <xf numFmtId="0" fontId="37" fillId="60" borderId="7" applyNumberFormat="0" applyAlignment="0" applyProtection="0"/>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0" fontId="84" fillId="0" borderId="0" applyNumberFormat="0" applyFill="0" applyBorder="0" applyAlignment="0" applyProtection="0"/>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0" fontId="6" fillId="0" borderId="0"/>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0" fontId="6"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164" fontId="6" fillId="0" borderId="0" applyFont="0" applyFill="0" applyBorder="0" applyAlignment="0" applyProtection="0">
      <alignment vertical="center"/>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90" fillId="0" borderId="0"/>
    <xf numFmtId="0" fontId="6" fillId="0" borderId="0"/>
    <xf numFmtId="168" fontId="79" fillId="34" borderId="22">
      <alignment vertical="center"/>
    </xf>
    <xf numFmtId="0" fontId="6" fillId="0" borderId="0"/>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0" fontId="6" fillId="0" borderId="0"/>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168" fontId="79" fillId="34" borderId="22">
      <alignment vertical="center"/>
    </xf>
    <xf numFmtId="0" fontId="6" fillId="0" borderId="0"/>
    <xf numFmtId="164" fontId="6" fillId="0" borderId="0" applyFont="0" applyFill="0" applyBorder="0" applyAlignment="0" applyProtection="0"/>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xf numFmtId="168" fontId="79" fillId="34" borderId="26">
      <alignment vertical="center"/>
    </xf>
  </cellStyleXfs>
  <cellXfs count="333">
    <xf numFmtId="0" fontId="0" fillId="0" borderId="0" xfId="0"/>
    <xf numFmtId="0" fontId="1" fillId="0" borderId="0" xfId="904"/>
    <xf numFmtId="0" fontId="3" fillId="0" borderId="0" xfId="904" applyFont="1" applyAlignment="1">
      <alignment vertical="top"/>
    </xf>
    <xf numFmtId="0" fontId="5" fillId="0" borderId="0" xfId="904" applyFont="1"/>
    <xf numFmtId="167" fontId="7" fillId="0" borderId="0" xfId="905" applyNumberFormat="1" applyFont="1" applyAlignment="1">
      <alignment vertical="top" wrapText="1"/>
    </xf>
    <xf numFmtId="0" fontId="8" fillId="0" borderId="0" xfId="904" applyFont="1"/>
    <xf numFmtId="167" fontId="7" fillId="0" borderId="0" xfId="904" quotePrefix="1" applyNumberFormat="1" applyFont="1" applyAlignment="1">
      <alignment wrapText="1"/>
    </xf>
    <xf numFmtId="0" fontId="3" fillId="0" borderId="0" xfId="904" applyFont="1" applyAlignment="1">
      <alignment vertical="top" wrapText="1"/>
    </xf>
    <xf numFmtId="167" fontId="9" fillId="0" borderId="0" xfId="905" applyNumberFormat="1" applyFont="1" applyAlignment="1">
      <alignment vertical="top" wrapText="1"/>
    </xf>
    <xf numFmtId="0" fontId="2" fillId="0" borderId="0" xfId="904" applyFont="1"/>
    <xf numFmtId="0" fontId="3" fillId="0" borderId="0" xfId="905" applyFont="1" applyAlignment="1">
      <alignment vertical="top"/>
    </xf>
    <xf numFmtId="0" fontId="1" fillId="0" borderId="0" xfId="904" applyAlignment="1">
      <alignment vertical="top"/>
    </xf>
    <xf numFmtId="167" fontId="1" fillId="0" borderId="0" xfId="904" applyNumberFormat="1"/>
    <xf numFmtId="0" fontId="76" fillId="0" borderId="0" xfId="899" applyFont="1" applyAlignment="1">
      <alignment horizontal="center" vertical="center" wrapText="1"/>
    </xf>
    <xf numFmtId="0" fontId="75" fillId="0" borderId="0" xfId="899" applyFont="1" applyAlignment="1">
      <alignment wrapText="1"/>
    </xf>
    <xf numFmtId="0" fontId="77" fillId="0" borderId="0" xfId="899" applyFont="1" applyAlignment="1">
      <alignment wrapText="1"/>
    </xf>
    <xf numFmtId="0" fontId="75" fillId="0" borderId="0" xfId="899" applyFont="1" applyAlignment="1">
      <alignment horizontal="right" vertical="top" wrapText="1"/>
    </xf>
    <xf numFmtId="0" fontId="2" fillId="0" borderId="0" xfId="904" applyFont="1" applyAlignment="1">
      <alignment horizontal="left" vertical="top" wrapText="1"/>
    </xf>
    <xf numFmtId="0" fontId="74" fillId="28" borderId="0" xfId="904" applyFont="1" applyFill="1" applyAlignment="1">
      <alignment horizontal="left" vertical="top" wrapText="1"/>
    </xf>
    <xf numFmtId="0" fontId="75" fillId="0" borderId="0" xfId="899" applyFont="1" applyAlignment="1">
      <alignment vertical="top" wrapText="1"/>
    </xf>
    <xf numFmtId="0" fontId="75" fillId="0" borderId="0" xfId="899" applyFont="1" applyAlignment="1">
      <alignment horizontal="center" wrapText="1"/>
    </xf>
    <xf numFmtId="0" fontId="73" fillId="29" borderId="0" xfId="904" applyFont="1" applyFill="1" applyAlignment="1">
      <alignment horizontal="left" vertical="top" wrapText="1"/>
    </xf>
    <xf numFmtId="167" fontId="7" fillId="0" borderId="0" xfId="906" applyNumberFormat="1" applyFont="1" applyAlignment="1">
      <alignment vertical="top" wrapText="1"/>
    </xf>
    <xf numFmtId="0" fontId="2" fillId="0" borderId="0" xfId="930" applyFont="1" applyAlignment="1">
      <alignment vertical="top" wrapText="1"/>
    </xf>
    <xf numFmtId="0" fontId="75" fillId="0" borderId="25" xfId="2404" applyFont="1" applyBorder="1" applyAlignment="1">
      <alignment vertical="top" wrapText="1"/>
    </xf>
    <xf numFmtId="0" fontId="75" fillId="0" borderId="25" xfId="2404" applyFont="1" applyBorder="1" applyAlignment="1">
      <alignment horizontal="center" wrapText="1"/>
    </xf>
    <xf numFmtId="0" fontId="74" fillId="71" borderId="0" xfId="2404" applyFont="1" applyFill="1" applyAlignment="1">
      <alignment horizontal="left" vertical="top" wrapText="1"/>
    </xf>
    <xf numFmtId="0" fontId="2" fillId="0" borderId="0" xfId="0" applyFont="1" applyAlignment="1">
      <alignment vertical="top" wrapText="1"/>
    </xf>
    <xf numFmtId="0" fontId="75" fillId="0" borderId="0" xfId="2404" applyFont="1" applyAlignment="1">
      <alignment wrapText="1"/>
    </xf>
    <xf numFmtId="0" fontId="77" fillId="0" borderId="0" xfId="2404" applyFont="1" applyAlignment="1">
      <alignment wrapText="1"/>
    </xf>
    <xf numFmtId="181" fontId="74" fillId="0" borderId="0" xfId="904" applyNumberFormat="1" applyFont="1"/>
    <xf numFmtId="181" fontId="3" fillId="0" borderId="0" xfId="904" applyNumberFormat="1" applyFont="1"/>
    <xf numFmtId="167" fontId="7" fillId="0" borderId="0" xfId="904" applyNumberFormat="1" applyFont="1" applyAlignment="1">
      <alignment wrapText="1"/>
    </xf>
    <xf numFmtId="0" fontId="3" fillId="0" borderId="0" xfId="2406" applyFont="1" applyAlignment="1">
      <alignment vertical="top"/>
    </xf>
    <xf numFmtId="167" fontId="7" fillId="0" borderId="0" xfId="2406" quotePrefix="1" applyNumberFormat="1" applyFont="1" applyAlignment="1">
      <alignment wrapText="1"/>
    </xf>
    <xf numFmtId="181" fontId="3" fillId="0" borderId="0" xfId="2406" applyNumberFormat="1" applyFont="1"/>
    <xf numFmtId="0" fontId="5" fillId="0" borderId="0" xfId="2406" applyFont="1"/>
    <xf numFmtId="181" fontId="9" fillId="0" borderId="0" xfId="904" applyNumberFormat="1" applyFont="1" applyAlignment="1">
      <alignment horizontal="center" vertical="center"/>
    </xf>
    <xf numFmtId="0" fontId="119" fillId="0" borderId="0" xfId="891" applyFont="1"/>
    <xf numFmtId="167" fontId="73" fillId="0" borderId="0" xfId="905" applyNumberFormat="1" applyFont="1" applyAlignment="1">
      <alignment vertical="top" wrapText="1"/>
    </xf>
    <xf numFmtId="176" fontId="8" fillId="0" borderId="0" xfId="904" applyNumberFormat="1" applyFont="1"/>
    <xf numFmtId="176" fontId="5" fillId="0" borderId="0" xfId="904" applyNumberFormat="1" applyFont="1"/>
    <xf numFmtId="176" fontId="2" fillId="0" borderId="0" xfId="2404" applyNumberFormat="1" applyFont="1"/>
    <xf numFmtId="0" fontId="2" fillId="0" borderId="0" xfId="2404" applyFont="1" applyAlignment="1">
      <alignment wrapText="1"/>
    </xf>
    <xf numFmtId="167" fontId="3" fillId="0" borderId="0" xfId="905" applyNumberFormat="1" applyFont="1"/>
    <xf numFmtId="167" fontId="3" fillId="0" borderId="0" xfId="904" applyNumberFormat="1" applyFont="1" applyAlignment="1">
      <alignment vertical="top"/>
    </xf>
    <xf numFmtId="4" fontId="74" fillId="23" borderId="27" xfId="972" applyNumberFormat="1" applyFont="1" applyFill="1" applyBorder="1" applyAlignment="1">
      <alignment vertical="top" wrapText="1"/>
    </xf>
    <xf numFmtId="176" fontId="7" fillId="23" borderId="27" xfId="2404" applyNumberFormat="1" applyFont="1" applyFill="1" applyBorder="1" applyAlignment="1">
      <alignment horizontal="center" wrapText="1"/>
    </xf>
    <xf numFmtId="0" fontId="2" fillId="0" borderId="27" xfId="0" applyFont="1" applyBorder="1" applyAlignment="1">
      <alignment horizontal="right"/>
    </xf>
    <xf numFmtId="0" fontId="2" fillId="0" borderId="27" xfId="2404" applyFont="1" applyBorder="1" applyAlignment="1">
      <alignment horizontal="center" wrapText="1"/>
    </xf>
    <xf numFmtId="176" fontId="2" fillId="0" borderId="27" xfId="2404" applyNumberFormat="1" applyFont="1" applyBorder="1" applyAlignment="1">
      <alignment horizontal="right"/>
    </xf>
    <xf numFmtId="0" fontId="74" fillId="0" borderId="28" xfId="0" applyFont="1" applyBorder="1" applyAlignment="1">
      <alignment horizontal="right"/>
    </xf>
    <xf numFmtId="4" fontId="74" fillId="0" borderId="29" xfId="2404" applyNumberFormat="1" applyFont="1" applyBorder="1"/>
    <xf numFmtId="0" fontId="6" fillId="0" borderId="0" xfId="904" applyFont="1"/>
    <xf numFmtId="0" fontId="74" fillId="0" borderId="31" xfId="904" applyFont="1" applyBorder="1" applyAlignment="1">
      <alignment horizontal="right" vertical="top"/>
    </xf>
    <xf numFmtId="167" fontId="74" fillId="0" borderId="31" xfId="903" quotePrefix="1" applyNumberFormat="1" applyFont="1" applyBorder="1" applyAlignment="1">
      <alignment vertical="top" wrapText="1"/>
    </xf>
    <xf numFmtId="0" fontId="74" fillId="0" borderId="32" xfId="904" applyFont="1" applyBorder="1" applyAlignment="1">
      <alignment horizontal="right" vertical="top"/>
    </xf>
    <xf numFmtId="167" fontId="74" fillId="0" borderId="32" xfId="903" quotePrefix="1" applyNumberFormat="1" applyFont="1" applyBorder="1" applyAlignment="1">
      <alignment vertical="top" wrapText="1"/>
    </xf>
    <xf numFmtId="0" fontId="74" fillId="0" borderId="32" xfId="904" applyFont="1" applyBorder="1" applyAlignment="1">
      <alignment horizontal="left" vertical="top"/>
    </xf>
    <xf numFmtId="0" fontId="74" fillId="0" borderId="34" xfId="904" applyFont="1" applyBorder="1" applyAlignment="1">
      <alignment horizontal="right" vertical="top"/>
    </xf>
    <xf numFmtId="0" fontId="74" fillId="0" borderId="34" xfId="904" applyFont="1" applyBorder="1" applyAlignment="1">
      <alignment horizontal="left" vertical="top"/>
    </xf>
    <xf numFmtId="0" fontId="120" fillId="23" borderId="27" xfId="0" applyFont="1" applyFill="1" applyBorder="1" applyAlignment="1">
      <alignment horizontal="left" vertical="top" wrapText="1"/>
    </xf>
    <xf numFmtId="2" fontId="125" fillId="0" borderId="0" xfId="899" applyNumberFormat="1" applyFont="1" applyAlignment="1">
      <alignment horizontal="center" wrapText="1"/>
    </xf>
    <xf numFmtId="181" fontId="125" fillId="0" borderId="0" xfId="899" applyNumberFormat="1" applyFont="1" applyAlignment="1">
      <alignment wrapText="1"/>
    </xf>
    <xf numFmtId="2" fontId="131" fillId="0" borderId="0" xfId="899" applyNumberFormat="1" applyFont="1" applyAlignment="1">
      <alignment horizontal="center" wrapText="1"/>
    </xf>
    <xf numFmtId="181" fontId="131" fillId="0" borderId="0" xfId="899" applyNumberFormat="1" applyFont="1" applyAlignment="1">
      <alignment wrapText="1"/>
    </xf>
    <xf numFmtId="2" fontId="137" fillId="0" borderId="0" xfId="899" applyNumberFormat="1" applyFont="1" applyAlignment="1">
      <alignment horizontal="center" wrapText="1"/>
    </xf>
    <xf numFmtId="181" fontId="137" fillId="0" borderId="0" xfId="899" applyNumberFormat="1" applyFont="1" applyAlignment="1">
      <alignment wrapText="1"/>
    </xf>
    <xf numFmtId="176" fontId="2" fillId="0" borderId="43" xfId="2404" applyNumberFormat="1" applyFont="1" applyBorder="1" applyAlignment="1">
      <alignment horizontal="right"/>
    </xf>
    <xf numFmtId="2" fontId="143" fillId="0" borderId="0" xfId="899" applyNumberFormat="1" applyFont="1" applyAlignment="1">
      <alignment horizontal="center" wrapText="1"/>
    </xf>
    <xf numFmtId="181" fontId="143" fillId="0" borderId="0" xfId="899" applyNumberFormat="1" applyFont="1" applyAlignment="1">
      <alignment wrapText="1"/>
    </xf>
    <xf numFmtId="2" fontId="149" fillId="0" borderId="0" xfId="899" applyNumberFormat="1" applyFont="1" applyAlignment="1">
      <alignment horizontal="center" wrapText="1"/>
    </xf>
    <xf numFmtId="181" fontId="149" fillId="0" borderId="0" xfId="899" applyNumberFormat="1" applyFont="1" applyAlignment="1">
      <alignment wrapText="1"/>
    </xf>
    <xf numFmtId="2" fontId="155" fillId="0" borderId="0" xfId="899" applyNumberFormat="1" applyFont="1" applyAlignment="1">
      <alignment horizontal="center" wrapText="1"/>
    </xf>
    <xf numFmtId="181" fontId="155" fillId="0" borderId="0" xfId="899" applyNumberFormat="1" applyFont="1" applyAlignment="1">
      <alignment wrapText="1"/>
    </xf>
    <xf numFmtId="2" fontId="161" fillId="0" borderId="0" xfId="899" applyNumberFormat="1" applyFont="1" applyAlignment="1">
      <alignment horizontal="center" wrapText="1"/>
    </xf>
    <xf numFmtId="181" fontId="161" fillId="0" borderId="0" xfId="899" applyNumberFormat="1" applyFont="1" applyAlignment="1">
      <alignment wrapText="1"/>
    </xf>
    <xf numFmtId="2" fontId="167" fillId="0" borderId="0" xfId="899" applyNumberFormat="1" applyFont="1" applyAlignment="1">
      <alignment horizontal="center" wrapText="1"/>
    </xf>
    <xf numFmtId="181" fontId="167" fillId="0" borderId="0" xfId="899" applyNumberFormat="1" applyFont="1" applyAlignment="1">
      <alignment wrapText="1"/>
    </xf>
    <xf numFmtId="2" fontId="173" fillId="0" borderId="0" xfId="899" applyNumberFormat="1" applyFont="1" applyAlignment="1">
      <alignment horizontal="center" wrapText="1"/>
    </xf>
    <xf numFmtId="181" fontId="173" fillId="0" borderId="0" xfId="899" applyNumberFormat="1" applyFont="1" applyAlignment="1">
      <alignment wrapText="1"/>
    </xf>
    <xf numFmtId="2" fontId="179" fillId="0" borderId="0" xfId="899" applyNumberFormat="1" applyFont="1" applyAlignment="1">
      <alignment horizontal="center" wrapText="1"/>
    </xf>
    <xf numFmtId="181" fontId="179" fillId="0" borderId="0" xfId="899" applyNumberFormat="1" applyFont="1" applyAlignment="1">
      <alignment wrapText="1"/>
    </xf>
    <xf numFmtId="182" fontId="75" fillId="0" borderId="0" xfId="899" applyNumberFormat="1" applyFont="1" applyAlignment="1">
      <alignment horizontal="center" wrapText="1"/>
    </xf>
    <xf numFmtId="2" fontId="123" fillId="0" borderId="41" xfId="891" applyNumberFormat="1" applyFont="1" applyBorder="1" applyAlignment="1">
      <alignment horizontal="center" vertical="center" wrapText="1"/>
    </xf>
    <xf numFmtId="181" fontId="123" fillId="0" borderId="42" xfId="891" applyNumberFormat="1" applyFont="1" applyBorder="1" applyAlignment="1">
      <alignment horizontal="center" vertical="center" wrapText="1"/>
    </xf>
    <xf numFmtId="2" fontId="129" fillId="0" borderId="41" xfId="891" applyNumberFormat="1" applyFont="1" applyBorder="1" applyAlignment="1">
      <alignment horizontal="center" vertical="center" wrapText="1"/>
    </xf>
    <xf numFmtId="181" fontId="129" fillId="0" borderId="42" xfId="891" applyNumberFormat="1" applyFont="1" applyBorder="1" applyAlignment="1">
      <alignment horizontal="center" vertical="center" wrapText="1"/>
    </xf>
    <xf numFmtId="2" fontId="135" fillId="0" borderId="41" xfId="891" applyNumberFormat="1" applyFont="1" applyBorder="1" applyAlignment="1">
      <alignment horizontal="center" vertical="center" wrapText="1"/>
    </xf>
    <xf numFmtId="181" fontId="135" fillId="0" borderId="42" xfId="891" applyNumberFormat="1" applyFont="1" applyBorder="1" applyAlignment="1">
      <alignment horizontal="center" vertical="center" wrapText="1"/>
    </xf>
    <xf numFmtId="2" fontId="141" fillId="0" borderId="41" xfId="891" applyNumberFormat="1" applyFont="1" applyBorder="1" applyAlignment="1">
      <alignment horizontal="center" vertical="center" wrapText="1"/>
    </xf>
    <xf numFmtId="181" fontId="141" fillId="0" borderId="42" xfId="891" applyNumberFormat="1" applyFont="1" applyBorder="1" applyAlignment="1">
      <alignment horizontal="center" vertical="center" wrapText="1"/>
    </xf>
    <xf numFmtId="2" fontId="147" fillId="0" borderId="41" xfId="891" applyNumberFormat="1" applyFont="1" applyBorder="1" applyAlignment="1">
      <alignment horizontal="center" vertical="center" wrapText="1"/>
    </xf>
    <xf numFmtId="181" fontId="147" fillId="0" borderId="42" xfId="891" applyNumberFormat="1" applyFont="1" applyBorder="1" applyAlignment="1">
      <alignment horizontal="center" vertical="center" wrapText="1"/>
    </xf>
    <xf numFmtId="2" fontId="153" fillId="0" borderId="41" xfId="891" applyNumberFormat="1" applyFont="1" applyBorder="1" applyAlignment="1">
      <alignment horizontal="center" vertical="center" wrapText="1"/>
    </xf>
    <xf numFmtId="181" fontId="153" fillId="0" borderId="42" xfId="891" applyNumberFormat="1" applyFont="1" applyBorder="1" applyAlignment="1">
      <alignment horizontal="center" vertical="center" wrapText="1"/>
    </xf>
    <xf numFmtId="2" fontId="159" fillId="0" borderId="41" xfId="891" applyNumberFormat="1" applyFont="1" applyBorder="1" applyAlignment="1">
      <alignment horizontal="center" vertical="center" wrapText="1"/>
    </xf>
    <xf numFmtId="181" fontId="159" fillId="0" borderId="42" xfId="891" applyNumberFormat="1" applyFont="1" applyBorder="1" applyAlignment="1">
      <alignment horizontal="center" vertical="center" wrapText="1"/>
    </xf>
    <xf numFmtId="2" fontId="165" fillId="0" borderId="41" xfId="891" applyNumberFormat="1" applyFont="1" applyBorder="1" applyAlignment="1">
      <alignment horizontal="center" vertical="center" wrapText="1"/>
    </xf>
    <xf numFmtId="181" fontId="165" fillId="0" borderId="42" xfId="891" applyNumberFormat="1" applyFont="1" applyBorder="1" applyAlignment="1">
      <alignment horizontal="center" vertical="center" wrapText="1"/>
    </xf>
    <xf numFmtId="2" fontId="171" fillId="0" borderId="41" xfId="891" applyNumberFormat="1" applyFont="1" applyBorder="1" applyAlignment="1">
      <alignment horizontal="center" vertical="center" wrapText="1"/>
    </xf>
    <xf numFmtId="181" fontId="171" fillId="0" borderId="42" xfId="891" applyNumberFormat="1" applyFont="1" applyBorder="1" applyAlignment="1">
      <alignment horizontal="center" vertical="center" wrapText="1"/>
    </xf>
    <xf numFmtId="2" fontId="177" fillId="0" borderId="41" xfId="891" applyNumberFormat="1" applyFont="1" applyBorder="1" applyAlignment="1">
      <alignment horizontal="center" vertical="center" wrapText="1"/>
    </xf>
    <xf numFmtId="181" fontId="177" fillId="0" borderId="42" xfId="891" applyNumberFormat="1" applyFont="1" applyBorder="1" applyAlignment="1">
      <alignment horizontal="center" vertical="center" wrapText="1"/>
    </xf>
    <xf numFmtId="4" fontId="75" fillId="0" borderId="32" xfId="2404" applyNumberFormat="1" applyFont="1" applyBorder="1" applyAlignment="1">
      <alignment vertical="top" wrapText="1"/>
    </xf>
    <xf numFmtId="176" fontId="3" fillId="0" borderId="25" xfId="0" applyNumberFormat="1" applyFont="1" applyBorder="1" applyAlignment="1">
      <alignment horizontal="left"/>
    </xf>
    <xf numFmtId="176" fontId="3" fillId="0" borderId="32" xfId="0" applyNumberFormat="1" applyFont="1" applyBorder="1" applyAlignment="1">
      <alignment horizontal="left"/>
    </xf>
    <xf numFmtId="176" fontId="3" fillId="0" borderId="33" xfId="0" applyNumberFormat="1" applyFont="1" applyBorder="1" applyAlignment="1">
      <alignment horizontal="left"/>
    </xf>
    <xf numFmtId="0" fontId="74" fillId="0" borderId="33" xfId="904" applyFont="1" applyBorder="1" applyAlignment="1">
      <alignment horizontal="right" vertical="top"/>
    </xf>
    <xf numFmtId="0" fontId="74" fillId="0" borderId="33" xfId="904" applyFont="1" applyBorder="1" applyAlignment="1">
      <alignment horizontal="left" vertical="top"/>
    </xf>
    <xf numFmtId="181" fontId="3" fillId="0" borderId="33" xfId="904" applyNumberFormat="1" applyFont="1" applyBorder="1"/>
    <xf numFmtId="0" fontId="75" fillId="0" borderId="32" xfId="2404" applyFont="1" applyBorder="1" applyAlignment="1">
      <alignment horizontal="center" wrapText="1"/>
    </xf>
    <xf numFmtId="0" fontId="75" fillId="0" borderId="32" xfId="899" applyFont="1" applyBorder="1" applyAlignment="1">
      <alignment vertical="top" wrapText="1"/>
    </xf>
    <xf numFmtId="0" fontId="75" fillId="0" borderId="32" xfId="899" applyFont="1" applyBorder="1" applyAlignment="1">
      <alignment horizontal="center" wrapText="1"/>
    </xf>
    <xf numFmtId="181" fontId="132" fillId="0" borderId="48" xfId="899" applyNumberFormat="1" applyFont="1" applyBorder="1" applyAlignment="1">
      <alignment wrapText="1"/>
    </xf>
    <xf numFmtId="2" fontId="131" fillId="0" borderId="47" xfId="899" applyNumberFormat="1" applyFont="1" applyBorder="1" applyAlignment="1">
      <alignment horizontal="center" wrapText="1"/>
    </xf>
    <xf numFmtId="181" fontId="131" fillId="0" borderId="48" xfId="899" applyNumberFormat="1" applyFont="1" applyBorder="1" applyAlignment="1">
      <alignment wrapText="1"/>
    </xf>
    <xf numFmtId="2" fontId="137" fillId="0" borderId="45" xfId="2404" applyNumberFormat="1" applyFont="1" applyBorder="1" applyAlignment="1">
      <alignment horizontal="center" wrapText="1"/>
    </xf>
    <xf numFmtId="181" fontId="138" fillId="0" borderId="46" xfId="2404" applyNumberFormat="1" applyFont="1" applyBorder="1" applyAlignment="1">
      <alignment wrapText="1"/>
    </xf>
    <xf numFmtId="2" fontId="138" fillId="0" borderId="47" xfId="0" applyNumberFormat="1" applyFont="1" applyBorder="1" applyAlignment="1" applyProtection="1">
      <alignment horizontal="center"/>
      <protection locked="0"/>
    </xf>
    <xf numFmtId="181" fontId="138" fillId="0" borderId="48" xfId="899" applyNumberFormat="1" applyFont="1" applyBorder="1" applyAlignment="1">
      <alignment wrapText="1"/>
    </xf>
    <xf numFmtId="2" fontId="138" fillId="0" borderId="47" xfId="0" applyNumberFormat="1" applyFont="1" applyBorder="1" applyAlignment="1">
      <alignment horizontal="center" wrapText="1"/>
    </xf>
    <xf numFmtId="181" fontId="138" fillId="0" borderId="48" xfId="2404" applyNumberFormat="1" applyFont="1" applyBorder="1" applyAlignment="1">
      <alignment wrapText="1"/>
    </xf>
    <xf numFmtId="2" fontId="138" fillId="0" borderId="47" xfId="0" applyNumberFormat="1" applyFont="1" applyBorder="1" applyAlignment="1">
      <alignment horizontal="center"/>
    </xf>
    <xf numFmtId="181" fontId="138" fillId="0" borderId="48" xfId="0" applyNumberFormat="1" applyFont="1" applyBorder="1" applyAlignment="1">
      <alignment horizontal="right"/>
    </xf>
    <xf numFmtId="181" fontId="138" fillId="0" borderId="48" xfId="0" applyNumberFormat="1" applyFont="1" applyBorder="1" applyAlignment="1">
      <alignment horizontal="right" wrapText="1"/>
    </xf>
    <xf numFmtId="181" fontId="138" fillId="0" borderId="48" xfId="0" applyNumberFormat="1" applyFont="1" applyBorder="1"/>
    <xf numFmtId="2" fontId="137" fillId="0" borderId="47" xfId="899" applyNumberFormat="1" applyFont="1" applyBorder="1" applyAlignment="1">
      <alignment horizontal="center" wrapText="1"/>
    </xf>
    <xf numFmtId="181" fontId="137" fillId="0" borderId="48" xfId="899" applyNumberFormat="1" applyFont="1" applyBorder="1" applyAlignment="1">
      <alignment wrapText="1"/>
    </xf>
    <xf numFmtId="181" fontId="126" fillId="0" borderId="48" xfId="899" applyNumberFormat="1" applyFont="1" applyBorder="1" applyAlignment="1">
      <alignment wrapText="1"/>
    </xf>
    <xf numFmtId="2" fontId="125" fillId="0" borderId="47" xfId="899" applyNumberFormat="1" applyFont="1" applyBorder="1" applyAlignment="1">
      <alignment horizontal="center" wrapText="1"/>
    </xf>
    <xf numFmtId="181" fontId="125" fillId="0" borderId="48" xfId="899" applyNumberFormat="1" applyFont="1" applyBorder="1" applyAlignment="1">
      <alignment wrapText="1"/>
    </xf>
    <xf numFmtId="181" fontId="144" fillId="0" borderId="48" xfId="899" applyNumberFormat="1" applyFont="1" applyBorder="1" applyAlignment="1">
      <alignment wrapText="1"/>
    </xf>
    <xf numFmtId="2" fontId="143" fillId="0" borderId="47" xfId="899" applyNumberFormat="1" applyFont="1" applyBorder="1" applyAlignment="1">
      <alignment horizontal="center" wrapText="1"/>
    </xf>
    <xf numFmtId="181" fontId="143" fillId="0" borderId="48" xfId="899" applyNumberFormat="1" applyFont="1" applyBorder="1" applyAlignment="1">
      <alignment wrapText="1"/>
    </xf>
    <xf numFmtId="181" fontId="150" fillId="0" borderId="48" xfId="899" applyNumberFormat="1" applyFont="1" applyBorder="1" applyAlignment="1">
      <alignment wrapText="1"/>
    </xf>
    <xf numFmtId="2" fontId="149" fillId="0" borderId="47" xfId="899" applyNumberFormat="1" applyFont="1" applyBorder="1" applyAlignment="1">
      <alignment horizontal="center" wrapText="1"/>
    </xf>
    <xf numFmtId="181" fontId="149" fillId="0" borderId="48" xfId="899" applyNumberFormat="1" applyFont="1" applyBorder="1" applyAlignment="1">
      <alignment wrapText="1"/>
    </xf>
    <xf numFmtId="181" fontId="156" fillId="0" borderId="48" xfId="899" applyNumberFormat="1" applyFont="1" applyBorder="1" applyAlignment="1">
      <alignment wrapText="1"/>
    </xf>
    <xf numFmtId="181" fontId="156" fillId="0" borderId="48" xfId="2404" applyNumberFormat="1" applyFont="1" applyBorder="1" applyAlignment="1">
      <alignment wrapText="1"/>
    </xf>
    <xf numFmtId="2" fontId="156" fillId="0" borderId="47" xfId="0" applyNumberFormat="1" applyFont="1" applyBorder="1" applyAlignment="1">
      <alignment horizontal="center" wrapText="1"/>
    </xf>
    <xf numFmtId="2" fontId="155" fillId="0" borderId="47" xfId="899" applyNumberFormat="1" applyFont="1" applyBorder="1" applyAlignment="1">
      <alignment horizontal="center" wrapText="1"/>
    </xf>
    <xf numFmtId="181" fontId="155" fillId="0" borderId="48" xfId="899" applyNumberFormat="1" applyFont="1" applyBorder="1" applyAlignment="1">
      <alignment wrapText="1"/>
    </xf>
    <xf numFmtId="181" fontId="162" fillId="0" borderId="48" xfId="899" applyNumberFormat="1" applyFont="1" applyBorder="1" applyAlignment="1">
      <alignment wrapText="1"/>
    </xf>
    <xf numFmtId="2" fontId="161" fillId="0" borderId="47" xfId="899" applyNumberFormat="1" applyFont="1" applyBorder="1" applyAlignment="1">
      <alignment horizontal="center" wrapText="1"/>
    </xf>
    <xf numFmtId="181" fontId="161" fillId="0" borderId="48" xfId="899" applyNumberFormat="1" applyFont="1" applyBorder="1" applyAlignment="1">
      <alignment wrapText="1"/>
    </xf>
    <xf numFmtId="181" fontId="168" fillId="0" borderId="48" xfId="899" applyNumberFormat="1" applyFont="1" applyBorder="1" applyAlignment="1">
      <alignment wrapText="1"/>
    </xf>
    <xf numFmtId="2" fontId="167" fillId="0" borderId="47" xfId="899" applyNumberFormat="1" applyFont="1" applyBorder="1" applyAlignment="1">
      <alignment horizontal="center" wrapText="1"/>
    </xf>
    <xf numFmtId="181" fontId="167" fillId="0" borderId="48" xfId="899" applyNumberFormat="1" applyFont="1" applyBorder="1" applyAlignment="1">
      <alignment wrapText="1"/>
    </xf>
    <xf numFmtId="181" fontId="174" fillId="0" borderId="48" xfId="899" applyNumberFormat="1" applyFont="1" applyBorder="1" applyAlignment="1">
      <alignment wrapText="1"/>
    </xf>
    <xf numFmtId="2" fontId="173" fillId="0" borderId="47" xfId="899" applyNumberFormat="1" applyFont="1" applyBorder="1" applyAlignment="1">
      <alignment horizontal="center" wrapText="1"/>
    </xf>
    <xf numFmtId="181" fontId="173" fillId="0" borderId="48" xfId="899" applyNumberFormat="1" applyFont="1" applyBorder="1" applyAlignment="1">
      <alignment wrapText="1"/>
    </xf>
    <xf numFmtId="2" fontId="179" fillId="0" borderId="45" xfId="2404" applyNumberFormat="1" applyFont="1" applyBorder="1" applyAlignment="1">
      <alignment horizontal="center" wrapText="1"/>
    </xf>
    <xf numFmtId="181" fontId="180" fillId="0" borderId="46" xfId="2404" applyNumberFormat="1" applyFont="1" applyBorder="1" applyAlignment="1">
      <alignment wrapText="1"/>
    </xf>
    <xf numFmtId="2" fontId="180" fillId="0" borderId="47" xfId="0" applyNumberFormat="1" applyFont="1" applyBorder="1" applyAlignment="1" applyProtection="1">
      <alignment horizontal="center"/>
      <protection locked="0"/>
    </xf>
    <xf numFmtId="181" fontId="180" fillId="0" borderId="48" xfId="899" applyNumberFormat="1" applyFont="1" applyBorder="1" applyAlignment="1">
      <alignment wrapText="1"/>
    </xf>
    <xf numFmtId="2" fontId="180" fillId="0" borderId="47" xfId="0" applyNumberFormat="1" applyFont="1" applyBorder="1" applyAlignment="1">
      <alignment horizontal="center" wrapText="1"/>
    </xf>
    <xf numFmtId="181" fontId="180" fillId="0" borderId="48" xfId="2404" applyNumberFormat="1" applyFont="1" applyBorder="1" applyAlignment="1">
      <alignment wrapText="1"/>
    </xf>
    <xf numFmtId="2" fontId="180" fillId="0" borderId="47" xfId="0" applyNumberFormat="1" applyFont="1" applyBorder="1" applyAlignment="1">
      <alignment horizontal="center"/>
    </xf>
    <xf numFmtId="181" fontId="180" fillId="0" borderId="48" xfId="0" applyNumberFormat="1" applyFont="1" applyBorder="1" applyAlignment="1">
      <alignment horizontal="right"/>
    </xf>
    <xf numFmtId="181" fontId="180" fillId="0" borderId="48" xfId="0" applyNumberFormat="1" applyFont="1" applyBorder="1" applyAlignment="1">
      <alignment horizontal="right" wrapText="1"/>
    </xf>
    <xf numFmtId="181" fontId="180" fillId="0" borderId="48" xfId="0" applyNumberFormat="1" applyFont="1" applyBorder="1"/>
    <xf numFmtId="2" fontId="179" fillId="0" borderId="47" xfId="899" applyNumberFormat="1" applyFont="1" applyBorder="1" applyAlignment="1">
      <alignment horizontal="center" wrapText="1"/>
    </xf>
    <xf numFmtId="181" fontId="179" fillId="0" borderId="48" xfId="899" applyNumberFormat="1" applyFont="1" applyBorder="1" applyAlignment="1">
      <alignment wrapText="1"/>
    </xf>
    <xf numFmtId="0" fontId="76" fillId="72" borderId="37" xfId="899" applyFont="1" applyFill="1" applyBorder="1" applyAlignment="1">
      <alignment horizontal="right" vertical="top" wrapText="1"/>
    </xf>
    <xf numFmtId="0" fontId="76" fillId="72" borderId="27" xfId="899" applyFont="1" applyFill="1" applyBorder="1" applyAlignment="1">
      <alignment horizontal="left" vertical="top" wrapText="1"/>
    </xf>
    <xf numFmtId="0" fontId="76" fillId="72" borderId="27" xfId="899" applyFont="1" applyFill="1" applyBorder="1" applyAlignment="1">
      <alignment horizontal="center" vertical="center" wrapText="1"/>
    </xf>
    <xf numFmtId="0" fontId="75" fillId="0" borderId="47" xfId="2404" applyFont="1" applyBorder="1" applyAlignment="1">
      <alignment vertical="top" wrapText="1"/>
    </xf>
    <xf numFmtId="2" fontId="180" fillId="0" borderId="52" xfId="0" applyNumberFormat="1" applyFont="1" applyBorder="1" applyAlignment="1">
      <alignment horizontal="center" wrapText="1"/>
    </xf>
    <xf numFmtId="181" fontId="180" fillId="0" borderId="53" xfId="2404" applyNumberFormat="1" applyFont="1" applyBorder="1" applyAlignment="1">
      <alignment wrapText="1"/>
    </xf>
    <xf numFmtId="182" fontId="75" fillId="0" borderId="54" xfId="2404" applyNumberFormat="1" applyFont="1" applyBorder="1" applyAlignment="1">
      <alignment horizontal="center" wrapText="1"/>
    </xf>
    <xf numFmtId="182" fontId="75" fillId="0" borderId="48" xfId="2404" applyNumberFormat="1" applyFont="1" applyBorder="1" applyAlignment="1">
      <alignment horizontal="center" wrapText="1"/>
    </xf>
    <xf numFmtId="182" fontId="75" fillId="0" borderId="48" xfId="0" applyNumberFormat="1" applyFont="1" applyBorder="1" applyAlignment="1" applyProtection="1">
      <alignment horizontal="center" wrapText="1"/>
      <protection locked="0"/>
    </xf>
    <xf numFmtId="182" fontId="75" fillId="0" borderId="48" xfId="0" applyNumberFormat="1" applyFont="1" applyBorder="1" applyAlignment="1">
      <alignment horizontal="center" wrapText="1"/>
    </xf>
    <xf numFmtId="2" fontId="131" fillId="0" borderId="45" xfId="2404" applyNumberFormat="1" applyFont="1" applyBorder="1" applyAlignment="1">
      <alignment horizontal="center" wrapText="1"/>
    </xf>
    <xf numFmtId="181" fontId="132" fillId="0" borderId="46" xfId="2404" applyNumberFormat="1" applyFont="1" applyBorder="1" applyAlignment="1">
      <alignment wrapText="1"/>
    </xf>
    <xf numFmtId="2" fontId="132" fillId="0" borderId="47" xfId="0" applyNumberFormat="1" applyFont="1" applyBorder="1" applyAlignment="1" applyProtection="1">
      <alignment horizontal="center"/>
      <protection locked="0"/>
    </xf>
    <xf numFmtId="2" fontId="132" fillId="0" borderId="47" xfId="0" applyNumberFormat="1" applyFont="1" applyBorder="1" applyAlignment="1">
      <alignment horizontal="center" wrapText="1"/>
    </xf>
    <xf numFmtId="181" fontId="132" fillId="0" borderId="48" xfId="2404" applyNumberFormat="1" applyFont="1" applyBorder="1" applyAlignment="1">
      <alignment wrapText="1"/>
    </xf>
    <xf numFmtId="2" fontId="132" fillId="0" borderId="47" xfId="0" applyNumberFormat="1" applyFont="1" applyBorder="1" applyAlignment="1">
      <alignment horizontal="center"/>
    </xf>
    <xf numFmtId="181" fontId="132" fillId="0" borderId="48" xfId="0" applyNumberFormat="1" applyFont="1" applyBorder="1" applyAlignment="1">
      <alignment horizontal="right"/>
    </xf>
    <xf numFmtId="181" fontId="132" fillId="0" borderId="48" xfId="0" applyNumberFormat="1" applyFont="1" applyBorder="1" applyAlignment="1">
      <alignment horizontal="right" wrapText="1"/>
    </xf>
    <xf numFmtId="181" fontId="132" fillId="0" borderId="48" xfId="0" applyNumberFormat="1" applyFont="1" applyBorder="1"/>
    <xf numFmtId="2" fontId="125" fillId="0" borderId="45" xfId="2404" applyNumberFormat="1" applyFont="1" applyBorder="1" applyAlignment="1">
      <alignment horizontal="center" wrapText="1"/>
    </xf>
    <xf numFmtId="181" fontId="126" fillId="0" borderId="46" xfId="2404" applyNumberFormat="1" applyFont="1" applyBorder="1" applyAlignment="1">
      <alignment wrapText="1"/>
    </xf>
    <xf numFmtId="2" fontId="126" fillId="0" borderId="47" xfId="0" applyNumberFormat="1" applyFont="1" applyBorder="1" applyAlignment="1" applyProtection="1">
      <alignment horizontal="center"/>
      <protection locked="0"/>
    </xf>
    <xf numFmtId="2" fontId="126" fillId="0" borderId="47" xfId="0" applyNumberFormat="1" applyFont="1" applyBorder="1" applyAlignment="1">
      <alignment horizontal="center" wrapText="1"/>
    </xf>
    <xf numFmtId="181" fontId="126" fillId="0" borderId="48" xfId="2404" applyNumberFormat="1" applyFont="1" applyBorder="1" applyAlignment="1">
      <alignment wrapText="1"/>
    </xf>
    <xf numFmtId="2" fontId="126" fillId="0" borderId="47" xfId="0" applyNumberFormat="1" applyFont="1" applyBorder="1" applyAlignment="1">
      <alignment horizontal="center"/>
    </xf>
    <xf numFmtId="181" fontId="126" fillId="0" borderId="48" xfId="0" applyNumberFormat="1" applyFont="1" applyBorder="1" applyAlignment="1">
      <alignment horizontal="right"/>
    </xf>
    <xf numFmtId="181" fontId="126" fillId="0" borderId="48" xfId="0" applyNumberFormat="1" applyFont="1" applyBorder="1" applyAlignment="1">
      <alignment horizontal="right" wrapText="1"/>
    </xf>
    <xf numFmtId="181" fontId="126" fillId="0" borderId="48" xfId="0" applyNumberFormat="1" applyFont="1" applyBorder="1"/>
    <xf numFmtId="2" fontId="143" fillId="0" borderId="45" xfId="2404" applyNumberFormat="1" applyFont="1" applyBorder="1" applyAlignment="1">
      <alignment horizontal="center" wrapText="1"/>
    </xf>
    <xf numFmtId="181" fontId="144" fillId="0" borderId="46" xfId="2404" applyNumberFormat="1" applyFont="1" applyBorder="1" applyAlignment="1">
      <alignment wrapText="1"/>
    </xf>
    <xf numFmtId="2" fontId="144" fillId="0" borderId="47" xfId="0" applyNumberFormat="1" applyFont="1" applyBorder="1" applyAlignment="1" applyProtection="1">
      <alignment horizontal="center"/>
      <protection locked="0"/>
    </xf>
    <xf numFmtId="2" fontId="144" fillId="0" borderId="47" xfId="0" applyNumberFormat="1" applyFont="1" applyBorder="1" applyAlignment="1">
      <alignment horizontal="center" wrapText="1"/>
    </xf>
    <xf numFmtId="181" fontId="144" fillId="0" borderId="48" xfId="2404" applyNumberFormat="1" applyFont="1" applyBorder="1" applyAlignment="1">
      <alignment wrapText="1"/>
    </xf>
    <xf numFmtId="2" fontId="144" fillId="0" borderId="47" xfId="0" applyNumberFormat="1" applyFont="1" applyBorder="1" applyAlignment="1">
      <alignment horizontal="center"/>
    </xf>
    <xf numFmtId="181" fontId="144" fillId="0" borderId="48" xfId="0" applyNumberFormat="1" applyFont="1" applyBorder="1" applyAlignment="1">
      <alignment horizontal="right"/>
    </xf>
    <xf numFmtId="181" fontId="144" fillId="0" borderId="48" xfId="0" applyNumberFormat="1" applyFont="1" applyBorder="1" applyAlignment="1">
      <alignment horizontal="right" wrapText="1"/>
    </xf>
    <xf numFmtId="181" fontId="144" fillId="0" borderId="48" xfId="0" applyNumberFormat="1" applyFont="1" applyBorder="1"/>
    <xf numFmtId="2" fontId="149" fillId="0" borderId="45" xfId="2404" applyNumberFormat="1" applyFont="1" applyBorder="1" applyAlignment="1">
      <alignment horizontal="center" wrapText="1"/>
    </xf>
    <xf numFmtId="181" fontId="150" fillId="0" borderId="46" xfId="2404" applyNumberFormat="1" applyFont="1" applyBorder="1" applyAlignment="1">
      <alignment wrapText="1"/>
    </xf>
    <xf numFmtId="2" fontId="150" fillId="0" borderId="47" xfId="0" applyNumberFormat="1" applyFont="1" applyBorder="1" applyAlignment="1" applyProtection="1">
      <alignment horizontal="center"/>
      <protection locked="0"/>
    </xf>
    <xf numFmtId="2" fontId="150" fillId="0" borderId="47" xfId="0" applyNumberFormat="1" applyFont="1" applyBorder="1" applyAlignment="1">
      <alignment horizontal="center" wrapText="1"/>
    </xf>
    <xf numFmtId="181" fontId="150" fillId="0" borderId="48" xfId="2404" applyNumberFormat="1" applyFont="1" applyBorder="1" applyAlignment="1">
      <alignment wrapText="1"/>
    </xf>
    <xf numFmtId="2" fontId="150" fillId="0" borderId="47" xfId="0" applyNumberFormat="1" applyFont="1" applyBorder="1" applyAlignment="1">
      <alignment horizontal="center"/>
    </xf>
    <xf numFmtId="181" fontId="150" fillId="0" borderId="48" xfId="0" applyNumberFormat="1" applyFont="1" applyBorder="1" applyAlignment="1">
      <alignment horizontal="right"/>
    </xf>
    <xf numFmtId="181" fontId="150" fillId="0" borderId="48" xfId="0" applyNumberFormat="1" applyFont="1" applyBorder="1" applyAlignment="1">
      <alignment horizontal="right" wrapText="1"/>
    </xf>
    <xf numFmtId="181" fontId="150" fillId="0" borderId="48" xfId="0" applyNumberFormat="1" applyFont="1" applyBorder="1"/>
    <xf numFmtId="2" fontId="155" fillId="0" borderId="45" xfId="2404" applyNumberFormat="1" applyFont="1" applyBorder="1" applyAlignment="1">
      <alignment horizontal="center" wrapText="1"/>
    </xf>
    <xf numFmtId="181" fontId="156" fillId="0" borderId="46" xfId="2404" applyNumberFormat="1" applyFont="1" applyBorder="1" applyAlignment="1">
      <alignment wrapText="1"/>
    </xf>
    <xf numFmtId="2" fontId="156" fillId="0" borderId="47" xfId="0" applyNumberFormat="1" applyFont="1" applyBorder="1" applyAlignment="1" applyProtection="1">
      <alignment horizontal="center"/>
      <protection locked="0"/>
    </xf>
    <xf numFmtId="2" fontId="156" fillId="0" borderId="47" xfId="0" applyNumberFormat="1" applyFont="1" applyBorder="1" applyAlignment="1">
      <alignment horizontal="center"/>
    </xf>
    <xf numFmtId="181" fontId="156" fillId="0" borderId="48" xfId="0" applyNumberFormat="1" applyFont="1" applyBorder="1" applyAlignment="1">
      <alignment horizontal="right"/>
    </xf>
    <xf numFmtId="181" fontId="156" fillId="0" borderId="48" xfId="0" applyNumberFormat="1" applyFont="1" applyBorder="1" applyAlignment="1">
      <alignment horizontal="right" wrapText="1"/>
    </xf>
    <xf numFmtId="181" fontId="156" fillId="0" borderId="48" xfId="0" applyNumberFormat="1" applyFont="1" applyBorder="1"/>
    <xf numFmtId="2" fontId="161" fillId="0" borderId="45" xfId="2404" applyNumberFormat="1" applyFont="1" applyBorder="1" applyAlignment="1">
      <alignment horizontal="center" wrapText="1"/>
    </xf>
    <xf numFmtId="181" fontId="162" fillId="0" borderId="46" xfId="2404" applyNumberFormat="1" applyFont="1" applyBorder="1" applyAlignment="1">
      <alignment wrapText="1"/>
    </xf>
    <xf numFmtId="2" fontId="162" fillId="0" borderId="47" xfId="0" applyNumberFormat="1" applyFont="1" applyBorder="1" applyAlignment="1" applyProtection="1">
      <alignment horizontal="center"/>
      <protection locked="0"/>
    </xf>
    <xf numFmtId="2" fontId="162" fillId="0" borderId="47" xfId="0" applyNumberFormat="1" applyFont="1" applyBorder="1" applyAlignment="1">
      <alignment horizontal="center" wrapText="1"/>
    </xf>
    <xf numFmtId="181" fontId="162" fillId="0" borderId="48" xfId="2404" applyNumberFormat="1" applyFont="1" applyBorder="1" applyAlignment="1">
      <alignment wrapText="1"/>
    </xf>
    <xf numFmtId="2" fontId="162" fillId="0" borderId="47" xfId="0" applyNumberFormat="1" applyFont="1" applyBorder="1" applyAlignment="1">
      <alignment horizontal="center"/>
    </xf>
    <xf numFmtId="181" fontId="162" fillId="0" borderId="48" xfId="0" applyNumberFormat="1" applyFont="1" applyBorder="1" applyAlignment="1">
      <alignment horizontal="right"/>
    </xf>
    <xf numFmtId="181" fontId="162" fillId="0" borderId="48" xfId="0" applyNumberFormat="1" applyFont="1" applyBorder="1" applyAlignment="1">
      <alignment horizontal="right" wrapText="1"/>
    </xf>
    <xf numFmtId="181" fontId="162" fillId="0" borderId="48" xfId="0" applyNumberFormat="1" applyFont="1" applyBorder="1"/>
    <xf numFmtId="2" fontId="167" fillId="0" borderId="45" xfId="2404" applyNumberFormat="1" applyFont="1" applyBorder="1" applyAlignment="1">
      <alignment horizontal="center" wrapText="1"/>
    </xf>
    <xf numFmtId="181" fontId="168" fillId="0" borderId="46" xfId="2404" applyNumberFormat="1" applyFont="1" applyBorder="1" applyAlignment="1">
      <alignment wrapText="1"/>
    </xf>
    <xf numFmtId="2" fontId="168" fillId="0" borderId="47" xfId="0" applyNumberFormat="1" applyFont="1" applyBorder="1" applyAlignment="1" applyProtection="1">
      <alignment horizontal="center"/>
      <protection locked="0"/>
    </xf>
    <xf numFmtId="2" fontId="168" fillId="0" borderId="47" xfId="0" applyNumberFormat="1" applyFont="1" applyBorder="1" applyAlignment="1">
      <alignment horizontal="center" wrapText="1"/>
    </xf>
    <xf numFmtId="181" fontId="168" fillId="0" borderId="48" xfId="2404" applyNumberFormat="1" applyFont="1" applyBorder="1" applyAlignment="1">
      <alignment wrapText="1"/>
    </xf>
    <xf numFmtId="2" fontId="168" fillId="0" borderId="47" xfId="0" applyNumberFormat="1" applyFont="1" applyBorder="1" applyAlignment="1">
      <alignment horizontal="center"/>
    </xf>
    <xf numFmtId="181" fontId="168" fillId="0" borderId="48" xfId="0" applyNumberFormat="1" applyFont="1" applyBorder="1" applyAlignment="1">
      <alignment horizontal="right"/>
    </xf>
    <xf numFmtId="181" fontId="168" fillId="0" borderId="48" xfId="0" applyNumberFormat="1" applyFont="1" applyBorder="1" applyAlignment="1">
      <alignment horizontal="right" wrapText="1"/>
    </xf>
    <xf numFmtId="181" fontId="168" fillId="0" borderId="48" xfId="0" applyNumberFormat="1" applyFont="1" applyBorder="1"/>
    <xf numFmtId="2" fontId="173" fillId="0" borderId="45" xfId="2404" applyNumberFormat="1" applyFont="1" applyBorder="1" applyAlignment="1">
      <alignment horizontal="center" wrapText="1"/>
    </xf>
    <xf numFmtId="181" fontId="174" fillId="0" borderId="46" xfId="2404" applyNumberFormat="1" applyFont="1" applyBorder="1" applyAlignment="1">
      <alignment wrapText="1"/>
    </xf>
    <xf numFmtId="2" fontId="174" fillId="0" borderId="47" xfId="0" applyNumberFormat="1" applyFont="1" applyBorder="1" applyAlignment="1" applyProtection="1">
      <alignment horizontal="center"/>
      <protection locked="0"/>
    </xf>
    <xf numFmtId="2" fontId="174" fillId="0" borderId="47" xfId="0" applyNumberFormat="1" applyFont="1" applyBorder="1" applyAlignment="1">
      <alignment horizontal="center" wrapText="1"/>
    </xf>
    <xf numFmtId="181" fontId="174" fillId="0" borderId="48" xfId="2404" applyNumberFormat="1" applyFont="1" applyBorder="1" applyAlignment="1">
      <alignment wrapText="1"/>
    </xf>
    <xf numFmtId="2" fontId="174" fillId="0" borderId="47" xfId="0" applyNumberFormat="1" applyFont="1" applyBorder="1" applyAlignment="1">
      <alignment horizontal="center"/>
    </xf>
    <xf numFmtId="181" fontId="174" fillId="0" borderId="48" xfId="0" applyNumberFormat="1" applyFont="1" applyBorder="1" applyAlignment="1">
      <alignment horizontal="right"/>
    </xf>
    <xf numFmtId="181" fontId="174" fillId="0" borderId="48" xfId="0" applyNumberFormat="1" applyFont="1" applyBorder="1" applyAlignment="1">
      <alignment horizontal="right" wrapText="1"/>
    </xf>
    <xf numFmtId="181" fontId="174" fillId="0" borderId="48" xfId="0" applyNumberFormat="1" applyFont="1" applyBorder="1"/>
    <xf numFmtId="0" fontId="75" fillId="0" borderId="47" xfId="899" applyFont="1" applyBorder="1" applyAlignment="1">
      <alignment horizontal="right" vertical="top" wrapText="1"/>
    </xf>
    <xf numFmtId="2" fontId="132" fillId="0" borderId="52" xfId="0" applyNumberFormat="1" applyFont="1" applyBorder="1" applyAlignment="1">
      <alignment horizontal="center" wrapText="1"/>
    </xf>
    <xf numFmtId="181" fontId="132" fillId="0" borderId="53" xfId="2404" applyNumberFormat="1" applyFont="1" applyBorder="1" applyAlignment="1">
      <alignment wrapText="1"/>
    </xf>
    <xf numFmtId="2" fontId="126" fillId="0" borderId="52" xfId="0" applyNumberFormat="1" applyFont="1" applyBorder="1" applyAlignment="1">
      <alignment horizontal="center" wrapText="1"/>
    </xf>
    <xf numFmtId="181" fontId="126" fillId="0" borderId="53" xfId="2404" applyNumberFormat="1" applyFont="1" applyBorder="1" applyAlignment="1">
      <alignment wrapText="1"/>
    </xf>
    <xf numFmtId="2" fontId="144" fillId="0" borderId="52" xfId="0" applyNumberFormat="1" applyFont="1" applyBorder="1" applyAlignment="1">
      <alignment horizontal="center" wrapText="1"/>
    </xf>
    <xf numFmtId="181" fontId="144" fillId="0" borderId="53" xfId="2404" applyNumberFormat="1" applyFont="1" applyBorder="1" applyAlignment="1">
      <alignment wrapText="1"/>
    </xf>
    <xf numFmtId="2" fontId="150" fillId="0" borderId="52" xfId="0" applyNumberFormat="1" applyFont="1" applyBorder="1" applyAlignment="1">
      <alignment horizontal="center" wrapText="1"/>
    </xf>
    <xf numFmtId="181" fontId="150" fillId="0" borderId="53" xfId="2404" applyNumberFormat="1" applyFont="1" applyBorder="1" applyAlignment="1">
      <alignment wrapText="1"/>
    </xf>
    <xf numFmtId="2" fontId="156" fillId="0" borderId="52" xfId="0" applyNumberFormat="1" applyFont="1" applyBorder="1" applyAlignment="1">
      <alignment horizontal="center" wrapText="1"/>
    </xf>
    <xf numFmtId="181" fontId="156" fillId="0" borderId="53" xfId="2404" applyNumberFormat="1" applyFont="1" applyBorder="1" applyAlignment="1">
      <alignment wrapText="1"/>
    </xf>
    <xf numFmtId="2" fontId="162" fillId="0" borderId="52" xfId="0" applyNumberFormat="1" applyFont="1" applyBorder="1" applyAlignment="1">
      <alignment horizontal="center" wrapText="1"/>
    </xf>
    <xf numFmtId="181" fontId="162" fillId="0" borderId="53" xfId="2404" applyNumberFormat="1" applyFont="1" applyBorder="1" applyAlignment="1">
      <alignment wrapText="1"/>
    </xf>
    <xf numFmtId="2" fontId="168" fillId="0" borderId="52" xfId="0" applyNumberFormat="1" applyFont="1" applyBorder="1" applyAlignment="1">
      <alignment horizontal="center" wrapText="1"/>
    </xf>
    <xf numFmtId="181" fontId="168" fillId="0" borderId="53" xfId="2404" applyNumberFormat="1" applyFont="1" applyBorder="1" applyAlignment="1">
      <alignment wrapText="1"/>
    </xf>
    <xf numFmtId="2" fontId="174" fillId="0" borderId="52" xfId="0" applyNumberFormat="1" applyFont="1" applyBorder="1" applyAlignment="1">
      <alignment horizontal="center" wrapText="1"/>
    </xf>
    <xf numFmtId="181" fontId="174" fillId="0" borderId="53" xfId="2404" applyNumberFormat="1" applyFont="1" applyBorder="1" applyAlignment="1">
      <alignment wrapText="1"/>
    </xf>
    <xf numFmtId="4" fontId="75" fillId="0" borderId="32" xfId="0" applyNumberFormat="1" applyFont="1" applyBorder="1" applyAlignment="1">
      <alignment horizontal="left" wrapText="1"/>
    </xf>
    <xf numFmtId="4" fontId="75" fillId="0" borderId="32" xfId="0" applyNumberFormat="1" applyFont="1" applyBorder="1" applyAlignment="1">
      <alignment horizontal="right" wrapText="1"/>
    </xf>
    <xf numFmtId="4" fontId="75" fillId="0" borderId="32" xfId="0" applyNumberFormat="1" applyFont="1" applyBorder="1" applyAlignment="1">
      <alignment vertical="top" wrapText="1"/>
    </xf>
    <xf numFmtId="0" fontId="75" fillId="0" borderId="32" xfId="899" applyFont="1" applyBorder="1" applyAlignment="1">
      <alignment wrapText="1"/>
    </xf>
    <xf numFmtId="0" fontId="75" fillId="0" borderId="47" xfId="899" applyFont="1" applyBorder="1" applyAlignment="1">
      <alignment wrapText="1"/>
    </xf>
    <xf numFmtId="0" fontId="75" fillId="0" borderId="51" xfId="2404" applyFont="1" applyBorder="1" applyAlignment="1">
      <alignment vertical="top" wrapText="1"/>
    </xf>
    <xf numFmtId="0" fontId="75" fillId="0" borderId="52" xfId="2404" applyFont="1" applyBorder="1" applyAlignment="1">
      <alignment vertical="top" wrapText="1"/>
    </xf>
    <xf numFmtId="2" fontId="137" fillId="0" borderId="52" xfId="899" applyNumberFormat="1" applyFont="1" applyBorder="1" applyAlignment="1">
      <alignment horizontal="center" wrapText="1"/>
    </xf>
    <xf numFmtId="181" fontId="137" fillId="0" borderId="53" xfId="899" applyNumberFormat="1" applyFont="1" applyBorder="1" applyAlignment="1">
      <alignment wrapText="1"/>
    </xf>
    <xf numFmtId="0" fontId="75" fillId="0" borderId="32" xfId="2404" applyFont="1" applyBorder="1" applyAlignment="1">
      <alignment vertical="top" wrapText="1"/>
    </xf>
    <xf numFmtId="182" fontId="75" fillId="0" borderId="48" xfId="899" applyNumberFormat="1" applyFont="1" applyBorder="1" applyAlignment="1">
      <alignment horizontal="center" wrapText="1"/>
    </xf>
    <xf numFmtId="4" fontId="75" fillId="0" borderId="32" xfId="0" applyNumberFormat="1" applyFont="1" applyBorder="1" applyAlignment="1">
      <alignment horizontal="justify" wrapText="1"/>
    </xf>
    <xf numFmtId="4" fontId="75" fillId="0" borderId="32" xfId="0" applyNumberFormat="1" applyFont="1" applyBorder="1" applyAlignment="1">
      <alignment horizontal="left" vertical="top" wrapText="1"/>
    </xf>
    <xf numFmtId="4" fontId="75" fillId="0" borderId="32" xfId="0" applyNumberFormat="1" applyFont="1" applyBorder="1" applyAlignment="1">
      <alignment wrapText="1"/>
    </xf>
    <xf numFmtId="0" fontId="75" fillId="0" borderId="47" xfId="2404" applyFont="1" applyBorder="1" applyAlignment="1">
      <alignment wrapText="1"/>
    </xf>
    <xf numFmtId="0" fontId="75" fillId="0" borderId="48" xfId="2404" applyFont="1" applyBorder="1" applyAlignment="1">
      <alignment wrapText="1"/>
    </xf>
    <xf numFmtId="182" fontId="76" fillId="72" borderId="27" xfId="899" applyNumberFormat="1" applyFont="1" applyFill="1" applyBorder="1" applyAlignment="1">
      <alignment horizontal="center" vertical="center" wrapText="1"/>
    </xf>
    <xf numFmtId="0" fontId="75" fillId="0" borderId="34" xfId="899" applyFont="1" applyBorder="1" applyAlignment="1">
      <alignment vertical="top" wrapText="1"/>
    </xf>
    <xf numFmtId="0" fontId="75" fillId="0" borderId="34" xfId="899" applyFont="1" applyBorder="1" applyAlignment="1">
      <alignment horizontal="center" wrapText="1"/>
    </xf>
    <xf numFmtId="182" fontId="75" fillId="0" borderId="53" xfId="899" applyNumberFormat="1" applyFont="1" applyBorder="1" applyAlignment="1">
      <alignment horizontal="center" wrapText="1"/>
    </xf>
    <xf numFmtId="181" fontId="74" fillId="0" borderId="31" xfId="904" applyNumberFormat="1" applyFont="1" applyBorder="1"/>
    <xf numFmtId="181" fontId="74" fillId="0" borderId="32" xfId="904" applyNumberFormat="1" applyFont="1" applyBorder="1"/>
    <xf numFmtId="181" fontId="74" fillId="0" borderId="34" xfId="904" applyNumberFormat="1" applyFont="1" applyBorder="1"/>
    <xf numFmtId="176" fontId="7" fillId="0" borderId="44" xfId="2404" applyNumberFormat="1" applyFont="1" applyBorder="1"/>
    <xf numFmtId="176" fontId="7" fillId="0" borderId="30" xfId="2404" applyNumberFormat="1" applyFont="1" applyBorder="1"/>
    <xf numFmtId="181" fontId="157" fillId="72" borderId="37" xfId="899" applyNumberFormat="1" applyFont="1" applyFill="1" applyBorder="1" applyAlignment="1">
      <alignment horizontal="center" vertical="center" wrapText="1"/>
    </xf>
    <xf numFmtId="0" fontId="158" fillId="0" borderId="38" xfId="0" applyFont="1" applyBorder="1" applyAlignment="1">
      <alignment horizontal="center" vertical="center" wrapText="1"/>
    </xf>
    <xf numFmtId="181" fontId="163" fillId="72" borderId="37" xfId="899" applyNumberFormat="1" applyFont="1" applyFill="1" applyBorder="1" applyAlignment="1">
      <alignment horizontal="center" vertical="center" wrapText="1"/>
    </xf>
    <xf numFmtId="0" fontId="164" fillId="0" borderId="38" xfId="0" applyFont="1" applyBorder="1" applyAlignment="1">
      <alignment horizontal="center" vertical="center" wrapText="1"/>
    </xf>
    <xf numFmtId="181" fontId="169" fillId="72" borderId="37" xfId="899" applyNumberFormat="1" applyFont="1" applyFill="1" applyBorder="1" applyAlignment="1">
      <alignment horizontal="center" vertical="center" wrapText="1"/>
    </xf>
    <xf numFmtId="0" fontId="170" fillId="0" borderId="38" xfId="0" applyFont="1" applyBorder="1" applyAlignment="1">
      <alignment horizontal="center" vertical="center" wrapText="1"/>
    </xf>
    <xf numFmtId="181" fontId="175" fillId="72" borderId="37" xfId="899" applyNumberFormat="1" applyFont="1" applyFill="1" applyBorder="1" applyAlignment="1">
      <alignment horizontal="center" vertical="center" wrapText="1"/>
    </xf>
    <xf numFmtId="0" fontId="176" fillId="0" borderId="38" xfId="0" applyFont="1" applyBorder="1" applyAlignment="1">
      <alignment horizontal="center" vertical="center" wrapText="1"/>
    </xf>
    <xf numFmtId="3" fontId="129" fillId="0" borderId="39" xfId="891" applyNumberFormat="1" applyFont="1" applyBorder="1" applyAlignment="1">
      <alignment horizontal="center" vertical="center" wrapText="1"/>
    </xf>
    <xf numFmtId="0" fontId="128" fillId="0" borderId="40" xfId="0" applyFont="1" applyBorder="1" applyAlignment="1">
      <alignment horizontal="center" vertical="center" wrapText="1"/>
    </xf>
    <xf numFmtId="3" fontId="135" fillId="0" borderId="39" xfId="891" applyNumberFormat="1" applyFont="1" applyBorder="1" applyAlignment="1">
      <alignment horizontal="center" vertical="center" wrapText="1"/>
    </xf>
    <xf numFmtId="0" fontId="134" fillId="0" borderId="40" xfId="0" applyFont="1" applyBorder="1" applyAlignment="1">
      <alignment horizontal="center" vertical="center" wrapText="1"/>
    </xf>
    <xf numFmtId="3" fontId="123" fillId="0" borderId="39" xfId="891" applyNumberFormat="1" applyFont="1" applyBorder="1" applyAlignment="1">
      <alignment horizontal="center" vertical="center" wrapText="1"/>
    </xf>
    <xf numFmtId="0" fontId="122" fillId="0" borderId="40" xfId="0" applyFont="1" applyBorder="1" applyAlignment="1">
      <alignment horizontal="center" vertical="center" wrapText="1"/>
    </xf>
    <xf numFmtId="3" fontId="141" fillId="0" borderId="39" xfId="891" applyNumberFormat="1" applyFont="1" applyBorder="1" applyAlignment="1">
      <alignment horizontal="center" vertical="center" wrapText="1"/>
    </xf>
    <xf numFmtId="0" fontId="140" fillId="0" borderId="40" xfId="0" applyFont="1" applyBorder="1" applyAlignment="1">
      <alignment horizontal="center" vertical="center" wrapText="1"/>
    </xf>
    <xf numFmtId="3" fontId="147" fillId="0" borderId="39" xfId="891" applyNumberFormat="1" applyFont="1" applyBorder="1" applyAlignment="1">
      <alignment horizontal="center" vertical="center" wrapText="1"/>
    </xf>
    <xf numFmtId="0" fontId="146" fillId="0" borderId="40" xfId="0" applyFont="1" applyBorder="1" applyAlignment="1">
      <alignment horizontal="center" vertical="center" wrapText="1"/>
    </xf>
    <xf numFmtId="3" fontId="153" fillId="0" borderId="39" xfId="891" applyNumberFormat="1" applyFont="1" applyBorder="1" applyAlignment="1">
      <alignment horizontal="center" vertical="center" wrapText="1"/>
    </xf>
    <xf numFmtId="0" fontId="152" fillId="0" borderId="40" xfId="0" applyFont="1" applyBorder="1" applyAlignment="1">
      <alignment horizontal="center" vertical="center" wrapText="1"/>
    </xf>
    <xf numFmtId="3" fontId="159" fillId="0" borderId="39" xfId="891" applyNumberFormat="1" applyFont="1" applyBorder="1" applyAlignment="1">
      <alignment horizontal="center" vertical="center" wrapText="1"/>
    </xf>
    <xf numFmtId="0" fontId="158" fillId="0" borderId="40" xfId="0" applyFont="1" applyBorder="1" applyAlignment="1">
      <alignment horizontal="center" vertical="center" wrapText="1"/>
    </xf>
    <xf numFmtId="3" fontId="165" fillId="0" borderId="39" xfId="891" applyNumberFormat="1" applyFont="1" applyBorder="1" applyAlignment="1">
      <alignment horizontal="center" vertical="center" wrapText="1"/>
    </xf>
    <xf numFmtId="0" fontId="164" fillId="0" borderId="40" xfId="0" applyFont="1" applyBorder="1" applyAlignment="1">
      <alignment horizontal="center" vertical="center" wrapText="1"/>
    </xf>
    <xf numFmtId="3" fontId="171" fillId="0" borderId="39" xfId="891" applyNumberFormat="1" applyFont="1" applyBorder="1" applyAlignment="1">
      <alignment horizontal="center" vertical="center" wrapText="1"/>
    </xf>
    <xf numFmtId="0" fontId="170" fillId="0" borderId="40" xfId="0" applyFont="1" applyBorder="1" applyAlignment="1">
      <alignment horizontal="center" vertical="center" wrapText="1"/>
    </xf>
    <xf numFmtId="3" fontId="177" fillId="0" borderId="39" xfId="891" applyNumberFormat="1" applyFont="1" applyBorder="1" applyAlignment="1">
      <alignment horizontal="center" vertical="center" wrapText="1"/>
    </xf>
    <xf numFmtId="0" fontId="176" fillId="0" borderId="40" xfId="0" applyFont="1" applyBorder="1" applyAlignment="1">
      <alignment horizontal="center" vertical="center" wrapText="1"/>
    </xf>
    <xf numFmtId="181" fontId="133" fillId="72" borderId="37" xfId="899" applyNumberFormat="1" applyFont="1" applyFill="1" applyBorder="1" applyAlignment="1">
      <alignment horizontal="center" vertical="center" wrapText="1"/>
    </xf>
    <xf numFmtId="0" fontId="134" fillId="0" borderId="38" xfId="0" applyFont="1" applyBorder="1" applyAlignment="1">
      <alignment horizontal="center" vertical="center" wrapText="1"/>
    </xf>
    <xf numFmtId="181" fontId="121" fillId="72" borderId="37" xfId="899" applyNumberFormat="1" applyFont="1" applyFill="1" applyBorder="1" applyAlignment="1">
      <alignment horizontal="center" vertical="center" wrapText="1"/>
    </xf>
    <xf numFmtId="0" fontId="122" fillId="0" borderId="38" xfId="0" applyFont="1" applyBorder="1" applyAlignment="1">
      <alignment horizontal="center" vertical="center" wrapText="1"/>
    </xf>
    <xf numFmtId="181" fontId="139" fillId="72" borderId="37" xfId="899" applyNumberFormat="1" applyFont="1" applyFill="1" applyBorder="1" applyAlignment="1">
      <alignment horizontal="center" vertical="center" wrapText="1"/>
    </xf>
    <xf numFmtId="0" fontId="140" fillId="0" borderId="38" xfId="0" applyFont="1" applyBorder="1" applyAlignment="1">
      <alignment horizontal="center" vertical="center" wrapText="1"/>
    </xf>
    <xf numFmtId="181" fontId="145" fillId="72" borderId="37" xfId="899" applyNumberFormat="1" applyFont="1" applyFill="1" applyBorder="1" applyAlignment="1">
      <alignment horizontal="center" vertical="center" wrapText="1"/>
    </xf>
    <xf numFmtId="0" fontId="146" fillId="0" borderId="38" xfId="0" applyFont="1" applyBorder="1" applyAlignment="1">
      <alignment horizontal="center" vertical="center" wrapText="1"/>
    </xf>
    <xf numFmtId="181" fontId="151" fillId="72" borderId="37" xfId="899" applyNumberFormat="1" applyFont="1" applyFill="1" applyBorder="1" applyAlignment="1">
      <alignment horizontal="center" vertical="center" wrapText="1"/>
    </xf>
    <xf numFmtId="0" fontId="152" fillId="72" borderId="38" xfId="0" applyFont="1" applyFill="1" applyBorder="1" applyAlignment="1">
      <alignment horizontal="center" vertical="center" wrapText="1"/>
    </xf>
    <xf numFmtId="0" fontId="78" fillId="0" borderId="49" xfId="891" applyFont="1" applyBorder="1" applyAlignment="1">
      <alignment horizontal="center" vertical="center" wrapText="1"/>
    </xf>
    <xf numFmtId="0" fontId="116" fillId="0" borderId="50" xfId="0" applyFont="1" applyBorder="1" applyAlignment="1">
      <alignment horizontal="center" vertical="center" wrapText="1"/>
    </xf>
    <xf numFmtId="0" fontId="78" fillId="0" borderId="23" xfId="891" applyFont="1" applyBorder="1" applyAlignment="1">
      <alignment horizontal="center" vertical="center" wrapText="1"/>
    </xf>
    <xf numFmtId="0" fontId="116" fillId="0" borderId="24" xfId="0" applyFont="1" applyBorder="1" applyAlignment="1">
      <alignment horizontal="center" vertical="center" wrapText="1"/>
    </xf>
    <xf numFmtId="3" fontId="78" fillId="0" borderId="23" xfId="891" applyNumberFormat="1" applyFont="1" applyBorder="1" applyAlignment="1">
      <alignment horizontal="center" vertical="center" wrapText="1"/>
    </xf>
    <xf numFmtId="182" fontId="78" fillId="0" borderId="35" xfId="891" applyNumberFormat="1" applyFont="1" applyBorder="1" applyAlignment="1" applyProtection="1">
      <alignment horizontal="center" vertical="center" wrapText="1"/>
      <protection locked="0"/>
    </xf>
    <xf numFmtId="182" fontId="0" fillId="0" borderId="36" xfId="0" applyNumberFormat="1" applyBorder="1" applyAlignment="1">
      <alignment horizontal="center" vertical="center" wrapText="1"/>
    </xf>
    <xf numFmtId="181" fontId="127" fillId="72" borderId="37" xfId="899" applyNumberFormat="1" applyFont="1" applyFill="1" applyBorder="1" applyAlignment="1">
      <alignment horizontal="center" vertical="center" wrapText="1"/>
    </xf>
    <xf numFmtId="0" fontId="128" fillId="0" borderId="38" xfId="0" applyFont="1" applyBorder="1" applyAlignment="1">
      <alignment horizontal="center" vertical="center" wrapText="1"/>
    </xf>
  </cellXfs>
  <cellStyles count="3585">
    <cellStyle name=" 1" xfId="1" xr:uid="{00000000-0005-0000-0000-000000000000}"/>
    <cellStyle name=" 1 2" xfId="2" xr:uid="{00000000-0005-0000-0000-000001000000}"/>
    <cellStyle name=" 1 2 2" xfId="3" xr:uid="{00000000-0005-0000-0000-000002000000}"/>
    <cellStyle name=" 1 2 3" xfId="4" xr:uid="{00000000-0005-0000-0000-000003000000}"/>
    <cellStyle name=" 1 2 3 2" xfId="2332" xr:uid="{00000000-0005-0000-0000-000004000000}"/>
    <cellStyle name=" 1 3" xfId="5" xr:uid="{00000000-0005-0000-0000-000005000000}"/>
    <cellStyle name=" 1 3 2" xfId="2333" xr:uid="{00000000-0005-0000-0000-000006000000}"/>
    <cellStyle name="_BMS" xfId="3305" xr:uid="{00000000-0005-0000-0000-000007000000}"/>
    <cellStyle name="_BMS_OTP banka-42hr7-p349-3-Valentić" xfId="3304" xr:uid="{00000000-0005-0000-0000-000008000000}"/>
    <cellStyle name="_Enel-42hr6-p271-1-1" xfId="3303" xr:uid="{00000000-0005-0000-0000-000009000000}"/>
    <cellStyle name="_naslovnica" xfId="3302" xr:uid="{00000000-0005-0000-0000-00000A000000}"/>
    <cellStyle name="_primjer ponude novi" xfId="3301" xr:uid="{00000000-0005-0000-0000-00000B000000}"/>
    <cellStyle name="_Stipić-42hr6-p271-4" xfId="3300" xr:uid="{00000000-0005-0000-0000-00000C000000}"/>
    <cellStyle name="_STRUJA" xfId="3299" xr:uid="{00000000-0005-0000-0000-00000D000000}"/>
    <cellStyle name="_STRUJA_OTP banka-42hr7-p349-3-Valentić" xfId="3298" xr:uid="{00000000-0005-0000-0000-00000E000000}"/>
    <cellStyle name="20% - Accent1" xfId="6" xr:uid="{00000000-0005-0000-0000-00000F000000}"/>
    <cellStyle name="20% - Accent1 2" xfId="7" xr:uid="{00000000-0005-0000-0000-000010000000}"/>
    <cellStyle name="20% - Accent1 2 2" xfId="8" xr:uid="{00000000-0005-0000-0000-000011000000}"/>
    <cellStyle name="20% - Accent1 2 29" xfId="9" xr:uid="{00000000-0005-0000-0000-000012000000}"/>
    <cellStyle name="20% - Accent1 2 3" xfId="10" xr:uid="{00000000-0005-0000-0000-000013000000}"/>
    <cellStyle name="20% - Accent1 2 4" xfId="2777" xr:uid="{00000000-0005-0000-0000-000014000000}"/>
    <cellStyle name="20% - Accent1 2 46" xfId="11" xr:uid="{00000000-0005-0000-0000-000015000000}"/>
    <cellStyle name="20% - Accent1 2 5" xfId="3297" xr:uid="{00000000-0005-0000-0000-000016000000}"/>
    <cellStyle name="20% - Accent1 3" xfId="12" xr:uid="{00000000-0005-0000-0000-000017000000}"/>
    <cellStyle name="20% - Accent1 4" xfId="13" xr:uid="{00000000-0005-0000-0000-000018000000}"/>
    <cellStyle name="20% - Accent2" xfId="14" xr:uid="{00000000-0005-0000-0000-000019000000}"/>
    <cellStyle name="20% - Accent2 2" xfId="15" xr:uid="{00000000-0005-0000-0000-00001A000000}"/>
    <cellStyle name="20% - Accent2 2 13" xfId="16" xr:uid="{00000000-0005-0000-0000-00001B000000}"/>
    <cellStyle name="20% - Accent2 2 2" xfId="17" xr:uid="{00000000-0005-0000-0000-00001C000000}"/>
    <cellStyle name="20% - Accent2 2 20" xfId="18" xr:uid="{00000000-0005-0000-0000-00001D000000}"/>
    <cellStyle name="20% - Accent2 2 3" xfId="19" xr:uid="{00000000-0005-0000-0000-00001E000000}"/>
    <cellStyle name="20% - Accent2 2 4" xfId="2778" xr:uid="{00000000-0005-0000-0000-00001F000000}"/>
    <cellStyle name="20% - Accent2 2 5" xfId="3296" xr:uid="{00000000-0005-0000-0000-000020000000}"/>
    <cellStyle name="20% - Accent2 3" xfId="20" xr:uid="{00000000-0005-0000-0000-000021000000}"/>
    <cellStyle name="20% - Accent2 4" xfId="21" xr:uid="{00000000-0005-0000-0000-000022000000}"/>
    <cellStyle name="20% - Accent3" xfId="22" xr:uid="{00000000-0005-0000-0000-000023000000}"/>
    <cellStyle name="20% - Accent3 2" xfId="23" xr:uid="{00000000-0005-0000-0000-000024000000}"/>
    <cellStyle name="20% - Accent3 2 12" xfId="24" xr:uid="{00000000-0005-0000-0000-000025000000}"/>
    <cellStyle name="20% - Accent3 2 13" xfId="25" xr:uid="{00000000-0005-0000-0000-000026000000}"/>
    <cellStyle name="20% - Accent3 2 2" xfId="26" xr:uid="{00000000-0005-0000-0000-000027000000}"/>
    <cellStyle name="20% - Accent3 2 3" xfId="27" xr:uid="{00000000-0005-0000-0000-000028000000}"/>
    <cellStyle name="20% - Accent3 2 4" xfId="2779" xr:uid="{00000000-0005-0000-0000-000029000000}"/>
    <cellStyle name="20% - Accent3 2 5" xfId="3295" xr:uid="{00000000-0005-0000-0000-00002A000000}"/>
    <cellStyle name="20% - Accent3 3" xfId="28" xr:uid="{00000000-0005-0000-0000-00002B000000}"/>
    <cellStyle name="20% - Accent3 4" xfId="29" xr:uid="{00000000-0005-0000-0000-00002C000000}"/>
    <cellStyle name="20% - Accent4" xfId="30" xr:uid="{00000000-0005-0000-0000-00002D000000}"/>
    <cellStyle name="20% - Accent4 2" xfId="31" xr:uid="{00000000-0005-0000-0000-00002E000000}"/>
    <cellStyle name="20% - Accent4 2 2" xfId="32" xr:uid="{00000000-0005-0000-0000-00002F000000}"/>
    <cellStyle name="20% - Accent4 2 3" xfId="33" xr:uid="{00000000-0005-0000-0000-000030000000}"/>
    <cellStyle name="20% - Accent4 2 4" xfId="2780" xr:uid="{00000000-0005-0000-0000-000031000000}"/>
    <cellStyle name="20% - Accent4 2 5" xfId="3294" xr:uid="{00000000-0005-0000-0000-000032000000}"/>
    <cellStyle name="20% - Accent4 3" xfId="34" xr:uid="{00000000-0005-0000-0000-000033000000}"/>
    <cellStyle name="20% - Accent4 4" xfId="35" xr:uid="{00000000-0005-0000-0000-000034000000}"/>
    <cellStyle name="20% - Accent5" xfId="36" xr:uid="{00000000-0005-0000-0000-000035000000}"/>
    <cellStyle name="20% - Accent5 2" xfId="37" xr:uid="{00000000-0005-0000-0000-000036000000}"/>
    <cellStyle name="20% - Accent5 2 2" xfId="38" xr:uid="{00000000-0005-0000-0000-000037000000}"/>
    <cellStyle name="20% - Accent5 2 3" xfId="39" xr:uid="{00000000-0005-0000-0000-000038000000}"/>
    <cellStyle name="20% - Accent5 2 4" xfId="2781" xr:uid="{00000000-0005-0000-0000-000039000000}"/>
    <cellStyle name="20% - Accent5 2 5" xfId="3293" xr:uid="{00000000-0005-0000-0000-00003A000000}"/>
    <cellStyle name="20% - Accent5 3" xfId="40" xr:uid="{00000000-0005-0000-0000-00003B000000}"/>
    <cellStyle name="20% - Accent5 4" xfId="41" xr:uid="{00000000-0005-0000-0000-00003C000000}"/>
    <cellStyle name="20% - Accent6" xfId="42" xr:uid="{00000000-0005-0000-0000-00003D000000}"/>
    <cellStyle name="20% - Accent6 2" xfId="43" xr:uid="{00000000-0005-0000-0000-00003E000000}"/>
    <cellStyle name="20% - Accent6 2 2" xfId="44" xr:uid="{00000000-0005-0000-0000-00003F000000}"/>
    <cellStyle name="20% - Accent6 2 3" xfId="45" xr:uid="{00000000-0005-0000-0000-000040000000}"/>
    <cellStyle name="20% - Accent6 2 4" xfId="2782" xr:uid="{00000000-0005-0000-0000-000041000000}"/>
    <cellStyle name="20% - Accent6 2 5" xfId="3292" xr:uid="{00000000-0005-0000-0000-000042000000}"/>
    <cellStyle name="20% - Accent6 3" xfId="46" xr:uid="{00000000-0005-0000-0000-000043000000}"/>
    <cellStyle name="20% - Accent6 4" xfId="47" xr:uid="{00000000-0005-0000-0000-000044000000}"/>
    <cellStyle name="20% - Isticanje1 2" xfId="48" xr:uid="{00000000-0005-0000-0000-000045000000}"/>
    <cellStyle name="20% - Isticanje1 2 2" xfId="49" xr:uid="{00000000-0005-0000-0000-000046000000}"/>
    <cellStyle name="20% - Isticanje1 2 2 2" xfId="50" xr:uid="{00000000-0005-0000-0000-000047000000}"/>
    <cellStyle name="20% - Isticanje1 2 2 3" xfId="2783" xr:uid="{00000000-0005-0000-0000-000048000000}"/>
    <cellStyle name="20% - Isticanje1 2 3" xfId="51" xr:uid="{00000000-0005-0000-0000-000049000000}"/>
    <cellStyle name="20% - Isticanje1 3" xfId="52" xr:uid="{00000000-0005-0000-0000-00004A000000}"/>
    <cellStyle name="20% - Isticanje1 3 2" xfId="53" xr:uid="{00000000-0005-0000-0000-00004B000000}"/>
    <cellStyle name="20% - Isticanje1 3 3" xfId="54" xr:uid="{00000000-0005-0000-0000-00004C000000}"/>
    <cellStyle name="20% - Isticanje1 3 4" xfId="2784" xr:uid="{00000000-0005-0000-0000-00004D000000}"/>
    <cellStyle name="20% - Isticanje1 4" xfId="55" xr:uid="{00000000-0005-0000-0000-00004E000000}"/>
    <cellStyle name="20% - Isticanje1 5" xfId="56" xr:uid="{00000000-0005-0000-0000-00004F000000}"/>
    <cellStyle name="20% - Isticanje1 6" xfId="57" xr:uid="{00000000-0005-0000-0000-000050000000}"/>
    <cellStyle name="20% - Isticanje2 2" xfId="58" xr:uid="{00000000-0005-0000-0000-000051000000}"/>
    <cellStyle name="20% - Isticanje2 2 2" xfId="59" xr:uid="{00000000-0005-0000-0000-000052000000}"/>
    <cellStyle name="20% - Isticanje2 2 2 2" xfId="60" xr:uid="{00000000-0005-0000-0000-000053000000}"/>
    <cellStyle name="20% - Isticanje2 2 2 3" xfId="2785" xr:uid="{00000000-0005-0000-0000-000054000000}"/>
    <cellStyle name="20% - Isticanje2 2 3" xfId="61" xr:uid="{00000000-0005-0000-0000-000055000000}"/>
    <cellStyle name="20% - Isticanje2 3" xfId="62" xr:uid="{00000000-0005-0000-0000-000056000000}"/>
    <cellStyle name="20% - Isticanje2 3 2" xfId="63" xr:uid="{00000000-0005-0000-0000-000057000000}"/>
    <cellStyle name="20% - Isticanje2 3 3" xfId="64" xr:uid="{00000000-0005-0000-0000-000058000000}"/>
    <cellStyle name="20% - Isticanje2 3 4" xfId="2786" xr:uid="{00000000-0005-0000-0000-000059000000}"/>
    <cellStyle name="20% - Isticanje2 4" xfId="65" xr:uid="{00000000-0005-0000-0000-00005A000000}"/>
    <cellStyle name="20% - Isticanje2 5" xfId="66" xr:uid="{00000000-0005-0000-0000-00005B000000}"/>
    <cellStyle name="20% - Isticanje2 6" xfId="67" xr:uid="{00000000-0005-0000-0000-00005C000000}"/>
    <cellStyle name="20% - Isticanje3 2" xfId="68" xr:uid="{00000000-0005-0000-0000-00005D000000}"/>
    <cellStyle name="20% - Isticanje3 2 2" xfId="69" xr:uid="{00000000-0005-0000-0000-00005E000000}"/>
    <cellStyle name="20% - Isticanje3 2 2 2" xfId="70" xr:uid="{00000000-0005-0000-0000-00005F000000}"/>
    <cellStyle name="20% - Isticanje3 2 2 3" xfId="2787" xr:uid="{00000000-0005-0000-0000-000060000000}"/>
    <cellStyle name="20% - Isticanje3 2 3" xfId="71" xr:uid="{00000000-0005-0000-0000-000061000000}"/>
    <cellStyle name="20% - Isticanje3 3" xfId="72" xr:uid="{00000000-0005-0000-0000-000062000000}"/>
    <cellStyle name="20% - Isticanje3 3 2" xfId="73" xr:uid="{00000000-0005-0000-0000-000063000000}"/>
    <cellStyle name="20% - Isticanje3 3 3" xfId="74" xr:uid="{00000000-0005-0000-0000-000064000000}"/>
    <cellStyle name="20% - Isticanje3 3 4" xfId="2788" xr:uid="{00000000-0005-0000-0000-000065000000}"/>
    <cellStyle name="20% - Isticanje3 4" xfId="75" xr:uid="{00000000-0005-0000-0000-000066000000}"/>
    <cellStyle name="20% - Isticanje3 5" xfId="76" xr:uid="{00000000-0005-0000-0000-000067000000}"/>
    <cellStyle name="20% - Isticanje3 6" xfId="77" xr:uid="{00000000-0005-0000-0000-000068000000}"/>
    <cellStyle name="20% - Isticanje4 2" xfId="78" xr:uid="{00000000-0005-0000-0000-000069000000}"/>
    <cellStyle name="20% - Isticanje4 2 2" xfId="79" xr:uid="{00000000-0005-0000-0000-00006A000000}"/>
    <cellStyle name="20% - Isticanje4 2 2 2" xfId="80" xr:uid="{00000000-0005-0000-0000-00006B000000}"/>
    <cellStyle name="20% - Isticanje4 2 2 3" xfId="2789" xr:uid="{00000000-0005-0000-0000-00006C000000}"/>
    <cellStyle name="20% - Isticanje4 2 3" xfId="81" xr:uid="{00000000-0005-0000-0000-00006D000000}"/>
    <cellStyle name="20% - Isticanje4 3" xfId="82" xr:uid="{00000000-0005-0000-0000-00006E000000}"/>
    <cellStyle name="20% - Isticanje4 3 2" xfId="83" xr:uid="{00000000-0005-0000-0000-00006F000000}"/>
    <cellStyle name="20% - Isticanje4 3 3" xfId="84" xr:uid="{00000000-0005-0000-0000-000070000000}"/>
    <cellStyle name="20% - Isticanje4 3 4" xfId="2790" xr:uid="{00000000-0005-0000-0000-000071000000}"/>
    <cellStyle name="20% - Isticanje4 4" xfId="85" xr:uid="{00000000-0005-0000-0000-000072000000}"/>
    <cellStyle name="20% - Isticanje4 5" xfId="86" xr:uid="{00000000-0005-0000-0000-000073000000}"/>
    <cellStyle name="20% - Isticanje4 6" xfId="87" xr:uid="{00000000-0005-0000-0000-000074000000}"/>
    <cellStyle name="20% - Isticanje5 2" xfId="88" xr:uid="{00000000-0005-0000-0000-000075000000}"/>
    <cellStyle name="20% - Isticanje5 2 2" xfId="89" xr:uid="{00000000-0005-0000-0000-000076000000}"/>
    <cellStyle name="20% - Isticanje5 2 2 2" xfId="90" xr:uid="{00000000-0005-0000-0000-000077000000}"/>
    <cellStyle name="20% - Isticanje5 2 2 3" xfId="2791" xr:uid="{00000000-0005-0000-0000-000078000000}"/>
    <cellStyle name="20% - Isticanje5 2 3" xfId="91" xr:uid="{00000000-0005-0000-0000-000079000000}"/>
    <cellStyle name="20% - Isticanje5 3" xfId="92" xr:uid="{00000000-0005-0000-0000-00007A000000}"/>
    <cellStyle name="20% - Isticanje5 3 2" xfId="93" xr:uid="{00000000-0005-0000-0000-00007B000000}"/>
    <cellStyle name="20% - Isticanje5 3 3" xfId="94" xr:uid="{00000000-0005-0000-0000-00007C000000}"/>
    <cellStyle name="20% - Isticanje5 3 4" xfId="2792" xr:uid="{00000000-0005-0000-0000-00007D000000}"/>
    <cellStyle name="20% - Isticanje5 4" xfId="95" xr:uid="{00000000-0005-0000-0000-00007E000000}"/>
    <cellStyle name="20% - Isticanje5 5" xfId="96" xr:uid="{00000000-0005-0000-0000-00007F000000}"/>
    <cellStyle name="20% - Isticanje6 2" xfId="97" xr:uid="{00000000-0005-0000-0000-000080000000}"/>
    <cellStyle name="20% - Isticanje6 2 2" xfId="98" xr:uid="{00000000-0005-0000-0000-000081000000}"/>
    <cellStyle name="20% - Isticanje6 2 2 2" xfId="99" xr:uid="{00000000-0005-0000-0000-000082000000}"/>
    <cellStyle name="20% - Isticanje6 2 2 3" xfId="2793" xr:uid="{00000000-0005-0000-0000-000083000000}"/>
    <cellStyle name="20% - Isticanje6 2 3" xfId="100" xr:uid="{00000000-0005-0000-0000-000084000000}"/>
    <cellStyle name="20% - Isticanje6 3" xfId="101" xr:uid="{00000000-0005-0000-0000-000085000000}"/>
    <cellStyle name="20% - Isticanje6 3 2" xfId="102" xr:uid="{00000000-0005-0000-0000-000086000000}"/>
    <cellStyle name="20% - Isticanje6 3 3" xfId="103" xr:uid="{00000000-0005-0000-0000-000087000000}"/>
    <cellStyle name="20% - Isticanje6 3 4" xfId="2794" xr:uid="{00000000-0005-0000-0000-000088000000}"/>
    <cellStyle name="20% - Isticanje6 4" xfId="104" xr:uid="{00000000-0005-0000-0000-000089000000}"/>
    <cellStyle name="20% - Isticanje6 5" xfId="105" xr:uid="{00000000-0005-0000-0000-00008A000000}"/>
    <cellStyle name="20% - Isticanje6 6" xfId="106" xr:uid="{00000000-0005-0000-0000-00008B000000}"/>
    <cellStyle name="40% - Accent1" xfId="107" xr:uid="{00000000-0005-0000-0000-00008C000000}"/>
    <cellStyle name="40% - Accent1 2" xfId="108" xr:uid="{00000000-0005-0000-0000-00008D000000}"/>
    <cellStyle name="40% - Accent1 2 2" xfId="109" xr:uid="{00000000-0005-0000-0000-00008E000000}"/>
    <cellStyle name="40% - Accent1 2 3" xfId="110" xr:uid="{00000000-0005-0000-0000-00008F000000}"/>
    <cellStyle name="40% - Accent1 2 4" xfId="2795" xr:uid="{00000000-0005-0000-0000-000090000000}"/>
    <cellStyle name="40% - Accent1 2 5" xfId="3291" xr:uid="{00000000-0005-0000-0000-000091000000}"/>
    <cellStyle name="40% - Accent1 3" xfId="111" xr:uid="{00000000-0005-0000-0000-000092000000}"/>
    <cellStyle name="40% - Accent1 4" xfId="112" xr:uid="{00000000-0005-0000-0000-000093000000}"/>
    <cellStyle name="40% - Accent2" xfId="113" xr:uid="{00000000-0005-0000-0000-000094000000}"/>
    <cellStyle name="40% - Accent2 2" xfId="114" xr:uid="{00000000-0005-0000-0000-000095000000}"/>
    <cellStyle name="40% - Accent2 2 2" xfId="115" xr:uid="{00000000-0005-0000-0000-000096000000}"/>
    <cellStyle name="40% - Accent2 2 3" xfId="116" xr:uid="{00000000-0005-0000-0000-000097000000}"/>
    <cellStyle name="40% - Accent2 2 4" xfId="2796" xr:uid="{00000000-0005-0000-0000-000098000000}"/>
    <cellStyle name="40% - Accent2 2 5" xfId="3290" xr:uid="{00000000-0005-0000-0000-000099000000}"/>
    <cellStyle name="40% - Accent2 3" xfId="117" xr:uid="{00000000-0005-0000-0000-00009A000000}"/>
    <cellStyle name="40% - Accent2 4" xfId="118" xr:uid="{00000000-0005-0000-0000-00009B000000}"/>
    <cellStyle name="40% - Accent3" xfId="119" xr:uid="{00000000-0005-0000-0000-00009C000000}"/>
    <cellStyle name="40% - Accent3 2" xfId="120" xr:uid="{00000000-0005-0000-0000-00009D000000}"/>
    <cellStyle name="40% - Accent3 2 2" xfId="121" xr:uid="{00000000-0005-0000-0000-00009E000000}"/>
    <cellStyle name="40% - Accent3 2 3" xfId="122" xr:uid="{00000000-0005-0000-0000-00009F000000}"/>
    <cellStyle name="40% - Accent3 2 4" xfId="2797" xr:uid="{00000000-0005-0000-0000-0000A0000000}"/>
    <cellStyle name="40% - Accent3 2 5" xfId="3289" xr:uid="{00000000-0005-0000-0000-0000A1000000}"/>
    <cellStyle name="40% - Accent3 3" xfId="123" xr:uid="{00000000-0005-0000-0000-0000A2000000}"/>
    <cellStyle name="40% - Accent3 4" xfId="124" xr:uid="{00000000-0005-0000-0000-0000A3000000}"/>
    <cellStyle name="40% - Accent4" xfId="125" xr:uid="{00000000-0005-0000-0000-0000A4000000}"/>
    <cellStyle name="40% - Accent4 2" xfId="126" xr:uid="{00000000-0005-0000-0000-0000A5000000}"/>
    <cellStyle name="40% - Accent4 2 2" xfId="127" xr:uid="{00000000-0005-0000-0000-0000A6000000}"/>
    <cellStyle name="40% - Accent4 2 3" xfId="128" xr:uid="{00000000-0005-0000-0000-0000A7000000}"/>
    <cellStyle name="40% - Accent4 2 4" xfId="2798" xr:uid="{00000000-0005-0000-0000-0000A8000000}"/>
    <cellStyle name="40% - Accent4 2 5" xfId="3288" xr:uid="{00000000-0005-0000-0000-0000A9000000}"/>
    <cellStyle name="40% - Accent4 3" xfId="129" xr:uid="{00000000-0005-0000-0000-0000AA000000}"/>
    <cellStyle name="40% - Accent4 4" xfId="130" xr:uid="{00000000-0005-0000-0000-0000AB000000}"/>
    <cellStyle name="40% - Accent5" xfId="131" xr:uid="{00000000-0005-0000-0000-0000AC000000}"/>
    <cellStyle name="40% - Accent5 2" xfId="132" xr:uid="{00000000-0005-0000-0000-0000AD000000}"/>
    <cellStyle name="40% - Accent5 2 2" xfId="133" xr:uid="{00000000-0005-0000-0000-0000AE000000}"/>
    <cellStyle name="40% - Accent5 2 3" xfId="134" xr:uid="{00000000-0005-0000-0000-0000AF000000}"/>
    <cellStyle name="40% - Accent5 2 4" xfId="2799" xr:uid="{00000000-0005-0000-0000-0000B0000000}"/>
    <cellStyle name="40% - Accent5 2 5" xfId="3287" xr:uid="{00000000-0005-0000-0000-0000B1000000}"/>
    <cellStyle name="40% - Accent5 3" xfId="135" xr:uid="{00000000-0005-0000-0000-0000B2000000}"/>
    <cellStyle name="40% - Accent5 4" xfId="136" xr:uid="{00000000-0005-0000-0000-0000B3000000}"/>
    <cellStyle name="40% - Accent6" xfId="137" xr:uid="{00000000-0005-0000-0000-0000B4000000}"/>
    <cellStyle name="40% - Accent6 2" xfId="138" xr:uid="{00000000-0005-0000-0000-0000B5000000}"/>
    <cellStyle name="40% - Accent6 2 2" xfId="139" xr:uid="{00000000-0005-0000-0000-0000B6000000}"/>
    <cellStyle name="40% - Accent6 2 3" xfId="140" xr:uid="{00000000-0005-0000-0000-0000B7000000}"/>
    <cellStyle name="40% - Accent6 2 4" xfId="2800" xr:uid="{00000000-0005-0000-0000-0000B8000000}"/>
    <cellStyle name="40% - Accent6 2 5" xfId="3286" xr:uid="{00000000-0005-0000-0000-0000B9000000}"/>
    <cellStyle name="40% - Accent6 3" xfId="141" xr:uid="{00000000-0005-0000-0000-0000BA000000}"/>
    <cellStyle name="40% - Accent6 4" xfId="142" xr:uid="{00000000-0005-0000-0000-0000BB000000}"/>
    <cellStyle name="40% - Isticanje1 2" xfId="143" xr:uid="{00000000-0005-0000-0000-0000BC000000}"/>
    <cellStyle name="40% - Isticanje1 2 2" xfId="144" xr:uid="{00000000-0005-0000-0000-0000BD000000}"/>
    <cellStyle name="40% - Isticanje1 2 2 2" xfId="145" xr:uid="{00000000-0005-0000-0000-0000BE000000}"/>
    <cellStyle name="40% - Isticanje1 2 2 3" xfId="2801" xr:uid="{00000000-0005-0000-0000-0000BF000000}"/>
    <cellStyle name="40% - Isticanje1 2 3" xfId="146" xr:uid="{00000000-0005-0000-0000-0000C0000000}"/>
    <cellStyle name="40% - Isticanje1 3" xfId="147" xr:uid="{00000000-0005-0000-0000-0000C1000000}"/>
    <cellStyle name="40% - Isticanje1 3 2" xfId="148" xr:uid="{00000000-0005-0000-0000-0000C2000000}"/>
    <cellStyle name="40% - Isticanje1 3 3" xfId="149" xr:uid="{00000000-0005-0000-0000-0000C3000000}"/>
    <cellStyle name="40% - Isticanje1 3 4" xfId="2802" xr:uid="{00000000-0005-0000-0000-0000C4000000}"/>
    <cellStyle name="40% - Isticanje1 4" xfId="150" xr:uid="{00000000-0005-0000-0000-0000C5000000}"/>
    <cellStyle name="40% - Isticanje1 5" xfId="151" xr:uid="{00000000-0005-0000-0000-0000C6000000}"/>
    <cellStyle name="40% - Isticanje1 6" xfId="152" xr:uid="{00000000-0005-0000-0000-0000C7000000}"/>
    <cellStyle name="40% - Isticanje2 2" xfId="153" xr:uid="{00000000-0005-0000-0000-0000C8000000}"/>
    <cellStyle name="40% - Isticanje2 2 2" xfId="154" xr:uid="{00000000-0005-0000-0000-0000C9000000}"/>
    <cellStyle name="40% - Isticanje2 2 2 2" xfId="155" xr:uid="{00000000-0005-0000-0000-0000CA000000}"/>
    <cellStyle name="40% - Isticanje2 2 2 3" xfId="2803" xr:uid="{00000000-0005-0000-0000-0000CB000000}"/>
    <cellStyle name="40% - Isticanje2 2 3" xfId="156" xr:uid="{00000000-0005-0000-0000-0000CC000000}"/>
    <cellStyle name="40% - Isticanje2 3" xfId="157" xr:uid="{00000000-0005-0000-0000-0000CD000000}"/>
    <cellStyle name="40% - Isticanje2 3 2" xfId="158" xr:uid="{00000000-0005-0000-0000-0000CE000000}"/>
    <cellStyle name="40% - Isticanje2 3 3" xfId="159" xr:uid="{00000000-0005-0000-0000-0000CF000000}"/>
    <cellStyle name="40% - Isticanje2 3 4" xfId="2804" xr:uid="{00000000-0005-0000-0000-0000D0000000}"/>
    <cellStyle name="40% - Isticanje2 4" xfId="160" xr:uid="{00000000-0005-0000-0000-0000D1000000}"/>
    <cellStyle name="40% - Isticanje2 5" xfId="161" xr:uid="{00000000-0005-0000-0000-0000D2000000}"/>
    <cellStyle name="40% - Isticanje3 2" xfId="162" xr:uid="{00000000-0005-0000-0000-0000D3000000}"/>
    <cellStyle name="40% - Isticanje3 2 2" xfId="163" xr:uid="{00000000-0005-0000-0000-0000D4000000}"/>
    <cellStyle name="40% - Isticanje3 2 2 2" xfId="164" xr:uid="{00000000-0005-0000-0000-0000D5000000}"/>
    <cellStyle name="40% - Isticanje3 2 2 3" xfId="2805" xr:uid="{00000000-0005-0000-0000-0000D6000000}"/>
    <cellStyle name="40% - Isticanje3 2 3" xfId="165" xr:uid="{00000000-0005-0000-0000-0000D7000000}"/>
    <cellStyle name="40% - Isticanje3 3" xfId="166" xr:uid="{00000000-0005-0000-0000-0000D8000000}"/>
    <cellStyle name="40% - Isticanje3 3 2" xfId="167" xr:uid="{00000000-0005-0000-0000-0000D9000000}"/>
    <cellStyle name="40% - Isticanje3 3 3" xfId="168" xr:uid="{00000000-0005-0000-0000-0000DA000000}"/>
    <cellStyle name="40% - Isticanje3 3 4" xfId="2806" xr:uid="{00000000-0005-0000-0000-0000DB000000}"/>
    <cellStyle name="40% - Isticanje3 4" xfId="169" xr:uid="{00000000-0005-0000-0000-0000DC000000}"/>
    <cellStyle name="40% - Isticanje3 5" xfId="170" xr:uid="{00000000-0005-0000-0000-0000DD000000}"/>
    <cellStyle name="40% - Isticanje3 6" xfId="171" xr:uid="{00000000-0005-0000-0000-0000DE000000}"/>
    <cellStyle name="40% - Isticanje4 2" xfId="172" xr:uid="{00000000-0005-0000-0000-0000DF000000}"/>
    <cellStyle name="40% - Isticanje4 2 2" xfId="173" xr:uid="{00000000-0005-0000-0000-0000E0000000}"/>
    <cellStyle name="40% - Isticanje4 2 2 2" xfId="174" xr:uid="{00000000-0005-0000-0000-0000E1000000}"/>
    <cellStyle name="40% - Isticanje4 2 2 3" xfId="2807" xr:uid="{00000000-0005-0000-0000-0000E2000000}"/>
    <cellStyle name="40% - Isticanje4 2 3" xfId="175" xr:uid="{00000000-0005-0000-0000-0000E3000000}"/>
    <cellStyle name="40% - Isticanje4 3" xfId="176" xr:uid="{00000000-0005-0000-0000-0000E4000000}"/>
    <cellStyle name="40% - Isticanje4 3 2" xfId="177" xr:uid="{00000000-0005-0000-0000-0000E5000000}"/>
    <cellStyle name="40% - Isticanje4 3 3" xfId="178" xr:uid="{00000000-0005-0000-0000-0000E6000000}"/>
    <cellStyle name="40% - Isticanje4 3 4" xfId="2808" xr:uid="{00000000-0005-0000-0000-0000E7000000}"/>
    <cellStyle name="40% - Isticanje4 4" xfId="179" xr:uid="{00000000-0005-0000-0000-0000E8000000}"/>
    <cellStyle name="40% - Isticanje4 5" xfId="180" xr:uid="{00000000-0005-0000-0000-0000E9000000}"/>
    <cellStyle name="40% - Isticanje4 6" xfId="181" xr:uid="{00000000-0005-0000-0000-0000EA000000}"/>
    <cellStyle name="40% - Isticanje5 2" xfId="182" xr:uid="{00000000-0005-0000-0000-0000EB000000}"/>
    <cellStyle name="40% - Isticanje5 2 2" xfId="183" xr:uid="{00000000-0005-0000-0000-0000EC000000}"/>
    <cellStyle name="40% - Isticanje5 2 2 2" xfId="184" xr:uid="{00000000-0005-0000-0000-0000ED000000}"/>
    <cellStyle name="40% - Isticanje5 2 2 3" xfId="2809" xr:uid="{00000000-0005-0000-0000-0000EE000000}"/>
    <cellStyle name="40% - Isticanje5 2 3" xfId="185" xr:uid="{00000000-0005-0000-0000-0000EF000000}"/>
    <cellStyle name="40% - Isticanje5 3" xfId="186" xr:uid="{00000000-0005-0000-0000-0000F0000000}"/>
    <cellStyle name="40% - Isticanje5 3 2" xfId="187" xr:uid="{00000000-0005-0000-0000-0000F1000000}"/>
    <cellStyle name="40% - Isticanje5 3 3" xfId="188" xr:uid="{00000000-0005-0000-0000-0000F2000000}"/>
    <cellStyle name="40% - Isticanje5 3 4" xfId="2810" xr:uid="{00000000-0005-0000-0000-0000F3000000}"/>
    <cellStyle name="40% - Isticanje5 4" xfId="189" xr:uid="{00000000-0005-0000-0000-0000F4000000}"/>
    <cellStyle name="40% - Isticanje5 5" xfId="190" xr:uid="{00000000-0005-0000-0000-0000F5000000}"/>
    <cellStyle name="40% - Isticanje5 6" xfId="191" xr:uid="{00000000-0005-0000-0000-0000F6000000}"/>
    <cellStyle name="40% - Isticanje6 2" xfId="192" xr:uid="{00000000-0005-0000-0000-0000F7000000}"/>
    <cellStyle name="40% - Isticanje6 2 2" xfId="193" xr:uid="{00000000-0005-0000-0000-0000F8000000}"/>
    <cellStyle name="40% - Isticanje6 2 2 2" xfId="194" xr:uid="{00000000-0005-0000-0000-0000F9000000}"/>
    <cellStyle name="40% - Isticanje6 2 2 3" xfId="2811" xr:uid="{00000000-0005-0000-0000-0000FA000000}"/>
    <cellStyle name="40% - Isticanje6 2 3" xfId="195" xr:uid="{00000000-0005-0000-0000-0000FB000000}"/>
    <cellStyle name="40% - Isticanje6 3" xfId="196" xr:uid="{00000000-0005-0000-0000-0000FC000000}"/>
    <cellStyle name="40% - Isticanje6 3 2" xfId="197" xr:uid="{00000000-0005-0000-0000-0000FD000000}"/>
    <cellStyle name="40% - Isticanje6 3 3" xfId="198" xr:uid="{00000000-0005-0000-0000-0000FE000000}"/>
    <cellStyle name="40% - Isticanje6 3 4" xfId="2812" xr:uid="{00000000-0005-0000-0000-0000FF000000}"/>
    <cellStyle name="40% - Isticanje6 4" xfId="199" xr:uid="{00000000-0005-0000-0000-000000010000}"/>
    <cellStyle name="40% - Isticanje6 5" xfId="200" xr:uid="{00000000-0005-0000-0000-000001010000}"/>
    <cellStyle name="40% - Isticanje6 6" xfId="201" xr:uid="{00000000-0005-0000-0000-000002010000}"/>
    <cellStyle name="40% - Naglasak1" xfId="3004" xr:uid="{00000000-0005-0000-0000-000003010000}"/>
    <cellStyle name="60% - Accent1" xfId="202" xr:uid="{00000000-0005-0000-0000-000004010000}"/>
    <cellStyle name="60% - Accent1 2" xfId="203" xr:uid="{00000000-0005-0000-0000-000005010000}"/>
    <cellStyle name="60% - Accent1 2 2" xfId="204" xr:uid="{00000000-0005-0000-0000-000006010000}"/>
    <cellStyle name="60% - Accent1 2 3" xfId="205" xr:uid="{00000000-0005-0000-0000-000007010000}"/>
    <cellStyle name="60% - Accent1 2 4" xfId="2813" xr:uid="{00000000-0005-0000-0000-000008010000}"/>
    <cellStyle name="60% - Accent1 2 5" xfId="3285" xr:uid="{00000000-0005-0000-0000-000009010000}"/>
    <cellStyle name="60% - Accent1 3" xfId="206" xr:uid="{00000000-0005-0000-0000-00000A010000}"/>
    <cellStyle name="60% - Accent1 4" xfId="207" xr:uid="{00000000-0005-0000-0000-00000B010000}"/>
    <cellStyle name="60% - Accent2" xfId="208" xr:uid="{00000000-0005-0000-0000-00000C010000}"/>
    <cellStyle name="60% - Accent2 2" xfId="209" xr:uid="{00000000-0005-0000-0000-00000D010000}"/>
    <cellStyle name="60% - Accent2 2 2" xfId="210" xr:uid="{00000000-0005-0000-0000-00000E010000}"/>
    <cellStyle name="60% - Accent2 2 3" xfId="211" xr:uid="{00000000-0005-0000-0000-00000F010000}"/>
    <cellStyle name="60% - Accent2 2 4" xfId="2814" xr:uid="{00000000-0005-0000-0000-000010010000}"/>
    <cellStyle name="60% - Accent2 2 5" xfId="3284" xr:uid="{00000000-0005-0000-0000-000011010000}"/>
    <cellStyle name="60% - Accent2 3" xfId="212" xr:uid="{00000000-0005-0000-0000-000012010000}"/>
    <cellStyle name="60% - Accent2 4" xfId="213" xr:uid="{00000000-0005-0000-0000-000013010000}"/>
    <cellStyle name="60% - Accent3" xfId="214" xr:uid="{00000000-0005-0000-0000-000014010000}"/>
    <cellStyle name="60% - Accent3 2" xfId="215" xr:uid="{00000000-0005-0000-0000-000015010000}"/>
    <cellStyle name="60% - Accent3 2 2" xfId="216" xr:uid="{00000000-0005-0000-0000-000016010000}"/>
    <cellStyle name="60% - Accent3 2 3" xfId="217" xr:uid="{00000000-0005-0000-0000-000017010000}"/>
    <cellStyle name="60% - Accent3 2 4" xfId="2815" xr:uid="{00000000-0005-0000-0000-000018010000}"/>
    <cellStyle name="60% - Accent3 2 5" xfId="3283" xr:uid="{00000000-0005-0000-0000-000019010000}"/>
    <cellStyle name="60% - Accent3 3" xfId="218" xr:uid="{00000000-0005-0000-0000-00001A010000}"/>
    <cellStyle name="60% - Accent3 4" xfId="219" xr:uid="{00000000-0005-0000-0000-00001B010000}"/>
    <cellStyle name="60% - Accent4" xfId="220" xr:uid="{00000000-0005-0000-0000-00001C010000}"/>
    <cellStyle name="60% - Accent4 2" xfId="221" xr:uid="{00000000-0005-0000-0000-00001D010000}"/>
    <cellStyle name="60% - Accent4 2 2" xfId="222" xr:uid="{00000000-0005-0000-0000-00001E010000}"/>
    <cellStyle name="60% - Accent4 2 3" xfId="223" xr:uid="{00000000-0005-0000-0000-00001F010000}"/>
    <cellStyle name="60% - Accent4 2 4" xfId="2816" xr:uid="{00000000-0005-0000-0000-000020010000}"/>
    <cellStyle name="60% - Accent4 2 5" xfId="3282" xr:uid="{00000000-0005-0000-0000-000021010000}"/>
    <cellStyle name="60% - Accent4 3" xfId="224" xr:uid="{00000000-0005-0000-0000-000022010000}"/>
    <cellStyle name="60% - Accent4 4" xfId="225" xr:uid="{00000000-0005-0000-0000-000023010000}"/>
    <cellStyle name="60% - Accent5" xfId="226" xr:uid="{00000000-0005-0000-0000-000024010000}"/>
    <cellStyle name="60% - Accent5 2" xfId="227" xr:uid="{00000000-0005-0000-0000-000025010000}"/>
    <cellStyle name="60% - Accent5 2 2" xfId="228" xr:uid="{00000000-0005-0000-0000-000026010000}"/>
    <cellStyle name="60% - Accent5 2 3" xfId="229" xr:uid="{00000000-0005-0000-0000-000027010000}"/>
    <cellStyle name="60% - Accent5 2 4" xfId="2817" xr:uid="{00000000-0005-0000-0000-000028010000}"/>
    <cellStyle name="60% - Accent5 2 5" xfId="3281" xr:uid="{00000000-0005-0000-0000-000029010000}"/>
    <cellStyle name="60% - Accent5 3" xfId="230" xr:uid="{00000000-0005-0000-0000-00002A010000}"/>
    <cellStyle name="60% - Accent5 4" xfId="231" xr:uid="{00000000-0005-0000-0000-00002B010000}"/>
    <cellStyle name="60% - Accent6" xfId="232" xr:uid="{00000000-0005-0000-0000-00002C010000}"/>
    <cellStyle name="60% - Accent6 2" xfId="233" xr:uid="{00000000-0005-0000-0000-00002D010000}"/>
    <cellStyle name="60% - Accent6 2 2" xfId="234" xr:uid="{00000000-0005-0000-0000-00002E010000}"/>
    <cellStyle name="60% - Accent6 2 3" xfId="235" xr:uid="{00000000-0005-0000-0000-00002F010000}"/>
    <cellStyle name="60% - Accent6 2 4" xfId="2818" xr:uid="{00000000-0005-0000-0000-000030010000}"/>
    <cellStyle name="60% - Accent6 2 5" xfId="3280" xr:uid="{00000000-0005-0000-0000-000031010000}"/>
    <cellStyle name="60% - Accent6 3" xfId="236" xr:uid="{00000000-0005-0000-0000-000032010000}"/>
    <cellStyle name="60% - Accent6 4" xfId="237" xr:uid="{00000000-0005-0000-0000-000033010000}"/>
    <cellStyle name="60% - Isticanje1 2" xfId="238" xr:uid="{00000000-0005-0000-0000-000034010000}"/>
    <cellStyle name="60% - Isticanje1 2 2" xfId="239" xr:uid="{00000000-0005-0000-0000-000035010000}"/>
    <cellStyle name="60% - Isticanje1 2 2 2" xfId="240" xr:uid="{00000000-0005-0000-0000-000036010000}"/>
    <cellStyle name="60% - Isticanje1 2 2 3" xfId="2819" xr:uid="{00000000-0005-0000-0000-000037010000}"/>
    <cellStyle name="60% - Isticanje1 2 3" xfId="241" xr:uid="{00000000-0005-0000-0000-000038010000}"/>
    <cellStyle name="60% - Isticanje1 3" xfId="242" xr:uid="{00000000-0005-0000-0000-000039010000}"/>
    <cellStyle name="60% - Isticanje1 3 2" xfId="243" xr:uid="{00000000-0005-0000-0000-00003A010000}"/>
    <cellStyle name="60% - Isticanje1 3 3" xfId="244" xr:uid="{00000000-0005-0000-0000-00003B010000}"/>
    <cellStyle name="60% - Isticanje1 3 4" xfId="2820" xr:uid="{00000000-0005-0000-0000-00003C010000}"/>
    <cellStyle name="60% - Isticanje1 4" xfId="245" xr:uid="{00000000-0005-0000-0000-00003D010000}"/>
    <cellStyle name="60% - Isticanje1 5" xfId="246" xr:uid="{00000000-0005-0000-0000-00003E010000}"/>
    <cellStyle name="60% - Isticanje1 6" xfId="247" xr:uid="{00000000-0005-0000-0000-00003F010000}"/>
    <cellStyle name="60% - Isticanje2 2" xfId="248" xr:uid="{00000000-0005-0000-0000-000040010000}"/>
    <cellStyle name="60% - Isticanje2 2 2" xfId="249" xr:uid="{00000000-0005-0000-0000-000041010000}"/>
    <cellStyle name="60% - Isticanje2 2 2 2" xfId="250" xr:uid="{00000000-0005-0000-0000-000042010000}"/>
    <cellStyle name="60% - Isticanje2 2 2 3" xfId="2821" xr:uid="{00000000-0005-0000-0000-000043010000}"/>
    <cellStyle name="60% - Isticanje2 2 3" xfId="251" xr:uid="{00000000-0005-0000-0000-000044010000}"/>
    <cellStyle name="60% - Isticanje2 3" xfId="252" xr:uid="{00000000-0005-0000-0000-000045010000}"/>
    <cellStyle name="60% - Isticanje2 3 2" xfId="253" xr:uid="{00000000-0005-0000-0000-000046010000}"/>
    <cellStyle name="60% - Isticanje2 3 3" xfId="254" xr:uid="{00000000-0005-0000-0000-000047010000}"/>
    <cellStyle name="60% - Isticanje2 3 4" xfId="2822" xr:uid="{00000000-0005-0000-0000-000048010000}"/>
    <cellStyle name="60% - Isticanje2 4" xfId="255" xr:uid="{00000000-0005-0000-0000-000049010000}"/>
    <cellStyle name="60% - Isticanje2 5" xfId="256" xr:uid="{00000000-0005-0000-0000-00004A010000}"/>
    <cellStyle name="60% - Isticanje2 6" xfId="257" xr:uid="{00000000-0005-0000-0000-00004B010000}"/>
    <cellStyle name="60% - Isticanje3 2" xfId="258" xr:uid="{00000000-0005-0000-0000-00004C010000}"/>
    <cellStyle name="60% - Isticanje3 2 2" xfId="259" xr:uid="{00000000-0005-0000-0000-00004D010000}"/>
    <cellStyle name="60% - Isticanje3 2 2 2" xfId="260" xr:uid="{00000000-0005-0000-0000-00004E010000}"/>
    <cellStyle name="60% - Isticanje3 2 2 3" xfId="2823" xr:uid="{00000000-0005-0000-0000-00004F010000}"/>
    <cellStyle name="60% - Isticanje3 2 3" xfId="261" xr:uid="{00000000-0005-0000-0000-000050010000}"/>
    <cellStyle name="60% - Isticanje3 3" xfId="262" xr:uid="{00000000-0005-0000-0000-000051010000}"/>
    <cellStyle name="60% - Isticanje3 3 2" xfId="263" xr:uid="{00000000-0005-0000-0000-000052010000}"/>
    <cellStyle name="60% - Isticanje3 3 3" xfId="264" xr:uid="{00000000-0005-0000-0000-000053010000}"/>
    <cellStyle name="60% - Isticanje3 3 4" xfId="2824" xr:uid="{00000000-0005-0000-0000-000054010000}"/>
    <cellStyle name="60% - Isticanje3 4" xfId="265" xr:uid="{00000000-0005-0000-0000-000055010000}"/>
    <cellStyle name="60% - Isticanje3 5" xfId="266" xr:uid="{00000000-0005-0000-0000-000056010000}"/>
    <cellStyle name="60% - Isticanje3 6" xfId="267" xr:uid="{00000000-0005-0000-0000-000057010000}"/>
    <cellStyle name="60% - Isticanje4 2" xfId="268" xr:uid="{00000000-0005-0000-0000-000058010000}"/>
    <cellStyle name="60% - Isticanje4 2 2" xfId="269" xr:uid="{00000000-0005-0000-0000-000059010000}"/>
    <cellStyle name="60% - Isticanje4 2 2 2" xfId="270" xr:uid="{00000000-0005-0000-0000-00005A010000}"/>
    <cellStyle name="60% - Isticanje4 2 2 3" xfId="2825" xr:uid="{00000000-0005-0000-0000-00005B010000}"/>
    <cellStyle name="60% - Isticanje4 2 3" xfId="271" xr:uid="{00000000-0005-0000-0000-00005C010000}"/>
    <cellStyle name="60% - Isticanje4 3" xfId="272" xr:uid="{00000000-0005-0000-0000-00005D010000}"/>
    <cellStyle name="60% - Isticanje4 3 2" xfId="273" xr:uid="{00000000-0005-0000-0000-00005E010000}"/>
    <cellStyle name="60% - Isticanje4 3 3" xfId="274" xr:uid="{00000000-0005-0000-0000-00005F010000}"/>
    <cellStyle name="60% - Isticanje4 3 4" xfId="2826" xr:uid="{00000000-0005-0000-0000-000060010000}"/>
    <cellStyle name="60% - Isticanje4 4" xfId="275" xr:uid="{00000000-0005-0000-0000-000061010000}"/>
    <cellStyle name="60% - Isticanje4 5" xfId="276" xr:uid="{00000000-0005-0000-0000-000062010000}"/>
    <cellStyle name="60% - Isticanje4 6" xfId="277" xr:uid="{00000000-0005-0000-0000-000063010000}"/>
    <cellStyle name="60% - Isticanje5 2" xfId="278" xr:uid="{00000000-0005-0000-0000-000064010000}"/>
    <cellStyle name="60% - Isticanje5 2 2" xfId="279" xr:uid="{00000000-0005-0000-0000-000065010000}"/>
    <cellStyle name="60% - Isticanje5 2 2 2" xfId="280" xr:uid="{00000000-0005-0000-0000-000066010000}"/>
    <cellStyle name="60% - Isticanje5 2 2 3" xfId="2827" xr:uid="{00000000-0005-0000-0000-000067010000}"/>
    <cellStyle name="60% - Isticanje5 2 3" xfId="281" xr:uid="{00000000-0005-0000-0000-000068010000}"/>
    <cellStyle name="60% - Isticanje5 3" xfId="282" xr:uid="{00000000-0005-0000-0000-000069010000}"/>
    <cellStyle name="60% - Isticanje5 3 2" xfId="283" xr:uid="{00000000-0005-0000-0000-00006A010000}"/>
    <cellStyle name="60% - Isticanje5 3 3" xfId="284" xr:uid="{00000000-0005-0000-0000-00006B010000}"/>
    <cellStyle name="60% - Isticanje5 3 4" xfId="2828" xr:uid="{00000000-0005-0000-0000-00006C010000}"/>
    <cellStyle name="60% - Isticanje5 4" xfId="285" xr:uid="{00000000-0005-0000-0000-00006D010000}"/>
    <cellStyle name="60% - Isticanje5 5" xfId="286" xr:uid="{00000000-0005-0000-0000-00006E010000}"/>
    <cellStyle name="60% - Isticanje5 6" xfId="287" xr:uid="{00000000-0005-0000-0000-00006F010000}"/>
    <cellStyle name="60% - Isticanje6 2" xfId="288" xr:uid="{00000000-0005-0000-0000-000070010000}"/>
    <cellStyle name="60% - Isticanje6 2 2" xfId="289" xr:uid="{00000000-0005-0000-0000-000071010000}"/>
    <cellStyle name="60% - Isticanje6 2 2 2" xfId="290" xr:uid="{00000000-0005-0000-0000-000072010000}"/>
    <cellStyle name="60% - Isticanje6 2 2 3" xfId="2829" xr:uid="{00000000-0005-0000-0000-000073010000}"/>
    <cellStyle name="60% - Isticanje6 2 3" xfId="291" xr:uid="{00000000-0005-0000-0000-000074010000}"/>
    <cellStyle name="60% - Isticanje6 3" xfId="292" xr:uid="{00000000-0005-0000-0000-000075010000}"/>
    <cellStyle name="60% - Isticanje6 3 2" xfId="293" xr:uid="{00000000-0005-0000-0000-000076010000}"/>
    <cellStyle name="60% - Isticanje6 3 3" xfId="294" xr:uid="{00000000-0005-0000-0000-000077010000}"/>
    <cellStyle name="60% - Isticanje6 3 4" xfId="2830" xr:uid="{00000000-0005-0000-0000-000078010000}"/>
    <cellStyle name="60% - Isticanje6 4" xfId="295" xr:uid="{00000000-0005-0000-0000-000079010000}"/>
    <cellStyle name="60% - Isticanje6 5" xfId="296" xr:uid="{00000000-0005-0000-0000-00007A010000}"/>
    <cellStyle name="60% - Isticanje6 6" xfId="297" xr:uid="{00000000-0005-0000-0000-00007B010000}"/>
    <cellStyle name="A4 Small 210 x 297 mm 10 2" xfId="3165" xr:uid="{00000000-0005-0000-0000-00007C010000}"/>
    <cellStyle name="A4 Small 210 x 297 mm 3_BURE COMMERCE" xfId="298" xr:uid="{00000000-0005-0000-0000-00007D010000}"/>
    <cellStyle name="Accent1" xfId="299" xr:uid="{00000000-0005-0000-0000-00007E010000}"/>
    <cellStyle name="Accent1 2" xfId="300" xr:uid="{00000000-0005-0000-0000-00007F010000}"/>
    <cellStyle name="Accent1 2 2" xfId="301" xr:uid="{00000000-0005-0000-0000-000080010000}"/>
    <cellStyle name="Accent1 2 3" xfId="302" xr:uid="{00000000-0005-0000-0000-000081010000}"/>
    <cellStyle name="Accent1 2 4" xfId="2831" xr:uid="{00000000-0005-0000-0000-000082010000}"/>
    <cellStyle name="Accent1 2 5" xfId="3279" xr:uid="{00000000-0005-0000-0000-000083010000}"/>
    <cellStyle name="Accent1 3" xfId="303" xr:uid="{00000000-0005-0000-0000-000084010000}"/>
    <cellStyle name="Accent1 4" xfId="304" xr:uid="{00000000-0005-0000-0000-000085010000}"/>
    <cellStyle name="Accent2" xfId="305" xr:uid="{00000000-0005-0000-0000-000086010000}"/>
    <cellStyle name="Accent2 2" xfId="306" xr:uid="{00000000-0005-0000-0000-000087010000}"/>
    <cellStyle name="Accent2 2 2" xfId="307" xr:uid="{00000000-0005-0000-0000-000088010000}"/>
    <cellStyle name="Accent2 2 3" xfId="308" xr:uid="{00000000-0005-0000-0000-000089010000}"/>
    <cellStyle name="Accent2 2 4" xfId="2832" xr:uid="{00000000-0005-0000-0000-00008A010000}"/>
    <cellStyle name="Accent2 2 5" xfId="3278" xr:uid="{00000000-0005-0000-0000-00008B010000}"/>
    <cellStyle name="Accent2 3" xfId="309" xr:uid="{00000000-0005-0000-0000-00008C010000}"/>
    <cellStyle name="Accent2 3 13" xfId="310" xr:uid="{00000000-0005-0000-0000-00008D010000}"/>
    <cellStyle name="Accent2 3 14" xfId="311" xr:uid="{00000000-0005-0000-0000-00008E010000}"/>
    <cellStyle name="Accent2 4" xfId="312" xr:uid="{00000000-0005-0000-0000-00008F010000}"/>
    <cellStyle name="Accent3" xfId="313" xr:uid="{00000000-0005-0000-0000-000090010000}"/>
    <cellStyle name="Accent3 2" xfId="314" xr:uid="{00000000-0005-0000-0000-000091010000}"/>
    <cellStyle name="Accent3 2 2" xfId="315" xr:uid="{00000000-0005-0000-0000-000092010000}"/>
    <cellStyle name="Accent3 2 3" xfId="316" xr:uid="{00000000-0005-0000-0000-000093010000}"/>
    <cellStyle name="Accent3 2 4" xfId="2833" xr:uid="{00000000-0005-0000-0000-000094010000}"/>
    <cellStyle name="Accent3 2 5" xfId="3277" xr:uid="{00000000-0005-0000-0000-000095010000}"/>
    <cellStyle name="Accent3 3" xfId="317" xr:uid="{00000000-0005-0000-0000-000096010000}"/>
    <cellStyle name="Accent3 4" xfId="318" xr:uid="{00000000-0005-0000-0000-000097010000}"/>
    <cellStyle name="Accent4" xfId="319" xr:uid="{00000000-0005-0000-0000-000098010000}"/>
    <cellStyle name="Accent4 2" xfId="320" xr:uid="{00000000-0005-0000-0000-000099010000}"/>
    <cellStyle name="Accent4 2 2" xfId="321" xr:uid="{00000000-0005-0000-0000-00009A010000}"/>
    <cellStyle name="Accent4 2 3" xfId="322" xr:uid="{00000000-0005-0000-0000-00009B010000}"/>
    <cellStyle name="Accent4 2 4" xfId="2834" xr:uid="{00000000-0005-0000-0000-00009C010000}"/>
    <cellStyle name="Accent4 2 5" xfId="3276" xr:uid="{00000000-0005-0000-0000-00009D010000}"/>
    <cellStyle name="Accent4 3" xfId="323" xr:uid="{00000000-0005-0000-0000-00009E010000}"/>
    <cellStyle name="Accent4 4" xfId="324" xr:uid="{00000000-0005-0000-0000-00009F010000}"/>
    <cellStyle name="Accent5" xfId="325" xr:uid="{00000000-0005-0000-0000-0000A0010000}"/>
    <cellStyle name="Accent5 2" xfId="326" xr:uid="{00000000-0005-0000-0000-0000A1010000}"/>
    <cellStyle name="Accent5 2 2" xfId="327" xr:uid="{00000000-0005-0000-0000-0000A2010000}"/>
    <cellStyle name="Accent5 2 3" xfId="328" xr:uid="{00000000-0005-0000-0000-0000A3010000}"/>
    <cellStyle name="Accent5 2 4" xfId="2835" xr:uid="{00000000-0005-0000-0000-0000A4010000}"/>
    <cellStyle name="Accent5 2 5" xfId="3275" xr:uid="{00000000-0005-0000-0000-0000A5010000}"/>
    <cellStyle name="Accent5 3" xfId="329" xr:uid="{00000000-0005-0000-0000-0000A6010000}"/>
    <cellStyle name="Accent5 4" xfId="330" xr:uid="{00000000-0005-0000-0000-0000A7010000}"/>
    <cellStyle name="Accent6" xfId="331" xr:uid="{00000000-0005-0000-0000-0000A8010000}"/>
    <cellStyle name="Accent6 2" xfId="332" xr:uid="{00000000-0005-0000-0000-0000A9010000}"/>
    <cellStyle name="Accent6 2 2" xfId="333" xr:uid="{00000000-0005-0000-0000-0000AA010000}"/>
    <cellStyle name="Accent6 2 3" xfId="334" xr:uid="{00000000-0005-0000-0000-0000AB010000}"/>
    <cellStyle name="Accent6 2 4" xfId="2836" xr:uid="{00000000-0005-0000-0000-0000AC010000}"/>
    <cellStyle name="Accent6 2 5" xfId="3274" xr:uid="{00000000-0005-0000-0000-0000AD010000}"/>
    <cellStyle name="Accent6 3" xfId="335" xr:uid="{00000000-0005-0000-0000-0000AE010000}"/>
    <cellStyle name="Accent6 4" xfId="336" xr:uid="{00000000-0005-0000-0000-0000AF010000}"/>
    <cellStyle name="Bad" xfId="337" xr:uid="{00000000-0005-0000-0000-0000B0010000}"/>
    <cellStyle name="Bad 2" xfId="338" xr:uid="{00000000-0005-0000-0000-0000B1010000}"/>
    <cellStyle name="Bad 2 2" xfId="339" xr:uid="{00000000-0005-0000-0000-0000B2010000}"/>
    <cellStyle name="Bad 2 3" xfId="340" xr:uid="{00000000-0005-0000-0000-0000B3010000}"/>
    <cellStyle name="Bad 2 4" xfId="2837" xr:uid="{00000000-0005-0000-0000-0000B4010000}"/>
    <cellStyle name="Bad 2 5" xfId="3273" xr:uid="{00000000-0005-0000-0000-0000B5010000}"/>
    <cellStyle name="Bad 3" xfId="341" xr:uid="{00000000-0005-0000-0000-0000B6010000}"/>
    <cellStyle name="Bad 4" xfId="342" xr:uid="{00000000-0005-0000-0000-0000B7010000}"/>
    <cellStyle name="Bilješka 2" xfId="343" xr:uid="{00000000-0005-0000-0000-0000B8010000}"/>
    <cellStyle name="Bilješka 2 2" xfId="344" xr:uid="{00000000-0005-0000-0000-0000B9010000}"/>
    <cellStyle name="Bilješka 2 2 2" xfId="345" xr:uid="{00000000-0005-0000-0000-0000BA010000}"/>
    <cellStyle name="Bilješka 2 2 2 2" xfId="2334" xr:uid="{00000000-0005-0000-0000-0000BB010000}"/>
    <cellStyle name="Bilješka 2 2 3" xfId="2838" xr:uid="{00000000-0005-0000-0000-0000BC010000}"/>
    <cellStyle name="Bilješka 2 3" xfId="346" xr:uid="{00000000-0005-0000-0000-0000BD010000}"/>
    <cellStyle name="Bilješka 2 3 2" xfId="2335" xr:uid="{00000000-0005-0000-0000-0000BE010000}"/>
    <cellStyle name="Bilješka 3" xfId="347" xr:uid="{00000000-0005-0000-0000-0000BF010000}"/>
    <cellStyle name="Bilješka 3 2" xfId="348" xr:uid="{00000000-0005-0000-0000-0000C0010000}"/>
    <cellStyle name="Bilješka 3 3" xfId="349" xr:uid="{00000000-0005-0000-0000-0000C1010000}"/>
    <cellStyle name="Bilješka 3 3 2" xfId="2336" xr:uid="{00000000-0005-0000-0000-0000C2010000}"/>
    <cellStyle name="Bilješka 3 4" xfId="2839" xr:uid="{00000000-0005-0000-0000-0000C3010000}"/>
    <cellStyle name="Bilješka 4" xfId="350" xr:uid="{00000000-0005-0000-0000-0000C4010000}"/>
    <cellStyle name="Bilješka 5" xfId="351" xr:uid="{00000000-0005-0000-0000-0000C5010000}"/>
    <cellStyle name="Bilješka 6" xfId="352" xr:uid="{00000000-0005-0000-0000-0000C6010000}"/>
    <cellStyle name="Bilješka 6 2" xfId="2337" xr:uid="{00000000-0005-0000-0000-0000C7010000}"/>
    <cellStyle name="Calculation" xfId="353" xr:uid="{00000000-0005-0000-0000-0000C8010000}"/>
    <cellStyle name="Calculation 2" xfId="354" xr:uid="{00000000-0005-0000-0000-0000C9010000}"/>
    <cellStyle name="Calculation 2 2" xfId="355" xr:uid="{00000000-0005-0000-0000-0000CA010000}"/>
    <cellStyle name="Calculation 2 3" xfId="356" xr:uid="{00000000-0005-0000-0000-0000CB010000}"/>
    <cellStyle name="Calculation 2 4" xfId="2840" xr:uid="{00000000-0005-0000-0000-0000CC010000}"/>
    <cellStyle name="Calculation 2 5" xfId="3272" xr:uid="{00000000-0005-0000-0000-0000CD010000}"/>
    <cellStyle name="Calculation 3" xfId="357" xr:uid="{00000000-0005-0000-0000-0000CE010000}"/>
    <cellStyle name="Calculation 4" xfId="358" xr:uid="{00000000-0005-0000-0000-0000CF010000}"/>
    <cellStyle name="Check Cell" xfId="359" xr:uid="{00000000-0005-0000-0000-0000D0010000}"/>
    <cellStyle name="Check Cell 2" xfId="360" xr:uid="{00000000-0005-0000-0000-0000D1010000}"/>
    <cellStyle name="Check Cell 2 2" xfId="361" xr:uid="{00000000-0005-0000-0000-0000D2010000}"/>
    <cellStyle name="Check Cell 2 3" xfId="362" xr:uid="{00000000-0005-0000-0000-0000D3010000}"/>
    <cellStyle name="Check Cell 2 4" xfId="2841" xr:uid="{00000000-0005-0000-0000-0000D4010000}"/>
    <cellStyle name="Check Cell 2 5" xfId="3271" xr:uid="{00000000-0005-0000-0000-0000D5010000}"/>
    <cellStyle name="Check Cell 3" xfId="363" xr:uid="{00000000-0005-0000-0000-0000D6010000}"/>
    <cellStyle name="Check Cell 4" xfId="364" xr:uid="{00000000-0005-0000-0000-0000D7010000}"/>
    <cellStyle name="Comma 10" xfId="365" xr:uid="{00000000-0005-0000-0000-0000D8010000}"/>
    <cellStyle name="Comma 10 2" xfId="366" xr:uid="{00000000-0005-0000-0000-0000D9010000}"/>
    <cellStyle name="Comma 10 3" xfId="367" xr:uid="{00000000-0005-0000-0000-0000DA010000}"/>
    <cellStyle name="Comma 10 3 2" xfId="2338" xr:uid="{00000000-0005-0000-0000-0000DB010000}"/>
    <cellStyle name="Comma 11" xfId="368" xr:uid="{00000000-0005-0000-0000-0000DC010000}"/>
    <cellStyle name="Comma 11 2" xfId="369" xr:uid="{00000000-0005-0000-0000-0000DD010000}"/>
    <cellStyle name="Comma 11 2 2" xfId="3057" xr:uid="{00000000-0005-0000-0000-0000DE010000}"/>
    <cellStyle name="Comma 11 3" xfId="370" xr:uid="{00000000-0005-0000-0000-0000DF010000}"/>
    <cellStyle name="Comma 11 3 2" xfId="2339" xr:uid="{00000000-0005-0000-0000-0000E0010000}"/>
    <cellStyle name="Comma 11 4" xfId="3270" xr:uid="{00000000-0005-0000-0000-0000E1010000}"/>
    <cellStyle name="Comma 12" xfId="371" xr:uid="{00000000-0005-0000-0000-0000E2010000}"/>
    <cellStyle name="Comma 12 2" xfId="372" xr:uid="{00000000-0005-0000-0000-0000E3010000}"/>
    <cellStyle name="Comma 12 3" xfId="373" xr:uid="{00000000-0005-0000-0000-0000E4010000}"/>
    <cellStyle name="Comma 12 3 2" xfId="2340" xr:uid="{00000000-0005-0000-0000-0000E5010000}"/>
    <cellStyle name="Comma 13" xfId="374" xr:uid="{00000000-0005-0000-0000-0000E6010000}"/>
    <cellStyle name="Comma 13 2" xfId="375" xr:uid="{00000000-0005-0000-0000-0000E7010000}"/>
    <cellStyle name="Comma 13 2 2" xfId="376" xr:uid="{00000000-0005-0000-0000-0000E8010000}"/>
    <cellStyle name="Comma 13 2 3" xfId="377" xr:uid="{00000000-0005-0000-0000-0000E9010000}"/>
    <cellStyle name="Comma 13 2 3 2" xfId="2341" xr:uid="{00000000-0005-0000-0000-0000EA010000}"/>
    <cellStyle name="Comma 13 3" xfId="378" xr:uid="{00000000-0005-0000-0000-0000EB010000}"/>
    <cellStyle name="Comma 13 4" xfId="379" xr:uid="{00000000-0005-0000-0000-0000EC010000}"/>
    <cellStyle name="Comma 13 5" xfId="2842" xr:uid="{00000000-0005-0000-0000-0000ED010000}"/>
    <cellStyle name="Comma 14" xfId="380" xr:uid="{00000000-0005-0000-0000-0000EE010000}"/>
    <cellStyle name="Comma 14 2" xfId="381" xr:uid="{00000000-0005-0000-0000-0000EF010000}"/>
    <cellStyle name="Comma 14 2 2" xfId="382" xr:uid="{00000000-0005-0000-0000-0000F0010000}"/>
    <cellStyle name="Comma 14 2 3" xfId="383" xr:uid="{00000000-0005-0000-0000-0000F1010000}"/>
    <cellStyle name="Comma 14 2 4" xfId="2844" xr:uid="{00000000-0005-0000-0000-0000F2010000}"/>
    <cellStyle name="Comma 14 3" xfId="384" xr:uid="{00000000-0005-0000-0000-0000F3010000}"/>
    <cellStyle name="Comma 14 4" xfId="385" xr:uid="{00000000-0005-0000-0000-0000F4010000}"/>
    <cellStyle name="Comma 14 5" xfId="2843" xr:uid="{00000000-0005-0000-0000-0000F5010000}"/>
    <cellStyle name="Comma 15" xfId="386" xr:uid="{00000000-0005-0000-0000-0000F6010000}"/>
    <cellStyle name="Comma 15 2" xfId="387" xr:uid="{00000000-0005-0000-0000-0000F7010000}"/>
    <cellStyle name="Comma 15 3" xfId="388" xr:uid="{00000000-0005-0000-0000-0000F8010000}"/>
    <cellStyle name="Comma 15 4" xfId="2845" xr:uid="{00000000-0005-0000-0000-0000F9010000}"/>
    <cellStyle name="Comma 16" xfId="389" xr:uid="{00000000-0005-0000-0000-0000FA010000}"/>
    <cellStyle name="Comma 16 2" xfId="390" xr:uid="{00000000-0005-0000-0000-0000FB010000}"/>
    <cellStyle name="Comma 16 3" xfId="391" xr:uid="{00000000-0005-0000-0000-0000FC010000}"/>
    <cellStyle name="Comma 16 4" xfId="2846" xr:uid="{00000000-0005-0000-0000-0000FD010000}"/>
    <cellStyle name="Comma 17" xfId="392" xr:uid="{00000000-0005-0000-0000-0000FE010000}"/>
    <cellStyle name="Comma 17 2" xfId="393" xr:uid="{00000000-0005-0000-0000-0000FF010000}"/>
    <cellStyle name="Comma 17 3" xfId="394" xr:uid="{00000000-0005-0000-0000-000000020000}"/>
    <cellStyle name="Comma 17 4" xfId="2847" xr:uid="{00000000-0005-0000-0000-000001020000}"/>
    <cellStyle name="Comma 18" xfId="395" xr:uid="{00000000-0005-0000-0000-000002020000}"/>
    <cellStyle name="Comma 18 2" xfId="396" xr:uid="{00000000-0005-0000-0000-000003020000}"/>
    <cellStyle name="Comma 18 3" xfId="397" xr:uid="{00000000-0005-0000-0000-000004020000}"/>
    <cellStyle name="Comma 18 4" xfId="2848" xr:uid="{00000000-0005-0000-0000-000005020000}"/>
    <cellStyle name="Comma 19" xfId="398" xr:uid="{00000000-0005-0000-0000-000006020000}"/>
    <cellStyle name="Comma 19 2" xfId="399" xr:uid="{00000000-0005-0000-0000-000007020000}"/>
    <cellStyle name="Comma 19 3" xfId="400" xr:uid="{00000000-0005-0000-0000-000008020000}"/>
    <cellStyle name="Comma 19 4" xfId="2849" xr:uid="{00000000-0005-0000-0000-000009020000}"/>
    <cellStyle name="Comma 2" xfId="401" xr:uid="{00000000-0005-0000-0000-00000A020000}"/>
    <cellStyle name="Comma 2 2" xfId="402" xr:uid="{00000000-0005-0000-0000-00000B020000}"/>
    <cellStyle name="Comma 2 2 2" xfId="403" xr:uid="{00000000-0005-0000-0000-00000C020000}"/>
    <cellStyle name="Comma 2 2 2 2" xfId="404" xr:uid="{00000000-0005-0000-0000-00000D020000}"/>
    <cellStyle name="Comma 2 2 2 2 2" xfId="405" xr:uid="{00000000-0005-0000-0000-00000E020000}"/>
    <cellStyle name="Comma 2 2 2 2 3" xfId="406" xr:uid="{00000000-0005-0000-0000-00000F020000}"/>
    <cellStyle name="Comma 2 2 2 2 4" xfId="2852" xr:uid="{00000000-0005-0000-0000-000010020000}"/>
    <cellStyle name="Comma 2 2 2 3" xfId="407" xr:uid="{00000000-0005-0000-0000-000011020000}"/>
    <cellStyle name="Comma 2 2 2 3 2" xfId="3399" xr:uid="{00000000-0005-0000-0000-000012020000}"/>
    <cellStyle name="Comma 2 2 2 4" xfId="408" xr:uid="{00000000-0005-0000-0000-000013020000}"/>
    <cellStyle name="Comma 2 2 2 4 2" xfId="2342" xr:uid="{00000000-0005-0000-0000-000014020000}"/>
    <cellStyle name="Comma 2 2 2 4 2 2" xfId="3434" xr:uid="{00000000-0005-0000-0000-000015020000}"/>
    <cellStyle name="Comma 2 2 2 4 3" xfId="3400" xr:uid="{00000000-0005-0000-0000-000016020000}"/>
    <cellStyle name="Comma 2 2 2 5" xfId="2851" xr:uid="{00000000-0005-0000-0000-000017020000}"/>
    <cellStyle name="Comma 2 2 2 6" xfId="3398" xr:uid="{00000000-0005-0000-0000-000018020000}"/>
    <cellStyle name="Comma 2 2 3" xfId="409" xr:uid="{00000000-0005-0000-0000-000019020000}"/>
    <cellStyle name="Comma 2 2 3 2" xfId="410" xr:uid="{00000000-0005-0000-0000-00001A020000}"/>
    <cellStyle name="Comma 2 2 3 3" xfId="411" xr:uid="{00000000-0005-0000-0000-00001B020000}"/>
    <cellStyle name="Comma 2 2 3 4" xfId="2853" xr:uid="{00000000-0005-0000-0000-00001C020000}"/>
    <cellStyle name="Comma 2 2 3 5" xfId="3132" xr:uid="{00000000-0005-0000-0000-00001D020000}"/>
    <cellStyle name="Comma 2 2 4" xfId="412" xr:uid="{00000000-0005-0000-0000-00001E020000}"/>
    <cellStyle name="Comma 2 2 4 2" xfId="3102" xr:uid="{00000000-0005-0000-0000-00001F020000}"/>
    <cellStyle name="Comma 2 2 4 3" xfId="3401" xr:uid="{00000000-0005-0000-0000-000020020000}"/>
    <cellStyle name="Comma 2 2 5" xfId="413" xr:uid="{00000000-0005-0000-0000-000021020000}"/>
    <cellStyle name="Comma 2 2 5 2" xfId="2343" xr:uid="{00000000-0005-0000-0000-000022020000}"/>
    <cellStyle name="Comma 2 2 5 2 2" xfId="3435" xr:uid="{00000000-0005-0000-0000-000023020000}"/>
    <cellStyle name="Comma 2 2 5 3" xfId="3402" xr:uid="{00000000-0005-0000-0000-000024020000}"/>
    <cellStyle name="Comma 2 2 6" xfId="2850" xr:uid="{00000000-0005-0000-0000-000025020000}"/>
    <cellStyle name="Comma 2 2 7" xfId="3163" xr:uid="{00000000-0005-0000-0000-000026020000}"/>
    <cellStyle name="Comma 2 2 8" xfId="3397" xr:uid="{00000000-0005-0000-0000-000027020000}"/>
    <cellStyle name="Comma 2 3" xfId="414" xr:uid="{00000000-0005-0000-0000-000028020000}"/>
    <cellStyle name="Comma 2 3 2" xfId="415" xr:uid="{00000000-0005-0000-0000-000029020000}"/>
    <cellStyle name="Comma 2 3 2 2" xfId="416" xr:uid="{00000000-0005-0000-0000-00002A020000}"/>
    <cellStyle name="Comma 2 3 2 3" xfId="417" xr:uid="{00000000-0005-0000-0000-00002B020000}"/>
    <cellStyle name="Comma 2 3 2 4" xfId="2855" xr:uid="{00000000-0005-0000-0000-00002C020000}"/>
    <cellStyle name="Comma 2 3 2 5" xfId="3097" xr:uid="{00000000-0005-0000-0000-00002D020000}"/>
    <cellStyle name="Comma 2 3 3" xfId="418" xr:uid="{00000000-0005-0000-0000-00002E020000}"/>
    <cellStyle name="Comma 2 3 3 2" xfId="3404" xr:uid="{00000000-0005-0000-0000-00002F020000}"/>
    <cellStyle name="Comma 2 3 4" xfId="419" xr:uid="{00000000-0005-0000-0000-000030020000}"/>
    <cellStyle name="Comma 2 3 4 2" xfId="2344" xr:uid="{00000000-0005-0000-0000-000031020000}"/>
    <cellStyle name="Comma 2 3 4 2 2" xfId="3436" xr:uid="{00000000-0005-0000-0000-000032020000}"/>
    <cellStyle name="Comma 2 3 4 3" xfId="3405" xr:uid="{00000000-0005-0000-0000-000033020000}"/>
    <cellStyle name="Comma 2 3 5" xfId="2854" xr:uid="{00000000-0005-0000-0000-000034020000}"/>
    <cellStyle name="Comma 2 3 6" xfId="3164" xr:uid="{00000000-0005-0000-0000-000035020000}"/>
    <cellStyle name="Comma 2 3 7" xfId="3403" xr:uid="{00000000-0005-0000-0000-000036020000}"/>
    <cellStyle name="Comma 2 4" xfId="420" xr:uid="{00000000-0005-0000-0000-000037020000}"/>
    <cellStyle name="Comma 2 4 2" xfId="421" xr:uid="{00000000-0005-0000-0000-000038020000}"/>
    <cellStyle name="Comma 2 4 2 2" xfId="2345" xr:uid="{00000000-0005-0000-0000-000039020000}"/>
    <cellStyle name="Comma 2 4 3" xfId="3193" xr:uid="{00000000-0005-0000-0000-00003A020000}"/>
    <cellStyle name="Comma 2 5" xfId="422" xr:uid="{00000000-0005-0000-0000-00003B020000}"/>
    <cellStyle name="Comma 2 5 2" xfId="423" xr:uid="{00000000-0005-0000-0000-00003C020000}"/>
    <cellStyle name="Comma 2 5 3" xfId="424" xr:uid="{00000000-0005-0000-0000-00003D020000}"/>
    <cellStyle name="Comma 2 5 4" xfId="2856" xr:uid="{00000000-0005-0000-0000-00003E020000}"/>
    <cellStyle name="Comma 2 5 5" xfId="3068" xr:uid="{00000000-0005-0000-0000-00003F020000}"/>
    <cellStyle name="Comma 2 6" xfId="425" xr:uid="{00000000-0005-0000-0000-000040020000}"/>
    <cellStyle name="Comma 2 6 2" xfId="3056" xr:uid="{00000000-0005-0000-0000-000041020000}"/>
    <cellStyle name="Comma 2 7" xfId="426" xr:uid="{00000000-0005-0000-0000-000042020000}"/>
    <cellStyle name="Comma 2 7 2" xfId="2346" xr:uid="{00000000-0005-0000-0000-000043020000}"/>
    <cellStyle name="Comma 20" xfId="427" xr:uid="{00000000-0005-0000-0000-000044020000}"/>
    <cellStyle name="Comma 20 2" xfId="428" xr:uid="{00000000-0005-0000-0000-000045020000}"/>
    <cellStyle name="Comma 20 3" xfId="429" xr:uid="{00000000-0005-0000-0000-000046020000}"/>
    <cellStyle name="Comma 20 4" xfId="2857" xr:uid="{00000000-0005-0000-0000-000047020000}"/>
    <cellStyle name="Comma 21" xfId="430" xr:uid="{00000000-0005-0000-0000-000048020000}"/>
    <cellStyle name="Comma 21 2" xfId="431" xr:uid="{00000000-0005-0000-0000-000049020000}"/>
    <cellStyle name="Comma 21 3" xfId="432" xr:uid="{00000000-0005-0000-0000-00004A020000}"/>
    <cellStyle name="Comma 21 4" xfId="2858" xr:uid="{00000000-0005-0000-0000-00004B020000}"/>
    <cellStyle name="Comma 22" xfId="433" xr:uid="{00000000-0005-0000-0000-00004C020000}"/>
    <cellStyle name="Comma 22 2" xfId="434" xr:uid="{00000000-0005-0000-0000-00004D020000}"/>
    <cellStyle name="Comma 22 3" xfId="435" xr:uid="{00000000-0005-0000-0000-00004E020000}"/>
    <cellStyle name="Comma 22 4" xfId="2859" xr:uid="{00000000-0005-0000-0000-00004F020000}"/>
    <cellStyle name="Comma 23" xfId="436" xr:uid="{00000000-0005-0000-0000-000050020000}"/>
    <cellStyle name="Comma 23 2" xfId="437" xr:uid="{00000000-0005-0000-0000-000051020000}"/>
    <cellStyle name="Comma 23 2 2" xfId="438" xr:uid="{00000000-0005-0000-0000-000052020000}"/>
    <cellStyle name="Comma 23 2 2 2" xfId="439" xr:uid="{00000000-0005-0000-0000-000053020000}"/>
    <cellStyle name="Comma 23 2 2 3" xfId="440" xr:uid="{00000000-0005-0000-0000-000054020000}"/>
    <cellStyle name="Comma 23 2 2 3 2" xfId="2347" xr:uid="{00000000-0005-0000-0000-000055020000}"/>
    <cellStyle name="Comma 23 2 3" xfId="441" xr:uid="{00000000-0005-0000-0000-000056020000}"/>
    <cellStyle name="Comma 23 2 3 2" xfId="3407" xr:uid="{00000000-0005-0000-0000-000057020000}"/>
    <cellStyle name="Comma 23 2 4" xfId="442" xr:uid="{00000000-0005-0000-0000-000058020000}"/>
    <cellStyle name="Comma 23 2 4 2" xfId="2348" xr:uid="{00000000-0005-0000-0000-000059020000}"/>
    <cellStyle name="Comma 23 2 4 2 2" xfId="3437" xr:uid="{00000000-0005-0000-0000-00005A020000}"/>
    <cellStyle name="Comma 23 2 4 3" xfId="3408" xr:uid="{00000000-0005-0000-0000-00005B020000}"/>
    <cellStyle name="Comma 23 2 5" xfId="2860" xr:uid="{00000000-0005-0000-0000-00005C020000}"/>
    <cellStyle name="Comma 23 2 6" xfId="3406" xr:uid="{00000000-0005-0000-0000-00005D020000}"/>
    <cellStyle name="Comma 23 3" xfId="443" xr:uid="{00000000-0005-0000-0000-00005E020000}"/>
    <cellStyle name="Comma 23 4" xfId="444" xr:uid="{00000000-0005-0000-0000-00005F020000}"/>
    <cellStyle name="Comma 23 4 2" xfId="2349" xr:uid="{00000000-0005-0000-0000-000060020000}"/>
    <cellStyle name="Comma 24" xfId="445" xr:uid="{00000000-0005-0000-0000-000061020000}"/>
    <cellStyle name="Comma 24 2" xfId="446" xr:uid="{00000000-0005-0000-0000-000062020000}"/>
    <cellStyle name="Comma 24 3" xfId="447" xr:uid="{00000000-0005-0000-0000-000063020000}"/>
    <cellStyle name="Comma 24 3 2" xfId="2350" xr:uid="{00000000-0005-0000-0000-000064020000}"/>
    <cellStyle name="Comma 25" xfId="448" xr:uid="{00000000-0005-0000-0000-000065020000}"/>
    <cellStyle name="Comma 25 2" xfId="449" xr:uid="{00000000-0005-0000-0000-000066020000}"/>
    <cellStyle name="Comma 25 3" xfId="450" xr:uid="{00000000-0005-0000-0000-000067020000}"/>
    <cellStyle name="Comma 25 3 2" xfId="2351" xr:uid="{00000000-0005-0000-0000-000068020000}"/>
    <cellStyle name="Comma 26" xfId="451" xr:uid="{00000000-0005-0000-0000-000069020000}"/>
    <cellStyle name="Comma 26 2" xfId="452" xr:uid="{00000000-0005-0000-0000-00006A020000}"/>
    <cellStyle name="Comma 26 3" xfId="453" xr:uid="{00000000-0005-0000-0000-00006B020000}"/>
    <cellStyle name="Comma 26 3 2" xfId="2352" xr:uid="{00000000-0005-0000-0000-00006C020000}"/>
    <cellStyle name="Comma 27" xfId="454" xr:uid="{00000000-0005-0000-0000-00006D020000}"/>
    <cellStyle name="Comma 27 2" xfId="455" xr:uid="{00000000-0005-0000-0000-00006E020000}"/>
    <cellStyle name="Comma 27 3" xfId="456" xr:uid="{00000000-0005-0000-0000-00006F020000}"/>
    <cellStyle name="Comma 27 3 2" xfId="2353" xr:uid="{00000000-0005-0000-0000-000070020000}"/>
    <cellStyle name="Comma 28" xfId="457" xr:uid="{00000000-0005-0000-0000-000071020000}"/>
    <cellStyle name="Comma 28 2" xfId="458" xr:uid="{00000000-0005-0000-0000-000072020000}"/>
    <cellStyle name="Comma 28 3" xfId="459" xr:uid="{00000000-0005-0000-0000-000073020000}"/>
    <cellStyle name="Comma 28 3 2" xfId="2354" xr:uid="{00000000-0005-0000-0000-000074020000}"/>
    <cellStyle name="Comma 29" xfId="460" xr:uid="{00000000-0005-0000-0000-000075020000}"/>
    <cellStyle name="Comma 29 2" xfId="461" xr:uid="{00000000-0005-0000-0000-000076020000}"/>
    <cellStyle name="Comma 29 3" xfId="462" xr:uid="{00000000-0005-0000-0000-000077020000}"/>
    <cellStyle name="Comma 29 3 2" xfId="2355" xr:uid="{00000000-0005-0000-0000-000078020000}"/>
    <cellStyle name="Comma 3" xfId="463" xr:uid="{00000000-0005-0000-0000-000079020000}"/>
    <cellStyle name="Comma 3 2" xfId="464" xr:uid="{00000000-0005-0000-0000-00007A020000}"/>
    <cellStyle name="Comma 3 2 2" xfId="465" xr:uid="{00000000-0005-0000-0000-00007B020000}"/>
    <cellStyle name="Comma 3 2 2 2" xfId="3067" xr:uid="{00000000-0005-0000-0000-00007C020000}"/>
    <cellStyle name="Comma 3 2 3" xfId="466" xr:uid="{00000000-0005-0000-0000-00007D020000}"/>
    <cellStyle name="Comma 3 2 3 2" xfId="2356" xr:uid="{00000000-0005-0000-0000-00007E020000}"/>
    <cellStyle name="Comma 3 2 4" xfId="3167" xr:uid="{00000000-0005-0000-0000-00007F020000}"/>
    <cellStyle name="Comma 3 3" xfId="467" xr:uid="{00000000-0005-0000-0000-000080020000}"/>
    <cellStyle name="Comma 3 3 2" xfId="468" xr:uid="{00000000-0005-0000-0000-000081020000}"/>
    <cellStyle name="Comma 3 3 3" xfId="469" xr:uid="{00000000-0005-0000-0000-000082020000}"/>
    <cellStyle name="Comma 3 3 4" xfId="2862" xr:uid="{00000000-0005-0000-0000-000083020000}"/>
    <cellStyle name="Comma 3 3 5" xfId="3055" xr:uid="{00000000-0005-0000-0000-000084020000}"/>
    <cellStyle name="Comma 3 4" xfId="470" xr:uid="{00000000-0005-0000-0000-000085020000}"/>
    <cellStyle name="Comma 3 5" xfId="471" xr:uid="{00000000-0005-0000-0000-000086020000}"/>
    <cellStyle name="Comma 3 6" xfId="2861" xr:uid="{00000000-0005-0000-0000-000087020000}"/>
    <cellStyle name="Comma 3 7" xfId="3269" xr:uid="{00000000-0005-0000-0000-000088020000}"/>
    <cellStyle name="Comma 3 8" xfId="3316" xr:uid="{00000000-0005-0000-0000-000089020000}"/>
    <cellStyle name="Comma 30" xfId="472" xr:uid="{00000000-0005-0000-0000-00008A020000}"/>
    <cellStyle name="Comma 30 2" xfId="473" xr:uid="{00000000-0005-0000-0000-00008B020000}"/>
    <cellStyle name="Comma 30 2 2" xfId="3410" xr:uid="{00000000-0005-0000-0000-00008C020000}"/>
    <cellStyle name="Comma 30 3" xfId="474" xr:uid="{00000000-0005-0000-0000-00008D020000}"/>
    <cellStyle name="Comma 30 3 2" xfId="2357" xr:uid="{00000000-0005-0000-0000-00008E020000}"/>
    <cellStyle name="Comma 30 3 2 2" xfId="3438" xr:uid="{00000000-0005-0000-0000-00008F020000}"/>
    <cellStyle name="Comma 30 3 3" xfId="3411" xr:uid="{00000000-0005-0000-0000-000090020000}"/>
    <cellStyle name="Comma 30 4" xfId="2863" xr:uid="{00000000-0005-0000-0000-000091020000}"/>
    <cellStyle name="Comma 30 5" xfId="3409" xr:uid="{00000000-0005-0000-0000-000092020000}"/>
    <cellStyle name="Comma 4" xfId="475" xr:uid="{00000000-0005-0000-0000-000093020000}"/>
    <cellStyle name="Comma 4 2" xfId="476" xr:uid="{00000000-0005-0000-0000-000094020000}"/>
    <cellStyle name="Comma 4 3" xfId="477" xr:uid="{00000000-0005-0000-0000-000095020000}"/>
    <cellStyle name="Comma 4 3 2" xfId="2358" xr:uid="{00000000-0005-0000-0000-000096020000}"/>
    <cellStyle name="Comma 5" xfId="478" xr:uid="{00000000-0005-0000-0000-000097020000}"/>
    <cellStyle name="Comma 5 2" xfId="479" xr:uid="{00000000-0005-0000-0000-000098020000}"/>
    <cellStyle name="Comma 5 3" xfId="480" xr:uid="{00000000-0005-0000-0000-000099020000}"/>
    <cellStyle name="Comma 5 3 2" xfId="2359" xr:uid="{00000000-0005-0000-0000-00009A020000}"/>
    <cellStyle name="Comma 5 3 3" xfId="3130" xr:uid="{00000000-0005-0000-0000-00009B020000}"/>
    <cellStyle name="Comma 6" xfId="481" xr:uid="{00000000-0005-0000-0000-00009C020000}"/>
    <cellStyle name="Comma 6 2" xfId="482" xr:uid="{00000000-0005-0000-0000-00009D020000}"/>
    <cellStyle name="Comma 6 3" xfId="483" xr:uid="{00000000-0005-0000-0000-00009E020000}"/>
    <cellStyle name="Comma 6 3 2" xfId="2360" xr:uid="{00000000-0005-0000-0000-00009F020000}"/>
    <cellStyle name="Comma 7" xfId="484" xr:uid="{00000000-0005-0000-0000-0000A0020000}"/>
    <cellStyle name="Comma 7 2" xfId="485" xr:uid="{00000000-0005-0000-0000-0000A1020000}"/>
    <cellStyle name="Comma 7 2 2" xfId="3054" xr:uid="{00000000-0005-0000-0000-0000A2020000}"/>
    <cellStyle name="Comma 7 3" xfId="486" xr:uid="{00000000-0005-0000-0000-0000A3020000}"/>
    <cellStyle name="Comma 7 3 2" xfId="2361" xr:uid="{00000000-0005-0000-0000-0000A4020000}"/>
    <cellStyle name="Comma 7 4" xfId="3268" xr:uid="{00000000-0005-0000-0000-0000A5020000}"/>
    <cellStyle name="Comma 8" xfId="487" xr:uid="{00000000-0005-0000-0000-0000A6020000}"/>
    <cellStyle name="Comma 8 2" xfId="488" xr:uid="{00000000-0005-0000-0000-0000A7020000}"/>
    <cellStyle name="Comma 8 3" xfId="489" xr:uid="{00000000-0005-0000-0000-0000A8020000}"/>
    <cellStyle name="Comma 8 3 2" xfId="2362" xr:uid="{00000000-0005-0000-0000-0000A9020000}"/>
    <cellStyle name="Comma 9" xfId="490" xr:uid="{00000000-0005-0000-0000-0000AA020000}"/>
    <cellStyle name="Comma 9 2" xfId="491" xr:uid="{00000000-0005-0000-0000-0000AB020000}"/>
    <cellStyle name="Comma 9 3" xfId="492" xr:uid="{00000000-0005-0000-0000-0000AC020000}"/>
    <cellStyle name="Comma 9 3 2" xfId="2363" xr:uid="{00000000-0005-0000-0000-0000AD020000}"/>
    <cellStyle name="Currency 2" xfId="493" xr:uid="{00000000-0005-0000-0000-0000AE020000}"/>
    <cellStyle name="Currency 2 2" xfId="494" xr:uid="{00000000-0005-0000-0000-0000AF020000}"/>
    <cellStyle name="Currency 2 2 2" xfId="3307" xr:uid="{00000000-0005-0000-0000-0000B0020000}"/>
    <cellStyle name="Currency 2 2 3" xfId="3162" xr:uid="{00000000-0005-0000-0000-0000B1020000}"/>
    <cellStyle name="Currency 2 3" xfId="495" xr:uid="{00000000-0005-0000-0000-0000B2020000}"/>
    <cellStyle name="Currency 2 3 2" xfId="3066" xr:uid="{00000000-0005-0000-0000-0000B3020000}"/>
    <cellStyle name="Currency 2 4" xfId="3047" xr:uid="{00000000-0005-0000-0000-0000B4020000}"/>
    <cellStyle name="Currency 2 5" xfId="3100" xr:uid="{00000000-0005-0000-0000-0000B5020000}"/>
    <cellStyle name="Currency 2 6" xfId="3267" xr:uid="{00000000-0005-0000-0000-0000B6020000}"/>
    <cellStyle name="Default_Uvuceni" xfId="496" xr:uid="{00000000-0005-0000-0000-0000B7020000}"/>
    <cellStyle name="Dobro 2" xfId="497" xr:uid="{00000000-0005-0000-0000-0000B8020000}"/>
    <cellStyle name="Dobro 2 2" xfId="498" xr:uid="{00000000-0005-0000-0000-0000B9020000}"/>
    <cellStyle name="Dobro 2 2 2" xfId="499" xr:uid="{00000000-0005-0000-0000-0000BA020000}"/>
    <cellStyle name="Dobro 2 2 3" xfId="2864" xr:uid="{00000000-0005-0000-0000-0000BB020000}"/>
    <cellStyle name="Dobro 2 3" xfId="500" xr:uid="{00000000-0005-0000-0000-0000BC020000}"/>
    <cellStyle name="Dobro 3" xfId="501" xr:uid="{00000000-0005-0000-0000-0000BD020000}"/>
    <cellStyle name="Dobro 3 2" xfId="502" xr:uid="{00000000-0005-0000-0000-0000BE020000}"/>
    <cellStyle name="Dobro 3 3" xfId="503" xr:uid="{00000000-0005-0000-0000-0000BF020000}"/>
    <cellStyle name="Dobro 3 4" xfId="2865" xr:uid="{00000000-0005-0000-0000-0000C0020000}"/>
    <cellStyle name="Dobro 4" xfId="504" xr:uid="{00000000-0005-0000-0000-0000C1020000}"/>
    <cellStyle name="Dobro 5" xfId="505" xr:uid="{00000000-0005-0000-0000-0000C2020000}"/>
    <cellStyle name="Dobro 6" xfId="506" xr:uid="{00000000-0005-0000-0000-0000C3020000}"/>
    <cellStyle name="Excel Built-in Bad" xfId="3151" xr:uid="{00000000-0005-0000-0000-0000C4020000}"/>
    <cellStyle name="Excel Built-in Explanatory Text" xfId="3150" xr:uid="{00000000-0005-0000-0000-0000C5020000}"/>
    <cellStyle name="Excel Built-in Explanatory Text 2" xfId="3087" xr:uid="{00000000-0005-0000-0000-0000C6020000}"/>
    <cellStyle name="Excel Built-in Normal" xfId="3141" xr:uid="{00000000-0005-0000-0000-0000C7020000}"/>
    <cellStyle name="Excel Built-in Normal 1" xfId="507" xr:uid="{00000000-0005-0000-0000-0000C8020000}"/>
    <cellStyle name="Excel Built-in Normal 1 2" xfId="508" xr:uid="{00000000-0005-0000-0000-0000C9020000}"/>
    <cellStyle name="Excel Built-in Normal 1 2 2" xfId="509" xr:uid="{00000000-0005-0000-0000-0000CA020000}"/>
    <cellStyle name="Excel Built-in Normal 1 2 3" xfId="510" xr:uid="{00000000-0005-0000-0000-0000CB020000}"/>
    <cellStyle name="Excel Built-in Normal 1 2 3 2" xfId="2364" xr:uid="{00000000-0005-0000-0000-0000CC020000}"/>
    <cellStyle name="Excel Built-in Normal 1 3" xfId="511" xr:uid="{00000000-0005-0000-0000-0000CD020000}"/>
    <cellStyle name="Excel Built-in Normal 1 4" xfId="512" xr:uid="{00000000-0005-0000-0000-0000CE020000}"/>
    <cellStyle name="Excel Built-in Normal 1 4 2" xfId="2365" xr:uid="{00000000-0005-0000-0000-0000CF020000}"/>
    <cellStyle name="Excel Built-in Normal 1 5" xfId="3104" xr:uid="{00000000-0005-0000-0000-0000D0020000}"/>
    <cellStyle name="Excel Built-in Normal 2" xfId="3095" xr:uid="{00000000-0005-0000-0000-0000D1020000}"/>
    <cellStyle name="Explanatory Text" xfId="513" xr:uid="{00000000-0005-0000-0000-0000D2020000}"/>
    <cellStyle name="Explanatory Text 2" xfId="514" xr:uid="{00000000-0005-0000-0000-0000D3020000}"/>
    <cellStyle name="Explanatory Text 2 2" xfId="515" xr:uid="{00000000-0005-0000-0000-0000D4020000}"/>
    <cellStyle name="Explanatory Text 2 3" xfId="516" xr:uid="{00000000-0005-0000-0000-0000D5020000}"/>
    <cellStyle name="Explanatory Text 3" xfId="517" xr:uid="{00000000-0005-0000-0000-0000D6020000}"/>
    <cellStyle name="Explanatory Text 4" xfId="518" xr:uid="{00000000-0005-0000-0000-0000D7020000}"/>
    <cellStyle name="Followed Hyperlink 2" xfId="519" xr:uid="{00000000-0005-0000-0000-0000D8020000}"/>
    <cellStyle name="Followed Hyperlink 2 2" xfId="520" xr:uid="{00000000-0005-0000-0000-0000D9020000}"/>
    <cellStyle name="Followed Hyperlink 2 3" xfId="521" xr:uid="{00000000-0005-0000-0000-0000DA020000}"/>
    <cellStyle name="Followed Hyperlink 2 3 2" xfId="2366" xr:uid="{00000000-0005-0000-0000-0000DB020000}"/>
    <cellStyle name="Followed Hyperlink 2 4" xfId="3083" xr:uid="{00000000-0005-0000-0000-0000DC020000}"/>
    <cellStyle name="Followed Hyperlink 3" xfId="522" xr:uid="{00000000-0005-0000-0000-0000DD020000}"/>
    <cellStyle name="Followed Hyperlink 3 2" xfId="523" xr:uid="{00000000-0005-0000-0000-0000DE020000}"/>
    <cellStyle name="Followed Hyperlink 3 3" xfId="524" xr:uid="{00000000-0005-0000-0000-0000DF020000}"/>
    <cellStyle name="Followed Hyperlink 3 3 2" xfId="2367" xr:uid="{00000000-0005-0000-0000-0000E0020000}"/>
    <cellStyle name="Followed Hyperlink 4" xfId="525" xr:uid="{00000000-0005-0000-0000-0000E1020000}"/>
    <cellStyle name="Followed Hyperlink 4 2" xfId="526" xr:uid="{00000000-0005-0000-0000-0000E2020000}"/>
    <cellStyle name="Followed Hyperlink 4 3" xfId="527" xr:uid="{00000000-0005-0000-0000-0000E3020000}"/>
    <cellStyle name="Followed Hyperlink 4 3 2" xfId="2368" xr:uid="{00000000-0005-0000-0000-0000E4020000}"/>
    <cellStyle name="Followed Hyperlink 5" xfId="528" xr:uid="{00000000-0005-0000-0000-0000E5020000}"/>
    <cellStyle name="Followed Hyperlink 5 2" xfId="529" xr:uid="{00000000-0005-0000-0000-0000E6020000}"/>
    <cellStyle name="Followed Hyperlink 5 3" xfId="530" xr:uid="{00000000-0005-0000-0000-0000E7020000}"/>
    <cellStyle name="Followed Hyperlink 5 3 2" xfId="2369" xr:uid="{00000000-0005-0000-0000-0000E8020000}"/>
    <cellStyle name="Followed Hyperlink 6" xfId="531" xr:uid="{00000000-0005-0000-0000-0000E9020000}"/>
    <cellStyle name="Followed Hyperlink 6 2" xfId="532" xr:uid="{00000000-0005-0000-0000-0000EA020000}"/>
    <cellStyle name="Followed Hyperlink 6 3" xfId="533" xr:uid="{00000000-0005-0000-0000-0000EB020000}"/>
    <cellStyle name="Followed Hyperlink 6 3 2" xfId="2370" xr:uid="{00000000-0005-0000-0000-0000EC020000}"/>
    <cellStyle name="Followed Hyperlink 7" xfId="534" xr:uid="{00000000-0005-0000-0000-0000ED020000}"/>
    <cellStyle name="Followed Hyperlink 7 2" xfId="535" xr:uid="{00000000-0005-0000-0000-0000EE020000}"/>
    <cellStyle name="Followed Hyperlink 7 3" xfId="536" xr:uid="{00000000-0005-0000-0000-0000EF020000}"/>
    <cellStyle name="Followed Hyperlink 7 3 2" xfId="2371" xr:uid="{00000000-0005-0000-0000-0000F0020000}"/>
    <cellStyle name="Good" xfId="3347" xr:uid="{00000000-0005-0000-0000-0000F1020000}"/>
    <cellStyle name="Good 2" xfId="537" xr:uid="{00000000-0005-0000-0000-0000F2020000}"/>
    <cellStyle name="Good 2 2" xfId="538" xr:uid="{00000000-0005-0000-0000-0000F3020000}"/>
    <cellStyle name="Good 2 3" xfId="539" xr:uid="{00000000-0005-0000-0000-0000F4020000}"/>
    <cellStyle name="Good 2 4" xfId="2866" xr:uid="{00000000-0005-0000-0000-0000F5020000}"/>
    <cellStyle name="Good 2 5" xfId="3266" xr:uid="{00000000-0005-0000-0000-0000F6020000}"/>
    <cellStyle name="Heading 1" xfId="540" xr:uid="{00000000-0005-0000-0000-0000F7020000}"/>
    <cellStyle name="Heading 1 2" xfId="541" xr:uid="{00000000-0005-0000-0000-0000F8020000}"/>
    <cellStyle name="Heading 1 2 2" xfId="542" xr:uid="{00000000-0005-0000-0000-0000F9020000}"/>
    <cellStyle name="Heading 1 2 3" xfId="543" xr:uid="{00000000-0005-0000-0000-0000FA020000}"/>
    <cellStyle name="Heading 1 2 4" xfId="3265" xr:uid="{00000000-0005-0000-0000-0000FB020000}"/>
    <cellStyle name="Heading 1 3" xfId="544" xr:uid="{00000000-0005-0000-0000-0000FC020000}"/>
    <cellStyle name="Heading 1 3 2" xfId="3003" xr:uid="{00000000-0005-0000-0000-0000FD020000}"/>
    <cellStyle name="Heading 1 4" xfId="545" xr:uid="{00000000-0005-0000-0000-0000FE020000}"/>
    <cellStyle name="Heading 1 4 24" xfId="546" xr:uid="{00000000-0005-0000-0000-0000FF020000}"/>
    <cellStyle name="Heading 2" xfId="547" xr:uid="{00000000-0005-0000-0000-000000030000}"/>
    <cellStyle name="Heading 2 2" xfId="548" xr:uid="{00000000-0005-0000-0000-000001030000}"/>
    <cellStyle name="Heading 2 2 2" xfId="549" xr:uid="{00000000-0005-0000-0000-000002030000}"/>
    <cellStyle name="Heading 2 2 3" xfId="550" xr:uid="{00000000-0005-0000-0000-000003030000}"/>
    <cellStyle name="Heading 2 2 4" xfId="3264" xr:uid="{00000000-0005-0000-0000-000004030000}"/>
    <cellStyle name="Heading 2 3" xfId="551" xr:uid="{00000000-0005-0000-0000-000005030000}"/>
    <cellStyle name="Heading 2 3 2" xfId="3002" xr:uid="{00000000-0005-0000-0000-000006030000}"/>
    <cellStyle name="Heading 2 4" xfId="552" xr:uid="{00000000-0005-0000-0000-000007030000}"/>
    <cellStyle name="Heading 3" xfId="553" xr:uid="{00000000-0005-0000-0000-000008030000}"/>
    <cellStyle name="Heading 3 2" xfId="554" xr:uid="{00000000-0005-0000-0000-000009030000}"/>
    <cellStyle name="Heading 3 2 2" xfId="555" xr:uid="{00000000-0005-0000-0000-00000A030000}"/>
    <cellStyle name="Heading 3 2 3" xfId="556" xr:uid="{00000000-0005-0000-0000-00000B030000}"/>
    <cellStyle name="Heading 3 2 4" xfId="3263" xr:uid="{00000000-0005-0000-0000-00000C030000}"/>
    <cellStyle name="Heading 3 3" xfId="557" xr:uid="{00000000-0005-0000-0000-00000D030000}"/>
    <cellStyle name="Heading 3 3 2" xfId="3001" xr:uid="{00000000-0005-0000-0000-00000E030000}"/>
    <cellStyle name="Heading 3 4" xfId="558" xr:uid="{00000000-0005-0000-0000-00000F030000}"/>
    <cellStyle name="Heading 4" xfId="559" xr:uid="{00000000-0005-0000-0000-000010030000}"/>
    <cellStyle name="Heading 4 2" xfId="560" xr:uid="{00000000-0005-0000-0000-000011030000}"/>
    <cellStyle name="Heading 4 2 2" xfId="561" xr:uid="{00000000-0005-0000-0000-000012030000}"/>
    <cellStyle name="Heading 4 2 3" xfId="562" xr:uid="{00000000-0005-0000-0000-000013030000}"/>
    <cellStyle name="Heading 4 2 4" xfId="3262" xr:uid="{00000000-0005-0000-0000-000014030000}"/>
    <cellStyle name="Heading 4 3" xfId="563" xr:uid="{00000000-0005-0000-0000-000015030000}"/>
    <cellStyle name="Heading 4 4" xfId="564" xr:uid="{00000000-0005-0000-0000-000016030000}"/>
    <cellStyle name="Hiperveza 2" xfId="565" xr:uid="{00000000-0005-0000-0000-000017030000}"/>
    <cellStyle name="Hyperlink 2" xfId="566" xr:uid="{00000000-0005-0000-0000-000018030000}"/>
    <cellStyle name="Hyperlink 2 2" xfId="567" xr:uid="{00000000-0005-0000-0000-000019030000}"/>
    <cellStyle name="Hyperlink 2 2 2" xfId="3166" xr:uid="{00000000-0005-0000-0000-00001A030000}"/>
    <cellStyle name="Hyperlink 2 3" xfId="568" xr:uid="{00000000-0005-0000-0000-00001B030000}"/>
    <cellStyle name="Hyperlink 2 3 2" xfId="2372" xr:uid="{00000000-0005-0000-0000-00001C030000}"/>
    <cellStyle name="Hyperlink 2 4" xfId="3261" xr:uid="{00000000-0005-0000-0000-00001D030000}"/>
    <cellStyle name="Hyperlink 3" xfId="569" xr:uid="{00000000-0005-0000-0000-00001E030000}"/>
    <cellStyle name="Hyperlink 3 2" xfId="570" xr:uid="{00000000-0005-0000-0000-00001F030000}"/>
    <cellStyle name="Hyperlink 3 3" xfId="571" xr:uid="{00000000-0005-0000-0000-000020030000}"/>
    <cellStyle name="Hyperlink 3 3 2" xfId="2373" xr:uid="{00000000-0005-0000-0000-000021030000}"/>
    <cellStyle name="Hyperlink 3 4" xfId="3260" xr:uid="{00000000-0005-0000-0000-000022030000}"/>
    <cellStyle name="Hyperlink 4" xfId="572" xr:uid="{00000000-0005-0000-0000-000023030000}"/>
    <cellStyle name="Hyperlink 4 2" xfId="573" xr:uid="{00000000-0005-0000-0000-000024030000}"/>
    <cellStyle name="Hyperlink 4 2 2" xfId="3036" xr:uid="{00000000-0005-0000-0000-000025030000}"/>
    <cellStyle name="Hyperlink 4 3" xfId="574" xr:uid="{00000000-0005-0000-0000-000026030000}"/>
    <cellStyle name="Hyperlink 4 3 2" xfId="2374" xr:uid="{00000000-0005-0000-0000-000027030000}"/>
    <cellStyle name="Hyperlink 4 4" xfId="3259" xr:uid="{00000000-0005-0000-0000-000028030000}"/>
    <cellStyle name="Hyperlink 5" xfId="575" xr:uid="{00000000-0005-0000-0000-000029030000}"/>
    <cellStyle name="Hyperlink 5 2" xfId="576" xr:uid="{00000000-0005-0000-0000-00002A030000}"/>
    <cellStyle name="Hyperlink 5 3" xfId="577" xr:uid="{00000000-0005-0000-0000-00002B030000}"/>
    <cellStyle name="Hyperlink 5 3 2" xfId="2375" xr:uid="{00000000-0005-0000-0000-00002C030000}"/>
    <cellStyle name="Hyperlink 5 4" xfId="3311" xr:uid="{00000000-0005-0000-0000-00002D030000}"/>
    <cellStyle name="Hyperlink 6" xfId="578" xr:uid="{00000000-0005-0000-0000-00002E030000}"/>
    <cellStyle name="Hyperlink 6 2" xfId="579" xr:uid="{00000000-0005-0000-0000-00002F030000}"/>
    <cellStyle name="Hyperlink 6 3" xfId="580" xr:uid="{00000000-0005-0000-0000-000030030000}"/>
    <cellStyle name="Hyperlink 6 3 2" xfId="2376" xr:uid="{00000000-0005-0000-0000-000031030000}"/>
    <cellStyle name="Hyperlink 7" xfId="581" xr:uid="{00000000-0005-0000-0000-000032030000}"/>
    <cellStyle name="Hyperlink 7 2" xfId="582" xr:uid="{00000000-0005-0000-0000-000033030000}"/>
    <cellStyle name="Hyperlink 7 3" xfId="583" xr:uid="{00000000-0005-0000-0000-000034030000}"/>
    <cellStyle name="Hyperlink 7 3 2" xfId="2377" xr:uid="{00000000-0005-0000-0000-000035030000}"/>
    <cellStyle name="Hyperlink 8" xfId="3258" xr:uid="{00000000-0005-0000-0000-000036030000}"/>
    <cellStyle name="Input" xfId="584" xr:uid="{00000000-0005-0000-0000-000037030000}"/>
    <cellStyle name="Input 2" xfId="585" xr:uid="{00000000-0005-0000-0000-000038030000}"/>
    <cellStyle name="Input 2 2" xfId="586" xr:uid="{00000000-0005-0000-0000-000039030000}"/>
    <cellStyle name="Input 2 3" xfId="587" xr:uid="{00000000-0005-0000-0000-00003A030000}"/>
    <cellStyle name="Input 2 4" xfId="2867" xr:uid="{00000000-0005-0000-0000-00003B030000}"/>
    <cellStyle name="Input 2 5" xfId="3257" xr:uid="{00000000-0005-0000-0000-00003C030000}"/>
    <cellStyle name="Input 3" xfId="588" xr:uid="{00000000-0005-0000-0000-00003D030000}"/>
    <cellStyle name="Input 4" xfId="589" xr:uid="{00000000-0005-0000-0000-00003E030000}"/>
    <cellStyle name="Isticanje1 2" xfId="590" xr:uid="{00000000-0005-0000-0000-00003F030000}"/>
    <cellStyle name="Isticanje1 2 2" xfId="591" xr:uid="{00000000-0005-0000-0000-000040030000}"/>
    <cellStyle name="Isticanje1 2 2 2" xfId="592" xr:uid="{00000000-0005-0000-0000-000041030000}"/>
    <cellStyle name="Isticanje1 2 2 3" xfId="2868" xr:uid="{00000000-0005-0000-0000-000042030000}"/>
    <cellStyle name="Isticanje1 2 3" xfId="593" xr:uid="{00000000-0005-0000-0000-000043030000}"/>
    <cellStyle name="Isticanje1 3" xfId="594" xr:uid="{00000000-0005-0000-0000-000044030000}"/>
    <cellStyle name="Isticanje1 3 2" xfId="595" xr:uid="{00000000-0005-0000-0000-000045030000}"/>
    <cellStyle name="Isticanje1 3 3" xfId="596" xr:uid="{00000000-0005-0000-0000-000046030000}"/>
    <cellStyle name="Isticanje1 3 4" xfId="2869" xr:uid="{00000000-0005-0000-0000-000047030000}"/>
    <cellStyle name="Isticanje1 4" xfId="597" xr:uid="{00000000-0005-0000-0000-000048030000}"/>
    <cellStyle name="Isticanje1 5" xfId="598" xr:uid="{00000000-0005-0000-0000-000049030000}"/>
    <cellStyle name="Isticanje1 6" xfId="599" xr:uid="{00000000-0005-0000-0000-00004A030000}"/>
    <cellStyle name="Isticanje2 2" xfId="600" xr:uid="{00000000-0005-0000-0000-00004B030000}"/>
    <cellStyle name="Isticanje2 2 2" xfId="601" xr:uid="{00000000-0005-0000-0000-00004C030000}"/>
    <cellStyle name="Isticanje2 2 2 2" xfId="602" xr:uid="{00000000-0005-0000-0000-00004D030000}"/>
    <cellStyle name="Isticanje2 2 2 3" xfId="2870" xr:uid="{00000000-0005-0000-0000-00004E030000}"/>
    <cellStyle name="Isticanje2 2 3" xfId="603" xr:uid="{00000000-0005-0000-0000-00004F030000}"/>
    <cellStyle name="Isticanje2 3" xfId="604" xr:uid="{00000000-0005-0000-0000-000050030000}"/>
    <cellStyle name="Isticanje2 3 2" xfId="605" xr:uid="{00000000-0005-0000-0000-000051030000}"/>
    <cellStyle name="Isticanje2 3 3" xfId="606" xr:uid="{00000000-0005-0000-0000-000052030000}"/>
    <cellStyle name="Isticanje2 3 4" xfId="2871" xr:uid="{00000000-0005-0000-0000-000053030000}"/>
    <cellStyle name="Isticanje2 4" xfId="607" xr:uid="{00000000-0005-0000-0000-000054030000}"/>
    <cellStyle name="Isticanje2 5" xfId="608" xr:uid="{00000000-0005-0000-0000-000055030000}"/>
    <cellStyle name="Isticanje2 6" xfId="609" xr:uid="{00000000-0005-0000-0000-000056030000}"/>
    <cellStyle name="Isticanje3 2" xfId="610" xr:uid="{00000000-0005-0000-0000-000057030000}"/>
    <cellStyle name="Isticanje3 2 2" xfId="611" xr:uid="{00000000-0005-0000-0000-000058030000}"/>
    <cellStyle name="Isticanje3 2 2 2" xfId="612" xr:uid="{00000000-0005-0000-0000-000059030000}"/>
    <cellStyle name="Isticanje3 2 2 3" xfId="2872" xr:uid="{00000000-0005-0000-0000-00005A030000}"/>
    <cellStyle name="Isticanje3 2 3" xfId="613" xr:uid="{00000000-0005-0000-0000-00005B030000}"/>
    <cellStyle name="Isticanje3 3" xfId="614" xr:uid="{00000000-0005-0000-0000-00005C030000}"/>
    <cellStyle name="Isticanje3 3 2" xfId="615" xr:uid="{00000000-0005-0000-0000-00005D030000}"/>
    <cellStyle name="Isticanje3 3 3" xfId="616" xr:uid="{00000000-0005-0000-0000-00005E030000}"/>
    <cellStyle name="Isticanje3 3 4" xfId="2873" xr:uid="{00000000-0005-0000-0000-00005F030000}"/>
    <cellStyle name="Isticanje3 4" xfId="617" xr:uid="{00000000-0005-0000-0000-000060030000}"/>
    <cellStyle name="Isticanje3 5" xfId="618" xr:uid="{00000000-0005-0000-0000-000061030000}"/>
    <cellStyle name="Isticanje3 6" xfId="619" xr:uid="{00000000-0005-0000-0000-000062030000}"/>
    <cellStyle name="Isticanje4 2" xfId="620" xr:uid="{00000000-0005-0000-0000-000063030000}"/>
    <cellStyle name="Isticanje4 2 2" xfId="621" xr:uid="{00000000-0005-0000-0000-000064030000}"/>
    <cellStyle name="Isticanje4 2 2 2" xfId="622" xr:uid="{00000000-0005-0000-0000-000065030000}"/>
    <cellStyle name="Isticanje4 2 2 3" xfId="2874" xr:uid="{00000000-0005-0000-0000-000066030000}"/>
    <cellStyle name="Isticanje4 2 3" xfId="623" xr:uid="{00000000-0005-0000-0000-000067030000}"/>
    <cellStyle name="Isticanje4 3" xfId="624" xr:uid="{00000000-0005-0000-0000-000068030000}"/>
    <cellStyle name="Isticanje4 3 2" xfId="625" xr:uid="{00000000-0005-0000-0000-000069030000}"/>
    <cellStyle name="Isticanje4 3 3" xfId="626" xr:uid="{00000000-0005-0000-0000-00006A030000}"/>
    <cellStyle name="Isticanje4 3 4" xfId="2875" xr:uid="{00000000-0005-0000-0000-00006B030000}"/>
    <cellStyle name="Isticanje4 4" xfId="627" xr:uid="{00000000-0005-0000-0000-00006C030000}"/>
    <cellStyle name="Isticanje4 5" xfId="628" xr:uid="{00000000-0005-0000-0000-00006D030000}"/>
    <cellStyle name="Isticanje4 6" xfId="629" xr:uid="{00000000-0005-0000-0000-00006E030000}"/>
    <cellStyle name="Isticanje5 2" xfId="630" xr:uid="{00000000-0005-0000-0000-00006F030000}"/>
    <cellStyle name="Isticanje5 2 2" xfId="631" xr:uid="{00000000-0005-0000-0000-000070030000}"/>
    <cellStyle name="Isticanje5 2 2 2" xfId="632" xr:uid="{00000000-0005-0000-0000-000071030000}"/>
    <cellStyle name="Isticanje5 2 2 3" xfId="2876" xr:uid="{00000000-0005-0000-0000-000072030000}"/>
    <cellStyle name="Isticanje5 2 3" xfId="633" xr:uid="{00000000-0005-0000-0000-000073030000}"/>
    <cellStyle name="Isticanje5 3" xfId="634" xr:uid="{00000000-0005-0000-0000-000074030000}"/>
    <cellStyle name="Isticanje5 3 2" xfId="635" xr:uid="{00000000-0005-0000-0000-000075030000}"/>
    <cellStyle name="Isticanje5 3 3" xfId="636" xr:uid="{00000000-0005-0000-0000-000076030000}"/>
    <cellStyle name="Isticanje5 3 4" xfId="2877" xr:uid="{00000000-0005-0000-0000-000077030000}"/>
    <cellStyle name="Isticanje5 4" xfId="637" xr:uid="{00000000-0005-0000-0000-000078030000}"/>
    <cellStyle name="Isticanje5 5" xfId="638" xr:uid="{00000000-0005-0000-0000-000079030000}"/>
    <cellStyle name="Isticanje6 2" xfId="639" xr:uid="{00000000-0005-0000-0000-00007A030000}"/>
    <cellStyle name="Isticanje6 2 2" xfId="640" xr:uid="{00000000-0005-0000-0000-00007B030000}"/>
    <cellStyle name="Isticanje6 2 2 2" xfId="641" xr:uid="{00000000-0005-0000-0000-00007C030000}"/>
    <cellStyle name="Isticanje6 2 2 3" xfId="2878" xr:uid="{00000000-0005-0000-0000-00007D030000}"/>
    <cellStyle name="Isticanje6 2 3" xfId="642" xr:uid="{00000000-0005-0000-0000-00007E030000}"/>
    <cellStyle name="Isticanje6 3" xfId="643" xr:uid="{00000000-0005-0000-0000-00007F030000}"/>
    <cellStyle name="Isticanje6 3 2" xfId="644" xr:uid="{00000000-0005-0000-0000-000080030000}"/>
    <cellStyle name="Isticanje6 3 3" xfId="645" xr:uid="{00000000-0005-0000-0000-000081030000}"/>
    <cellStyle name="Isticanje6 3 4" xfId="2879" xr:uid="{00000000-0005-0000-0000-000082030000}"/>
    <cellStyle name="Isticanje6 4" xfId="646" xr:uid="{00000000-0005-0000-0000-000083030000}"/>
    <cellStyle name="Isticanje6 5" xfId="647" xr:uid="{00000000-0005-0000-0000-000084030000}"/>
    <cellStyle name="Isticanje6 6" xfId="648" xr:uid="{00000000-0005-0000-0000-000085030000}"/>
    <cellStyle name="Izlaz 2" xfId="649" xr:uid="{00000000-0005-0000-0000-000086030000}"/>
    <cellStyle name="Izlaz 2 2" xfId="650" xr:uid="{00000000-0005-0000-0000-000087030000}"/>
    <cellStyle name="Izlaz 2 2 2" xfId="651" xr:uid="{00000000-0005-0000-0000-000088030000}"/>
    <cellStyle name="Izlaz 2 2 3" xfId="2880" xr:uid="{00000000-0005-0000-0000-000089030000}"/>
    <cellStyle name="Izlaz 2 3" xfId="652" xr:uid="{00000000-0005-0000-0000-00008A030000}"/>
    <cellStyle name="Izlaz 3" xfId="653" xr:uid="{00000000-0005-0000-0000-00008B030000}"/>
    <cellStyle name="Izlaz 3 2" xfId="654" xr:uid="{00000000-0005-0000-0000-00008C030000}"/>
    <cellStyle name="Izlaz 3 3" xfId="655" xr:uid="{00000000-0005-0000-0000-00008D030000}"/>
    <cellStyle name="Izlaz 3 4" xfId="2881" xr:uid="{00000000-0005-0000-0000-00008E030000}"/>
    <cellStyle name="Izlaz 4" xfId="656" xr:uid="{00000000-0005-0000-0000-00008F030000}"/>
    <cellStyle name="Izlaz 5" xfId="657" xr:uid="{00000000-0005-0000-0000-000090030000}"/>
    <cellStyle name="Izlaz 6" xfId="658" xr:uid="{00000000-0005-0000-0000-000091030000}"/>
    <cellStyle name="Izračun 2" xfId="659" xr:uid="{00000000-0005-0000-0000-000092030000}"/>
    <cellStyle name="Izračun 2 2" xfId="660" xr:uid="{00000000-0005-0000-0000-000093030000}"/>
    <cellStyle name="Izračun 2 2 2" xfId="661" xr:uid="{00000000-0005-0000-0000-000094030000}"/>
    <cellStyle name="Izračun 2 2 3" xfId="2882" xr:uid="{00000000-0005-0000-0000-000095030000}"/>
    <cellStyle name="Izračun 2 3" xfId="662" xr:uid="{00000000-0005-0000-0000-000096030000}"/>
    <cellStyle name="Izračun 3" xfId="663" xr:uid="{00000000-0005-0000-0000-000097030000}"/>
    <cellStyle name="Izračun 3 2" xfId="664" xr:uid="{00000000-0005-0000-0000-000098030000}"/>
    <cellStyle name="Izračun 3 3" xfId="665" xr:uid="{00000000-0005-0000-0000-000099030000}"/>
    <cellStyle name="Izračun 3 4" xfId="2883" xr:uid="{00000000-0005-0000-0000-00009A030000}"/>
    <cellStyle name="Izračun 4" xfId="666" xr:uid="{00000000-0005-0000-0000-00009B030000}"/>
    <cellStyle name="Izračun 5" xfId="667" xr:uid="{00000000-0005-0000-0000-00009C030000}"/>
    <cellStyle name="Izračun 6" xfId="668" xr:uid="{00000000-0005-0000-0000-00009D030000}"/>
    <cellStyle name="kolona A" xfId="3256" xr:uid="{00000000-0005-0000-0000-00009E030000}"/>
    <cellStyle name="kolona B" xfId="3255" xr:uid="{00000000-0005-0000-0000-00009F030000}"/>
    <cellStyle name="kolona C" xfId="3254" xr:uid="{00000000-0005-0000-0000-0000A0030000}"/>
    <cellStyle name="kolona D" xfId="3253" xr:uid="{00000000-0005-0000-0000-0000A1030000}"/>
    <cellStyle name="kolona E" xfId="3252" xr:uid="{00000000-0005-0000-0000-0000A2030000}"/>
    <cellStyle name="kolona F" xfId="3251" xr:uid="{00000000-0005-0000-0000-0000A3030000}"/>
    <cellStyle name="kolona G" xfId="3250" xr:uid="{00000000-0005-0000-0000-0000A4030000}"/>
    <cellStyle name="kolona H" xfId="3249" xr:uid="{00000000-0005-0000-0000-0000A5030000}"/>
    <cellStyle name="Linked Cell" xfId="669" xr:uid="{00000000-0005-0000-0000-0000A6030000}"/>
    <cellStyle name="Linked Cell 2" xfId="670" xr:uid="{00000000-0005-0000-0000-0000A7030000}"/>
    <cellStyle name="Linked Cell 2 2" xfId="671" xr:uid="{00000000-0005-0000-0000-0000A8030000}"/>
    <cellStyle name="Linked Cell 2 3" xfId="672" xr:uid="{00000000-0005-0000-0000-0000A9030000}"/>
    <cellStyle name="Linked Cell 3" xfId="673" xr:uid="{00000000-0005-0000-0000-0000AA030000}"/>
    <cellStyle name="Linked Cell 4" xfId="674" xr:uid="{00000000-0005-0000-0000-0000AB030000}"/>
    <cellStyle name="Loše 2" xfId="675" xr:uid="{00000000-0005-0000-0000-0000AC030000}"/>
    <cellStyle name="Loše 2 2" xfId="676" xr:uid="{00000000-0005-0000-0000-0000AD030000}"/>
    <cellStyle name="Loše 2 2 2" xfId="677" xr:uid="{00000000-0005-0000-0000-0000AE030000}"/>
    <cellStyle name="Loše 2 2 3" xfId="2884" xr:uid="{00000000-0005-0000-0000-0000AF030000}"/>
    <cellStyle name="Loše 2 3" xfId="678" xr:uid="{00000000-0005-0000-0000-0000B0030000}"/>
    <cellStyle name="Loše 3" xfId="679" xr:uid="{00000000-0005-0000-0000-0000B1030000}"/>
    <cellStyle name="Loše 3 2" xfId="680" xr:uid="{00000000-0005-0000-0000-0000B2030000}"/>
    <cellStyle name="Loše 3 3" xfId="681" xr:uid="{00000000-0005-0000-0000-0000B3030000}"/>
    <cellStyle name="Loše 3 4" xfId="2885" xr:uid="{00000000-0005-0000-0000-0000B4030000}"/>
    <cellStyle name="Loše 4" xfId="682" xr:uid="{00000000-0005-0000-0000-0000B5030000}"/>
    <cellStyle name="Loše 5" xfId="683" xr:uid="{00000000-0005-0000-0000-0000B6030000}"/>
    <cellStyle name="Loše 6" xfId="684" xr:uid="{00000000-0005-0000-0000-0000B7030000}"/>
    <cellStyle name="merge 10" xfId="685" xr:uid="{00000000-0005-0000-0000-0000B8030000}"/>
    <cellStyle name="merge 10 2" xfId="2378" xr:uid="{00000000-0005-0000-0000-0000B9030000}"/>
    <cellStyle name="Naslov 1 2" xfId="686" xr:uid="{00000000-0005-0000-0000-0000BA030000}"/>
    <cellStyle name="Naslov 1 2 2" xfId="687" xr:uid="{00000000-0005-0000-0000-0000BB030000}"/>
    <cellStyle name="Naslov 1 2 2 2" xfId="688" xr:uid="{00000000-0005-0000-0000-0000BC030000}"/>
    <cellStyle name="Naslov 1 2 3" xfId="689" xr:uid="{00000000-0005-0000-0000-0000BD030000}"/>
    <cellStyle name="Naslov 1 3" xfId="690" xr:uid="{00000000-0005-0000-0000-0000BE030000}"/>
    <cellStyle name="Naslov 1 3 2" xfId="3000" xr:uid="{00000000-0005-0000-0000-0000BF030000}"/>
    <cellStyle name="Naslov 1 4" xfId="691" xr:uid="{00000000-0005-0000-0000-0000C0030000}"/>
    <cellStyle name="Naslov 1 5" xfId="692" xr:uid="{00000000-0005-0000-0000-0000C1030000}"/>
    <cellStyle name="Naslov 2 2" xfId="693" xr:uid="{00000000-0005-0000-0000-0000C2030000}"/>
    <cellStyle name="Naslov 2 2 2" xfId="694" xr:uid="{00000000-0005-0000-0000-0000C3030000}"/>
    <cellStyle name="Naslov 2 2 2 2" xfId="695" xr:uid="{00000000-0005-0000-0000-0000C4030000}"/>
    <cellStyle name="Naslov 2 2 3" xfId="696" xr:uid="{00000000-0005-0000-0000-0000C5030000}"/>
    <cellStyle name="Naslov 2 3" xfId="697" xr:uid="{00000000-0005-0000-0000-0000C6030000}"/>
    <cellStyle name="Naslov 2 3 2" xfId="2999" xr:uid="{00000000-0005-0000-0000-0000C7030000}"/>
    <cellStyle name="Naslov 2 4" xfId="698" xr:uid="{00000000-0005-0000-0000-0000C8030000}"/>
    <cellStyle name="Naslov 2 5" xfId="699" xr:uid="{00000000-0005-0000-0000-0000C9030000}"/>
    <cellStyle name="Naslov 3 2" xfId="700" xr:uid="{00000000-0005-0000-0000-0000CA030000}"/>
    <cellStyle name="Naslov 3 2 2" xfId="701" xr:uid="{00000000-0005-0000-0000-0000CB030000}"/>
    <cellStyle name="Naslov 3 2 2 2" xfId="702" xr:uid="{00000000-0005-0000-0000-0000CC030000}"/>
    <cellStyle name="Naslov 3 2 3" xfId="703" xr:uid="{00000000-0005-0000-0000-0000CD030000}"/>
    <cellStyle name="Naslov 3 3" xfId="704" xr:uid="{00000000-0005-0000-0000-0000CE030000}"/>
    <cellStyle name="Naslov 3 3 2" xfId="2998" xr:uid="{00000000-0005-0000-0000-0000CF030000}"/>
    <cellStyle name="Naslov 3 4" xfId="705" xr:uid="{00000000-0005-0000-0000-0000D0030000}"/>
    <cellStyle name="Naslov 3 5" xfId="706" xr:uid="{00000000-0005-0000-0000-0000D1030000}"/>
    <cellStyle name="Naslov 4 2" xfId="707" xr:uid="{00000000-0005-0000-0000-0000D2030000}"/>
    <cellStyle name="Naslov 4 2 2" xfId="708" xr:uid="{00000000-0005-0000-0000-0000D3030000}"/>
    <cellStyle name="Naslov 4 2 2 2" xfId="709" xr:uid="{00000000-0005-0000-0000-0000D4030000}"/>
    <cellStyle name="Naslov 4 2 3" xfId="710" xr:uid="{00000000-0005-0000-0000-0000D5030000}"/>
    <cellStyle name="Naslov 4 3" xfId="711" xr:uid="{00000000-0005-0000-0000-0000D6030000}"/>
    <cellStyle name="Naslov 4 4" xfId="712" xr:uid="{00000000-0005-0000-0000-0000D7030000}"/>
    <cellStyle name="Naslov 4 5" xfId="713" xr:uid="{00000000-0005-0000-0000-0000D8030000}"/>
    <cellStyle name="Naslov 5" xfId="714" xr:uid="{00000000-0005-0000-0000-0000D9030000}"/>
    <cellStyle name="Naslov 5 2" xfId="715" xr:uid="{00000000-0005-0000-0000-0000DA030000}"/>
    <cellStyle name="Naslov 5 2 2" xfId="716" xr:uid="{00000000-0005-0000-0000-0000DB030000}"/>
    <cellStyle name="Naslov 5 2 3" xfId="2886" xr:uid="{00000000-0005-0000-0000-0000DC030000}"/>
    <cellStyle name="Naslov 5 3" xfId="717" xr:uid="{00000000-0005-0000-0000-0000DD030000}"/>
    <cellStyle name="Naslov 6" xfId="718" xr:uid="{00000000-0005-0000-0000-0000DE030000}"/>
    <cellStyle name="Naslov 6 2" xfId="719" xr:uid="{00000000-0005-0000-0000-0000DF030000}"/>
    <cellStyle name="Naslov 6 3" xfId="720" xr:uid="{00000000-0005-0000-0000-0000E0030000}"/>
    <cellStyle name="Naslov 6 4" xfId="2887" xr:uid="{00000000-0005-0000-0000-0000E1030000}"/>
    <cellStyle name="Naslov 7" xfId="721" xr:uid="{00000000-0005-0000-0000-0000E2030000}"/>
    <cellStyle name="Naslov 8" xfId="722" xr:uid="{00000000-0005-0000-0000-0000E3030000}"/>
    <cellStyle name="Naslov 9" xfId="723" xr:uid="{00000000-0005-0000-0000-0000E4030000}"/>
    <cellStyle name="Navadno_.s1720" xfId="724" xr:uid="{00000000-0005-0000-0000-0000E5030000}"/>
    <cellStyle name="Neutral" xfId="725" xr:uid="{00000000-0005-0000-0000-0000E6030000}"/>
    <cellStyle name="Neutral 2" xfId="726" xr:uid="{00000000-0005-0000-0000-0000E7030000}"/>
    <cellStyle name="Neutral 2 2" xfId="727" xr:uid="{00000000-0005-0000-0000-0000E8030000}"/>
    <cellStyle name="Neutral 2 3" xfId="728" xr:uid="{00000000-0005-0000-0000-0000E9030000}"/>
    <cellStyle name="Neutral 2 4" xfId="2888" xr:uid="{00000000-0005-0000-0000-0000EA030000}"/>
    <cellStyle name="Neutral 2 5" xfId="3248" xr:uid="{00000000-0005-0000-0000-0000EB030000}"/>
    <cellStyle name="Neutral 3" xfId="729" xr:uid="{00000000-0005-0000-0000-0000EC030000}"/>
    <cellStyle name="Neutral 3 2" xfId="3247" xr:uid="{00000000-0005-0000-0000-0000ED030000}"/>
    <cellStyle name="Neutral 4" xfId="730" xr:uid="{00000000-0005-0000-0000-0000EE030000}"/>
    <cellStyle name="Neutralno 2" xfId="731" xr:uid="{00000000-0005-0000-0000-0000EF030000}"/>
    <cellStyle name="Neutralno 2 2" xfId="732" xr:uid="{00000000-0005-0000-0000-0000F0030000}"/>
    <cellStyle name="Neutralno 2 2 2" xfId="733" xr:uid="{00000000-0005-0000-0000-0000F1030000}"/>
    <cellStyle name="Neutralno 2 2 3" xfId="2889" xr:uid="{00000000-0005-0000-0000-0000F2030000}"/>
    <cellStyle name="Neutralno 2 3" xfId="734" xr:uid="{00000000-0005-0000-0000-0000F3030000}"/>
    <cellStyle name="Neutralno 3" xfId="735" xr:uid="{00000000-0005-0000-0000-0000F4030000}"/>
    <cellStyle name="Neutralno 3 2" xfId="736" xr:uid="{00000000-0005-0000-0000-0000F5030000}"/>
    <cellStyle name="Neutralno 3 3" xfId="737" xr:uid="{00000000-0005-0000-0000-0000F6030000}"/>
    <cellStyle name="Neutralno 3 4" xfId="2890" xr:uid="{00000000-0005-0000-0000-0000F7030000}"/>
    <cellStyle name="Neutralno 4" xfId="738" xr:uid="{00000000-0005-0000-0000-0000F8030000}"/>
    <cellStyle name="Neutralno 5" xfId="739" xr:uid="{00000000-0005-0000-0000-0000F9030000}"/>
    <cellStyle name="Neutralno 6" xfId="740" xr:uid="{00000000-0005-0000-0000-0000FA030000}"/>
    <cellStyle name="Normal" xfId="0" builtinId="0"/>
    <cellStyle name="Normal - Style1" xfId="3246" xr:uid="{00000000-0005-0000-0000-0000FB030000}"/>
    <cellStyle name="Normal 1" xfId="3245" xr:uid="{00000000-0005-0000-0000-0000FC030000}"/>
    <cellStyle name="Normal 10" xfId="741" xr:uid="{00000000-0005-0000-0000-0000FD030000}"/>
    <cellStyle name="Normal 10 10" xfId="742" xr:uid="{00000000-0005-0000-0000-0000FE030000}"/>
    <cellStyle name="Normal 10 10 2" xfId="743" xr:uid="{00000000-0005-0000-0000-0000FF030000}"/>
    <cellStyle name="Normal 10 10 3" xfId="744" xr:uid="{00000000-0005-0000-0000-000000040000}"/>
    <cellStyle name="Normal 10 10 3 2" xfId="2380" xr:uid="{00000000-0005-0000-0000-000001040000}"/>
    <cellStyle name="Normal 10 2" xfId="2379" xr:uid="{00000000-0005-0000-0000-000002040000}"/>
    <cellStyle name="Normal 10 2 2" xfId="3105" xr:uid="{00000000-0005-0000-0000-000003040000}"/>
    <cellStyle name="Normal 10 24" xfId="745" xr:uid="{00000000-0005-0000-0000-000004040000}"/>
    <cellStyle name="Normal 11" xfId="3194" xr:uid="{00000000-0005-0000-0000-000005040000}"/>
    <cellStyle name="Normal 11 2" xfId="746" xr:uid="{00000000-0005-0000-0000-000006040000}"/>
    <cellStyle name="Normal 11 2 2" xfId="2381" xr:uid="{00000000-0005-0000-0000-000007040000}"/>
    <cellStyle name="Normal 11 2 3" xfId="3192" xr:uid="{00000000-0005-0000-0000-000008040000}"/>
    <cellStyle name="Normal 11 3" xfId="3145" xr:uid="{00000000-0005-0000-0000-000009040000}"/>
    <cellStyle name="Normal 11 4" xfId="3139" xr:uid="{00000000-0005-0000-0000-00000A040000}"/>
    <cellStyle name="Normal 12" xfId="747" xr:uid="{00000000-0005-0000-0000-00000B040000}"/>
    <cellStyle name="Normal 12 2" xfId="748" xr:uid="{00000000-0005-0000-0000-00000C040000}"/>
    <cellStyle name="Normal 12 2 2" xfId="749" xr:uid="{00000000-0005-0000-0000-00000D040000}"/>
    <cellStyle name="Normal 12 2 3" xfId="2891" xr:uid="{00000000-0005-0000-0000-00000E040000}"/>
    <cellStyle name="Normal 12 3" xfId="750" xr:uid="{00000000-0005-0000-0000-00000F040000}"/>
    <cellStyle name="Normal 12 4" xfId="751" xr:uid="{00000000-0005-0000-0000-000010040000}"/>
    <cellStyle name="Normal 12 4 2" xfId="2382" xr:uid="{00000000-0005-0000-0000-000011040000}"/>
    <cellStyle name="Normal 12 5" xfId="3059" xr:uid="{00000000-0005-0000-0000-000012040000}"/>
    <cellStyle name="Normal 13" xfId="3051" xr:uid="{00000000-0005-0000-0000-000013040000}"/>
    <cellStyle name="Normal 14" xfId="3244" xr:uid="{00000000-0005-0000-0000-000014040000}"/>
    <cellStyle name="Normal 14 2" xfId="3069" xr:uid="{00000000-0005-0000-0000-000015040000}"/>
    <cellStyle name="Normal 14 3" xfId="3317" xr:uid="{00000000-0005-0000-0000-000016040000}"/>
    <cellStyle name="Normal 15" xfId="752" xr:uid="{00000000-0005-0000-0000-000017040000}"/>
    <cellStyle name="Normal 15 2" xfId="753" xr:uid="{00000000-0005-0000-0000-000018040000}"/>
    <cellStyle name="Normal 15 2 2" xfId="2383" xr:uid="{00000000-0005-0000-0000-000019040000}"/>
    <cellStyle name="Normal 15 2 3" xfId="3041" xr:uid="{00000000-0005-0000-0000-00001A040000}"/>
    <cellStyle name="Normal 15 3" xfId="3040" xr:uid="{00000000-0005-0000-0000-00001B040000}"/>
    <cellStyle name="Normal 15 4" xfId="3077" xr:uid="{00000000-0005-0000-0000-00001C040000}"/>
    <cellStyle name="Normal 16" xfId="3058" xr:uid="{00000000-0005-0000-0000-00001D040000}"/>
    <cellStyle name="Normal 16 2" xfId="3076" xr:uid="{00000000-0005-0000-0000-00001E040000}"/>
    <cellStyle name="Normal 17" xfId="3075" xr:uid="{00000000-0005-0000-0000-00001F040000}"/>
    <cellStyle name="Normal 18" xfId="3052" xr:uid="{00000000-0005-0000-0000-000020040000}"/>
    <cellStyle name="Normal 18 3" xfId="754" xr:uid="{00000000-0005-0000-0000-000021040000}"/>
    <cellStyle name="Normal 18 3 10" xfId="755" xr:uid="{00000000-0005-0000-0000-000022040000}"/>
    <cellStyle name="Normal 18 3 10 2" xfId="756" xr:uid="{00000000-0005-0000-0000-000023040000}"/>
    <cellStyle name="Normal 18 3 10 3" xfId="757" xr:uid="{00000000-0005-0000-0000-000024040000}"/>
    <cellStyle name="Normal 18 3 2" xfId="758" xr:uid="{00000000-0005-0000-0000-000025040000}"/>
    <cellStyle name="Normal 18 3 2 2" xfId="759" xr:uid="{00000000-0005-0000-0000-000026040000}"/>
    <cellStyle name="Normal 18 3 2 3" xfId="760" xr:uid="{00000000-0005-0000-0000-000027040000}"/>
    <cellStyle name="Normal 18 3 3" xfId="761" xr:uid="{00000000-0005-0000-0000-000028040000}"/>
    <cellStyle name="Normal 18 3 4" xfId="762" xr:uid="{00000000-0005-0000-0000-000029040000}"/>
    <cellStyle name="Normal 19" xfId="3049" xr:uid="{00000000-0005-0000-0000-00002A040000}"/>
    <cellStyle name="Normal 19 2 2" xfId="763" xr:uid="{00000000-0005-0000-0000-00002B040000}"/>
    <cellStyle name="Normal 19 2 2 2" xfId="764" xr:uid="{00000000-0005-0000-0000-00002C040000}"/>
    <cellStyle name="Normal 19 2 2 3" xfId="765" xr:uid="{00000000-0005-0000-0000-00002D040000}"/>
    <cellStyle name="Normal 2" xfId="766" xr:uid="{00000000-0005-0000-0000-00002E040000}"/>
    <cellStyle name="Normal 2 10" xfId="3453" xr:uid="{00000000-0005-0000-0000-00002F040000}"/>
    <cellStyle name="Normal 2 11" xfId="767" xr:uid="{00000000-0005-0000-0000-000030040000}"/>
    <cellStyle name="Normal 2 2" xfId="768" xr:uid="{00000000-0005-0000-0000-000031040000}"/>
    <cellStyle name="Normal 2 2 2" xfId="769" xr:uid="{00000000-0005-0000-0000-000032040000}"/>
    <cellStyle name="Normal 2 2 2 2" xfId="770" xr:uid="{00000000-0005-0000-0000-000033040000}"/>
    <cellStyle name="Normal 2 2 2 2 2" xfId="771" xr:uid="{00000000-0005-0000-0000-000034040000}"/>
    <cellStyle name="Normal 2 2 2 2 2 2" xfId="772" xr:uid="{00000000-0005-0000-0000-000035040000}"/>
    <cellStyle name="Normal 2 2 2 2 2 2 2" xfId="3037" xr:uid="{00000000-0005-0000-0000-000036040000}"/>
    <cellStyle name="Normal 2 2 2 2 2 3" xfId="2894" xr:uid="{00000000-0005-0000-0000-000037040000}"/>
    <cellStyle name="Normal 2 2 2 2 2 4" xfId="3308" xr:uid="{00000000-0005-0000-0000-000038040000}"/>
    <cellStyle name="Normal 2 2 2 2 3" xfId="773" xr:uid="{00000000-0005-0000-0000-000039040000}"/>
    <cellStyle name="Normal 2 2 2 2 3 2" xfId="2895" xr:uid="{00000000-0005-0000-0000-00003A040000}"/>
    <cellStyle name="Normal 2 2 2 2 3 3" xfId="3094" xr:uid="{00000000-0005-0000-0000-00003B040000}"/>
    <cellStyle name="Normal 2 2 2 2 4" xfId="774" xr:uid="{00000000-0005-0000-0000-00003C040000}"/>
    <cellStyle name="Normal 2 2 2 2 4 2" xfId="2384" xr:uid="{00000000-0005-0000-0000-00003D040000}"/>
    <cellStyle name="Normal 2 2 2 2 5" xfId="3241" xr:uid="{00000000-0005-0000-0000-00003E040000}"/>
    <cellStyle name="Normal 2 2 2 3" xfId="775" xr:uid="{00000000-0005-0000-0000-00003F040000}"/>
    <cellStyle name="Normal 2 2 2 3 2" xfId="3101" xr:uid="{00000000-0005-0000-0000-000040040000}"/>
    <cellStyle name="Normal 2 2 2 4" xfId="776" xr:uid="{00000000-0005-0000-0000-000041040000}"/>
    <cellStyle name="Normal 2 2 2 5" xfId="2893" xr:uid="{00000000-0005-0000-0000-000042040000}"/>
    <cellStyle name="Normal 2 2 2 6" xfId="3161" xr:uid="{00000000-0005-0000-0000-000043040000}"/>
    <cellStyle name="Normal 2 2 3" xfId="777" xr:uid="{00000000-0005-0000-0000-000044040000}"/>
    <cellStyle name="Normal 2 2 3 2" xfId="778" xr:uid="{00000000-0005-0000-0000-000045040000}"/>
    <cellStyle name="Normal 2 2 3 3" xfId="779" xr:uid="{00000000-0005-0000-0000-000046040000}"/>
    <cellStyle name="Normal 2 2 3 3 2" xfId="2385" xr:uid="{00000000-0005-0000-0000-000047040000}"/>
    <cellStyle name="Normal 2 2 4" xfId="780" xr:uid="{00000000-0005-0000-0000-000048040000}"/>
    <cellStyle name="Normal 2 2 4 2" xfId="781" xr:uid="{00000000-0005-0000-0000-000049040000}"/>
    <cellStyle name="Normal 2 2 4 3" xfId="2896" xr:uid="{00000000-0005-0000-0000-00004A040000}"/>
    <cellStyle name="Normal 2 2 4 4" xfId="3124" xr:uid="{00000000-0005-0000-0000-00004B040000}"/>
    <cellStyle name="Normal 2 2 5" xfId="782" xr:uid="{00000000-0005-0000-0000-00004C040000}"/>
    <cellStyle name="Normal 2 2 6" xfId="2892" xr:uid="{00000000-0005-0000-0000-00004D040000}"/>
    <cellStyle name="Normal 2 2 7" xfId="3242" xr:uid="{00000000-0005-0000-0000-00004E040000}"/>
    <cellStyle name="Normal 2 20" xfId="783" xr:uid="{00000000-0005-0000-0000-00004F040000}"/>
    <cellStyle name="Normal 2 20 2" xfId="784" xr:uid="{00000000-0005-0000-0000-000050040000}"/>
    <cellStyle name="Normal 2 20 3" xfId="785" xr:uid="{00000000-0005-0000-0000-000051040000}"/>
    <cellStyle name="Normal 2 20 3 2" xfId="2386" xr:uid="{00000000-0005-0000-0000-000052040000}"/>
    <cellStyle name="Normal 2 3" xfId="786" xr:uid="{00000000-0005-0000-0000-000053040000}"/>
    <cellStyle name="Normal 2 3 2" xfId="787" xr:uid="{00000000-0005-0000-0000-000054040000}"/>
    <cellStyle name="Normal 2 3 2 2" xfId="788" xr:uid="{00000000-0005-0000-0000-000055040000}"/>
    <cellStyle name="Normal 2 3 2 3" xfId="789" xr:uid="{00000000-0005-0000-0000-000056040000}"/>
    <cellStyle name="Normal 2 3 2 3 2" xfId="2387" xr:uid="{00000000-0005-0000-0000-000057040000}"/>
    <cellStyle name="Normal 2 3 3" xfId="790" xr:uid="{00000000-0005-0000-0000-000058040000}"/>
    <cellStyle name="Normal 2 3 3 2" xfId="3128" xr:uid="{00000000-0005-0000-0000-000059040000}"/>
    <cellStyle name="Normal 2 3 4" xfId="791" xr:uid="{00000000-0005-0000-0000-00005A040000}"/>
    <cellStyle name="Normal 2 4" xfId="792" xr:uid="{00000000-0005-0000-0000-00005B040000}"/>
    <cellStyle name="Normal 2 4 2" xfId="793" xr:uid="{00000000-0005-0000-0000-00005C040000}"/>
    <cellStyle name="Normal 2 4 2 2" xfId="2388" xr:uid="{00000000-0005-0000-0000-00005D040000}"/>
    <cellStyle name="Normal 2 4 3" xfId="3129" xr:uid="{00000000-0005-0000-0000-00005E040000}"/>
    <cellStyle name="Normal 2 5" xfId="794" xr:uid="{00000000-0005-0000-0000-00005F040000}"/>
    <cellStyle name="Normal 2 5 2" xfId="795" xr:uid="{00000000-0005-0000-0000-000060040000}"/>
    <cellStyle name="Normal 2 5 3" xfId="796" xr:uid="{00000000-0005-0000-0000-000061040000}"/>
    <cellStyle name="Normal 2 5 4" xfId="3074" xr:uid="{00000000-0005-0000-0000-000062040000}"/>
    <cellStyle name="Normal 2 6" xfId="797" xr:uid="{00000000-0005-0000-0000-000063040000}"/>
    <cellStyle name="Normal 2 6 2" xfId="3103" xr:uid="{00000000-0005-0000-0000-000064040000}"/>
    <cellStyle name="Normal 2 7" xfId="798" xr:uid="{00000000-0005-0000-0000-000065040000}"/>
    <cellStyle name="Normal 2 8" xfId="799" xr:uid="{00000000-0005-0000-0000-000066040000}"/>
    <cellStyle name="Normal 2 9" xfId="3243" xr:uid="{00000000-0005-0000-0000-000067040000}"/>
    <cellStyle name="Normal 2_12_09_21 troskovnik_Bratus" xfId="800" xr:uid="{00000000-0005-0000-0000-000068040000}"/>
    <cellStyle name="Normal 20" xfId="801" xr:uid="{00000000-0005-0000-0000-000069040000}"/>
    <cellStyle name="Normal 20 10" xfId="802" xr:uid="{00000000-0005-0000-0000-00006A040000}"/>
    <cellStyle name="Normal 20 10 2" xfId="803" xr:uid="{00000000-0005-0000-0000-00006B040000}"/>
    <cellStyle name="Normal 20 10 3" xfId="804" xr:uid="{00000000-0005-0000-0000-00006C040000}"/>
    <cellStyle name="Normal 20 2" xfId="805" xr:uid="{00000000-0005-0000-0000-00006D040000}"/>
    <cellStyle name="Normal 20 2 2" xfId="806" xr:uid="{00000000-0005-0000-0000-00006E040000}"/>
    <cellStyle name="Normal 20 2 3" xfId="807" xr:uid="{00000000-0005-0000-0000-00006F040000}"/>
    <cellStyle name="Normal 20 3" xfId="808" xr:uid="{00000000-0005-0000-0000-000070040000}"/>
    <cellStyle name="Normal 20 4" xfId="809" xr:uid="{00000000-0005-0000-0000-000071040000}"/>
    <cellStyle name="Normal 20 5" xfId="3198" xr:uid="{00000000-0005-0000-0000-000072040000}"/>
    <cellStyle name="Normal 21" xfId="3053" xr:uid="{00000000-0005-0000-0000-000073040000}"/>
    <cellStyle name="Normal 22" xfId="3195" xr:uid="{00000000-0005-0000-0000-000074040000}"/>
    <cellStyle name="Normal 22 2" xfId="3146" xr:uid="{00000000-0005-0000-0000-000075040000}"/>
    <cellStyle name="Normal 22 2 2" xfId="3039" xr:uid="{00000000-0005-0000-0000-000076040000}"/>
    <cellStyle name="Normal 22 2 3" xfId="3138" xr:uid="{00000000-0005-0000-0000-000077040000}"/>
    <cellStyle name="Normal 22 3" xfId="3144" xr:uid="{00000000-0005-0000-0000-000078040000}"/>
    <cellStyle name="Normal 22 3 2" xfId="3137" xr:uid="{00000000-0005-0000-0000-000079040000}"/>
    <cellStyle name="Normal 22 4" xfId="3143" xr:uid="{00000000-0005-0000-0000-00007A040000}"/>
    <cellStyle name="Normal 22 4 2" xfId="3136" xr:uid="{00000000-0005-0000-0000-00007B040000}"/>
    <cellStyle name="Normal 22 5" xfId="3142" xr:uid="{00000000-0005-0000-0000-00007C040000}"/>
    <cellStyle name="Normal 22 5 2" xfId="3135" xr:uid="{00000000-0005-0000-0000-00007D040000}"/>
    <cellStyle name="Normal 22 6" xfId="3050" xr:uid="{00000000-0005-0000-0000-00007E040000}"/>
    <cellStyle name="Normal 22 7" xfId="3043" xr:uid="{00000000-0005-0000-0000-00007F040000}"/>
    <cellStyle name="Normal 22 8" xfId="3038" xr:uid="{00000000-0005-0000-0000-000080040000}"/>
    <cellStyle name="Normal 22 9" xfId="3140" xr:uid="{00000000-0005-0000-0000-000081040000}"/>
    <cellStyle name="Normal 23" xfId="3048" xr:uid="{00000000-0005-0000-0000-000082040000}"/>
    <cellStyle name="Normal 24" xfId="810" xr:uid="{00000000-0005-0000-0000-000083040000}"/>
    <cellStyle name="Normal 24 2" xfId="811" xr:uid="{00000000-0005-0000-0000-000084040000}"/>
    <cellStyle name="Normal 24 3" xfId="812" xr:uid="{00000000-0005-0000-0000-000085040000}"/>
    <cellStyle name="Normal 24 3 2" xfId="2389" xr:uid="{00000000-0005-0000-0000-000086040000}"/>
    <cellStyle name="Normal 25" xfId="3045" xr:uid="{00000000-0005-0000-0000-000087040000}"/>
    <cellStyle name="Normal 26" xfId="813" xr:uid="{00000000-0005-0000-0000-000088040000}"/>
    <cellStyle name="Normal 26 2" xfId="814" xr:uid="{00000000-0005-0000-0000-000089040000}"/>
    <cellStyle name="Normal 26 3" xfId="815" xr:uid="{00000000-0005-0000-0000-00008A040000}"/>
    <cellStyle name="Normal 26 3 2" xfId="2390" xr:uid="{00000000-0005-0000-0000-00008B040000}"/>
    <cellStyle name="Normal 27" xfId="816" xr:uid="{00000000-0005-0000-0000-00008C040000}"/>
    <cellStyle name="Normal 27 2" xfId="817" xr:uid="{00000000-0005-0000-0000-00008D040000}"/>
    <cellStyle name="Normal 27 3" xfId="818" xr:uid="{00000000-0005-0000-0000-00008E040000}"/>
    <cellStyle name="Normal 27 3 2" xfId="2391" xr:uid="{00000000-0005-0000-0000-00008F040000}"/>
    <cellStyle name="Normal 28" xfId="819" xr:uid="{00000000-0005-0000-0000-000090040000}"/>
    <cellStyle name="Normal 28 2" xfId="820" xr:uid="{00000000-0005-0000-0000-000091040000}"/>
    <cellStyle name="Normal 28 3" xfId="821" xr:uid="{00000000-0005-0000-0000-000092040000}"/>
    <cellStyle name="Normal 28 3 2" xfId="2392" xr:uid="{00000000-0005-0000-0000-000093040000}"/>
    <cellStyle name="Normal 29" xfId="3044" xr:uid="{00000000-0005-0000-0000-000094040000}"/>
    <cellStyle name="Normal 3" xfId="822" xr:uid="{00000000-0005-0000-0000-000095040000}"/>
    <cellStyle name="Normal 3 10 4" xfId="3108" xr:uid="{00000000-0005-0000-0000-000096040000}"/>
    <cellStyle name="Normal 3 11" xfId="3111" xr:uid="{00000000-0005-0000-0000-000097040000}"/>
    <cellStyle name="Normal 3 13" xfId="3239" xr:uid="{00000000-0005-0000-0000-000098040000}"/>
    <cellStyle name="Normal 3 18" xfId="3238" xr:uid="{00000000-0005-0000-0000-000099040000}"/>
    <cellStyle name="Normal 3 2" xfId="823" xr:uid="{00000000-0005-0000-0000-00009A040000}"/>
    <cellStyle name="Normal 3 2 2" xfId="824" xr:uid="{00000000-0005-0000-0000-00009B040000}"/>
    <cellStyle name="Normal 3 2 2 2" xfId="825" xr:uid="{00000000-0005-0000-0000-00009C040000}"/>
    <cellStyle name="Normal 3 2 2 2 2" xfId="2393" xr:uid="{00000000-0005-0000-0000-00009D040000}"/>
    <cellStyle name="Normal 3 2 3" xfId="826" xr:uid="{00000000-0005-0000-0000-00009E040000}"/>
    <cellStyle name="Normal 3 2 3 2" xfId="2394" xr:uid="{00000000-0005-0000-0000-00009F040000}"/>
    <cellStyle name="Normal 3 2 3 3" xfId="3113" xr:uid="{00000000-0005-0000-0000-0000A0040000}"/>
    <cellStyle name="Normal 3 2 3 4" xfId="3099" xr:uid="{00000000-0005-0000-0000-0000A1040000}"/>
    <cellStyle name="Normal 3 2 4" xfId="3160" xr:uid="{00000000-0005-0000-0000-0000A2040000}"/>
    <cellStyle name="Normal 3 21" xfId="3237" xr:uid="{00000000-0005-0000-0000-0000A3040000}"/>
    <cellStyle name="Normal 3 3" xfId="827" xr:uid="{00000000-0005-0000-0000-0000A4040000}"/>
    <cellStyle name="Normal 3 3 2" xfId="828" xr:uid="{00000000-0005-0000-0000-0000A5040000}"/>
    <cellStyle name="Normal 3 3 3" xfId="829" xr:uid="{00000000-0005-0000-0000-0000A6040000}"/>
    <cellStyle name="Normal 3 3 4" xfId="2897" xr:uid="{00000000-0005-0000-0000-0000A7040000}"/>
    <cellStyle name="Normal 3 3 5" xfId="3065" xr:uid="{00000000-0005-0000-0000-0000A8040000}"/>
    <cellStyle name="Normal 3 4" xfId="830" xr:uid="{00000000-0005-0000-0000-0000A9040000}"/>
    <cellStyle name="Normal 3 4 2" xfId="3126" xr:uid="{00000000-0005-0000-0000-0000AA040000}"/>
    <cellStyle name="Normal 3 5" xfId="831" xr:uid="{00000000-0005-0000-0000-0000AB040000}"/>
    <cellStyle name="Normal 3 6" xfId="3240" xr:uid="{00000000-0005-0000-0000-0000AC040000}"/>
    <cellStyle name="Normal 3 9 4" xfId="3073" xr:uid="{00000000-0005-0000-0000-0000AD040000}"/>
    <cellStyle name="Normal 30" xfId="3149" xr:uid="{00000000-0005-0000-0000-0000AE040000}"/>
    <cellStyle name="Normal 31" xfId="3134" xr:uid="{00000000-0005-0000-0000-0000AF040000}"/>
    <cellStyle name="Normal 32" xfId="832" xr:uid="{00000000-0005-0000-0000-0000B0040000}"/>
    <cellStyle name="Normal 32 2" xfId="833" xr:uid="{00000000-0005-0000-0000-0000B1040000}"/>
    <cellStyle name="Normal 32 3" xfId="834" xr:uid="{00000000-0005-0000-0000-0000B2040000}"/>
    <cellStyle name="Normal 32 4" xfId="2898" xr:uid="{00000000-0005-0000-0000-0000B3040000}"/>
    <cellStyle name="Normal 32 5" xfId="3119" xr:uid="{00000000-0005-0000-0000-0000B4040000}"/>
    <cellStyle name="Normal 33" xfId="835" xr:uid="{00000000-0005-0000-0000-0000B5040000}"/>
    <cellStyle name="Normal 33 2" xfId="836" xr:uid="{00000000-0005-0000-0000-0000B6040000}"/>
    <cellStyle name="Normal 33 2 2" xfId="837" xr:uid="{00000000-0005-0000-0000-0000B7040000}"/>
    <cellStyle name="Normal 33 2 3" xfId="838" xr:uid="{00000000-0005-0000-0000-0000B8040000}"/>
    <cellStyle name="Normal 33 2 3 2" xfId="2395" xr:uid="{00000000-0005-0000-0000-0000B9040000}"/>
    <cellStyle name="Normal 33 3" xfId="839" xr:uid="{00000000-0005-0000-0000-0000BA040000}"/>
    <cellStyle name="Normal 33 4" xfId="840" xr:uid="{00000000-0005-0000-0000-0000BB040000}"/>
    <cellStyle name="Normal 33 4 2" xfId="2396" xr:uid="{00000000-0005-0000-0000-0000BC040000}"/>
    <cellStyle name="Normal 33 5" xfId="3148" xr:uid="{00000000-0005-0000-0000-0000BD040000}"/>
    <cellStyle name="Normal 34" xfId="3106" xr:uid="{00000000-0005-0000-0000-0000BE040000}"/>
    <cellStyle name="Normal 35" xfId="3042" xr:uid="{00000000-0005-0000-0000-0000BF040000}"/>
    <cellStyle name="Normal 37" xfId="841" xr:uid="{00000000-0005-0000-0000-0000C0040000}"/>
    <cellStyle name="Normal 37 2" xfId="842" xr:uid="{00000000-0005-0000-0000-0000C1040000}"/>
    <cellStyle name="Normal 37 3" xfId="843" xr:uid="{00000000-0005-0000-0000-0000C2040000}"/>
    <cellStyle name="Normal 37 3 2" xfId="2397" xr:uid="{00000000-0005-0000-0000-0000C3040000}"/>
    <cellStyle name="Normal 4" xfId="844" xr:uid="{00000000-0005-0000-0000-0000C4040000}"/>
    <cellStyle name="Normal 4 10" xfId="3114" xr:uid="{00000000-0005-0000-0000-0000C5040000}"/>
    <cellStyle name="Normal 4 2" xfId="845" xr:uid="{00000000-0005-0000-0000-0000C6040000}"/>
    <cellStyle name="Normal 4 2 2" xfId="846" xr:uid="{00000000-0005-0000-0000-0000C7040000}"/>
    <cellStyle name="Normal 4 2 3" xfId="847" xr:uid="{00000000-0005-0000-0000-0000C8040000}"/>
    <cellStyle name="Normal 4 2 3 2" xfId="2398" xr:uid="{00000000-0005-0000-0000-0000C9040000}"/>
    <cellStyle name="Normal 4 23" xfId="3177" xr:uid="{00000000-0005-0000-0000-0000CA040000}"/>
    <cellStyle name="Normal 4 3" xfId="848" xr:uid="{00000000-0005-0000-0000-0000CB040000}"/>
    <cellStyle name="Normal 4 3 2" xfId="849" xr:uid="{00000000-0005-0000-0000-0000CC040000}"/>
    <cellStyle name="Normal 4 3 3" xfId="2899" xr:uid="{00000000-0005-0000-0000-0000CD040000}"/>
    <cellStyle name="Normal 4 3 4" xfId="3110" xr:uid="{00000000-0005-0000-0000-0000CE040000}"/>
    <cellStyle name="Normal 4 4" xfId="850" xr:uid="{00000000-0005-0000-0000-0000CF040000}"/>
    <cellStyle name="Normal 4 5" xfId="851" xr:uid="{00000000-0005-0000-0000-0000D0040000}"/>
    <cellStyle name="Normal 4 5 2" xfId="2399" xr:uid="{00000000-0005-0000-0000-0000D1040000}"/>
    <cellStyle name="Normal 4 6" xfId="3318" xr:uid="{00000000-0005-0000-0000-0000D2040000}"/>
    <cellStyle name="Normal 4 9" xfId="3072" xr:uid="{00000000-0005-0000-0000-0000D3040000}"/>
    <cellStyle name="Normal 40" xfId="852" xr:uid="{00000000-0005-0000-0000-0000D4040000}"/>
    <cellStyle name="Normal 40 2" xfId="853" xr:uid="{00000000-0005-0000-0000-0000D5040000}"/>
    <cellStyle name="Normal 40 3" xfId="854" xr:uid="{00000000-0005-0000-0000-0000D6040000}"/>
    <cellStyle name="Normal 40 4" xfId="2900" xr:uid="{00000000-0005-0000-0000-0000D7040000}"/>
    <cellStyle name="Normal 44" xfId="3236" xr:uid="{00000000-0005-0000-0000-0000D8040000}"/>
    <cellStyle name="Normal 48" xfId="3319" xr:uid="{00000000-0005-0000-0000-0000D9040000}"/>
    <cellStyle name="Normal 49" xfId="3235" xr:uid="{00000000-0005-0000-0000-0000DA040000}"/>
    <cellStyle name="Normal 49 2" xfId="3191" xr:uid="{00000000-0005-0000-0000-0000DB040000}"/>
    <cellStyle name="Normal 49 2 2" xfId="3064" xr:uid="{00000000-0005-0000-0000-0000DC040000}"/>
    <cellStyle name="Normal 5" xfId="855" xr:uid="{00000000-0005-0000-0000-0000DD040000}"/>
    <cellStyle name="Normal 5 10 4" xfId="3321" xr:uid="{00000000-0005-0000-0000-0000DE040000}"/>
    <cellStyle name="Normal 5 2" xfId="856" xr:uid="{00000000-0005-0000-0000-0000DF040000}"/>
    <cellStyle name="Normal 5 2 2" xfId="857" xr:uid="{00000000-0005-0000-0000-0000E0040000}"/>
    <cellStyle name="Normal 5 2 2 2" xfId="858" xr:uid="{00000000-0005-0000-0000-0000E1040000}"/>
    <cellStyle name="Normal 5 2 2 3" xfId="859" xr:uid="{00000000-0005-0000-0000-0000E2040000}"/>
    <cellStyle name="Normal 5 2 2 4" xfId="2903" xr:uid="{00000000-0005-0000-0000-0000E3040000}"/>
    <cellStyle name="Normal 5 2 2 5" xfId="3063" xr:uid="{00000000-0005-0000-0000-0000E4040000}"/>
    <cellStyle name="Normal 5 2 3" xfId="860" xr:uid="{00000000-0005-0000-0000-0000E5040000}"/>
    <cellStyle name="Normal 5 2 3 2" xfId="3080" xr:uid="{00000000-0005-0000-0000-0000E6040000}"/>
    <cellStyle name="Normal 5 2 4" xfId="861" xr:uid="{00000000-0005-0000-0000-0000E7040000}"/>
    <cellStyle name="Normal 5 2 5" xfId="2902" xr:uid="{00000000-0005-0000-0000-0000E8040000}"/>
    <cellStyle name="Normal 5 2 6" xfId="3234" xr:uid="{00000000-0005-0000-0000-0000E9040000}"/>
    <cellStyle name="Normal 5 23" xfId="3098" xr:uid="{00000000-0005-0000-0000-0000EA040000}"/>
    <cellStyle name="Normal 5 23 3" xfId="3112" xr:uid="{00000000-0005-0000-0000-0000EB040000}"/>
    <cellStyle name="Normal 5 3" xfId="862" xr:uid="{00000000-0005-0000-0000-0000EC040000}"/>
    <cellStyle name="Normal 5 3 2" xfId="863" xr:uid="{00000000-0005-0000-0000-0000ED040000}"/>
    <cellStyle name="Normal 5 3 3" xfId="864" xr:uid="{00000000-0005-0000-0000-0000EE040000}"/>
    <cellStyle name="Normal 5 3 4" xfId="2904" xr:uid="{00000000-0005-0000-0000-0000EF040000}"/>
    <cellStyle name="Normal 5 3 5" xfId="3071" xr:uid="{00000000-0005-0000-0000-0000F0040000}"/>
    <cellStyle name="Normal 5 4" xfId="865" xr:uid="{00000000-0005-0000-0000-0000F1040000}"/>
    <cellStyle name="Normal 5 4 2" xfId="866" xr:uid="{00000000-0005-0000-0000-0000F2040000}"/>
    <cellStyle name="Normal 5 4 3" xfId="867" xr:uid="{00000000-0005-0000-0000-0000F3040000}"/>
    <cellStyle name="Normal 5 4 3 2" xfId="2400" xr:uid="{00000000-0005-0000-0000-0000F4040000}"/>
    <cellStyle name="Normal 5 4 4" xfId="3082" xr:uid="{00000000-0005-0000-0000-0000F5040000}"/>
    <cellStyle name="Normal 5 5" xfId="868" xr:uid="{00000000-0005-0000-0000-0000F6040000}"/>
    <cellStyle name="Normal 5 6" xfId="869" xr:uid="{00000000-0005-0000-0000-0000F7040000}"/>
    <cellStyle name="Normal 5 7" xfId="870" xr:uid="{00000000-0005-0000-0000-0000F8040000}"/>
    <cellStyle name="Normal 5 8" xfId="2901" xr:uid="{00000000-0005-0000-0000-0000F9040000}"/>
    <cellStyle name="Normal 5 9" xfId="3320" xr:uid="{00000000-0005-0000-0000-0000FA040000}"/>
    <cellStyle name="Normal 50" xfId="3190" xr:uid="{00000000-0005-0000-0000-0000FB040000}"/>
    <cellStyle name="Normal 51" xfId="3189" xr:uid="{00000000-0005-0000-0000-0000FC040000}"/>
    <cellStyle name="Normal 52" xfId="3188" xr:uid="{00000000-0005-0000-0000-0000FD040000}"/>
    <cellStyle name="Normal 53" xfId="3187" xr:uid="{00000000-0005-0000-0000-0000FE040000}"/>
    <cellStyle name="Normal 53 4 2" xfId="871" xr:uid="{00000000-0005-0000-0000-0000FF040000}"/>
    <cellStyle name="Normal 54" xfId="3186" xr:uid="{00000000-0005-0000-0000-000000050000}"/>
    <cellStyle name="Normal 55" xfId="3185" xr:uid="{00000000-0005-0000-0000-000001050000}"/>
    <cellStyle name="Normal 56" xfId="3184" xr:uid="{00000000-0005-0000-0000-000002050000}"/>
    <cellStyle name="Normal 57" xfId="3183" xr:uid="{00000000-0005-0000-0000-000003050000}"/>
    <cellStyle name="Normal 58" xfId="872" xr:uid="{00000000-0005-0000-0000-000004050000}"/>
    <cellStyle name="Normal 58 2" xfId="873" xr:uid="{00000000-0005-0000-0000-000005050000}"/>
    <cellStyle name="Normal 58 3" xfId="874" xr:uid="{00000000-0005-0000-0000-000006050000}"/>
    <cellStyle name="Normal 58 4" xfId="2905" xr:uid="{00000000-0005-0000-0000-000007050000}"/>
    <cellStyle name="Normal 59" xfId="3182" xr:uid="{00000000-0005-0000-0000-000008050000}"/>
    <cellStyle name="Normal 59 2" xfId="3085" xr:uid="{00000000-0005-0000-0000-000009050000}"/>
    <cellStyle name="Normal 59 3" xfId="3116" xr:uid="{00000000-0005-0000-0000-00000A050000}"/>
    <cellStyle name="Normal 6" xfId="875" xr:uid="{00000000-0005-0000-0000-00000B050000}"/>
    <cellStyle name="Normal 6 2" xfId="876" xr:uid="{00000000-0005-0000-0000-00000C050000}"/>
    <cellStyle name="Normal 6 2 2" xfId="3062" xr:uid="{00000000-0005-0000-0000-00000D050000}"/>
    <cellStyle name="Normal 6 3" xfId="877" xr:uid="{00000000-0005-0000-0000-00000E050000}"/>
    <cellStyle name="Normal 6 3 2" xfId="2401" xr:uid="{00000000-0005-0000-0000-00000F050000}"/>
    <cellStyle name="Normal 6 3 3" xfId="3078" xr:uid="{00000000-0005-0000-0000-000010050000}"/>
    <cellStyle name="Normal 60" xfId="3181" xr:uid="{00000000-0005-0000-0000-000011050000}"/>
    <cellStyle name="Normal 61" xfId="3180" xr:uid="{00000000-0005-0000-0000-000012050000}"/>
    <cellStyle name="Normal 62" xfId="3179" xr:uid="{00000000-0005-0000-0000-000013050000}"/>
    <cellStyle name="Normal 63" xfId="878" xr:uid="{00000000-0005-0000-0000-000014050000}"/>
    <cellStyle name="Normal 63 2" xfId="879" xr:uid="{00000000-0005-0000-0000-000015050000}"/>
    <cellStyle name="Normal 63 3" xfId="880" xr:uid="{00000000-0005-0000-0000-000016050000}"/>
    <cellStyle name="Normal 63 3 2" xfId="2402" xr:uid="{00000000-0005-0000-0000-000017050000}"/>
    <cellStyle name="Normal 64" xfId="3312" xr:uid="{00000000-0005-0000-0000-000018050000}"/>
    <cellStyle name="Normal 65" xfId="881" xr:uid="{00000000-0005-0000-0000-000019050000}"/>
    <cellStyle name="Normal 65 2" xfId="882" xr:uid="{00000000-0005-0000-0000-00001A050000}"/>
    <cellStyle name="Normal 65 3" xfId="883" xr:uid="{00000000-0005-0000-0000-00001B050000}"/>
    <cellStyle name="Normal 65 3 2" xfId="2403" xr:uid="{00000000-0005-0000-0000-00001C050000}"/>
    <cellStyle name="Normal 67" xfId="3178" xr:uid="{00000000-0005-0000-0000-00001D050000}"/>
    <cellStyle name="Normal 7" xfId="884" xr:uid="{00000000-0005-0000-0000-00001E050000}"/>
    <cellStyle name="Normal 7 2" xfId="885" xr:uid="{00000000-0005-0000-0000-00001F050000}"/>
    <cellStyle name="Normal 7 3" xfId="886" xr:uid="{00000000-0005-0000-0000-000020050000}"/>
    <cellStyle name="Normal 7 4" xfId="2906" xr:uid="{00000000-0005-0000-0000-000021050000}"/>
    <cellStyle name="Normal 7 5" xfId="3233" xr:uid="{00000000-0005-0000-0000-000022050000}"/>
    <cellStyle name="Normal 70" xfId="3176" xr:uid="{00000000-0005-0000-0000-000023050000}"/>
    <cellStyle name="Normal 71" xfId="3175" xr:uid="{00000000-0005-0000-0000-000024050000}"/>
    <cellStyle name="Normal 72" xfId="3174" xr:uid="{00000000-0005-0000-0000-000025050000}"/>
    <cellStyle name="Normal 73" xfId="3173" xr:uid="{00000000-0005-0000-0000-000026050000}"/>
    <cellStyle name="Normal 74" xfId="3172" xr:uid="{00000000-0005-0000-0000-000027050000}"/>
    <cellStyle name="Normal 74 2" xfId="3309" xr:uid="{00000000-0005-0000-0000-000028050000}"/>
    <cellStyle name="Normal 74 3" xfId="3115" xr:uid="{00000000-0005-0000-0000-000029050000}"/>
    <cellStyle name="Normal 74 4" xfId="3107" xr:uid="{00000000-0005-0000-0000-00002A050000}"/>
    <cellStyle name="Normal 75" xfId="3171" xr:uid="{00000000-0005-0000-0000-00002B050000}"/>
    <cellStyle name="Normal 76" xfId="3170" xr:uid="{00000000-0005-0000-0000-00002C050000}"/>
    <cellStyle name="Normal 77" xfId="3169" xr:uid="{00000000-0005-0000-0000-00002D050000}"/>
    <cellStyle name="Normal 78" xfId="3168" xr:uid="{00000000-0005-0000-0000-00002E050000}"/>
    <cellStyle name="Normal 79" xfId="3109" xr:uid="{00000000-0005-0000-0000-00002F050000}"/>
    <cellStyle name="Normal 8" xfId="3232" xr:uid="{00000000-0005-0000-0000-000030050000}"/>
    <cellStyle name="Normal 89" xfId="887" xr:uid="{00000000-0005-0000-0000-000031050000}"/>
    <cellStyle name="Normal 89 2" xfId="888" xr:uid="{00000000-0005-0000-0000-000032050000}"/>
    <cellStyle name="Normal 89 3" xfId="889" xr:uid="{00000000-0005-0000-0000-000033050000}"/>
    <cellStyle name="Normal 9" xfId="3231" xr:uid="{00000000-0005-0000-0000-000034050000}"/>
    <cellStyle name="Normal 97" xfId="890" xr:uid="{00000000-0005-0000-0000-000035050000}"/>
    <cellStyle name="Normal_troskovnik_bolnica za tumore_zg" xfId="891" xr:uid="{00000000-0005-0000-0000-000036050000}"/>
    <cellStyle name="Normal1" xfId="892" xr:uid="{00000000-0005-0000-0000-000037050000}"/>
    <cellStyle name="Normal1 2" xfId="893" xr:uid="{00000000-0005-0000-0000-000038050000}"/>
    <cellStyle name="Normal1 3" xfId="3230" xr:uid="{00000000-0005-0000-0000-000039050000}"/>
    <cellStyle name="Normal3" xfId="3229" xr:uid="{00000000-0005-0000-0000-00003A050000}"/>
    <cellStyle name="normální_A" xfId="3228" xr:uid="{00000000-0005-0000-0000-00003B050000}"/>
    <cellStyle name="Normalno 10" xfId="894" xr:uid="{00000000-0005-0000-0000-00003D050000}"/>
    <cellStyle name="Normalno 10 2" xfId="2907" xr:uid="{00000000-0005-0000-0000-00003E050000}"/>
    <cellStyle name="Normalno 10 3" xfId="3089" xr:uid="{00000000-0005-0000-0000-00003F050000}"/>
    <cellStyle name="Normalno 11" xfId="895" xr:uid="{00000000-0005-0000-0000-000040050000}"/>
    <cellStyle name="Normalno 11 2" xfId="2908" xr:uid="{00000000-0005-0000-0000-000041050000}"/>
    <cellStyle name="Normalno 12" xfId="896" xr:uid="{00000000-0005-0000-0000-000042050000}"/>
    <cellStyle name="Normalno 12 2" xfId="2909" xr:uid="{00000000-0005-0000-0000-000043050000}"/>
    <cellStyle name="Normalno 12 3" xfId="3117" xr:uid="{00000000-0005-0000-0000-000044050000}"/>
    <cellStyle name="Normalno 13" xfId="897" xr:uid="{00000000-0005-0000-0000-000045050000}"/>
    <cellStyle name="Normalno 13 2" xfId="2910" xr:uid="{00000000-0005-0000-0000-000046050000}"/>
    <cellStyle name="Normalno 14" xfId="898" xr:uid="{00000000-0005-0000-0000-000047050000}"/>
    <cellStyle name="Normalno 14 2" xfId="2911" xr:uid="{00000000-0005-0000-0000-000048050000}"/>
    <cellStyle name="Normalno 15" xfId="899" xr:uid="{00000000-0005-0000-0000-000049050000}"/>
    <cellStyle name="Normalno 15 2" xfId="2404" xr:uid="{00000000-0005-0000-0000-00004A050000}"/>
    <cellStyle name="Normalno 16" xfId="900" xr:uid="{00000000-0005-0000-0000-00004B050000}"/>
    <cellStyle name="Normalno 17" xfId="901" xr:uid="{00000000-0005-0000-0000-00004C050000}"/>
    <cellStyle name="Normalno 17 2" xfId="2912" xr:uid="{00000000-0005-0000-0000-00004D050000}"/>
    <cellStyle name="Normalno 18" xfId="902" xr:uid="{00000000-0005-0000-0000-00004E050000}"/>
    <cellStyle name="Normalno 18 2" xfId="2405" xr:uid="{00000000-0005-0000-0000-00004F050000}"/>
    <cellStyle name="Normalno 19" xfId="903" xr:uid="{00000000-0005-0000-0000-000050050000}"/>
    <cellStyle name="Normalno 19 2" xfId="2406" xr:uid="{00000000-0005-0000-0000-000051050000}"/>
    <cellStyle name="Normalno 2" xfId="904" xr:uid="{00000000-0005-0000-0000-000052050000}"/>
    <cellStyle name="Normalno 2 2" xfId="905" xr:uid="{00000000-0005-0000-0000-000053050000}"/>
    <cellStyle name="Normalno 2 2 2" xfId="906" xr:uid="{00000000-0005-0000-0000-000054050000}"/>
    <cellStyle name="Normalno 2 2 2 2" xfId="907" xr:uid="{00000000-0005-0000-0000-000055050000}"/>
    <cellStyle name="Normalno 2 2 2 2 2" xfId="2407" xr:uid="{00000000-0005-0000-0000-000056050000}"/>
    <cellStyle name="Normalno 2 2 3" xfId="908" xr:uid="{00000000-0005-0000-0000-000057050000}"/>
    <cellStyle name="Normalno 2 2 3 2" xfId="2408" xr:uid="{00000000-0005-0000-0000-000058050000}"/>
    <cellStyle name="Normalno 2 2 4" xfId="3147" xr:uid="{00000000-0005-0000-0000-000059050000}"/>
    <cellStyle name="Normalno 2 3" xfId="909" xr:uid="{00000000-0005-0000-0000-00005A050000}"/>
    <cellStyle name="Normalno 2 3 2" xfId="910" xr:uid="{00000000-0005-0000-0000-00005B050000}"/>
    <cellStyle name="Normalno 2 3 2 2" xfId="911" xr:uid="{00000000-0005-0000-0000-00005C050000}"/>
    <cellStyle name="Normalno 2 3 2 2 2" xfId="2409" xr:uid="{00000000-0005-0000-0000-00005D050000}"/>
    <cellStyle name="Normalno 2 3 3" xfId="912" xr:uid="{00000000-0005-0000-0000-00005E050000}"/>
    <cellStyle name="Normalno 2 3 3 2" xfId="2410" xr:uid="{00000000-0005-0000-0000-00005F050000}"/>
    <cellStyle name="Normalno 2 4" xfId="913" xr:uid="{00000000-0005-0000-0000-000060050000}"/>
    <cellStyle name="Normalno 2 4 2" xfId="914" xr:uid="{00000000-0005-0000-0000-000061050000}"/>
    <cellStyle name="Normalno 2 4 2 2" xfId="2411" xr:uid="{00000000-0005-0000-0000-000062050000}"/>
    <cellStyle name="Normalno 2 4 3" xfId="3313" xr:uid="{00000000-0005-0000-0000-000063050000}"/>
    <cellStyle name="Normalno 2 5" xfId="915" xr:uid="{00000000-0005-0000-0000-000064050000}"/>
    <cellStyle name="Normalno 2 5 2" xfId="2412" xr:uid="{00000000-0005-0000-0000-000065050000}"/>
    <cellStyle name="Normalno 2 6" xfId="3199" xr:uid="{00000000-0005-0000-0000-000066050000}"/>
    <cellStyle name="Normalno 20" xfId="2957" xr:uid="{00000000-0005-0000-0000-000067050000}"/>
    <cellStyle name="Normalno 20 2" xfId="3396" xr:uid="{00000000-0005-0000-0000-000068050000}"/>
    <cellStyle name="Normalno 20 3" xfId="3456" xr:uid="{00000000-0005-0000-0000-000069050000}"/>
    <cellStyle name="Normalno 20 3 2" xfId="3462" xr:uid="{00000000-0005-0000-0000-00006A050000}"/>
    <cellStyle name="Normalno 20 4" xfId="3454" xr:uid="{00000000-0005-0000-0000-00006B050000}"/>
    <cellStyle name="Normalno 20 5" xfId="3389" xr:uid="{00000000-0005-0000-0000-00006C050000}"/>
    <cellStyle name="Normalno 20 6" xfId="3324" xr:uid="{00000000-0005-0000-0000-00006D050000}"/>
    <cellStyle name="Normalno 21" xfId="3306" xr:uid="{00000000-0005-0000-0000-00006E050000}"/>
    <cellStyle name="Normalno 22" xfId="3314" xr:uid="{00000000-0005-0000-0000-00006F050000}"/>
    <cellStyle name="Normalno 22 2" xfId="3488" xr:uid="{00000000-0005-0000-0000-000070050000}"/>
    <cellStyle name="Normalno 3" xfId="916" xr:uid="{00000000-0005-0000-0000-000071050000}"/>
    <cellStyle name="Normalno 3 2" xfId="917" xr:uid="{00000000-0005-0000-0000-000072050000}"/>
    <cellStyle name="Normalno 3 2 2" xfId="918" xr:uid="{00000000-0005-0000-0000-000073050000}"/>
    <cellStyle name="Normalno 3 2 2 2" xfId="3091" xr:uid="{00000000-0005-0000-0000-000074050000}"/>
    <cellStyle name="Normalno 3 2 3" xfId="919" xr:uid="{00000000-0005-0000-0000-000075050000}"/>
    <cellStyle name="Normalno 3 2 3 2" xfId="2413" xr:uid="{00000000-0005-0000-0000-000076050000}"/>
    <cellStyle name="Normalno 3 3" xfId="920" xr:uid="{00000000-0005-0000-0000-000077050000}"/>
    <cellStyle name="Normalno 3 3 2" xfId="921" xr:uid="{00000000-0005-0000-0000-000078050000}"/>
    <cellStyle name="Normalno 3 3 3" xfId="922" xr:uid="{00000000-0005-0000-0000-000079050000}"/>
    <cellStyle name="Normalno 3 3 3 2" xfId="2414" xr:uid="{00000000-0005-0000-0000-00007A050000}"/>
    <cellStyle name="Normalno 3 3 4" xfId="3093" xr:uid="{00000000-0005-0000-0000-00007B050000}"/>
    <cellStyle name="Normalno 3 4" xfId="923" xr:uid="{00000000-0005-0000-0000-00007C050000}"/>
    <cellStyle name="Normalno 3 4 2" xfId="924" xr:uid="{00000000-0005-0000-0000-00007D050000}"/>
    <cellStyle name="Normalno 3 4 3" xfId="925" xr:uid="{00000000-0005-0000-0000-00007E050000}"/>
    <cellStyle name="Normalno 3 4 4" xfId="2913" xr:uid="{00000000-0005-0000-0000-00007F050000}"/>
    <cellStyle name="Normalno 3 5" xfId="926" xr:uid="{00000000-0005-0000-0000-000080050000}"/>
    <cellStyle name="Normalno 3 5 2" xfId="927" xr:uid="{00000000-0005-0000-0000-000081050000}"/>
    <cellStyle name="Normalno 3 5 2 2" xfId="2415" xr:uid="{00000000-0005-0000-0000-000082050000}"/>
    <cellStyle name="Normalno 3 6" xfId="928" xr:uid="{00000000-0005-0000-0000-000083050000}"/>
    <cellStyle name="Normalno 3 7" xfId="929" xr:uid="{00000000-0005-0000-0000-000084050000}"/>
    <cellStyle name="Normalno 3 7 2" xfId="2416" xr:uid="{00000000-0005-0000-0000-000085050000}"/>
    <cellStyle name="Normalno 4" xfId="930" xr:uid="{00000000-0005-0000-0000-000086050000}"/>
    <cellStyle name="Normalno 4 10" xfId="2914" xr:uid="{00000000-0005-0000-0000-000087050000}"/>
    <cellStyle name="Normalno 4 2" xfId="931" xr:uid="{00000000-0005-0000-0000-000088050000}"/>
    <cellStyle name="Normalno 4 2 2" xfId="932" xr:uid="{00000000-0005-0000-0000-000089050000}"/>
    <cellStyle name="Normalno 4 2 2 2" xfId="933" xr:uid="{00000000-0005-0000-0000-00008A050000}"/>
    <cellStyle name="Normalno 4 2 2 2 2" xfId="934" xr:uid="{00000000-0005-0000-0000-00008B050000}"/>
    <cellStyle name="Normalno 4 2 2 2 2 2" xfId="2917" xr:uid="{00000000-0005-0000-0000-00008C050000}"/>
    <cellStyle name="Normalno 4 2 2 2 3" xfId="2916" xr:uid="{00000000-0005-0000-0000-00008D050000}"/>
    <cellStyle name="Normalno 4 2 2 3" xfId="935" xr:uid="{00000000-0005-0000-0000-00008E050000}"/>
    <cellStyle name="Normalno 4 2 3" xfId="936" xr:uid="{00000000-0005-0000-0000-00008F050000}"/>
    <cellStyle name="Normalno 4 2 3 2" xfId="2918" xr:uid="{00000000-0005-0000-0000-000090050000}"/>
    <cellStyle name="Normalno 4 2 4" xfId="937" xr:uid="{00000000-0005-0000-0000-000091050000}"/>
    <cellStyle name="Normalno 4 2 5" xfId="2915" xr:uid="{00000000-0005-0000-0000-000092050000}"/>
    <cellStyle name="Normalno 4 2 6" xfId="3118" xr:uid="{00000000-0005-0000-0000-000093050000}"/>
    <cellStyle name="Normalno 4 3" xfId="938" xr:uid="{00000000-0005-0000-0000-000094050000}"/>
    <cellStyle name="Normalno 4 3 2" xfId="939" xr:uid="{00000000-0005-0000-0000-000095050000}"/>
    <cellStyle name="Normalno 4 3 2 2" xfId="940" xr:uid="{00000000-0005-0000-0000-000096050000}"/>
    <cellStyle name="Normalno 4 3 2 2 2" xfId="2920" xr:uid="{00000000-0005-0000-0000-000097050000}"/>
    <cellStyle name="Normalno 4 3 2 3" xfId="941" xr:uid="{00000000-0005-0000-0000-000098050000}"/>
    <cellStyle name="Normalno 4 3 2 3 2" xfId="2921" xr:uid="{00000000-0005-0000-0000-000099050000}"/>
    <cellStyle name="Normalno 4 3 2 4" xfId="942" xr:uid="{00000000-0005-0000-0000-00009A050000}"/>
    <cellStyle name="Normalno 4 3 2 5" xfId="2919" xr:uid="{00000000-0005-0000-0000-00009B050000}"/>
    <cellStyle name="Normalno 4 3 3" xfId="943" xr:uid="{00000000-0005-0000-0000-00009C050000}"/>
    <cellStyle name="Normalno 4 3 3 2" xfId="2922" xr:uid="{00000000-0005-0000-0000-00009D050000}"/>
    <cellStyle name="Normalno 4 3 4" xfId="944" xr:uid="{00000000-0005-0000-0000-00009E050000}"/>
    <cellStyle name="Normalno 4 4" xfId="945" xr:uid="{00000000-0005-0000-0000-00009F050000}"/>
    <cellStyle name="Normalno 4 4 2" xfId="946" xr:uid="{00000000-0005-0000-0000-0000A0050000}"/>
    <cellStyle name="Normalno 4 4 2 2" xfId="2417" xr:uid="{00000000-0005-0000-0000-0000A1050000}"/>
    <cellStyle name="Normalno 4 5" xfId="947" xr:uid="{00000000-0005-0000-0000-0000A2050000}"/>
    <cellStyle name="Normalno 4 5 2" xfId="948" xr:uid="{00000000-0005-0000-0000-0000A3050000}"/>
    <cellStyle name="Normalno 4 5 2 2" xfId="2418" xr:uid="{00000000-0005-0000-0000-0000A4050000}"/>
    <cellStyle name="Normalno 4 6" xfId="949" xr:uid="{00000000-0005-0000-0000-0000A5050000}"/>
    <cellStyle name="Normalno 4 6 2" xfId="2419" xr:uid="{00000000-0005-0000-0000-0000A6050000}"/>
    <cellStyle name="Normalno 4 7" xfId="950" xr:uid="{00000000-0005-0000-0000-0000A7050000}"/>
    <cellStyle name="Normalno 4 7 2" xfId="2923" xr:uid="{00000000-0005-0000-0000-0000A8050000}"/>
    <cellStyle name="Normalno 4 8" xfId="951" xr:uid="{00000000-0005-0000-0000-0000A9050000}"/>
    <cellStyle name="Normalno 4 9" xfId="952" xr:uid="{00000000-0005-0000-0000-0000AA050000}"/>
    <cellStyle name="Normalno 5" xfId="953" xr:uid="{00000000-0005-0000-0000-0000AB050000}"/>
    <cellStyle name="Normalno 5 2" xfId="954" xr:uid="{00000000-0005-0000-0000-0000AC050000}"/>
    <cellStyle name="Normalno 5 2 2" xfId="955" xr:uid="{00000000-0005-0000-0000-0000AD050000}"/>
    <cellStyle name="Normalno 5 2 2 2" xfId="2420" xr:uid="{00000000-0005-0000-0000-0000AE050000}"/>
    <cellStyle name="Normalno 5 3" xfId="956" xr:uid="{00000000-0005-0000-0000-0000AF050000}"/>
    <cellStyle name="Normalno 5 3 2" xfId="2925" xr:uid="{00000000-0005-0000-0000-0000B0050000}"/>
    <cellStyle name="Normalno 5 3 3" xfId="3092" xr:uid="{00000000-0005-0000-0000-0000B1050000}"/>
    <cellStyle name="Normalno 5 4" xfId="957" xr:uid="{00000000-0005-0000-0000-0000B2050000}"/>
    <cellStyle name="Normalno 5 4 2" xfId="2421" xr:uid="{00000000-0005-0000-0000-0000B3050000}"/>
    <cellStyle name="Normalno 5 5" xfId="958" xr:uid="{00000000-0005-0000-0000-0000B4050000}"/>
    <cellStyle name="Normalno 5 5 2" xfId="2926" xr:uid="{00000000-0005-0000-0000-0000B5050000}"/>
    <cellStyle name="Normalno 5 6" xfId="959" xr:uid="{00000000-0005-0000-0000-0000B6050000}"/>
    <cellStyle name="Normalno 5 7" xfId="2924" xr:uid="{00000000-0005-0000-0000-0000B7050000}"/>
    <cellStyle name="Normalno 6" xfId="960" xr:uid="{00000000-0005-0000-0000-0000B8050000}"/>
    <cellStyle name="Normalno 6 2" xfId="961" xr:uid="{00000000-0005-0000-0000-0000B9050000}"/>
    <cellStyle name="Normalno 6 2 2" xfId="2422" xr:uid="{00000000-0005-0000-0000-0000BA050000}"/>
    <cellStyle name="Normalno 6 3" xfId="962" xr:uid="{00000000-0005-0000-0000-0000BB050000}"/>
    <cellStyle name="Normalno 6 3 2" xfId="2927" xr:uid="{00000000-0005-0000-0000-0000BC050000}"/>
    <cellStyle name="Normalno 6 4" xfId="963" xr:uid="{00000000-0005-0000-0000-0000BD050000}"/>
    <cellStyle name="Normalno 6 4 2" xfId="2423" xr:uid="{00000000-0005-0000-0000-0000BE050000}"/>
    <cellStyle name="Normalno 7" xfId="964" xr:uid="{00000000-0005-0000-0000-0000BF050000}"/>
    <cellStyle name="Normalno 7 2" xfId="965" xr:uid="{00000000-0005-0000-0000-0000C0050000}"/>
    <cellStyle name="Normalno 7 2 2" xfId="2928" xr:uid="{00000000-0005-0000-0000-0000C1050000}"/>
    <cellStyle name="Normalno 7 3" xfId="966" xr:uid="{00000000-0005-0000-0000-0000C2050000}"/>
    <cellStyle name="Normalno 7 3 2" xfId="2424" xr:uid="{00000000-0005-0000-0000-0000C3050000}"/>
    <cellStyle name="Normalno 7 4" xfId="3131" xr:uid="{00000000-0005-0000-0000-0000C4050000}"/>
    <cellStyle name="Normalno 8" xfId="967" xr:uid="{00000000-0005-0000-0000-0000C5050000}"/>
    <cellStyle name="Normalno 8 2" xfId="2929" xr:uid="{00000000-0005-0000-0000-0000C6050000}"/>
    <cellStyle name="Normalno 9" xfId="968" xr:uid="{00000000-0005-0000-0000-0000C7050000}"/>
    <cellStyle name="Normalno 9 2" xfId="2930" xr:uid="{00000000-0005-0000-0000-0000C8050000}"/>
    <cellStyle name="Normalno 9 3" xfId="3090" xr:uid="{00000000-0005-0000-0000-0000C9050000}"/>
    <cellStyle name="Note" xfId="3356" xr:uid="{00000000-0005-0000-0000-0000CA050000}"/>
    <cellStyle name="Note 2" xfId="969" xr:uid="{00000000-0005-0000-0000-0000CB050000}"/>
    <cellStyle name="Note 2 2" xfId="970" xr:uid="{00000000-0005-0000-0000-0000CC050000}"/>
    <cellStyle name="Note 2 3" xfId="971" xr:uid="{00000000-0005-0000-0000-0000CD050000}"/>
    <cellStyle name="Note 2 3 2" xfId="2425" xr:uid="{00000000-0005-0000-0000-0000CE050000}"/>
    <cellStyle name="Note 2 4" xfId="2931" xr:uid="{00000000-0005-0000-0000-0000CF050000}"/>
    <cellStyle name="Note 2 5" xfId="3227" xr:uid="{00000000-0005-0000-0000-0000D0050000}"/>
    <cellStyle name="Obično 10" xfId="972" xr:uid="{00000000-0005-0000-0000-0000D1050000}"/>
    <cellStyle name="Obično 10 10" xfId="973" xr:uid="{00000000-0005-0000-0000-0000D2050000}"/>
    <cellStyle name="Obično 10 10 2" xfId="974" xr:uid="{00000000-0005-0000-0000-0000D3050000}"/>
    <cellStyle name="Obično 10 10 3" xfId="975" xr:uid="{00000000-0005-0000-0000-0000D4050000}"/>
    <cellStyle name="Obično 10 10 3 2" xfId="2426" xr:uid="{00000000-0005-0000-0000-0000D5050000}"/>
    <cellStyle name="Obično 10 11" xfId="976" xr:uid="{00000000-0005-0000-0000-0000D6050000}"/>
    <cellStyle name="Obično 10 11 2" xfId="977" xr:uid="{00000000-0005-0000-0000-0000D7050000}"/>
    <cellStyle name="Obično 10 11 3" xfId="978" xr:uid="{00000000-0005-0000-0000-0000D8050000}"/>
    <cellStyle name="Obično 10 11 3 2" xfId="2427" xr:uid="{00000000-0005-0000-0000-0000D9050000}"/>
    <cellStyle name="Obično 10 12" xfId="979" xr:uid="{00000000-0005-0000-0000-0000DA050000}"/>
    <cellStyle name="Obično 10 12 2" xfId="980" xr:uid="{00000000-0005-0000-0000-0000DB050000}"/>
    <cellStyle name="Obično 10 12 3" xfId="981" xr:uid="{00000000-0005-0000-0000-0000DC050000}"/>
    <cellStyle name="Obično 10 12 3 2" xfId="2428" xr:uid="{00000000-0005-0000-0000-0000DD050000}"/>
    <cellStyle name="Obično 10 13" xfId="982" xr:uid="{00000000-0005-0000-0000-0000DE050000}"/>
    <cellStyle name="Obično 10 13 2" xfId="983" xr:uid="{00000000-0005-0000-0000-0000DF050000}"/>
    <cellStyle name="Obično 10 13 3" xfId="984" xr:uid="{00000000-0005-0000-0000-0000E0050000}"/>
    <cellStyle name="Obično 10 13 3 2" xfId="2429" xr:uid="{00000000-0005-0000-0000-0000E1050000}"/>
    <cellStyle name="Obično 10 14" xfId="985" xr:uid="{00000000-0005-0000-0000-0000E2050000}"/>
    <cellStyle name="Obično 10 15" xfId="986" xr:uid="{00000000-0005-0000-0000-0000E3050000}"/>
    <cellStyle name="Obično 10 15 2" xfId="2430" xr:uid="{00000000-0005-0000-0000-0000E4050000}"/>
    <cellStyle name="Obično 10 2" xfId="987" xr:uid="{00000000-0005-0000-0000-0000E5050000}"/>
    <cellStyle name="Obično 10 2 2" xfId="988" xr:uid="{00000000-0005-0000-0000-0000E6050000}"/>
    <cellStyle name="Obično 10 2 2 2" xfId="3121" xr:uid="{00000000-0005-0000-0000-0000E7050000}"/>
    <cellStyle name="Obično 10 2 3" xfId="989" xr:uid="{00000000-0005-0000-0000-0000E8050000}"/>
    <cellStyle name="Obično 10 2 3 2" xfId="2431" xr:uid="{00000000-0005-0000-0000-0000E9050000}"/>
    <cellStyle name="Obično 10 3" xfId="990" xr:uid="{00000000-0005-0000-0000-0000EA050000}"/>
    <cellStyle name="Obično 10 3 2" xfId="991" xr:uid="{00000000-0005-0000-0000-0000EB050000}"/>
    <cellStyle name="Obično 10 3 3" xfId="992" xr:uid="{00000000-0005-0000-0000-0000EC050000}"/>
    <cellStyle name="Obično 10 3 3 2" xfId="2432" xr:uid="{00000000-0005-0000-0000-0000ED050000}"/>
    <cellStyle name="Obično 10 4" xfId="993" xr:uid="{00000000-0005-0000-0000-0000EE050000}"/>
    <cellStyle name="Obično 10 4 2" xfId="994" xr:uid="{00000000-0005-0000-0000-0000EF050000}"/>
    <cellStyle name="Obično 10 4 3" xfId="995" xr:uid="{00000000-0005-0000-0000-0000F0050000}"/>
    <cellStyle name="Obično 10 4 3 2" xfId="2433" xr:uid="{00000000-0005-0000-0000-0000F1050000}"/>
    <cellStyle name="Obično 10 5" xfId="996" xr:uid="{00000000-0005-0000-0000-0000F2050000}"/>
    <cellStyle name="Obično 10 5 2" xfId="997" xr:uid="{00000000-0005-0000-0000-0000F3050000}"/>
    <cellStyle name="Obično 10 5 3" xfId="998" xr:uid="{00000000-0005-0000-0000-0000F4050000}"/>
    <cellStyle name="Obično 10 5 3 2" xfId="2434" xr:uid="{00000000-0005-0000-0000-0000F5050000}"/>
    <cellStyle name="Obično 10 6" xfId="999" xr:uid="{00000000-0005-0000-0000-0000F6050000}"/>
    <cellStyle name="Obično 10 6 2" xfId="1000" xr:uid="{00000000-0005-0000-0000-0000F7050000}"/>
    <cellStyle name="Obično 10 6 3" xfId="1001" xr:uid="{00000000-0005-0000-0000-0000F8050000}"/>
    <cellStyle name="Obično 10 6 3 2" xfId="2435" xr:uid="{00000000-0005-0000-0000-0000F9050000}"/>
    <cellStyle name="Obično 10 7" xfId="1002" xr:uid="{00000000-0005-0000-0000-0000FA050000}"/>
    <cellStyle name="Obično 10 7 2" xfId="1003" xr:uid="{00000000-0005-0000-0000-0000FB050000}"/>
    <cellStyle name="Obično 10 7 3" xfId="1004" xr:uid="{00000000-0005-0000-0000-0000FC050000}"/>
    <cellStyle name="Obično 10 7 3 2" xfId="2436" xr:uid="{00000000-0005-0000-0000-0000FD050000}"/>
    <cellStyle name="Obično 10 8" xfId="1005" xr:uid="{00000000-0005-0000-0000-0000FE050000}"/>
    <cellStyle name="Obično 10 8 2" xfId="1006" xr:uid="{00000000-0005-0000-0000-0000FF050000}"/>
    <cellStyle name="Obično 10 8 3" xfId="1007" xr:uid="{00000000-0005-0000-0000-000000060000}"/>
    <cellStyle name="Obično 10 8 3 2" xfId="2437" xr:uid="{00000000-0005-0000-0000-000001060000}"/>
    <cellStyle name="Obično 10 9" xfId="1008" xr:uid="{00000000-0005-0000-0000-000002060000}"/>
    <cellStyle name="Obično 10 9 2" xfId="1009" xr:uid="{00000000-0005-0000-0000-000003060000}"/>
    <cellStyle name="Obično 10 9 3" xfId="1010" xr:uid="{00000000-0005-0000-0000-000004060000}"/>
    <cellStyle name="Obično 10 9 3 2" xfId="2438" xr:uid="{00000000-0005-0000-0000-000005060000}"/>
    <cellStyle name="Obično 100" xfId="1011" xr:uid="{00000000-0005-0000-0000-000006060000}"/>
    <cellStyle name="Obično 100 2" xfId="1012" xr:uid="{00000000-0005-0000-0000-000007060000}"/>
    <cellStyle name="Obično 100 2 2" xfId="2997" xr:uid="{00000000-0005-0000-0000-000008060000}"/>
    <cellStyle name="Obično 101" xfId="1013" xr:uid="{00000000-0005-0000-0000-000009060000}"/>
    <cellStyle name="Obično 101 2" xfId="1014" xr:uid="{00000000-0005-0000-0000-00000A060000}"/>
    <cellStyle name="Obično 101 2 2" xfId="2996" xr:uid="{00000000-0005-0000-0000-00000B060000}"/>
    <cellStyle name="Obično 102" xfId="1015" xr:uid="{00000000-0005-0000-0000-00000C060000}"/>
    <cellStyle name="Obično 102 2" xfId="1016" xr:uid="{00000000-0005-0000-0000-00000D060000}"/>
    <cellStyle name="Obično 102 2 2" xfId="2995" xr:uid="{00000000-0005-0000-0000-00000E060000}"/>
    <cellStyle name="Obično 103" xfId="1017" xr:uid="{00000000-0005-0000-0000-00000F060000}"/>
    <cellStyle name="Obično 103 2" xfId="1018" xr:uid="{00000000-0005-0000-0000-000010060000}"/>
    <cellStyle name="Obično 103 2 2" xfId="2994" xr:uid="{00000000-0005-0000-0000-000011060000}"/>
    <cellStyle name="Obično 104" xfId="1019" xr:uid="{00000000-0005-0000-0000-000012060000}"/>
    <cellStyle name="Obično 104 2" xfId="1020" xr:uid="{00000000-0005-0000-0000-000013060000}"/>
    <cellStyle name="Obično 104 2 2" xfId="2993" xr:uid="{00000000-0005-0000-0000-000014060000}"/>
    <cellStyle name="Obično 105" xfId="1021" xr:uid="{00000000-0005-0000-0000-000015060000}"/>
    <cellStyle name="Obično 105 2" xfId="1022" xr:uid="{00000000-0005-0000-0000-000016060000}"/>
    <cellStyle name="Obično 105 2 2" xfId="2992" xr:uid="{00000000-0005-0000-0000-000017060000}"/>
    <cellStyle name="Obično 106" xfId="1023" xr:uid="{00000000-0005-0000-0000-000018060000}"/>
    <cellStyle name="Obično 106 2" xfId="1024" xr:uid="{00000000-0005-0000-0000-000019060000}"/>
    <cellStyle name="Obično 106 2 2" xfId="2991" xr:uid="{00000000-0005-0000-0000-00001A060000}"/>
    <cellStyle name="Obično 107" xfId="1025" xr:uid="{00000000-0005-0000-0000-00001B060000}"/>
    <cellStyle name="Obično 107 2" xfId="1026" xr:uid="{00000000-0005-0000-0000-00001C060000}"/>
    <cellStyle name="Obično 107 2 2" xfId="2990" xr:uid="{00000000-0005-0000-0000-00001D060000}"/>
    <cellStyle name="Obično 108" xfId="1027" xr:uid="{00000000-0005-0000-0000-00001E060000}"/>
    <cellStyle name="Obično 108 2" xfId="1028" xr:uid="{00000000-0005-0000-0000-00001F060000}"/>
    <cellStyle name="Obično 108 2 2" xfId="2989" xr:uid="{00000000-0005-0000-0000-000020060000}"/>
    <cellStyle name="Obično 109 2" xfId="1029" xr:uid="{00000000-0005-0000-0000-000021060000}"/>
    <cellStyle name="Obično 109 2 2" xfId="1030" xr:uid="{00000000-0005-0000-0000-000022060000}"/>
    <cellStyle name="Obično 109 2 3" xfId="1031" xr:uid="{00000000-0005-0000-0000-000023060000}"/>
    <cellStyle name="Obično 109 2 3 2" xfId="2439" xr:uid="{00000000-0005-0000-0000-000024060000}"/>
    <cellStyle name="Obično 11" xfId="1032" xr:uid="{00000000-0005-0000-0000-000025060000}"/>
    <cellStyle name="Obično 11 10" xfId="1033" xr:uid="{00000000-0005-0000-0000-000026060000}"/>
    <cellStyle name="Obično 11 10 2" xfId="1034" xr:uid="{00000000-0005-0000-0000-000027060000}"/>
    <cellStyle name="Obično 11 10 3" xfId="1035" xr:uid="{00000000-0005-0000-0000-000028060000}"/>
    <cellStyle name="Obično 11 10 3 2" xfId="2440" xr:uid="{00000000-0005-0000-0000-000029060000}"/>
    <cellStyle name="Obično 11 11" xfId="1036" xr:uid="{00000000-0005-0000-0000-00002A060000}"/>
    <cellStyle name="Obično 11 11 2" xfId="1037" xr:uid="{00000000-0005-0000-0000-00002B060000}"/>
    <cellStyle name="Obično 11 11 3" xfId="1038" xr:uid="{00000000-0005-0000-0000-00002C060000}"/>
    <cellStyle name="Obično 11 11 3 2" xfId="2441" xr:uid="{00000000-0005-0000-0000-00002D060000}"/>
    <cellStyle name="Obično 11 12" xfId="1039" xr:uid="{00000000-0005-0000-0000-00002E060000}"/>
    <cellStyle name="Obično 11 12 2" xfId="1040" xr:uid="{00000000-0005-0000-0000-00002F060000}"/>
    <cellStyle name="Obično 11 12 3" xfId="1041" xr:uid="{00000000-0005-0000-0000-000030060000}"/>
    <cellStyle name="Obično 11 12 3 2" xfId="2442" xr:uid="{00000000-0005-0000-0000-000031060000}"/>
    <cellStyle name="Obično 11 13" xfId="1042" xr:uid="{00000000-0005-0000-0000-000032060000}"/>
    <cellStyle name="Obično 11 2" xfId="1043" xr:uid="{00000000-0005-0000-0000-000033060000}"/>
    <cellStyle name="Obično 11 2 2" xfId="1044" xr:uid="{00000000-0005-0000-0000-000034060000}"/>
    <cellStyle name="Obično 11 2 3" xfId="1045" xr:uid="{00000000-0005-0000-0000-000035060000}"/>
    <cellStyle name="Obično 11 2 3 2" xfId="2443" xr:uid="{00000000-0005-0000-0000-000036060000}"/>
    <cellStyle name="Obično 11 3" xfId="1046" xr:uid="{00000000-0005-0000-0000-000037060000}"/>
    <cellStyle name="Obično 11 3 2" xfId="1047" xr:uid="{00000000-0005-0000-0000-000038060000}"/>
    <cellStyle name="Obično 11 3 3" xfId="1048" xr:uid="{00000000-0005-0000-0000-000039060000}"/>
    <cellStyle name="Obično 11 3 3 2" xfId="2444" xr:uid="{00000000-0005-0000-0000-00003A060000}"/>
    <cellStyle name="Obično 11 4" xfId="1049" xr:uid="{00000000-0005-0000-0000-00003B060000}"/>
    <cellStyle name="Obično 11 4 2" xfId="1050" xr:uid="{00000000-0005-0000-0000-00003C060000}"/>
    <cellStyle name="Obično 11 4 3" xfId="1051" xr:uid="{00000000-0005-0000-0000-00003D060000}"/>
    <cellStyle name="Obično 11 4 3 2" xfId="2445" xr:uid="{00000000-0005-0000-0000-00003E060000}"/>
    <cellStyle name="Obično 11 5" xfId="1052" xr:uid="{00000000-0005-0000-0000-00003F060000}"/>
    <cellStyle name="Obično 11 5 2" xfId="1053" xr:uid="{00000000-0005-0000-0000-000040060000}"/>
    <cellStyle name="Obično 11 5 3" xfId="1054" xr:uid="{00000000-0005-0000-0000-000041060000}"/>
    <cellStyle name="Obično 11 5 3 2" xfId="2446" xr:uid="{00000000-0005-0000-0000-000042060000}"/>
    <cellStyle name="Obično 11 6" xfId="1055" xr:uid="{00000000-0005-0000-0000-000043060000}"/>
    <cellStyle name="Obično 11 6 2" xfId="1056" xr:uid="{00000000-0005-0000-0000-000044060000}"/>
    <cellStyle name="Obično 11 6 3" xfId="1057" xr:uid="{00000000-0005-0000-0000-000045060000}"/>
    <cellStyle name="Obično 11 6 3 2" xfId="2447" xr:uid="{00000000-0005-0000-0000-000046060000}"/>
    <cellStyle name="Obično 11 7" xfId="1058" xr:uid="{00000000-0005-0000-0000-000047060000}"/>
    <cellStyle name="Obično 11 7 2" xfId="1059" xr:uid="{00000000-0005-0000-0000-000048060000}"/>
    <cellStyle name="Obično 11 7 3" xfId="1060" xr:uid="{00000000-0005-0000-0000-000049060000}"/>
    <cellStyle name="Obično 11 7 3 2" xfId="2448" xr:uid="{00000000-0005-0000-0000-00004A060000}"/>
    <cellStyle name="Obično 11 8" xfId="1061" xr:uid="{00000000-0005-0000-0000-00004B060000}"/>
    <cellStyle name="Obično 11 8 2" xfId="1062" xr:uid="{00000000-0005-0000-0000-00004C060000}"/>
    <cellStyle name="Obično 11 8 3" xfId="1063" xr:uid="{00000000-0005-0000-0000-00004D060000}"/>
    <cellStyle name="Obično 11 8 3 2" xfId="2449" xr:uid="{00000000-0005-0000-0000-00004E060000}"/>
    <cellStyle name="Obično 11 9" xfId="1064" xr:uid="{00000000-0005-0000-0000-00004F060000}"/>
    <cellStyle name="Obično 11 9 2" xfId="1065" xr:uid="{00000000-0005-0000-0000-000050060000}"/>
    <cellStyle name="Obično 11 9 3" xfId="1066" xr:uid="{00000000-0005-0000-0000-000051060000}"/>
    <cellStyle name="Obično 11 9 3 2" xfId="2450" xr:uid="{00000000-0005-0000-0000-000052060000}"/>
    <cellStyle name="Obično 110 2" xfId="1067" xr:uid="{00000000-0005-0000-0000-000053060000}"/>
    <cellStyle name="Obično 110 2 2" xfId="1068" xr:uid="{00000000-0005-0000-0000-000054060000}"/>
    <cellStyle name="Obično 110 2 3" xfId="1069" xr:uid="{00000000-0005-0000-0000-000055060000}"/>
    <cellStyle name="Obično 110 2 3 2" xfId="2451" xr:uid="{00000000-0005-0000-0000-000056060000}"/>
    <cellStyle name="Obično 111 2" xfId="1070" xr:uid="{00000000-0005-0000-0000-000057060000}"/>
    <cellStyle name="Obično 111 2 2" xfId="1071" xr:uid="{00000000-0005-0000-0000-000058060000}"/>
    <cellStyle name="Obično 111 2 3" xfId="1072" xr:uid="{00000000-0005-0000-0000-000059060000}"/>
    <cellStyle name="Obično 111 2 3 2" xfId="2452" xr:uid="{00000000-0005-0000-0000-00005A060000}"/>
    <cellStyle name="Obično 112 2" xfId="1073" xr:uid="{00000000-0005-0000-0000-00005B060000}"/>
    <cellStyle name="Obično 112 2 2" xfId="1074" xr:uid="{00000000-0005-0000-0000-00005C060000}"/>
    <cellStyle name="Obično 112 2 3" xfId="1075" xr:uid="{00000000-0005-0000-0000-00005D060000}"/>
    <cellStyle name="Obično 112 2 3 2" xfId="2453" xr:uid="{00000000-0005-0000-0000-00005E060000}"/>
    <cellStyle name="Obično 113 2" xfId="1076" xr:uid="{00000000-0005-0000-0000-00005F060000}"/>
    <cellStyle name="Obično 113 2 2" xfId="1077" xr:uid="{00000000-0005-0000-0000-000060060000}"/>
    <cellStyle name="Obično 113 2 3" xfId="1078" xr:uid="{00000000-0005-0000-0000-000061060000}"/>
    <cellStyle name="Obično 113 2 3 2" xfId="2454" xr:uid="{00000000-0005-0000-0000-000062060000}"/>
    <cellStyle name="Obično 114" xfId="1079" xr:uid="{00000000-0005-0000-0000-000063060000}"/>
    <cellStyle name="Obično 114 2" xfId="1080" xr:uid="{00000000-0005-0000-0000-000064060000}"/>
    <cellStyle name="Obično 114 3" xfId="1081" xr:uid="{00000000-0005-0000-0000-000065060000}"/>
    <cellStyle name="Obično 114 3 2" xfId="2455" xr:uid="{00000000-0005-0000-0000-000066060000}"/>
    <cellStyle name="Obično 115" xfId="1082" xr:uid="{00000000-0005-0000-0000-000067060000}"/>
    <cellStyle name="Obično 115 2" xfId="1083" xr:uid="{00000000-0005-0000-0000-000068060000}"/>
    <cellStyle name="Obično 115 3" xfId="1084" xr:uid="{00000000-0005-0000-0000-000069060000}"/>
    <cellStyle name="Obično 115 3 2" xfId="2456" xr:uid="{00000000-0005-0000-0000-00006A060000}"/>
    <cellStyle name="Obično 116" xfId="1085" xr:uid="{00000000-0005-0000-0000-00006B060000}"/>
    <cellStyle name="Obično 116 2" xfId="1086" xr:uid="{00000000-0005-0000-0000-00006C060000}"/>
    <cellStyle name="Obično 116 3" xfId="1087" xr:uid="{00000000-0005-0000-0000-00006D060000}"/>
    <cellStyle name="Obično 116 3 2" xfId="2457" xr:uid="{00000000-0005-0000-0000-00006E060000}"/>
    <cellStyle name="Obično 117" xfId="1088" xr:uid="{00000000-0005-0000-0000-00006F060000}"/>
    <cellStyle name="Obično 117 2" xfId="1089" xr:uid="{00000000-0005-0000-0000-000070060000}"/>
    <cellStyle name="Obično 117 3" xfId="1090" xr:uid="{00000000-0005-0000-0000-000071060000}"/>
    <cellStyle name="Obično 117 3 2" xfId="2458" xr:uid="{00000000-0005-0000-0000-000072060000}"/>
    <cellStyle name="Obično 118" xfId="1091" xr:uid="{00000000-0005-0000-0000-000073060000}"/>
    <cellStyle name="Obično 118 2" xfId="1092" xr:uid="{00000000-0005-0000-0000-000074060000}"/>
    <cellStyle name="Obično 118 3" xfId="1093" xr:uid="{00000000-0005-0000-0000-000075060000}"/>
    <cellStyle name="Obično 118 3 2" xfId="2459" xr:uid="{00000000-0005-0000-0000-000076060000}"/>
    <cellStyle name="Obično 119" xfId="1094" xr:uid="{00000000-0005-0000-0000-000077060000}"/>
    <cellStyle name="Obično 119 2" xfId="1095" xr:uid="{00000000-0005-0000-0000-000078060000}"/>
    <cellStyle name="Obično 119 3" xfId="1096" xr:uid="{00000000-0005-0000-0000-000079060000}"/>
    <cellStyle name="Obično 119 3 2" xfId="2460" xr:uid="{00000000-0005-0000-0000-00007A060000}"/>
    <cellStyle name="Obično 12" xfId="1097" xr:uid="{00000000-0005-0000-0000-00007B060000}"/>
    <cellStyle name="Obično 12 10" xfId="1098" xr:uid="{00000000-0005-0000-0000-00007C060000}"/>
    <cellStyle name="Obično 12 10 2" xfId="1099" xr:uid="{00000000-0005-0000-0000-00007D060000}"/>
    <cellStyle name="Obično 12 10 3" xfId="1100" xr:uid="{00000000-0005-0000-0000-00007E060000}"/>
    <cellStyle name="Obično 12 10 3 2" xfId="2461" xr:uid="{00000000-0005-0000-0000-00007F060000}"/>
    <cellStyle name="Obično 12 11" xfId="1101" xr:uid="{00000000-0005-0000-0000-000080060000}"/>
    <cellStyle name="Obično 12 11 2" xfId="1102" xr:uid="{00000000-0005-0000-0000-000081060000}"/>
    <cellStyle name="Obično 12 11 3" xfId="1103" xr:uid="{00000000-0005-0000-0000-000082060000}"/>
    <cellStyle name="Obično 12 11 3 2" xfId="2462" xr:uid="{00000000-0005-0000-0000-000083060000}"/>
    <cellStyle name="Obično 12 12" xfId="1104" xr:uid="{00000000-0005-0000-0000-000084060000}"/>
    <cellStyle name="Obično 12 12 2" xfId="1105" xr:uid="{00000000-0005-0000-0000-000085060000}"/>
    <cellStyle name="Obično 12 12 3" xfId="1106" xr:uid="{00000000-0005-0000-0000-000086060000}"/>
    <cellStyle name="Obično 12 12 3 2" xfId="2463" xr:uid="{00000000-0005-0000-0000-000087060000}"/>
    <cellStyle name="Obično 12 13" xfId="1107" xr:uid="{00000000-0005-0000-0000-000088060000}"/>
    <cellStyle name="Obično 12 2" xfId="1108" xr:uid="{00000000-0005-0000-0000-000089060000}"/>
    <cellStyle name="Obično 12 2 2" xfId="1109" xr:uid="{00000000-0005-0000-0000-00008A060000}"/>
    <cellStyle name="Obično 12 2 3" xfId="1110" xr:uid="{00000000-0005-0000-0000-00008B060000}"/>
    <cellStyle name="Obično 12 2 3 2" xfId="2464" xr:uid="{00000000-0005-0000-0000-00008C060000}"/>
    <cellStyle name="Obično 12 3" xfId="1111" xr:uid="{00000000-0005-0000-0000-00008D060000}"/>
    <cellStyle name="Obično 12 3 2" xfId="1112" xr:uid="{00000000-0005-0000-0000-00008E060000}"/>
    <cellStyle name="Obično 12 3 3" xfId="1113" xr:uid="{00000000-0005-0000-0000-00008F060000}"/>
    <cellStyle name="Obično 12 3 3 2" xfId="2465" xr:uid="{00000000-0005-0000-0000-000090060000}"/>
    <cellStyle name="Obično 12 4" xfId="1114" xr:uid="{00000000-0005-0000-0000-000091060000}"/>
    <cellStyle name="Obično 12 4 2" xfId="1115" xr:uid="{00000000-0005-0000-0000-000092060000}"/>
    <cellStyle name="Obično 12 4 3" xfId="1116" xr:uid="{00000000-0005-0000-0000-000093060000}"/>
    <cellStyle name="Obično 12 4 3 2" xfId="2466" xr:uid="{00000000-0005-0000-0000-000094060000}"/>
    <cellStyle name="Obično 12 5" xfId="1117" xr:uid="{00000000-0005-0000-0000-000095060000}"/>
    <cellStyle name="Obično 12 5 2" xfId="1118" xr:uid="{00000000-0005-0000-0000-000096060000}"/>
    <cellStyle name="Obično 12 5 3" xfId="1119" xr:uid="{00000000-0005-0000-0000-000097060000}"/>
    <cellStyle name="Obično 12 5 3 2" xfId="2467" xr:uid="{00000000-0005-0000-0000-000098060000}"/>
    <cellStyle name="Obično 12 6" xfId="1120" xr:uid="{00000000-0005-0000-0000-000099060000}"/>
    <cellStyle name="Obično 12 6 2" xfId="1121" xr:uid="{00000000-0005-0000-0000-00009A060000}"/>
    <cellStyle name="Obično 12 6 3" xfId="1122" xr:uid="{00000000-0005-0000-0000-00009B060000}"/>
    <cellStyle name="Obično 12 6 3 2" xfId="2468" xr:uid="{00000000-0005-0000-0000-00009C060000}"/>
    <cellStyle name="Obično 12 7" xfId="1123" xr:uid="{00000000-0005-0000-0000-00009D060000}"/>
    <cellStyle name="Obično 12 7 2" xfId="1124" xr:uid="{00000000-0005-0000-0000-00009E060000}"/>
    <cellStyle name="Obično 12 7 3" xfId="1125" xr:uid="{00000000-0005-0000-0000-00009F060000}"/>
    <cellStyle name="Obično 12 7 3 2" xfId="2469" xr:uid="{00000000-0005-0000-0000-0000A0060000}"/>
    <cellStyle name="Obično 12 8" xfId="1126" xr:uid="{00000000-0005-0000-0000-0000A1060000}"/>
    <cellStyle name="Obično 12 8 2" xfId="1127" xr:uid="{00000000-0005-0000-0000-0000A2060000}"/>
    <cellStyle name="Obično 12 8 3" xfId="1128" xr:uid="{00000000-0005-0000-0000-0000A3060000}"/>
    <cellStyle name="Obično 12 8 3 2" xfId="2470" xr:uid="{00000000-0005-0000-0000-0000A4060000}"/>
    <cellStyle name="Obično 12 9" xfId="1129" xr:uid="{00000000-0005-0000-0000-0000A5060000}"/>
    <cellStyle name="Obično 12 9 2" xfId="1130" xr:uid="{00000000-0005-0000-0000-0000A6060000}"/>
    <cellStyle name="Obično 12 9 3" xfId="1131" xr:uid="{00000000-0005-0000-0000-0000A7060000}"/>
    <cellStyle name="Obično 12 9 3 2" xfId="2471" xr:uid="{00000000-0005-0000-0000-0000A8060000}"/>
    <cellStyle name="Obično 120" xfId="1132" xr:uid="{00000000-0005-0000-0000-0000A9060000}"/>
    <cellStyle name="Obično 120 2" xfId="1133" xr:uid="{00000000-0005-0000-0000-0000AA060000}"/>
    <cellStyle name="Obično 120 3" xfId="1134" xr:uid="{00000000-0005-0000-0000-0000AB060000}"/>
    <cellStyle name="Obično 120 3 2" xfId="2472" xr:uid="{00000000-0005-0000-0000-0000AC060000}"/>
    <cellStyle name="Obično 121" xfId="1135" xr:uid="{00000000-0005-0000-0000-0000AD060000}"/>
    <cellStyle name="Obično 121 2" xfId="1136" xr:uid="{00000000-0005-0000-0000-0000AE060000}"/>
    <cellStyle name="Obično 121 26" xfId="1137" xr:uid="{00000000-0005-0000-0000-0000AF060000}"/>
    <cellStyle name="Obično 121 26 2" xfId="1138" xr:uid="{00000000-0005-0000-0000-0000B0060000}"/>
    <cellStyle name="Obično 121 26 3" xfId="1139" xr:uid="{00000000-0005-0000-0000-0000B1060000}"/>
    <cellStyle name="Obično 121 26 3 2" xfId="2473" xr:uid="{00000000-0005-0000-0000-0000B2060000}"/>
    <cellStyle name="Obično 121 3" xfId="1140" xr:uid="{00000000-0005-0000-0000-0000B3060000}"/>
    <cellStyle name="Obično 121 3 2" xfId="2474" xr:uid="{00000000-0005-0000-0000-0000B4060000}"/>
    <cellStyle name="Obično 122" xfId="1141" xr:uid="{00000000-0005-0000-0000-0000B5060000}"/>
    <cellStyle name="Obično 122 2" xfId="1142" xr:uid="{00000000-0005-0000-0000-0000B6060000}"/>
    <cellStyle name="Obično 122 3" xfId="1143" xr:uid="{00000000-0005-0000-0000-0000B7060000}"/>
    <cellStyle name="Obično 122 3 2" xfId="2475" xr:uid="{00000000-0005-0000-0000-0000B8060000}"/>
    <cellStyle name="Obično 123" xfId="1144" xr:uid="{00000000-0005-0000-0000-0000B9060000}"/>
    <cellStyle name="Obično 123 2" xfId="1145" xr:uid="{00000000-0005-0000-0000-0000BA060000}"/>
    <cellStyle name="Obično 123 3" xfId="1146" xr:uid="{00000000-0005-0000-0000-0000BB060000}"/>
    <cellStyle name="Obično 123 3 2" xfId="2476" xr:uid="{00000000-0005-0000-0000-0000BC060000}"/>
    <cellStyle name="Obično 124" xfId="1147" xr:uid="{00000000-0005-0000-0000-0000BD060000}"/>
    <cellStyle name="Obično 124 2" xfId="1148" xr:uid="{00000000-0005-0000-0000-0000BE060000}"/>
    <cellStyle name="Obično 124 3" xfId="1149" xr:uid="{00000000-0005-0000-0000-0000BF060000}"/>
    <cellStyle name="Obično 124 3 2" xfId="2477" xr:uid="{00000000-0005-0000-0000-0000C0060000}"/>
    <cellStyle name="Obično 125" xfId="1150" xr:uid="{00000000-0005-0000-0000-0000C1060000}"/>
    <cellStyle name="Obično 125 2" xfId="1151" xr:uid="{00000000-0005-0000-0000-0000C2060000}"/>
    <cellStyle name="Obično 125 3" xfId="1152" xr:uid="{00000000-0005-0000-0000-0000C3060000}"/>
    <cellStyle name="Obično 125 3 2" xfId="2478" xr:uid="{00000000-0005-0000-0000-0000C4060000}"/>
    <cellStyle name="Obično 126" xfId="1153" xr:uid="{00000000-0005-0000-0000-0000C5060000}"/>
    <cellStyle name="Obično 126 2" xfId="1154" xr:uid="{00000000-0005-0000-0000-0000C6060000}"/>
    <cellStyle name="Obično 126 3" xfId="1155" xr:uid="{00000000-0005-0000-0000-0000C7060000}"/>
    <cellStyle name="Obično 126 3 2" xfId="2479" xr:uid="{00000000-0005-0000-0000-0000C8060000}"/>
    <cellStyle name="Obično 127" xfId="1156" xr:uid="{00000000-0005-0000-0000-0000C9060000}"/>
    <cellStyle name="Obično 127 2" xfId="1157" xr:uid="{00000000-0005-0000-0000-0000CA060000}"/>
    <cellStyle name="Obično 127 3" xfId="1158" xr:uid="{00000000-0005-0000-0000-0000CB060000}"/>
    <cellStyle name="Obično 127 3 2" xfId="2480" xr:uid="{00000000-0005-0000-0000-0000CC060000}"/>
    <cellStyle name="Obično 128" xfId="1159" xr:uid="{00000000-0005-0000-0000-0000CD060000}"/>
    <cellStyle name="Obično 128 2" xfId="1160" xr:uid="{00000000-0005-0000-0000-0000CE060000}"/>
    <cellStyle name="Obično 128 3" xfId="1161" xr:uid="{00000000-0005-0000-0000-0000CF060000}"/>
    <cellStyle name="Obično 128 3 2" xfId="2481" xr:uid="{00000000-0005-0000-0000-0000D0060000}"/>
    <cellStyle name="Obično 129" xfId="1162" xr:uid="{00000000-0005-0000-0000-0000D1060000}"/>
    <cellStyle name="Obično 129 2" xfId="1163" xr:uid="{00000000-0005-0000-0000-0000D2060000}"/>
    <cellStyle name="Obično 129 3" xfId="1164" xr:uid="{00000000-0005-0000-0000-0000D3060000}"/>
    <cellStyle name="Obično 129 3 2" xfId="2482" xr:uid="{00000000-0005-0000-0000-0000D4060000}"/>
    <cellStyle name="Obično 13" xfId="1165" xr:uid="{00000000-0005-0000-0000-0000D5060000}"/>
    <cellStyle name="Obično 13 10" xfId="1166" xr:uid="{00000000-0005-0000-0000-0000D6060000}"/>
    <cellStyle name="Obično 13 10 2" xfId="1167" xr:uid="{00000000-0005-0000-0000-0000D7060000}"/>
    <cellStyle name="Obično 13 10 3" xfId="1168" xr:uid="{00000000-0005-0000-0000-0000D8060000}"/>
    <cellStyle name="Obično 13 10 3 2" xfId="2483" xr:uid="{00000000-0005-0000-0000-0000D9060000}"/>
    <cellStyle name="Obično 13 11" xfId="1169" xr:uid="{00000000-0005-0000-0000-0000DA060000}"/>
    <cellStyle name="Obično 13 11 2" xfId="1170" xr:uid="{00000000-0005-0000-0000-0000DB060000}"/>
    <cellStyle name="Obično 13 11 3" xfId="1171" xr:uid="{00000000-0005-0000-0000-0000DC060000}"/>
    <cellStyle name="Obično 13 11 3 2" xfId="2484" xr:uid="{00000000-0005-0000-0000-0000DD060000}"/>
    <cellStyle name="Obično 13 12" xfId="1172" xr:uid="{00000000-0005-0000-0000-0000DE060000}"/>
    <cellStyle name="Obično 13 12 2" xfId="1173" xr:uid="{00000000-0005-0000-0000-0000DF060000}"/>
    <cellStyle name="Obično 13 12 3" xfId="1174" xr:uid="{00000000-0005-0000-0000-0000E0060000}"/>
    <cellStyle name="Obično 13 12 3 2" xfId="2485" xr:uid="{00000000-0005-0000-0000-0000E1060000}"/>
    <cellStyle name="Obično 13 13" xfId="1175" xr:uid="{00000000-0005-0000-0000-0000E2060000}"/>
    <cellStyle name="Obično 13 2" xfId="1176" xr:uid="{00000000-0005-0000-0000-0000E3060000}"/>
    <cellStyle name="Obično 13 2 2" xfId="1177" xr:uid="{00000000-0005-0000-0000-0000E4060000}"/>
    <cellStyle name="Obično 13 2 3" xfId="1178" xr:uid="{00000000-0005-0000-0000-0000E5060000}"/>
    <cellStyle name="Obično 13 2 3 2" xfId="2486" xr:uid="{00000000-0005-0000-0000-0000E6060000}"/>
    <cellStyle name="Obično 13 3" xfId="1179" xr:uid="{00000000-0005-0000-0000-0000E7060000}"/>
    <cellStyle name="Obično 13 3 2" xfId="1180" xr:uid="{00000000-0005-0000-0000-0000E8060000}"/>
    <cellStyle name="Obično 13 3 3" xfId="1181" xr:uid="{00000000-0005-0000-0000-0000E9060000}"/>
    <cellStyle name="Obično 13 3 3 2" xfId="2487" xr:uid="{00000000-0005-0000-0000-0000EA060000}"/>
    <cellStyle name="Obično 13 4" xfId="1182" xr:uid="{00000000-0005-0000-0000-0000EB060000}"/>
    <cellStyle name="Obično 13 4 2" xfId="1183" xr:uid="{00000000-0005-0000-0000-0000EC060000}"/>
    <cellStyle name="Obično 13 4 3" xfId="1184" xr:uid="{00000000-0005-0000-0000-0000ED060000}"/>
    <cellStyle name="Obično 13 4 3 2" xfId="2488" xr:uid="{00000000-0005-0000-0000-0000EE060000}"/>
    <cellStyle name="Obično 13 5" xfId="1185" xr:uid="{00000000-0005-0000-0000-0000EF060000}"/>
    <cellStyle name="Obično 13 5 2" xfId="1186" xr:uid="{00000000-0005-0000-0000-0000F0060000}"/>
    <cellStyle name="Obično 13 5 3" xfId="1187" xr:uid="{00000000-0005-0000-0000-0000F1060000}"/>
    <cellStyle name="Obično 13 5 3 2" xfId="2489" xr:uid="{00000000-0005-0000-0000-0000F2060000}"/>
    <cellStyle name="Obično 13 6" xfId="1188" xr:uid="{00000000-0005-0000-0000-0000F3060000}"/>
    <cellStyle name="Obično 13 6 2" xfId="1189" xr:uid="{00000000-0005-0000-0000-0000F4060000}"/>
    <cellStyle name="Obično 13 6 3" xfId="1190" xr:uid="{00000000-0005-0000-0000-0000F5060000}"/>
    <cellStyle name="Obično 13 6 3 2" xfId="2490" xr:uid="{00000000-0005-0000-0000-0000F6060000}"/>
    <cellStyle name="Obično 13 7" xfId="1191" xr:uid="{00000000-0005-0000-0000-0000F7060000}"/>
    <cellStyle name="Obično 13 7 2" xfId="1192" xr:uid="{00000000-0005-0000-0000-0000F8060000}"/>
    <cellStyle name="Obično 13 7 3" xfId="1193" xr:uid="{00000000-0005-0000-0000-0000F9060000}"/>
    <cellStyle name="Obično 13 7 3 2" xfId="2491" xr:uid="{00000000-0005-0000-0000-0000FA060000}"/>
    <cellStyle name="Obično 13 8" xfId="1194" xr:uid="{00000000-0005-0000-0000-0000FB060000}"/>
    <cellStyle name="Obično 13 8 2" xfId="1195" xr:uid="{00000000-0005-0000-0000-0000FC060000}"/>
    <cellStyle name="Obično 13 8 3" xfId="1196" xr:uid="{00000000-0005-0000-0000-0000FD060000}"/>
    <cellStyle name="Obično 13 8 3 2" xfId="2492" xr:uid="{00000000-0005-0000-0000-0000FE060000}"/>
    <cellStyle name="Obično 13 9" xfId="1197" xr:uid="{00000000-0005-0000-0000-0000FF060000}"/>
    <cellStyle name="Obično 13 9 2" xfId="1198" xr:uid="{00000000-0005-0000-0000-000000070000}"/>
    <cellStyle name="Obično 13 9 3" xfId="1199" xr:uid="{00000000-0005-0000-0000-000001070000}"/>
    <cellStyle name="Obično 13 9 3 2" xfId="2493" xr:uid="{00000000-0005-0000-0000-000002070000}"/>
    <cellStyle name="Obično 130" xfId="1200" xr:uid="{00000000-0005-0000-0000-000003070000}"/>
    <cellStyle name="Obično 130 2" xfId="1201" xr:uid="{00000000-0005-0000-0000-000004070000}"/>
    <cellStyle name="Obično 130 3" xfId="1202" xr:uid="{00000000-0005-0000-0000-000005070000}"/>
    <cellStyle name="Obično 130 3 2" xfId="2494" xr:uid="{00000000-0005-0000-0000-000006070000}"/>
    <cellStyle name="Obično 131" xfId="1203" xr:uid="{00000000-0005-0000-0000-000007070000}"/>
    <cellStyle name="Obično 131 2" xfId="1204" xr:uid="{00000000-0005-0000-0000-000008070000}"/>
    <cellStyle name="Obično 131 3" xfId="1205" xr:uid="{00000000-0005-0000-0000-000009070000}"/>
    <cellStyle name="Obično 131 3 2" xfId="2495" xr:uid="{00000000-0005-0000-0000-00000A070000}"/>
    <cellStyle name="Obično 132" xfId="1206" xr:uid="{00000000-0005-0000-0000-00000B070000}"/>
    <cellStyle name="Obično 132 2" xfId="1207" xr:uid="{00000000-0005-0000-0000-00000C070000}"/>
    <cellStyle name="Obično 132 3" xfId="1208" xr:uid="{00000000-0005-0000-0000-00000D070000}"/>
    <cellStyle name="Obično 132 3 2" xfId="2496" xr:uid="{00000000-0005-0000-0000-00000E070000}"/>
    <cellStyle name="Obično 133" xfId="1209" xr:uid="{00000000-0005-0000-0000-00000F070000}"/>
    <cellStyle name="Obično 133 2" xfId="1210" xr:uid="{00000000-0005-0000-0000-000010070000}"/>
    <cellStyle name="Obično 133 3" xfId="1211" xr:uid="{00000000-0005-0000-0000-000011070000}"/>
    <cellStyle name="Obično 133 3 2" xfId="2497" xr:uid="{00000000-0005-0000-0000-000012070000}"/>
    <cellStyle name="Obično 134" xfId="1212" xr:uid="{00000000-0005-0000-0000-000013070000}"/>
    <cellStyle name="Obično 134 2" xfId="1213" xr:uid="{00000000-0005-0000-0000-000014070000}"/>
    <cellStyle name="Obično 134 3" xfId="1214" xr:uid="{00000000-0005-0000-0000-000015070000}"/>
    <cellStyle name="Obično 134 3 2" xfId="2498" xr:uid="{00000000-0005-0000-0000-000016070000}"/>
    <cellStyle name="Obično 135" xfId="1215" xr:uid="{00000000-0005-0000-0000-000017070000}"/>
    <cellStyle name="Obično 135 2" xfId="1216" xr:uid="{00000000-0005-0000-0000-000018070000}"/>
    <cellStyle name="Obično 135 3" xfId="1217" xr:uid="{00000000-0005-0000-0000-000019070000}"/>
    <cellStyle name="Obično 135 3 2" xfId="2499" xr:uid="{00000000-0005-0000-0000-00001A070000}"/>
    <cellStyle name="Obično 136" xfId="1218" xr:uid="{00000000-0005-0000-0000-00001B070000}"/>
    <cellStyle name="Obično 136 2" xfId="1219" xr:uid="{00000000-0005-0000-0000-00001C070000}"/>
    <cellStyle name="Obično 136 3" xfId="1220" xr:uid="{00000000-0005-0000-0000-00001D070000}"/>
    <cellStyle name="Obično 136 3 2" xfId="2500" xr:uid="{00000000-0005-0000-0000-00001E070000}"/>
    <cellStyle name="Obično 137" xfId="1221" xr:uid="{00000000-0005-0000-0000-00001F070000}"/>
    <cellStyle name="Obično 137 2" xfId="1222" xr:uid="{00000000-0005-0000-0000-000020070000}"/>
    <cellStyle name="Obično 137 3" xfId="1223" xr:uid="{00000000-0005-0000-0000-000021070000}"/>
    <cellStyle name="Obično 137 3 2" xfId="2501" xr:uid="{00000000-0005-0000-0000-000022070000}"/>
    <cellStyle name="Obično 138" xfId="1224" xr:uid="{00000000-0005-0000-0000-000023070000}"/>
    <cellStyle name="Obično 138 2" xfId="1225" xr:uid="{00000000-0005-0000-0000-000024070000}"/>
    <cellStyle name="Obično 138 3" xfId="1226" xr:uid="{00000000-0005-0000-0000-000025070000}"/>
    <cellStyle name="Obično 138 3 2" xfId="2502" xr:uid="{00000000-0005-0000-0000-000026070000}"/>
    <cellStyle name="Obično 139" xfId="1227" xr:uid="{00000000-0005-0000-0000-000027070000}"/>
    <cellStyle name="Obično 139 2" xfId="1228" xr:uid="{00000000-0005-0000-0000-000028070000}"/>
    <cellStyle name="Obično 139 3" xfId="1229" xr:uid="{00000000-0005-0000-0000-000029070000}"/>
    <cellStyle name="Obično 139 3 2" xfId="2503" xr:uid="{00000000-0005-0000-0000-00002A070000}"/>
    <cellStyle name="Obično 14" xfId="1230" xr:uid="{00000000-0005-0000-0000-00002B070000}"/>
    <cellStyle name="Obično 14 2" xfId="1231" xr:uid="{00000000-0005-0000-0000-00002C070000}"/>
    <cellStyle name="Obično 14 2 2" xfId="1232" xr:uid="{00000000-0005-0000-0000-00002D070000}"/>
    <cellStyle name="Obično 14 2 3" xfId="1233" xr:uid="{00000000-0005-0000-0000-00002E070000}"/>
    <cellStyle name="Obično 14 2 3 2" xfId="2504" xr:uid="{00000000-0005-0000-0000-00002F070000}"/>
    <cellStyle name="Obično 14 3" xfId="1234" xr:uid="{00000000-0005-0000-0000-000030070000}"/>
    <cellStyle name="Obično 14 3 2" xfId="1235" xr:uid="{00000000-0005-0000-0000-000031070000}"/>
    <cellStyle name="Obično 14 3 3" xfId="1236" xr:uid="{00000000-0005-0000-0000-000032070000}"/>
    <cellStyle name="Obično 14 3 3 2" xfId="2505" xr:uid="{00000000-0005-0000-0000-000033070000}"/>
    <cellStyle name="Obično 14 4" xfId="1237" xr:uid="{00000000-0005-0000-0000-000034070000}"/>
    <cellStyle name="Obično 140" xfId="1238" xr:uid="{00000000-0005-0000-0000-000035070000}"/>
    <cellStyle name="Obično 140 2" xfId="1239" xr:uid="{00000000-0005-0000-0000-000036070000}"/>
    <cellStyle name="Obično 140 3" xfId="1240" xr:uid="{00000000-0005-0000-0000-000037070000}"/>
    <cellStyle name="Obično 140 3 2" xfId="2506" xr:uid="{00000000-0005-0000-0000-000038070000}"/>
    <cellStyle name="Obično 141" xfId="1241" xr:uid="{00000000-0005-0000-0000-000039070000}"/>
    <cellStyle name="Obično 141 2" xfId="1242" xr:uid="{00000000-0005-0000-0000-00003A070000}"/>
    <cellStyle name="Obično 141 3" xfId="1243" xr:uid="{00000000-0005-0000-0000-00003B070000}"/>
    <cellStyle name="Obično 141 3 2" xfId="2507" xr:uid="{00000000-0005-0000-0000-00003C070000}"/>
    <cellStyle name="Obično 142" xfId="1244" xr:uid="{00000000-0005-0000-0000-00003D070000}"/>
    <cellStyle name="Obično 142 2" xfId="1245" xr:uid="{00000000-0005-0000-0000-00003E070000}"/>
    <cellStyle name="Obično 142 3" xfId="1246" xr:uid="{00000000-0005-0000-0000-00003F070000}"/>
    <cellStyle name="Obično 142 3 2" xfId="2508" xr:uid="{00000000-0005-0000-0000-000040070000}"/>
    <cellStyle name="Obično 143" xfId="1247" xr:uid="{00000000-0005-0000-0000-000041070000}"/>
    <cellStyle name="Obično 143 2" xfId="1248" xr:uid="{00000000-0005-0000-0000-000042070000}"/>
    <cellStyle name="Obično 143 3" xfId="1249" xr:uid="{00000000-0005-0000-0000-000043070000}"/>
    <cellStyle name="Obično 143 3 2" xfId="2509" xr:uid="{00000000-0005-0000-0000-000044070000}"/>
    <cellStyle name="Obično 144" xfId="1250" xr:uid="{00000000-0005-0000-0000-000045070000}"/>
    <cellStyle name="Obično 144 2" xfId="1251" xr:uid="{00000000-0005-0000-0000-000046070000}"/>
    <cellStyle name="Obično 144 3" xfId="1252" xr:uid="{00000000-0005-0000-0000-000047070000}"/>
    <cellStyle name="Obično 144 3 2" xfId="2510" xr:uid="{00000000-0005-0000-0000-000048070000}"/>
    <cellStyle name="Obično 145" xfId="1253" xr:uid="{00000000-0005-0000-0000-000049070000}"/>
    <cellStyle name="Obično 145 2" xfId="1254" xr:uid="{00000000-0005-0000-0000-00004A070000}"/>
    <cellStyle name="Obično 145 3" xfId="1255" xr:uid="{00000000-0005-0000-0000-00004B070000}"/>
    <cellStyle name="Obično 145 3 2" xfId="2511" xr:uid="{00000000-0005-0000-0000-00004C070000}"/>
    <cellStyle name="Obično 146" xfId="1256" xr:uid="{00000000-0005-0000-0000-00004D070000}"/>
    <cellStyle name="Obično 146 2" xfId="1257" xr:uid="{00000000-0005-0000-0000-00004E070000}"/>
    <cellStyle name="Obično 146 3" xfId="1258" xr:uid="{00000000-0005-0000-0000-00004F070000}"/>
    <cellStyle name="Obično 146 3 2" xfId="2512" xr:uid="{00000000-0005-0000-0000-000050070000}"/>
    <cellStyle name="Obično 147" xfId="1259" xr:uid="{00000000-0005-0000-0000-000051070000}"/>
    <cellStyle name="Obično 147 2" xfId="1260" xr:uid="{00000000-0005-0000-0000-000052070000}"/>
    <cellStyle name="Obično 147 3" xfId="1261" xr:uid="{00000000-0005-0000-0000-000053070000}"/>
    <cellStyle name="Obično 147 3 2" xfId="2513" xr:uid="{00000000-0005-0000-0000-000054070000}"/>
    <cellStyle name="Obično 149" xfId="1262" xr:uid="{00000000-0005-0000-0000-000055070000}"/>
    <cellStyle name="Obično 149 2" xfId="1263" xr:uid="{00000000-0005-0000-0000-000056070000}"/>
    <cellStyle name="Obično 149 3" xfId="1264" xr:uid="{00000000-0005-0000-0000-000057070000}"/>
    <cellStyle name="Obično 149 3 2" xfId="2514" xr:uid="{00000000-0005-0000-0000-000058070000}"/>
    <cellStyle name="Obično 15" xfId="1265" xr:uid="{00000000-0005-0000-0000-000059070000}"/>
    <cellStyle name="Obično 15 2" xfId="1266" xr:uid="{00000000-0005-0000-0000-00005A070000}"/>
    <cellStyle name="Obično 15 2 2" xfId="2988" xr:uid="{00000000-0005-0000-0000-00005B070000}"/>
    <cellStyle name="Obično 15 2 3" xfId="3158" xr:uid="{00000000-0005-0000-0000-00005C070000}"/>
    <cellStyle name="Obično 15 3" xfId="3159" xr:uid="{00000000-0005-0000-0000-00005D070000}"/>
    <cellStyle name="Obično 150" xfId="1267" xr:uid="{00000000-0005-0000-0000-00005E070000}"/>
    <cellStyle name="Obično 150 2" xfId="1268" xr:uid="{00000000-0005-0000-0000-00005F070000}"/>
    <cellStyle name="Obično 150 3" xfId="1269" xr:uid="{00000000-0005-0000-0000-000060070000}"/>
    <cellStyle name="Obično 150 3 2" xfId="2515" xr:uid="{00000000-0005-0000-0000-000061070000}"/>
    <cellStyle name="Obično 151" xfId="1270" xr:uid="{00000000-0005-0000-0000-000062070000}"/>
    <cellStyle name="Obično 151 2" xfId="1271" xr:uid="{00000000-0005-0000-0000-000063070000}"/>
    <cellStyle name="Obično 151 3" xfId="1272" xr:uid="{00000000-0005-0000-0000-000064070000}"/>
    <cellStyle name="Obično 151 3 2" xfId="2516" xr:uid="{00000000-0005-0000-0000-000065070000}"/>
    <cellStyle name="Obično 152" xfId="1273" xr:uid="{00000000-0005-0000-0000-000066070000}"/>
    <cellStyle name="Obično 152 2" xfId="1274" xr:uid="{00000000-0005-0000-0000-000067070000}"/>
    <cellStyle name="Obično 152 3" xfId="1275" xr:uid="{00000000-0005-0000-0000-000068070000}"/>
    <cellStyle name="Obično 152 3 2" xfId="2517" xr:uid="{00000000-0005-0000-0000-000069070000}"/>
    <cellStyle name="Obično 153" xfId="1276" xr:uid="{00000000-0005-0000-0000-00006A070000}"/>
    <cellStyle name="Obično 153 2" xfId="1277" xr:uid="{00000000-0005-0000-0000-00006B070000}"/>
    <cellStyle name="Obično 153 3" xfId="1278" xr:uid="{00000000-0005-0000-0000-00006C070000}"/>
    <cellStyle name="Obično 153 3 2" xfId="2518" xr:uid="{00000000-0005-0000-0000-00006D070000}"/>
    <cellStyle name="Obično 154" xfId="1279" xr:uid="{00000000-0005-0000-0000-00006E070000}"/>
    <cellStyle name="Obično 154 2" xfId="1280" xr:uid="{00000000-0005-0000-0000-00006F070000}"/>
    <cellStyle name="Obično 154 3" xfId="1281" xr:uid="{00000000-0005-0000-0000-000070070000}"/>
    <cellStyle name="Obično 154 3 2" xfId="2519" xr:uid="{00000000-0005-0000-0000-000071070000}"/>
    <cellStyle name="Obično 155" xfId="1282" xr:uid="{00000000-0005-0000-0000-000072070000}"/>
    <cellStyle name="Obično 155 2" xfId="1283" xr:uid="{00000000-0005-0000-0000-000073070000}"/>
    <cellStyle name="Obično 155 3" xfId="1284" xr:uid="{00000000-0005-0000-0000-000074070000}"/>
    <cellStyle name="Obično 155 3 2" xfId="2520" xr:uid="{00000000-0005-0000-0000-000075070000}"/>
    <cellStyle name="Obično 156" xfId="1285" xr:uid="{00000000-0005-0000-0000-000076070000}"/>
    <cellStyle name="Obično 156 2" xfId="1286" xr:uid="{00000000-0005-0000-0000-000077070000}"/>
    <cellStyle name="Obično 156 3" xfId="1287" xr:uid="{00000000-0005-0000-0000-000078070000}"/>
    <cellStyle name="Obično 156 3 2" xfId="2521" xr:uid="{00000000-0005-0000-0000-000079070000}"/>
    <cellStyle name="Obično 157" xfId="1288" xr:uid="{00000000-0005-0000-0000-00007A070000}"/>
    <cellStyle name="Obično 157 2" xfId="1289" xr:uid="{00000000-0005-0000-0000-00007B070000}"/>
    <cellStyle name="Obično 157 3" xfId="1290" xr:uid="{00000000-0005-0000-0000-00007C070000}"/>
    <cellStyle name="Obično 157 3 2" xfId="2522" xr:uid="{00000000-0005-0000-0000-00007D070000}"/>
    <cellStyle name="Obično 158" xfId="1291" xr:uid="{00000000-0005-0000-0000-00007E070000}"/>
    <cellStyle name="Obično 158 2" xfId="1292" xr:uid="{00000000-0005-0000-0000-00007F070000}"/>
    <cellStyle name="Obično 158 3" xfId="1293" xr:uid="{00000000-0005-0000-0000-000080070000}"/>
    <cellStyle name="Obično 158 3 2" xfId="2523" xr:uid="{00000000-0005-0000-0000-000081070000}"/>
    <cellStyle name="Obično 159" xfId="1294" xr:uid="{00000000-0005-0000-0000-000082070000}"/>
    <cellStyle name="Obično 159 2" xfId="1295" xr:uid="{00000000-0005-0000-0000-000083070000}"/>
    <cellStyle name="Obično 159 3" xfId="1296" xr:uid="{00000000-0005-0000-0000-000084070000}"/>
    <cellStyle name="Obično 159 3 2" xfId="2524" xr:uid="{00000000-0005-0000-0000-000085070000}"/>
    <cellStyle name="Obično 16" xfId="1297" xr:uid="{00000000-0005-0000-0000-000086070000}"/>
    <cellStyle name="Obično 16 2" xfId="1298" xr:uid="{00000000-0005-0000-0000-000087070000}"/>
    <cellStyle name="Obično 16 2 2" xfId="1299" xr:uid="{00000000-0005-0000-0000-000088070000}"/>
    <cellStyle name="Obično 16 2 3" xfId="1300" xr:uid="{00000000-0005-0000-0000-000089070000}"/>
    <cellStyle name="Obično 16 2 3 2" xfId="2525" xr:uid="{00000000-0005-0000-0000-00008A070000}"/>
    <cellStyle name="Obično 16 3" xfId="1301" xr:uid="{00000000-0005-0000-0000-00008B070000}"/>
    <cellStyle name="Obično 16 3 2" xfId="1302" xr:uid="{00000000-0005-0000-0000-00008C070000}"/>
    <cellStyle name="Obično 16 3 3" xfId="1303" xr:uid="{00000000-0005-0000-0000-00008D070000}"/>
    <cellStyle name="Obično 16 3 3 2" xfId="2526" xr:uid="{00000000-0005-0000-0000-00008E070000}"/>
    <cellStyle name="Obično 16 4" xfId="1304" xr:uid="{00000000-0005-0000-0000-00008F070000}"/>
    <cellStyle name="Obično 160" xfId="1305" xr:uid="{00000000-0005-0000-0000-000090070000}"/>
    <cellStyle name="Obično 160 2" xfId="1306" xr:uid="{00000000-0005-0000-0000-000091070000}"/>
    <cellStyle name="Obično 160 3" xfId="1307" xr:uid="{00000000-0005-0000-0000-000092070000}"/>
    <cellStyle name="Obično 160 3 2" xfId="2527" xr:uid="{00000000-0005-0000-0000-000093070000}"/>
    <cellStyle name="Obično 161" xfId="1308" xr:uid="{00000000-0005-0000-0000-000094070000}"/>
    <cellStyle name="Obično 161 2" xfId="1309" xr:uid="{00000000-0005-0000-0000-000095070000}"/>
    <cellStyle name="Obično 161 3" xfId="1310" xr:uid="{00000000-0005-0000-0000-000096070000}"/>
    <cellStyle name="Obično 161 3 2" xfId="2528" xr:uid="{00000000-0005-0000-0000-000097070000}"/>
    <cellStyle name="Obično 162" xfId="1311" xr:uid="{00000000-0005-0000-0000-000098070000}"/>
    <cellStyle name="Obično 162 2" xfId="1312" xr:uid="{00000000-0005-0000-0000-000099070000}"/>
    <cellStyle name="Obično 162 3" xfId="1313" xr:uid="{00000000-0005-0000-0000-00009A070000}"/>
    <cellStyle name="Obično 162 3 2" xfId="2529" xr:uid="{00000000-0005-0000-0000-00009B070000}"/>
    <cellStyle name="Obično 163" xfId="1314" xr:uid="{00000000-0005-0000-0000-00009C070000}"/>
    <cellStyle name="Obično 163 2" xfId="1315" xr:uid="{00000000-0005-0000-0000-00009D070000}"/>
    <cellStyle name="Obično 163 3" xfId="1316" xr:uid="{00000000-0005-0000-0000-00009E070000}"/>
    <cellStyle name="Obično 163 3 2" xfId="2530" xr:uid="{00000000-0005-0000-0000-00009F070000}"/>
    <cellStyle name="Obično 164" xfId="1317" xr:uid="{00000000-0005-0000-0000-0000A0070000}"/>
    <cellStyle name="Obično 164 2" xfId="1318" xr:uid="{00000000-0005-0000-0000-0000A1070000}"/>
    <cellStyle name="Obično 164 3" xfId="1319" xr:uid="{00000000-0005-0000-0000-0000A2070000}"/>
    <cellStyle name="Obično 164 3 2" xfId="2531" xr:uid="{00000000-0005-0000-0000-0000A3070000}"/>
    <cellStyle name="Obično 165" xfId="1320" xr:uid="{00000000-0005-0000-0000-0000A4070000}"/>
    <cellStyle name="Obično 165 2" xfId="1321" xr:uid="{00000000-0005-0000-0000-0000A5070000}"/>
    <cellStyle name="Obično 165 3" xfId="1322" xr:uid="{00000000-0005-0000-0000-0000A6070000}"/>
    <cellStyle name="Obično 165 3 2" xfId="2532" xr:uid="{00000000-0005-0000-0000-0000A7070000}"/>
    <cellStyle name="Obično 166" xfId="1323" xr:uid="{00000000-0005-0000-0000-0000A8070000}"/>
    <cellStyle name="Obično 166 2" xfId="1324" xr:uid="{00000000-0005-0000-0000-0000A9070000}"/>
    <cellStyle name="Obično 166 3" xfId="1325" xr:uid="{00000000-0005-0000-0000-0000AA070000}"/>
    <cellStyle name="Obično 166 3 2" xfId="2533" xr:uid="{00000000-0005-0000-0000-0000AB070000}"/>
    <cellStyle name="Obično 167" xfId="1326" xr:uid="{00000000-0005-0000-0000-0000AC070000}"/>
    <cellStyle name="Obično 167 2" xfId="1327" xr:uid="{00000000-0005-0000-0000-0000AD070000}"/>
    <cellStyle name="Obično 167 3" xfId="1328" xr:uid="{00000000-0005-0000-0000-0000AE070000}"/>
    <cellStyle name="Obično 167 3 2" xfId="2534" xr:uid="{00000000-0005-0000-0000-0000AF070000}"/>
    <cellStyle name="Obično 168" xfId="1329" xr:uid="{00000000-0005-0000-0000-0000B0070000}"/>
    <cellStyle name="Obično 168 2" xfId="1330" xr:uid="{00000000-0005-0000-0000-0000B1070000}"/>
    <cellStyle name="Obično 168 3" xfId="1331" xr:uid="{00000000-0005-0000-0000-0000B2070000}"/>
    <cellStyle name="Obično 168 3 2" xfId="2535" xr:uid="{00000000-0005-0000-0000-0000B3070000}"/>
    <cellStyle name="Obično 169" xfId="1332" xr:uid="{00000000-0005-0000-0000-0000B4070000}"/>
    <cellStyle name="Obično 169 2" xfId="1333" xr:uid="{00000000-0005-0000-0000-0000B5070000}"/>
    <cellStyle name="Obično 169 3" xfId="1334" xr:uid="{00000000-0005-0000-0000-0000B6070000}"/>
    <cellStyle name="Obično 169 3 2" xfId="2536" xr:uid="{00000000-0005-0000-0000-0000B7070000}"/>
    <cellStyle name="Obično 17" xfId="1335" xr:uid="{00000000-0005-0000-0000-0000B8070000}"/>
    <cellStyle name="Obično 17 2" xfId="1336" xr:uid="{00000000-0005-0000-0000-0000B9070000}"/>
    <cellStyle name="Obično 17 2 2" xfId="2987" xr:uid="{00000000-0005-0000-0000-0000BA070000}"/>
    <cellStyle name="Obično 17 2 3" xfId="3225" xr:uid="{00000000-0005-0000-0000-0000BB070000}"/>
    <cellStyle name="Obično 17 3" xfId="3226" xr:uid="{00000000-0005-0000-0000-0000BC070000}"/>
    <cellStyle name="Obično 170" xfId="1337" xr:uid="{00000000-0005-0000-0000-0000BD070000}"/>
    <cellStyle name="Obično 170 2" xfId="1338" xr:uid="{00000000-0005-0000-0000-0000BE070000}"/>
    <cellStyle name="Obično 170 3" xfId="1339" xr:uid="{00000000-0005-0000-0000-0000BF070000}"/>
    <cellStyle name="Obično 170 3 2" xfId="2537" xr:uid="{00000000-0005-0000-0000-0000C0070000}"/>
    <cellStyle name="Obično 171" xfId="1340" xr:uid="{00000000-0005-0000-0000-0000C1070000}"/>
    <cellStyle name="Obično 171 2" xfId="1341" xr:uid="{00000000-0005-0000-0000-0000C2070000}"/>
    <cellStyle name="Obično 171 3" xfId="1342" xr:uid="{00000000-0005-0000-0000-0000C3070000}"/>
    <cellStyle name="Obično 171 3 2" xfId="2538" xr:uid="{00000000-0005-0000-0000-0000C4070000}"/>
    <cellStyle name="Obično 172" xfId="1343" xr:uid="{00000000-0005-0000-0000-0000C5070000}"/>
    <cellStyle name="Obično 172 2" xfId="1344" xr:uid="{00000000-0005-0000-0000-0000C6070000}"/>
    <cellStyle name="Obično 172 3" xfId="1345" xr:uid="{00000000-0005-0000-0000-0000C7070000}"/>
    <cellStyle name="Obično 172 3 2" xfId="2539" xr:uid="{00000000-0005-0000-0000-0000C8070000}"/>
    <cellStyle name="Obično 173" xfId="1346" xr:uid="{00000000-0005-0000-0000-0000C9070000}"/>
    <cellStyle name="Obično 173 2" xfId="1347" xr:uid="{00000000-0005-0000-0000-0000CA070000}"/>
    <cellStyle name="Obično 173 3" xfId="1348" xr:uid="{00000000-0005-0000-0000-0000CB070000}"/>
    <cellStyle name="Obično 173 3 2" xfId="2540" xr:uid="{00000000-0005-0000-0000-0000CC070000}"/>
    <cellStyle name="Obično 174" xfId="1349" xr:uid="{00000000-0005-0000-0000-0000CD070000}"/>
    <cellStyle name="Obično 174 2" xfId="1350" xr:uid="{00000000-0005-0000-0000-0000CE070000}"/>
    <cellStyle name="Obično 174 3" xfId="1351" xr:uid="{00000000-0005-0000-0000-0000CF070000}"/>
    <cellStyle name="Obično 174 3 2" xfId="2541" xr:uid="{00000000-0005-0000-0000-0000D0070000}"/>
    <cellStyle name="Obično 175" xfId="1352" xr:uid="{00000000-0005-0000-0000-0000D1070000}"/>
    <cellStyle name="Obično 175 2" xfId="1353" xr:uid="{00000000-0005-0000-0000-0000D2070000}"/>
    <cellStyle name="Obično 175 3" xfId="1354" xr:uid="{00000000-0005-0000-0000-0000D3070000}"/>
    <cellStyle name="Obično 175 3 2" xfId="2542" xr:uid="{00000000-0005-0000-0000-0000D4070000}"/>
    <cellStyle name="Obično 176" xfId="1355" xr:uid="{00000000-0005-0000-0000-0000D5070000}"/>
    <cellStyle name="Obično 176 2" xfId="1356" xr:uid="{00000000-0005-0000-0000-0000D6070000}"/>
    <cellStyle name="Obično 176 3" xfId="1357" xr:uid="{00000000-0005-0000-0000-0000D7070000}"/>
    <cellStyle name="Obično 176 3 2" xfId="2543" xr:uid="{00000000-0005-0000-0000-0000D8070000}"/>
    <cellStyle name="Obično 177" xfId="1358" xr:uid="{00000000-0005-0000-0000-0000D9070000}"/>
    <cellStyle name="Obično 177 2" xfId="1359" xr:uid="{00000000-0005-0000-0000-0000DA070000}"/>
    <cellStyle name="Obično 177 3" xfId="1360" xr:uid="{00000000-0005-0000-0000-0000DB070000}"/>
    <cellStyle name="Obično 177 3 2" xfId="2544" xr:uid="{00000000-0005-0000-0000-0000DC070000}"/>
    <cellStyle name="Obično 178" xfId="1361" xr:uid="{00000000-0005-0000-0000-0000DD070000}"/>
    <cellStyle name="Obično 178 2" xfId="1362" xr:uid="{00000000-0005-0000-0000-0000DE070000}"/>
    <cellStyle name="Obično 178 3" xfId="1363" xr:uid="{00000000-0005-0000-0000-0000DF070000}"/>
    <cellStyle name="Obično 178 3 2" xfId="2545" xr:uid="{00000000-0005-0000-0000-0000E0070000}"/>
    <cellStyle name="Obično 179" xfId="1364" xr:uid="{00000000-0005-0000-0000-0000E1070000}"/>
    <cellStyle name="Obično 179 2" xfId="1365" xr:uid="{00000000-0005-0000-0000-0000E2070000}"/>
    <cellStyle name="Obično 179 3" xfId="1366" xr:uid="{00000000-0005-0000-0000-0000E3070000}"/>
    <cellStyle name="Obično 179 3 2" xfId="2546" xr:uid="{00000000-0005-0000-0000-0000E4070000}"/>
    <cellStyle name="Obično 18" xfId="1367" xr:uid="{00000000-0005-0000-0000-0000E5070000}"/>
    <cellStyle name="Obično 18 2" xfId="1368" xr:uid="{00000000-0005-0000-0000-0000E6070000}"/>
    <cellStyle name="Obično 18 2 2" xfId="1369" xr:uid="{00000000-0005-0000-0000-0000E7070000}"/>
    <cellStyle name="Obično 18 2 3" xfId="1370" xr:uid="{00000000-0005-0000-0000-0000E8070000}"/>
    <cellStyle name="Obično 18 2 3 2" xfId="2547" xr:uid="{00000000-0005-0000-0000-0000E9070000}"/>
    <cellStyle name="Obično 18 2 4" xfId="3223" xr:uid="{00000000-0005-0000-0000-0000EA070000}"/>
    <cellStyle name="Obično 18 3" xfId="1371" xr:uid="{00000000-0005-0000-0000-0000EB070000}"/>
    <cellStyle name="Obično 18 3 2" xfId="1372" xr:uid="{00000000-0005-0000-0000-0000EC070000}"/>
    <cellStyle name="Obično 18 3 3" xfId="1373" xr:uid="{00000000-0005-0000-0000-0000ED070000}"/>
    <cellStyle name="Obično 18 3 3 2" xfId="2548" xr:uid="{00000000-0005-0000-0000-0000EE070000}"/>
    <cellStyle name="Obično 18 4" xfId="1374" xr:uid="{00000000-0005-0000-0000-0000EF070000}"/>
    <cellStyle name="Obično 18 5" xfId="3224" xr:uid="{00000000-0005-0000-0000-0000F0070000}"/>
    <cellStyle name="Obično 180" xfId="1375" xr:uid="{00000000-0005-0000-0000-0000F1070000}"/>
    <cellStyle name="Obično 180 2" xfId="1376" xr:uid="{00000000-0005-0000-0000-0000F2070000}"/>
    <cellStyle name="Obično 180 3" xfId="1377" xr:uid="{00000000-0005-0000-0000-0000F3070000}"/>
    <cellStyle name="Obično 180 3 2" xfId="2549" xr:uid="{00000000-0005-0000-0000-0000F4070000}"/>
    <cellStyle name="Obično 181" xfId="1378" xr:uid="{00000000-0005-0000-0000-0000F5070000}"/>
    <cellStyle name="Obično 181 2" xfId="1379" xr:uid="{00000000-0005-0000-0000-0000F6070000}"/>
    <cellStyle name="Obično 181 3" xfId="1380" xr:uid="{00000000-0005-0000-0000-0000F7070000}"/>
    <cellStyle name="Obično 181 3 2" xfId="2550" xr:uid="{00000000-0005-0000-0000-0000F8070000}"/>
    <cellStyle name="Obično 182" xfId="1381" xr:uid="{00000000-0005-0000-0000-0000F9070000}"/>
    <cellStyle name="Obično 182 2" xfId="1382" xr:uid="{00000000-0005-0000-0000-0000FA070000}"/>
    <cellStyle name="Obično 182 3" xfId="1383" xr:uid="{00000000-0005-0000-0000-0000FB070000}"/>
    <cellStyle name="Obično 182 3 2" xfId="2551" xr:uid="{00000000-0005-0000-0000-0000FC070000}"/>
    <cellStyle name="Obično 183" xfId="1384" xr:uid="{00000000-0005-0000-0000-0000FD070000}"/>
    <cellStyle name="Obično 183 2" xfId="1385" xr:uid="{00000000-0005-0000-0000-0000FE070000}"/>
    <cellStyle name="Obično 183 3" xfId="1386" xr:uid="{00000000-0005-0000-0000-0000FF070000}"/>
    <cellStyle name="Obično 183 3 2" xfId="2552" xr:uid="{00000000-0005-0000-0000-000000080000}"/>
    <cellStyle name="Obično 184" xfId="1387" xr:uid="{00000000-0005-0000-0000-000001080000}"/>
    <cellStyle name="Obično 184 2" xfId="1388" xr:uid="{00000000-0005-0000-0000-000002080000}"/>
    <cellStyle name="Obično 184 3" xfId="1389" xr:uid="{00000000-0005-0000-0000-000003080000}"/>
    <cellStyle name="Obično 184 3 2" xfId="2553" xr:uid="{00000000-0005-0000-0000-000004080000}"/>
    <cellStyle name="Obično 185" xfId="1390" xr:uid="{00000000-0005-0000-0000-000005080000}"/>
    <cellStyle name="Obično 185 2" xfId="1391" xr:uid="{00000000-0005-0000-0000-000006080000}"/>
    <cellStyle name="Obično 185 3" xfId="1392" xr:uid="{00000000-0005-0000-0000-000007080000}"/>
    <cellStyle name="Obično 185 3 2" xfId="2554" xr:uid="{00000000-0005-0000-0000-000008080000}"/>
    <cellStyle name="Obično 186" xfId="1393" xr:uid="{00000000-0005-0000-0000-000009080000}"/>
    <cellStyle name="Obično 186 2" xfId="1394" xr:uid="{00000000-0005-0000-0000-00000A080000}"/>
    <cellStyle name="Obično 186 3" xfId="1395" xr:uid="{00000000-0005-0000-0000-00000B080000}"/>
    <cellStyle name="Obično 186 3 2" xfId="2555" xr:uid="{00000000-0005-0000-0000-00000C080000}"/>
    <cellStyle name="Obično 187" xfId="1396" xr:uid="{00000000-0005-0000-0000-00000D080000}"/>
    <cellStyle name="Obično 187 2" xfId="1397" xr:uid="{00000000-0005-0000-0000-00000E080000}"/>
    <cellStyle name="Obično 187 3" xfId="1398" xr:uid="{00000000-0005-0000-0000-00000F080000}"/>
    <cellStyle name="Obično 187 3 2" xfId="2556" xr:uid="{00000000-0005-0000-0000-000010080000}"/>
    <cellStyle name="Obično 188" xfId="1399" xr:uid="{00000000-0005-0000-0000-000011080000}"/>
    <cellStyle name="Obično 188 2" xfId="1400" xr:uid="{00000000-0005-0000-0000-000012080000}"/>
    <cellStyle name="Obično 188 3" xfId="1401" xr:uid="{00000000-0005-0000-0000-000013080000}"/>
    <cellStyle name="Obično 188 3 2" xfId="2557" xr:uid="{00000000-0005-0000-0000-000014080000}"/>
    <cellStyle name="Obično 189" xfId="1402" xr:uid="{00000000-0005-0000-0000-000015080000}"/>
    <cellStyle name="Obično 189 2" xfId="1403" xr:uid="{00000000-0005-0000-0000-000016080000}"/>
    <cellStyle name="Obično 189 3" xfId="1404" xr:uid="{00000000-0005-0000-0000-000017080000}"/>
    <cellStyle name="Obično 189 3 2" xfId="2558" xr:uid="{00000000-0005-0000-0000-000018080000}"/>
    <cellStyle name="Obično 19" xfId="1405" xr:uid="{00000000-0005-0000-0000-000019080000}"/>
    <cellStyle name="Obično 19 2" xfId="1406" xr:uid="{00000000-0005-0000-0000-00001A080000}"/>
    <cellStyle name="Obično 19 2 2" xfId="1407" xr:uid="{00000000-0005-0000-0000-00001B080000}"/>
    <cellStyle name="Obično 19 2 3" xfId="1408" xr:uid="{00000000-0005-0000-0000-00001C080000}"/>
    <cellStyle name="Obično 19 2 3 2" xfId="2559" xr:uid="{00000000-0005-0000-0000-00001D080000}"/>
    <cellStyle name="Obično 19 3" xfId="1409" xr:uid="{00000000-0005-0000-0000-00001E080000}"/>
    <cellStyle name="Obično 19 3 2" xfId="1410" xr:uid="{00000000-0005-0000-0000-00001F080000}"/>
    <cellStyle name="Obično 19 3 3" xfId="1411" xr:uid="{00000000-0005-0000-0000-000020080000}"/>
    <cellStyle name="Obično 19 3 3 2" xfId="2560" xr:uid="{00000000-0005-0000-0000-000021080000}"/>
    <cellStyle name="Obično 19 4" xfId="1412" xr:uid="{00000000-0005-0000-0000-000022080000}"/>
    <cellStyle name="Obično 19 5" xfId="3222" xr:uid="{00000000-0005-0000-0000-000023080000}"/>
    <cellStyle name="Obično 190" xfId="1413" xr:uid="{00000000-0005-0000-0000-000024080000}"/>
    <cellStyle name="Obično 190 2" xfId="1414" xr:uid="{00000000-0005-0000-0000-000025080000}"/>
    <cellStyle name="Obično 190 3" xfId="1415" xr:uid="{00000000-0005-0000-0000-000026080000}"/>
    <cellStyle name="Obično 190 3 2" xfId="2561" xr:uid="{00000000-0005-0000-0000-000027080000}"/>
    <cellStyle name="Obično 191" xfId="1416" xr:uid="{00000000-0005-0000-0000-000028080000}"/>
    <cellStyle name="Obično 191 2" xfId="1417" xr:uid="{00000000-0005-0000-0000-000029080000}"/>
    <cellStyle name="Obično 191 3" xfId="1418" xr:uid="{00000000-0005-0000-0000-00002A080000}"/>
    <cellStyle name="Obično 191 3 2" xfId="2562" xr:uid="{00000000-0005-0000-0000-00002B080000}"/>
    <cellStyle name="Obično 192" xfId="1419" xr:uid="{00000000-0005-0000-0000-00002C080000}"/>
    <cellStyle name="Obično 192 2" xfId="1420" xr:uid="{00000000-0005-0000-0000-00002D080000}"/>
    <cellStyle name="Obično 192 3" xfId="1421" xr:uid="{00000000-0005-0000-0000-00002E080000}"/>
    <cellStyle name="Obično 192 3 2" xfId="2563" xr:uid="{00000000-0005-0000-0000-00002F080000}"/>
    <cellStyle name="Obično 193" xfId="1422" xr:uid="{00000000-0005-0000-0000-000030080000}"/>
    <cellStyle name="Obično 193 2" xfId="1423" xr:uid="{00000000-0005-0000-0000-000031080000}"/>
    <cellStyle name="Obično 193 3" xfId="1424" xr:uid="{00000000-0005-0000-0000-000032080000}"/>
    <cellStyle name="Obično 193 3 2" xfId="2564" xr:uid="{00000000-0005-0000-0000-000033080000}"/>
    <cellStyle name="Obično 194" xfId="1425" xr:uid="{00000000-0005-0000-0000-000034080000}"/>
    <cellStyle name="Obično 194 2" xfId="1426" xr:uid="{00000000-0005-0000-0000-000035080000}"/>
    <cellStyle name="Obično 194 3" xfId="1427" xr:uid="{00000000-0005-0000-0000-000036080000}"/>
    <cellStyle name="Obično 194 3 2" xfId="2565" xr:uid="{00000000-0005-0000-0000-000037080000}"/>
    <cellStyle name="Obično 195" xfId="1428" xr:uid="{00000000-0005-0000-0000-000038080000}"/>
    <cellStyle name="Obično 195 2" xfId="1429" xr:uid="{00000000-0005-0000-0000-000039080000}"/>
    <cellStyle name="Obično 195 3" xfId="1430" xr:uid="{00000000-0005-0000-0000-00003A080000}"/>
    <cellStyle name="Obično 195 3 2" xfId="2566" xr:uid="{00000000-0005-0000-0000-00003B080000}"/>
    <cellStyle name="Obično 196" xfId="1431" xr:uid="{00000000-0005-0000-0000-00003C080000}"/>
    <cellStyle name="Obično 196 2" xfId="1432" xr:uid="{00000000-0005-0000-0000-00003D080000}"/>
    <cellStyle name="Obično 196 3" xfId="1433" xr:uid="{00000000-0005-0000-0000-00003E080000}"/>
    <cellStyle name="Obično 196 3 2" xfId="2567" xr:uid="{00000000-0005-0000-0000-00003F080000}"/>
    <cellStyle name="Obično 197" xfId="1434" xr:uid="{00000000-0005-0000-0000-000040080000}"/>
    <cellStyle name="Obično 197 2" xfId="1435" xr:uid="{00000000-0005-0000-0000-000041080000}"/>
    <cellStyle name="Obično 197 3" xfId="1436" xr:uid="{00000000-0005-0000-0000-000042080000}"/>
    <cellStyle name="Obično 197 3 2" xfId="2568" xr:uid="{00000000-0005-0000-0000-000043080000}"/>
    <cellStyle name="Obično 198" xfId="1437" xr:uid="{00000000-0005-0000-0000-000044080000}"/>
    <cellStyle name="Obično 198 2" xfId="1438" xr:uid="{00000000-0005-0000-0000-000045080000}"/>
    <cellStyle name="Obično 198 3" xfId="1439" xr:uid="{00000000-0005-0000-0000-000046080000}"/>
    <cellStyle name="Obično 198 3 2" xfId="2569" xr:uid="{00000000-0005-0000-0000-000047080000}"/>
    <cellStyle name="Obično 199" xfId="1440" xr:uid="{00000000-0005-0000-0000-000048080000}"/>
    <cellStyle name="Obično 199 2" xfId="1441" xr:uid="{00000000-0005-0000-0000-000049080000}"/>
    <cellStyle name="Obično 199 3" xfId="1442" xr:uid="{00000000-0005-0000-0000-00004A080000}"/>
    <cellStyle name="Obično 199 3 2" xfId="2570" xr:uid="{00000000-0005-0000-0000-00004B080000}"/>
    <cellStyle name="Obično 2" xfId="1443" xr:uid="{00000000-0005-0000-0000-00004C080000}"/>
    <cellStyle name="Obično 2 10" xfId="1444" xr:uid="{00000000-0005-0000-0000-00004D080000}"/>
    <cellStyle name="Obično 2 10 2" xfId="1445" xr:uid="{00000000-0005-0000-0000-00004E080000}"/>
    <cellStyle name="Obično 2 10 3" xfId="1446" xr:uid="{00000000-0005-0000-0000-00004F080000}"/>
    <cellStyle name="Obično 2 10 3 2" xfId="2571" xr:uid="{00000000-0005-0000-0000-000050080000}"/>
    <cellStyle name="Obično 2 11" xfId="1447" xr:uid="{00000000-0005-0000-0000-000051080000}"/>
    <cellStyle name="Obično 2 11 2" xfId="1448" xr:uid="{00000000-0005-0000-0000-000052080000}"/>
    <cellStyle name="Obično 2 11 3" xfId="1449" xr:uid="{00000000-0005-0000-0000-000053080000}"/>
    <cellStyle name="Obično 2 11 3 2" xfId="2572" xr:uid="{00000000-0005-0000-0000-000054080000}"/>
    <cellStyle name="Obično 2 12" xfId="1450" xr:uid="{00000000-0005-0000-0000-000055080000}"/>
    <cellStyle name="Obično 2 12 2" xfId="1451" xr:uid="{00000000-0005-0000-0000-000056080000}"/>
    <cellStyle name="Obično 2 12 3" xfId="1452" xr:uid="{00000000-0005-0000-0000-000057080000}"/>
    <cellStyle name="Obično 2 12 3 2" xfId="2573" xr:uid="{00000000-0005-0000-0000-000058080000}"/>
    <cellStyle name="Obično 2 13" xfId="1453" xr:uid="{00000000-0005-0000-0000-000059080000}"/>
    <cellStyle name="Obično 2 13 2" xfId="1454" xr:uid="{00000000-0005-0000-0000-00005A080000}"/>
    <cellStyle name="Obično 2 13 3" xfId="1455" xr:uid="{00000000-0005-0000-0000-00005B080000}"/>
    <cellStyle name="Obično 2 14" xfId="1456" xr:uid="{00000000-0005-0000-0000-00005C080000}"/>
    <cellStyle name="Obično 2 15" xfId="3221" xr:uid="{00000000-0005-0000-0000-00005D080000}"/>
    <cellStyle name="Obično 2 2" xfId="1457" xr:uid="{00000000-0005-0000-0000-00005E080000}"/>
    <cellStyle name="Obično 2 2 2" xfId="1458" xr:uid="{00000000-0005-0000-0000-00005F080000}"/>
    <cellStyle name="Obično 2 2 2 2" xfId="3070" xr:uid="{00000000-0005-0000-0000-000060080000}"/>
    <cellStyle name="Obično 2 2 2 3" xfId="3157" xr:uid="{00000000-0005-0000-0000-000061080000}"/>
    <cellStyle name="Obično 2 2 3" xfId="1459" xr:uid="{00000000-0005-0000-0000-000062080000}"/>
    <cellStyle name="Obično 2 2 3 2" xfId="2574" xr:uid="{00000000-0005-0000-0000-000063080000}"/>
    <cellStyle name="Obično 2 2 3 3" xfId="3060" xr:uid="{00000000-0005-0000-0000-000064080000}"/>
    <cellStyle name="Obično 2 2 4" xfId="3310" xr:uid="{00000000-0005-0000-0000-000065080000}"/>
    <cellStyle name="Obično 2 2 5" xfId="3220" xr:uid="{00000000-0005-0000-0000-000066080000}"/>
    <cellStyle name="Obično 2 21" xfId="3125" xr:uid="{00000000-0005-0000-0000-000067080000}"/>
    <cellStyle name="Obično 2 21 2" xfId="3120" xr:uid="{00000000-0005-0000-0000-000068080000}"/>
    <cellStyle name="Obično 2 3" xfId="1460" xr:uid="{00000000-0005-0000-0000-000069080000}"/>
    <cellStyle name="Obično 2 3 2" xfId="1461" xr:uid="{00000000-0005-0000-0000-00006A080000}"/>
    <cellStyle name="Obično 2 3 2 2" xfId="3061" xr:uid="{00000000-0005-0000-0000-00006B080000}"/>
    <cellStyle name="Obično 2 3 3" xfId="1462" xr:uid="{00000000-0005-0000-0000-00006C080000}"/>
    <cellStyle name="Obično 2 3 3 2" xfId="2575" xr:uid="{00000000-0005-0000-0000-00006D080000}"/>
    <cellStyle name="Obično 2 4" xfId="1463" xr:uid="{00000000-0005-0000-0000-00006E080000}"/>
    <cellStyle name="Obično 2 4 2" xfId="1464" xr:uid="{00000000-0005-0000-0000-00006F080000}"/>
    <cellStyle name="Obično 2 4 3" xfId="1465" xr:uid="{00000000-0005-0000-0000-000070080000}"/>
    <cellStyle name="Obično 2 4 3 2" xfId="2576" xr:uid="{00000000-0005-0000-0000-000071080000}"/>
    <cellStyle name="Obično 2 4 4" xfId="3127" xr:uid="{00000000-0005-0000-0000-000072080000}"/>
    <cellStyle name="Obično 2 5" xfId="1466" xr:uid="{00000000-0005-0000-0000-000073080000}"/>
    <cellStyle name="Obično 2 5 2" xfId="1467" xr:uid="{00000000-0005-0000-0000-000074080000}"/>
    <cellStyle name="Obično 2 5 3" xfId="1468" xr:uid="{00000000-0005-0000-0000-000075080000}"/>
    <cellStyle name="Obično 2 5 3 2" xfId="2577" xr:uid="{00000000-0005-0000-0000-000076080000}"/>
    <cellStyle name="Obično 2 6" xfId="1469" xr:uid="{00000000-0005-0000-0000-000077080000}"/>
    <cellStyle name="Obično 2 6 2" xfId="1470" xr:uid="{00000000-0005-0000-0000-000078080000}"/>
    <cellStyle name="Obično 2 6 3" xfId="1471" xr:uid="{00000000-0005-0000-0000-000079080000}"/>
    <cellStyle name="Obično 2 6 3 2" xfId="2578" xr:uid="{00000000-0005-0000-0000-00007A080000}"/>
    <cellStyle name="Obično 2 7" xfId="1472" xr:uid="{00000000-0005-0000-0000-00007B080000}"/>
    <cellStyle name="Obično 2 7 2" xfId="1473" xr:uid="{00000000-0005-0000-0000-00007C080000}"/>
    <cellStyle name="Obično 2 7 3" xfId="1474" xr:uid="{00000000-0005-0000-0000-00007D080000}"/>
    <cellStyle name="Obično 2 7 3 2" xfId="2579" xr:uid="{00000000-0005-0000-0000-00007E080000}"/>
    <cellStyle name="Obično 2 8" xfId="1475" xr:uid="{00000000-0005-0000-0000-00007F080000}"/>
    <cellStyle name="Obično 2 8 2" xfId="1476" xr:uid="{00000000-0005-0000-0000-000080080000}"/>
    <cellStyle name="Obično 2 8 3" xfId="1477" xr:uid="{00000000-0005-0000-0000-000081080000}"/>
    <cellStyle name="Obično 2 8 3 2" xfId="2580" xr:uid="{00000000-0005-0000-0000-000082080000}"/>
    <cellStyle name="Obično 2 9" xfId="1478" xr:uid="{00000000-0005-0000-0000-000083080000}"/>
    <cellStyle name="Obično 2 9 2" xfId="1479" xr:uid="{00000000-0005-0000-0000-000084080000}"/>
    <cellStyle name="Obično 2 9 3" xfId="1480" xr:uid="{00000000-0005-0000-0000-000085080000}"/>
    <cellStyle name="Obično 2 9 3 2" xfId="2581" xr:uid="{00000000-0005-0000-0000-000086080000}"/>
    <cellStyle name="Obično 20" xfId="1481" xr:uid="{00000000-0005-0000-0000-000087080000}"/>
    <cellStyle name="Obično 20 2" xfId="1482" xr:uid="{00000000-0005-0000-0000-000088080000}"/>
    <cellStyle name="Obično 20 2 2" xfId="2986" xr:uid="{00000000-0005-0000-0000-000089080000}"/>
    <cellStyle name="Obično 20 3" xfId="3219" xr:uid="{00000000-0005-0000-0000-00008A080000}"/>
    <cellStyle name="Obično 200" xfId="1483" xr:uid="{00000000-0005-0000-0000-00008B080000}"/>
    <cellStyle name="Obično 200 2" xfId="1484" xr:uid="{00000000-0005-0000-0000-00008C080000}"/>
    <cellStyle name="Obično 200 3" xfId="1485" xr:uid="{00000000-0005-0000-0000-00008D080000}"/>
    <cellStyle name="Obično 200 3 2" xfId="2582" xr:uid="{00000000-0005-0000-0000-00008E080000}"/>
    <cellStyle name="Obično 201" xfId="1486" xr:uid="{00000000-0005-0000-0000-00008F080000}"/>
    <cellStyle name="Obično 201 2" xfId="1487" xr:uid="{00000000-0005-0000-0000-000090080000}"/>
    <cellStyle name="Obično 201 3" xfId="1488" xr:uid="{00000000-0005-0000-0000-000091080000}"/>
    <cellStyle name="Obično 201 3 2" xfId="2583" xr:uid="{00000000-0005-0000-0000-000092080000}"/>
    <cellStyle name="Obično 202" xfId="1489" xr:uid="{00000000-0005-0000-0000-000093080000}"/>
    <cellStyle name="Obično 202 2" xfId="1490" xr:uid="{00000000-0005-0000-0000-000094080000}"/>
    <cellStyle name="Obično 202 3" xfId="1491" xr:uid="{00000000-0005-0000-0000-000095080000}"/>
    <cellStyle name="Obično 202 3 2" xfId="2584" xr:uid="{00000000-0005-0000-0000-000096080000}"/>
    <cellStyle name="Obično 203" xfId="1492" xr:uid="{00000000-0005-0000-0000-000097080000}"/>
    <cellStyle name="Obično 203 2" xfId="1493" xr:uid="{00000000-0005-0000-0000-000098080000}"/>
    <cellStyle name="Obično 203 3" xfId="1494" xr:uid="{00000000-0005-0000-0000-000099080000}"/>
    <cellStyle name="Obično 203 3 2" xfId="2585" xr:uid="{00000000-0005-0000-0000-00009A080000}"/>
    <cellStyle name="Obično 204" xfId="1495" xr:uid="{00000000-0005-0000-0000-00009B080000}"/>
    <cellStyle name="Obično 204 2" xfId="1496" xr:uid="{00000000-0005-0000-0000-00009C080000}"/>
    <cellStyle name="Obično 204 3" xfId="1497" xr:uid="{00000000-0005-0000-0000-00009D080000}"/>
    <cellStyle name="Obično 204 3 2" xfId="2586" xr:uid="{00000000-0005-0000-0000-00009E080000}"/>
    <cellStyle name="Obično 205" xfId="1498" xr:uid="{00000000-0005-0000-0000-00009F080000}"/>
    <cellStyle name="Obično 205 2" xfId="1499" xr:uid="{00000000-0005-0000-0000-0000A0080000}"/>
    <cellStyle name="Obično 205 3" xfId="1500" xr:uid="{00000000-0005-0000-0000-0000A1080000}"/>
    <cellStyle name="Obično 205 3 2" xfId="2587" xr:uid="{00000000-0005-0000-0000-0000A2080000}"/>
    <cellStyle name="Obično 206" xfId="1501" xr:uid="{00000000-0005-0000-0000-0000A3080000}"/>
    <cellStyle name="Obično 206 2" xfId="1502" xr:uid="{00000000-0005-0000-0000-0000A4080000}"/>
    <cellStyle name="Obično 206 3" xfId="1503" xr:uid="{00000000-0005-0000-0000-0000A5080000}"/>
    <cellStyle name="Obično 206 3 2" xfId="2588" xr:uid="{00000000-0005-0000-0000-0000A6080000}"/>
    <cellStyle name="Obično 207" xfId="1504" xr:uid="{00000000-0005-0000-0000-0000A7080000}"/>
    <cellStyle name="Obično 207 2" xfId="1505" xr:uid="{00000000-0005-0000-0000-0000A8080000}"/>
    <cellStyle name="Obično 207 3" xfId="1506" xr:uid="{00000000-0005-0000-0000-0000A9080000}"/>
    <cellStyle name="Obično 207 3 2" xfId="2589" xr:uid="{00000000-0005-0000-0000-0000AA080000}"/>
    <cellStyle name="Obično 209" xfId="1507" xr:uid="{00000000-0005-0000-0000-0000AB080000}"/>
    <cellStyle name="Obično 209 2" xfId="1508" xr:uid="{00000000-0005-0000-0000-0000AC080000}"/>
    <cellStyle name="Obično 209 3" xfId="1509" xr:uid="{00000000-0005-0000-0000-0000AD080000}"/>
    <cellStyle name="Obično 209 3 2" xfId="2590" xr:uid="{00000000-0005-0000-0000-0000AE080000}"/>
    <cellStyle name="Obično 21" xfId="1510" xr:uid="{00000000-0005-0000-0000-0000AF080000}"/>
    <cellStyle name="Obično 21 2" xfId="1511" xr:uid="{00000000-0005-0000-0000-0000B0080000}"/>
    <cellStyle name="Obično 21 2 2" xfId="2985" xr:uid="{00000000-0005-0000-0000-0000B1080000}"/>
    <cellStyle name="Obično 21 2 2 2" xfId="3122" xr:uid="{00000000-0005-0000-0000-0000B2080000}"/>
    <cellStyle name="Obično 21 4" xfId="3123" xr:uid="{00000000-0005-0000-0000-0000B3080000}"/>
    <cellStyle name="Obično 210" xfId="1512" xr:uid="{00000000-0005-0000-0000-0000B4080000}"/>
    <cellStyle name="Obično 210 2" xfId="1513" xr:uid="{00000000-0005-0000-0000-0000B5080000}"/>
    <cellStyle name="Obično 210 3" xfId="1514" xr:uid="{00000000-0005-0000-0000-0000B6080000}"/>
    <cellStyle name="Obično 210 3 2" xfId="2591" xr:uid="{00000000-0005-0000-0000-0000B7080000}"/>
    <cellStyle name="Obično 211" xfId="1515" xr:uid="{00000000-0005-0000-0000-0000B8080000}"/>
    <cellStyle name="Obično 211 2" xfId="1516" xr:uid="{00000000-0005-0000-0000-0000B9080000}"/>
    <cellStyle name="Obično 211 3" xfId="1517" xr:uid="{00000000-0005-0000-0000-0000BA080000}"/>
    <cellStyle name="Obično 211 3 2" xfId="2592" xr:uid="{00000000-0005-0000-0000-0000BB080000}"/>
    <cellStyle name="Obično 212" xfId="1518" xr:uid="{00000000-0005-0000-0000-0000BC080000}"/>
    <cellStyle name="Obično 212 2" xfId="1519" xr:uid="{00000000-0005-0000-0000-0000BD080000}"/>
    <cellStyle name="Obično 212 3" xfId="1520" xr:uid="{00000000-0005-0000-0000-0000BE080000}"/>
    <cellStyle name="Obično 212 3 2" xfId="2593" xr:uid="{00000000-0005-0000-0000-0000BF080000}"/>
    <cellStyle name="Obično 213" xfId="1521" xr:uid="{00000000-0005-0000-0000-0000C0080000}"/>
    <cellStyle name="Obično 213 2" xfId="1522" xr:uid="{00000000-0005-0000-0000-0000C1080000}"/>
    <cellStyle name="Obično 213 3" xfId="1523" xr:uid="{00000000-0005-0000-0000-0000C2080000}"/>
    <cellStyle name="Obično 213 3 2" xfId="2594" xr:uid="{00000000-0005-0000-0000-0000C3080000}"/>
    <cellStyle name="Obično 214" xfId="1524" xr:uid="{00000000-0005-0000-0000-0000C4080000}"/>
    <cellStyle name="Obično 214 2" xfId="1525" xr:uid="{00000000-0005-0000-0000-0000C5080000}"/>
    <cellStyle name="Obično 214 3" xfId="1526" xr:uid="{00000000-0005-0000-0000-0000C6080000}"/>
    <cellStyle name="Obično 214 3 2" xfId="2595" xr:uid="{00000000-0005-0000-0000-0000C7080000}"/>
    <cellStyle name="Obično 22" xfId="1527" xr:uid="{00000000-0005-0000-0000-0000C8080000}"/>
    <cellStyle name="Obično 22 2" xfId="1528" xr:uid="{00000000-0005-0000-0000-0000C9080000}"/>
    <cellStyle name="Obično 22 2 2" xfId="1529" xr:uid="{00000000-0005-0000-0000-0000CA080000}"/>
    <cellStyle name="Obično 22 2 3" xfId="1530" xr:uid="{00000000-0005-0000-0000-0000CB080000}"/>
    <cellStyle name="Obično 22 2 3 2" xfId="2596" xr:uid="{00000000-0005-0000-0000-0000CC080000}"/>
    <cellStyle name="Obično 22 3" xfId="1531" xr:uid="{00000000-0005-0000-0000-0000CD080000}"/>
    <cellStyle name="Obično 22 3 2" xfId="1532" xr:uid="{00000000-0005-0000-0000-0000CE080000}"/>
    <cellStyle name="Obično 22 3 3" xfId="1533" xr:uid="{00000000-0005-0000-0000-0000CF080000}"/>
    <cellStyle name="Obično 22 3 3 2" xfId="2597" xr:uid="{00000000-0005-0000-0000-0000D0080000}"/>
    <cellStyle name="Obično 22 4" xfId="1534" xr:uid="{00000000-0005-0000-0000-0000D1080000}"/>
    <cellStyle name="Obično 23" xfId="1535" xr:uid="{00000000-0005-0000-0000-0000D2080000}"/>
    <cellStyle name="Obično 23 2" xfId="1536" xr:uid="{00000000-0005-0000-0000-0000D3080000}"/>
    <cellStyle name="Obično 23 2 2" xfId="1537" xr:uid="{00000000-0005-0000-0000-0000D4080000}"/>
    <cellStyle name="Obično 23 2 3" xfId="1538" xr:uid="{00000000-0005-0000-0000-0000D5080000}"/>
    <cellStyle name="Obično 23 2 3 2" xfId="2598" xr:uid="{00000000-0005-0000-0000-0000D6080000}"/>
    <cellStyle name="Obično 23 3" xfId="1539" xr:uid="{00000000-0005-0000-0000-0000D7080000}"/>
    <cellStyle name="Obično 23 3 2" xfId="1540" xr:uid="{00000000-0005-0000-0000-0000D8080000}"/>
    <cellStyle name="Obično 23 3 3" xfId="1541" xr:uid="{00000000-0005-0000-0000-0000D9080000}"/>
    <cellStyle name="Obično 23 3 3 2" xfId="2599" xr:uid="{00000000-0005-0000-0000-0000DA080000}"/>
    <cellStyle name="Obično 23 4" xfId="1542" xr:uid="{00000000-0005-0000-0000-0000DB080000}"/>
    <cellStyle name="Obično 24" xfId="1543" xr:uid="{00000000-0005-0000-0000-0000DC080000}"/>
    <cellStyle name="Obično 24 2" xfId="1544" xr:uid="{00000000-0005-0000-0000-0000DD080000}"/>
    <cellStyle name="Obično 24 2 2" xfId="1545" xr:uid="{00000000-0005-0000-0000-0000DE080000}"/>
    <cellStyle name="Obično 24 2 3" xfId="1546" xr:uid="{00000000-0005-0000-0000-0000DF080000}"/>
    <cellStyle name="Obično 24 2 3 2" xfId="2600" xr:uid="{00000000-0005-0000-0000-0000E0080000}"/>
    <cellStyle name="Obično 24 2 4" xfId="3217" xr:uid="{00000000-0005-0000-0000-0000E1080000}"/>
    <cellStyle name="Obično 24 3" xfId="1547" xr:uid="{00000000-0005-0000-0000-0000E2080000}"/>
    <cellStyle name="Obično 24 3 2" xfId="1548" xr:uid="{00000000-0005-0000-0000-0000E3080000}"/>
    <cellStyle name="Obično 24 3 3" xfId="1549" xr:uid="{00000000-0005-0000-0000-0000E4080000}"/>
    <cellStyle name="Obično 24 3 3 2" xfId="2601" xr:uid="{00000000-0005-0000-0000-0000E5080000}"/>
    <cellStyle name="Obično 24 4" xfId="1550" xr:uid="{00000000-0005-0000-0000-0000E6080000}"/>
    <cellStyle name="Obično 24 5" xfId="3218" xr:uid="{00000000-0005-0000-0000-0000E7080000}"/>
    <cellStyle name="Obično 25" xfId="1551" xr:uid="{00000000-0005-0000-0000-0000E8080000}"/>
    <cellStyle name="Obično 25 2" xfId="1552" xr:uid="{00000000-0005-0000-0000-0000E9080000}"/>
    <cellStyle name="Obično 25 2 2" xfId="1553" xr:uid="{00000000-0005-0000-0000-0000EA080000}"/>
    <cellStyle name="Obično 25 2 3" xfId="1554" xr:uid="{00000000-0005-0000-0000-0000EB080000}"/>
    <cellStyle name="Obično 25 2 3 2" xfId="2602" xr:uid="{00000000-0005-0000-0000-0000EC080000}"/>
    <cellStyle name="Obično 25 3" xfId="1555" xr:uid="{00000000-0005-0000-0000-0000ED080000}"/>
    <cellStyle name="Obično 25 3 2" xfId="1556" xr:uid="{00000000-0005-0000-0000-0000EE080000}"/>
    <cellStyle name="Obično 25 3 3" xfId="1557" xr:uid="{00000000-0005-0000-0000-0000EF080000}"/>
    <cellStyle name="Obično 25 3 3 2" xfId="2603" xr:uid="{00000000-0005-0000-0000-0000F0080000}"/>
    <cellStyle name="Obično 25 4" xfId="1558" xr:uid="{00000000-0005-0000-0000-0000F1080000}"/>
    <cellStyle name="Obično 25 5" xfId="3216" xr:uid="{00000000-0005-0000-0000-0000F2080000}"/>
    <cellStyle name="Obično 26" xfId="1559" xr:uid="{00000000-0005-0000-0000-0000F3080000}"/>
    <cellStyle name="Obično 26 2" xfId="1560" xr:uid="{00000000-0005-0000-0000-0000F4080000}"/>
    <cellStyle name="Obično 26 2 2" xfId="1561" xr:uid="{00000000-0005-0000-0000-0000F5080000}"/>
    <cellStyle name="Obično 26 2 3" xfId="1562" xr:uid="{00000000-0005-0000-0000-0000F6080000}"/>
    <cellStyle name="Obično 26 2 3 2" xfId="2604" xr:uid="{00000000-0005-0000-0000-0000F7080000}"/>
    <cellStyle name="Obično 26 3" xfId="1563" xr:uid="{00000000-0005-0000-0000-0000F8080000}"/>
    <cellStyle name="Obično 27" xfId="1564" xr:uid="{00000000-0005-0000-0000-0000F9080000}"/>
    <cellStyle name="Obično 27 2" xfId="1565" xr:uid="{00000000-0005-0000-0000-0000FA080000}"/>
    <cellStyle name="Obično 27 2 2" xfId="1566" xr:uid="{00000000-0005-0000-0000-0000FB080000}"/>
    <cellStyle name="Obično 27 2 3" xfId="1567" xr:uid="{00000000-0005-0000-0000-0000FC080000}"/>
    <cellStyle name="Obično 27 2 3 2" xfId="2605" xr:uid="{00000000-0005-0000-0000-0000FD080000}"/>
    <cellStyle name="Obično 27 3" xfId="1568" xr:uid="{00000000-0005-0000-0000-0000FE080000}"/>
    <cellStyle name="Obično 27 4" xfId="1569" xr:uid="{00000000-0005-0000-0000-0000FF080000}"/>
    <cellStyle name="Obično 27 4 2" xfId="2606" xr:uid="{00000000-0005-0000-0000-000000090000}"/>
    <cellStyle name="Obično 27 5" xfId="3215" xr:uid="{00000000-0005-0000-0000-000001090000}"/>
    <cellStyle name="Obično 28" xfId="1570" xr:uid="{00000000-0005-0000-0000-000002090000}"/>
    <cellStyle name="Obično 28 2" xfId="1571" xr:uid="{00000000-0005-0000-0000-000003090000}"/>
    <cellStyle name="Obično 28 2 2" xfId="1572" xr:uid="{00000000-0005-0000-0000-000004090000}"/>
    <cellStyle name="Obično 28 2 3" xfId="1573" xr:uid="{00000000-0005-0000-0000-000005090000}"/>
    <cellStyle name="Obično 28 2 3 2" xfId="2607" xr:uid="{00000000-0005-0000-0000-000006090000}"/>
    <cellStyle name="Obično 28 2 4" xfId="3213" xr:uid="{00000000-0005-0000-0000-000007090000}"/>
    <cellStyle name="Obično 28 3" xfId="1574" xr:uid="{00000000-0005-0000-0000-000008090000}"/>
    <cellStyle name="Obično 28 4" xfId="3214" xr:uid="{00000000-0005-0000-0000-000009090000}"/>
    <cellStyle name="Obično 29" xfId="1575" xr:uid="{00000000-0005-0000-0000-00000A090000}"/>
    <cellStyle name="Obično 29 2" xfId="1576" xr:uid="{00000000-0005-0000-0000-00000B090000}"/>
    <cellStyle name="Obično 29 2 2" xfId="1577" xr:uid="{00000000-0005-0000-0000-00000C090000}"/>
    <cellStyle name="Obično 29 2 3" xfId="1578" xr:uid="{00000000-0005-0000-0000-00000D090000}"/>
    <cellStyle name="Obično 29 2 3 2" xfId="2608" xr:uid="{00000000-0005-0000-0000-00000E090000}"/>
    <cellStyle name="Obično 29 3" xfId="1579" xr:uid="{00000000-0005-0000-0000-00000F090000}"/>
    <cellStyle name="Obično 29 3 2" xfId="1580" xr:uid="{00000000-0005-0000-0000-000010090000}"/>
    <cellStyle name="Obično 29 3 3" xfId="1581" xr:uid="{00000000-0005-0000-0000-000011090000}"/>
    <cellStyle name="Obično 29 3 3 2" xfId="2609" xr:uid="{00000000-0005-0000-0000-000012090000}"/>
    <cellStyle name="Obično 29 4" xfId="1582" xr:uid="{00000000-0005-0000-0000-000013090000}"/>
    <cellStyle name="Obično 3" xfId="1583" xr:uid="{00000000-0005-0000-0000-000014090000}"/>
    <cellStyle name="Obično 3 10" xfId="1584" xr:uid="{00000000-0005-0000-0000-000015090000}"/>
    <cellStyle name="Obično 3 10 2" xfId="1585" xr:uid="{00000000-0005-0000-0000-000016090000}"/>
    <cellStyle name="Obično 3 10 3" xfId="1586" xr:uid="{00000000-0005-0000-0000-000017090000}"/>
    <cellStyle name="Obično 3 10 3 2" xfId="2610" xr:uid="{00000000-0005-0000-0000-000018090000}"/>
    <cellStyle name="Obično 3 11" xfId="1587" xr:uid="{00000000-0005-0000-0000-000019090000}"/>
    <cellStyle name="Obično 3 11 2" xfId="1588" xr:uid="{00000000-0005-0000-0000-00001A090000}"/>
    <cellStyle name="Obično 3 11 3" xfId="1589" xr:uid="{00000000-0005-0000-0000-00001B090000}"/>
    <cellStyle name="Obično 3 11 3 2" xfId="2611" xr:uid="{00000000-0005-0000-0000-00001C090000}"/>
    <cellStyle name="Obično 3 12" xfId="1590" xr:uid="{00000000-0005-0000-0000-00001D090000}"/>
    <cellStyle name="Obično 3 12 2" xfId="1591" xr:uid="{00000000-0005-0000-0000-00001E090000}"/>
    <cellStyle name="Obično 3 12 3" xfId="1592" xr:uid="{00000000-0005-0000-0000-00001F090000}"/>
    <cellStyle name="Obično 3 12 3 2" xfId="2612" xr:uid="{00000000-0005-0000-0000-000020090000}"/>
    <cellStyle name="Obično 3 13" xfId="1593" xr:uid="{00000000-0005-0000-0000-000021090000}"/>
    <cellStyle name="Obično 3 13 2" xfId="1594" xr:uid="{00000000-0005-0000-0000-000022090000}"/>
    <cellStyle name="Obično 3 13 3" xfId="1595" xr:uid="{00000000-0005-0000-0000-000023090000}"/>
    <cellStyle name="Obično 3 13 3 2" xfId="2613" xr:uid="{00000000-0005-0000-0000-000024090000}"/>
    <cellStyle name="Obično 3 14" xfId="1596" xr:uid="{00000000-0005-0000-0000-000025090000}"/>
    <cellStyle name="Obično 3 14 2" xfId="1597" xr:uid="{00000000-0005-0000-0000-000026090000}"/>
    <cellStyle name="Obično 3 14 3" xfId="1598" xr:uid="{00000000-0005-0000-0000-000027090000}"/>
    <cellStyle name="Obično 3 14 3 2" xfId="2614" xr:uid="{00000000-0005-0000-0000-000028090000}"/>
    <cellStyle name="Obično 3 15" xfId="1599" xr:uid="{00000000-0005-0000-0000-000029090000}"/>
    <cellStyle name="Obično 3 15 2" xfId="1600" xr:uid="{00000000-0005-0000-0000-00002A090000}"/>
    <cellStyle name="Obično 3 15 3" xfId="1601" xr:uid="{00000000-0005-0000-0000-00002B090000}"/>
    <cellStyle name="Obično 3 15 3 2" xfId="2615" xr:uid="{00000000-0005-0000-0000-00002C090000}"/>
    <cellStyle name="Obično 3 16" xfId="1602" xr:uid="{00000000-0005-0000-0000-00002D090000}"/>
    <cellStyle name="Obično 3 16 2" xfId="1603" xr:uid="{00000000-0005-0000-0000-00002E090000}"/>
    <cellStyle name="Obično 3 16 3" xfId="1604" xr:uid="{00000000-0005-0000-0000-00002F090000}"/>
    <cellStyle name="Obično 3 16 3 2" xfId="2616" xr:uid="{00000000-0005-0000-0000-000030090000}"/>
    <cellStyle name="Obično 3 17" xfId="1605" xr:uid="{00000000-0005-0000-0000-000031090000}"/>
    <cellStyle name="Obično 3 17 2" xfId="1606" xr:uid="{00000000-0005-0000-0000-000032090000}"/>
    <cellStyle name="Obično 3 17 3" xfId="1607" xr:uid="{00000000-0005-0000-0000-000033090000}"/>
    <cellStyle name="Obično 3 17 3 2" xfId="2617" xr:uid="{00000000-0005-0000-0000-000034090000}"/>
    <cellStyle name="Obično 3 18" xfId="1608" xr:uid="{00000000-0005-0000-0000-000035090000}"/>
    <cellStyle name="Obično 3 18 2" xfId="1609" xr:uid="{00000000-0005-0000-0000-000036090000}"/>
    <cellStyle name="Obično 3 18 3" xfId="1610" xr:uid="{00000000-0005-0000-0000-000037090000}"/>
    <cellStyle name="Obično 3 18 3 2" xfId="2618" xr:uid="{00000000-0005-0000-0000-000038090000}"/>
    <cellStyle name="Obično 3 19" xfId="1611" xr:uid="{00000000-0005-0000-0000-000039090000}"/>
    <cellStyle name="Obično 3 19 2" xfId="1612" xr:uid="{00000000-0005-0000-0000-00003A090000}"/>
    <cellStyle name="Obično 3 19 3" xfId="1613" xr:uid="{00000000-0005-0000-0000-00003B090000}"/>
    <cellStyle name="Obično 3 19 3 2" xfId="2619" xr:uid="{00000000-0005-0000-0000-00003C090000}"/>
    <cellStyle name="Obično 3 2" xfId="1614" xr:uid="{00000000-0005-0000-0000-00003D090000}"/>
    <cellStyle name="Obično 3 2 2" xfId="1615" xr:uid="{00000000-0005-0000-0000-00003E090000}"/>
    <cellStyle name="Obično 3 2 3" xfId="1616" xr:uid="{00000000-0005-0000-0000-00003F090000}"/>
    <cellStyle name="Obično 3 2 3 2" xfId="1617" xr:uid="{00000000-0005-0000-0000-000040090000}"/>
    <cellStyle name="Obično 3 2 3 3" xfId="1618" xr:uid="{00000000-0005-0000-0000-000041090000}"/>
    <cellStyle name="Obično 3 2 3 3 2" xfId="2620" xr:uid="{00000000-0005-0000-0000-000042090000}"/>
    <cellStyle name="Obično 3 2 4" xfId="1619" xr:uid="{00000000-0005-0000-0000-000043090000}"/>
    <cellStyle name="Obično 3 2 4 2" xfId="2621" xr:uid="{00000000-0005-0000-0000-000044090000}"/>
    <cellStyle name="Obično 3 20" xfId="1620" xr:uid="{00000000-0005-0000-0000-000045090000}"/>
    <cellStyle name="Obično 3 20 2" xfId="1621" xr:uid="{00000000-0005-0000-0000-000046090000}"/>
    <cellStyle name="Obično 3 20 3" xfId="1622" xr:uid="{00000000-0005-0000-0000-000047090000}"/>
    <cellStyle name="Obično 3 20 3 2" xfId="2622" xr:uid="{00000000-0005-0000-0000-000048090000}"/>
    <cellStyle name="Obično 3 21" xfId="1623" xr:uid="{00000000-0005-0000-0000-000049090000}"/>
    <cellStyle name="Obično 3 21 2" xfId="1624" xr:uid="{00000000-0005-0000-0000-00004A090000}"/>
    <cellStyle name="Obično 3 21 3" xfId="1625" xr:uid="{00000000-0005-0000-0000-00004B090000}"/>
    <cellStyle name="Obično 3 21 3 2" xfId="2623" xr:uid="{00000000-0005-0000-0000-00004C090000}"/>
    <cellStyle name="Obično 3 22" xfId="1626" xr:uid="{00000000-0005-0000-0000-00004D090000}"/>
    <cellStyle name="Obično 3 22 2" xfId="1627" xr:uid="{00000000-0005-0000-0000-00004E090000}"/>
    <cellStyle name="Obično 3 22 3" xfId="1628" xr:uid="{00000000-0005-0000-0000-00004F090000}"/>
    <cellStyle name="Obično 3 22 3 2" xfId="2624" xr:uid="{00000000-0005-0000-0000-000050090000}"/>
    <cellStyle name="Obično 3 23" xfId="1629" xr:uid="{00000000-0005-0000-0000-000051090000}"/>
    <cellStyle name="Obično 3 23 2" xfId="1630" xr:uid="{00000000-0005-0000-0000-000052090000}"/>
    <cellStyle name="Obično 3 23 3" xfId="1631" xr:uid="{00000000-0005-0000-0000-000053090000}"/>
    <cellStyle name="Obično 3 23 3 2" xfId="2625" xr:uid="{00000000-0005-0000-0000-000054090000}"/>
    <cellStyle name="Obično 3 24" xfId="1632" xr:uid="{00000000-0005-0000-0000-000055090000}"/>
    <cellStyle name="Obično 3 24 2" xfId="1633" xr:uid="{00000000-0005-0000-0000-000056090000}"/>
    <cellStyle name="Obično 3 24 3" xfId="1634" xr:uid="{00000000-0005-0000-0000-000057090000}"/>
    <cellStyle name="Obično 3 24 3 2" xfId="2626" xr:uid="{00000000-0005-0000-0000-000058090000}"/>
    <cellStyle name="Obično 3 25" xfId="1635" xr:uid="{00000000-0005-0000-0000-000059090000}"/>
    <cellStyle name="Obično 3 25 2" xfId="1636" xr:uid="{00000000-0005-0000-0000-00005A090000}"/>
    <cellStyle name="Obično 3 25 3" xfId="1637" xr:uid="{00000000-0005-0000-0000-00005B090000}"/>
    <cellStyle name="Obično 3 25 3 2" xfId="2627" xr:uid="{00000000-0005-0000-0000-00005C090000}"/>
    <cellStyle name="Obično 3 26" xfId="1638" xr:uid="{00000000-0005-0000-0000-00005D090000}"/>
    <cellStyle name="Obično 3 26 2" xfId="1639" xr:uid="{00000000-0005-0000-0000-00005E090000}"/>
    <cellStyle name="Obično 3 26 3" xfId="1640" xr:uid="{00000000-0005-0000-0000-00005F090000}"/>
    <cellStyle name="Obično 3 26 3 2" xfId="2628" xr:uid="{00000000-0005-0000-0000-000060090000}"/>
    <cellStyle name="Obično 3 27" xfId="1641" xr:uid="{00000000-0005-0000-0000-000061090000}"/>
    <cellStyle name="Obično 3 3" xfId="1642" xr:uid="{00000000-0005-0000-0000-000062090000}"/>
    <cellStyle name="Obično 3 3 2" xfId="1643" xr:uid="{00000000-0005-0000-0000-000063090000}"/>
    <cellStyle name="Obično 3 3 3" xfId="1644" xr:uid="{00000000-0005-0000-0000-000064090000}"/>
    <cellStyle name="Obično 3 3 3 2" xfId="2629" xr:uid="{00000000-0005-0000-0000-000065090000}"/>
    <cellStyle name="Obično 3 4" xfId="1645" xr:uid="{00000000-0005-0000-0000-000066090000}"/>
    <cellStyle name="Obično 3 4 2" xfId="1646" xr:uid="{00000000-0005-0000-0000-000067090000}"/>
    <cellStyle name="Obično 3 4 3" xfId="1647" xr:uid="{00000000-0005-0000-0000-000068090000}"/>
    <cellStyle name="Obično 3 4 3 2" xfId="2630" xr:uid="{00000000-0005-0000-0000-000069090000}"/>
    <cellStyle name="Obično 3 5" xfId="1648" xr:uid="{00000000-0005-0000-0000-00006A090000}"/>
    <cellStyle name="Obično 3 5 2" xfId="1649" xr:uid="{00000000-0005-0000-0000-00006B090000}"/>
    <cellStyle name="Obično 3 5 3" xfId="1650" xr:uid="{00000000-0005-0000-0000-00006C090000}"/>
    <cellStyle name="Obično 3 5 3 2" xfId="2631" xr:uid="{00000000-0005-0000-0000-00006D090000}"/>
    <cellStyle name="Obično 3 6" xfId="1651" xr:uid="{00000000-0005-0000-0000-00006E090000}"/>
    <cellStyle name="Obično 3 6 2" xfId="1652" xr:uid="{00000000-0005-0000-0000-00006F090000}"/>
    <cellStyle name="Obično 3 6 3" xfId="1653" xr:uid="{00000000-0005-0000-0000-000070090000}"/>
    <cellStyle name="Obično 3 6 3 2" xfId="2632" xr:uid="{00000000-0005-0000-0000-000071090000}"/>
    <cellStyle name="Obično 3 7" xfId="1654" xr:uid="{00000000-0005-0000-0000-000072090000}"/>
    <cellStyle name="Obično 3 7 2" xfId="1655" xr:uid="{00000000-0005-0000-0000-000073090000}"/>
    <cellStyle name="Obično 3 7 3" xfId="1656" xr:uid="{00000000-0005-0000-0000-000074090000}"/>
    <cellStyle name="Obično 3 7 3 2" xfId="2633" xr:uid="{00000000-0005-0000-0000-000075090000}"/>
    <cellStyle name="Obično 3 8" xfId="1657" xr:uid="{00000000-0005-0000-0000-000076090000}"/>
    <cellStyle name="Obično 3 8 2" xfId="1658" xr:uid="{00000000-0005-0000-0000-000077090000}"/>
    <cellStyle name="Obično 3 8 3" xfId="1659" xr:uid="{00000000-0005-0000-0000-000078090000}"/>
    <cellStyle name="Obično 3 8 3 2" xfId="2634" xr:uid="{00000000-0005-0000-0000-000079090000}"/>
    <cellStyle name="Obično 3 9" xfId="1660" xr:uid="{00000000-0005-0000-0000-00007A090000}"/>
    <cellStyle name="Obično 3 9 2" xfId="1661" xr:uid="{00000000-0005-0000-0000-00007B090000}"/>
    <cellStyle name="Obično 3 9 3" xfId="1662" xr:uid="{00000000-0005-0000-0000-00007C090000}"/>
    <cellStyle name="Obično 3 9 3 2" xfId="2635" xr:uid="{00000000-0005-0000-0000-00007D090000}"/>
    <cellStyle name="Obično 30" xfId="1663" xr:uid="{00000000-0005-0000-0000-00007E090000}"/>
    <cellStyle name="Obično 30 2" xfId="1664" xr:uid="{00000000-0005-0000-0000-00007F090000}"/>
    <cellStyle name="Obično 30 2 2" xfId="2984" xr:uid="{00000000-0005-0000-0000-000080090000}"/>
    <cellStyle name="Obično 31" xfId="1665" xr:uid="{00000000-0005-0000-0000-000081090000}"/>
    <cellStyle name="Obično 31 2" xfId="1666" xr:uid="{00000000-0005-0000-0000-000082090000}"/>
    <cellStyle name="Obično 31 2 2" xfId="2983" xr:uid="{00000000-0005-0000-0000-000083090000}"/>
    <cellStyle name="Obično 31 3" xfId="3212" xr:uid="{00000000-0005-0000-0000-000084090000}"/>
    <cellStyle name="Obično 32" xfId="1667" xr:uid="{00000000-0005-0000-0000-000085090000}"/>
    <cellStyle name="Obično 32 2" xfId="1668" xr:uid="{00000000-0005-0000-0000-000086090000}"/>
    <cellStyle name="Obično 32 2 2" xfId="2982" xr:uid="{00000000-0005-0000-0000-000087090000}"/>
    <cellStyle name="Obično 32 2 3" xfId="3210" xr:uid="{00000000-0005-0000-0000-000088090000}"/>
    <cellStyle name="Obično 32 3" xfId="3211" xr:uid="{00000000-0005-0000-0000-000089090000}"/>
    <cellStyle name="Obično 33" xfId="1669" xr:uid="{00000000-0005-0000-0000-00008A090000}"/>
    <cellStyle name="Obično 33 2" xfId="1670" xr:uid="{00000000-0005-0000-0000-00008B090000}"/>
    <cellStyle name="Obično 33 2 2" xfId="2981" xr:uid="{00000000-0005-0000-0000-00008C090000}"/>
    <cellStyle name="Obično 34" xfId="1671" xr:uid="{00000000-0005-0000-0000-00008D090000}"/>
    <cellStyle name="Obično 34 2" xfId="1672" xr:uid="{00000000-0005-0000-0000-00008E090000}"/>
    <cellStyle name="Obično 34 2 2" xfId="2980" xr:uid="{00000000-0005-0000-0000-00008F090000}"/>
    <cellStyle name="Obično 35" xfId="1673" xr:uid="{00000000-0005-0000-0000-000090090000}"/>
    <cellStyle name="Obično 35 2" xfId="1674" xr:uid="{00000000-0005-0000-0000-000091090000}"/>
    <cellStyle name="Obično 35 2 2" xfId="2979" xr:uid="{00000000-0005-0000-0000-000092090000}"/>
    <cellStyle name="Obično 35 2 3" xfId="3208" xr:uid="{00000000-0005-0000-0000-000093090000}"/>
    <cellStyle name="Obično 35 3" xfId="3209" xr:uid="{00000000-0005-0000-0000-000094090000}"/>
    <cellStyle name="Obično 36" xfId="1675" xr:uid="{00000000-0005-0000-0000-000095090000}"/>
    <cellStyle name="Obično 36 2" xfId="1676" xr:uid="{00000000-0005-0000-0000-000096090000}"/>
    <cellStyle name="Obično 36 2 2" xfId="1677" xr:uid="{00000000-0005-0000-0000-000097090000}"/>
    <cellStyle name="Obično 36 2 3" xfId="1678" xr:uid="{00000000-0005-0000-0000-000098090000}"/>
    <cellStyle name="Obično 36 2 3 2" xfId="2636" xr:uid="{00000000-0005-0000-0000-000099090000}"/>
    <cellStyle name="Obično 36 3" xfId="1679" xr:uid="{00000000-0005-0000-0000-00009A090000}"/>
    <cellStyle name="Obično 36 4" xfId="1680" xr:uid="{00000000-0005-0000-0000-00009B090000}"/>
    <cellStyle name="Obično 36 4 2" xfId="2637" xr:uid="{00000000-0005-0000-0000-00009C090000}"/>
    <cellStyle name="Obično 37" xfId="1681" xr:uid="{00000000-0005-0000-0000-00009D090000}"/>
    <cellStyle name="Obično 37 2" xfId="1682" xr:uid="{00000000-0005-0000-0000-00009E090000}"/>
    <cellStyle name="Obično 37 2 2" xfId="2978" xr:uid="{00000000-0005-0000-0000-00009F090000}"/>
    <cellStyle name="Obično 37 3" xfId="3207" xr:uid="{00000000-0005-0000-0000-0000A0090000}"/>
    <cellStyle name="Obično 38" xfId="1683" xr:uid="{00000000-0005-0000-0000-0000A1090000}"/>
    <cellStyle name="Obično 38 2" xfId="1684" xr:uid="{00000000-0005-0000-0000-0000A2090000}"/>
    <cellStyle name="Obično 38 2 2" xfId="2977" xr:uid="{00000000-0005-0000-0000-0000A3090000}"/>
    <cellStyle name="Obično 38 3" xfId="3206" xr:uid="{00000000-0005-0000-0000-0000A4090000}"/>
    <cellStyle name="Obično 39" xfId="1685" xr:uid="{00000000-0005-0000-0000-0000A5090000}"/>
    <cellStyle name="Obično 39 2" xfId="1686" xr:uid="{00000000-0005-0000-0000-0000A6090000}"/>
    <cellStyle name="Obično 39 2 2" xfId="2976" xr:uid="{00000000-0005-0000-0000-0000A7090000}"/>
    <cellStyle name="Obično 39 2 3" xfId="3204" xr:uid="{00000000-0005-0000-0000-0000A8090000}"/>
    <cellStyle name="Obično 39 3" xfId="3205" xr:uid="{00000000-0005-0000-0000-0000A9090000}"/>
    <cellStyle name="Obično 4" xfId="1687" xr:uid="{00000000-0005-0000-0000-0000AA090000}"/>
    <cellStyle name="Obično 4 10" xfId="1688" xr:uid="{00000000-0005-0000-0000-0000AB090000}"/>
    <cellStyle name="Obično 4 10 2" xfId="1689" xr:uid="{00000000-0005-0000-0000-0000AC090000}"/>
    <cellStyle name="Obično 4 10 3" xfId="1690" xr:uid="{00000000-0005-0000-0000-0000AD090000}"/>
    <cellStyle name="Obično 4 10 3 2" xfId="2638" xr:uid="{00000000-0005-0000-0000-0000AE090000}"/>
    <cellStyle name="Obično 4 11" xfId="1691" xr:uid="{00000000-0005-0000-0000-0000AF090000}"/>
    <cellStyle name="Obično 4 11 2" xfId="1692" xr:uid="{00000000-0005-0000-0000-0000B0090000}"/>
    <cellStyle name="Obično 4 11 3" xfId="1693" xr:uid="{00000000-0005-0000-0000-0000B1090000}"/>
    <cellStyle name="Obično 4 11 3 2" xfId="2639" xr:uid="{00000000-0005-0000-0000-0000B2090000}"/>
    <cellStyle name="Obično 4 12" xfId="1694" xr:uid="{00000000-0005-0000-0000-0000B3090000}"/>
    <cellStyle name="Obično 4 12 2" xfId="1695" xr:uid="{00000000-0005-0000-0000-0000B4090000}"/>
    <cellStyle name="Obično 4 12 3" xfId="1696" xr:uid="{00000000-0005-0000-0000-0000B5090000}"/>
    <cellStyle name="Obično 4 12 3 2" xfId="2640" xr:uid="{00000000-0005-0000-0000-0000B6090000}"/>
    <cellStyle name="Obično 4 13" xfId="1697" xr:uid="{00000000-0005-0000-0000-0000B7090000}"/>
    <cellStyle name="Obično 4 13 2" xfId="1698" xr:uid="{00000000-0005-0000-0000-0000B8090000}"/>
    <cellStyle name="Obično 4 13 3" xfId="1699" xr:uid="{00000000-0005-0000-0000-0000B9090000}"/>
    <cellStyle name="Obično 4 13 3 2" xfId="2641" xr:uid="{00000000-0005-0000-0000-0000BA090000}"/>
    <cellStyle name="Obično 4 14" xfId="1700" xr:uid="{00000000-0005-0000-0000-0000BB090000}"/>
    <cellStyle name="Obično 4 14 2" xfId="1701" xr:uid="{00000000-0005-0000-0000-0000BC090000}"/>
    <cellStyle name="Obično 4 14 3" xfId="1702" xr:uid="{00000000-0005-0000-0000-0000BD090000}"/>
    <cellStyle name="Obično 4 14 3 2" xfId="2642" xr:uid="{00000000-0005-0000-0000-0000BE090000}"/>
    <cellStyle name="Obično 4 15" xfId="1703" xr:uid="{00000000-0005-0000-0000-0000BF090000}"/>
    <cellStyle name="Obično 4 15 2" xfId="1704" xr:uid="{00000000-0005-0000-0000-0000C0090000}"/>
    <cellStyle name="Obično 4 15 3" xfId="1705" xr:uid="{00000000-0005-0000-0000-0000C1090000}"/>
    <cellStyle name="Obično 4 15 3 2" xfId="2643" xr:uid="{00000000-0005-0000-0000-0000C2090000}"/>
    <cellStyle name="Obično 4 16" xfId="1706" xr:uid="{00000000-0005-0000-0000-0000C3090000}"/>
    <cellStyle name="Obično 4 16 2" xfId="1707" xr:uid="{00000000-0005-0000-0000-0000C4090000}"/>
    <cellStyle name="Obično 4 16 3" xfId="1708" xr:uid="{00000000-0005-0000-0000-0000C5090000}"/>
    <cellStyle name="Obično 4 16 3 2" xfId="2644" xr:uid="{00000000-0005-0000-0000-0000C6090000}"/>
    <cellStyle name="Obično 4 17" xfId="1709" xr:uid="{00000000-0005-0000-0000-0000C7090000}"/>
    <cellStyle name="Obično 4 17 2" xfId="1710" xr:uid="{00000000-0005-0000-0000-0000C8090000}"/>
    <cellStyle name="Obično 4 17 3" xfId="1711" xr:uid="{00000000-0005-0000-0000-0000C9090000}"/>
    <cellStyle name="Obično 4 17 3 2" xfId="2645" xr:uid="{00000000-0005-0000-0000-0000CA090000}"/>
    <cellStyle name="Obično 4 18" xfId="1712" xr:uid="{00000000-0005-0000-0000-0000CB090000}"/>
    <cellStyle name="Obično 4 18 2" xfId="1713" xr:uid="{00000000-0005-0000-0000-0000CC090000}"/>
    <cellStyle name="Obično 4 18 3" xfId="1714" xr:uid="{00000000-0005-0000-0000-0000CD090000}"/>
    <cellStyle name="Obično 4 18 3 2" xfId="2646" xr:uid="{00000000-0005-0000-0000-0000CE090000}"/>
    <cellStyle name="Obično 4 19" xfId="1715" xr:uid="{00000000-0005-0000-0000-0000CF090000}"/>
    <cellStyle name="Obično 4 19 2" xfId="1716" xr:uid="{00000000-0005-0000-0000-0000D0090000}"/>
    <cellStyle name="Obično 4 19 3" xfId="1717" xr:uid="{00000000-0005-0000-0000-0000D1090000}"/>
    <cellStyle name="Obično 4 19 3 2" xfId="2647" xr:uid="{00000000-0005-0000-0000-0000D2090000}"/>
    <cellStyle name="Obično 4 2" xfId="1718" xr:uid="{00000000-0005-0000-0000-0000D3090000}"/>
    <cellStyle name="Obično 4 2 2" xfId="1719" xr:uid="{00000000-0005-0000-0000-0000D4090000}"/>
    <cellStyle name="Obično 4 2 3" xfId="1720" xr:uid="{00000000-0005-0000-0000-0000D5090000}"/>
    <cellStyle name="Obično 4 2 3 2" xfId="2648" xr:uid="{00000000-0005-0000-0000-0000D6090000}"/>
    <cellStyle name="Obično 4 20" xfId="1721" xr:uid="{00000000-0005-0000-0000-0000D7090000}"/>
    <cellStyle name="Obično 4 20 2" xfId="1722" xr:uid="{00000000-0005-0000-0000-0000D8090000}"/>
    <cellStyle name="Obično 4 20 3" xfId="1723" xr:uid="{00000000-0005-0000-0000-0000D9090000}"/>
    <cellStyle name="Obično 4 20 3 2" xfId="2649" xr:uid="{00000000-0005-0000-0000-0000DA090000}"/>
    <cellStyle name="Obično 4 21" xfId="1724" xr:uid="{00000000-0005-0000-0000-0000DB090000}"/>
    <cellStyle name="Obično 4 21 2" xfId="1725" xr:uid="{00000000-0005-0000-0000-0000DC090000}"/>
    <cellStyle name="Obično 4 21 3" xfId="1726" xr:uid="{00000000-0005-0000-0000-0000DD090000}"/>
    <cellStyle name="Obično 4 21 3 2" xfId="2650" xr:uid="{00000000-0005-0000-0000-0000DE090000}"/>
    <cellStyle name="Obično 4 22" xfId="1727" xr:uid="{00000000-0005-0000-0000-0000DF090000}"/>
    <cellStyle name="Obično 4 22 2" xfId="1728" xr:uid="{00000000-0005-0000-0000-0000E0090000}"/>
    <cellStyle name="Obično 4 22 3" xfId="1729" xr:uid="{00000000-0005-0000-0000-0000E1090000}"/>
    <cellStyle name="Obično 4 22 3 2" xfId="2651" xr:uid="{00000000-0005-0000-0000-0000E2090000}"/>
    <cellStyle name="Obično 4 23" xfId="1730" xr:uid="{00000000-0005-0000-0000-0000E3090000}"/>
    <cellStyle name="Obično 4 23 2" xfId="1731" xr:uid="{00000000-0005-0000-0000-0000E4090000}"/>
    <cellStyle name="Obično 4 23 3" xfId="1732" xr:uid="{00000000-0005-0000-0000-0000E5090000}"/>
    <cellStyle name="Obično 4 23 3 2" xfId="2652" xr:uid="{00000000-0005-0000-0000-0000E6090000}"/>
    <cellStyle name="Obično 4 24" xfId="1733" xr:uid="{00000000-0005-0000-0000-0000E7090000}"/>
    <cellStyle name="Obično 4 24 2" xfId="1734" xr:uid="{00000000-0005-0000-0000-0000E8090000}"/>
    <cellStyle name="Obično 4 24 3" xfId="1735" xr:uid="{00000000-0005-0000-0000-0000E9090000}"/>
    <cellStyle name="Obično 4 24 3 2" xfId="2653" xr:uid="{00000000-0005-0000-0000-0000EA090000}"/>
    <cellStyle name="Obično 4 25" xfId="1736" xr:uid="{00000000-0005-0000-0000-0000EB090000}"/>
    <cellStyle name="Obično 4 25 2" xfId="1737" xr:uid="{00000000-0005-0000-0000-0000EC090000}"/>
    <cellStyle name="Obično 4 25 3" xfId="1738" xr:uid="{00000000-0005-0000-0000-0000ED090000}"/>
    <cellStyle name="Obično 4 25 3 2" xfId="2654" xr:uid="{00000000-0005-0000-0000-0000EE090000}"/>
    <cellStyle name="Obično 4 26" xfId="1739" xr:uid="{00000000-0005-0000-0000-0000EF090000}"/>
    <cellStyle name="Obično 4 26 2" xfId="1740" xr:uid="{00000000-0005-0000-0000-0000F0090000}"/>
    <cellStyle name="Obično 4 26 3" xfId="1741" xr:uid="{00000000-0005-0000-0000-0000F1090000}"/>
    <cellStyle name="Obično 4 26 3 2" xfId="2655" xr:uid="{00000000-0005-0000-0000-0000F2090000}"/>
    <cellStyle name="Obično 4 27" xfId="1742" xr:uid="{00000000-0005-0000-0000-0000F3090000}"/>
    <cellStyle name="Obično 4 3" xfId="1743" xr:uid="{00000000-0005-0000-0000-0000F4090000}"/>
    <cellStyle name="Obično 4 3 2" xfId="1744" xr:uid="{00000000-0005-0000-0000-0000F5090000}"/>
    <cellStyle name="Obično 4 3 3" xfId="1745" xr:uid="{00000000-0005-0000-0000-0000F6090000}"/>
    <cellStyle name="Obično 4 3 3 2" xfId="2656" xr:uid="{00000000-0005-0000-0000-0000F7090000}"/>
    <cellStyle name="Obično 4 4" xfId="1746" xr:uid="{00000000-0005-0000-0000-0000F8090000}"/>
    <cellStyle name="Obično 4 4 2" xfId="1747" xr:uid="{00000000-0005-0000-0000-0000F9090000}"/>
    <cellStyle name="Obično 4 4 3" xfId="1748" xr:uid="{00000000-0005-0000-0000-0000FA090000}"/>
    <cellStyle name="Obično 4 4 3 2" xfId="2657" xr:uid="{00000000-0005-0000-0000-0000FB090000}"/>
    <cellStyle name="Obično 4 5" xfId="1749" xr:uid="{00000000-0005-0000-0000-0000FC090000}"/>
    <cellStyle name="Obično 4 5 2" xfId="1750" xr:uid="{00000000-0005-0000-0000-0000FD090000}"/>
    <cellStyle name="Obično 4 5 3" xfId="1751" xr:uid="{00000000-0005-0000-0000-0000FE090000}"/>
    <cellStyle name="Obično 4 5 3 2" xfId="2658" xr:uid="{00000000-0005-0000-0000-0000FF090000}"/>
    <cellStyle name="Obično 4 6" xfId="1752" xr:uid="{00000000-0005-0000-0000-0000000A0000}"/>
    <cellStyle name="Obično 4 6 2" xfId="1753" xr:uid="{00000000-0005-0000-0000-0000010A0000}"/>
    <cellStyle name="Obično 4 6 3" xfId="1754" xr:uid="{00000000-0005-0000-0000-0000020A0000}"/>
    <cellStyle name="Obično 4 6 3 2" xfId="2659" xr:uid="{00000000-0005-0000-0000-0000030A0000}"/>
    <cellStyle name="Obično 4 7" xfId="1755" xr:uid="{00000000-0005-0000-0000-0000040A0000}"/>
    <cellStyle name="Obično 4 7 2" xfId="1756" xr:uid="{00000000-0005-0000-0000-0000050A0000}"/>
    <cellStyle name="Obično 4 7 3" xfId="1757" xr:uid="{00000000-0005-0000-0000-0000060A0000}"/>
    <cellStyle name="Obično 4 7 3 2" xfId="2660" xr:uid="{00000000-0005-0000-0000-0000070A0000}"/>
    <cellStyle name="Obično 4 8" xfId="1758" xr:uid="{00000000-0005-0000-0000-0000080A0000}"/>
    <cellStyle name="Obično 4 8 2" xfId="1759" xr:uid="{00000000-0005-0000-0000-0000090A0000}"/>
    <cellStyle name="Obično 4 8 3" xfId="1760" xr:uid="{00000000-0005-0000-0000-00000A0A0000}"/>
    <cellStyle name="Obično 4 8 3 2" xfId="2661" xr:uid="{00000000-0005-0000-0000-00000B0A0000}"/>
    <cellStyle name="Obično 4 9" xfId="1761" xr:uid="{00000000-0005-0000-0000-00000C0A0000}"/>
    <cellStyle name="Obično 4 9 2" xfId="1762" xr:uid="{00000000-0005-0000-0000-00000D0A0000}"/>
    <cellStyle name="Obično 4 9 3" xfId="1763" xr:uid="{00000000-0005-0000-0000-00000E0A0000}"/>
    <cellStyle name="Obično 4 9 3 2" xfId="2662" xr:uid="{00000000-0005-0000-0000-00000F0A0000}"/>
    <cellStyle name="Obično 40" xfId="1764" xr:uid="{00000000-0005-0000-0000-0000100A0000}"/>
    <cellStyle name="Obično 40 2" xfId="1765" xr:uid="{00000000-0005-0000-0000-0000110A0000}"/>
    <cellStyle name="Obično 40 2 2" xfId="2975" xr:uid="{00000000-0005-0000-0000-0000120A0000}"/>
    <cellStyle name="Obično 41" xfId="1766" xr:uid="{00000000-0005-0000-0000-0000130A0000}"/>
    <cellStyle name="Obično 41 2" xfId="1767" xr:uid="{00000000-0005-0000-0000-0000140A0000}"/>
    <cellStyle name="Obično 41 2 2" xfId="2974" xr:uid="{00000000-0005-0000-0000-0000150A0000}"/>
    <cellStyle name="Obično 42" xfId="1768" xr:uid="{00000000-0005-0000-0000-0000160A0000}"/>
    <cellStyle name="Obično 42 2" xfId="1769" xr:uid="{00000000-0005-0000-0000-0000170A0000}"/>
    <cellStyle name="Obično 42 2 2" xfId="2973" xr:uid="{00000000-0005-0000-0000-0000180A0000}"/>
    <cellStyle name="Obično 42 3" xfId="3156" xr:uid="{00000000-0005-0000-0000-0000190A0000}"/>
    <cellStyle name="Obično 43" xfId="1770" xr:uid="{00000000-0005-0000-0000-00001A0A0000}"/>
    <cellStyle name="Obično 43 2" xfId="1771" xr:uid="{00000000-0005-0000-0000-00001B0A0000}"/>
    <cellStyle name="Obično 43 2 2" xfId="1772" xr:uid="{00000000-0005-0000-0000-00001C0A0000}"/>
    <cellStyle name="Obično 43 2 3" xfId="1773" xr:uid="{00000000-0005-0000-0000-00001D0A0000}"/>
    <cellStyle name="Obično 43 2 3 2" xfId="2663" xr:uid="{00000000-0005-0000-0000-00001E0A0000}"/>
    <cellStyle name="Obično 43 3" xfId="1774" xr:uid="{00000000-0005-0000-0000-00001F0A0000}"/>
    <cellStyle name="Obično 43 4" xfId="3155" xr:uid="{00000000-0005-0000-0000-0000200A0000}"/>
    <cellStyle name="Obično 44" xfId="1775" xr:uid="{00000000-0005-0000-0000-0000210A0000}"/>
    <cellStyle name="Obično 44 2" xfId="1776" xr:uid="{00000000-0005-0000-0000-0000220A0000}"/>
    <cellStyle name="Obično 44 2 2" xfId="2972" xr:uid="{00000000-0005-0000-0000-0000230A0000}"/>
    <cellStyle name="Obično 45" xfId="1777" xr:uid="{00000000-0005-0000-0000-0000240A0000}"/>
    <cellStyle name="Obično 45 2" xfId="1778" xr:uid="{00000000-0005-0000-0000-0000250A0000}"/>
    <cellStyle name="Obično 45 2 2" xfId="2971" xr:uid="{00000000-0005-0000-0000-0000260A0000}"/>
    <cellStyle name="Obično 46" xfId="1779" xr:uid="{00000000-0005-0000-0000-0000270A0000}"/>
    <cellStyle name="Obično 46 2" xfId="1780" xr:uid="{00000000-0005-0000-0000-0000280A0000}"/>
    <cellStyle name="Obično 46 2 2" xfId="1781" xr:uid="{00000000-0005-0000-0000-0000290A0000}"/>
    <cellStyle name="Obično 46 2 3" xfId="1782" xr:uid="{00000000-0005-0000-0000-00002A0A0000}"/>
    <cellStyle name="Obično 46 2 3 2" xfId="2664" xr:uid="{00000000-0005-0000-0000-00002B0A0000}"/>
    <cellStyle name="Obično 46 3" xfId="1783" xr:uid="{00000000-0005-0000-0000-00002C0A0000}"/>
    <cellStyle name="Obično 47" xfId="1784" xr:uid="{00000000-0005-0000-0000-00002D0A0000}"/>
    <cellStyle name="Obično 47 2" xfId="1785" xr:uid="{00000000-0005-0000-0000-00002E0A0000}"/>
    <cellStyle name="Obično 47 2 2" xfId="1786" xr:uid="{00000000-0005-0000-0000-00002F0A0000}"/>
    <cellStyle name="Obično 47 2 3" xfId="1787" xr:uid="{00000000-0005-0000-0000-0000300A0000}"/>
    <cellStyle name="Obično 47 2 3 2" xfId="2665" xr:uid="{00000000-0005-0000-0000-0000310A0000}"/>
    <cellStyle name="Obično 47 3" xfId="1788" xr:uid="{00000000-0005-0000-0000-0000320A0000}"/>
    <cellStyle name="Obično 48" xfId="1789" xr:uid="{00000000-0005-0000-0000-0000330A0000}"/>
    <cellStyle name="Obično 48 2" xfId="1790" xr:uid="{00000000-0005-0000-0000-0000340A0000}"/>
    <cellStyle name="Obično 48 2 2" xfId="2970" xr:uid="{00000000-0005-0000-0000-0000350A0000}"/>
    <cellStyle name="Obično 49" xfId="1791" xr:uid="{00000000-0005-0000-0000-0000360A0000}"/>
    <cellStyle name="Obično 49 2" xfId="1792" xr:uid="{00000000-0005-0000-0000-0000370A0000}"/>
    <cellStyle name="Obično 49 2 2" xfId="2969" xr:uid="{00000000-0005-0000-0000-0000380A0000}"/>
    <cellStyle name="Obično 5" xfId="1793" xr:uid="{00000000-0005-0000-0000-0000390A0000}"/>
    <cellStyle name="Obično 5 10" xfId="1794" xr:uid="{00000000-0005-0000-0000-00003A0A0000}"/>
    <cellStyle name="Obično 5 10 2" xfId="1795" xr:uid="{00000000-0005-0000-0000-00003B0A0000}"/>
    <cellStyle name="Obično 5 10 3" xfId="1796" xr:uid="{00000000-0005-0000-0000-00003C0A0000}"/>
    <cellStyle name="Obično 5 10 3 2" xfId="2666" xr:uid="{00000000-0005-0000-0000-00003D0A0000}"/>
    <cellStyle name="Obično 5 11" xfId="1797" xr:uid="{00000000-0005-0000-0000-00003E0A0000}"/>
    <cellStyle name="Obično 5 11 2" xfId="1798" xr:uid="{00000000-0005-0000-0000-00003F0A0000}"/>
    <cellStyle name="Obično 5 11 3" xfId="1799" xr:uid="{00000000-0005-0000-0000-0000400A0000}"/>
    <cellStyle name="Obično 5 11 3 2" xfId="2667" xr:uid="{00000000-0005-0000-0000-0000410A0000}"/>
    <cellStyle name="Obično 5 12" xfId="1800" xr:uid="{00000000-0005-0000-0000-0000420A0000}"/>
    <cellStyle name="Obično 5 12 2" xfId="1801" xr:uid="{00000000-0005-0000-0000-0000430A0000}"/>
    <cellStyle name="Obično 5 12 3" xfId="1802" xr:uid="{00000000-0005-0000-0000-0000440A0000}"/>
    <cellStyle name="Obično 5 12 3 2" xfId="2668" xr:uid="{00000000-0005-0000-0000-0000450A0000}"/>
    <cellStyle name="Obično 5 13" xfId="1803" xr:uid="{00000000-0005-0000-0000-0000460A0000}"/>
    <cellStyle name="Obično 5 2" xfId="1804" xr:uid="{00000000-0005-0000-0000-0000470A0000}"/>
    <cellStyle name="Obično 5 2 2" xfId="1805" xr:uid="{00000000-0005-0000-0000-0000480A0000}"/>
    <cellStyle name="Obično 5 2 3" xfId="1806" xr:uid="{00000000-0005-0000-0000-0000490A0000}"/>
    <cellStyle name="Obično 5 2 3 2" xfId="2669" xr:uid="{00000000-0005-0000-0000-00004A0A0000}"/>
    <cellStyle name="Obično 5 3" xfId="1807" xr:uid="{00000000-0005-0000-0000-00004B0A0000}"/>
    <cellStyle name="Obično 5 3 2" xfId="1808" xr:uid="{00000000-0005-0000-0000-00004C0A0000}"/>
    <cellStyle name="Obično 5 3 3" xfId="1809" xr:uid="{00000000-0005-0000-0000-00004D0A0000}"/>
    <cellStyle name="Obično 5 3 3 2" xfId="2670" xr:uid="{00000000-0005-0000-0000-00004E0A0000}"/>
    <cellStyle name="Obično 5 4" xfId="1810" xr:uid="{00000000-0005-0000-0000-00004F0A0000}"/>
    <cellStyle name="Obično 5 4 2" xfId="1811" xr:uid="{00000000-0005-0000-0000-0000500A0000}"/>
    <cellStyle name="Obično 5 4 3" xfId="1812" xr:uid="{00000000-0005-0000-0000-0000510A0000}"/>
    <cellStyle name="Obično 5 4 3 2" xfId="2671" xr:uid="{00000000-0005-0000-0000-0000520A0000}"/>
    <cellStyle name="Obično 5 5" xfId="1813" xr:uid="{00000000-0005-0000-0000-0000530A0000}"/>
    <cellStyle name="Obično 5 5 2" xfId="1814" xr:uid="{00000000-0005-0000-0000-0000540A0000}"/>
    <cellStyle name="Obično 5 5 3" xfId="1815" xr:uid="{00000000-0005-0000-0000-0000550A0000}"/>
    <cellStyle name="Obično 5 5 3 2" xfId="2672" xr:uid="{00000000-0005-0000-0000-0000560A0000}"/>
    <cellStyle name="Obično 5 6" xfId="1816" xr:uid="{00000000-0005-0000-0000-0000570A0000}"/>
    <cellStyle name="Obično 5 6 2" xfId="1817" xr:uid="{00000000-0005-0000-0000-0000580A0000}"/>
    <cellStyle name="Obično 5 6 3" xfId="1818" xr:uid="{00000000-0005-0000-0000-0000590A0000}"/>
    <cellStyle name="Obično 5 6 3 2" xfId="2673" xr:uid="{00000000-0005-0000-0000-00005A0A0000}"/>
    <cellStyle name="Obično 5 7" xfId="1819" xr:uid="{00000000-0005-0000-0000-00005B0A0000}"/>
    <cellStyle name="Obično 5 7 2" xfId="1820" xr:uid="{00000000-0005-0000-0000-00005C0A0000}"/>
    <cellStyle name="Obično 5 7 3" xfId="1821" xr:uid="{00000000-0005-0000-0000-00005D0A0000}"/>
    <cellStyle name="Obično 5 7 3 2" xfId="2674" xr:uid="{00000000-0005-0000-0000-00005E0A0000}"/>
    <cellStyle name="Obično 5 8" xfId="1822" xr:uid="{00000000-0005-0000-0000-00005F0A0000}"/>
    <cellStyle name="Obično 5 8 2" xfId="1823" xr:uid="{00000000-0005-0000-0000-0000600A0000}"/>
    <cellStyle name="Obično 5 8 3" xfId="1824" xr:uid="{00000000-0005-0000-0000-0000610A0000}"/>
    <cellStyle name="Obično 5 8 3 2" xfId="2675" xr:uid="{00000000-0005-0000-0000-0000620A0000}"/>
    <cellStyle name="Obično 5 9" xfId="1825" xr:uid="{00000000-0005-0000-0000-0000630A0000}"/>
    <cellStyle name="Obično 5 9 2" xfId="1826" xr:uid="{00000000-0005-0000-0000-0000640A0000}"/>
    <cellStyle name="Obično 5 9 3" xfId="1827" xr:uid="{00000000-0005-0000-0000-0000650A0000}"/>
    <cellStyle name="Obično 5 9 3 2" xfId="2676" xr:uid="{00000000-0005-0000-0000-0000660A0000}"/>
    <cellStyle name="Obično 50" xfId="1828" xr:uid="{00000000-0005-0000-0000-0000670A0000}"/>
    <cellStyle name="Obično 50 2" xfId="1829" xr:uid="{00000000-0005-0000-0000-0000680A0000}"/>
    <cellStyle name="Obično 50 2 2" xfId="2968" xr:uid="{00000000-0005-0000-0000-0000690A0000}"/>
    <cellStyle name="Obično 51" xfId="1830" xr:uid="{00000000-0005-0000-0000-00006A0A0000}"/>
    <cellStyle name="Obično 51 2" xfId="1831" xr:uid="{00000000-0005-0000-0000-00006B0A0000}"/>
    <cellStyle name="Obično 51 2 2" xfId="2967" xr:uid="{00000000-0005-0000-0000-00006C0A0000}"/>
    <cellStyle name="Obično 52" xfId="1832" xr:uid="{00000000-0005-0000-0000-00006D0A0000}"/>
    <cellStyle name="Obično 52 2" xfId="1833" xr:uid="{00000000-0005-0000-0000-00006E0A0000}"/>
    <cellStyle name="Obično 52 2 2" xfId="1834" xr:uid="{00000000-0005-0000-0000-00006F0A0000}"/>
    <cellStyle name="Obično 52 2 3" xfId="1835" xr:uid="{00000000-0005-0000-0000-0000700A0000}"/>
    <cellStyle name="Obično 52 2 3 2" xfId="2677" xr:uid="{00000000-0005-0000-0000-0000710A0000}"/>
    <cellStyle name="Obično 52 3" xfId="1836" xr:uid="{00000000-0005-0000-0000-0000720A0000}"/>
    <cellStyle name="Obično 53" xfId="1837" xr:uid="{00000000-0005-0000-0000-0000730A0000}"/>
    <cellStyle name="Obično 53 2" xfId="1838" xr:uid="{00000000-0005-0000-0000-0000740A0000}"/>
    <cellStyle name="Obično 53 2 2" xfId="1839" xr:uid="{00000000-0005-0000-0000-0000750A0000}"/>
    <cellStyle name="Obično 53 2 3" xfId="1840" xr:uid="{00000000-0005-0000-0000-0000760A0000}"/>
    <cellStyle name="Obično 53 2 3 2" xfId="2678" xr:uid="{00000000-0005-0000-0000-0000770A0000}"/>
    <cellStyle name="Obično 53 3" xfId="1841" xr:uid="{00000000-0005-0000-0000-0000780A0000}"/>
    <cellStyle name="Obično 54" xfId="1842" xr:uid="{00000000-0005-0000-0000-0000790A0000}"/>
    <cellStyle name="Obično 54 2" xfId="1843" xr:uid="{00000000-0005-0000-0000-00007A0A0000}"/>
    <cellStyle name="Obično 54 2 2" xfId="1844" xr:uid="{00000000-0005-0000-0000-00007B0A0000}"/>
    <cellStyle name="Obično 54 2 3" xfId="1845" xr:uid="{00000000-0005-0000-0000-00007C0A0000}"/>
    <cellStyle name="Obično 54 2 3 2" xfId="2679" xr:uid="{00000000-0005-0000-0000-00007D0A0000}"/>
    <cellStyle name="Obično 54 3" xfId="1846" xr:uid="{00000000-0005-0000-0000-00007E0A0000}"/>
    <cellStyle name="Obično 55" xfId="1847" xr:uid="{00000000-0005-0000-0000-00007F0A0000}"/>
    <cellStyle name="Obično 55 2" xfId="1848" xr:uid="{00000000-0005-0000-0000-0000800A0000}"/>
    <cellStyle name="Obično 55 2 2" xfId="1849" xr:uid="{00000000-0005-0000-0000-0000810A0000}"/>
    <cellStyle name="Obično 55 2 3" xfId="1850" xr:uid="{00000000-0005-0000-0000-0000820A0000}"/>
    <cellStyle name="Obično 55 2 3 2" xfId="2680" xr:uid="{00000000-0005-0000-0000-0000830A0000}"/>
    <cellStyle name="Obično 55 3" xfId="1851" xr:uid="{00000000-0005-0000-0000-0000840A0000}"/>
    <cellStyle name="Obično 56" xfId="1852" xr:uid="{00000000-0005-0000-0000-0000850A0000}"/>
    <cellStyle name="Obično 56 2" xfId="1853" xr:uid="{00000000-0005-0000-0000-0000860A0000}"/>
    <cellStyle name="Obično 56 2 2" xfId="1854" xr:uid="{00000000-0005-0000-0000-0000870A0000}"/>
    <cellStyle name="Obično 56 2 3" xfId="1855" xr:uid="{00000000-0005-0000-0000-0000880A0000}"/>
    <cellStyle name="Obično 56 2 3 2" xfId="2681" xr:uid="{00000000-0005-0000-0000-0000890A0000}"/>
    <cellStyle name="Obično 56 3" xfId="1856" xr:uid="{00000000-0005-0000-0000-00008A0A0000}"/>
    <cellStyle name="Obično 57" xfId="1857" xr:uid="{00000000-0005-0000-0000-00008B0A0000}"/>
    <cellStyle name="Obično 57 2" xfId="1858" xr:uid="{00000000-0005-0000-0000-00008C0A0000}"/>
    <cellStyle name="Obično 57 2 2" xfId="2966" xr:uid="{00000000-0005-0000-0000-00008D0A0000}"/>
    <cellStyle name="Obično 58" xfId="1859" xr:uid="{00000000-0005-0000-0000-00008E0A0000}"/>
    <cellStyle name="Obično 58 2" xfId="1860" xr:uid="{00000000-0005-0000-0000-00008F0A0000}"/>
    <cellStyle name="Obično 58 2 2" xfId="1861" xr:uid="{00000000-0005-0000-0000-0000900A0000}"/>
    <cellStyle name="Obično 58 2 3" xfId="1862" xr:uid="{00000000-0005-0000-0000-0000910A0000}"/>
    <cellStyle name="Obično 58 2 3 2" xfId="2682" xr:uid="{00000000-0005-0000-0000-0000920A0000}"/>
    <cellStyle name="Obično 58 3" xfId="1863" xr:uid="{00000000-0005-0000-0000-0000930A0000}"/>
    <cellStyle name="Obično 59" xfId="1864" xr:uid="{00000000-0005-0000-0000-0000940A0000}"/>
    <cellStyle name="Obično 59 2" xfId="1865" xr:uid="{00000000-0005-0000-0000-0000950A0000}"/>
    <cellStyle name="Obično 59 2 2" xfId="1866" xr:uid="{00000000-0005-0000-0000-0000960A0000}"/>
    <cellStyle name="Obično 59 2 3" xfId="1867" xr:uid="{00000000-0005-0000-0000-0000970A0000}"/>
    <cellStyle name="Obično 59 2 3 2" xfId="2683" xr:uid="{00000000-0005-0000-0000-0000980A0000}"/>
    <cellStyle name="Obično 59 3" xfId="1868" xr:uid="{00000000-0005-0000-0000-0000990A0000}"/>
    <cellStyle name="Obično 6" xfId="1869" xr:uid="{00000000-0005-0000-0000-00009A0A0000}"/>
    <cellStyle name="Obično 6 10" xfId="1870" xr:uid="{00000000-0005-0000-0000-00009B0A0000}"/>
    <cellStyle name="Obično 6 10 2" xfId="1871" xr:uid="{00000000-0005-0000-0000-00009C0A0000}"/>
    <cellStyle name="Obično 6 10 3" xfId="1872" xr:uid="{00000000-0005-0000-0000-00009D0A0000}"/>
    <cellStyle name="Obično 6 10 3 2" xfId="2684" xr:uid="{00000000-0005-0000-0000-00009E0A0000}"/>
    <cellStyle name="Obično 6 11" xfId="1873" xr:uid="{00000000-0005-0000-0000-00009F0A0000}"/>
    <cellStyle name="Obično 6 11 2" xfId="1874" xr:uid="{00000000-0005-0000-0000-0000A00A0000}"/>
    <cellStyle name="Obično 6 11 3" xfId="1875" xr:uid="{00000000-0005-0000-0000-0000A10A0000}"/>
    <cellStyle name="Obično 6 11 3 2" xfId="2685" xr:uid="{00000000-0005-0000-0000-0000A20A0000}"/>
    <cellStyle name="Obično 6 12" xfId="1876" xr:uid="{00000000-0005-0000-0000-0000A30A0000}"/>
    <cellStyle name="Obično 6 12 2" xfId="1877" xr:uid="{00000000-0005-0000-0000-0000A40A0000}"/>
    <cellStyle name="Obično 6 12 3" xfId="1878" xr:uid="{00000000-0005-0000-0000-0000A50A0000}"/>
    <cellStyle name="Obično 6 12 3 2" xfId="2686" xr:uid="{00000000-0005-0000-0000-0000A60A0000}"/>
    <cellStyle name="Obično 6 13" xfId="1879" xr:uid="{00000000-0005-0000-0000-0000A70A0000}"/>
    <cellStyle name="Obično 6 14" xfId="3096" xr:uid="{00000000-0005-0000-0000-0000A80A0000}"/>
    <cellStyle name="Obično 6 2" xfId="1880" xr:uid="{00000000-0005-0000-0000-0000A90A0000}"/>
    <cellStyle name="Obično 6 2 2" xfId="1881" xr:uid="{00000000-0005-0000-0000-0000AA0A0000}"/>
    <cellStyle name="Obično 6 2 3" xfId="1882" xr:uid="{00000000-0005-0000-0000-0000AB0A0000}"/>
    <cellStyle name="Obično 6 2 3 2" xfId="2687" xr:uid="{00000000-0005-0000-0000-0000AC0A0000}"/>
    <cellStyle name="Obično 6 3" xfId="1883" xr:uid="{00000000-0005-0000-0000-0000AD0A0000}"/>
    <cellStyle name="Obično 6 3 2" xfId="1884" xr:uid="{00000000-0005-0000-0000-0000AE0A0000}"/>
    <cellStyle name="Obično 6 3 3" xfId="1885" xr:uid="{00000000-0005-0000-0000-0000AF0A0000}"/>
    <cellStyle name="Obično 6 3 3 2" xfId="2688" xr:uid="{00000000-0005-0000-0000-0000B00A0000}"/>
    <cellStyle name="Obično 6 4" xfId="1886" xr:uid="{00000000-0005-0000-0000-0000B10A0000}"/>
    <cellStyle name="Obično 6 4 2" xfId="1887" xr:uid="{00000000-0005-0000-0000-0000B20A0000}"/>
    <cellStyle name="Obično 6 4 3" xfId="1888" xr:uid="{00000000-0005-0000-0000-0000B30A0000}"/>
    <cellStyle name="Obično 6 4 3 2" xfId="2689" xr:uid="{00000000-0005-0000-0000-0000B40A0000}"/>
    <cellStyle name="Obično 6 5" xfId="1889" xr:uid="{00000000-0005-0000-0000-0000B50A0000}"/>
    <cellStyle name="Obično 6 5 2" xfId="1890" xr:uid="{00000000-0005-0000-0000-0000B60A0000}"/>
    <cellStyle name="Obično 6 5 3" xfId="1891" xr:uid="{00000000-0005-0000-0000-0000B70A0000}"/>
    <cellStyle name="Obično 6 5 3 2" xfId="2690" xr:uid="{00000000-0005-0000-0000-0000B80A0000}"/>
    <cellStyle name="Obično 6 6" xfId="1892" xr:uid="{00000000-0005-0000-0000-0000B90A0000}"/>
    <cellStyle name="Obično 6 6 2" xfId="1893" xr:uid="{00000000-0005-0000-0000-0000BA0A0000}"/>
    <cellStyle name="Obično 6 6 3" xfId="1894" xr:uid="{00000000-0005-0000-0000-0000BB0A0000}"/>
    <cellStyle name="Obično 6 6 3 2" xfId="2691" xr:uid="{00000000-0005-0000-0000-0000BC0A0000}"/>
    <cellStyle name="Obično 6 7" xfId="1895" xr:uid="{00000000-0005-0000-0000-0000BD0A0000}"/>
    <cellStyle name="Obično 6 7 2" xfId="1896" xr:uid="{00000000-0005-0000-0000-0000BE0A0000}"/>
    <cellStyle name="Obično 6 7 3" xfId="1897" xr:uid="{00000000-0005-0000-0000-0000BF0A0000}"/>
    <cellStyle name="Obično 6 7 3 2" xfId="2692" xr:uid="{00000000-0005-0000-0000-0000C00A0000}"/>
    <cellStyle name="Obično 6 8" xfId="1898" xr:uid="{00000000-0005-0000-0000-0000C10A0000}"/>
    <cellStyle name="Obično 6 8 2" xfId="1899" xr:uid="{00000000-0005-0000-0000-0000C20A0000}"/>
    <cellStyle name="Obično 6 8 3" xfId="1900" xr:uid="{00000000-0005-0000-0000-0000C30A0000}"/>
    <cellStyle name="Obično 6 8 3 2" xfId="2693" xr:uid="{00000000-0005-0000-0000-0000C40A0000}"/>
    <cellStyle name="Obično 6 9" xfId="1901" xr:uid="{00000000-0005-0000-0000-0000C50A0000}"/>
    <cellStyle name="Obično 6 9 2" xfId="1902" xr:uid="{00000000-0005-0000-0000-0000C60A0000}"/>
    <cellStyle name="Obično 6 9 3" xfId="1903" xr:uid="{00000000-0005-0000-0000-0000C70A0000}"/>
    <cellStyle name="Obično 6 9 3 2" xfId="2694" xr:uid="{00000000-0005-0000-0000-0000C80A0000}"/>
    <cellStyle name="Obično 60" xfId="1904" xr:uid="{00000000-0005-0000-0000-0000C90A0000}"/>
    <cellStyle name="Obično 60 2" xfId="1905" xr:uid="{00000000-0005-0000-0000-0000CA0A0000}"/>
    <cellStyle name="Obično 60 2 2" xfId="1906" xr:uid="{00000000-0005-0000-0000-0000CB0A0000}"/>
    <cellStyle name="Obično 60 2 3" xfId="1907" xr:uid="{00000000-0005-0000-0000-0000CC0A0000}"/>
    <cellStyle name="Obično 60 2 3 2" xfId="2695" xr:uid="{00000000-0005-0000-0000-0000CD0A0000}"/>
    <cellStyle name="Obično 60 3" xfId="1908" xr:uid="{00000000-0005-0000-0000-0000CE0A0000}"/>
    <cellStyle name="Obično 61" xfId="1909" xr:uid="{00000000-0005-0000-0000-0000CF0A0000}"/>
    <cellStyle name="Obično 61 2" xfId="1910" xr:uid="{00000000-0005-0000-0000-0000D00A0000}"/>
    <cellStyle name="Obično 61 2 2" xfId="1911" xr:uid="{00000000-0005-0000-0000-0000D10A0000}"/>
    <cellStyle name="Obično 61 2 3" xfId="1912" xr:uid="{00000000-0005-0000-0000-0000D20A0000}"/>
    <cellStyle name="Obično 61 2 3 2" xfId="2696" xr:uid="{00000000-0005-0000-0000-0000D30A0000}"/>
    <cellStyle name="Obično 61 3" xfId="1913" xr:uid="{00000000-0005-0000-0000-0000D40A0000}"/>
    <cellStyle name="Obično 62" xfId="1914" xr:uid="{00000000-0005-0000-0000-0000D50A0000}"/>
    <cellStyle name="Obično 62 2" xfId="1915" xr:uid="{00000000-0005-0000-0000-0000D60A0000}"/>
    <cellStyle name="Obično 62 2 2" xfId="1916" xr:uid="{00000000-0005-0000-0000-0000D70A0000}"/>
    <cellStyle name="Obično 62 2 3" xfId="1917" xr:uid="{00000000-0005-0000-0000-0000D80A0000}"/>
    <cellStyle name="Obično 62 2 3 2" xfId="2697" xr:uid="{00000000-0005-0000-0000-0000D90A0000}"/>
    <cellStyle name="Obično 62 3" xfId="1918" xr:uid="{00000000-0005-0000-0000-0000DA0A0000}"/>
    <cellStyle name="Obično 63" xfId="1919" xr:uid="{00000000-0005-0000-0000-0000DB0A0000}"/>
    <cellStyle name="Obično 63 2" xfId="1920" xr:uid="{00000000-0005-0000-0000-0000DC0A0000}"/>
    <cellStyle name="Obično 63 2 2" xfId="1921" xr:uid="{00000000-0005-0000-0000-0000DD0A0000}"/>
    <cellStyle name="Obično 63 2 3" xfId="1922" xr:uid="{00000000-0005-0000-0000-0000DE0A0000}"/>
    <cellStyle name="Obično 63 2 3 2" xfId="2698" xr:uid="{00000000-0005-0000-0000-0000DF0A0000}"/>
    <cellStyle name="Obično 63 3" xfId="1923" xr:uid="{00000000-0005-0000-0000-0000E00A0000}"/>
    <cellStyle name="Obično 64" xfId="1924" xr:uid="{00000000-0005-0000-0000-0000E10A0000}"/>
    <cellStyle name="Obično 64 2" xfId="1925" xr:uid="{00000000-0005-0000-0000-0000E20A0000}"/>
    <cellStyle name="Obično 64 2 2" xfId="1926" xr:uid="{00000000-0005-0000-0000-0000E30A0000}"/>
    <cellStyle name="Obično 64 2 3" xfId="1927" xr:uid="{00000000-0005-0000-0000-0000E40A0000}"/>
    <cellStyle name="Obično 64 2 3 2" xfId="2699" xr:uid="{00000000-0005-0000-0000-0000E50A0000}"/>
    <cellStyle name="Obično 64 3" xfId="1928" xr:uid="{00000000-0005-0000-0000-0000E60A0000}"/>
    <cellStyle name="Obično 65" xfId="1929" xr:uid="{00000000-0005-0000-0000-0000E70A0000}"/>
    <cellStyle name="Obično 65 2" xfId="1930" xr:uid="{00000000-0005-0000-0000-0000E80A0000}"/>
    <cellStyle name="Obično 65 2 2" xfId="1931" xr:uid="{00000000-0005-0000-0000-0000E90A0000}"/>
    <cellStyle name="Obično 65 2 3" xfId="1932" xr:uid="{00000000-0005-0000-0000-0000EA0A0000}"/>
    <cellStyle name="Obično 65 2 3 2" xfId="2700" xr:uid="{00000000-0005-0000-0000-0000EB0A0000}"/>
    <cellStyle name="Obično 65 3" xfId="1933" xr:uid="{00000000-0005-0000-0000-0000EC0A0000}"/>
    <cellStyle name="Obično 66" xfId="1934" xr:uid="{00000000-0005-0000-0000-0000ED0A0000}"/>
    <cellStyle name="Obično 66 2" xfId="1935" xr:uid="{00000000-0005-0000-0000-0000EE0A0000}"/>
    <cellStyle name="Obično 66 2 2" xfId="1936" xr:uid="{00000000-0005-0000-0000-0000EF0A0000}"/>
    <cellStyle name="Obično 66 2 3" xfId="1937" xr:uid="{00000000-0005-0000-0000-0000F00A0000}"/>
    <cellStyle name="Obično 66 2 3 2" xfId="2701" xr:uid="{00000000-0005-0000-0000-0000F10A0000}"/>
    <cellStyle name="Obično 66 3" xfId="1938" xr:uid="{00000000-0005-0000-0000-0000F20A0000}"/>
    <cellStyle name="Obično 67" xfId="1939" xr:uid="{00000000-0005-0000-0000-0000F30A0000}"/>
    <cellStyle name="Obično 67 2" xfId="1940" xr:uid="{00000000-0005-0000-0000-0000F40A0000}"/>
    <cellStyle name="Obično 67 2 2" xfId="1941" xr:uid="{00000000-0005-0000-0000-0000F50A0000}"/>
    <cellStyle name="Obično 67 2 3" xfId="1942" xr:uid="{00000000-0005-0000-0000-0000F60A0000}"/>
    <cellStyle name="Obično 67 2 3 2" xfId="2702" xr:uid="{00000000-0005-0000-0000-0000F70A0000}"/>
    <cellStyle name="Obično 67 3" xfId="1943" xr:uid="{00000000-0005-0000-0000-0000F80A0000}"/>
    <cellStyle name="Obično 68" xfId="1944" xr:uid="{00000000-0005-0000-0000-0000F90A0000}"/>
    <cellStyle name="Obično 68 2" xfId="1945" xr:uid="{00000000-0005-0000-0000-0000FA0A0000}"/>
    <cellStyle name="Obično 68 2 2" xfId="1946" xr:uid="{00000000-0005-0000-0000-0000FB0A0000}"/>
    <cellStyle name="Obično 68 2 3" xfId="1947" xr:uid="{00000000-0005-0000-0000-0000FC0A0000}"/>
    <cellStyle name="Obično 68 2 3 2" xfId="2703" xr:uid="{00000000-0005-0000-0000-0000FD0A0000}"/>
    <cellStyle name="Obično 68 3" xfId="1948" xr:uid="{00000000-0005-0000-0000-0000FE0A0000}"/>
    <cellStyle name="Obično 69" xfId="1949" xr:uid="{00000000-0005-0000-0000-0000FF0A0000}"/>
    <cellStyle name="Obično 69 2" xfId="1950" xr:uid="{00000000-0005-0000-0000-0000000B0000}"/>
    <cellStyle name="Obično 69 2 2" xfId="1951" xr:uid="{00000000-0005-0000-0000-0000010B0000}"/>
    <cellStyle name="Obično 69 2 3" xfId="1952" xr:uid="{00000000-0005-0000-0000-0000020B0000}"/>
    <cellStyle name="Obično 69 2 3 2" xfId="2704" xr:uid="{00000000-0005-0000-0000-0000030B0000}"/>
    <cellStyle name="Obično 69 3" xfId="1953" xr:uid="{00000000-0005-0000-0000-0000040B0000}"/>
    <cellStyle name="Obično 7" xfId="1954" xr:uid="{00000000-0005-0000-0000-0000050B0000}"/>
    <cellStyle name="Obično 7 10" xfId="1955" xr:uid="{00000000-0005-0000-0000-0000060B0000}"/>
    <cellStyle name="Obično 7 10 2" xfId="1956" xr:uid="{00000000-0005-0000-0000-0000070B0000}"/>
    <cellStyle name="Obično 7 10 3" xfId="1957" xr:uid="{00000000-0005-0000-0000-0000080B0000}"/>
    <cellStyle name="Obično 7 10 3 2" xfId="2705" xr:uid="{00000000-0005-0000-0000-0000090B0000}"/>
    <cellStyle name="Obično 7 11" xfId="1958" xr:uid="{00000000-0005-0000-0000-00000A0B0000}"/>
    <cellStyle name="Obično 7 11 2" xfId="1959" xr:uid="{00000000-0005-0000-0000-00000B0B0000}"/>
    <cellStyle name="Obično 7 11 3" xfId="1960" xr:uid="{00000000-0005-0000-0000-00000C0B0000}"/>
    <cellStyle name="Obično 7 11 3 2" xfId="2706" xr:uid="{00000000-0005-0000-0000-00000D0B0000}"/>
    <cellStyle name="Obično 7 12" xfId="1961" xr:uid="{00000000-0005-0000-0000-00000E0B0000}"/>
    <cellStyle name="Obično 7 12 2" xfId="1962" xr:uid="{00000000-0005-0000-0000-00000F0B0000}"/>
    <cellStyle name="Obično 7 12 3" xfId="1963" xr:uid="{00000000-0005-0000-0000-0000100B0000}"/>
    <cellStyle name="Obično 7 12 3 2" xfId="2707" xr:uid="{00000000-0005-0000-0000-0000110B0000}"/>
    <cellStyle name="Obično 7 13" xfId="1964" xr:uid="{00000000-0005-0000-0000-0000120B0000}"/>
    <cellStyle name="Obično 7 2" xfId="1965" xr:uid="{00000000-0005-0000-0000-0000130B0000}"/>
    <cellStyle name="Obično 7 2 2" xfId="1966" xr:uid="{00000000-0005-0000-0000-0000140B0000}"/>
    <cellStyle name="Obično 7 2 2 2" xfId="1967" xr:uid="{00000000-0005-0000-0000-0000150B0000}"/>
    <cellStyle name="Obično 7 2 2 3" xfId="1968" xr:uid="{00000000-0005-0000-0000-0000160B0000}"/>
    <cellStyle name="Obično 7 2 2 3 2" xfId="2708" xr:uid="{00000000-0005-0000-0000-0000170B0000}"/>
    <cellStyle name="Obično 7 2 3" xfId="1969" xr:uid="{00000000-0005-0000-0000-0000180B0000}"/>
    <cellStyle name="Obično 7 2 3 2" xfId="1970" xr:uid="{00000000-0005-0000-0000-0000190B0000}"/>
    <cellStyle name="Obično 7 2 3 3" xfId="1971" xr:uid="{00000000-0005-0000-0000-00001A0B0000}"/>
    <cellStyle name="Obično 7 2 3 4" xfId="2932" xr:uid="{00000000-0005-0000-0000-00001B0B0000}"/>
    <cellStyle name="Obično 7 2 4" xfId="1972" xr:uid="{00000000-0005-0000-0000-00001C0B0000}"/>
    <cellStyle name="Obično 7 2 5" xfId="1973" xr:uid="{00000000-0005-0000-0000-00001D0B0000}"/>
    <cellStyle name="Obično 7 2 5 2" xfId="2709" xr:uid="{00000000-0005-0000-0000-00001E0B0000}"/>
    <cellStyle name="Obično 7 3" xfId="1974" xr:uid="{00000000-0005-0000-0000-00001F0B0000}"/>
    <cellStyle name="Obično 7 3 2" xfId="1975" xr:uid="{00000000-0005-0000-0000-0000200B0000}"/>
    <cellStyle name="Obično 7 3 3" xfId="1976" xr:uid="{00000000-0005-0000-0000-0000210B0000}"/>
    <cellStyle name="Obično 7 3 3 2" xfId="2710" xr:uid="{00000000-0005-0000-0000-0000220B0000}"/>
    <cellStyle name="Obično 7 4" xfId="1977" xr:uid="{00000000-0005-0000-0000-0000230B0000}"/>
    <cellStyle name="Obično 7 4 2" xfId="1978" xr:uid="{00000000-0005-0000-0000-0000240B0000}"/>
    <cellStyle name="Obično 7 4 3" xfId="1979" xr:uid="{00000000-0005-0000-0000-0000250B0000}"/>
    <cellStyle name="Obično 7 4 3 2" xfId="2711" xr:uid="{00000000-0005-0000-0000-0000260B0000}"/>
    <cellStyle name="Obično 7 5" xfId="1980" xr:uid="{00000000-0005-0000-0000-0000270B0000}"/>
    <cellStyle name="Obično 7 5 2" xfId="1981" xr:uid="{00000000-0005-0000-0000-0000280B0000}"/>
    <cellStyle name="Obično 7 5 3" xfId="1982" xr:uid="{00000000-0005-0000-0000-0000290B0000}"/>
    <cellStyle name="Obično 7 5 3 2" xfId="2712" xr:uid="{00000000-0005-0000-0000-00002A0B0000}"/>
    <cellStyle name="Obično 7 6" xfId="1983" xr:uid="{00000000-0005-0000-0000-00002B0B0000}"/>
    <cellStyle name="Obično 7 6 2" xfId="1984" xr:uid="{00000000-0005-0000-0000-00002C0B0000}"/>
    <cellStyle name="Obično 7 6 3" xfId="1985" xr:uid="{00000000-0005-0000-0000-00002D0B0000}"/>
    <cellStyle name="Obično 7 6 3 2" xfId="2713" xr:uid="{00000000-0005-0000-0000-00002E0B0000}"/>
    <cellStyle name="Obično 7 7" xfId="1986" xr:uid="{00000000-0005-0000-0000-00002F0B0000}"/>
    <cellStyle name="Obično 7 7 2" xfId="1987" xr:uid="{00000000-0005-0000-0000-0000300B0000}"/>
    <cellStyle name="Obično 7 7 3" xfId="1988" xr:uid="{00000000-0005-0000-0000-0000310B0000}"/>
    <cellStyle name="Obično 7 7 3 2" xfId="2714" xr:uid="{00000000-0005-0000-0000-0000320B0000}"/>
    <cellStyle name="Obično 7 8" xfId="1989" xr:uid="{00000000-0005-0000-0000-0000330B0000}"/>
    <cellStyle name="Obično 7 8 2" xfId="1990" xr:uid="{00000000-0005-0000-0000-0000340B0000}"/>
    <cellStyle name="Obično 7 8 3" xfId="1991" xr:uid="{00000000-0005-0000-0000-0000350B0000}"/>
    <cellStyle name="Obično 7 8 3 2" xfId="2715" xr:uid="{00000000-0005-0000-0000-0000360B0000}"/>
    <cellStyle name="Obično 7 9" xfId="1992" xr:uid="{00000000-0005-0000-0000-0000370B0000}"/>
    <cellStyle name="Obično 7 9 2" xfId="1993" xr:uid="{00000000-0005-0000-0000-0000380B0000}"/>
    <cellStyle name="Obično 7 9 3" xfId="1994" xr:uid="{00000000-0005-0000-0000-0000390B0000}"/>
    <cellStyle name="Obično 7 9 3 2" xfId="2716" xr:uid="{00000000-0005-0000-0000-00003A0B0000}"/>
    <cellStyle name="Obično 70" xfId="1995" xr:uid="{00000000-0005-0000-0000-00003B0B0000}"/>
    <cellStyle name="Obično 70 2" xfId="1996" xr:uid="{00000000-0005-0000-0000-00003C0B0000}"/>
    <cellStyle name="Obično 70 2 2" xfId="1997" xr:uid="{00000000-0005-0000-0000-00003D0B0000}"/>
    <cellStyle name="Obično 70 2 3" xfId="1998" xr:uid="{00000000-0005-0000-0000-00003E0B0000}"/>
    <cellStyle name="Obično 70 2 3 2" xfId="2717" xr:uid="{00000000-0005-0000-0000-00003F0B0000}"/>
    <cellStyle name="Obično 70 3" xfId="1999" xr:uid="{00000000-0005-0000-0000-0000400B0000}"/>
    <cellStyle name="Obično 71" xfId="2000" xr:uid="{00000000-0005-0000-0000-0000410B0000}"/>
    <cellStyle name="Obično 71 2" xfId="2001" xr:uid="{00000000-0005-0000-0000-0000420B0000}"/>
    <cellStyle name="Obično 71 2 2" xfId="2002" xr:uid="{00000000-0005-0000-0000-0000430B0000}"/>
    <cellStyle name="Obično 71 2 3" xfId="2003" xr:uid="{00000000-0005-0000-0000-0000440B0000}"/>
    <cellStyle name="Obično 71 2 3 2" xfId="2718" xr:uid="{00000000-0005-0000-0000-0000450B0000}"/>
    <cellStyle name="Obično 71 3" xfId="2004" xr:uid="{00000000-0005-0000-0000-0000460B0000}"/>
    <cellStyle name="Obično 72" xfId="2005" xr:uid="{00000000-0005-0000-0000-0000470B0000}"/>
    <cellStyle name="Obično 72 2" xfId="2006" xr:uid="{00000000-0005-0000-0000-0000480B0000}"/>
    <cellStyle name="Obično 72 2 2" xfId="2007" xr:uid="{00000000-0005-0000-0000-0000490B0000}"/>
    <cellStyle name="Obično 72 2 3" xfId="2008" xr:uid="{00000000-0005-0000-0000-00004A0B0000}"/>
    <cellStyle name="Obično 72 2 3 2" xfId="2719" xr:uid="{00000000-0005-0000-0000-00004B0B0000}"/>
    <cellStyle name="Obično 72 3" xfId="2009" xr:uid="{00000000-0005-0000-0000-00004C0B0000}"/>
    <cellStyle name="Obično 73" xfId="2010" xr:uid="{00000000-0005-0000-0000-00004D0B0000}"/>
    <cellStyle name="Obično 73 2" xfId="2011" xr:uid="{00000000-0005-0000-0000-00004E0B0000}"/>
    <cellStyle name="Obično 73 2 2" xfId="2012" xr:uid="{00000000-0005-0000-0000-00004F0B0000}"/>
    <cellStyle name="Obično 73 2 3" xfId="2013" xr:uid="{00000000-0005-0000-0000-0000500B0000}"/>
    <cellStyle name="Obično 73 2 3 2" xfId="2720" xr:uid="{00000000-0005-0000-0000-0000510B0000}"/>
    <cellStyle name="Obično 73 3" xfId="2014" xr:uid="{00000000-0005-0000-0000-0000520B0000}"/>
    <cellStyle name="Obično 74" xfId="2015" xr:uid="{00000000-0005-0000-0000-0000530B0000}"/>
    <cellStyle name="Obično 74 2" xfId="2016" xr:uid="{00000000-0005-0000-0000-0000540B0000}"/>
    <cellStyle name="Obično 74 2 2" xfId="2965" xr:uid="{00000000-0005-0000-0000-0000550B0000}"/>
    <cellStyle name="Obično 75" xfId="2017" xr:uid="{00000000-0005-0000-0000-0000560B0000}"/>
    <cellStyle name="Obično 75 2" xfId="2018" xr:uid="{00000000-0005-0000-0000-0000570B0000}"/>
    <cellStyle name="Obično 75 2 2" xfId="2019" xr:uid="{00000000-0005-0000-0000-0000580B0000}"/>
    <cellStyle name="Obično 75 2 3" xfId="2020" xr:uid="{00000000-0005-0000-0000-0000590B0000}"/>
    <cellStyle name="Obično 75 2 3 2" xfId="2721" xr:uid="{00000000-0005-0000-0000-00005A0B0000}"/>
    <cellStyle name="Obično 75 3" xfId="2021" xr:uid="{00000000-0005-0000-0000-00005B0B0000}"/>
    <cellStyle name="Obično 76" xfId="2022" xr:uid="{00000000-0005-0000-0000-00005C0B0000}"/>
    <cellStyle name="Obično 76 2" xfId="2023" xr:uid="{00000000-0005-0000-0000-00005D0B0000}"/>
    <cellStyle name="Obično 76 2 2" xfId="2024" xr:uid="{00000000-0005-0000-0000-00005E0B0000}"/>
    <cellStyle name="Obično 76 2 3" xfId="2025" xr:uid="{00000000-0005-0000-0000-00005F0B0000}"/>
    <cellStyle name="Obično 76 2 3 2" xfId="2722" xr:uid="{00000000-0005-0000-0000-0000600B0000}"/>
    <cellStyle name="Obično 76 3" xfId="2026" xr:uid="{00000000-0005-0000-0000-0000610B0000}"/>
    <cellStyle name="Obično 77" xfId="2027" xr:uid="{00000000-0005-0000-0000-0000620B0000}"/>
    <cellStyle name="Obično 77 2" xfId="2028" xr:uid="{00000000-0005-0000-0000-0000630B0000}"/>
    <cellStyle name="Obično 77 2 2" xfId="2029" xr:uid="{00000000-0005-0000-0000-0000640B0000}"/>
    <cellStyle name="Obično 77 2 3" xfId="2030" xr:uid="{00000000-0005-0000-0000-0000650B0000}"/>
    <cellStyle name="Obično 77 2 3 2" xfId="2723" xr:uid="{00000000-0005-0000-0000-0000660B0000}"/>
    <cellStyle name="Obično 77 3" xfId="2031" xr:uid="{00000000-0005-0000-0000-0000670B0000}"/>
    <cellStyle name="Obično 78" xfId="2032" xr:uid="{00000000-0005-0000-0000-0000680B0000}"/>
    <cellStyle name="Obično 78 2" xfId="2033" xr:uid="{00000000-0005-0000-0000-0000690B0000}"/>
    <cellStyle name="Obično 78 2 2" xfId="2034" xr:uid="{00000000-0005-0000-0000-00006A0B0000}"/>
    <cellStyle name="Obično 78 2 3" xfId="2035" xr:uid="{00000000-0005-0000-0000-00006B0B0000}"/>
    <cellStyle name="Obično 78 2 3 2" xfId="2724" xr:uid="{00000000-0005-0000-0000-00006C0B0000}"/>
    <cellStyle name="Obično 78 3" xfId="2036" xr:uid="{00000000-0005-0000-0000-00006D0B0000}"/>
    <cellStyle name="Obično 79" xfId="2037" xr:uid="{00000000-0005-0000-0000-00006E0B0000}"/>
    <cellStyle name="Obično 79 2" xfId="2038" xr:uid="{00000000-0005-0000-0000-00006F0B0000}"/>
    <cellStyle name="Obično 79 2 2" xfId="2039" xr:uid="{00000000-0005-0000-0000-0000700B0000}"/>
    <cellStyle name="Obično 79 2 3" xfId="2040" xr:uid="{00000000-0005-0000-0000-0000710B0000}"/>
    <cellStyle name="Obično 79 2 3 2" xfId="2725" xr:uid="{00000000-0005-0000-0000-0000720B0000}"/>
    <cellStyle name="Obično 79 3" xfId="2041" xr:uid="{00000000-0005-0000-0000-0000730B0000}"/>
    <cellStyle name="Obično 8" xfId="2042" xr:uid="{00000000-0005-0000-0000-0000740B0000}"/>
    <cellStyle name="Obično 8 10" xfId="2043" xr:uid="{00000000-0005-0000-0000-0000750B0000}"/>
    <cellStyle name="Obično 8 10 2" xfId="2044" xr:uid="{00000000-0005-0000-0000-0000760B0000}"/>
    <cellStyle name="Obično 8 10 3" xfId="2045" xr:uid="{00000000-0005-0000-0000-0000770B0000}"/>
    <cellStyle name="Obično 8 10 3 2" xfId="2726" xr:uid="{00000000-0005-0000-0000-0000780B0000}"/>
    <cellStyle name="Obično 8 11" xfId="2046" xr:uid="{00000000-0005-0000-0000-0000790B0000}"/>
    <cellStyle name="Obično 8 11 2" xfId="2047" xr:uid="{00000000-0005-0000-0000-00007A0B0000}"/>
    <cellStyle name="Obično 8 11 3" xfId="2048" xr:uid="{00000000-0005-0000-0000-00007B0B0000}"/>
    <cellStyle name="Obično 8 11 3 2" xfId="2727" xr:uid="{00000000-0005-0000-0000-00007C0B0000}"/>
    <cellStyle name="Obično 8 12" xfId="2049" xr:uid="{00000000-0005-0000-0000-00007D0B0000}"/>
    <cellStyle name="Obično 8 12 2" xfId="2050" xr:uid="{00000000-0005-0000-0000-00007E0B0000}"/>
    <cellStyle name="Obično 8 12 3" xfId="2051" xr:uid="{00000000-0005-0000-0000-00007F0B0000}"/>
    <cellStyle name="Obično 8 12 3 2" xfId="2728" xr:uid="{00000000-0005-0000-0000-0000800B0000}"/>
    <cellStyle name="Obično 8 13" xfId="2052" xr:uid="{00000000-0005-0000-0000-0000810B0000}"/>
    <cellStyle name="Obično 8 2" xfId="2053" xr:uid="{00000000-0005-0000-0000-0000820B0000}"/>
    <cellStyle name="Obično 8 2 2" xfId="2054" xr:uid="{00000000-0005-0000-0000-0000830B0000}"/>
    <cellStyle name="Obično 8 2 3" xfId="2055" xr:uid="{00000000-0005-0000-0000-0000840B0000}"/>
    <cellStyle name="Obično 8 2 3 2" xfId="2729" xr:uid="{00000000-0005-0000-0000-0000850B0000}"/>
    <cellStyle name="Obično 8 3" xfId="2056" xr:uid="{00000000-0005-0000-0000-0000860B0000}"/>
    <cellStyle name="Obično 8 3 2" xfId="2057" xr:uid="{00000000-0005-0000-0000-0000870B0000}"/>
    <cellStyle name="Obično 8 3 3" xfId="2058" xr:uid="{00000000-0005-0000-0000-0000880B0000}"/>
    <cellStyle name="Obično 8 3 3 2" xfId="2730" xr:uid="{00000000-0005-0000-0000-0000890B0000}"/>
    <cellStyle name="Obično 8 4" xfId="2059" xr:uid="{00000000-0005-0000-0000-00008A0B0000}"/>
    <cellStyle name="Obično 8 4 2" xfId="2060" xr:uid="{00000000-0005-0000-0000-00008B0B0000}"/>
    <cellStyle name="Obično 8 4 3" xfId="2061" xr:uid="{00000000-0005-0000-0000-00008C0B0000}"/>
    <cellStyle name="Obično 8 4 3 2" xfId="2731" xr:uid="{00000000-0005-0000-0000-00008D0B0000}"/>
    <cellStyle name="Obično 8 5" xfId="2062" xr:uid="{00000000-0005-0000-0000-00008E0B0000}"/>
    <cellStyle name="Obično 8 5 2" xfId="2063" xr:uid="{00000000-0005-0000-0000-00008F0B0000}"/>
    <cellStyle name="Obično 8 5 3" xfId="2064" xr:uid="{00000000-0005-0000-0000-0000900B0000}"/>
    <cellStyle name="Obično 8 5 3 2" xfId="2732" xr:uid="{00000000-0005-0000-0000-0000910B0000}"/>
    <cellStyle name="Obično 8 6" xfId="2065" xr:uid="{00000000-0005-0000-0000-0000920B0000}"/>
    <cellStyle name="Obično 8 6 2" xfId="2066" xr:uid="{00000000-0005-0000-0000-0000930B0000}"/>
    <cellStyle name="Obično 8 6 3" xfId="2067" xr:uid="{00000000-0005-0000-0000-0000940B0000}"/>
    <cellStyle name="Obično 8 6 3 2" xfId="2733" xr:uid="{00000000-0005-0000-0000-0000950B0000}"/>
    <cellStyle name="Obično 8 7" xfId="2068" xr:uid="{00000000-0005-0000-0000-0000960B0000}"/>
    <cellStyle name="Obično 8 7 2" xfId="2069" xr:uid="{00000000-0005-0000-0000-0000970B0000}"/>
    <cellStyle name="Obično 8 7 3" xfId="2070" xr:uid="{00000000-0005-0000-0000-0000980B0000}"/>
    <cellStyle name="Obično 8 7 3 2" xfId="2734" xr:uid="{00000000-0005-0000-0000-0000990B0000}"/>
    <cellStyle name="Obično 8 8" xfId="2071" xr:uid="{00000000-0005-0000-0000-00009A0B0000}"/>
    <cellStyle name="Obično 8 8 2" xfId="2072" xr:uid="{00000000-0005-0000-0000-00009B0B0000}"/>
    <cellStyle name="Obično 8 8 3" xfId="2073" xr:uid="{00000000-0005-0000-0000-00009C0B0000}"/>
    <cellStyle name="Obično 8 8 3 2" xfId="2735" xr:uid="{00000000-0005-0000-0000-00009D0B0000}"/>
    <cellStyle name="Obično 8 9" xfId="2074" xr:uid="{00000000-0005-0000-0000-00009E0B0000}"/>
    <cellStyle name="Obično 8 9 2" xfId="2075" xr:uid="{00000000-0005-0000-0000-00009F0B0000}"/>
    <cellStyle name="Obično 8 9 3" xfId="2076" xr:uid="{00000000-0005-0000-0000-0000A00B0000}"/>
    <cellStyle name="Obično 8 9 3 2" xfId="2736" xr:uid="{00000000-0005-0000-0000-0000A10B0000}"/>
    <cellStyle name="Obično 80" xfId="2077" xr:uid="{00000000-0005-0000-0000-0000A20B0000}"/>
    <cellStyle name="Obično 80 2" xfId="2078" xr:uid="{00000000-0005-0000-0000-0000A30B0000}"/>
    <cellStyle name="Obično 80 2 2" xfId="2079" xr:uid="{00000000-0005-0000-0000-0000A40B0000}"/>
    <cellStyle name="Obično 80 2 3" xfId="2080" xr:uid="{00000000-0005-0000-0000-0000A50B0000}"/>
    <cellStyle name="Obično 80 2 3 2" xfId="2737" xr:uid="{00000000-0005-0000-0000-0000A60B0000}"/>
    <cellStyle name="Obično 80 3" xfId="2081" xr:uid="{00000000-0005-0000-0000-0000A70B0000}"/>
    <cellStyle name="Obično 81" xfId="2082" xr:uid="{00000000-0005-0000-0000-0000A80B0000}"/>
    <cellStyle name="Obično 81 2" xfId="2083" xr:uid="{00000000-0005-0000-0000-0000A90B0000}"/>
    <cellStyle name="Obično 81 2 2" xfId="2084" xr:uid="{00000000-0005-0000-0000-0000AA0B0000}"/>
    <cellStyle name="Obično 81 2 3" xfId="2085" xr:uid="{00000000-0005-0000-0000-0000AB0B0000}"/>
    <cellStyle name="Obično 81 2 3 2" xfId="2738" xr:uid="{00000000-0005-0000-0000-0000AC0B0000}"/>
    <cellStyle name="Obično 81 3" xfId="2086" xr:uid="{00000000-0005-0000-0000-0000AD0B0000}"/>
    <cellStyle name="Obično 82" xfId="2087" xr:uid="{00000000-0005-0000-0000-0000AE0B0000}"/>
    <cellStyle name="Obično 82 2" xfId="2088" xr:uid="{00000000-0005-0000-0000-0000AF0B0000}"/>
    <cellStyle name="Obično 82 2 2" xfId="2964" xr:uid="{00000000-0005-0000-0000-0000B00B0000}"/>
    <cellStyle name="Obično 83" xfId="2089" xr:uid="{00000000-0005-0000-0000-0000B10B0000}"/>
    <cellStyle name="Obično 83 2" xfId="2090" xr:uid="{00000000-0005-0000-0000-0000B20B0000}"/>
    <cellStyle name="Obično 83 2 2" xfId="2091" xr:uid="{00000000-0005-0000-0000-0000B30B0000}"/>
    <cellStyle name="Obično 83 2 3" xfId="2092" xr:uid="{00000000-0005-0000-0000-0000B40B0000}"/>
    <cellStyle name="Obično 83 2 3 2" xfId="2739" xr:uid="{00000000-0005-0000-0000-0000B50B0000}"/>
    <cellStyle name="Obično 83 3" xfId="2093" xr:uid="{00000000-0005-0000-0000-0000B60B0000}"/>
    <cellStyle name="Obično 84" xfId="2094" xr:uid="{00000000-0005-0000-0000-0000B70B0000}"/>
    <cellStyle name="Obično 84 2" xfId="2095" xr:uid="{00000000-0005-0000-0000-0000B80B0000}"/>
    <cellStyle name="Obično 84 2 2" xfId="2096" xr:uid="{00000000-0005-0000-0000-0000B90B0000}"/>
    <cellStyle name="Obično 84 2 3" xfId="2097" xr:uid="{00000000-0005-0000-0000-0000BA0B0000}"/>
    <cellStyle name="Obično 84 2 3 2" xfId="2740" xr:uid="{00000000-0005-0000-0000-0000BB0B0000}"/>
    <cellStyle name="Obično 84 3" xfId="2098" xr:uid="{00000000-0005-0000-0000-0000BC0B0000}"/>
    <cellStyle name="Obično 85" xfId="2099" xr:uid="{00000000-0005-0000-0000-0000BD0B0000}"/>
    <cellStyle name="Obično 85 2" xfId="2100" xr:uid="{00000000-0005-0000-0000-0000BE0B0000}"/>
    <cellStyle name="Obično 85 2 2" xfId="2101" xr:uid="{00000000-0005-0000-0000-0000BF0B0000}"/>
    <cellStyle name="Obično 85 2 3" xfId="2102" xr:uid="{00000000-0005-0000-0000-0000C00B0000}"/>
    <cellStyle name="Obično 85 2 3 2" xfId="2741" xr:uid="{00000000-0005-0000-0000-0000C10B0000}"/>
    <cellStyle name="Obično 85 3" xfId="2103" xr:uid="{00000000-0005-0000-0000-0000C20B0000}"/>
    <cellStyle name="Obično 86" xfId="2104" xr:uid="{00000000-0005-0000-0000-0000C30B0000}"/>
    <cellStyle name="Obično 86 2" xfId="2105" xr:uid="{00000000-0005-0000-0000-0000C40B0000}"/>
    <cellStyle name="Obično 86 2 2" xfId="2106" xr:uid="{00000000-0005-0000-0000-0000C50B0000}"/>
    <cellStyle name="Obično 86 2 3" xfId="2107" xr:uid="{00000000-0005-0000-0000-0000C60B0000}"/>
    <cellStyle name="Obično 86 2 3 2" xfId="2742" xr:uid="{00000000-0005-0000-0000-0000C70B0000}"/>
    <cellStyle name="Obično 86 3" xfId="2108" xr:uid="{00000000-0005-0000-0000-0000C80B0000}"/>
    <cellStyle name="Obično 87" xfId="2109" xr:uid="{00000000-0005-0000-0000-0000C90B0000}"/>
    <cellStyle name="Obično 87 2" xfId="2110" xr:uid="{00000000-0005-0000-0000-0000CA0B0000}"/>
    <cellStyle name="Obično 87 2 2" xfId="2111" xr:uid="{00000000-0005-0000-0000-0000CB0B0000}"/>
    <cellStyle name="Obično 87 2 3" xfId="2112" xr:uid="{00000000-0005-0000-0000-0000CC0B0000}"/>
    <cellStyle name="Obično 87 3" xfId="2113" xr:uid="{00000000-0005-0000-0000-0000CD0B0000}"/>
    <cellStyle name="Obično 88" xfId="2114" xr:uid="{00000000-0005-0000-0000-0000CE0B0000}"/>
    <cellStyle name="Obično 88 2" xfId="2115" xr:uid="{00000000-0005-0000-0000-0000CF0B0000}"/>
    <cellStyle name="Obično 88 2 2" xfId="2963" xr:uid="{00000000-0005-0000-0000-0000D00B0000}"/>
    <cellStyle name="Obično 89" xfId="2116" xr:uid="{00000000-0005-0000-0000-0000D10B0000}"/>
    <cellStyle name="Obično 89 2" xfId="2117" xr:uid="{00000000-0005-0000-0000-0000D20B0000}"/>
    <cellStyle name="Obično 89 2 2" xfId="2962" xr:uid="{00000000-0005-0000-0000-0000D30B0000}"/>
    <cellStyle name="Obično 9" xfId="2118" xr:uid="{00000000-0005-0000-0000-0000D40B0000}"/>
    <cellStyle name="Obično 9 10" xfId="2119" xr:uid="{00000000-0005-0000-0000-0000D50B0000}"/>
    <cellStyle name="Obično 9 10 2" xfId="2120" xr:uid="{00000000-0005-0000-0000-0000D60B0000}"/>
    <cellStyle name="Obično 9 10 3" xfId="2121" xr:uid="{00000000-0005-0000-0000-0000D70B0000}"/>
    <cellStyle name="Obično 9 10 3 2" xfId="2743" xr:uid="{00000000-0005-0000-0000-0000D80B0000}"/>
    <cellStyle name="Obično 9 11" xfId="2122" xr:uid="{00000000-0005-0000-0000-0000D90B0000}"/>
    <cellStyle name="Obično 9 11 2" xfId="2123" xr:uid="{00000000-0005-0000-0000-0000DA0B0000}"/>
    <cellStyle name="Obično 9 11 3" xfId="2124" xr:uid="{00000000-0005-0000-0000-0000DB0B0000}"/>
    <cellStyle name="Obično 9 11 3 2" xfId="2744" xr:uid="{00000000-0005-0000-0000-0000DC0B0000}"/>
    <cellStyle name="Obično 9 12" xfId="2125" xr:uid="{00000000-0005-0000-0000-0000DD0B0000}"/>
    <cellStyle name="Obično 9 12 2" xfId="2126" xr:uid="{00000000-0005-0000-0000-0000DE0B0000}"/>
    <cellStyle name="Obično 9 12 3" xfId="2127" xr:uid="{00000000-0005-0000-0000-0000DF0B0000}"/>
    <cellStyle name="Obično 9 12 3 2" xfId="2745" xr:uid="{00000000-0005-0000-0000-0000E00B0000}"/>
    <cellStyle name="Obično 9 13" xfId="2128" xr:uid="{00000000-0005-0000-0000-0000E10B0000}"/>
    <cellStyle name="Obično 9 2" xfId="2129" xr:uid="{00000000-0005-0000-0000-0000E20B0000}"/>
    <cellStyle name="Obično 9 2 2" xfId="2130" xr:uid="{00000000-0005-0000-0000-0000E30B0000}"/>
    <cellStyle name="Obično 9 2 3" xfId="2131" xr:uid="{00000000-0005-0000-0000-0000E40B0000}"/>
    <cellStyle name="Obično 9 2 3 2" xfId="2746" xr:uid="{00000000-0005-0000-0000-0000E50B0000}"/>
    <cellStyle name="Obično 9 3" xfId="2132" xr:uid="{00000000-0005-0000-0000-0000E60B0000}"/>
    <cellStyle name="Obično 9 3 2" xfId="2133" xr:uid="{00000000-0005-0000-0000-0000E70B0000}"/>
    <cellStyle name="Obično 9 3 3" xfId="2134" xr:uid="{00000000-0005-0000-0000-0000E80B0000}"/>
    <cellStyle name="Obično 9 3 3 2" xfId="2747" xr:uid="{00000000-0005-0000-0000-0000E90B0000}"/>
    <cellStyle name="Obično 9 4" xfId="2135" xr:uid="{00000000-0005-0000-0000-0000EA0B0000}"/>
    <cellStyle name="Obično 9 4 2" xfId="2136" xr:uid="{00000000-0005-0000-0000-0000EB0B0000}"/>
    <cellStyle name="Obično 9 4 3" xfId="2137" xr:uid="{00000000-0005-0000-0000-0000EC0B0000}"/>
    <cellStyle name="Obično 9 4 3 2" xfId="2748" xr:uid="{00000000-0005-0000-0000-0000ED0B0000}"/>
    <cellStyle name="Obično 9 5" xfId="2138" xr:uid="{00000000-0005-0000-0000-0000EE0B0000}"/>
    <cellStyle name="Obično 9 5 2" xfId="2139" xr:uid="{00000000-0005-0000-0000-0000EF0B0000}"/>
    <cellStyle name="Obično 9 5 3" xfId="2140" xr:uid="{00000000-0005-0000-0000-0000F00B0000}"/>
    <cellStyle name="Obično 9 5 3 2" xfId="2749" xr:uid="{00000000-0005-0000-0000-0000F10B0000}"/>
    <cellStyle name="Obično 9 6" xfId="2141" xr:uid="{00000000-0005-0000-0000-0000F20B0000}"/>
    <cellStyle name="Obično 9 6 2" xfId="2142" xr:uid="{00000000-0005-0000-0000-0000F30B0000}"/>
    <cellStyle name="Obično 9 6 3" xfId="2143" xr:uid="{00000000-0005-0000-0000-0000F40B0000}"/>
    <cellStyle name="Obično 9 6 3 2" xfId="2750" xr:uid="{00000000-0005-0000-0000-0000F50B0000}"/>
    <cellStyle name="Obično 9 7" xfId="2144" xr:uid="{00000000-0005-0000-0000-0000F60B0000}"/>
    <cellStyle name="Obično 9 7 2" xfId="2145" xr:uid="{00000000-0005-0000-0000-0000F70B0000}"/>
    <cellStyle name="Obično 9 7 3" xfId="2146" xr:uid="{00000000-0005-0000-0000-0000F80B0000}"/>
    <cellStyle name="Obično 9 7 3 2" xfId="2751" xr:uid="{00000000-0005-0000-0000-0000F90B0000}"/>
    <cellStyle name="Obično 9 8" xfId="2147" xr:uid="{00000000-0005-0000-0000-0000FA0B0000}"/>
    <cellStyle name="Obično 9 8 2" xfId="2148" xr:uid="{00000000-0005-0000-0000-0000FB0B0000}"/>
    <cellStyle name="Obično 9 8 3" xfId="2149" xr:uid="{00000000-0005-0000-0000-0000FC0B0000}"/>
    <cellStyle name="Obično 9 8 3 2" xfId="2752" xr:uid="{00000000-0005-0000-0000-0000FD0B0000}"/>
    <cellStyle name="Obično 9 9" xfId="2150" xr:uid="{00000000-0005-0000-0000-0000FE0B0000}"/>
    <cellStyle name="Obično 9 9 2" xfId="2151" xr:uid="{00000000-0005-0000-0000-0000FF0B0000}"/>
    <cellStyle name="Obično 9 9 3" xfId="2152" xr:uid="{00000000-0005-0000-0000-0000000C0000}"/>
    <cellStyle name="Obično 9 9 3 2" xfId="2753" xr:uid="{00000000-0005-0000-0000-0000010C0000}"/>
    <cellStyle name="Obično 90" xfId="2153" xr:uid="{00000000-0005-0000-0000-0000020C0000}"/>
    <cellStyle name="Obično 90 2" xfId="2154" xr:uid="{00000000-0005-0000-0000-0000030C0000}"/>
    <cellStyle name="Obično 90 2 2" xfId="2961" xr:uid="{00000000-0005-0000-0000-0000040C0000}"/>
    <cellStyle name="Obično 91" xfId="2155" xr:uid="{00000000-0005-0000-0000-0000050C0000}"/>
    <cellStyle name="Obično 91 2" xfId="2156" xr:uid="{00000000-0005-0000-0000-0000060C0000}"/>
    <cellStyle name="Obično 91 2 2" xfId="2960" xr:uid="{00000000-0005-0000-0000-0000070C0000}"/>
    <cellStyle name="Obično 92" xfId="2157" xr:uid="{00000000-0005-0000-0000-0000080C0000}"/>
    <cellStyle name="Obično 92 2" xfId="2158" xr:uid="{00000000-0005-0000-0000-0000090C0000}"/>
    <cellStyle name="Obično 92 2 2" xfId="2959" xr:uid="{00000000-0005-0000-0000-00000A0C0000}"/>
    <cellStyle name="Obično 93" xfId="2159" xr:uid="{00000000-0005-0000-0000-00000B0C0000}"/>
    <cellStyle name="Obično 93 2" xfId="2160" xr:uid="{00000000-0005-0000-0000-00000C0C0000}"/>
    <cellStyle name="Obično 93 2 2" xfId="2958" xr:uid="{00000000-0005-0000-0000-00000D0C0000}"/>
    <cellStyle name="Obično 94" xfId="2161" xr:uid="{00000000-0005-0000-0000-00000E0C0000}"/>
    <cellStyle name="Obično 94 2" xfId="2162" xr:uid="{00000000-0005-0000-0000-00000F0C0000}"/>
    <cellStyle name="Obično 94 2 2" xfId="3005" xr:uid="{00000000-0005-0000-0000-0000100C0000}"/>
    <cellStyle name="Obično 95" xfId="2163" xr:uid="{00000000-0005-0000-0000-0000110C0000}"/>
    <cellStyle name="Obično 95 2" xfId="2164" xr:uid="{00000000-0005-0000-0000-0000120C0000}"/>
    <cellStyle name="Obično 95 2 2" xfId="3006" xr:uid="{00000000-0005-0000-0000-0000130C0000}"/>
    <cellStyle name="Obično 96" xfId="2165" xr:uid="{00000000-0005-0000-0000-0000140C0000}"/>
    <cellStyle name="Obično 96 2" xfId="2166" xr:uid="{00000000-0005-0000-0000-0000150C0000}"/>
    <cellStyle name="Obično 96 2 2" xfId="3007" xr:uid="{00000000-0005-0000-0000-0000160C0000}"/>
    <cellStyle name="Obično 97" xfId="2167" xr:uid="{00000000-0005-0000-0000-0000170C0000}"/>
    <cellStyle name="Obično 97 2" xfId="2168" xr:uid="{00000000-0005-0000-0000-0000180C0000}"/>
    <cellStyle name="Obično 97 2 2" xfId="3008" xr:uid="{00000000-0005-0000-0000-0000190C0000}"/>
    <cellStyle name="Obično 98" xfId="2169" xr:uid="{00000000-0005-0000-0000-00001A0C0000}"/>
    <cellStyle name="Obično 98 2" xfId="2170" xr:uid="{00000000-0005-0000-0000-00001B0C0000}"/>
    <cellStyle name="Obično 98 2 2" xfId="3009" xr:uid="{00000000-0005-0000-0000-00001C0C0000}"/>
    <cellStyle name="Obično 99" xfId="2171" xr:uid="{00000000-0005-0000-0000-00001D0C0000}"/>
    <cellStyle name="Obično 99 2" xfId="2172" xr:uid="{00000000-0005-0000-0000-00001E0C0000}"/>
    <cellStyle name="Obično 99 2 2" xfId="3010" xr:uid="{00000000-0005-0000-0000-00001F0C0000}"/>
    <cellStyle name="Obično_142_IZ_RASTER_2009_0921ii" xfId="3133" xr:uid="{00000000-0005-0000-0000-0000200C0000}"/>
    <cellStyle name="Output" xfId="3359" xr:uid="{00000000-0005-0000-0000-0000210C0000}"/>
    <cellStyle name="Output 2" xfId="2173" xr:uid="{00000000-0005-0000-0000-0000220C0000}"/>
    <cellStyle name="Output 2 2" xfId="2174" xr:uid="{00000000-0005-0000-0000-0000230C0000}"/>
    <cellStyle name="Output 2 3" xfId="2175" xr:uid="{00000000-0005-0000-0000-0000240C0000}"/>
    <cellStyle name="Output 2 4" xfId="2933" xr:uid="{00000000-0005-0000-0000-0000250C0000}"/>
    <cellStyle name="Output 2 5" xfId="3203" xr:uid="{00000000-0005-0000-0000-0000260C0000}"/>
    <cellStyle name="Percent 2" xfId="2176" xr:uid="{00000000-0005-0000-0000-0000270C0000}"/>
    <cellStyle name="Percent 2 2" xfId="2177" xr:uid="{00000000-0005-0000-0000-0000280C0000}"/>
    <cellStyle name="Percent 2 2 2" xfId="2754" xr:uid="{00000000-0005-0000-0000-0000290C0000}"/>
    <cellStyle name="Percent 2 2 3" xfId="3153" xr:uid="{00000000-0005-0000-0000-00002A0C0000}"/>
    <cellStyle name="Percent 2 3" xfId="3154" xr:uid="{00000000-0005-0000-0000-00002B0C0000}"/>
    <cellStyle name="Postotak 10" xfId="2178" xr:uid="{00000000-0005-0000-0000-00002C0C0000}"/>
    <cellStyle name="Postotak 10 2" xfId="2179" xr:uid="{00000000-0005-0000-0000-00002D0C0000}"/>
    <cellStyle name="Postotak 10 2 2" xfId="3011" xr:uid="{00000000-0005-0000-0000-00002E0C0000}"/>
    <cellStyle name="Postotak 11" xfId="2180" xr:uid="{00000000-0005-0000-0000-00002F0C0000}"/>
    <cellStyle name="Postotak 11 2" xfId="2181" xr:uid="{00000000-0005-0000-0000-0000300C0000}"/>
    <cellStyle name="Postotak 11 2 2" xfId="3012" xr:uid="{00000000-0005-0000-0000-0000310C0000}"/>
    <cellStyle name="Postotak 12" xfId="2182" xr:uid="{00000000-0005-0000-0000-0000320C0000}"/>
    <cellStyle name="Postotak 12 2" xfId="2183" xr:uid="{00000000-0005-0000-0000-0000330C0000}"/>
    <cellStyle name="Postotak 12 2 2" xfId="3013" xr:uid="{00000000-0005-0000-0000-0000340C0000}"/>
    <cellStyle name="Postotak 13" xfId="2184" xr:uid="{00000000-0005-0000-0000-0000350C0000}"/>
    <cellStyle name="Postotak 13 2" xfId="2185" xr:uid="{00000000-0005-0000-0000-0000360C0000}"/>
    <cellStyle name="Postotak 13 2 2" xfId="3014" xr:uid="{00000000-0005-0000-0000-0000370C0000}"/>
    <cellStyle name="Postotak 14" xfId="2186" xr:uid="{00000000-0005-0000-0000-0000380C0000}"/>
    <cellStyle name="Postotak 14 2" xfId="2187" xr:uid="{00000000-0005-0000-0000-0000390C0000}"/>
    <cellStyle name="Postotak 14 2 2" xfId="3015" xr:uid="{00000000-0005-0000-0000-00003A0C0000}"/>
    <cellStyle name="Postotak 15" xfId="2188" xr:uid="{00000000-0005-0000-0000-00003B0C0000}"/>
    <cellStyle name="Postotak 15 2" xfId="2189" xr:uid="{00000000-0005-0000-0000-00003C0C0000}"/>
    <cellStyle name="Postotak 15 2 2" xfId="3016" xr:uid="{00000000-0005-0000-0000-00003D0C0000}"/>
    <cellStyle name="Postotak 16" xfId="2190" xr:uid="{00000000-0005-0000-0000-00003E0C0000}"/>
    <cellStyle name="Postotak 16 2" xfId="2191" xr:uid="{00000000-0005-0000-0000-00003F0C0000}"/>
    <cellStyle name="Postotak 16 2 2" xfId="3017" xr:uid="{00000000-0005-0000-0000-0000400C0000}"/>
    <cellStyle name="Postotak 17" xfId="2192" xr:uid="{00000000-0005-0000-0000-0000410C0000}"/>
    <cellStyle name="Postotak 17 2" xfId="2193" xr:uid="{00000000-0005-0000-0000-0000420C0000}"/>
    <cellStyle name="Postotak 17 2 2" xfId="3018" xr:uid="{00000000-0005-0000-0000-0000430C0000}"/>
    <cellStyle name="Postotak 18" xfId="2194" xr:uid="{00000000-0005-0000-0000-0000440C0000}"/>
    <cellStyle name="Postotak 18 2" xfId="2195" xr:uid="{00000000-0005-0000-0000-0000450C0000}"/>
    <cellStyle name="Postotak 18 2 2" xfId="3019" xr:uid="{00000000-0005-0000-0000-0000460C0000}"/>
    <cellStyle name="Postotak 19" xfId="2196" xr:uid="{00000000-0005-0000-0000-0000470C0000}"/>
    <cellStyle name="Postotak 19 2" xfId="2197" xr:uid="{00000000-0005-0000-0000-0000480C0000}"/>
    <cellStyle name="Postotak 19 2 2" xfId="3020" xr:uid="{00000000-0005-0000-0000-0000490C0000}"/>
    <cellStyle name="Postotak 2" xfId="2198" xr:uid="{00000000-0005-0000-0000-00004A0C0000}"/>
    <cellStyle name="Postotak 2 2" xfId="2199" xr:uid="{00000000-0005-0000-0000-00004B0C0000}"/>
    <cellStyle name="Postotak 2 2 2" xfId="3021" xr:uid="{00000000-0005-0000-0000-00004C0C0000}"/>
    <cellStyle name="Postotak 20" xfId="2200" xr:uid="{00000000-0005-0000-0000-00004D0C0000}"/>
    <cellStyle name="Postotak 20 2" xfId="2201" xr:uid="{00000000-0005-0000-0000-00004E0C0000}"/>
    <cellStyle name="Postotak 20 2 2" xfId="3022" xr:uid="{00000000-0005-0000-0000-00004F0C0000}"/>
    <cellStyle name="Postotak 21" xfId="2202" xr:uid="{00000000-0005-0000-0000-0000500C0000}"/>
    <cellStyle name="Postotak 21 2" xfId="2203" xr:uid="{00000000-0005-0000-0000-0000510C0000}"/>
    <cellStyle name="Postotak 21 2 2" xfId="3023" xr:uid="{00000000-0005-0000-0000-0000520C0000}"/>
    <cellStyle name="Postotak 22" xfId="2204" xr:uid="{00000000-0005-0000-0000-0000530C0000}"/>
    <cellStyle name="Postotak 22 2" xfId="2205" xr:uid="{00000000-0005-0000-0000-0000540C0000}"/>
    <cellStyle name="Postotak 22 2 2" xfId="3024" xr:uid="{00000000-0005-0000-0000-0000550C0000}"/>
    <cellStyle name="Postotak 23" xfId="2206" xr:uid="{00000000-0005-0000-0000-0000560C0000}"/>
    <cellStyle name="Postotak 23 2" xfId="2207" xr:uid="{00000000-0005-0000-0000-0000570C0000}"/>
    <cellStyle name="Postotak 23 2 2" xfId="3025" xr:uid="{00000000-0005-0000-0000-0000580C0000}"/>
    <cellStyle name="Postotak 3" xfId="2208" xr:uid="{00000000-0005-0000-0000-0000590C0000}"/>
    <cellStyle name="Postotak 3 2" xfId="2209" xr:uid="{00000000-0005-0000-0000-00005A0C0000}"/>
    <cellStyle name="Postotak 3 2 2" xfId="3026" xr:uid="{00000000-0005-0000-0000-00005B0C0000}"/>
    <cellStyle name="Postotak 4" xfId="2210" xr:uid="{00000000-0005-0000-0000-00005C0C0000}"/>
    <cellStyle name="Postotak 4 2" xfId="2211" xr:uid="{00000000-0005-0000-0000-00005D0C0000}"/>
    <cellStyle name="Postotak 4 2 2" xfId="3027" xr:uid="{00000000-0005-0000-0000-00005E0C0000}"/>
    <cellStyle name="Postotak 5" xfId="2212" xr:uid="{00000000-0005-0000-0000-00005F0C0000}"/>
    <cellStyle name="Postotak 5 2" xfId="2213" xr:uid="{00000000-0005-0000-0000-0000600C0000}"/>
    <cellStyle name="Postotak 5 2 2" xfId="3028" xr:uid="{00000000-0005-0000-0000-0000610C0000}"/>
    <cellStyle name="Postotak 6" xfId="2214" xr:uid="{00000000-0005-0000-0000-0000620C0000}"/>
    <cellStyle name="Postotak 6 2" xfId="2215" xr:uid="{00000000-0005-0000-0000-0000630C0000}"/>
    <cellStyle name="Postotak 6 2 2" xfId="3029" xr:uid="{00000000-0005-0000-0000-0000640C0000}"/>
    <cellStyle name="Postotak 7" xfId="2216" xr:uid="{00000000-0005-0000-0000-0000650C0000}"/>
    <cellStyle name="Postotak 7 2" xfId="2217" xr:uid="{00000000-0005-0000-0000-0000660C0000}"/>
    <cellStyle name="Postotak 7 2 2" xfId="3030" xr:uid="{00000000-0005-0000-0000-0000670C0000}"/>
    <cellStyle name="Postotak 8" xfId="2218" xr:uid="{00000000-0005-0000-0000-0000680C0000}"/>
    <cellStyle name="Postotak 8 2" xfId="2219" xr:uid="{00000000-0005-0000-0000-0000690C0000}"/>
    <cellStyle name="Postotak 8 2 2" xfId="3031" xr:uid="{00000000-0005-0000-0000-00006A0C0000}"/>
    <cellStyle name="Postotak 9" xfId="2220" xr:uid="{00000000-0005-0000-0000-00006B0C0000}"/>
    <cellStyle name="Postotak 9 2" xfId="2221" xr:uid="{00000000-0005-0000-0000-00006C0C0000}"/>
    <cellStyle name="Postotak 9 2 2" xfId="3032" xr:uid="{00000000-0005-0000-0000-00006D0C0000}"/>
    <cellStyle name="Povezana ćelija 2" xfId="2222" xr:uid="{00000000-0005-0000-0000-00006E0C0000}"/>
    <cellStyle name="Povezana ćelija 2 2" xfId="2223" xr:uid="{00000000-0005-0000-0000-00006F0C0000}"/>
    <cellStyle name="Povezana ćelija 2 2 2" xfId="2224" xr:uid="{00000000-0005-0000-0000-0000700C0000}"/>
    <cellStyle name="Povezana ćelija 2 3" xfId="2225" xr:uid="{00000000-0005-0000-0000-0000710C0000}"/>
    <cellStyle name="Povezana ćelija 3" xfId="2226" xr:uid="{00000000-0005-0000-0000-0000720C0000}"/>
    <cellStyle name="Povezana ćelija 4" xfId="2227" xr:uid="{00000000-0005-0000-0000-0000730C0000}"/>
    <cellStyle name="Povezana ćelija 5" xfId="2228" xr:uid="{00000000-0005-0000-0000-0000740C0000}"/>
    <cellStyle name="Provjera ćelije 2" xfId="2229" xr:uid="{00000000-0005-0000-0000-0000750C0000}"/>
    <cellStyle name="Provjera ćelije 2 2" xfId="2230" xr:uid="{00000000-0005-0000-0000-0000760C0000}"/>
    <cellStyle name="Provjera ćelije 2 2 2" xfId="2231" xr:uid="{00000000-0005-0000-0000-0000770C0000}"/>
    <cellStyle name="Provjera ćelije 2 2 3" xfId="2934" xr:uid="{00000000-0005-0000-0000-0000780C0000}"/>
    <cellStyle name="Provjera ćelije 2 3" xfId="2232" xr:uid="{00000000-0005-0000-0000-0000790C0000}"/>
    <cellStyle name="Provjera ćelije 3" xfId="2233" xr:uid="{00000000-0005-0000-0000-00007A0C0000}"/>
    <cellStyle name="Provjera ćelije 3 2" xfId="2234" xr:uid="{00000000-0005-0000-0000-00007B0C0000}"/>
    <cellStyle name="Provjera ćelije 3 3" xfId="2235" xr:uid="{00000000-0005-0000-0000-00007C0C0000}"/>
    <cellStyle name="Provjera ćelije 3 4" xfId="2935" xr:uid="{00000000-0005-0000-0000-00007D0C0000}"/>
    <cellStyle name="Provjera ćelije 4" xfId="2236" xr:uid="{00000000-0005-0000-0000-00007E0C0000}"/>
    <cellStyle name="Provjera ćelije 5" xfId="2237" xr:uid="{00000000-0005-0000-0000-00007F0C0000}"/>
    <cellStyle name="Standard" xfId="2238" xr:uid="{00000000-0005-0000-0000-0000800C0000}"/>
    <cellStyle name="Standard 2" xfId="2239" xr:uid="{00000000-0005-0000-0000-0000810C0000}"/>
    <cellStyle name="Standard 2 2" xfId="3081" xr:uid="{00000000-0005-0000-0000-0000820C0000}"/>
    <cellStyle name="Standard 3" xfId="2936" xr:uid="{00000000-0005-0000-0000-0000830C0000}"/>
    <cellStyle name="Standard 5" xfId="3079" xr:uid="{00000000-0005-0000-0000-0000840C0000}"/>
    <cellStyle name="Stil 1" xfId="2240" xr:uid="{00000000-0005-0000-0000-0000850C0000}"/>
    <cellStyle name="Stil 1 10 2" xfId="3322" xr:uid="{00000000-0005-0000-0000-0000860C0000}"/>
    <cellStyle name="Stil 1 2" xfId="2241" xr:uid="{00000000-0005-0000-0000-0000870C0000}"/>
    <cellStyle name="Stil 1 3" xfId="2937" xr:uid="{00000000-0005-0000-0000-0000880C0000}"/>
    <cellStyle name="Stil 1 9" xfId="3323" xr:uid="{00000000-0005-0000-0000-0000890C0000}"/>
    <cellStyle name="Style 1" xfId="2242" xr:uid="{00000000-0005-0000-0000-00008A0C0000}"/>
    <cellStyle name="Style 1 2" xfId="2243" xr:uid="{00000000-0005-0000-0000-00008B0C0000}"/>
    <cellStyle name="Style 1 2 2" xfId="2244" xr:uid="{00000000-0005-0000-0000-00008C0C0000}"/>
    <cellStyle name="Style 1 2 2 2" xfId="2245" xr:uid="{00000000-0005-0000-0000-00008D0C0000}"/>
    <cellStyle name="Style 1 2 2 3" xfId="2246" xr:uid="{00000000-0005-0000-0000-00008E0C0000}"/>
    <cellStyle name="Style 1 2 2 3 2" xfId="2755" xr:uid="{00000000-0005-0000-0000-00008F0C0000}"/>
    <cellStyle name="Style 1 2 3" xfId="2247" xr:uid="{00000000-0005-0000-0000-0000900C0000}"/>
    <cellStyle name="Style 1 2 4" xfId="2248" xr:uid="{00000000-0005-0000-0000-0000910C0000}"/>
    <cellStyle name="Style 1 2 4 2" xfId="2756" xr:uid="{00000000-0005-0000-0000-0000920C0000}"/>
    <cellStyle name="Style 1 2 5" xfId="3152" xr:uid="{00000000-0005-0000-0000-0000930C0000}"/>
    <cellStyle name="Style 1 3" xfId="2249" xr:uid="{00000000-0005-0000-0000-0000940C0000}"/>
    <cellStyle name="Style 1 3 2" xfId="2250" xr:uid="{00000000-0005-0000-0000-0000950C0000}"/>
    <cellStyle name="Style 1 3 3" xfId="2251" xr:uid="{00000000-0005-0000-0000-0000960C0000}"/>
    <cellStyle name="Style 1 3 3 2" xfId="2757" xr:uid="{00000000-0005-0000-0000-0000970C0000}"/>
    <cellStyle name="Style 1 4" xfId="2252" xr:uid="{00000000-0005-0000-0000-0000980C0000}"/>
    <cellStyle name="Style 1 4 2" xfId="2253" xr:uid="{00000000-0005-0000-0000-0000990C0000}"/>
    <cellStyle name="Style 1 4 3" xfId="2939" xr:uid="{00000000-0005-0000-0000-00009A0C0000}"/>
    <cellStyle name="Style 1 5" xfId="2254" xr:uid="{00000000-0005-0000-0000-00009B0C0000}"/>
    <cellStyle name="Style 1 5 2" xfId="2255" xr:uid="{00000000-0005-0000-0000-00009C0C0000}"/>
    <cellStyle name="Style 1 5 2 2" xfId="2758" xr:uid="{00000000-0005-0000-0000-00009D0C0000}"/>
    <cellStyle name="Style 1 6" xfId="2256" xr:uid="{00000000-0005-0000-0000-00009E0C0000}"/>
    <cellStyle name="Style 1 7" xfId="2938" xr:uid="{00000000-0005-0000-0000-00009F0C0000}"/>
    <cellStyle name="TableStyleLight1" xfId="2257" xr:uid="{00000000-0005-0000-0000-0000A00C0000}"/>
    <cellStyle name="TableStyleLight1 2" xfId="2258" xr:uid="{00000000-0005-0000-0000-0000A10C0000}"/>
    <cellStyle name="TableStyleLight1 2 2" xfId="2259" xr:uid="{00000000-0005-0000-0000-0000A20C0000}"/>
    <cellStyle name="TableStyleLight1 2 2 2" xfId="2260" xr:uid="{00000000-0005-0000-0000-0000A30C0000}"/>
    <cellStyle name="TableStyleLight1 2 2 3" xfId="2261" xr:uid="{00000000-0005-0000-0000-0000A40C0000}"/>
    <cellStyle name="TableStyleLight1 2 2 3 2" xfId="2759" xr:uid="{00000000-0005-0000-0000-0000A50C0000}"/>
    <cellStyle name="TableStyleLight1 2 3" xfId="2262" xr:uid="{00000000-0005-0000-0000-0000A60C0000}"/>
    <cellStyle name="TableStyleLight1 2 4" xfId="2263" xr:uid="{00000000-0005-0000-0000-0000A70C0000}"/>
    <cellStyle name="TableStyleLight1 2 4 2" xfId="2760" xr:uid="{00000000-0005-0000-0000-0000A80C0000}"/>
    <cellStyle name="TableStyleLight1 3" xfId="2264" xr:uid="{00000000-0005-0000-0000-0000A90C0000}"/>
    <cellStyle name="TableStyleLight1 4" xfId="2265" xr:uid="{00000000-0005-0000-0000-0000AA0C0000}"/>
    <cellStyle name="TableStyleLight1 4 2" xfId="2761" xr:uid="{00000000-0005-0000-0000-0000AB0C0000}"/>
    <cellStyle name="TableStyleLight1 4 3" xfId="3033" xr:uid="{00000000-0005-0000-0000-0000AC0C0000}"/>
    <cellStyle name="Tekst objašnjenja 2" xfId="2266" xr:uid="{00000000-0005-0000-0000-0000AD0C0000}"/>
    <cellStyle name="Tekst objašnjenja 2 2" xfId="2267" xr:uid="{00000000-0005-0000-0000-0000AE0C0000}"/>
    <cellStyle name="Tekst objašnjenja 2 3" xfId="2268" xr:uid="{00000000-0005-0000-0000-0000AF0C0000}"/>
    <cellStyle name="Tekst objašnjenja 3" xfId="2269" xr:uid="{00000000-0005-0000-0000-0000B00C0000}"/>
    <cellStyle name="Tekst objašnjenja 4" xfId="2270" xr:uid="{00000000-0005-0000-0000-0000B10C0000}"/>
    <cellStyle name="Tekst upozorenja 2" xfId="2271" xr:uid="{00000000-0005-0000-0000-0000B20C0000}"/>
    <cellStyle name="Tekst upozorenja 2 2" xfId="2272" xr:uid="{00000000-0005-0000-0000-0000B30C0000}"/>
    <cellStyle name="Tekst upozorenja 2 3" xfId="2273" xr:uid="{00000000-0005-0000-0000-0000B40C0000}"/>
    <cellStyle name="Tekst upozorenja 3" xfId="2274" xr:uid="{00000000-0005-0000-0000-0000B50C0000}"/>
    <cellStyle name="Tekst upozorenja 4" xfId="2275" xr:uid="{00000000-0005-0000-0000-0000B60C0000}"/>
    <cellStyle name="Title" xfId="3364" xr:uid="{00000000-0005-0000-0000-0000B70C0000}"/>
    <cellStyle name="Title 2" xfId="2276" xr:uid="{00000000-0005-0000-0000-0000B80C0000}"/>
    <cellStyle name="Title 2 2" xfId="2277" xr:uid="{00000000-0005-0000-0000-0000B90C0000}"/>
    <cellStyle name="Title 2 3" xfId="2278" xr:uid="{00000000-0005-0000-0000-0000BA0C0000}"/>
    <cellStyle name="Title 2 4" xfId="2940" xr:uid="{00000000-0005-0000-0000-0000BB0C0000}"/>
    <cellStyle name="Title 2 5" xfId="3202" xr:uid="{00000000-0005-0000-0000-0000BC0C0000}"/>
    <cellStyle name="Total" xfId="2279" xr:uid="{00000000-0005-0000-0000-0000BD0C0000}"/>
    <cellStyle name="Total 2" xfId="2280" xr:uid="{00000000-0005-0000-0000-0000BE0C0000}"/>
    <cellStyle name="Total 2 2" xfId="2281" xr:uid="{00000000-0005-0000-0000-0000BF0C0000}"/>
    <cellStyle name="Total 2 3" xfId="2282" xr:uid="{00000000-0005-0000-0000-0000C00C0000}"/>
    <cellStyle name="Total 2 4" xfId="3201" xr:uid="{00000000-0005-0000-0000-0000C10C0000}"/>
    <cellStyle name="Total 3" xfId="2283" xr:uid="{00000000-0005-0000-0000-0000C20C0000}"/>
    <cellStyle name="Total 4" xfId="2284" xr:uid="{00000000-0005-0000-0000-0000C30C0000}"/>
    <cellStyle name="Ukupni zbroj 2" xfId="2285" xr:uid="{00000000-0005-0000-0000-0000C40C0000}"/>
    <cellStyle name="Ukupni zbroj 2 2" xfId="2286" xr:uid="{00000000-0005-0000-0000-0000C50C0000}"/>
    <cellStyle name="Ukupni zbroj 2 2 2" xfId="2287" xr:uid="{00000000-0005-0000-0000-0000C60C0000}"/>
    <cellStyle name="Ukupni zbroj 2 3" xfId="2288" xr:uid="{00000000-0005-0000-0000-0000C70C0000}"/>
    <cellStyle name="Ukupni zbroj 3" xfId="2289" xr:uid="{00000000-0005-0000-0000-0000C80C0000}"/>
    <cellStyle name="Ukupni zbroj 4" xfId="2290" xr:uid="{00000000-0005-0000-0000-0000C90C0000}"/>
    <cellStyle name="Ukupni zbroj 5" xfId="2291" xr:uid="{00000000-0005-0000-0000-0000CA0C0000}"/>
    <cellStyle name="Ukupno" xfId="3200" xr:uid="{00000000-0005-0000-0000-0000CB0C0000}"/>
    <cellStyle name="Ukupno 10" xfId="3352" xr:uid="{00000000-0005-0000-0000-0000CC0C0000}"/>
    <cellStyle name="Ukupno 10 2" xfId="3515" xr:uid="{00000000-0005-0000-0000-0000CD0C0000}"/>
    <cellStyle name="Ukupno 11" xfId="3346" xr:uid="{00000000-0005-0000-0000-0000CE0C0000}"/>
    <cellStyle name="Ukupno 11 2" xfId="3510" xr:uid="{00000000-0005-0000-0000-0000CF0C0000}"/>
    <cellStyle name="Ukupno 12" xfId="3367" xr:uid="{00000000-0005-0000-0000-0000D00C0000}"/>
    <cellStyle name="Ukupno 12 2" xfId="3526" xr:uid="{00000000-0005-0000-0000-0000D10C0000}"/>
    <cellStyle name="Ukupno 13" xfId="3354" xr:uid="{00000000-0005-0000-0000-0000D20C0000}"/>
    <cellStyle name="Ukupno 13 2" xfId="3517" xr:uid="{00000000-0005-0000-0000-0000D30C0000}"/>
    <cellStyle name="Ukupno 14" xfId="3358" xr:uid="{00000000-0005-0000-0000-0000D40C0000}"/>
    <cellStyle name="Ukupno 14 2" xfId="3519" xr:uid="{00000000-0005-0000-0000-0000D50C0000}"/>
    <cellStyle name="Ukupno 15" xfId="3363" xr:uid="{00000000-0005-0000-0000-0000D60C0000}"/>
    <cellStyle name="Ukupno 15 2" xfId="3523" xr:uid="{00000000-0005-0000-0000-0000D70C0000}"/>
    <cellStyle name="Ukupno 16" xfId="3366" xr:uid="{00000000-0005-0000-0000-0000D80C0000}"/>
    <cellStyle name="Ukupno 16 2" xfId="3525" xr:uid="{00000000-0005-0000-0000-0000D90C0000}"/>
    <cellStyle name="Ukupno 17" xfId="3342" xr:uid="{00000000-0005-0000-0000-0000DA0C0000}"/>
    <cellStyle name="Ukupno 2" xfId="3455" xr:uid="{00000000-0005-0000-0000-0000DB0C0000}"/>
    <cellStyle name="Ukupno 2 10" xfId="3334" xr:uid="{00000000-0005-0000-0000-0000DC0C0000}"/>
    <cellStyle name="Ukupno 2 10 2" xfId="3499" xr:uid="{00000000-0005-0000-0000-0000DD0C0000}"/>
    <cellStyle name="Ukupno 2 11" xfId="3392" xr:uid="{00000000-0005-0000-0000-0000DE0C0000}"/>
    <cellStyle name="Ukupno 2 11 2" xfId="3550" xr:uid="{00000000-0005-0000-0000-0000DF0C0000}"/>
    <cellStyle name="Ukupno 2 12" xfId="3394" xr:uid="{00000000-0005-0000-0000-0000E00C0000}"/>
    <cellStyle name="Ukupno 2 12 2" xfId="3552" xr:uid="{00000000-0005-0000-0000-0000E10C0000}"/>
    <cellStyle name="Ukupno 2 13" xfId="3341" xr:uid="{00000000-0005-0000-0000-0000E20C0000}"/>
    <cellStyle name="Ukupno 2 13 2" xfId="3506" xr:uid="{00000000-0005-0000-0000-0000E30C0000}"/>
    <cellStyle name="Ukupno 2 14" xfId="3391" xr:uid="{00000000-0005-0000-0000-0000E40C0000}"/>
    <cellStyle name="Ukupno 2 14 2" xfId="3549" xr:uid="{00000000-0005-0000-0000-0000E50C0000}"/>
    <cellStyle name="Ukupno 2 15" xfId="3381" xr:uid="{00000000-0005-0000-0000-0000E60C0000}"/>
    <cellStyle name="Ukupno 2 15 2" xfId="3540" xr:uid="{00000000-0005-0000-0000-0000E70C0000}"/>
    <cellStyle name="Ukupno 2 16" xfId="3554" xr:uid="{00000000-0005-0000-0000-0000E80C0000}"/>
    <cellStyle name="Ukupno 2 2" xfId="3460" xr:uid="{00000000-0005-0000-0000-0000E90C0000}"/>
    <cellStyle name="Ukupno 2 2 10" xfId="3386" xr:uid="{00000000-0005-0000-0000-0000EA0C0000}"/>
    <cellStyle name="Ukupno 2 2 10 2" xfId="3545" xr:uid="{00000000-0005-0000-0000-0000EB0C0000}"/>
    <cellStyle name="Ukupno 2 2 11" xfId="3370" xr:uid="{00000000-0005-0000-0000-0000EC0C0000}"/>
    <cellStyle name="Ukupno 2 2 11 2" xfId="3529" xr:uid="{00000000-0005-0000-0000-0000ED0C0000}"/>
    <cellStyle name="Ukupno 2 2 12" xfId="3340" xr:uid="{00000000-0005-0000-0000-0000EE0C0000}"/>
    <cellStyle name="Ukupno 2 2 12 2" xfId="3505" xr:uid="{00000000-0005-0000-0000-0000EF0C0000}"/>
    <cellStyle name="Ukupno 2 2 13" xfId="3558" xr:uid="{00000000-0005-0000-0000-0000F00C0000}"/>
    <cellStyle name="Ukupno 2 2 2" xfId="3471" xr:uid="{00000000-0005-0000-0000-0000F10C0000}"/>
    <cellStyle name="Ukupno 2 2 2 2" xfId="3568" xr:uid="{00000000-0005-0000-0000-0000F20C0000}"/>
    <cellStyle name="Ukupno 2 2 3" xfId="3388" xr:uid="{00000000-0005-0000-0000-0000F30C0000}"/>
    <cellStyle name="Ukupno 2 2 3 2" xfId="3547" xr:uid="{00000000-0005-0000-0000-0000F40C0000}"/>
    <cellStyle name="Ukupno 2 2 4" xfId="3477" xr:uid="{00000000-0005-0000-0000-0000F50C0000}"/>
    <cellStyle name="Ukupno 2 2 4 2" xfId="3574" xr:uid="{00000000-0005-0000-0000-0000F60C0000}"/>
    <cellStyle name="Ukupno 2 2 5" xfId="3395" xr:uid="{00000000-0005-0000-0000-0000F70C0000}"/>
    <cellStyle name="Ukupno 2 2 5 2" xfId="3553" xr:uid="{00000000-0005-0000-0000-0000F80C0000}"/>
    <cellStyle name="Ukupno 2 2 6" xfId="3333" xr:uid="{00000000-0005-0000-0000-0000F90C0000}"/>
    <cellStyle name="Ukupno 2 2 6 2" xfId="3498" xr:uid="{00000000-0005-0000-0000-0000FA0C0000}"/>
    <cellStyle name="Ukupno 2 2 7" xfId="3351" xr:uid="{00000000-0005-0000-0000-0000FB0C0000}"/>
    <cellStyle name="Ukupno 2 2 7 2" xfId="3514" xr:uid="{00000000-0005-0000-0000-0000FC0C0000}"/>
    <cellStyle name="Ukupno 2 2 8" xfId="3369" xr:uid="{00000000-0005-0000-0000-0000FD0C0000}"/>
    <cellStyle name="Ukupno 2 2 8 2" xfId="3528" xr:uid="{00000000-0005-0000-0000-0000FE0C0000}"/>
    <cellStyle name="Ukupno 2 2 9" xfId="3483" xr:uid="{00000000-0005-0000-0000-0000FF0C0000}"/>
    <cellStyle name="Ukupno 2 2 9 2" xfId="3580" xr:uid="{00000000-0005-0000-0000-0000000D0000}"/>
    <cellStyle name="Ukupno 2 3" xfId="3461" xr:uid="{00000000-0005-0000-0000-0000010D0000}"/>
    <cellStyle name="Ukupno 2 3 10" xfId="3357" xr:uid="{00000000-0005-0000-0000-0000020D0000}"/>
    <cellStyle name="Ukupno 2 3 10 2" xfId="3518" xr:uid="{00000000-0005-0000-0000-0000030D0000}"/>
    <cellStyle name="Ukupno 2 3 11" xfId="3343" xr:uid="{00000000-0005-0000-0000-0000040D0000}"/>
    <cellStyle name="Ukupno 2 3 11 2" xfId="3507" xr:uid="{00000000-0005-0000-0000-0000050D0000}"/>
    <cellStyle name="Ukupno 2 3 12" xfId="3339" xr:uid="{00000000-0005-0000-0000-0000060D0000}"/>
    <cellStyle name="Ukupno 2 3 12 2" xfId="3504" xr:uid="{00000000-0005-0000-0000-0000070D0000}"/>
    <cellStyle name="Ukupno 2 3 13" xfId="3559" xr:uid="{00000000-0005-0000-0000-0000080D0000}"/>
    <cellStyle name="Ukupno 2 3 2" xfId="3472" xr:uid="{00000000-0005-0000-0000-0000090D0000}"/>
    <cellStyle name="Ukupno 2 3 2 2" xfId="3569" xr:uid="{00000000-0005-0000-0000-00000A0D0000}"/>
    <cellStyle name="Ukupno 2 3 3" xfId="3474" xr:uid="{00000000-0005-0000-0000-00000B0D0000}"/>
    <cellStyle name="Ukupno 2 3 3 2" xfId="3571" xr:uid="{00000000-0005-0000-0000-00000C0D0000}"/>
    <cellStyle name="Ukupno 2 3 4" xfId="3478" xr:uid="{00000000-0005-0000-0000-00000D0D0000}"/>
    <cellStyle name="Ukupno 2 3 4 2" xfId="3575" xr:uid="{00000000-0005-0000-0000-00000E0D0000}"/>
    <cellStyle name="Ukupno 2 3 5" xfId="3372" xr:uid="{00000000-0005-0000-0000-00000F0D0000}"/>
    <cellStyle name="Ukupno 2 3 5 2" xfId="3531" xr:uid="{00000000-0005-0000-0000-0000100D0000}"/>
    <cellStyle name="Ukupno 2 3 6" xfId="3390" xr:uid="{00000000-0005-0000-0000-0000110D0000}"/>
    <cellStyle name="Ukupno 2 3 6 2" xfId="3548" xr:uid="{00000000-0005-0000-0000-0000120D0000}"/>
    <cellStyle name="Ukupno 2 3 7" xfId="3330" xr:uid="{00000000-0005-0000-0000-0000130D0000}"/>
    <cellStyle name="Ukupno 2 3 7 2" xfId="3495" xr:uid="{00000000-0005-0000-0000-0000140D0000}"/>
    <cellStyle name="Ukupno 2 3 8" xfId="3393" xr:uid="{00000000-0005-0000-0000-0000150D0000}"/>
    <cellStyle name="Ukupno 2 3 8 2" xfId="3551" xr:uid="{00000000-0005-0000-0000-0000160D0000}"/>
    <cellStyle name="Ukupno 2 3 9" xfId="3338" xr:uid="{00000000-0005-0000-0000-0000170D0000}"/>
    <cellStyle name="Ukupno 2 3 9 2" xfId="3503" xr:uid="{00000000-0005-0000-0000-0000180D0000}"/>
    <cellStyle name="Ukupno 2 4" xfId="3463" xr:uid="{00000000-0005-0000-0000-0000190D0000}"/>
    <cellStyle name="Ukupno 2 4 10" xfId="3486" xr:uid="{00000000-0005-0000-0000-00001A0D0000}"/>
    <cellStyle name="Ukupno 2 4 10 2" xfId="3583" xr:uid="{00000000-0005-0000-0000-00001B0D0000}"/>
    <cellStyle name="Ukupno 2 4 11" xfId="3487" xr:uid="{00000000-0005-0000-0000-00001C0D0000}"/>
    <cellStyle name="Ukupno 2 4 11 2" xfId="3584" xr:uid="{00000000-0005-0000-0000-00001D0D0000}"/>
    <cellStyle name="Ukupno 2 4 12" xfId="3349" xr:uid="{00000000-0005-0000-0000-00001E0D0000}"/>
    <cellStyle name="Ukupno 2 4 12 2" xfId="3512" xr:uid="{00000000-0005-0000-0000-00001F0D0000}"/>
    <cellStyle name="Ukupno 2 4 13" xfId="3560" xr:uid="{00000000-0005-0000-0000-0000200D0000}"/>
    <cellStyle name="Ukupno 2 4 2" xfId="3473" xr:uid="{00000000-0005-0000-0000-0000210D0000}"/>
    <cellStyle name="Ukupno 2 4 2 2" xfId="3570" xr:uid="{00000000-0005-0000-0000-0000220D0000}"/>
    <cellStyle name="Ukupno 2 4 3" xfId="3475" xr:uid="{00000000-0005-0000-0000-0000230D0000}"/>
    <cellStyle name="Ukupno 2 4 3 2" xfId="3572" xr:uid="{00000000-0005-0000-0000-0000240D0000}"/>
    <cellStyle name="Ukupno 2 4 4" xfId="3479" xr:uid="{00000000-0005-0000-0000-0000250D0000}"/>
    <cellStyle name="Ukupno 2 4 4 2" xfId="3576" xr:uid="{00000000-0005-0000-0000-0000260D0000}"/>
    <cellStyle name="Ukupno 2 4 5" xfId="3481" xr:uid="{00000000-0005-0000-0000-0000270D0000}"/>
    <cellStyle name="Ukupno 2 4 5 2" xfId="3578" xr:uid="{00000000-0005-0000-0000-0000280D0000}"/>
    <cellStyle name="Ukupno 2 4 6" xfId="3484" xr:uid="{00000000-0005-0000-0000-0000290D0000}"/>
    <cellStyle name="Ukupno 2 4 6 2" xfId="3581" xr:uid="{00000000-0005-0000-0000-00002A0D0000}"/>
    <cellStyle name="Ukupno 2 4 7" xfId="3337" xr:uid="{00000000-0005-0000-0000-00002B0D0000}"/>
    <cellStyle name="Ukupno 2 4 7 2" xfId="3502" xr:uid="{00000000-0005-0000-0000-00002C0D0000}"/>
    <cellStyle name="Ukupno 2 4 8" xfId="3331" xr:uid="{00000000-0005-0000-0000-00002D0D0000}"/>
    <cellStyle name="Ukupno 2 4 8 2" xfId="3496" xr:uid="{00000000-0005-0000-0000-00002E0D0000}"/>
    <cellStyle name="Ukupno 2 4 9" xfId="3485" xr:uid="{00000000-0005-0000-0000-00002F0D0000}"/>
    <cellStyle name="Ukupno 2 4 9 2" xfId="3582" xr:uid="{00000000-0005-0000-0000-0000300D0000}"/>
    <cellStyle name="Ukupno 2 5" xfId="3467" xr:uid="{00000000-0005-0000-0000-0000310D0000}"/>
    <cellStyle name="Ukupno 2 5 2" xfId="3564" xr:uid="{00000000-0005-0000-0000-0000320D0000}"/>
    <cellStyle name="Ukupno 2 6" xfId="3373" xr:uid="{00000000-0005-0000-0000-0000330D0000}"/>
    <cellStyle name="Ukupno 2 6 2" xfId="3532" xr:uid="{00000000-0005-0000-0000-0000340D0000}"/>
    <cellStyle name="Ukupno 2 7" xfId="3466" xr:uid="{00000000-0005-0000-0000-0000350D0000}"/>
    <cellStyle name="Ukupno 2 7 2" xfId="3563" xr:uid="{00000000-0005-0000-0000-0000360D0000}"/>
    <cellStyle name="Ukupno 2 8" xfId="3371" xr:uid="{00000000-0005-0000-0000-0000370D0000}"/>
    <cellStyle name="Ukupno 2 8 2" xfId="3530" xr:uid="{00000000-0005-0000-0000-0000380D0000}"/>
    <cellStyle name="Ukupno 2 9" xfId="3328" xr:uid="{00000000-0005-0000-0000-0000390D0000}"/>
    <cellStyle name="Ukupno 2 9 2" xfId="3493" xr:uid="{00000000-0005-0000-0000-00003A0D0000}"/>
    <cellStyle name="Ukupno 3" xfId="3457" xr:uid="{00000000-0005-0000-0000-00003B0D0000}"/>
    <cellStyle name="Ukupno 3 10" xfId="3360" xr:uid="{00000000-0005-0000-0000-00003C0D0000}"/>
    <cellStyle name="Ukupno 3 10 2" xfId="3520" xr:uid="{00000000-0005-0000-0000-00003D0D0000}"/>
    <cellStyle name="Ukupno 3 11" xfId="3384" xr:uid="{00000000-0005-0000-0000-00003E0D0000}"/>
    <cellStyle name="Ukupno 3 11 2" xfId="3543" xr:uid="{00000000-0005-0000-0000-00003F0D0000}"/>
    <cellStyle name="Ukupno 3 12" xfId="3336" xr:uid="{00000000-0005-0000-0000-0000400D0000}"/>
    <cellStyle name="Ukupno 3 12 2" xfId="3501" xr:uid="{00000000-0005-0000-0000-0000410D0000}"/>
    <cellStyle name="Ukupno 3 13" xfId="3555" xr:uid="{00000000-0005-0000-0000-0000420D0000}"/>
    <cellStyle name="Ukupno 3 2" xfId="3468" xr:uid="{00000000-0005-0000-0000-0000430D0000}"/>
    <cellStyle name="Ukupno 3 2 2" xfId="3565" xr:uid="{00000000-0005-0000-0000-0000440D0000}"/>
    <cellStyle name="Ukupno 3 3" xfId="3374" xr:uid="{00000000-0005-0000-0000-0000450D0000}"/>
    <cellStyle name="Ukupno 3 3 2" xfId="3533" xr:uid="{00000000-0005-0000-0000-0000460D0000}"/>
    <cellStyle name="Ukupno 3 4" xfId="3332" xr:uid="{00000000-0005-0000-0000-0000470D0000}"/>
    <cellStyle name="Ukupno 3 4 2" xfId="3497" xr:uid="{00000000-0005-0000-0000-0000480D0000}"/>
    <cellStyle name="Ukupno 3 5" xfId="3382" xr:uid="{00000000-0005-0000-0000-0000490D0000}"/>
    <cellStyle name="Ukupno 3 5 2" xfId="3541" xr:uid="{00000000-0005-0000-0000-00004A0D0000}"/>
    <cellStyle name="Ukupno 3 6" xfId="3378" xr:uid="{00000000-0005-0000-0000-00004B0D0000}"/>
    <cellStyle name="Ukupno 3 6 2" xfId="3537" xr:uid="{00000000-0005-0000-0000-00004C0D0000}"/>
    <cellStyle name="Ukupno 3 7" xfId="3379" xr:uid="{00000000-0005-0000-0000-00004D0D0000}"/>
    <cellStyle name="Ukupno 3 7 2" xfId="3538" xr:uid="{00000000-0005-0000-0000-00004E0D0000}"/>
    <cellStyle name="Ukupno 3 8" xfId="3480" xr:uid="{00000000-0005-0000-0000-00004F0D0000}"/>
    <cellStyle name="Ukupno 3 8 2" xfId="3577" xr:uid="{00000000-0005-0000-0000-0000500D0000}"/>
    <cellStyle name="Ukupno 3 9" xfId="3377" xr:uid="{00000000-0005-0000-0000-0000510D0000}"/>
    <cellStyle name="Ukupno 3 9 2" xfId="3536" xr:uid="{00000000-0005-0000-0000-0000520D0000}"/>
    <cellStyle name="Ukupno 4" xfId="3459" xr:uid="{00000000-0005-0000-0000-0000530D0000}"/>
    <cellStyle name="Ukupno 4 10" xfId="3385" xr:uid="{00000000-0005-0000-0000-0000540D0000}"/>
    <cellStyle name="Ukupno 4 10 2" xfId="3544" xr:uid="{00000000-0005-0000-0000-0000550D0000}"/>
    <cellStyle name="Ukupno 4 11" xfId="3380" xr:uid="{00000000-0005-0000-0000-0000560D0000}"/>
    <cellStyle name="Ukupno 4 11 2" xfId="3539" xr:uid="{00000000-0005-0000-0000-0000570D0000}"/>
    <cellStyle name="Ukupno 4 12" xfId="3365" xr:uid="{00000000-0005-0000-0000-0000580D0000}"/>
    <cellStyle name="Ukupno 4 12 2" xfId="3524" xr:uid="{00000000-0005-0000-0000-0000590D0000}"/>
    <cellStyle name="Ukupno 4 13" xfId="3557" xr:uid="{00000000-0005-0000-0000-00005A0D0000}"/>
    <cellStyle name="Ukupno 4 2" xfId="3470" xr:uid="{00000000-0005-0000-0000-00005B0D0000}"/>
    <cellStyle name="Ukupno 4 2 2" xfId="3567" xr:uid="{00000000-0005-0000-0000-00005C0D0000}"/>
    <cellStyle name="Ukupno 4 3" xfId="3383" xr:uid="{00000000-0005-0000-0000-00005D0D0000}"/>
    <cellStyle name="Ukupno 4 3 2" xfId="3542" xr:uid="{00000000-0005-0000-0000-00005E0D0000}"/>
    <cellStyle name="Ukupno 4 4" xfId="3476" xr:uid="{00000000-0005-0000-0000-00005F0D0000}"/>
    <cellStyle name="Ukupno 4 4 2" xfId="3573" xr:uid="{00000000-0005-0000-0000-0000600D0000}"/>
    <cellStyle name="Ukupno 4 5" xfId="3344" xr:uid="{00000000-0005-0000-0000-0000610D0000}"/>
    <cellStyle name="Ukupno 4 5 2" xfId="3508" xr:uid="{00000000-0005-0000-0000-0000620D0000}"/>
    <cellStyle name="Ukupno 4 6" xfId="3348" xr:uid="{00000000-0005-0000-0000-0000630D0000}"/>
    <cellStyle name="Ukupno 4 6 2" xfId="3511" xr:uid="{00000000-0005-0000-0000-0000640D0000}"/>
    <cellStyle name="Ukupno 4 7" xfId="3387" xr:uid="{00000000-0005-0000-0000-0000650D0000}"/>
    <cellStyle name="Ukupno 4 7 2" xfId="3546" xr:uid="{00000000-0005-0000-0000-0000660D0000}"/>
    <cellStyle name="Ukupno 4 8" xfId="3368" xr:uid="{00000000-0005-0000-0000-0000670D0000}"/>
    <cellStyle name="Ukupno 4 8 2" xfId="3527" xr:uid="{00000000-0005-0000-0000-0000680D0000}"/>
    <cellStyle name="Ukupno 4 9" xfId="3335" xr:uid="{00000000-0005-0000-0000-0000690D0000}"/>
    <cellStyle name="Ukupno 4 9 2" xfId="3500" xr:uid="{00000000-0005-0000-0000-00006A0D0000}"/>
    <cellStyle name="Ukupno 5" xfId="3458" xr:uid="{00000000-0005-0000-0000-00006B0D0000}"/>
    <cellStyle name="Ukupno 5 10" xfId="3353" xr:uid="{00000000-0005-0000-0000-00006C0D0000}"/>
    <cellStyle name="Ukupno 5 10 2" xfId="3516" xr:uid="{00000000-0005-0000-0000-00006D0D0000}"/>
    <cellStyle name="Ukupno 5 11" xfId="3376" xr:uid="{00000000-0005-0000-0000-00006E0D0000}"/>
    <cellStyle name="Ukupno 5 11 2" xfId="3535" xr:uid="{00000000-0005-0000-0000-00006F0D0000}"/>
    <cellStyle name="Ukupno 5 12" xfId="3327" xr:uid="{00000000-0005-0000-0000-0000700D0000}"/>
    <cellStyle name="Ukupno 5 12 2" xfId="3492" xr:uid="{00000000-0005-0000-0000-0000710D0000}"/>
    <cellStyle name="Ukupno 5 13" xfId="3556" xr:uid="{00000000-0005-0000-0000-0000720D0000}"/>
    <cellStyle name="Ukupno 5 2" xfId="3469" xr:uid="{00000000-0005-0000-0000-0000730D0000}"/>
    <cellStyle name="Ukupno 5 2 2" xfId="3566" xr:uid="{00000000-0005-0000-0000-0000740D0000}"/>
    <cellStyle name="Ukupno 5 3" xfId="3375" xr:uid="{00000000-0005-0000-0000-0000750D0000}"/>
    <cellStyle name="Ukupno 5 3 2" xfId="3534" xr:uid="{00000000-0005-0000-0000-0000760D0000}"/>
    <cellStyle name="Ukupno 5 4" xfId="3465" xr:uid="{00000000-0005-0000-0000-0000770D0000}"/>
    <cellStyle name="Ukupno 5 4 2" xfId="3562" xr:uid="{00000000-0005-0000-0000-0000780D0000}"/>
    <cellStyle name="Ukupno 5 5" xfId="3329" xr:uid="{00000000-0005-0000-0000-0000790D0000}"/>
    <cellStyle name="Ukupno 5 5 2" xfId="3494" xr:uid="{00000000-0005-0000-0000-00007A0D0000}"/>
    <cellStyle name="Ukupno 5 6" xfId="3464" xr:uid="{00000000-0005-0000-0000-00007B0D0000}"/>
    <cellStyle name="Ukupno 5 6 2" xfId="3561" xr:uid="{00000000-0005-0000-0000-00007C0D0000}"/>
    <cellStyle name="Ukupno 5 7" xfId="3361" xr:uid="{00000000-0005-0000-0000-00007D0D0000}"/>
    <cellStyle name="Ukupno 5 7 2" xfId="3521" xr:uid="{00000000-0005-0000-0000-00007E0D0000}"/>
    <cellStyle name="Ukupno 5 8" xfId="3482" xr:uid="{00000000-0005-0000-0000-00007F0D0000}"/>
    <cellStyle name="Ukupno 5 8 2" xfId="3579" xr:uid="{00000000-0005-0000-0000-0000800D0000}"/>
    <cellStyle name="Ukupno 5 9" xfId="3350" xr:uid="{00000000-0005-0000-0000-0000810D0000}"/>
    <cellStyle name="Ukupno 5 9 2" xfId="3513" xr:uid="{00000000-0005-0000-0000-0000820D0000}"/>
    <cellStyle name="Ukupno 6" xfId="3326" xr:uid="{00000000-0005-0000-0000-0000830D0000}"/>
    <cellStyle name="Ukupno 6 2" xfId="3491" xr:uid="{00000000-0005-0000-0000-0000840D0000}"/>
    <cellStyle name="Ukupno 7" xfId="3325" xr:uid="{00000000-0005-0000-0000-0000850D0000}"/>
    <cellStyle name="Ukupno 7 2" xfId="3490" xr:uid="{00000000-0005-0000-0000-0000860D0000}"/>
    <cellStyle name="Ukupno 8" xfId="3345" xr:uid="{00000000-0005-0000-0000-0000870D0000}"/>
    <cellStyle name="Ukupno 8 2" xfId="3509" xr:uid="{00000000-0005-0000-0000-0000880D0000}"/>
    <cellStyle name="Ukupno 9" xfId="3362" xr:uid="{00000000-0005-0000-0000-0000890D0000}"/>
    <cellStyle name="Ukupno 9 2" xfId="3522" xr:uid="{00000000-0005-0000-0000-00008A0D0000}"/>
    <cellStyle name="Unos 2" xfId="2292" xr:uid="{00000000-0005-0000-0000-00008B0D0000}"/>
    <cellStyle name="Unos 2 2" xfId="2293" xr:uid="{00000000-0005-0000-0000-00008C0D0000}"/>
    <cellStyle name="Unos 2 2 2" xfId="2294" xr:uid="{00000000-0005-0000-0000-00008D0D0000}"/>
    <cellStyle name="Unos 2 2 3" xfId="2941" xr:uid="{00000000-0005-0000-0000-00008E0D0000}"/>
    <cellStyle name="Unos 2 3" xfId="2295" xr:uid="{00000000-0005-0000-0000-00008F0D0000}"/>
    <cellStyle name="Unos 3" xfId="2296" xr:uid="{00000000-0005-0000-0000-0000900D0000}"/>
    <cellStyle name="Unos 3 2" xfId="2297" xr:uid="{00000000-0005-0000-0000-0000910D0000}"/>
    <cellStyle name="Unos 3 3" xfId="2298" xr:uid="{00000000-0005-0000-0000-0000920D0000}"/>
    <cellStyle name="Unos 3 4" xfId="2942" xr:uid="{00000000-0005-0000-0000-0000930D0000}"/>
    <cellStyle name="Unos 4" xfId="2299" xr:uid="{00000000-0005-0000-0000-0000940D0000}"/>
    <cellStyle name="Unos 5" xfId="2300" xr:uid="{00000000-0005-0000-0000-0000950D0000}"/>
    <cellStyle name="Unos 6" xfId="2301" xr:uid="{00000000-0005-0000-0000-0000960D0000}"/>
    <cellStyle name="Valuta 2" xfId="2302" xr:uid="{00000000-0005-0000-0000-0000970D0000}"/>
    <cellStyle name="Valuta 2 2" xfId="2303" xr:uid="{00000000-0005-0000-0000-0000980D0000}"/>
    <cellStyle name="Valuta 2 2 2" xfId="3196" xr:uid="{00000000-0005-0000-0000-0000990D0000}"/>
    <cellStyle name="Valuta 2 2 3" xfId="3413" xr:uid="{00000000-0005-0000-0000-00009A0D0000}"/>
    <cellStyle name="Valuta 2 3" xfId="2304" xr:uid="{00000000-0005-0000-0000-00009B0D0000}"/>
    <cellStyle name="Valuta 2 3 2" xfId="2762" xr:uid="{00000000-0005-0000-0000-00009C0D0000}"/>
    <cellStyle name="Valuta 2 3 2 2" xfId="3439" xr:uid="{00000000-0005-0000-0000-00009D0D0000}"/>
    <cellStyle name="Valuta 2 3 3" xfId="3046" xr:uid="{00000000-0005-0000-0000-00009E0D0000}"/>
    <cellStyle name="Valuta 2 3 4" xfId="3414" xr:uid="{00000000-0005-0000-0000-00009F0D0000}"/>
    <cellStyle name="Valuta 2 4" xfId="2943" xr:uid="{00000000-0005-0000-0000-0000A00D0000}"/>
    <cellStyle name="Valuta 2 5" xfId="3084" xr:uid="{00000000-0005-0000-0000-0000A10D0000}"/>
    <cellStyle name="Valuta 2 6" xfId="3412" xr:uid="{00000000-0005-0000-0000-0000A20D0000}"/>
    <cellStyle name="Warning Text" xfId="3355" xr:uid="{00000000-0005-0000-0000-0000A30D0000}"/>
    <cellStyle name="Warning Text 2" xfId="2305" xr:uid="{00000000-0005-0000-0000-0000A40D0000}"/>
    <cellStyle name="Warning Text 2 2" xfId="2306" xr:uid="{00000000-0005-0000-0000-0000A50D0000}"/>
    <cellStyle name="Warning Text 2 3" xfId="2307" xr:uid="{00000000-0005-0000-0000-0000A60D0000}"/>
    <cellStyle name="Zarez 2" xfId="2308" xr:uid="{00000000-0005-0000-0000-0000A80D0000}"/>
    <cellStyle name="Zarez 2 2" xfId="2309" xr:uid="{00000000-0005-0000-0000-0000A90D0000}"/>
    <cellStyle name="Zarez 2 2 2" xfId="2310" xr:uid="{00000000-0005-0000-0000-0000AA0D0000}"/>
    <cellStyle name="Zarez 2 2 2 2" xfId="2311" xr:uid="{00000000-0005-0000-0000-0000AB0D0000}"/>
    <cellStyle name="Zarez 2 2 2 2 2" xfId="2764" xr:uid="{00000000-0005-0000-0000-0000AC0D0000}"/>
    <cellStyle name="Zarez 2 2 2 2 2 2" xfId="3441" xr:uid="{00000000-0005-0000-0000-0000AD0D0000}"/>
    <cellStyle name="Zarez 2 2 2 2 3" xfId="2946" xr:uid="{00000000-0005-0000-0000-0000AE0D0000}"/>
    <cellStyle name="Zarez 2 2 2 2 4" xfId="3416" xr:uid="{00000000-0005-0000-0000-0000AF0D0000}"/>
    <cellStyle name="Zarez 2 2 2 3" xfId="2763" xr:uid="{00000000-0005-0000-0000-0000B00D0000}"/>
    <cellStyle name="Zarez 2 2 2 3 2" xfId="3440" xr:uid="{00000000-0005-0000-0000-0000B10D0000}"/>
    <cellStyle name="Zarez 2 2 2 4" xfId="2945" xr:uid="{00000000-0005-0000-0000-0000B20D0000}"/>
    <cellStyle name="Zarez 2 2 2 5" xfId="3415" xr:uid="{00000000-0005-0000-0000-0000B30D0000}"/>
    <cellStyle name="Zarez 2 2 3" xfId="2312" xr:uid="{00000000-0005-0000-0000-0000B40D0000}"/>
    <cellStyle name="Zarez 2 2 3 2" xfId="2313" xr:uid="{00000000-0005-0000-0000-0000B50D0000}"/>
    <cellStyle name="Zarez 2 2 3 2 2" xfId="2766" xr:uid="{00000000-0005-0000-0000-0000B60D0000}"/>
    <cellStyle name="Zarez 2 2 3 2 2 2" xfId="3443" xr:uid="{00000000-0005-0000-0000-0000B70D0000}"/>
    <cellStyle name="Zarez 2 2 3 2 3" xfId="2948" xr:uid="{00000000-0005-0000-0000-0000B80D0000}"/>
    <cellStyle name="Zarez 2 2 3 2 4" xfId="3035" xr:uid="{00000000-0005-0000-0000-0000B90D0000}"/>
    <cellStyle name="Zarez 2 2 3 2 5" xfId="3418" xr:uid="{00000000-0005-0000-0000-0000BA0D0000}"/>
    <cellStyle name="Zarez 2 2 3 3" xfId="2765" xr:uid="{00000000-0005-0000-0000-0000BB0D0000}"/>
    <cellStyle name="Zarez 2 2 3 3 2" xfId="3442" xr:uid="{00000000-0005-0000-0000-0000BC0D0000}"/>
    <cellStyle name="Zarez 2 2 3 4" xfId="2947" xr:uid="{00000000-0005-0000-0000-0000BD0D0000}"/>
    <cellStyle name="Zarez 2 2 3 5" xfId="3034" xr:uid="{00000000-0005-0000-0000-0000BE0D0000}"/>
    <cellStyle name="Zarez 2 2 3 6" xfId="3417" xr:uid="{00000000-0005-0000-0000-0000BF0D0000}"/>
    <cellStyle name="Zarez 2 2 4" xfId="2314" xr:uid="{00000000-0005-0000-0000-0000C00D0000}"/>
    <cellStyle name="Zarez 2 2 4 2" xfId="2767" xr:uid="{00000000-0005-0000-0000-0000C10D0000}"/>
    <cellStyle name="Zarez 2 2 4 2 2" xfId="3444" xr:uid="{00000000-0005-0000-0000-0000C20D0000}"/>
    <cellStyle name="Zarez 2 2 4 3" xfId="2949" xr:uid="{00000000-0005-0000-0000-0000C30D0000}"/>
    <cellStyle name="Zarez 2 2 4 4" xfId="3419" xr:uid="{00000000-0005-0000-0000-0000C40D0000}"/>
    <cellStyle name="Zarez 2 2 5" xfId="2315" xr:uid="{00000000-0005-0000-0000-0000C50D0000}"/>
    <cellStyle name="Zarez 2 2 5 2" xfId="2768" xr:uid="{00000000-0005-0000-0000-0000C60D0000}"/>
    <cellStyle name="Zarez 2 2 5 2 2" xfId="3445" xr:uid="{00000000-0005-0000-0000-0000C70D0000}"/>
    <cellStyle name="Zarez 2 2 5 3" xfId="3420" xr:uid="{00000000-0005-0000-0000-0000C80D0000}"/>
    <cellStyle name="Zarez 2 2 6" xfId="2944" xr:uid="{00000000-0005-0000-0000-0000C90D0000}"/>
    <cellStyle name="Zarez 2 3" xfId="2316" xr:uid="{00000000-0005-0000-0000-0000CA0D0000}"/>
    <cellStyle name="Zarez 2 3 2" xfId="2317" xr:uid="{00000000-0005-0000-0000-0000CB0D0000}"/>
    <cellStyle name="Zarez 2 3 2 2" xfId="2770" xr:uid="{00000000-0005-0000-0000-0000CC0D0000}"/>
    <cellStyle name="Zarez 2 3 2 2 2" xfId="3447" xr:uid="{00000000-0005-0000-0000-0000CD0D0000}"/>
    <cellStyle name="Zarez 2 3 2 3" xfId="2951" xr:uid="{00000000-0005-0000-0000-0000CE0D0000}"/>
    <cellStyle name="Zarez 2 3 2 4" xfId="3422" xr:uid="{00000000-0005-0000-0000-0000CF0D0000}"/>
    <cellStyle name="Zarez 2 3 3" xfId="2769" xr:uid="{00000000-0005-0000-0000-0000D00D0000}"/>
    <cellStyle name="Zarez 2 3 3 2" xfId="3446" xr:uid="{00000000-0005-0000-0000-0000D10D0000}"/>
    <cellStyle name="Zarez 2 3 4" xfId="2950" xr:uid="{00000000-0005-0000-0000-0000D20D0000}"/>
    <cellStyle name="Zarez 2 3 5" xfId="3421" xr:uid="{00000000-0005-0000-0000-0000D30D0000}"/>
    <cellStyle name="Zarez 2 4" xfId="2318" xr:uid="{00000000-0005-0000-0000-0000D40D0000}"/>
    <cellStyle name="Zarez 2 4 2" xfId="2771" xr:uid="{00000000-0005-0000-0000-0000D50D0000}"/>
    <cellStyle name="Zarez 2 4 2 2" xfId="3448" xr:uid="{00000000-0005-0000-0000-0000D60D0000}"/>
    <cellStyle name="Zarez 2 4 3" xfId="2952" xr:uid="{00000000-0005-0000-0000-0000D70D0000}"/>
    <cellStyle name="Zarez 2 4 4" xfId="3423" xr:uid="{00000000-0005-0000-0000-0000D80D0000}"/>
    <cellStyle name="Zarez 2 5" xfId="2319" xr:uid="{00000000-0005-0000-0000-0000D90D0000}"/>
    <cellStyle name="Zarez 2 5 2" xfId="2772" xr:uid="{00000000-0005-0000-0000-0000DA0D0000}"/>
    <cellStyle name="Zarez 2 6" xfId="3197" xr:uid="{00000000-0005-0000-0000-0000DB0D0000}"/>
    <cellStyle name="Zarez 3" xfId="2320" xr:uid="{00000000-0005-0000-0000-0000DC0D0000}"/>
    <cellStyle name="Zarez 3 2" xfId="2321" xr:uid="{00000000-0005-0000-0000-0000DD0D0000}"/>
    <cellStyle name="Zarez 3 2 2" xfId="2773" xr:uid="{00000000-0005-0000-0000-0000DE0D0000}"/>
    <cellStyle name="Zarez 3 2 2 2" xfId="3449" xr:uid="{00000000-0005-0000-0000-0000DF0D0000}"/>
    <cellStyle name="Zarez 3 2 3" xfId="2954" xr:uid="{00000000-0005-0000-0000-0000E00D0000}"/>
    <cellStyle name="Zarez 3 3" xfId="2322" xr:uid="{00000000-0005-0000-0000-0000E10D0000}"/>
    <cellStyle name="Zarez 3 3 2" xfId="2774" xr:uid="{00000000-0005-0000-0000-0000E20D0000}"/>
    <cellStyle name="Zarez 3 3 2 2" xfId="3450" xr:uid="{00000000-0005-0000-0000-0000E30D0000}"/>
    <cellStyle name="Zarez 3 3 3" xfId="3424" xr:uid="{00000000-0005-0000-0000-0000E40D0000}"/>
    <cellStyle name="Zarez 3 4" xfId="2953" xr:uid="{00000000-0005-0000-0000-0000E50D0000}"/>
    <cellStyle name="Zarez 4" xfId="2323" xr:uid="{00000000-0005-0000-0000-0000E60D0000}"/>
    <cellStyle name="Zarez 4 2" xfId="2324" xr:uid="{00000000-0005-0000-0000-0000E70D0000}"/>
    <cellStyle name="Zarez 4 2 2" xfId="3426" xr:uid="{00000000-0005-0000-0000-0000E80D0000}"/>
    <cellStyle name="Zarez 4 3" xfId="2325" xr:uid="{00000000-0005-0000-0000-0000E90D0000}"/>
    <cellStyle name="Zarez 4 3 2" xfId="2775" xr:uid="{00000000-0005-0000-0000-0000EA0D0000}"/>
    <cellStyle name="Zarez 4 3 2 2" xfId="3451" xr:uid="{00000000-0005-0000-0000-0000EB0D0000}"/>
    <cellStyle name="Zarez 4 3 3" xfId="3427" xr:uid="{00000000-0005-0000-0000-0000EC0D0000}"/>
    <cellStyle name="Zarez 4 4" xfId="2955" xr:uid="{00000000-0005-0000-0000-0000ED0D0000}"/>
    <cellStyle name="Zarez 4 5" xfId="3086" xr:uid="{00000000-0005-0000-0000-0000EE0D0000}"/>
    <cellStyle name="Zarez 4 6" xfId="3425" xr:uid="{00000000-0005-0000-0000-0000EF0D0000}"/>
    <cellStyle name="Zarez 5" xfId="2326" xr:uid="{00000000-0005-0000-0000-0000F00D0000}"/>
    <cellStyle name="Zarez 5 2" xfId="3088" xr:uid="{00000000-0005-0000-0000-0000F10D0000}"/>
    <cellStyle name="Zarez 5 3" xfId="3428" xr:uid="{00000000-0005-0000-0000-0000F20D0000}"/>
    <cellStyle name="Zarez 6" xfId="2327" xr:uid="{00000000-0005-0000-0000-0000F30D0000}"/>
    <cellStyle name="Zarez 6 2" xfId="3429" xr:uid="{00000000-0005-0000-0000-0000F40D0000}"/>
    <cellStyle name="Zarez 7" xfId="2328" xr:uid="{00000000-0005-0000-0000-0000F50D0000}"/>
    <cellStyle name="Zarez 7 2" xfId="2329" xr:uid="{00000000-0005-0000-0000-0000F60D0000}"/>
    <cellStyle name="Zarez 7 2 2" xfId="3431" xr:uid="{00000000-0005-0000-0000-0000F70D0000}"/>
    <cellStyle name="Zarez 7 3" xfId="2330" xr:uid="{00000000-0005-0000-0000-0000F80D0000}"/>
    <cellStyle name="Zarez 7 3 2" xfId="2776" xr:uid="{00000000-0005-0000-0000-0000F90D0000}"/>
    <cellStyle name="Zarez 7 3 2 2" xfId="3452" xr:uid="{00000000-0005-0000-0000-0000FA0D0000}"/>
    <cellStyle name="Zarez 7 3 3" xfId="3432" xr:uid="{00000000-0005-0000-0000-0000FB0D0000}"/>
    <cellStyle name="Zarez 7 4" xfId="2956" xr:uid="{00000000-0005-0000-0000-0000FC0D0000}"/>
    <cellStyle name="Zarez 7 5" xfId="3430" xr:uid="{00000000-0005-0000-0000-0000FD0D0000}"/>
    <cellStyle name="Zarez 8" xfId="2331" xr:uid="{00000000-0005-0000-0000-0000FE0D0000}"/>
    <cellStyle name="Zarez 8 2" xfId="3433" xr:uid="{00000000-0005-0000-0000-0000FF0D0000}"/>
    <cellStyle name="Zarez 9" xfId="3315" xr:uid="{00000000-0005-0000-0000-0000000E0000}"/>
    <cellStyle name="Zarez 9 2" xfId="3489" xr:uid="{00000000-0005-0000-0000-0000010E0000}"/>
  </cellStyles>
  <dxfs count="0"/>
  <tableStyles count="0" defaultTableStyle="TableStyleMedium2" defaultPivotStyle="PivotStyleLight16"/>
  <colors>
    <mruColors>
      <color rgb="FFFF11CC"/>
      <color rgb="FFFF0000"/>
      <color rgb="FF403C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247650</xdr:rowOff>
    </xdr:from>
    <xdr:to>
      <xdr:col>0</xdr:col>
      <xdr:colOff>1911350</xdr:colOff>
      <xdr:row>0</xdr:row>
      <xdr:rowOff>619125</xdr:rowOff>
    </xdr:to>
    <xdr:pic>
      <xdr:nvPicPr>
        <xdr:cNvPr id="2" name="Slika 1" descr="logo-empwr-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476250"/>
          <a:ext cx="186372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249977111117893"/>
    <pageSetUpPr fitToPage="1"/>
  </sheetPr>
  <dimension ref="A1:N37"/>
  <sheetViews>
    <sheetView view="pageBreakPreview" zoomScaleNormal="100" zoomScaleSheetLayoutView="100" workbookViewId="0">
      <selection activeCell="C2" sqref="C2"/>
    </sheetView>
  </sheetViews>
  <sheetFormatPr defaultColWidth="9.140625" defaultRowHeight="12.75"/>
  <cols>
    <col min="1" max="1" width="32" style="11" customWidth="1"/>
    <col min="2" max="2" width="65.7109375" style="12" customWidth="1"/>
    <col min="3" max="3" width="20.42578125" style="9" customWidth="1"/>
    <col min="4" max="12" width="23" style="42" customWidth="1"/>
    <col min="13" max="13" width="18" style="1" customWidth="1"/>
    <col min="14" max="14" width="19.42578125" style="1" bestFit="1" customWidth="1"/>
    <col min="15" max="16384" width="9.140625" style="1"/>
  </cols>
  <sheetData>
    <row r="1" spans="1:13" s="3" customFormat="1" ht="54">
      <c r="A1" s="2" t="s">
        <v>0</v>
      </c>
      <c r="B1" s="4" t="s">
        <v>115</v>
      </c>
      <c r="C1" s="31"/>
      <c r="D1" s="40"/>
      <c r="E1" s="40"/>
      <c r="F1" s="40"/>
      <c r="G1" s="40"/>
      <c r="H1" s="40"/>
      <c r="I1" s="40"/>
      <c r="J1" s="40"/>
      <c r="K1" s="40"/>
      <c r="L1" s="40"/>
    </row>
    <row r="2" spans="1:13" s="3" customFormat="1" ht="54">
      <c r="A2" s="2" t="s">
        <v>1</v>
      </c>
      <c r="B2" s="22" t="s">
        <v>200</v>
      </c>
      <c r="C2" s="31"/>
      <c r="D2" s="41"/>
      <c r="E2" s="41"/>
      <c r="F2" s="41"/>
      <c r="G2" s="41"/>
      <c r="H2" s="41"/>
      <c r="I2" s="41"/>
      <c r="J2" s="41"/>
      <c r="K2" s="41"/>
      <c r="L2" s="41"/>
    </row>
    <row r="3" spans="1:13" s="5" customFormat="1" ht="18">
      <c r="A3" s="2" t="s">
        <v>6</v>
      </c>
      <c r="B3" s="32" t="s">
        <v>116</v>
      </c>
      <c r="C3" s="30"/>
      <c r="D3" s="41"/>
      <c r="E3" s="41"/>
      <c r="F3" s="41"/>
      <c r="G3" s="41"/>
      <c r="H3" s="41"/>
      <c r="I3" s="41"/>
      <c r="J3" s="41"/>
      <c r="K3" s="41"/>
      <c r="L3" s="41"/>
    </row>
    <row r="4" spans="1:13" s="5" customFormat="1" ht="18">
      <c r="A4" s="2" t="s">
        <v>117</v>
      </c>
      <c r="B4" s="32" t="s">
        <v>118</v>
      </c>
      <c r="C4" s="30"/>
      <c r="D4" s="41"/>
      <c r="E4" s="41"/>
      <c r="F4" s="41"/>
      <c r="G4" s="41"/>
      <c r="H4" s="41"/>
      <c r="I4" s="41"/>
      <c r="J4" s="41"/>
      <c r="K4" s="41"/>
      <c r="L4" s="41"/>
    </row>
    <row r="5" spans="1:13" s="3" customFormat="1" ht="18">
      <c r="A5" s="7" t="s">
        <v>119</v>
      </c>
      <c r="B5" s="6" t="s">
        <v>121</v>
      </c>
      <c r="C5" s="31"/>
      <c r="D5" s="41"/>
      <c r="E5" s="41"/>
      <c r="F5" s="41"/>
      <c r="G5" s="41"/>
      <c r="H5" s="41"/>
      <c r="I5" s="41"/>
      <c r="J5" s="41"/>
      <c r="K5" s="41"/>
      <c r="L5" s="41"/>
    </row>
    <row r="6" spans="1:13" s="36" customFormat="1" ht="18">
      <c r="A6" s="7" t="s">
        <v>122</v>
      </c>
      <c r="B6" s="6" t="s">
        <v>198</v>
      </c>
      <c r="C6" s="35"/>
      <c r="D6" s="41"/>
      <c r="E6" s="41"/>
      <c r="F6" s="41"/>
      <c r="G6" s="41"/>
      <c r="H6" s="41"/>
      <c r="I6" s="41"/>
      <c r="J6" s="41"/>
      <c r="K6" s="41"/>
      <c r="L6" s="41"/>
    </row>
    <row r="7" spans="1:13" s="36" customFormat="1" ht="18">
      <c r="A7" s="33" t="s">
        <v>25</v>
      </c>
      <c r="B7" s="34" t="s">
        <v>27</v>
      </c>
      <c r="C7" s="35"/>
      <c r="D7" s="41"/>
      <c r="E7" s="41"/>
      <c r="F7" s="41"/>
      <c r="G7" s="41"/>
      <c r="H7" s="41"/>
      <c r="I7" s="41"/>
      <c r="J7" s="41"/>
      <c r="K7" s="41"/>
      <c r="L7" s="41"/>
    </row>
    <row r="8" spans="1:13" s="3" customFormat="1" ht="25.5">
      <c r="A8" s="7" t="s">
        <v>2</v>
      </c>
      <c r="B8" s="8" t="s">
        <v>12</v>
      </c>
      <c r="C8" s="37" t="s">
        <v>104</v>
      </c>
      <c r="D8" s="41"/>
      <c r="E8" s="41"/>
      <c r="F8" s="41"/>
      <c r="G8" s="41"/>
      <c r="H8" s="41"/>
      <c r="I8" s="41"/>
      <c r="J8" s="41"/>
      <c r="K8" s="41"/>
      <c r="L8" s="41"/>
    </row>
    <row r="9" spans="1:13" s="3" customFormat="1" ht="51">
      <c r="A9" s="2"/>
      <c r="B9" s="39" t="s">
        <v>206</v>
      </c>
      <c r="C9" s="31"/>
      <c r="D9" s="41"/>
      <c r="E9" s="41"/>
      <c r="F9" s="41"/>
      <c r="G9" s="41"/>
      <c r="H9" s="41"/>
      <c r="I9" s="41"/>
      <c r="J9" s="41"/>
      <c r="K9" s="41"/>
      <c r="L9" s="41"/>
    </row>
    <row r="10" spans="1:13" s="3" customFormat="1" ht="15.75">
      <c r="A10" s="10" t="s">
        <v>5</v>
      </c>
      <c r="B10" s="44" t="s">
        <v>199</v>
      </c>
      <c r="C10" s="31"/>
      <c r="D10" s="42"/>
      <c r="E10" s="42"/>
      <c r="F10" s="42"/>
      <c r="G10" s="42"/>
      <c r="H10" s="42"/>
      <c r="I10" s="42"/>
      <c r="J10" s="42"/>
      <c r="K10" s="42"/>
      <c r="L10" s="42"/>
    </row>
    <row r="11" spans="1:13" s="3" customFormat="1" ht="66" customHeight="1">
      <c r="A11" s="2" t="s">
        <v>3</v>
      </c>
      <c r="B11" s="45" t="s">
        <v>120</v>
      </c>
      <c r="C11" s="31"/>
      <c r="D11" s="43" t="s">
        <v>123</v>
      </c>
      <c r="E11" s="43" t="s">
        <v>124</v>
      </c>
      <c r="F11" s="43" t="s">
        <v>125</v>
      </c>
      <c r="G11" s="43" t="s">
        <v>126</v>
      </c>
      <c r="H11" s="43" t="s">
        <v>127</v>
      </c>
      <c r="I11" s="43" t="s">
        <v>128</v>
      </c>
      <c r="J11" s="43" t="s">
        <v>129</v>
      </c>
      <c r="K11" s="43" t="s">
        <v>130</v>
      </c>
      <c r="L11" s="43" t="s">
        <v>197</v>
      </c>
      <c r="M11" s="43" t="s">
        <v>196</v>
      </c>
    </row>
    <row r="12" spans="1:13" s="3" customFormat="1" ht="49.5">
      <c r="A12" s="61" t="s">
        <v>142</v>
      </c>
      <c r="B12" s="46" t="s">
        <v>141</v>
      </c>
      <c r="C12" s="47" t="s">
        <v>131</v>
      </c>
      <c r="D12" s="47" t="s">
        <v>132</v>
      </c>
      <c r="E12" s="47" t="s">
        <v>133</v>
      </c>
      <c r="F12" s="47" t="s">
        <v>134</v>
      </c>
      <c r="G12" s="47" t="s">
        <v>135</v>
      </c>
      <c r="H12" s="47" t="s">
        <v>136</v>
      </c>
      <c r="I12" s="47" t="s">
        <v>137</v>
      </c>
      <c r="J12" s="47" t="s">
        <v>138</v>
      </c>
      <c r="K12" s="47" t="s">
        <v>139</v>
      </c>
      <c r="L12" s="47" t="s">
        <v>140</v>
      </c>
      <c r="M12" s="47" t="s">
        <v>195</v>
      </c>
    </row>
    <row r="13" spans="1:13" s="53" customFormat="1">
      <c r="A13" s="48" t="s">
        <v>143</v>
      </c>
      <c r="B13" s="49" t="s">
        <v>144</v>
      </c>
      <c r="C13" s="68" t="s">
        <v>145</v>
      </c>
      <c r="D13" s="50" t="s">
        <v>145</v>
      </c>
      <c r="E13" s="50" t="s">
        <v>145</v>
      </c>
      <c r="F13" s="50" t="s">
        <v>145</v>
      </c>
      <c r="G13" s="50" t="s">
        <v>145</v>
      </c>
      <c r="H13" s="50" t="s">
        <v>145</v>
      </c>
      <c r="I13" s="50" t="s">
        <v>145</v>
      </c>
      <c r="J13" s="50" t="s">
        <v>145</v>
      </c>
      <c r="K13" s="50" t="s">
        <v>145</v>
      </c>
      <c r="L13" s="50" t="s">
        <v>145</v>
      </c>
      <c r="M13" s="50" t="s">
        <v>145</v>
      </c>
    </row>
    <row r="14" spans="1:13" s="3" customFormat="1" ht="15.75">
      <c r="A14" s="54" t="e">
        <f>#REF!</f>
        <v>#REF!</v>
      </c>
      <c r="B14" s="55" t="e">
        <f>#REF!</f>
        <v>#REF!</v>
      </c>
      <c r="C14" s="281" t="e">
        <f t="shared" ref="C14:C36" si="0">SUM(D14:M14)</f>
        <v>#REF!</v>
      </c>
      <c r="D14" s="105" t="e">
        <f>#REF!</f>
        <v>#REF!</v>
      </c>
      <c r="E14" s="105" t="e">
        <f>#REF!</f>
        <v>#REF!</v>
      </c>
      <c r="F14" s="105" t="e">
        <f>#REF!</f>
        <v>#REF!</v>
      </c>
      <c r="G14" s="105" t="e">
        <f>#REF!</f>
        <v>#REF!</v>
      </c>
      <c r="H14" s="105" t="e">
        <f>#REF!</f>
        <v>#REF!</v>
      </c>
      <c r="I14" s="105" t="e">
        <f>#REF!</f>
        <v>#REF!</v>
      </c>
      <c r="J14" s="105" t="e">
        <f>#REF!</f>
        <v>#REF!</v>
      </c>
      <c r="K14" s="105" t="e">
        <f>#REF!</f>
        <v>#REF!</v>
      </c>
      <c r="L14" s="105" t="e">
        <f>#REF!</f>
        <v>#REF!</v>
      </c>
      <c r="M14" s="105" t="e">
        <f>#REF!</f>
        <v>#REF!</v>
      </c>
    </row>
    <row r="15" spans="1:13" s="3" customFormat="1" ht="15.75">
      <c r="A15" s="56" t="e">
        <f>#REF!</f>
        <v>#REF!</v>
      </c>
      <c r="B15" s="57" t="e">
        <f>#REF!</f>
        <v>#REF!</v>
      </c>
      <c r="C15" s="282" t="e">
        <f t="shared" si="0"/>
        <v>#REF!</v>
      </c>
      <c r="D15" s="105" t="e">
        <f>#REF!</f>
        <v>#REF!</v>
      </c>
      <c r="E15" s="105" t="e">
        <f>#REF!</f>
        <v>#REF!</v>
      </c>
      <c r="F15" s="105" t="e">
        <f>#REF!</f>
        <v>#REF!</v>
      </c>
      <c r="G15" s="105" t="e">
        <f>#REF!</f>
        <v>#REF!</v>
      </c>
      <c r="H15" s="105" t="e">
        <f>#REF!</f>
        <v>#REF!</v>
      </c>
      <c r="I15" s="105" t="e">
        <f>#REF!</f>
        <v>#REF!</v>
      </c>
      <c r="J15" s="105" t="e">
        <f>#REF!</f>
        <v>#REF!</v>
      </c>
      <c r="K15" s="105" t="e">
        <f>#REF!</f>
        <v>#REF!</v>
      </c>
      <c r="L15" s="105" t="e">
        <f>#REF!</f>
        <v>#REF!</v>
      </c>
      <c r="M15" s="105" t="e">
        <f>#REF!</f>
        <v>#REF!</v>
      </c>
    </row>
    <row r="16" spans="1:13" s="3" customFormat="1" ht="15.75">
      <c r="A16" s="56" t="e">
        <f>#REF!</f>
        <v>#REF!</v>
      </c>
      <c r="B16" s="57" t="e">
        <f>#REF!</f>
        <v>#REF!</v>
      </c>
      <c r="C16" s="282" t="e">
        <f t="shared" si="0"/>
        <v>#REF!</v>
      </c>
      <c r="D16" s="105" t="e">
        <f>#REF!</f>
        <v>#REF!</v>
      </c>
      <c r="E16" s="105" t="e">
        <f>#REF!</f>
        <v>#REF!</v>
      </c>
      <c r="F16" s="105" t="e">
        <f>#REF!</f>
        <v>#REF!</v>
      </c>
      <c r="G16" s="105" t="e">
        <f>#REF!</f>
        <v>#REF!</v>
      </c>
      <c r="H16" s="105" t="e">
        <f>#REF!</f>
        <v>#REF!</v>
      </c>
      <c r="I16" s="105" t="e">
        <f>#REF!</f>
        <v>#REF!</v>
      </c>
      <c r="J16" s="105" t="e">
        <f>#REF!</f>
        <v>#REF!</v>
      </c>
      <c r="K16" s="105" t="e">
        <f>#REF!</f>
        <v>#REF!</v>
      </c>
      <c r="L16" s="105" t="e">
        <f>#REF!</f>
        <v>#REF!</v>
      </c>
      <c r="M16" s="105" t="e">
        <f>#REF!</f>
        <v>#REF!</v>
      </c>
    </row>
    <row r="17" spans="1:13" s="3" customFormat="1" ht="15.75">
      <c r="A17" s="56" t="e">
        <f>#REF!</f>
        <v>#REF!</v>
      </c>
      <c r="B17" s="57" t="e">
        <f>#REF!</f>
        <v>#REF!</v>
      </c>
      <c r="C17" s="282" t="e">
        <f t="shared" si="0"/>
        <v>#REF!</v>
      </c>
      <c r="D17" s="105" t="e">
        <f>#REF!</f>
        <v>#REF!</v>
      </c>
      <c r="E17" s="105" t="e">
        <f>#REF!</f>
        <v>#REF!</v>
      </c>
      <c r="F17" s="105" t="e">
        <f>#REF!</f>
        <v>#REF!</v>
      </c>
      <c r="G17" s="105" t="e">
        <f>#REF!</f>
        <v>#REF!</v>
      </c>
      <c r="H17" s="105" t="e">
        <f>#REF!</f>
        <v>#REF!</v>
      </c>
      <c r="I17" s="105" t="e">
        <f>#REF!</f>
        <v>#REF!</v>
      </c>
      <c r="J17" s="105" t="e">
        <f>#REF!</f>
        <v>#REF!</v>
      </c>
      <c r="K17" s="105" t="e">
        <f>#REF!</f>
        <v>#REF!</v>
      </c>
      <c r="L17" s="105" t="e">
        <f>#REF!</f>
        <v>#REF!</v>
      </c>
      <c r="M17" s="105" t="e">
        <f>#REF!</f>
        <v>#REF!</v>
      </c>
    </row>
    <row r="18" spans="1:13" s="3" customFormat="1" ht="15.75">
      <c r="A18" s="56" t="e">
        <f>#REF!</f>
        <v>#REF!</v>
      </c>
      <c r="B18" s="57" t="e">
        <f>#REF!</f>
        <v>#REF!</v>
      </c>
      <c r="C18" s="282" t="e">
        <f t="shared" si="0"/>
        <v>#REF!</v>
      </c>
      <c r="D18" s="105" t="e">
        <f>#REF!</f>
        <v>#REF!</v>
      </c>
      <c r="E18" s="105" t="e">
        <f>#REF!</f>
        <v>#REF!</v>
      </c>
      <c r="F18" s="105" t="e">
        <f>#REF!</f>
        <v>#REF!</v>
      </c>
      <c r="G18" s="105" t="e">
        <f>#REF!</f>
        <v>#REF!</v>
      </c>
      <c r="H18" s="105" t="e">
        <f>#REF!</f>
        <v>#REF!</v>
      </c>
      <c r="I18" s="105" t="e">
        <f>#REF!</f>
        <v>#REF!</v>
      </c>
      <c r="J18" s="105" t="e">
        <f>#REF!</f>
        <v>#REF!</v>
      </c>
      <c r="K18" s="105" t="e">
        <f>#REF!</f>
        <v>#REF!</v>
      </c>
      <c r="L18" s="105" t="e">
        <f>#REF!</f>
        <v>#REF!</v>
      </c>
      <c r="M18" s="105" t="e">
        <f>#REF!</f>
        <v>#REF!</v>
      </c>
    </row>
    <row r="19" spans="1:13" s="3" customFormat="1" ht="15.75">
      <c r="A19" s="56" t="str">
        <f>'GO6_ZIDARSKI RADOVI'!A1</f>
        <v>G06.</v>
      </c>
      <c r="B19" s="57" t="str">
        <f>'GO6_ZIDARSKI RADOVI'!B1</f>
        <v>ZIDARSKI RADOVI</v>
      </c>
      <c r="C19" s="282">
        <f t="shared" si="0"/>
        <v>190168.8</v>
      </c>
      <c r="D19" s="105">
        <f>'GO6_ZIDARSKI RADOVI'!$E$1</f>
        <v>0</v>
      </c>
      <c r="E19" s="105">
        <f>'GO6_ZIDARSKI RADOVI'!$G$1</f>
        <v>0</v>
      </c>
      <c r="F19" s="105">
        <f>'GO6_ZIDARSKI RADOVI'!$I$1</f>
        <v>234</v>
      </c>
      <c r="G19" s="105">
        <f>'GO6_ZIDARSKI RADOVI'!$K$1</f>
        <v>12060</v>
      </c>
      <c r="H19" s="105">
        <f>'GO6_ZIDARSKI RADOVI'!$M$1</f>
        <v>1256</v>
      </c>
      <c r="I19" s="105">
        <f>'GO6_ZIDARSKI RADOVI'!$O$1</f>
        <v>33300</v>
      </c>
      <c r="J19" s="105">
        <f>'GO6_ZIDARSKI RADOVI'!$Q$1</f>
        <v>85809</v>
      </c>
      <c r="K19" s="105">
        <f>'GO6_ZIDARSKI RADOVI'!$S$1</f>
        <v>65.8</v>
      </c>
      <c r="L19" s="105">
        <f>'GO6_ZIDARSKI RADOVI'!$U$1</f>
        <v>144</v>
      </c>
      <c r="M19" s="105">
        <f>'GO6_ZIDARSKI RADOVI'!$W$1</f>
        <v>57300</v>
      </c>
    </row>
    <row r="20" spans="1:13" s="3" customFormat="1" ht="15.75">
      <c r="A20" s="56" t="e">
        <f>#REF!</f>
        <v>#REF!</v>
      </c>
      <c r="B20" s="57" t="e">
        <f>#REF!</f>
        <v>#REF!</v>
      </c>
      <c r="C20" s="282" t="e">
        <f t="shared" si="0"/>
        <v>#REF!</v>
      </c>
      <c r="D20" s="105" t="e">
        <f>#REF!</f>
        <v>#REF!</v>
      </c>
      <c r="E20" s="105" t="e">
        <f>#REF!</f>
        <v>#REF!</v>
      </c>
      <c r="F20" s="105" t="e">
        <f>#REF!</f>
        <v>#REF!</v>
      </c>
      <c r="G20" s="105" t="e">
        <f>#REF!</f>
        <v>#REF!</v>
      </c>
      <c r="H20" s="105" t="e">
        <f>#REF!</f>
        <v>#REF!</v>
      </c>
      <c r="I20" s="105" t="e">
        <f>#REF!</f>
        <v>#REF!</v>
      </c>
      <c r="J20" s="105" t="e">
        <f>#REF!</f>
        <v>#REF!</v>
      </c>
      <c r="K20" s="105" t="e">
        <f>#REF!</f>
        <v>#REF!</v>
      </c>
      <c r="L20" s="105" t="e">
        <f>#REF!</f>
        <v>#REF!</v>
      </c>
      <c r="M20" s="105" t="e">
        <f>#REF!</f>
        <v>#REF!</v>
      </c>
    </row>
    <row r="21" spans="1:13" s="3" customFormat="1" ht="15.75">
      <c r="A21" s="56" t="e">
        <f>#REF!</f>
        <v>#REF!</v>
      </c>
      <c r="B21" s="57" t="e">
        <f>#REF!</f>
        <v>#REF!</v>
      </c>
      <c r="C21" s="282" t="e">
        <f t="shared" si="0"/>
        <v>#REF!</v>
      </c>
      <c r="D21" s="105" t="e">
        <f>#REF!</f>
        <v>#REF!</v>
      </c>
      <c r="E21" s="105" t="e">
        <f>#REF!</f>
        <v>#REF!</v>
      </c>
      <c r="F21" s="105" t="e">
        <f>#REF!</f>
        <v>#REF!</v>
      </c>
      <c r="G21" s="105" t="e">
        <f>#REF!</f>
        <v>#REF!</v>
      </c>
      <c r="H21" s="105" t="e">
        <f>#REF!</f>
        <v>#REF!</v>
      </c>
      <c r="I21" s="105" t="e">
        <f>#REF!</f>
        <v>#REF!</v>
      </c>
      <c r="J21" s="105" t="e">
        <f>#REF!</f>
        <v>#REF!</v>
      </c>
      <c r="K21" s="105" t="e">
        <f>#REF!</f>
        <v>#REF!</v>
      </c>
      <c r="L21" s="105" t="e">
        <f>#REF!</f>
        <v>#REF!</v>
      </c>
      <c r="M21" s="105" t="e">
        <f>#REF!</f>
        <v>#REF!</v>
      </c>
    </row>
    <row r="22" spans="1:13" s="3" customFormat="1" ht="15.75">
      <c r="A22" s="56" t="e">
        <f>#REF!</f>
        <v>#REF!</v>
      </c>
      <c r="B22" s="58" t="e">
        <f>#REF!</f>
        <v>#REF!</v>
      </c>
      <c r="C22" s="282" t="e">
        <f t="shared" si="0"/>
        <v>#REF!</v>
      </c>
      <c r="D22" s="105" t="e">
        <f>#REF!</f>
        <v>#REF!</v>
      </c>
      <c r="E22" s="105" t="e">
        <f>#REF!</f>
        <v>#REF!</v>
      </c>
      <c r="F22" s="105" t="e">
        <f>#REF!</f>
        <v>#REF!</v>
      </c>
      <c r="G22" s="105" t="e">
        <f>#REF!</f>
        <v>#REF!</v>
      </c>
      <c r="H22" s="105" t="e">
        <f>#REF!</f>
        <v>#REF!</v>
      </c>
      <c r="I22" s="105" t="e">
        <f>#REF!</f>
        <v>#REF!</v>
      </c>
      <c r="J22" s="105" t="e">
        <f>#REF!</f>
        <v>#REF!</v>
      </c>
      <c r="K22" s="105" t="e">
        <f>#REF!</f>
        <v>#REF!</v>
      </c>
      <c r="L22" s="105" t="e">
        <f>#REF!</f>
        <v>#REF!</v>
      </c>
      <c r="M22" s="105" t="e">
        <f>#REF!</f>
        <v>#REF!</v>
      </c>
    </row>
    <row r="23" spans="1:13" s="3" customFormat="1" ht="15.75">
      <c r="A23" s="56" t="e">
        <f>#REF!</f>
        <v>#REF!</v>
      </c>
      <c r="B23" s="58" t="e">
        <f>#REF!</f>
        <v>#REF!</v>
      </c>
      <c r="C23" s="282" t="e">
        <f t="shared" si="0"/>
        <v>#REF!</v>
      </c>
      <c r="D23" s="105" t="e">
        <f>#REF!</f>
        <v>#REF!</v>
      </c>
      <c r="E23" s="105" t="e">
        <f>#REF!</f>
        <v>#REF!</v>
      </c>
      <c r="F23" s="105" t="e">
        <f>#REF!</f>
        <v>#REF!</v>
      </c>
      <c r="G23" s="105" t="e">
        <f>#REF!</f>
        <v>#REF!</v>
      </c>
      <c r="H23" s="105" t="e">
        <f>#REF!</f>
        <v>#REF!</v>
      </c>
      <c r="I23" s="105" t="e">
        <f>#REF!</f>
        <v>#REF!</v>
      </c>
      <c r="J23" s="105" t="e">
        <f>#REF!</f>
        <v>#REF!</v>
      </c>
      <c r="K23" s="105" t="e">
        <f>#REF!</f>
        <v>#REF!</v>
      </c>
      <c r="L23" s="105" t="e">
        <f>#REF!</f>
        <v>#REF!</v>
      </c>
      <c r="M23" s="105" t="e">
        <f>#REF!</f>
        <v>#REF!</v>
      </c>
    </row>
    <row r="24" spans="1:13" s="3" customFormat="1" ht="15.75">
      <c r="A24" s="56" t="e">
        <f>#REF!</f>
        <v>#REF!</v>
      </c>
      <c r="B24" s="58" t="e">
        <f>#REF!</f>
        <v>#REF!</v>
      </c>
      <c r="C24" s="282" t="e">
        <f t="shared" si="0"/>
        <v>#REF!</v>
      </c>
      <c r="D24" s="105" t="e">
        <f>#REF!</f>
        <v>#REF!</v>
      </c>
      <c r="E24" s="105" t="e">
        <f>#REF!</f>
        <v>#REF!</v>
      </c>
      <c r="F24" s="105" t="e">
        <f>#REF!</f>
        <v>#REF!</v>
      </c>
      <c r="G24" s="105" t="e">
        <f>#REF!</f>
        <v>#REF!</v>
      </c>
      <c r="H24" s="105" t="e">
        <f>#REF!</f>
        <v>#REF!</v>
      </c>
      <c r="I24" s="105" t="e">
        <f>#REF!</f>
        <v>#REF!</v>
      </c>
      <c r="J24" s="105" t="e">
        <f>#REF!</f>
        <v>#REF!</v>
      </c>
      <c r="K24" s="105" t="e">
        <f>#REF!</f>
        <v>#REF!</v>
      </c>
      <c r="L24" s="105" t="e">
        <f>#REF!</f>
        <v>#REF!</v>
      </c>
      <c r="M24" s="105" t="e">
        <f>#REF!</f>
        <v>#REF!</v>
      </c>
    </row>
    <row r="25" spans="1:13" s="3" customFormat="1" ht="15.75">
      <c r="A25" s="56" t="e">
        <f>#REF!</f>
        <v>#REF!</v>
      </c>
      <c r="B25" s="58" t="e">
        <f>#REF!</f>
        <v>#REF!</v>
      </c>
      <c r="C25" s="282" t="e">
        <f t="shared" si="0"/>
        <v>#REF!</v>
      </c>
      <c r="D25" s="105" t="e">
        <f>#REF!</f>
        <v>#REF!</v>
      </c>
      <c r="E25" s="105" t="e">
        <f>#REF!</f>
        <v>#REF!</v>
      </c>
      <c r="F25" s="105" t="e">
        <f>#REF!</f>
        <v>#REF!</v>
      </c>
      <c r="G25" s="105" t="e">
        <f>#REF!</f>
        <v>#REF!</v>
      </c>
      <c r="H25" s="105" t="e">
        <f>#REF!</f>
        <v>#REF!</v>
      </c>
      <c r="I25" s="105" t="e">
        <f>#REF!</f>
        <v>#REF!</v>
      </c>
      <c r="J25" s="105" t="e">
        <f>#REF!</f>
        <v>#REF!</v>
      </c>
      <c r="K25" s="105" t="e">
        <f>#REF!</f>
        <v>#REF!</v>
      </c>
      <c r="L25" s="105" t="e">
        <f>#REF!</f>
        <v>#REF!</v>
      </c>
      <c r="M25" s="105" t="e">
        <f>#REF!</f>
        <v>#REF!</v>
      </c>
    </row>
    <row r="26" spans="1:13" s="3" customFormat="1" ht="15.75">
      <c r="A26" s="56" t="e">
        <f>#REF!</f>
        <v>#REF!</v>
      </c>
      <c r="B26" s="58" t="e">
        <f>#REF!</f>
        <v>#REF!</v>
      </c>
      <c r="C26" s="282" t="e">
        <f t="shared" si="0"/>
        <v>#REF!</v>
      </c>
      <c r="D26" s="105" t="e">
        <f>#REF!</f>
        <v>#REF!</v>
      </c>
      <c r="E26" s="105" t="e">
        <f>#REF!</f>
        <v>#REF!</v>
      </c>
      <c r="F26" s="105" t="e">
        <f>#REF!</f>
        <v>#REF!</v>
      </c>
      <c r="G26" s="105" t="e">
        <f>#REF!</f>
        <v>#REF!</v>
      </c>
      <c r="H26" s="105" t="e">
        <f>#REF!</f>
        <v>#REF!</v>
      </c>
      <c r="I26" s="105" t="e">
        <f>#REF!</f>
        <v>#REF!</v>
      </c>
      <c r="J26" s="105" t="e">
        <f>#REF!</f>
        <v>#REF!</v>
      </c>
      <c r="K26" s="105" t="e">
        <f>#REF!</f>
        <v>#REF!</v>
      </c>
      <c r="L26" s="105" t="e">
        <f>#REF!</f>
        <v>#REF!</v>
      </c>
      <c r="M26" s="105" t="e">
        <f>#REF!</f>
        <v>#REF!</v>
      </c>
    </row>
    <row r="27" spans="1:13" s="3" customFormat="1" ht="15.75">
      <c r="A27" s="56" t="e">
        <f>#REF!</f>
        <v>#REF!</v>
      </c>
      <c r="B27" s="58" t="e">
        <f>#REF!</f>
        <v>#REF!</v>
      </c>
      <c r="C27" s="282" t="e">
        <f t="shared" si="0"/>
        <v>#REF!</v>
      </c>
      <c r="D27" s="105" t="e">
        <f>#REF!</f>
        <v>#REF!</v>
      </c>
      <c r="E27" s="105" t="e">
        <f>#REF!</f>
        <v>#REF!</v>
      </c>
      <c r="F27" s="105" t="e">
        <f>#REF!</f>
        <v>#REF!</v>
      </c>
      <c r="G27" s="105" t="e">
        <f>#REF!</f>
        <v>#REF!</v>
      </c>
      <c r="H27" s="105" t="e">
        <f>#REF!</f>
        <v>#REF!</v>
      </c>
      <c r="I27" s="105" t="e">
        <f>#REF!</f>
        <v>#REF!</v>
      </c>
      <c r="J27" s="105" t="e">
        <f>#REF!</f>
        <v>#REF!</v>
      </c>
      <c r="K27" s="105" t="e">
        <f>#REF!</f>
        <v>#REF!</v>
      </c>
      <c r="L27" s="105" t="e">
        <f>#REF!</f>
        <v>#REF!</v>
      </c>
      <c r="M27" s="105" t="e">
        <f>#REF!</f>
        <v>#REF!</v>
      </c>
    </row>
    <row r="28" spans="1:13" s="3" customFormat="1" ht="15.75">
      <c r="A28" s="56" t="e">
        <f>#REF!</f>
        <v>#REF!</v>
      </c>
      <c r="B28" s="58" t="e">
        <f>#REF!</f>
        <v>#REF!</v>
      </c>
      <c r="C28" s="282" t="e">
        <f t="shared" si="0"/>
        <v>#REF!</v>
      </c>
      <c r="D28" s="105" t="e">
        <f>#REF!</f>
        <v>#REF!</v>
      </c>
      <c r="E28" s="105" t="e">
        <f>#REF!</f>
        <v>#REF!</v>
      </c>
      <c r="F28" s="105" t="e">
        <f>#REF!</f>
        <v>#REF!</v>
      </c>
      <c r="G28" s="105" t="e">
        <f>#REF!</f>
        <v>#REF!</v>
      </c>
      <c r="H28" s="105" t="e">
        <f>#REF!</f>
        <v>#REF!</v>
      </c>
      <c r="I28" s="105" t="e">
        <f>#REF!</f>
        <v>#REF!</v>
      </c>
      <c r="J28" s="105" t="e">
        <f>#REF!</f>
        <v>#REF!</v>
      </c>
      <c r="K28" s="105" t="e">
        <f>#REF!</f>
        <v>#REF!</v>
      </c>
      <c r="L28" s="105" t="e">
        <f>#REF!</f>
        <v>#REF!</v>
      </c>
      <c r="M28" s="105" t="e">
        <f>#REF!</f>
        <v>#REF!</v>
      </c>
    </row>
    <row r="29" spans="1:13" s="3" customFormat="1" ht="15.75">
      <c r="A29" s="56" t="e">
        <f>#REF!</f>
        <v>#REF!</v>
      </c>
      <c r="B29" s="58" t="e">
        <f>#REF!</f>
        <v>#REF!</v>
      </c>
      <c r="C29" s="282" t="e">
        <f t="shared" si="0"/>
        <v>#REF!</v>
      </c>
      <c r="D29" s="105" t="e">
        <f>#REF!</f>
        <v>#REF!</v>
      </c>
      <c r="E29" s="105" t="e">
        <f>#REF!</f>
        <v>#REF!</v>
      </c>
      <c r="F29" s="105" t="e">
        <f>#REF!</f>
        <v>#REF!</v>
      </c>
      <c r="G29" s="105" t="e">
        <f>#REF!</f>
        <v>#REF!</v>
      </c>
      <c r="H29" s="105" t="e">
        <f>#REF!</f>
        <v>#REF!</v>
      </c>
      <c r="I29" s="105" t="e">
        <f>#REF!</f>
        <v>#REF!</v>
      </c>
      <c r="J29" s="105" t="e">
        <f>#REF!</f>
        <v>#REF!</v>
      </c>
      <c r="K29" s="105" t="e">
        <f>#REF!</f>
        <v>#REF!</v>
      </c>
      <c r="L29" s="105" t="e">
        <f>#REF!</f>
        <v>#REF!</v>
      </c>
      <c r="M29" s="105" t="e">
        <f>#REF!</f>
        <v>#REF!</v>
      </c>
    </row>
    <row r="30" spans="1:13" s="3" customFormat="1" ht="15.75">
      <c r="A30" s="56" t="e">
        <f>#REF!</f>
        <v>#REF!</v>
      </c>
      <c r="B30" s="58" t="e">
        <f>#REF!</f>
        <v>#REF!</v>
      </c>
      <c r="C30" s="282" t="e">
        <f t="shared" si="0"/>
        <v>#REF!</v>
      </c>
      <c r="D30" s="106" t="e">
        <f>#REF!</f>
        <v>#REF!</v>
      </c>
      <c r="E30" s="106" t="e">
        <f>#REF!</f>
        <v>#REF!</v>
      </c>
      <c r="F30" s="106" t="e">
        <f>#REF!</f>
        <v>#REF!</v>
      </c>
      <c r="G30" s="106" t="e">
        <f>#REF!</f>
        <v>#REF!</v>
      </c>
      <c r="H30" s="106" t="e">
        <f>#REF!</f>
        <v>#REF!</v>
      </c>
      <c r="I30" s="106" t="e">
        <f>#REF!</f>
        <v>#REF!</v>
      </c>
      <c r="J30" s="106" t="e">
        <f>#REF!</f>
        <v>#REF!</v>
      </c>
      <c r="K30" s="106" t="e">
        <f>#REF!</f>
        <v>#REF!</v>
      </c>
      <c r="L30" s="106" t="e">
        <f>#REF!</f>
        <v>#REF!</v>
      </c>
      <c r="M30" s="106" t="e">
        <f>#REF!</f>
        <v>#REF!</v>
      </c>
    </row>
    <row r="31" spans="1:13" s="3" customFormat="1" ht="15.75">
      <c r="A31" s="56" t="e">
        <f>#REF!</f>
        <v>#REF!</v>
      </c>
      <c r="B31" s="58" t="e">
        <f>#REF!</f>
        <v>#REF!</v>
      </c>
      <c r="C31" s="282" t="e">
        <f t="shared" si="0"/>
        <v>#REF!</v>
      </c>
      <c r="D31" s="106" t="e">
        <f>#REF!</f>
        <v>#REF!</v>
      </c>
      <c r="E31" s="106" t="e">
        <f>#REF!</f>
        <v>#REF!</v>
      </c>
      <c r="F31" s="106" t="e">
        <f>#REF!</f>
        <v>#REF!</v>
      </c>
      <c r="G31" s="106" t="e">
        <f>#REF!</f>
        <v>#REF!</v>
      </c>
      <c r="H31" s="106" t="e">
        <f>#REF!</f>
        <v>#REF!</v>
      </c>
      <c r="I31" s="106" t="e">
        <f>#REF!</f>
        <v>#REF!</v>
      </c>
      <c r="J31" s="106" t="e">
        <f>#REF!</f>
        <v>#REF!</v>
      </c>
      <c r="K31" s="106" t="e">
        <f>#REF!</f>
        <v>#REF!</v>
      </c>
      <c r="L31" s="106" t="e">
        <f>#REF!</f>
        <v>#REF!</v>
      </c>
      <c r="M31" s="106" t="e">
        <f>#REF!</f>
        <v>#REF!</v>
      </c>
    </row>
    <row r="32" spans="1:13" s="3" customFormat="1" ht="15.75">
      <c r="A32" s="56" t="e">
        <f>#REF!</f>
        <v>#REF!</v>
      </c>
      <c r="B32" s="58" t="e">
        <f>#REF!</f>
        <v>#REF!</v>
      </c>
      <c r="C32" s="282" t="e">
        <f t="shared" si="0"/>
        <v>#REF!</v>
      </c>
      <c r="D32" s="106" t="e">
        <f>#REF!</f>
        <v>#REF!</v>
      </c>
      <c r="E32" s="106" t="e">
        <f>#REF!</f>
        <v>#REF!</v>
      </c>
      <c r="F32" s="106" t="e">
        <f>#REF!</f>
        <v>#REF!</v>
      </c>
      <c r="G32" s="106" t="e">
        <f>#REF!</f>
        <v>#REF!</v>
      </c>
      <c r="H32" s="106" t="e">
        <f>#REF!</f>
        <v>#REF!</v>
      </c>
      <c r="I32" s="106" t="e">
        <f>#REF!</f>
        <v>#REF!</v>
      </c>
      <c r="J32" s="106" t="e">
        <f>#REF!</f>
        <v>#REF!</v>
      </c>
      <c r="K32" s="106" t="e">
        <f>#REF!</f>
        <v>#REF!</v>
      </c>
      <c r="L32" s="106" t="e">
        <f>#REF!</f>
        <v>#REF!</v>
      </c>
      <c r="M32" s="106" t="e">
        <f>#REF!</f>
        <v>#REF!</v>
      </c>
    </row>
    <row r="33" spans="1:14" s="3" customFormat="1" ht="15.75">
      <c r="A33" s="56" t="e">
        <f>#REF!</f>
        <v>#REF!</v>
      </c>
      <c r="B33" s="58" t="e">
        <f>#REF!</f>
        <v>#REF!</v>
      </c>
      <c r="C33" s="282" t="e">
        <f t="shared" si="0"/>
        <v>#REF!</v>
      </c>
      <c r="D33" s="106" t="e">
        <f>#REF!</f>
        <v>#REF!</v>
      </c>
      <c r="E33" s="106" t="e">
        <f>#REF!</f>
        <v>#REF!</v>
      </c>
      <c r="F33" s="106" t="e">
        <f>#REF!</f>
        <v>#REF!</v>
      </c>
      <c r="G33" s="106" t="e">
        <f>#REF!</f>
        <v>#REF!</v>
      </c>
      <c r="H33" s="106" t="e">
        <f>#REF!</f>
        <v>#REF!</v>
      </c>
      <c r="I33" s="106" t="e">
        <f>#REF!</f>
        <v>#REF!</v>
      </c>
      <c r="J33" s="106" t="e">
        <f>#REF!</f>
        <v>#REF!</v>
      </c>
      <c r="K33" s="106" t="e">
        <f>#REF!</f>
        <v>#REF!</v>
      </c>
      <c r="L33" s="106" t="e">
        <f>#REF!</f>
        <v>#REF!</v>
      </c>
      <c r="M33" s="106" t="e">
        <f>#REF!</f>
        <v>#REF!</v>
      </c>
    </row>
    <row r="34" spans="1:14" s="3" customFormat="1" ht="15.75">
      <c r="A34" s="56" t="e">
        <f>#REF!</f>
        <v>#REF!</v>
      </c>
      <c r="B34" s="58" t="e">
        <f>#REF!</f>
        <v>#REF!</v>
      </c>
      <c r="C34" s="282" t="e">
        <f t="shared" si="0"/>
        <v>#REF!</v>
      </c>
      <c r="D34" s="106" t="e">
        <f>#REF!</f>
        <v>#REF!</v>
      </c>
      <c r="E34" s="106" t="e">
        <f>#REF!</f>
        <v>#REF!</v>
      </c>
      <c r="F34" s="106" t="e">
        <f>#REF!</f>
        <v>#REF!</v>
      </c>
      <c r="G34" s="106" t="e">
        <f>#REF!</f>
        <v>#REF!</v>
      </c>
      <c r="H34" s="106" t="e">
        <f>#REF!</f>
        <v>#REF!</v>
      </c>
      <c r="I34" s="106" t="e">
        <f>#REF!</f>
        <v>#REF!</v>
      </c>
      <c r="J34" s="106" t="e">
        <f>#REF!</f>
        <v>#REF!</v>
      </c>
      <c r="K34" s="106" t="e">
        <f>#REF!</f>
        <v>#REF!</v>
      </c>
      <c r="L34" s="106" t="e">
        <f>#REF!</f>
        <v>#REF!</v>
      </c>
      <c r="M34" s="106" t="e">
        <f>#REF!</f>
        <v>#REF!</v>
      </c>
    </row>
    <row r="35" spans="1:14" s="3" customFormat="1" ht="15.75">
      <c r="A35" s="108" t="e">
        <f>#REF!</f>
        <v>#REF!</v>
      </c>
      <c r="B35" s="109" t="e">
        <f>#REF!</f>
        <v>#REF!</v>
      </c>
      <c r="C35" s="282" t="e">
        <f>SUM(D35:M35)</f>
        <v>#REF!</v>
      </c>
      <c r="D35" s="110" t="e">
        <f>#REF!</f>
        <v>#REF!</v>
      </c>
      <c r="E35" s="110" t="e">
        <f>#REF!</f>
        <v>#REF!</v>
      </c>
      <c r="F35" s="110" t="e">
        <f>#REF!</f>
        <v>#REF!</v>
      </c>
      <c r="G35" s="110" t="e">
        <f>#REF!</f>
        <v>#REF!</v>
      </c>
      <c r="H35" s="110" t="e">
        <f>#REF!</f>
        <v>#REF!</v>
      </c>
      <c r="I35" s="110" t="e">
        <f>#REF!</f>
        <v>#REF!</v>
      </c>
      <c r="J35" s="110" t="e">
        <f>#REF!</f>
        <v>#REF!</v>
      </c>
      <c r="K35" s="110" t="e">
        <f>#REF!</f>
        <v>#REF!</v>
      </c>
      <c r="L35" s="110" t="e">
        <f>#REF!</f>
        <v>#REF!</v>
      </c>
      <c r="M35" s="110" t="e">
        <f>#REF!</f>
        <v>#REF!</v>
      </c>
    </row>
    <row r="36" spans="1:14" s="3" customFormat="1" ht="15.75">
      <c r="A36" s="59" t="e">
        <f>#REF!</f>
        <v>#REF!</v>
      </c>
      <c r="B36" s="60" t="e">
        <f>#REF!</f>
        <v>#REF!</v>
      </c>
      <c r="C36" s="283" t="e">
        <f t="shared" si="0"/>
        <v>#REF!</v>
      </c>
      <c r="D36" s="107" t="e">
        <f>#REF!</f>
        <v>#REF!</v>
      </c>
      <c r="E36" s="107" t="e">
        <f>#REF!</f>
        <v>#REF!</v>
      </c>
      <c r="F36" s="107" t="e">
        <f>#REF!</f>
        <v>#REF!</v>
      </c>
      <c r="G36" s="107" t="e">
        <f>#REF!</f>
        <v>#REF!</v>
      </c>
      <c r="H36" s="107" t="e">
        <f>#REF!</f>
        <v>#REF!</v>
      </c>
      <c r="I36" s="107" t="e">
        <f>#REF!</f>
        <v>#REF!</v>
      </c>
      <c r="J36" s="107" t="e">
        <f>#REF!</f>
        <v>#REF!</v>
      </c>
      <c r="K36" s="107" t="e">
        <f>#REF!</f>
        <v>#REF!</v>
      </c>
      <c r="L36" s="107" t="e">
        <f>#REF!</f>
        <v>#REF!</v>
      </c>
      <c r="M36" s="107" t="e">
        <f>#REF!</f>
        <v>#REF!</v>
      </c>
    </row>
    <row r="37" spans="1:14" s="3" customFormat="1" ht="18">
      <c r="A37" s="51" t="s">
        <v>104</v>
      </c>
      <c r="B37" s="52" t="s">
        <v>146</v>
      </c>
      <c r="C37" s="284" t="e">
        <f>SUM(C14:C36)</f>
        <v>#REF!</v>
      </c>
      <c r="D37" s="285" t="e">
        <f t="shared" ref="D37:L37" si="1">SUM(D14:D36)</f>
        <v>#REF!</v>
      </c>
      <c r="E37" s="285" t="e">
        <f>SUM(E14:E36)</f>
        <v>#REF!</v>
      </c>
      <c r="F37" s="285" t="e">
        <f t="shared" si="1"/>
        <v>#REF!</v>
      </c>
      <c r="G37" s="285" t="e">
        <f t="shared" si="1"/>
        <v>#REF!</v>
      </c>
      <c r="H37" s="285" t="e">
        <f t="shared" si="1"/>
        <v>#REF!</v>
      </c>
      <c r="I37" s="285" t="e">
        <f t="shared" si="1"/>
        <v>#REF!</v>
      </c>
      <c r="J37" s="285" t="e">
        <f t="shared" si="1"/>
        <v>#REF!</v>
      </c>
      <c r="K37" s="285" t="e">
        <f t="shared" si="1"/>
        <v>#REF!</v>
      </c>
      <c r="L37" s="285" t="e">
        <f t="shared" si="1"/>
        <v>#REF!</v>
      </c>
      <c r="M37" s="285" t="e">
        <f>SUM(M14:M36)</f>
        <v>#REF!</v>
      </c>
      <c r="N37" s="41"/>
    </row>
  </sheetData>
  <pageMargins left="0.59055118110236227" right="0.19685039370078741" top="0.59055118110236227" bottom="0.59055118110236227" header="0.19685039370078741" footer="0.19685039370078741"/>
  <pageSetup paperSize="9" scale="40" fitToHeight="2000" orientation="landscape" r:id="rId1"/>
  <headerFooter alignWithMargins="0">
    <oddHeader xml:space="preserve">&amp;L&amp;G&amp;C&amp;"Arial Narrow,Uobičajeno"&amp;8građevina: REKONSTRUKCIJA, DOGRADNJA I IZGRADNJA
TVORNICE ENERGETSKIH PLOČICA EMPWR Nova Gradiška
&amp;R&amp;"Arial Narrow,Uobičajeno"&amp;8oznaka projekta EMPWR: &amp;"Arial Narrow,Podebljano"VELEBIT 2 faznost&amp;"Arial Narrow,Uobičajeno"
</oddHeader>
    <oddFooter>&amp;L&amp;"Arial Narrow,Uobičajeno"&amp;8troškovnik GRAĐEVINSKO-OBRTNIČKIH RADOVA:1097_empwrNG_velebit2_faznost
revizija: radno GLAVNI projekt R0/10.2025.&amp;C&amp;"Arial Narrow,Uobičajeno"&amp;8&amp;A
&amp;R&amp;"Arial Narrow,Uobičajeno"&amp;8stranica &amp;10&amp;P</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ist2">
    <tabColor theme="9" tint="0.59999389629810485"/>
    <pageSetUpPr fitToPage="1"/>
  </sheetPr>
  <dimension ref="A2:A36"/>
  <sheetViews>
    <sheetView view="pageBreakPreview" topLeftCell="A31" zoomScaleNormal="100" zoomScaleSheetLayoutView="100" workbookViewId="0">
      <selection activeCell="E6" sqref="E6"/>
    </sheetView>
  </sheetViews>
  <sheetFormatPr defaultRowHeight="12.75"/>
  <cols>
    <col min="1" max="1" width="105.5703125" style="17" bestFit="1" customWidth="1"/>
    <col min="2" max="2" width="4.7109375" style="17" customWidth="1"/>
    <col min="3" max="255" width="9.140625" style="17"/>
    <col min="256" max="256" width="4.7109375" style="17" customWidth="1"/>
    <col min="257" max="257" width="102.7109375" style="17" customWidth="1"/>
    <col min="258" max="258" width="4.7109375" style="17" customWidth="1"/>
    <col min="259" max="511" width="9.140625" style="17"/>
    <col min="512" max="512" width="4.7109375" style="17" customWidth="1"/>
    <col min="513" max="513" width="102.7109375" style="17" customWidth="1"/>
    <col min="514" max="514" width="4.7109375" style="17" customWidth="1"/>
    <col min="515" max="767" width="9.140625" style="17"/>
    <col min="768" max="768" width="4.7109375" style="17" customWidth="1"/>
    <col min="769" max="769" width="102.7109375" style="17" customWidth="1"/>
    <col min="770" max="770" width="4.7109375" style="17" customWidth="1"/>
    <col min="771" max="1023" width="9.140625" style="17"/>
    <col min="1024" max="1024" width="4.7109375" style="17" customWidth="1"/>
    <col min="1025" max="1025" width="102.7109375" style="17" customWidth="1"/>
    <col min="1026" max="1026" width="4.7109375" style="17" customWidth="1"/>
    <col min="1027" max="1279" width="9.140625" style="17"/>
    <col min="1280" max="1280" width="4.7109375" style="17" customWidth="1"/>
    <col min="1281" max="1281" width="102.7109375" style="17" customWidth="1"/>
    <col min="1282" max="1282" width="4.7109375" style="17" customWidth="1"/>
    <col min="1283" max="1535" width="9.140625" style="17"/>
    <col min="1536" max="1536" width="4.7109375" style="17" customWidth="1"/>
    <col min="1537" max="1537" width="102.7109375" style="17" customWidth="1"/>
    <col min="1538" max="1538" width="4.7109375" style="17" customWidth="1"/>
    <col min="1539" max="1791" width="9.140625" style="17"/>
    <col min="1792" max="1792" width="4.7109375" style="17" customWidth="1"/>
    <col min="1793" max="1793" width="102.7109375" style="17" customWidth="1"/>
    <col min="1794" max="1794" width="4.7109375" style="17" customWidth="1"/>
    <col min="1795" max="2047" width="9.140625" style="17"/>
    <col min="2048" max="2048" width="4.7109375" style="17" customWidth="1"/>
    <col min="2049" max="2049" width="102.7109375" style="17" customWidth="1"/>
    <col min="2050" max="2050" width="4.7109375" style="17" customWidth="1"/>
    <col min="2051" max="2303" width="9.140625" style="17"/>
    <col min="2304" max="2304" width="4.7109375" style="17" customWidth="1"/>
    <col min="2305" max="2305" width="102.7109375" style="17" customWidth="1"/>
    <col min="2306" max="2306" width="4.7109375" style="17" customWidth="1"/>
    <col min="2307" max="2559" width="9.140625" style="17"/>
    <col min="2560" max="2560" width="4.7109375" style="17" customWidth="1"/>
    <col min="2561" max="2561" width="102.7109375" style="17" customWidth="1"/>
    <col min="2562" max="2562" width="4.7109375" style="17" customWidth="1"/>
    <col min="2563" max="2815" width="9.140625" style="17"/>
    <col min="2816" max="2816" width="4.7109375" style="17" customWidth="1"/>
    <col min="2817" max="2817" width="102.7109375" style="17" customWidth="1"/>
    <col min="2818" max="2818" width="4.7109375" style="17" customWidth="1"/>
    <col min="2819" max="3071" width="9.140625" style="17"/>
    <col min="3072" max="3072" width="4.7109375" style="17" customWidth="1"/>
    <col min="3073" max="3073" width="102.7109375" style="17" customWidth="1"/>
    <col min="3074" max="3074" width="4.7109375" style="17" customWidth="1"/>
    <col min="3075" max="3327" width="9.140625" style="17"/>
    <col min="3328" max="3328" width="4.7109375" style="17" customWidth="1"/>
    <col min="3329" max="3329" width="102.7109375" style="17" customWidth="1"/>
    <col min="3330" max="3330" width="4.7109375" style="17" customWidth="1"/>
    <col min="3331" max="3583" width="9.140625" style="17"/>
    <col min="3584" max="3584" width="4.7109375" style="17" customWidth="1"/>
    <col min="3585" max="3585" width="102.7109375" style="17" customWidth="1"/>
    <col min="3586" max="3586" width="4.7109375" style="17" customWidth="1"/>
    <col min="3587" max="3839" width="9.140625" style="17"/>
    <col min="3840" max="3840" width="4.7109375" style="17" customWidth="1"/>
    <col min="3841" max="3841" width="102.7109375" style="17" customWidth="1"/>
    <col min="3842" max="3842" width="4.7109375" style="17" customWidth="1"/>
    <col min="3843" max="4095" width="9.140625" style="17"/>
    <col min="4096" max="4096" width="4.7109375" style="17" customWidth="1"/>
    <col min="4097" max="4097" width="102.7109375" style="17" customWidth="1"/>
    <col min="4098" max="4098" width="4.7109375" style="17" customWidth="1"/>
    <col min="4099" max="4351" width="9.140625" style="17"/>
    <col min="4352" max="4352" width="4.7109375" style="17" customWidth="1"/>
    <col min="4353" max="4353" width="102.7109375" style="17" customWidth="1"/>
    <col min="4354" max="4354" width="4.7109375" style="17" customWidth="1"/>
    <col min="4355" max="4607" width="9.140625" style="17"/>
    <col min="4608" max="4608" width="4.7109375" style="17" customWidth="1"/>
    <col min="4609" max="4609" width="102.7109375" style="17" customWidth="1"/>
    <col min="4610" max="4610" width="4.7109375" style="17" customWidth="1"/>
    <col min="4611" max="4863" width="9.140625" style="17"/>
    <col min="4864" max="4864" width="4.7109375" style="17" customWidth="1"/>
    <col min="4865" max="4865" width="102.7109375" style="17" customWidth="1"/>
    <col min="4866" max="4866" width="4.7109375" style="17" customWidth="1"/>
    <col min="4867" max="5119" width="9.140625" style="17"/>
    <col min="5120" max="5120" width="4.7109375" style="17" customWidth="1"/>
    <col min="5121" max="5121" width="102.7109375" style="17" customWidth="1"/>
    <col min="5122" max="5122" width="4.7109375" style="17" customWidth="1"/>
    <col min="5123" max="5375" width="9.140625" style="17"/>
    <col min="5376" max="5376" width="4.7109375" style="17" customWidth="1"/>
    <col min="5377" max="5377" width="102.7109375" style="17" customWidth="1"/>
    <col min="5378" max="5378" width="4.7109375" style="17" customWidth="1"/>
    <col min="5379" max="5631" width="9.140625" style="17"/>
    <col min="5632" max="5632" width="4.7109375" style="17" customWidth="1"/>
    <col min="5633" max="5633" width="102.7109375" style="17" customWidth="1"/>
    <col min="5634" max="5634" width="4.7109375" style="17" customWidth="1"/>
    <col min="5635" max="5887" width="9.140625" style="17"/>
    <col min="5888" max="5888" width="4.7109375" style="17" customWidth="1"/>
    <col min="5889" max="5889" width="102.7109375" style="17" customWidth="1"/>
    <col min="5890" max="5890" width="4.7109375" style="17" customWidth="1"/>
    <col min="5891" max="6143" width="9.140625" style="17"/>
    <col min="6144" max="6144" width="4.7109375" style="17" customWidth="1"/>
    <col min="6145" max="6145" width="102.7109375" style="17" customWidth="1"/>
    <col min="6146" max="6146" width="4.7109375" style="17" customWidth="1"/>
    <col min="6147" max="6399" width="9.140625" style="17"/>
    <col min="6400" max="6400" width="4.7109375" style="17" customWidth="1"/>
    <col min="6401" max="6401" width="102.7109375" style="17" customWidth="1"/>
    <col min="6402" max="6402" width="4.7109375" style="17" customWidth="1"/>
    <col min="6403" max="6655" width="9.140625" style="17"/>
    <col min="6656" max="6656" width="4.7109375" style="17" customWidth="1"/>
    <col min="6657" max="6657" width="102.7109375" style="17" customWidth="1"/>
    <col min="6658" max="6658" width="4.7109375" style="17" customWidth="1"/>
    <col min="6659" max="6911" width="9.140625" style="17"/>
    <col min="6912" max="6912" width="4.7109375" style="17" customWidth="1"/>
    <col min="6913" max="6913" width="102.7109375" style="17" customWidth="1"/>
    <col min="6914" max="6914" width="4.7109375" style="17" customWidth="1"/>
    <col min="6915" max="7167" width="9.140625" style="17"/>
    <col min="7168" max="7168" width="4.7109375" style="17" customWidth="1"/>
    <col min="7169" max="7169" width="102.7109375" style="17" customWidth="1"/>
    <col min="7170" max="7170" width="4.7109375" style="17" customWidth="1"/>
    <col min="7171" max="7423" width="9.140625" style="17"/>
    <col min="7424" max="7424" width="4.7109375" style="17" customWidth="1"/>
    <col min="7425" max="7425" width="102.7109375" style="17" customWidth="1"/>
    <col min="7426" max="7426" width="4.7109375" style="17" customWidth="1"/>
    <col min="7427" max="7679" width="9.140625" style="17"/>
    <col min="7680" max="7680" width="4.7109375" style="17" customWidth="1"/>
    <col min="7681" max="7681" width="102.7109375" style="17" customWidth="1"/>
    <col min="7682" max="7682" width="4.7109375" style="17" customWidth="1"/>
    <col min="7683" max="7935" width="9.140625" style="17"/>
    <col min="7936" max="7936" width="4.7109375" style="17" customWidth="1"/>
    <col min="7937" max="7937" width="102.7109375" style="17" customWidth="1"/>
    <col min="7938" max="7938" width="4.7109375" style="17" customWidth="1"/>
    <col min="7939" max="8191" width="9.140625" style="17"/>
    <col min="8192" max="8192" width="4.7109375" style="17" customWidth="1"/>
    <col min="8193" max="8193" width="102.7109375" style="17" customWidth="1"/>
    <col min="8194" max="8194" width="4.7109375" style="17" customWidth="1"/>
    <col min="8195" max="8447" width="9.140625" style="17"/>
    <col min="8448" max="8448" width="4.7109375" style="17" customWidth="1"/>
    <col min="8449" max="8449" width="102.7109375" style="17" customWidth="1"/>
    <col min="8450" max="8450" width="4.7109375" style="17" customWidth="1"/>
    <col min="8451" max="8703" width="9.140625" style="17"/>
    <col min="8704" max="8704" width="4.7109375" style="17" customWidth="1"/>
    <col min="8705" max="8705" width="102.7109375" style="17" customWidth="1"/>
    <col min="8706" max="8706" width="4.7109375" style="17" customWidth="1"/>
    <col min="8707" max="8959" width="9.140625" style="17"/>
    <col min="8960" max="8960" width="4.7109375" style="17" customWidth="1"/>
    <col min="8961" max="8961" width="102.7109375" style="17" customWidth="1"/>
    <col min="8962" max="8962" width="4.7109375" style="17" customWidth="1"/>
    <col min="8963" max="9215" width="9.140625" style="17"/>
    <col min="9216" max="9216" width="4.7109375" style="17" customWidth="1"/>
    <col min="9217" max="9217" width="102.7109375" style="17" customWidth="1"/>
    <col min="9218" max="9218" width="4.7109375" style="17" customWidth="1"/>
    <col min="9219" max="9471" width="9.140625" style="17"/>
    <col min="9472" max="9472" width="4.7109375" style="17" customWidth="1"/>
    <col min="9473" max="9473" width="102.7109375" style="17" customWidth="1"/>
    <col min="9474" max="9474" width="4.7109375" style="17" customWidth="1"/>
    <col min="9475" max="9727" width="9.140625" style="17"/>
    <col min="9728" max="9728" width="4.7109375" style="17" customWidth="1"/>
    <col min="9729" max="9729" width="102.7109375" style="17" customWidth="1"/>
    <col min="9730" max="9730" width="4.7109375" style="17" customWidth="1"/>
    <col min="9731" max="9983" width="9.140625" style="17"/>
    <col min="9984" max="9984" width="4.7109375" style="17" customWidth="1"/>
    <col min="9985" max="9985" width="102.7109375" style="17" customWidth="1"/>
    <col min="9986" max="9986" width="4.7109375" style="17" customWidth="1"/>
    <col min="9987" max="10239" width="9.140625" style="17"/>
    <col min="10240" max="10240" width="4.7109375" style="17" customWidth="1"/>
    <col min="10241" max="10241" width="102.7109375" style="17" customWidth="1"/>
    <col min="10242" max="10242" width="4.7109375" style="17" customWidth="1"/>
    <col min="10243" max="10495" width="9.140625" style="17"/>
    <col min="10496" max="10496" width="4.7109375" style="17" customWidth="1"/>
    <col min="10497" max="10497" width="102.7109375" style="17" customWidth="1"/>
    <col min="10498" max="10498" width="4.7109375" style="17" customWidth="1"/>
    <col min="10499" max="10751" width="9.140625" style="17"/>
    <col min="10752" max="10752" width="4.7109375" style="17" customWidth="1"/>
    <col min="10753" max="10753" width="102.7109375" style="17" customWidth="1"/>
    <col min="10754" max="10754" width="4.7109375" style="17" customWidth="1"/>
    <col min="10755" max="11007" width="9.140625" style="17"/>
    <col min="11008" max="11008" width="4.7109375" style="17" customWidth="1"/>
    <col min="11009" max="11009" width="102.7109375" style="17" customWidth="1"/>
    <col min="11010" max="11010" width="4.7109375" style="17" customWidth="1"/>
    <col min="11011" max="11263" width="9.140625" style="17"/>
    <col min="11264" max="11264" width="4.7109375" style="17" customWidth="1"/>
    <col min="11265" max="11265" width="102.7109375" style="17" customWidth="1"/>
    <col min="11266" max="11266" width="4.7109375" style="17" customWidth="1"/>
    <col min="11267" max="11519" width="9.140625" style="17"/>
    <col min="11520" max="11520" width="4.7109375" style="17" customWidth="1"/>
    <col min="11521" max="11521" width="102.7109375" style="17" customWidth="1"/>
    <col min="11522" max="11522" width="4.7109375" style="17" customWidth="1"/>
    <col min="11523" max="11775" width="9.140625" style="17"/>
    <col min="11776" max="11776" width="4.7109375" style="17" customWidth="1"/>
    <col min="11777" max="11777" width="102.7109375" style="17" customWidth="1"/>
    <col min="11778" max="11778" width="4.7109375" style="17" customWidth="1"/>
    <col min="11779" max="12031" width="9.140625" style="17"/>
    <col min="12032" max="12032" width="4.7109375" style="17" customWidth="1"/>
    <col min="12033" max="12033" width="102.7109375" style="17" customWidth="1"/>
    <col min="12034" max="12034" width="4.7109375" style="17" customWidth="1"/>
    <col min="12035" max="12287" width="9.140625" style="17"/>
    <col min="12288" max="12288" width="4.7109375" style="17" customWidth="1"/>
    <col min="12289" max="12289" width="102.7109375" style="17" customWidth="1"/>
    <col min="12290" max="12290" width="4.7109375" style="17" customWidth="1"/>
    <col min="12291" max="12543" width="9.140625" style="17"/>
    <col min="12544" max="12544" width="4.7109375" style="17" customWidth="1"/>
    <col min="12545" max="12545" width="102.7109375" style="17" customWidth="1"/>
    <col min="12546" max="12546" width="4.7109375" style="17" customWidth="1"/>
    <col min="12547" max="12799" width="9.140625" style="17"/>
    <col min="12800" max="12800" width="4.7109375" style="17" customWidth="1"/>
    <col min="12801" max="12801" width="102.7109375" style="17" customWidth="1"/>
    <col min="12802" max="12802" width="4.7109375" style="17" customWidth="1"/>
    <col min="12803" max="13055" width="9.140625" style="17"/>
    <col min="13056" max="13056" width="4.7109375" style="17" customWidth="1"/>
    <col min="13057" max="13057" width="102.7109375" style="17" customWidth="1"/>
    <col min="13058" max="13058" width="4.7109375" style="17" customWidth="1"/>
    <col min="13059" max="13311" width="9.140625" style="17"/>
    <col min="13312" max="13312" width="4.7109375" style="17" customWidth="1"/>
    <col min="13313" max="13313" width="102.7109375" style="17" customWidth="1"/>
    <col min="13314" max="13314" width="4.7109375" style="17" customWidth="1"/>
    <col min="13315" max="13567" width="9.140625" style="17"/>
    <col min="13568" max="13568" width="4.7109375" style="17" customWidth="1"/>
    <col min="13569" max="13569" width="102.7109375" style="17" customWidth="1"/>
    <col min="13570" max="13570" width="4.7109375" style="17" customWidth="1"/>
    <col min="13571" max="13823" width="9.140625" style="17"/>
    <col min="13824" max="13824" width="4.7109375" style="17" customWidth="1"/>
    <col min="13825" max="13825" width="102.7109375" style="17" customWidth="1"/>
    <col min="13826" max="13826" width="4.7109375" style="17" customWidth="1"/>
    <col min="13827" max="14079" width="9.140625" style="17"/>
    <col min="14080" max="14080" width="4.7109375" style="17" customWidth="1"/>
    <col min="14081" max="14081" width="102.7109375" style="17" customWidth="1"/>
    <col min="14082" max="14082" width="4.7109375" style="17" customWidth="1"/>
    <col min="14083" max="14335" width="9.140625" style="17"/>
    <col min="14336" max="14336" width="4.7109375" style="17" customWidth="1"/>
    <col min="14337" max="14337" width="102.7109375" style="17" customWidth="1"/>
    <col min="14338" max="14338" width="4.7109375" style="17" customWidth="1"/>
    <col min="14339" max="14591" width="9.140625" style="17"/>
    <col min="14592" max="14592" width="4.7109375" style="17" customWidth="1"/>
    <col min="14593" max="14593" width="102.7109375" style="17" customWidth="1"/>
    <col min="14594" max="14594" width="4.7109375" style="17" customWidth="1"/>
    <col min="14595" max="14847" width="9.140625" style="17"/>
    <col min="14848" max="14848" width="4.7109375" style="17" customWidth="1"/>
    <col min="14849" max="14849" width="102.7109375" style="17" customWidth="1"/>
    <col min="14850" max="14850" width="4.7109375" style="17" customWidth="1"/>
    <col min="14851" max="15103" width="9.140625" style="17"/>
    <col min="15104" max="15104" width="4.7109375" style="17" customWidth="1"/>
    <col min="15105" max="15105" width="102.7109375" style="17" customWidth="1"/>
    <col min="15106" max="15106" width="4.7109375" style="17" customWidth="1"/>
    <col min="15107" max="15359" width="9.140625" style="17"/>
    <col min="15360" max="15360" width="4.7109375" style="17" customWidth="1"/>
    <col min="15361" max="15361" width="102.7109375" style="17" customWidth="1"/>
    <col min="15362" max="15362" width="4.7109375" style="17" customWidth="1"/>
    <col min="15363" max="15615" width="9.140625" style="17"/>
    <col min="15616" max="15616" width="4.7109375" style="17" customWidth="1"/>
    <col min="15617" max="15617" width="102.7109375" style="17" customWidth="1"/>
    <col min="15618" max="15618" width="4.7109375" style="17" customWidth="1"/>
    <col min="15619" max="15871" width="9.140625" style="17"/>
    <col min="15872" max="15872" width="4.7109375" style="17" customWidth="1"/>
    <col min="15873" max="15873" width="102.7109375" style="17" customWidth="1"/>
    <col min="15874" max="15874" width="4.7109375" style="17" customWidth="1"/>
    <col min="15875" max="16127" width="9.140625" style="17"/>
    <col min="16128" max="16128" width="4.7109375" style="17" customWidth="1"/>
    <col min="16129" max="16129" width="102.7109375" style="17" customWidth="1"/>
    <col min="16130" max="16130" width="4.7109375" style="17" customWidth="1"/>
    <col min="16131" max="16384" width="9.140625" style="17"/>
  </cols>
  <sheetData>
    <row r="2" spans="1:1" ht="15.75">
      <c r="A2" s="18" t="s">
        <v>4</v>
      </c>
    </row>
    <row r="4" spans="1:1" ht="25.5">
      <c r="A4" s="21" t="s">
        <v>7</v>
      </c>
    </row>
    <row r="5" spans="1:1" ht="191.25">
      <c r="A5" s="21" t="s">
        <v>24</v>
      </c>
    </row>
    <row r="6" spans="1:1" ht="114.75">
      <c r="A6" s="21" t="s">
        <v>8</v>
      </c>
    </row>
    <row r="7" spans="1:1" ht="63.75">
      <c r="A7" s="21" t="s">
        <v>14</v>
      </c>
    </row>
    <row r="8" spans="1:1" ht="89.25">
      <c r="A8" s="21" t="s">
        <v>22</v>
      </c>
    </row>
    <row r="9" spans="1:1" ht="38.25">
      <c r="A9" s="23" t="s">
        <v>15</v>
      </c>
    </row>
    <row r="10" spans="1:1">
      <c r="A10" s="23" t="s">
        <v>16</v>
      </c>
    </row>
    <row r="11" spans="1:1" ht="140.25">
      <c r="A11" s="23" t="s">
        <v>17</v>
      </c>
    </row>
    <row r="12" spans="1:1" ht="38.25">
      <c r="A12" s="23" t="s">
        <v>23</v>
      </c>
    </row>
    <row r="13" spans="1:1" ht="25.5">
      <c r="A13" s="23" t="s">
        <v>18</v>
      </c>
    </row>
    <row r="14" spans="1:1">
      <c r="A14" s="23" t="s">
        <v>19</v>
      </c>
    </row>
    <row r="15" spans="1:1">
      <c r="A15" s="23" t="s">
        <v>20</v>
      </c>
    </row>
    <row r="16" spans="1:1">
      <c r="A16" s="23" t="s">
        <v>21</v>
      </c>
    </row>
    <row r="17" spans="1:1" ht="51">
      <c r="A17" s="23" t="s">
        <v>13</v>
      </c>
    </row>
    <row r="18" spans="1:1" ht="15.75">
      <c r="A18" s="26" t="s">
        <v>29</v>
      </c>
    </row>
    <row r="19" spans="1:1" ht="63.75">
      <c r="A19" s="27" t="s">
        <v>30</v>
      </c>
    </row>
    <row r="20" spans="1:1" ht="165.75">
      <c r="A20" s="27" t="s">
        <v>31</v>
      </c>
    </row>
    <row r="21" spans="1:1" ht="140.25">
      <c r="A21" s="27" t="s">
        <v>32</v>
      </c>
    </row>
    <row r="22" spans="1:1" ht="114.75">
      <c r="A22" s="27" t="s">
        <v>45</v>
      </c>
    </row>
    <row r="23" spans="1:1" ht="51">
      <c r="A23" s="27" t="s">
        <v>33</v>
      </c>
    </row>
    <row r="24" spans="1:1" ht="51">
      <c r="A24" s="27" t="s">
        <v>34</v>
      </c>
    </row>
    <row r="25" spans="1:1" ht="127.5">
      <c r="A25" s="27" t="s">
        <v>46</v>
      </c>
    </row>
    <row r="26" spans="1:1">
      <c r="A26" s="27" t="s">
        <v>35</v>
      </c>
    </row>
    <row r="27" spans="1:1" ht="248.25" customHeight="1">
      <c r="A27" s="27" t="s">
        <v>47</v>
      </c>
    </row>
    <row r="28" spans="1:1" ht="189.75" customHeight="1">
      <c r="A28" s="27" t="s">
        <v>36</v>
      </c>
    </row>
    <row r="29" spans="1:1" ht="186" customHeight="1">
      <c r="A29" s="27" t="s">
        <v>37</v>
      </c>
    </row>
    <row r="30" spans="1:1" ht="207" customHeight="1">
      <c r="A30" s="27" t="s">
        <v>38</v>
      </c>
    </row>
    <row r="31" spans="1:1" ht="165.75" customHeight="1">
      <c r="A31" s="27" t="s">
        <v>39</v>
      </c>
    </row>
    <row r="32" spans="1:1" ht="127.5">
      <c r="A32" s="27" t="s">
        <v>40</v>
      </c>
    </row>
    <row r="33" spans="1:1" ht="89.25">
      <c r="A33" s="27" t="s">
        <v>41</v>
      </c>
    </row>
    <row r="34" spans="1:1" ht="51">
      <c r="A34" s="27" t="s">
        <v>42</v>
      </c>
    </row>
    <row r="35" spans="1:1" ht="153">
      <c r="A35" s="27" t="s">
        <v>43</v>
      </c>
    </row>
    <row r="36" spans="1:1" ht="51">
      <c r="A36" s="27" t="s">
        <v>44</v>
      </c>
    </row>
  </sheetData>
  <pageMargins left="0.59055118110236227" right="0.19685039370078741" top="0.59055118110236227" bottom="0.59055118110236227" header="0.19685039370078741" footer="0.19685039370078741"/>
  <pageSetup paperSize="9" fitToHeight="2000" orientation="landscape" r:id="rId1"/>
  <headerFooter alignWithMargins="0">
    <oddHeader xml:space="preserve">&amp;L&amp;G&amp;C&amp;"Arial Narrow,Uobičajeno"&amp;8građevina: REKONSTRUKCIJA, DOGRADNJA I IZGRADNJA
TVORNICE ENERGETSKIH PLOČICA EMPWR Nova Gradiška
&amp;R&amp;"Arial Narrow,Uobičajeno"&amp;8oznaka projekta EMPWR: &amp;"Arial Narrow,Podebljano"VELEBIT 2 faznost&amp;"Arial Narrow,Uobičajeno"
</oddHeader>
    <oddFooter>&amp;L&amp;"Arial Narrow,Uobičajeno"&amp;8troškovnik GRAĐEVINSKO-OBRTNIČKIH RADOVA:1097_empwrNG_velebit2_faznost
revizija: radno GLAVNI projekt R0/10.2025.&amp;C&amp;"Arial Narrow,Uobičajeno"&amp;8&amp;A
&amp;R&amp;"Arial Narrow,Uobičajeno"&amp;8stranica &amp;10&amp;P</oddFooter>
  </headerFooter>
  <rowBreaks count="1" manualBreakCount="1">
    <brk id="25"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AE115"/>
  <sheetViews>
    <sheetView tabSelected="1" view="pageBreakPreview" zoomScaleNormal="100" zoomScaleSheetLayoutView="100" workbookViewId="0">
      <pane ySplit="3" topLeftCell="A76" activePane="bottomLeft" state="frozen"/>
      <selection activeCell="E6" sqref="E6"/>
      <selection pane="bottomLeft" activeCell="D59" sqref="D59"/>
    </sheetView>
  </sheetViews>
  <sheetFormatPr defaultColWidth="9.140625" defaultRowHeight="13.5"/>
  <cols>
    <col min="1" max="1" width="9.85546875" style="16" customWidth="1"/>
    <col min="2" max="2" width="50.7109375" style="19" customWidth="1"/>
    <col min="3" max="3" width="8.7109375" style="20" customWidth="1"/>
    <col min="4" max="4" width="10.7109375" style="83" customWidth="1"/>
    <col min="5" max="5" width="10.7109375" style="64" customWidth="1"/>
    <col min="6" max="6" width="16.7109375" style="65" customWidth="1"/>
    <col min="7" max="7" width="10.7109375" style="66" customWidth="1"/>
    <col min="8" max="8" width="16.7109375" style="67" customWidth="1"/>
    <col min="9" max="9" width="10.7109375" style="62" customWidth="1"/>
    <col min="10" max="10" width="16.7109375" style="63" customWidth="1"/>
    <col min="11" max="11" width="10.7109375" style="69" customWidth="1"/>
    <col min="12" max="12" width="16.7109375" style="70" customWidth="1"/>
    <col min="13" max="13" width="10.7109375" style="71" customWidth="1"/>
    <col min="14" max="14" width="16.7109375" style="72" customWidth="1"/>
    <col min="15" max="15" width="10.7109375" style="73" customWidth="1"/>
    <col min="16" max="16" width="16.7109375" style="74" customWidth="1"/>
    <col min="17" max="17" width="10.7109375" style="75" customWidth="1"/>
    <col min="18" max="18" width="16.7109375" style="76" customWidth="1"/>
    <col min="19" max="19" width="10.7109375" style="77" customWidth="1"/>
    <col min="20" max="20" width="16.7109375" style="78" customWidth="1"/>
    <col min="21" max="21" width="10.7109375" style="79" customWidth="1"/>
    <col min="22" max="22" width="16.7109375" style="80" customWidth="1"/>
    <col min="23" max="23" width="10.7109375" style="81" customWidth="1"/>
    <col min="24" max="24" width="16.7109375" style="82" customWidth="1"/>
    <col min="25" max="25" width="11" style="14" customWidth="1"/>
    <col min="26" max="31" width="9.42578125" style="15" customWidth="1"/>
    <col min="32" max="33" width="9.42578125" style="14" customWidth="1"/>
    <col min="34" max="34" width="9.140625" style="14"/>
    <col min="35" max="35" width="5.42578125" style="14" customWidth="1"/>
    <col min="36" max="42" width="12.140625" style="14" customWidth="1"/>
    <col min="43" max="43" width="5.7109375" style="14" customWidth="1"/>
    <col min="44" max="44" width="7" style="14" customWidth="1"/>
    <col min="45" max="47" width="5.7109375" style="14" customWidth="1"/>
    <col min="48" max="16384" width="9.140625" style="14"/>
  </cols>
  <sheetData>
    <row r="1" spans="1:31" s="13" customFormat="1" ht="15.75">
      <c r="A1" s="164" t="s">
        <v>50</v>
      </c>
      <c r="B1" s="165" t="s">
        <v>51</v>
      </c>
      <c r="C1" s="166"/>
      <c r="D1" s="277"/>
      <c r="E1" s="331">
        <f>SUM(F4:F111)</f>
        <v>0</v>
      </c>
      <c r="F1" s="332"/>
      <c r="G1" s="314">
        <f>SUM(H4:H111)</f>
        <v>0</v>
      </c>
      <c r="H1" s="315"/>
      <c r="I1" s="316">
        <f>SUM(J4:J111)</f>
        <v>234</v>
      </c>
      <c r="J1" s="317"/>
      <c r="K1" s="318">
        <f>SUM(L4:L111)</f>
        <v>12060</v>
      </c>
      <c r="L1" s="319"/>
      <c r="M1" s="320">
        <f>SUM(N4:N111)</f>
        <v>1256</v>
      </c>
      <c r="N1" s="321"/>
      <c r="O1" s="322">
        <f>SUM(P4:P111)</f>
        <v>33300</v>
      </c>
      <c r="P1" s="323"/>
      <c r="Q1" s="286">
        <f>SUM(R4:R111)</f>
        <v>85809</v>
      </c>
      <c r="R1" s="287"/>
      <c r="S1" s="288">
        <f>SUM(T4:T111)</f>
        <v>65.8</v>
      </c>
      <c r="T1" s="289"/>
      <c r="U1" s="290">
        <f>SUM(V4:V111)</f>
        <v>144</v>
      </c>
      <c r="V1" s="291"/>
      <c r="W1" s="292">
        <f>SUM(X4:X111)</f>
        <v>57300</v>
      </c>
      <c r="X1" s="293"/>
    </row>
    <row r="2" spans="1:31" s="38" customFormat="1" ht="15" customHeight="1">
      <c r="A2" s="324" t="s">
        <v>9</v>
      </c>
      <c r="B2" s="326" t="s">
        <v>10</v>
      </c>
      <c r="C2" s="328" t="s">
        <v>11</v>
      </c>
      <c r="D2" s="329" t="s">
        <v>147</v>
      </c>
      <c r="E2" s="294" t="s">
        <v>148</v>
      </c>
      <c r="F2" s="295"/>
      <c r="G2" s="296" t="s">
        <v>150</v>
      </c>
      <c r="H2" s="297"/>
      <c r="I2" s="298" t="s">
        <v>153</v>
      </c>
      <c r="J2" s="299"/>
      <c r="K2" s="300" t="s">
        <v>155</v>
      </c>
      <c r="L2" s="301"/>
      <c r="M2" s="302" t="s">
        <v>157</v>
      </c>
      <c r="N2" s="303"/>
      <c r="O2" s="304" t="s">
        <v>159</v>
      </c>
      <c r="P2" s="305"/>
      <c r="Q2" s="306" t="s">
        <v>166</v>
      </c>
      <c r="R2" s="307"/>
      <c r="S2" s="308" t="s">
        <v>169</v>
      </c>
      <c r="T2" s="309"/>
      <c r="U2" s="310" t="s">
        <v>172</v>
      </c>
      <c r="V2" s="311"/>
      <c r="W2" s="312" t="s">
        <v>175</v>
      </c>
      <c r="X2" s="313"/>
    </row>
    <row r="3" spans="1:31" s="38" customFormat="1" ht="25.5">
      <c r="A3" s="325"/>
      <c r="B3" s="327"/>
      <c r="C3" s="327"/>
      <c r="D3" s="330"/>
      <c r="E3" s="86" t="s">
        <v>151</v>
      </c>
      <c r="F3" s="87" t="s">
        <v>149</v>
      </c>
      <c r="G3" s="88" t="s">
        <v>152</v>
      </c>
      <c r="H3" s="89" t="s">
        <v>161</v>
      </c>
      <c r="I3" s="84" t="s">
        <v>154</v>
      </c>
      <c r="J3" s="85" t="s">
        <v>162</v>
      </c>
      <c r="K3" s="90" t="s">
        <v>156</v>
      </c>
      <c r="L3" s="91" t="s">
        <v>163</v>
      </c>
      <c r="M3" s="92" t="s">
        <v>158</v>
      </c>
      <c r="N3" s="93" t="s">
        <v>164</v>
      </c>
      <c r="O3" s="94" t="s">
        <v>160</v>
      </c>
      <c r="P3" s="95" t="s">
        <v>165</v>
      </c>
      <c r="Q3" s="96" t="s">
        <v>167</v>
      </c>
      <c r="R3" s="97" t="s">
        <v>168</v>
      </c>
      <c r="S3" s="98" t="s">
        <v>170</v>
      </c>
      <c r="T3" s="99" t="s">
        <v>171</v>
      </c>
      <c r="U3" s="100" t="s">
        <v>173</v>
      </c>
      <c r="V3" s="101" t="s">
        <v>174</v>
      </c>
      <c r="W3" s="102" t="s">
        <v>176</v>
      </c>
      <c r="X3" s="103" t="s">
        <v>177</v>
      </c>
    </row>
    <row r="4" spans="1:31" ht="123" customHeight="1">
      <c r="A4" s="266"/>
      <c r="B4" s="24" t="s">
        <v>105</v>
      </c>
      <c r="C4" s="25"/>
      <c r="D4" s="170"/>
      <c r="E4" s="174"/>
      <c r="F4" s="175"/>
      <c r="G4" s="117"/>
      <c r="H4" s="118"/>
      <c r="I4" s="183"/>
      <c r="J4" s="184"/>
      <c r="K4" s="192"/>
      <c r="L4" s="193"/>
      <c r="M4" s="201"/>
      <c r="N4" s="202"/>
      <c r="O4" s="210"/>
      <c r="P4" s="211"/>
      <c r="Q4" s="217"/>
      <c r="R4" s="218"/>
      <c r="S4" s="226"/>
      <c r="T4" s="227"/>
      <c r="U4" s="235"/>
      <c r="V4" s="236"/>
      <c r="W4" s="152"/>
      <c r="X4" s="153"/>
      <c r="Z4" s="14"/>
      <c r="AA4" s="14"/>
      <c r="AB4" s="14"/>
      <c r="AC4" s="14"/>
      <c r="AD4" s="14"/>
      <c r="AE4" s="14"/>
    </row>
    <row r="5" spans="1:31" ht="12.75">
      <c r="A5" s="167"/>
      <c r="B5" s="270"/>
      <c r="C5" s="111"/>
      <c r="D5" s="171"/>
      <c r="E5" s="176"/>
      <c r="F5" s="114"/>
      <c r="G5" s="119"/>
      <c r="H5" s="120"/>
      <c r="I5" s="185"/>
      <c r="J5" s="129"/>
      <c r="K5" s="194"/>
      <c r="L5" s="132"/>
      <c r="M5" s="203"/>
      <c r="N5" s="135"/>
      <c r="O5" s="212"/>
      <c r="P5" s="138"/>
      <c r="Q5" s="219"/>
      <c r="R5" s="143"/>
      <c r="S5" s="228"/>
      <c r="T5" s="146"/>
      <c r="U5" s="237"/>
      <c r="V5" s="149"/>
      <c r="W5" s="154"/>
      <c r="X5" s="155"/>
      <c r="Z5" s="14"/>
      <c r="AA5" s="14"/>
      <c r="AB5" s="14"/>
      <c r="AC5" s="14"/>
      <c r="AD5" s="14"/>
      <c r="AE5" s="14"/>
    </row>
    <row r="6" spans="1:31" s="28" customFormat="1" ht="18.75" customHeight="1">
      <c r="A6" s="167" t="s">
        <v>93</v>
      </c>
      <c r="B6" s="261" t="s">
        <v>106</v>
      </c>
      <c r="C6" s="262"/>
      <c r="D6" s="172"/>
      <c r="E6" s="176"/>
      <c r="F6" s="114"/>
      <c r="G6" s="119"/>
      <c r="H6" s="120"/>
      <c r="I6" s="185"/>
      <c r="J6" s="129"/>
      <c r="K6" s="194"/>
      <c r="L6" s="132"/>
      <c r="M6" s="203"/>
      <c r="N6" s="135"/>
      <c r="O6" s="212"/>
      <c r="P6" s="138"/>
      <c r="Q6" s="219"/>
      <c r="R6" s="143"/>
      <c r="S6" s="228"/>
      <c r="T6" s="146"/>
      <c r="U6" s="237"/>
      <c r="V6" s="149"/>
      <c r="W6" s="154"/>
      <c r="X6" s="155"/>
      <c r="Z6" s="29"/>
      <c r="AA6" s="29"/>
      <c r="AB6" s="29"/>
      <c r="AC6" s="29"/>
      <c r="AD6" s="29"/>
      <c r="AE6" s="29"/>
    </row>
    <row r="7" spans="1:31" s="28" customFormat="1" ht="26.25">
      <c r="A7" s="167"/>
      <c r="B7" s="272" t="s">
        <v>107</v>
      </c>
      <c r="C7" s="262"/>
      <c r="D7" s="172"/>
      <c r="E7" s="177"/>
      <c r="F7" s="178"/>
      <c r="G7" s="121"/>
      <c r="H7" s="122"/>
      <c r="I7" s="186"/>
      <c r="J7" s="187"/>
      <c r="K7" s="195"/>
      <c r="L7" s="196"/>
      <c r="M7" s="204"/>
      <c r="N7" s="205"/>
      <c r="O7" s="140"/>
      <c r="P7" s="139"/>
      <c r="Q7" s="220"/>
      <c r="R7" s="221"/>
      <c r="S7" s="229"/>
      <c r="T7" s="230"/>
      <c r="U7" s="238"/>
      <c r="V7" s="239"/>
      <c r="W7" s="156"/>
      <c r="X7" s="157"/>
      <c r="Z7" s="29"/>
      <c r="AA7" s="29"/>
      <c r="AB7" s="29"/>
      <c r="AC7" s="29"/>
      <c r="AD7" s="29"/>
      <c r="AE7" s="29"/>
    </row>
    <row r="8" spans="1:31" s="28" customFormat="1">
      <c r="A8" s="167"/>
      <c r="B8" s="272" t="s">
        <v>52</v>
      </c>
      <c r="C8" s="262"/>
      <c r="D8" s="172"/>
      <c r="E8" s="179"/>
      <c r="F8" s="180"/>
      <c r="G8" s="123"/>
      <c r="H8" s="124"/>
      <c r="I8" s="188"/>
      <c r="J8" s="189"/>
      <c r="K8" s="197"/>
      <c r="L8" s="198"/>
      <c r="M8" s="206"/>
      <c r="N8" s="207"/>
      <c r="O8" s="213"/>
      <c r="P8" s="214"/>
      <c r="Q8" s="222"/>
      <c r="R8" s="223"/>
      <c r="S8" s="231"/>
      <c r="T8" s="232"/>
      <c r="U8" s="240"/>
      <c r="V8" s="241"/>
      <c r="W8" s="158"/>
      <c r="X8" s="159"/>
      <c r="Z8" s="29"/>
      <c r="AA8" s="29"/>
      <c r="AB8" s="29"/>
      <c r="AC8" s="29"/>
      <c r="AD8" s="29"/>
      <c r="AE8" s="29"/>
    </row>
    <row r="9" spans="1:31" s="28" customFormat="1">
      <c r="A9" s="167"/>
      <c r="B9" s="272" t="s">
        <v>53</v>
      </c>
      <c r="C9" s="262"/>
      <c r="D9" s="172"/>
      <c r="E9" s="177"/>
      <c r="F9" s="178"/>
      <c r="G9" s="121"/>
      <c r="H9" s="122"/>
      <c r="I9" s="186"/>
      <c r="J9" s="187"/>
      <c r="K9" s="195"/>
      <c r="L9" s="196"/>
      <c r="M9" s="204"/>
      <c r="N9" s="205"/>
      <c r="O9" s="140"/>
      <c r="P9" s="139"/>
      <c r="Q9" s="220"/>
      <c r="R9" s="221"/>
      <c r="S9" s="229"/>
      <c r="T9" s="230"/>
      <c r="U9" s="238"/>
      <c r="V9" s="239"/>
      <c r="W9" s="156"/>
      <c r="X9" s="157"/>
      <c r="Z9" s="29"/>
      <c r="AA9" s="29"/>
      <c r="AB9" s="29"/>
      <c r="AC9" s="29"/>
      <c r="AD9" s="29"/>
      <c r="AE9" s="29"/>
    </row>
    <row r="10" spans="1:31" s="28" customFormat="1">
      <c r="A10" s="167"/>
      <c r="B10" s="272" t="s">
        <v>49</v>
      </c>
      <c r="C10" s="262"/>
      <c r="D10" s="172"/>
      <c r="E10" s="179"/>
      <c r="F10" s="180"/>
      <c r="G10" s="123"/>
      <c r="H10" s="124"/>
      <c r="I10" s="188"/>
      <c r="J10" s="189"/>
      <c r="K10" s="197"/>
      <c r="L10" s="198"/>
      <c r="M10" s="206"/>
      <c r="N10" s="207"/>
      <c r="O10" s="213"/>
      <c r="P10" s="214"/>
      <c r="Q10" s="222"/>
      <c r="R10" s="223"/>
      <c r="S10" s="231"/>
      <c r="T10" s="232"/>
      <c r="U10" s="240"/>
      <c r="V10" s="241"/>
      <c r="W10" s="158"/>
      <c r="X10" s="159"/>
      <c r="Z10" s="29"/>
      <c r="AA10" s="29"/>
      <c r="AB10" s="29"/>
      <c r="AC10" s="29"/>
      <c r="AD10" s="29"/>
      <c r="AE10" s="29"/>
    </row>
    <row r="11" spans="1:31" s="28" customFormat="1">
      <c r="A11" s="167"/>
      <c r="B11" s="272" t="s">
        <v>54</v>
      </c>
      <c r="C11" s="262"/>
      <c r="D11" s="172"/>
      <c r="E11" s="177"/>
      <c r="F11" s="178"/>
      <c r="G11" s="121"/>
      <c r="H11" s="122"/>
      <c r="I11" s="186"/>
      <c r="J11" s="187"/>
      <c r="K11" s="195"/>
      <c r="L11" s="196"/>
      <c r="M11" s="204"/>
      <c r="N11" s="205"/>
      <c r="O11" s="140"/>
      <c r="P11" s="139"/>
      <c r="Q11" s="220"/>
      <c r="R11" s="221"/>
      <c r="S11" s="229"/>
      <c r="T11" s="230"/>
      <c r="U11" s="238"/>
      <c r="V11" s="239"/>
      <c r="W11" s="156"/>
      <c r="X11" s="157"/>
      <c r="Z11" s="29"/>
      <c r="AA11" s="29"/>
      <c r="AB11" s="29"/>
      <c r="AC11" s="29"/>
      <c r="AD11" s="29"/>
      <c r="AE11" s="29"/>
    </row>
    <row r="12" spans="1:31" s="28" customFormat="1">
      <c r="A12" s="167"/>
      <c r="B12" s="272" t="s">
        <v>55</v>
      </c>
      <c r="C12" s="262"/>
      <c r="D12" s="172"/>
      <c r="E12" s="177"/>
      <c r="F12" s="181"/>
      <c r="G12" s="121"/>
      <c r="H12" s="125"/>
      <c r="I12" s="186"/>
      <c r="J12" s="190"/>
      <c r="K12" s="195"/>
      <c r="L12" s="199"/>
      <c r="M12" s="204"/>
      <c r="N12" s="208"/>
      <c r="O12" s="140"/>
      <c r="P12" s="215"/>
      <c r="Q12" s="220"/>
      <c r="R12" s="224"/>
      <c r="S12" s="229"/>
      <c r="T12" s="233"/>
      <c r="U12" s="238"/>
      <c r="V12" s="242"/>
      <c r="W12" s="156"/>
      <c r="X12" s="160"/>
      <c r="Z12" s="29"/>
      <c r="AA12" s="29"/>
      <c r="AB12" s="29"/>
      <c r="AC12" s="29"/>
      <c r="AD12" s="29"/>
      <c r="AE12" s="29"/>
    </row>
    <row r="13" spans="1:31" s="28" customFormat="1">
      <c r="A13" s="167"/>
      <c r="B13" s="272" t="s">
        <v>56</v>
      </c>
      <c r="C13" s="262"/>
      <c r="D13" s="172"/>
      <c r="E13" s="177"/>
      <c r="F13" s="178"/>
      <c r="G13" s="121"/>
      <c r="H13" s="122"/>
      <c r="I13" s="186"/>
      <c r="J13" s="187"/>
      <c r="K13" s="195"/>
      <c r="L13" s="196"/>
      <c r="M13" s="204"/>
      <c r="N13" s="205"/>
      <c r="O13" s="140"/>
      <c r="P13" s="139"/>
      <c r="Q13" s="220"/>
      <c r="R13" s="221"/>
      <c r="S13" s="229"/>
      <c r="T13" s="230"/>
      <c r="U13" s="238"/>
      <c r="V13" s="239"/>
      <c r="W13" s="156"/>
      <c r="X13" s="157"/>
      <c r="Z13" s="29"/>
      <c r="AA13" s="29"/>
      <c r="AB13" s="29"/>
      <c r="AC13" s="29"/>
      <c r="AD13" s="29"/>
      <c r="AE13" s="29"/>
    </row>
    <row r="14" spans="1:31" s="28" customFormat="1">
      <c r="A14" s="167"/>
      <c r="B14" s="262"/>
      <c r="C14" s="111" t="s">
        <v>28</v>
      </c>
      <c r="D14" s="173"/>
      <c r="E14" s="177"/>
      <c r="F14" s="178"/>
      <c r="G14" s="121"/>
      <c r="H14" s="122"/>
      <c r="I14" s="186"/>
      <c r="J14" s="187"/>
      <c r="K14" s="195"/>
      <c r="L14" s="196"/>
      <c r="M14" s="275"/>
      <c r="N14" s="276"/>
      <c r="O14" s="140"/>
      <c r="P14" s="139"/>
      <c r="Q14" s="220"/>
      <c r="R14" s="221"/>
      <c r="S14" s="229"/>
      <c r="T14" s="230"/>
      <c r="U14" s="238"/>
      <c r="V14" s="239"/>
      <c r="W14" s="156"/>
      <c r="X14" s="157"/>
      <c r="Z14" s="29"/>
      <c r="AA14" s="29"/>
      <c r="AB14" s="29"/>
      <c r="AC14" s="29"/>
      <c r="AD14" s="29"/>
      <c r="AE14" s="29"/>
    </row>
    <row r="15" spans="1:31" ht="12.75">
      <c r="A15" s="167"/>
      <c r="B15" s="270"/>
      <c r="C15" s="111"/>
      <c r="D15" s="171"/>
      <c r="E15" s="177"/>
      <c r="F15" s="181"/>
      <c r="G15" s="121"/>
      <c r="H15" s="125"/>
      <c r="I15" s="186"/>
      <c r="J15" s="190"/>
      <c r="K15" s="195"/>
      <c r="L15" s="199"/>
      <c r="M15" s="204"/>
      <c r="N15" s="208"/>
      <c r="O15" s="140"/>
      <c r="P15" s="215"/>
      <c r="Q15" s="220"/>
      <c r="R15" s="224"/>
      <c r="S15" s="229"/>
      <c r="T15" s="233"/>
      <c r="U15" s="238"/>
      <c r="V15" s="242"/>
      <c r="W15" s="156"/>
      <c r="X15" s="160"/>
      <c r="Z15" s="14"/>
      <c r="AA15" s="14"/>
      <c r="AB15" s="14"/>
      <c r="AC15" s="14"/>
      <c r="AD15" s="14"/>
      <c r="AE15" s="14"/>
    </row>
    <row r="16" spans="1:31" ht="25.5">
      <c r="A16" s="167" t="s">
        <v>94</v>
      </c>
      <c r="B16" s="273" t="s">
        <v>204</v>
      </c>
      <c r="C16" s="262"/>
      <c r="D16" s="173"/>
      <c r="E16" s="177"/>
      <c r="F16" s="181"/>
      <c r="G16" s="121"/>
      <c r="H16" s="125"/>
      <c r="I16" s="186"/>
      <c r="J16" s="190"/>
      <c r="K16" s="195"/>
      <c r="L16" s="199"/>
      <c r="M16" s="204"/>
      <c r="N16" s="208"/>
      <c r="O16" s="140"/>
      <c r="P16" s="215"/>
      <c r="Q16" s="220"/>
      <c r="R16" s="224"/>
      <c r="S16" s="229"/>
      <c r="T16" s="233"/>
      <c r="U16" s="238"/>
      <c r="V16" s="242"/>
      <c r="W16" s="156"/>
      <c r="X16" s="160"/>
    </row>
    <row r="17" spans="1:24" ht="54.75" customHeight="1">
      <c r="A17" s="167"/>
      <c r="B17" s="272" t="s">
        <v>205</v>
      </c>
      <c r="C17" s="262"/>
      <c r="D17" s="173"/>
      <c r="E17" s="177"/>
      <c r="F17" s="181"/>
      <c r="G17" s="121"/>
      <c r="H17" s="125"/>
      <c r="I17" s="186"/>
      <c r="J17" s="190"/>
      <c r="K17" s="195"/>
      <c r="L17" s="199"/>
      <c r="M17" s="204"/>
      <c r="N17" s="208"/>
      <c r="O17" s="140"/>
      <c r="P17" s="215"/>
      <c r="Q17" s="220"/>
      <c r="R17" s="224"/>
      <c r="S17" s="229"/>
      <c r="T17" s="233"/>
      <c r="U17" s="238"/>
      <c r="V17" s="242"/>
      <c r="W17" s="156"/>
      <c r="X17" s="160"/>
    </row>
    <row r="18" spans="1:24">
      <c r="A18" s="167"/>
      <c r="B18" s="272" t="s">
        <v>52</v>
      </c>
      <c r="C18" s="262"/>
      <c r="D18" s="173"/>
      <c r="E18" s="177"/>
      <c r="F18" s="178"/>
      <c r="G18" s="121"/>
      <c r="H18" s="122"/>
      <c r="I18" s="186"/>
      <c r="J18" s="187"/>
      <c r="K18" s="195"/>
      <c r="L18" s="196"/>
      <c r="M18" s="204"/>
      <c r="N18" s="205"/>
      <c r="O18" s="140"/>
      <c r="P18" s="139"/>
      <c r="Q18" s="220"/>
      <c r="R18" s="221"/>
      <c r="S18" s="229"/>
      <c r="T18" s="230"/>
      <c r="U18" s="238"/>
      <c r="V18" s="239"/>
      <c r="W18" s="156"/>
      <c r="X18" s="157"/>
    </row>
    <row r="19" spans="1:24">
      <c r="A19" s="167"/>
      <c r="B19" s="272" t="s">
        <v>108</v>
      </c>
      <c r="C19" s="262"/>
      <c r="D19" s="173"/>
      <c r="E19" s="177"/>
      <c r="F19" s="181"/>
      <c r="G19" s="121"/>
      <c r="H19" s="125"/>
      <c r="I19" s="186"/>
      <c r="J19" s="190"/>
      <c r="K19" s="195"/>
      <c r="L19" s="199"/>
      <c r="M19" s="204"/>
      <c r="N19" s="208"/>
      <c r="O19" s="140"/>
      <c r="P19" s="215"/>
      <c r="Q19" s="220"/>
      <c r="R19" s="224"/>
      <c r="S19" s="229"/>
      <c r="T19" s="233"/>
      <c r="U19" s="238"/>
      <c r="V19" s="242"/>
      <c r="W19" s="156"/>
      <c r="X19" s="160"/>
    </row>
    <row r="20" spans="1:24">
      <c r="A20" s="167"/>
      <c r="B20" s="272" t="s">
        <v>49</v>
      </c>
      <c r="C20" s="262"/>
      <c r="D20" s="173"/>
      <c r="E20" s="177"/>
      <c r="F20" s="181"/>
      <c r="G20" s="121"/>
      <c r="H20" s="125"/>
      <c r="I20" s="186"/>
      <c r="J20" s="190"/>
      <c r="K20" s="195"/>
      <c r="L20" s="199"/>
      <c r="M20" s="204"/>
      <c r="N20" s="208"/>
      <c r="O20" s="140"/>
      <c r="P20" s="215"/>
      <c r="Q20" s="220"/>
      <c r="R20" s="224"/>
      <c r="S20" s="229"/>
      <c r="T20" s="233"/>
      <c r="U20" s="238"/>
      <c r="V20" s="242"/>
      <c r="W20" s="156"/>
      <c r="X20" s="160"/>
    </row>
    <row r="21" spans="1:24">
      <c r="A21" s="167"/>
      <c r="B21" s="272" t="s">
        <v>54</v>
      </c>
      <c r="C21" s="262"/>
      <c r="D21" s="173"/>
      <c r="E21" s="177"/>
      <c r="F21" s="178"/>
      <c r="G21" s="121"/>
      <c r="H21" s="122"/>
      <c r="I21" s="186"/>
      <c r="J21" s="187"/>
      <c r="K21" s="195"/>
      <c r="L21" s="196"/>
      <c r="M21" s="204"/>
      <c r="N21" s="205"/>
      <c r="O21" s="140"/>
      <c r="P21" s="139"/>
      <c r="Q21" s="220"/>
      <c r="R21" s="221"/>
      <c r="S21" s="229"/>
      <c r="T21" s="230"/>
      <c r="U21" s="238"/>
      <c r="V21" s="239"/>
      <c r="W21" s="156"/>
      <c r="X21" s="157"/>
    </row>
    <row r="22" spans="1:24">
      <c r="A22" s="167"/>
      <c r="B22" s="272" t="s">
        <v>55</v>
      </c>
      <c r="C22" s="262"/>
      <c r="D22" s="173"/>
      <c r="E22" s="177"/>
      <c r="F22" s="178"/>
      <c r="G22" s="121"/>
      <c r="H22" s="122"/>
      <c r="I22" s="186"/>
      <c r="J22" s="187"/>
      <c r="K22" s="195"/>
      <c r="L22" s="196"/>
      <c r="M22" s="204"/>
      <c r="N22" s="205"/>
      <c r="O22" s="140"/>
      <c r="P22" s="139"/>
      <c r="Q22" s="220"/>
      <c r="R22" s="221"/>
      <c r="S22" s="229"/>
      <c r="T22" s="230"/>
      <c r="U22" s="238"/>
      <c r="V22" s="239"/>
      <c r="W22" s="156"/>
      <c r="X22" s="157"/>
    </row>
    <row r="23" spans="1:24">
      <c r="A23" s="167"/>
      <c r="B23" s="272" t="s">
        <v>56</v>
      </c>
      <c r="C23" s="262"/>
      <c r="D23" s="173"/>
      <c r="E23" s="177"/>
      <c r="F23" s="178"/>
      <c r="G23" s="121"/>
      <c r="H23" s="122"/>
      <c r="I23" s="186"/>
      <c r="J23" s="187"/>
      <c r="K23" s="195"/>
      <c r="L23" s="196"/>
      <c r="M23" s="204"/>
      <c r="N23" s="205"/>
      <c r="O23" s="140"/>
      <c r="P23" s="139"/>
      <c r="Q23" s="220"/>
      <c r="R23" s="221"/>
      <c r="S23" s="229"/>
      <c r="T23" s="230"/>
      <c r="U23" s="238"/>
      <c r="V23" s="239"/>
      <c r="W23" s="156"/>
      <c r="X23" s="157"/>
    </row>
    <row r="24" spans="1:24">
      <c r="A24" s="167"/>
      <c r="B24" s="262" t="s">
        <v>189</v>
      </c>
      <c r="C24" s="111" t="s">
        <v>28</v>
      </c>
      <c r="D24" s="173"/>
      <c r="E24" s="177"/>
      <c r="F24" s="178"/>
      <c r="G24" s="121"/>
      <c r="H24" s="122"/>
      <c r="I24" s="186"/>
      <c r="J24" s="187"/>
      <c r="K24" s="195"/>
      <c r="L24" s="196"/>
      <c r="M24" s="204">
        <v>95</v>
      </c>
      <c r="N24" s="205">
        <f>ROUND((D24*M24),2)</f>
        <v>0</v>
      </c>
      <c r="O24" s="140"/>
      <c r="P24" s="139"/>
      <c r="Q24" s="220"/>
      <c r="R24" s="221"/>
      <c r="S24" s="229"/>
      <c r="T24" s="230"/>
      <c r="U24" s="238"/>
      <c r="V24" s="239"/>
      <c r="W24" s="156"/>
      <c r="X24" s="157"/>
    </row>
    <row r="25" spans="1:24">
      <c r="A25" s="167"/>
      <c r="B25" s="262" t="s">
        <v>202</v>
      </c>
      <c r="C25" s="111" t="s">
        <v>28</v>
      </c>
      <c r="D25" s="173"/>
      <c r="E25" s="177"/>
      <c r="F25" s="178"/>
      <c r="G25" s="121"/>
      <c r="H25" s="122"/>
      <c r="I25" s="186"/>
      <c r="J25" s="187"/>
      <c r="K25" s="195">
        <v>250</v>
      </c>
      <c r="L25" s="196">
        <f>ROUND((D25*K25),2)</f>
        <v>0</v>
      </c>
      <c r="M25" s="204">
        <v>2800</v>
      </c>
      <c r="N25" s="205">
        <f>ROUND((D14*M25),2)</f>
        <v>0</v>
      </c>
      <c r="O25" s="140">
        <v>90</v>
      </c>
      <c r="P25" s="139">
        <f>ROUND((D25*O25),2)</f>
        <v>0</v>
      </c>
      <c r="Q25" s="220">
        <v>2200</v>
      </c>
      <c r="R25" s="221">
        <f>ROUND((D25*Q25),2)</f>
        <v>0</v>
      </c>
      <c r="S25" s="229"/>
      <c r="T25" s="230"/>
      <c r="U25" s="238"/>
      <c r="V25" s="239"/>
      <c r="W25" s="156">
        <v>220</v>
      </c>
      <c r="X25" s="157">
        <f>ROUND((D25*W25),2)</f>
        <v>0</v>
      </c>
    </row>
    <row r="26" spans="1:24">
      <c r="A26" s="167"/>
      <c r="B26" s="262" t="s">
        <v>203</v>
      </c>
      <c r="C26" s="111" t="s">
        <v>28</v>
      </c>
      <c r="D26" s="173"/>
      <c r="E26" s="177"/>
      <c r="F26" s="178"/>
      <c r="G26" s="121"/>
      <c r="H26" s="122"/>
      <c r="I26" s="186"/>
      <c r="J26" s="187"/>
      <c r="K26" s="195"/>
      <c r="L26" s="196"/>
      <c r="M26" s="204">
        <v>18</v>
      </c>
      <c r="N26" s="205">
        <f>ROUND((D26*M26),2)</f>
        <v>0</v>
      </c>
      <c r="O26" s="140"/>
      <c r="P26" s="139"/>
      <c r="Q26" s="220"/>
      <c r="R26" s="221"/>
      <c r="S26" s="229"/>
      <c r="T26" s="230"/>
      <c r="U26" s="238"/>
      <c r="V26" s="239"/>
      <c r="W26" s="156"/>
      <c r="X26" s="157"/>
    </row>
    <row r="27" spans="1:24">
      <c r="A27" s="244"/>
      <c r="B27" s="112"/>
      <c r="C27" s="113"/>
      <c r="D27" s="271"/>
      <c r="E27" s="115"/>
      <c r="F27" s="116"/>
      <c r="G27" s="127"/>
      <c r="H27" s="128"/>
      <c r="I27" s="130"/>
      <c r="J27" s="131"/>
      <c r="K27" s="133"/>
      <c r="L27" s="134"/>
      <c r="M27" s="136"/>
      <c r="N27" s="137"/>
      <c r="O27" s="141"/>
      <c r="P27" s="142"/>
      <c r="Q27" s="144"/>
      <c r="R27" s="145"/>
      <c r="S27" s="147"/>
      <c r="T27" s="148"/>
      <c r="U27" s="150"/>
      <c r="V27" s="151"/>
      <c r="W27" s="162"/>
      <c r="X27" s="163"/>
    </row>
    <row r="28" spans="1:24">
      <c r="A28" s="167"/>
      <c r="B28" s="262"/>
      <c r="C28" s="111"/>
      <c r="D28" s="173"/>
      <c r="E28" s="177"/>
      <c r="F28" s="178"/>
      <c r="G28" s="121"/>
      <c r="H28" s="122"/>
      <c r="I28" s="186"/>
      <c r="J28" s="187"/>
      <c r="K28" s="195"/>
      <c r="L28" s="196"/>
      <c r="M28" s="204"/>
      <c r="N28" s="205"/>
      <c r="O28" s="140"/>
      <c r="P28" s="139"/>
      <c r="Q28" s="220"/>
      <c r="R28" s="221"/>
      <c r="S28" s="229"/>
      <c r="T28" s="230"/>
      <c r="U28" s="238"/>
      <c r="V28" s="239"/>
      <c r="W28" s="156"/>
      <c r="X28" s="157"/>
    </row>
    <row r="29" spans="1:24" ht="39" customHeight="1">
      <c r="A29" s="167" t="s">
        <v>95</v>
      </c>
      <c r="B29" s="261" t="s">
        <v>201</v>
      </c>
      <c r="C29" s="262"/>
      <c r="D29" s="173"/>
      <c r="E29" s="177"/>
      <c r="F29" s="178"/>
      <c r="G29" s="121"/>
      <c r="H29" s="122"/>
      <c r="I29" s="186"/>
      <c r="J29" s="187"/>
      <c r="K29" s="195"/>
      <c r="L29" s="196"/>
      <c r="M29" s="204"/>
      <c r="N29" s="205"/>
      <c r="O29" s="140"/>
      <c r="P29" s="139"/>
      <c r="Q29" s="220"/>
      <c r="R29" s="221"/>
      <c r="S29" s="229"/>
      <c r="T29" s="230"/>
      <c r="U29" s="238"/>
      <c r="V29" s="239"/>
      <c r="W29" s="156"/>
      <c r="X29" s="157"/>
    </row>
    <row r="30" spans="1:24">
      <c r="A30" s="167"/>
      <c r="B30" s="261" t="s">
        <v>48</v>
      </c>
      <c r="C30" s="262"/>
      <c r="D30" s="173"/>
      <c r="E30" s="177"/>
      <c r="F30" s="181"/>
      <c r="G30" s="121"/>
      <c r="H30" s="125"/>
      <c r="I30" s="186"/>
      <c r="J30" s="190"/>
      <c r="K30" s="195"/>
      <c r="L30" s="199"/>
      <c r="M30" s="204"/>
      <c r="N30" s="208"/>
      <c r="O30" s="140"/>
      <c r="P30" s="215"/>
      <c r="Q30" s="220"/>
      <c r="R30" s="224"/>
      <c r="S30" s="229"/>
      <c r="T30" s="233"/>
      <c r="U30" s="238"/>
      <c r="V30" s="242"/>
      <c r="W30" s="156"/>
      <c r="X30" s="160"/>
    </row>
    <row r="31" spans="1:24" ht="39">
      <c r="A31" s="167"/>
      <c r="B31" s="261" t="s">
        <v>57</v>
      </c>
      <c r="C31" s="262"/>
      <c r="D31" s="173"/>
      <c r="E31" s="177"/>
      <c r="F31" s="181"/>
      <c r="G31" s="121"/>
      <c r="H31" s="125"/>
      <c r="I31" s="186"/>
      <c r="J31" s="190"/>
      <c r="K31" s="195"/>
      <c r="L31" s="199"/>
      <c r="M31" s="204"/>
      <c r="N31" s="208"/>
      <c r="O31" s="140"/>
      <c r="P31" s="215"/>
      <c r="Q31" s="220"/>
      <c r="R31" s="224"/>
      <c r="S31" s="229"/>
      <c r="T31" s="233"/>
      <c r="U31" s="238"/>
      <c r="V31" s="242"/>
      <c r="W31" s="156"/>
      <c r="X31" s="160"/>
    </row>
    <row r="32" spans="1:24">
      <c r="A32" s="167"/>
      <c r="B32" s="261" t="s">
        <v>58</v>
      </c>
      <c r="C32" s="262"/>
      <c r="D32" s="173"/>
      <c r="E32" s="177"/>
      <c r="F32" s="181"/>
      <c r="G32" s="121"/>
      <c r="H32" s="125"/>
      <c r="I32" s="186"/>
      <c r="J32" s="190"/>
      <c r="K32" s="195"/>
      <c r="L32" s="199"/>
      <c r="M32" s="204"/>
      <c r="N32" s="208"/>
      <c r="O32" s="140"/>
      <c r="P32" s="215"/>
      <c r="Q32" s="220"/>
      <c r="R32" s="224"/>
      <c r="S32" s="229"/>
      <c r="T32" s="233"/>
      <c r="U32" s="238"/>
      <c r="V32" s="242"/>
      <c r="W32" s="156"/>
      <c r="X32" s="160"/>
    </row>
    <row r="33" spans="1:24">
      <c r="A33" s="167"/>
      <c r="B33" s="262"/>
      <c r="C33" s="111" t="s">
        <v>28</v>
      </c>
      <c r="D33" s="173">
        <v>26</v>
      </c>
      <c r="E33" s="177"/>
      <c r="F33" s="178"/>
      <c r="G33" s="121"/>
      <c r="H33" s="122"/>
      <c r="I33" s="186"/>
      <c r="J33" s="187"/>
      <c r="K33" s="195"/>
      <c r="L33" s="196"/>
      <c r="M33" s="204"/>
      <c r="N33" s="205"/>
      <c r="O33" s="140">
        <v>810</v>
      </c>
      <c r="P33" s="139">
        <f>ROUND((D33*O33),2)</f>
        <v>21060</v>
      </c>
      <c r="Q33" s="220"/>
      <c r="R33" s="221"/>
      <c r="S33" s="229"/>
      <c r="T33" s="230"/>
      <c r="U33" s="238"/>
      <c r="V33" s="239"/>
      <c r="W33" s="156"/>
      <c r="X33" s="157"/>
    </row>
    <row r="34" spans="1:24">
      <c r="A34" s="167" t="s">
        <v>96</v>
      </c>
      <c r="B34" s="272" t="s">
        <v>109</v>
      </c>
      <c r="C34" s="262"/>
      <c r="D34" s="173"/>
      <c r="E34" s="177"/>
      <c r="F34" s="178"/>
      <c r="G34" s="121"/>
      <c r="H34" s="122"/>
      <c r="I34" s="186"/>
      <c r="J34" s="187"/>
      <c r="K34" s="195"/>
      <c r="L34" s="196"/>
      <c r="M34" s="204"/>
      <c r="N34" s="205"/>
      <c r="O34" s="140"/>
      <c r="P34" s="139"/>
      <c r="Q34" s="220"/>
      <c r="R34" s="221"/>
      <c r="S34" s="229"/>
      <c r="T34" s="230"/>
      <c r="U34" s="238"/>
      <c r="V34" s="239"/>
      <c r="W34" s="156"/>
      <c r="X34" s="157"/>
    </row>
    <row r="35" spans="1:24">
      <c r="A35" s="167"/>
      <c r="B35" s="272" t="s">
        <v>59</v>
      </c>
      <c r="C35" s="262"/>
      <c r="D35" s="173"/>
      <c r="E35" s="177"/>
      <c r="F35" s="178"/>
      <c r="G35" s="121"/>
      <c r="H35" s="122"/>
      <c r="I35" s="186"/>
      <c r="J35" s="187"/>
      <c r="K35" s="195"/>
      <c r="L35" s="196"/>
      <c r="M35" s="204"/>
      <c r="N35" s="205"/>
      <c r="O35" s="140"/>
      <c r="P35" s="139"/>
      <c r="Q35" s="220"/>
      <c r="R35" s="221"/>
      <c r="S35" s="229"/>
      <c r="T35" s="230"/>
      <c r="U35" s="238"/>
      <c r="V35" s="239"/>
      <c r="W35" s="156"/>
      <c r="X35" s="157"/>
    </row>
    <row r="36" spans="1:24" ht="26.25">
      <c r="A36" s="167"/>
      <c r="B36" s="272" t="s">
        <v>179</v>
      </c>
      <c r="C36" s="262"/>
      <c r="D36" s="173"/>
      <c r="E36" s="177"/>
      <c r="F36" s="181"/>
      <c r="G36" s="121"/>
      <c r="H36" s="125"/>
      <c r="I36" s="186"/>
      <c r="J36" s="190"/>
      <c r="K36" s="195"/>
      <c r="L36" s="199"/>
      <c r="M36" s="204"/>
      <c r="N36" s="208"/>
      <c r="O36" s="140"/>
      <c r="P36" s="215"/>
      <c r="Q36" s="220"/>
      <c r="R36" s="224"/>
      <c r="S36" s="229"/>
      <c r="T36" s="233"/>
      <c r="U36" s="238"/>
      <c r="V36" s="242"/>
      <c r="W36" s="156"/>
      <c r="X36" s="160"/>
    </row>
    <row r="37" spans="1:24">
      <c r="A37" s="167"/>
      <c r="B37" s="272" t="s">
        <v>60</v>
      </c>
      <c r="C37" s="262"/>
      <c r="D37" s="173"/>
      <c r="E37" s="177"/>
      <c r="F37" s="181"/>
      <c r="G37" s="121"/>
      <c r="H37" s="125"/>
      <c r="I37" s="186"/>
      <c r="J37" s="190"/>
      <c r="K37" s="195"/>
      <c r="L37" s="199"/>
      <c r="M37" s="204"/>
      <c r="N37" s="208"/>
      <c r="O37" s="140"/>
      <c r="P37" s="215"/>
      <c r="Q37" s="220"/>
      <c r="R37" s="224"/>
      <c r="S37" s="229"/>
      <c r="T37" s="233"/>
      <c r="U37" s="238"/>
      <c r="V37" s="242"/>
      <c r="W37" s="156"/>
      <c r="X37" s="160"/>
    </row>
    <row r="38" spans="1:24">
      <c r="A38" s="167"/>
      <c r="B38" s="272" t="s">
        <v>48</v>
      </c>
      <c r="C38" s="262"/>
      <c r="D38" s="173"/>
      <c r="E38" s="177"/>
      <c r="F38" s="178"/>
      <c r="G38" s="121"/>
      <c r="H38" s="122"/>
      <c r="I38" s="186"/>
      <c r="J38" s="187"/>
      <c r="K38" s="195"/>
      <c r="L38" s="196"/>
      <c r="M38" s="204"/>
      <c r="N38" s="205"/>
      <c r="O38" s="140"/>
      <c r="P38" s="139"/>
      <c r="Q38" s="220"/>
      <c r="R38" s="221"/>
      <c r="S38" s="229"/>
      <c r="T38" s="230"/>
      <c r="U38" s="238"/>
      <c r="V38" s="239"/>
      <c r="W38" s="156"/>
      <c r="X38" s="157"/>
    </row>
    <row r="39" spans="1:24">
      <c r="A39" s="167"/>
      <c r="B39" s="272" t="s">
        <v>61</v>
      </c>
      <c r="C39" s="262"/>
      <c r="D39" s="173"/>
      <c r="E39" s="177"/>
      <c r="F39" s="181"/>
      <c r="G39" s="121"/>
      <c r="H39" s="125"/>
      <c r="I39" s="186"/>
      <c r="J39" s="190"/>
      <c r="K39" s="195"/>
      <c r="L39" s="199"/>
      <c r="M39" s="204"/>
      <c r="N39" s="208"/>
      <c r="O39" s="140"/>
      <c r="P39" s="215"/>
      <c r="Q39" s="220"/>
      <c r="R39" s="224"/>
      <c r="S39" s="229"/>
      <c r="T39" s="233"/>
      <c r="U39" s="238"/>
      <c r="V39" s="242"/>
      <c r="W39" s="156"/>
      <c r="X39" s="160"/>
    </row>
    <row r="40" spans="1:24">
      <c r="A40" s="167"/>
      <c r="B40" s="272" t="s">
        <v>62</v>
      </c>
      <c r="C40" s="262"/>
      <c r="D40" s="173"/>
      <c r="E40" s="177"/>
      <c r="F40" s="178"/>
      <c r="G40" s="121"/>
      <c r="H40" s="122"/>
      <c r="I40" s="186"/>
      <c r="J40" s="187"/>
      <c r="K40" s="195"/>
      <c r="L40" s="196"/>
      <c r="M40" s="204"/>
      <c r="N40" s="205"/>
      <c r="O40" s="140"/>
      <c r="P40" s="139"/>
      <c r="Q40" s="220"/>
      <c r="R40" s="221"/>
      <c r="S40" s="229"/>
      <c r="T40" s="230"/>
      <c r="U40" s="238"/>
      <c r="V40" s="239"/>
      <c r="W40" s="156"/>
      <c r="X40" s="157"/>
    </row>
    <row r="41" spans="1:24">
      <c r="A41" s="167"/>
      <c r="B41" s="272" t="s">
        <v>55</v>
      </c>
      <c r="C41" s="262"/>
      <c r="D41" s="173"/>
      <c r="E41" s="179"/>
      <c r="F41" s="181"/>
      <c r="G41" s="123"/>
      <c r="H41" s="125"/>
      <c r="I41" s="188"/>
      <c r="J41" s="190"/>
      <c r="K41" s="197"/>
      <c r="L41" s="199"/>
      <c r="M41" s="206"/>
      <c r="N41" s="208"/>
      <c r="O41" s="213"/>
      <c r="P41" s="215"/>
      <c r="Q41" s="222"/>
      <c r="R41" s="224"/>
      <c r="S41" s="231"/>
      <c r="T41" s="233"/>
      <c r="U41" s="240"/>
      <c r="V41" s="242"/>
      <c r="W41" s="158"/>
      <c r="X41" s="160"/>
    </row>
    <row r="42" spans="1:24">
      <c r="A42" s="167"/>
      <c r="B42" s="272" t="s">
        <v>63</v>
      </c>
      <c r="C42" s="262"/>
      <c r="D42" s="173"/>
      <c r="E42" s="177"/>
      <c r="F42" s="178"/>
      <c r="G42" s="121"/>
      <c r="H42" s="122"/>
      <c r="I42" s="186"/>
      <c r="J42" s="187"/>
      <c r="K42" s="195"/>
      <c r="L42" s="196"/>
      <c r="M42" s="204"/>
      <c r="N42" s="205"/>
      <c r="O42" s="140"/>
      <c r="P42" s="139"/>
      <c r="Q42" s="220"/>
      <c r="R42" s="221"/>
      <c r="S42" s="229"/>
      <c r="T42" s="230"/>
      <c r="U42" s="238"/>
      <c r="V42" s="239"/>
      <c r="W42" s="156"/>
      <c r="X42" s="157"/>
    </row>
    <row r="43" spans="1:24">
      <c r="A43" s="167"/>
      <c r="B43" s="272" t="s">
        <v>110</v>
      </c>
      <c r="C43" s="111" t="s">
        <v>28</v>
      </c>
      <c r="D43" s="173"/>
      <c r="E43" s="177"/>
      <c r="F43" s="178"/>
      <c r="G43" s="121"/>
      <c r="H43" s="122"/>
      <c r="I43" s="186"/>
      <c r="J43" s="187"/>
      <c r="K43" s="195"/>
      <c r="L43" s="196"/>
      <c r="M43" s="204">
        <v>220</v>
      </c>
      <c r="N43" s="205">
        <f>ROUND((D44*M43),2)</f>
        <v>0</v>
      </c>
      <c r="O43" s="140"/>
      <c r="P43" s="139"/>
      <c r="Q43" s="220"/>
      <c r="R43" s="221"/>
      <c r="S43" s="229"/>
      <c r="T43" s="230"/>
      <c r="U43" s="238"/>
      <c r="V43" s="239"/>
      <c r="W43" s="156">
        <v>11</v>
      </c>
      <c r="X43" s="157">
        <f>ROUND((D43*W43),2)</f>
        <v>0</v>
      </c>
    </row>
    <row r="44" spans="1:24">
      <c r="A44" s="167"/>
      <c r="B44" s="272" t="s">
        <v>111</v>
      </c>
      <c r="C44" s="111" t="s">
        <v>28</v>
      </c>
      <c r="D44" s="173"/>
      <c r="E44" s="177"/>
      <c r="F44" s="178"/>
      <c r="G44" s="121"/>
      <c r="H44" s="122"/>
      <c r="I44" s="186">
        <v>80</v>
      </c>
      <c r="J44" s="187">
        <f>ROUND((D44*I44),2)</f>
        <v>0</v>
      </c>
      <c r="K44" s="195">
        <v>50</v>
      </c>
      <c r="L44" s="196">
        <f>ROUND((D44*K44),2)</f>
        <v>0</v>
      </c>
      <c r="M44" s="204">
        <v>380</v>
      </c>
      <c r="N44" s="205">
        <f>ROUND((D44*M44),2)</f>
        <v>0</v>
      </c>
      <c r="O44" s="140">
        <v>7</v>
      </c>
      <c r="P44" s="139">
        <f>ROUND((D44*O44),2)</f>
        <v>0</v>
      </c>
      <c r="Q44" s="220">
        <v>620</v>
      </c>
      <c r="R44" s="221">
        <f>ROUND((D44*Q44),2)</f>
        <v>0</v>
      </c>
      <c r="S44" s="229"/>
      <c r="T44" s="230"/>
      <c r="U44" s="238"/>
      <c r="V44" s="239"/>
      <c r="W44" s="156">
        <v>320</v>
      </c>
      <c r="X44" s="157">
        <f>ROUND((D44*W44),2)</f>
        <v>0</v>
      </c>
    </row>
    <row r="45" spans="1:24">
      <c r="A45" s="167"/>
      <c r="B45" s="262"/>
      <c r="C45" s="264"/>
      <c r="D45" s="173"/>
      <c r="E45" s="177"/>
      <c r="F45" s="178"/>
      <c r="G45" s="121"/>
      <c r="H45" s="122"/>
      <c r="I45" s="186"/>
      <c r="J45" s="187"/>
      <c r="K45" s="195"/>
      <c r="L45" s="196"/>
      <c r="M45" s="136"/>
      <c r="N45" s="137"/>
      <c r="O45" s="140"/>
      <c r="P45" s="139"/>
      <c r="Q45" s="220"/>
      <c r="R45" s="221"/>
      <c r="S45" s="229"/>
      <c r="T45" s="230"/>
      <c r="U45" s="238"/>
      <c r="V45" s="239"/>
      <c r="W45" s="156"/>
      <c r="X45" s="157"/>
    </row>
    <row r="46" spans="1:24" ht="39.75" customHeight="1">
      <c r="A46" s="167" t="s">
        <v>97</v>
      </c>
      <c r="B46" s="273" t="s">
        <v>112</v>
      </c>
      <c r="C46" s="262"/>
      <c r="D46" s="173"/>
      <c r="E46" s="177"/>
      <c r="F46" s="178"/>
      <c r="G46" s="121"/>
      <c r="H46" s="122"/>
      <c r="I46" s="186"/>
      <c r="J46" s="187"/>
      <c r="K46" s="195"/>
      <c r="L46" s="196"/>
      <c r="M46" s="204"/>
      <c r="N46" s="205"/>
      <c r="O46" s="140"/>
      <c r="P46" s="139"/>
      <c r="Q46" s="220"/>
      <c r="R46" s="221"/>
      <c r="S46" s="229"/>
      <c r="T46" s="230"/>
      <c r="U46" s="238"/>
      <c r="V46" s="239"/>
      <c r="W46" s="156"/>
      <c r="X46" s="157"/>
    </row>
    <row r="47" spans="1:24">
      <c r="A47" s="167"/>
      <c r="B47" s="261" t="s">
        <v>48</v>
      </c>
      <c r="C47" s="262"/>
      <c r="D47" s="173"/>
      <c r="E47" s="177"/>
      <c r="F47" s="178"/>
      <c r="G47" s="121"/>
      <c r="H47" s="122"/>
      <c r="I47" s="186"/>
      <c r="J47" s="187"/>
      <c r="K47" s="195"/>
      <c r="L47" s="196"/>
      <c r="M47" s="204"/>
      <c r="N47" s="205"/>
      <c r="O47" s="140"/>
      <c r="P47" s="139"/>
      <c r="Q47" s="220"/>
      <c r="R47" s="221"/>
      <c r="S47" s="229"/>
      <c r="T47" s="230"/>
      <c r="U47" s="238"/>
      <c r="V47" s="239"/>
      <c r="W47" s="156"/>
      <c r="X47" s="157"/>
    </row>
    <row r="48" spans="1:24" ht="39">
      <c r="A48" s="167"/>
      <c r="B48" s="261" t="s">
        <v>57</v>
      </c>
      <c r="C48" s="262"/>
      <c r="D48" s="173"/>
      <c r="E48" s="177"/>
      <c r="F48" s="178"/>
      <c r="G48" s="121"/>
      <c r="H48" s="122"/>
      <c r="I48" s="186"/>
      <c r="J48" s="187"/>
      <c r="K48" s="195"/>
      <c r="L48" s="196"/>
      <c r="M48" s="204"/>
      <c r="N48" s="205"/>
      <c r="O48" s="140"/>
      <c r="P48" s="139"/>
      <c r="Q48" s="220"/>
      <c r="R48" s="221"/>
      <c r="S48" s="229"/>
      <c r="T48" s="230"/>
      <c r="U48" s="238"/>
      <c r="V48" s="239"/>
      <c r="W48" s="156"/>
      <c r="X48" s="157"/>
    </row>
    <row r="49" spans="1:24">
      <c r="A49" s="167"/>
      <c r="B49" s="261" t="s">
        <v>58</v>
      </c>
      <c r="C49" s="262"/>
      <c r="D49" s="173"/>
      <c r="E49" s="177"/>
      <c r="F49" s="178"/>
      <c r="G49" s="121"/>
      <c r="H49" s="122"/>
      <c r="I49" s="186"/>
      <c r="J49" s="187"/>
      <c r="K49" s="195"/>
      <c r="L49" s="196"/>
      <c r="M49" s="204"/>
      <c r="N49" s="205"/>
      <c r="O49" s="140"/>
      <c r="P49" s="139"/>
      <c r="Q49" s="220"/>
      <c r="R49" s="221"/>
      <c r="S49" s="229"/>
      <c r="T49" s="230"/>
      <c r="U49" s="238"/>
      <c r="V49" s="239"/>
      <c r="W49" s="156"/>
      <c r="X49" s="157"/>
    </row>
    <row r="50" spans="1:24">
      <c r="A50" s="167"/>
      <c r="B50" s="262"/>
      <c r="C50" s="111" t="s">
        <v>28</v>
      </c>
      <c r="D50" s="173">
        <v>26</v>
      </c>
      <c r="E50" s="177"/>
      <c r="F50" s="178"/>
      <c r="G50" s="121"/>
      <c r="H50" s="122"/>
      <c r="I50" s="186"/>
      <c r="J50" s="187"/>
      <c r="K50" s="195">
        <v>450</v>
      </c>
      <c r="L50" s="196">
        <f>ROUND((D50*K50),2)</f>
        <v>11700</v>
      </c>
      <c r="M50" s="204">
        <v>31</v>
      </c>
      <c r="N50" s="205">
        <f>ROUND((D50*M50),2)</f>
        <v>806</v>
      </c>
      <c r="O50" s="140">
        <v>450</v>
      </c>
      <c r="P50" s="139">
        <f>ROUND((D50*O50),2)</f>
        <v>11700</v>
      </c>
      <c r="Q50" s="220">
        <v>3300</v>
      </c>
      <c r="R50" s="221">
        <f>ROUND((D50*Q50),2)</f>
        <v>85800</v>
      </c>
      <c r="S50" s="229">
        <v>0.8</v>
      </c>
      <c r="T50" s="230">
        <f>ROUND((D50*S50),2)</f>
        <v>20.8</v>
      </c>
      <c r="U50" s="238"/>
      <c r="V50" s="239"/>
      <c r="W50" s="156">
        <v>2100</v>
      </c>
      <c r="X50" s="157">
        <f>ROUND((D50*W50),2)</f>
        <v>54600</v>
      </c>
    </row>
    <row r="51" spans="1:24">
      <c r="A51" s="167"/>
      <c r="B51" s="262"/>
      <c r="C51" s="111"/>
      <c r="D51" s="173"/>
      <c r="E51" s="179"/>
      <c r="F51" s="181"/>
      <c r="G51" s="123"/>
      <c r="H51" s="125"/>
      <c r="I51" s="188"/>
      <c r="J51" s="190"/>
      <c r="K51" s="197"/>
      <c r="L51" s="199"/>
      <c r="M51" s="206"/>
      <c r="N51" s="208"/>
      <c r="O51" s="213"/>
      <c r="P51" s="215"/>
      <c r="Q51" s="222"/>
      <c r="R51" s="224"/>
      <c r="S51" s="231"/>
      <c r="T51" s="233"/>
      <c r="U51" s="240"/>
      <c r="V51" s="242"/>
      <c r="W51" s="158"/>
      <c r="X51" s="160"/>
    </row>
    <row r="52" spans="1:24" ht="26.25">
      <c r="A52" s="167" t="s">
        <v>98</v>
      </c>
      <c r="B52" s="272" t="s">
        <v>64</v>
      </c>
      <c r="C52" s="262"/>
      <c r="D52" s="173"/>
      <c r="E52" s="179"/>
      <c r="F52" s="181"/>
      <c r="G52" s="123"/>
      <c r="H52" s="125"/>
      <c r="I52" s="188"/>
      <c r="J52" s="190"/>
      <c r="K52" s="197"/>
      <c r="L52" s="199"/>
      <c r="M52" s="206"/>
      <c r="N52" s="208"/>
      <c r="O52" s="213"/>
      <c r="P52" s="215"/>
      <c r="Q52" s="222"/>
      <c r="R52" s="224"/>
      <c r="S52" s="231"/>
      <c r="T52" s="233"/>
      <c r="U52" s="240"/>
      <c r="V52" s="242"/>
      <c r="W52" s="158"/>
      <c r="X52" s="160"/>
    </row>
    <row r="53" spans="1:24">
      <c r="A53" s="167"/>
      <c r="B53" s="272" t="s">
        <v>65</v>
      </c>
      <c r="C53" s="262"/>
      <c r="D53" s="173"/>
      <c r="E53" s="179"/>
      <c r="F53" s="181"/>
      <c r="G53" s="123"/>
      <c r="H53" s="125"/>
      <c r="I53" s="188"/>
      <c r="J53" s="190"/>
      <c r="K53" s="197"/>
      <c r="L53" s="199"/>
      <c r="M53" s="206"/>
      <c r="N53" s="208"/>
      <c r="O53" s="213"/>
      <c r="P53" s="215"/>
      <c r="Q53" s="222"/>
      <c r="R53" s="224"/>
      <c r="S53" s="231"/>
      <c r="T53" s="233"/>
      <c r="U53" s="240"/>
      <c r="V53" s="242"/>
      <c r="W53" s="158"/>
      <c r="X53" s="160"/>
    </row>
    <row r="54" spans="1:24">
      <c r="A54" s="167"/>
      <c r="B54" s="272" t="s">
        <v>66</v>
      </c>
      <c r="C54" s="262"/>
      <c r="D54" s="173"/>
      <c r="E54" s="177"/>
      <c r="F54" s="178"/>
      <c r="G54" s="121"/>
      <c r="H54" s="122"/>
      <c r="I54" s="186"/>
      <c r="J54" s="187"/>
      <c r="K54" s="195"/>
      <c r="L54" s="196"/>
      <c r="M54" s="204"/>
      <c r="N54" s="205"/>
      <c r="O54" s="140"/>
      <c r="P54" s="139"/>
      <c r="Q54" s="220"/>
      <c r="R54" s="221"/>
      <c r="S54" s="229"/>
      <c r="T54" s="230"/>
      <c r="U54" s="238"/>
      <c r="V54" s="239"/>
      <c r="W54" s="156"/>
      <c r="X54" s="157"/>
    </row>
    <row r="55" spans="1:24">
      <c r="A55" s="167"/>
      <c r="B55" s="272" t="s">
        <v>48</v>
      </c>
      <c r="C55" s="262"/>
      <c r="D55" s="173"/>
      <c r="E55" s="177"/>
      <c r="F55" s="178"/>
      <c r="G55" s="121"/>
      <c r="H55" s="122"/>
      <c r="I55" s="186"/>
      <c r="J55" s="187"/>
      <c r="K55" s="195"/>
      <c r="L55" s="196"/>
      <c r="M55" s="204"/>
      <c r="N55" s="205"/>
      <c r="O55" s="140"/>
      <c r="P55" s="139"/>
      <c r="Q55" s="220"/>
      <c r="R55" s="221"/>
      <c r="S55" s="229"/>
      <c r="T55" s="230"/>
      <c r="U55" s="238"/>
      <c r="V55" s="239"/>
      <c r="W55" s="156"/>
      <c r="X55" s="157"/>
    </row>
    <row r="56" spans="1:24">
      <c r="A56" s="167"/>
      <c r="B56" s="272" t="s">
        <v>67</v>
      </c>
      <c r="C56" s="262"/>
      <c r="D56" s="173"/>
      <c r="E56" s="177"/>
      <c r="F56" s="178"/>
      <c r="G56" s="121"/>
      <c r="H56" s="122"/>
      <c r="I56" s="186"/>
      <c r="J56" s="187"/>
      <c r="K56" s="195"/>
      <c r="L56" s="196"/>
      <c r="M56" s="204"/>
      <c r="N56" s="205"/>
      <c r="O56" s="140"/>
      <c r="P56" s="139"/>
      <c r="Q56" s="220"/>
      <c r="R56" s="221"/>
      <c r="S56" s="229"/>
      <c r="T56" s="230"/>
      <c r="U56" s="238"/>
      <c r="V56" s="239"/>
      <c r="W56" s="156"/>
      <c r="X56" s="157"/>
    </row>
    <row r="57" spans="1:24">
      <c r="A57" s="167"/>
      <c r="B57" s="272" t="s">
        <v>68</v>
      </c>
      <c r="C57" s="262"/>
      <c r="D57" s="173"/>
      <c r="E57" s="179"/>
      <c r="F57" s="182"/>
      <c r="G57" s="123"/>
      <c r="H57" s="126"/>
      <c r="I57" s="188"/>
      <c r="J57" s="191"/>
      <c r="K57" s="197"/>
      <c r="L57" s="200"/>
      <c r="M57" s="206"/>
      <c r="N57" s="209"/>
      <c r="O57" s="213"/>
      <c r="P57" s="216"/>
      <c r="Q57" s="222"/>
      <c r="R57" s="225"/>
      <c r="S57" s="231"/>
      <c r="T57" s="234"/>
      <c r="U57" s="240"/>
      <c r="V57" s="243"/>
      <c r="W57" s="158"/>
      <c r="X57" s="161"/>
    </row>
    <row r="58" spans="1:24">
      <c r="A58" s="167"/>
      <c r="B58" s="262"/>
      <c r="C58" s="111" t="s">
        <v>28</v>
      </c>
      <c r="D58" s="173">
        <v>9</v>
      </c>
      <c r="E58" s="177"/>
      <c r="F58" s="178"/>
      <c r="G58" s="121"/>
      <c r="H58" s="122"/>
      <c r="I58" s="186">
        <v>26</v>
      </c>
      <c r="J58" s="187">
        <f>ROUND((D58*I58),2)</f>
        <v>234</v>
      </c>
      <c r="K58" s="195">
        <v>40</v>
      </c>
      <c r="L58" s="196">
        <f>ROUND((D58*K58),2)</f>
        <v>360</v>
      </c>
      <c r="M58" s="204">
        <v>50</v>
      </c>
      <c r="N58" s="205">
        <f>ROUND((D58*M58),2)</f>
        <v>450</v>
      </c>
      <c r="O58" s="140">
        <v>60</v>
      </c>
      <c r="P58" s="139">
        <f>ROUND((D58*O58),2)</f>
        <v>540</v>
      </c>
      <c r="Q58" s="220">
        <v>1</v>
      </c>
      <c r="R58" s="221">
        <f>ROUND((D58*Q58),2)</f>
        <v>9</v>
      </c>
      <c r="S58" s="229">
        <v>5</v>
      </c>
      <c r="T58" s="230">
        <f>ROUND((D58*S58),2)</f>
        <v>45</v>
      </c>
      <c r="U58" s="238">
        <v>16</v>
      </c>
      <c r="V58" s="239">
        <f>ROUND((D58*U58),2)</f>
        <v>144</v>
      </c>
      <c r="W58" s="156">
        <v>300</v>
      </c>
      <c r="X58" s="157">
        <f>ROUND((D58*W58),2)</f>
        <v>2700</v>
      </c>
    </row>
    <row r="59" spans="1:24">
      <c r="A59" s="167"/>
      <c r="B59" s="262"/>
      <c r="C59" s="111"/>
      <c r="D59" s="173"/>
      <c r="E59" s="177"/>
      <c r="F59" s="178"/>
      <c r="G59" s="121"/>
      <c r="H59" s="122"/>
      <c r="I59" s="186"/>
      <c r="J59" s="187"/>
      <c r="K59" s="195"/>
      <c r="L59" s="196"/>
      <c r="M59" s="204"/>
      <c r="N59" s="205"/>
      <c r="O59" s="140"/>
      <c r="P59" s="139"/>
      <c r="Q59" s="220"/>
      <c r="R59" s="221"/>
      <c r="S59" s="229"/>
      <c r="T59" s="230"/>
      <c r="U59" s="238"/>
      <c r="V59" s="239"/>
      <c r="W59" s="156"/>
      <c r="X59" s="157"/>
    </row>
    <row r="60" spans="1:24" ht="20.25" customHeight="1">
      <c r="A60" s="167" t="s">
        <v>99</v>
      </c>
      <c r="B60" s="263" t="s">
        <v>69</v>
      </c>
      <c r="C60" s="262"/>
      <c r="D60" s="173"/>
      <c r="E60" s="179"/>
      <c r="F60" s="182"/>
      <c r="G60" s="123"/>
      <c r="H60" s="126"/>
      <c r="I60" s="188"/>
      <c r="J60" s="191"/>
      <c r="K60" s="197"/>
      <c r="L60" s="200"/>
      <c r="M60" s="206"/>
      <c r="N60" s="209"/>
      <c r="O60" s="213"/>
      <c r="P60" s="216"/>
      <c r="Q60" s="222"/>
      <c r="R60" s="225"/>
      <c r="S60" s="231"/>
      <c r="T60" s="234"/>
      <c r="U60" s="240"/>
      <c r="V60" s="243"/>
      <c r="W60" s="158"/>
      <c r="X60" s="161"/>
    </row>
    <row r="61" spans="1:24">
      <c r="A61" s="167"/>
      <c r="B61" s="274" t="s">
        <v>70</v>
      </c>
      <c r="C61" s="262"/>
      <c r="D61" s="173"/>
      <c r="E61" s="179"/>
      <c r="F61" s="182"/>
      <c r="G61" s="123"/>
      <c r="H61" s="126"/>
      <c r="I61" s="188"/>
      <c r="J61" s="191"/>
      <c r="K61" s="197"/>
      <c r="L61" s="200"/>
      <c r="M61" s="206"/>
      <c r="N61" s="209"/>
      <c r="O61" s="213"/>
      <c r="P61" s="216"/>
      <c r="Q61" s="222"/>
      <c r="R61" s="225"/>
      <c r="S61" s="231"/>
      <c r="T61" s="234"/>
      <c r="U61" s="240"/>
      <c r="V61" s="243"/>
      <c r="W61" s="158"/>
      <c r="X61" s="161"/>
    </row>
    <row r="62" spans="1:24">
      <c r="A62" s="167"/>
      <c r="B62" s="262"/>
      <c r="C62" s="111" t="s">
        <v>71</v>
      </c>
      <c r="D62" s="173"/>
      <c r="E62" s="177"/>
      <c r="F62" s="178"/>
      <c r="G62" s="121"/>
      <c r="H62" s="122"/>
      <c r="I62" s="186"/>
      <c r="J62" s="187"/>
      <c r="K62" s="195"/>
      <c r="L62" s="196"/>
      <c r="M62" s="204">
        <v>39</v>
      </c>
      <c r="N62" s="205">
        <f>ROUND((D62*M62),2)</f>
        <v>0</v>
      </c>
      <c r="O62" s="140">
        <v>10</v>
      </c>
      <c r="P62" s="139">
        <f>ROUND((D62*O62),2)</f>
        <v>0</v>
      </c>
      <c r="Q62" s="220">
        <v>85</v>
      </c>
      <c r="R62" s="221">
        <f>ROUND((D62*Q62),2)</f>
        <v>0</v>
      </c>
      <c r="S62" s="229"/>
      <c r="T62" s="230"/>
      <c r="U62" s="238"/>
      <c r="V62" s="239"/>
      <c r="W62" s="156">
        <v>24</v>
      </c>
      <c r="X62" s="157">
        <f>ROUND((D62*W62),2)</f>
        <v>0</v>
      </c>
    </row>
    <row r="63" spans="1:24" ht="13.5" customHeight="1">
      <c r="A63" s="167" t="s">
        <v>100</v>
      </c>
      <c r="B63" s="263" t="s">
        <v>72</v>
      </c>
      <c r="C63" s="262"/>
      <c r="D63" s="173"/>
      <c r="E63" s="177"/>
      <c r="F63" s="178"/>
      <c r="G63" s="121"/>
      <c r="H63" s="122"/>
      <c r="I63" s="186"/>
      <c r="J63" s="187"/>
      <c r="K63" s="195"/>
      <c r="L63" s="196"/>
      <c r="M63" s="204"/>
      <c r="N63" s="205"/>
      <c r="O63" s="140"/>
      <c r="P63" s="139"/>
      <c r="Q63" s="220"/>
      <c r="R63" s="221"/>
      <c r="S63" s="229"/>
      <c r="T63" s="230"/>
      <c r="U63" s="238"/>
      <c r="V63" s="239"/>
      <c r="W63" s="156"/>
      <c r="X63" s="157"/>
    </row>
    <row r="64" spans="1:24">
      <c r="A64" s="167"/>
      <c r="B64" s="274" t="s">
        <v>193</v>
      </c>
      <c r="C64" s="262"/>
      <c r="D64" s="173"/>
      <c r="E64" s="177"/>
      <c r="F64" s="178"/>
      <c r="G64" s="121"/>
      <c r="H64" s="122"/>
      <c r="I64" s="186"/>
      <c r="J64" s="187"/>
      <c r="K64" s="195"/>
      <c r="L64" s="196"/>
      <c r="M64" s="204"/>
      <c r="N64" s="205"/>
      <c r="O64" s="140"/>
      <c r="P64" s="139"/>
      <c r="Q64" s="220"/>
      <c r="R64" s="221"/>
      <c r="S64" s="229"/>
      <c r="T64" s="230"/>
      <c r="U64" s="238"/>
      <c r="V64" s="239"/>
      <c r="W64" s="156"/>
      <c r="X64" s="157"/>
    </row>
    <row r="65" spans="1:24">
      <c r="A65" s="167"/>
      <c r="B65" s="262"/>
      <c r="C65" s="111" t="s">
        <v>26</v>
      </c>
      <c r="D65" s="173"/>
      <c r="E65" s="177"/>
      <c r="F65" s="178"/>
      <c r="G65" s="121"/>
      <c r="H65" s="122"/>
      <c r="I65" s="186"/>
      <c r="J65" s="187"/>
      <c r="K65" s="195"/>
      <c r="L65" s="196"/>
      <c r="M65" s="204">
        <v>2</v>
      </c>
      <c r="N65" s="205">
        <f>ROUND((D65*M65),2)</f>
        <v>0</v>
      </c>
      <c r="O65" s="140">
        <v>1</v>
      </c>
      <c r="P65" s="139">
        <f>ROUND((D65*O65),2)</f>
        <v>0</v>
      </c>
      <c r="Q65" s="220">
        <v>5</v>
      </c>
      <c r="R65" s="221">
        <f>ROUND((D65*Q65),2)</f>
        <v>0</v>
      </c>
      <c r="S65" s="229"/>
      <c r="T65" s="230"/>
      <c r="U65" s="238"/>
      <c r="V65" s="239"/>
      <c r="W65" s="156">
        <v>2</v>
      </c>
      <c r="X65" s="157">
        <f>ROUND((D65*W65),2)</f>
        <v>0</v>
      </c>
    </row>
    <row r="66" spans="1:24" ht="14.25" customHeight="1">
      <c r="A66" s="167" t="s">
        <v>113</v>
      </c>
      <c r="B66" s="272" t="s">
        <v>194</v>
      </c>
      <c r="C66" s="262"/>
      <c r="D66" s="173"/>
      <c r="E66" s="177"/>
      <c r="F66" s="178"/>
      <c r="G66" s="121"/>
      <c r="H66" s="122"/>
      <c r="I66" s="186"/>
      <c r="J66" s="187"/>
      <c r="K66" s="195"/>
      <c r="L66" s="196"/>
      <c r="M66" s="204"/>
      <c r="N66" s="205"/>
      <c r="O66" s="140"/>
      <c r="P66" s="139"/>
      <c r="Q66" s="220"/>
      <c r="R66" s="221"/>
      <c r="S66" s="229"/>
      <c r="T66" s="230"/>
      <c r="U66" s="238"/>
      <c r="V66" s="239"/>
      <c r="W66" s="156"/>
      <c r="X66" s="157"/>
    </row>
    <row r="67" spans="1:24">
      <c r="A67" s="167"/>
      <c r="B67" s="272" t="s">
        <v>73</v>
      </c>
      <c r="C67" s="262"/>
      <c r="D67" s="173"/>
      <c r="E67" s="177"/>
      <c r="F67" s="178"/>
      <c r="G67" s="121"/>
      <c r="H67" s="122"/>
      <c r="I67" s="186"/>
      <c r="J67" s="187"/>
      <c r="K67" s="195"/>
      <c r="L67" s="196"/>
      <c r="M67" s="204"/>
      <c r="N67" s="205"/>
      <c r="O67" s="140"/>
      <c r="P67" s="139"/>
      <c r="Q67" s="220"/>
      <c r="R67" s="221"/>
      <c r="S67" s="229"/>
      <c r="T67" s="230"/>
      <c r="U67" s="238"/>
      <c r="V67" s="239"/>
      <c r="W67" s="156"/>
      <c r="X67" s="157"/>
    </row>
    <row r="68" spans="1:24">
      <c r="A68" s="167"/>
      <c r="B68" s="272" t="s">
        <v>74</v>
      </c>
      <c r="C68" s="262"/>
      <c r="D68" s="173"/>
      <c r="E68" s="177"/>
      <c r="F68" s="178"/>
      <c r="G68" s="121"/>
      <c r="H68" s="122"/>
      <c r="I68" s="186"/>
      <c r="J68" s="187"/>
      <c r="K68" s="195"/>
      <c r="L68" s="196"/>
      <c r="M68" s="204"/>
      <c r="N68" s="205"/>
      <c r="O68" s="140"/>
      <c r="P68" s="139"/>
      <c r="Q68" s="220"/>
      <c r="R68" s="221"/>
      <c r="S68" s="229"/>
      <c r="T68" s="230"/>
      <c r="U68" s="238"/>
      <c r="V68" s="239"/>
      <c r="W68" s="156"/>
      <c r="X68" s="157"/>
    </row>
    <row r="69" spans="1:24">
      <c r="A69" s="167"/>
      <c r="B69" s="272" t="s">
        <v>49</v>
      </c>
      <c r="C69" s="262"/>
      <c r="D69" s="173"/>
      <c r="E69" s="177"/>
      <c r="F69" s="178"/>
      <c r="G69" s="121"/>
      <c r="H69" s="122"/>
      <c r="I69" s="186"/>
      <c r="J69" s="187"/>
      <c r="K69" s="195"/>
      <c r="L69" s="196"/>
      <c r="M69" s="204"/>
      <c r="N69" s="205"/>
      <c r="O69" s="140"/>
      <c r="P69" s="139"/>
      <c r="Q69" s="220"/>
      <c r="R69" s="221"/>
      <c r="S69" s="229"/>
      <c r="T69" s="230"/>
      <c r="U69" s="238"/>
      <c r="V69" s="239"/>
      <c r="W69" s="156"/>
      <c r="X69" s="157"/>
    </row>
    <row r="70" spans="1:24">
      <c r="A70" s="167"/>
      <c r="B70" s="272" t="s">
        <v>67</v>
      </c>
      <c r="C70" s="262"/>
      <c r="D70" s="173"/>
      <c r="E70" s="177"/>
      <c r="F70" s="178"/>
      <c r="G70" s="121"/>
      <c r="H70" s="122"/>
      <c r="I70" s="186"/>
      <c r="J70" s="187"/>
      <c r="K70" s="195"/>
      <c r="L70" s="196"/>
      <c r="M70" s="204"/>
      <c r="N70" s="205"/>
      <c r="O70" s="140"/>
      <c r="P70" s="139"/>
      <c r="Q70" s="220"/>
      <c r="R70" s="221"/>
      <c r="S70" s="229"/>
      <c r="T70" s="230"/>
      <c r="U70" s="238"/>
      <c r="V70" s="239"/>
      <c r="W70" s="156"/>
      <c r="X70" s="157"/>
    </row>
    <row r="71" spans="1:24">
      <c r="A71" s="167"/>
      <c r="B71" s="272" t="s">
        <v>75</v>
      </c>
      <c r="C71" s="262"/>
      <c r="D71" s="173"/>
      <c r="E71" s="177"/>
      <c r="F71" s="178"/>
      <c r="G71" s="121"/>
      <c r="H71" s="122"/>
      <c r="I71" s="186"/>
      <c r="J71" s="187"/>
      <c r="K71" s="195"/>
      <c r="L71" s="196"/>
      <c r="M71" s="204"/>
      <c r="N71" s="205"/>
      <c r="O71" s="140"/>
      <c r="P71" s="139"/>
      <c r="Q71" s="220"/>
      <c r="R71" s="221"/>
      <c r="S71" s="229"/>
      <c r="T71" s="230"/>
      <c r="U71" s="238"/>
      <c r="V71" s="239"/>
      <c r="W71" s="156"/>
      <c r="X71" s="157"/>
    </row>
    <row r="72" spans="1:24">
      <c r="A72" s="167"/>
      <c r="B72" s="272" t="s">
        <v>76</v>
      </c>
      <c r="C72" s="262"/>
      <c r="D72" s="173"/>
      <c r="E72" s="177"/>
      <c r="F72" s="178"/>
      <c r="G72" s="121"/>
      <c r="H72" s="122"/>
      <c r="I72" s="186"/>
      <c r="J72" s="187"/>
      <c r="K72" s="195"/>
      <c r="L72" s="196"/>
      <c r="M72" s="204"/>
      <c r="N72" s="205"/>
      <c r="O72" s="140"/>
      <c r="P72" s="139"/>
      <c r="Q72" s="220"/>
      <c r="R72" s="221"/>
      <c r="S72" s="229"/>
      <c r="T72" s="230"/>
      <c r="U72" s="238"/>
      <c r="V72" s="239"/>
      <c r="W72" s="156"/>
      <c r="X72" s="157"/>
    </row>
    <row r="73" spans="1:24">
      <c r="A73" s="167"/>
      <c r="B73" s="263" t="s">
        <v>77</v>
      </c>
      <c r="C73" s="111" t="s">
        <v>26</v>
      </c>
      <c r="D73" s="173"/>
      <c r="E73" s="177"/>
      <c r="F73" s="178"/>
      <c r="G73" s="121"/>
      <c r="H73" s="122"/>
      <c r="I73" s="186"/>
      <c r="J73" s="187"/>
      <c r="K73" s="195"/>
      <c r="L73" s="196"/>
      <c r="M73" s="204">
        <v>1</v>
      </c>
      <c r="N73" s="205">
        <f>ROUND((D73*M73),2)</f>
        <v>0</v>
      </c>
      <c r="O73" s="140">
        <v>1</v>
      </c>
      <c r="P73" s="139">
        <f>ROUND((D73*O73),2)</f>
        <v>0</v>
      </c>
      <c r="Q73" s="220">
        <v>2</v>
      </c>
      <c r="R73" s="221">
        <f>ROUND((D73*Q73),2)</f>
        <v>0</v>
      </c>
      <c r="S73" s="229"/>
      <c r="T73" s="230"/>
      <c r="U73" s="238"/>
      <c r="V73" s="239"/>
      <c r="W73" s="156">
        <v>2</v>
      </c>
      <c r="X73" s="157">
        <f>ROUND((D73*W73),2)</f>
        <v>0</v>
      </c>
    </row>
    <row r="74" spans="1:24">
      <c r="A74" s="167"/>
      <c r="B74" s="263"/>
      <c r="C74" s="111"/>
      <c r="D74" s="173"/>
      <c r="E74" s="177"/>
      <c r="F74" s="178"/>
      <c r="G74" s="121"/>
      <c r="H74" s="122"/>
      <c r="I74" s="186"/>
      <c r="J74" s="187"/>
      <c r="K74" s="195"/>
      <c r="L74" s="196"/>
      <c r="M74" s="204"/>
      <c r="N74" s="205"/>
      <c r="O74" s="140"/>
      <c r="P74" s="139"/>
      <c r="Q74" s="220"/>
      <c r="R74" s="221"/>
      <c r="S74" s="229"/>
      <c r="T74" s="230"/>
      <c r="U74" s="238"/>
      <c r="V74" s="239"/>
      <c r="W74" s="156"/>
      <c r="X74" s="157"/>
    </row>
    <row r="75" spans="1:24" ht="31.5" customHeight="1">
      <c r="A75" s="167" t="s">
        <v>101</v>
      </c>
      <c r="B75" s="272" t="s">
        <v>78</v>
      </c>
      <c r="C75" s="262"/>
      <c r="D75" s="173"/>
      <c r="E75" s="177"/>
      <c r="F75" s="178"/>
      <c r="G75" s="121"/>
      <c r="H75" s="122"/>
      <c r="I75" s="186"/>
      <c r="J75" s="187"/>
      <c r="K75" s="195"/>
      <c r="L75" s="196"/>
      <c r="M75" s="204"/>
      <c r="N75" s="205"/>
      <c r="O75" s="140"/>
      <c r="P75" s="139"/>
      <c r="Q75" s="220"/>
      <c r="R75" s="221"/>
      <c r="S75" s="229"/>
      <c r="T75" s="230"/>
      <c r="U75" s="238"/>
      <c r="V75" s="239"/>
      <c r="W75" s="156"/>
      <c r="X75" s="157"/>
    </row>
    <row r="76" spans="1:24">
      <c r="A76" s="167"/>
      <c r="B76" s="272" t="s">
        <v>79</v>
      </c>
      <c r="C76" s="262"/>
      <c r="D76" s="173"/>
      <c r="E76" s="177"/>
      <c r="F76" s="178"/>
      <c r="G76" s="121"/>
      <c r="H76" s="122"/>
      <c r="I76" s="186"/>
      <c r="J76" s="187"/>
      <c r="K76" s="195"/>
      <c r="L76" s="196"/>
      <c r="M76" s="204"/>
      <c r="N76" s="205"/>
      <c r="O76" s="140"/>
      <c r="P76" s="139"/>
      <c r="Q76" s="220"/>
      <c r="R76" s="221"/>
      <c r="S76" s="229"/>
      <c r="T76" s="230"/>
      <c r="U76" s="238"/>
      <c r="V76" s="239"/>
      <c r="W76" s="156"/>
      <c r="X76" s="157"/>
    </row>
    <row r="77" spans="1:24">
      <c r="A77" s="167"/>
      <c r="B77" s="272" t="s">
        <v>80</v>
      </c>
      <c r="C77" s="262"/>
      <c r="D77" s="173"/>
      <c r="E77" s="177"/>
      <c r="F77" s="178"/>
      <c r="G77" s="121"/>
      <c r="H77" s="122"/>
      <c r="I77" s="186"/>
      <c r="J77" s="187"/>
      <c r="K77" s="195"/>
      <c r="L77" s="196"/>
      <c r="M77" s="204"/>
      <c r="N77" s="205"/>
      <c r="O77" s="140"/>
      <c r="P77" s="139"/>
      <c r="Q77" s="220"/>
      <c r="R77" s="221"/>
      <c r="S77" s="229"/>
      <c r="T77" s="230"/>
      <c r="U77" s="238"/>
      <c r="V77" s="239"/>
      <c r="W77" s="156"/>
      <c r="X77" s="157"/>
    </row>
    <row r="78" spans="1:24">
      <c r="A78" s="167"/>
      <c r="B78" s="272" t="s">
        <v>81</v>
      </c>
      <c r="C78" s="262"/>
      <c r="D78" s="173"/>
      <c r="E78" s="177"/>
      <c r="F78" s="178"/>
      <c r="G78" s="121"/>
      <c r="H78" s="122"/>
      <c r="I78" s="186"/>
      <c r="J78" s="187"/>
      <c r="K78" s="195"/>
      <c r="L78" s="196"/>
      <c r="M78" s="204"/>
      <c r="N78" s="205"/>
      <c r="O78" s="140"/>
      <c r="P78" s="139"/>
      <c r="Q78" s="220"/>
      <c r="R78" s="221"/>
      <c r="S78" s="229"/>
      <c r="T78" s="230"/>
      <c r="U78" s="238"/>
      <c r="V78" s="239"/>
      <c r="W78" s="156"/>
      <c r="X78" s="157"/>
    </row>
    <row r="79" spans="1:24">
      <c r="A79" s="167"/>
      <c r="B79" s="272" t="s">
        <v>49</v>
      </c>
      <c r="C79" s="262"/>
      <c r="D79" s="173"/>
      <c r="E79" s="177"/>
      <c r="F79" s="178"/>
      <c r="G79" s="121"/>
      <c r="H79" s="122"/>
      <c r="I79" s="186"/>
      <c r="J79" s="187"/>
      <c r="K79" s="195"/>
      <c r="L79" s="196"/>
      <c r="M79" s="204"/>
      <c r="N79" s="205"/>
      <c r="O79" s="140"/>
      <c r="P79" s="139"/>
      <c r="Q79" s="220"/>
      <c r="R79" s="221"/>
      <c r="S79" s="229"/>
      <c r="T79" s="230"/>
      <c r="U79" s="238"/>
      <c r="V79" s="239"/>
      <c r="W79" s="156"/>
      <c r="X79" s="157"/>
    </row>
    <row r="80" spans="1:24">
      <c r="A80" s="167"/>
      <c r="B80" s="272" t="s">
        <v>82</v>
      </c>
      <c r="C80" s="262"/>
      <c r="D80" s="173"/>
      <c r="E80" s="177"/>
      <c r="F80" s="178"/>
      <c r="G80" s="121"/>
      <c r="H80" s="122"/>
      <c r="I80" s="186"/>
      <c r="J80" s="187"/>
      <c r="K80" s="195"/>
      <c r="L80" s="196"/>
      <c r="M80" s="204"/>
      <c r="N80" s="205"/>
      <c r="O80" s="140"/>
      <c r="P80" s="139"/>
      <c r="Q80" s="220"/>
      <c r="R80" s="221"/>
      <c r="S80" s="229"/>
      <c r="T80" s="230"/>
      <c r="U80" s="238"/>
      <c r="V80" s="239"/>
      <c r="W80" s="156"/>
      <c r="X80" s="157"/>
    </row>
    <row r="81" spans="1:24">
      <c r="A81" s="167"/>
      <c r="B81" s="272" t="s">
        <v>83</v>
      </c>
      <c r="C81" s="262"/>
      <c r="D81" s="173"/>
      <c r="E81" s="177"/>
      <c r="F81" s="178"/>
      <c r="G81" s="121"/>
      <c r="H81" s="122"/>
      <c r="I81" s="186"/>
      <c r="J81" s="187"/>
      <c r="K81" s="195"/>
      <c r="L81" s="196"/>
      <c r="M81" s="204"/>
      <c r="N81" s="205"/>
      <c r="O81" s="140"/>
      <c r="P81" s="139"/>
      <c r="Q81" s="220"/>
      <c r="R81" s="221"/>
      <c r="S81" s="229"/>
      <c r="T81" s="230"/>
      <c r="U81" s="238"/>
      <c r="V81" s="239"/>
      <c r="W81" s="156"/>
      <c r="X81" s="157"/>
    </row>
    <row r="82" spans="1:24">
      <c r="A82" s="167"/>
      <c r="B82" s="272" t="s">
        <v>84</v>
      </c>
      <c r="C82" s="262"/>
      <c r="D82" s="173"/>
      <c r="E82" s="177"/>
      <c r="F82" s="178"/>
      <c r="G82" s="121"/>
      <c r="H82" s="122"/>
      <c r="I82" s="186"/>
      <c r="J82" s="187"/>
      <c r="K82" s="195"/>
      <c r="L82" s="196"/>
      <c r="M82" s="204"/>
      <c r="N82" s="205"/>
      <c r="O82" s="140"/>
      <c r="P82" s="139"/>
      <c r="Q82" s="220"/>
      <c r="R82" s="221"/>
      <c r="S82" s="229"/>
      <c r="T82" s="230"/>
      <c r="U82" s="238"/>
      <c r="V82" s="239"/>
      <c r="W82" s="156"/>
      <c r="X82" s="157"/>
    </row>
    <row r="83" spans="1:24">
      <c r="A83" s="167"/>
      <c r="B83" s="262"/>
      <c r="C83" s="111" t="s">
        <v>28</v>
      </c>
      <c r="D83" s="173"/>
      <c r="E83" s="177">
        <v>1</v>
      </c>
      <c r="F83" s="178">
        <f>ROUND((D83*E83),2)</f>
        <v>0</v>
      </c>
      <c r="G83" s="121">
        <v>1</v>
      </c>
      <c r="H83" s="122">
        <f>ROUND((D83*G83),2)</f>
        <v>0</v>
      </c>
      <c r="I83" s="186">
        <v>1</v>
      </c>
      <c r="J83" s="187">
        <f>ROUND((D83*I83),2)</f>
        <v>0</v>
      </c>
      <c r="K83" s="195">
        <v>1</v>
      </c>
      <c r="L83" s="196">
        <f>ROUND((D83*K83),2)</f>
        <v>0</v>
      </c>
      <c r="M83" s="204">
        <v>2</v>
      </c>
      <c r="N83" s="205">
        <f>ROUND((D83*M83),2)</f>
        <v>0</v>
      </c>
      <c r="O83" s="140">
        <v>10</v>
      </c>
      <c r="P83" s="139">
        <f>ROUND((D83*O83),2)</f>
        <v>0</v>
      </c>
      <c r="Q83" s="220">
        <v>3</v>
      </c>
      <c r="R83" s="221">
        <f>ROUND((D83*Q83),2)</f>
        <v>0</v>
      </c>
      <c r="S83" s="229">
        <v>1</v>
      </c>
      <c r="T83" s="230">
        <f>ROUND((D83*S83),2)</f>
        <v>0</v>
      </c>
      <c r="U83" s="238">
        <v>1</v>
      </c>
      <c r="V83" s="239">
        <f>ROUND((D83*U83),2)</f>
        <v>0</v>
      </c>
      <c r="W83" s="156">
        <v>1</v>
      </c>
      <c r="X83" s="157">
        <f>ROUND((D83*W83),2)</f>
        <v>0</v>
      </c>
    </row>
    <row r="84" spans="1:24">
      <c r="A84" s="167" t="s">
        <v>102</v>
      </c>
      <c r="B84" s="273" t="s">
        <v>85</v>
      </c>
      <c r="C84" s="262"/>
      <c r="D84" s="173"/>
      <c r="E84" s="177"/>
      <c r="F84" s="178"/>
      <c r="G84" s="121"/>
      <c r="H84" s="122"/>
      <c r="I84" s="186"/>
      <c r="J84" s="187"/>
      <c r="K84" s="195"/>
      <c r="L84" s="196"/>
      <c r="M84" s="204"/>
      <c r="N84" s="205"/>
      <c r="O84" s="140"/>
      <c r="P84" s="139"/>
      <c r="Q84" s="220"/>
      <c r="R84" s="221"/>
      <c r="S84" s="229"/>
      <c r="T84" s="230"/>
      <c r="U84" s="238"/>
      <c r="V84" s="239"/>
      <c r="W84" s="156"/>
      <c r="X84" s="157"/>
    </row>
    <row r="85" spans="1:24">
      <c r="A85" s="167"/>
      <c r="B85" s="274" t="s">
        <v>86</v>
      </c>
      <c r="C85" s="262"/>
      <c r="D85" s="173"/>
      <c r="E85" s="177"/>
      <c r="F85" s="178"/>
      <c r="G85" s="121"/>
      <c r="H85" s="122"/>
      <c r="I85" s="186"/>
      <c r="J85" s="187"/>
      <c r="K85" s="195"/>
      <c r="L85" s="196"/>
      <c r="M85" s="204"/>
      <c r="N85" s="205"/>
      <c r="O85" s="140"/>
      <c r="P85" s="139"/>
      <c r="Q85" s="220"/>
      <c r="R85" s="221"/>
      <c r="S85" s="229"/>
      <c r="T85" s="230"/>
      <c r="U85" s="238"/>
      <c r="V85" s="239"/>
      <c r="W85" s="156"/>
      <c r="X85" s="157"/>
    </row>
    <row r="86" spans="1:24">
      <c r="A86" s="167"/>
      <c r="B86" s="274" t="s">
        <v>87</v>
      </c>
      <c r="C86" s="262"/>
      <c r="D86" s="173"/>
      <c r="E86" s="177"/>
      <c r="F86" s="178"/>
      <c r="G86" s="121"/>
      <c r="H86" s="122"/>
      <c r="I86" s="186"/>
      <c r="J86" s="187"/>
      <c r="K86" s="195"/>
      <c r="L86" s="196"/>
      <c r="M86" s="204"/>
      <c r="N86" s="205"/>
      <c r="O86" s="140"/>
      <c r="P86" s="139"/>
      <c r="Q86" s="220"/>
      <c r="R86" s="221"/>
      <c r="S86" s="229"/>
      <c r="T86" s="230"/>
      <c r="U86" s="238"/>
      <c r="V86" s="239"/>
      <c r="W86" s="156"/>
      <c r="X86" s="157"/>
    </row>
    <row r="87" spans="1:24" ht="26.25">
      <c r="A87" s="167"/>
      <c r="B87" s="274" t="s">
        <v>88</v>
      </c>
      <c r="C87" s="262"/>
      <c r="D87" s="173"/>
      <c r="E87" s="177"/>
      <c r="F87" s="178"/>
      <c r="G87" s="121"/>
      <c r="H87" s="122"/>
      <c r="I87" s="186"/>
      <c r="J87" s="187"/>
      <c r="K87" s="195"/>
      <c r="L87" s="196"/>
      <c r="M87" s="204"/>
      <c r="N87" s="205"/>
      <c r="O87" s="140"/>
      <c r="P87" s="139"/>
      <c r="Q87" s="220"/>
      <c r="R87" s="221"/>
      <c r="S87" s="229"/>
      <c r="T87" s="230"/>
      <c r="U87" s="238"/>
      <c r="V87" s="239"/>
      <c r="W87" s="156"/>
      <c r="X87" s="157"/>
    </row>
    <row r="88" spans="1:24">
      <c r="A88" s="167"/>
      <c r="B88" s="274" t="s">
        <v>89</v>
      </c>
      <c r="C88" s="262"/>
      <c r="D88" s="173"/>
      <c r="E88" s="177"/>
      <c r="F88" s="178"/>
      <c r="G88" s="121"/>
      <c r="H88" s="122"/>
      <c r="I88" s="186"/>
      <c r="J88" s="187"/>
      <c r="K88" s="195"/>
      <c r="L88" s="196"/>
      <c r="M88" s="204"/>
      <c r="N88" s="205"/>
      <c r="O88" s="140"/>
      <c r="P88" s="139"/>
      <c r="Q88" s="220"/>
      <c r="R88" s="221"/>
      <c r="S88" s="229"/>
      <c r="T88" s="230"/>
      <c r="U88" s="238"/>
      <c r="V88" s="239"/>
      <c r="W88" s="156"/>
      <c r="X88" s="157"/>
    </row>
    <row r="89" spans="1:24">
      <c r="A89" s="167"/>
      <c r="B89" s="262"/>
      <c r="C89" s="111" t="s">
        <v>28</v>
      </c>
      <c r="D89" s="173"/>
      <c r="E89" s="177">
        <v>580</v>
      </c>
      <c r="F89" s="178">
        <f>ROUND((D89*E89),2)</f>
        <v>0</v>
      </c>
      <c r="G89" s="121"/>
      <c r="H89" s="122"/>
      <c r="I89" s="186">
        <v>1150</v>
      </c>
      <c r="J89" s="187">
        <f>ROUND((D89*I89),2)</f>
        <v>0</v>
      </c>
      <c r="K89" s="195">
        <v>190</v>
      </c>
      <c r="L89" s="196">
        <f>ROUND((D89*K89),2)</f>
        <v>0</v>
      </c>
      <c r="M89" s="204">
        <v>1850</v>
      </c>
      <c r="N89" s="205">
        <f>ROUND((D89*M89),2)</f>
        <v>0</v>
      </c>
      <c r="O89" s="140">
        <v>1150</v>
      </c>
      <c r="P89" s="139">
        <f>ROUND((D89*O89),2)</f>
        <v>0</v>
      </c>
      <c r="Q89" s="220">
        <v>7500</v>
      </c>
      <c r="R89" s="221">
        <f>ROUND((D89*Q89),2)</f>
        <v>0</v>
      </c>
      <c r="S89" s="229">
        <v>160</v>
      </c>
      <c r="T89" s="230">
        <f>ROUND((D89*S89),2)</f>
        <v>0</v>
      </c>
      <c r="U89" s="238">
        <v>270</v>
      </c>
      <c r="V89" s="239">
        <f>ROUND((D89*U89),2)</f>
        <v>0</v>
      </c>
      <c r="W89" s="156">
        <v>2500</v>
      </c>
      <c r="X89" s="157">
        <f>ROUND((D89*W89),2)</f>
        <v>0</v>
      </c>
    </row>
    <row r="90" spans="1:24">
      <c r="A90" s="167"/>
      <c r="B90" s="262"/>
      <c r="C90" s="111"/>
      <c r="D90" s="173"/>
      <c r="E90" s="177"/>
      <c r="F90" s="178"/>
      <c r="G90" s="121"/>
      <c r="H90" s="122"/>
      <c r="I90" s="186"/>
      <c r="J90" s="187"/>
      <c r="K90" s="195"/>
      <c r="L90" s="196"/>
      <c r="M90" s="204"/>
      <c r="N90" s="205"/>
      <c r="O90" s="140"/>
      <c r="P90" s="139"/>
      <c r="Q90" s="220"/>
      <c r="R90" s="221"/>
      <c r="S90" s="229"/>
      <c r="T90" s="230"/>
      <c r="U90" s="238"/>
      <c r="V90" s="239"/>
      <c r="W90" s="156"/>
      <c r="X90" s="157"/>
    </row>
    <row r="91" spans="1:24">
      <c r="A91" s="167" t="s">
        <v>103</v>
      </c>
      <c r="B91" s="261" t="s">
        <v>190</v>
      </c>
      <c r="C91" s="111"/>
      <c r="D91" s="173"/>
      <c r="E91" s="177"/>
      <c r="F91" s="178"/>
      <c r="G91" s="121"/>
      <c r="H91" s="122"/>
      <c r="I91" s="186"/>
      <c r="J91" s="187"/>
      <c r="K91" s="195"/>
      <c r="L91" s="196"/>
      <c r="M91" s="204"/>
      <c r="N91" s="205"/>
      <c r="O91" s="140"/>
      <c r="P91" s="139"/>
      <c r="Q91" s="220"/>
      <c r="R91" s="221"/>
      <c r="S91" s="229"/>
      <c r="T91" s="230"/>
      <c r="U91" s="238"/>
      <c r="V91" s="239"/>
      <c r="W91" s="156"/>
      <c r="X91" s="157"/>
    </row>
    <row r="92" spans="1:24" ht="198" customHeight="1">
      <c r="A92" s="265"/>
      <c r="B92" s="104" t="s">
        <v>191</v>
      </c>
      <c r="C92" s="111"/>
      <c r="D92" s="173"/>
      <c r="E92" s="177"/>
      <c r="F92" s="178"/>
      <c r="G92" s="121"/>
      <c r="H92" s="122"/>
      <c r="I92" s="186"/>
      <c r="J92" s="187"/>
      <c r="K92" s="195"/>
      <c r="L92" s="196"/>
      <c r="M92" s="204"/>
      <c r="N92" s="205"/>
      <c r="O92" s="140"/>
      <c r="P92" s="139"/>
      <c r="Q92" s="220"/>
      <c r="R92" s="221"/>
      <c r="S92" s="229"/>
      <c r="T92" s="230"/>
      <c r="U92" s="238"/>
      <c r="V92" s="239"/>
      <c r="W92" s="156"/>
      <c r="X92" s="157"/>
    </row>
    <row r="93" spans="1:24" ht="12" customHeight="1">
      <c r="A93" s="167"/>
      <c r="B93" s="262"/>
      <c r="C93" s="111" t="s">
        <v>28</v>
      </c>
      <c r="D93" s="173"/>
      <c r="E93" s="177"/>
      <c r="F93" s="178"/>
      <c r="G93" s="121"/>
      <c r="H93" s="122"/>
      <c r="I93" s="186">
        <v>300</v>
      </c>
      <c r="J93" s="187">
        <f>ROUND((D93*I93),2)</f>
        <v>0</v>
      </c>
      <c r="K93" s="195">
        <v>55</v>
      </c>
      <c r="L93" s="196">
        <f>ROUND((D93*K93),2)</f>
        <v>0</v>
      </c>
      <c r="M93" s="204"/>
      <c r="N93" s="205"/>
      <c r="O93" s="140">
        <v>1150</v>
      </c>
      <c r="P93" s="139">
        <f>ROUND((D93*O93),2)</f>
        <v>0</v>
      </c>
      <c r="Q93" s="220"/>
      <c r="R93" s="221"/>
      <c r="S93" s="229">
        <v>160</v>
      </c>
      <c r="T93" s="230">
        <f>ROUND((D93*S93),2)</f>
        <v>0</v>
      </c>
      <c r="U93" s="238"/>
      <c r="V93" s="239"/>
      <c r="W93" s="156"/>
      <c r="X93" s="157"/>
    </row>
    <row r="94" spans="1:24">
      <c r="A94" s="167" t="s">
        <v>114</v>
      </c>
      <c r="B94" s="272" t="s">
        <v>180</v>
      </c>
      <c r="C94" s="262"/>
      <c r="D94" s="173"/>
      <c r="E94" s="177"/>
      <c r="F94" s="178"/>
      <c r="G94" s="121"/>
      <c r="H94" s="122"/>
      <c r="I94" s="186"/>
      <c r="J94" s="187"/>
      <c r="K94" s="195"/>
      <c r="L94" s="196"/>
      <c r="M94" s="204"/>
      <c r="N94" s="205"/>
      <c r="O94" s="140"/>
      <c r="P94" s="139"/>
      <c r="Q94" s="220"/>
      <c r="R94" s="221"/>
      <c r="S94" s="229"/>
      <c r="T94" s="230"/>
      <c r="U94" s="238"/>
      <c r="V94" s="239"/>
      <c r="W94" s="156"/>
      <c r="X94" s="157"/>
    </row>
    <row r="95" spans="1:24">
      <c r="A95" s="167"/>
      <c r="B95" s="272" t="s">
        <v>181</v>
      </c>
      <c r="C95" s="262"/>
      <c r="D95" s="173"/>
      <c r="E95" s="177"/>
      <c r="F95" s="178"/>
      <c r="G95" s="121"/>
      <c r="H95" s="122"/>
      <c r="I95" s="186"/>
      <c r="J95" s="187"/>
      <c r="K95" s="195"/>
      <c r="L95" s="196"/>
      <c r="M95" s="204"/>
      <c r="N95" s="205"/>
      <c r="O95" s="140"/>
      <c r="P95" s="139"/>
      <c r="Q95" s="220"/>
      <c r="R95" s="221"/>
      <c r="S95" s="229"/>
      <c r="T95" s="230"/>
      <c r="U95" s="238"/>
      <c r="V95" s="239"/>
      <c r="W95" s="156"/>
      <c r="X95" s="157"/>
    </row>
    <row r="96" spans="1:24">
      <c r="A96" s="167"/>
      <c r="B96" s="272" t="s">
        <v>182</v>
      </c>
      <c r="C96" s="262"/>
      <c r="D96" s="173"/>
      <c r="E96" s="177"/>
      <c r="F96" s="178"/>
      <c r="G96" s="121"/>
      <c r="H96" s="122"/>
      <c r="I96" s="186"/>
      <c r="J96" s="187"/>
      <c r="K96" s="195"/>
      <c r="L96" s="196"/>
      <c r="M96" s="204"/>
      <c r="N96" s="205"/>
      <c r="O96" s="140"/>
      <c r="P96" s="139"/>
      <c r="Q96" s="220"/>
      <c r="R96" s="221"/>
      <c r="S96" s="229"/>
      <c r="T96" s="230"/>
      <c r="U96" s="238"/>
      <c r="V96" s="239"/>
      <c r="W96" s="156"/>
      <c r="X96" s="157"/>
    </row>
    <row r="97" spans="1:24">
      <c r="A97" s="167"/>
      <c r="B97" s="272" t="s">
        <v>49</v>
      </c>
      <c r="C97" s="262"/>
      <c r="D97" s="173"/>
      <c r="E97" s="177"/>
      <c r="F97" s="178"/>
      <c r="G97" s="121"/>
      <c r="H97" s="122"/>
      <c r="I97" s="186"/>
      <c r="J97" s="187"/>
      <c r="K97" s="195"/>
      <c r="L97" s="196"/>
      <c r="M97" s="204"/>
      <c r="N97" s="205"/>
      <c r="O97" s="140"/>
      <c r="P97" s="139"/>
      <c r="Q97" s="220"/>
      <c r="R97" s="221"/>
      <c r="S97" s="229"/>
      <c r="T97" s="230"/>
      <c r="U97" s="238"/>
      <c r="V97" s="239"/>
      <c r="W97" s="156"/>
      <c r="X97" s="157"/>
    </row>
    <row r="98" spans="1:24">
      <c r="A98" s="167"/>
      <c r="B98" s="272" t="s">
        <v>67</v>
      </c>
      <c r="C98" s="262"/>
      <c r="D98" s="173"/>
      <c r="E98" s="177"/>
      <c r="F98" s="178"/>
      <c r="G98" s="121"/>
      <c r="H98" s="122"/>
      <c r="I98" s="186"/>
      <c r="J98" s="187"/>
      <c r="K98" s="195"/>
      <c r="L98" s="196"/>
      <c r="M98" s="204"/>
      <c r="N98" s="205"/>
      <c r="O98" s="140"/>
      <c r="P98" s="139"/>
      <c r="Q98" s="220"/>
      <c r="R98" s="221"/>
      <c r="S98" s="229"/>
      <c r="T98" s="230"/>
      <c r="U98" s="238"/>
      <c r="V98" s="239"/>
      <c r="W98" s="156"/>
      <c r="X98" s="157"/>
    </row>
    <row r="99" spans="1:24">
      <c r="A99" s="167"/>
      <c r="B99" s="272"/>
      <c r="C99" s="262"/>
      <c r="D99" s="173"/>
      <c r="E99" s="177"/>
      <c r="F99" s="178"/>
      <c r="G99" s="121"/>
      <c r="H99" s="122"/>
      <c r="I99" s="186"/>
      <c r="J99" s="187"/>
      <c r="K99" s="195"/>
      <c r="L99" s="196"/>
      <c r="M99" s="204"/>
      <c r="N99" s="205"/>
      <c r="O99" s="140"/>
      <c r="P99" s="139"/>
      <c r="Q99" s="220"/>
      <c r="R99" s="221"/>
      <c r="S99" s="229"/>
      <c r="T99" s="230"/>
      <c r="U99" s="238"/>
      <c r="V99" s="239"/>
      <c r="W99" s="156"/>
      <c r="X99" s="157"/>
    </row>
    <row r="100" spans="1:24">
      <c r="A100" s="167"/>
      <c r="B100" s="272" t="s">
        <v>183</v>
      </c>
      <c r="C100" s="262"/>
      <c r="D100" s="173"/>
      <c r="E100" s="177"/>
      <c r="F100" s="178"/>
      <c r="G100" s="121"/>
      <c r="H100" s="122"/>
      <c r="I100" s="186"/>
      <c r="J100" s="187"/>
      <c r="K100" s="195"/>
      <c r="L100" s="196"/>
      <c r="M100" s="204"/>
      <c r="N100" s="205"/>
      <c r="O100" s="140"/>
      <c r="P100" s="139"/>
      <c r="Q100" s="220"/>
      <c r="R100" s="221"/>
      <c r="S100" s="229"/>
      <c r="T100" s="230"/>
      <c r="U100" s="238"/>
      <c r="V100" s="239"/>
      <c r="W100" s="156"/>
      <c r="X100" s="157"/>
    </row>
    <row r="101" spans="1:24">
      <c r="A101" s="167"/>
      <c r="B101" s="263" t="s">
        <v>184</v>
      </c>
      <c r="C101" s="111" t="s">
        <v>26</v>
      </c>
      <c r="D101" s="173"/>
      <c r="E101" s="177"/>
      <c r="F101" s="178"/>
      <c r="G101" s="121"/>
      <c r="H101" s="122"/>
      <c r="I101" s="186"/>
      <c r="J101" s="187"/>
      <c r="K101" s="195"/>
      <c r="L101" s="196"/>
      <c r="M101" s="204"/>
      <c r="N101" s="205"/>
      <c r="O101" s="140">
        <v>1</v>
      </c>
      <c r="P101" s="139">
        <f>ROUND((D101*O101),2)</f>
        <v>0</v>
      </c>
      <c r="Q101" s="220"/>
      <c r="R101" s="221"/>
      <c r="S101" s="229"/>
      <c r="T101" s="230"/>
      <c r="U101" s="238"/>
      <c r="V101" s="239"/>
      <c r="W101" s="156"/>
      <c r="X101" s="157"/>
    </row>
    <row r="102" spans="1:24">
      <c r="A102" s="167"/>
      <c r="B102" s="262"/>
      <c r="C102" s="111"/>
      <c r="D102" s="173"/>
      <c r="E102" s="177"/>
      <c r="F102" s="178"/>
      <c r="G102" s="121"/>
      <c r="H102" s="122"/>
      <c r="I102" s="186"/>
      <c r="J102" s="187"/>
      <c r="K102" s="195"/>
      <c r="L102" s="196"/>
      <c r="M102" s="204"/>
      <c r="N102" s="205"/>
      <c r="O102" s="140"/>
      <c r="P102" s="139"/>
      <c r="Q102" s="220"/>
      <c r="R102" s="221"/>
      <c r="S102" s="229"/>
      <c r="T102" s="230"/>
      <c r="U102" s="238"/>
      <c r="V102" s="239"/>
      <c r="W102" s="156"/>
      <c r="X102" s="157"/>
    </row>
    <row r="103" spans="1:24">
      <c r="A103" s="167"/>
      <c r="B103" s="262"/>
      <c r="C103" s="111"/>
      <c r="D103" s="173"/>
      <c r="E103" s="177"/>
      <c r="F103" s="178"/>
      <c r="G103" s="121"/>
      <c r="H103" s="122"/>
      <c r="I103" s="186"/>
      <c r="J103" s="187"/>
      <c r="K103" s="195"/>
      <c r="L103" s="196"/>
      <c r="M103" s="204"/>
      <c r="N103" s="205"/>
      <c r="O103" s="140"/>
      <c r="P103" s="139"/>
      <c r="Q103" s="220"/>
      <c r="R103" s="221"/>
      <c r="S103" s="229"/>
      <c r="T103" s="230"/>
      <c r="U103" s="238"/>
      <c r="V103" s="239"/>
      <c r="W103" s="156"/>
      <c r="X103" s="157"/>
    </row>
    <row r="104" spans="1:24">
      <c r="A104" s="167" t="s">
        <v>178</v>
      </c>
      <c r="B104" s="274" t="s">
        <v>90</v>
      </c>
      <c r="C104" s="262"/>
      <c r="D104" s="173"/>
      <c r="E104" s="177"/>
      <c r="F104" s="178"/>
      <c r="G104" s="121"/>
      <c r="H104" s="122"/>
      <c r="I104" s="186"/>
      <c r="J104" s="187"/>
      <c r="K104" s="195"/>
      <c r="L104" s="196"/>
      <c r="M104" s="204"/>
      <c r="N104" s="205"/>
      <c r="O104" s="140"/>
      <c r="P104" s="139"/>
      <c r="Q104" s="220"/>
      <c r="R104" s="221"/>
      <c r="S104" s="229"/>
      <c r="T104" s="230"/>
      <c r="U104" s="238"/>
      <c r="V104" s="239"/>
      <c r="W104" s="156"/>
      <c r="X104" s="157"/>
    </row>
    <row r="105" spans="1:24">
      <c r="A105" s="167"/>
      <c r="B105" s="274" t="s">
        <v>89</v>
      </c>
      <c r="C105" s="262"/>
      <c r="D105" s="173"/>
      <c r="E105" s="177"/>
      <c r="F105" s="178"/>
      <c r="G105" s="121"/>
      <c r="H105" s="122"/>
      <c r="I105" s="186"/>
      <c r="J105" s="187"/>
      <c r="K105" s="195"/>
      <c r="L105" s="196"/>
      <c r="M105" s="204"/>
      <c r="N105" s="205"/>
      <c r="O105" s="140"/>
      <c r="P105" s="139"/>
      <c r="Q105" s="220"/>
      <c r="R105" s="221"/>
      <c r="S105" s="229"/>
      <c r="T105" s="230"/>
      <c r="U105" s="238"/>
      <c r="V105" s="239"/>
      <c r="W105" s="156"/>
      <c r="X105" s="157"/>
    </row>
    <row r="106" spans="1:24">
      <c r="A106" s="167"/>
      <c r="B106" s="262"/>
      <c r="C106" s="111" t="s">
        <v>28</v>
      </c>
      <c r="D106" s="173"/>
      <c r="E106" s="177">
        <v>580</v>
      </c>
      <c r="F106" s="178">
        <f>ROUND((D106*E106),2)</f>
        <v>0</v>
      </c>
      <c r="G106" s="121"/>
      <c r="H106" s="122"/>
      <c r="I106" s="186">
        <v>1150</v>
      </c>
      <c r="J106" s="187">
        <f>ROUND((D106*I106),2)</f>
        <v>0</v>
      </c>
      <c r="K106" s="195">
        <v>190</v>
      </c>
      <c r="L106" s="196">
        <f>ROUND((D106*K106),2)</f>
        <v>0</v>
      </c>
      <c r="M106" s="204">
        <v>1850</v>
      </c>
      <c r="N106" s="205">
        <f>ROUND((D106*M106),2)</f>
        <v>0</v>
      </c>
      <c r="O106" s="140">
        <v>1130</v>
      </c>
      <c r="P106" s="139">
        <f>ROUND((D106*O106),2)</f>
        <v>0</v>
      </c>
      <c r="Q106" s="220">
        <v>7500</v>
      </c>
      <c r="R106" s="221">
        <f>ROUND((D106*Q106),2)</f>
        <v>0</v>
      </c>
      <c r="S106" s="229"/>
      <c r="T106" s="230"/>
      <c r="U106" s="238">
        <v>56</v>
      </c>
      <c r="V106" s="239">
        <f>ROUND((D106*U106),2)</f>
        <v>0</v>
      </c>
      <c r="W106" s="156">
        <v>2500</v>
      </c>
      <c r="X106" s="157">
        <f>ROUND((D106*W106),2)</f>
        <v>0</v>
      </c>
    </row>
    <row r="107" spans="1:24">
      <c r="A107" s="167" t="s">
        <v>185</v>
      </c>
      <c r="B107" s="261" t="s">
        <v>91</v>
      </c>
      <c r="C107" s="262"/>
      <c r="D107" s="173"/>
      <c r="E107" s="177"/>
      <c r="F107" s="178"/>
      <c r="G107" s="121"/>
      <c r="H107" s="122"/>
      <c r="I107" s="186"/>
      <c r="J107" s="187"/>
      <c r="K107" s="195"/>
      <c r="L107" s="196"/>
      <c r="M107" s="204"/>
      <c r="N107" s="205"/>
      <c r="O107" s="140"/>
      <c r="P107" s="139"/>
      <c r="Q107" s="220"/>
      <c r="R107" s="221"/>
      <c r="S107" s="229"/>
      <c r="T107" s="230"/>
      <c r="U107" s="238"/>
      <c r="V107" s="239"/>
      <c r="W107" s="156"/>
      <c r="X107" s="157"/>
    </row>
    <row r="108" spans="1:24">
      <c r="A108" s="167"/>
      <c r="B108" s="261" t="s">
        <v>92</v>
      </c>
      <c r="C108" s="262"/>
      <c r="D108" s="173"/>
      <c r="E108" s="177"/>
      <c r="F108" s="178"/>
      <c r="G108" s="121"/>
      <c r="H108" s="122"/>
      <c r="I108" s="186"/>
      <c r="J108" s="187"/>
      <c r="K108" s="195"/>
      <c r="L108" s="196"/>
      <c r="M108" s="204"/>
      <c r="N108" s="205"/>
      <c r="O108" s="140"/>
      <c r="P108" s="139"/>
      <c r="Q108" s="220"/>
      <c r="R108" s="221"/>
      <c r="S108" s="229"/>
      <c r="T108" s="230"/>
      <c r="U108" s="238"/>
      <c r="V108" s="239"/>
      <c r="W108" s="156"/>
      <c r="X108" s="157"/>
    </row>
    <row r="109" spans="1:24">
      <c r="A109" s="167"/>
      <c r="B109" s="262"/>
      <c r="C109" s="111" t="s">
        <v>28</v>
      </c>
      <c r="D109" s="173"/>
      <c r="E109" s="177">
        <v>17</v>
      </c>
      <c r="F109" s="178">
        <f>ROUND((D109*E109),2)</f>
        <v>0</v>
      </c>
      <c r="G109" s="121"/>
      <c r="H109" s="122"/>
      <c r="I109" s="186">
        <v>130</v>
      </c>
      <c r="J109" s="187">
        <f>ROUND((D109*I109),2)</f>
        <v>0</v>
      </c>
      <c r="K109" s="195"/>
      <c r="L109" s="196"/>
      <c r="M109" s="204">
        <v>7</v>
      </c>
      <c r="N109" s="205">
        <f>ROUND((D109*M109),2)</f>
        <v>0</v>
      </c>
      <c r="O109" s="140">
        <v>1200</v>
      </c>
      <c r="P109" s="139">
        <f>ROUND((D109*O109),2)</f>
        <v>0</v>
      </c>
      <c r="Q109" s="220">
        <v>3</v>
      </c>
      <c r="R109" s="221">
        <f>ROUND((D109*Q109),2)</f>
        <v>0</v>
      </c>
      <c r="S109" s="229"/>
      <c r="T109" s="230"/>
      <c r="U109" s="238">
        <v>6</v>
      </c>
      <c r="V109" s="239">
        <f>ROUND((D109*U109),2)</f>
        <v>0</v>
      </c>
      <c r="W109" s="156"/>
      <c r="X109" s="157"/>
    </row>
    <row r="110" spans="1:24">
      <c r="A110" s="167" t="s">
        <v>186</v>
      </c>
      <c r="B110" s="112" t="s">
        <v>192</v>
      </c>
      <c r="C110" s="113"/>
      <c r="D110" s="271"/>
      <c r="E110" s="115"/>
      <c r="F110" s="116"/>
      <c r="G110" s="127"/>
      <c r="H110" s="128"/>
      <c r="I110" s="130"/>
      <c r="J110" s="131"/>
      <c r="K110" s="133"/>
      <c r="L110" s="134"/>
      <c r="M110" s="136"/>
      <c r="N110" s="137"/>
      <c r="O110" s="141"/>
      <c r="P110" s="142"/>
      <c r="Q110" s="144"/>
      <c r="R110" s="145"/>
      <c r="S110" s="147"/>
      <c r="T110" s="148"/>
      <c r="U110" s="150"/>
      <c r="V110" s="151"/>
      <c r="W110" s="162"/>
      <c r="X110" s="163"/>
    </row>
    <row r="111" spans="1:24">
      <c r="A111" s="267"/>
      <c r="B111" s="278" t="s">
        <v>187</v>
      </c>
      <c r="C111" s="279" t="s">
        <v>188</v>
      </c>
      <c r="D111" s="280"/>
      <c r="E111" s="245">
        <v>5</v>
      </c>
      <c r="F111" s="246">
        <f>ROUND((D111*E111),2)</f>
        <v>0</v>
      </c>
      <c r="G111" s="268"/>
      <c r="H111" s="269"/>
      <c r="I111" s="247">
        <v>5</v>
      </c>
      <c r="J111" s="248">
        <f>ROUND((D111*I111),2)</f>
        <v>0</v>
      </c>
      <c r="K111" s="249">
        <v>5</v>
      </c>
      <c r="L111" s="250">
        <f>ROUND((D111*K111),2)</f>
        <v>0</v>
      </c>
      <c r="M111" s="251">
        <v>5</v>
      </c>
      <c r="N111" s="252">
        <f>ROUND((D111*M111),2)</f>
        <v>0</v>
      </c>
      <c r="O111" s="253">
        <v>10</v>
      </c>
      <c r="P111" s="254">
        <f>ROUND((D111*O111),2)</f>
        <v>0</v>
      </c>
      <c r="Q111" s="255">
        <v>15</v>
      </c>
      <c r="R111" s="256">
        <f>ROUND((D111*Q111),2)</f>
        <v>0</v>
      </c>
      <c r="S111" s="257">
        <v>5</v>
      </c>
      <c r="T111" s="258">
        <f>ROUND((D111*S111),2)</f>
        <v>0</v>
      </c>
      <c r="U111" s="259">
        <v>5</v>
      </c>
      <c r="V111" s="260">
        <f>ROUND((D111*U111),2)</f>
        <v>0</v>
      </c>
      <c r="W111" s="168">
        <v>10</v>
      </c>
      <c r="X111" s="169">
        <f>ROUND((D111*W111),2)</f>
        <v>0</v>
      </c>
    </row>
    <row r="115" spans="2:2">
      <c r="B115" s="14"/>
    </row>
  </sheetData>
  <mergeCells count="24">
    <mergeCell ref="K1:L1"/>
    <mergeCell ref="M1:N1"/>
    <mergeCell ref="O1:P1"/>
    <mergeCell ref="A2:A3"/>
    <mergeCell ref="B2:B3"/>
    <mergeCell ref="C2:C3"/>
    <mergeCell ref="D2:D3"/>
    <mergeCell ref="E1:F1"/>
    <mergeCell ref="Q1:R1"/>
    <mergeCell ref="S1:T1"/>
    <mergeCell ref="U1:V1"/>
    <mergeCell ref="W1:X1"/>
    <mergeCell ref="E2:F2"/>
    <mergeCell ref="G2:H2"/>
    <mergeCell ref="I2:J2"/>
    <mergeCell ref="K2:L2"/>
    <mergeCell ref="M2:N2"/>
    <mergeCell ref="O2:P2"/>
    <mergeCell ref="Q2:R2"/>
    <mergeCell ref="S2:T2"/>
    <mergeCell ref="U2:V2"/>
    <mergeCell ref="W2:X2"/>
    <mergeCell ref="G1:H1"/>
    <mergeCell ref="I1:J1"/>
  </mergeCells>
  <pageMargins left="0.59055118110236227" right="0.19685039370078741" top="0.59055118110236227" bottom="0.59055118110236227" header="0.19685039370078741" footer="0.19685039370078741"/>
  <pageSetup paperSize="9" scale="39" fitToHeight="2000" orientation="landscape" r:id="rId1"/>
  <headerFooter alignWithMargins="0">
    <oddHeader xml:space="preserve">&amp;L&amp;G&amp;C&amp;"Arial Narrow,Uobičajeno"&amp;8građevina: REKONSTRUKCIJA, DOGRADNJA I IZGRADNJA
TVORNICE ENERGETSKIH PLOČICA EMPWR Nova Gradiška
&amp;R&amp;"Arial Narrow,Uobičajeno"&amp;8oznaka projekta EMPWR: &amp;"Arial Narrow,Podebljano"VELEBIT 2 faznost&amp;"Arial Narrow,Uobičajeno"
</oddHeader>
    <oddFooter>&amp;L&amp;"Arial Narrow,Uobičajeno"&amp;8troškovnik GRAĐEVINSKO-OBRTNIČKIH RADOVA:1097_empwrNG_velebit2_faznost
revizija: radno GLAVNI projekt R0/10.2025.&amp;C&amp;"Arial Narrow,Uobičajeno"&amp;8&amp;A
&amp;R&amp;"Arial Narrow,Uobičajeno"&amp;8stranica &amp;10&amp;P</oddFooter>
  </headerFooter>
  <rowBreaks count="1" manualBreakCount="1">
    <brk id="90" max="23"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REKAPITULACIJA_go</vt:lpstr>
      <vt:lpstr>općenito</vt:lpstr>
      <vt:lpstr>GO6_ZIDARSKI RADOVI</vt:lpstr>
      <vt:lpstr>'GO6_ZIDARSKI RADOVI'!Print_Area</vt:lpstr>
      <vt:lpstr>općenito!Print_Area</vt:lpstr>
      <vt:lpstr>REKAPITULACIJA_go!Print_Area</vt:lpstr>
      <vt:lpstr>'GO6_ZIDARSKI RADOVI'!Print_Titles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2019-03-27T12:23:50Z</dcterms:created>
  <dcterms:modified xsi:type="dcterms:W3CDTF">2025-12-10T16:52:32Z</dcterms:modified>
</cp:coreProperties>
</file>