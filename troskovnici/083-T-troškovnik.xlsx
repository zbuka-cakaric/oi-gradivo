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pcro.sharepoint.com/teams/gradevinska.operativa/RadniNalozi/2024/202420_PRESEČKI GRUPA-stambeni objekt/Kooperanti - Ugovorni/ŽBUKA-fasaderski radovi/"/>
    </mc:Choice>
  </mc:AlternateContent>
  <xr:revisionPtr revIDLastSave="430" documentId="8_{F09944E5-7730-476B-8D14-0B22DF4DBED4}" xr6:coauthVersionLast="47" xr6:coauthVersionMax="47" xr10:uidLastSave="{A889001A-8B32-4C27-ACBD-68F57DD61C0D}"/>
  <bookViews>
    <workbookView xWindow="-110" yWindow="-110" windowWidth="25820" windowHeight="13900" xr2:uid="{35B90FF6-8C9D-45BD-A1CC-219BCEE4FD40}"/>
  </bookViews>
  <sheets>
    <sheet name="List1" sheetId="1" r:id="rId1"/>
    <sheet name="List1 (2)" sheetId="2" state="hidden" r:id="rId2"/>
  </sheets>
  <definedNames>
    <definedName name="_xlnm.Print_Area" localSheetId="0">List1!$A$1:$G$80</definedName>
    <definedName name="_xlnm.Print_Area" localSheetId="1">'List1 (2)'!$A$1:$F$105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3" i="1" l="1"/>
  <c r="G64" i="1"/>
  <c r="G62" i="1"/>
  <c r="G65" i="1" s="1"/>
  <c r="G66" i="1" s="1"/>
  <c r="G67" i="1" s="1"/>
  <c r="G56" i="1"/>
  <c r="G55" i="1"/>
  <c r="G54" i="1"/>
  <c r="G53" i="1"/>
  <c r="G50" i="1"/>
  <c r="G47" i="1"/>
  <c r="G46" i="1"/>
  <c r="G45" i="1"/>
  <c r="G44" i="1"/>
  <c r="G43" i="1"/>
  <c r="C42" i="1"/>
  <c r="G39" i="1"/>
  <c r="G38" i="1"/>
  <c r="G37" i="1"/>
  <c r="G31" i="1"/>
  <c r="G27" i="1"/>
  <c r="G23" i="1"/>
  <c r="G20" i="1"/>
  <c r="G19" i="1"/>
  <c r="G18" i="1"/>
  <c r="G12" i="1"/>
  <c r="G11" i="1"/>
  <c r="G59" i="1" l="1"/>
  <c r="F100" i="2"/>
  <c r="F36" i="2"/>
  <c r="F35" i="2"/>
  <c r="F34" i="2"/>
  <c r="F33" i="2"/>
  <c r="F32" i="2"/>
  <c r="F30" i="2"/>
  <c r="F29" i="2"/>
  <c r="F28" i="2"/>
  <c r="F27" i="2"/>
  <c r="F24" i="2"/>
  <c r="F39" i="2" l="1"/>
  <c r="F40" i="2" s="1"/>
  <c r="F41" i="2" s="1"/>
</calcChain>
</file>

<file path=xl/sharedStrings.xml><?xml version="1.0" encoding="utf-8"?>
<sst xmlns="http://schemas.openxmlformats.org/spreadsheetml/2006/main" count="149" uniqueCount="114">
  <si>
    <t xml:space="preserve">Naručitelj: </t>
  </si>
  <si>
    <t xml:space="preserve">i </t>
  </si>
  <si>
    <t>Kooperant:</t>
  </si>
  <si>
    <t xml:space="preserve">Članak 1. </t>
  </si>
  <si>
    <t>R.B.</t>
  </si>
  <si>
    <t>Opis radova</t>
  </si>
  <si>
    <t>Jedinica
mjere</t>
  </si>
  <si>
    <t>Količina radova</t>
  </si>
  <si>
    <t>Jedinična  cijena</t>
  </si>
  <si>
    <t>Ukupna cijena
(bez PDV-a)</t>
  </si>
  <si>
    <t>Članak 2.</t>
  </si>
  <si>
    <t>Članak 3.</t>
  </si>
  <si>
    <t>Članak 4.</t>
  </si>
  <si>
    <t>Članak 5.</t>
  </si>
  <si>
    <t xml:space="preserve"> Kooperant je dužan u izvođenju radova upotrebljavati opremu i alat koji zadovoljavaju uvjete i propise  sigurnosti i zaštite na radu, a radove izvoditi isključivo  sa svojim zaposlenicima koji moraju biti obučeni za rad na siguran način. Kooperant ne može radove povjeriti  drugima bez suglasnosti naručitelja.
 Kooperant je u svojstvu poslodavca za svoje zaposlenike sa kojima izvodi ugovorene radove temeljem ovog ugovora  dužan provoditi sve propisane mjere zaštite na radu definirane važećim Zakonom o radu, vodeći računa o sigurnosti kako svojih zaposlenika tako i svih drugih zaposlenika tog radilišta. 
 Kooperant je dužan obavljati i poduzeti sve druge radnje i aktivnosti vezane na kvalitetu i izvršavanje radova u roku, te se pridržavati i svih važećih pozitivnih zakonskim propisa u pripremi i izvršavanju ugovornih poslova. </t>
  </si>
  <si>
    <t>Članak 6.</t>
  </si>
  <si>
    <t>Članak 7.</t>
  </si>
  <si>
    <t>Kooperant se obavezuje da će pored ugovorenih radova iz članka 1. ovog ugovora izvesti i sve više, naknadne, nepredviđene ili neugovorene radove. Više će radove Izvođač izvesti po ugovorenim cijenama iz ugovornog troškovnika. Za izvođenje naknadnih i nepredviđenih radova Naručitelj i Kooperant moraju prije početka izvedbe utvrditi cijene i rok izvođenja takvih radova i isto zapisnički konstatirati. 
Cijena za naknadne i nepredviđene radove utvrdit će se pomoću jediničnih cijena iz troškovnika, odnosno standardnom građevinskom kalkulacijom.
Naknadni i nepredviđeni radovi koje Kooperant izvede bez pismenog naloga Naručitelja se neće priznati.</t>
  </si>
  <si>
    <t xml:space="preserve">Ovaj ugovor sastavljen je u četiri (4) istovjetna primjerka, tri (3) za Naručitelja te jedan(1) primjerak za Kooperanta.  
</t>
  </si>
  <si>
    <t xml:space="preserve">    </t>
  </si>
  <si>
    <t>ZA NARUČITELJA:</t>
  </si>
  <si>
    <t>ZA KOOPERANTA:</t>
  </si>
  <si>
    <t>Prokurist</t>
  </si>
  <si>
    <t>Vlasnik obrta:</t>
  </si>
  <si>
    <t xml:space="preserve">
 Kooperant je dužan sve radove izvesti prema  ugovorenim tehničkim normativima i važećim standardima, uvažavajući Ugovornu i projektnu dokumentaciju.
 Kooperant je dužan da u toku izvođenja radova traži od naručitelja - investitora sva potrebna objašnjenja u pogledu investicijsko - tehničke dokumentacije, tehničkih uvjeta, potrebnog materijala i načina izvršenja posla. 
 Kooperant je dužan organizirati radno vrijeme svojih djelatnika  na način da se uklopi u radno vrijeme gradilišta uvažavajući specifičan režim i uvjete izvođenja  radova na gradilištu.
 Kooperant je dužan surađivati sa svim drugim sudionicima u izgradnji predmetne građevine kao i čuvati  njihove radove i opremu.</t>
  </si>
  <si>
    <r>
      <t>Obrt za strojno žbukanje i fasade, vl. Stjepan Grdak,</t>
    </r>
    <r>
      <rPr>
        <sz val="10"/>
        <rFont val="Arial"/>
        <family val="2"/>
        <charset val="238"/>
      </rPr>
      <t xml:space="preserve"> Ivanec, Zeleni dol 43, OIB 20132528596, IBAN HR 242360000 1102479240 (daljnjem tekstu: Kooperant)</t>
    </r>
    <r>
      <rPr>
        <sz val="11"/>
        <color theme="1"/>
        <rFont val="Arial"/>
        <family val="2"/>
        <charset val="238"/>
      </rPr>
      <t xml:space="preserve">
</t>
    </r>
  </si>
  <si>
    <t>Stjepan Grdak</t>
  </si>
  <si>
    <t xml:space="preserve"> - 10% MANIPULATIVNI TROŠAK NARUČITELJA :</t>
  </si>
  <si>
    <t>Zbog prijenosa porezne obveze (reverse charge), sukladno čl. 75 Zakona o PDV-u, PDV se ne obračunava.</t>
  </si>
  <si>
    <t>NETO IZNOS ZA KOOPERANTA:</t>
  </si>
  <si>
    <t> 	Kooperant je dužan redovito čistiti gradilište i propisno zbrinjavati sav otpad, nastao izvođenjem ugovorenih radova. Kooperant je dužan, na zahtjev Naručitelja, dati na uvid prateće listove za zbrinjavanje otpada. U slučaju da Kooperant ne čisti gradilište redovito Naručitelj može naplatiti ugovornu kaznu u iznosu 500,00 kn po čišćenju, uvećanu za stvarne troškove čišćenja, odvoza i propisnog zbrinjavanja otpada.</t>
  </si>
  <si>
    <r>
      <t>MIPCRO  d.o.o.,</t>
    </r>
    <r>
      <rPr>
        <sz val="10"/>
        <color theme="1"/>
        <rFont val="Arial"/>
        <family val="2"/>
        <charset val="238"/>
      </rPr>
      <t xml:space="preserve"> Dr. Adalberta Georgijevića 3, 42240 Ivanec, koje pojedinačno i samostalno zastupa prokurist Zdravko Rogina, OIB: 74266568215, IBAN br: HR 89 2360000 1101747369 (u daljnjem tekstu: Naručitelj</t>
    </r>
    <r>
      <rPr>
        <sz val="11"/>
        <color theme="1"/>
        <rFont val="Arial"/>
        <family val="2"/>
        <charset val="238"/>
      </rPr>
      <t xml:space="preserve">) </t>
    </r>
  </si>
  <si>
    <t>SVEUKUPNO bez PDV-a (ZIDARSKI + FASADERSKI):</t>
  </si>
  <si>
    <r>
      <t xml:space="preserve">Svi radovi predviđeni troškovnikom obračunavaju se prema sistemu "stvarno izvedenih količina" i ugovorenim jediničnim cijenama, koje su fiksne i nepromjenjive do kraja izvođenja radova.
Obračun se izrađuje po formuli kako slijedi:
1. Ukupna vrijednost izvedenih radova bez PDV-a
</t>
    </r>
    <r>
      <rPr>
        <sz val="10"/>
        <color rgb="FFFF0000"/>
        <rFont val="Arial"/>
        <family val="2"/>
        <charset val="238"/>
      </rPr>
      <t>2. - minus manipulativni trošak Naručitelja 10,00%</t>
    </r>
    <r>
      <rPr>
        <sz val="10"/>
        <rFont val="Arial"/>
        <family val="2"/>
        <charset val="238"/>
      </rPr>
      <t xml:space="preserve">
3. = neto iznos za Kooperanta
</t>
    </r>
    <r>
      <rPr>
        <sz val="10"/>
        <color rgb="FFFF0000"/>
        <rFont val="Arial"/>
        <family val="2"/>
        <charset val="238"/>
      </rPr>
      <t xml:space="preserve">4. - eventualni troškovi materijala i ostali troškovi prema materijalno-financijskoj knjigovodstvenoj kartici MIPCRO-a
</t>
    </r>
    <r>
      <rPr>
        <sz val="10"/>
        <rFont val="Arial"/>
        <family val="2"/>
        <charset val="238"/>
      </rPr>
      <t xml:space="preserve">5. = neto iznos za račun/situaciju Kooperanta
</t>
    </r>
  </si>
  <si>
    <r>
      <t xml:space="preserve">Plaćanje izvedenih radova izvršit će po jednom privremenom i po  okončanom obračunu u neto valutnom </t>
    </r>
    <r>
      <rPr>
        <b/>
        <sz val="10"/>
        <rFont val="Arial"/>
        <family val="2"/>
        <charset val="238"/>
      </rPr>
      <t>roku do 45 dana,</t>
    </r>
    <r>
      <rPr>
        <sz val="10"/>
        <rFont val="Arial"/>
        <family val="2"/>
        <charset val="238"/>
      </rPr>
      <t xml:space="preserve"> računajući od dana  ispostve privremenih i okončanog obračuna - računa. </t>
    </r>
  </si>
  <si>
    <t xml:space="preserve">sklopili su dana 07.10.2019. godine </t>
  </si>
  <si>
    <r>
      <t xml:space="preserve"> </t>
    </r>
    <r>
      <rPr>
        <b/>
        <u/>
        <sz val="14"/>
        <rFont val="Arial"/>
        <family val="2"/>
        <charset val="238"/>
      </rPr>
      <t>VI   ZIDARSKI RADOVI</t>
    </r>
  </si>
  <si>
    <t>5.</t>
  </si>
  <si>
    <t xml:space="preserve"> Grubo i fino žbukanje unutarnjih zidova i stropova cementnom žbukom.</t>
  </si>
  <si>
    <t>- zidovi (upravljačke prostorije zidane blok opekom)</t>
  </si>
  <si>
    <r>
      <t>m</t>
    </r>
    <r>
      <rPr>
        <vertAlign val="superscript"/>
        <sz val="10"/>
        <rFont val="Arial"/>
        <family val="2"/>
        <charset val="238"/>
      </rPr>
      <t>2</t>
    </r>
  </si>
  <si>
    <t>- AB stropovi</t>
  </si>
  <si>
    <r>
      <rPr>
        <b/>
        <sz val="14"/>
        <rFont val="Arial"/>
        <family val="2"/>
        <charset val="238"/>
      </rPr>
      <t xml:space="preserve"> </t>
    </r>
    <r>
      <rPr>
        <b/>
        <u/>
        <sz val="14"/>
        <rFont val="Arial"/>
        <family val="2"/>
        <charset val="238"/>
      </rPr>
      <t>XII   FASADERSKI RADOVI</t>
    </r>
  </si>
  <si>
    <t>1.</t>
  </si>
  <si>
    <t>2.</t>
  </si>
  <si>
    <t xml:space="preserve"> Završna obrada AB zida teraplastom u boji i tonu po izboru investitora.  Radove u svemu izvesti prema uputi proizvođača.</t>
  </si>
  <si>
    <t xml:space="preserve">- AB zidovi vanjske i unutarnje strane </t>
  </si>
  <si>
    <t>Kooperant će radove započeti sa radovima 21.10.2019. godine, te iste završiti najkasnije do 08.11.2019. godine</t>
  </si>
  <si>
    <r>
      <t xml:space="preserve">UGOVOR O KOOPERACIJI  br. 181 / 2019
</t>
    </r>
    <r>
      <rPr>
        <sz val="12"/>
        <color theme="1"/>
        <rFont val="Arial"/>
        <family val="2"/>
        <charset val="238"/>
      </rPr>
      <t>sa troškovnikom zidarskih i fasaderskih radova 
na ''izgradnji kogeneracijskog postrojenja BE-TO Karlovac''</t>
    </r>
  </si>
  <si>
    <t>Temeljem Ugovora o kooperaciji br. 009-19/2016 od 02.01.2016. godine Naručitelj naručuje, a Kooperant preuzima na izvođenje završne zidarske i fasaderske radovena ''izgradnji kogeneracijskog postrojenja BE-TO Karlovac'', koje je Naručitelj kao glavni izvoditelj radova ugovorio sa Naručiteljem ĐURO ĐAKOVIĆ TEP d.o.o.. Radovi se u svemu izvode prema specifikaciji iz troškovnika kako slijedi:</t>
  </si>
  <si>
    <r>
      <t xml:space="preserve"> Izrada toplinske izolacije AB zidova stiroporom debljine d = 8 cm i dva sloja ljepila.
</t>
    </r>
    <r>
      <rPr>
        <sz val="10"/>
        <color rgb="FF0000FF"/>
        <rFont val="Arial"/>
        <family val="2"/>
        <charset val="238"/>
      </rPr>
      <t>(Ugradnja EPS-a d=10 cm na ljepilo nije u cijeni - izvršio Naručitelj. 
U cijeni 2 x gletanje + mrežica, te obrada špaleta.)</t>
    </r>
  </si>
  <si>
    <t>(Na AB zidovima i stropovima žbuka se u debljini od 10-15 mm, umjesto debljine 20-25mm, sa obaveznom prethodnom obradom cementnim špricom.)</t>
  </si>
  <si>
    <t>Članak 8.</t>
  </si>
  <si>
    <t>Zdravko Rogina</t>
  </si>
  <si>
    <t xml:space="preserve">Kooperant može koristiti usluge smještaja na terenu u organizaciji Naručitelja po cijeni do 70,00 kn/noćenje (+PDV)  po radniku te troškove prehrane po cijeni do 35,00 kn/ručak te  do 35,00 kn/večera (+ PDV). Usluge smještaja i prehrane Naručitelj će perfektuirati Kooperantu.
</t>
  </si>
  <si>
    <t>m2</t>
  </si>
  <si>
    <t>SKELE</t>
  </si>
  <si>
    <t>a) skela visine do 14 metara</t>
  </si>
  <si>
    <t>b) skela visine do 4 metra koja se montira na terasama, balkonima</t>
  </si>
  <si>
    <t>FASADERSKI RADOVI</t>
  </si>
  <si>
    <t>Z1 - Vanjski zid - žbuka - ETICS fasadni sustav - U = 0,17 (0,22) W/m²/K</t>
  </si>
  <si>
    <r>
      <t xml:space="preserve">Izrada povezanog toplinskog fasadnog sustava (ETICS). </t>
    </r>
    <r>
      <rPr>
        <b/>
        <sz val="10"/>
        <rFont val="Arial"/>
        <family val="2"/>
        <charset val="238"/>
      </rPr>
      <t xml:space="preserve">Izrađuje se od sloja 20 cm fasadne toplinsko izolacijske ploče od tvrde hidrofobne kamene vune za ETICS fasadne sustave, ploče dvoslojne gustoće toplinske </t>
    </r>
    <r>
      <rPr>
        <sz val="10"/>
        <rFont val="Arial"/>
        <family val="2"/>
        <charset val="238"/>
      </rPr>
      <t xml:space="preserve">vodljivosti λ ≤ 0,037 W/mK, ploče u ETICS sustavu reakcije na požar, razred negorivosti A2 ili bolje prema HRN EN 13501, lijepljene i pričvršćene dodatno na podlogu </t>
    </r>
    <r>
      <rPr>
        <b/>
        <sz val="10"/>
        <rFont val="Arial"/>
        <family val="2"/>
        <charset val="238"/>
      </rPr>
      <t>s mehaničkim pričvrsnicama u zonama zaštitnih protupožarnih pojaseva horizontalno u visini 120 cm, između prizemlja i 1. kata u zoni parapeta, gdje nema balkonskih istaka i terasa, te vertikalno u širini 1oo cm između zone stubišne jezgre i stanova</t>
    </r>
    <r>
      <rPr>
        <sz val="10"/>
        <rFont val="Arial"/>
        <family val="2"/>
        <charset val="238"/>
      </rPr>
      <t>. Izvedeno prema uputama proizvođača odabranog ETICS fasadnog sustava. Na to se izvodi premaz građevinskim ljepilom 0,3 cm u koji se utiskuje tekstilno-staklena mrežica te zatvara 2. slojem građevinskog ljepila 0,2 cm, premazuje impregnirajućim premazom. Na svim uglovima kod prozora i vrata pojačava se dodatnim trakam apod kutom od 45°.</t>
    </r>
  </si>
  <si>
    <t xml:space="preserve">U cijenu uključeno svi učvršćivači otporni na koroziju, sve "kant lajsne", "cokl lajsne", špaletni profili i sl. Sve izvedeno prema uputstvima proizvođača. U potpunosti pripremljeno za nanošenje završnog silikatnog sloja. </t>
  </si>
  <si>
    <t>(Završni sloj nije u cijeni - obračunava se u zasebnoj stavci)</t>
  </si>
  <si>
    <r>
      <t xml:space="preserve">Izrada fasadnog sustava ‘Demit’, kao sustav ETICS  na djelovima fasade koji nisu u sustavu zaštite od požara građevine.
Sastoji se od:
1. polimernog cementnog ljepila;
2. toplinsko izolacijske fasadne ploče od ekspandiranog polistirena EPS (15 kg/m3) debljine 20 cm
3. polimercementna žbuka s dodacima polimera armirana mrežicom od staklenih vlakanaca 0,40 cm
4. pričvrsni vijci (sidra), kutni profili za zaštitu rubova, profili okapnica, završni profili i sl.;
5. završna silikat-silikon žbuka 0,30 cm , u  boji po izboru projektanta </t>
    </r>
    <r>
      <rPr>
        <sz val="10"/>
        <color rgb="FF0000FF"/>
        <rFont val="Arial"/>
        <family val="2"/>
        <charset val="238"/>
      </rPr>
      <t>(nije u cijeni - nuđeno u st. 08.8)</t>
    </r>
    <r>
      <rPr>
        <sz val="10"/>
        <rFont val="Arial"/>
        <family val="2"/>
        <charset val="238"/>
      </rPr>
      <t xml:space="preserve">
</t>
    </r>
  </si>
  <si>
    <t>U cijenu uključeno svi učvršćivači otporni na koroziju, sve "kant lajsne", "cokl lajsne", špaletni profili i sl. Sve izvedeno prema uputstvima proizvođača. U potpunosti pripremljeno za nanošenje završnog silikatnog sloja.</t>
  </si>
  <si>
    <t>Z1a - Vanjski zid - ETICS fasadni sustav</t>
  </si>
  <si>
    <r>
      <t xml:space="preserve">Isto kao stavka </t>
    </r>
    <r>
      <rPr>
        <sz val="10"/>
        <color rgb="FFFF0000"/>
        <rFont val="Arial"/>
        <family val="2"/>
        <charset val="238"/>
      </rPr>
      <t>08.2</t>
    </r>
    <r>
      <rPr>
        <sz val="10"/>
        <rFont val="Arial"/>
        <family val="2"/>
        <charset val="238"/>
      </rPr>
      <t xml:space="preserve"> samo izolacione ploče debljine 10 cm."</t>
    </r>
  </si>
  <si>
    <t>Z1b - Vanjski zid - ETICS fasadni sustav</t>
  </si>
  <si>
    <r>
      <t xml:space="preserve">Isto kao stavka </t>
    </r>
    <r>
      <rPr>
        <sz val="10"/>
        <color rgb="FFFF0000"/>
        <rFont val="Arial"/>
        <family val="2"/>
        <charset val="238"/>
      </rPr>
      <t>08.2</t>
    </r>
    <r>
      <rPr>
        <sz val="10"/>
        <rFont val="Arial"/>
        <family val="2"/>
        <charset val="238"/>
      </rPr>
      <t xml:space="preserve"> samo izolacione ploče debljine 5 cm."</t>
    </r>
  </si>
  <si>
    <t>Z1c - Vanjski zid - ETICS fasadni sustav - podnožje zida uz pod partera ili podove terasa i loggia u visini ≥ 30 cm od kote gotovog vanjskog poda</t>
  </si>
  <si>
    <t>~0,5 cm - vodootporna polimercementna žbuka u dva sloja, gornji sloj armiran alkalno otpornom mrežicom prikladni za podložne žbuke u zoni podnožja na pločama ekstrudiranog polistirena</t>
  </si>
  <si>
    <t>debljine 20 cm</t>
  </si>
  <si>
    <t>debljine 10 cm</t>
  </si>
  <si>
    <t>debljine 5 cm</t>
  </si>
  <si>
    <t>BK - Podgled balkona i strop garaže.</t>
  </si>
  <si>
    <t>debljine 15 cm</t>
  </si>
  <si>
    <t>(Završni sloj nije u cijeni - obračunava se u stavci 08.8)</t>
  </si>
  <si>
    <t>Završni višebojni premaz dekorativnom silikatnom žbukom u granulatu 1,5 mm i tonu prema RAL karti. U cijenu uključeno priprema podloge (čišćenje, otprašivanje, manja izravnavanja), impregniranje, prekrivanje/zaštita svih spojeva i otvora i uklanjanje nakon dovršenih radova, te nanošenje sloja tankoslojne žbuke u debljini ~2,0 mm. Rad izvoditi kontinuirano bez radnih prekida. Svi upotrebljni materijali iz proizvodnog programa istog proizvođača. Sve izvedeno prema uputstvima proizvođača.</t>
  </si>
  <si>
    <t>Cijena se odnosi na svjetlije tonove, TSR iznad 25.</t>
  </si>
  <si>
    <t>UKUPNO SKELE + FASADERSKI RADOVI</t>
  </si>
  <si>
    <t>05.</t>
  </si>
  <si>
    <t>08.</t>
  </si>
  <si>
    <t>08.1.</t>
  </si>
  <si>
    <t>08.2.</t>
  </si>
  <si>
    <t>08.3.</t>
  </si>
  <si>
    <t>08.6.</t>
  </si>
  <si>
    <t>08.4.</t>
  </si>
  <si>
    <t>08.7.</t>
  </si>
  <si>
    <t>08.8.</t>
  </si>
  <si>
    <t>Isto kao stavka 08.8 samo na ETICS na podgledu balkona.</t>
  </si>
  <si>
    <t>08.9.</t>
  </si>
  <si>
    <t>Isto kao stavka 08.8 samo na spuštenbim stropovima od cementnih ploča iznad vanjskih prostora.</t>
  </si>
  <si>
    <t>08.10.</t>
  </si>
  <si>
    <t>Isto kao stavka 08.8. samo na neizoliranim betonskim elementima. Stavka obuhvaća pripremu površina, krpanje i brušenje, bandažiranje spojeva mrežicom i građevinskim ljepilom.</t>
  </si>
  <si>
    <t>08.11.</t>
  </si>
  <si>
    <t>FTA 02</t>
  </si>
  <si>
    <t>Isto kao stavka 08.1. samo  vodoneupojne ploče toplinske izolacije - ekstrudirani polistiren XPS300 (30 kg/m³), mehanički učvršćene na podlogu samo u gornjoj zoni, lijepljene na podlogu, izvedba u ETICS certificiranom fasadnom sustav reakcije na požar B-s1,d0 ili bolje.</t>
  </si>
  <si>
    <t>Za MIPCRO d.o.o.</t>
  </si>
  <si>
    <t>Slavko Kišiček, prokurist</t>
  </si>
  <si>
    <t>ŽBUKA , obrt za graditeljstvo</t>
  </si>
  <si>
    <t>Vlado Čakarić, vlasnik obrta</t>
  </si>
  <si>
    <t>Ugovara se sustav ETICS proizvođača BAUMIT</t>
  </si>
  <si>
    <t>Dovoz, montaža i demontaža fasadne skele potrebne za izvođenje fasderskih radova. Skela mora biti izvedena sukladno Praviliniku.</t>
  </si>
  <si>
    <t>Naručitelj prodaje Podizvođaču fco gradilište;</t>
  </si>
  <si>
    <t>3. fasadni Plastpor EPS 120/100 mm debljine</t>
  </si>
  <si>
    <t>1. fasadni Plastpor EPS 120/200 mm debljine</t>
  </si>
  <si>
    <t>2. fasadni Plastpor EPS 120/150 mm debljine</t>
  </si>
  <si>
    <t>Plaćanje isporučenog stiropora će se izvršiti međusobnom kompenzacijom sa izvedenim radovima.</t>
  </si>
  <si>
    <t>Ukupno</t>
  </si>
  <si>
    <t xml:space="preserve"> + PDV</t>
  </si>
  <si>
    <t>Sveukupno</t>
  </si>
  <si>
    <t>Podizvođač</t>
  </si>
  <si>
    <t>UGOVORNI TROŠKOVNIK 083-T/2025. za projekt Pregrada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</si>
</sst>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kn&quot;_-;\-* #,##0.00\ &quot;kn&quot;_-;_-* &quot;-&quot;??\ &quot;kn&quot;_-;_-@_-"/>
    <numFmt numFmtId="165" formatCode="_-* #,##0.00\ _k_n_-;\-* #,##0.00\ _k_n_-;_-* &quot;-&quot;??\ _k_n_-;_-@_-"/>
    <numFmt numFmtId="166" formatCode="#,##0.00\ &quot;kn&quot;"/>
    <numFmt numFmtId="167" formatCode="#,##0.00\ [$kn-41A]"/>
    <numFmt numFmtId="168" formatCode="[$€-2]\ #,##0"/>
    <numFmt numFmtId="169" formatCode="#,##0.00\ [$€-1]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4"/>
      <name val="Arial"/>
      <family val="2"/>
      <charset val="238"/>
    </font>
    <font>
      <sz val="14"/>
      <name val="Arial"/>
      <family val="2"/>
      <charset val="238"/>
    </font>
    <font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sz val="10"/>
      <name val="Myriad Pro"/>
      <family val="2"/>
    </font>
    <font>
      <i/>
      <sz val="10"/>
      <name val="Myriad Pro"/>
      <family val="2"/>
    </font>
    <font>
      <sz val="11"/>
      <color rgb="FFFF0000"/>
      <name val="Arial"/>
      <family val="2"/>
      <charset val="238"/>
    </font>
    <font>
      <b/>
      <u/>
      <sz val="14"/>
      <name val="Arial"/>
      <family val="2"/>
      <charset val="238"/>
    </font>
    <font>
      <vertAlign val="superscript"/>
      <sz val="10"/>
      <name val="Arial"/>
      <family val="2"/>
      <charset val="238"/>
    </font>
    <font>
      <i/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 CE"/>
      <family val="2"/>
      <charset val="238"/>
    </font>
    <font>
      <sz val="8"/>
      <name val="Arial Narrow"/>
      <family val="2"/>
      <charset val="238"/>
    </font>
    <font>
      <sz val="11"/>
      <name val="Arial Narrow"/>
      <family val="2"/>
      <charset val="238"/>
    </font>
    <font>
      <b/>
      <sz val="10"/>
      <name val="Arial Narrow"/>
      <family val="2"/>
      <charset val="238"/>
    </font>
    <font>
      <sz val="10"/>
      <color rgb="FFFF0000"/>
      <name val="Arial CE"/>
      <family val="2"/>
      <charset val="238"/>
    </font>
    <font>
      <sz val="10"/>
      <color rgb="FF0000FF"/>
      <name val="Arial CE"/>
      <family val="2"/>
      <charset val="238"/>
    </font>
    <font>
      <b/>
      <sz val="12"/>
      <name val="Arial"/>
      <family val="2"/>
      <charset val="238"/>
    </font>
    <font>
      <b/>
      <sz val="20"/>
      <color theme="1"/>
      <name val="Arial"/>
      <family val="2"/>
      <charset val="238"/>
    </font>
    <font>
      <b/>
      <sz val="10"/>
      <color rgb="FF0000FF"/>
      <name val="Arial"/>
      <family val="2"/>
      <charset val="238"/>
    </font>
    <font>
      <sz val="10"/>
      <color rgb="FFC00000"/>
      <name val="Arial"/>
      <family val="2"/>
      <charset val="238"/>
    </font>
    <font>
      <sz val="10"/>
      <color rgb="FF7030A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168" fontId="3" fillId="0" borderId="0"/>
    <xf numFmtId="168" fontId="12" fillId="0" borderId="0">
      <alignment horizontal="left" vertical="top"/>
    </xf>
    <xf numFmtId="168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center" vertical="top" wrapText="1"/>
    </xf>
    <xf numFmtId="0" fontId="3" fillId="0" borderId="0" xfId="0" applyFont="1"/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66" fontId="3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right"/>
    </xf>
    <xf numFmtId="166" fontId="3" fillId="0" borderId="0" xfId="0" applyNumberFormat="1" applyFont="1"/>
    <xf numFmtId="49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1" applyNumberFormat="1" applyFont="1" applyFill="1" applyBorder="1" applyAlignment="1">
      <alignment horizontal="center" vertical="top" wrapText="1"/>
    </xf>
    <xf numFmtId="4" fontId="6" fillId="2" borderId="1" xfId="1" applyNumberFormat="1" applyFont="1" applyFill="1" applyBorder="1" applyAlignment="1">
      <alignment horizontal="center" vertical="top" wrapText="1"/>
    </xf>
    <xf numFmtId="0" fontId="4" fillId="0" borderId="0" xfId="0" applyFont="1"/>
    <xf numFmtId="0" fontId="10" fillId="0" borderId="0" xfId="0" applyFont="1"/>
    <xf numFmtId="167" fontId="10" fillId="0" borderId="0" xfId="0" applyNumberFormat="1" applyFont="1"/>
    <xf numFmtId="0" fontId="3" fillId="0" borderId="0" xfId="0" applyFont="1" applyAlignment="1">
      <alignment wrapText="1"/>
    </xf>
    <xf numFmtId="166" fontId="3" fillId="0" borderId="0" xfId="2" applyNumberFormat="1" applyAlignment="1">
      <alignment horizontal="left" vertical="top" wrapText="1"/>
    </xf>
    <xf numFmtId="166" fontId="3" fillId="0" borderId="0" xfId="0" applyNumberFormat="1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justify" wrapText="1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right"/>
    </xf>
    <xf numFmtId="0" fontId="3" fillId="0" borderId="0" xfId="2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vertical="top" wrapText="1"/>
    </xf>
    <xf numFmtId="164" fontId="15" fillId="0" borderId="3" xfId="0" applyNumberFormat="1" applyFont="1" applyBorder="1" applyAlignment="1">
      <alignment vertical="top" wrapText="1"/>
    </xf>
    <xf numFmtId="164" fontId="15" fillId="0" borderId="2" xfId="0" applyNumberFormat="1" applyFont="1" applyBorder="1" applyAlignment="1">
      <alignment vertical="top" wrapText="1"/>
    </xf>
    <xf numFmtId="0" fontId="4" fillId="0" borderId="3" xfId="0" applyFont="1" applyBorder="1"/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0" fontId="4" fillId="0" borderId="2" xfId="0" applyFont="1" applyBorder="1"/>
    <xf numFmtId="164" fontId="13" fillId="0" borderId="2" xfId="0" applyNumberFormat="1" applyFont="1" applyBorder="1" applyAlignment="1">
      <alignment vertical="top" wrapText="1"/>
    </xf>
    <xf numFmtId="166" fontId="15" fillId="0" borderId="2" xfId="0" applyNumberFormat="1" applyFont="1" applyBorder="1" applyAlignment="1">
      <alignment horizontal="right" vertical="top" wrapText="1"/>
    </xf>
    <xf numFmtId="164" fontId="13" fillId="0" borderId="2" xfId="0" applyNumberFormat="1" applyFont="1" applyBorder="1" applyAlignment="1">
      <alignment horizontal="right" vertical="top" wrapText="1"/>
    </xf>
    <xf numFmtId="164" fontId="15" fillId="0" borderId="3" xfId="0" applyNumberFormat="1" applyFont="1" applyBorder="1" applyAlignment="1">
      <alignment horizontal="right" vertical="top" wrapText="1"/>
    </xf>
    <xf numFmtId="4" fontId="17" fillId="0" borderId="0" xfId="0" applyNumberFormat="1" applyFont="1"/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4" fontId="18" fillId="0" borderId="0" xfId="0" applyNumberFormat="1" applyFont="1" applyAlignment="1">
      <alignment horizontal="right" vertical="top"/>
    </xf>
    <xf numFmtId="4" fontId="18" fillId="0" borderId="0" xfId="0" applyNumberFormat="1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justify" vertical="top" wrapText="1"/>
    </xf>
    <xf numFmtId="4" fontId="17" fillId="3" borderId="0" xfId="0" applyNumberFormat="1" applyFont="1" applyFill="1" applyProtection="1">
      <protection locked="0"/>
    </xf>
    <xf numFmtId="0" fontId="19" fillId="0" borderId="0" xfId="0" applyFont="1"/>
    <xf numFmtId="0" fontId="3" fillId="0" borderId="0" xfId="8" applyAlignment="1">
      <alignment horizontal="right" vertical="top"/>
    </xf>
    <xf numFmtId="0" fontId="7" fillId="0" borderId="0" xfId="8" applyFont="1" applyAlignment="1">
      <alignment horizontal="justify" vertical="justify" wrapText="1"/>
    </xf>
    <xf numFmtId="0" fontId="3" fillId="0" borderId="0" xfId="8" applyAlignment="1">
      <alignment horizontal="center"/>
    </xf>
    <xf numFmtId="4" fontId="4" fillId="0" borderId="0" xfId="8" applyNumberFormat="1" applyFont="1" applyAlignment="1">
      <alignment horizontal="right"/>
    </xf>
    <xf numFmtId="4" fontId="3" fillId="0" borderId="0" xfId="8" applyNumberFormat="1" applyAlignment="1">
      <alignment horizontal="right"/>
    </xf>
    <xf numFmtId="0" fontId="3" fillId="0" borderId="0" xfId="8" applyAlignment="1">
      <alignment horizontal="justify" vertical="justify" wrapText="1"/>
    </xf>
    <xf numFmtId="4" fontId="7" fillId="0" borderId="0" xfId="8" applyNumberFormat="1" applyFont="1" applyAlignment="1">
      <alignment horizontal="center"/>
    </xf>
    <xf numFmtId="0" fontId="3" fillId="0" borderId="0" xfId="8" quotePrefix="1" applyAlignment="1">
      <alignment horizontal="justify" vertical="justify" wrapText="1"/>
    </xf>
    <xf numFmtId="0" fontId="14" fillId="0" borderId="0" xfId="8" quotePrefix="1" applyFont="1" applyAlignment="1">
      <alignment horizontal="justify" vertical="top" wrapText="1"/>
    </xf>
    <xf numFmtId="0" fontId="22" fillId="0" borderId="0" xfId="0" applyFont="1" applyAlignment="1">
      <alignment horizontal="center" vertical="top"/>
    </xf>
    <xf numFmtId="4" fontId="22" fillId="0" borderId="0" xfId="0" applyNumberFormat="1" applyFont="1" applyAlignment="1">
      <alignment horizontal="right" vertical="top"/>
    </xf>
    <xf numFmtId="4" fontId="22" fillId="0" borderId="0" xfId="0" applyNumberFormat="1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4" fontId="4" fillId="0" borderId="0" xfId="0" applyNumberFormat="1" applyFont="1"/>
    <xf numFmtId="49" fontId="5" fillId="2" borderId="1" xfId="0" applyNumberFormat="1" applyFont="1" applyFill="1" applyBorder="1" applyAlignment="1">
      <alignment horizontal="center" vertical="top" wrapText="1"/>
    </xf>
    <xf numFmtId="4" fontId="5" fillId="2" borderId="1" xfId="0" applyNumberFormat="1" applyFont="1" applyFill="1" applyBorder="1" applyAlignment="1">
      <alignment horizontal="center" vertical="top" wrapText="1"/>
    </xf>
    <xf numFmtId="4" fontId="5" fillId="2" borderId="1" xfId="1" applyNumberFormat="1" applyFont="1" applyFill="1" applyBorder="1" applyAlignment="1">
      <alignment horizontal="center" vertical="top" wrapText="1"/>
    </xf>
    <xf numFmtId="0" fontId="23" fillId="0" borderId="0" xfId="0" applyFont="1" applyAlignment="1">
      <alignment horizontal="right" vertical="top"/>
    </xf>
    <xf numFmtId="0" fontId="3" fillId="0" borderId="0" xfId="0" applyFont="1" applyAlignment="1" applyProtection="1">
      <alignment vertical="top" wrapText="1"/>
      <protection hidden="1"/>
    </xf>
    <xf numFmtId="0" fontId="3" fillId="0" borderId="0" xfId="0" applyFont="1" applyProtection="1">
      <protection hidden="1"/>
    </xf>
    <xf numFmtId="4" fontId="3" fillId="0" borderId="0" xfId="0" applyNumberFormat="1" applyFont="1" applyProtection="1">
      <protection locked="0" hidden="1"/>
    </xf>
    <xf numFmtId="0" fontId="3" fillId="0" borderId="0" xfId="0" applyFont="1" applyAlignment="1">
      <alignment horizontal="left" vertical="top" wrapText="1"/>
    </xf>
    <xf numFmtId="0" fontId="25" fillId="0" borderId="0" xfId="0" applyFont="1" applyAlignment="1" applyProtection="1">
      <alignment horizontal="justify" vertical="top" wrapText="1"/>
      <protection hidden="1"/>
    </xf>
    <xf numFmtId="0" fontId="26" fillId="0" borderId="0" xfId="0" applyFont="1" applyAlignment="1" applyProtection="1">
      <alignment horizontal="left" vertical="center" wrapText="1"/>
      <protection hidden="1"/>
    </xf>
    <xf numFmtId="4" fontId="25" fillId="0" borderId="0" xfId="0" applyNumberFormat="1" applyFont="1" applyAlignment="1" applyProtection="1">
      <alignment horizontal="center" vertical="center" wrapText="1"/>
      <protection hidden="1"/>
    </xf>
    <xf numFmtId="169" fontId="25" fillId="0" borderId="0" xfId="0" applyNumberFormat="1" applyFont="1" applyAlignment="1" applyProtection="1">
      <alignment horizontal="center" vertical="center" wrapText="1"/>
      <protection hidden="1"/>
    </xf>
    <xf numFmtId="4" fontId="24" fillId="0" borderId="0" xfId="0" applyNumberFormat="1" applyFont="1" applyProtection="1">
      <protection hidden="1"/>
    </xf>
    <xf numFmtId="169" fontId="0" fillId="0" borderId="0" xfId="0" applyNumberFormat="1"/>
    <xf numFmtId="0" fontId="3" fillId="0" borderId="0" xfId="0" applyFont="1" applyAlignment="1" applyProtection="1">
      <alignment horizontal="left"/>
      <protection hidden="1"/>
    </xf>
    <xf numFmtId="4" fontId="3" fillId="0" borderId="0" xfId="0" applyNumberFormat="1" applyFont="1" applyAlignment="1" applyProtection="1">
      <alignment horizontal="right"/>
      <protection hidden="1"/>
    </xf>
    <xf numFmtId="4" fontId="3" fillId="0" borderId="0" xfId="0" applyNumberFormat="1" applyFont="1" applyProtection="1">
      <protection hidden="1"/>
    </xf>
    <xf numFmtId="169" fontId="3" fillId="0" borderId="0" xfId="0" applyNumberFormat="1" applyFont="1" applyProtection="1">
      <protection hidden="1"/>
    </xf>
    <xf numFmtId="0" fontId="2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4" fontId="28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4" fontId="11" fillId="0" borderId="0" xfId="0" applyNumberFormat="1" applyFont="1" applyProtection="1">
      <protection locked="0" hidden="1"/>
    </xf>
    <xf numFmtId="169" fontId="11" fillId="0" borderId="0" xfId="0" applyNumberFormat="1" applyFont="1"/>
    <xf numFmtId="0" fontId="14" fillId="0" borderId="0" xfId="0" applyFont="1" applyProtection="1">
      <protection hidden="1"/>
    </xf>
    <xf numFmtId="4" fontId="29" fillId="0" borderId="0" xfId="0" applyNumberFormat="1" applyFont="1" applyProtection="1">
      <protection hidden="1"/>
    </xf>
    <xf numFmtId="4" fontId="14" fillId="0" borderId="0" xfId="0" applyNumberFormat="1" applyFont="1" applyProtection="1">
      <protection locked="0" hidden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 applyProtection="1">
      <alignment horizontal="left" vertical="top" wrapText="1"/>
      <protection hidden="1"/>
    </xf>
    <xf numFmtId="0" fontId="5" fillId="0" borderId="5" xfId="0" applyFont="1" applyBorder="1" applyProtection="1">
      <protection hidden="1"/>
    </xf>
    <xf numFmtId="0" fontId="5" fillId="0" borderId="5" xfId="0" applyFont="1" applyBorder="1" applyAlignment="1" applyProtection="1">
      <alignment horizontal="left"/>
      <protection hidden="1"/>
    </xf>
    <xf numFmtId="4" fontId="5" fillId="0" borderId="5" xfId="0" applyNumberFormat="1" applyFont="1" applyBorder="1" applyAlignment="1" applyProtection="1">
      <alignment horizontal="right"/>
      <protection hidden="1"/>
    </xf>
    <xf numFmtId="4" fontId="5" fillId="0" borderId="5" xfId="0" applyNumberFormat="1" applyFont="1" applyBorder="1" applyProtection="1">
      <protection locked="0" hidden="1"/>
    </xf>
    <xf numFmtId="169" fontId="5" fillId="0" borderId="5" xfId="0" applyNumberFormat="1" applyFont="1" applyBorder="1" applyProtection="1">
      <protection hidden="1"/>
    </xf>
    <xf numFmtId="0" fontId="3" fillId="0" borderId="6" xfId="0" applyFont="1" applyBorder="1"/>
    <xf numFmtId="0" fontId="5" fillId="0" borderId="7" xfId="0" applyFont="1" applyBorder="1" applyAlignment="1">
      <alignment horizontal="right" vertical="top"/>
    </xf>
    <xf numFmtId="0" fontId="5" fillId="0" borderId="7" xfId="0" applyFont="1" applyBorder="1" applyAlignment="1" applyProtection="1">
      <alignment vertical="top" wrapText="1"/>
      <protection hidden="1"/>
    </xf>
    <xf numFmtId="0" fontId="3" fillId="0" borderId="7" xfId="0" applyFont="1" applyBorder="1" applyAlignment="1" applyProtection="1">
      <alignment horizontal="left"/>
      <protection hidden="1"/>
    </xf>
    <xf numFmtId="4" fontId="3" fillId="0" borderId="7" xfId="0" applyNumberFormat="1" applyFont="1" applyBorder="1" applyAlignment="1" applyProtection="1">
      <alignment horizontal="right"/>
      <protection hidden="1"/>
    </xf>
    <xf numFmtId="4" fontId="3" fillId="0" borderId="7" xfId="0" applyNumberFormat="1" applyFont="1" applyBorder="1" applyProtection="1">
      <protection hidden="1"/>
    </xf>
    <xf numFmtId="169" fontId="3" fillId="0" borderId="8" xfId="0" applyNumberFormat="1" applyFont="1" applyBorder="1" applyProtection="1">
      <protection hidden="1"/>
    </xf>
    <xf numFmtId="0" fontId="15" fillId="0" borderId="7" xfId="0" applyFont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4" borderId="0" xfId="0" applyFont="1" applyFill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14" fillId="0" borderId="0" xfId="2" applyFont="1" applyAlignment="1">
      <alignment horizontal="left" vertical="top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horizontal="left" wrapText="1"/>
    </xf>
    <xf numFmtId="0" fontId="3" fillId="0" borderId="0" xfId="2" applyAlignment="1">
      <alignment horizontal="justify" vertical="top" wrapText="1"/>
    </xf>
    <xf numFmtId="0" fontId="16" fillId="0" borderId="4" xfId="0" applyFont="1" applyBorder="1" applyAlignment="1">
      <alignment horizontal="center" vertical="top" wrapText="1"/>
    </xf>
    <xf numFmtId="0" fontId="3" fillId="0" borderId="0" xfId="2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2" applyFont="1" applyAlignment="1">
      <alignment horizontal="center" vertical="top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" fillId="0" borderId="0" xfId="2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Border="1"/>
    <xf numFmtId="0" fontId="15" fillId="0" borderId="0" xfId="0" applyFont="1" applyBorder="1" applyAlignment="1">
      <alignment horizontal="right" vertical="top"/>
    </xf>
    <xf numFmtId="0" fontId="3" fillId="0" borderId="0" xfId="0" applyFont="1" applyBorder="1" applyAlignment="1" applyProtection="1">
      <alignment horizontal="left"/>
      <protection hidden="1"/>
    </xf>
    <xf numFmtId="4" fontId="3" fillId="0" borderId="0" xfId="0" applyNumberFormat="1" applyFont="1" applyBorder="1" applyAlignment="1" applyProtection="1">
      <alignment horizontal="right"/>
      <protection hidden="1"/>
    </xf>
    <xf numFmtId="4" fontId="3" fillId="0" borderId="0" xfId="0" applyNumberFormat="1" applyFont="1" applyBorder="1" applyProtection="1">
      <protection hidden="1"/>
    </xf>
    <xf numFmtId="169" fontId="3" fillId="0" borderId="0" xfId="0" applyNumberFormat="1" applyFont="1" applyBorder="1" applyProtection="1">
      <protection hidden="1"/>
    </xf>
    <xf numFmtId="0" fontId="32" fillId="0" borderId="0" xfId="0" applyFont="1" applyBorder="1" applyAlignment="1" applyProtection="1">
      <alignment vertical="top" wrapText="1"/>
      <protection hidden="1"/>
    </xf>
    <xf numFmtId="0" fontId="33" fillId="0" borderId="0" xfId="0" applyFont="1" applyAlignment="1" applyProtection="1">
      <alignment horizontal="left" vertical="top" wrapText="1"/>
      <protection hidden="1"/>
    </xf>
    <xf numFmtId="0" fontId="34" fillId="0" borderId="0" xfId="0" applyFont="1"/>
    <xf numFmtId="4" fontId="34" fillId="0" borderId="0" xfId="0" applyNumberFormat="1" applyFont="1"/>
    <xf numFmtId="4" fontId="34" fillId="0" borderId="9" xfId="0" applyNumberFormat="1" applyFont="1" applyBorder="1"/>
    <xf numFmtId="4" fontId="34" fillId="0" borderId="10" xfId="0" applyNumberFormat="1" applyFont="1" applyBorder="1"/>
  </cellXfs>
  <cellStyles count="11">
    <cellStyle name="Normal 2" xfId="10" xr:uid="{B8CCD894-9485-4CAC-9EDF-4313B7DD0C79}"/>
    <cellStyle name="Normal 7 2" xfId="4" xr:uid="{97D2EFFE-D8F8-4512-8980-070EC8B0DC27}"/>
    <cellStyle name="Normalno" xfId="0" builtinId="0"/>
    <cellStyle name="Normalno 11 2" xfId="6" xr:uid="{13CE70A4-0EB2-4035-9A62-62D68E3228E4}"/>
    <cellStyle name="Normalno 12" xfId="3" xr:uid="{C9871700-6374-4DD4-B110-9E6ABCE03F23}"/>
    <cellStyle name="Normalno 2 2 2" xfId="5" xr:uid="{673D221E-6356-4886-B23F-DA29E1531F41}"/>
    <cellStyle name="Normalno 2 3" xfId="2" xr:uid="{97735741-318D-4274-AD58-587175EEC910}"/>
    <cellStyle name="Normalno 3" xfId="8" xr:uid="{9AD62B72-A684-4755-9F01-7B243BCD27D7}"/>
    <cellStyle name="Obično 2" xfId="7" xr:uid="{99255623-A683-4AD2-B02F-BF1551D6F52C}"/>
    <cellStyle name="Zarez" xfId="1" builtinId="3"/>
    <cellStyle name="Zarez 2" xfId="9" xr:uid="{7920B96B-C4CE-467A-92F5-DD5EBA9E4F2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327660</xdr:colOff>
      <xdr:row>59</xdr:row>
      <xdr:rowOff>0</xdr:rowOff>
    </xdr:from>
    <xdr:ext cx="184731" cy="279500"/>
    <xdr:sp macro="" textlink="">
      <xdr:nvSpPr>
        <xdr:cNvPr id="2" name="TekstniOkvir 1">
          <a:extLst>
            <a:ext uri="{FF2B5EF4-FFF2-40B4-BE49-F238E27FC236}">
              <a16:creationId xmlns:a16="http://schemas.microsoft.com/office/drawing/2014/main" id="{7182AE5E-108C-4DE8-B633-95695E52AF19}"/>
            </a:ext>
          </a:extLst>
        </xdr:cNvPr>
        <xdr:cNvSpPr txBox="1"/>
      </xdr:nvSpPr>
      <xdr:spPr>
        <a:xfrm>
          <a:off x="4690110" y="278571131"/>
          <a:ext cx="184731" cy="279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hr-HR"/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184731" cy="279500"/>
    <xdr:sp macro="" textlink="">
      <xdr:nvSpPr>
        <xdr:cNvPr id="3" name="TekstniOkvir 2">
          <a:extLst>
            <a:ext uri="{FF2B5EF4-FFF2-40B4-BE49-F238E27FC236}">
              <a16:creationId xmlns:a16="http://schemas.microsoft.com/office/drawing/2014/main" id="{8B6E24C7-8287-4163-82BD-841BB9FD067C}"/>
            </a:ext>
          </a:extLst>
        </xdr:cNvPr>
        <xdr:cNvSpPr txBox="1"/>
      </xdr:nvSpPr>
      <xdr:spPr>
        <a:xfrm>
          <a:off x="5899785" y="10851956"/>
          <a:ext cx="184731" cy="279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hr-HR"/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184731" cy="279500"/>
    <xdr:sp macro="" textlink="">
      <xdr:nvSpPr>
        <xdr:cNvPr id="4" name="TekstniOkvir 3">
          <a:extLst>
            <a:ext uri="{FF2B5EF4-FFF2-40B4-BE49-F238E27FC236}">
              <a16:creationId xmlns:a16="http://schemas.microsoft.com/office/drawing/2014/main" id="{A163172B-4446-44BB-A778-FCB41855CB57}"/>
            </a:ext>
          </a:extLst>
        </xdr:cNvPr>
        <xdr:cNvSpPr txBox="1"/>
      </xdr:nvSpPr>
      <xdr:spPr>
        <a:xfrm>
          <a:off x="6334760" y="5880100"/>
          <a:ext cx="184731" cy="279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hr-HR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4201-F6F4-46A0-85DA-2D278CEC983A}">
  <sheetPr>
    <pageSetUpPr fitToPage="1"/>
  </sheetPr>
  <dimension ref="A3:G73"/>
  <sheetViews>
    <sheetView tabSelected="1" view="pageBreakPreview" topLeftCell="A48" zoomScaleNormal="130" zoomScaleSheetLayoutView="100" workbookViewId="0">
      <selection activeCell="D4" sqref="D4"/>
    </sheetView>
  </sheetViews>
  <sheetFormatPr defaultColWidth="9.26953125" defaultRowHeight="14"/>
  <cols>
    <col min="1" max="1" width="3.7265625" style="1" customWidth="1"/>
    <col min="2" max="2" width="8.26953125" style="18" customWidth="1"/>
    <col min="3" max="3" width="58" style="18" customWidth="1"/>
    <col min="4" max="4" width="10" style="73" customWidth="1"/>
    <col min="5" max="5" width="9.7265625" style="73" bestFit="1" customWidth="1"/>
    <col min="6" max="6" width="12.7265625" style="73" customWidth="1"/>
    <col min="7" max="7" width="22" style="73" customWidth="1"/>
    <col min="8" max="16384" width="9.26953125" style="1"/>
  </cols>
  <sheetData>
    <row r="3" spans="1:7" ht="25">
      <c r="A3" s="118" t="s">
        <v>113</v>
      </c>
      <c r="B3" s="118"/>
      <c r="C3" s="118"/>
      <c r="D3" s="118"/>
      <c r="E3" s="118"/>
      <c r="F3" s="118"/>
      <c r="G3" s="118"/>
    </row>
    <row r="6" spans="1:7" ht="26">
      <c r="B6" s="74" t="s">
        <v>4</v>
      </c>
      <c r="C6" s="74" t="s">
        <v>5</v>
      </c>
      <c r="D6" s="75" t="s">
        <v>6</v>
      </c>
      <c r="E6" s="76" t="s">
        <v>7</v>
      </c>
      <c r="F6" s="76" t="s">
        <v>8</v>
      </c>
      <c r="G6" s="76" t="s">
        <v>9</v>
      </c>
    </row>
    <row r="7" spans="1:7" s="8" customFormat="1" ht="13">
      <c r="B7" s="72"/>
      <c r="C7" s="69"/>
      <c r="D7" s="71"/>
      <c r="E7" s="70"/>
      <c r="F7" s="70"/>
      <c r="G7" s="71"/>
    </row>
    <row r="8" spans="1:7" s="8" customFormat="1" ht="13">
      <c r="A8" s="110"/>
      <c r="B8" s="111" t="s">
        <v>81</v>
      </c>
      <c r="C8" s="112" t="s">
        <v>56</v>
      </c>
      <c r="D8" s="113"/>
      <c r="E8" s="114"/>
      <c r="F8" s="115"/>
      <c r="G8" s="116"/>
    </row>
    <row r="9" spans="1:7" s="8" customFormat="1">
      <c r="B9" s="77"/>
      <c r="C9" s="82"/>
      <c r="D9" s="83"/>
      <c r="E9" s="84"/>
      <c r="F9" s="84"/>
      <c r="G9" s="85"/>
    </row>
    <row r="10" spans="1:7" s="8" customFormat="1" ht="25">
      <c r="B10" s="77" t="s">
        <v>43</v>
      </c>
      <c r="C10" s="81" t="s">
        <v>103</v>
      </c>
      <c r="D10" s="83"/>
      <c r="E10" s="84"/>
      <c r="F10" s="84"/>
      <c r="G10" s="85"/>
    </row>
    <row r="11" spans="1:7" s="8" customFormat="1" ht="14.5">
      <c r="B11" s="77"/>
      <c r="C11" s="81" t="s">
        <v>57</v>
      </c>
      <c r="D11" s="79" t="s">
        <v>55</v>
      </c>
      <c r="E11" s="86">
        <v>3396</v>
      </c>
      <c r="F11" s="80">
        <v>8.0583749999999998</v>
      </c>
      <c r="G11" s="87">
        <f>E11*F11</f>
        <v>27366.2415</v>
      </c>
    </row>
    <row r="12" spans="1:7" s="8" customFormat="1" ht="14.5">
      <c r="B12" s="77"/>
      <c r="C12" s="81" t="s">
        <v>58</v>
      </c>
      <c r="D12" s="79" t="s">
        <v>55</v>
      </c>
      <c r="E12" s="86">
        <v>230</v>
      </c>
      <c r="F12" s="80">
        <v>8.0583749999999998</v>
      </c>
      <c r="G12" s="87">
        <f>E12*F12</f>
        <v>1853.42625</v>
      </c>
    </row>
    <row r="13" spans="1:7" s="8" customFormat="1">
      <c r="B13" s="77"/>
      <c r="C13" s="82"/>
      <c r="D13" s="83"/>
      <c r="E13" s="84"/>
      <c r="F13" s="84"/>
      <c r="G13" s="85"/>
    </row>
    <row r="14" spans="1:7" s="8" customFormat="1" ht="13">
      <c r="A14" s="110"/>
      <c r="B14" s="117" t="s">
        <v>82</v>
      </c>
      <c r="C14" s="112" t="s">
        <v>59</v>
      </c>
      <c r="D14" s="113"/>
      <c r="E14" s="114"/>
      <c r="F14" s="115"/>
      <c r="G14" s="116"/>
    </row>
    <row r="15" spans="1:7" s="8" customFormat="1" ht="13">
      <c r="A15" s="137"/>
      <c r="B15" s="138"/>
      <c r="C15" s="143" t="s">
        <v>102</v>
      </c>
      <c r="D15" s="139"/>
      <c r="E15" s="140"/>
      <c r="F15" s="141"/>
      <c r="G15" s="142"/>
    </row>
    <row r="16" spans="1:7" s="8" customFormat="1" ht="12.5">
      <c r="B16" s="77"/>
      <c r="C16" s="78"/>
      <c r="D16" s="88"/>
      <c r="E16" s="89"/>
      <c r="F16" s="90"/>
      <c r="G16" s="91"/>
    </row>
    <row r="17" spans="2:7" s="8" customFormat="1" ht="14.5">
      <c r="B17" s="77" t="s">
        <v>83</v>
      </c>
      <c r="C17" s="92" t="s">
        <v>60</v>
      </c>
      <c r="D17" s="79"/>
      <c r="E17" s="86"/>
      <c r="F17" s="80"/>
      <c r="G17" s="87"/>
    </row>
    <row r="18" spans="2:7" s="8" customFormat="1" ht="204.5">
      <c r="B18" s="77"/>
      <c r="C18" s="93" t="s">
        <v>61</v>
      </c>
      <c r="D18" s="79"/>
      <c r="E18" s="86"/>
      <c r="F18" s="80"/>
      <c r="G18" s="87" t="str">
        <f>IF(ISNUMBER(E18),E18*F18,"")</f>
        <v/>
      </c>
    </row>
    <row r="19" spans="2:7" s="8" customFormat="1" ht="50">
      <c r="B19" s="77"/>
      <c r="C19" s="93" t="s">
        <v>62</v>
      </c>
      <c r="D19" s="79"/>
      <c r="E19" s="86"/>
      <c r="F19" s="80"/>
      <c r="G19" s="87" t="str">
        <f>IF(ISNUMBER(E19),E19*F19,"")</f>
        <v/>
      </c>
    </row>
    <row r="20" spans="2:7" s="8" customFormat="1" ht="14.5">
      <c r="B20" s="77"/>
      <c r="C20" s="94" t="s">
        <v>63</v>
      </c>
      <c r="D20" s="79" t="s">
        <v>55</v>
      </c>
      <c r="E20" s="86">
        <v>127.73</v>
      </c>
      <c r="F20" s="80">
        <v>56.038124999999994</v>
      </c>
      <c r="G20" s="87">
        <f>E20*F20</f>
        <v>7157.7497062499997</v>
      </c>
    </row>
    <row r="21" spans="2:7" s="8" customFormat="1" ht="14.5">
      <c r="B21" s="77"/>
      <c r="C21" s="94"/>
      <c r="D21" s="79"/>
      <c r="E21" s="95"/>
      <c r="F21" s="80"/>
      <c r="G21" s="87"/>
    </row>
    <row r="22" spans="2:7" s="8" customFormat="1" ht="175">
      <c r="B22" s="77" t="s">
        <v>84</v>
      </c>
      <c r="C22" s="81" t="s">
        <v>64</v>
      </c>
      <c r="D22" s="96"/>
      <c r="E22" s="95"/>
      <c r="F22" s="97"/>
      <c r="G22" s="98"/>
    </row>
    <row r="23" spans="2:7" s="8" customFormat="1" ht="50">
      <c r="B23" s="77"/>
      <c r="C23" s="93" t="s">
        <v>65</v>
      </c>
      <c r="D23" s="99" t="s">
        <v>55</v>
      </c>
      <c r="E23" s="100">
        <v>1685</v>
      </c>
      <c r="F23" s="101">
        <v>40.5234375</v>
      </c>
      <c r="G23" s="87">
        <f>E23*F23</f>
        <v>68281.9921875</v>
      </c>
    </row>
    <row r="24" spans="2:7" s="8" customFormat="1" ht="12.5">
      <c r="B24" s="77"/>
      <c r="C24" s="102"/>
      <c r="D24" s="79"/>
      <c r="E24" s="79"/>
      <c r="F24" s="79"/>
      <c r="G24" s="91"/>
    </row>
    <row r="25" spans="2:7" s="8" customFormat="1" ht="14.5">
      <c r="B25" s="77" t="s">
        <v>85</v>
      </c>
      <c r="C25" s="92" t="s">
        <v>66</v>
      </c>
      <c r="D25" s="79"/>
      <c r="E25" s="86"/>
      <c r="F25" s="80"/>
      <c r="G25" s="87"/>
    </row>
    <row r="26" spans="2:7" s="8" customFormat="1" ht="14.5">
      <c r="B26" s="77"/>
      <c r="C26" s="93" t="s">
        <v>67</v>
      </c>
      <c r="D26" s="79"/>
      <c r="E26" s="86"/>
      <c r="F26" s="80"/>
      <c r="G26" s="87"/>
    </row>
    <row r="27" spans="2:7" s="8" customFormat="1" ht="14.5">
      <c r="B27" s="77"/>
      <c r="C27" s="94" t="s">
        <v>63</v>
      </c>
      <c r="D27" s="79" t="s">
        <v>55</v>
      </c>
      <c r="E27" s="86">
        <v>402.5</v>
      </c>
      <c r="F27" s="80">
        <v>31.955625000000001</v>
      </c>
      <c r="G27" s="87">
        <f>E27*F27</f>
        <v>12862.1390625</v>
      </c>
    </row>
    <row r="28" spans="2:7" s="8" customFormat="1" ht="14.5">
      <c r="B28" s="77"/>
      <c r="C28" s="93"/>
      <c r="D28" s="79"/>
      <c r="E28" s="86"/>
      <c r="F28" s="80"/>
      <c r="G28" s="87"/>
    </row>
    <row r="29" spans="2:7" s="8" customFormat="1" ht="14.5">
      <c r="B29" s="77" t="s">
        <v>87</v>
      </c>
      <c r="C29" s="92" t="s">
        <v>68</v>
      </c>
      <c r="D29" s="79"/>
      <c r="E29" s="86"/>
      <c r="F29" s="80"/>
      <c r="G29" s="87"/>
    </row>
    <row r="30" spans="2:7" s="8" customFormat="1" ht="14.5">
      <c r="B30" s="77"/>
      <c r="C30" s="93" t="s">
        <v>69</v>
      </c>
      <c r="D30" s="79"/>
      <c r="E30" s="86"/>
      <c r="F30" s="80"/>
      <c r="G30" s="87"/>
    </row>
    <row r="31" spans="2:7" s="8" customFormat="1" ht="14.5">
      <c r="B31" s="77"/>
      <c r="C31" s="94" t="s">
        <v>63</v>
      </c>
      <c r="D31" s="79" t="s">
        <v>55</v>
      </c>
      <c r="E31" s="86">
        <v>18</v>
      </c>
      <c r="F31" s="80">
        <v>29.639999999999997</v>
      </c>
      <c r="G31" s="87">
        <f>E31*F31</f>
        <v>533.52</v>
      </c>
    </row>
    <row r="32" spans="2:7" s="8" customFormat="1" ht="14.5">
      <c r="B32" s="77"/>
      <c r="C32" s="93"/>
      <c r="D32" s="79"/>
      <c r="E32" s="86"/>
      <c r="F32" s="80"/>
      <c r="G32" s="87"/>
    </row>
    <row r="33" spans="1:7" s="8" customFormat="1" ht="14.5">
      <c r="B33" s="77"/>
      <c r="C33" s="93"/>
      <c r="D33" s="79"/>
      <c r="E33" s="86"/>
      <c r="F33" s="80"/>
      <c r="G33" s="87"/>
    </row>
    <row r="34" spans="1:7" s="8" customFormat="1" ht="39">
      <c r="B34" s="77" t="s">
        <v>86</v>
      </c>
      <c r="C34" s="103" t="s">
        <v>70</v>
      </c>
      <c r="D34" s="79"/>
      <c r="E34" s="86"/>
      <c r="F34" s="80"/>
      <c r="G34" s="87"/>
    </row>
    <row r="35" spans="1:7" s="8" customFormat="1" ht="50">
      <c r="B35" s="77"/>
      <c r="C35" s="93" t="s">
        <v>97</v>
      </c>
      <c r="D35" s="79"/>
      <c r="E35" s="86"/>
      <c r="F35" s="80"/>
      <c r="G35" s="87"/>
    </row>
    <row r="36" spans="1:7" s="8" customFormat="1" ht="37.5">
      <c r="B36" s="77"/>
      <c r="C36" s="93" t="s">
        <v>71</v>
      </c>
      <c r="D36" s="79"/>
      <c r="E36" s="86"/>
      <c r="F36" s="80"/>
      <c r="G36" s="87"/>
    </row>
    <row r="37" spans="1:7" s="8" customFormat="1" ht="14.5">
      <c r="B37" s="77"/>
      <c r="C37" s="93" t="s">
        <v>72</v>
      </c>
      <c r="D37" s="79" t="s">
        <v>55</v>
      </c>
      <c r="E37" s="86">
        <v>39</v>
      </c>
      <c r="F37" s="80">
        <v>53.259374999999999</v>
      </c>
      <c r="G37" s="87">
        <f>E37*F37</f>
        <v>2077.1156249999999</v>
      </c>
    </row>
    <row r="38" spans="1:7" s="8" customFormat="1" ht="14.5">
      <c r="B38" s="77"/>
      <c r="C38" s="93" t="s">
        <v>73</v>
      </c>
      <c r="D38" s="79" t="s">
        <v>55</v>
      </c>
      <c r="E38" s="86">
        <v>46</v>
      </c>
      <c r="F38" s="80">
        <v>42.607500000000002</v>
      </c>
      <c r="G38" s="87">
        <f>E38*F38</f>
        <v>1959.9450000000002</v>
      </c>
    </row>
    <row r="39" spans="1:7" s="8" customFormat="1" ht="14.5">
      <c r="B39" s="77"/>
      <c r="C39" s="93" t="s">
        <v>74</v>
      </c>
      <c r="D39" s="79" t="s">
        <v>55</v>
      </c>
      <c r="E39" s="86">
        <v>2.5</v>
      </c>
      <c r="F39" s="80">
        <v>37.97625</v>
      </c>
      <c r="G39" s="87">
        <f>E39*F39</f>
        <v>94.940624999999997</v>
      </c>
    </row>
    <row r="40" spans="1:7" s="8" customFormat="1" ht="14.5">
      <c r="B40" s="77"/>
      <c r="C40" s="93"/>
      <c r="D40" s="79"/>
      <c r="E40" s="86"/>
      <c r="F40" s="80"/>
      <c r="G40" s="87"/>
    </row>
    <row r="41" spans="1:7" s="8" customFormat="1" ht="14.5">
      <c r="A41" s="119" t="s">
        <v>96</v>
      </c>
      <c r="B41" s="77" t="s">
        <v>88</v>
      </c>
      <c r="C41" s="103" t="s">
        <v>75</v>
      </c>
      <c r="D41" s="79"/>
      <c r="E41" s="86"/>
      <c r="F41" s="80"/>
      <c r="G41" s="87"/>
    </row>
    <row r="42" spans="1:7" s="8" customFormat="1" ht="25">
      <c r="A42" s="119"/>
      <c r="B42" s="77"/>
      <c r="C42" s="93" t="str">
        <f>"Isto kao stavka 8.2 samo na podgledu balkona fasadne toplinsko izolacijske ploče od EPS za ETICS fasadne sustave."</f>
        <v>Isto kao stavka 8.2 samo na podgledu balkona fasadne toplinsko izolacijske ploče od EPS za ETICS fasadne sustave.</v>
      </c>
      <c r="D42" s="79"/>
      <c r="E42" s="86"/>
      <c r="F42" s="80"/>
      <c r="G42" s="87"/>
    </row>
    <row r="43" spans="1:7" s="8" customFormat="1" ht="14.5">
      <c r="A43" s="119"/>
      <c r="B43" s="77"/>
      <c r="C43" s="93" t="s">
        <v>76</v>
      </c>
      <c r="D43" s="79" t="s">
        <v>55</v>
      </c>
      <c r="E43" s="86">
        <v>803</v>
      </c>
      <c r="F43" s="80">
        <v>34.271250000000002</v>
      </c>
      <c r="G43" s="87">
        <f>E43*F43</f>
        <v>27519.813750000001</v>
      </c>
    </row>
    <row r="44" spans="1:7" s="8" customFormat="1" ht="14.5">
      <c r="A44" s="119"/>
      <c r="B44" s="77"/>
      <c r="C44" s="93" t="s">
        <v>73</v>
      </c>
      <c r="D44" s="79" t="s">
        <v>55</v>
      </c>
      <c r="E44" s="86">
        <v>188</v>
      </c>
      <c r="F44" s="80">
        <v>31.955625000000001</v>
      </c>
      <c r="G44" s="87">
        <f>E44*F44</f>
        <v>6007.6575000000003</v>
      </c>
    </row>
    <row r="45" spans="1:7" s="8" customFormat="1" ht="14.5">
      <c r="B45" s="77"/>
      <c r="C45" s="94" t="s">
        <v>77</v>
      </c>
      <c r="D45" s="79"/>
      <c r="E45" s="86"/>
      <c r="F45" s="80"/>
      <c r="G45" s="87" t="str">
        <f>IF(ISNUMBER(E45),E45*F45,"")</f>
        <v/>
      </c>
    </row>
    <row r="46" spans="1:7" s="8" customFormat="1" ht="100">
      <c r="A46" s="119" t="s">
        <v>96</v>
      </c>
      <c r="B46" s="77" t="s">
        <v>89</v>
      </c>
      <c r="C46" s="104" t="s">
        <v>78</v>
      </c>
      <c r="D46" s="79"/>
      <c r="E46" s="86"/>
      <c r="F46" s="80"/>
      <c r="G46" s="87" t="str">
        <f>IF(ISNUMBER(E46),E46*F46,"")</f>
        <v/>
      </c>
    </row>
    <row r="47" spans="1:7" s="8" customFormat="1" ht="14.5">
      <c r="A47" s="119"/>
      <c r="B47" s="77"/>
      <c r="C47" s="144" t="s">
        <v>79</v>
      </c>
      <c r="D47" s="79" t="s">
        <v>55</v>
      </c>
      <c r="E47" s="86">
        <v>3631</v>
      </c>
      <c r="F47" s="80">
        <v>15.314</v>
      </c>
      <c r="G47" s="87">
        <f>E47*F47</f>
        <v>55605.133999999998</v>
      </c>
    </row>
    <row r="48" spans="1:7" s="8" customFormat="1" ht="14.5">
      <c r="B48" s="77"/>
      <c r="C48" s="104"/>
      <c r="D48" s="79"/>
      <c r="E48" s="86"/>
      <c r="F48" s="80"/>
      <c r="G48" s="87"/>
    </row>
    <row r="49" spans="2:7" s="8" customFormat="1" ht="14.5">
      <c r="B49" s="77" t="s">
        <v>91</v>
      </c>
      <c r="C49" s="104" t="s">
        <v>90</v>
      </c>
      <c r="D49" s="79"/>
      <c r="E49" s="86"/>
      <c r="F49" s="80"/>
      <c r="G49" s="87"/>
    </row>
    <row r="50" spans="2:7" s="8" customFormat="1" ht="14.5">
      <c r="B50" s="77"/>
      <c r="C50" s="144" t="s">
        <v>79</v>
      </c>
      <c r="D50" s="79" t="s">
        <v>55</v>
      </c>
      <c r="E50" s="86">
        <v>252.5</v>
      </c>
      <c r="F50" s="80">
        <v>15.283124999999998</v>
      </c>
      <c r="G50" s="87">
        <f>E50*F50</f>
        <v>3858.9890624999994</v>
      </c>
    </row>
    <row r="51" spans="2:7" s="8" customFormat="1" ht="14.5">
      <c r="B51" s="77"/>
      <c r="C51" s="104"/>
      <c r="D51" s="79"/>
      <c r="E51" s="86"/>
      <c r="F51" s="80"/>
      <c r="G51" s="87"/>
    </row>
    <row r="52" spans="2:7" s="8" customFormat="1" ht="25">
      <c r="B52" s="77" t="s">
        <v>93</v>
      </c>
      <c r="C52" s="104" t="s">
        <v>92</v>
      </c>
      <c r="D52" s="79"/>
      <c r="E52" s="86"/>
      <c r="F52" s="80"/>
      <c r="G52" s="87"/>
    </row>
    <row r="53" spans="2:7" s="8" customFormat="1" ht="14.5">
      <c r="B53" s="77"/>
      <c r="C53" s="144" t="s">
        <v>79</v>
      </c>
      <c r="D53" s="79" t="s">
        <v>55</v>
      </c>
      <c r="E53" s="86">
        <v>178</v>
      </c>
      <c r="F53" s="80">
        <v>16.05</v>
      </c>
      <c r="G53" s="87">
        <f>E53*F53</f>
        <v>2856.9</v>
      </c>
    </row>
    <row r="54" spans="2:7" s="8" customFormat="1" ht="14.5">
      <c r="B54" s="77"/>
      <c r="C54" s="104"/>
      <c r="D54" s="79"/>
      <c r="E54" s="86"/>
      <c r="F54" s="80"/>
      <c r="G54" s="87" t="str">
        <f t="shared" ref="G54:G55" si="0">IF(ISNUMBER(E54),E54*F54,"")</f>
        <v/>
      </c>
    </row>
    <row r="55" spans="2:7" s="8" customFormat="1" ht="37.5">
      <c r="B55" s="77" t="s">
        <v>95</v>
      </c>
      <c r="C55" s="104" t="s">
        <v>94</v>
      </c>
      <c r="D55" s="79"/>
      <c r="E55" s="86"/>
      <c r="F55" s="80"/>
      <c r="G55" s="87" t="str">
        <f t="shared" si="0"/>
        <v/>
      </c>
    </row>
    <row r="56" spans="2:7" s="8" customFormat="1" ht="14.5">
      <c r="B56" s="77"/>
      <c r="C56" s="144" t="s">
        <v>79</v>
      </c>
      <c r="D56" s="79" t="s">
        <v>55</v>
      </c>
      <c r="E56" s="86">
        <v>131</v>
      </c>
      <c r="F56" s="80">
        <v>15</v>
      </c>
      <c r="G56" s="87">
        <f>E56*F56</f>
        <v>1965</v>
      </c>
    </row>
    <row r="57" spans="2:7" s="8" customFormat="1" ht="14.5">
      <c r="B57" s="77"/>
      <c r="C57" s="78"/>
      <c r="D57" s="79"/>
      <c r="E57" s="86"/>
      <c r="F57" s="80"/>
      <c r="G57" s="87"/>
    </row>
    <row r="58" spans="2:7" s="8" customFormat="1" ht="13" thickBot="1">
      <c r="B58" s="77"/>
      <c r="C58" s="78"/>
      <c r="D58" s="79"/>
      <c r="E58" s="90"/>
      <c r="F58" s="80"/>
      <c r="G58" s="91"/>
    </row>
    <row r="59" spans="2:7" s="8" customFormat="1" ht="13">
      <c r="B59" s="77"/>
      <c r="C59" s="105" t="s">
        <v>80</v>
      </c>
      <c r="D59" s="106"/>
      <c r="E59" s="107"/>
      <c r="F59" s="108"/>
      <c r="G59" s="109">
        <f>SUM(G11:G57)</f>
        <v>220000.56426875002</v>
      </c>
    </row>
    <row r="61" spans="2:7">
      <c r="C61" s="145" t="s">
        <v>104</v>
      </c>
      <c r="D61" s="146"/>
      <c r="E61" s="146"/>
      <c r="F61" s="146"/>
      <c r="G61" s="146"/>
    </row>
    <row r="62" spans="2:7">
      <c r="C62" s="145" t="s">
        <v>106</v>
      </c>
      <c r="D62" s="146" t="s">
        <v>55</v>
      </c>
      <c r="E62" s="146">
        <v>1600</v>
      </c>
      <c r="F62" s="146">
        <v>6.95</v>
      </c>
      <c r="G62" s="146">
        <f>E62*F62</f>
        <v>11120</v>
      </c>
    </row>
    <row r="63" spans="2:7">
      <c r="C63" s="145" t="s">
        <v>107</v>
      </c>
      <c r="D63" s="146" t="s">
        <v>55</v>
      </c>
      <c r="E63" s="146">
        <v>750</v>
      </c>
      <c r="F63" s="146">
        <v>5.2</v>
      </c>
      <c r="G63" s="146">
        <f t="shared" ref="G63:G64" si="1">E63*F63</f>
        <v>3900</v>
      </c>
    </row>
    <row r="64" spans="2:7" ht="14.5" thickBot="1">
      <c r="C64" s="145" t="s">
        <v>105</v>
      </c>
      <c r="D64" s="147" t="s">
        <v>55</v>
      </c>
      <c r="E64" s="147">
        <v>600</v>
      </c>
      <c r="F64" s="147">
        <v>3.5</v>
      </c>
      <c r="G64" s="147">
        <f t="shared" si="1"/>
        <v>2100</v>
      </c>
    </row>
    <row r="65" spans="3:7">
      <c r="C65" s="145"/>
      <c r="D65" s="146" t="s">
        <v>109</v>
      </c>
      <c r="E65" s="146"/>
      <c r="F65" s="146"/>
      <c r="G65" s="146">
        <f>SUM(G62:G64)</f>
        <v>17120</v>
      </c>
    </row>
    <row r="66" spans="3:7" ht="14.5" thickBot="1">
      <c r="C66" s="145"/>
      <c r="D66" s="148" t="s">
        <v>110</v>
      </c>
      <c r="E66" s="148"/>
      <c r="F66" s="148"/>
      <c r="G66" s="148">
        <f>G65*0.25</f>
        <v>4280</v>
      </c>
    </row>
    <row r="67" spans="3:7" ht="14.5" thickTop="1">
      <c r="C67" s="145"/>
      <c r="D67" s="146" t="s">
        <v>111</v>
      </c>
      <c r="E67" s="146"/>
      <c r="F67" s="146"/>
      <c r="G67" s="146">
        <f>G65+G66</f>
        <v>21400</v>
      </c>
    </row>
    <row r="68" spans="3:7">
      <c r="C68" s="145"/>
      <c r="D68" s="146"/>
      <c r="E68" s="146"/>
      <c r="F68" s="146"/>
      <c r="G68" s="146"/>
    </row>
    <row r="69" spans="3:7">
      <c r="C69" s="145" t="s">
        <v>108</v>
      </c>
      <c r="D69" s="146"/>
      <c r="E69" s="146"/>
      <c r="F69" s="146"/>
      <c r="G69" s="146"/>
    </row>
    <row r="70" spans="3:7">
      <c r="C70" s="145"/>
      <c r="D70" s="146"/>
      <c r="E70" s="146"/>
      <c r="F70" s="146"/>
      <c r="G70" s="146"/>
    </row>
    <row r="71" spans="3:7">
      <c r="F71" s="73" t="s">
        <v>112</v>
      </c>
    </row>
    <row r="72" spans="3:7">
      <c r="C72" s="18" t="s">
        <v>98</v>
      </c>
      <c r="F72" s="73" t="s">
        <v>100</v>
      </c>
    </row>
    <row r="73" spans="3:7">
      <c r="C73" s="18" t="s">
        <v>99</v>
      </c>
      <c r="F73" s="73" t="s">
        <v>101</v>
      </c>
    </row>
  </sheetData>
  <mergeCells count="3">
    <mergeCell ref="A3:G3"/>
    <mergeCell ref="A41:A44"/>
    <mergeCell ref="A46:A47"/>
  </mergeCells>
  <pageMargins left="0.88" right="0.70866141732283472" top="0.4" bottom="0.41" header="0.19685039370078741" footer="0.19685039370078741"/>
  <pageSetup paperSize="9" scale="68" fitToHeight="0" orientation="portrait" r:id="rId1"/>
  <headerFooter>
    <oddFooter>&amp;R&amp;P/&amp;N</oddFooter>
  </headerFooter>
  <rowBreaks count="1" manualBreakCount="1">
    <brk id="3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8762-D68F-4AF4-A0C7-ABCBD821D536}">
  <dimension ref="A1:F111"/>
  <sheetViews>
    <sheetView view="pageBreakPreview" topLeftCell="A15" zoomScale="130" zoomScaleNormal="130" zoomScaleSheetLayoutView="130" workbookViewId="0">
      <selection activeCell="B30" sqref="B30"/>
    </sheetView>
  </sheetViews>
  <sheetFormatPr defaultColWidth="9.26953125" defaultRowHeight="14"/>
  <cols>
    <col min="1" max="1" width="8.26953125" style="1" customWidth="1"/>
    <col min="2" max="2" width="58" style="1" customWidth="1"/>
    <col min="3" max="3" width="7.54296875" style="1" customWidth="1"/>
    <col min="4" max="4" width="9.7265625" style="1" bestFit="1" customWidth="1"/>
    <col min="5" max="5" width="12.7265625" style="1" customWidth="1"/>
    <col min="6" max="6" width="14.26953125" style="1" bestFit="1" customWidth="1"/>
    <col min="7" max="16384" width="9.26953125" style="1"/>
  </cols>
  <sheetData>
    <row r="1" spans="1:6">
      <c r="A1" s="121" t="s">
        <v>0</v>
      </c>
      <c r="B1" s="121"/>
      <c r="C1" s="2"/>
      <c r="D1" s="3"/>
      <c r="E1" s="4"/>
      <c r="F1" s="5"/>
    </row>
    <row r="2" spans="1:6">
      <c r="A2" s="6"/>
      <c r="B2" s="130" t="s">
        <v>31</v>
      </c>
      <c r="C2" s="130"/>
      <c r="D2" s="130"/>
      <c r="E2" s="130"/>
      <c r="F2" s="130"/>
    </row>
    <row r="3" spans="1:6">
      <c r="A3" s="6"/>
      <c r="B3" s="130"/>
      <c r="C3" s="130"/>
      <c r="D3" s="130"/>
      <c r="E3" s="130"/>
      <c r="F3" s="130"/>
    </row>
    <row r="4" spans="1:6">
      <c r="A4" s="6"/>
      <c r="B4" s="130"/>
      <c r="C4" s="130"/>
      <c r="D4" s="130"/>
      <c r="E4" s="130"/>
      <c r="F4" s="130"/>
    </row>
    <row r="5" spans="1:6">
      <c r="A5" s="134" t="s">
        <v>1</v>
      </c>
      <c r="B5" s="134"/>
      <c r="C5" s="134"/>
      <c r="D5" s="134"/>
      <c r="E5" s="134"/>
      <c r="F5" s="134"/>
    </row>
    <row r="6" spans="1:6">
      <c r="A6" s="6" t="s">
        <v>2</v>
      </c>
      <c r="B6" s="33"/>
      <c r="C6" s="33"/>
      <c r="D6" s="33"/>
      <c r="E6" s="33"/>
      <c r="F6" s="7"/>
    </row>
    <row r="7" spans="1:6">
      <c r="A7" s="8"/>
      <c r="B7" s="135" t="s">
        <v>25</v>
      </c>
      <c r="C7" s="135"/>
      <c r="D7" s="135"/>
      <c r="E7" s="135"/>
      <c r="F7" s="135"/>
    </row>
    <row r="8" spans="1:6">
      <c r="A8" s="8"/>
      <c r="B8" s="135"/>
      <c r="C8" s="135"/>
      <c r="D8" s="135"/>
      <c r="E8" s="135"/>
      <c r="F8" s="135"/>
    </row>
    <row r="9" spans="1:6">
      <c r="A9" s="8"/>
      <c r="B9" s="135"/>
      <c r="C9" s="135"/>
      <c r="D9" s="135"/>
      <c r="E9" s="135"/>
      <c r="F9" s="135"/>
    </row>
    <row r="10" spans="1:6">
      <c r="A10" s="136" t="s">
        <v>35</v>
      </c>
      <c r="B10" s="136"/>
      <c r="C10" s="136"/>
      <c r="D10" s="136"/>
      <c r="E10" s="136"/>
      <c r="F10" s="136"/>
    </row>
    <row r="11" spans="1:6">
      <c r="A11" s="2"/>
      <c r="B11" s="2"/>
      <c r="C11" s="2"/>
      <c r="D11" s="2"/>
      <c r="E11" s="2"/>
      <c r="F11" s="9"/>
    </row>
    <row r="12" spans="1:6">
      <c r="A12" s="132" t="s">
        <v>48</v>
      </c>
      <c r="B12" s="133"/>
      <c r="C12" s="133"/>
      <c r="D12" s="133"/>
      <c r="E12" s="133"/>
      <c r="F12" s="133"/>
    </row>
    <row r="13" spans="1:6">
      <c r="A13" s="132"/>
      <c r="B13" s="133"/>
      <c r="C13" s="133"/>
      <c r="D13" s="133"/>
      <c r="E13" s="133"/>
      <c r="F13" s="133"/>
    </row>
    <row r="14" spans="1:6">
      <c r="A14" s="132"/>
      <c r="B14" s="133"/>
      <c r="C14" s="133"/>
      <c r="D14" s="133"/>
      <c r="E14" s="133"/>
      <c r="F14" s="133"/>
    </row>
    <row r="15" spans="1:6">
      <c r="A15" s="133"/>
      <c r="B15" s="133"/>
      <c r="C15" s="133"/>
      <c r="D15" s="133"/>
      <c r="E15" s="133"/>
      <c r="F15" s="133"/>
    </row>
    <row r="16" spans="1:6">
      <c r="A16" s="10"/>
      <c r="B16" s="10"/>
      <c r="C16" s="10"/>
      <c r="D16" s="10"/>
      <c r="E16" s="10"/>
      <c r="F16" s="11"/>
    </row>
    <row r="17" spans="1:6">
      <c r="A17" s="8"/>
      <c r="B17" s="12" t="s">
        <v>3</v>
      </c>
      <c r="C17" s="2"/>
      <c r="D17" s="8"/>
      <c r="E17" s="8"/>
      <c r="F17" s="13"/>
    </row>
    <row r="18" spans="1:6">
      <c r="A18" s="121" t="s">
        <v>49</v>
      </c>
      <c r="B18" s="121"/>
      <c r="C18" s="121"/>
      <c r="D18" s="121"/>
      <c r="E18" s="121"/>
      <c r="F18" s="121"/>
    </row>
    <row r="19" spans="1:6">
      <c r="A19" s="121"/>
      <c r="B19" s="121"/>
      <c r="C19" s="121"/>
      <c r="D19" s="121"/>
      <c r="E19" s="121"/>
      <c r="F19" s="121"/>
    </row>
    <row r="20" spans="1:6">
      <c r="A20" s="121"/>
      <c r="B20" s="121"/>
      <c r="C20" s="121"/>
      <c r="D20" s="121"/>
      <c r="E20" s="121"/>
      <c r="F20" s="121"/>
    </row>
    <row r="21" spans="1:6">
      <c r="A21" s="121"/>
      <c r="B21" s="121"/>
      <c r="C21" s="121"/>
      <c r="D21" s="121"/>
      <c r="E21" s="121"/>
      <c r="F21" s="121"/>
    </row>
    <row r="22" spans="1:6" ht="21">
      <c r="A22" s="14" t="s">
        <v>4</v>
      </c>
      <c r="B22" s="14" t="s">
        <v>5</v>
      </c>
      <c r="C22" s="15" t="s">
        <v>6</v>
      </c>
      <c r="D22" s="16" t="s">
        <v>7</v>
      </c>
      <c r="E22" s="17" t="s">
        <v>8</v>
      </c>
      <c r="F22" s="16" t="s">
        <v>9</v>
      </c>
    </row>
    <row r="23" spans="1:6" s="8" customFormat="1" ht="13">
      <c r="A23" s="51"/>
      <c r="B23" s="52"/>
      <c r="C23" s="52"/>
      <c r="D23" s="53"/>
      <c r="E23" s="53"/>
      <c r="F23" s="54"/>
    </row>
    <row r="24" spans="1:6" s="8" customFormat="1" ht="18">
      <c r="A24" s="60"/>
      <c r="B24" s="61" t="s">
        <v>36</v>
      </c>
      <c r="C24" s="62"/>
      <c r="D24" s="63"/>
      <c r="E24" s="64"/>
      <c r="F24" s="64" t="str">
        <f t="shared" ref="F24:F28" si="0">IF(D24,D24*E24," ")</f>
        <v xml:space="preserve"> </v>
      </c>
    </row>
    <row r="25" spans="1:6" s="8" customFormat="1" ht="18">
      <c r="A25" s="60"/>
      <c r="B25" s="65"/>
      <c r="C25" s="62"/>
      <c r="D25" s="64"/>
      <c r="E25" s="66"/>
      <c r="F25" s="64"/>
    </row>
    <row r="26" spans="1:6" s="8" customFormat="1" ht="12.5">
      <c r="A26" s="60"/>
      <c r="B26" s="65"/>
      <c r="C26" s="62"/>
      <c r="D26" s="64"/>
      <c r="E26" s="64"/>
      <c r="F26" s="64"/>
    </row>
    <row r="27" spans="1:6" s="8" customFormat="1" ht="12.5">
      <c r="A27" s="60" t="s">
        <v>37</v>
      </c>
      <c r="B27" s="65" t="s">
        <v>38</v>
      </c>
      <c r="C27" s="62"/>
      <c r="D27" s="64"/>
      <c r="E27" s="64"/>
      <c r="F27" s="64" t="str">
        <f t="shared" si="0"/>
        <v xml:space="preserve"> </v>
      </c>
    </row>
    <row r="28" spans="1:6" s="8" customFormat="1" ht="14.5">
      <c r="A28" s="60"/>
      <c r="B28" s="67" t="s">
        <v>39</v>
      </c>
      <c r="C28" s="62" t="s">
        <v>40</v>
      </c>
      <c r="D28" s="64">
        <v>515.54999999999995</v>
      </c>
      <c r="E28" s="64">
        <v>65</v>
      </c>
      <c r="F28" s="64">
        <f t="shared" si="0"/>
        <v>33510.75</v>
      </c>
    </row>
    <row r="29" spans="1:6" s="8" customFormat="1" ht="14.5">
      <c r="A29" s="60"/>
      <c r="B29" s="67" t="s">
        <v>46</v>
      </c>
      <c r="C29" s="62" t="s">
        <v>40</v>
      </c>
      <c r="D29" s="64">
        <v>746.5</v>
      </c>
      <c r="E29" s="64">
        <v>65</v>
      </c>
      <c r="F29" s="64">
        <f>IF(D29,D29*E29," ")</f>
        <v>48522.5</v>
      </c>
    </row>
    <row r="30" spans="1:6" s="8" customFormat="1" ht="14.5">
      <c r="A30" s="60"/>
      <c r="B30" s="67" t="s">
        <v>41</v>
      </c>
      <c r="C30" s="62" t="s">
        <v>40</v>
      </c>
      <c r="D30" s="64">
        <v>138.78</v>
      </c>
      <c r="E30" s="64">
        <v>65</v>
      </c>
      <c r="F30" s="64">
        <f>IF(D30,D30*E30," ")</f>
        <v>9020.7000000000007</v>
      </c>
    </row>
    <row r="31" spans="1:6" s="8" customFormat="1" ht="50.25" customHeight="1">
      <c r="A31" s="55"/>
      <c r="B31" s="68" t="s">
        <v>51</v>
      </c>
      <c r="C31" s="56"/>
      <c r="D31" s="50"/>
      <c r="E31" s="58"/>
      <c r="F31" s="49"/>
    </row>
    <row r="32" spans="1:6" s="8" customFormat="1" ht="18">
      <c r="A32" s="60"/>
      <c r="B32" s="61" t="s">
        <v>42</v>
      </c>
      <c r="C32" s="62"/>
      <c r="D32" s="63"/>
      <c r="E32" s="64"/>
      <c r="F32" s="64" t="str">
        <f t="shared" ref="F32:F36" si="1">IF(D32,D32*E32," ")</f>
        <v xml:space="preserve"> </v>
      </c>
    </row>
    <row r="33" spans="1:6" s="8" customFormat="1" ht="12.5">
      <c r="A33" s="60"/>
      <c r="B33" s="65"/>
      <c r="C33" s="62"/>
      <c r="D33" s="63"/>
      <c r="E33" s="64"/>
      <c r="F33" s="64" t="str">
        <f t="shared" si="1"/>
        <v xml:space="preserve"> </v>
      </c>
    </row>
    <row r="34" spans="1:6" s="8" customFormat="1" ht="50">
      <c r="A34" s="60" t="s">
        <v>43</v>
      </c>
      <c r="B34" s="65" t="s">
        <v>50</v>
      </c>
      <c r="C34" s="62" t="s">
        <v>40</v>
      </c>
      <c r="D34" s="63">
        <v>91.36</v>
      </c>
      <c r="E34" s="64">
        <v>81</v>
      </c>
      <c r="F34" s="64">
        <f t="shared" si="1"/>
        <v>7400.16</v>
      </c>
    </row>
    <row r="35" spans="1:6" s="8" customFormat="1" ht="12.5">
      <c r="A35" s="60"/>
      <c r="B35" s="65"/>
      <c r="C35" s="62"/>
      <c r="D35" s="63"/>
      <c r="E35" s="64"/>
      <c r="F35" s="64" t="str">
        <f t="shared" si="1"/>
        <v xml:space="preserve"> </v>
      </c>
    </row>
    <row r="36" spans="1:6" s="8" customFormat="1" ht="25">
      <c r="A36" s="60" t="s">
        <v>44</v>
      </c>
      <c r="B36" s="65" t="s">
        <v>45</v>
      </c>
      <c r="C36" s="62" t="s">
        <v>40</v>
      </c>
      <c r="D36" s="64">
        <v>360.48</v>
      </c>
      <c r="E36" s="64">
        <v>84</v>
      </c>
      <c r="F36" s="64">
        <f t="shared" si="1"/>
        <v>30280.32</v>
      </c>
    </row>
    <row r="37" spans="1:6" s="8" customFormat="1" ht="12.5">
      <c r="A37" s="60"/>
      <c r="B37" s="65"/>
      <c r="C37" s="62"/>
      <c r="D37" s="64"/>
      <c r="E37" s="64"/>
      <c r="F37" s="64"/>
    </row>
    <row r="38" spans="1:6" s="8" customFormat="1" ht="12.5">
      <c r="A38" s="55"/>
      <c r="B38" s="57"/>
      <c r="C38" s="56"/>
      <c r="D38" s="50"/>
      <c r="E38" s="58"/>
      <c r="F38" s="49"/>
    </row>
    <row r="39" spans="1:6">
      <c r="A39" s="34"/>
      <c r="B39" s="35" t="s">
        <v>32</v>
      </c>
      <c r="C39" s="35"/>
      <c r="D39" s="35"/>
      <c r="E39" s="39"/>
      <c r="F39" s="46">
        <f>SUM(F24:F36)</f>
        <v>128734.43</v>
      </c>
    </row>
    <row r="40" spans="1:6">
      <c r="A40" s="41"/>
      <c r="B40" s="42" t="s">
        <v>27</v>
      </c>
      <c r="C40" s="43"/>
      <c r="D40" s="44"/>
      <c r="E40" s="45"/>
      <c r="F40" s="47">
        <f>F39*0.1</f>
        <v>12873.442999999999</v>
      </c>
    </row>
    <row r="41" spans="1:6" ht="14.5" thickBot="1">
      <c r="A41" s="36"/>
      <c r="B41" s="37" t="s">
        <v>29</v>
      </c>
      <c r="C41" s="37"/>
      <c r="D41" s="40"/>
      <c r="E41" s="38"/>
      <c r="F41" s="48">
        <f>F39-F40</f>
        <v>115860.98699999999</v>
      </c>
    </row>
    <row r="42" spans="1:6" ht="14.25" customHeight="1">
      <c r="A42" s="128" t="s">
        <v>28</v>
      </c>
      <c r="B42" s="128"/>
      <c r="C42" s="128"/>
      <c r="D42" s="128"/>
      <c r="E42" s="128"/>
      <c r="F42" s="128"/>
    </row>
    <row r="43" spans="1:6">
      <c r="A43" s="18"/>
      <c r="B43" s="19"/>
      <c r="C43" s="18"/>
      <c r="D43" s="18"/>
      <c r="E43" s="18"/>
      <c r="F43" s="20"/>
    </row>
    <row r="44" spans="1:6">
      <c r="A44" s="120" t="s">
        <v>10</v>
      </c>
      <c r="B44" s="120"/>
      <c r="C44" s="120"/>
      <c r="D44" s="120"/>
      <c r="E44" s="120"/>
      <c r="F44" s="120"/>
    </row>
    <row r="45" spans="1:6">
      <c r="A45" s="129" t="s">
        <v>33</v>
      </c>
      <c r="B45" s="129"/>
      <c r="C45" s="129"/>
      <c r="D45" s="129"/>
      <c r="E45" s="129"/>
      <c r="F45" s="129"/>
    </row>
    <row r="46" spans="1:6">
      <c r="A46" s="129"/>
      <c r="B46" s="129"/>
      <c r="C46" s="129"/>
      <c r="D46" s="129"/>
      <c r="E46" s="129"/>
      <c r="F46" s="129"/>
    </row>
    <row r="47" spans="1:6">
      <c r="A47" s="129"/>
      <c r="B47" s="129"/>
      <c r="C47" s="129"/>
      <c r="D47" s="129"/>
      <c r="E47" s="129"/>
      <c r="F47" s="129"/>
    </row>
    <row r="48" spans="1:6">
      <c r="A48" s="129"/>
      <c r="B48" s="129"/>
      <c r="C48" s="129"/>
      <c r="D48" s="129"/>
      <c r="E48" s="129"/>
      <c r="F48" s="129"/>
    </row>
    <row r="49" spans="1:6">
      <c r="A49" s="129"/>
      <c r="B49" s="129"/>
      <c r="C49" s="129"/>
      <c r="D49" s="129"/>
      <c r="E49" s="129"/>
      <c r="F49" s="129"/>
    </row>
    <row r="50" spans="1:6">
      <c r="A50" s="129"/>
      <c r="B50" s="129"/>
      <c r="C50" s="129"/>
      <c r="D50" s="129"/>
      <c r="E50" s="129"/>
      <c r="F50" s="129"/>
    </row>
    <row r="51" spans="1:6" s="59" customFormat="1" ht="22.15" customHeight="1">
      <c r="A51" s="129"/>
      <c r="B51" s="129"/>
      <c r="C51" s="129"/>
      <c r="D51" s="129"/>
      <c r="E51" s="129"/>
      <c r="F51" s="129"/>
    </row>
    <row r="52" spans="1:6">
      <c r="A52" s="129"/>
      <c r="B52" s="129"/>
      <c r="C52" s="129"/>
      <c r="D52" s="129"/>
      <c r="E52" s="129"/>
      <c r="F52" s="129"/>
    </row>
    <row r="53" spans="1:6">
      <c r="A53" s="21"/>
      <c r="B53" s="8"/>
      <c r="C53" s="8"/>
      <c r="D53" s="8"/>
      <c r="E53" s="8"/>
      <c r="F53" s="8"/>
    </row>
    <row r="54" spans="1:6">
      <c r="A54" s="120" t="s">
        <v>11</v>
      </c>
      <c r="B54" s="120"/>
      <c r="C54" s="120"/>
      <c r="D54" s="120"/>
      <c r="E54" s="120"/>
      <c r="F54" s="120"/>
    </row>
    <row r="55" spans="1:6">
      <c r="A55" s="130" t="s">
        <v>47</v>
      </c>
      <c r="B55" s="130"/>
      <c r="C55" s="130"/>
      <c r="D55" s="130"/>
      <c r="E55" s="130"/>
      <c r="F55" s="130"/>
    </row>
    <row r="56" spans="1:6" ht="15.65" customHeight="1">
      <c r="A56" s="130"/>
      <c r="B56" s="130"/>
      <c r="C56" s="130"/>
      <c r="D56" s="130"/>
      <c r="E56" s="130"/>
      <c r="F56" s="130"/>
    </row>
    <row r="57" spans="1:6">
      <c r="A57" s="120" t="s">
        <v>12</v>
      </c>
      <c r="B57" s="120"/>
      <c r="C57" s="120"/>
      <c r="D57" s="120"/>
      <c r="E57" s="120"/>
      <c r="F57" s="120"/>
    </row>
    <row r="58" spans="1:6">
      <c r="A58" s="126" t="s">
        <v>34</v>
      </c>
      <c r="B58" s="126"/>
      <c r="C58" s="126"/>
      <c r="D58" s="126"/>
      <c r="E58" s="126"/>
      <c r="F58" s="126"/>
    </row>
    <row r="59" spans="1:6">
      <c r="A59" s="126"/>
      <c r="B59" s="126"/>
      <c r="C59" s="126"/>
      <c r="D59" s="126"/>
      <c r="E59" s="126"/>
      <c r="F59" s="126"/>
    </row>
    <row r="60" spans="1:6">
      <c r="A60" s="8"/>
      <c r="B60" s="8"/>
      <c r="C60" s="2"/>
      <c r="D60" s="8"/>
      <c r="E60" s="8"/>
      <c r="F60" s="13"/>
    </row>
    <row r="61" spans="1:6">
      <c r="A61" s="131" t="s">
        <v>13</v>
      </c>
      <c r="B61" s="131"/>
      <c r="C61" s="131"/>
      <c r="D61" s="131"/>
      <c r="E61" s="131"/>
      <c r="F61" s="131"/>
    </row>
    <row r="62" spans="1:6">
      <c r="A62" s="127" t="s">
        <v>24</v>
      </c>
      <c r="B62" s="127"/>
      <c r="C62" s="127"/>
      <c r="D62" s="127"/>
      <c r="E62" s="127"/>
      <c r="F62" s="127"/>
    </row>
    <row r="63" spans="1:6">
      <c r="A63" s="127"/>
      <c r="B63" s="127"/>
      <c r="C63" s="127"/>
      <c r="D63" s="127"/>
      <c r="E63" s="127"/>
      <c r="F63" s="127"/>
    </row>
    <row r="64" spans="1:6">
      <c r="A64" s="127"/>
      <c r="B64" s="127"/>
      <c r="C64" s="127"/>
      <c r="D64" s="127"/>
      <c r="E64" s="127"/>
      <c r="F64" s="127"/>
    </row>
    <row r="65" spans="1:6">
      <c r="A65" s="127"/>
      <c r="B65" s="127"/>
      <c r="C65" s="127"/>
      <c r="D65" s="127"/>
      <c r="E65" s="127"/>
      <c r="F65" s="127"/>
    </row>
    <row r="66" spans="1:6">
      <c r="A66" s="127"/>
      <c r="B66" s="127"/>
      <c r="C66" s="127"/>
      <c r="D66" s="127"/>
      <c r="E66" s="127"/>
      <c r="F66" s="127"/>
    </row>
    <row r="67" spans="1:6">
      <c r="A67" s="127"/>
      <c r="B67" s="127"/>
      <c r="C67" s="127"/>
      <c r="D67" s="127"/>
      <c r="E67" s="127"/>
      <c r="F67" s="127"/>
    </row>
    <row r="68" spans="1:6">
      <c r="A68" s="127"/>
      <c r="B68" s="127"/>
      <c r="C68" s="127"/>
      <c r="D68" s="127"/>
      <c r="E68" s="127"/>
      <c r="F68" s="127"/>
    </row>
    <row r="69" spans="1:6">
      <c r="A69" s="127"/>
      <c r="B69" s="127"/>
      <c r="C69" s="127"/>
      <c r="D69" s="127"/>
      <c r="E69" s="127"/>
      <c r="F69" s="127"/>
    </row>
    <row r="70" spans="1:6">
      <c r="A70" s="127" t="s">
        <v>14</v>
      </c>
      <c r="B70" s="127"/>
      <c r="C70" s="127"/>
      <c r="D70" s="127"/>
      <c r="E70" s="127"/>
      <c r="F70" s="127"/>
    </row>
    <row r="71" spans="1:6">
      <c r="A71" s="127"/>
      <c r="B71" s="127"/>
      <c r="C71" s="127"/>
      <c r="D71" s="127"/>
      <c r="E71" s="127"/>
      <c r="F71" s="127"/>
    </row>
    <row r="72" spans="1:6">
      <c r="A72" s="127"/>
      <c r="B72" s="127"/>
      <c r="C72" s="127"/>
      <c r="D72" s="127"/>
      <c r="E72" s="127"/>
      <c r="F72" s="127"/>
    </row>
    <row r="73" spans="1:6">
      <c r="A73" s="127"/>
      <c r="B73" s="127"/>
      <c r="C73" s="127"/>
      <c r="D73" s="127"/>
      <c r="E73" s="127"/>
      <c r="F73" s="127"/>
    </row>
    <row r="74" spans="1:6">
      <c r="A74" s="127"/>
      <c r="B74" s="127"/>
      <c r="C74" s="127"/>
      <c r="D74" s="127"/>
      <c r="E74" s="127"/>
      <c r="F74" s="127"/>
    </row>
    <row r="75" spans="1:6">
      <c r="A75" s="127"/>
      <c r="B75" s="127"/>
      <c r="C75" s="127"/>
      <c r="D75" s="127"/>
      <c r="E75" s="127"/>
      <c r="F75" s="127"/>
    </row>
    <row r="76" spans="1:6">
      <c r="A76" s="127"/>
      <c r="B76" s="127"/>
      <c r="C76" s="127"/>
      <c r="D76" s="127"/>
      <c r="E76" s="127"/>
      <c r="F76" s="127"/>
    </row>
    <row r="77" spans="1:6">
      <c r="A77" s="127"/>
      <c r="B77" s="127"/>
      <c r="C77" s="127"/>
      <c r="D77" s="127"/>
      <c r="E77" s="127"/>
      <c r="F77" s="127"/>
    </row>
    <row r="78" spans="1:6">
      <c r="A78" s="124" t="s">
        <v>30</v>
      </c>
      <c r="B78" s="124"/>
      <c r="C78" s="124"/>
      <c r="D78" s="124"/>
      <c r="E78" s="124"/>
      <c r="F78" s="124"/>
    </row>
    <row r="79" spans="1:6">
      <c r="A79" s="124"/>
      <c r="B79" s="124"/>
      <c r="C79" s="124"/>
      <c r="D79" s="124"/>
      <c r="E79" s="124"/>
      <c r="F79" s="124"/>
    </row>
    <row r="80" spans="1:6">
      <c r="A80" s="124"/>
      <c r="B80" s="124"/>
      <c r="C80" s="124"/>
      <c r="D80" s="124"/>
      <c r="E80" s="124"/>
      <c r="F80" s="124"/>
    </row>
    <row r="81" spans="1:6">
      <c r="A81" s="124"/>
      <c r="B81" s="124"/>
      <c r="C81" s="124"/>
      <c r="D81" s="124"/>
      <c r="E81" s="124"/>
      <c r="F81" s="124"/>
    </row>
    <row r="82" spans="1:6">
      <c r="A82" s="31"/>
      <c r="B82" s="31"/>
      <c r="C82" s="31"/>
      <c r="D82" s="31"/>
      <c r="E82" s="31"/>
      <c r="F82" s="22"/>
    </row>
    <row r="83" spans="1:6">
      <c r="A83" s="120" t="s">
        <v>15</v>
      </c>
      <c r="B83" s="120"/>
      <c r="C83" s="120"/>
      <c r="D83" s="120"/>
      <c r="E83" s="120"/>
      <c r="F83" s="120"/>
    </row>
    <row r="84" spans="1:6" ht="14.25" customHeight="1">
      <c r="A84" s="125" t="s">
        <v>54</v>
      </c>
      <c r="B84" s="125"/>
      <c r="C84" s="125"/>
      <c r="D84" s="125"/>
      <c r="E84" s="125"/>
      <c r="F84" s="125"/>
    </row>
    <row r="85" spans="1:6">
      <c r="A85" s="125"/>
      <c r="B85" s="125"/>
      <c r="C85" s="125"/>
      <c r="D85" s="125"/>
      <c r="E85" s="125"/>
      <c r="F85" s="125"/>
    </row>
    <row r="86" spans="1:6">
      <c r="A86" s="125"/>
      <c r="B86" s="125"/>
      <c r="C86" s="125"/>
      <c r="D86" s="125"/>
      <c r="E86" s="125"/>
      <c r="F86" s="125"/>
    </row>
    <row r="87" spans="1:6">
      <c r="A87" s="31"/>
      <c r="B87" s="31"/>
      <c r="C87" s="31"/>
      <c r="D87" s="31"/>
      <c r="E87" s="31"/>
      <c r="F87" s="22"/>
    </row>
    <row r="88" spans="1:6">
      <c r="A88" s="120" t="s">
        <v>16</v>
      </c>
      <c r="B88" s="120"/>
      <c r="C88" s="120"/>
      <c r="D88" s="120"/>
      <c r="E88" s="120"/>
      <c r="F88" s="120"/>
    </row>
    <row r="89" spans="1:6">
      <c r="A89" s="125" t="s">
        <v>17</v>
      </c>
      <c r="B89" s="125"/>
      <c r="C89" s="125"/>
      <c r="D89" s="125"/>
      <c r="E89" s="125"/>
      <c r="F89" s="125"/>
    </row>
    <row r="90" spans="1:6">
      <c r="A90" s="125"/>
      <c r="B90" s="125"/>
      <c r="C90" s="125"/>
      <c r="D90" s="125"/>
      <c r="E90" s="125"/>
      <c r="F90" s="125"/>
    </row>
    <row r="91" spans="1:6">
      <c r="A91" s="125"/>
      <c r="B91" s="125"/>
      <c r="C91" s="125"/>
      <c r="D91" s="125"/>
      <c r="E91" s="125"/>
      <c r="F91" s="125"/>
    </row>
    <row r="92" spans="1:6">
      <c r="A92" s="125"/>
      <c r="B92" s="125"/>
      <c r="C92" s="125"/>
      <c r="D92" s="125"/>
      <c r="E92" s="125"/>
      <c r="F92" s="125"/>
    </row>
    <row r="93" spans="1:6">
      <c r="A93" s="125"/>
      <c r="B93" s="125"/>
      <c r="C93" s="125"/>
      <c r="D93" s="125"/>
      <c r="E93" s="125"/>
      <c r="F93" s="125"/>
    </row>
    <row r="94" spans="1:6">
      <c r="A94" s="125"/>
      <c r="B94" s="125"/>
      <c r="C94" s="125"/>
      <c r="D94" s="125"/>
      <c r="E94" s="125"/>
      <c r="F94" s="125"/>
    </row>
    <row r="95" spans="1:6">
      <c r="A95" s="125"/>
      <c r="B95" s="125"/>
      <c r="C95" s="125"/>
      <c r="D95" s="125"/>
      <c r="E95" s="125"/>
      <c r="F95" s="125"/>
    </row>
    <row r="96" spans="1:6">
      <c r="A96" s="126"/>
      <c r="B96" s="126"/>
      <c r="C96" s="126"/>
      <c r="D96" s="126"/>
      <c r="E96" s="126"/>
      <c r="F96" s="126"/>
    </row>
    <row r="97" spans="1:6">
      <c r="A97" s="120" t="s">
        <v>52</v>
      </c>
      <c r="B97" s="120"/>
      <c r="C97" s="120"/>
      <c r="D97" s="120"/>
      <c r="E97" s="120"/>
      <c r="F97" s="120"/>
    </row>
    <row r="98" spans="1:6">
      <c r="A98" s="121" t="s">
        <v>18</v>
      </c>
      <c r="B98" s="122"/>
      <c r="C98" s="122"/>
      <c r="D98" s="122"/>
      <c r="E98" s="122"/>
      <c r="F98" s="122"/>
    </row>
    <row r="99" spans="1:6">
      <c r="A99" s="21"/>
      <c r="B99" s="21"/>
      <c r="C99" s="10"/>
      <c r="D99" s="21"/>
      <c r="E99" s="21"/>
      <c r="F99" s="23"/>
    </row>
    <row r="100" spans="1:6">
      <c r="A100" s="24"/>
      <c r="B100" s="25" t="s">
        <v>19</v>
      </c>
      <c r="C100" s="26"/>
      <c r="D100" s="27"/>
      <c r="E100" s="27"/>
      <c r="F100" s="13" t="str">
        <f>IF(E100,E100*D100," ")</f>
        <v xml:space="preserve"> </v>
      </c>
    </row>
    <row r="101" spans="1:6">
      <c r="A101" s="123" t="s">
        <v>20</v>
      </c>
      <c r="B101" s="123"/>
      <c r="C101" s="2"/>
      <c r="D101" s="8"/>
      <c r="E101" s="32" t="s">
        <v>21</v>
      </c>
      <c r="F101" s="13"/>
    </row>
    <row r="102" spans="1:6">
      <c r="A102" s="123" t="s">
        <v>22</v>
      </c>
      <c r="B102" s="123"/>
      <c r="C102" s="2"/>
      <c r="D102" s="8"/>
      <c r="E102" s="4" t="s">
        <v>23</v>
      </c>
      <c r="F102" s="13"/>
    </row>
    <row r="103" spans="1:6">
      <c r="A103" s="8" t="s">
        <v>53</v>
      </c>
      <c r="B103" s="8"/>
      <c r="C103" s="2"/>
      <c r="D103" s="8"/>
      <c r="E103" s="32" t="s">
        <v>26</v>
      </c>
      <c r="F103" s="13"/>
    </row>
    <row r="104" spans="1:6">
      <c r="A104" s="6"/>
      <c r="B104" s="28"/>
      <c r="C104" s="29"/>
      <c r="D104" s="30"/>
      <c r="E104" s="5"/>
      <c r="F104" s="13"/>
    </row>
    <row r="105" spans="1:6">
      <c r="A105" s="6"/>
      <c r="B105" s="28"/>
      <c r="C105" s="29"/>
      <c r="D105" s="30"/>
      <c r="E105" s="5"/>
      <c r="F105" s="13"/>
    </row>
    <row r="106" spans="1:6">
      <c r="A106" s="6"/>
      <c r="B106" s="28"/>
      <c r="C106" s="29"/>
      <c r="D106" s="30"/>
      <c r="E106" s="5"/>
      <c r="F106" s="13"/>
    </row>
    <row r="107" spans="1:6">
      <c r="A107" s="6"/>
      <c r="B107" s="28"/>
      <c r="C107" s="29"/>
      <c r="D107" s="30"/>
      <c r="E107" s="5"/>
      <c r="F107" s="13"/>
    </row>
    <row r="108" spans="1:6">
      <c r="A108" s="6"/>
      <c r="B108" s="28"/>
      <c r="C108" s="29"/>
      <c r="D108" s="30"/>
      <c r="E108" s="5"/>
      <c r="F108" s="13"/>
    </row>
    <row r="109" spans="1:6">
      <c r="A109" s="6"/>
      <c r="B109" s="28"/>
      <c r="C109" s="29"/>
      <c r="D109" s="30"/>
      <c r="E109" s="5"/>
      <c r="F109" s="13"/>
    </row>
    <row r="110" spans="1:6">
      <c r="A110" s="6"/>
      <c r="B110" s="28"/>
      <c r="C110" s="29"/>
      <c r="D110" s="30"/>
      <c r="E110" s="5"/>
      <c r="F110" s="13"/>
    </row>
    <row r="111" spans="1:6">
      <c r="A111" s="6"/>
      <c r="B111" s="28"/>
      <c r="C111" s="29"/>
      <c r="D111" s="30"/>
      <c r="E111" s="5"/>
      <c r="F111" s="13"/>
    </row>
  </sheetData>
  <protectedRanges>
    <protectedRange password="C8FD" sqref="F45:F52" name="Raspon3_3"/>
    <protectedRange sqref="F45:F52" name="Raspon1_3"/>
    <protectedRange password="C8FD" sqref="E45:E52" name="Raspon3_1_2"/>
    <protectedRange sqref="E45:E52" name="Raspon1_1_2"/>
  </protectedRanges>
  <mergeCells count="28">
    <mergeCell ref="A12:F15"/>
    <mergeCell ref="A1:B1"/>
    <mergeCell ref="B2:F4"/>
    <mergeCell ref="A5:F5"/>
    <mergeCell ref="B7:F9"/>
    <mergeCell ref="A10:F10"/>
    <mergeCell ref="A70:F77"/>
    <mergeCell ref="A18:F21"/>
    <mergeCell ref="A42:F42"/>
    <mergeCell ref="A44:F44"/>
    <mergeCell ref="A45:F52"/>
    <mergeCell ref="A54:F54"/>
    <mergeCell ref="A55:F55"/>
    <mergeCell ref="A56:F56"/>
    <mergeCell ref="A57:F57"/>
    <mergeCell ref="A58:F59"/>
    <mergeCell ref="A61:F61"/>
    <mergeCell ref="A62:F69"/>
    <mergeCell ref="A97:F97"/>
    <mergeCell ref="A98:F98"/>
    <mergeCell ref="A101:B101"/>
    <mergeCell ref="A102:B102"/>
    <mergeCell ref="A78:F81"/>
    <mergeCell ref="A83:F83"/>
    <mergeCell ref="A84:F86"/>
    <mergeCell ref="A88:F88"/>
    <mergeCell ref="A89:F95"/>
    <mergeCell ref="A96:F96"/>
  </mergeCells>
  <pageMargins left="0.88" right="0.70866141732283472" top="0.4" bottom="0.41" header="0.19685039370078741" footer="0.19685039370078741"/>
  <pageSetup paperSize="9" scale="77" orientation="portrait" horizontalDpi="4294967293" r:id="rId1"/>
  <headerFooter>
    <oddFooter>&amp;R&amp;P/&amp;N</oddFooter>
  </headerFooter>
  <rowBreaks count="1" manualBreakCount="1">
    <brk id="60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4cc806-28c9-4870-a8b3-3b5fc14d2613">
      <UserInfo>
        <DisplayName>Filip Kišiček</DisplayName>
        <AccountId>7</AccountId>
        <AccountType/>
      </UserInfo>
    </SharedWithUsers>
    <lcf76f155ced4ddcb4097134ff3c332f xmlns="3cc1302a-65d1-4f41-b691-829654540ef7">
      <Terms xmlns="http://schemas.microsoft.com/office/infopath/2007/PartnerControls"/>
    </lcf76f155ced4ddcb4097134ff3c332f>
    <TaxCatchAll xmlns="e34cc806-28c9-4870-a8b3-3b5fc14d26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8F110346402D049812E64C88D6D6904" ma:contentTypeVersion="20" ma:contentTypeDescription="Stvaranje novog dokumenta." ma:contentTypeScope="" ma:versionID="514c6a8ca7dc545c0435a3b4672097be">
  <xsd:schema xmlns:xsd="http://www.w3.org/2001/XMLSchema" xmlns:xs="http://www.w3.org/2001/XMLSchema" xmlns:p="http://schemas.microsoft.com/office/2006/metadata/properties" xmlns:ns2="3cc1302a-65d1-4f41-b691-829654540ef7" xmlns:ns3="e34cc806-28c9-4870-a8b3-3b5fc14d2613" targetNamespace="http://schemas.microsoft.com/office/2006/metadata/properties" ma:root="true" ma:fieldsID="63a9ca2939556626fe439e339352fbb3" ns2:_="" ns3:_="">
    <xsd:import namespace="3cc1302a-65d1-4f41-b691-829654540ef7"/>
    <xsd:import namespace="e34cc806-28c9-4870-a8b3-3b5fc14d26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1302a-65d1-4f41-b691-829654540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Oznake slika" ma:readOnly="false" ma:fieldId="{5cf76f15-5ced-4ddc-b409-7134ff3c332f}" ma:taxonomyMulti="true" ma:sspId="3f280987-da4b-4a2d-a98f-3ef71e0eb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cc806-28c9-4870-a8b3-3b5fc14d26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3be3537-b73c-4305-a025-217df59f38af}" ma:internalName="TaxCatchAll" ma:showField="CatchAllData" ma:web="e34cc806-28c9-4870-a8b3-3b5fc14d26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B0A700-791C-4CBF-B6AC-648670318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AABE8E-B368-4653-B6CD-71B79292D2CE}">
  <ds:schemaRefs>
    <ds:schemaRef ds:uri="http://schemas.microsoft.com/office/2006/metadata/properties"/>
    <ds:schemaRef ds:uri="http://schemas.microsoft.com/office/infopath/2007/PartnerControls"/>
    <ds:schemaRef ds:uri="e34cc806-28c9-4870-a8b3-3b5fc14d2613"/>
    <ds:schemaRef ds:uri="3cc1302a-65d1-4f41-b691-829654540ef7"/>
  </ds:schemaRefs>
</ds:datastoreItem>
</file>

<file path=customXml/itemProps3.xml><?xml version="1.0" encoding="utf-8"?>
<ds:datastoreItem xmlns:ds="http://schemas.openxmlformats.org/officeDocument/2006/customXml" ds:itemID="{8DC33941-A1FC-4457-A9BB-0E2C331A7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1302a-65d1-4f41-b691-829654540ef7"/>
    <ds:schemaRef ds:uri="e34cc806-28c9-4870-a8b3-3b5fc14d26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2</vt:i4>
      </vt:variant>
      <vt:variant>
        <vt:lpstr>Imenovani rasponi</vt:lpstr>
      </vt:variant>
      <vt:variant>
        <vt:i4>2</vt:i4>
      </vt:variant>
    </vt:vector>
  </HeadingPairs>
  <TitlesOfParts>
    <vt:vector size="4" baseType="lpstr">
      <vt:lpstr>List1</vt:lpstr>
      <vt:lpstr>List1 (2)</vt:lpstr>
      <vt:lpstr>List1!Podrucje_ispisa</vt:lpstr>
      <vt:lpstr>'List1 (2)'!Podrucje_ispisa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Filip Kišiček</dc:creator>
  <cp:lastModifiedBy>Slavko Kišiček</cp:lastModifiedBy>
  <cp:lastPrinted>2025-05-07T06:01:15Z</cp:lastPrinted>
  <dcterms:created xsi:type="dcterms:W3CDTF">2018-02-19T06:44:45Z</dcterms:created>
  <dcterms:modified xsi:type="dcterms:W3CDTF">2025-05-13T08:47:06Z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0x010100A8F110346402D049812E64C88D6D6904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