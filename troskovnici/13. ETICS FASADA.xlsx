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P:\PONUDE\PONUDE VESNA\2026.G\07. BRULO-DVORANA\02. TROŠKOVNICI ZA PONUDE\"/>
    </mc:Choice>
  </mc:AlternateContent>
  <xr:revisionPtr revIDLastSave="0" documentId="8_{289908B3-BCE9-4954-96A6-6A77FC302A25}" xr6:coauthVersionLast="47" xr6:coauthVersionMax="47" xr10:uidLastSave="{00000000-0000-0000-0000-000000000000}"/>
  <bookViews>
    <workbookView xWindow="40425" yWindow="1185" windowWidth="31995" windowHeight="20835" xr2:uid="{DE39DE4F-82B0-4931-AB45-4CACF481BE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1" l="1"/>
  <c r="G39" i="1"/>
  <c r="G34" i="1"/>
  <c r="G27" i="1"/>
  <c r="G26" i="1"/>
  <c r="G25" i="1"/>
  <c r="G14" i="1"/>
  <c r="G41" i="1" s="1"/>
</calcChain>
</file>

<file path=xl/sharedStrings.xml><?xml version="1.0" encoding="utf-8"?>
<sst xmlns="http://schemas.openxmlformats.org/spreadsheetml/2006/main" count="76" uniqueCount="40">
  <si>
    <t>fas</t>
  </si>
  <si>
    <t>FASADERSKI RADOVI</t>
  </si>
  <si>
    <t>Svi radovi moraju se izvoditi  prema podacima iz projektne dokumentacije, u skladu sa pravilima struke i prema važećim propisima, primjenjujući važeće opće i posebne tehničke propise i norme, naročito:
Tehnički uvjeti za izvođenje fasaderskih radova, standard  HRN U.F2.010
Pravilnik o teh. normativima za projektiranje i izvođenje završnih radova u građevinarstvu (S.L.   21/90)
Tehnički propis o građevnim proizvodima [nn 33/10; 87/10, 147/10, 81/11 i 100/11]</t>
  </si>
  <si>
    <t>Tehnički propis za prozore i vrata (NN 69/06) 
Tehnički propis o racionalnoj uporabi energije i toplinskoj zaštiti u zgradama (NN 110/2008)
Posebna uputstva proizvođača.
Prihvaćaju se samo cjeloviti fasadni sustavi, odnosno cjeloviti sustavi obješenih fasada, kombinacije proizvoda  iz različitih sustava nisu prihvatljive.
Svi nanosi, žbuke i premazi moraju imati: dobra fizičko - mehanička svojstva,dobra vlažnosna svojstva,
visoku rezidentnost i vremensko postojanje, povoljnu i laganu ugradljivost.
Fizičko - mehanička svojstva: otpornost na habanje, otpornost na udarce, prionljivost na podlogu u suhom i mokrom stanju,</t>
  </si>
  <si>
    <t>Vlažnosna svojstva:
otpornost na ispiranje kišom,otpornost prema atmosferskoj vlazi, otpornost na hidrostatski tlak,
parapropusnost. 
Rezistentnost:
otpornost prema povišenim temperaturama,promjene boje pod djelovanjem sunca i kiše, otpornost prema brzom starenju, otpornost prema kemikalijama.
Podloga na koju se nanosi žbuka za fasadu od sintetičkih materijala treba da je suha,čvrsta, bez masnih mrlja i prašine, bez neravnina. Svježe zračno - suhe produžne ili vapnene žbuke moraju biti stare najmanje 14 dana. Stare i jako porozne podloge potrebno je predhodno obraditi podložnim premazima, 
impregnirati (grundom) prema uputama proizvođača.</t>
  </si>
  <si>
    <t>Obračun se vrši razvijanjem svih istaka, tj. za stvarno uređene površine.
Otvori oko kojih postoje uložine (špaletne) do 20 cm širine, odbijaju se slijedeći način:
a) otvori veličine do 3,00 m2 ne odbijaju se i njihove uložine se ne obračunavaju;
b) kod otvora veličine 3,00-5,00 m2 odbija se površina preko 3,00 m2, a uložine se ne obračunavaju posebno;
c) kod otvora veličine preko 5,00 m2 odbija se površina preko 3,00 m2, a uložine se obračunavaju posebno; ako su uložine šire od 20 cm onda se višak preko 20 cm obračunava posebno po m2.</t>
  </si>
  <si>
    <t>U cijenu uključiti dobavu i postavu svih pripadajućih profila i to okapnog profila kao StoTropfkantenprofil, brtvenog profila na sudaru fasade sa stolarskim stavkama kao StoAnputzleiste, kutnog profila s integriranom finom tlkaninom od staklenih vlakana kao StoGewebewinkel, profila za izvedbu diletacija kao StoDehnfugenprofil Typ E ili Typ V, profil na spoju sa okapnim limom kao StoAtikaanschlussprofil, te StoPutzabschlussprofil (razdjelnik) za izradu čistih spojeva na žbuci.</t>
  </si>
  <si>
    <t>Prilikom formiranja jediničnih cijena uzete su u obzir sve specifičnosti postojećeg stanja, uvjeti na gradilištu i stvarni obim radova (npr. kod rušenja, demontaža, sanacija i sl.), te su isti uključeni u jedinične cijene stavki.</t>
  </si>
  <si>
    <t>Jedinična cijena stavke obuhvaća potpunu izvedbu radova prema projektnoj dokumentaciji, važećim propisima i pravilima struke, uputama proizvođača materijala/sustava uključivo sav potreban materijal, rad, transport, pripremne, pomoćne i završne radove, a što prvenstveno znači da:
-U cijenu su uključeni i svi radovi i materijali koji nisu posebno navedeni u stavci, ali su nužni za potpunu i funkcionalnu izvedbu.
-Kod ugradnje sustava i materijala određenog proizvođača u cijenu su uključeni svi elementi sustava i radovi potrebni za pravilnu ugradnju prema tehničkim uputama proizvođača (npr. impregnacije, trake, mrežice, spojni i brtveni elementi i sl.).</t>
  </si>
  <si>
    <t>U cijeni stavke su sve potrebne radnje i materijali koje je bilo moguće utvrditi uvidom u stanje građevine u fazi nuđenja (moglo se utvrditi pregledom prije davanja ponude (uključujući i na zahtjev Izvođača točkastog utvrđivanja stanja zidova, podova, instalacija i sl.)), predvidivi uvjeti na gradilištu ili opseg radova.</t>
  </si>
  <si>
    <t>Jedinična cijena svake stavke obuhvaća potpunu izvedbu radova prema projektnoj dokumentaciji, pravilima struke i uputama proizvođača materijala, uključivo sve potrebne radove, materijale, elemente sustava, pripremne, pomoćne i završne radnje i materijale potrebne za potpuno dovršenje stavke.</t>
  </si>
  <si>
    <t>14.1</t>
  </si>
  <si>
    <t>Doprema, izrada, najam i skidanje fasadne skele od željeznih cijevi sa potrebnim spojnim elementima i radnom površinom od okovanih tavalona. U cijenu je uključena izrada zaštitne ograde od tri reda cijevi sa svim potrebnim ukrućenjima, sav rad, materijal, transport i amortizacija. Skele se izrađuju u svemu prema važećim tehničkim propisima uvažavajući mjere zaštite na radu i HTZ propise. Prema ulici postaviti zaštitno platno od jute ili sl. Nakon upotrebe skelu pažljivo skinuti, sve spojne elemente očistiti i sortirati. Obračun  po m².</t>
  </si>
  <si>
    <t>fasadna skela</t>
  </si>
  <si>
    <t>m2</t>
  </si>
  <si>
    <t>14.2</t>
  </si>
  <si>
    <t>Dobava materijala i izrada toplinske fasade (ETICS) u sustavu StoTherm Mineral sa završnom obradom prema izboru projektanta, uz prethodne radnje po uputama proizvođača. 
Tehničke karakteristike proizvoda:
- Reakcija na požar: razred A1 prema HRN EN 13501-1
- Koeficijent toplinske provodljivosti,λ = 0,036 W/mK HRN EN 12667
- Tlačna čvrstoća kod 10% deformacije σ10 = 20 kPa prema HRN EN 826
- Delaminacijska čvrstoća:σmt = 7,5 kPa za debljine do 60 mm,  σmt = 10 kPa za debljine veće od 60 mm, prema HRN EN 1607</t>
  </si>
  <si>
    <t>Napomena: Podloga mora biti suha, čvrsta, čista, bez nataloženih slojeva. Prema potrebi AB površine premazati univerzalnim predpremazom na vodenoj i akrilatnoj osnovi StoPlex W. Obavezna je zaštita bravarije, stolarije, klupčica i okapa. Termoizolacija zidova pločama  od mineralne vune  d= 10 cm, podgleda 3 cm, parapeta terasa 3,00 c , hrapave površine, koje se minimalno 40% prekrivaju ljepilom te lijepe na zid i dodatno učvršćuju fasadnim  pričvrsnicama,sve spojeve različitih materijala na fasadnoj površini potrebno je dodatno dilatirati.</t>
  </si>
  <si>
    <t>U cijeni m2 je i dobava i ugradnja anputz šina najbolje kvalitete (kao proizvođača STO) oko svih vansjkih stijena, vrata i prozora. Šine imaju samoljepljivi dio koji se lijepi na štok i mrežicu koja se utapa u fasadu. Po vertikali i horizontali štoka treba ići šina u komadu, rezanje i nadoštukavanje nije dozvoljeno</t>
  </si>
  <si>
    <r>
      <t xml:space="preserve">Dobava i izrada certificiranog, mineralnog, negorivog (A2-s1, d0 prema HRN EN 13501-1) toplinsko-izolacijskog fasadnog sustava kao </t>
    </r>
    <r>
      <rPr>
        <b/>
        <sz val="10"/>
        <rFont val="Arial"/>
        <family val="2"/>
      </rPr>
      <t>StoTherm Mineral</t>
    </r>
    <r>
      <rPr>
        <sz val="10"/>
        <rFont val="Arial"/>
        <family val="2"/>
      </rPr>
      <t xml:space="preserve"> prema uputama proizvođača. Podloga mora biti suha, čista, bez nataloženih slojeva, prljavštine, prašine ili masnoće, ravna i nosiva. </t>
    </r>
    <r>
      <rPr>
        <b/>
        <sz val="10"/>
        <rFont val="Arial"/>
        <family val="2"/>
      </rPr>
      <t>Obavezna je zaštita bravarije, stolarije, klupčica i okapa.</t>
    </r>
    <r>
      <rPr>
        <sz val="10"/>
        <rFont val="Arial"/>
        <family val="2"/>
      </rPr>
      <t xml:space="preserve">
Cijena stavke uključuje dobavu i postavu komponenti prema uputama proizvođača. Redoslijed izvođenja:</t>
    </r>
  </si>
  <si>
    <t xml:space="preserve"> Priprema podloge
Sve labave i razdvajajuće slojeve ukloniti/odbiti s fasadne
površine te poravnati  površinu.  Prije nanošenja novih slojeva podloga mora biti ravna, nosiva, suha i očišćena od svih labavih i razdvajajućih slojeva. U cijeni je i adekvatna impregnacija postojećih obojanih zidova radi prionljivosti ljepila za toplinksku izolaciju.</t>
  </si>
  <si>
    <r>
      <t xml:space="preserve">Ploče mineralne vune, tipa Rockwool Frontrock Max E ili Knauf Insulation FKD-S Thermal, debljine 10 cm nalijepiti ljepilom StoLevell Uni, u ravnini, čvrsto zbijenih rubova, na suhu nosivu podlogu. Dodatno pričvrstiti ploče pričvrsnicama sa pocinčanim trnom (EJOT STR U 2G 8/60) uz minimalnu dubinu sidrenja od 25 mm. Tkaninu od staklenih vlakana StoGlasfasergewebe 110 cm, položiti u masu za armiranje StoLevell Uni, premazati po cijeloj površini i zagladiti u prosječnoj debljini od min 3 mm. </t>
    </r>
    <r>
      <rPr>
        <b/>
        <sz val="10"/>
        <rFont val="Arial"/>
        <family val="2"/>
      </rPr>
      <t>Na pripremljenu podlogu premazanu pigmentiranim međupremazom StoPrep Miral ili StoPutzgrund, nanijeti završne dekorativne slojeve StoSignature prema odabiru projektanta.</t>
    </r>
  </si>
  <si>
    <t>Prije izrade završnog sloja fasadne žbuke pripremiti uzorke boja završne žbuke i dobiti potvrdu investitora i projektanta</t>
  </si>
  <si>
    <t>Lijepljenje i tiplanje toplinske izolacije + gletanje polimercementnim fasadnim ljepilom s utapanjem mrežice</t>
  </si>
  <si>
    <t>Obračun po m2, sve prema tehničkim uputstvima proizvođača materijela.</t>
  </si>
  <si>
    <t>- mineralna vuna 10,0cm</t>
  </si>
  <si>
    <t>- xps podnožja fasade 5 cm</t>
  </si>
  <si>
    <t>- doplatak za izradu dilatacije - mineralna vuna d=5cm</t>
  </si>
  <si>
    <t>Završna dekorativna žbuka</t>
  </si>
  <si>
    <t>14.3</t>
  </si>
  <si>
    <t xml:space="preserve">Dobava i ugradnja završno dekorativne žbuke na osnovi silikonskog veziva kao Baumit SilikonTop, veličine zrna 1,5 mm K u boji prema odabiru projektanta, sukladno važećoj Baumit Life ton karti. </t>
  </si>
  <si>
    <t>Žbuka karakteristika prema EN 15824 i to:
- Utrošak:                                    2.9 kg/m2
- Gustoća materijala:               cca 1,8 kg/dm3
- Paropropusnost:                     V2
- Vodoupojnost:                         V3
- Čvrstoća prionjivosti:             ≥ 0,3 MPa</t>
  </si>
  <si>
    <t>Materijal nanijeti na prethodno pripremljenu podlogu (predpremaz sa sadržajem kvarcnog pijeska tipa Baumit UniPrimer) čeličnim gleterom i neposredno nakon nanošenja strukturirati plastičnom gladilicom, kružnim pokretima. Nakon odgovarajućeg sušenja (minimalno 24-48 sati, ovisno o vremenski uvjetima) površinu obraditi transparentnim premazom sa svjetlucavim efektom na fasadi (tipa Baumit Glitter). Materijal nanijeti na podlogu prskanjem (prskalica s promjerom šprice 4 mm) ili valjkom u križnim potezima.</t>
  </si>
  <si>
    <t xml:space="preserve"> Obračun po m2, sve prema tehničkim listovima i uputama proizvođača materijala.</t>
  </si>
  <si>
    <t>završna dekorativna  žbuka</t>
  </si>
  <si>
    <t>14.4</t>
  </si>
  <si>
    <t>Armiranje polimer-cementnim fasadnim ljepilom s fasadnom mrežicom i završna dekorativna žbuka 
Dobava materijala i izrada dekorativne fasade u sustavu Baumit sa završnom obradom prema izboru projektanta, uz prethodne radnje po uputama proizvođača. 
Pričvrsnice Baumit S ili Baumit N treba postavljati prema zadanoj shemi: u obliku slova W. Prije nego se pristupi punoplošnom armiranju potrebno je izvršiti dijagonalna armiranja oko svih otvora objekta (prozori, vrata). Dijagonalna armiranja izvode se trakama od staklene mrežice 30x50 cm, pod kutem 45° oko uglova vrata i prozora u sloju Baumit StarContact Light ljepila. 
Armiranje se izvodi Baumit OpenTex mrežicom u ljepilu Baumit StarContact Light-a, debljine ≥3 mm.</t>
  </si>
  <si>
    <t xml:space="preserve">Za izvedbu punoplošnog armiranja nazubljenom lopaticom (zub min 10 mm) nanijeti Baumit StarContact Ligh. Mrežica mora biti locirana u gornju trećinu morta za armiranje i ne smije se vidjeti.Potrebni profili za ispravnu izvedbu fasade,  područja oko vanjske stolarije,okapni profili itd. Uključene apu lajsne kao Baumit FensteranschlussProfil Basic , sokl profil kao Baumit SockelProfil Aluminium, kutni profil kao Baumit KantenSchutz mit Gewebe , PVC profil s okapom za balkone kao Baumit TropfkantenProfil. Na armaturni sloj potrebno je nanjeti premaz Baumit UniPrimer toniran u boji dekorativne žbuke, u svrhu poboljšavanja prionjivosti, regulacije upojnosti podloge i postizanja ujednačenije boje. </t>
  </si>
  <si>
    <t xml:space="preserve">Odabrana završno dekorativna žbuka kao Baumit StarTop 1,5 mm, na visokovrijednoj silikonskoj osnovi, ugrađuje se zaribavanjem u kratz tehnici ili rile. Završna obrada izvodi se tankoslojnim žbukama minimalne granulacije 1,5 mm, ili 2,0 mm ili 3,0 mm. </t>
  </si>
  <si>
    <t>- završna fasadna obrada bez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</si>
</sst>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_-@_-"/>
  </numFmts>
  <fonts count="7" x14ac:knownFonts="1">
    <font>
      <sz val="11"/>
      <color theme="1"/>
      <name val="Ebrima"/>
      <family val="2"/>
      <charset val="238"/>
    </font>
    <font>
      <sz val="10"/>
      <name val="Arial"/>
      <family val="2"/>
      <charset val="238"/>
    </font>
    <font>
      <sz val="10"/>
      <name val="Arial"/>
      <family val="2"/>
    </font>
    <font>
      <b/>
      <sz val="10"/>
      <name val="Arial"/>
      <family val="2"/>
      <charset val="238"/>
    </font>
    <font>
      <sz val="10"/>
      <name val="Helv"/>
    </font>
    <font>
      <b/>
      <sz val="10"/>
      <name val="Arial"/>
      <family val="2"/>
    </font>
    <font>
      <i/>
      <sz val="10"/>
      <name val="Arial"/>
      <family val="2"/>
      <charset val="238"/>
    </font>
  </fonts>
  <fills count="2">
    <fill>
      <patternFill patternType="none"/>
    </fill>
    <fill>
      <patternFill patternType="gray125"/>
    </fill>
  </fills>
  <borders count="7">
    <border>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0" fontId="2" fillId="0" borderId="0"/>
    <xf numFmtId="164" fontId="1" fillId="0" borderId="0"/>
    <xf numFmtId="0" fontId="4" fillId="0" borderId="0"/>
  </cellStyleXfs>
  <cellXfs count="48">
    <xf numFmtId="0" fontId="0" fillId="0" borderId="0" xfId="0"/>
    <xf numFmtId="0" fontId="1" fillId="0" borderId="0" xfId="1" applyAlignment="1">
      <alignment horizontal="center" vertical="center"/>
    </xf>
    <xf numFmtId="4" fontId="3" fillId="0" borderId="3" xfId="2" applyNumberFormat="1" applyFont="1" applyBorder="1" applyAlignment="1">
      <alignment horizontal="left" vertical="center"/>
    </xf>
    <xf numFmtId="4" fontId="3" fillId="0" borderId="3" xfId="2" applyNumberFormat="1" applyFont="1" applyBorder="1" applyAlignment="1">
      <alignment horizontal="right" vertical="center" wrapText="1"/>
    </xf>
    <xf numFmtId="4" fontId="3" fillId="0" borderId="3" xfId="2" applyNumberFormat="1" applyFont="1" applyBorder="1" applyAlignment="1">
      <alignment horizontal="center" vertical="center"/>
    </xf>
    <xf numFmtId="0" fontId="3" fillId="0" borderId="0" xfId="2" applyFont="1" applyAlignment="1">
      <alignment horizontal="justify" vertical="center" wrapText="1"/>
    </xf>
    <xf numFmtId="4" fontId="3" fillId="0" borderId="0" xfId="2" applyNumberFormat="1" applyFont="1" applyAlignment="1">
      <alignment horizontal="left" vertical="center"/>
    </xf>
    <xf numFmtId="4" fontId="3" fillId="0" borderId="0" xfId="2" applyNumberFormat="1" applyFont="1" applyAlignment="1">
      <alignment horizontal="right" vertical="center" wrapText="1"/>
    </xf>
    <xf numFmtId="4" fontId="3" fillId="0" borderId="0" xfId="2" applyNumberFormat="1" applyFont="1" applyAlignment="1">
      <alignment horizontal="center" vertical="center"/>
    </xf>
    <xf numFmtId="0" fontId="3" fillId="0" borderId="0" xfId="2" applyFont="1" applyAlignment="1">
      <alignment horizontal="left" vertical="center"/>
    </xf>
    <xf numFmtId="0" fontId="1" fillId="0" borderId="0" xfId="1" quotePrefix="1" applyAlignment="1">
      <alignment horizontal="justify" vertical="top" wrapText="1"/>
    </xf>
    <xf numFmtId="0" fontId="1" fillId="0" borderId="0" xfId="2" applyFont="1" applyAlignment="1">
      <alignment horizontal="left" vertical="center"/>
    </xf>
    <xf numFmtId="4" fontId="1" fillId="0" borderId="0" xfId="2" applyNumberFormat="1" applyFont="1" applyAlignment="1">
      <alignment horizontal="center" vertical="center" wrapText="1"/>
    </xf>
    <xf numFmtId="0" fontId="1" fillId="0" borderId="0" xfId="0" applyFont="1" applyAlignment="1">
      <alignment horizontal="justify" vertical="top" wrapText="1"/>
    </xf>
    <xf numFmtId="0" fontId="3" fillId="0" borderId="0" xfId="0" applyFont="1" applyAlignment="1">
      <alignment horizontal="justify" vertical="top" wrapText="1"/>
    </xf>
    <xf numFmtId="164" fontId="1" fillId="0" borderId="0" xfId="3" applyAlignment="1">
      <alignment horizontal="left" vertical="center"/>
    </xf>
    <xf numFmtId="0" fontId="1" fillId="0" borderId="5" xfId="1" applyBorder="1" applyAlignment="1">
      <alignment horizontal="left"/>
    </xf>
    <xf numFmtId="4" fontId="1" fillId="0" borderId="5" xfId="2" applyNumberFormat="1" applyFont="1" applyBorder="1" applyAlignment="1">
      <alignment horizontal="center" vertical="center" wrapText="1"/>
    </xf>
    <xf numFmtId="164" fontId="1" fillId="0" borderId="0" xfId="3" applyAlignment="1">
      <alignment horizontal="left" vertical="center" wrapText="1"/>
    </xf>
    <xf numFmtId="4" fontId="1" fillId="0" borderId="0" xfId="3" applyNumberFormat="1" applyAlignment="1">
      <alignment horizontal="center" vertical="center"/>
    </xf>
    <xf numFmtId="0" fontId="6" fillId="0" borderId="0" xfId="1" quotePrefix="1" applyFont="1" applyAlignment="1">
      <alignment horizontal="justify" vertical="top" wrapText="1"/>
    </xf>
    <xf numFmtId="0" fontId="3" fillId="0" borderId="0" xfId="1" quotePrefix="1" applyFont="1" applyAlignment="1">
      <alignment horizontal="justify" vertical="top" wrapText="1"/>
    </xf>
    <xf numFmtId="0" fontId="1" fillId="0" borderId="0" xfId="1" applyAlignment="1">
      <alignment horizontal="left"/>
    </xf>
    <xf numFmtId="0" fontId="3" fillId="0" borderId="3" xfId="2" applyFont="1" applyBorder="1" applyAlignment="1">
      <alignment horizontal="justify" vertical="center" wrapText="1"/>
    </xf>
    <xf numFmtId="0" fontId="3" fillId="0" borderId="3" xfId="2" applyFont="1" applyBorder="1" applyAlignment="1">
      <alignment horizontal="left" vertical="center"/>
    </xf>
    <xf numFmtId="0" fontId="3" fillId="0" borderId="2" xfId="2" applyFont="1" applyBorder="1" applyAlignment="1">
      <alignment horizontal="justify" vertical="center" wrapText="1"/>
    </xf>
    <xf numFmtId="0" fontId="1" fillId="0" borderId="0" xfId="1" applyAlignment="1">
      <alignment horizontal="justify" vertical="top" wrapText="1"/>
    </xf>
    <xf numFmtId="0" fontId="1" fillId="0" borderId="4" xfId="1" quotePrefix="1" applyBorder="1" applyAlignment="1">
      <alignment horizontal="justify" vertical="top" wrapText="1"/>
    </xf>
    <xf numFmtId="0" fontId="1" fillId="0" borderId="0" xfId="3" applyNumberFormat="1" applyAlignment="1">
      <alignment horizontal="justify" vertical="center" wrapText="1"/>
    </xf>
    <xf numFmtId="0" fontId="1" fillId="0" borderId="6" xfId="1" quotePrefix="1" applyBorder="1" applyAlignment="1">
      <alignment horizontal="justify" vertical="top" wrapText="1"/>
    </xf>
    <xf numFmtId="0" fontId="0" fillId="0" borderId="0" xfId="0" applyAlignment="1">
      <alignment horizontal="justify"/>
    </xf>
    <xf numFmtId="0" fontId="3" fillId="0" borderId="1" xfId="2" applyFont="1" applyBorder="1" applyAlignment="1">
      <alignment horizontal="left" vertical="center"/>
    </xf>
    <xf numFmtId="0" fontId="1" fillId="0" borderId="0" xfId="2" quotePrefix="1" applyFont="1" applyAlignment="1">
      <alignment horizontal="left" vertical="top"/>
    </xf>
    <xf numFmtId="0" fontId="0" fillId="0" borderId="0" xfId="0" applyAlignment="1">
      <alignment horizontal="left"/>
    </xf>
    <xf numFmtId="164" fontId="3" fillId="0" borderId="3" xfId="2" applyNumberFormat="1" applyFont="1" applyBorder="1" applyAlignment="1">
      <alignment vertical="center"/>
    </xf>
    <xf numFmtId="164" fontId="3" fillId="0" borderId="3" xfId="2" applyNumberFormat="1" applyFont="1" applyBorder="1" applyAlignment="1">
      <alignment horizontal="center" vertical="center"/>
    </xf>
    <xf numFmtId="164" fontId="3" fillId="0" borderId="0" xfId="2" applyNumberFormat="1" applyFont="1" applyAlignment="1">
      <alignment vertical="center"/>
    </xf>
    <xf numFmtId="164" fontId="3" fillId="0" borderId="0" xfId="2" applyNumberFormat="1" applyFont="1" applyAlignment="1">
      <alignment horizontal="center" vertical="center"/>
    </xf>
    <xf numFmtId="164" fontId="1" fillId="0" borderId="0" xfId="2" applyNumberFormat="1" applyFont="1" applyAlignment="1" applyProtection="1">
      <alignment horizontal="center" vertical="center" wrapText="1"/>
      <protection locked="0"/>
    </xf>
    <xf numFmtId="164" fontId="3" fillId="0" borderId="0" xfId="2" applyNumberFormat="1" applyFont="1" applyAlignment="1">
      <alignment horizontal="center" vertical="center" wrapText="1"/>
    </xf>
    <xf numFmtId="164" fontId="1" fillId="0" borderId="0" xfId="2" applyNumberFormat="1" applyFont="1" applyAlignment="1">
      <alignment horizontal="center" vertical="center" wrapText="1"/>
    </xf>
    <xf numFmtId="164" fontId="1" fillId="0" borderId="5" xfId="3" applyNumberFormat="1" applyBorder="1" applyAlignment="1" applyProtection="1">
      <alignment horizontal="center" vertical="center"/>
      <protection locked="0"/>
    </xf>
    <xf numFmtId="164" fontId="1" fillId="0" borderId="5" xfId="4" quotePrefix="1" applyNumberFormat="1" applyFont="1" applyBorder="1" applyAlignment="1">
      <alignment horizontal="center" vertical="center" wrapText="1"/>
    </xf>
    <xf numFmtId="164" fontId="1" fillId="0" borderId="0" xfId="3" applyNumberFormat="1" applyAlignment="1" applyProtection="1">
      <alignment horizontal="center" vertical="center"/>
      <protection locked="0"/>
    </xf>
    <xf numFmtId="164" fontId="1" fillId="0" borderId="0" xfId="4" quotePrefix="1" applyNumberFormat="1" applyFont="1" applyAlignment="1">
      <alignment horizontal="center" vertical="center" wrapText="1"/>
    </xf>
    <xf numFmtId="164" fontId="1" fillId="0" borderId="3" xfId="2" applyNumberFormat="1" applyFont="1" applyBorder="1" applyAlignment="1" applyProtection="1">
      <alignment horizontal="center" vertical="center" wrapText="1"/>
      <protection locked="0"/>
    </xf>
    <xf numFmtId="164" fontId="3" fillId="0" borderId="3" xfId="2" applyNumberFormat="1" applyFont="1" applyBorder="1" applyAlignment="1">
      <alignment horizontal="center" vertical="center" wrapText="1"/>
    </xf>
    <xf numFmtId="164" fontId="0" fillId="0" borderId="0" xfId="0" applyNumberFormat="1"/>
  </cellXfs>
  <cellStyles count="5">
    <cellStyle name="Normal" xfId="0" builtinId="0"/>
    <cellStyle name="Normal 10" xfId="1" xr:uid="{E7CE19AF-005A-4146-85EF-474CFF86D77A}"/>
    <cellStyle name="Normal 10 10" xfId="3" xr:uid="{FD0235DB-7993-47CD-99E3-DD7D085AA4C3}"/>
    <cellStyle name="Normalno 16" xfId="2" xr:uid="{7FD746EB-AD5E-4B16-B550-4560945F0909}"/>
    <cellStyle name="Stil 1" xfId="4" xr:uid="{98CA76ED-9E99-4A8D-8A11-68D6BC5911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2AED-E5E2-4C92-A032-44C7F6B2E29B}">
  <dimension ref="A1:G41"/>
  <sheetViews>
    <sheetView tabSelected="1" topLeftCell="A22" workbookViewId="0">
      <selection activeCell="I30" sqref="I30"/>
    </sheetView>
  </sheetViews>
  <sheetFormatPr defaultRowHeight="16.5" x14ac:dyDescent="0.3"/>
  <cols>
    <col min="2" max="2" width="9" style="33"/>
    <col min="3" max="3" width="65.625" style="30" customWidth="1"/>
    <col min="6" max="7" width="15.625" style="47" customWidth="1"/>
  </cols>
  <sheetData>
    <row r="1" spans="1:7" ht="17.25" thickBot="1" x14ac:dyDescent="0.35">
      <c r="A1" s="1" t="s">
        <v>0</v>
      </c>
      <c r="B1" s="31">
        <v>14</v>
      </c>
      <c r="C1" s="25" t="s">
        <v>1</v>
      </c>
      <c r="D1" s="2"/>
      <c r="E1" s="3"/>
      <c r="F1" s="34"/>
      <c r="G1" s="35"/>
    </row>
    <row r="2" spans="1:7" x14ac:dyDescent="0.3">
      <c r="A2" s="1" t="s">
        <v>0</v>
      </c>
      <c r="B2" s="9"/>
      <c r="C2" s="5"/>
      <c r="D2" s="6"/>
      <c r="E2" s="7"/>
      <c r="F2" s="36"/>
      <c r="G2" s="37"/>
    </row>
    <row r="3" spans="1:7" ht="89.25" x14ac:dyDescent="0.3">
      <c r="A3" s="1" t="s">
        <v>0</v>
      </c>
      <c r="B3" s="9"/>
      <c r="C3" s="26" t="s">
        <v>2</v>
      </c>
      <c r="D3" s="9"/>
      <c r="E3" s="8"/>
      <c r="F3" s="38"/>
      <c r="G3" s="39"/>
    </row>
    <row r="4" spans="1:7" ht="140.25" x14ac:dyDescent="0.3">
      <c r="A4" s="1" t="s">
        <v>0</v>
      </c>
      <c r="B4" s="9"/>
      <c r="C4" s="26" t="s">
        <v>3</v>
      </c>
      <c r="D4" s="9"/>
      <c r="E4" s="8"/>
      <c r="F4" s="38"/>
      <c r="G4" s="39"/>
    </row>
    <row r="5" spans="1:7" ht="153" x14ac:dyDescent="0.3">
      <c r="A5" s="1" t="s">
        <v>0</v>
      </c>
      <c r="B5" s="9"/>
      <c r="C5" s="26" t="s">
        <v>4</v>
      </c>
      <c r="D5" s="9"/>
      <c r="E5" s="8"/>
      <c r="F5" s="38"/>
      <c r="G5" s="39"/>
    </row>
    <row r="6" spans="1:7" ht="102" x14ac:dyDescent="0.3">
      <c r="A6" s="1" t="s">
        <v>0</v>
      </c>
      <c r="B6" s="9"/>
      <c r="C6" s="10" t="s">
        <v>5</v>
      </c>
      <c r="D6" s="9"/>
      <c r="E6" s="8"/>
      <c r="F6" s="38"/>
      <c r="G6" s="39"/>
    </row>
    <row r="7" spans="1:7" ht="76.5" x14ac:dyDescent="0.3">
      <c r="A7" s="1" t="s">
        <v>0</v>
      </c>
      <c r="B7" s="11"/>
      <c r="C7" s="10" t="s">
        <v>6</v>
      </c>
      <c r="D7" s="11"/>
      <c r="E7" s="12"/>
      <c r="F7" s="38"/>
      <c r="G7" s="40"/>
    </row>
    <row r="8" spans="1:7" ht="38.25" x14ac:dyDescent="0.3">
      <c r="A8" s="1"/>
      <c r="B8" s="9"/>
      <c r="C8" s="13" t="s">
        <v>7</v>
      </c>
      <c r="D8" s="9"/>
      <c r="E8" s="8"/>
      <c r="F8" s="38"/>
      <c r="G8" s="39"/>
    </row>
    <row r="9" spans="1:7" ht="114.75" x14ac:dyDescent="0.3">
      <c r="A9" s="1"/>
      <c r="B9" s="9"/>
      <c r="C9" s="13" t="s">
        <v>8</v>
      </c>
      <c r="D9" s="9"/>
      <c r="E9" s="8"/>
      <c r="F9" s="38"/>
      <c r="G9" s="39"/>
    </row>
    <row r="10" spans="1:7" ht="51" x14ac:dyDescent="0.3">
      <c r="A10" s="1"/>
      <c r="B10" s="9"/>
      <c r="C10" s="13" t="s">
        <v>9</v>
      </c>
      <c r="D10" s="9"/>
      <c r="E10" s="8"/>
      <c r="F10" s="38"/>
      <c r="G10" s="39"/>
    </row>
    <row r="11" spans="1:7" ht="51" x14ac:dyDescent="0.3">
      <c r="A11" s="1"/>
      <c r="B11" s="9"/>
      <c r="C11" s="14" t="s">
        <v>10</v>
      </c>
      <c r="D11" s="9"/>
      <c r="E11" s="8"/>
      <c r="F11" s="38"/>
      <c r="G11" s="39"/>
    </row>
    <row r="12" spans="1:7" x14ac:dyDescent="0.3">
      <c r="A12" s="1" t="s">
        <v>0</v>
      </c>
      <c r="B12" s="11"/>
      <c r="C12" s="10"/>
      <c r="D12" s="11"/>
      <c r="E12" s="12"/>
      <c r="F12" s="38"/>
      <c r="G12" s="40"/>
    </row>
    <row r="13" spans="1:7" ht="89.25" x14ac:dyDescent="0.3">
      <c r="A13" s="1" t="s">
        <v>0</v>
      </c>
      <c r="B13" s="32" t="s">
        <v>11</v>
      </c>
      <c r="C13" s="10" t="s">
        <v>12</v>
      </c>
      <c r="D13" s="15"/>
      <c r="E13" s="12"/>
      <c r="F13" s="38"/>
      <c r="G13" s="40"/>
    </row>
    <row r="14" spans="1:7" x14ac:dyDescent="0.3">
      <c r="A14" s="1" t="s">
        <v>0</v>
      </c>
      <c r="B14" s="11"/>
      <c r="C14" s="27" t="s">
        <v>13</v>
      </c>
      <c r="D14" s="16" t="s">
        <v>14</v>
      </c>
      <c r="E14" s="17">
        <v>401</v>
      </c>
      <c r="F14" s="41"/>
      <c r="G14" s="42">
        <f>E14*F14</f>
        <v>0</v>
      </c>
    </row>
    <row r="15" spans="1:7" x14ac:dyDescent="0.3">
      <c r="A15" s="1" t="s">
        <v>0</v>
      </c>
      <c r="B15" s="11"/>
      <c r="C15" s="28"/>
      <c r="D15" s="18"/>
      <c r="E15" s="19"/>
      <c r="F15" s="43"/>
      <c r="G15" s="44"/>
    </row>
    <row r="16" spans="1:7" ht="114.75" x14ac:dyDescent="0.3">
      <c r="A16" s="1" t="s">
        <v>0</v>
      </c>
      <c r="B16" s="32" t="s">
        <v>15</v>
      </c>
      <c r="C16" s="10" t="s">
        <v>16</v>
      </c>
      <c r="D16" s="15"/>
      <c r="E16" s="12"/>
      <c r="F16" s="38"/>
      <c r="G16" s="40"/>
    </row>
    <row r="17" spans="1:7" ht="89.25" x14ac:dyDescent="0.3">
      <c r="A17" s="1" t="s">
        <v>0</v>
      </c>
      <c r="B17" s="11"/>
      <c r="C17" s="10" t="s">
        <v>17</v>
      </c>
      <c r="D17" s="15"/>
      <c r="E17" s="12"/>
      <c r="F17" s="38"/>
      <c r="G17" s="40"/>
    </row>
    <row r="18" spans="1:7" ht="51" x14ac:dyDescent="0.3">
      <c r="A18" s="1" t="s">
        <v>0</v>
      </c>
      <c r="B18" s="11"/>
      <c r="C18" s="10" t="s">
        <v>18</v>
      </c>
      <c r="D18" s="15"/>
      <c r="E18" s="12"/>
      <c r="F18" s="38"/>
      <c r="G18" s="40"/>
    </row>
    <row r="19" spans="1:7" ht="89.25" x14ac:dyDescent="0.3">
      <c r="A19" s="1" t="s">
        <v>0</v>
      </c>
      <c r="B19" s="11"/>
      <c r="C19" s="10" t="s">
        <v>19</v>
      </c>
      <c r="D19" s="15"/>
      <c r="E19" s="12"/>
      <c r="F19" s="38"/>
      <c r="G19" s="40"/>
    </row>
    <row r="20" spans="1:7" ht="76.5" x14ac:dyDescent="0.3">
      <c r="A20" s="1" t="s">
        <v>0</v>
      </c>
      <c r="B20" s="11"/>
      <c r="C20" s="21" t="s">
        <v>20</v>
      </c>
      <c r="D20" s="15"/>
      <c r="E20" s="12"/>
      <c r="F20" s="38"/>
      <c r="G20" s="40"/>
    </row>
    <row r="21" spans="1:7" ht="114.75" x14ac:dyDescent="0.3">
      <c r="A21" s="1" t="s">
        <v>0</v>
      </c>
      <c r="B21" s="11"/>
      <c r="C21" s="10" t="s">
        <v>21</v>
      </c>
      <c r="D21" s="15"/>
      <c r="E21" s="12"/>
      <c r="F21" s="38"/>
      <c r="G21" s="40"/>
    </row>
    <row r="22" spans="1:7" ht="25.5" x14ac:dyDescent="0.3">
      <c r="A22" s="1" t="s">
        <v>0</v>
      </c>
      <c r="B22" s="11"/>
      <c r="C22" s="20" t="s">
        <v>22</v>
      </c>
      <c r="D22" s="15"/>
      <c r="E22" s="12"/>
      <c r="F22" s="38"/>
      <c r="G22" s="40"/>
    </row>
    <row r="23" spans="1:7" ht="25.5" x14ac:dyDescent="0.3">
      <c r="A23" s="1" t="s">
        <v>0</v>
      </c>
      <c r="B23" s="11"/>
      <c r="C23" s="21" t="s">
        <v>23</v>
      </c>
      <c r="D23" s="15"/>
      <c r="E23" s="12"/>
      <c r="F23" s="38"/>
      <c r="G23" s="40"/>
    </row>
    <row r="24" spans="1:7" x14ac:dyDescent="0.3">
      <c r="A24" s="1" t="s">
        <v>0</v>
      </c>
      <c r="B24" s="11"/>
      <c r="C24" s="10" t="s">
        <v>24</v>
      </c>
      <c r="D24" s="15"/>
      <c r="E24" s="12"/>
      <c r="F24" s="38"/>
      <c r="G24" s="40"/>
    </row>
    <row r="25" spans="1:7" x14ac:dyDescent="0.3">
      <c r="A25" s="1" t="s">
        <v>0</v>
      </c>
      <c r="B25" s="11"/>
      <c r="C25" s="27" t="s">
        <v>25</v>
      </c>
      <c r="D25" s="16" t="s">
        <v>14</v>
      </c>
      <c r="E25" s="17">
        <v>381</v>
      </c>
      <c r="F25" s="41"/>
      <c r="G25" s="42">
        <f>E25*F25</f>
        <v>0</v>
      </c>
    </row>
    <row r="26" spans="1:7" x14ac:dyDescent="0.3">
      <c r="A26" s="1" t="s">
        <v>0</v>
      </c>
      <c r="B26" s="11"/>
      <c r="C26" s="27" t="s">
        <v>26</v>
      </c>
      <c r="D26" s="16" t="s">
        <v>14</v>
      </c>
      <c r="E26" s="17">
        <v>35</v>
      </c>
      <c r="F26" s="41"/>
      <c r="G26" s="42">
        <f>E26*F26</f>
        <v>0</v>
      </c>
    </row>
    <row r="27" spans="1:7" x14ac:dyDescent="0.3">
      <c r="A27" s="1" t="s">
        <v>0</v>
      </c>
      <c r="B27" s="11"/>
      <c r="C27" s="27" t="s">
        <v>27</v>
      </c>
      <c r="D27" s="16" t="s">
        <v>14</v>
      </c>
      <c r="E27" s="17">
        <v>360</v>
      </c>
      <c r="F27" s="41"/>
      <c r="G27" s="42">
        <f>E27*F27</f>
        <v>0</v>
      </c>
    </row>
    <row r="28" spans="1:7" x14ac:dyDescent="0.3">
      <c r="A28" s="1" t="s">
        <v>0</v>
      </c>
      <c r="B28" s="11"/>
      <c r="C28" s="28"/>
      <c r="D28" s="18"/>
      <c r="E28" s="19"/>
      <c r="F28" s="43"/>
      <c r="G28" s="44"/>
    </row>
    <row r="29" spans="1:7" x14ac:dyDescent="0.3">
      <c r="A29" s="1" t="s">
        <v>0</v>
      </c>
      <c r="B29" s="11"/>
      <c r="C29" s="21" t="s">
        <v>28</v>
      </c>
      <c r="D29" s="22"/>
      <c r="E29" s="12"/>
      <c r="F29" s="38"/>
      <c r="G29" s="40"/>
    </row>
    <row r="30" spans="1:7" ht="38.25" x14ac:dyDescent="0.3">
      <c r="A30" s="1" t="s">
        <v>0</v>
      </c>
      <c r="B30" s="32" t="s">
        <v>29</v>
      </c>
      <c r="C30" s="10" t="s">
        <v>30</v>
      </c>
      <c r="D30" s="22"/>
      <c r="E30" s="12"/>
      <c r="F30" s="38"/>
      <c r="G30" s="40"/>
    </row>
    <row r="31" spans="1:7" ht="76.5" x14ac:dyDescent="0.3">
      <c r="A31" s="1" t="s">
        <v>0</v>
      </c>
      <c r="B31" s="11"/>
      <c r="C31" s="10" t="s">
        <v>31</v>
      </c>
      <c r="D31" s="22"/>
      <c r="E31" s="12"/>
      <c r="F31" s="38"/>
      <c r="G31" s="40"/>
    </row>
    <row r="32" spans="1:7" ht="89.25" x14ac:dyDescent="0.3">
      <c r="A32" s="1" t="s">
        <v>0</v>
      </c>
      <c r="B32" s="11"/>
      <c r="C32" s="10" t="s">
        <v>32</v>
      </c>
      <c r="D32" s="22"/>
      <c r="E32" s="12"/>
      <c r="F32" s="38"/>
      <c r="G32" s="40"/>
    </row>
    <row r="33" spans="1:7" x14ac:dyDescent="0.3">
      <c r="A33" s="1" t="s">
        <v>0</v>
      </c>
      <c r="B33" s="11"/>
      <c r="C33" s="10" t="s">
        <v>33</v>
      </c>
      <c r="D33" s="22"/>
      <c r="E33" s="12"/>
      <c r="F33" s="38"/>
      <c r="G33" s="40"/>
    </row>
    <row r="34" spans="1:7" x14ac:dyDescent="0.3">
      <c r="A34" s="1" t="s">
        <v>0</v>
      </c>
      <c r="B34" s="11"/>
      <c r="C34" s="27" t="s">
        <v>34</v>
      </c>
      <c r="D34" s="16" t="s">
        <v>14</v>
      </c>
      <c r="E34" s="17">
        <v>416</v>
      </c>
      <c r="F34" s="41"/>
      <c r="G34" s="42">
        <f>E34*F34</f>
        <v>0</v>
      </c>
    </row>
    <row r="35" spans="1:7" x14ac:dyDescent="0.3">
      <c r="A35" s="1"/>
      <c r="B35" s="11"/>
      <c r="C35" s="10"/>
      <c r="D35" s="22"/>
      <c r="E35" s="12"/>
      <c r="F35" s="43"/>
      <c r="G35" s="44"/>
    </row>
    <row r="36" spans="1:7" ht="140.25" x14ac:dyDescent="0.3">
      <c r="A36" s="1"/>
      <c r="B36" s="32" t="s">
        <v>35</v>
      </c>
      <c r="C36" s="10" t="s">
        <v>36</v>
      </c>
      <c r="D36" s="22"/>
      <c r="E36" s="12"/>
      <c r="F36" s="43"/>
      <c r="G36" s="44"/>
    </row>
    <row r="37" spans="1:7" ht="114.75" x14ac:dyDescent="0.3">
      <c r="A37" s="1"/>
      <c r="B37" s="11"/>
      <c r="C37" s="10" t="s">
        <v>37</v>
      </c>
      <c r="D37" s="22"/>
      <c r="E37" s="12"/>
      <c r="F37" s="43"/>
      <c r="G37" s="44"/>
    </row>
    <row r="38" spans="1:7" ht="38.25" x14ac:dyDescent="0.3">
      <c r="A38" s="1"/>
      <c r="B38" s="11"/>
      <c r="C38" s="10" t="s">
        <v>38</v>
      </c>
      <c r="D38" s="22"/>
      <c r="E38" s="12"/>
      <c r="F38" s="43"/>
      <c r="G38" s="44"/>
    </row>
    <row r="39" spans="1:7" x14ac:dyDescent="0.3">
      <c r="A39" s="1"/>
      <c r="B39" s="11"/>
      <c r="C39" s="29" t="s">
        <v>39</v>
      </c>
      <c r="D39" s="16" t="s">
        <v>14</v>
      </c>
      <c r="E39" s="17">
        <v>100</v>
      </c>
      <c r="F39" s="41"/>
      <c r="G39" s="42">
        <f>E39*F39</f>
        <v>0</v>
      </c>
    </row>
    <row r="40" spans="1:7" ht="17.25" thickBot="1" x14ac:dyDescent="0.35">
      <c r="A40" s="1" t="s">
        <v>0</v>
      </c>
      <c r="B40" s="11"/>
      <c r="C40" s="28"/>
      <c r="D40" s="18"/>
      <c r="E40" s="19"/>
      <c r="F40" s="43"/>
      <c r="G40" s="44"/>
    </row>
    <row r="41" spans="1:7" ht="17.25" thickBot="1" x14ac:dyDescent="0.35">
      <c r="A41" s="1" t="s">
        <v>0</v>
      </c>
      <c r="B41" s="31">
        <v>14</v>
      </c>
      <c r="C41" s="23" t="str">
        <f>C1</f>
        <v>FASADERSKI RADOVI</v>
      </c>
      <c r="D41" s="24"/>
      <c r="E41" s="4"/>
      <c r="F41" s="45"/>
      <c r="G41" s="46">
        <f>SUM(G14:G40)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VESNA HRLEC</dc:creator>
  <cp:lastModifiedBy>VESNA HRLEC</cp:lastModifiedBy>
  <dcterms:created xsi:type="dcterms:W3CDTF">2026-05-15T07:52:43Z</dcterms:created>
  <dcterms:modified xsi:type="dcterms:W3CDTF">2026-05-15T07:53:31Z</dcterms:modified>
</cp:coreProperties>
</file>