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PETRA\Ugovaranje\UGOVORENI OBJEKTI 2026\Ugovaranje\Fasada\"/>
    </mc:Choice>
  </mc:AlternateContent>
  <xr:revisionPtr revIDLastSave="0" documentId="13_ncr:1_{C78B9FCE-6BB8-4F21-849A-13A20DD34FED}" xr6:coauthVersionLast="47" xr6:coauthVersionMax="47" xr10:uidLastSave="{00000000-0000-0000-0000-000000000000}"/>
  <bookViews>
    <workbookView xWindow="-108" yWindow="-108" windowWidth="30936" windowHeight="16776" activeTab="1" xr2:uid="{00000000-000D-0000-FFFF-FFFF00000000}"/>
  </bookViews>
  <sheets>
    <sheet name="Konstruktivna obnova" sheetId="1" r:id="rId1"/>
    <sheet name="Nekonstruktivna obnov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2" l="1"/>
  <c r="F20" i="2"/>
  <c r="F18" i="2"/>
  <c r="F17" i="2"/>
  <c r="F59" i="1" l="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26" i="1" l="1"/>
  <c r="F25" i="1"/>
  <c r="F183" i="1" l="1"/>
  <c r="F184" i="1"/>
  <c r="F191" i="1"/>
  <c r="F192" i="1"/>
  <c r="F193" i="1"/>
  <c r="F194" i="1"/>
  <c r="F195" i="1"/>
  <c r="F196" i="1"/>
  <c r="F197" i="1"/>
  <c r="F198" i="1"/>
  <c r="F199" i="1"/>
  <c r="F200" i="1"/>
  <c r="F201" i="1"/>
  <c r="F178" i="1"/>
  <c r="F179" i="1"/>
  <c r="F180" i="1"/>
  <c r="F181" i="1"/>
  <c r="F182" i="1"/>
  <c r="F185" i="1"/>
  <c r="F186" i="1"/>
  <c r="F187" i="1"/>
  <c r="F188" i="1"/>
  <c r="F189" i="1"/>
  <c r="F190" i="1"/>
  <c r="F177" i="1" l="1"/>
  <c r="F38" i="2" l="1"/>
  <c r="F135" i="1" l="1"/>
  <c r="F136" i="1"/>
  <c r="F137" i="1"/>
  <c r="F138" i="1"/>
  <c r="F139" i="1"/>
  <c r="F140" i="1"/>
  <c r="F141" i="1"/>
  <c r="F142" i="1"/>
  <c r="F143" i="1"/>
  <c r="F144" i="1"/>
  <c r="F145" i="1"/>
  <c r="F148" i="1" l="1"/>
  <c r="F149" i="1"/>
  <c r="F150" i="1"/>
  <c r="F151" i="1"/>
  <c r="F152" i="1"/>
  <c r="F153" i="1"/>
  <c r="F27" i="1"/>
  <c r="F28" i="1"/>
  <c r="F29" i="1"/>
  <c r="F30" i="1"/>
  <c r="F31" i="1"/>
  <c r="F32" i="1"/>
  <c r="F33" i="1"/>
  <c r="F34" i="1"/>
  <c r="F35" i="1"/>
  <c r="F36" i="1"/>
  <c r="F37" i="1"/>
  <c r="F38" i="1"/>
  <c r="F118" i="1"/>
  <c r="F119" i="1"/>
  <c r="F120" i="1"/>
  <c r="F212" i="1" l="1"/>
  <c r="F213" i="1"/>
  <c r="F214" i="1"/>
  <c r="F215" i="1"/>
  <c r="F216" i="1"/>
  <c r="F217" i="1"/>
  <c r="F219" i="1"/>
  <c r="F211" i="1"/>
  <c r="F15" i="2"/>
  <c r="F16" i="2"/>
  <c r="F19" i="2"/>
  <c r="F21" i="2"/>
  <c r="F22" i="2"/>
  <c r="F23" i="2"/>
  <c r="F24" i="2"/>
  <c r="F25" i="2"/>
  <c r="F26" i="2"/>
  <c r="F27" i="2"/>
  <c r="F28" i="2"/>
  <c r="F29" i="2"/>
  <c r="F30" i="2"/>
  <c r="F31" i="2"/>
  <c r="F32" i="2"/>
  <c r="F33" i="2"/>
  <c r="F34" i="2"/>
  <c r="F35" i="2"/>
  <c r="F37" i="2"/>
  <c r="F39" i="2"/>
  <c r="F40" i="2"/>
  <c r="F41" i="2"/>
  <c r="F42" i="2"/>
  <c r="F43" i="2"/>
  <c r="F44" i="2"/>
  <c r="F45" i="2"/>
  <c r="F46" i="2"/>
  <c r="F47" i="2"/>
  <c r="F48" i="2"/>
  <c r="F13" i="2"/>
  <c r="F171" i="1"/>
  <c r="F172" i="1"/>
  <c r="F173" i="1"/>
  <c r="F174" i="1"/>
  <c r="F175" i="1"/>
  <c r="F176" i="1"/>
  <c r="F147" i="1"/>
  <c r="F50" i="2" l="1"/>
  <c r="F203" i="1"/>
  <c r="F231" i="1" s="1"/>
  <c r="F221" i="1"/>
  <c r="F232" i="1" s="1"/>
  <c r="F163" i="1" l="1"/>
  <c r="F127" i="1"/>
  <c r="F121" i="1"/>
  <c r="F58" i="1"/>
  <c r="F57" i="1"/>
  <c r="F56" i="1"/>
  <c r="F55" i="1"/>
  <c r="F54" i="1"/>
  <c r="F45" i="1"/>
  <c r="F24" i="1"/>
  <c r="F23" i="1"/>
  <c r="F22" i="1"/>
  <c r="F122" i="1" l="1"/>
  <c r="F227" i="1" s="1"/>
  <c r="F129" i="1"/>
  <c r="F228" i="1" s="1"/>
  <c r="F47" i="1"/>
  <c r="F226" i="1" s="1"/>
  <c r="F155" i="1"/>
  <c r="F229" i="1" s="1"/>
  <c r="F40" i="1"/>
  <c r="F225" i="1" s="1"/>
  <c r="F165" i="1"/>
  <c r="F230" i="1" s="1"/>
  <c r="F233" i="1" l="1"/>
  <c r="F238" i="1" l="1"/>
  <c r="F239" i="1" l="1"/>
</calcChain>
</file>

<file path=xl/sharedStrings.xml><?xml version="1.0" encoding="utf-8"?>
<sst xmlns="http://schemas.openxmlformats.org/spreadsheetml/2006/main" count="374" uniqueCount="254">
  <si>
    <t>TROŠKOVNIK RADOVA</t>
  </si>
  <si>
    <t>NA REKONSTRUKCIJI GRAĐEVINE BR. 59 NA HVU ,,dr. Franjo Tuđman", ZAGREB</t>
  </si>
  <si>
    <t>KONSTRUKTIVNA OBNOVA</t>
  </si>
  <si>
    <t>1</t>
  </si>
  <si>
    <t>Napomena:</t>
  </si>
  <si>
    <t>U okviru ove grupe radova su sadržani 1 svi radovi koji se odnose na pripremu gradilišta (gradilišna ograda oko područja u kojem se vrše radovi, znakovi upozorenja za osobe koje nisu djelatnici na radilištu, postava kontejnera za smeće, WC za radnike, prostor za odmor radnika 1 si. u skladu s odredbama važeće zakonske regulative), a Što nije posebno opisano nit) se posebno naplaćuje, a Izvoditelj radova Je dužan sve navedeno osigurati za cijelo vrijeme Izvođenja radova.</t>
  </si>
  <si>
    <t>Izvoditelj je obvezan bez posebne naknade provoditi sortiranje svog otpadnog materijala prema vrsti to odvoz otpadnog materijala na odgovarajuće oporablšte (bez obzira Je li to izrijekom navedeno u opisu stavke), uključujući sva davanja (uključeno u jediničnim cijenama svih stavki 1 ne naplaćuju se posebno).</t>
  </si>
  <si>
    <t>Zbrinjavanje otpada treba provesti u skladu sa sljedećim zakonom 1 pravilnicima: - Zakon o održivom gospodarenju otpadom (NN 94/13, 73/17,14/19, 98/19), - Pravilnik o</t>
  </si>
  <si>
    <t>Određivanje postupanja s otpadom provodi se zbog sprečavanja nenadziranog postupanja s otpadom, Iskorištenja vrijednih svojstva otpada u materijalne I energetske svrhe i odlaganja otpada na odlagališta. Na taj način izbjegavaju se opasnosti za ljudsko zdravlje, za biljni I životinjski svijet, onečišćenje okoliša (tla, voda, mora, zraka) Iznad propisanih graničnih vrijednosti, nekontroliranog odlaganja i spaljivanja, nastajanja eksplozije ili požara, stvaranja buke I neugodnih mirisa, pojavljivanje i razmnožavanje štetnih Životinja i biljaka ili razvoj patogenih mikroorganizama, narušavanje javnog reda i mira. Sav otpadni materijal koji nastaje uklanjanjem odvoziti će se od strane za to ovlaštenih pravnih osoba s kojima Izvoditelj radova sklopi ugovor Odvoz treba vršiti kamionima tako da se ne ugrožava ostale sudionike u prometu.</t>
  </si>
  <si>
    <t>Transportni kamioni ne smiju nanositi otpad I nečistoću na javnu prometnicu. Ako je potrebno, treba osiguratipranje vozila prije priključenja u javni promet. Sve navedene aktivnosti su sadržane u jediničnim cijenama ove grupe radova i ne naplaćuju se posebno.</t>
  </si>
  <si>
    <t>Izvoditelj Je dužan provesti zaštitu 1 osiguranje susjednih prostora području izvedbe radova tijekom cijelog trajanja Izvođenja radova Izvanrednog održavanja, a protiv utjecaja atmosferlllja, prašine 1 drugih onečišćenja koji će biti prisutni tijekom Izvedbe ranije navedenih radova. Ze te aktivnosti se ne naplaćuje nikakva posebna naknada, već Je cijena tih radova sadržana u Jediničnim cijenama stavki ovog troškovnika.</t>
  </si>
  <si>
    <t>komplet</t>
  </si>
  <si>
    <t>kom</t>
  </si>
  <si>
    <t>m'</t>
  </si>
  <si>
    <t>m2</t>
  </si>
  <si>
    <t>m3</t>
  </si>
  <si>
    <t>m2</t>
  </si>
  <si>
    <t>m3</t>
  </si>
  <si>
    <t>Razna štemanja I krpanja. Izvode se isključivo po nalogu nadzornog inžinjera. Za sada se predviđa :</t>
  </si>
  <si>
    <t>sati</t>
  </si>
  <si>
    <t>kg</t>
  </si>
  <si>
    <t>Odvoz šute 1 otpadnog materijala. Uključen je utovar sa gradilišnog deponija, transport do područnog odlagališta, sve pristojbe i takse, istovar. Obračun se vrši za materijal u sraslom stanju, koeficijente rastresitosti materijala predviditi jediničnim cijenama.</t>
  </si>
  <si>
    <t>2</t>
  </si>
  <si>
    <t>2.3.</t>
  </si>
  <si>
    <t>2.4.</t>
  </si>
  <si>
    <t>ZEMLJANI RADOVI</t>
  </si>
  <si>
    <t>3.</t>
  </si>
  <si>
    <t>3.1.</t>
  </si>
  <si>
    <t>Nakon Izvedenih redova rušenja 1 demontaza, te čišćenja objekta, potrebno je izvršiti pažljivi pregled konstrukcije objekta u prisustvu nadzornog inženjera i projektanta konstrukcije. Neophodno je pridržavati se redosljede radova kako je opisano u statičkom elaboratu, te izraditi precizan i detaljan dinamički plan za ovu fazu radova, koji treba biti ovjeren od strane nadzornog inženjera. Ako u opisu stavke nije drugačije navedeno sva armatura je B500B. Klase betona prema projektu konstrukcije, ukoliko se ne navode u opisima stavki predvidjeti C2S/30.</t>
  </si>
  <si>
    <t>3.3.</t>
  </si>
  <si>
    <t>3.4.</t>
  </si>
  <si>
    <t>3.5.</t>
  </si>
  <si>
    <t>a) beton</t>
  </si>
  <si>
    <t>Popravak oštećenih vanjskih nosivih zidova. Stavka se izvodi ukoliko se ukaže potreba, nakon izvedenih redova rušenja I otucanja žbuke, u slučaju oštećenja. Pregledati zidove s nadzornim inženjerom i Izvoditi samo u slučaju potrebe, uz pismeno odobrenje nadzora (upis u građevni dnevnik). Potrebno je odstraniti oštećene dijelove zida i žbuke, odprašiti i isprati spojne dijelove i ponovno izvesti istu strukturu zida s Istim materijalom. U cijenu su uključene vrijednosti svih radova i materijala.Voditi računa o statici objekta; ukoliko se uklanjaju veći dijelovi zidova, podupiranjem preuzeti teret međukatne konstrukcije. Uključen sav rad i materijal, transporti, radne skele, osiguranja i podupiranja.</t>
  </si>
  <si>
    <t>Izvedba podložnog betona debljine 10 cm na nabijenom kemenom nasipu za nove trakaste temelje. Stavka uključuje Izradu potrebne oplate, dobavu i pripremu betona, potrebne transporte betona do mjesta ugradnje, ugradnju I njegu, te zaštitu svježeg betona Gornja površina mora biti primjereno zaglađena jer služi kao podloga za polaganje hidroizolacije. Također je uključena demontaza oplate nakon betoniranja.Ostalo prema projektu i tehničkim uvjetima.Obračun po m2.</t>
  </si>
  <si>
    <t>3.7.</t>
  </si>
  <si>
    <t>3.8.</t>
  </si>
  <si>
    <t>4.</t>
  </si>
  <si>
    <t>4.1.</t>
  </si>
  <si>
    <t>Dozidavanje vanjskih postojećih zidova maloformatnom opekom, zazidavanje otvora, popravci nakon rušenja. Potrebno izvesti od istog materijala i strukture kao stare zidove. Može se koristiti stara cigla (sačuvana od rušenja), mora biti potpuno očišćena i zdrava, bez vidljivih mehaničkih oštećenja ili oštećenja od atmosferskih utjecaja. Uključen sav rad i materijal, zida se u produžnom mortu prema pravilima struke, cigle kompletno vlažrtj prilikom zidanja, izvesti pravilne zidarske vezove. Posebno voditi računa o kvalitetnom spoju starog i novog dijela zida.</t>
  </si>
  <si>
    <t>5</t>
  </si>
  <si>
    <t>HOP 160 x 160 x 8 mm</t>
  </si>
  <si>
    <t>HOP 80 x 80 x 4 mm</t>
  </si>
  <si>
    <t>HOP 140 x 140 x 6 mm</t>
  </si>
  <si>
    <t>HOP 120 x 120 x 5 mm</t>
  </si>
  <si>
    <t>HOP 110x110x5 mm</t>
  </si>
  <si>
    <t>HOP 100 x 100 x 5 mm</t>
  </si>
  <si>
    <t>HOP 100 x 100 x 4 mm</t>
  </si>
  <si>
    <t>spojni materijal</t>
  </si>
  <si>
    <t>BRAVARIJA</t>
  </si>
  <si>
    <t>6.</t>
  </si>
  <si>
    <t>6.1.</t>
  </si>
  <si>
    <t>Izvedba horizontalne stabilizacije u ravnini gornjeg ruba drvenih rogova. Izvesti krovnu ukruru OSB pločama 22 mm debljine zabijanjem ili vijčano vezanim za drvene rogove po gornjoj plohi grednika. Ploče se postavljaju tako da prekriju tri roga, tj da se spoj dvije ploče uvijek događa na drugom gredniku. Radovi se izvode sukladno projektu statike. U jediničnoj cijeni su sadržani svi potrebni radovi, materijal i pomoćna sredstva potrebna za izvedbu stavke.</t>
  </si>
  <si>
    <t>Obračun: prema m2 površine krovne plohe prema opisu stavke</t>
  </si>
  <si>
    <t>TESARSKI RADOVI</t>
  </si>
  <si>
    <t>7</t>
  </si>
  <si>
    <t>7.4.</t>
  </si>
  <si>
    <t>m1</t>
  </si>
  <si>
    <t>Položeni žljebovi</t>
  </si>
  <si>
    <t>Obračun po m1 ugrađene vertikale.</t>
  </si>
  <si>
    <t>8.</t>
  </si>
  <si>
    <t>1.</t>
  </si>
  <si>
    <t>2.</t>
  </si>
  <si>
    <t>5.</t>
  </si>
  <si>
    <t>7.</t>
  </si>
  <si>
    <t>ZEMLJANI RADOVI</t>
  </si>
  <si>
    <t>BRAVARIJA</t>
  </si>
  <si>
    <t>TESARSKI RADOVI</t>
  </si>
  <si>
    <r>
      <t>građevnom otpadu I otpadu koji sadrži azbest (NN 69/16), -</t>
    </r>
    <r>
      <rPr>
        <sz val="10"/>
        <rFont val="Times New Roman"/>
        <family val="1"/>
        <charset val="238"/>
      </rPr>
      <t xml:space="preserve"> </t>
    </r>
    <r>
      <rPr>
        <sz val="10"/>
        <rFont val="Arial"/>
        <family val="2"/>
        <charset val="238"/>
      </rPr>
      <t>Pravilnik o gospodarenju otpadom (NN 117/17) I -</t>
    </r>
    <r>
      <rPr>
        <sz val="10"/>
        <rFont val="Times New Roman"/>
        <family val="1"/>
        <charset val="238"/>
      </rPr>
      <t xml:space="preserve"> </t>
    </r>
    <r>
      <rPr>
        <sz val="10"/>
        <rFont val="Arial"/>
        <family val="2"/>
        <charset val="238"/>
      </rPr>
      <t>Uredba o kategorijama, vrstama i klasifikaciji otpada s katalogom otpada i listom opasnog otpada (NN 50/05, 39/09)</t>
    </r>
  </si>
  <si>
    <r>
      <t xml:space="preserve">Zatrpavanje zemljanim materijalom Iz Iskopa </t>
    </r>
    <r>
      <rPr>
        <sz val="10"/>
        <rFont val="Arial"/>
        <family val="2"/>
        <charset val="238"/>
      </rPr>
      <t>u slojevima maksimalne debljine do 20 cm, uz strojno nabijanje svakog pojedinog sloja, sve do tražene zbijenosti podloge. Uključena sva osiguranja, zaštite, transporti, pripremni i završni radovi, čišćenje.</t>
    </r>
  </si>
  <si>
    <r>
      <t xml:space="preserve">Daščana </t>
    </r>
    <r>
      <rPr>
        <sz val="10"/>
        <rFont val="Arial"/>
        <family val="2"/>
        <charset val="238"/>
      </rPr>
      <t>oplata krovnih ploha</t>
    </r>
  </si>
  <si>
    <t>7.2.</t>
  </si>
  <si>
    <t xml:space="preserve">UKUPNO  </t>
  </si>
  <si>
    <t>REKAPITULACIJA UKUPNA:</t>
  </si>
  <si>
    <t>KONSTRUKTIVNA GRADNJA</t>
  </si>
  <si>
    <t>NEKONSTRUKTIVNA GRADNJA</t>
  </si>
  <si>
    <t>VODOVOD I KANALIZACIJA</t>
  </si>
  <si>
    <t>ELEKTROINSTALACIJE</t>
  </si>
  <si>
    <t>STROJARSTVO</t>
  </si>
  <si>
    <t xml:space="preserve"> </t>
  </si>
  <si>
    <t>BETONSKI I ARIMRANOBETONSKI RADOVI</t>
  </si>
  <si>
    <t>ZIDARSKI  I RAZNI RADOVI</t>
  </si>
  <si>
    <t>ZIDARSKI I RAZNI RADOVI</t>
  </si>
  <si>
    <t>LIMARSKI I KROVOPOKRIVACKI RADOVI</t>
  </si>
  <si>
    <t>NEKONSTRUKTIVNA OBNOVA</t>
  </si>
  <si>
    <t>NA REKONSTRUKCIJI GRAĐEVINE BR. 59 NA HVU„dr. Franjo Tuđman", ZAGREB</t>
  </si>
  <si>
    <t>BETONSKI I ARMIRANOBETONSKI RADOVI</t>
  </si>
  <si>
    <t>2.5.</t>
  </si>
  <si>
    <t xml:space="preserve"> FASADA</t>
  </si>
  <si>
    <t>5.2.</t>
  </si>
  <si>
    <t>5.3.</t>
  </si>
  <si>
    <t>5.4.</t>
  </si>
  <si>
    <t>REKAPITULACIJA</t>
  </si>
  <si>
    <t>opis stavke</t>
  </si>
  <si>
    <t>jedinica</t>
  </si>
  <si>
    <t>količina</t>
  </si>
  <si>
    <t>jedinična cijena</t>
  </si>
  <si>
    <t>cijena stavke</t>
  </si>
  <si>
    <t>a)</t>
  </si>
  <si>
    <t>b)</t>
  </si>
  <si>
    <t>c)</t>
  </si>
  <si>
    <t>d)</t>
  </si>
  <si>
    <t>NOVO</t>
  </si>
  <si>
    <t>PRIPREMNI RADOVI, DEMONTAŽE I RUŠENJA</t>
  </si>
  <si>
    <t>Višekratna čišćenja u tijeku gradnje ulaze u jedinične cijene svih sudionika na gradnji, ne ulaze u ovu stavku i ne obračunavaju se posebno!</t>
  </si>
  <si>
    <t>U cijenu uračunata naknada za zbrinjavanje.</t>
  </si>
  <si>
    <t>Obračun po m2.</t>
  </si>
  <si>
    <t>Iskolčenje objekta</t>
  </si>
  <si>
    <t>Iskolčenje objekta obuhvaća sva geodetska mjerenja kojima se podaci iz projekta prenose na teren (vertikalno i horizontalno), obnavljanje i održavanje iskolčenih oznaka na terenu za sve vrijeme građenja. Odnosi se na granicu obuhvata Uključivo izrada Elaborata iskolčenja.</t>
  </si>
  <si>
    <t>Obračun po kompletu.</t>
  </si>
  <si>
    <t>3.12.</t>
  </si>
  <si>
    <t>3.11.</t>
  </si>
  <si>
    <t>3.13.</t>
  </si>
  <si>
    <t>3.14.</t>
  </si>
  <si>
    <t>3.15.</t>
  </si>
  <si>
    <t>HOP 80 x 80 x 5 mm</t>
  </si>
  <si>
    <t>Čelična konstrukcija</t>
  </si>
  <si>
    <t>7.5.</t>
  </si>
  <si>
    <t xml:space="preserve">Dobava i montaža krovnog pokrova iz aluminijske trake u boji,
standardni pokrov: 
dvostruki stojeći falc (minimalni nagib krova:  5°)
razvijena širina trake:  650 mm
debljina materijala: min. 0,65 mm,
kvaliteta materijala: aluminij, 
legura: Al Mn1Mg0,5, mehanička svojstva na savijanje H41 prema EN 485 (poboljšana žilavost),
obrada površine: PP 99 dvostruki zapečeni lak u kvaliteti za falcanje, (stražnja strana zaštitni lak) 
stucco
boja: RAL po izboru projektanta
Vertikalne rubove falca izvesti u nagibu, tako da na donjem ležajnom području traka ostane dilatacijski razmak, pričvršćenje kutnim fiksnim učvršćivačima, odn.
kutnim kliznim učvršćivačima normiranim u skladu s pravilima limarske struke uz poštivanje DIN 1055-4, ÖNORM B 2221, odn. ÖNORM 4014-1, u području strehe, sljemena, kao i spojeva s povišenim dijelovima treba voditi računa o izvedbi s omogućenim dilatacijskim radom, trake nakon izmjere treba profilirati isključivo strojno, uređajem za profiliranje, trake profilirane u sistemu kutnog stojećeg falca treba dvostruko poviti, raspored traka, odnosno falceva simetričan, uz poštivanje datosti krova,Obračun prema izmjeri na licu mjesta bez doplate za otpad materijala, sitni materijal i skelu.
Treba se pridržavati smjernica za polaganje odabranog proizvođača. </t>
  </si>
  <si>
    <t>Dobava i montaža položenih  žljebova  od aluminijskog lima debljine 1mm, rš cca.70 cm. Kvaliteta materijala: aluminij, legura AlMn1Mg 0,5. Obrada površine: u kvaliteti poliestera, dvoslojni zapečeni lak, boja prema izboru projektanta.</t>
  </si>
  <si>
    <t>U jediničnoj cijeni stavke su uključeni svi radovi, materijal, pričvrsni pribor, fazonski komadi i ostalo potrebno za stručnu izvedbu i potpunu funkcionalnost opisane stavke . Obračun: prema m1 izvedenog novog žlijeba sa svim fazonskim komadima i novim kukama za žlijeb. Obračun po m'.</t>
  </si>
  <si>
    <t>LIMARSKI I KROVOPOKRIVAČKI RADOVI</t>
  </si>
  <si>
    <t>Ploče se lijepe nanošenjem sloja ljepila  po cijelom rubu ploče i na 3 kontaktne točke na površini ploče.
 Udio lijepljene površine (kontaktne površine) otprilike 40 %  i dodatno učvršćenje pričvrsnicama;</t>
  </si>
  <si>
    <t>Termoizolacijske ploče moraju se točno zalijepiti odozdo prema gore, tik jedna uz drugu, tako da se dobro uklope u kompozit, pritom između termoizolacijskih ploča ne smiju nastati otvorene fuge. Neizbježne fuge (fuge veće od 2 mm) moraju se zatvoriti izolacijskom trakom, fuge manje od 4 mm odgovarajućom pjenom za punjenje. Građevinsko ljepilo ne smije dospjeti u sljubnice i spojeve ploča. Ne smiju se ugrađivati oštećene termoizolacijske ploče. Višak ploča (najmanja širina 15 cm) ugraditi pojedinačno i podijeljeno po čitavoj površini (ne upotrijebiti kod otvora i vanjskih rubova objekata).</t>
  </si>
  <si>
    <t>- PE ili PVC  pričvrsnice  - 8 kom/m2 i 10kom/m2 na rubovima objekta odnosno u skladu sa HRN EN 13499:2003 ili jednakovrijedno</t>
  </si>
  <si>
    <t>- ojačanja mrežicom na uglovima otvora</t>
  </si>
  <si>
    <t>- izrada dilatacija po potrebi</t>
  </si>
  <si>
    <t>- postava kutnih i okapnih profila na uglove i špalete pročelja, podglede balkona</t>
  </si>
  <si>
    <t xml:space="preserve">               uz prozor - priključni samoljepljivi profil s mrežicom</t>
  </si>
  <si>
    <t xml:space="preserve">               okapni PVC profil -  podgledi balkona i istaka</t>
  </si>
  <si>
    <t xml:space="preserve">               dilatacijski E-form profil</t>
  </si>
  <si>
    <t xml:space="preserve">               kutni profil s mrežicom</t>
  </si>
  <si>
    <t>Podloga se nanosi kad vremenski uvjeti zadovoljavaju i po odobrenju nadzornog inženjera nakon izvršenog pregleda ravnosti i kvalitete izvedbe prethodnih radnji.</t>
  </si>
  <si>
    <t>Za sve što nije navedeno po pitanju izvedbe i obračuna primjenjuju se smjernice HUPFAS-a. Postava zaslona od jutenih ili plastificiranih traka na skeli je obavezna i uključena u cijenu.</t>
  </si>
  <si>
    <t>1) klupčica prozora prizemlja, r.š. 48 cm</t>
  </si>
  <si>
    <t>2) klupčica prozora na katu, r.š. 48 cm</t>
  </si>
  <si>
    <t>3) vijenac, r.š. 80 cm</t>
  </si>
  <si>
    <t xml:space="preserve">KONZERVATORSKA ISTRAŽIVANJA </t>
  </si>
  <si>
    <t xml:space="preserve">Konzervatorska istraživanja žbuke i boje pročelja prije rušenja i demontaža, radi utvrđivanja izgleda pročelja u raznim povijesnim razdobljima, te radi utvrđivanja stanja obrada i konstrukcija. </t>
  </si>
  <si>
    <t>U konzervatorsko-restauratorskim istražnim radovima će se istražiti karakteristični dekorativni elementi i ravne zidne plohe pročelja građevine kako bi se mogli utvrditi podaci o izvornoj gradnji i završnom izgledu zgrade. Sonde će se otvarati mehanički, potom će se
obilježiti, fotografirati, te će se očitati obojenja i teksture završnih slojeva. Očitati će se i
gradnja i završna obrada izvornih dekorativnih elemenata kao što su završni vijenac, klupčice
prozora kata i prizemlja, dekorativni pilastri između prozora na zabatima istočnog i
zapadnog pročelja, te sokl. Stolarija na zgradi nije sačuvana. Izraditi će se izvještaj s opisom i
fotografijama sondi uz zaključke i ton karte. Izvještaj će se u printanoj verziji predati
naručitelju i nadležnom konzervatorskom zavodu.
Snimanje profiliranih dekorativnih elemenata izvesti će se 3D skenerom. Prije samog
snimanja potrebno je očistiti dekorativne elemente od naliča i zaključnih žbuka do nulte
forme. Prema potrebi elementi će se retuširati ako je sačuvano premalo originalne površine
(moguće na soklu). Prema snimljenim podacima izraditi će se crtež u dwg. formatu 1:1 koji
će se predati naručitelju.
Radovi će se izvoditi pod nadležnošću Gradskog zavoda za zaštitu spomenika kulture i
prirode u Zagrebu.</t>
  </si>
  <si>
    <t xml:space="preserve"> Konzervatorsko-restauratorsko istraživanje</t>
  </si>
  <si>
    <t xml:space="preserve"> Otvaranje sondi</t>
  </si>
  <si>
    <t xml:space="preserve"> Izrada izvještaja uz fotodokumentaciju i ton karte </t>
  </si>
  <si>
    <t>Najam košare - 2 dana</t>
  </si>
  <si>
    <t>h</t>
  </si>
  <si>
    <t>Snimanje profiliranih elemenata na pročeljima zgrade</t>
  </si>
  <si>
    <t>Uklanjanje završnih slojeva naliča i žbuka do nulte forme profiliranih elemenata</t>
  </si>
  <si>
    <t xml:space="preserve">Snimanje profilacija 3D skenerom, 5 komada (krovni vijenac, klupčica prozora  kata, klupčica prozora prizemlja, dekorativni pilastar između prozora na zabatu istočnog i zapadnog pročelja, sokl) i obrada snimljenih podataka i izrada crteža u dwg.formatu </t>
  </si>
  <si>
    <t>UKUPNO  KONZERVATORSKI RADOVI</t>
  </si>
  <si>
    <t>KONZERVATORSKI RADOVI</t>
  </si>
  <si>
    <t>ANEKS 1</t>
  </si>
  <si>
    <t>Dobava i postava  rubnog aluminijskog koritastog  profila ( sokl – profil ).Stavka uključuje i potrebne vijke s tiplima za pričvršćenje.</t>
  </si>
  <si>
    <t>Dobava i postava toplinske izolacije od  fasadne kamene vune  d = 120 mm , uključeno ljepljenje i tiplanje, uključen sav materijal i rad kao i obavezna  zaštita  vanjske stolarije, klupčica i okapa.</t>
  </si>
  <si>
    <t>Gletanje  fasade završnom silikatnom žbukom u boji po izboru projektanta. Uključena je prethodna impregnacija u boji završnog sloja fasade.</t>
  </si>
  <si>
    <t>HOP 70x70x4 mm</t>
  </si>
  <si>
    <t>LIMARSKI I KROVOPOKRIVAĆKI RADOVI</t>
  </si>
  <si>
    <t xml:space="preserve">Rušenje svih konstruktivnih dijelova građevine kao što su zidani zidovi, betonski i AB temelji, stupovi, grede. Rušenje se izvodi prema pozicijama označenim u projektu. Također su uključena sva osiguranja, podupiranja, skele i pomoćne konstrukcije. Stavka uključuje transport otpadnog materijala na gradilišni deponij na udaljenost do 50 m. </t>
  </si>
  <si>
    <r>
      <t xml:space="preserve">Dobava materijala i postava paropropusne, vodonepropusns folije. </t>
    </r>
    <r>
      <rPr>
        <sz val="10"/>
        <rFont val="Arial"/>
        <family val="2"/>
        <charset val="238"/>
      </rPr>
      <t>Dobava materijala i postava paropropusne, vodonepropusne folije. Svi spojevi s propisanim preklopom 1 zalijepljeni. Uključen sav rad i materijal. Obračun po m2 postavljene folije</t>
    </r>
  </si>
  <si>
    <t xml:space="preserve">Gletanje fasade u tri sloja  cement - polimernim mortom. Uključena je postava rubnih profila na svim vanjskim bridovima , te oko prozora i vrata, kao i postava dijagonalnih traka na kuteve oko otvora, te jednoslojna postava staklo-plastične alkalno otporne armirajuće mrežice površinske mase 140-160g/m2 i prekidne čvrstoće min 150 N/5 cm, postavlja se sa preklopom.  </t>
  </si>
  <si>
    <t>U cijenu uključen sav potreban materijal po pravilima struke i uputama proizvođača.</t>
  </si>
  <si>
    <t>UKUPNO (OSNOVNI UGOVOR):</t>
  </si>
  <si>
    <t>KOMPLET FAZA I.</t>
  </si>
  <si>
    <t xml:space="preserve">b) oplata </t>
  </si>
  <si>
    <t>Obračun po kg prema stvarno ugrađenim količinama, prema planu armature i statičkom proračunu, uključivo podloške, distancere i žicu do potpune gotovosti.</t>
  </si>
  <si>
    <t>a) šipke</t>
  </si>
  <si>
    <t>b) mreže</t>
  </si>
  <si>
    <t>3.19.</t>
  </si>
  <si>
    <t>3.16.</t>
  </si>
  <si>
    <t>3.17.</t>
  </si>
  <si>
    <t>3.18.</t>
  </si>
  <si>
    <t>3.20.</t>
  </si>
  <si>
    <t>3.6.</t>
  </si>
  <si>
    <r>
      <rPr>
        <b/>
        <sz val="10"/>
        <rFont val="Arial"/>
        <family val="2"/>
        <charset val="238"/>
      </rPr>
      <t>Čišćenje obuhvata zahvata i okoliša</t>
    </r>
    <r>
      <rPr>
        <sz val="10"/>
        <rFont val="Arial"/>
        <family val="2"/>
        <charset val="238"/>
      </rPr>
      <t xml:space="preserve"> nakon završetka svih radova sa odvozom otpada i zaostalog građevinskog materijala na gradski depo.</t>
    </r>
  </si>
  <si>
    <r>
      <t xml:space="preserve">Geodetsko snimanje izvedenog stanja građevine i podzemnih instalacija za vrijeme i nakon izgradnje, </t>
    </r>
    <r>
      <rPr>
        <b/>
        <sz val="10"/>
        <rFont val="Arial"/>
        <family val="2"/>
        <charset val="238"/>
      </rPr>
      <t xml:space="preserve">te izrada geodetskih elaborata </t>
    </r>
    <r>
      <rPr>
        <sz val="10"/>
        <rFont val="Arial"/>
        <family val="2"/>
        <charset val="238"/>
      </rPr>
      <t xml:space="preserve">za uplanu u katastarski operat.
</t>
    </r>
  </si>
  <si>
    <r>
      <t xml:space="preserve">Izvedba armirano betonske temeljne ploče, </t>
    </r>
    <r>
      <rPr>
        <sz val="10"/>
        <rFont val="Arial"/>
        <family val="2"/>
      </rPr>
      <t>ploča debljine 40 cm sa temeljnim trakama  na rubovima te u osima 6,7 i 11</t>
    </r>
    <r>
      <rPr>
        <b/>
        <sz val="10"/>
        <rFont val="Arial"/>
        <family val="2"/>
      </rPr>
      <t xml:space="preserve">, </t>
    </r>
    <r>
      <rPr>
        <sz val="10"/>
        <rFont val="Arial"/>
        <family val="2"/>
        <charset val="238"/>
      </rPr>
      <t>beton</t>
    </r>
    <r>
      <rPr>
        <sz val="10"/>
        <rFont val="Arial"/>
        <family val="2"/>
      </rPr>
      <t xml:space="preserve"> </t>
    </r>
    <r>
      <rPr>
        <sz val="10"/>
        <rFont val="Arial"/>
        <family val="2"/>
        <charset val="238"/>
      </rPr>
      <t>C 30/37</t>
    </r>
    <r>
      <rPr>
        <b/>
        <sz val="10"/>
        <rFont val="Arial"/>
        <family val="2"/>
        <charset val="238"/>
      </rPr>
      <t xml:space="preserve">. </t>
    </r>
    <r>
      <rPr>
        <sz val="10"/>
        <rFont val="Arial"/>
        <family val="2"/>
      </rPr>
      <t xml:space="preserve">Stavka uključuje pripremu, izradu i dobavu, sve transporte i prijenose te ugradnju svježeg betona. Uključena je i njega svježeg betona nakon ugradnje. Stavka uključuje sav rad i materijal, pomoćna sredstva i transporte. </t>
    </r>
  </si>
  <si>
    <r>
      <t xml:space="preserve">a) </t>
    </r>
    <r>
      <rPr>
        <sz val="10"/>
        <rFont val="Arial"/>
        <family val="2"/>
        <charset val="238"/>
      </rPr>
      <t>beton</t>
    </r>
  </si>
  <si>
    <r>
      <t xml:space="preserve">b) </t>
    </r>
    <r>
      <rPr>
        <sz val="10"/>
        <rFont val="Arial"/>
        <family val="2"/>
        <charset val="238"/>
      </rPr>
      <t>rubna</t>
    </r>
    <r>
      <rPr>
        <b/>
        <sz val="10"/>
        <rFont val="Arial"/>
        <family val="2"/>
      </rPr>
      <t xml:space="preserve"> </t>
    </r>
    <r>
      <rPr>
        <sz val="10"/>
        <rFont val="Arial"/>
        <family val="2"/>
        <charset val="238"/>
      </rPr>
      <t>oplata</t>
    </r>
  </si>
  <si>
    <r>
      <t>Izvedba AB zidova prizemlja</t>
    </r>
    <r>
      <rPr>
        <sz val="10"/>
        <rFont val="Arial"/>
        <family val="2"/>
      </rPr>
      <t xml:space="preserve"> debljine </t>
    </r>
    <r>
      <rPr>
        <sz val="10"/>
        <rFont val="Arial"/>
        <family val="2"/>
        <charset val="238"/>
      </rPr>
      <t>25-45</t>
    </r>
    <r>
      <rPr>
        <sz val="10"/>
        <rFont val="Arial"/>
        <family val="2"/>
      </rPr>
      <t xml:space="preserve"> cm, beton C 25/30 (uključivo s nadvojima)</t>
    </r>
    <r>
      <rPr>
        <b/>
        <sz val="10"/>
        <rFont val="Arial"/>
        <family val="2"/>
        <charset val="238"/>
      </rPr>
      <t>.</t>
    </r>
    <r>
      <rPr>
        <sz val="10"/>
        <rFont val="Arial"/>
        <family val="2"/>
      </rPr>
      <t xml:space="preserve">Stavka uključuje pripremu, izradu i dobavu, sve transporte i prijenose te ugradnju svježeg betona. Uključena je i njega svježeg betona nakon ugradnje. Stavka uključuje sav rad i materijal, pomoćna sredstva i transporte. </t>
    </r>
  </si>
  <si>
    <r>
      <t xml:space="preserve">Izvedba AB stupova prizemlja dimenzija 35x35 cm, </t>
    </r>
    <r>
      <rPr>
        <sz val="10"/>
        <rFont val="Arial"/>
        <family val="2"/>
      </rPr>
      <t xml:space="preserve">(uključivo s nadvojima). beton C 25/30 </t>
    </r>
    <r>
      <rPr>
        <b/>
        <sz val="10"/>
        <rFont val="Arial"/>
        <family val="2"/>
      </rPr>
      <t>.</t>
    </r>
    <r>
      <rPr>
        <sz val="10"/>
        <rFont val="Arial"/>
        <family val="2"/>
        <charset val="238"/>
      </rPr>
      <t xml:space="preserve">Stavka uključuje pripremu, izradu i dobavu, sve transporte i prijenose te ugradnju svježeg betona. Uključena je i njega svježeg betona nakon ugradnje. Stavka uključuje sav rad i materijal, pomoćna sredstva i transporte. </t>
    </r>
  </si>
  <si>
    <r>
      <t xml:space="preserve">b) </t>
    </r>
    <r>
      <rPr>
        <sz val="10"/>
        <rFont val="Arial"/>
        <family val="2"/>
        <charset val="238"/>
      </rPr>
      <t>oplata</t>
    </r>
  </si>
  <si>
    <r>
      <t>Izvedba AB greda prizemlja</t>
    </r>
    <r>
      <rPr>
        <b/>
        <sz val="10"/>
        <rFont val="Arial"/>
        <family val="2"/>
        <charset val="238"/>
      </rPr>
      <t xml:space="preserve"> </t>
    </r>
    <r>
      <rPr>
        <sz val="10"/>
        <rFont val="Arial"/>
        <family val="2"/>
        <charset val="238"/>
      </rPr>
      <t>Beton klase C25/30, ostalo</t>
    </r>
    <r>
      <rPr>
        <b/>
        <sz val="10"/>
        <rFont val="Arial"/>
        <family val="2"/>
        <charset val="238"/>
      </rPr>
      <t xml:space="preserve"> </t>
    </r>
    <r>
      <rPr>
        <sz val="10"/>
        <rFont val="Arial"/>
        <family val="2"/>
        <charset val="238"/>
      </rPr>
      <t xml:space="preserve">u svemu prema projektu konstrukcije i projektnoj dokumentaciji.   Stavka uključuje pripremu, izradu i dobavu, sve transporte i prijenose te ugradnju svježeg betona. Uključena je i njega svježeg betona nakon ugradnje. Stavka uključuje sav rad i materijal, pomoćna sredstva i transporte. </t>
    </r>
  </si>
  <si>
    <r>
      <t>Izvedba AB stropne ploče iznad prizemlja,</t>
    </r>
    <r>
      <rPr>
        <sz val="10"/>
        <rFont val="Arial"/>
        <family val="2"/>
      </rPr>
      <t xml:space="preserve"> beton C 25/30, debljina ploče 25 cm</t>
    </r>
    <r>
      <rPr>
        <sz val="10"/>
        <rFont val="Arial"/>
        <family val="2"/>
        <charset val="238"/>
      </rPr>
      <t xml:space="preserve">. </t>
    </r>
    <r>
      <rPr>
        <sz val="10"/>
        <rFont val="Arial"/>
        <family val="2"/>
      </rPr>
      <t xml:space="preserve">Stavka uključuje pripremu, izradu i dobavu, sve transporte i prijenose te ugradnju svježeg betona.  </t>
    </r>
  </si>
  <si>
    <r>
      <t xml:space="preserve">Betoniranje unutarnjeg AB  stubišta u oplati, </t>
    </r>
    <r>
      <rPr>
        <sz val="10"/>
        <rFont val="Arial"/>
        <family val="2"/>
        <charset val="238"/>
      </rPr>
      <t>izvedba</t>
    </r>
    <r>
      <rPr>
        <b/>
        <sz val="10"/>
        <rFont val="Arial"/>
        <family val="2"/>
        <charset val="238"/>
      </rPr>
      <t xml:space="preserve"> </t>
    </r>
    <r>
      <rPr>
        <sz val="10"/>
        <rFont val="Arial"/>
        <family val="2"/>
        <charset val="238"/>
      </rPr>
      <t xml:space="preserve">stubišnih greda,podesta, gazišta , beton C 25/30. Stavka uključuje pripremu, izradu i dobavu, sve transporte i prijenose te ugradnju svježeg betona. </t>
    </r>
  </si>
  <si>
    <r>
      <t>Izvedba AB zidova 1. kata</t>
    </r>
    <r>
      <rPr>
        <sz val="10"/>
        <rFont val="Arial"/>
        <family val="2"/>
      </rPr>
      <t xml:space="preserve"> debljine </t>
    </r>
    <r>
      <rPr>
        <sz val="10"/>
        <rFont val="Arial"/>
        <family val="2"/>
        <charset val="238"/>
      </rPr>
      <t>25-45 cm</t>
    </r>
    <r>
      <rPr>
        <sz val="10"/>
        <rFont val="Arial"/>
        <family val="2"/>
      </rPr>
      <t>, C 25/30</t>
    </r>
    <r>
      <rPr>
        <b/>
        <sz val="10"/>
        <rFont val="Arial"/>
        <family val="2"/>
        <charset val="238"/>
      </rPr>
      <t xml:space="preserve">. </t>
    </r>
    <r>
      <rPr>
        <sz val="10"/>
        <rFont val="Arial"/>
        <family val="2"/>
      </rPr>
      <t xml:space="preserve">Stavka uključuje pripremu, izradu i dobavu, sve transporte i prijenose te ugradnju svježeg betona. Uključena je i njega svježeg betona nakon ugradnje. Stavka uključuje sav rad i materijal, pomoćna sredstva i transporte. </t>
    </r>
  </si>
  <si>
    <r>
      <rPr>
        <b/>
        <sz val="10"/>
        <rFont val="Arial"/>
        <family val="2"/>
        <charset val="238"/>
      </rPr>
      <t>Izvedba AB vijenca iznad zidova 1. kata</t>
    </r>
    <r>
      <rPr>
        <sz val="10"/>
        <rFont val="Arial"/>
        <family val="2"/>
        <charset val="238"/>
      </rPr>
      <t xml:space="preserve"> , C 25/30</t>
    </r>
    <r>
      <rPr>
        <b/>
        <sz val="10"/>
        <rFont val="Arial"/>
        <family val="2"/>
        <charset val="238"/>
      </rPr>
      <t>.</t>
    </r>
    <r>
      <rPr>
        <b/>
        <sz val="10"/>
        <rFont val="Arial"/>
        <family val="2"/>
      </rPr>
      <t xml:space="preserve"> </t>
    </r>
    <r>
      <rPr>
        <sz val="10"/>
        <rFont val="Arial"/>
        <family val="2"/>
        <charset val="238"/>
      </rPr>
      <t xml:space="preserve">Stavka uključuje izradu glatke oplate razvijene širine 120 cm,izrada oplate vijenca prema detaljima, pripremu, izradu i dobavu, sve transporte i prijenose te ugradnju svježeg betona. Uključena je i njega svježeg betona nakon ugradnje. Stavka uključuje sav rad i materijal, pomoćna sredstva i transporte. </t>
    </r>
  </si>
  <si>
    <r>
      <t xml:space="preserve">a) </t>
    </r>
    <r>
      <rPr>
        <sz val="10"/>
        <rFont val="Arial"/>
        <family val="2"/>
      </rPr>
      <t>beton</t>
    </r>
  </si>
  <si>
    <r>
      <t xml:space="preserve">b) </t>
    </r>
    <r>
      <rPr>
        <sz val="10"/>
        <rFont val="Arial"/>
        <family val="2"/>
      </rPr>
      <t>oplata razvijene širine 120cm</t>
    </r>
  </si>
  <si>
    <r>
      <t>Izvedba AB zidova (obloga) uz postojeće zidove prizemlja,</t>
    </r>
    <r>
      <rPr>
        <sz val="10"/>
        <rFont val="Arial"/>
        <family val="2"/>
      </rPr>
      <t xml:space="preserve"> debljine 15-38 cm, C 30/37</t>
    </r>
    <r>
      <rPr>
        <b/>
        <sz val="10"/>
        <rFont val="Arial"/>
        <family val="2"/>
      </rPr>
      <t xml:space="preserve">. </t>
    </r>
    <r>
      <rPr>
        <sz val="10"/>
        <rFont val="Arial"/>
        <family val="2"/>
      </rPr>
      <t xml:space="preserve">Priprema postojećih zidova, otucanje žbuke, čišćenje fuga u dubini 3cm. Priprema, izrada i dobava, svi transporti i prijenosi te ugradnja svježeg betona. Uključena je i njega svježeg betona nakon ugradnje. Stavka uključuje sav rad i materijal, pomoćna sredstva i transporte. </t>
    </r>
  </si>
  <si>
    <r>
      <t>b)</t>
    </r>
    <r>
      <rPr>
        <sz val="10"/>
        <rFont val="Arial"/>
        <family val="2"/>
        <charset val="238"/>
      </rPr>
      <t xml:space="preserve"> </t>
    </r>
    <r>
      <rPr>
        <sz val="10"/>
        <rFont val="Arial"/>
        <family val="2"/>
      </rPr>
      <t>oplata</t>
    </r>
  </si>
  <si>
    <r>
      <t xml:space="preserve">Izvedba AB horizontalnog serklaža iznad postojećih zidova od opeke. </t>
    </r>
    <r>
      <rPr>
        <sz val="10"/>
        <rFont val="Arial"/>
        <family val="2"/>
        <charset val="238"/>
      </rPr>
      <t>Beton klase C25/30, ostalo</t>
    </r>
    <r>
      <rPr>
        <b/>
        <sz val="10"/>
        <rFont val="Arial"/>
        <family val="2"/>
        <charset val="238"/>
      </rPr>
      <t xml:space="preserve"> </t>
    </r>
    <r>
      <rPr>
        <sz val="10"/>
        <rFont val="Arial"/>
        <family val="2"/>
        <charset val="238"/>
      </rPr>
      <t xml:space="preserve">u svemu prema projektu konstrukcije i projektnoj dokumentaciji.   Stavka uključuje pripremu, izradu i dobavu, sve transporte i prijenose te ugradnju svježeg betona. Uključena je i njega svježeg betona nakon ugradnje. Stavka uključuje sav rad i materijal, pomoćna sredstva i transporte. </t>
    </r>
  </si>
  <si>
    <r>
      <t>Izvedba AB zidova zabata kata ,</t>
    </r>
    <r>
      <rPr>
        <sz val="10"/>
        <rFont val="Arial"/>
        <family val="2"/>
      </rPr>
      <t xml:space="preserve"> debljine</t>
    </r>
    <r>
      <rPr>
        <sz val="10"/>
        <rFont val="Arial"/>
        <family val="2"/>
        <charset val="238"/>
      </rPr>
      <t xml:space="preserve"> </t>
    </r>
    <r>
      <rPr>
        <sz val="10"/>
        <rFont val="Arial"/>
        <family val="2"/>
      </rPr>
      <t>30-60 cm, C 25/30</t>
    </r>
    <r>
      <rPr>
        <b/>
        <sz val="10"/>
        <rFont val="Arial"/>
        <family val="2"/>
        <charset val="238"/>
      </rPr>
      <t xml:space="preserve">. </t>
    </r>
    <r>
      <rPr>
        <sz val="10"/>
        <rFont val="Arial"/>
        <family val="2"/>
      </rPr>
      <t xml:space="preserve">Stavka uključuje pripremu, izradu i dobavu, sve transporte i prijenose te ugradnju svježeg betona. Uključena je i njega svježeg betona nakon ugradnje. Stavka uključuje sav rad i materijal, pomoćna sredstva i transporte. </t>
    </r>
  </si>
  <si>
    <r>
      <t xml:space="preserve">b) </t>
    </r>
    <r>
      <rPr>
        <sz val="10"/>
        <rFont val="Arial"/>
        <family val="2"/>
      </rPr>
      <t>oplata</t>
    </r>
  </si>
  <si>
    <r>
      <rPr>
        <b/>
        <sz val="10"/>
        <rFont val="Arial"/>
        <family val="2"/>
        <charset val="238"/>
      </rPr>
      <t>Dobava, čišćenje, ispravljanje, sječenje, savijanje, postavljanje i vezivanje armaturnog čelika B500B i mreža B500A.</t>
    </r>
    <r>
      <rPr>
        <sz val="10"/>
        <rFont val="Arial"/>
        <family val="2"/>
        <charset val="238"/>
      </rPr>
      <t xml:space="preserve"> </t>
    </r>
  </si>
  <si>
    <r>
      <t xml:space="preserve">Izvedba moždanika za vezu temeljne ploče i postojećih temelja. </t>
    </r>
    <r>
      <rPr>
        <sz val="10"/>
        <rFont val="Arial"/>
        <family val="2"/>
      </rPr>
      <t>Izrada otvora za moždanike dimenzija 20x20x30cm na postojećim temeljima, ugradnja armaturnog koša te ispuna otvora smjesom za sidrenje. Armaturni  koš povezati sa armaturom temeljne ploče. Konačna armatura i raspored moždanika prema izvedbenom nacrtu armature Stavka uključuje sav rad i materijal, pomoćna sredstva i transporte. Obračun po komadu izvedenog moždanika.</t>
    </r>
  </si>
  <si>
    <r>
      <t xml:space="preserve">Izvedba moždanika za vezu A.B. zidova(obloge) i postojećih zidova od opeke. </t>
    </r>
    <r>
      <rPr>
        <sz val="10"/>
        <rFont val="Arial"/>
        <family val="2"/>
      </rPr>
      <t>Izrada otvora za moždanike dimenzija 20x20x30cm na postojećim zidovima od opeke, ugradnja armaturnog koša te ispuna otvora smjesom za sidrenje. Armaturni  koš povezati sa armaturom a.b.zidova. Konačna armatura i raspored moždanika prema izvedbenom nacrtu armature. Stavka uključuje sav rad i materijal, pomoćna sredstva i transporte. Obračun po komadu izvedenog moždanika.</t>
    </r>
  </si>
  <si>
    <r>
      <t xml:space="preserve">Dobava, postavljanje i ugradnja probojne armature </t>
    </r>
    <r>
      <rPr>
        <sz val="10"/>
        <rFont val="Arial"/>
        <family val="2"/>
        <charset val="238"/>
      </rPr>
      <t>Schoeck BOLE O 16/330-2/B335. Obračun prema komadu ugrađene probojne armature</t>
    </r>
  </si>
  <si>
    <r>
      <rPr>
        <b/>
        <sz val="10"/>
        <rFont val="HRBookmanLight"/>
        <charset val="238"/>
      </rPr>
      <t>Betoniranje betonske pješačke staze oko objekta</t>
    </r>
    <r>
      <rPr>
        <sz val="10"/>
        <rFont val="Arial"/>
        <family val="2"/>
        <charset val="238"/>
      </rPr>
      <t>, betonom klaseC25/30, ploča debljine 10 cm. Obračun po m2
ugrađenog betona.U stavku uključena i izrada radne reške svakih 3,0 m staze.</t>
    </r>
  </si>
  <si>
    <r>
      <t>Dobava i ugradnja gotovih betonskih rubnjaka, dim 100/25/15 cm</t>
    </r>
    <r>
      <rPr>
        <sz val="10"/>
        <rFont val="Arial"/>
        <family val="2"/>
        <charset val="238"/>
      </rPr>
      <t xml:space="preserve"> klasa betonaC40/50, sve prema normi HRN EN 1340:2004,
položenih na betonsku podlogu.Sve izraditi prema
 projektu.
Gotovi betonski rubnjaci moraju biti prvoklasno
izrađeni, vidljive plohe betona i pripadajući bridovi
moraju biti obrađeni i oprani.
Prema potrebi određeni će se izraditi tlocrtno
zakrivljeni bez posebne naplate.
U stavci je uračunata dobava i ugradnja rubnjaka
sa izradom betonske podloge, te zaljevanjem
reški (sudarnica) cementnim mortom 1:4
uključujući sve potrebne predranje.
obračun po m1</t>
    </r>
  </si>
  <si>
    <r>
      <rPr>
        <b/>
        <sz val="10"/>
        <rFont val="HRBookmanLight"/>
        <charset val="238"/>
      </rPr>
      <t xml:space="preserve">Dobava, doprema i ugradnja granitnih kocki dim. 10x10x10 cm </t>
    </r>
    <r>
      <rPr>
        <sz val="10"/>
        <rFont val="HRBookmanLight"/>
        <charset val="238"/>
      </rPr>
      <t>za popločenje plohe ispred objekta, na mjesto prethodno uklonjenih kocki.. Opločnici se postavljaju u podložni stabilizacijski sloj debljine 5 cm od drobljenog eruptivnog pijeska veličine zrna 2-4 mm s dodatkom cementa, 4:1 miješano u suho. Obračun se vrši po m² ugrađenih kocki uključivo sav potreban materijal, pijesak i fugiranje cementom te sav rad na ugradnji. U cijeni po m² ugrađenog materijala uključeno je i pribavljanje atesta o kvaliteti ugrađenog materijala.</t>
    </r>
  </si>
  <si>
    <r>
      <rPr>
        <b/>
        <sz val="10"/>
        <rFont val="Arial"/>
        <family val="2"/>
      </rPr>
      <t>Izrada, transport i montaža čelične konstrukcije krova,</t>
    </r>
    <r>
      <rPr>
        <sz val="10"/>
        <rFont val="Arial"/>
        <family val="2"/>
      </rPr>
      <t xml:space="preserve"> izrada prema izvedbenoj dokumentaciji, tehničkom opisu i specifikaciji materijala (materijal u klasi S235JO prema HRN EN 10025-2). Uključen sav materijal i rad. Obračunava se po kg čelika, stvarno ugrađenog u konstrukciju.</t>
    </r>
  </si>
  <si>
    <r>
      <rPr>
        <b/>
        <sz val="10"/>
        <rFont val="Arial"/>
        <family val="2"/>
      </rPr>
      <t>Nabava i izrada protupožarnog premaza F 30  čelične konstrukcije krova.</t>
    </r>
    <r>
      <rPr>
        <sz val="10"/>
        <rFont val="Arial"/>
        <family val="2"/>
        <charset val="238"/>
      </rPr>
      <t xml:space="preserve"> Uključen sav potreban  materijal i rad. Obračunava se po kg čelika, stvarno ugrađenog u konstrukciju.</t>
    </r>
  </si>
  <si>
    <r>
      <rPr>
        <b/>
        <sz val="10"/>
        <rFont val="Arial"/>
        <family val="2"/>
        <charset val="238"/>
      </rPr>
      <t>Izrada i ugradba čelične nadstrešnice nad ulazom:</t>
    </r>
    <r>
      <rPr>
        <sz val="10"/>
        <rFont val="Arial"/>
        <family val="2"/>
        <charset val="238"/>
      </rPr>
      <t xml:space="preserve">
Dobava materijala, izrada, transport i montaža nadstrešnice nad ulazom. Čelična konstrukcija se izvodi iz HOP cijevnih profila 120x80x4 (materijal u klasi S235JR(H) prema HRN EN 10025 i 10210), kaljeno staklo prema statičkom proračunu. U cijenu uračunati se potrebne pločevine, te sav potreban ugradbeni materijal( spojni i pričvrsni) u svemu prema statičkom proračunu, važećim normama i pravilima struke. Prije početka radova izvođač je dužan sastaviti detaljan plan montaže.Izvesti potrebnu AKZ zaštitu čelične konstrukcije ( pjeskarenje, kemiska sredstva četke ) ,nanošenje AKZ sloja, nanjeti 2 x temeljni premaz i 1 x završni sloj boje za metal  po izboru projektanta.  Izvođač je obavezan izraditi radioničke nacrte s rješenim i proračunatim detaljima, te ih dostaviti projektantu na ovjeru. U cijenu uračunati sav potreban rad i ugradbeni materijal. Obračun po kg ugrađene čelične konstrukcije te po m2 ugrađenog kaljenog stakla.</t>
    </r>
  </si>
  <si>
    <r>
      <t xml:space="preserve">Kaljeno staklo </t>
    </r>
    <r>
      <rPr>
        <sz val="10"/>
        <rFont val="Arial"/>
        <family val="2"/>
        <charset val="238"/>
      </rPr>
      <t>d=19 mm</t>
    </r>
  </si>
  <si>
    <r>
      <t xml:space="preserve">Izrada i ugradba </t>
    </r>
    <r>
      <rPr>
        <b/>
        <sz val="10"/>
        <rFont val="Arial"/>
        <family val="2"/>
        <charset val="238"/>
      </rPr>
      <t>ograde unutarnjeg stubišta</t>
    </r>
    <r>
      <rPr>
        <sz val="10"/>
        <rFont val="Arial"/>
        <family val="2"/>
        <charset val="238"/>
      </rPr>
      <t>.</t>
    </r>
    <r>
      <rPr>
        <b/>
        <sz val="10"/>
        <rFont val="Arial"/>
        <family val="2"/>
        <charset val="238"/>
      </rPr>
      <t xml:space="preserve"> Rukohvat </t>
    </r>
    <r>
      <rPr>
        <sz val="10"/>
        <rFont val="Arial"/>
        <family val="2"/>
        <charset val="238"/>
      </rPr>
      <t>se izvodi od inoks</t>
    </r>
    <r>
      <rPr>
        <b/>
        <u/>
        <sz val="10"/>
        <rFont val="Arial"/>
        <family val="2"/>
        <charset val="238"/>
      </rPr>
      <t xml:space="preserve"> cijevi</t>
    </r>
    <r>
      <rPr>
        <sz val="10"/>
        <rFont val="Arial"/>
        <family val="2"/>
        <charset val="238"/>
      </rPr>
      <t xml:space="preserve"> kružnog presjeka, Φ 50 mm, ispuna od čeličnih profila prema shemi projektanta. U cijeni sav materijal i rad. Visina ograde 110 cm od gotovog poda. Obračun po m1 izvedene ograde stepenišnog kraka i podesta.
</t>
    </r>
  </si>
  <si>
    <r>
      <t xml:space="preserve">Izrada, dobava, postava sekundarne podkonstrukcije </t>
    </r>
    <r>
      <rPr>
        <sz val="10"/>
        <rFont val="Arial"/>
        <family val="2"/>
        <charset val="238"/>
      </rPr>
      <t>od pune drvene građe 20/24 cm. Koristiti dobro prosušenu građu I klase. Uključen sav rad i materijal, svi spojni i pričvrsni elementi, sitan montažni materijal, podlošci, transporti, osiguranja, skele. Uključeno premazivanje rogova zaštitnim biocidno-fungicidnim tonlranim premazom.</t>
    </r>
  </si>
  <si>
    <r>
      <t xml:space="preserve">Dobava i postava drvenih štafli kosog krova. </t>
    </r>
    <r>
      <rPr>
        <sz val="10"/>
        <rFont val="Arial"/>
        <family val="2"/>
        <charset val="238"/>
      </rPr>
      <t>Postavljaju se štafle presjeka 8x5 cm. Grede je potrebno postaviti s vanjske strane krova na poziciju po dužini rogova (kontraletve). U cijeni je sadržan premaz drvene građe zaštitnim fungicidnim sredstvom. Obračun po m2 kose krovne površine.</t>
    </r>
  </si>
  <si>
    <r>
      <t xml:space="preserve">Dobava i postava toplinske Izolacije(mineralne vune) debljine 20 cm </t>
    </r>
    <r>
      <rPr>
        <sz val="10"/>
        <rFont val="Arial"/>
        <family val="2"/>
        <charset val="238"/>
      </rPr>
      <t xml:space="preserve">na kosom krovu </t>
    </r>
    <r>
      <rPr>
        <b/>
        <sz val="10"/>
        <rFont val="Arial"/>
        <family val="2"/>
        <charset val="238"/>
      </rPr>
      <t xml:space="preserve">(K1) λ= 0,034 W/mK </t>
    </r>
    <r>
      <rPr>
        <sz val="10"/>
        <rFont val="Arial"/>
        <family val="2"/>
        <charset val="238"/>
      </rPr>
      <t>Uključen sav potreban materijal za ugradnju i učvršćenje, uključene pričvrsne lajsne, sav potreban rad i materijal.</t>
    </r>
  </si>
  <si>
    <r>
      <rPr>
        <b/>
        <sz val="10"/>
        <rFont val="Arial"/>
        <family val="2"/>
        <charset val="238"/>
      </rPr>
      <t>Dobava i montaža</t>
    </r>
    <r>
      <rPr>
        <sz val="10"/>
        <rFont val="Arial"/>
        <family val="2"/>
        <charset val="238"/>
      </rPr>
      <t xml:space="preserve"> </t>
    </r>
    <r>
      <rPr>
        <b/>
        <sz val="10"/>
        <rFont val="Arial"/>
        <family val="2"/>
        <charset val="238"/>
      </rPr>
      <t>pokrova aluminijskom trakom u boji</t>
    </r>
  </si>
  <si>
    <r>
      <t xml:space="preserve">Dobava i montaža </t>
    </r>
    <r>
      <rPr>
        <sz val="10"/>
        <rFont val="Arial"/>
        <family val="2"/>
        <charset val="238"/>
      </rPr>
      <t>tipskih ventiliranih sljemenih i grebenih limova, sukladno detaljima odabranog proizvođača. Vrsta i boja lima u svemu prema stavci 6.7. Obračun po m1 postavljenih sljemenjaka.</t>
    </r>
  </si>
  <si>
    <r>
      <t xml:space="preserve">Dobava i ugradnja  cjevastih snjegobrana </t>
    </r>
    <r>
      <rPr>
        <sz val="10"/>
        <rFont val="Arial"/>
        <family val="2"/>
        <charset val="238"/>
      </rPr>
      <t>u 2 reda sa svom potrebnom opremom do pune funkcionalnosti.</t>
    </r>
    <r>
      <rPr>
        <b/>
        <sz val="10"/>
        <rFont val="Arial"/>
        <family val="2"/>
        <charset val="238"/>
      </rPr>
      <t xml:space="preserve"> </t>
    </r>
    <r>
      <rPr>
        <sz val="10"/>
        <rFont val="Arial"/>
        <family val="2"/>
        <charset val="238"/>
      </rPr>
      <t xml:space="preserve"> Stavka uključuje sav potreban spojni i montažni materijal, pričvrsne tipske elemente i sav rad. Postavljaju se prema shemi projektanta.
Obračun po m' ugrađenog snjegobrana.</t>
    </r>
  </si>
  <si>
    <r>
      <rPr>
        <b/>
        <sz val="10"/>
        <rFont val="Arial"/>
        <family val="2"/>
        <charset val="238"/>
      </rPr>
      <t xml:space="preserve">Dobava i montaža perforirane ventilacijske rešetke </t>
    </r>
    <r>
      <rPr>
        <sz val="10"/>
        <rFont val="Arial"/>
        <family val="2"/>
        <charset val="238"/>
      </rPr>
      <t>za dovod zraka i zaštitu od kukaca i ptica za ventilirane krovne konstrukcije. Aluminijska mrežica  debljine min 0,6 mm, u stavku uključen  sav potreban spojni i montažni materijal.
Obračun po m'</t>
    </r>
  </si>
  <si>
    <r>
      <t xml:space="preserve">Vertikalne odvodne cijevi </t>
    </r>
    <r>
      <rPr>
        <sz val="10"/>
        <rFont val="Arial"/>
        <family val="2"/>
        <charset val="238"/>
      </rPr>
      <t xml:space="preserve">Izrada i montaža aluminijskih  vertikalnih odvodnih cijevi DN 125 ,Vrsta i boja lima u svemu prema stavci 6.7. Odvodne cijevi učvršćene su o zid obujmicama Obujmice dolaze na razmaku od cca 1,00 m. </t>
    </r>
  </si>
  <si>
    <r>
      <t xml:space="preserve">Koljena vertikalne odvodnje </t>
    </r>
    <r>
      <rPr>
        <sz val="10"/>
        <rFont val="Arial"/>
        <family val="2"/>
        <charset val="238"/>
      </rPr>
      <t>Izrada i montaža al. koljena vertikalnih odvodnih cijevi za spoj žlijeba i vertikalne odvodne cijevi, DN 125. Vrsta i boja lima u svemu prema stavci 6.7. U cijenu su uključene vrijednosti svih radova i materijala.Obračun po komadu ugrađenog koljena</t>
    </r>
  </si>
  <si>
    <r>
      <t xml:space="preserve">Opšivanje vijenca krova. </t>
    </r>
    <r>
      <rPr>
        <sz val="10"/>
        <rFont val="Arial"/>
        <family val="2"/>
        <charset val="238"/>
      </rPr>
      <t>Izrada i opšivanje vijenca krova al. limom (okapni lim) razvijene širine 80 cm.Vrsta i boja lima u svemu prema stavci 6.7.</t>
    </r>
    <r>
      <rPr>
        <b/>
        <sz val="10"/>
        <rFont val="Arial"/>
        <family val="2"/>
        <charset val="238"/>
      </rPr>
      <t xml:space="preserve"> </t>
    </r>
    <r>
      <rPr>
        <sz val="10"/>
        <rFont val="Arial"/>
        <family val="2"/>
        <charset val="238"/>
      </rPr>
      <t>U cijenu su uključene vrijednosti svih radova i materijala. Obračun po m1 ugrađenog opšava</t>
    </r>
  </si>
  <si>
    <r>
      <t xml:space="preserve">Opšivanje zabata. </t>
    </r>
    <r>
      <rPr>
        <sz val="10"/>
        <rFont val="Arial"/>
        <family val="2"/>
        <charset val="238"/>
      </rPr>
      <t>Izrada i opšivanje zabata al. limom (okapni lim) razvijene širine 60 cm sukladno detalju proizvođača pokrova. Vrsta i boja lima u svemu prema stavci 6.7 U cijenu su uključene vrijednosti svih radova i materijala. Obračun po m1 ugrađenog opšava</t>
    </r>
  </si>
  <si>
    <r>
      <rPr>
        <b/>
        <sz val="10"/>
        <rFont val="Arial"/>
        <family val="2"/>
        <charset val="238"/>
      </rPr>
      <t xml:space="preserve">Opšavnl lim prodora kroz krovnu plohu. </t>
    </r>
    <r>
      <rPr>
        <sz val="10"/>
        <rFont val="Arial"/>
        <family val="2"/>
        <charset val="238"/>
      </rPr>
      <t>Izvedba opšavnog lima oko nosača antene, telefonskih, električnih instalacija, odzračnih cijevi i slično od al lima, visina opšava min. 30 cm , uključujući sva pričvrsna sredstva i brtvljenja kvalitetnim brtvenim kitovima za vanjske prostore. Vrsta i boja lima u svemu prema stavci 6.7. U jediničnoj cijeni stavke su uključeni svi radovi, materijal, pričvrsni pribor i ostalo potrebno za stručnu izvedbu i potpunu funkcionalnost opisane stavke . Obračun: prema komadu izvedenog limenog opšava Iz opisa stavke</t>
    </r>
  </si>
  <si>
    <t>1.1.</t>
  </si>
  <si>
    <t>1.2.</t>
  </si>
  <si>
    <t>1.3.</t>
  </si>
  <si>
    <t>1.4.</t>
  </si>
  <si>
    <t>1.5.</t>
  </si>
  <si>
    <t>1.6.</t>
  </si>
  <si>
    <t>2.1.</t>
  </si>
  <si>
    <t>3.2.</t>
  </si>
  <si>
    <t>3.9.</t>
  </si>
  <si>
    <t>3.10.</t>
  </si>
  <si>
    <t>5.1.</t>
  </si>
  <si>
    <t>7.1.</t>
  </si>
  <si>
    <t>7.3.</t>
  </si>
  <si>
    <t>7.6.</t>
  </si>
  <si>
    <t>7.7.</t>
  </si>
  <si>
    <t>7.8.</t>
  </si>
  <si>
    <t>7.9.</t>
  </si>
  <si>
    <t>7.10.</t>
  </si>
  <si>
    <t>7.11.</t>
  </si>
  <si>
    <t>7.12.</t>
  </si>
  <si>
    <t>7.13.</t>
  </si>
  <si>
    <t>7.14.</t>
  </si>
  <si>
    <t>8.1.</t>
  </si>
  <si>
    <t>8.2.</t>
  </si>
  <si>
    <t>8.3.</t>
  </si>
  <si>
    <t>8.4.</t>
  </si>
  <si>
    <t>8.5.</t>
  </si>
  <si>
    <t>8.6.</t>
  </si>
  <si>
    <r>
      <t xml:space="preserve">Dobava, montaža i demontaža </t>
    </r>
    <r>
      <rPr>
        <b/>
        <sz val="10"/>
        <rFont val="Arial"/>
        <family val="2"/>
        <charset val="238"/>
      </rPr>
      <t xml:space="preserve">fasadne skela. </t>
    </r>
    <r>
      <rPr>
        <sz val="10"/>
        <rFont val="Arial"/>
        <family val="2"/>
        <charset val="238"/>
      </rPr>
      <t>Skela mora bltl s čvrstim podnicama I propisanim zaštitnim ogradama. Mora biti kvalitetno sidrena, te uzemljena.Treba je montirati tako da omogućuje radove do pune visine fasade objekta.Stavka obuhvaća potreban vremenski angažman skele koji omogućuje izvedbu svih potrebnih radova na fasadama objekta. Skela se izvodi prema pravilima struke i važećim mjerama zaštite na radu i osiguranjima. Uključivo radne platforme i zaštitne ograde, sva potrebna ukrućenja i sidrenja.Cijenom je obuhvaćena i dobava, te prema potrebi postava na vanjski dio skele jutenih ili plastificiranih traka kao zaštita od pada predmeta, prašenja i si. Trake se međusobno vežu i fiksiraju na nosivu konstrukciju skele.Prije izvedbe skele izvođač je dužan izraditi projekt i statički proračun skele sa svim mjerama zaštite radnika. Obračun po m2 vertikalne projekcije skele visine 1,0 m iznad ruba krova</t>
    </r>
  </si>
  <si>
    <r>
      <t xml:space="preserve">Izvedba sistemske </t>
    </r>
    <r>
      <rPr>
        <b/>
        <sz val="10"/>
        <rFont val="Arial"/>
        <family val="2"/>
        <charset val="238"/>
      </rPr>
      <t>termo fasade</t>
    </r>
    <r>
      <rPr>
        <sz val="10"/>
        <rFont val="Arial"/>
        <family val="2"/>
        <charset val="238"/>
      </rPr>
      <t xml:space="preserve"> ETICS sustava sukladno HRN EN 13499 ili jednakovrijedna norma,  sa završnom obradom, uz sve potrebne prethodne radnje po uputama proizvođača. Uključena je izvedba slojeva kako slijedi :</t>
    </r>
  </si>
  <si>
    <r>
      <t xml:space="preserve">Izvedba </t>
    </r>
    <r>
      <rPr>
        <b/>
        <sz val="10"/>
        <rFont val="Arial"/>
        <family val="2"/>
        <charset val="238"/>
      </rPr>
      <t>podnožja fasade ( "cokl" )</t>
    </r>
    <r>
      <rPr>
        <sz val="10"/>
        <rFont val="Arial"/>
        <family val="2"/>
        <charset val="238"/>
      </rPr>
      <t>.  Uključuje slojeve kako slijedi:</t>
    </r>
  </si>
  <si>
    <r>
      <t>1.</t>
    </r>
    <r>
      <rPr>
        <sz val="10"/>
        <rFont val="Arial"/>
        <family val="2"/>
        <charset val="238"/>
      </rPr>
      <t xml:space="preserve"> eks. Polistiren XPS  d = 10 cm</t>
    </r>
  </si>
  <si>
    <r>
      <t xml:space="preserve">2. </t>
    </r>
    <r>
      <rPr>
        <sz val="10"/>
        <rFont val="Arial"/>
        <family val="2"/>
        <charset val="238"/>
      </rPr>
      <t>dvostruko gletanje cement-polimernim ljepilom sa utiskivanjem stakloplastične mrežice</t>
    </r>
  </si>
  <si>
    <r>
      <rPr>
        <b/>
        <sz val="10"/>
        <rFont val="HRBookmanLight"/>
        <charset val="238"/>
      </rPr>
      <t>Žbukanje sokla kamenom žbukom</t>
    </r>
    <r>
      <rPr>
        <sz val="10"/>
        <rFont val="HRBookmanLight"/>
        <charset val="238"/>
      </rPr>
      <t>, debljine 4-5 cm, za izvedbu sokla. Sve podloge moraju biti čiste, čvrste, suhe, nesmrznute, bez pukotina i ostataka
oplatnih ulja ili soli od iscvjetavanja. Okrhnuta ili oštećena mjesta na kamenu temeljito očistiti. Odstraniti sve slabe dijelove kamena i oprati mlazom vode.
Zid od opeke dobro navlažiti vodom i obraditi cementnim špricom najmanje dan prije nanošenja kamene žbuke.
Kamenu žbuku nanositi na očvrsli, vodom navlaženi cementni špric, u debljini 15 mm, izravnati aluminijskom letvom, te nakon 1 do 3 sata (kada djelomično
očvrsne) dobro zagladiti metalnim gleterom. Nanesenu žbuku lagano vlažiti 2 – 3 dana. Veće monolitne površine kamene žbuke podijeliti dilatacijskim
razdjelnicama u manje plohe. Drugi dan odšerati, kako bi se dobila karakteristična površina kamena koji se želi obnoviti. Nakon 5 dana očvrsla kamena žbuka se dodatno obrađuje štokanjem.</t>
    </r>
  </si>
  <si>
    <r>
      <rPr>
        <b/>
        <sz val="9"/>
        <rFont val="Arial"/>
        <family val="2"/>
        <charset val="238"/>
      </rPr>
      <t>Dobava materijala, priprema žbuke i ručna izrada vučenih profilacija pročelja</t>
    </r>
    <r>
      <rPr>
        <sz val="9"/>
        <rFont val="Arial"/>
        <family val="2"/>
        <charset val="238"/>
      </rPr>
      <t xml:space="preserve"> produžnom žbukom za vanjske radove. Žbukanje u dva sloja - gruba+fina ukupne debljine 2,0-4,0cm.
Profilacije prema šablonama, razvijene širine prema stavkama.
Podlogu prethodno obraditi strojnim pranjem i nanosom cementnog šprica. U stavci uključena izrada i primjena vodilica bez obzira na posebne dodatke, utore, obrate i sl. Sloj grube žbuke rabicirati tipskom pocinčanom mrežicom. Priprema žbuke i izvedba u svemu prema uputama proizvođača žbuke. Profilacije izvoditi uz odobrenje predstavnika GZZZSKP u svemu prema prethodno snimljenim šablonama i konzervatorskim istraživanjima. Obračun po m1.</t>
    </r>
  </si>
  <si>
    <r>
      <rPr>
        <b/>
        <sz val="9"/>
        <rFont val="Arial"/>
        <family val="2"/>
        <charset val="238"/>
      </rPr>
      <t>Dobava materijala i ručno nanošenje silikatne žbuke na vučene profilacije pročelja</t>
    </r>
    <r>
      <rPr>
        <sz val="9"/>
        <rFont val="Arial"/>
        <family val="2"/>
        <charset val="238"/>
      </rPr>
      <t>. Silikatna žbuka teksture po uzoru na izvornu. Žbuku nanositi ravnomjerno metalnom gladilicom u debljini najkrupnijeg zrna i zagladiti plastičnom gladilicom sa teksturom kao izvorna obrada pročelja. U stavku uključena priprema podloge grundom iz programa proizvođača žbuke. Priprema žbuke i izvedba u svemu prema uputama proizvođača žbuke. Strukturu i boju završnog fasadnog sloja odabrati će predstavnik GZZZSKP na osnovu predočenih uzoraka.</t>
    </r>
  </si>
  <si>
    <t>2.2.</t>
  </si>
  <si>
    <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</si>
</sst>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kn&quot;_-;\-* #,##0.00\ &quot;kn&quot;_-;_-* &quot;-&quot;??\ &quot;kn&quot;_-;_-@_-"/>
    <numFmt numFmtId="43" formatCode="_-* #,##0.00_-;\-* #,##0.00_-;_-* &quot;-&quot;??_-;_-@_-"/>
    <numFmt numFmtId="164" formatCode="_-* #,##0.00\ _k_n_-;\-* #,##0.00\ _k_n_-;_-* &quot;-&quot;??\ _k_n_-;_-@_-"/>
    <numFmt numFmtId="165" formatCode="_-* #,##0.00\ &quot;€&quot;_-;\-* #,##0.00\ &quot;€&quot;_-;_-* &quot;-&quot;??\ &quot;€&quot;_-;_-@_-"/>
    <numFmt numFmtId="166" formatCode="_-* #,##0.00\ _S_I_T_-;\-* #,##0.00\ _S_I_T_-;_-* &quot;-&quot;??\ _S_I_T_-;_-@_-"/>
  </numFmts>
  <fonts count="62">
    <font>
      <sz val="10"/>
      <name val="Arial"/>
    </font>
    <font>
      <sz val="11"/>
      <color theme="1"/>
      <name val="Calibri"/>
      <family val="2"/>
      <charset val="238"/>
      <scheme val="minor"/>
    </font>
    <font>
      <sz val="11"/>
      <color theme="1"/>
      <name val="Calibri"/>
      <family val="2"/>
      <charset val="238"/>
      <scheme val="minor"/>
    </font>
    <font>
      <sz val="10"/>
      <name val="Arial"/>
      <family val="2"/>
      <charset val="238"/>
    </font>
    <font>
      <b/>
      <sz val="10"/>
      <name val="Candara"/>
      <family val="2"/>
      <charset val="238"/>
    </font>
    <font>
      <sz val="10"/>
      <name val="Times New Roman"/>
      <family val="1"/>
      <charset val="238"/>
    </font>
    <font>
      <b/>
      <sz val="10"/>
      <name val="Arial"/>
      <family val="2"/>
      <charset val="238"/>
    </font>
    <font>
      <b/>
      <i/>
      <sz val="10"/>
      <name val="Arial"/>
      <family val="2"/>
      <charset val="238"/>
    </font>
    <font>
      <vertAlign val="superscript"/>
      <sz val="10"/>
      <name val="Arial"/>
      <family val="2"/>
      <charset val="238"/>
    </font>
    <font>
      <sz val="10"/>
      <name val="Arial"/>
      <family val="2"/>
      <charset val="238"/>
    </font>
    <font>
      <i/>
      <sz val="10"/>
      <name val="Arial"/>
      <family val="2"/>
      <charset val="238"/>
    </font>
    <font>
      <sz val="10"/>
      <color rgb="FF0070C0"/>
      <name val="Arial"/>
      <family val="2"/>
      <charset val="238"/>
    </font>
    <font>
      <sz val="10"/>
      <color rgb="FFCC00FF"/>
      <name val="Arial"/>
      <family val="2"/>
      <charset val="238"/>
    </font>
    <font>
      <sz val="10"/>
      <name val="Helv"/>
    </font>
    <font>
      <b/>
      <sz val="12"/>
      <name val="Candara"/>
      <family val="2"/>
      <charset val="238"/>
    </font>
    <font>
      <sz val="10"/>
      <color rgb="FF0070C0"/>
      <name val="HRBookmanLight"/>
      <charset val="238"/>
    </font>
    <font>
      <b/>
      <sz val="10"/>
      <name val="HRBookmanLight"/>
      <charset val="238"/>
    </font>
    <font>
      <sz val="10"/>
      <name val="Candara"/>
      <family val="2"/>
      <charset val="238"/>
    </font>
    <font>
      <sz val="10"/>
      <name val="Microsoft Sans Serif"/>
      <family val="2"/>
      <charset val="238"/>
    </font>
    <font>
      <sz val="11"/>
      <color indexed="8"/>
      <name val="Calibri"/>
      <family val="2"/>
      <charset val="238"/>
    </font>
    <font>
      <sz val="10"/>
      <name val="Arial CE"/>
      <charset val="238"/>
    </font>
    <font>
      <sz val="8"/>
      <name val="Arial"/>
      <family val="2"/>
      <charset val="238"/>
    </font>
    <font>
      <sz val="11"/>
      <color theme="1"/>
      <name val="Calibri"/>
      <family val="2"/>
      <scheme val="minor"/>
    </font>
    <font>
      <sz val="10"/>
      <name val="MS Sans Serif"/>
      <family val="2"/>
      <charset val="238"/>
    </font>
    <font>
      <sz val="10"/>
      <name val="HRBookmanLight"/>
      <charset val="238"/>
    </font>
    <font>
      <sz val="10"/>
      <name val="Arial"/>
      <family val="2"/>
    </font>
    <font>
      <sz val="11"/>
      <name val="Arial"/>
      <family val="2"/>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sz val="11"/>
      <color indexed="17"/>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b/>
      <sz val="11"/>
      <color indexed="63"/>
      <name val="Calibri"/>
      <family val="2"/>
      <charset val="238"/>
    </font>
    <font>
      <b/>
      <sz val="18"/>
      <color indexed="56"/>
      <name val="Cambria"/>
      <family val="2"/>
      <charset val="238"/>
    </font>
    <font>
      <b/>
      <sz val="11"/>
      <color indexed="8"/>
      <name val="Calibri"/>
      <family val="2"/>
      <charset val="238"/>
    </font>
    <font>
      <sz val="11"/>
      <color indexed="10"/>
      <name val="Calibri"/>
      <family val="2"/>
      <charset val="238"/>
    </font>
    <font>
      <sz val="10"/>
      <name val="AvantArt_PP"/>
      <charset val="238"/>
    </font>
    <font>
      <sz val="12"/>
      <name val="Arial"/>
      <family val="2"/>
      <charset val="238"/>
    </font>
    <font>
      <sz val="11"/>
      <name val="Arial"/>
      <family val="2"/>
    </font>
    <font>
      <sz val="10"/>
      <name val="Arial CE"/>
      <family val="2"/>
      <charset val="238"/>
    </font>
    <font>
      <sz val="12"/>
      <name val="HRHelvetica"/>
    </font>
    <font>
      <sz val="10"/>
      <name val="Helv"/>
      <charset val="238"/>
    </font>
    <font>
      <sz val="10"/>
      <color indexed="8"/>
      <name val="Calibri"/>
      <family val="2"/>
      <charset val="238"/>
    </font>
    <font>
      <sz val="9"/>
      <name val="Arial CE"/>
      <family val="2"/>
      <charset val="238"/>
    </font>
    <font>
      <sz val="9"/>
      <color theme="1"/>
      <name val="Arial"/>
      <family val="2"/>
      <charset val="238"/>
    </font>
    <font>
      <sz val="10"/>
      <name val="Dutch801 RmHd BT"/>
    </font>
    <font>
      <sz val="11"/>
      <color rgb="FF006100"/>
      <name val="Calibri"/>
      <family val="2"/>
      <scheme val="minor"/>
    </font>
    <font>
      <sz val="11"/>
      <color rgb="FF9C0006"/>
      <name val="Calibri"/>
      <family val="2"/>
      <scheme val="minor"/>
    </font>
    <font>
      <sz val="11"/>
      <color rgb="FF9C6500"/>
      <name val="Calibri"/>
      <family val="2"/>
      <scheme val="minor"/>
    </font>
    <font>
      <sz val="12"/>
      <name val="Arial"/>
      <family val="2"/>
    </font>
    <font>
      <b/>
      <sz val="10"/>
      <name val="Arial"/>
      <family val="2"/>
    </font>
    <font>
      <sz val="10"/>
      <name val="Tahoma"/>
      <family val="2"/>
      <charset val="238"/>
    </font>
    <font>
      <sz val="9"/>
      <name val="Arial"/>
      <family val="2"/>
      <charset val="238"/>
    </font>
    <font>
      <b/>
      <u/>
      <sz val="10"/>
      <name val="Arial"/>
      <family val="2"/>
      <charset val="238"/>
    </font>
    <font>
      <b/>
      <sz val="9"/>
      <name val="Arial"/>
      <family val="2"/>
      <charset val="238"/>
    </font>
  </fonts>
  <fills count="31">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D1F2C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s>
  <borders count="2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97">
    <xf numFmtId="0" fontId="0" fillId="0" borderId="0" applyNumberFormat="0" applyFont="0" applyFill="0" applyBorder="0" applyAlignment="0" applyProtection="0">
      <alignment vertical="top"/>
    </xf>
    <xf numFmtId="43" fontId="9"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 fillId="0" borderId="0"/>
    <xf numFmtId="164" fontId="3" fillId="0" borderId="0" applyFont="0" applyFill="0" applyBorder="0" applyAlignment="0" applyProtection="0"/>
    <xf numFmtId="0" fontId="3" fillId="0" borderId="0"/>
    <xf numFmtId="0" fontId="3" fillId="0" borderId="0"/>
    <xf numFmtId="0" fontId="19" fillId="0" borderId="0"/>
    <xf numFmtId="0" fontId="3" fillId="0" borderId="0"/>
    <xf numFmtId="0" fontId="21" fillId="0" borderId="0" applyAlignment="0">
      <alignment vertical="top" wrapText="1"/>
      <protection locked="0"/>
    </xf>
    <xf numFmtId="164" fontId="2" fillId="0" borderId="0" applyFont="0" applyFill="0" applyBorder="0" applyAlignment="0" applyProtection="0"/>
    <xf numFmtId="0" fontId="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3" fillId="0" borderId="0"/>
    <xf numFmtId="0" fontId="3" fillId="0" borderId="0"/>
    <xf numFmtId="0" fontId="2" fillId="0" borderId="0"/>
    <xf numFmtId="0" fontId="13" fillId="0" borderId="0"/>
    <xf numFmtId="0" fontId="24" fillId="0" borderId="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7" borderId="0" applyNumberFormat="0" applyBorder="0" applyAlignment="0" applyProtection="0"/>
    <xf numFmtId="0" fontId="27" fillId="18"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5" borderId="0" applyNumberFormat="0" applyBorder="0" applyAlignment="0" applyProtection="0"/>
    <xf numFmtId="0" fontId="28" fillId="9" borderId="0" applyNumberFormat="0" applyBorder="0" applyAlignment="0" applyProtection="0"/>
    <xf numFmtId="0" fontId="29" fillId="26" borderId="10" applyNumberFormat="0" applyAlignment="0" applyProtection="0"/>
    <xf numFmtId="0" fontId="30" fillId="27" borderId="11" applyNumberFormat="0" applyAlignment="0" applyProtection="0"/>
    <xf numFmtId="166" fontId="24" fillId="0" borderId="0" applyFont="0" applyFill="0" applyBorder="0" applyAlignment="0" applyProtection="0"/>
    <xf numFmtId="0" fontId="31" fillId="0" borderId="0" applyNumberFormat="0" applyFill="0" applyBorder="0" applyAlignment="0" applyProtection="0"/>
    <xf numFmtId="0" fontId="32" fillId="10" borderId="0" applyNumberFormat="0" applyBorder="0" applyAlignment="0" applyProtection="0"/>
    <xf numFmtId="0" fontId="33" fillId="0" borderId="12" applyNumberFormat="0" applyFill="0" applyAlignment="0" applyProtection="0"/>
    <xf numFmtId="0" fontId="34" fillId="0" borderId="13"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0" fontId="36" fillId="13" borderId="10" applyNumberFormat="0" applyAlignment="0" applyProtection="0"/>
    <xf numFmtId="0" fontId="37" fillId="0" borderId="15" applyNumberFormat="0" applyFill="0" applyAlignment="0" applyProtection="0"/>
    <xf numFmtId="0" fontId="38" fillId="28" borderId="0" applyNumberFormat="0" applyBorder="0" applyAlignment="0" applyProtection="0"/>
    <xf numFmtId="0" fontId="49" fillId="0" borderId="0"/>
    <xf numFmtId="0" fontId="51" fillId="0" borderId="0">
      <alignment horizontal="justify" vertical="justify" wrapText="1"/>
    </xf>
    <xf numFmtId="0" fontId="19" fillId="0" borderId="0"/>
    <xf numFmtId="0" fontId="3" fillId="0" borderId="0"/>
    <xf numFmtId="0" fontId="25" fillId="0" borderId="0"/>
    <xf numFmtId="0" fontId="3" fillId="0" borderId="0"/>
    <xf numFmtId="0" fontId="3" fillId="0" borderId="0"/>
    <xf numFmtId="0" fontId="3" fillId="0" borderId="0"/>
    <xf numFmtId="0" fontId="3" fillId="0" borderId="0"/>
    <xf numFmtId="0" fontId="44" fillId="0" borderId="0"/>
    <xf numFmtId="0" fontId="43" fillId="0" borderId="0"/>
    <xf numFmtId="0" fontId="19" fillId="0" borderId="0"/>
    <xf numFmtId="0" fontId="3" fillId="0" borderId="0"/>
    <xf numFmtId="0" fontId="3" fillId="0" borderId="0"/>
    <xf numFmtId="4" fontId="26" fillId="0" borderId="0">
      <alignment horizontal="justify" vertical="justify"/>
    </xf>
    <xf numFmtId="4" fontId="45" fillId="0" borderId="0">
      <alignment horizontal="justify"/>
    </xf>
    <xf numFmtId="0" fontId="5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9" borderId="16" applyNumberFormat="0" applyFont="0" applyAlignment="0" applyProtection="0"/>
    <xf numFmtId="0" fontId="47" fillId="0" borderId="0"/>
    <xf numFmtId="0" fontId="39" fillId="26" borderId="17" applyNumberFormat="0" applyAlignment="0" applyProtection="0"/>
    <xf numFmtId="0" fontId="13" fillId="0" borderId="0"/>
    <xf numFmtId="0" fontId="48" fillId="0" borderId="0"/>
    <xf numFmtId="0" fontId="40" fillId="0" borderId="0" applyNumberFormat="0" applyFill="0" applyBorder="0" applyAlignment="0" applyProtection="0"/>
    <xf numFmtId="0" fontId="41" fillId="0" borderId="18" applyNumberFormat="0" applyFill="0" applyAlignment="0" applyProtection="0"/>
    <xf numFmtId="0" fontId="42" fillId="0" borderId="0" applyNumberFormat="0" applyFill="0" applyBorder="0" applyAlignment="0" applyProtection="0"/>
    <xf numFmtId="0" fontId="1" fillId="0" borderId="0"/>
    <xf numFmtId="0" fontId="3" fillId="0" borderId="0"/>
    <xf numFmtId="0" fontId="25" fillId="0" borderId="0"/>
    <xf numFmtId="0" fontId="3" fillId="0" borderId="0"/>
    <xf numFmtId="0" fontId="46" fillId="0" borderId="0"/>
    <xf numFmtId="0" fontId="3" fillId="0" borderId="0"/>
    <xf numFmtId="0" fontId="25" fillId="0" borderId="0"/>
    <xf numFmtId="0" fontId="3" fillId="0" borderId="0"/>
    <xf numFmtId="0" fontId="52" fillId="0" borderId="0"/>
    <xf numFmtId="0" fontId="53" fillId="5" borderId="0" applyNumberFormat="0" applyBorder="0" applyAlignment="0" applyProtection="0"/>
    <xf numFmtId="0" fontId="54" fillId="6" borderId="0" applyNumberFormat="0" applyBorder="0" applyAlignment="0" applyProtection="0"/>
    <xf numFmtId="0" fontId="55" fillId="7" borderId="0" applyNumberFormat="0" applyBorder="0" applyAlignment="0" applyProtection="0"/>
    <xf numFmtId="0" fontId="1" fillId="0" borderId="0"/>
    <xf numFmtId="0" fontId="1" fillId="0" borderId="0"/>
    <xf numFmtId="43" fontId="1" fillId="0" borderId="0" applyFont="0" applyFill="0" applyBorder="0" applyAlignment="0" applyProtection="0"/>
    <xf numFmtId="0" fontId="56" fillId="0" borderId="0"/>
    <xf numFmtId="0" fontId="44" fillId="0" borderId="0"/>
    <xf numFmtId="0" fontId="44" fillId="0" borderId="0"/>
    <xf numFmtId="0" fontId="44" fillId="0" borderId="0"/>
    <xf numFmtId="1" fontId="8" fillId="0" borderId="0">
      <alignment horizontal="justify"/>
    </xf>
    <xf numFmtId="164" fontId="44" fillId="0" borderId="0" applyFont="0" applyFill="0" applyBorder="0" applyAlignment="0" applyProtection="0"/>
    <xf numFmtId="0" fontId="44" fillId="0" borderId="0"/>
    <xf numFmtId="0" fontId="3" fillId="0" borderId="0"/>
    <xf numFmtId="0" fontId="44" fillId="0" borderId="0"/>
    <xf numFmtId="165" fontId="1" fillId="0" borderId="0" applyFont="0" applyFill="0" applyBorder="0" applyAlignment="0" applyProtection="0"/>
    <xf numFmtId="0" fontId="3" fillId="0" borderId="0"/>
    <xf numFmtId="0" fontId="3" fillId="0" borderId="0"/>
    <xf numFmtId="0" fontId="1" fillId="0" borderId="0"/>
    <xf numFmtId="0" fontId="3" fillId="0" borderId="0"/>
    <xf numFmtId="0" fontId="1" fillId="0" borderId="0"/>
    <xf numFmtId="164" fontId="3"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 fillId="0" borderId="0" applyFont="0" applyFill="0" applyBorder="0" applyAlignment="0" applyProtection="0"/>
    <xf numFmtId="0" fontId="1" fillId="0" borderId="0"/>
    <xf numFmtId="0" fontId="3" fillId="0" borderId="0"/>
    <xf numFmtId="0" fontId="3" fillId="0" borderId="0"/>
    <xf numFmtId="0" fontId="20" fillId="0" borderId="0">
      <alignment vertical="center"/>
    </xf>
    <xf numFmtId="44" fontId="1" fillId="0" borderId="0" applyFont="0" applyFill="0" applyBorder="0" applyAlignment="0" applyProtection="0"/>
    <xf numFmtId="164" fontId="3" fillId="0" borderId="0" applyFont="0" applyFill="0" applyBorder="0" applyAlignment="0" applyProtection="0"/>
  </cellStyleXfs>
  <cellXfs count="148">
    <xf numFmtId="0" fontId="0" fillId="0" borderId="0" xfId="0" applyNumberFormat="1" applyFont="1" applyFill="1" applyBorder="1" applyAlignment="1" applyProtection="1">
      <alignment vertical="top"/>
    </xf>
    <xf numFmtId="0" fontId="3" fillId="0" borderId="0" xfId="0" applyNumberFormat="1" applyFont="1" applyFill="1" applyBorder="1" applyAlignment="1" applyProtection="1">
      <alignment horizontal="left" vertical="top"/>
    </xf>
    <xf numFmtId="0" fontId="3" fillId="0" borderId="0" xfId="0" applyNumberFormat="1" applyFont="1" applyFill="1" applyBorder="1" applyAlignment="1" applyProtection="1">
      <alignment vertical="top"/>
    </xf>
    <xf numFmtId="0" fontId="4" fillId="0" borderId="0" xfId="0" applyNumberFormat="1" applyFont="1" applyFill="1" applyBorder="1" applyAlignment="1" applyProtection="1">
      <alignment horizontal="left" vertical="top" indent="2"/>
    </xf>
    <xf numFmtId="0" fontId="4" fillId="0" borderId="0" xfId="0" applyNumberFormat="1" applyFont="1" applyFill="1" applyBorder="1" applyAlignment="1" applyProtection="1">
      <alignment horizontal="left" vertical="top" wrapText="1" indent="2"/>
    </xf>
    <xf numFmtId="0" fontId="3" fillId="0" borderId="2" xfId="0" applyNumberFormat="1" applyFont="1" applyFill="1" applyBorder="1" applyAlignment="1" applyProtection="1">
      <alignment horizontal="left" vertical="top"/>
    </xf>
    <xf numFmtId="0" fontId="3" fillId="0" borderId="0" xfId="0" applyNumberFormat="1" applyFont="1" applyFill="1" applyBorder="1" applyAlignment="1" applyProtection="1">
      <alignment horizontal="left" vertical="top" wrapText="1"/>
    </xf>
    <xf numFmtId="0" fontId="6" fillId="0" borderId="0" xfId="0" applyNumberFormat="1" applyFont="1" applyFill="1" applyBorder="1" applyAlignment="1" applyProtection="1">
      <alignment vertical="top"/>
    </xf>
    <xf numFmtId="0" fontId="6" fillId="0" borderId="0" xfId="0" applyNumberFormat="1" applyFont="1" applyFill="1" applyBorder="1" applyAlignment="1" applyProtection="1">
      <alignment horizontal="left" vertical="top" wrapText="1"/>
    </xf>
    <xf numFmtId="0" fontId="6" fillId="0" borderId="0" xfId="0" applyNumberFormat="1" applyFont="1" applyFill="1" applyBorder="1" applyAlignment="1" applyProtection="1">
      <alignment horizontal="left" vertical="top"/>
    </xf>
    <xf numFmtId="0" fontId="3" fillId="0" borderId="3" xfId="0" applyNumberFormat="1" applyFont="1" applyFill="1" applyBorder="1" applyAlignment="1" applyProtection="1">
      <alignment horizontal="left" vertical="top"/>
    </xf>
    <xf numFmtId="0" fontId="6" fillId="0" borderId="1" xfId="0" applyNumberFormat="1" applyFont="1" applyFill="1" applyBorder="1" applyAlignment="1" applyProtection="1">
      <alignment horizontal="left" vertical="top"/>
    </xf>
    <xf numFmtId="0" fontId="7" fillId="0" borderId="1" xfId="0" applyNumberFormat="1" applyFont="1" applyFill="1" applyBorder="1" applyAlignment="1" applyProtection="1">
      <alignment horizontal="left" vertical="top"/>
    </xf>
    <xf numFmtId="0" fontId="7" fillId="0" borderId="3" xfId="0" applyNumberFormat="1" applyFont="1" applyFill="1" applyBorder="1" applyAlignment="1" applyProtection="1">
      <alignment horizontal="left" vertical="top"/>
    </xf>
    <xf numFmtId="0" fontId="6" fillId="0" borderId="0" xfId="0" applyNumberFormat="1" applyFont="1" applyFill="1" applyBorder="1" applyAlignment="1" applyProtection="1">
      <alignment horizontal="left" vertical="top" indent="15"/>
    </xf>
    <xf numFmtId="4" fontId="3" fillId="0" borderId="0" xfId="0" applyNumberFormat="1" applyFont="1" applyFill="1" applyBorder="1" applyAlignment="1" applyProtection="1">
      <alignment horizontal="center" vertical="top"/>
    </xf>
    <xf numFmtId="0" fontId="7" fillId="0" borderId="0" xfId="0" applyNumberFormat="1" applyFont="1" applyFill="1" applyBorder="1" applyAlignment="1" applyProtection="1">
      <alignment horizontal="left" vertical="top" indent="8"/>
    </xf>
    <xf numFmtId="0" fontId="7"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3" fillId="0" borderId="1" xfId="0" applyNumberFormat="1" applyFont="1" applyFill="1" applyBorder="1" applyAlignment="1" applyProtection="1">
      <alignment horizontal="center" vertical="top" wrapText="1"/>
    </xf>
    <xf numFmtId="0" fontId="6" fillId="0" borderId="1" xfId="0" applyNumberFormat="1" applyFont="1" applyFill="1" applyBorder="1" applyAlignment="1" applyProtection="1">
      <alignment horizontal="center" vertical="center" wrapText="1"/>
    </xf>
    <xf numFmtId="0" fontId="6" fillId="0" borderId="0" xfId="0" applyNumberFormat="1" applyFont="1" applyFill="1" applyBorder="1" applyAlignment="1" applyProtection="1">
      <alignment horizontal="center" vertical="top"/>
    </xf>
    <xf numFmtId="0" fontId="3" fillId="0" borderId="0" xfId="0" applyNumberFormat="1" applyFont="1" applyFill="1" applyBorder="1" applyAlignment="1" applyProtection="1">
      <alignment horizontal="center" vertical="top"/>
    </xf>
    <xf numFmtId="0" fontId="3" fillId="0" borderId="3" xfId="0" applyNumberFormat="1" applyFont="1" applyFill="1" applyBorder="1" applyAlignment="1" applyProtection="1">
      <alignment horizontal="center" vertical="top"/>
    </xf>
    <xf numFmtId="0" fontId="3" fillId="0" borderId="0" xfId="0" applyFont="1" applyAlignment="1">
      <alignment horizontal="left" vertical="top" wrapText="1"/>
    </xf>
    <xf numFmtId="0" fontId="3" fillId="0" borderId="0" xfId="0" applyFont="1" applyAlignment="1">
      <alignment horizontal="left" vertical="top"/>
    </xf>
    <xf numFmtId="4" fontId="3" fillId="0" borderId="0" xfId="0" applyNumberFormat="1" applyFont="1" applyAlignment="1">
      <alignment horizontal="center" vertical="top"/>
    </xf>
    <xf numFmtId="0" fontId="3" fillId="0" borderId="0" xfId="0" applyNumberFormat="1" applyFont="1" applyFill="1" applyBorder="1" applyAlignment="1" applyProtection="1">
      <alignment horizontal="center" wrapText="1"/>
    </xf>
    <xf numFmtId="43" fontId="3" fillId="0" borderId="0" xfId="1" applyFont="1" applyFill="1" applyBorder="1" applyAlignment="1" applyProtection="1">
      <alignment horizontal="center" wrapText="1"/>
    </xf>
    <xf numFmtId="43" fontId="3" fillId="0" borderId="6" xfId="1" applyFont="1" applyFill="1" applyBorder="1" applyAlignment="1" applyProtection="1">
      <alignment horizontal="center" wrapText="1"/>
    </xf>
    <xf numFmtId="4" fontId="6" fillId="3" borderId="7" xfId="0" applyNumberFormat="1" applyFont="1" applyFill="1" applyBorder="1" applyAlignment="1" applyProtection="1">
      <alignment horizontal="center" wrapText="1"/>
    </xf>
    <xf numFmtId="43" fontId="3" fillId="3" borderId="0" xfId="1" applyFont="1" applyFill="1" applyBorder="1" applyAlignment="1" applyProtection="1">
      <alignment horizontal="center" wrapText="1"/>
    </xf>
    <xf numFmtId="43" fontId="3" fillId="3" borderId="6" xfId="1" applyFont="1" applyFill="1" applyBorder="1" applyAlignment="1" applyProtection="1">
      <alignment horizontal="center" wrapText="1"/>
    </xf>
    <xf numFmtId="0" fontId="6" fillId="0" borderId="1" xfId="0" applyNumberFormat="1" applyFont="1" applyFill="1" applyBorder="1" applyAlignment="1" applyProtection="1">
      <alignment horizontal="left" vertical="top" wrapText="1"/>
    </xf>
    <xf numFmtId="4" fontId="6" fillId="2" borderId="4" xfId="0" applyNumberFormat="1" applyFont="1" applyFill="1" applyBorder="1" applyAlignment="1" applyProtection="1">
      <alignment horizontal="center" wrapText="1"/>
    </xf>
    <xf numFmtId="4" fontId="6" fillId="3" borderId="8" xfId="0" applyNumberFormat="1" applyFont="1" applyFill="1" applyBorder="1" applyAlignment="1" applyProtection="1">
      <alignment horizontal="center" wrapText="1"/>
    </xf>
    <xf numFmtId="43" fontId="3" fillId="3" borderId="3" xfId="1" applyFont="1" applyFill="1" applyBorder="1" applyAlignment="1" applyProtection="1">
      <alignment horizontal="center" wrapText="1"/>
    </xf>
    <xf numFmtId="43" fontId="3" fillId="3" borderId="9" xfId="1" applyFont="1" applyFill="1" applyBorder="1" applyAlignment="1" applyProtection="1">
      <alignment horizontal="center" wrapText="1"/>
    </xf>
    <xf numFmtId="43" fontId="6" fillId="2" borderId="5" xfId="1" applyFont="1" applyFill="1" applyBorder="1" applyAlignment="1" applyProtection="1">
      <alignment horizontal="center" wrapText="1"/>
    </xf>
    <xf numFmtId="43" fontId="6" fillId="2" borderId="1" xfId="1" applyFont="1" applyFill="1" applyBorder="1" applyAlignment="1" applyProtection="1">
      <alignment horizontal="center" wrapText="1"/>
    </xf>
    <xf numFmtId="43" fontId="6" fillId="3" borderId="0" xfId="1" applyFont="1" applyFill="1" applyBorder="1" applyAlignment="1" applyProtection="1">
      <alignment horizontal="center" wrapText="1"/>
    </xf>
    <xf numFmtId="43" fontId="6" fillId="3" borderId="6" xfId="1" applyFont="1" applyFill="1" applyBorder="1" applyAlignment="1" applyProtection="1">
      <alignment horizontal="center" wrapText="1"/>
    </xf>
    <xf numFmtId="0" fontId="6" fillId="0" borderId="0" xfId="0" applyNumberFormat="1" applyFont="1" applyFill="1" applyBorder="1" applyAlignment="1" applyProtection="1">
      <alignment horizontal="center" wrapText="1"/>
    </xf>
    <xf numFmtId="0" fontId="3" fillId="0" borderId="3" xfId="0" applyNumberFormat="1" applyFont="1" applyFill="1" applyBorder="1" applyAlignment="1" applyProtection="1">
      <alignment horizontal="center" wrapText="1"/>
    </xf>
    <xf numFmtId="0" fontId="6" fillId="2" borderId="1" xfId="0" applyNumberFormat="1" applyFont="1" applyFill="1" applyBorder="1" applyAlignment="1" applyProtection="1">
      <alignment horizontal="center" wrapText="1"/>
    </xf>
    <xf numFmtId="4" fontId="6" fillId="3" borderId="4" xfId="0" applyNumberFormat="1" applyFont="1" applyFill="1" applyBorder="1" applyAlignment="1" applyProtection="1">
      <alignment horizontal="center" vertical="center" wrapText="1"/>
    </xf>
    <xf numFmtId="43" fontId="6" fillId="3" borderId="1" xfId="1" applyFont="1" applyFill="1" applyBorder="1" applyAlignment="1" applyProtection="1">
      <alignment horizontal="center" vertical="center" wrapText="1"/>
    </xf>
    <xf numFmtId="43" fontId="6" fillId="3" borderId="5" xfId="1" applyFont="1" applyFill="1" applyBorder="1" applyAlignment="1" applyProtection="1">
      <alignment horizontal="center" vertical="center" wrapText="1"/>
    </xf>
    <xf numFmtId="0" fontId="6" fillId="0" borderId="0" xfId="0" applyNumberFormat="1" applyFont="1" applyFill="1" applyBorder="1" applyAlignment="1" applyProtection="1">
      <alignment horizontal="center" vertical="center" wrapText="1"/>
    </xf>
    <xf numFmtId="0" fontId="14" fillId="0" borderId="0" xfId="0" applyNumberFormat="1" applyFont="1" applyFill="1" applyBorder="1" applyAlignment="1" applyProtection="1">
      <alignment horizontal="left" vertical="top" indent="2"/>
    </xf>
    <xf numFmtId="0" fontId="6" fillId="2" borderId="1" xfId="0" applyNumberFormat="1" applyFont="1" applyFill="1" applyBorder="1" applyAlignment="1" applyProtection="1">
      <alignment horizontal="left" vertical="top"/>
    </xf>
    <xf numFmtId="0" fontId="7" fillId="2" borderId="1" xfId="0" applyNumberFormat="1" applyFont="1" applyFill="1" applyBorder="1" applyAlignment="1" applyProtection="1">
      <alignment horizontal="left" vertical="top"/>
    </xf>
    <xf numFmtId="0" fontId="15" fillId="0" borderId="0" xfId="0" applyFont="1" applyAlignment="1"/>
    <xf numFmtId="0" fontId="11" fillId="0" borderId="0" xfId="0" applyNumberFormat="1" applyFont="1" applyFill="1" applyBorder="1" applyAlignment="1" applyProtection="1">
      <alignment vertical="top"/>
    </xf>
    <xf numFmtId="0" fontId="7" fillId="4" borderId="1" xfId="0" applyNumberFormat="1" applyFont="1" applyFill="1" applyBorder="1" applyAlignment="1" applyProtection="1">
      <alignment horizontal="left" vertical="top"/>
    </xf>
    <xf numFmtId="0" fontId="6" fillId="4" borderId="1" xfId="0" applyNumberFormat="1" applyFont="1" applyFill="1" applyBorder="1" applyAlignment="1" applyProtection="1">
      <alignment horizontal="left" vertical="top"/>
    </xf>
    <xf numFmtId="4" fontId="6" fillId="4" borderId="4" xfId="0" applyNumberFormat="1" applyFont="1" applyFill="1" applyBorder="1" applyAlignment="1" applyProtection="1">
      <alignment horizontal="center" wrapText="1"/>
    </xf>
    <xf numFmtId="0" fontId="6" fillId="4" borderId="1" xfId="0" applyNumberFormat="1" applyFont="1" applyFill="1" applyBorder="1" applyAlignment="1" applyProtection="1">
      <alignment horizontal="center" wrapText="1"/>
    </xf>
    <xf numFmtId="43" fontId="6" fillId="4" borderId="1" xfId="1" applyFont="1" applyFill="1" applyBorder="1" applyAlignment="1" applyProtection="1">
      <alignment horizontal="center" wrapText="1"/>
    </xf>
    <xf numFmtId="43" fontId="6" fillId="4" borderId="5" xfId="1" applyFont="1" applyFill="1" applyBorder="1" applyAlignment="1" applyProtection="1">
      <alignment horizontal="center" wrapText="1"/>
    </xf>
    <xf numFmtId="4" fontId="3" fillId="4" borderId="1" xfId="0" applyNumberFormat="1" applyFont="1" applyFill="1" applyBorder="1" applyAlignment="1" applyProtection="1">
      <alignment horizontal="center" vertical="top"/>
    </xf>
    <xf numFmtId="4" fontId="6" fillId="4" borderId="1" xfId="0" applyNumberFormat="1" applyFont="1" applyFill="1" applyBorder="1" applyAlignment="1" applyProtection="1">
      <alignment horizontal="center" vertical="top"/>
    </xf>
    <xf numFmtId="4" fontId="3" fillId="0" borderId="0" xfId="0" applyNumberFormat="1" applyFont="1" applyFill="1" applyBorder="1" applyAlignment="1" applyProtection="1">
      <alignment horizontal="center"/>
    </xf>
    <xf numFmtId="0" fontId="3" fillId="0" borderId="0" xfId="0" applyFont="1" applyAlignment="1"/>
    <xf numFmtId="0" fontId="11" fillId="0" borderId="0" xfId="0" applyFont="1" applyAlignment="1"/>
    <xf numFmtId="0" fontId="6" fillId="2" borderId="1" xfId="0" applyNumberFormat="1" applyFont="1" applyFill="1" applyBorder="1" applyAlignment="1" applyProtection="1">
      <alignment horizontal="center" vertical="top"/>
    </xf>
    <xf numFmtId="0" fontId="3" fillId="2" borderId="1" xfId="0" applyNumberFormat="1" applyFont="1" applyFill="1" applyBorder="1" applyAlignment="1" applyProtection="1">
      <alignment horizontal="center" vertical="top"/>
    </xf>
    <xf numFmtId="0" fontId="17" fillId="0" borderId="0" xfId="0" applyNumberFormat="1" applyFont="1" applyFill="1" applyBorder="1" applyAlignment="1" applyProtection="1">
      <alignment horizontal="center" vertical="top"/>
    </xf>
    <xf numFmtId="0" fontId="3" fillId="4" borderId="1" xfId="0" applyNumberFormat="1" applyFont="1" applyFill="1" applyBorder="1" applyAlignment="1" applyProtection="1">
      <alignment horizontal="center" vertical="top"/>
    </xf>
    <xf numFmtId="0" fontId="18" fillId="0" borderId="0" xfId="0" applyNumberFormat="1" applyFont="1" applyFill="1" applyBorder="1" applyAlignment="1" applyProtection="1">
      <alignment horizontal="center" vertical="top"/>
    </xf>
    <xf numFmtId="0" fontId="10" fillId="0" borderId="0" xfId="0" applyNumberFormat="1" applyFont="1" applyFill="1" applyBorder="1" applyAlignment="1" applyProtection="1">
      <alignment horizontal="center" vertical="top"/>
    </xf>
    <xf numFmtId="0" fontId="11" fillId="0" borderId="0" xfId="0" applyFont="1" applyFill="1" applyAlignment="1"/>
    <xf numFmtId="0" fontId="12" fillId="0" borderId="0" xfId="0" applyNumberFormat="1" applyFont="1" applyFill="1" applyBorder="1" applyAlignment="1" applyProtection="1">
      <alignment vertical="top"/>
    </xf>
    <xf numFmtId="4" fontId="6" fillId="0" borderId="0" xfId="0" applyNumberFormat="1" applyFont="1" applyFill="1" applyBorder="1" applyAlignment="1" applyProtection="1">
      <alignment vertical="top"/>
    </xf>
    <xf numFmtId="0" fontId="6" fillId="0" borderId="0"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xf>
    <xf numFmtId="0" fontId="3" fillId="0" borderId="0" xfId="0" applyFont="1" applyAlignment="1">
      <alignment vertical="center"/>
    </xf>
    <xf numFmtId="0" fontId="11" fillId="0" borderId="0" xfId="0" applyFont="1" applyFill="1" applyAlignment="1">
      <alignment vertical="center"/>
    </xf>
    <xf numFmtId="0" fontId="11" fillId="0" borderId="0" xfId="0" applyNumberFormat="1" applyFont="1" applyFill="1" applyBorder="1" applyAlignment="1" applyProtection="1">
      <alignment vertical="center"/>
    </xf>
    <xf numFmtId="43" fontId="3" fillId="0" borderId="0" xfId="0" applyNumberFormat="1" applyFont="1" applyFill="1" applyBorder="1" applyAlignment="1" applyProtection="1">
      <alignment vertical="top"/>
    </xf>
    <xf numFmtId="0" fontId="3" fillId="30" borderId="19" xfId="0" applyNumberFormat="1" applyFont="1" applyFill="1" applyBorder="1" applyAlignment="1" applyProtection="1">
      <alignment horizontal="center" vertical="top"/>
    </xf>
    <xf numFmtId="0" fontId="3" fillId="30" borderId="20" xfId="0" applyNumberFormat="1" applyFont="1" applyFill="1" applyBorder="1" applyAlignment="1" applyProtection="1">
      <alignment vertical="top"/>
    </xf>
    <xf numFmtId="0" fontId="3" fillId="30" borderId="20" xfId="0" applyNumberFormat="1" applyFont="1" applyFill="1" applyBorder="1" applyAlignment="1" applyProtection="1">
      <alignment horizontal="center" wrapText="1"/>
    </xf>
    <xf numFmtId="43" fontId="3" fillId="30" borderId="20" xfId="1" applyFont="1" applyFill="1" applyBorder="1" applyAlignment="1" applyProtection="1">
      <alignment horizontal="center" wrapText="1"/>
    </xf>
    <xf numFmtId="43" fontId="3" fillId="30" borderId="22" xfId="1" applyFont="1" applyFill="1" applyBorder="1" applyAlignment="1" applyProtection="1">
      <alignment horizontal="center" wrapText="1"/>
    </xf>
    <xf numFmtId="4" fontId="6" fillId="30" borderId="21" xfId="0" applyNumberFormat="1" applyFont="1" applyFill="1" applyBorder="1" applyAlignment="1" applyProtection="1">
      <alignment horizontal="center" wrapText="1"/>
    </xf>
    <xf numFmtId="0" fontId="3" fillId="30" borderId="23" xfId="0" applyNumberFormat="1" applyFont="1" applyFill="1" applyBorder="1" applyAlignment="1" applyProtection="1">
      <alignment horizontal="center" vertical="top"/>
    </xf>
    <xf numFmtId="0" fontId="6" fillId="30" borderId="0" xfId="0" applyNumberFormat="1" applyFont="1" applyFill="1" applyBorder="1" applyAlignment="1" applyProtection="1">
      <alignment vertical="top"/>
    </xf>
    <xf numFmtId="0" fontId="3" fillId="30" borderId="0" xfId="0" applyNumberFormat="1" applyFont="1" applyFill="1" applyBorder="1" applyAlignment="1" applyProtection="1">
      <alignment horizontal="center" wrapText="1"/>
    </xf>
    <xf numFmtId="43" fontId="3" fillId="30" borderId="0" xfId="1" applyFont="1" applyFill="1" applyBorder="1" applyAlignment="1" applyProtection="1">
      <alignment horizontal="center" wrapText="1"/>
    </xf>
    <xf numFmtId="43" fontId="3" fillId="30" borderId="6" xfId="1" applyFont="1" applyFill="1" applyBorder="1" applyAlignment="1" applyProtection="1">
      <alignment horizontal="center" wrapText="1"/>
    </xf>
    <xf numFmtId="4" fontId="6" fillId="30" borderId="7" xfId="0" applyNumberFormat="1" applyFont="1" applyFill="1" applyBorder="1" applyAlignment="1" applyProtection="1">
      <alignment horizontal="center" wrapText="1"/>
    </xf>
    <xf numFmtId="0" fontId="6" fillId="30" borderId="3" xfId="0" applyNumberFormat="1" applyFont="1" applyFill="1" applyBorder="1" applyAlignment="1" applyProtection="1">
      <alignment vertical="top"/>
    </xf>
    <xf numFmtId="0" fontId="3" fillId="30" borderId="3" xfId="0" applyNumberFormat="1" applyFont="1" applyFill="1" applyBorder="1" applyAlignment="1" applyProtection="1">
      <alignment horizontal="center" wrapText="1"/>
    </xf>
    <xf numFmtId="43" fontId="3" fillId="30" borderId="3" xfId="1" applyFont="1" applyFill="1" applyBorder="1" applyAlignment="1" applyProtection="1">
      <alignment horizontal="center" wrapText="1"/>
    </xf>
    <xf numFmtId="43" fontId="3" fillId="30" borderId="9" xfId="1" applyFont="1" applyFill="1" applyBorder="1" applyAlignment="1" applyProtection="1">
      <alignment horizontal="center" wrapText="1"/>
    </xf>
    <xf numFmtId="4" fontId="6" fillId="30" borderId="8" xfId="0" applyNumberFormat="1" applyFont="1" applyFill="1" applyBorder="1" applyAlignment="1" applyProtection="1">
      <alignment horizontal="center" wrapText="1"/>
    </xf>
    <xf numFmtId="0" fontId="6" fillId="30" borderId="23" xfId="0" applyNumberFormat="1" applyFont="1" applyFill="1" applyBorder="1" applyAlignment="1" applyProtection="1">
      <alignment horizontal="center" vertical="top"/>
    </xf>
    <xf numFmtId="0" fontId="6" fillId="30" borderId="0" xfId="0" applyNumberFormat="1" applyFont="1" applyFill="1" applyBorder="1" applyAlignment="1" applyProtection="1">
      <alignment horizontal="center" wrapText="1"/>
    </xf>
    <xf numFmtId="43" fontId="6" fillId="30" borderId="0" xfId="1" applyFont="1" applyFill="1" applyBorder="1" applyAlignment="1" applyProtection="1">
      <alignment horizontal="center" wrapText="1"/>
    </xf>
    <xf numFmtId="43" fontId="6" fillId="30" borderId="6" xfId="1" applyFont="1" applyFill="1" applyBorder="1" applyAlignment="1" applyProtection="1">
      <alignment horizontal="center" wrapText="1"/>
    </xf>
    <xf numFmtId="0" fontId="3" fillId="30" borderId="24" xfId="0" applyNumberFormat="1" applyFont="1" applyFill="1" applyBorder="1" applyAlignment="1" applyProtection="1">
      <alignment horizontal="center" vertical="top"/>
    </xf>
    <xf numFmtId="0" fontId="3" fillId="30" borderId="25" xfId="0" applyNumberFormat="1" applyFont="1" applyFill="1" applyBorder="1" applyAlignment="1" applyProtection="1">
      <alignment vertical="top"/>
    </xf>
    <xf numFmtId="0" fontId="3" fillId="30" borderId="25" xfId="0" applyNumberFormat="1" applyFont="1" applyFill="1" applyBorder="1" applyAlignment="1" applyProtection="1">
      <alignment horizontal="center" wrapText="1"/>
    </xf>
    <xf numFmtId="43" fontId="3" fillId="30" borderId="25" xfId="1" applyFont="1" applyFill="1" applyBorder="1" applyAlignment="1" applyProtection="1">
      <alignment horizontal="center" wrapText="1"/>
    </xf>
    <xf numFmtId="43" fontId="3" fillId="30" borderId="27" xfId="1" applyFont="1" applyFill="1" applyBorder="1" applyAlignment="1" applyProtection="1">
      <alignment horizontal="center" wrapText="1"/>
    </xf>
    <xf numFmtId="4" fontId="6" fillId="30" borderId="26" xfId="0" applyNumberFormat="1" applyFont="1" applyFill="1" applyBorder="1" applyAlignment="1" applyProtection="1">
      <alignment horizontal="center" wrapText="1"/>
    </xf>
    <xf numFmtId="4" fontId="11" fillId="0" borderId="0" xfId="0" applyNumberFormat="1" applyFont="1" applyFill="1" applyBorder="1" applyAlignment="1" applyProtection="1">
      <alignment vertical="top"/>
    </xf>
    <xf numFmtId="4" fontId="3" fillId="0" borderId="0" xfId="0" applyNumberFormat="1" applyFont="1" applyFill="1" applyBorder="1" applyAlignment="1" applyProtection="1">
      <alignment vertical="top"/>
    </xf>
    <xf numFmtId="49" fontId="6" fillId="0" borderId="0" xfId="0" applyNumberFormat="1" applyFont="1" applyFill="1" applyBorder="1" applyAlignment="1" applyProtection="1">
      <alignment horizontal="center" vertical="top" wrapText="1"/>
    </xf>
    <xf numFmtId="49" fontId="6" fillId="0" borderId="1" xfId="0" applyNumberFormat="1" applyFont="1" applyFill="1" applyBorder="1" applyAlignment="1" applyProtection="1">
      <alignment horizontal="center" vertical="top" wrapText="1"/>
    </xf>
    <xf numFmtId="49" fontId="3" fillId="0" borderId="0" xfId="0" applyNumberFormat="1" applyFont="1" applyFill="1" applyBorder="1" applyAlignment="1" applyProtection="1">
      <alignment horizontal="center" vertical="top"/>
    </xf>
    <xf numFmtId="49" fontId="6" fillId="4" borderId="1" xfId="0" applyNumberFormat="1" applyFont="1" applyFill="1" applyBorder="1" applyAlignment="1" applyProtection="1">
      <alignment horizontal="center" vertical="top"/>
    </xf>
    <xf numFmtId="49" fontId="3" fillId="4" borderId="1" xfId="0" applyNumberFormat="1" applyFont="1" applyFill="1" applyBorder="1" applyAlignment="1" applyProtection="1">
      <alignment horizontal="center" vertical="top"/>
    </xf>
    <xf numFmtId="49" fontId="24" fillId="0" borderId="0" xfId="0" applyNumberFormat="1" applyFont="1" applyAlignment="1">
      <alignment horizontal="center" vertical="top"/>
    </xf>
    <xf numFmtId="0" fontId="58" fillId="0" borderId="0" xfId="16" applyFont="1" applyAlignment="1">
      <alignment horizontal="center" vertical="top" wrapText="1"/>
    </xf>
    <xf numFmtId="0" fontId="24" fillId="0" borderId="0" xfId="0" applyFont="1" applyAlignment="1">
      <alignment wrapText="1"/>
    </xf>
    <xf numFmtId="0" fontId="24" fillId="0" borderId="0" xfId="0" applyFont="1" applyAlignment="1">
      <alignment horizontal="center"/>
    </xf>
    <xf numFmtId="0" fontId="58" fillId="0" borderId="0" xfId="16" applyFont="1" applyAlignment="1">
      <alignment horizontal="center" wrapText="1"/>
    </xf>
    <xf numFmtId="0" fontId="24" fillId="0" borderId="0" xfId="0" applyFont="1" applyAlignment="1">
      <alignment horizontal="center" vertical="top"/>
    </xf>
    <xf numFmtId="0" fontId="24" fillId="0" borderId="0" xfId="0" applyFont="1" applyAlignment="1"/>
    <xf numFmtId="0" fontId="58" fillId="0" borderId="0" xfId="16" applyFont="1" applyAlignment="1">
      <alignment horizontal="left" vertical="center" wrapText="1"/>
    </xf>
    <xf numFmtId="0" fontId="24" fillId="0" borderId="0" xfId="0" applyFont="1" applyFill="1" applyAlignment="1">
      <alignment horizontal="center" vertical="top"/>
    </xf>
    <xf numFmtId="0" fontId="24" fillId="0" borderId="0" xfId="0" applyFont="1" applyFill="1" applyAlignment="1">
      <alignment wrapText="1"/>
    </xf>
    <xf numFmtId="4" fontId="59" fillId="0" borderId="0" xfId="0" applyNumberFormat="1" applyFont="1" applyAlignment="1">
      <alignment horizontal="center" vertical="top"/>
    </xf>
    <xf numFmtId="2" fontId="7" fillId="0" borderId="0" xfId="0" applyNumberFormat="1" applyFont="1" applyAlignment="1">
      <alignment horizontal="center"/>
    </xf>
    <xf numFmtId="0" fontId="3" fillId="0" borderId="0" xfId="0" applyFont="1" applyAlignment="1">
      <alignment horizontal="center" vertical="top"/>
    </xf>
    <xf numFmtId="0" fontId="3" fillId="0" borderId="0" xfId="0" applyFont="1" applyAlignment="1">
      <alignment wrapText="1"/>
    </xf>
    <xf numFmtId="0" fontId="24" fillId="0" borderId="0" xfId="0" applyFont="1" applyFill="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xf>
    <xf numFmtId="0" fontId="6" fillId="0" borderId="0" xfId="34" applyFont="1" applyAlignment="1">
      <alignment horizontal="left" vertical="top" wrapText="1"/>
    </xf>
    <xf numFmtId="0" fontId="16" fillId="0" borderId="0" xfId="0" applyFont="1" applyAlignment="1">
      <alignment wrapText="1"/>
    </xf>
    <xf numFmtId="4" fontId="59" fillId="0" borderId="0" xfId="34" applyNumberFormat="1" applyFont="1" applyAlignment="1">
      <alignment horizontal="center" vertical="top"/>
    </xf>
    <xf numFmtId="0" fontId="6" fillId="0" borderId="0" xfId="34" applyFont="1" applyAlignment="1">
      <alignment horizontal="right" vertical="top"/>
    </xf>
    <xf numFmtId="0" fontId="3" fillId="0" borderId="0" xfId="34" applyFont="1" applyAlignment="1">
      <alignment horizontal="left" vertical="top"/>
    </xf>
    <xf numFmtId="0" fontId="3" fillId="0" borderId="0" xfId="34" applyFont="1" applyAlignment="1">
      <alignment horizontal="left" vertical="top" wrapText="1"/>
    </xf>
    <xf numFmtId="0" fontId="6" fillId="4" borderId="1" xfId="0" applyNumberFormat="1" applyFont="1" applyFill="1" applyBorder="1" applyAlignment="1" applyProtection="1">
      <alignment horizontal="center" vertical="top"/>
    </xf>
    <xf numFmtId="0" fontId="7" fillId="0" borderId="1" xfId="0" applyNumberFormat="1" applyFont="1" applyFill="1" applyBorder="1" applyAlignment="1" applyProtection="1">
      <alignment horizontal="left" vertical="top" wrapText="1"/>
    </xf>
    <xf numFmtId="16" fontId="24" fillId="0" borderId="0" xfId="0" applyNumberFormat="1" applyFont="1" applyAlignment="1">
      <alignment horizontal="center" vertical="top"/>
    </xf>
    <xf numFmtId="0" fontId="43" fillId="0" borderId="0" xfId="0" applyFont="1" applyAlignment="1">
      <alignment wrapText="1"/>
    </xf>
    <xf numFmtId="0" fontId="24" fillId="0" borderId="0" xfId="0" applyFont="1" applyAlignment="1">
      <alignment vertical="top" wrapText="1"/>
    </xf>
    <xf numFmtId="0" fontId="3" fillId="0" borderId="0" xfId="0" applyFont="1" applyFill="1" applyAlignment="1">
      <alignment vertical="center"/>
    </xf>
    <xf numFmtId="0" fontId="3" fillId="0" borderId="0" xfId="0" applyFont="1" applyFill="1" applyAlignment="1"/>
    <xf numFmtId="4" fontId="6" fillId="3" borderId="8" xfId="0" applyNumberFormat="1" applyFont="1" applyFill="1" applyBorder="1" applyAlignment="1" applyProtection="1">
      <alignment horizontal="center" vertical="center" wrapText="1"/>
    </xf>
    <xf numFmtId="4" fontId="6" fillId="3" borderId="3" xfId="0" applyNumberFormat="1" applyFont="1" applyFill="1" applyBorder="1" applyAlignment="1" applyProtection="1">
      <alignment horizontal="center" vertical="center" wrapText="1"/>
    </xf>
    <xf numFmtId="4" fontId="6" fillId="3" borderId="9" xfId="0" applyNumberFormat="1" applyFont="1" applyFill="1" applyBorder="1" applyAlignment="1" applyProtection="1">
      <alignment horizontal="center" vertical="center" wrapText="1"/>
    </xf>
  </cellXfs>
  <cellStyles count="197">
    <cellStyle name="20% - Isticanje1 2" xfId="35" xr:uid="{47F0D0DF-F658-47FA-BF69-946D6C328357}"/>
    <cellStyle name="20% - Isticanje2 2" xfId="36" xr:uid="{65A4F705-2CF2-491E-8BAF-44A10DA87458}"/>
    <cellStyle name="20% - Isticanje3 2" xfId="37" xr:uid="{6071DF48-5128-4F0C-ABFA-6ABCBC9D522E}"/>
    <cellStyle name="20% - Isticanje4 2" xfId="38" xr:uid="{BDDB100A-D232-4277-97B1-7E940A51698D}"/>
    <cellStyle name="20% - Isticanje5 2" xfId="39" xr:uid="{5A840BCF-05D5-4502-B48F-B669BEF80CDD}"/>
    <cellStyle name="20% - Isticanje6 2" xfId="40" xr:uid="{6B7CF108-E109-4416-8A86-EE34A4EC5E0B}"/>
    <cellStyle name="40% - Isticanje1 2" xfId="41" xr:uid="{8A141E24-72CC-4938-854E-27C03BEF287C}"/>
    <cellStyle name="40% - Isticanje2 2" xfId="42" xr:uid="{DB9B0B50-FE8B-4A28-AF07-16F6CA3A4F8A}"/>
    <cellStyle name="40% - Isticanje3 2" xfId="43" xr:uid="{2A0058B0-AA4D-4692-99CE-F9A248ACC61A}"/>
    <cellStyle name="40% - Isticanje4 2" xfId="44" xr:uid="{674340DD-668F-48FA-B829-9CD9607440CC}"/>
    <cellStyle name="40% - Isticanje5 2" xfId="45" xr:uid="{95B21DEF-6F45-463E-894B-B936E52EAAAD}"/>
    <cellStyle name="40% - Isticanje6 2" xfId="46" xr:uid="{3A504C28-F17E-472A-ABAE-31409A632375}"/>
    <cellStyle name="60% - Isticanje1 2" xfId="47" xr:uid="{FBDBB22E-4C18-43C5-82DA-A69C9434A95B}"/>
    <cellStyle name="60% - Isticanje2 2" xfId="48" xr:uid="{160171EE-D935-4B75-A9B0-40F4E01F8813}"/>
    <cellStyle name="60% - Isticanje3 2" xfId="49" xr:uid="{2466222B-332B-4549-8D2C-BFE58E1B7D53}"/>
    <cellStyle name="60% - Isticanje4 2" xfId="50" xr:uid="{8F3FDBD3-A39F-4BFD-87FF-4598AB57AA38}"/>
    <cellStyle name="60% - Isticanje5 2" xfId="51" xr:uid="{4188A1D5-1C60-4B3D-B692-D609AFB0171A}"/>
    <cellStyle name="60% - Isticanje6 2" xfId="52" xr:uid="{6D787472-998F-4981-8FF2-73D8028E9DCF}"/>
    <cellStyle name="Bad 2" xfId="157" xr:uid="{C37BE9BB-ACE3-4E91-A4E1-FC8DD4E20349}"/>
    <cellStyle name="Bilješka 2" xfId="139" xr:uid="{EB21B661-48A7-4600-8E13-C7C41BA1FDF3}"/>
    <cellStyle name="Comma 10" xfId="14" xr:uid="{4A08B34E-8293-40CA-8CF4-9E2AF5CE1907}"/>
    <cellStyle name="Comma 2" xfId="161" xr:uid="{6AD331DC-31B8-4B2C-9B86-B57531E3B751}"/>
    <cellStyle name="Comma 2 2" xfId="20" xr:uid="{CFCD8C87-D89E-4C82-828D-2C009D49EC52}"/>
    <cellStyle name="Comma 2 2 2" xfId="178" xr:uid="{03150CC9-C4F6-4DE5-AE4B-8E1B4ADDD122}"/>
    <cellStyle name="Comma 2 2 3" xfId="177" xr:uid="{C97CD71F-780A-43F4-A9B6-E0FB8F62C305}"/>
    <cellStyle name="Comma 3" xfId="190" xr:uid="{53C4213C-4030-4BF8-9931-EA012F001D4D}"/>
    <cellStyle name="Comma 35" xfId="196" xr:uid="{75CEECFC-23C4-4016-AA59-EA67038486B0}"/>
    <cellStyle name="Currency 2" xfId="179" xr:uid="{B1D2B276-15E2-48D3-B40F-9304B183A874}"/>
    <cellStyle name="Currency 3" xfId="195" xr:uid="{8BE7D069-1564-4390-94DE-02374E19A4D3}"/>
    <cellStyle name="Dobro 2" xfId="64" xr:uid="{FFDDEA8B-41DA-4860-AAE4-FC61DAC31C60}"/>
    <cellStyle name="Excel Built-in Normal" xfId="150" xr:uid="{7538D26D-A325-4B4E-AB2F-06E8A8B416C0}"/>
    <cellStyle name="Good 2" xfId="156" xr:uid="{AC969819-7FFB-4069-B0CA-ECDA54917BA8}"/>
    <cellStyle name="Isticanje1 2" xfId="53" xr:uid="{0EFF0F72-7F3C-46CC-8920-AD1EB9615AA4}"/>
    <cellStyle name="Isticanje2 2" xfId="54" xr:uid="{B57178D0-92FB-48E6-8493-BB6B85BA5096}"/>
    <cellStyle name="Isticanje3 2" xfId="55" xr:uid="{5378F1BC-AF0F-44F1-AD7C-FDE8FC4A55BE}"/>
    <cellStyle name="Isticanje4 2" xfId="56" xr:uid="{C571C3E6-641D-4B09-B3B8-444B4C6A1286}"/>
    <cellStyle name="Isticanje5 2" xfId="57" xr:uid="{C18416DB-7FCA-4580-BDD1-9FFDB74E689F}"/>
    <cellStyle name="Isticanje6 2" xfId="58" xr:uid="{33BDE2B3-2055-4E22-B878-66E81A94F77D}"/>
    <cellStyle name="Izlaz 2" xfId="141" xr:uid="{C42C0ADE-2F8E-438F-A272-B82F13AE1E54}"/>
    <cellStyle name="Izračun 2" xfId="60" xr:uid="{647D4FA3-8B80-4F92-BDBF-2AC2AE233C28}"/>
    <cellStyle name="Loše 2" xfId="59" xr:uid="{08C0748A-2A61-4EF7-932E-AE5A6B2A7C47}"/>
    <cellStyle name="Naslov 1 2" xfId="65" xr:uid="{07C72C4A-C785-45F7-B8EA-10A26E641F8A}"/>
    <cellStyle name="Naslov 2 2" xfId="66" xr:uid="{278C2FE3-42CB-4C6D-A988-3181D921B9D4}"/>
    <cellStyle name="Naslov 3 2" xfId="67" xr:uid="{09344D00-FBB5-4389-9FEE-E47C80032B16}"/>
    <cellStyle name="Naslov 4 2" xfId="68" xr:uid="{C10F4FAA-4F92-49B5-9BEA-1CA8815011A5}"/>
    <cellStyle name="Naslov 5" xfId="144" xr:uid="{18753ACC-E2ED-43E4-929C-E50DFD1073DE}"/>
    <cellStyle name="Neutral 2" xfId="158" xr:uid="{0E146438-AE6D-40BD-847A-8E2E69C85E5F}"/>
    <cellStyle name="Neutralno 2" xfId="71" xr:uid="{09EE913B-EEEA-44FB-B3D4-FF1B84BDA81A}"/>
    <cellStyle name="Normal 10 2 2 2" xfId="16" xr:uid="{902519F2-6CFF-484A-A358-8C6FB64B2F66}"/>
    <cellStyle name="Normal 11" xfId="72" xr:uid="{47FD50E1-DC84-47AA-9568-9D520A8A165B}"/>
    <cellStyle name="Normal 11 2" xfId="168" xr:uid="{3C86F331-9292-4C6D-AF33-C471008D73CE}"/>
    <cellStyle name="Normal 11 3" xfId="73" xr:uid="{6CBD46D5-5171-48CE-AEDD-89D1509276B0}"/>
    <cellStyle name="Normal 114" xfId="74" xr:uid="{54DE1FA5-DA19-493D-971F-498AAE78A385}"/>
    <cellStyle name="Normal 12" xfId="151" xr:uid="{6DBE8DDD-CF61-4A2A-9A02-026C5A171AD1}"/>
    <cellStyle name="Normal 13 2" xfId="75" xr:uid="{1379EA56-B239-4938-98DD-D4561AF8F679}"/>
    <cellStyle name="Normal 19" xfId="174" xr:uid="{5A5A5844-8580-4B96-969F-6034E5A1F591}"/>
    <cellStyle name="Normal 19 3" xfId="17" xr:uid="{5AAE9AED-4148-49F0-B501-5CFBDEB33D1F}"/>
    <cellStyle name="Normal 2" xfId="76" xr:uid="{5740A5F1-5F06-4136-96D7-F26B480B55EE}"/>
    <cellStyle name="Normal 2 10 2" xfId="77" xr:uid="{0E358B7C-04EE-4EF8-BE35-0D6B61B51B10}"/>
    <cellStyle name="Normal 2 2" xfId="78" xr:uid="{C20BAAB4-4AEB-45FA-86DF-39EE0C32916B}"/>
    <cellStyle name="Normal 2 2 2" xfId="79" xr:uid="{636706D7-14FB-4A53-B20A-8C1C2CCD307F}"/>
    <cellStyle name="Normal 2 2 2 2 3" xfId="22" xr:uid="{9AF9CBB0-246B-4856-A779-71A7A20A1161}"/>
    <cellStyle name="Normal 2 2 3" xfId="160" xr:uid="{52B3BF60-6E74-4DA5-89C4-FD2CE94EEC98}"/>
    <cellStyle name="Normal 2 3" xfId="30" xr:uid="{4D3E320E-2EA8-46E3-B2C8-B736AA063AE2}"/>
    <cellStyle name="Normal 2 6" xfId="80" xr:uid="{6C14863D-01AC-4A50-8CE6-C64F043E4F3C}"/>
    <cellStyle name="Normal 2_133-13 Pusca troskovnik-ispunjeno" xfId="81" xr:uid="{B2B59553-216A-4F8B-96E7-B1BDDB106608}"/>
    <cellStyle name="Normal 3" xfId="82" xr:uid="{E3A753C9-F5E8-48DA-B679-9CBAC49B234F}"/>
    <cellStyle name="Normal 3 2" xfId="83" xr:uid="{36C97D97-C9B8-454F-AFB4-7FA7BEB1D7F2}"/>
    <cellStyle name="Normal 3 3" xfId="155" xr:uid="{4529DF73-DA46-4AC0-8043-1B6759F69605}"/>
    <cellStyle name="Normal 4" xfId="84" xr:uid="{5FE98245-3C5B-48EC-B9F5-20B1CF445DB1}"/>
    <cellStyle name="Normal 4 2" xfId="31" xr:uid="{5036F453-8CBE-423B-A3BA-0C79FB3747E1}"/>
    <cellStyle name="Normal 4 2 2" xfId="181" xr:uid="{FB309487-08EA-48ED-8FAA-3028903B2F50}"/>
    <cellStyle name="Normal 4 2 3" xfId="164" xr:uid="{F650A6D5-531F-40EA-9B20-D0CACA1F4313}"/>
    <cellStyle name="Normal 4 3" xfId="18" xr:uid="{DFCF002D-BE68-455D-B1DD-A13CD120FC13}"/>
    <cellStyle name="Normal 5" xfId="154" xr:uid="{2D3007E5-5062-4334-A33C-B16C4DDC44FB}"/>
    <cellStyle name="Normal 5 3 4" xfId="170" xr:uid="{3CDA2141-3253-4F46-886A-A6EE6C81BF8E}"/>
    <cellStyle name="Normal 5 5" xfId="163" xr:uid="{EFAADCB7-2D26-423C-B74C-D4ABEA099E04}"/>
    <cellStyle name="Normal 6" xfId="85" xr:uid="{527867A4-FFC5-4FAF-9D27-42CCF91BCABE}"/>
    <cellStyle name="Normal 7" xfId="162" xr:uid="{7D53A067-0682-41C3-9008-95EC324426DE}"/>
    <cellStyle name="Normal 7 2" xfId="165" xr:uid="{61BD19BE-1F67-4C40-9CAD-9327B5E320AA}"/>
    <cellStyle name="Normal 8" xfId="175" xr:uid="{17FD32CF-9EFE-4BED-8704-A93666218B06}"/>
    <cellStyle name="Normal 9" xfId="193" xr:uid="{37EB4E20-D5E8-416F-9E44-D097F9C228C9}"/>
    <cellStyle name="Normal 9 2" xfId="194" xr:uid="{EECCC184-0FFC-4105-8AB6-726D81A062DE}"/>
    <cellStyle name="Normal_42-2006 Troškovnik Solar" xfId="33" xr:uid="{2488FCDC-15C4-42A7-A963-1A7CAD694E7E}"/>
    <cellStyle name="Normal1" xfId="86" xr:uid="{0DBA1AD2-E7E6-4177-A181-D27A9217E0B5}"/>
    <cellStyle name="Normal3" xfId="87" xr:uid="{DCA4E8AB-E242-4059-BAD5-F7A9683534E1}"/>
    <cellStyle name="Normalno" xfId="0" builtinId="0"/>
    <cellStyle name="Normalno 10" xfId="147" xr:uid="{109954E9-C246-4C8D-8398-4F1B3EF73F97}"/>
    <cellStyle name="Normalno 10 3 2" xfId="32" xr:uid="{214F5551-E37C-4BEA-B28B-B0394BCEF862}"/>
    <cellStyle name="Normalno 10 3 2 2" xfId="191" xr:uid="{BCC707AD-3C12-4C78-ACEA-A968283FB736}"/>
    <cellStyle name="Normalno 100 2" xfId="10" xr:uid="{9AD4F428-C905-4BC8-8BCE-9FC46042DB82}"/>
    <cellStyle name="Normalno 16" xfId="149" xr:uid="{A8AD08CC-0BC2-4717-A134-D6A9B268DF80}"/>
    <cellStyle name="Normalno 2" xfId="152" xr:uid="{6AC9D52C-BBC0-4BDA-9256-48B012E39029}"/>
    <cellStyle name="Normalno 2 2" xfId="88" xr:uid="{748D90B5-2C0B-4E35-A520-432891ECE259}"/>
    <cellStyle name="Normalno 2 2 2" xfId="172" xr:uid="{84BDEBE4-DE4A-469C-A76F-24CB01066537}"/>
    <cellStyle name="Normalno 23" xfId="89" xr:uid="{A193A22C-084B-48DD-B0CC-A6F6B7928B7B}"/>
    <cellStyle name="Normalno 23 2" xfId="90" xr:uid="{C8567247-E142-4022-ADDD-BBA139901280}"/>
    <cellStyle name="Normalno 24" xfId="91" xr:uid="{382E76AF-636D-418E-85D2-7D74E47CA99C}"/>
    <cellStyle name="Normalno 24 2" xfId="92" xr:uid="{56AC56B0-C6A7-4AA7-8CAD-9563CB2CC3BF}"/>
    <cellStyle name="Normalno 25" xfId="93" xr:uid="{B0B97B42-942F-4DFC-9FF0-15E80076B41B}"/>
    <cellStyle name="Normalno 25 2" xfId="94" xr:uid="{C2120DE0-C43B-4AC5-A7A7-D970B59D860B}"/>
    <cellStyle name="Normalno 3" xfId="148" xr:uid="{B8D3C3A5-D560-4924-B82C-09E878E72D7F}"/>
    <cellStyle name="Normalno 3 2" xfId="153" xr:uid="{D60DB02B-8C71-43E9-9C2B-1907794E49CD}"/>
    <cellStyle name="Normalno 34" xfId="95" xr:uid="{4279CB1B-4D9E-4969-9CED-9DDA03B23453}"/>
    <cellStyle name="Normalno 34 2" xfId="96" xr:uid="{748A96F6-4565-4EA9-8F06-2FD34EFA2606}"/>
    <cellStyle name="Normalno 36" xfId="12" xr:uid="{4F69CFAA-5F06-45E9-9B8D-4070482045FA}"/>
    <cellStyle name="Normalno 36 2" xfId="97" xr:uid="{C04DD06E-9DAD-4EDA-8474-AF7173CBD622}"/>
    <cellStyle name="Normalno 36 3" xfId="98" xr:uid="{811F6BFD-CB91-48C1-A645-985CAA4DD2D9}"/>
    <cellStyle name="Normalno 37" xfId="6" xr:uid="{93F52664-50FB-48A1-B2CA-5A68D0BB4AAF}"/>
    <cellStyle name="Normalno 37 2" xfId="99" xr:uid="{4526FFC3-83CF-40D6-94B3-6423E3954E4C}"/>
    <cellStyle name="Normalno 37 3" xfId="184" xr:uid="{9DEF11E4-0F34-4FB8-87E8-9EDA17D30E55}"/>
    <cellStyle name="Normalno 38" xfId="24" xr:uid="{09B4C7AF-32B2-40E1-B08C-840A2375C05A}"/>
    <cellStyle name="Normalno 38 2" xfId="4" xr:uid="{8C10F7A7-9D4F-4ECF-B851-B2EEF61CDA7B}"/>
    <cellStyle name="Normalno 38 3" xfId="183" xr:uid="{2A3BE171-1E6D-478F-AF6A-A46808B87031}"/>
    <cellStyle name="Normalno 39" xfId="25" xr:uid="{A4E8CAE3-860A-4A51-A24A-403760B08B57}"/>
    <cellStyle name="Normalno 39 2" xfId="185" xr:uid="{CF20D520-AE5E-4A63-937F-5E6DD4F1A9A5}"/>
    <cellStyle name="Normalno 39 3" xfId="100" xr:uid="{03D9FF9A-3329-41FD-8746-2456A4D3A803}"/>
    <cellStyle name="Normalno 4" xfId="159" xr:uid="{B744E70C-829B-4370-90F2-AE8C90245551}"/>
    <cellStyle name="Normalno 40" xfId="26" xr:uid="{7967DF3A-4A90-486C-9EB3-1DB865B78098}"/>
    <cellStyle name="Normalno 40 2" xfId="102" xr:uid="{CD2686EE-6997-4B31-8ED3-2EF63D2A63F8}"/>
    <cellStyle name="Normalno 40 3" xfId="186" xr:uid="{2476EFAD-881F-44EC-B84E-BB0988C1E6A3}"/>
    <cellStyle name="Normalno 40 4" xfId="101" xr:uid="{B8A71571-12A8-4B9C-91DC-2AFB5A6BED1E}"/>
    <cellStyle name="Normalno 41" xfId="103" xr:uid="{E0D67C6A-1696-4DB8-A01B-9F3CF2158B98}"/>
    <cellStyle name="Normalno 41 2" xfId="104" xr:uid="{5D821D22-A2D8-4A9E-AEDB-6032B1950A38}"/>
    <cellStyle name="Normalno 42" xfId="23" xr:uid="{63C81C05-EF77-4BB4-9A1F-E6E5DBC57F99}"/>
    <cellStyle name="Normalno 42 2" xfId="106" xr:uid="{AF42FADB-1636-48A3-8E92-8E8F62966D45}"/>
    <cellStyle name="Normalno 42 3" xfId="182" xr:uid="{4929E7BF-5CD9-481C-AAD3-65EBC9B0AAFE}"/>
    <cellStyle name="Normalno 42 4" xfId="105" xr:uid="{A01F5163-248D-48AC-BF95-BEFE584F24B5}"/>
    <cellStyle name="Normalno 43" xfId="27" xr:uid="{93DDE489-D912-4076-8F55-0AB598B46B38}"/>
    <cellStyle name="Normalno 43 2" xfId="187" xr:uid="{33AA2F74-51CB-49EC-B876-5A86B94ADDFC}"/>
    <cellStyle name="Normalno 43 3" xfId="107" xr:uid="{D56E6B63-8792-415C-9F30-E4CAC71A01FC}"/>
    <cellStyle name="Normalno 44" xfId="28" xr:uid="{FA25E263-AE90-4EAF-98D5-805790970698}"/>
    <cellStyle name="Normalno 44 2" xfId="109" xr:uid="{0FCA5F17-88A2-4375-87A3-81921E3ED241}"/>
    <cellStyle name="Normalno 44 3" xfId="188" xr:uid="{B8F72B7C-B0EB-4AFD-902A-FE128B22F98B}"/>
    <cellStyle name="Normalno 44 4" xfId="108" xr:uid="{FC704E8E-04B3-42C6-A98D-EB06F45633B9}"/>
    <cellStyle name="Normalno 45" xfId="29" xr:uid="{12CCD840-90AC-45E6-9F9D-A07714A89DB1}"/>
    <cellStyle name="Normalno 45 2" xfId="111" xr:uid="{7FCBDF34-5204-47A0-A3A5-62AA2CED43FF}"/>
    <cellStyle name="Normalno 45 3" xfId="189" xr:uid="{C2CDC4CA-81EC-4FE8-84A3-BC3A5B07FA6C}"/>
    <cellStyle name="Normalno 45 4" xfId="110" xr:uid="{E72335ED-8032-47C5-B599-F63281364925}"/>
    <cellStyle name="Normalno 48 2" xfId="112" xr:uid="{6417C18C-0A48-4616-B891-8D93DE875177}"/>
    <cellStyle name="Normalno 49 2" xfId="113" xr:uid="{96F87E1C-6EC6-4E54-904C-C05268677530}"/>
    <cellStyle name="Normalno 5" xfId="34" xr:uid="{6C1665DF-929E-42BA-B0ED-CF9DA4EC4F7D}"/>
    <cellStyle name="Normalno 5 2" xfId="19" xr:uid="{EBCD16E9-3FB1-4FC8-AD9B-E267F1A33C04}"/>
    <cellStyle name="Normalno 50 2" xfId="2" xr:uid="{DB06AEBB-F090-4CAF-8E07-13E65F23CA7E}"/>
    <cellStyle name="Normalno 51 2" xfId="114" xr:uid="{461C155C-C15F-40A7-899E-C2B66E166C1B}"/>
    <cellStyle name="Normalno 53 2" xfId="115" xr:uid="{57045035-72E2-4D48-8408-1F65D0BF1340}"/>
    <cellStyle name="Normalno 54 2" xfId="116" xr:uid="{472FA692-2519-410D-A0B5-F8C8D2C2BBF2}"/>
    <cellStyle name="Normalno 55 2" xfId="117" xr:uid="{90973836-D755-459A-A470-E84F8A461F1A}"/>
    <cellStyle name="Normalno 56 2" xfId="118" xr:uid="{A35EEF38-41BB-4089-B25B-BC8957B664F6}"/>
    <cellStyle name="Normalno 57" xfId="119" xr:uid="{2448F175-B739-41CC-9323-E407047AB12D}"/>
    <cellStyle name="Normalno 58" xfId="120" xr:uid="{0697724A-5AB6-4262-9D75-6BEB0E07EF85}"/>
    <cellStyle name="Normalno 58 2" xfId="5" xr:uid="{84DDA900-1ECB-41AE-B06C-7258FDA6FBF9}"/>
    <cellStyle name="Normalno 59 2" xfId="3" xr:uid="{B310613E-717F-493B-861E-C0EB1284D8E9}"/>
    <cellStyle name="Normalno 61" xfId="121" xr:uid="{99CBD85E-96E4-436B-A442-6AFA7D3FBDDC}"/>
    <cellStyle name="Normalno 61 2" xfId="122" xr:uid="{B02E54FE-DDDC-42A7-8C59-AED41B281CA6}"/>
    <cellStyle name="Normalno 63" xfId="123" xr:uid="{1D4C0B54-3104-407E-8F1F-29138DEC5436}"/>
    <cellStyle name="Normalno 63 2" xfId="124" xr:uid="{D5578FA8-E61E-411E-98AE-540A78603BDE}"/>
    <cellStyle name="Normalno 67" xfId="125" xr:uid="{976BB469-CD04-4026-AA60-71EA7F43B143}"/>
    <cellStyle name="Normalno 67 2" xfId="126" xr:uid="{9E4DAFF9-64C8-43A9-B066-4CFA84D62F23}"/>
    <cellStyle name="Normalno 7 5" xfId="21" xr:uid="{07AD1A04-DA54-4E9D-B767-119842F87E62}"/>
    <cellStyle name="Normalno 7 5 2" xfId="176" xr:uid="{32626C0C-9A31-4C5A-8FF6-AA89F357F6A1}"/>
    <cellStyle name="Normalno 70 2" xfId="7" xr:uid="{78334F03-A235-4111-B19F-1EB1F8393F03}"/>
    <cellStyle name="Normalno 71" xfId="127" xr:uid="{2A706FA1-7833-45F4-A6DF-63726204167F}"/>
    <cellStyle name="Normalno 71 2" xfId="192" xr:uid="{28281D6E-8F1B-4D94-B690-B2C629B9CC2D}"/>
    <cellStyle name="Normalno 76" xfId="128" xr:uid="{AA6A37AE-B745-451C-AA3A-BE13EC46A8B2}"/>
    <cellStyle name="Normalno 76 2" xfId="9" xr:uid="{9A0A4781-CCFD-4CF3-9BDE-979F138C067B}"/>
    <cellStyle name="Normalno 79" xfId="129" xr:uid="{E8956942-574D-456F-B219-407FC435920C}"/>
    <cellStyle name="Normalno 83" xfId="130" xr:uid="{F95CE0D4-859A-4925-B2B3-67C4DB9E4BD0}"/>
    <cellStyle name="Normalno 86 2" xfId="131" xr:uid="{456B519A-670E-46AE-9BE9-E9DDCAB2BCD7}"/>
    <cellStyle name="Normalno 88" xfId="132" xr:uid="{F847C7EB-6916-412A-8125-AF31D56A7954}"/>
    <cellStyle name="Normalno 89" xfId="133" xr:uid="{41195464-A5D2-489D-B824-D9B50A6EAE81}"/>
    <cellStyle name="Normalno 90" xfId="134" xr:uid="{70B98315-4576-473D-91B6-87D21E99FCA7}"/>
    <cellStyle name="Normalno 90 2" xfId="8" xr:uid="{7247E323-5F64-4EA4-85C0-F3CF5540C5C0}"/>
    <cellStyle name="Normalno 93 2" xfId="135" xr:uid="{E8939C35-4593-40A1-B227-681C2AD71E63}"/>
    <cellStyle name="Normalno 94 2" xfId="136" xr:uid="{3D56F7F9-56D4-4811-BC24-5A344F00F7FD}"/>
    <cellStyle name="Normalno 95 2" xfId="137" xr:uid="{55CB427B-29BA-429E-BC4E-5B1FDE08DA7E}"/>
    <cellStyle name="Normalno 97" xfId="138" xr:uid="{BA968568-5190-4E36-981A-9CDDBD39AA1E}"/>
    <cellStyle name="Normalno 97 2" xfId="11" xr:uid="{25F84523-13FC-4A3F-8407-0EA0DB1F71B1}"/>
    <cellStyle name="Obično 2" xfId="140" xr:uid="{8B8D839E-4BAB-44DE-9216-9A92A144FD16}"/>
    <cellStyle name="Obično 2 2" xfId="15" xr:uid="{D73529F9-9FA8-4973-8F6D-39EAC14B9E25}"/>
    <cellStyle name="Obično 3" xfId="169" xr:uid="{D2F6C377-27E7-468A-9E77-101042B3D685}"/>
    <cellStyle name="Obično_List1" xfId="166" xr:uid="{4F1D0CF3-5BA3-439F-AAF1-4D4DB8C4DB9E}"/>
    <cellStyle name="Povezana ćelija 2" xfId="70" xr:uid="{2F77E4CA-E904-44B1-A7A8-D8969167C04B}"/>
    <cellStyle name="Provjera ćelije 2" xfId="61" xr:uid="{5656650D-82E5-4CA4-8683-CDDF58CAB5D8}"/>
    <cellStyle name="Stil 1" xfId="142" xr:uid="{8B4B93A1-5AB4-4274-89B9-D57BF2A864E4}"/>
    <cellStyle name="Stil 1 2" xfId="143" xr:uid="{92F89529-03F8-4928-BF21-F724E70EEEE3}"/>
    <cellStyle name="Style 1" xfId="13" xr:uid="{22DFAB32-14B4-4490-A39F-5D9A32C7ADEB}"/>
    <cellStyle name="TableStyleLight1" xfId="173" xr:uid="{F005C40B-11B2-4AD3-94D8-17F395B25293}"/>
    <cellStyle name="Tekst objašnjenja 2" xfId="63" xr:uid="{53D263E5-BEF0-4182-8C46-6A2E18078F1F}"/>
    <cellStyle name="Tekst upozorenja 2" xfId="146" xr:uid="{69BA1C52-157E-4383-ACBE-59C32304CE08}"/>
    <cellStyle name="Ukupni zbroj 2" xfId="145" xr:uid="{247FF2E5-C37D-42F1-84CC-CB77EBAE45F7}"/>
    <cellStyle name="Unos 2" xfId="69" xr:uid="{B357D220-D3BD-41ED-9E9D-077DECA880EF}"/>
    <cellStyle name="Valuta 2" xfId="171" xr:uid="{FD0342CB-56CC-45C7-9CDE-47D3F94CE1D5}"/>
    <cellStyle name="Zarez" xfId="1" builtinId="3"/>
    <cellStyle name="Zarez 2" xfId="167" xr:uid="{4901F4A2-5090-45D9-A49B-EEBEC6D2DC24}"/>
    <cellStyle name="Zarez 3" xfId="62" xr:uid="{3BF6721A-6CB5-429B-8082-23F0E8D0DB2F}"/>
    <cellStyle name="Zarez 3 8" xfId="180" xr:uid="{16A4EFCA-EA9C-42E4-839E-315D9CA271DC}"/>
  </cellStyles>
  <dxfs count="0"/>
  <tableStyles count="0" defaultTableStyle="TableStyleMedium2" defaultPivotStyle="PivotStyleLight16"/>
  <colors>
    <mruColors>
      <color rgb="FFFFCCFF"/>
      <color rgb="FFCC00FF"/>
      <color rgb="FF24CA34"/>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54"/>
  <sheetViews>
    <sheetView showZeros="0" topLeftCell="A219" zoomScaleNormal="100" workbookViewId="0">
      <selection activeCell="B239" sqref="B239"/>
    </sheetView>
  </sheetViews>
  <sheetFormatPr defaultColWidth="8.88671875" defaultRowHeight="13.2"/>
  <cols>
    <col min="1" max="1" width="6.6640625" style="23" customWidth="1"/>
    <col min="2" max="2" width="72.44140625" style="2" customWidth="1"/>
    <col min="3" max="3" width="8.88671875" style="28" customWidth="1"/>
    <col min="4" max="4" width="10.109375" style="31" bestFit="1" customWidth="1"/>
    <col min="5" max="5" width="11.6640625" style="32" customWidth="1"/>
    <col min="6" max="6" width="12.88671875" style="33" bestFit="1" customWidth="1"/>
    <col min="7" max="7" width="10.109375" style="2" bestFit="1" customWidth="1"/>
    <col min="8" max="8" width="11.6640625" style="2" bestFit="1" customWidth="1"/>
    <col min="9" max="16384" width="8.88671875" style="2"/>
  </cols>
  <sheetData>
    <row r="1" spans="1:6" s="19" customFormat="1" ht="18.75" customHeight="1">
      <c r="A1" s="18"/>
      <c r="C1" s="49"/>
      <c r="D1" s="145" t="s">
        <v>161</v>
      </c>
      <c r="E1" s="146"/>
      <c r="F1" s="147"/>
    </row>
    <row r="2" spans="1:6" s="19" customFormat="1" ht="26.4">
      <c r="A2" s="20"/>
      <c r="B2" s="34" t="s">
        <v>93</v>
      </c>
      <c r="C2" s="21" t="s">
        <v>94</v>
      </c>
      <c r="D2" s="46" t="s">
        <v>95</v>
      </c>
      <c r="E2" s="47" t="s">
        <v>96</v>
      </c>
      <c r="F2" s="48" t="s">
        <v>97</v>
      </c>
    </row>
    <row r="3" spans="1:6">
      <c r="B3" s="1"/>
    </row>
    <row r="4" spans="1:6" ht="13.8">
      <c r="B4" s="3" t="s">
        <v>0</v>
      </c>
    </row>
    <row r="5" spans="1:6" ht="13.8">
      <c r="B5" s="4" t="s">
        <v>1</v>
      </c>
    </row>
    <row r="6" spans="1:6">
      <c r="B6" s="1"/>
    </row>
    <row r="7" spans="1:6" ht="15.6">
      <c r="B7" s="50" t="s">
        <v>2</v>
      </c>
    </row>
    <row r="8" spans="1:6">
      <c r="B8" s="1"/>
    </row>
    <row r="10" spans="1:6">
      <c r="A10" s="67" t="s">
        <v>3</v>
      </c>
      <c r="B10" s="51" t="s">
        <v>103</v>
      </c>
      <c r="C10" s="45"/>
      <c r="D10" s="35"/>
      <c r="E10" s="40"/>
      <c r="F10" s="39"/>
    </row>
    <row r="11" spans="1:6">
      <c r="B11" s="1"/>
    </row>
    <row r="12" spans="1:6">
      <c r="B12" s="1" t="s">
        <v>4</v>
      </c>
    </row>
    <row r="13" spans="1:6" ht="79.2">
      <c r="B13" s="6" t="s">
        <v>5</v>
      </c>
    </row>
    <row r="14" spans="1:6" ht="52.8">
      <c r="B14" s="6" t="s">
        <v>6</v>
      </c>
    </row>
    <row r="15" spans="1:6" ht="26.4">
      <c r="B15" s="6" t="s">
        <v>7</v>
      </c>
    </row>
    <row r="16" spans="1:6" ht="39.6">
      <c r="A16" s="68"/>
      <c r="B16" s="6" t="s">
        <v>68</v>
      </c>
    </row>
    <row r="17" spans="1:6" ht="132">
      <c r="B17" s="6" t="s">
        <v>8</v>
      </c>
    </row>
    <row r="18" spans="1:6" ht="52.8">
      <c r="B18" s="6" t="s">
        <v>9</v>
      </c>
    </row>
    <row r="20" spans="1:6" ht="66">
      <c r="B20" s="6" t="s">
        <v>10</v>
      </c>
    </row>
    <row r="21" spans="1:6">
      <c r="B21" s="1"/>
    </row>
    <row r="22" spans="1:6" ht="26.4">
      <c r="A22" s="23" t="s">
        <v>216</v>
      </c>
      <c r="B22" s="6" t="s">
        <v>18</v>
      </c>
      <c r="C22" s="28" t="s">
        <v>19</v>
      </c>
      <c r="D22" s="31">
        <v>88</v>
      </c>
      <c r="E22" s="32">
        <v>15</v>
      </c>
      <c r="F22" s="33">
        <f t="shared" ref="F22:F38" si="0">SUM(E22*D22)</f>
        <v>1320</v>
      </c>
    </row>
    <row r="23" spans="1:6">
      <c r="B23" s="1"/>
      <c r="F23" s="33">
        <f t="shared" si="0"/>
        <v>0</v>
      </c>
    </row>
    <row r="24" spans="1:6" ht="39.6">
      <c r="A24" s="23" t="s">
        <v>217</v>
      </c>
      <c r="B24" s="6" t="s">
        <v>21</v>
      </c>
      <c r="C24" s="28" t="s">
        <v>17</v>
      </c>
      <c r="D24" s="31">
        <v>800</v>
      </c>
      <c r="E24" s="32">
        <v>32</v>
      </c>
      <c r="F24" s="33">
        <f t="shared" si="0"/>
        <v>25600</v>
      </c>
    </row>
    <row r="25" spans="1:6">
      <c r="B25" s="1"/>
      <c r="F25" s="33">
        <f t="shared" si="0"/>
        <v>0</v>
      </c>
    </row>
    <row r="26" spans="1:6" s="54" customFormat="1" ht="66">
      <c r="A26" s="115" t="s">
        <v>218</v>
      </c>
      <c r="B26" s="6" t="s">
        <v>156</v>
      </c>
      <c r="C26" s="28" t="s">
        <v>15</v>
      </c>
      <c r="D26" s="31">
        <v>800</v>
      </c>
      <c r="E26" s="32">
        <v>99</v>
      </c>
      <c r="F26" s="33">
        <f t="shared" si="0"/>
        <v>79200</v>
      </c>
    </row>
    <row r="27" spans="1:6">
      <c r="B27" s="6"/>
      <c r="F27" s="33">
        <f t="shared" si="0"/>
        <v>0</v>
      </c>
    </row>
    <row r="28" spans="1:6" s="54" customFormat="1" ht="26.4">
      <c r="A28" s="116" t="s">
        <v>219</v>
      </c>
      <c r="B28" s="117" t="s">
        <v>172</v>
      </c>
      <c r="C28" s="118"/>
      <c r="D28" s="31"/>
      <c r="E28" s="32"/>
      <c r="F28" s="33">
        <f t="shared" si="0"/>
        <v>0</v>
      </c>
    </row>
    <row r="29" spans="1:6" s="54" customFormat="1" ht="26.4">
      <c r="A29" s="116"/>
      <c r="B29" s="117" t="s">
        <v>104</v>
      </c>
      <c r="C29" s="119"/>
      <c r="D29" s="31"/>
      <c r="E29" s="32"/>
      <c r="F29" s="33">
        <f t="shared" si="0"/>
        <v>0</v>
      </c>
    </row>
    <row r="30" spans="1:6" s="54" customFormat="1">
      <c r="A30" s="120"/>
      <c r="B30" s="121" t="s">
        <v>105</v>
      </c>
      <c r="C30" s="118"/>
      <c r="D30" s="31"/>
      <c r="E30" s="32"/>
      <c r="F30" s="33">
        <f t="shared" si="0"/>
        <v>0</v>
      </c>
    </row>
    <row r="31" spans="1:6" s="54" customFormat="1">
      <c r="A31" s="116"/>
      <c r="B31" s="117" t="s">
        <v>106</v>
      </c>
      <c r="C31" s="119" t="s">
        <v>14</v>
      </c>
      <c r="D31" s="31">
        <v>2000</v>
      </c>
      <c r="E31" s="32">
        <v>2</v>
      </c>
      <c r="F31" s="33">
        <f t="shared" si="0"/>
        <v>4000</v>
      </c>
    </row>
    <row r="32" spans="1:6" s="54" customFormat="1">
      <c r="A32" s="120"/>
      <c r="B32" s="121"/>
      <c r="C32" s="118"/>
      <c r="D32" s="31"/>
      <c r="E32" s="32"/>
      <c r="F32" s="33">
        <f t="shared" si="0"/>
        <v>0</v>
      </c>
    </row>
    <row r="33" spans="1:6" s="54" customFormat="1">
      <c r="A33" s="116" t="s">
        <v>220</v>
      </c>
      <c r="B33" s="122" t="s">
        <v>107</v>
      </c>
      <c r="C33" s="119"/>
      <c r="D33" s="31"/>
      <c r="E33" s="32"/>
      <c r="F33" s="33">
        <f t="shared" si="0"/>
        <v>0</v>
      </c>
    </row>
    <row r="34" spans="1:6" s="54" customFormat="1" ht="52.8">
      <c r="A34" s="116"/>
      <c r="B34" s="122" t="s">
        <v>108</v>
      </c>
      <c r="C34" s="119"/>
      <c r="D34" s="31"/>
      <c r="E34" s="32"/>
      <c r="F34" s="33">
        <f t="shared" si="0"/>
        <v>0</v>
      </c>
    </row>
    <row r="35" spans="1:6" s="54" customFormat="1">
      <c r="A35" s="116"/>
      <c r="B35" s="122" t="s">
        <v>109</v>
      </c>
      <c r="C35" s="119" t="s">
        <v>11</v>
      </c>
      <c r="D35" s="31">
        <v>1</v>
      </c>
      <c r="E35" s="32">
        <v>1500</v>
      </c>
      <c r="F35" s="33">
        <f t="shared" si="0"/>
        <v>1500</v>
      </c>
    </row>
    <row r="36" spans="1:6" s="54" customFormat="1">
      <c r="A36" s="116"/>
      <c r="B36" s="122"/>
      <c r="C36" s="119"/>
      <c r="D36" s="31"/>
      <c r="E36" s="32"/>
      <c r="F36" s="33">
        <f t="shared" si="0"/>
        <v>0</v>
      </c>
    </row>
    <row r="37" spans="1:6" s="54" customFormat="1" ht="39.6">
      <c r="A37" s="116" t="s">
        <v>221</v>
      </c>
      <c r="B37" s="122" t="s">
        <v>173</v>
      </c>
      <c r="C37" s="119"/>
      <c r="D37" s="31"/>
      <c r="E37" s="32"/>
      <c r="F37" s="33">
        <f t="shared" si="0"/>
        <v>0</v>
      </c>
    </row>
    <row r="38" spans="1:6" s="54" customFormat="1">
      <c r="A38" s="116"/>
      <c r="B38" s="122" t="s">
        <v>109</v>
      </c>
      <c r="C38" s="119" t="s">
        <v>11</v>
      </c>
      <c r="D38" s="31">
        <v>1</v>
      </c>
      <c r="E38" s="32">
        <v>4000</v>
      </c>
      <c r="F38" s="33">
        <f t="shared" si="0"/>
        <v>4000</v>
      </c>
    </row>
    <row r="39" spans="1:6">
      <c r="B39" s="1"/>
    </row>
    <row r="40" spans="1:6">
      <c r="A40" s="67"/>
      <c r="B40" s="51" t="s">
        <v>103</v>
      </c>
      <c r="C40" s="45"/>
      <c r="D40" s="35"/>
      <c r="E40" s="40"/>
      <c r="F40" s="39">
        <f>SUM(F13:F38)</f>
        <v>115620</v>
      </c>
    </row>
    <row r="41" spans="1:6">
      <c r="B41" s="1"/>
    </row>
    <row r="43" spans="1:6">
      <c r="A43" s="67" t="s">
        <v>22</v>
      </c>
      <c r="B43" s="51" t="s">
        <v>25</v>
      </c>
      <c r="C43" s="45"/>
      <c r="D43" s="35"/>
      <c r="E43" s="40"/>
      <c r="F43" s="39"/>
    </row>
    <row r="44" spans="1:6">
      <c r="B44" s="1"/>
    </row>
    <row r="45" spans="1:6" ht="39.6">
      <c r="A45" s="23" t="s">
        <v>222</v>
      </c>
      <c r="B45" s="8" t="s">
        <v>69</v>
      </c>
      <c r="C45" s="28" t="s">
        <v>17</v>
      </c>
      <c r="D45" s="31">
        <v>550</v>
      </c>
      <c r="E45" s="32">
        <v>10</v>
      </c>
      <c r="F45" s="33">
        <f t="shared" ref="F45" si="1">E45*D45</f>
        <v>5500</v>
      </c>
    </row>
    <row r="46" spans="1:6">
      <c r="B46" s="1"/>
    </row>
    <row r="47" spans="1:6">
      <c r="A47" s="67"/>
      <c r="B47" s="52" t="s">
        <v>25</v>
      </c>
      <c r="C47" s="45"/>
      <c r="D47" s="35"/>
      <c r="E47" s="40"/>
      <c r="F47" s="39">
        <f>SUM(F45:F46)</f>
        <v>5500</v>
      </c>
    </row>
    <row r="48" spans="1:6">
      <c r="B48" s="1"/>
    </row>
    <row r="50" spans="1:8">
      <c r="A50" s="67" t="s">
        <v>26</v>
      </c>
      <c r="B50" s="51" t="s">
        <v>86</v>
      </c>
      <c r="C50" s="45"/>
      <c r="D50" s="35"/>
      <c r="E50" s="40"/>
      <c r="F50" s="39"/>
    </row>
    <row r="51" spans="1:8">
      <c r="B51" s="1"/>
    </row>
    <row r="52" spans="1:8" ht="92.4">
      <c r="B52" s="6" t="s">
        <v>28</v>
      </c>
    </row>
    <row r="53" spans="1:8">
      <c r="B53" s="1"/>
    </row>
    <row r="54" spans="1:8" ht="118.8">
      <c r="A54" s="23" t="s">
        <v>27</v>
      </c>
      <c r="B54" s="6" t="s">
        <v>33</v>
      </c>
      <c r="C54" s="28" t="s">
        <v>17</v>
      </c>
      <c r="D54" s="31">
        <v>5</v>
      </c>
      <c r="E54" s="32">
        <v>300</v>
      </c>
      <c r="F54" s="33">
        <f t="shared" ref="F54:F121" si="2">E54*D54</f>
        <v>1500</v>
      </c>
    </row>
    <row r="55" spans="1:8">
      <c r="B55" s="1"/>
      <c r="F55" s="33">
        <f t="shared" si="2"/>
        <v>0</v>
      </c>
    </row>
    <row r="56" spans="1:8" ht="79.2">
      <c r="A56" s="23" t="s">
        <v>223</v>
      </c>
      <c r="B56" s="6" t="s">
        <v>34</v>
      </c>
      <c r="F56" s="33">
        <f t="shared" si="2"/>
        <v>0</v>
      </c>
    </row>
    <row r="57" spans="1:8">
      <c r="B57" s="1" t="s">
        <v>32</v>
      </c>
      <c r="C57" s="28" t="s">
        <v>16</v>
      </c>
      <c r="D57" s="31">
        <v>120</v>
      </c>
      <c r="E57" s="32">
        <v>23</v>
      </c>
      <c r="F57" s="33">
        <f t="shared" si="2"/>
        <v>2760</v>
      </c>
    </row>
    <row r="58" spans="1:8">
      <c r="B58" s="1"/>
      <c r="F58" s="33">
        <f t="shared" si="2"/>
        <v>0</v>
      </c>
    </row>
    <row r="59" spans="1:8" s="54" customFormat="1" ht="66">
      <c r="A59" s="120" t="s">
        <v>29</v>
      </c>
      <c r="B59" s="117" t="s">
        <v>174</v>
      </c>
      <c r="C59" s="28"/>
      <c r="D59" s="31"/>
      <c r="E59" s="32"/>
      <c r="F59" s="33">
        <f t="shared" ref="F59:F117" si="3">E59*D59</f>
        <v>0</v>
      </c>
    </row>
    <row r="60" spans="1:8" s="54" customFormat="1">
      <c r="A60" s="120"/>
      <c r="B60" s="117" t="s">
        <v>175</v>
      </c>
      <c r="C60" s="28" t="s">
        <v>15</v>
      </c>
      <c r="D60" s="31">
        <v>620</v>
      </c>
      <c r="E60" s="32">
        <v>185</v>
      </c>
      <c r="F60" s="33">
        <f t="shared" si="3"/>
        <v>114700</v>
      </c>
    </row>
    <row r="61" spans="1:8" s="54" customFormat="1">
      <c r="A61" s="120"/>
      <c r="B61" s="117" t="s">
        <v>176</v>
      </c>
      <c r="C61" s="28" t="s">
        <v>14</v>
      </c>
      <c r="D61" s="31">
        <v>200</v>
      </c>
      <c r="E61" s="32">
        <v>40</v>
      </c>
      <c r="F61" s="33">
        <f t="shared" si="3"/>
        <v>8000</v>
      </c>
    </row>
    <row r="62" spans="1:8" s="54" customFormat="1">
      <c r="A62" s="120"/>
      <c r="B62" s="117"/>
      <c r="C62" s="28"/>
      <c r="D62" s="31"/>
      <c r="E62" s="32"/>
      <c r="F62" s="33">
        <f t="shared" si="3"/>
        <v>0</v>
      </c>
    </row>
    <row r="63" spans="1:8" s="54" customFormat="1" ht="52.8">
      <c r="A63" s="120" t="s">
        <v>30</v>
      </c>
      <c r="B63" s="117" t="s">
        <v>177</v>
      </c>
      <c r="C63" s="28"/>
      <c r="D63" s="31"/>
      <c r="E63" s="32"/>
      <c r="F63" s="33">
        <f t="shared" si="3"/>
        <v>0</v>
      </c>
      <c r="H63" s="108"/>
    </row>
    <row r="64" spans="1:8" s="54" customFormat="1">
      <c r="A64" s="120"/>
      <c r="B64" s="117" t="s">
        <v>32</v>
      </c>
      <c r="C64" s="28" t="s">
        <v>15</v>
      </c>
      <c r="D64" s="31">
        <v>320</v>
      </c>
      <c r="E64" s="32">
        <v>160</v>
      </c>
      <c r="F64" s="33">
        <f t="shared" si="3"/>
        <v>51200</v>
      </c>
    </row>
    <row r="65" spans="1:6" s="54" customFormat="1">
      <c r="A65" s="120"/>
      <c r="B65" s="117" t="s">
        <v>162</v>
      </c>
      <c r="C65" s="28" t="s">
        <v>14</v>
      </c>
      <c r="D65" s="31">
        <v>2390</v>
      </c>
      <c r="E65" s="32">
        <v>45</v>
      </c>
      <c r="F65" s="33">
        <f t="shared" si="3"/>
        <v>107550</v>
      </c>
    </row>
    <row r="66" spans="1:6" s="54" customFormat="1">
      <c r="A66" s="120"/>
      <c r="B66" s="117"/>
      <c r="C66" s="28"/>
      <c r="D66" s="31"/>
      <c r="E66" s="32"/>
      <c r="F66" s="33">
        <f t="shared" si="3"/>
        <v>0</v>
      </c>
    </row>
    <row r="67" spans="1:6" s="54" customFormat="1" ht="52.8">
      <c r="A67" s="120" t="s">
        <v>31</v>
      </c>
      <c r="B67" s="117" t="s">
        <v>178</v>
      </c>
      <c r="C67" s="28"/>
      <c r="D67" s="31"/>
      <c r="E67" s="32"/>
      <c r="F67" s="33">
        <f t="shared" si="3"/>
        <v>0</v>
      </c>
    </row>
    <row r="68" spans="1:6" s="54" customFormat="1">
      <c r="A68" s="120"/>
      <c r="B68" s="117" t="s">
        <v>175</v>
      </c>
      <c r="C68" s="28" t="s">
        <v>15</v>
      </c>
      <c r="D68" s="31">
        <v>3</v>
      </c>
      <c r="E68" s="32">
        <v>160</v>
      </c>
      <c r="F68" s="33">
        <f t="shared" si="3"/>
        <v>480</v>
      </c>
    </row>
    <row r="69" spans="1:6" s="54" customFormat="1">
      <c r="A69" s="120"/>
      <c r="B69" s="117" t="s">
        <v>179</v>
      </c>
      <c r="C69" s="28" t="s">
        <v>14</v>
      </c>
      <c r="D69" s="31">
        <v>35</v>
      </c>
      <c r="E69" s="32">
        <v>45</v>
      </c>
      <c r="F69" s="33">
        <f t="shared" si="3"/>
        <v>1575</v>
      </c>
    </row>
    <row r="70" spans="1:6" s="54" customFormat="1">
      <c r="A70" s="120"/>
      <c r="B70" s="117"/>
      <c r="C70" s="28"/>
      <c r="D70" s="31"/>
      <c r="E70" s="32"/>
      <c r="F70" s="33">
        <f t="shared" si="3"/>
        <v>0</v>
      </c>
    </row>
    <row r="71" spans="1:6" s="54" customFormat="1" ht="66">
      <c r="A71" s="120" t="s">
        <v>171</v>
      </c>
      <c r="B71" s="117" t="s">
        <v>180</v>
      </c>
      <c r="C71" s="28"/>
      <c r="D71" s="31"/>
      <c r="E71" s="32"/>
      <c r="F71" s="33">
        <f t="shared" si="3"/>
        <v>0</v>
      </c>
    </row>
    <row r="72" spans="1:6" s="54" customFormat="1">
      <c r="A72" s="120"/>
      <c r="B72" s="117" t="s">
        <v>175</v>
      </c>
      <c r="C72" s="28" t="s">
        <v>15</v>
      </c>
      <c r="D72" s="31">
        <v>27</v>
      </c>
      <c r="E72" s="32">
        <v>160</v>
      </c>
      <c r="F72" s="33">
        <f t="shared" si="3"/>
        <v>4320</v>
      </c>
    </row>
    <row r="73" spans="1:6" s="54" customFormat="1">
      <c r="A73" s="120"/>
      <c r="B73" s="117" t="s">
        <v>179</v>
      </c>
      <c r="C73" s="28" t="s">
        <v>14</v>
      </c>
      <c r="D73" s="31">
        <v>220</v>
      </c>
      <c r="E73" s="32">
        <v>45</v>
      </c>
      <c r="F73" s="33">
        <f t="shared" si="3"/>
        <v>9900</v>
      </c>
    </row>
    <row r="74" spans="1:6" s="54" customFormat="1">
      <c r="A74" s="120"/>
      <c r="B74" s="117"/>
      <c r="C74" s="28"/>
      <c r="D74" s="31"/>
      <c r="E74" s="32"/>
      <c r="F74" s="33">
        <f t="shared" si="3"/>
        <v>0</v>
      </c>
    </row>
    <row r="75" spans="1:6" s="54" customFormat="1" ht="39.6">
      <c r="A75" s="120" t="s">
        <v>35</v>
      </c>
      <c r="B75" s="117" t="s">
        <v>181</v>
      </c>
      <c r="C75" s="28"/>
      <c r="D75" s="31"/>
      <c r="E75" s="32"/>
      <c r="F75" s="33">
        <f t="shared" si="3"/>
        <v>0</v>
      </c>
    </row>
    <row r="76" spans="1:6" s="54" customFormat="1">
      <c r="A76" s="120"/>
      <c r="B76" s="117" t="s">
        <v>175</v>
      </c>
      <c r="C76" s="28" t="s">
        <v>15</v>
      </c>
      <c r="D76" s="31">
        <v>260</v>
      </c>
      <c r="E76" s="32">
        <v>160</v>
      </c>
      <c r="F76" s="33">
        <f t="shared" si="3"/>
        <v>41600</v>
      </c>
    </row>
    <row r="77" spans="1:6" s="54" customFormat="1">
      <c r="A77" s="120"/>
      <c r="B77" s="117" t="s">
        <v>179</v>
      </c>
      <c r="C77" s="28" t="s">
        <v>14</v>
      </c>
      <c r="D77" s="31">
        <v>1100</v>
      </c>
      <c r="E77" s="32">
        <v>45</v>
      </c>
      <c r="F77" s="33">
        <f t="shared" si="3"/>
        <v>49500</v>
      </c>
    </row>
    <row r="78" spans="1:6" s="54" customFormat="1">
      <c r="A78" s="120"/>
      <c r="B78" s="117"/>
      <c r="C78" s="28"/>
      <c r="D78" s="31"/>
      <c r="E78" s="32"/>
      <c r="F78" s="33">
        <f t="shared" si="3"/>
        <v>0</v>
      </c>
    </row>
    <row r="79" spans="1:6" s="54" customFormat="1" ht="39.6">
      <c r="A79" s="120" t="s">
        <v>36</v>
      </c>
      <c r="B79" s="117" t="s">
        <v>182</v>
      </c>
      <c r="C79" s="28"/>
      <c r="D79" s="31"/>
      <c r="E79" s="32"/>
      <c r="F79" s="33">
        <f t="shared" si="3"/>
        <v>0</v>
      </c>
    </row>
    <row r="80" spans="1:6" s="54" customFormat="1">
      <c r="A80" s="120"/>
      <c r="B80" s="117" t="s">
        <v>175</v>
      </c>
      <c r="C80" s="28" t="s">
        <v>15</v>
      </c>
      <c r="D80" s="31">
        <v>7</v>
      </c>
      <c r="E80" s="32">
        <v>160</v>
      </c>
      <c r="F80" s="33">
        <f t="shared" si="3"/>
        <v>1120</v>
      </c>
    </row>
    <row r="81" spans="1:6" s="54" customFormat="1">
      <c r="A81" s="120"/>
      <c r="B81" s="117" t="s">
        <v>179</v>
      </c>
      <c r="C81" s="28" t="s">
        <v>14</v>
      </c>
      <c r="D81" s="31">
        <v>45</v>
      </c>
      <c r="E81" s="32">
        <v>100</v>
      </c>
      <c r="F81" s="33">
        <f t="shared" si="3"/>
        <v>4500</v>
      </c>
    </row>
    <row r="82" spans="1:6" s="54" customFormat="1">
      <c r="A82" s="120"/>
      <c r="B82" s="117"/>
      <c r="C82" s="28"/>
      <c r="D82" s="31"/>
      <c r="E82" s="32"/>
      <c r="F82" s="33">
        <f t="shared" si="3"/>
        <v>0</v>
      </c>
    </row>
    <row r="83" spans="1:6" s="54" customFormat="1" ht="52.8">
      <c r="A83" s="120" t="s">
        <v>224</v>
      </c>
      <c r="B83" s="117" t="s">
        <v>183</v>
      </c>
      <c r="C83" s="28"/>
      <c r="D83" s="31"/>
      <c r="E83" s="32"/>
      <c r="F83" s="33">
        <f t="shared" si="3"/>
        <v>0</v>
      </c>
    </row>
    <row r="84" spans="1:6" s="54" customFormat="1">
      <c r="A84" s="120"/>
      <c r="B84" s="117" t="s">
        <v>175</v>
      </c>
      <c r="C84" s="28" t="s">
        <v>15</v>
      </c>
      <c r="D84" s="31">
        <v>220</v>
      </c>
      <c r="E84" s="32">
        <v>160</v>
      </c>
      <c r="F84" s="33">
        <f t="shared" si="3"/>
        <v>35200</v>
      </c>
    </row>
    <row r="85" spans="1:6" s="54" customFormat="1">
      <c r="A85" s="120"/>
      <c r="B85" s="117" t="s">
        <v>179</v>
      </c>
      <c r="C85" s="28" t="s">
        <v>14</v>
      </c>
      <c r="D85" s="31">
        <v>1820</v>
      </c>
      <c r="E85" s="32">
        <v>45</v>
      </c>
      <c r="F85" s="33">
        <f t="shared" si="3"/>
        <v>81900</v>
      </c>
    </row>
    <row r="86" spans="1:6" s="54" customFormat="1">
      <c r="A86" s="120"/>
      <c r="B86" s="117"/>
      <c r="C86" s="28"/>
      <c r="D86" s="31"/>
      <c r="E86" s="32"/>
      <c r="F86" s="33">
        <f t="shared" si="3"/>
        <v>0</v>
      </c>
    </row>
    <row r="87" spans="1:6" s="54" customFormat="1" ht="66">
      <c r="A87" s="120" t="s">
        <v>225</v>
      </c>
      <c r="B87" s="117" t="s">
        <v>184</v>
      </c>
      <c r="C87" s="28"/>
      <c r="D87" s="31"/>
      <c r="E87" s="32"/>
      <c r="F87" s="33">
        <f t="shared" si="3"/>
        <v>0</v>
      </c>
    </row>
    <row r="88" spans="1:6" s="54" customFormat="1">
      <c r="A88" s="120"/>
      <c r="B88" s="117" t="s">
        <v>185</v>
      </c>
      <c r="C88" s="28" t="s">
        <v>15</v>
      </c>
      <c r="D88" s="31">
        <v>32</v>
      </c>
      <c r="E88" s="32">
        <v>160</v>
      </c>
      <c r="F88" s="33">
        <f t="shared" si="3"/>
        <v>5120</v>
      </c>
    </row>
    <row r="89" spans="1:6" s="54" customFormat="1">
      <c r="A89" s="120"/>
      <c r="B89" s="117" t="s">
        <v>186</v>
      </c>
      <c r="C89" s="28" t="s">
        <v>13</v>
      </c>
      <c r="D89" s="31">
        <v>135</v>
      </c>
      <c r="E89" s="32">
        <v>60</v>
      </c>
      <c r="F89" s="33">
        <f t="shared" si="3"/>
        <v>8100</v>
      </c>
    </row>
    <row r="90" spans="1:6" s="54" customFormat="1">
      <c r="A90" s="120"/>
      <c r="B90" s="117"/>
      <c r="C90" s="28"/>
      <c r="D90" s="31"/>
      <c r="E90" s="32"/>
      <c r="F90" s="33">
        <f t="shared" si="3"/>
        <v>0</v>
      </c>
    </row>
    <row r="91" spans="1:6" s="54" customFormat="1" ht="66">
      <c r="A91" s="120" t="s">
        <v>111</v>
      </c>
      <c r="B91" s="117" t="s">
        <v>187</v>
      </c>
      <c r="C91" s="28"/>
      <c r="D91" s="31"/>
      <c r="E91" s="32"/>
      <c r="F91" s="33">
        <f t="shared" si="3"/>
        <v>0</v>
      </c>
    </row>
    <row r="92" spans="1:6" s="54" customFormat="1">
      <c r="A92" s="120"/>
      <c r="B92" s="117" t="s">
        <v>185</v>
      </c>
      <c r="C92" s="28" t="s">
        <v>15</v>
      </c>
      <c r="D92" s="31">
        <v>16</v>
      </c>
      <c r="E92" s="32">
        <v>160</v>
      </c>
      <c r="F92" s="33">
        <f t="shared" si="3"/>
        <v>2560</v>
      </c>
    </row>
    <row r="93" spans="1:6" s="54" customFormat="1">
      <c r="A93" s="120"/>
      <c r="B93" s="117" t="s">
        <v>188</v>
      </c>
      <c r="C93" s="28" t="s">
        <v>14</v>
      </c>
      <c r="D93" s="31">
        <v>100</v>
      </c>
      <c r="E93" s="32">
        <v>30</v>
      </c>
      <c r="F93" s="33">
        <f t="shared" si="3"/>
        <v>3000</v>
      </c>
    </row>
    <row r="94" spans="1:6" s="54" customFormat="1">
      <c r="A94" s="120"/>
      <c r="B94" s="117"/>
      <c r="C94" s="28"/>
      <c r="D94" s="31"/>
      <c r="E94" s="32"/>
      <c r="F94" s="33">
        <f t="shared" si="3"/>
        <v>0</v>
      </c>
    </row>
    <row r="95" spans="1:6" s="54" customFormat="1" ht="66">
      <c r="A95" s="140" t="s">
        <v>110</v>
      </c>
      <c r="B95" s="117" t="s">
        <v>189</v>
      </c>
      <c r="C95" s="28"/>
      <c r="D95" s="31"/>
      <c r="E95" s="32"/>
      <c r="F95" s="33">
        <f t="shared" si="3"/>
        <v>0</v>
      </c>
    </row>
    <row r="96" spans="1:6" s="54" customFormat="1">
      <c r="A96" s="120"/>
      <c r="B96" s="117" t="s">
        <v>175</v>
      </c>
      <c r="C96" s="28" t="s">
        <v>15</v>
      </c>
      <c r="D96" s="31">
        <v>20</v>
      </c>
      <c r="E96" s="32">
        <v>160</v>
      </c>
      <c r="F96" s="33">
        <f t="shared" si="3"/>
        <v>3200</v>
      </c>
    </row>
    <row r="97" spans="1:6" s="54" customFormat="1">
      <c r="A97" s="120"/>
      <c r="B97" s="117" t="s">
        <v>179</v>
      </c>
      <c r="C97" s="28" t="s">
        <v>14</v>
      </c>
      <c r="D97" s="31">
        <v>70</v>
      </c>
      <c r="E97" s="32">
        <v>45</v>
      </c>
      <c r="F97" s="33">
        <f t="shared" si="3"/>
        <v>3150</v>
      </c>
    </row>
    <row r="98" spans="1:6" s="54" customFormat="1">
      <c r="A98" s="120"/>
      <c r="B98" s="117"/>
      <c r="C98" s="28"/>
      <c r="D98" s="31"/>
      <c r="E98" s="32"/>
      <c r="F98" s="33">
        <f t="shared" si="3"/>
        <v>0</v>
      </c>
    </row>
    <row r="99" spans="1:6" s="54" customFormat="1" ht="52.8">
      <c r="A99" s="120" t="s">
        <v>112</v>
      </c>
      <c r="B99" s="117" t="s">
        <v>190</v>
      </c>
      <c r="C99" s="28"/>
      <c r="D99" s="31"/>
      <c r="E99" s="32"/>
      <c r="F99" s="33">
        <f t="shared" si="3"/>
        <v>0</v>
      </c>
    </row>
    <row r="100" spans="1:6" s="54" customFormat="1">
      <c r="A100" s="120"/>
      <c r="B100" s="117" t="s">
        <v>175</v>
      </c>
      <c r="C100" s="28" t="s">
        <v>15</v>
      </c>
      <c r="D100" s="31">
        <v>42</v>
      </c>
      <c r="E100" s="32">
        <v>160</v>
      </c>
      <c r="F100" s="33">
        <f t="shared" si="3"/>
        <v>6720</v>
      </c>
    </row>
    <row r="101" spans="1:6" s="54" customFormat="1">
      <c r="A101" s="120"/>
      <c r="B101" s="117" t="s">
        <v>191</v>
      </c>
      <c r="C101" s="28" t="s">
        <v>14</v>
      </c>
      <c r="D101" s="31">
        <v>120</v>
      </c>
      <c r="E101" s="32">
        <v>45</v>
      </c>
      <c r="F101" s="33">
        <f t="shared" si="3"/>
        <v>5400</v>
      </c>
    </row>
    <row r="102" spans="1:6" s="54" customFormat="1">
      <c r="A102" s="120"/>
      <c r="B102" s="117"/>
      <c r="C102" s="28"/>
      <c r="D102" s="31"/>
      <c r="E102" s="32"/>
      <c r="F102" s="33">
        <f t="shared" si="3"/>
        <v>0</v>
      </c>
    </row>
    <row r="103" spans="1:6" s="54" customFormat="1" ht="26.4">
      <c r="A103" s="120" t="s">
        <v>113</v>
      </c>
      <c r="B103" s="117" t="s">
        <v>192</v>
      </c>
      <c r="C103" s="28"/>
      <c r="D103" s="31"/>
      <c r="E103" s="32"/>
      <c r="F103" s="33">
        <f t="shared" si="3"/>
        <v>0</v>
      </c>
    </row>
    <row r="104" spans="1:6" s="54" customFormat="1" ht="26.4">
      <c r="A104" s="120"/>
      <c r="B104" s="117" t="s">
        <v>163</v>
      </c>
      <c r="C104" s="28"/>
      <c r="D104" s="31"/>
      <c r="E104" s="32"/>
      <c r="F104" s="33">
        <f t="shared" si="3"/>
        <v>0</v>
      </c>
    </row>
    <row r="105" spans="1:6" s="54" customFormat="1">
      <c r="A105" s="120"/>
      <c r="B105" s="117" t="s">
        <v>164</v>
      </c>
      <c r="C105" s="28" t="s">
        <v>20</v>
      </c>
      <c r="D105" s="31">
        <v>115185</v>
      </c>
      <c r="E105" s="32">
        <v>2.2000000000000002</v>
      </c>
      <c r="F105" s="33">
        <f t="shared" si="3"/>
        <v>253407.00000000003</v>
      </c>
    </row>
    <row r="106" spans="1:6" s="54" customFormat="1">
      <c r="A106" s="120"/>
      <c r="B106" s="117" t="s">
        <v>165</v>
      </c>
      <c r="C106" s="28" t="s">
        <v>20</v>
      </c>
      <c r="D106" s="31">
        <v>120360</v>
      </c>
      <c r="E106" s="32">
        <v>2.2000000000000002</v>
      </c>
      <c r="F106" s="33">
        <f t="shared" si="3"/>
        <v>264792</v>
      </c>
    </row>
    <row r="107" spans="1:6" s="54" customFormat="1">
      <c r="A107" s="120"/>
      <c r="B107" s="117"/>
      <c r="C107" s="28"/>
      <c r="D107" s="31"/>
      <c r="E107" s="32"/>
      <c r="F107" s="33">
        <f t="shared" si="3"/>
        <v>0</v>
      </c>
    </row>
    <row r="108" spans="1:6" s="54" customFormat="1" ht="79.2">
      <c r="A108" s="120" t="s">
        <v>114</v>
      </c>
      <c r="B108" s="117" t="s">
        <v>193</v>
      </c>
      <c r="C108" s="28" t="s">
        <v>12</v>
      </c>
      <c r="D108" s="31">
        <v>76</v>
      </c>
      <c r="E108" s="32">
        <v>17</v>
      </c>
      <c r="F108" s="33">
        <f t="shared" si="3"/>
        <v>1292</v>
      </c>
    </row>
    <row r="109" spans="1:6" s="54" customFormat="1">
      <c r="A109" s="120"/>
      <c r="B109" s="117"/>
      <c r="C109" s="28"/>
      <c r="D109" s="31"/>
      <c r="E109" s="32"/>
      <c r="F109" s="33">
        <f t="shared" si="3"/>
        <v>0</v>
      </c>
    </row>
    <row r="110" spans="1:6" s="54" customFormat="1" ht="79.2">
      <c r="A110" s="120" t="s">
        <v>167</v>
      </c>
      <c r="B110" s="117" t="s">
        <v>194</v>
      </c>
      <c r="C110" s="28" t="s">
        <v>12</v>
      </c>
      <c r="D110" s="31">
        <v>77</v>
      </c>
      <c r="E110" s="32">
        <v>17</v>
      </c>
      <c r="F110" s="33">
        <f t="shared" si="3"/>
        <v>1309</v>
      </c>
    </row>
    <row r="111" spans="1:6" s="54" customFormat="1">
      <c r="A111" s="120"/>
      <c r="B111" s="117"/>
      <c r="C111" s="28"/>
      <c r="D111" s="31"/>
      <c r="E111" s="32"/>
      <c r="F111" s="33">
        <f t="shared" si="3"/>
        <v>0</v>
      </c>
    </row>
    <row r="112" spans="1:6" s="54" customFormat="1" ht="26.4">
      <c r="A112" s="120" t="s">
        <v>168</v>
      </c>
      <c r="B112" s="117" t="s">
        <v>195</v>
      </c>
      <c r="C112" s="28" t="s">
        <v>12</v>
      </c>
      <c r="D112" s="31">
        <v>61</v>
      </c>
      <c r="E112" s="32">
        <v>80</v>
      </c>
      <c r="F112" s="33">
        <f t="shared" si="3"/>
        <v>4880</v>
      </c>
    </row>
    <row r="113" spans="1:7" s="54" customFormat="1">
      <c r="A113" s="120"/>
      <c r="B113" s="117"/>
      <c r="C113" s="28"/>
      <c r="D113" s="31"/>
      <c r="E113" s="32"/>
      <c r="F113" s="33">
        <f t="shared" si="3"/>
        <v>0</v>
      </c>
    </row>
    <row r="114" spans="1:7" s="54" customFormat="1" ht="39.6">
      <c r="A114" s="120" t="s">
        <v>169</v>
      </c>
      <c r="B114" s="117" t="s">
        <v>196</v>
      </c>
      <c r="C114" s="28"/>
      <c r="D114" s="31"/>
      <c r="E114" s="32"/>
      <c r="F114" s="33">
        <f t="shared" si="3"/>
        <v>0</v>
      </c>
    </row>
    <row r="115" spans="1:7" s="54" customFormat="1">
      <c r="A115" s="120"/>
      <c r="B115" s="117" t="s">
        <v>175</v>
      </c>
      <c r="C115" s="28" t="s">
        <v>15</v>
      </c>
      <c r="D115" s="31">
        <v>18</v>
      </c>
      <c r="E115" s="32">
        <v>160</v>
      </c>
      <c r="F115" s="33">
        <f t="shared" si="3"/>
        <v>2880</v>
      </c>
    </row>
    <row r="116" spans="1:7" s="54" customFormat="1">
      <c r="A116" s="120"/>
      <c r="B116" s="117" t="s">
        <v>176</v>
      </c>
      <c r="C116" s="28" t="s">
        <v>14</v>
      </c>
      <c r="D116" s="31">
        <v>40</v>
      </c>
      <c r="E116" s="32">
        <v>16</v>
      </c>
      <c r="F116" s="33">
        <f t="shared" si="3"/>
        <v>640</v>
      </c>
    </row>
    <row r="117" spans="1:7" s="54" customFormat="1">
      <c r="A117" s="23"/>
      <c r="B117" s="1"/>
      <c r="C117" s="28"/>
      <c r="D117" s="31"/>
      <c r="E117" s="32"/>
      <c r="F117" s="33">
        <f t="shared" si="3"/>
        <v>0</v>
      </c>
    </row>
    <row r="118" spans="1:7" s="54" customFormat="1" ht="184.8">
      <c r="A118" s="120" t="s">
        <v>166</v>
      </c>
      <c r="B118" s="117" t="s">
        <v>197</v>
      </c>
      <c r="C118" s="28" t="s">
        <v>13</v>
      </c>
      <c r="D118" s="31">
        <v>170</v>
      </c>
      <c r="E118" s="32">
        <v>40</v>
      </c>
      <c r="F118" s="33">
        <f t="shared" si="2"/>
        <v>6800</v>
      </c>
    </row>
    <row r="119" spans="1:7" s="54" customFormat="1">
      <c r="A119" s="120"/>
      <c r="B119" s="117"/>
      <c r="C119" s="28"/>
      <c r="D119" s="31"/>
      <c r="E119" s="32"/>
      <c r="F119" s="33">
        <f t="shared" si="2"/>
        <v>0</v>
      </c>
    </row>
    <row r="120" spans="1:7" s="54" customFormat="1" ht="92.4">
      <c r="A120" s="123" t="s">
        <v>170</v>
      </c>
      <c r="B120" s="124" t="s">
        <v>198</v>
      </c>
      <c r="C120" s="28" t="s">
        <v>14</v>
      </c>
      <c r="D120" s="31">
        <v>200</v>
      </c>
      <c r="E120" s="32">
        <v>85</v>
      </c>
      <c r="F120" s="33">
        <f t="shared" si="2"/>
        <v>17000</v>
      </c>
      <c r="G120" s="79"/>
    </row>
    <row r="121" spans="1:7">
      <c r="B121" s="1"/>
      <c r="F121" s="33">
        <f t="shared" si="2"/>
        <v>0</v>
      </c>
    </row>
    <row r="122" spans="1:7" s="7" customFormat="1">
      <c r="A122" s="69"/>
      <c r="B122" s="55" t="s">
        <v>80</v>
      </c>
      <c r="C122" s="58"/>
      <c r="D122" s="57"/>
      <c r="E122" s="59"/>
      <c r="F122" s="60">
        <f>SUM(F54:F121)</f>
        <v>1106055</v>
      </c>
    </row>
    <row r="123" spans="1:7">
      <c r="B123" s="1"/>
    </row>
    <row r="125" spans="1:7">
      <c r="A125" s="69" t="s">
        <v>37</v>
      </c>
      <c r="B125" s="56" t="s">
        <v>82</v>
      </c>
      <c r="C125" s="58"/>
      <c r="D125" s="57"/>
      <c r="E125" s="59"/>
      <c r="F125" s="60"/>
    </row>
    <row r="126" spans="1:7">
      <c r="B126" s="1"/>
    </row>
    <row r="127" spans="1:7" ht="92.4">
      <c r="A127" s="23" t="s">
        <v>38</v>
      </c>
      <c r="B127" s="6" t="s">
        <v>39</v>
      </c>
      <c r="C127" s="28" t="s">
        <v>17</v>
      </c>
      <c r="D127" s="31">
        <v>5</v>
      </c>
      <c r="E127" s="32">
        <v>250</v>
      </c>
      <c r="F127" s="33">
        <f>E127*D127</f>
        <v>1250</v>
      </c>
    </row>
    <row r="128" spans="1:7">
      <c r="B128" s="1"/>
    </row>
    <row r="129" spans="1:6" s="7" customFormat="1">
      <c r="A129" s="69"/>
      <c r="B129" s="55" t="s">
        <v>81</v>
      </c>
      <c r="C129" s="58"/>
      <c r="D129" s="57"/>
      <c r="E129" s="59"/>
      <c r="F129" s="60">
        <f>SUM(F127:F128)</f>
        <v>1250</v>
      </c>
    </row>
    <row r="130" spans="1:6">
      <c r="B130" s="1"/>
    </row>
    <row r="132" spans="1:6">
      <c r="B132" s="1"/>
    </row>
    <row r="133" spans="1:6">
      <c r="A133" s="69" t="s">
        <v>40</v>
      </c>
      <c r="B133" s="56" t="s">
        <v>49</v>
      </c>
      <c r="C133" s="58"/>
      <c r="D133" s="57"/>
      <c r="E133" s="59"/>
      <c r="F133" s="60"/>
    </row>
    <row r="134" spans="1:6">
      <c r="B134" s="1"/>
    </row>
    <row r="135" spans="1:6" s="65" customFormat="1" ht="52.8">
      <c r="A135" s="125" t="s">
        <v>226</v>
      </c>
      <c r="B135" s="25" t="s">
        <v>199</v>
      </c>
      <c r="C135" s="126"/>
      <c r="D135" s="31"/>
      <c r="E135" s="32"/>
      <c r="F135" s="33">
        <f t="shared" ref="F135:F153" si="4">E135*D135</f>
        <v>0</v>
      </c>
    </row>
    <row r="136" spans="1:6" s="65" customFormat="1">
      <c r="A136" s="26"/>
      <c r="B136" s="26" t="s">
        <v>41</v>
      </c>
      <c r="C136" s="27" t="s">
        <v>20</v>
      </c>
      <c r="D136" s="31">
        <v>6537.3</v>
      </c>
      <c r="E136" s="32">
        <v>5.8</v>
      </c>
      <c r="F136" s="33">
        <f t="shared" si="4"/>
        <v>37916.339999999997</v>
      </c>
    </row>
    <row r="137" spans="1:6" s="65" customFormat="1">
      <c r="A137" s="26"/>
      <c r="B137" s="26" t="s">
        <v>42</v>
      </c>
      <c r="C137" s="27" t="s">
        <v>20</v>
      </c>
      <c r="D137" s="31">
        <v>4805.8</v>
      </c>
      <c r="E137" s="32">
        <v>5.8</v>
      </c>
      <c r="F137" s="33">
        <f t="shared" si="4"/>
        <v>27873.64</v>
      </c>
    </row>
    <row r="138" spans="1:6" s="65" customFormat="1">
      <c r="A138" s="26"/>
      <c r="B138" s="26" t="s">
        <v>43</v>
      </c>
      <c r="C138" s="27" t="s">
        <v>20</v>
      </c>
      <c r="D138" s="31">
        <v>4147.5</v>
      </c>
      <c r="E138" s="32">
        <v>5.8</v>
      </c>
      <c r="F138" s="33">
        <f t="shared" si="4"/>
        <v>24055.5</v>
      </c>
    </row>
    <row r="139" spans="1:6" s="65" customFormat="1">
      <c r="A139" s="26"/>
      <c r="B139" s="26" t="s">
        <v>44</v>
      </c>
      <c r="C139" s="27" t="s">
        <v>20</v>
      </c>
      <c r="D139" s="31">
        <v>334.95</v>
      </c>
      <c r="E139" s="32">
        <v>5.8</v>
      </c>
      <c r="F139" s="33">
        <f t="shared" si="4"/>
        <v>1942.7099999999998</v>
      </c>
    </row>
    <row r="140" spans="1:6" s="65" customFormat="1">
      <c r="A140" s="26"/>
      <c r="B140" s="26" t="s">
        <v>45</v>
      </c>
      <c r="C140" s="27" t="s">
        <v>20</v>
      </c>
      <c r="D140" s="31">
        <v>807.45</v>
      </c>
      <c r="E140" s="32">
        <v>5.8</v>
      </c>
      <c r="F140" s="33">
        <f t="shared" si="4"/>
        <v>4683.21</v>
      </c>
    </row>
    <row r="141" spans="1:6" s="65" customFormat="1">
      <c r="A141" s="26"/>
      <c r="B141" s="26" t="s">
        <v>46</v>
      </c>
      <c r="C141" s="27" t="s">
        <v>20</v>
      </c>
      <c r="D141" s="31">
        <v>1002.75</v>
      </c>
      <c r="E141" s="32">
        <v>5.8</v>
      </c>
      <c r="F141" s="33">
        <f t="shared" si="4"/>
        <v>5815.95</v>
      </c>
    </row>
    <row r="142" spans="1:6" s="65" customFormat="1">
      <c r="A142" s="26"/>
      <c r="B142" s="26" t="s">
        <v>47</v>
      </c>
      <c r="C142" s="27" t="s">
        <v>20</v>
      </c>
      <c r="D142" s="31">
        <v>1125.5999999999999</v>
      </c>
      <c r="E142" s="32">
        <v>5.8</v>
      </c>
      <c r="F142" s="33">
        <f t="shared" si="4"/>
        <v>6528.48</v>
      </c>
    </row>
    <row r="143" spans="1:6" s="65" customFormat="1">
      <c r="A143" s="26"/>
      <c r="B143" s="26" t="s">
        <v>154</v>
      </c>
      <c r="C143" s="27" t="s">
        <v>20</v>
      </c>
      <c r="D143" s="31">
        <v>2823.45</v>
      </c>
      <c r="E143" s="32">
        <v>5.8</v>
      </c>
      <c r="F143" s="33">
        <f t="shared" si="4"/>
        <v>16376.009999999998</v>
      </c>
    </row>
    <row r="144" spans="1:6" s="65" customFormat="1">
      <c r="A144" s="26"/>
      <c r="B144" s="26" t="s">
        <v>115</v>
      </c>
      <c r="C144" s="27" t="s">
        <v>20</v>
      </c>
      <c r="D144" s="31">
        <v>1505.7</v>
      </c>
      <c r="E144" s="32">
        <v>5.8</v>
      </c>
      <c r="F144" s="33">
        <f t="shared" si="4"/>
        <v>8733.06</v>
      </c>
    </row>
    <row r="145" spans="1:7" s="65" customFormat="1">
      <c r="A145" s="26"/>
      <c r="B145" s="26" t="s">
        <v>48</v>
      </c>
      <c r="C145" s="27" t="s">
        <v>20</v>
      </c>
      <c r="D145" s="31">
        <v>300</v>
      </c>
      <c r="E145" s="32">
        <v>15</v>
      </c>
      <c r="F145" s="33">
        <f t="shared" si="4"/>
        <v>4500</v>
      </c>
    </row>
    <row r="146" spans="1:7" s="65" customFormat="1">
      <c r="A146" s="127"/>
      <c r="B146" s="128"/>
      <c r="C146" s="28"/>
      <c r="D146" s="31"/>
      <c r="E146" s="32"/>
      <c r="F146" s="33"/>
    </row>
    <row r="147" spans="1:7" s="65" customFormat="1" ht="39.6">
      <c r="A147" s="120" t="s">
        <v>89</v>
      </c>
      <c r="B147" s="117" t="s">
        <v>200</v>
      </c>
      <c r="C147" s="28" t="s">
        <v>20</v>
      </c>
      <c r="D147" s="31">
        <v>23390.5</v>
      </c>
      <c r="E147" s="32">
        <v>2.1</v>
      </c>
      <c r="F147" s="33">
        <f>E147*D147</f>
        <v>49120.05</v>
      </c>
    </row>
    <row r="148" spans="1:7" s="65" customFormat="1">
      <c r="A148" s="120"/>
      <c r="B148" s="117"/>
      <c r="C148" s="28"/>
      <c r="D148" s="31"/>
      <c r="E148" s="32"/>
      <c r="F148" s="33">
        <f t="shared" si="4"/>
        <v>0</v>
      </c>
    </row>
    <row r="149" spans="1:7" s="65" customFormat="1" ht="171.6">
      <c r="A149" s="123" t="s">
        <v>90</v>
      </c>
      <c r="B149" s="117" t="s">
        <v>201</v>
      </c>
      <c r="C149" s="28"/>
      <c r="D149" s="31"/>
      <c r="E149" s="32"/>
      <c r="F149" s="33">
        <f t="shared" si="4"/>
        <v>0</v>
      </c>
    </row>
    <row r="150" spans="1:7" s="65" customFormat="1">
      <c r="A150" s="120"/>
      <c r="B150" s="117" t="s">
        <v>116</v>
      </c>
      <c r="C150" s="28" t="s">
        <v>20</v>
      </c>
      <c r="D150" s="31">
        <v>120</v>
      </c>
      <c r="E150" s="32">
        <v>5.8</v>
      </c>
      <c r="F150" s="33">
        <f t="shared" si="4"/>
        <v>696</v>
      </c>
    </row>
    <row r="151" spans="1:7" s="65" customFormat="1">
      <c r="A151" s="120"/>
      <c r="B151" s="117" t="s">
        <v>202</v>
      </c>
      <c r="C151" s="28" t="s">
        <v>14</v>
      </c>
      <c r="D151" s="31">
        <v>3</v>
      </c>
      <c r="E151" s="32">
        <v>1650</v>
      </c>
      <c r="F151" s="33">
        <f t="shared" si="4"/>
        <v>4950</v>
      </c>
    </row>
    <row r="152" spans="1:7" s="65" customFormat="1">
      <c r="A152" s="120"/>
      <c r="B152" s="117"/>
      <c r="C152" s="28"/>
      <c r="D152" s="31"/>
      <c r="E152" s="32"/>
      <c r="F152" s="33">
        <f t="shared" si="4"/>
        <v>0</v>
      </c>
    </row>
    <row r="153" spans="1:7" s="72" customFormat="1" ht="69.900000000000006" customHeight="1">
      <c r="A153" s="123" t="s">
        <v>91</v>
      </c>
      <c r="B153" s="129" t="s">
        <v>203</v>
      </c>
      <c r="C153" s="28" t="s">
        <v>57</v>
      </c>
      <c r="D153" s="31">
        <v>35</v>
      </c>
      <c r="E153" s="32">
        <v>425</v>
      </c>
      <c r="F153" s="33">
        <f t="shared" si="4"/>
        <v>14875</v>
      </c>
      <c r="G153" s="78"/>
    </row>
    <row r="154" spans="1:7">
      <c r="B154" s="1"/>
    </row>
    <row r="155" spans="1:7">
      <c r="A155" s="67"/>
      <c r="B155" s="52" t="s">
        <v>49</v>
      </c>
      <c r="C155" s="45"/>
      <c r="D155" s="35"/>
      <c r="E155" s="40"/>
      <c r="F155" s="39">
        <f>SUM(F135:F153)</f>
        <v>208065.95</v>
      </c>
    </row>
    <row r="156" spans="1:7">
      <c r="B156" s="1"/>
    </row>
    <row r="158" spans="1:7">
      <c r="B158" s="1"/>
    </row>
    <row r="159" spans="1:7">
      <c r="A159" s="67" t="s">
        <v>50</v>
      </c>
      <c r="B159" s="51" t="s">
        <v>54</v>
      </c>
      <c r="C159" s="45"/>
      <c r="D159" s="35"/>
      <c r="E159" s="40"/>
      <c r="F159" s="39"/>
    </row>
    <row r="160" spans="1:7">
      <c r="B160" s="1"/>
    </row>
    <row r="161" spans="1:6">
      <c r="A161" s="23" t="s">
        <v>51</v>
      </c>
      <c r="B161" s="9" t="s">
        <v>70</v>
      </c>
    </row>
    <row r="162" spans="1:6" ht="79.2">
      <c r="A162" s="70"/>
      <c r="B162" s="6" t="s">
        <v>52</v>
      </c>
    </row>
    <row r="163" spans="1:6">
      <c r="B163" s="1" t="s">
        <v>53</v>
      </c>
      <c r="C163" s="28" t="s">
        <v>16</v>
      </c>
      <c r="D163" s="31">
        <v>1200</v>
      </c>
      <c r="E163" s="32">
        <v>22</v>
      </c>
      <c r="F163" s="33">
        <f>E163*D163</f>
        <v>26400</v>
      </c>
    </row>
    <row r="164" spans="1:6">
      <c r="B164" s="1"/>
    </row>
    <row r="165" spans="1:6" s="7" customFormat="1">
      <c r="A165" s="67"/>
      <c r="B165" s="52" t="s">
        <v>54</v>
      </c>
      <c r="C165" s="45"/>
      <c r="D165" s="35"/>
      <c r="E165" s="40"/>
      <c r="F165" s="39">
        <f>SUM(F163:F164)</f>
        <v>26400</v>
      </c>
    </row>
    <row r="166" spans="1:6">
      <c r="B166" s="1"/>
    </row>
    <row r="168" spans="1:6">
      <c r="B168" s="1"/>
    </row>
    <row r="169" spans="1:6">
      <c r="A169" s="67" t="s">
        <v>55</v>
      </c>
      <c r="B169" s="51" t="s">
        <v>83</v>
      </c>
      <c r="C169" s="45"/>
      <c r="D169" s="35"/>
      <c r="E169" s="40"/>
      <c r="F169" s="39"/>
    </row>
    <row r="170" spans="1:6">
      <c r="B170" s="1"/>
    </row>
    <row r="171" spans="1:6" s="73" customFormat="1" ht="52.8">
      <c r="A171" s="23" t="s">
        <v>227</v>
      </c>
      <c r="B171" s="8" t="s">
        <v>204</v>
      </c>
      <c r="C171" s="28" t="s">
        <v>17</v>
      </c>
      <c r="D171" s="31">
        <v>60</v>
      </c>
      <c r="E171" s="32">
        <v>1250</v>
      </c>
      <c r="F171" s="33">
        <f t="shared" ref="F171:F201" si="5">SUM(D171*E171)</f>
        <v>75000</v>
      </c>
    </row>
    <row r="172" spans="1:6">
      <c r="B172" s="1"/>
      <c r="F172" s="33">
        <f t="shared" si="5"/>
        <v>0</v>
      </c>
    </row>
    <row r="173" spans="1:6" ht="39.6">
      <c r="A173" s="23" t="s">
        <v>71</v>
      </c>
      <c r="B173" s="8" t="s">
        <v>157</v>
      </c>
      <c r="C173" s="28" t="s">
        <v>16</v>
      </c>
      <c r="D173" s="31">
        <v>1200</v>
      </c>
      <c r="E173" s="32">
        <v>3</v>
      </c>
      <c r="F173" s="33">
        <f t="shared" si="5"/>
        <v>3600</v>
      </c>
    </row>
    <row r="174" spans="1:6">
      <c r="B174" s="1"/>
      <c r="F174" s="33">
        <f t="shared" si="5"/>
        <v>0</v>
      </c>
    </row>
    <row r="175" spans="1:6" s="73" customFormat="1" ht="52.8">
      <c r="A175" s="23" t="s">
        <v>228</v>
      </c>
      <c r="B175" s="8" t="s">
        <v>205</v>
      </c>
      <c r="C175" s="28" t="s">
        <v>16</v>
      </c>
      <c r="D175" s="31">
        <v>1200</v>
      </c>
      <c r="E175" s="32">
        <v>8.6</v>
      </c>
      <c r="F175" s="33">
        <f t="shared" si="5"/>
        <v>10320</v>
      </c>
    </row>
    <row r="176" spans="1:6">
      <c r="B176" s="1"/>
      <c r="F176" s="33">
        <f t="shared" si="5"/>
        <v>0</v>
      </c>
    </row>
    <row r="177" spans="1:6" s="54" customFormat="1" ht="39.6">
      <c r="A177" s="120" t="s">
        <v>56</v>
      </c>
      <c r="B177" s="130" t="s">
        <v>206</v>
      </c>
      <c r="C177" s="28" t="s">
        <v>14</v>
      </c>
      <c r="D177" s="31">
        <v>1200</v>
      </c>
      <c r="E177" s="32">
        <v>26</v>
      </c>
      <c r="F177" s="33">
        <f t="shared" si="5"/>
        <v>31200</v>
      </c>
    </row>
    <row r="178" spans="1:6" s="54" customFormat="1">
      <c r="A178" s="120"/>
      <c r="B178" s="6"/>
      <c r="C178" s="28"/>
      <c r="D178" s="31"/>
      <c r="E178" s="32"/>
      <c r="F178" s="33">
        <f t="shared" si="5"/>
        <v>0</v>
      </c>
    </row>
    <row r="179" spans="1:6" s="65" customFormat="1">
      <c r="A179" s="127"/>
      <c r="B179" s="117" t="s">
        <v>207</v>
      </c>
      <c r="C179" s="118"/>
      <c r="D179" s="31"/>
      <c r="E179" s="32"/>
      <c r="F179" s="33">
        <f t="shared" si="5"/>
        <v>0</v>
      </c>
    </row>
    <row r="180" spans="1:6" s="65" customFormat="1" ht="303.60000000000002">
      <c r="A180" s="120" t="s">
        <v>117</v>
      </c>
      <c r="B180" s="117" t="s">
        <v>118</v>
      </c>
      <c r="C180" s="131" t="s">
        <v>14</v>
      </c>
      <c r="D180" s="31">
        <v>1200</v>
      </c>
      <c r="E180" s="32">
        <v>70</v>
      </c>
      <c r="F180" s="33">
        <f t="shared" si="5"/>
        <v>84000</v>
      </c>
    </row>
    <row r="181" spans="1:6" s="65" customFormat="1">
      <c r="A181" s="127"/>
      <c r="B181" s="128"/>
      <c r="C181" s="131"/>
      <c r="D181" s="31"/>
      <c r="E181" s="32"/>
      <c r="F181" s="33">
        <f t="shared" si="5"/>
        <v>0</v>
      </c>
    </row>
    <row r="182" spans="1:6" s="65" customFormat="1" ht="39.6">
      <c r="A182" s="120" t="s">
        <v>229</v>
      </c>
      <c r="B182" s="117" t="s">
        <v>208</v>
      </c>
      <c r="C182" s="118" t="s">
        <v>13</v>
      </c>
      <c r="D182" s="31">
        <v>70</v>
      </c>
      <c r="E182" s="32">
        <v>110</v>
      </c>
      <c r="F182" s="33">
        <f t="shared" si="5"/>
        <v>7700</v>
      </c>
    </row>
    <row r="183" spans="1:6" s="65" customFormat="1">
      <c r="A183" s="120"/>
      <c r="B183" s="117"/>
      <c r="C183" s="118"/>
      <c r="D183" s="31"/>
      <c r="E183" s="32"/>
      <c r="F183" s="33">
        <f t="shared" si="5"/>
        <v>0</v>
      </c>
    </row>
    <row r="184" spans="1:6" s="65" customFormat="1" ht="52.8">
      <c r="A184" s="120" t="s">
        <v>230</v>
      </c>
      <c r="B184" s="132" t="s">
        <v>209</v>
      </c>
      <c r="C184" s="118" t="s">
        <v>13</v>
      </c>
      <c r="D184" s="31">
        <v>240</v>
      </c>
      <c r="E184" s="32">
        <v>80</v>
      </c>
      <c r="F184" s="33">
        <f t="shared" si="5"/>
        <v>19200</v>
      </c>
    </row>
    <row r="185" spans="1:6" s="54" customFormat="1">
      <c r="A185" s="127"/>
      <c r="B185" s="6"/>
      <c r="C185" s="28"/>
      <c r="D185" s="31"/>
      <c r="E185" s="32"/>
      <c r="F185" s="33">
        <f t="shared" si="5"/>
        <v>0</v>
      </c>
    </row>
    <row r="186" spans="1:6" s="65" customFormat="1" ht="52.8">
      <c r="A186" s="120" t="s">
        <v>231</v>
      </c>
      <c r="B186" s="117" t="s">
        <v>210</v>
      </c>
      <c r="C186" s="118" t="s">
        <v>13</v>
      </c>
      <c r="D186" s="31">
        <v>140</v>
      </c>
      <c r="E186" s="32">
        <v>40</v>
      </c>
      <c r="F186" s="33">
        <f t="shared" si="5"/>
        <v>5600</v>
      </c>
    </row>
    <row r="187" spans="1:6" s="65" customFormat="1">
      <c r="A187" s="127"/>
      <c r="B187" s="128"/>
      <c r="C187" s="131"/>
      <c r="D187" s="31"/>
      <c r="E187" s="32"/>
      <c r="F187" s="33">
        <f t="shared" si="5"/>
        <v>0</v>
      </c>
    </row>
    <row r="188" spans="1:6" s="65" customFormat="1">
      <c r="A188" s="120" t="s">
        <v>232</v>
      </c>
      <c r="B188" s="133" t="s">
        <v>58</v>
      </c>
      <c r="C188" s="118"/>
      <c r="D188" s="31"/>
      <c r="E188" s="32"/>
      <c r="F188" s="33">
        <f t="shared" si="5"/>
        <v>0</v>
      </c>
    </row>
    <row r="189" spans="1:6" s="65" customFormat="1" ht="39.6">
      <c r="A189" s="120"/>
      <c r="B189" s="117" t="s">
        <v>119</v>
      </c>
      <c r="C189" s="118"/>
      <c r="D189" s="31"/>
      <c r="E189" s="32"/>
      <c r="F189" s="33">
        <f t="shared" si="5"/>
        <v>0</v>
      </c>
    </row>
    <row r="190" spans="1:6" s="65" customFormat="1" ht="52.8">
      <c r="A190" s="120"/>
      <c r="B190" s="117" t="s">
        <v>120</v>
      </c>
      <c r="C190" s="118" t="s">
        <v>13</v>
      </c>
      <c r="D190" s="31">
        <v>136</v>
      </c>
      <c r="E190" s="32">
        <v>162</v>
      </c>
      <c r="F190" s="33">
        <f t="shared" si="5"/>
        <v>22032</v>
      </c>
    </row>
    <row r="191" spans="1:6" s="65" customFormat="1">
      <c r="A191" s="120"/>
      <c r="B191" s="117"/>
      <c r="C191" s="118"/>
      <c r="D191" s="31"/>
      <c r="E191" s="32"/>
      <c r="F191" s="33">
        <f t="shared" si="5"/>
        <v>0</v>
      </c>
    </row>
    <row r="192" spans="1:6" s="65" customFormat="1" ht="39.6">
      <c r="A192" s="134" t="s">
        <v>233</v>
      </c>
      <c r="B192" s="132" t="s">
        <v>211</v>
      </c>
      <c r="C192" s="118"/>
      <c r="D192" s="31"/>
      <c r="E192" s="32"/>
      <c r="F192" s="33">
        <f t="shared" si="5"/>
        <v>0</v>
      </c>
    </row>
    <row r="193" spans="1:7" s="65" customFormat="1">
      <c r="A193" s="135"/>
      <c r="B193" s="136" t="s">
        <v>59</v>
      </c>
      <c r="C193" s="118" t="s">
        <v>13</v>
      </c>
      <c r="D193" s="31">
        <v>36</v>
      </c>
      <c r="E193" s="32">
        <v>66</v>
      </c>
      <c r="F193" s="33">
        <f t="shared" si="5"/>
        <v>2376</v>
      </c>
    </row>
    <row r="194" spans="1:7" s="65" customFormat="1">
      <c r="A194" s="135"/>
      <c r="B194" s="136"/>
      <c r="C194" s="118"/>
      <c r="D194" s="31"/>
      <c r="E194" s="32"/>
      <c r="F194" s="33">
        <f t="shared" si="5"/>
        <v>0</v>
      </c>
    </row>
    <row r="195" spans="1:7" s="65" customFormat="1" ht="52.8">
      <c r="A195" s="134" t="s">
        <v>234</v>
      </c>
      <c r="B195" s="132" t="s">
        <v>212</v>
      </c>
      <c r="C195" s="118" t="s">
        <v>12</v>
      </c>
      <c r="D195" s="31">
        <v>18</v>
      </c>
      <c r="E195" s="32">
        <v>40</v>
      </c>
      <c r="F195" s="33">
        <f t="shared" si="5"/>
        <v>720</v>
      </c>
    </row>
    <row r="196" spans="1:7" s="65" customFormat="1">
      <c r="A196" s="135"/>
      <c r="B196" s="136"/>
      <c r="C196" s="118"/>
      <c r="D196" s="31"/>
      <c r="E196" s="32"/>
      <c r="F196" s="33">
        <f t="shared" si="5"/>
        <v>0</v>
      </c>
    </row>
    <row r="197" spans="1:7" s="65" customFormat="1" ht="39.6">
      <c r="A197" s="134" t="s">
        <v>235</v>
      </c>
      <c r="B197" s="132" t="s">
        <v>213</v>
      </c>
      <c r="C197" s="118" t="s">
        <v>13</v>
      </c>
      <c r="D197" s="31">
        <v>148</v>
      </c>
      <c r="E197" s="32">
        <v>80</v>
      </c>
      <c r="F197" s="33">
        <f t="shared" si="5"/>
        <v>11840</v>
      </c>
    </row>
    <row r="198" spans="1:7" s="65" customFormat="1">
      <c r="A198" s="135"/>
      <c r="B198" s="136"/>
      <c r="C198" s="118"/>
      <c r="D198" s="31"/>
      <c r="E198" s="32"/>
      <c r="F198" s="33">
        <f t="shared" si="5"/>
        <v>0</v>
      </c>
    </row>
    <row r="199" spans="1:7" s="65" customFormat="1" ht="52.8">
      <c r="A199" s="134" t="s">
        <v>236</v>
      </c>
      <c r="B199" s="132" t="s">
        <v>214</v>
      </c>
      <c r="C199" s="118" t="s">
        <v>13</v>
      </c>
      <c r="D199" s="31">
        <v>44</v>
      </c>
      <c r="E199" s="32">
        <v>55</v>
      </c>
      <c r="F199" s="33">
        <f t="shared" si="5"/>
        <v>2420</v>
      </c>
    </row>
    <row r="200" spans="1:7" s="65" customFormat="1">
      <c r="A200" s="135"/>
      <c r="B200" s="136"/>
      <c r="C200" s="118"/>
      <c r="D200" s="31"/>
      <c r="E200" s="32"/>
      <c r="F200" s="33">
        <f t="shared" si="5"/>
        <v>0</v>
      </c>
    </row>
    <row r="201" spans="1:7" s="65" customFormat="1" ht="92.4">
      <c r="A201" s="134" t="s">
        <v>237</v>
      </c>
      <c r="B201" s="137" t="s">
        <v>215</v>
      </c>
      <c r="C201" s="118" t="s">
        <v>12</v>
      </c>
      <c r="D201" s="31">
        <v>5</v>
      </c>
      <c r="E201" s="32">
        <v>440</v>
      </c>
      <c r="F201" s="33">
        <f t="shared" si="5"/>
        <v>2200</v>
      </c>
    </row>
    <row r="202" spans="1:7">
      <c r="B202" s="1"/>
    </row>
    <row r="203" spans="1:7">
      <c r="A203" s="66"/>
      <c r="B203" s="52" t="s">
        <v>121</v>
      </c>
      <c r="C203" s="45"/>
      <c r="D203" s="35"/>
      <c r="E203" s="40"/>
      <c r="F203" s="39">
        <f>SUM(F171:F202)</f>
        <v>278208</v>
      </c>
      <c r="G203" s="109"/>
    </row>
    <row r="204" spans="1:7">
      <c r="B204" s="1"/>
    </row>
    <row r="206" spans="1:7" s="65" customFormat="1">
      <c r="A206" s="138" t="s">
        <v>60</v>
      </c>
      <c r="B206" s="56" t="s">
        <v>137</v>
      </c>
      <c r="C206" s="58" t="s">
        <v>102</v>
      </c>
      <c r="D206" s="57"/>
      <c r="E206" s="59"/>
      <c r="F206" s="60"/>
    </row>
    <row r="207" spans="1:7" s="65" customFormat="1">
      <c r="A207" s="23"/>
      <c r="B207" s="1"/>
      <c r="C207" s="28"/>
      <c r="D207" s="31"/>
      <c r="E207" s="32"/>
      <c r="F207" s="33"/>
    </row>
    <row r="208" spans="1:7" s="65" customFormat="1" ht="39.6">
      <c r="A208" s="23"/>
      <c r="B208" s="6" t="s">
        <v>138</v>
      </c>
      <c r="C208" s="28"/>
      <c r="D208" s="31"/>
      <c r="E208" s="32"/>
      <c r="F208" s="33"/>
    </row>
    <row r="209" spans="1:6" s="65" customFormat="1" ht="285" customHeight="1">
      <c r="A209" s="23"/>
      <c r="B209" s="6" t="s">
        <v>139</v>
      </c>
      <c r="C209" s="28"/>
      <c r="D209" s="31"/>
      <c r="E209" s="32"/>
      <c r="F209" s="33"/>
    </row>
    <row r="210" spans="1:6" s="53" customFormat="1">
      <c r="A210" s="23"/>
      <c r="B210" s="6" t="s">
        <v>140</v>
      </c>
      <c r="C210" s="28"/>
      <c r="D210" s="31"/>
      <c r="E210" s="32"/>
      <c r="F210" s="33"/>
    </row>
    <row r="211" spans="1:6" s="53" customFormat="1">
      <c r="A211" s="23" t="s">
        <v>238</v>
      </c>
      <c r="B211" s="6" t="s">
        <v>141</v>
      </c>
      <c r="C211" s="28" t="s">
        <v>12</v>
      </c>
      <c r="D211" s="31">
        <v>10</v>
      </c>
      <c r="E211" s="32">
        <v>230</v>
      </c>
      <c r="F211" s="33">
        <f>SUM(D211*E211)</f>
        <v>2300</v>
      </c>
    </row>
    <row r="212" spans="1:6" s="53" customFormat="1">
      <c r="A212" s="23" t="s">
        <v>239</v>
      </c>
      <c r="B212" s="6" t="s">
        <v>142</v>
      </c>
      <c r="C212" s="28" t="s">
        <v>11</v>
      </c>
      <c r="D212" s="31">
        <v>1</v>
      </c>
      <c r="E212" s="32">
        <v>2600</v>
      </c>
      <c r="F212" s="33">
        <f t="shared" ref="F212:F219" si="6">SUM(D212*E212)</f>
        <v>2600</v>
      </c>
    </row>
    <row r="213" spans="1:6" s="53" customFormat="1">
      <c r="A213" s="23" t="s">
        <v>240</v>
      </c>
      <c r="B213" s="6" t="s">
        <v>143</v>
      </c>
      <c r="C213" s="28" t="s">
        <v>144</v>
      </c>
      <c r="D213" s="31">
        <v>16</v>
      </c>
      <c r="E213" s="32">
        <v>150</v>
      </c>
      <c r="F213" s="33">
        <f t="shared" si="6"/>
        <v>2400</v>
      </c>
    </row>
    <row r="214" spans="1:6" s="53" customFormat="1">
      <c r="A214" s="23"/>
      <c r="B214" s="6"/>
      <c r="C214" s="28"/>
      <c r="D214" s="31"/>
      <c r="E214" s="32"/>
      <c r="F214" s="33">
        <f t="shared" si="6"/>
        <v>0</v>
      </c>
    </row>
    <row r="215" spans="1:6" s="53" customFormat="1">
      <c r="A215" s="23"/>
      <c r="B215" s="6" t="s">
        <v>145</v>
      </c>
      <c r="C215" s="28"/>
      <c r="D215" s="31"/>
      <c r="E215" s="32"/>
      <c r="F215" s="33">
        <f t="shared" si="6"/>
        <v>0</v>
      </c>
    </row>
    <row r="216" spans="1:6" s="53" customFormat="1">
      <c r="A216" s="23" t="s">
        <v>241</v>
      </c>
      <c r="B216" s="6" t="s">
        <v>146</v>
      </c>
      <c r="C216" s="28" t="s">
        <v>12</v>
      </c>
      <c r="D216" s="31">
        <v>5</v>
      </c>
      <c r="E216" s="32">
        <v>230</v>
      </c>
      <c r="F216" s="33">
        <f t="shared" si="6"/>
        <v>1150</v>
      </c>
    </row>
    <row r="217" spans="1:6" s="53" customFormat="1" ht="39.6">
      <c r="A217" s="23" t="s">
        <v>242</v>
      </c>
      <c r="B217" s="6" t="s">
        <v>147</v>
      </c>
      <c r="C217" s="28" t="s">
        <v>12</v>
      </c>
      <c r="D217" s="31">
        <v>5</v>
      </c>
      <c r="E217" s="32">
        <v>240</v>
      </c>
      <c r="F217" s="33">
        <f t="shared" si="6"/>
        <v>1200</v>
      </c>
    </row>
    <row r="218" spans="1:6" s="53" customFormat="1">
      <c r="A218" s="23"/>
      <c r="B218" s="6"/>
      <c r="C218" s="28"/>
      <c r="D218" s="31"/>
      <c r="E218" s="32"/>
      <c r="F218" s="33"/>
    </row>
    <row r="219" spans="1:6" s="53" customFormat="1">
      <c r="A219" s="23" t="s">
        <v>243</v>
      </c>
      <c r="B219" s="6" t="s">
        <v>143</v>
      </c>
      <c r="C219" s="28" t="s">
        <v>144</v>
      </c>
      <c r="D219" s="31">
        <v>16</v>
      </c>
      <c r="E219" s="32">
        <v>150</v>
      </c>
      <c r="F219" s="33">
        <f t="shared" si="6"/>
        <v>2400</v>
      </c>
    </row>
    <row r="220" spans="1:6" s="53" customFormat="1">
      <c r="A220" s="23"/>
      <c r="B220" s="1"/>
      <c r="C220" s="28"/>
      <c r="D220" s="31"/>
      <c r="E220" s="32"/>
      <c r="F220" s="33"/>
    </row>
    <row r="221" spans="1:6" s="53" customFormat="1">
      <c r="A221" s="138"/>
      <c r="B221" s="56" t="s">
        <v>148</v>
      </c>
      <c r="C221" s="58"/>
      <c r="D221" s="57"/>
      <c r="E221" s="59"/>
      <c r="F221" s="60">
        <f>SUM(F211:F220)</f>
        <v>12050</v>
      </c>
    </row>
    <row r="222" spans="1:6">
      <c r="B222" s="10"/>
    </row>
    <row r="223" spans="1:6">
      <c r="B223" s="11" t="s">
        <v>92</v>
      </c>
    </row>
    <row r="224" spans="1:6">
      <c r="B224" s="5"/>
    </row>
    <row r="225" spans="1:6">
      <c r="A225" s="71" t="s">
        <v>61</v>
      </c>
      <c r="B225" s="13" t="s">
        <v>103</v>
      </c>
      <c r="F225" s="33">
        <f>F40</f>
        <v>115620</v>
      </c>
    </row>
    <row r="226" spans="1:6">
      <c r="A226" s="71" t="s">
        <v>62</v>
      </c>
      <c r="B226" s="12" t="s">
        <v>65</v>
      </c>
      <c r="F226" s="33">
        <f>F47</f>
        <v>5500</v>
      </c>
    </row>
    <row r="227" spans="1:6">
      <c r="A227" s="71" t="s">
        <v>26</v>
      </c>
      <c r="B227" s="12" t="s">
        <v>86</v>
      </c>
      <c r="F227" s="33">
        <f>F122</f>
        <v>1106055</v>
      </c>
    </row>
    <row r="228" spans="1:6">
      <c r="A228" s="71" t="s">
        <v>37</v>
      </c>
      <c r="B228" s="12" t="s">
        <v>82</v>
      </c>
      <c r="F228" s="33">
        <f>F129</f>
        <v>1250</v>
      </c>
    </row>
    <row r="229" spans="1:6">
      <c r="A229" s="71" t="s">
        <v>63</v>
      </c>
      <c r="B229" s="12" t="s">
        <v>66</v>
      </c>
      <c r="F229" s="33">
        <f>F155</f>
        <v>208065.95</v>
      </c>
    </row>
    <row r="230" spans="1:6">
      <c r="A230" s="71" t="s">
        <v>50</v>
      </c>
      <c r="B230" s="12" t="s">
        <v>67</v>
      </c>
      <c r="F230" s="33">
        <f>F165</f>
        <v>26400</v>
      </c>
    </row>
    <row r="231" spans="1:6">
      <c r="A231" s="71" t="s">
        <v>64</v>
      </c>
      <c r="B231" s="12" t="s">
        <v>155</v>
      </c>
      <c r="F231" s="33">
        <f>F203</f>
        <v>278208</v>
      </c>
    </row>
    <row r="232" spans="1:6" s="54" customFormat="1">
      <c r="A232" s="24" t="s">
        <v>60</v>
      </c>
      <c r="B232" s="139" t="s">
        <v>149</v>
      </c>
      <c r="C232" s="44"/>
      <c r="D232" s="36"/>
      <c r="E232" s="37"/>
      <c r="F232" s="38">
        <f>SUM(F221)</f>
        <v>12050</v>
      </c>
    </row>
    <row r="233" spans="1:6" s="7" customFormat="1">
      <c r="A233" s="22"/>
      <c r="B233" s="14" t="s">
        <v>72</v>
      </c>
      <c r="C233" s="43"/>
      <c r="D233" s="31"/>
      <c r="E233" s="41"/>
      <c r="F233" s="42">
        <f>SUM(F225:F232)</f>
        <v>1753148.95</v>
      </c>
    </row>
    <row r="234" spans="1:6" ht="13.8" thickBot="1">
      <c r="B234" s="1"/>
    </row>
    <row r="235" spans="1:6">
      <c r="A235" s="81"/>
      <c r="B235" s="82"/>
      <c r="C235" s="83"/>
      <c r="D235" s="86"/>
      <c r="E235" s="84"/>
      <c r="F235" s="85"/>
    </row>
    <row r="236" spans="1:6">
      <c r="A236" s="87"/>
      <c r="B236" s="88" t="s">
        <v>73</v>
      </c>
      <c r="C236" s="89"/>
      <c r="D236" s="92"/>
      <c r="E236" s="90"/>
      <c r="F236" s="91"/>
    </row>
    <row r="237" spans="1:6">
      <c r="A237" s="87"/>
      <c r="B237" s="88"/>
      <c r="C237" s="89"/>
      <c r="D237" s="92"/>
      <c r="E237" s="90"/>
      <c r="F237" s="91"/>
    </row>
    <row r="238" spans="1:6">
      <c r="A238" s="87"/>
      <c r="B238" s="88" t="s">
        <v>74</v>
      </c>
      <c r="C238" s="89"/>
      <c r="D238" s="92"/>
      <c r="E238" s="90"/>
      <c r="F238" s="91">
        <f>F233</f>
        <v>1753148.95</v>
      </c>
    </row>
    <row r="239" spans="1:6">
      <c r="A239" s="87"/>
      <c r="B239" s="88" t="s">
        <v>75</v>
      </c>
      <c r="C239" s="89"/>
      <c r="D239" s="92"/>
      <c r="E239" s="90"/>
      <c r="F239" s="91" t="e">
        <f>SUM('Nekonstruktivna obnova'!#REF!)</f>
        <v>#REF!</v>
      </c>
    </row>
    <row r="240" spans="1:6">
      <c r="A240" s="87"/>
      <c r="B240" s="88" t="s">
        <v>76</v>
      </c>
      <c r="C240" s="89"/>
      <c r="D240" s="92"/>
      <c r="E240" s="90"/>
      <c r="F240" s="91"/>
    </row>
    <row r="241" spans="1:8">
      <c r="A241" s="87"/>
      <c r="B241" s="88" t="s">
        <v>77</v>
      </c>
      <c r="C241" s="89"/>
      <c r="D241" s="92"/>
      <c r="E241" s="90"/>
      <c r="F241" s="91"/>
    </row>
    <row r="242" spans="1:8">
      <c r="A242" s="87"/>
      <c r="B242" s="88" t="s">
        <v>78</v>
      </c>
      <c r="C242" s="89"/>
      <c r="D242" s="92"/>
      <c r="E242" s="90"/>
      <c r="F242" s="91"/>
    </row>
    <row r="243" spans="1:8">
      <c r="A243" s="87"/>
      <c r="B243" s="93" t="s">
        <v>150</v>
      </c>
      <c r="C243" s="94"/>
      <c r="D243" s="97"/>
      <c r="E243" s="95"/>
      <c r="F243" s="96"/>
    </row>
    <row r="244" spans="1:8" s="7" customFormat="1">
      <c r="A244" s="98"/>
      <c r="B244" s="88" t="s">
        <v>160</v>
      </c>
      <c r="C244" s="99"/>
      <c r="D244" s="92"/>
      <c r="E244" s="100"/>
      <c r="F244" s="101"/>
      <c r="H244" s="74"/>
    </row>
    <row r="245" spans="1:8" s="7" customFormat="1">
      <c r="A245" s="98"/>
      <c r="B245" s="88"/>
      <c r="C245" s="99"/>
      <c r="D245" s="92"/>
      <c r="E245" s="100"/>
      <c r="F245" s="101"/>
      <c r="H245" s="74"/>
    </row>
    <row r="246" spans="1:8" ht="13.8" thickBot="1">
      <c r="A246" s="102"/>
      <c r="B246" s="103"/>
      <c r="C246" s="104"/>
      <c r="D246" s="107"/>
      <c r="E246" s="105"/>
      <c r="F246" s="106"/>
    </row>
    <row r="248" spans="1:8">
      <c r="F248" s="33" t="s">
        <v>79</v>
      </c>
    </row>
    <row r="250" spans="1:8">
      <c r="B250" s="80"/>
    </row>
    <row r="251" spans="1:8">
      <c r="C251" s="30"/>
    </row>
    <row r="252" spans="1:8">
      <c r="B252" s="29"/>
    </row>
    <row r="254" spans="1:8">
      <c r="B254" s="29"/>
    </row>
  </sheetData>
  <mergeCells count="1">
    <mergeCell ref="D1:F1"/>
  </mergeCells>
  <pageMargins left="0.7" right="0.7" top="0.75" bottom="0.75" header="0.3" footer="0.3"/>
  <pageSetup paperSize="9" scale="72" fitToHeight="0" orientation="portrait" r:id="rId1"/>
  <headerFooter>
    <oddHeader>&amp;CINVESTITOR: MORH GRAĐEVINA : HVU DR "FRANJO TUĐMAN" - GRAĐEVINA BROJ 59                                                                                                  PROJEKT :      TROŠKOVNIK GRAĐEVINSKO OBRTNIČKIH RADOVA</oddHeader>
    <oddFooter>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2977-16D8-40B3-A6C9-5A00BB0DBA84}">
  <sheetPr>
    <pageSetUpPr fitToPage="1"/>
  </sheetPr>
  <dimension ref="A1:H52"/>
  <sheetViews>
    <sheetView showZeros="0" tabSelected="1" zoomScaleNormal="100" workbookViewId="0">
      <selection activeCell="N38" sqref="N38"/>
    </sheetView>
  </sheetViews>
  <sheetFormatPr defaultColWidth="8.88671875" defaultRowHeight="13.2"/>
  <cols>
    <col min="1" max="1" width="8.88671875" style="112" bestFit="1" customWidth="1"/>
    <col min="2" max="2" width="62.6640625" style="2" customWidth="1"/>
    <col min="3" max="3" width="8.88671875" style="15" customWidth="1"/>
    <col min="4" max="4" width="10.109375" style="31" bestFit="1" customWidth="1"/>
    <col min="5" max="5" width="11.6640625" style="32" customWidth="1"/>
    <col min="6" max="6" width="12" style="33" customWidth="1"/>
    <col min="7" max="7" width="10.109375" style="76" bestFit="1" customWidth="1"/>
    <col min="8" max="8" width="8.88671875" style="76"/>
    <col min="9" max="16384" width="8.88671875" style="2"/>
  </cols>
  <sheetData>
    <row r="1" spans="1:8" s="19" customFormat="1" ht="18.75" customHeight="1">
      <c r="A1" s="110"/>
      <c r="C1" s="49"/>
      <c r="D1" s="145" t="s">
        <v>161</v>
      </c>
      <c r="E1" s="146"/>
      <c r="F1" s="147"/>
      <c r="G1" s="75"/>
      <c r="H1" s="75"/>
    </row>
    <row r="2" spans="1:8" s="19" customFormat="1" ht="26.4">
      <c r="A2" s="111"/>
      <c r="B2" s="34" t="s">
        <v>93</v>
      </c>
      <c r="C2" s="21" t="s">
        <v>94</v>
      </c>
      <c r="D2" s="46" t="s">
        <v>95</v>
      </c>
      <c r="E2" s="47" t="s">
        <v>96</v>
      </c>
      <c r="F2" s="48" t="s">
        <v>97</v>
      </c>
      <c r="G2" s="75"/>
      <c r="H2" s="75"/>
    </row>
    <row r="4" spans="1:8">
      <c r="B4" s="7" t="s">
        <v>84</v>
      </c>
    </row>
    <row r="6" spans="1:8">
      <c r="B6" s="16" t="s">
        <v>0</v>
      </c>
    </row>
    <row r="7" spans="1:8">
      <c r="B7" s="1"/>
    </row>
    <row r="8" spans="1:8" ht="26.4">
      <c r="B8" s="17" t="s">
        <v>85</v>
      </c>
    </row>
    <row r="9" spans="1:8">
      <c r="B9" s="1"/>
    </row>
    <row r="11" spans="1:8">
      <c r="A11" s="113" t="s">
        <v>62</v>
      </c>
      <c r="B11" s="56" t="s">
        <v>88</v>
      </c>
      <c r="C11" s="62"/>
      <c r="D11" s="57"/>
      <c r="E11" s="59"/>
      <c r="F11" s="60"/>
    </row>
    <row r="12" spans="1:8">
      <c r="B12" s="1"/>
    </row>
    <row r="13" spans="1:8" ht="171.6">
      <c r="A13" s="112" t="s">
        <v>222</v>
      </c>
      <c r="B13" s="6" t="s">
        <v>244</v>
      </c>
      <c r="C13" s="63" t="s">
        <v>14</v>
      </c>
      <c r="D13" s="31">
        <v>1350</v>
      </c>
      <c r="E13" s="41"/>
      <c r="F13" s="33">
        <f>E13*D13</f>
        <v>0</v>
      </c>
    </row>
    <row r="14" spans="1:8">
      <c r="B14" s="6"/>
      <c r="C14" s="63"/>
    </row>
    <row r="15" spans="1:8" s="64" customFormat="1" ht="52.8">
      <c r="A15" s="115" t="s">
        <v>252</v>
      </c>
      <c r="B15" s="117" t="s">
        <v>245</v>
      </c>
      <c r="C15" s="63"/>
      <c r="D15" s="31"/>
      <c r="E15" s="32"/>
      <c r="F15" s="33">
        <f t="shared" ref="F15:F48" si="0">E15*D15</f>
        <v>0</v>
      </c>
      <c r="G15" s="77"/>
      <c r="H15" s="77"/>
    </row>
    <row r="16" spans="1:8" s="64" customFormat="1" ht="26.4">
      <c r="A16" s="115" t="s">
        <v>98</v>
      </c>
      <c r="B16" s="141" t="s">
        <v>151</v>
      </c>
      <c r="C16" s="63" t="s">
        <v>57</v>
      </c>
      <c r="D16" s="31">
        <v>160</v>
      </c>
      <c r="E16" s="32"/>
      <c r="F16" s="33">
        <f t="shared" si="0"/>
        <v>0</v>
      </c>
      <c r="G16" s="77"/>
      <c r="H16" s="77"/>
    </row>
    <row r="17" spans="1:8" s="64" customFormat="1" ht="39.6">
      <c r="A17" s="115" t="s">
        <v>99</v>
      </c>
      <c r="B17" s="141" t="s">
        <v>152</v>
      </c>
      <c r="C17" s="63" t="s">
        <v>14</v>
      </c>
      <c r="D17" s="31">
        <v>1250</v>
      </c>
      <c r="E17" s="32"/>
      <c r="F17" s="33">
        <f>E17*D17</f>
        <v>0</v>
      </c>
      <c r="G17" s="77"/>
      <c r="H17" s="77"/>
    </row>
    <row r="18" spans="1:8" s="64" customFormat="1" ht="52.8">
      <c r="A18" s="115"/>
      <c r="B18" s="117" t="s">
        <v>122</v>
      </c>
      <c r="C18" s="63"/>
      <c r="D18" s="31"/>
      <c r="E18" s="32"/>
      <c r="F18" s="33">
        <f>E18*D18</f>
        <v>0</v>
      </c>
      <c r="G18" s="77"/>
      <c r="H18" s="77"/>
    </row>
    <row r="19" spans="1:8" s="64" customFormat="1" ht="129.9" customHeight="1">
      <c r="A19" s="115"/>
      <c r="B19" s="117" t="s">
        <v>123</v>
      </c>
      <c r="C19" s="63"/>
      <c r="D19" s="31"/>
      <c r="E19" s="32"/>
      <c r="F19" s="33">
        <f t="shared" si="0"/>
        <v>0</v>
      </c>
      <c r="G19" s="77"/>
      <c r="H19" s="77"/>
    </row>
    <row r="20" spans="1:8" s="64" customFormat="1" ht="79.2">
      <c r="A20" s="115" t="s">
        <v>100</v>
      </c>
      <c r="B20" s="141" t="s">
        <v>158</v>
      </c>
      <c r="C20" s="63" t="s">
        <v>14</v>
      </c>
      <c r="D20" s="31">
        <v>1250</v>
      </c>
      <c r="E20" s="32"/>
      <c r="F20" s="33">
        <f>E20*D20</f>
        <v>0</v>
      </c>
      <c r="G20" s="77"/>
      <c r="H20" s="77"/>
    </row>
    <row r="21" spans="1:8" s="64" customFormat="1" ht="26.4">
      <c r="A21" s="115"/>
      <c r="B21" s="117" t="s">
        <v>159</v>
      </c>
      <c r="C21" s="63"/>
      <c r="D21" s="31"/>
      <c r="E21" s="32"/>
      <c r="F21" s="33">
        <f t="shared" si="0"/>
        <v>0</v>
      </c>
      <c r="G21" s="77"/>
      <c r="H21" s="77"/>
    </row>
    <row r="22" spans="1:8" s="64" customFormat="1" ht="26.4">
      <c r="A22" s="115"/>
      <c r="B22" s="117" t="s">
        <v>124</v>
      </c>
      <c r="C22" s="63"/>
      <c r="D22" s="31"/>
      <c r="E22" s="32"/>
      <c r="F22" s="33">
        <f t="shared" si="0"/>
        <v>0</v>
      </c>
      <c r="G22" s="77"/>
      <c r="H22" s="77"/>
    </row>
    <row r="23" spans="1:8" s="64" customFormat="1">
      <c r="A23" s="115"/>
      <c r="B23" s="117" t="s">
        <v>125</v>
      </c>
      <c r="C23" s="63"/>
      <c r="D23" s="31"/>
      <c r="E23" s="32"/>
      <c r="F23" s="33">
        <f t="shared" si="0"/>
        <v>0</v>
      </c>
      <c r="G23" s="77"/>
      <c r="H23" s="77"/>
    </row>
    <row r="24" spans="1:8" s="64" customFormat="1">
      <c r="A24" s="115"/>
      <c r="B24" s="117" t="s">
        <v>126</v>
      </c>
      <c r="C24" s="63"/>
      <c r="D24" s="31"/>
      <c r="E24" s="32"/>
      <c r="F24" s="33">
        <f t="shared" si="0"/>
        <v>0</v>
      </c>
      <c r="G24" s="77"/>
      <c r="H24" s="77"/>
    </row>
    <row r="25" spans="1:8" s="64" customFormat="1" ht="26.4">
      <c r="A25" s="115"/>
      <c r="B25" s="117" t="s">
        <v>127</v>
      </c>
      <c r="C25" s="63"/>
      <c r="D25" s="31"/>
      <c r="E25" s="32"/>
      <c r="F25" s="33">
        <f t="shared" si="0"/>
        <v>0</v>
      </c>
      <c r="G25" s="77"/>
      <c r="H25" s="77"/>
    </row>
    <row r="26" spans="1:8" s="64" customFormat="1">
      <c r="A26" s="115"/>
      <c r="B26" s="117" t="s">
        <v>128</v>
      </c>
      <c r="C26" s="63"/>
      <c r="D26" s="31"/>
      <c r="E26" s="32"/>
      <c r="F26" s="33">
        <f t="shared" si="0"/>
        <v>0</v>
      </c>
      <c r="G26" s="77"/>
      <c r="H26" s="77"/>
    </row>
    <row r="27" spans="1:8" s="64" customFormat="1">
      <c r="A27" s="115"/>
      <c r="B27" s="117" t="s">
        <v>129</v>
      </c>
      <c r="C27" s="63"/>
      <c r="D27" s="31"/>
      <c r="E27" s="32"/>
      <c r="F27" s="33">
        <f t="shared" si="0"/>
        <v>0</v>
      </c>
      <c r="G27" s="77"/>
      <c r="H27" s="77"/>
    </row>
    <row r="28" spans="1:8" s="64" customFormat="1">
      <c r="A28" s="115"/>
      <c r="B28" s="117" t="s">
        <v>130</v>
      </c>
      <c r="C28" s="63"/>
      <c r="D28" s="31"/>
      <c r="E28" s="32"/>
      <c r="F28" s="33">
        <f t="shared" si="0"/>
        <v>0</v>
      </c>
      <c r="G28" s="77"/>
      <c r="H28" s="77"/>
    </row>
    <row r="29" spans="1:8" s="64" customFormat="1">
      <c r="A29" s="115"/>
      <c r="B29" s="117" t="s">
        <v>131</v>
      </c>
      <c r="C29" s="63"/>
      <c r="D29" s="31"/>
      <c r="E29" s="32"/>
      <c r="F29" s="33">
        <f t="shared" si="0"/>
        <v>0</v>
      </c>
      <c r="G29" s="77"/>
      <c r="H29" s="77"/>
    </row>
    <row r="30" spans="1:8" s="64" customFormat="1" ht="26.4">
      <c r="A30" s="115" t="s">
        <v>101</v>
      </c>
      <c r="B30" s="141" t="s">
        <v>153</v>
      </c>
      <c r="C30" s="63" t="s">
        <v>14</v>
      </c>
      <c r="D30" s="31">
        <v>1250</v>
      </c>
      <c r="E30" s="32"/>
      <c r="F30" s="33">
        <f t="shared" si="0"/>
        <v>0</v>
      </c>
      <c r="G30" s="77"/>
      <c r="H30" s="77"/>
    </row>
    <row r="31" spans="1:8" s="64" customFormat="1" ht="39.6">
      <c r="A31" s="115"/>
      <c r="B31" s="117" t="s">
        <v>132</v>
      </c>
      <c r="C31" s="63"/>
      <c r="D31" s="31"/>
      <c r="E31" s="32"/>
      <c r="F31" s="33">
        <f t="shared" si="0"/>
        <v>0</v>
      </c>
      <c r="G31" s="77"/>
      <c r="H31" s="77"/>
    </row>
    <row r="32" spans="1:8" s="64" customFormat="1" ht="39.6">
      <c r="A32" s="115"/>
      <c r="B32" s="117" t="s">
        <v>133</v>
      </c>
      <c r="C32" s="63"/>
      <c r="D32" s="31"/>
      <c r="E32" s="32"/>
      <c r="F32" s="33">
        <f t="shared" si="0"/>
        <v>0</v>
      </c>
      <c r="G32" s="77"/>
      <c r="H32" s="77"/>
    </row>
    <row r="33" spans="1:8" s="64" customFormat="1">
      <c r="A33" s="115"/>
      <c r="B33" s="117"/>
      <c r="C33" s="63"/>
      <c r="D33" s="31"/>
      <c r="E33" s="32"/>
      <c r="F33" s="33">
        <f t="shared" si="0"/>
        <v>0</v>
      </c>
      <c r="G33" s="77"/>
      <c r="H33" s="77"/>
    </row>
    <row r="34" spans="1:8" s="64" customFormat="1">
      <c r="A34" s="115" t="s">
        <v>23</v>
      </c>
      <c r="B34" s="121" t="s">
        <v>246</v>
      </c>
      <c r="C34" s="63"/>
      <c r="D34" s="31"/>
      <c r="E34" s="32"/>
      <c r="F34" s="33">
        <f t="shared" si="0"/>
        <v>0</v>
      </c>
      <c r="G34" s="77"/>
      <c r="H34" s="77"/>
    </row>
    <row r="35" spans="1:8" s="64" customFormat="1">
      <c r="A35" s="115"/>
      <c r="B35" s="117" t="s">
        <v>247</v>
      </c>
      <c r="C35" s="63"/>
      <c r="D35" s="31"/>
      <c r="E35" s="32"/>
      <c r="F35" s="33">
        <f t="shared" si="0"/>
        <v>0</v>
      </c>
      <c r="G35" s="77"/>
      <c r="H35" s="77"/>
    </row>
    <row r="36" spans="1:8" s="64" customFormat="1" ht="26.4">
      <c r="A36" s="115"/>
      <c r="B36" s="117" t="s">
        <v>248</v>
      </c>
      <c r="C36" s="63" t="s">
        <v>14</v>
      </c>
      <c r="D36" s="31">
        <v>90</v>
      </c>
      <c r="E36" s="32"/>
      <c r="F36" s="33">
        <f>E36*D36</f>
        <v>0</v>
      </c>
      <c r="G36" s="77"/>
      <c r="H36" s="77"/>
    </row>
    <row r="37" spans="1:8" s="64" customFormat="1">
      <c r="A37" s="115"/>
      <c r="B37" s="117"/>
      <c r="C37" s="63"/>
      <c r="D37" s="31"/>
      <c r="E37" s="32"/>
      <c r="F37" s="33">
        <f t="shared" si="0"/>
        <v>0</v>
      </c>
      <c r="G37" s="77"/>
      <c r="H37" s="77"/>
    </row>
    <row r="38" spans="1:8" s="144" customFormat="1" ht="211.2">
      <c r="A38" s="115" t="s">
        <v>24</v>
      </c>
      <c r="B38" s="142" t="s">
        <v>249</v>
      </c>
      <c r="C38" s="63" t="s">
        <v>14</v>
      </c>
      <c r="D38" s="31">
        <v>66</v>
      </c>
      <c r="E38" s="32"/>
      <c r="F38" s="33">
        <f t="shared" ref="F38" si="1">E38*D38</f>
        <v>0</v>
      </c>
      <c r="G38" s="143"/>
      <c r="H38" s="143"/>
    </row>
    <row r="39" spans="1:8" s="64" customFormat="1">
      <c r="A39" s="115"/>
      <c r="B39" s="117"/>
      <c r="C39" s="63"/>
      <c r="D39" s="31"/>
      <c r="E39" s="32"/>
      <c r="F39" s="33">
        <f t="shared" si="0"/>
        <v>0</v>
      </c>
      <c r="G39" s="77"/>
      <c r="H39" s="77"/>
    </row>
    <row r="40" spans="1:8" s="64" customFormat="1" ht="115.2">
      <c r="A40" s="115" t="s">
        <v>87</v>
      </c>
      <c r="B40" s="117" t="s">
        <v>250</v>
      </c>
      <c r="C40" s="63"/>
      <c r="D40" s="31"/>
      <c r="E40" s="32"/>
      <c r="F40" s="33">
        <f t="shared" si="0"/>
        <v>0</v>
      </c>
      <c r="G40" s="77"/>
      <c r="H40" s="77"/>
    </row>
    <row r="41" spans="1:8" s="64" customFormat="1">
      <c r="A41" s="115"/>
      <c r="B41" s="117" t="s">
        <v>134</v>
      </c>
      <c r="C41" s="63" t="s">
        <v>13</v>
      </c>
      <c r="D41" s="31">
        <v>38</v>
      </c>
      <c r="E41" s="32"/>
      <c r="F41" s="33">
        <f t="shared" si="0"/>
        <v>0</v>
      </c>
      <c r="G41" s="77"/>
      <c r="H41" s="77"/>
    </row>
    <row r="42" spans="1:8" s="64" customFormat="1">
      <c r="A42" s="115"/>
      <c r="B42" s="117" t="s">
        <v>135</v>
      </c>
      <c r="C42" s="63" t="s">
        <v>13</v>
      </c>
      <c r="D42" s="31">
        <v>78</v>
      </c>
      <c r="E42" s="32"/>
      <c r="F42" s="33">
        <f t="shared" si="0"/>
        <v>0</v>
      </c>
      <c r="G42" s="77"/>
      <c r="H42" s="77"/>
    </row>
    <row r="43" spans="1:8" s="64" customFormat="1">
      <c r="A43" s="115"/>
      <c r="B43" s="117" t="s">
        <v>136</v>
      </c>
      <c r="C43" s="63" t="s">
        <v>13</v>
      </c>
      <c r="D43" s="31">
        <v>132</v>
      </c>
      <c r="E43" s="32"/>
      <c r="F43" s="33">
        <f t="shared" si="0"/>
        <v>0</v>
      </c>
      <c r="G43" s="77"/>
      <c r="H43" s="77"/>
    </row>
    <row r="44" spans="1:8" s="64" customFormat="1">
      <c r="A44" s="115"/>
      <c r="B44" s="117"/>
      <c r="C44" s="63"/>
      <c r="D44" s="31"/>
      <c r="E44" s="32"/>
      <c r="F44" s="33">
        <f t="shared" si="0"/>
        <v>0</v>
      </c>
      <c r="G44" s="77"/>
      <c r="H44" s="77"/>
    </row>
    <row r="45" spans="1:8" s="64" customFormat="1" ht="81.599999999999994">
      <c r="A45" s="115" t="s">
        <v>253</v>
      </c>
      <c r="B45" s="117" t="s">
        <v>251</v>
      </c>
      <c r="C45" s="63"/>
      <c r="D45" s="31"/>
      <c r="E45" s="32"/>
      <c r="F45" s="33">
        <f t="shared" si="0"/>
        <v>0</v>
      </c>
      <c r="G45" s="77"/>
      <c r="H45" s="77"/>
    </row>
    <row r="46" spans="1:8" s="64" customFormat="1">
      <c r="A46" s="115"/>
      <c r="B46" s="117" t="s">
        <v>134</v>
      </c>
      <c r="C46" s="63" t="s">
        <v>13</v>
      </c>
      <c r="D46" s="31">
        <v>38</v>
      </c>
      <c r="E46" s="32"/>
      <c r="F46" s="33">
        <f t="shared" si="0"/>
        <v>0</v>
      </c>
      <c r="G46" s="77"/>
      <c r="H46" s="77"/>
    </row>
    <row r="47" spans="1:8" s="64" customFormat="1">
      <c r="A47" s="115"/>
      <c r="B47" s="117" t="s">
        <v>135</v>
      </c>
      <c r="C47" s="63" t="s">
        <v>13</v>
      </c>
      <c r="D47" s="31">
        <v>78</v>
      </c>
      <c r="E47" s="32"/>
      <c r="F47" s="33">
        <f t="shared" si="0"/>
        <v>0</v>
      </c>
      <c r="G47" s="77"/>
      <c r="H47" s="77"/>
    </row>
    <row r="48" spans="1:8" s="64" customFormat="1">
      <c r="A48" s="115"/>
      <c r="B48" s="117" t="s">
        <v>136</v>
      </c>
      <c r="C48" s="63" t="s">
        <v>13</v>
      </c>
      <c r="D48" s="31">
        <v>132</v>
      </c>
      <c r="E48" s="32"/>
      <c r="F48" s="33">
        <f t="shared" si="0"/>
        <v>0</v>
      </c>
      <c r="G48" s="77"/>
      <c r="H48" s="77"/>
    </row>
    <row r="49" spans="1:6">
      <c r="B49" s="1"/>
    </row>
    <row r="50" spans="1:6">
      <c r="A50" s="114"/>
      <c r="B50" s="56" t="s">
        <v>88</v>
      </c>
      <c r="C50" s="61"/>
      <c r="D50" s="57"/>
      <c r="E50" s="59"/>
      <c r="F50" s="60">
        <f>SUM(F13:F48)</f>
        <v>0</v>
      </c>
    </row>
    <row r="51" spans="1:6">
      <c r="B51" s="1"/>
    </row>
    <row r="52" spans="1:6">
      <c r="B52" s="10"/>
    </row>
  </sheetData>
  <mergeCells count="1">
    <mergeCell ref="D1:F1"/>
  </mergeCells>
  <pageMargins left="0.7" right="0.7" top="0.75" bottom="0.75" header="0.3" footer="0.3"/>
  <pageSetup paperSize="9" scale="7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Konstruktivna obnova</vt:lpstr>
      <vt:lpstr>Nekonstruktivna obnova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cp:keywords/>
  <dc:description/>
  <cp:lastModifiedBy>Titan2 Constructa</cp:lastModifiedBy>
  <cp:lastPrinted>2026-01-09T09:00:34Z</cp:lastPrinted>
  <dcterms:created xsi:type="dcterms:W3CDTF">2023-01-26T18:40:08Z</dcterms:created>
  <dcterms:modified xsi:type="dcterms:W3CDTF">2026-05-08T08:06:41Z</dcterms:modified>
  <cp:category/>
</cp:coreProperties>
</file>