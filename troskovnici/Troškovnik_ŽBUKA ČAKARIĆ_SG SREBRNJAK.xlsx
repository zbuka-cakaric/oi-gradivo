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G:\Kalkulacije\2025\RADNI NALOZI\06-25 SG SREBRNJAK\02 KOOPERANTI\FASADERSKI RADOVI (ETICS+KLINKER)\1_ŽBUKA ČAKARIĆ UGOVOR\"/>
    </mc:Choice>
  </mc:AlternateContent>
  <xr:revisionPtr revIDLastSave="0" documentId="13_ncr:1_{04FB7434-89E6-4230-9AF0-C3E62F88737D}" xr6:coauthVersionLast="47" xr6:coauthVersionMax="47" xr10:uidLastSave="{00000000-0000-0000-0000-000000000000}"/>
  <bookViews>
    <workbookView xWindow="-120" yWindow="-120" windowWidth="29040" windowHeight="15720" xr2:uid="{00000000-000D-0000-FFFF-FFFF00000000}"/>
  </bookViews>
  <sheets>
    <sheet name="Fasaderski radovi" sheetId="1" r:id="rId1"/>
  </sheets>
  <definedNames>
    <definedName name="_xlnm.Print_Area" localSheetId="0">'Fasaderski radovi'!$A$1:$G$377</definedName>
    <definedName name="_xlnm.Print_Titles" localSheetId="0">'Fasaderski radovi'!$1:$2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87" i="1" l="1"/>
  <c r="G256" i="1"/>
  <c r="G38" i="1"/>
  <c r="G40" i="1"/>
  <c r="G42" i="1"/>
  <c r="G44" i="1"/>
  <c r="G53" i="1"/>
  <c r="G55" i="1"/>
  <c r="G57" i="1"/>
  <c r="G59" i="1"/>
  <c r="G68" i="1"/>
  <c r="G70" i="1"/>
  <c r="G72" i="1"/>
  <c r="G74" i="1"/>
  <c r="G83" i="1"/>
  <c r="G85" i="1"/>
  <c r="G105" i="1"/>
  <c r="G107" i="1"/>
  <c r="G123" i="1"/>
  <c r="G125" i="1"/>
  <c r="G145" i="1"/>
  <c r="G147" i="1"/>
  <c r="G161" i="1"/>
  <c r="G169" i="1"/>
  <c r="G171" i="1"/>
  <c r="G208" i="1"/>
  <c r="G210" i="1"/>
  <c r="G212" i="1"/>
  <c r="G214" i="1"/>
  <c r="G223" i="1"/>
  <c r="G225" i="1"/>
  <c r="G227" i="1"/>
  <c r="G229" i="1"/>
  <c r="G237" i="1"/>
  <c r="G239" i="1"/>
  <c r="G241" i="1"/>
  <c r="G243" i="1"/>
  <c r="G252" i="1"/>
  <c r="G254" i="1"/>
  <c r="G274" i="1"/>
  <c r="G276" i="1"/>
  <c r="G292" i="1"/>
  <c r="G294" i="1"/>
  <c r="G314" i="1"/>
  <c r="G316" i="1"/>
  <c r="G330" i="1"/>
  <c r="G338" i="1"/>
  <c r="G340" i="1"/>
  <c r="G359" i="1" l="1"/>
  <c r="G366" i="1"/>
  <c r="G342" i="1"/>
  <c r="G364" i="1" s="1"/>
  <c r="G173" i="1"/>
  <c r="G357" i="1" s="1"/>
  <c r="G344" i="1" l="1"/>
  <c r="G346" i="1" s="1"/>
  <c r="G175" i="1"/>
  <c r="G177" i="1" s="1"/>
  <c r="G348" i="1" l="1"/>
  <c r="G179" i="1"/>
  <c r="G361" i="1" s="1"/>
  <c r="G368" i="1" l="1"/>
  <c r="G350" i="1"/>
  <c r="G352" i="1" l="1"/>
  <c r="G370" i="1" l="1"/>
</calcChain>
</file>

<file path=xl/sharedStrings.xml><?xml version="1.0" encoding="utf-8"?>
<sst xmlns="http://schemas.openxmlformats.org/spreadsheetml/2006/main" count="354" uniqueCount="256">
  <si>
    <t>Br.st.</t>
  </si>
  <si>
    <t>Opis</t>
  </si>
  <si>
    <t>Jed. mjera</t>
  </si>
  <si>
    <t>Količina za ugovaranje kooperantu</t>
  </si>
  <si>
    <t>Jed. cijena</t>
  </si>
  <si>
    <t>Iznos</t>
  </si>
  <si>
    <t xml:space="preserve">NAPOMENA:
</t>
  </si>
  <si>
    <r>
      <rPr>
        <b/>
        <sz val="9"/>
        <color theme="1"/>
        <rFont val="Arial"/>
        <family val="2"/>
      </rPr>
      <t>Stambena građevina Srebrnjak</t>
    </r>
  </si>
  <si>
    <r>
      <rPr>
        <b/>
        <sz val="9"/>
        <color theme="1"/>
        <rFont val="Arial"/>
        <family val="2"/>
      </rPr>
      <t>Ugovorni radovi</t>
    </r>
  </si>
  <si>
    <r>
      <rPr>
        <b/>
        <sz val="9"/>
        <color theme="1"/>
        <rFont val="Arial"/>
        <family val="2"/>
      </rPr>
      <t>ZGRADA 1</t>
    </r>
  </si>
  <si>
    <r>
      <rPr>
        <b/>
        <sz val="9"/>
        <color theme="1"/>
        <rFont val="Arial"/>
        <family val="2"/>
      </rPr>
      <t>A</t>
    </r>
  </si>
  <si>
    <r>
      <rPr>
        <b/>
        <sz val="9"/>
        <color theme="1"/>
        <rFont val="Arial"/>
        <family val="2"/>
      </rPr>
      <t>TROŠKOVNIK GRAĐEVINSKIH I OBRTNIČKIH RADOVA</t>
    </r>
  </si>
  <si>
    <r>
      <rPr>
        <b/>
        <sz val="9"/>
        <color theme="1"/>
        <rFont val="Arial"/>
        <family val="2"/>
      </rPr>
      <t>A.1.</t>
    </r>
  </si>
  <si>
    <r>
      <rPr>
        <b/>
        <sz val="9"/>
        <color theme="1"/>
        <rFont val="Arial"/>
        <family val="2"/>
      </rPr>
      <t>GRAĐEVINSKI RADOVI</t>
    </r>
  </si>
  <si>
    <r>
      <rPr>
        <b/>
        <sz val="9"/>
        <color theme="1"/>
        <rFont val="Arial"/>
        <family val="2"/>
      </rPr>
      <t>A.1.6.</t>
    </r>
  </si>
  <si>
    <r>
      <rPr>
        <b/>
        <sz val="9"/>
        <color theme="1"/>
        <rFont val="Arial"/>
        <family val="2"/>
      </rPr>
      <t>ZIDARSKO FASADERSKI RADOVI</t>
    </r>
  </si>
  <si>
    <r>
      <rPr>
        <b/>
        <sz val="9"/>
        <color theme="1"/>
        <rFont val="Arial"/>
        <family val="2"/>
      </rPr>
      <t>Fasadne obloge</t>
    </r>
  </si>
  <si>
    <r>
      <rPr>
        <b/>
        <sz val="9"/>
        <color theme="1"/>
        <rFont val="Arial"/>
        <family val="2"/>
      </rPr>
      <t>Posebni uvjeti za fasadne obloge :</t>
    </r>
  </si>
  <si>
    <r>
      <rPr>
        <b/>
        <sz val="9"/>
        <color theme="1"/>
        <rFont val="Arial"/>
        <family val="2"/>
      </rPr>
      <t>/a</t>
    </r>
  </si>
  <si>
    <r>
      <rPr>
        <sz val="9"/>
        <color theme="1"/>
        <rFont val="Arial"/>
        <family val="2"/>
      </rPr>
      <t xml:space="preserve">Sve vidljive površine toplinsko-izolacijskih materijala te donje i gornje završetke na kojima nisu ugrađeni prikladni profili, potrebno je obraditi armaturnim slojem i završnom žbukom te na taj način zaštititi od izravnog prodora vlage, oštećenja koja mogu uzrokovati insekti, glodavci i sl., kao i od izravnog plamena u slučaju požara. </t>
    </r>
    <r>
      <rPr>
        <sz val="9"/>
        <color theme="1"/>
        <rFont val="Arial"/>
        <family val="2"/>
      </rPr>
      <t xml:space="preserve">
</t>
    </r>
  </si>
  <si>
    <r>
      <rPr>
        <b/>
        <sz val="9"/>
        <color theme="1"/>
        <rFont val="Arial"/>
        <family val="2"/>
      </rPr>
      <t>/b</t>
    </r>
  </si>
  <si>
    <r>
      <rPr>
        <sz val="9"/>
        <color theme="1"/>
        <rFont val="Arial"/>
        <family val="2"/>
      </rPr>
      <t xml:space="preserve">Naknadno izravnavanje izvedenog fasadnog sustava nije dozvoljeno. </t>
    </r>
  </si>
  <si>
    <r>
      <rPr>
        <b/>
        <sz val="9"/>
        <color theme="1"/>
        <rFont val="Arial"/>
        <family val="2"/>
      </rPr>
      <t>/c</t>
    </r>
  </si>
  <si>
    <r>
      <rPr>
        <sz val="9"/>
        <color theme="1"/>
        <rFont val="Arial"/>
        <family val="2"/>
      </rPr>
      <t>Sve spojeve kao i sve prodore  potrebno je izvesti odgovarajućim priključnim profilima ili brtvenim trakama kako bi sustav bio zaštićen od prodora vlage.</t>
    </r>
  </si>
  <si>
    <r>
      <rPr>
        <sz val="9"/>
        <color theme="1"/>
        <rFont val="Arial"/>
        <family val="2"/>
      </rPr>
      <t>Obračun:</t>
    </r>
    <r>
      <rPr>
        <sz val="9"/>
        <color theme="1"/>
        <rFont val="Arial"/>
        <family val="2"/>
      </rPr>
      <t xml:space="preserve">
</t>
    </r>
    <r>
      <rPr>
        <sz val="9"/>
        <color theme="1"/>
        <rFont val="Arial"/>
        <family val="2"/>
      </rPr>
      <t>Otvori veličine do 3,0 m2 ne odbijaju se i njihove se uložine ne obračunavaju</t>
    </r>
    <r>
      <rPr>
        <sz val="9"/>
        <color theme="1"/>
        <rFont val="Arial"/>
        <family val="2"/>
      </rPr>
      <t xml:space="preserve">
</t>
    </r>
    <r>
      <rPr>
        <sz val="9"/>
        <color theme="1"/>
        <rFont val="Arial"/>
        <family val="2"/>
      </rPr>
      <t>Kod otvora veličine 3,0 - 5,0 m2 odbija se površina preko 3,0 m2, a uložine se ne obračunavaju posebno</t>
    </r>
    <r>
      <rPr>
        <sz val="9"/>
        <color theme="1"/>
        <rFont val="Arial"/>
        <family val="2"/>
      </rPr>
      <t xml:space="preserve">
</t>
    </r>
    <r>
      <rPr>
        <sz val="9"/>
        <color theme="1"/>
        <rFont val="Arial"/>
        <family val="2"/>
      </rPr>
      <t>Kod otvora veličine preko 5,0 m2 odbija se površina preko 3,0 m2, a uložine se obračunavaju posebno</t>
    </r>
    <r>
      <rPr>
        <sz val="9"/>
        <color theme="1"/>
        <rFont val="Arial"/>
        <family val="2"/>
      </rPr>
      <t xml:space="preserve">
</t>
    </r>
    <r>
      <rPr>
        <sz val="9"/>
        <color theme="1"/>
        <rFont val="Arial"/>
        <family val="2"/>
      </rPr>
      <t>Razvijene površine do 12 cm, za 1,00 m računa se 0,35 m2</t>
    </r>
    <r>
      <rPr>
        <sz val="9"/>
        <color theme="1"/>
        <rFont val="Arial"/>
        <family val="2"/>
      </rPr>
      <t xml:space="preserve">
</t>
    </r>
    <r>
      <rPr>
        <sz val="9"/>
        <color theme="1"/>
        <rFont val="Arial"/>
        <family val="2"/>
      </rPr>
      <t>Razvijene površine od 12 do 18 cm, za 1,00 m računa se 0,50 m2</t>
    </r>
    <r>
      <rPr>
        <sz val="9"/>
        <color theme="1"/>
        <rFont val="Arial"/>
        <family val="2"/>
      </rPr>
      <t xml:space="preserve">
</t>
    </r>
    <r>
      <rPr>
        <sz val="9"/>
        <color theme="1"/>
        <rFont val="Arial"/>
        <family val="2"/>
      </rPr>
      <t>Razvijene površine od 18 do 25 cm, za 1,00 m računa se 0,75 m2</t>
    </r>
    <r>
      <rPr>
        <sz val="9"/>
        <color theme="1"/>
        <rFont val="Arial"/>
        <family val="2"/>
      </rPr>
      <t xml:space="preserve">
</t>
    </r>
    <r>
      <rPr>
        <sz val="9"/>
        <color theme="1"/>
        <rFont val="Arial"/>
        <family val="2"/>
      </rPr>
      <t>Razvijene površine od 25 do 50 cm, za 1,00 m računa se 1,00 m2</t>
    </r>
    <r>
      <rPr>
        <sz val="9"/>
        <color theme="1"/>
        <rFont val="Arial"/>
        <family val="2"/>
      </rPr>
      <t xml:space="preserve">
</t>
    </r>
    <r>
      <rPr>
        <sz val="9"/>
        <color theme="1"/>
        <rFont val="Arial"/>
        <family val="2"/>
      </rPr>
      <t>Razvijene površine od 50 do 75 cm, za 1,00 m računa se 1,25 m2</t>
    </r>
    <r>
      <rPr>
        <sz val="9"/>
        <color theme="1"/>
        <rFont val="Arial"/>
        <family val="2"/>
      </rPr>
      <t xml:space="preserve">
</t>
    </r>
    <r>
      <rPr>
        <sz val="9"/>
        <color theme="1"/>
        <rFont val="Arial"/>
        <family val="2"/>
      </rPr>
      <t>Razvijene površine od 75 do 100 cm, za 1,00 m računa se 1,50 m2</t>
    </r>
    <r>
      <rPr>
        <sz val="9"/>
        <color theme="1"/>
        <rFont val="Arial"/>
        <family val="2"/>
      </rPr>
      <t xml:space="preserve">
</t>
    </r>
    <r>
      <rPr>
        <sz val="9"/>
        <color theme="1"/>
        <rFont val="Arial"/>
        <family val="2"/>
      </rPr>
      <t>Razvijene površine od 100 do 125 cm, za 1,00 m računa se 1,75 m2</t>
    </r>
    <r>
      <rPr>
        <sz val="9"/>
        <color theme="1"/>
        <rFont val="Arial"/>
        <family val="2"/>
      </rPr>
      <t xml:space="preserve">
</t>
    </r>
    <r>
      <rPr>
        <sz val="9"/>
        <color theme="1"/>
        <rFont val="Arial"/>
        <family val="2"/>
      </rPr>
      <t>Razvijene površine od 125 do 150 cm, za 1,00 m računa se 2,00 m2</t>
    </r>
    <r>
      <rPr>
        <sz val="9"/>
        <color theme="1"/>
        <rFont val="Arial"/>
        <family val="2"/>
      </rPr>
      <t xml:space="preserve">
</t>
    </r>
  </si>
  <si>
    <r>
      <rPr>
        <b/>
        <sz val="9"/>
        <color theme="1"/>
        <rFont val="Arial"/>
        <family val="2"/>
      </rPr>
      <t>14</t>
    </r>
  </si>
  <si>
    <r>
      <rPr>
        <b/>
        <sz val="9"/>
        <color theme="1"/>
        <rFont val="Arial"/>
        <family val="2"/>
      </rPr>
      <t>Izvedba StoTherm Mineral 1</t>
    </r>
  </si>
  <si>
    <r>
      <rPr>
        <sz val="9"/>
        <color theme="1"/>
        <rFont val="Arial"/>
        <family val="2"/>
      </rPr>
      <t>Dobava i izrada visokovrijednog, certificiranog toplinsko-izolacijskog fasadnog sustava kao StoTherm Mineral 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i pigmentom.
Termoizolacija vanjskih zidova pločama od mineralne vune kao KI FKD-S Thermal koeficijent toplinske provodljivosti 0,035 W/mK, koeficijent otpora difuziji vodene pare 1.
Ploče lijepiti na suhu nosivu podlogu, nanošenjem bijelog, mineralnog ljepila  visoke difuzivnosti (µ&lt;</t>
    </r>
    <r>
      <rPr>
        <sz val="9"/>
        <color theme="1"/>
        <rFont val="Arial"/>
        <family val="2"/>
      </rPr>
      <t xml:space="preserve"> 35) kao StoLevell Uni na rubove ploče i točkasto u sredini (min. 40 %), čvrsto zbijanje rubova.                                                              
Nakon odgovarajućeg stvrdnjavanja morta za lijepljenje izbušiti rupe u nosivoj AB podlozi i postaviti pričvrsnice s pocinčanim čeličnim vijkom kao ejotherm H1 eco tako da ispod svake pričvrsnice bude sloj ljepila. Duljina sidrenja u nosivoj betonskoj podlozi min. 35 mm. Pričvrsnice postavljati prema ''W shemi''. Način bušenja prilagoditi podlozi. Broj pričvrsnica ovisno o statičkom proračunu, geometriji objekta, opterećenju vjetrom i kategoriji terena (min. 6 kom/m2).
Armaturnu mrežicu od staklenih vlakana, otpornu na lužine kao StoGlasfasergewebe F postaviti u temeljnu žbuku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5 mm.
Obavezno dodatno ojačanje uglova otvora dijagonalno postavljenim mrežicama dimenzija 20x40 cm ili 30x50 cm.</t>
    </r>
  </si>
  <si>
    <r>
      <rPr>
        <sz val="9"/>
        <color theme="1"/>
        <rFont val="Arial"/>
        <family val="2"/>
      </rPr>
      <t>Nudimo Sto Therm mineral sa Superlit završnom. Obračun prema GN 421.</t>
    </r>
    <r>
      <rPr>
        <sz val="9"/>
        <color theme="1"/>
        <rFont val="Arial"/>
        <family val="2"/>
      </rPr>
      <t xml:space="preserve">
</t>
    </r>
  </si>
  <si>
    <r>
      <rPr>
        <sz val="9"/>
        <color theme="1"/>
        <rFont val="Arial"/>
        <family val="2"/>
      </rPr>
      <t xml:space="preserve">Na podlogu nanijeti temeljni premaz, otporan na alkalije koji poboljšava prionjivost završnog sloja. Koristiti temeljni premaz kao Sto-Putzgrund na bazi disperzije s punilom i pigmentom, u tonu završnog sloja. </t>
    </r>
    <r>
      <rPr>
        <sz val="9"/>
        <color theme="1"/>
        <rFont val="Arial"/>
        <family val="2"/>
      </rPr>
      <t xml:space="preserve">
</t>
    </r>
    <r>
      <rPr>
        <sz val="9"/>
        <color theme="1"/>
        <rFont val="Arial"/>
        <family val="2"/>
      </rPr>
      <t>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t>
    </r>
    <r>
      <rPr>
        <sz val="9"/>
        <color theme="1"/>
        <rFont val="Arial"/>
        <family val="2"/>
      </rPr>
      <t xml:space="preserve">
</t>
    </r>
    <r>
      <rPr>
        <sz val="9"/>
        <color theme="1"/>
        <rFont val="Arial"/>
        <family val="2"/>
      </rPr>
      <t xml:space="preserve">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t>
    </r>
    <r>
      <rPr>
        <sz val="9"/>
        <color theme="1"/>
        <rFont val="Arial"/>
        <family val="2"/>
      </rPr>
      <t xml:space="preserve">
</t>
    </r>
    <r>
      <rPr>
        <sz val="9"/>
        <color theme="1"/>
        <rFont val="Arial"/>
        <family val="2"/>
      </rPr>
      <t>Oznaka sloja: VZ3, VZ6</t>
    </r>
    <r>
      <rPr>
        <sz val="9"/>
        <color theme="1"/>
        <rFont val="Arial"/>
        <family val="2"/>
      </rPr>
      <t xml:space="preserve">
</t>
    </r>
    <r>
      <rPr>
        <sz val="9"/>
        <color theme="1"/>
        <rFont val="Arial"/>
        <family val="2"/>
      </rPr>
      <t>Obračun po m2 ugrađenih svih slojeva  fasade</t>
    </r>
  </si>
  <si>
    <r>
      <rPr>
        <sz val="9"/>
        <color theme="1"/>
        <rFont val="Arial"/>
        <family val="2"/>
      </rPr>
      <t>a) izolacija 14 cm</t>
    </r>
  </si>
  <si>
    <t>m2</t>
  </si>
  <si>
    <r>
      <rPr>
        <sz val="9"/>
        <color theme="1"/>
        <rFont val="Arial"/>
        <family val="2"/>
      </rPr>
      <t>b) fasadna obloga</t>
    </r>
  </si>
  <si>
    <r>
      <rPr>
        <sz val="9"/>
        <color theme="1"/>
        <rFont val="Arial"/>
        <family val="2"/>
      </rPr>
      <t>c) izolacija 5 cm</t>
    </r>
  </si>
  <si>
    <r>
      <rPr>
        <sz val="9"/>
        <color theme="1"/>
        <rFont val="Arial"/>
        <family val="2"/>
      </rPr>
      <t>d) fasadna obloga</t>
    </r>
  </si>
  <si>
    <r>
      <rPr>
        <b/>
        <sz val="9"/>
        <color theme="1"/>
        <rFont val="Arial"/>
        <family val="2"/>
      </rPr>
      <t>17</t>
    </r>
  </si>
  <si>
    <r>
      <rPr>
        <b/>
        <sz val="9"/>
        <color theme="1"/>
        <rFont val="Arial"/>
        <family val="2"/>
      </rPr>
      <t>Izvedba sokla StoTherm Mineral 1</t>
    </r>
  </si>
  <si>
    <r>
      <rPr>
        <sz val="9"/>
        <color theme="1"/>
        <rFont val="Arial"/>
        <family val="2"/>
      </rPr>
      <t>Dobava i izrada visokovrijednog, certificiranog toplinsko-izolacijskog fasadnog sustava kao StoTherm Mineral 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i pigmentom.
Termoizolacija vanjskih zidova pločama od ekstrudiranog polistirena kao KI FKD-S Thermal koeficijent toplinske provodljivosti 0,035 W/mK, koeficijent otpora difuziji vodene pare 1.             
Ploče lijepiti na suhu nosivu podlogu, nanošenjem bijelog, mineralnog ljepila  visoke difuzivnosti (µ&lt;</t>
    </r>
    <r>
      <rPr>
        <sz val="9"/>
        <color theme="1"/>
        <rFont val="Arial"/>
        <family val="2"/>
      </rPr>
      <t xml:space="preserve"> 35) kao StoLevell Uni na rubove ploče i točkasto u sredini (min. 40 %), čvrsto zbijanje rubova.
Nakon odgovarajućeg stvrdnjavanja morta za lijepljenje izbušiti rupe u nosivoj AB podlozi i postaviti pričvrsnice s pocinčanim čeličnim vijkom kao ejotherm H1 eco tako da ispod svake pričvrsnice bude sloj ljepila. Duljina sidrenja u nosivoj betonskoj podlozi min. 35 mm. Pričvrsnice postavljati prema ''W shemi''. Način bušenja prilagoditi podlozi. Broj pričvrsnica ovisno o statičkom proračunu, geometriji objekta, opterećenju vjetrom i kategoriji terena (min. 6 kom/m2).                                                      
Armaturnu mrežicu od staklenih vlakana, otpornu na lužine kao StoGlasfasergewebe F postaviti u temeljnu žbuku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5 mm.
Obavezno dodatno ojačanje uglova otvora dijagonalno postavljenim mrežicama dimenzija 20x40 cm ili 30x50 cm.
Na podlogu nanijeti temeljni premaz, otporan na alkalije koji poboljšava prionjivost završnog sloja. Koristiti temeljni premaz kao Sto-Putzgrund na bazi disperzije s punilom i pigmentom, u tonu završnog sloja. </t>
    </r>
  </si>
  <si>
    <r>
      <rPr>
        <sz val="9"/>
        <color theme="1"/>
        <rFont val="Arial"/>
        <family val="2"/>
      </rPr>
      <t>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t>
    </r>
  </si>
  <si>
    <r>
      <rPr>
        <sz val="9"/>
        <color theme="1"/>
        <rFont val="Arial"/>
        <family val="2"/>
      </rPr>
      <t>Nudimo Sto Therm XPS sa Superlit završnom. Obračun prema GN 421.</t>
    </r>
    <r>
      <rPr>
        <sz val="9"/>
        <color theme="1"/>
        <rFont val="Arial"/>
        <family val="2"/>
      </rPr>
      <t xml:space="preserve">
</t>
    </r>
  </si>
  <si>
    <r>
      <rPr>
        <sz val="9"/>
        <color theme="1"/>
        <rFont val="Arial"/>
        <family val="2"/>
      </rPr>
      <t xml:space="preserve">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t>
    </r>
    <r>
      <rPr>
        <sz val="9"/>
        <color theme="1"/>
        <rFont val="Arial"/>
        <family val="2"/>
      </rPr>
      <t xml:space="preserve">
</t>
    </r>
    <r>
      <rPr>
        <sz val="9"/>
        <color theme="1"/>
        <rFont val="Arial"/>
        <family val="2"/>
      </rPr>
      <t>Oznaka sloja: VZ3, VZ6</t>
    </r>
    <r>
      <rPr>
        <sz val="9"/>
        <color theme="1"/>
        <rFont val="Arial"/>
        <family val="2"/>
      </rPr>
      <t xml:space="preserve">
</t>
    </r>
    <r>
      <rPr>
        <sz val="9"/>
        <color theme="1"/>
        <rFont val="Arial"/>
        <family val="2"/>
      </rPr>
      <t>Obračun po m2 ugrađenih svih slojeva  fasade</t>
    </r>
  </si>
  <si>
    <r>
      <rPr>
        <sz val="9"/>
        <color theme="1"/>
        <rFont val="Arial"/>
        <family val="2"/>
      </rPr>
      <t>a) izolacija XPS 14 cm</t>
    </r>
  </si>
  <si>
    <r>
      <rPr>
        <sz val="9"/>
        <color theme="1"/>
        <rFont val="Arial"/>
        <family val="2"/>
      </rPr>
      <t>b) fasadna obloga</t>
    </r>
  </si>
  <si>
    <r>
      <rPr>
        <sz val="9"/>
        <color theme="1"/>
        <rFont val="Arial"/>
        <family val="2"/>
      </rPr>
      <t>c) izolacija XPS 5 cm</t>
    </r>
  </si>
  <si>
    <r>
      <rPr>
        <sz val="9"/>
        <color theme="1"/>
        <rFont val="Arial"/>
        <family val="2"/>
      </rPr>
      <t>d) fasadna obloga</t>
    </r>
  </si>
  <si>
    <r>
      <rPr>
        <b/>
        <sz val="9"/>
        <color theme="1"/>
        <rFont val="Arial"/>
        <family val="2"/>
      </rPr>
      <t>20</t>
    </r>
  </si>
  <si>
    <r>
      <rPr>
        <b/>
        <sz val="9"/>
        <color theme="1"/>
        <rFont val="Arial"/>
        <family val="2"/>
      </rPr>
      <t>Izvedba fasadnog sustava sa završnom oblogom od klinker opeke</t>
    </r>
    <r>
      <rPr>
        <sz val="9"/>
        <color theme="1"/>
        <rFont val="Arial"/>
        <family val="2"/>
      </rPr>
      <t xml:space="preserve"> </t>
    </r>
    <r>
      <rPr>
        <sz val="9"/>
        <color theme="1"/>
        <rFont val="Arial"/>
        <family val="2"/>
      </rPr>
      <t xml:space="preserve">
</t>
    </r>
    <r>
      <rPr>
        <sz val="9"/>
        <color theme="1"/>
        <rFont val="Arial"/>
        <family val="2"/>
      </rPr>
      <t>U cijeni Baumit Ceramic sustav.</t>
    </r>
    <r>
      <rPr>
        <sz val="9"/>
        <color theme="1"/>
        <rFont val="Arial"/>
        <family val="2"/>
      </rPr>
      <t xml:space="preserve">
</t>
    </r>
  </si>
  <si>
    <r>
      <rPr>
        <sz val="9"/>
        <color theme="1"/>
        <rFont val="Arial"/>
        <family val="2"/>
      </rPr>
      <t>Dobava i ugradnja svih potrebnih materijala za izvedbu fasadnog sustava sa izolacijskim pločama tvrde kamene vune, d= 15 cm, sa završnom oblogom od klinker opeke.
Dobava i izrada visokovrijednog, certificiranog toplinsko-izolacijskog fasadnog sustava kao StoTherm Cladding 1 sa završnom klinker oblogom.  Sustav zadovoljava razred reakcije na požar A2, s1-d0 prema HRN EN 13501-1.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Termoizolacija vanjskih zidova pločama od mineralne vune kao KI FKD-S Thermal koeficijent toplinske provodljivosti 0,035 W/mK, koeficijent otpora difuziji vodene pare 1..                                                             
Ploče lijepiti na suhu nosivu podlogu, nanošenjem bijelog, mineralnog ljepila  visoke difuzivnosti (µ&lt;</t>
    </r>
    <r>
      <rPr>
        <sz val="9"/>
        <color theme="1"/>
        <rFont val="Arial"/>
        <family val="2"/>
      </rPr>
      <t xml:space="preserve"> 35) kao StoLevell Uni na rubove ploče i točkasto u sredini (min. 60 %), čvrsto zbijanje rubova. 
Armaturnu mrežicu od staklenih vlakana, otpornu na lužine kao Sto-Glasfasergewebe G postaviti u polimer-cementnu, bijelu, temeljnu žbuku kao StoLevell Uni. Temeljna žbuka nanosi se nazubljenim gleterom u 2 sloja. Nakon nanosa 1. sloja temeljne žbuke, postaviti fasadnu mrežicu kao Sto-Glasfasergewebe G. Mrežica mora biti postavljena u gornju trećinu ukupne debljine sloja temeljne žbuke. Preklapanje armaturne mrežice 10 cm. Ukupna debljina sloja temeljne žbuke 5 mm.
Obavezno dodatno ojačanje uglova otvora dijagonalno postavljenim mrežicama dimenzija 20x40 cm ili 30x50 cm.</t>
    </r>
  </si>
  <si>
    <r>
      <rPr>
        <sz val="9"/>
        <color theme="1"/>
        <rFont val="Arial"/>
        <family val="2"/>
      </rPr>
      <t xml:space="preserve">Nakon odgovarajućeg stvrdnjavanja morta za lijepljenje izbušiti rupe dubine 35 mm (u nosivoj podlozi) i postaviti pričvrsnice s pocinčanim čeličnim vijkom kao ejotherm STR U 2G kroz armaturnu mrežicu tako da ispod svake pričvrsnice bude sloj ljepila. Duljina sidrenja u nosivoj betonskoj podlozi min. 25 mm. Pričvrsnice postavljati prema ''W shemi'.  Način bušenja prilagoditi podlozi. Broj pričvrsnica prema proračunu (min. 6 kom/m2).
U cijeni Baumit Ceramic sustav.
</t>
    </r>
  </si>
  <si>
    <r>
      <rPr>
        <sz val="9"/>
        <color theme="1"/>
        <rFont val="Arial"/>
        <family val="2"/>
      </rPr>
      <t>PONUĐEN StoBrick sustav. U cijeni nije skela niti izrada dilatacijskih fuga.</t>
    </r>
    <r>
      <rPr>
        <sz val="9"/>
        <color theme="1"/>
        <rFont val="Arial"/>
        <family val="2"/>
      </rPr>
      <t xml:space="preserve">
</t>
    </r>
  </si>
  <si>
    <r>
      <rPr>
        <sz val="9"/>
        <color theme="1"/>
        <rFont val="Arial"/>
        <family val="2"/>
      </rPr>
      <t>Na očvrslu temeljnu žbuku nanijeti mineralno, fleksibilno ljepilo kao StoColl  KM u postupku floating-buttering. Ljepilo je otporno na smrzavanje i ostale vremenske utjecaje. Potrošnja 3,50 - 4,50 kg/m2</t>
    </r>
    <r>
      <rPr>
        <sz val="9"/>
        <color theme="1"/>
        <rFont val="Arial"/>
        <family val="2"/>
      </rPr>
      <t xml:space="preserve">
</t>
    </r>
    <r>
      <rPr>
        <sz val="9"/>
        <color theme="1"/>
        <rFont val="Arial"/>
        <family val="2"/>
      </rPr>
      <t xml:space="preserve">U svježe ljepilo utisnuti pločice od klinker opeke kao StoBrick 425. Dimenzije pločica 240mm x 71mm x 14 mm. Širina fuge 10 do 14 mm. Za fugiranje se koristi mineralni mort kao StoColl FM-K. Fugiranje izvesti utiskivanjem. Pločice se dostavljaju i postavljaju u  boji prema odabiru projektanta koji ujedno određuje i boju mase za fugiranje. Odabir pločica i mase za fugiranje određuje se na licu mjesta prema potvrđenom uzorku. Uzorak potvrđuje projektant svojim potpisom. Elastične spojnice (fuge) se moraju izvesti na spoju različitih građevinskih materijala, kutevima i u poljima maksimalnih dimenzija 5 x 5 m. Elastične spojnice se izvode prema konstrukcijskom detalju proizvođača sustava. </t>
    </r>
    <r>
      <rPr>
        <sz val="9"/>
        <color theme="1"/>
        <rFont val="Arial"/>
        <family val="2"/>
      </rPr>
      <t xml:space="preserve">
</t>
    </r>
    <r>
      <rPr>
        <sz val="9"/>
        <color theme="1"/>
        <rFont val="Arial"/>
        <family val="2"/>
      </rPr>
      <t xml:space="preserve">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t>
    </r>
    <r>
      <rPr>
        <sz val="9"/>
        <color theme="1"/>
        <rFont val="Arial"/>
        <family val="2"/>
      </rPr>
      <t xml:space="preserve">
</t>
    </r>
    <r>
      <rPr>
        <sz val="9"/>
        <color theme="1"/>
        <rFont val="Arial"/>
        <family val="2"/>
      </rPr>
      <t>Oznaka sloja: VZ1, VZ4</t>
    </r>
    <r>
      <rPr>
        <sz val="9"/>
        <color theme="1"/>
        <rFont val="Arial"/>
        <family val="2"/>
      </rPr>
      <t xml:space="preserve">
</t>
    </r>
    <r>
      <rPr>
        <sz val="9"/>
        <color theme="1"/>
        <rFont val="Arial"/>
        <family val="2"/>
      </rPr>
      <t>Obračun po m2 ugrađenih svih slojeva  fasade</t>
    </r>
  </si>
  <si>
    <r>
      <rPr>
        <sz val="9"/>
        <color theme="1"/>
        <rFont val="Arial"/>
        <family val="2"/>
      </rPr>
      <t>a)kutni elementi</t>
    </r>
  </si>
  <si>
    <t>m1</t>
  </si>
  <si>
    <r>
      <rPr>
        <sz val="9"/>
        <color theme="1"/>
        <rFont val="Arial"/>
        <family val="2"/>
      </rPr>
      <t>b) izolacija</t>
    </r>
  </si>
  <si>
    <r>
      <rPr>
        <sz val="9"/>
        <color theme="1"/>
        <rFont val="Arial"/>
        <family val="2"/>
      </rPr>
      <t>c) doatna obrada bočnih strana  izolacije na špaletama gdje dolaze aluminijski okviri stijena</t>
    </r>
    <r>
      <rPr>
        <sz val="9"/>
        <color theme="1"/>
        <rFont val="Arial"/>
        <family val="2"/>
      </rPr>
      <t xml:space="preserve">
</t>
    </r>
    <r>
      <rPr>
        <sz val="9"/>
        <color theme="1"/>
        <rFont val="Arial"/>
        <family val="2"/>
      </rPr>
      <t>Cijena informativna do definiranja točnog obima radova</t>
    </r>
    <r>
      <rPr>
        <sz val="9"/>
        <color theme="1"/>
        <rFont val="Arial"/>
        <family val="2"/>
      </rPr>
      <t xml:space="preserve">
</t>
    </r>
  </si>
  <si>
    <r>
      <rPr>
        <sz val="9"/>
        <color theme="1"/>
        <rFont val="Arial"/>
        <family val="2"/>
      </rPr>
      <t>d) obloga</t>
    </r>
  </si>
  <si>
    <r>
      <rPr>
        <b/>
        <sz val="9"/>
        <color theme="1"/>
        <rFont val="Arial"/>
        <family val="2"/>
      </rPr>
      <t>21</t>
    </r>
  </si>
  <si>
    <r>
      <rPr>
        <b/>
        <sz val="9"/>
        <color theme="1"/>
        <rFont val="Arial"/>
        <family val="2"/>
      </rPr>
      <t>Izvedba sokla fasadnog sustava sa završnom oblogom od klinker opeke</t>
    </r>
    <r>
      <rPr>
        <sz val="9"/>
        <color theme="1"/>
        <rFont val="Arial"/>
        <family val="2"/>
      </rPr>
      <t xml:space="preserve"> </t>
    </r>
    <r>
      <rPr>
        <sz val="9"/>
        <color theme="1"/>
        <rFont val="Arial"/>
        <family val="2"/>
      </rPr>
      <t xml:space="preserve">
</t>
    </r>
    <r>
      <rPr>
        <sz val="9"/>
        <color theme="1"/>
        <rFont val="Arial"/>
        <family val="2"/>
      </rPr>
      <t>U cijeni Baumit Ceramic sustav.</t>
    </r>
    <r>
      <rPr>
        <sz val="9"/>
        <color theme="1"/>
        <rFont val="Arial"/>
        <family val="2"/>
      </rPr>
      <t xml:space="preserve">
</t>
    </r>
  </si>
  <si>
    <r>
      <rPr>
        <sz val="9"/>
        <color theme="1"/>
        <rFont val="Arial"/>
        <family val="2"/>
      </rPr>
      <t>Dobava i ugradnja svih potrebnih materijala za izvedbu fasadnog sustava sa izolacijskim pločama ekstrudiranog polistirena, d= 15 cm, sa završnom oblogom od klinker opeke.
Dobava i izrada visokovrijednog, certificiranog toplinsko-izolacijskog fasadnog sustava kao StoTherm Cladding 1 sa završnom klinker oblogom.  Sustav zadovoljava razred reakcije na požar A2, s1-d0 prema HRN EN 13501-1.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Termoizolacija vanjskih zidova pločama od ekstrudiranog polistirena.                                                                                                       
Ploče lijepiti na suhu nosivu podlogu, nanošenjem bijelog, mineralnog ljepila  visoke difuzivnosti (µ&lt;</t>
    </r>
    <r>
      <rPr>
        <sz val="9"/>
        <color theme="1"/>
        <rFont val="Arial"/>
        <family val="2"/>
      </rPr>
      <t xml:space="preserve"> 35) kao StoLevell Uni na rubove ploče i točkasto u sredini (min. 60 %), čvrsto zbijanje rubova. 
Armaturnu mrežicu od staklenih vlakana, otpornu na lužine kao Sto-Glasfasergewebe G postaviti u polimer-cementnu, bijelu, temeljnu žbuku kao StoLevell Uni. Temeljna žbuka nanosi se nazubljenim gleterom u 2 sloja. Nakon nanosa 1. sloja temeljne žbuke, postaviti fasadnu mrežicu kao Sto-Glasfasergewebe G. Mrežica mora biti postavljena u gornju trećinu ukupne debljine sloja temeljne žbuke. Preklapanje armaturne mrežice 10 cm. Ukupna debljina sloja temeljne žbuke 5 mm.
Obavezno dodatno ojačanje uglova otvora dijagonalno postavljenim mrežicama dimenzija 20x40 cm ili 30x50 cm.</t>
    </r>
  </si>
  <si>
    <r>
      <rPr>
        <sz val="9"/>
        <color theme="1"/>
        <rFont val="Arial"/>
        <family val="2"/>
      </rPr>
      <t xml:space="preserve">Nakon odgovarajućeg stvrdnjavanja morta za lijepljenje izbušiti rupe dubine 35 mm (u nosivoj podlozi) i postaviti pričvrsnice s pocinčanim čeličnim vijkom kao ejotherm STR U 2G kroz armaturnu mrežicu tako da ispod svake pričvrsnice bude sloj ljepila. Duljina sidrenja u nosivoj betonskoj podlozi min. 25 mm. Pričvrsnice postavljati prema ''W shemi'.  Način bušenja prilagoditi podlozi. Broj pričvrsnica prema proračunu (min. 6 kom/m2).
U cijeni Baumit Ceramic sustav.
</t>
    </r>
  </si>
  <si>
    <r>
      <rPr>
        <sz val="9"/>
        <color theme="1"/>
        <rFont val="Arial"/>
        <family val="2"/>
      </rPr>
      <t>Na očvrslu temeljnu žbuku nanijeti mineralno, fleksibilno ljepilo kao StoColl  KM u postupku floating-buttering. Ljepilo je otporno na smrzavanje i ostale vremenske utjecaje. Potrošnja 3,50 - 4,50 kg/m2
U svježe ljepilo utisnuti pločice od klinker opeke kao StoBrick 425. Dimenzije pločica 240mm x 71mm x 14 mm. Širina fuge 10 do 14 mm. Za fugiranje se koristi mineralni mort kao StoColl FM-K. Fugiranje izvesti utiskivanjem. Pločice se dostavljaju i postavljaju u  boji prema odabiru projektanta koji ujedno određuje i boju mase za fugiranje. Odabir pločica i mase za fugiranje određuje se na licu mjesta prema potvrđenom uzorku. Uzorak potvrđuje projektant svojim potpisom. Elastične spojnice (fuge) se moraju izvesti na spoju različitih građevinskih materijala, kutevima i u poljima maksimalnih dimenzija 5 x 5 m. Elastične spojnice se izvode prema konstrukcijskom detalju proizvođača sustava. 
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Oznaka sloja: VZ1
Obračun po m2 ugrađenih svih slojeva  fasade
U cijeni Baumit Ceramic sustav.</t>
    </r>
  </si>
  <si>
    <r>
      <rPr>
        <sz val="9"/>
        <color theme="1"/>
        <rFont val="Arial"/>
        <family val="2"/>
      </rPr>
      <t>a) izolacija</t>
    </r>
  </si>
  <si>
    <r>
      <rPr>
        <sz val="9"/>
        <color theme="1"/>
        <rFont val="Arial"/>
        <family val="2"/>
      </rPr>
      <t>b) obloga</t>
    </r>
  </si>
  <si>
    <r>
      <rPr>
        <b/>
        <sz val="9"/>
        <color theme="1"/>
        <rFont val="Arial"/>
        <family val="2"/>
      </rPr>
      <t>ETISC</t>
    </r>
  </si>
  <si>
    <r>
      <rPr>
        <b/>
        <sz val="9"/>
        <color theme="1"/>
        <rFont val="Arial"/>
        <family val="2"/>
      </rPr>
      <t>22</t>
    </r>
  </si>
  <si>
    <r>
      <rPr>
        <b/>
        <sz val="9"/>
        <color theme="1"/>
        <rFont val="Arial"/>
        <family val="2"/>
      </rPr>
      <t>Izvedba ETISC fasadnog sustava sa završnom žbukom- instalacijsi šahtovi i atika krova</t>
    </r>
  </si>
  <si>
    <r>
      <rPr>
        <sz val="9"/>
        <color theme="1"/>
        <rFont val="Arial"/>
        <family val="2"/>
      </rPr>
      <t>Dobava i ugradnja svih potrebnih materijala za izvedbu etisc fasadnog sustava sa izolacijskim pločama tvrde kamene vune, d= 5 cm sa završnom obradom žbukom na bazi silikata.  Klasificirani sustav A1.</t>
    </r>
    <r>
      <rPr>
        <sz val="9"/>
        <color theme="1"/>
        <rFont val="Arial"/>
        <family val="2"/>
      </rPr>
      <t xml:space="preserve">
</t>
    </r>
    <r>
      <rPr>
        <sz val="9"/>
        <color theme="1"/>
        <rFont val="Arial"/>
        <family val="2"/>
      </rPr>
      <t xml:space="preserve">Cijena stavke uključuje dobavu i postavu svih elemenata i komponenti do potpune gotovosti i vodonepropusnosti sustava. Prije izvođenja dužnost je izvođača i obračunato je u stavci pripremiti i po potrebi očistiti podlogu, provjeriti stanje i nosivost podloge, ukloniti sve nenosive dijelove, ukloniti sve masnoće i tvari koje razdvajaju. </t>
    </r>
    <r>
      <rPr>
        <sz val="9"/>
        <color theme="1"/>
        <rFont val="Arial"/>
        <family val="2"/>
      </rPr>
      <t xml:space="preserve">
</t>
    </r>
    <r>
      <rPr>
        <sz val="9"/>
        <color theme="1"/>
        <rFont val="Arial"/>
        <family val="2"/>
      </rPr>
      <t xml:space="preserve">Stavka uključuje slojeve sustava: </t>
    </r>
  </si>
  <si>
    <t>a)</t>
  </si>
  <si>
    <r>
      <rPr>
        <sz val="9"/>
        <color theme="1"/>
        <rFont val="Arial"/>
        <family val="2"/>
      </rPr>
      <t xml:space="preserve">Ploče tvrde kamene vune d= 5 cm, ploče lijepljene odgovarajućim ljepilom, brtvljene na spojevima, dodatno mehanički sidrene u podlogu.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t>
    </r>
  </si>
  <si>
    <t>b)</t>
  </si>
  <si>
    <r>
      <rPr>
        <sz val="9"/>
        <color theme="1"/>
        <rFont val="Arial"/>
        <family val="2"/>
      </rPr>
      <t xml:space="preserve">Kompletno armiranje izolacijskih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                                                             </t>
    </r>
    <r>
      <rPr>
        <sz val="9"/>
        <color theme="1"/>
        <rFont val="Arial"/>
        <family val="2"/>
      </rPr>
      <t xml:space="preserve">
</t>
    </r>
  </si>
  <si>
    <t xml:space="preserve">  c)  </t>
  </si>
  <si>
    <r>
      <rPr>
        <sz val="9"/>
        <color theme="1"/>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Toniranti u nijansu prema završnoj strukturnoj žbuci. </t>
    </r>
  </si>
  <si>
    <t>d)</t>
  </si>
  <si>
    <r>
      <rPr>
        <sz val="9"/>
        <color theme="1"/>
        <rFont val="Arial"/>
        <family val="2"/>
      </rPr>
      <t>Nanošenje završne žbuke na bazi silikata</t>
    </r>
  </si>
  <si>
    <r>
      <rPr>
        <sz val="9"/>
        <color theme="1"/>
        <rFont val="Arial"/>
        <family val="2"/>
      </rPr>
      <t>Nudimo Sto Therm mineral sa silikonskom završnom 2mm HBW iznad 20. Obračun prema GN 421.</t>
    </r>
    <r>
      <rPr>
        <sz val="9"/>
        <color theme="1"/>
        <rFont val="Arial"/>
        <family val="2"/>
      </rPr>
      <t xml:space="preserve">
</t>
    </r>
  </si>
  <si>
    <r>
      <rPr>
        <sz val="9"/>
        <color theme="1"/>
        <rFont val="Arial"/>
        <family val="2"/>
      </rPr>
      <t xml:space="preserve">Stavka uključuje sav potreban rad i materijal te sve potrebne pripremne radnje za izvedbu slojeva fasade, te sav spojni i  pričvrsni materijal. </t>
    </r>
    <r>
      <rPr>
        <sz val="9"/>
        <color theme="1"/>
        <rFont val="Arial"/>
        <family val="2"/>
      </rPr>
      <t xml:space="preserve">
</t>
    </r>
    <r>
      <rPr>
        <sz val="9"/>
        <color theme="1"/>
        <rFont val="Arial"/>
        <family val="2"/>
      </rPr>
      <t>Oznaka sloja: VZ5, instacijski šahtovi nadvišenje dizala</t>
    </r>
    <r>
      <rPr>
        <sz val="9"/>
        <color theme="1"/>
        <rFont val="Arial"/>
        <family val="2"/>
      </rPr>
      <t xml:space="preserve">
</t>
    </r>
    <r>
      <rPr>
        <sz val="9"/>
        <color theme="1"/>
        <rFont val="Arial"/>
        <family val="2"/>
      </rPr>
      <t>Obračun po m2 ugrađenih svih slojeva  fasade</t>
    </r>
  </si>
  <si>
    <r>
      <rPr>
        <sz val="9"/>
        <color theme="1"/>
        <rFont val="Arial"/>
        <family val="2"/>
      </rPr>
      <t>a) izolacija</t>
    </r>
  </si>
  <si>
    <r>
      <rPr>
        <sz val="9"/>
        <color theme="1"/>
        <rFont val="Arial"/>
        <family val="2"/>
      </rPr>
      <t>b) završna žbuka</t>
    </r>
  </si>
  <si>
    <r>
      <rPr>
        <b/>
        <sz val="9"/>
        <color theme="1"/>
        <rFont val="Arial"/>
        <family val="2"/>
      </rPr>
      <t>23</t>
    </r>
  </si>
  <si>
    <r>
      <rPr>
        <b/>
        <sz val="9"/>
        <color theme="1"/>
        <rFont val="Arial"/>
        <family val="2"/>
      </rPr>
      <t xml:space="preserve">Izvedba ETICS fasade - sokl </t>
    </r>
  </si>
  <si>
    <r>
      <rPr>
        <sz val="9"/>
        <color theme="1"/>
        <rFont val="Arial"/>
        <family val="2"/>
      </rPr>
      <t>Dobava i ugradnja svih potrebnih materijala za izvedbu ETICS fasadnog toplinsko izolacijskog sustava sa  izolacijskim pločama od ekstrudiranog polistirena i završnih slojeva žbuke na bazi silikata.  Klasificirani sustav A1.</t>
    </r>
    <r>
      <rPr>
        <sz val="9"/>
        <color theme="1"/>
        <rFont val="Arial"/>
        <family val="2"/>
      </rPr>
      <t xml:space="preserve">
</t>
    </r>
    <r>
      <rPr>
        <sz val="9"/>
        <color theme="1"/>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Sokl se izvodi u nastavku i ravnini sa gornjim dijelom fasade, bez vidljivog prijelaza, bez izvedbe razdvajajuće šine, sa istim armiranim i slojem završne silikonske žbuke. Redoslijed izvođenja gornjeg dijela fasade:</t>
    </r>
  </si>
  <si>
    <r>
      <rPr>
        <sz val="9"/>
        <color theme="1"/>
        <rFont val="Arial"/>
        <family val="2"/>
      </rPr>
      <t xml:space="preserve">Lijepljenje fasadnih izolacijskih ploča ekstrudiranog polistirena, d=5 cm, ploče lijepljene odgovarajućim ljepilom, brtvljene na spojevima, dodatno mehanički sidrene u podlogu u dijelu iznad hidroizolacije.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t>
    </r>
  </si>
  <si>
    <r>
      <rPr>
        <sz val="9"/>
        <color theme="1"/>
        <rFont val="Arial"/>
        <family val="2"/>
      </rPr>
      <t>Kompletno armiranje izolacijskih ploča nanošenjem polimerne cementne žbuke u dva sloja isključivo iz atestiranog sustava proizvođača fasade.                                                                                                                                                                          U mort se u svježem stanju utiskuje-staklena, alkalno otporna mrežica. Pozicija mrežice u polovini do gornje trećine debljine sloja. Debljina armirnog sloja prema uputama proizvođača odabranog sustava. Obavezno dodatno ojačanje kuteva otvora dijagonalno postavljenim mrežicama dimenzija 20×40 cm ili 30×50 cm, sve iz sustava proizvođača fasade.</t>
    </r>
  </si>
  <si>
    <t>c)</t>
  </si>
  <si>
    <r>
      <rPr>
        <sz val="9"/>
        <color theme="1"/>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Toniranti u nijansu prema završnoj strukturnoj žbuci. </t>
    </r>
  </si>
  <si>
    <r>
      <rPr>
        <sz val="9"/>
        <color theme="1"/>
        <rFont val="Arial"/>
        <family val="2"/>
      </rPr>
      <t>Nanošenje završne žbuke na bazi silikata</t>
    </r>
  </si>
  <si>
    <r>
      <rPr>
        <sz val="9"/>
        <color theme="1"/>
        <rFont val="Arial"/>
        <family val="2"/>
      </rPr>
      <t>Nudimo Sto Therm XPS sa silikonskom završnom 2mm HBW iznad 20. Obračun prema GN 421.</t>
    </r>
    <r>
      <rPr>
        <sz val="9"/>
        <color theme="1"/>
        <rFont val="Arial"/>
        <family val="2"/>
      </rPr>
      <t xml:space="preserve">
</t>
    </r>
  </si>
  <si>
    <r>
      <rPr>
        <sz val="9"/>
        <color theme="1"/>
        <rFont val="Arial"/>
        <family val="2"/>
      </rPr>
      <t>Stavka uključuje sav potreban rad i materijal te sve potrebne pripremne radnje za izvedbu slojeva fasade. Sve izvesti prema uputama proizvođača odabranog fasadnog sustava.</t>
    </r>
    <r>
      <rPr>
        <sz val="9"/>
        <color theme="1"/>
        <rFont val="Arial"/>
        <family val="2"/>
      </rPr>
      <t xml:space="preserve">
</t>
    </r>
    <r>
      <rPr>
        <sz val="9"/>
        <color theme="1"/>
        <rFont val="Arial"/>
        <family val="2"/>
      </rPr>
      <t>Oznaka sloja: VZ5, instacijski šahtovi nadvišenje dizala</t>
    </r>
    <r>
      <rPr>
        <sz val="9"/>
        <color theme="1"/>
        <rFont val="Arial"/>
        <family val="2"/>
      </rPr>
      <t xml:space="preserve">
</t>
    </r>
    <r>
      <rPr>
        <sz val="9"/>
        <color theme="1"/>
        <rFont val="Arial"/>
        <family val="2"/>
      </rPr>
      <t>Obračun po m2 ugrađenih svih slojeva  fasade</t>
    </r>
  </si>
  <si>
    <r>
      <rPr>
        <sz val="9"/>
        <color theme="1"/>
        <rFont val="Arial"/>
        <family val="2"/>
      </rPr>
      <t xml:space="preserve">a) izolacija, </t>
    </r>
  </si>
  <si>
    <r>
      <rPr>
        <sz val="9"/>
        <color theme="1"/>
        <rFont val="Arial"/>
        <family val="2"/>
      </rPr>
      <t>b) završna žbuka</t>
    </r>
  </si>
  <si>
    <r>
      <rPr>
        <b/>
        <sz val="9"/>
        <color theme="1"/>
        <rFont val="Arial"/>
        <family val="2"/>
      </rPr>
      <t>PODGLEDI</t>
    </r>
  </si>
  <si>
    <r>
      <rPr>
        <b/>
        <sz val="9"/>
        <color theme="1"/>
        <rFont val="Arial"/>
        <family val="2"/>
      </rPr>
      <t>24</t>
    </r>
  </si>
  <si>
    <r>
      <rPr>
        <b/>
        <sz val="9"/>
        <color theme="1"/>
        <rFont val="Arial"/>
        <family val="2"/>
      </rPr>
      <t>Izvedba ETICS fasade u podgledu stropa</t>
    </r>
  </si>
  <si>
    <r>
      <rPr>
        <sz val="9"/>
        <color theme="1"/>
        <rFont val="Arial"/>
        <family val="2"/>
      </rPr>
      <t>Dobava i ugradnja svih potrebnih materijala za izvedbu ETICS fasadnog toplinsko izolacijskog sustava sa izolacijskim pločama tvrde kamene vune, d=8 cm i završnih slojeva žbuke.  Klasificirani sustav A1.</t>
    </r>
    <r>
      <rPr>
        <sz val="9"/>
        <color theme="1"/>
        <rFont val="Arial"/>
        <family val="2"/>
      </rPr>
      <t xml:space="preserve">
</t>
    </r>
    <r>
      <rPr>
        <sz val="9"/>
        <color theme="1"/>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Redoslijed izvođenja dijela fasade:</t>
    </r>
  </si>
  <si>
    <r>
      <rPr>
        <sz val="9"/>
        <color theme="1"/>
        <rFont val="Arial"/>
        <family val="2"/>
      </rPr>
      <t xml:space="preserve">Metalna potkonstrukcija unutar koje se izvodi izolacija tvrdom kamenom vunom, kaširanom i tiplanom u podgled stropa, d= 8 cm.                                                            </t>
    </r>
  </si>
  <si>
    <r>
      <rPr>
        <sz val="9"/>
        <color theme="1"/>
        <rFont val="Arial"/>
        <family val="2"/>
      </rPr>
      <t>spušteni strop od vlaknocementnih ploča, d=1,25 cm</t>
    </r>
  </si>
  <si>
    <r>
      <rPr>
        <sz val="9"/>
        <color theme="1"/>
        <rFont val="Arial"/>
        <family val="2"/>
      </rPr>
      <t>Kompletno armiranje vlaknocementnih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t>
    </r>
  </si>
  <si>
    <r>
      <rPr>
        <sz val="9"/>
        <color theme="1"/>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
    </r>
  </si>
  <si>
    <t>e)</t>
  </si>
  <si>
    <r>
      <rPr>
        <sz val="9"/>
        <color theme="1"/>
        <rFont val="Arial"/>
        <family val="2"/>
      </rPr>
      <t>Nanošenje završne  žbuke.</t>
    </r>
  </si>
  <si>
    <r>
      <rPr>
        <sz val="9"/>
        <color theme="1"/>
        <rFont val="Arial"/>
        <family val="2"/>
      </rPr>
      <t>Stavka uključuje i dodatno izoliranje oko greda.</t>
    </r>
    <r>
      <rPr>
        <sz val="9"/>
        <color theme="1"/>
        <rFont val="Arial"/>
        <family val="2"/>
      </rPr>
      <t xml:space="preserve">
</t>
    </r>
    <r>
      <rPr>
        <sz val="9"/>
        <color theme="1"/>
        <rFont val="Arial"/>
        <family val="2"/>
      </rPr>
      <t>Stavka uključuje sav potreban rad i materijal te sve potrebne pripremne radnje za izvedbu slojeva fasade. Sve izvesti prema uputama proizvođača odabranog fasadnog sustava.</t>
    </r>
    <r>
      <rPr>
        <sz val="9"/>
        <color theme="1"/>
        <rFont val="Arial"/>
        <family val="2"/>
      </rPr>
      <t xml:space="preserve">
</t>
    </r>
    <r>
      <rPr>
        <sz val="9"/>
        <color theme="1"/>
        <rFont val="Arial"/>
        <family val="2"/>
      </rPr>
      <t>Oznaka sloja:  K3, M2, trijem</t>
    </r>
    <r>
      <rPr>
        <sz val="9"/>
        <color theme="1"/>
        <rFont val="Arial"/>
        <family val="2"/>
      </rPr>
      <t xml:space="preserve">
</t>
    </r>
    <r>
      <rPr>
        <sz val="9"/>
        <color theme="1"/>
        <rFont val="Arial"/>
        <family val="2"/>
      </rPr>
      <t>Obračun po m2 ugrađenih svih slojeva  fasade</t>
    </r>
  </si>
  <si>
    <r>
      <rPr>
        <sz val="9"/>
        <color theme="1"/>
        <rFont val="Arial"/>
        <family val="2"/>
      </rPr>
      <t>a) izolacija</t>
    </r>
  </si>
  <si>
    <r>
      <rPr>
        <sz val="9"/>
        <color theme="1"/>
        <rFont val="Arial"/>
        <family val="2"/>
      </rPr>
      <t>Nudimo armiranje sa alkalno otpornom mrežicom, impregnaciju i silikonsku završnu 2mm HBW iznad 20</t>
    </r>
    <r>
      <rPr>
        <sz val="9"/>
        <color theme="1"/>
        <rFont val="Arial"/>
        <family val="2"/>
      </rPr>
      <t xml:space="preserve">
</t>
    </r>
  </si>
  <si>
    <r>
      <rPr>
        <sz val="9"/>
        <color theme="1"/>
        <rFont val="Arial"/>
        <family val="2"/>
      </rPr>
      <t>b) završna obrada</t>
    </r>
  </si>
  <si>
    <r>
      <rPr>
        <b/>
        <sz val="9"/>
        <color theme="1"/>
        <rFont val="Arial"/>
        <family val="2"/>
      </rPr>
      <t>25</t>
    </r>
  </si>
  <si>
    <r>
      <rPr>
        <b/>
        <sz val="9"/>
        <color theme="1"/>
        <rFont val="Arial"/>
        <family val="2"/>
      </rPr>
      <t>Izvedba ETICS fasade u podgledu stropa garaže</t>
    </r>
  </si>
  <si>
    <r>
      <rPr>
        <sz val="9"/>
        <color theme="1"/>
        <rFont val="Arial"/>
        <family val="2"/>
      </rPr>
      <t>Dobava i ugradnja svih potrebnih materijala za izvedbu ETICS fasadnog toplinsko izolacijskog sustava sa izolacijskim pločama tvrde kamene vune, d=8 cm i završnih slojeva žbuke.  Klasificirani sustav A1.</t>
    </r>
    <r>
      <rPr>
        <sz val="9"/>
        <color theme="1"/>
        <rFont val="Arial"/>
        <family val="2"/>
      </rPr>
      <t xml:space="preserve">
</t>
    </r>
    <r>
      <rPr>
        <sz val="9"/>
        <color theme="1"/>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Redoslijed izvođenja dijela fasade:</t>
    </r>
  </si>
  <si>
    <r>
      <rPr>
        <sz val="9"/>
        <color theme="1"/>
        <rFont val="Arial"/>
        <family val="2"/>
      </rPr>
      <t xml:space="preserve">Lijepljenje fasadnih izolacijskih ploča tvrde kamene vune d=5 cm, ploče lijepljene odgovarajućim ljepilom, brtvljene na spojevima, dodatno mehanički sidrene u podlogu u dijelu iznad hidroizolacije.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                                                            </t>
    </r>
  </si>
  <si>
    <r>
      <rPr>
        <sz val="9"/>
        <color theme="1"/>
        <rFont val="Arial"/>
        <family val="2"/>
      </rPr>
      <t>Kompletno armiranje izolacijskih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t>
    </r>
  </si>
  <si>
    <r>
      <rPr>
        <sz val="9"/>
        <color theme="1"/>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
    </r>
  </si>
  <si>
    <r>
      <rPr>
        <sz val="9"/>
        <color theme="1"/>
        <rFont val="Arial"/>
        <family val="2"/>
      </rPr>
      <t>Nanošenje završne  žbuke.</t>
    </r>
  </si>
  <si>
    <r>
      <rPr>
        <sz val="9"/>
        <color theme="1"/>
        <rFont val="Arial"/>
        <family val="2"/>
      </rPr>
      <t>Nudimo Sto Therm mineral d = 8cm sa silikonskom završnom 2mm HBW iznad 20. Obračun prema GN 421.</t>
    </r>
    <r>
      <rPr>
        <sz val="9"/>
        <color theme="1"/>
        <rFont val="Arial"/>
        <family val="2"/>
      </rPr>
      <t xml:space="preserve">
</t>
    </r>
  </si>
  <si>
    <r>
      <rPr>
        <sz val="9"/>
        <color theme="1"/>
        <rFont val="Arial"/>
        <family val="2"/>
      </rPr>
      <t>Stavka uključuje sav potreban rad i materijal te sve potrebne pripremne radnje za izvedbu slojeva fasade. Sve izvesti prema uputama proizvođača odabranog fasadnog sustava.</t>
    </r>
    <r>
      <rPr>
        <sz val="9"/>
        <color theme="1"/>
        <rFont val="Arial"/>
        <family val="2"/>
      </rPr>
      <t xml:space="preserve">
</t>
    </r>
    <r>
      <rPr>
        <sz val="9"/>
        <color theme="1"/>
        <rFont val="Arial"/>
        <family val="2"/>
      </rPr>
      <t>Oznaka sloja:  M3</t>
    </r>
    <r>
      <rPr>
        <sz val="9"/>
        <color theme="1"/>
        <rFont val="Arial"/>
        <family val="2"/>
      </rPr>
      <t xml:space="preserve">
</t>
    </r>
    <r>
      <rPr>
        <sz val="9"/>
        <color theme="1"/>
        <rFont val="Arial"/>
        <family val="2"/>
      </rPr>
      <t>Obračun po m2 ugrađenih svih slojeva  fasade</t>
    </r>
  </si>
  <si>
    <r>
      <rPr>
        <b/>
        <sz val="9"/>
        <color theme="1"/>
        <rFont val="Arial"/>
        <family val="2"/>
      </rPr>
      <t>Obrada ogradnih zidova</t>
    </r>
  </si>
  <si>
    <r>
      <rPr>
        <b/>
        <sz val="9"/>
        <color theme="1"/>
        <rFont val="Arial"/>
        <family val="2"/>
      </rPr>
      <t>26</t>
    </r>
  </si>
  <si>
    <r>
      <rPr>
        <b/>
        <sz val="9"/>
        <color theme="1"/>
        <rFont val="Arial"/>
        <family val="2"/>
      </rPr>
      <t>Obrada ogradnih zidova fasadnom žbukom</t>
    </r>
  </si>
  <si>
    <r>
      <rPr>
        <sz val="9"/>
        <color theme="1"/>
        <rFont val="Arial"/>
        <family val="2"/>
      </rPr>
      <t xml:space="preserve">Nudimo armiranje sa alkalno otpornom mrežicom, impregnaciju i silikonsku završnu 2mm HBW iznad 20 bez skele. </t>
    </r>
    <r>
      <rPr>
        <sz val="9"/>
        <color theme="1"/>
        <rFont val="Arial"/>
        <family val="2"/>
      </rPr>
      <t xml:space="preserve">
</t>
    </r>
  </si>
  <si>
    <r>
      <rPr>
        <sz val="9"/>
        <color theme="1"/>
        <rFont val="Arial"/>
        <family val="2"/>
      </rPr>
      <t>Podloga mora biti suha, čista, bez nataloženih slojeva, prljavštine, prašine ili masnoće, ravna i nosiva. Obavezna je zaštita bravarije, stolarije, klupčica i okapa.</t>
    </r>
    <r>
      <rPr>
        <sz val="9"/>
        <color theme="1"/>
        <rFont val="Arial"/>
        <family val="2"/>
      </rPr>
      <t xml:space="preserve">
</t>
    </r>
    <r>
      <rPr>
        <sz val="9"/>
        <color theme="1"/>
        <rFont val="Arial"/>
        <family val="2"/>
      </rPr>
      <t>Na podlogu nanijeti temeljni premaz, otporan na alkalije koji poboljšava prionjivost završnog sloja. Koristiti temeljni premaz kao Sto-Putzgrund na bazi disperzije s punilom i pigmentom.</t>
    </r>
    <r>
      <rPr>
        <sz val="9"/>
        <color theme="1"/>
        <rFont val="Arial"/>
        <family val="2"/>
      </rPr>
      <t xml:space="preserve">
</t>
    </r>
    <r>
      <rPr>
        <sz val="9"/>
        <color theme="1"/>
        <rFont val="Arial"/>
        <family val="2"/>
      </rPr>
      <t>Na pripremljenu podlogu nanijeti mineralnu, polimer-cementnu temeljnu žbuku, bijele boje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3-5 mm.</t>
    </r>
    <r>
      <rPr>
        <sz val="9"/>
        <color theme="1"/>
        <rFont val="Arial"/>
        <family val="2"/>
      </rPr>
      <t xml:space="preserve">
</t>
    </r>
    <r>
      <rPr>
        <sz val="9"/>
        <color theme="1"/>
        <rFont val="Arial"/>
        <family val="2"/>
      </rPr>
      <t>Obavezno dodatno ojačanje uglova otvora dijagonalno postavljenim mrežicama dimenzija 20x40 cm ili 30x50 cm.</t>
    </r>
    <r>
      <rPr>
        <sz val="9"/>
        <color theme="1"/>
        <rFont val="Arial"/>
        <family val="2"/>
      </rPr>
      <t xml:space="preserve">
</t>
    </r>
    <r>
      <rPr>
        <sz val="9"/>
        <color theme="1"/>
        <rFont val="Arial"/>
        <family val="2"/>
      </rPr>
      <t xml:space="preserve">Na podlogu nanijeti temeljni premaz, otporan na alkalije koji poboljšava prionjivost završnog sloja. Koristiti temeljni premaz kao Sto-Putzgrund na bazi disperzije s punilom i pigmentom, u tonu završnog sloja. </t>
    </r>
    <r>
      <rPr>
        <sz val="9"/>
        <color theme="1"/>
        <rFont val="Arial"/>
        <family val="2"/>
      </rPr>
      <t xml:space="preserve">
</t>
    </r>
    <r>
      <rPr>
        <sz val="9"/>
        <color theme="1"/>
        <rFont val="Arial"/>
        <family val="2"/>
      </rPr>
      <t>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t>
    </r>
    <r>
      <rPr>
        <sz val="9"/>
        <color theme="1"/>
        <rFont val="Arial"/>
        <family val="2"/>
      </rPr>
      <t xml:space="preserve">
</t>
    </r>
    <r>
      <rPr>
        <sz val="9"/>
        <color theme="1"/>
        <rFont val="Arial"/>
        <family val="2"/>
      </rPr>
      <t>Obračun po m2 zida  i m1 poklopnice.</t>
    </r>
  </si>
  <si>
    <r>
      <rPr>
        <sz val="9"/>
        <color theme="1"/>
        <rFont val="Arial"/>
        <family val="2"/>
      </rPr>
      <t>a) zid</t>
    </r>
  </si>
  <si>
    <r>
      <rPr>
        <sz val="9"/>
        <color theme="1"/>
        <rFont val="Arial"/>
        <family val="2"/>
      </rPr>
      <t>b) poklopnica rš 20-25 cm</t>
    </r>
  </si>
  <si>
    <r>
      <rPr>
        <b/>
        <sz val="9"/>
        <color theme="1"/>
        <rFont val="Arial"/>
        <family val="2"/>
      </rPr>
      <t>A.1.6.</t>
    </r>
  </si>
  <si>
    <r>
      <rPr>
        <b/>
        <sz val="9"/>
        <color theme="1"/>
        <rFont val="Arial"/>
        <family val="2"/>
      </rPr>
      <t>ZIDARSKO FASADERSKI RADOVI - ukupno:</t>
    </r>
  </si>
  <si>
    <t>eur</t>
  </si>
  <si>
    <r>
      <rPr>
        <b/>
        <sz val="9"/>
        <color theme="1"/>
        <rFont val="Arial"/>
        <family val="2"/>
      </rPr>
      <t>A.1.</t>
    </r>
  </si>
  <si>
    <r>
      <rPr>
        <b/>
        <sz val="9"/>
        <color theme="1"/>
        <rFont val="Arial"/>
        <family val="2"/>
      </rPr>
      <t>GRAĐEVINSKI RADOVI - ukupno:</t>
    </r>
  </si>
  <si>
    <r>
      <rPr>
        <b/>
        <sz val="9"/>
        <color theme="1"/>
        <rFont val="Arial"/>
        <family val="2"/>
      </rPr>
      <t>A</t>
    </r>
  </si>
  <si>
    <r>
      <rPr>
        <b/>
        <sz val="9"/>
        <color theme="1"/>
        <rFont val="Arial"/>
        <family val="2"/>
      </rPr>
      <t>TROŠKOVNIK GRAĐEVINSKIH I OBRTNIČKIH RADOVA - ukupno:</t>
    </r>
  </si>
  <si>
    <r>
      <rPr>
        <b/>
        <sz val="9"/>
        <color theme="1"/>
        <rFont val="Arial"/>
        <family val="2"/>
      </rPr>
      <t>ZGRADA 1 - ukupno:</t>
    </r>
  </si>
  <si>
    <r>
      <rPr>
        <b/>
        <sz val="9"/>
        <color theme="1"/>
        <rFont val="Arial"/>
        <family val="2"/>
      </rPr>
      <t>ZGRADA 2</t>
    </r>
  </si>
  <si>
    <r>
      <rPr>
        <b/>
        <sz val="9"/>
        <color theme="1"/>
        <rFont val="Arial"/>
        <family val="2"/>
      </rPr>
      <t>A</t>
    </r>
  </si>
  <si>
    <r>
      <rPr>
        <b/>
        <sz val="9"/>
        <color theme="1"/>
        <rFont val="Arial"/>
        <family val="2"/>
      </rPr>
      <t>TROŠKOVNIK GRAĐEVINSKIH I OBRTNIČKIH RADOVA</t>
    </r>
  </si>
  <si>
    <r>
      <rPr>
        <b/>
        <sz val="9"/>
        <color theme="1"/>
        <rFont val="Arial"/>
        <family val="2"/>
      </rPr>
      <t>A.1.</t>
    </r>
  </si>
  <si>
    <r>
      <rPr>
        <b/>
        <sz val="9"/>
        <color theme="1"/>
        <rFont val="Arial"/>
        <family val="2"/>
      </rPr>
      <t>GRAĐEVINSKI RADOVI</t>
    </r>
  </si>
  <si>
    <r>
      <rPr>
        <b/>
        <sz val="9"/>
        <color theme="1"/>
        <rFont val="Arial"/>
        <family val="2"/>
      </rPr>
      <t>A.1.6.</t>
    </r>
  </si>
  <si>
    <r>
      <rPr>
        <b/>
        <sz val="9"/>
        <color theme="1"/>
        <rFont val="Arial"/>
        <family val="2"/>
      </rPr>
      <t>ZIDARSKO FASADERSKI RADOVI</t>
    </r>
  </si>
  <si>
    <r>
      <rPr>
        <b/>
        <sz val="9"/>
        <color theme="1"/>
        <rFont val="Arial"/>
        <family val="2"/>
      </rPr>
      <t>Fasadne obloge</t>
    </r>
  </si>
  <si>
    <r>
      <rPr>
        <b/>
        <sz val="9"/>
        <color theme="1"/>
        <rFont val="Arial"/>
        <family val="2"/>
      </rPr>
      <t>Posebni uvjeti za fasadne obloge :</t>
    </r>
  </si>
  <si>
    <r>
      <rPr>
        <b/>
        <sz val="9"/>
        <color theme="1"/>
        <rFont val="Arial"/>
        <family val="2"/>
      </rPr>
      <t>/a</t>
    </r>
  </si>
  <si>
    <r>
      <rPr>
        <sz val="9"/>
        <color theme="1"/>
        <rFont val="Arial"/>
        <family val="2"/>
      </rPr>
      <t xml:space="preserve">Sve vidljive površine toplinsko-izolacijskih materijala te donje i gornje završetke na kojima nisu ugrađeni prikladni profili, potrebno je obraditi armaturnim slojem i završnom žbukom te na taj način zaštititi od izravnog prodora vlage, oštećenja koja mogu uzrokovati insekti, glodavci i sl., kao i od izravnog plamena u slučaju požara. </t>
    </r>
    <r>
      <rPr>
        <sz val="9"/>
        <color theme="1"/>
        <rFont val="Arial"/>
        <family val="2"/>
      </rPr>
      <t xml:space="preserve">
</t>
    </r>
  </si>
  <si>
    <r>
      <rPr>
        <b/>
        <sz val="9"/>
        <color theme="1"/>
        <rFont val="Arial"/>
        <family val="2"/>
      </rPr>
      <t>/b</t>
    </r>
  </si>
  <si>
    <r>
      <rPr>
        <sz val="9"/>
        <color theme="1"/>
        <rFont val="Arial"/>
        <family val="2"/>
      </rPr>
      <t xml:space="preserve">Naknadno izravnavanje izvedenog fasadnog sustava nije dozvoljeno. </t>
    </r>
  </si>
  <si>
    <r>
      <rPr>
        <b/>
        <sz val="9"/>
        <color theme="1"/>
        <rFont val="Arial"/>
        <family val="2"/>
      </rPr>
      <t>/c</t>
    </r>
  </si>
  <si>
    <r>
      <rPr>
        <sz val="9"/>
        <color theme="1"/>
        <rFont val="Arial"/>
        <family val="2"/>
      </rPr>
      <t>Sve spojeve kao i sve prodore  potrebno je izvesti odgovarajućim priključnim profilima ili brtvenim trakama kako bi sustav bio zaštićen od prodora vlage.</t>
    </r>
  </si>
  <si>
    <r>
      <rPr>
        <sz val="9"/>
        <color theme="1"/>
        <rFont val="Arial"/>
        <family val="2"/>
      </rPr>
      <t>Obračun:</t>
    </r>
    <r>
      <rPr>
        <sz val="9"/>
        <color theme="1"/>
        <rFont val="Arial"/>
        <family val="2"/>
      </rPr>
      <t xml:space="preserve">
</t>
    </r>
    <r>
      <rPr>
        <sz val="9"/>
        <color theme="1"/>
        <rFont val="Arial"/>
        <family val="2"/>
      </rPr>
      <t>Otvori veličine do 3,0 m2 ne odbijaju se i njihove se uložine ne obračunavaju</t>
    </r>
    <r>
      <rPr>
        <sz val="9"/>
        <color theme="1"/>
        <rFont val="Arial"/>
        <family val="2"/>
      </rPr>
      <t xml:space="preserve">
</t>
    </r>
    <r>
      <rPr>
        <sz val="9"/>
        <color theme="1"/>
        <rFont val="Arial"/>
        <family val="2"/>
      </rPr>
      <t>Kod otvora veličine 3,0 - 5,0 m2 odbija se površina preko 3,0 m2, a uložine se ne obračunavaju posebno</t>
    </r>
    <r>
      <rPr>
        <sz val="9"/>
        <color theme="1"/>
        <rFont val="Arial"/>
        <family val="2"/>
      </rPr>
      <t xml:space="preserve">
</t>
    </r>
    <r>
      <rPr>
        <sz val="9"/>
        <color theme="1"/>
        <rFont val="Arial"/>
        <family val="2"/>
      </rPr>
      <t>Kod otvora veličine preko 5,0 m2 odbija se površina preko 3,0 m2, a uložine se obračunavaju posebno</t>
    </r>
    <r>
      <rPr>
        <sz val="9"/>
        <color theme="1"/>
        <rFont val="Arial"/>
        <family val="2"/>
      </rPr>
      <t xml:space="preserve">
</t>
    </r>
    <r>
      <rPr>
        <sz val="9"/>
        <color theme="1"/>
        <rFont val="Arial"/>
        <family val="2"/>
      </rPr>
      <t>Razvijene površine do 12 cm, za 1,00 m računa se 0,35 m2</t>
    </r>
    <r>
      <rPr>
        <sz val="9"/>
        <color theme="1"/>
        <rFont val="Arial"/>
        <family val="2"/>
      </rPr>
      <t xml:space="preserve">
</t>
    </r>
    <r>
      <rPr>
        <sz val="9"/>
        <color theme="1"/>
        <rFont val="Arial"/>
        <family val="2"/>
      </rPr>
      <t>Razvijene površine od 12 do 18 cm, za 1,00 m računa se 0,50 m2</t>
    </r>
    <r>
      <rPr>
        <sz val="9"/>
        <color theme="1"/>
        <rFont val="Arial"/>
        <family val="2"/>
      </rPr>
      <t xml:space="preserve">
</t>
    </r>
    <r>
      <rPr>
        <sz val="9"/>
        <color theme="1"/>
        <rFont val="Arial"/>
        <family val="2"/>
      </rPr>
      <t>Razvijene površine od 18 do 25 cm, za 1,00 m računa se 0,75 m2</t>
    </r>
    <r>
      <rPr>
        <sz val="9"/>
        <color theme="1"/>
        <rFont val="Arial"/>
        <family val="2"/>
      </rPr>
      <t xml:space="preserve">
</t>
    </r>
    <r>
      <rPr>
        <sz val="9"/>
        <color theme="1"/>
        <rFont val="Arial"/>
        <family val="2"/>
      </rPr>
      <t>Razvijene površine od 25 do 50 cm, za 1,00 m računa se 1,00 m2</t>
    </r>
    <r>
      <rPr>
        <sz val="9"/>
        <color theme="1"/>
        <rFont val="Arial"/>
        <family val="2"/>
      </rPr>
      <t xml:space="preserve">
</t>
    </r>
    <r>
      <rPr>
        <sz val="9"/>
        <color theme="1"/>
        <rFont val="Arial"/>
        <family val="2"/>
      </rPr>
      <t>Razvijene površine od 50 do 75 cm, za 1,00 m računa se 1,25 m2</t>
    </r>
    <r>
      <rPr>
        <sz val="9"/>
        <color theme="1"/>
        <rFont val="Arial"/>
        <family val="2"/>
      </rPr>
      <t xml:space="preserve">
</t>
    </r>
    <r>
      <rPr>
        <sz val="9"/>
        <color theme="1"/>
        <rFont val="Arial"/>
        <family val="2"/>
      </rPr>
      <t>Razvijene površine od 75 do 100 cm, za 1,00 m računa se 1,50 m2</t>
    </r>
    <r>
      <rPr>
        <sz val="9"/>
        <color theme="1"/>
        <rFont val="Arial"/>
        <family val="2"/>
      </rPr>
      <t xml:space="preserve">
</t>
    </r>
    <r>
      <rPr>
        <sz val="9"/>
        <color theme="1"/>
        <rFont val="Arial"/>
        <family val="2"/>
      </rPr>
      <t>Razvijene površine od 100 do 125 cm, za 1,00 m računa se 1,75 m2</t>
    </r>
    <r>
      <rPr>
        <sz val="9"/>
        <color theme="1"/>
        <rFont val="Arial"/>
        <family val="2"/>
      </rPr>
      <t xml:space="preserve">
</t>
    </r>
    <r>
      <rPr>
        <sz val="9"/>
        <color theme="1"/>
        <rFont val="Arial"/>
        <family val="2"/>
      </rPr>
      <t>Razvijene površine od 125 do 150 cm, za 1,00 m računa se 2,00 m2</t>
    </r>
    <r>
      <rPr>
        <sz val="9"/>
        <color theme="1"/>
        <rFont val="Arial"/>
        <family val="2"/>
      </rPr>
      <t xml:space="preserve">
</t>
    </r>
  </si>
  <si>
    <r>
      <rPr>
        <b/>
        <sz val="9"/>
        <color theme="1"/>
        <rFont val="Arial"/>
        <family val="2"/>
      </rPr>
      <t>14</t>
    </r>
  </si>
  <si>
    <r>
      <rPr>
        <b/>
        <sz val="9"/>
        <color theme="1"/>
        <rFont val="Arial"/>
        <family val="2"/>
      </rPr>
      <t>Izvedba StoTherm Mineral 1</t>
    </r>
  </si>
  <si>
    <r>
      <rPr>
        <sz val="9"/>
        <color theme="1"/>
        <rFont val="Arial"/>
        <family val="2"/>
      </rPr>
      <t>Dobava i izrada visokovrijednog, certificiranog toplinsko-izolacijskog fasadnog sustava kao StoTherm Mineral 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i pigmentom.
Termoizolacija vanjskih zidova pločama od mineralne vune kao KI FKD-S Thermal koeficijent toplinske provodljivosti 0,035 W/mK, koeficijent otpora difuziji vodene pare 1.
Ploče lijepiti na suhu nosivu podlogu, nanošenjem bijelog, mineralnog ljepila  visoke difuzivnosti (µ&lt;</t>
    </r>
    <r>
      <rPr>
        <sz val="9"/>
        <color theme="1"/>
        <rFont val="Arial"/>
        <family val="2"/>
      </rPr>
      <t xml:space="preserve"> 35) kao StoLevell Uni na rubove ploče i točkasto u sredini (min. 40 %), čvrsto zbijanje rubova.                                                            
Nakon odgovarajućeg stvrdnjavanja morta za lijepljenje izbušiti rupe u nosivoj AB podlozi i postaviti pričvrsnice s pocinčanim čeličnim vijkom kao ejotherm H1 eco tako da ispod svake pričvrsnice bude sloj ljepila. Duljina sidrenja u nosivoj betonskoj podlozi min. 35 mm. Pričvrsnice postavljati prema ''W shemi''. Način bušenja prilagoditi podlozi. Broj pričvrsnica ovisno o statičkom proračunu, geometriji objekta, opterećenju vjetrom i kategoriji terena (min. 6 kom/m2).
Armaturnu mrežicu od staklenih vlakana, otpornu na lužine kao StoGlasfasergewebe F postaviti u temeljnu žbuku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5 mm.
Obavezno dodatno ojačanje uglova otvora dijagonalno postavljenim mrežicama dimenzija 20x40 cm ili 30x50 cm.
Na podlogu nanijeti temeljni premaz, otporan na alkalije koji poboljšava prionjivost završnog sloja. Koristiti temeljni premaz kao Sto-Putzgrund na bazi disperzije s punilom i pigmentom, u tonu završnog sloja. </t>
    </r>
  </si>
  <si>
    <r>
      <rPr>
        <sz val="9"/>
        <color theme="1"/>
        <rFont val="Arial"/>
        <family val="2"/>
      </rPr>
      <t>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t>
    </r>
  </si>
  <si>
    <r>
      <rPr>
        <sz val="9"/>
        <color theme="1"/>
        <rFont val="Arial"/>
        <family val="2"/>
      </rPr>
      <t>Nudimo Sto Therm mineral sa Superlit završnom. Obračun prema GN 421.</t>
    </r>
    <r>
      <rPr>
        <sz val="9"/>
        <color theme="1"/>
        <rFont val="Arial"/>
        <family val="2"/>
      </rPr>
      <t xml:space="preserve">
</t>
    </r>
  </si>
  <si>
    <r>
      <rPr>
        <sz val="9"/>
        <color theme="1"/>
        <rFont val="Arial"/>
        <family val="2"/>
      </rPr>
      <t xml:space="preserve">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t>
    </r>
    <r>
      <rPr>
        <sz val="9"/>
        <color theme="1"/>
        <rFont val="Arial"/>
        <family val="2"/>
      </rPr>
      <t xml:space="preserve">
</t>
    </r>
    <r>
      <rPr>
        <sz val="9"/>
        <color theme="1"/>
        <rFont val="Arial"/>
        <family val="2"/>
      </rPr>
      <t>Oznaka sloja: VZ3, VZ6</t>
    </r>
    <r>
      <rPr>
        <sz val="9"/>
        <color theme="1"/>
        <rFont val="Arial"/>
        <family val="2"/>
      </rPr>
      <t xml:space="preserve">
</t>
    </r>
    <r>
      <rPr>
        <sz val="9"/>
        <color theme="1"/>
        <rFont val="Arial"/>
        <family val="2"/>
      </rPr>
      <t>Obračun po m2 ugrađenih svih slojeva  fasade</t>
    </r>
  </si>
  <si>
    <r>
      <rPr>
        <sz val="9"/>
        <color theme="1"/>
        <rFont val="Arial"/>
        <family val="2"/>
      </rPr>
      <t>a) izolacija 14 cm</t>
    </r>
  </si>
  <si>
    <r>
      <rPr>
        <sz val="9"/>
        <color theme="1"/>
        <rFont val="Arial"/>
        <family val="2"/>
      </rPr>
      <t>b) fasadna obloga</t>
    </r>
  </si>
  <si>
    <r>
      <rPr>
        <sz val="9"/>
        <color theme="1"/>
        <rFont val="Arial"/>
        <family val="2"/>
      </rPr>
      <t>c) izolacija 5 cm</t>
    </r>
  </si>
  <si>
    <r>
      <rPr>
        <sz val="9"/>
        <color theme="1"/>
        <rFont val="Arial"/>
        <family val="2"/>
      </rPr>
      <t>d)  fasadna obloga</t>
    </r>
  </si>
  <si>
    <r>
      <rPr>
        <b/>
        <sz val="9"/>
        <color theme="1"/>
        <rFont val="Arial"/>
        <family val="2"/>
      </rPr>
      <t>17</t>
    </r>
  </si>
  <si>
    <r>
      <rPr>
        <b/>
        <sz val="9"/>
        <color theme="1"/>
        <rFont val="Arial"/>
        <family val="2"/>
      </rPr>
      <t>Izvedba sokla StoTherm Mineral 1</t>
    </r>
  </si>
  <si>
    <r>
      <rPr>
        <sz val="9"/>
        <color theme="1"/>
        <rFont val="Arial"/>
        <family val="2"/>
      </rPr>
      <t>Dobava i izrada visokovrijednog, certificiranog toplinsko-izolacijskog fasadnog sustava kao StoTherm Mineral 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i pigmentom.
Termoizolacija vanjskih zidova pločama od ekstrudiranog polistirena kao KI FKD-S Thermal koeficijent toplinske provodljivosti 0,035 W/mK, koeficijent otpora difuziji vodene pare 1.             
Ploče lijepiti na suhu nosivu podlogu, nanošenjem bijelog, mineralnog ljepila  visoke difuzivnosti (µ&lt;</t>
    </r>
    <r>
      <rPr>
        <sz val="9"/>
        <color theme="1"/>
        <rFont val="Arial"/>
        <family val="2"/>
      </rPr>
      <t xml:space="preserve"> 35) kao StoLevell Uni na rubove ploče i točkasto u sredini (min. 40 %), čvrsto zbijanje rubova.
Nakon odgovarajućeg stvrdnjavanja morta za lijepljenje izbušiti rupe u nosivoj AB podlozi i postaviti pričvrsnice s pocinčanim čeličnim vijkom kao ejotherm H1 eco tako da ispod svake pričvrsnice bude sloj ljepila. Duljina sidrenja u nosivoj betonskoj podlozi min. 35 mm. Pričvrsnice postavljati prema ''W shemi''. Način bušenja prilagoditi podlozi. Broj pričvrsnica ovisno o statičkom proračunu, geometriji objekta, opterećenju vjetrom i kategoriji terena (min. 6 kom/m2).                                                                 
Armaturnu mrežicu od staklenih vlakana, otpornu na lužine kao StoGlasfasergewebe F postaviti u temeljnu žbuku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5 mm.
Obavezno dodatno ojačanje uglova otvora dijagonalno postavljenim mrežicama dimenzija 20x40 cm ili 30x50 cm.
Na podlogu nanijeti temeljni premaz, otporan na alkalije koji poboljšava prionjivost završnog sloja. Koristiti temeljni premaz kao Sto-Putzgrund na bazi disperzije s punilom i pigmentom, u tonu završnog sloja. </t>
    </r>
  </si>
  <si>
    <r>
      <rPr>
        <sz val="9"/>
        <color theme="1"/>
        <rFont val="Arial"/>
        <family val="2"/>
      </rPr>
      <t xml:space="preserve">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
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t>
    </r>
  </si>
  <si>
    <r>
      <rPr>
        <sz val="9"/>
        <color theme="1"/>
        <rFont val="Arial"/>
        <family val="2"/>
      </rPr>
      <t>Nudimo Sto Therm XPS sa Superlit završnom. Obračun prema GN 421.</t>
    </r>
    <r>
      <rPr>
        <sz val="9"/>
        <color theme="1"/>
        <rFont val="Arial"/>
        <family val="2"/>
      </rPr>
      <t xml:space="preserve">
</t>
    </r>
  </si>
  <si>
    <r>
      <rPr>
        <sz val="9"/>
        <color theme="1"/>
        <rFont val="Arial"/>
        <family val="2"/>
      </rPr>
      <t>Oznaka sloja: VZ3, VZ6</t>
    </r>
    <r>
      <rPr>
        <sz val="9"/>
        <color theme="1"/>
        <rFont val="Arial"/>
        <family val="2"/>
      </rPr>
      <t xml:space="preserve">
</t>
    </r>
    <r>
      <rPr>
        <sz val="9"/>
        <color theme="1"/>
        <rFont val="Arial"/>
        <family val="2"/>
      </rPr>
      <t>Obračun po m2 ugrađenih svih slojeva  fasade</t>
    </r>
  </si>
  <si>
    <r>
      <rPr>
        <sz val="9"/>
        <color theme="1"/>
        <rFont val="Arial"/>
        <family val="2"/>
      </rPr>
      <t>a) izolacija XPS 14 cm</t>
    </r>
  </si>
  <si>
    <r>
      <rPr>
        <sz val="9"/>
        <color theme="1"/>
        <rFont val="Arial"/>
        <family val="2"/>
      </rPr>
      <t>b) fasadna obloga</t>
    </r>
  </si>
  <si>
    <r>
      <rPr>
        <sz val="9"/>
        <color theme="1"/>
        <rFont val="Arial"/>
        <family val="2"/>
      </rPr>
      <t>c) izolacija XPS 5 cm</t>
    </r>
  </si>
  <si>
    <r>
      <rPr>
        <sz val="9"/>
        <color theme="1"/>
        <rFont val="Arial"/>
        <family val="2"/>
      </rPr>
      <t>d) fasadna obloga</t>
    </r>
  </si>
  <si>
    <r>
      <rPr>
        <b/>
        <sz val="9"/>
        <color theme="1"/>
        <rFont val="Arial"/>
        <family val="2"/>
      </rPr>
      <t>20</t>
    </r>
  </si>
  <si>
    <r>
      <rPr>
        <b/>
        <sz val="9"/>
        <color theme="1"/>
        <rFont val="Arial"/>
        <family val="2"/>
      </rPr>
      <t>Izvedba fasadnog sustava sa završnom oblogom od klinker opeke</t>
    </r>
    <r>
      <rPr>
        <sz val="9"/>
        <color theme="1"/>
        <rFont val="Arial"/>
        <family val="2"/>
      </rPr>
      <t xml:space="preserve"> </t>
    </r>
    <r>
      <rPr>
        <sz val="9"/>
        <color theme="1"/>
        <rFont val="Arial"/>
        <family val="2"/>
      </rPr>
      <t xml:space="preserve">
</t>
    </r>
    <r>
      <rPr>
        <sz val="9"/>
        <color theme="1"/>
        <rFont val="Arial"/>
        <family val="2"/>
      </rPr>
      <t>U cijeni Baumit Ceramic sustav.</t>
    </r>
    <r>
      <rPr>
        <sz val="9"/>
        <color theme="1"/>
        <rFont val="Arial"/>
        <family val="2"/>
      </rPr>
      <t xml:space="preserve">
</t>
    </r>
  </si>
  <si>
    <r>
      <rPr>
        <sz val="9"/>
        <color theme="1"/>
        <rFont val="Arial"/>
        <family val="2"/>
      </rPr>
      <t>Dobava i ugradnja svih potrebnih materijala za izvedbu fasadnog sustava sa izolacijskim pločama tvrde kamene vune, d= 15 cm, sa završnom oblogom od klinker opeke.
Dobava i izrada visokovrijednog, certificiranog toplinsko-izolacijskog fasadnog sustava kao StoTherm Cladding 1 sa završnom klinker oblogom.  Sustav zadovoljava razred reakcije na požar A2, s1-d0 prema HRN EN 13501-1.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Termoizolacija vanjskih zidova pločama od mineralne vune kao KI FKD-S Thermal koeficijent toplinske provodljivosti 0,035 W/mK, koeficijent otpora difuziji vodene pare 1..                                                                
Ploče lijepiti na suhu nosivu podlogu, nanošenjem bijelog, mineralnog ljepila  visoke difuzivnosti (µ&lt;</t>
    </r>
    <r>
      <rPr>
        <sz val="9"/>
        <color theme="1"/>
        <rFont val="Arial"/>
        <family val="2"/>
      </rPr>
      <t xml:space="preserve"> 35) kao StoLevell Uni na rubove ploče i točkasto u sredini (min. 60 %), čvrsto zbijanje rubova.
Armaturnu mrežicu od staklenih vlakana, otpornu na lužine kao Sto-Glasfasergewebe G postaviti u polimer-cementnu, bijelu, temeljnu žbuku kao StoLevell Uni. Temeljna žbuka nanosi se nazubljenim gleterom u 2 sloja. Nakon nanosa 1. sloja temeljne žbuke, postaviti fasadnu mrežicu kao Sto-Glasfasergewebe G. Mrežica mora biti postavljena u gornju trećinu ukupne debljine sloja temeljne žbuke. Preklapanje armaturne mrežice 10 cm. Ukupna debljina sloja temeljne žbuke 5 mm.
Obavezno dodatno ojačanje uglova otvora dijagonalno postavljenim mrežicama dimenzija 20x40 cm ili 30x50 cm.</t>
    </r>
  </si>
  <si>
    <r>
      <rPr>
        <sz val="9"/>
        <color theme="1"/>
        <rFont val="Arial"/>
        <family val="2"/>
      </rPr>
      <t xml:space="preserve">Nakon odgovarajućeg stvrdnjavanja morta za lijepljenje izbušiti rupe dubine 35 mm (u nosivoj podlozi) i postaviti pričvrsnice s pocinčanim čeličnim vijkom kao ejotherm STR U 2G kroz armaturnu mrežicu tako da ispod svake pričvrsnice bude sloj ljepila. Duljina sidrenja u nosivoj betonskoj podlozi min. 25 mm. Pričvrsnice postavljati prema ''W shemi'.  Način bušenja prilagoditi podlozi. Broj pričvrsnica prema proračunu (min. 6 kom/m2).
Na očvrslu temeljnu žbuku nanijeti mineralno, fleksibilno ljepilo kao StoColl  KM u postupku floating-buttering. Ljepilo je otporno na smrzavanje i ostale vremenske utjecaje. Potrošnja 3,50 - 4,50 kg/m2
U svježe ljepilo utisnuti pločice od klinker opeke kao StoBrick 425. Dimenzije pločica 240mm x 71mm x 14 mm. Širina fuge 10 do 14 mm. Za fugiranje se koristi mineralni mort kao StoColl FM-K. Fugiranje izvesti utiskivanjem. Pločice se dostavljaju i postavljaju u  boji prema odabiru projektanta koji ujedno određuje i boju mase za fugiranje. Odabir pločica i mase za fugiranje određuje se na licu mjesta prema potvrđenom uzorku. Uzorak potvrđuje projektant svojim potpisom. Elastične spojnice (fuge) se moraju izvesti na spoju različitih građevinskih materijala, kutevima i u poljima maksimalnih dimenzija 5 x 5 m. Elastične spojnice se izvode prema konstrukcijskom detalju proizvođača sustava. 
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Oznaka sloja: VZ1, VZ4
Obračun po m2 ugrađenih svih slojeva  fasade
U cijeni Baumit Ceramic sustav.
</t>
    </r>
  </si>
  <si>
    <r>
      <rPr>
        <sz val="9"/>
        <color theme="1"/>
        <rFont val="Arial"/>
        <family val="2"/>
      </rPr>
      <t>a)kutni elementi</t>
    </r>
  </si>
  <si>
    <r>
      <rPr>
        <sz val="9"/>
        <color theme="1"/>
        <rFont val="Arial"/>
        <family val="2"/>
      </rPr>
      <t>b) izolacija</t>
    </r>
  </si>
  <si>
    <r>
      <rPr>
        <sz val="9"/>
        <color theme="1"/>
        <rFont val="Arial"/>
        <family val="2"/>
      </rPr>
      <t>d) obloga</t>
    </r>
  </si>
  <si>
    <r>
      <rPr>
        <b/>
        <sz val="9"/>
        <color theme="1"/>
        <rFont val="Arial"/>
        <family val="2"/>
      </rPr>
      <t>21</t>
    </r>
  </si>
  <si>
    <r>
      <rPr>
        <b/>
        <sz val="9"/>
        <color theme="1"/>
        <rFont val="Arial"/>
        <family val="2"/>
      </rPr>
      <t>Izvedba sokla fasadnog sustava sa završnom oblogom od klinker opeke</t>
    </r>
  </si>
  <si>
    <r>
      <rPr>
        <sz val="9"/>
        <color theme="1"/>
        <rFont val="Arial"/>
        <family val="2"/>
      </rPr>
      <t>Nakon odgovarajućeg stvrdnjavanja morta za lijepljenje izbušiti rupe dubine 35 mm (u nosivoj podlozi) i postaviti pričvrsnice s pocinčanim čeličnim vijkom kao ejotherm STR U 2G kroz armaturnu mrežicu tako da ispod svake pričvrsnice bude sloj ljepila. Duljina sidrenja u nosivoj betonskoj podlozi min. 25 mm. Pričvrsnice postavljati prema ''W shemi'.  Način bušenja prilagoditi podlozi. Broj pričvrsnica prema proračunu (min. 6 kom/m2).</t>
    </r>
  </si>
  <si>
    <r>
      <rPr>
        <sz val="9"/>
        <color theme="1"/>
        <rFont val="Arial"/>
        <family val="2"/>
      </rPr>
      <t xml:space="preserve">Na očvrslu temeljnu žbuku nanijeti mineralno, fleksibilno ljepilo kao StoColl  KM u postupku floating-buttering. Ljepilo je otporno na smrzavanje i ostale vremenske utjecaje. Potrošnja 3,50 - 4,50 kg/m2
U svježe ljepilo utisnuti pločice od klinker opeke kao StoBrick 425. Dimenzije pločica 240mm x 71mm x 14 mm. Širina fuge 10 do 14 mm. Za fugiranje se koristi mineralni mort kao StoColl FM-K. Fugiranje izvesti utiskivanjem. Pločice se dostavljaju i postavljaju u  boji prema odabiru projektanta koji ujedno određuje i boju mase za fugiranje. Odabir pločica i mase za fugiranje određuje se na licu mjesta prema potvrđenom uzorku. Uzorak potvrđuje projektant svojim potpisom. Elastične spojnice (fuge) se moraju izvesti na spoju različitih građevinskih materijala, kutevima i u poljima maksimalnih dimenzija 5 x 5 m. Elastične spojnice se izvode prema konstrukcijskom detalju proizvođača sustava. 
U cijenu uključiti dobavu i postavu svih pripadajućih profila i to okapnog profila kao Sto-Tropfkantenprofil, priključnog profila na sudaru fasade sa stolarskim stavkama kao Sto-Anputzleiste, brtvene trake na spoju različitih građevinskih materijala kao Sto-Fugendichtband, kutnog profila s integriranom mrežicom od staklenih vlakana kao Sto-Gewebewinkel, po potrebi profila za izvedbu dilatacija kao Sto-Dehnfugenprofil Typ E ili Typ V, profil na spoju s okapnim limom kao Sto-Atikaanschlussprofil. 
Oznaka sloja: VZ1
Obračun po m2 ugrađenih svih slojeva  fasade
U cijeni Baumit Ceramic sustav.
</t>
    </r>
  </si>
  <si>
    <r>
      <rPr>
        <sz val="9"/>
        <color theme="1"/>
        <rFont val="Arial"/>
        <family val="2"/>
      </rPr>
      <t>a) izolacija</t>
    </r>
  </si>
  <si>
    <r>
      <rPr>
        <sz val="9"/>
        <color theme="1"/>
        <rFont val="Arial"/>
        <family val="2"/>
      </rPr>
      <t>b) obloga</t>
    </r>
  </si>
  <si>
    <r>
      <rPr>
        <b/>
        <sz val="9"/>
        <color theme="1"/>
        <rFont val="Arial"/>
        <family val="2"/>
      </rPr>
      <t>ETISC</t>
    </r>
  </si>
  <si>
    <r>
      <rPr>
        <b/>
        <sz val="9"/>
        <color theme="1"/>
        <rFont val="Arial"/>
        <family val="2"/>
      </rPr>
      <t>22</t>
    </r>
  </si>
  <si>
    <r>
      <rPr>
        <b/>
        <sz val="9"/>
        <color theme="1"/>
        <rFont val="Arial"/>
        <family val="2"/>
      </rPr>
      <t>Izvedba ETISC fasadnog sustava sa završnom žbukom- instalacijsi šahtovi i atika krova</t>
    </r>
  </si>
  <si>
    <r>
      <rPr>
        <sz val="9"/>
        <color theme="1"/>
        <rFont val="Arial"/>
        <family val="2"/>
      </rPr>
      <t>Dobava i ugradnja svih potrebnih materijala za izvedbu etisc fasadnog sustava sa izolacijskim pločama tvrde kamene vune, d= 5 cm sa završnom obradom žbukom na bazi silikata.  Klasificirani sustav A1.</t>
    </r>
    <r>
      <rPr>
        <sz val="9"/>
        <color theme="1"/>
        <rFont val="Arial"/>
        <family val="2"/>
      </rPr>
      <t xml:space="preserve">
</t>
    </r>
    <r>
      <rPr>
        <sz val="9"/>
        <color theme="1"/>
        <rFont val="Arial"/>
        <family val="2"/>
      </rPr>
      <t xml:space="preserve">Cijena stavke uključuje dobavu i postavu svih elemenata i komponenti do potpune gotovosti i vodonepropusnosti sustava. Prije izvođenja dužnost je izvođača i obračunato je u stavci pripremiti i po potrebi očistiti podlogu, provjeriti stanje i nosivost podloge, ukloniti sve nenosive dijelove, ukloniti sve masnoće i tvari koje razdvajaju. </t>
    </r>
    <r>
      <rPr>
        <sz val="9"/>
        <color theme="1"/>
        <rFont val="Arial"/>
        <family val="2"/>
      </rPr>
      <t xml:space="preserve">
</t>
    </r>
    <r>
      <rPr>
        <sz val="9"/>
        <color theme="1"/>
        <rFont val="Arial"/>
        <family val="2"/>
      </rPr>
      <t xml:space="preserve">Stavka uključuje slojeve sustava: </t>
    </r>
  </si>
  <si>
    <r>
      <rPr>
        <sz val="9"/>
        <color theme="1"/>
        <rFont val="Arial"/>
        <family val="2"/>
      </rPr>
      <t xml:space="preserve">Ploče tvrde kamene vune d= 5 cm, ploče lijepljene odgovarajućim ljepilom, brtvljene na spojevima, dodatno mehanički sidrene u podlogu.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t>
    </r>
  </si>
  <si>
    <r>
      <rPr>
        <sz val="9"/>
        <color theme="1"/>
        <rFont val="Arial"/>
        <family val="2"/>
      </rPr>
      <t xml:space="preserve">Kompletno armiranje izolacijskih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                                                             </t>
    </r>
    <r>
      <rPr>
        <sz val="9"/>
        <color theme="1"/>
        <rFont val="Arial"/>
        <family val="2"/>
      </rPr>
      <t xml:space="preserve">
</t>
    </r>
  </si>
  <si>
    <r>
      <rPr>
        <sz val="9"/>
        <color theme="1"/>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Toniranti u nijansu prema završnoj strukturnoj žbuci. </t>
    </r>
  </si>
  <si>
    <r>
      <rPr>
        <sz val="9"/>
        <color theme="1"/>
        <rFont val="Arial"/>
        <family val="2"/>
      </rPr>
      <t>Nanošenje završne žbuke na bazi silikata</t>
    </r>
  </si>
  <si>
    <r>
      <rPr>
        <sz val="9"/>
        <color theme="1"/>
        <rFont val="Arial"/>
        <family val="2"/>
      </rPr>
      <t>Nudimo Sto Therm mineral sa silikonskom završnom 2mm HBW iznad 20. Obračun prema GN 421.</t>
    </r>
    <r>
      <rPr>
        <sz val="9"/>
        <color theme="1"/>
        <rFont val="Arial"/>
        <family val="2"/>
      </rPr>
      <t xml:space="preserve">
</t>
    </r>
  </si>
  <si>
    <r>
      <rPr>
        <sz val="9"/>
        <color theme="1"/>
        <rFont val="Arial"/>
        <family val="2"/>
      </rPr>
      <t xml:space="preserve">Stavka uključuje sav potreban rad i materijal te sve potrebne pripremne radnje za izvedbu slojeva fasade, te sav spojni i  pričvrsni materijal. </t>
    </r>
    <r>
      <rPr>
        <sz val="9"/>
        <color theme="1"/>
        <rFont val="Arial"/>
        <family val="2"/>
      </rPr>
      <t xml:space="preserve">
</t>
    </r>
    <r>
      <rPr>
        <sz val="9"/>
        <color theme="1"/>
        <rFont val="Arial"/>
        <family val="2"/>
      </rPr>
      <t>Oznaka sloja: VZ5, instacijski šahtovi nadvišenje dizala</t>
    </r>
    <r>
      <rPr>
        <sz val="9"/>
        <color theme="1"/>
        <rFont val="Arial"/>
        <family val="2"/>
      </rPr>
      <t xml:space="preserve">
</t>
    </r>
    <r>
      <rPr>
        <sz val="9"/>
        <color theme="1"/>
        <rFont val="Arial"/>
        <family val="2"/>
      </rPr>
      <t>Obračun po m2 ugrađenih svih slojeva  fasade</t>
    </r>
  </si>
  <si>
    <r>
      <rPr>
        <sz val="9"/>
        <color theme="1"/>
        <rFont val="Arial"/>
        <family val="2"/>
      </rPr>
      <t>a) izolacija</t>
    </r>
  </si>
  <si>
    <r>
      <rPr>
        <sz val="9"/>
        <color theme="1"/>
        <rFont val="Arial"/>
        <family val="2"/>
      </rPr>
      <t>b) završna žbuka</t>
    </r>
  </si>
  <si>
    <r>
      <rPr>
        <b/>
        <sz val="9"/>
        <color theme="1"/>
        <rFont val="Arial"/>
        <family val="2"/>
      </rPr>
      <t>23</t>
    </r>
  </si>
  <si>
    <r>
      <rPr>
        <b/>
        <sz val="9"/>
        <color theme="1"/>
        <rFont val="Arial"/>
        <family val="2"/>
      </rPr>
      <t xml:space="preserve">Izvedba ETICS fasade - sokl </t>
    </r>
  </si>
  <si>
    <r>
      <rPr>
        <sz val="9"/>
        <color theme="1"/>
        <rFont val="Arial"/>
        <family val="2"/>
      </rPr>
      <t>Dobava i ugradnja svih potrebnih materijala za izvedbu ETICS fasadnog toplinsko izolacijskog sustava sa  izolacijskim pločama od ekstrudiranog polistirena i završnih slojeva žbuke na bazi silikata.  Klasificirani sustav A1.</t>
    </r>
    <r>
      <rPr>
        <sz val="9"/>
        <color theme="1"/>
        <rFont val="Arial"/>
        <family val="2"/>
      </rPr>
      <t xml:space="preserve">
</t>
    </r>
    <r>
      <rPr>
        <sz val="9"/>
        <color theme="1"/>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Sokl se izvodi u nastavku i ravnini sa gornjim dijelom fasade, bez vidljivog prijelaza, bez izvedbe razdvajajuće šine, sa istim armiranim i slojem završne silikonske žbuke. Redoslijed izvođenja gornjeg dijela fasade:</t>
    </r>
  </si>
  <si>
    <r>
      <rPr>
        <sz val="9"/>
        <color theme="1"/>
        <rFont val="Arial"/>
        <family val="2"/>
      </rPr>
      <t xml:space="preserve">Lijepljenje fasadnih izolacijskih ploča ekstrudiranog polistirena, d=5 cm, ploče lijepljene odgovarajućim ljepilom, brtvljene na spojevima, dodatno mehanički sidrene u podlogu u dijelu iznad hidroizolacije.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t>
    </r>
  </si>
  <si>
    <r>
      <rPr>
        <sz val="9"/>
        <color theme="1"/>
        <rFont val="Arial"/>
        <family val="2"/>
      </rPr>
      <t>Kompletno armiranje izolacijskih ploča nanošenjem polimerne cementne žbuke u dva sloja isključivo iz atestiranog sustava proizvođača fasade.                                                                                                                                                                          U mort se u svježem stanju utiskuje-staklena, alkalno otporna mrežica. Pozicija mrežice u polovini do gornje trećine debljine sloja. Debljina armirnog sloja prema uputama proizvođača odabranog sustava. Obavezno dodatno ojačanje kuteva otvora dijagonalno postavljenim mrežicama dimenzija 20×40 cm ili 30×50 cm, sve iz sustava proizvođača fasade.</t>
    </r>
  </si>
  <si>
    <r>
      <rPr>
        <sz val="9"/>
        <color theme="1"/>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Toniranti u nijansu prema završnoj strukturnoj žbuci. </t>
    </r>
  </si>
  <si>
    <r>
      <rPr>
        <sz val="9"/>
        <color theme="1"/>
        <rFont val="Arial"/>
        <family val="2"/>
      </rPr>
      <t>Nanošenje završne žbuke na bazi silikata</t>
    </r>
  </si>
  <si>
    <r>
      <rPr>
        <sz val="9"/>
        <color theme="1"/>
        <rFont val="Arial"/>
        <family val="2"/>
      </rPr>
      <t>Nudimo Sto Therm XPS sa silikonskom završnom 2mm HBW iznad 20. Obračun prema GN 421.</t>
    </r>
    <r>
      <rPr>
        <sz val="9"/>
        <color theme="1"/>
        <rFont val="Arial"/>
        <family val="2"/>
      </rPr>
      <t xml:space="preserve">
</t>
    </r>
  </si>
  <si>
    <r>
      <rPr>
        <sz val="9"/>
        <color theme="1"/>
        <rFont val="Arial"/>
        <family val="2"/>
      </rPr>
      <t>Stavka uključuje sav potreban rad i materijal te sve potrebne pripremne radnje za izvedbu slojeva fasade. Sve izvesti prema uputama proizvođača odabranog fasadnog sustava.</t>
    </r>
    <r>
      <rPr>
        <sz val="9"/>
        <color theme="1"/>
        <rFont val="Arial"/>
        <family val="2"/>
      </rPr>
      <t xml:space="preserve">
</t>
    </r>
    <r>
      <rPr>
        <sz val="9"/>
        <color theme="1"/>
        <rFont val="Arial"/>
        <family val="2"/>
      </rPr>
      <t>Oznaka sloja: VZ5, instacijski šahtovi nadvišenje dizala</t>
    </r>
    <r>
      <rPr>
        <sz val="9"/>
        <color theme="1"/>
        <rFont val="Arial"/>
        <family val="2"/>
      </rPr>
      <t xml:space="preserve">
</t>
    </r>
    <r>
      <rPr>
        <sz val="9"/>
        <color theme="1"/>
        <rFont val="Arial"/>
        <family val="2"/>
      </rPr>
      <t>Obračun po m2 ugrađenih svih slojeva  fasade</t>
    </r>
  </si>
  <si>
    <r>
      <rPr>
        <sz val="9"/>
        <color theme="1"/>
        <rFont val="Arial"/>
        <family val="2"/>
      </rPr>
      <t xml:space="preserve">a) izolacija, </t>
    </r>
  </si>
  <si>
    <r>
      <rPr>
        <sz val="9"/>
        <color theme="1"/>
        <rFont val="Arial"/>
        <family val="2"/>
      </rPr>
      <t>b) završna žbuka</t>
    </r>
  </si>
  <si>
    <r>
      <rPr>
        <b/>
        <sz val="9"/>
        <color theme="1"/>
        <rFont val="Arial"/>
        <family val="2"/>
      </rPr>
      <t>PODGLEDI</t>
    </r>
  </si>
  <si>
    <r>
      <rPr>
        <b/>
        <sz val="9"/>
        <color theme="1"/>
        <rFont val="Arial"/>
        <family val="2"/>
      </rPr>
      <t>24</t>
    </r>
  </si>
  <si>
    <r>
      <rPr>
        <b/>
        <sz val="9"/>
        <color theme="1"/>
        <rFont val="Arial"/>
        <family val="2"/>
      </rPr>
      <t>Izvedba ETICS fasade u podgledu stropa</t>
    </r>
  </si>
  <si>
    <r>
      <rPr>
        <sz val="9"/>
        <color theme="1"/>
        <rFont val="Arial"/>
        <family val="2"/>
      </rPr>
      <t>Dobava i ugradnja svih potrebnih materijala za izvedbu ETICS fasadnog toplinsko izolacijskog sustava sa izolacijskim pločama tvrde kamene vune, d=8 cm i završnih slojeva žbuke.  Klasificirani sustav A1.</t>
    </r>
    <r>
      <rPr>
        <sz val="9"/>
        <color theme="1"/>
        <rFont val="Arial"/>
        <family val="2"/>
      </rPr>
      <t xml:space="preserve">
</t>
    </r>
    <r>
      <rPr>
        <sz val="9"/>
        <color theme="1"/>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Redoslijed izvođenja dijela fasade:</t>
    </r>
  </si>
  <si>
    <r>
      <rPr>
        <sz val="9"/>
        <color theme="1"/>
        <rFont val="Arial"/>
        <family val="2"/>
      </rPr>
      <t xml:space="preserve">Metalna potkonstrukcija unutar koje se izvodi izolacija tvrdom kamenom vunom, kaširanom i tiplanom u podgled stropa, d= 8 cm.                                                            </t>
    </r>
  </si>
  <si>
    <r>
      <rPr>
        <sz val="9"/>
        <color theme="1"/>
        <rFont val="Arial"/>
        <family val="2"/>
      </rPr>
      <t>spušteni strop od vlaknocementnih ploča, d=1,25 cm</t>
    </r>
  </si>
  <si>
    <r>
      <rPr>
        <sz val="9"/>
        <color theme="1"/>
        <rFont val="Arial"/>
        <family val="2"/>
      </rPr>
      <t>Kompletno armiranje vlaknocementnih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t>
    </r>
  </si>
  <si>
    <r>
      <rPr>
        <sz val="9"/>
        <color theme="1"/>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
    </r>
  </si>
  <si>
    <r>
      <rPr>
        <sz val="9"/>
        <color theme="1"/>
        <rFont val="Arial"/>
        <family val="2"/>
      </rPr>
      <t>Nanošenje završne  žbuke.</t>
    </r>
  </si>
  <si>
    <r>
      <rPr>
        <sz val="9"/>
        <color theme="1"/>
        <rFont val="Arial"/>
        <family val="2"/>
      </rPr>
      <t>Stavka uključuje i dodatno izoliranje oko greda.</t>
    </r>
    <r>
      <rPr>
        <sz val="9"/>
        <color theme="1"/>
        <rFont val="Arial"/>
        <family val="2"/>
      </rPr>
      <t xml:space="preserve">
</t>
    </r>
    <r>
      <rPr>
        <sz val="9"/>
        <color theme="1"/>
        <rFont val="Arial"/>
        <family val="2"/>
      </rPr>
      <t>Stavka uključuje sav potreban rad i materijal te sve potrebne pripremne radnje za izvedbu slojeva fasade. Sve izvesti prema uputama proizvođača odabranog fasadnog sustava.</t>
    </r>
    <r>
      <rPr>
        <sz val="9"/>
        <color theme="1"/>
        <rFont val="Arial"/>
        <family val="2"/>
      </rPr>
      <t xml:space="preserve">
</t>
    </r>
    <r>
      <rPr>
        <sz val="9"/>
        <color theme="1"/>
        <rFont val="Arial"/>
        <family val="2"/>
      </rPr>
      <t>Oznaka sloja:  K3, M2, trijem</t>
    </r>
    <r>
      <rPr>
        <sz val="9"/>
        <color theme="1"/>
        <rFont val="Arial"/>
        <family val="2"/>
      </rPr>
      <t xml:space="preserve">
</t>
    </r>
    <r>
      <rPr>
        <sz val="9"/>
        <color theme="1"/>
        <rFont val="Arial"/>
        <family val="2"/>
      </rPr>
      <t>Obračun po m2 ugrađenih svih slojeva  fasade</t>
    </r>
  </si>
  <si>
    <r>
      <rPr>
        <sz val="9"/>
        <color theme="1"/>
        <rFont val="Arial"/>
        <family val="2"/>
      </rPr>
      <t>a) izolacija</t>
    </r>
  </si>
  <si>
    <r>
      <rPr>
        <sz val="9"/>
        <color theme="1"/>
        <rFont val="Arial"/>
        <family val="2"/>
      </rPr>
      <t>Nudimo armiranje sa alkalno otpornom mrežicom, impregnaciju i silikonsku završnu 2mm HBW iznad 20</t>
    </r>
    <r>
      <rPr>
        <sz val="9"/>
        <color theme="1"/>
        <rFont val="Arial"/>
        <family val="2"/>
      </rPr>
      <t xml:space="preserve">
</t>
    </r>
  </si>
  <si>
    <r>
      <rPr>
        <sz val="9"/>
        <color theme="1"/>
        <rFont val="Arial"/>
        <family val="2"/>
      </rPr>
      <t>b) završna obrada</t>
    </r>
  </si>
  <si>
    <r>
      <rPr>
        <b/>
        <sz val="9"/>
        <color theme="1"/>
        <rFont val="Arial"/>
        <family val="2"/>
      </rPr>
      <t>25</t>
    </r>
  </si>
  <si>
    <r>
      <rPr>
        <b/>
        <sz val="9"/>
        <color theme="1"/>
        <rFont val="Arial"/>
        <family val="2"/>
      </rPr>
      <t>Izvedba ETICS fasade u podgledu stropa garaže</t>
    </r>
  </si>
  <si>
    <r>
      <rPr>
        <sz val="9"/>
        <color theme="1"/>
        <rFont val="Arial"/>
        <family val="2"/>
      </rPr>
      <t>Dobava i ugradnja svih potrebnih materijala za izvedbu ETICS fasadnog toplinsko izolacijskog sustava sa izolacijskim pločama tvrde kamene vune, d=8 cm i završnih slojeva žbuke.  Klasificirani sustav A1.</t>
    </r>
    <r>
      <rPr>
        <sz val="9"/>
        <color theme="1"/>
        <rFont val="Arial"/>
        <family val="2"/>
      </rPr>
      <t xml:space="preserve">
</t>
    </r>
    <r>
      <rPr>
        <sz val="9"/>
        <color theme="1"/>
        <rFont val="Arial"/>
        <family val="2"/>
      </rPr>
      <t>Cijena stavke uključuje dobavu i postavu svih elemenata i komponenti sustava prema uputama proizvođača. Sve elemente fasade ponuditi u okviru atestiranog sustava proizvođača fasade. Prije izvođenja dužnost je izvođača i obračunato je u stavci pripremiti i po potrebi očistiti podlogu, provjeriti stanje i nosivost podloge, ukloniti sve nenosive dijelove, ukloniti sve masnoće i tvari koje razdvajaju. Redoslijed izvođenja dijela fasade:</t>
    </r>
  </si>
  <si>
    <r>
      <rPr>
        <sz val="9"/>
        <color theme="1"/>
        <rFont val="Arial"/>
        <family val="2"/>
      </rPr>
      <t xml:space="preserve">Lijepljenje fasadnih izolacijskih ploča tvrde kamene vune d=5 cm, ploče lijepljene odgovarajućim ljepilom, brtvljene na spojevima, dodatno mehanički sidrene u podlogu u dijelu iznad hidroizolacije. Mehaničko pričvršćivanje odgovarajućim pričvrsnicama iz atestiranog sustava proizvođača, a njihov broj po m2 površine potrebno je dokazati statičkim proračunom (u praksi min. 6 kom/m2).  Upuštene pričvrsnice zatvoriti odgovarajućim rondelama iz sustava proizvođača. Tip i duljinu pričvrsnice obavezno uskladiti sa traženom nosivosti i vrstom podloge na koju se postavljaju.     .                                                            </t>
    </r>
  </si>
  <si>
    <r>
      <rPr>
        <sz val="9"/>
        <color theme="1"/>
        <rFont val="Arial"/>
        <family val="2"/>
      </rPr>
      <t>Kompletno armiranje vlaknocementnih ploča nanošenjem armirnog sloja od svijetlog, mineralnog morta za lijepljenje i armiranje na bazi bijelog cementa, hidratiziranog vapna i visokokvalitetnog, frakcioniranog, drobljenog pješčanog vapnenca, isključivo iz atestiranog sustava proizvođača fasade.                                                                                                                                                                          U mort se u svježem stanju utiskuje tekstilno-staklena, alkalno otporna mrežica 160 g/m2, veličine otvora 4×4 mm s preklopom od minimalno 10 cm. Pozicija mrežice u polovini do gornje trećine debljine sloja. Debljina armirnog sloja min 3 mm. Obavezno dodatno ojačanje kuteva otvora dijagonalno postavljenim mrežicama dimenzija 20×40 cm ili 30×50 cm, sve iz sustava proizvođača fasade.</t>
    </r>
  </si>
  <si>
    <r>
      <rPr>
        <sz val="9"/>
        <color theme="1"/>
        <rFont val="Arial"/>
        <family val="2"/>
      </rPr>
      <t xml:space="preserve">Po izvedbi armirnog sloja nakon odgovarajućeg sušenja, a prije izvedbe završnih slojeva izvodi se temeljni premaz iz sustava proizvođača fasadnog sustava. Temeljni premaz je sredstvo za bolje prianjanje strukturne žbuke na mineralnim podlogama i fasadnim sustavima. </t>
    </r>
  </si>
  <si>
    <r>
      <rPr>
        <sz val="9"/>
        <color theme="1"/>
        <rFont val="Arial"/>
        <family val="2"/>
      </rPr>
      <t>Nanošenje završne  žbuke.</t>
    </r>
  </si>
  <si>
    <r>
      <rPr>
        <sz val="9"/>
        <color theme="1"/>
        <rFont val="Arial"/>
        <family val="2"/>
      </rPr>
      <t>Nudimo Sto Therm mineral d = 8cm sa silikonskom završnom 2mm HBW iznad 20. Obračun prema GN 421.</t>
    </r>
    <r>
      <rPr>
        <sz val="9"/>
        <color theme="1"/>
        <rFont val="Arial"/>
        <family val="2"/>
      </rPr>
      <t xml:space="preserve">
</t>
    </r>
  </si>
  <si>
    <r>
      <rPr>
        <sz val="9"/>
        <color theme="1"/>
        <rFont val="Arial"/>
        <family val="2"/>
      </rPr>
      <t>Stavka uključuje sav potreban rad i materijal te sve potrebne pripremne radnje za izvedbu slojeva fasade. Sve izvesti prema uputama proizvođača odabranog fasadnog sustava.</t>
    </r>
    <r>
      <rPr>
        <sz val="9"/>
        <color theme="1"/>
        <rFont val="Arial"/>
        <family val="2"/>
      </rPr>
      <t xml:space="preserve">
</t>
    </r>
    <r>
      <rPr>
        <sz val="9"/>
        <color theme="1"/>
        <rFont val="Arial"/>
        <family val="2"/>
      </rPr>
      <t>Oznaka sloja:  M3</t>
    </r>
    <r>
      <rPr>
        <sz val="9"/>
        <color theme="1"/>
        <rFont val="Arial"/>
        <family val="2"/>
      </rPr>
      <t xml:space="preserve">
</t>
    </r>
    <r>
      <rPr>
        <sz val="9"/>
        <color theme="1"/>
        <rFont val="Arial"/>
        <family val="2"/>
      </rPr>
      <t>Obračun po m2 ugrađenih svih slojeva  fasade</t>
    </r>
  </si>
  <si>
    <r>
      <rPr>
        <b/>
        <sz val="9"/>
        <color theme="1"/>
        <rFont val="Arial"/>
        <family val="2"/>
      </rPr>
      <t>Obrada ogradnih zidova</t>
    </r>
  </si>
  <si>
    <r>
      <rPr>
        <b/>
        <sz val="9"/>
        <color theme="1"/>
        <rFont val="Arial"/>
        <family val="2"/>
      </rPr>
      <t>26</t>
    </r>
  </si>
  <si>
    <r>
      <rPr>
        <b/>
        <sz val="9"/>
        <color theme="1"/>
        <rFont val="Arial"/>
        <family val="2"/>
      </rPr>
      <t>Obrada ogradnih zidova fasadnom žbukom</t>
    </r>
  </si>
  <si>
    <r>
      <rPr>
        <sz val="9"/>
        <color theme="1"/>
        <rFont val="Arial"/>
        <family val="2"/>
      </rPr>
      <t>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i pigmentom.                                                            
Na pripremljenu podlogu nanijeti mineralnu, polimer-cementnu temeljnu žbuku, bijele boje kao StoLevell Uni. Temeljna žbuka nanosi se nazubljenim gleterom u 2 sloja. Nakon nanosa 1. sloja temeljne žbuke, postaviti fasadnu mrežicu kao Sto-Glasfasergewebe F. Mrežica mora biti postavljena u gornju trećinu ukupne debljine sloja temeljne žbuke. Preklapanje armaturne mrežice 10 cm. Ukupna debljina sloja temeljne žbuke 3-5 mm.
Obavezno dodatno ojačanje uglova otvora dijagonalno postavljenim mrežicama dimenzija 20x40 cm ili 30x50 cm.
Na podlogu nanijeti temeljni premaz, otporan na alkalije koji poboljšava prionjivost završnog sloja. Koristiti temeljni premaz kao Sto-Putzgrund na bazi disperzije s punilom i pigmentom, u tonu završnog sloja. 
Nanijeti i strukturirati završnu žbuku od organskog kamena (šerana žbuka) kao StoSuperlit K 1,5. Završna žbuka se odlikuje velikom propusnosti vodene pare te ne sadrži zaštitni konzervirajući film već na prirodan način usporava razvoj algi i gljivica na fasadnoj površini. Ton prema izboru projektanta i StoSuperlit kolekcij.
Obračun po m2 zida  i m1 poklopnice.</t>
    </r>
  </si>
  <si>
    <r>
      <rPr>
        <sz val="9"/>
        <color theme="1"/>
        <rFont val="Arial"/>
        <family val="2"/>
      </rPr>
      <t>a) zid</t>
    </r>
  </si>
  <si>
    <r>
      <rPr>
        <sz val="9"/>
        <color theme="1"/>
        <rFont val="Arial"/>
        <family val="2"/>
      </rPr>
      <t>b) poklopnica rš 20-25 cm</t>
    </r>
  </si>
  <si>
    <r>
      <rPr>
        <b/>
        <sz val="9"/>
        <color theme="1"/>
        <rFont val="Arial"/>
        <family val="2"/>
      </rPr>
      <t>A.1.6.</t>
    </r>
  </si>
  <si>
    <r>
      <rPr>
        <b/>
        <sz val="9"/>
        <color theme="1"/>
        <rFont val="Arial"/>
        <family val="2"/>
      </rPr>
      <t>ZIDARSKO FASADERSKI RADOVI - ukupno:</t>
    </r>
  </si>
  <si>
    <r>
      <rPr>
        <b/>
        <sz val="9"/>
        <color theme="1"/>
        <rFont val="Arial"/>
        <family val="2"/>
      </rPr>
      <t>A.1.</t>
    </r>
  </si>
  <si>
    <r>
      <rPr>
        <b/>
        <sz val="9"/>
        <color theme="1"/>
        <rFont val="Arial"/>
        <family val="2"/>
      </rPr>
      <t>GRAĐEVINSKI RADOVI - ukupno:</t>
    </r>
  </si>
  <si>
    <r>
      <rPr>
        <b/>
        <sz val="9"/>
        <color theme="1"/>
        <rFont val="Arial"/>
        <family val="2"/>
      </rPr>
      <t>A</t>
    </r>
  </si>
  <si>
    <r>
      <rPr>
        <b/>
        <sz val="9"/>
        <color theme="1"/>
        <rFont val="Arial"/>
        <family val="2"/>
      </rPr>
      <t>TROŠKOVNIK GRAĐEVINSKIH I OBRTNIČKIH RADOVA - ukupno:</t>
    </r>
  </si>
  <si>
    <r>
      <rPr>
        <b/>
        <sz val="9"/>
        <color theme="1"/>
        <rFont val="Arial"/>
        <family val="2"/>
      </rPr>
      <t>ZGRADA 2 - ukupno:</t>
    </r>
  </si>
  <si>
    <r>
      <rPr>
        <b/>
        <sz val="9"/>
        <color theme="1"/>
        <rFont val="Arial"/>
        <family val="2"/>
      </rPr>
      <t>Ugovorni radovi - ukupno:</t>
    </r>
  </si>
  <si>
    <r>
      <rPr>
        <b/>
        <sz val="9"/>
        <color theme="1"/>
        <rFont val="Arial"/>
        <family val="2"/>
      </rPr>
      <t>Stambena građevina Srebrnjak - ukupno:</t>
    </r>
  </si>
  <si>
    <t>REKAPITULACIJA</t>
  </si>
  <si>
    <r>
      <rPr>
        <b/>
        <sz val="9"/>
        <color theme="1"/>
        <rFont val="Arial"/>
        <family val="2"/>
      </rPr>
      <t>A.1.6.</t>
    </r>
  </si>
  <si>
    <r>
      <rPr>
        <b/>
        <sz val="9"/>
        <color theme="1"/>
        <rFont val="Arial"/>
        <family val="2"/>
      </rPr>
      <t>ZGRADA 1 - ukupno:</t>
    </r>
  </si>
  <si>
    <r>
      <rPr>
        <b/>
        <sz val="9"/>
        <color theme="1"/>
        <rFont val="Arial"/>
        <family val="2"/>
      </rPr>
      <t>A.1.6.</t>
    </r>
  </si>
  <si>
    <r>
      <rPr>
        <b/>
        <sz val="9"/>
        <color theme="1"/>
        <rFont val="Arial"/>
        <family val="2"/>
      </rPr>
      <t>ZGRADA 2 - ukupno:</t>
    </r>
  </si>
  <si>
    <t>UKUPNO:</t>
  </si>
  <si>
    <t>FASADERSKI RADOVI (ETICS) - ukupno:</t>
  </si>
  <si>
    <t xml:space="preserve"> FASADERSKI RADOVI (KLINKER) - ukupno:</t>
  </si>
  <si>
    <t>VTR 1</t>
  </si>
  <si>
    <t>Izrada dilatacijskih fuga. Naručitelj nabavlja spužvastu ispunu Sto-HinterFüllprofil, StoSeal silikon i trake za zaštitu opeke</t>
  </si>
  <si>
    <t>Dobava i ugradnja svih potrebnih materijala za izvedbu fasadnog sustava sa izolacijskim pločama ekstrudiranog polistirena, d= 15 cm, sa završnom oblogom od klinker opeke.
Dobava i izrada visokovrijednog, certificiranog toplinsko-izolacijskog fasadnog sustava kao StoTherm Cladding 1 sa završnom klinker oblogom.  Sustav zadovoljava razred reakcije na požar A2, s1-d0 prema HRN EN 13501-1. Ugradnja sustava prema uputama proizvođača. Podloga mora biti suha, čista, bez nataloženih slojeva, prljavštine, prašine ili masnoće, ravna i nosiva. Obavezna je zaštita bravarije, stolarije, klupčica i okapa.
Na podlogu nanijeti temeljni premaz, otporan na alkalije koji poboljšava prionjivost završnog sloja. Koristiti temeljni premaz kao StoPutzgrund na bazi disperzije s punilom.
Termoizolacija vanjskih zidova pločama od ekstrudiranog polistirena.                                                                                                       .                                                             
Ploče lijepiti na suhu nosivu podlogu, nanošenjem bijelog, mineralnog ljepila  visoke difuzivnosti (µ&lt; 35) kao StoLevell Uni na rubove ploče i točkasto u sredini (min. 60 %), čvrsto zbijanje rubova. 
Armaturnu mrežicu od staklenih vlakana, otpornu na lužine kao Sto-Glasfasergewebe G postaviti u polimer-cementnu, bijelu, temeljnu žbuku kao StoLevell Uni. Temeljna žbuka nanosi se nazubljenim gleterom u 2 sloja. Nakon nanosa 1. sloja temeljne žbuke, postaviti fasadnu mrežicu kao Sto-Glasfasergewebe G. Mrežica mora biti postavljena u gornju trećinu ukupne debljine sloja temeljne žbuke. Preklapanje armaturne mrežice 10 cm. Ukupna debljina sloja temeljne žbuke 5 mm.
Obavezno dodatno ojačanje uglova otvora dijagonalno postavljenim mrežicama dimenzija 20x40 cm ili 30x50 cm.</t>
  </si>
  <si>
    <t xml:space="preserve">c) doatna obrada bočnih strana  izolacije na špaletama gdje dolaze aluminijski okviri stijena
Ugovaranje nakon definiranja točnog obima radova
</t>
  </si>
  <si>
    <t xml:space="preserve">Količina </t>
  </si>
  <si>
    <t>UKUPAN IZNOS</t>
  </si>
  <si>
    <t>Napomena: Na obavljene građevinske usluge primjenjuje se tuzemni prijenos porezne obveze prema čl.75.st.3. a) Zakona o PDV-u</t>
  </si>
  <si>
    <t>U Zagrebu,  13.04.2026</t>
  </si>
  <si>
    <t>Izvođač:</t>
  </si>
  <si>
    <t>Izvodi izvođač gipskartonskih radova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</si>
</sst>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_k_n"/>
  </numFmts>
  <fonts count="6" x14ac:knownFonts="1">
    <font>
      <sz val="11"/>
      <color theme="1"/>
      <name val="Calibri"/>
      <family val="2"/>
      <charset val="238"/>
      <scheme val="minor"/>
    </font>
    <font>
      <sz val="9"/>
      <color theme="1"/>
      <name val="Arial"/>
      <family val="2"/>
      <charset val="238"/>
    </font>
    <font>
      <b/>
      <sz val="9"/>
      <color theme="1"/>
      <name val="Arial"/>
      <family val="2"/>
      <charset val="238"/>
    </font>
    <font>
      <b/>
      <sz val="9"/>
      <color theme="1"/>
      <name val="Arial"/>
      <family val="2"/>
    </font>
    <font>
      <sz val="9"/>
      <color theme="1"/>
      <name val="Arial"/>
      <family val="2"/>
    </font>
    <font>
      <sz val="9"/>
      <color rgb="FFFF0000"/>
      <name val="Arial"/>
      <family val="2"/>
      <charset val="238"/>
    </font>
  </fonts>
  <fills count="11">
    <fill>
      <patternFill patternType="none"/>
    </fill>
    <fill>
      <patternFill patternType="gray125"/>
    </fill>
    <fill>
      <patternFill patternType="solid">
        <fgColor rgb="FFA4C3B2"/>
        <bgColor rgb="FFA4C3B2"/>
      </patternFill>
    </fill>
    <fill>
      <patternFill patternType="solid">
        <fgColor rgb="FFFFFFE6"/>
        <bgColor rgb="FFFFFFE6"/>
      </patternFill>
    </fill>
    <fill>
      <patternFill patternType="solid">
        <fgColor rgb="FFFFFFD4"/>
        <bgColor rgb="FFFFFFD4"/>
      </patternFill>
    </fill>
    <fill>
      <patternFill patternType="solid">
        <fgColor rgb="FFFFFFAA"/>
        <bgColor rgb="FFFFFFAA"/>
      </patternFill>
    </fill>
    <fill>
      <patternFill patternType="solid">
        <fgColor rgb="FFFFFF80"/>
        <bgColor rgb="FFFFFF80"/>
      </patternFill>
    </fill>
    <fill>
      <patternFill patternType="solid">
        <fgColor rgb="FFFFFF55"/>
        <bgColor rgb="FFFFFF55"/>
      </patternFill>
    </fill>
    <fill>
      <patternFill patternType="solid">
        <fgColor rgb="FFFFFF00"/>
        <bgColor rgb="FFFFFF00"/>
      </patternFill>
    </fill>
    <fill>
      <patternFill patternType="solid">
        <fgColor rgb="FFFFFF3B"/>
        <bgColor rgb="FFFFFF3B"/>
      </patternFill>
    </fill>
    <fill>
      <patternFill patternType="solid">
        <fgColor theme="7" tint="0.79998168889431442"/>
        <bgColor indexed="64"/>
      </patternFill>
    </fill>
  </fills>
  <borders count="1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top style="thin">
        <color rgb="FF000000"/>
      </top>
      <bottom/>
      <diagonal/>
    </border>
    <border>
      <left/>
      <right style="medium">
        <color rgb="FF000000"/>
      </right>
      <top style="thin">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89">
    <xf numFmtId="0" fontId="0" fillId="0" borderId="0" xfId="0"/>
    <xf numFmtId="164" fontId="5" fillId="0" borderId="0" xfId="0" applyNumberFormat="1" applyFont="1" applyFill="1" applyAlignment="1" applyProtection="1">
      <alignment horizontal="justify" vertical="top" wrapText="1"/>
    </xf>
    <xf numFmtId="164" fontId="5" fillId="0" borderId="0" xfId="0" applyNumberFormat="1" applyFont="1" applyFill="1" applyAlignment="1" applyProtection="1">
      <alignment horizontal="left" vertical="top" wrapText="1"/>
    </xf>
    <xf numFmtId="164" fontId="1" fillId="10" borderId="0" xfId="0" applyNumberFormat="1" applyFont="1" applyFill="1" applyAlignment="1" applyProtection="1">
      <alignment horizontal="justify" vertical="top" wrapText="1"/>
    </xf>
    <xf numFmtId="164" fontId="5" fillId="0" borderId="11" xfId="0" applyNumberFormat="1" applyFont="1" applyFill="1" applyBorder="1" applyProtection="1"/>
    <xf numFmtId="164" fontId="3" fillId="0" borderId="0" xfId="0" applyNumberFormat="1" applyFont="1" applyFill="1" applyAlignment="1" applyProtection="1">
      <alignment horizontal="justify" vertical="top" wrapText="1"/>
    </xf>
    <xf numFmtId="164" fontId="1" fillId="0" borderId="0" xfId="0" applyNumberFormat="1" applyFont="1" applyFill="1" applyAlignment="1" applyProtection="1">
      <alignment wrapText="1"/>
    </xf>
    <xf numFmtId="164" fontId="1" fillId="0" borderId="0" xfId="0" applyNumberFormat="1" applyFont="1" applyFill="1" applyProtection="1"/>
    <xf numFmtId="164" fontId="1" fillId="0" borderId="9" xfId="0" applyNumberFormat="1" applyFont="1" applyFill="1" applyBorder="1" applyAlignment="1" applyProtection="1">
      <alignment horizontal="center" vertical="center"/>
    </xf>
    <xf numFmtId="164" fontId="1" fillId="0" borderId="10" xfId="0" applyNumberFormat="1" applyFont="1" applyFill="1" applyBorder="1" applyAlignment="1" applyProtection="1">
      <alignment horizontal="center" vertical="center"/>
    </xf>
    <xf numFmtId="164" fontId="1" fillId="0" borderId="0" xfId="0" applyNumberFormat="1" applyFont="1" applyFill="1" applyAlignment="1" applyProtection="1">
      <alignment horizontal="right" vertical="top" wrapText="1"/>
    </xf>
    <xf numFmtId="164" fontId="1" fillId="0" borderId="11" xfId="0" applyNumberFormat="1" applyFont="1" applyFill="1" applyBorder="1" applyAlignment="1" applyProtection="1">
      <alignment horizontal="right" vertical="top" wrapText="1"/>
    </xf>
    <xf numFmtId="164" fontId="1" fillId="0" borderId="11" xfId="0" applyNumberFormat="1" applyFont="1" applyFill="1" applyBorder="1" applyAlignment="1" applyProtection="1">
      <alignment vertical="top" wrapText="1"/>
    </xf>
    <xf numFmtId="164" fontId="1" fillId="0" borderId="11" xfId="0" applyNumberFormat="1" applyFont="1" applyFill="1" applyBorder="1" applyAlignment="1" applyProtection="1">
      <alignment wrapText="1"/>
    </xf>
    <xf numFmtId="164" fontId="1" fillId="0" borderId="11" xfId="0" applyNumberFormat="1" applyFont="1" applyFill="1" applyBorder="1" applyProtection="1"/>
    <xf numFmtId="164" fontId="1" fillId="0" borderId="0" xfId="0" applyNumberFormat="1" applyFont="1" applyFill="1" applyAlignment="1" applyProtection="1">
      <alignment horizontal="left" vertical="top" wrapText="1"/>
    </xf>
    <xf numFmtId="164" fontId="1" fillId="0" borderId="0" xfId="0" applyNumberFormat="1" applyFont="1" applyFill="1" applyAlignment="1" applyProtection="1">
      <alignment horizontal="justify" vertical="top" wrapText="1"/>
    </xf>
    <xf numFmtId="164" fontId="1" fillId="0" borderId="11" xfId="0" applyNumberFormat="1" applyFont="1" applyFill="1" applyBorder="1" applyAlignment="1" applyProtection="1">
      <alignment horizontal="left" wrapText="1"/>
    </xf>
    <xf numFmtId="4" fontId="1" fillId="0" borderId="11" xfId="0" applyNumberFormat="1" applyFont="1" applyFill="1" applyBorder="1" applyProtection="1"/>
    <xf numFmtId="4" fontId="1" fillId="0" borderId="0" xfId="0" applyNumberFormat="1" applyFont="1" applyFill="1" applyAlignment="1" applyProtection="1">
      <alignment wrapText="1"/>
    </xf>
    <xf numFmtId="4" fontId="1" fillId="0" borderId="11" xfId="0" applyNumberFormat="1" applyFont="1" applyFill="1" applyBorder="1" applyAlignment="1" applyProtection="1">
      <alignment wrapText="1"/>
    </xf>
    <xf numFmtId="164" fontId="1" fillId="3" borderId="0" xfId="0" applyNumberFormat="1" applyFont="1" applyFill="1" applyAlignment="1" applyProtection="1">
      <alignment horizontal="left" vertical="top" wrapText="1"/>
    </xf>
    <xf numFmtId="164" fontId="1" fillId="3" borderId="0" xfId="0" applyNumberFormat="1" applyFont="1" applyFill="1" applyAlignment="1" applyProtection="1">
      <alignment horizontal="justify" vertical="top" wrapText="1"/>
    </xf>
    <xf numFmtId="164" fontId="2" fillId="3" borderId="11" xfId="0" applyNumberFormat="1" applyFont="1" applyFill="1" applyBorder="1" applyAlignment="1" applyProtection="1">
      <alignment horizontal="left"/>
    </xf>
    <xf numFmtId="164" fontId="1" fillId="3" borderId="11" xfId="0" applyNumberFormat="1" applyFont="1" applyFill="1" applyBorder="1" applyProtection="1"/>
    <xf numFmtId="164" fontId="1" fillId="3" borderId="0" xfId="0" applyNumberFormat="1" applyFont="1" applyFill="1" applyAlignment="1" applyProtection="1">
      <alignment wrapText="1"/>
    </xf>
    <xf numFmtId="4" fontId="1" fillId="3" borderId="11" xfId="0" applyNumberFormat="1" applyFont="1" applyFill="1" applyBorder="1" applyAlignment="1" applyProtection="1">
      <alignment wrapText="1"/>
    </xf>
    <xf numFmtId="164" fontId="1" fillId="4" borderId="0" xfId="0" applyNumberFormat="1" applyFont="1" applyFill="1" applyAlignment="1" applyProtection="1">
      <alignment horizontal="left" vertical="top" wrapText="1"/>
    </xf>
    <xf numFmtId="164" fontId="1" fillId="4" borderId="0" xfId="0" applyNumberFormat="1" applyFont="1" applyFill="1" applyAlignment="1" applyProtection="1">
      <alignment horizontal="justify" vertical="top" wrapText="1"/>
    </xf>
    <xf numFmtId="164" fontId="2" fillId="4" borderId="11" xfId="0" applyNumberFormat="1" applyFont="1" applyFill="1" applyBorder="1" applyAlignment="1" applyProtection="1">
      <alignment horizontal="left"/>
    </xf>
    <xf numFmtId="164" fontId="1" fillId="4" borderId="11" xfId="0" applyNumberFormat="1" applyFont="1" applyFill="1" applyBorder="1" applyProtection="1"/>
    <xf numFmtId="164" fontId="1" fillId="4" borderId="0" xfId="0" applyNumberFormat="1" applyFont="1" applyFill="1" applyAlignment="1" applyProtection="1">
      <alignment wrapText="1"/>
    </xf>
    <xf numFmtId="4" fontId="1" fillId="4" borderId="11" xfId="0" applyNumberFormat="1" applyFont="1" applyFill="1" applyBorder="1" applyAlignment="1" applyProtection="1">
      <alignment wrapText="1"/>
    </xf>
    <xf numFmtId="164" fontId="1" fillId="5" borderId="0" xfId="0" applyNumberFormat="1" applyFont="1" applyFill="1" applyAlignment="1" applyProtection="1">
      <alignment horizontal="left" vertical="top" wrapText="1"/>
    </xf>
    <xf numFmtId="164" fontId="1" fillId="5" borderId="0" xfId="0" applyNumberFormat="1" applyFont="1" applyFill="1" applyAlignment="1" applyProtection="1">
      <alignment horizontal="justify" vertical="top" wrapText="1"/>
    </xf>
    <xf numFmtId="164" fontId="2" fillId="5" borderId="11" xfId="0" applyNumberFormat="1" applyFont="1" applyFill="1" applyBorder="1" applyAlignment="1" applyProtection="1">
      <alignment horizontal="left"/>
    </xf>
    <xf numFmtId="164" fontId="1" fillId="5" borderId="11" xfId="0" applyNumberFormat="1" applyFont="1" applyFill="1" applyBorder="1" applyProtection="1"/>
    <xf numFmtId="164" fontId="1" fillId="5" borderId="0" xfId="0" applyNumberFormat="1" applyFont="1" applyFill="1" applyAlignment="1" applyProtection="1">
      <alignment wrapText="1"/>
    </xf>
    <xf numFmtId="4" fontId="1" fillId="5" borderId="11" xfId="0" applyNumberFormat="1" applyFont="1" applyFill="1" applyBorder="1" applyAlignment="1" applyProtection="1">
      <alignment wrapText="1"/>
    </xf>
    <xf numFmtId="164" fontId="2" fillId="6" borderId="0" xfId="0" applyNumberFormat="1" applyFont="1" applyFill="1" applyAlignment="1" applyProtection="1">
      <alignment horizontal="left" vertical="top" wrapText="1"/>
    </xf>
    <xf numFmtId="164" fontId="1" fillId="6" borderId="0" xfId="0" applyNumberFormat="1" applyFont="1" applyFill="1" applyAlignment="1" applyProtection="1">
      <alignment horizontal="justify" vertical="top" wrapText="1"/>
    </xf>
    <xf numFmtId="164" fontId="2" fillId="6" borderId="11" xfId="0" applyNumberFormat="1" applyFont="1" applyFill="1" applyBorder="1" applyAlignment="1" applyProtection="1">
      <alignment horizontal="left"/>
    </xf>
    <xf numFmtId="164" fontId="1" fillId="6" borderId="11" xfId="0" applyNumberFormat="1" applyFont="1" applyFill="1" applyBorder="1" applyProtection="1"/>
    <xf numFmtId="164" fontId="1" fillId="6" borderId="0" xfId="0" applyNumberFormat="1" applyFont="1" applyFill="1" applyAlignment="1" applyProtection="1">
      <alignment wrapText="1"/>
    </xf>
    <xf numFmtId="4" fontId="1" fillId="6" borderId="11" xfId="0" applyNumberFormat="1" applyFont="1" applyFill="1" applyBorder="1" applyAlignment="1" applyProtection="1">
      <alignment wrapText="1"/>
    </xf>
    <xf numFmtId="164" fontId="2" fillId="7" borderId="0" xfId="0" applyNumberFormat="1" applyFont="1" applyFill="1" applyAlignment="1" applyProtection="1">
      <alignment horizontal="left" vertical="top" wrapText="1"/>
    </xf>
    <xf numFmtId="164" fontId="1" fillId="7" borderId="0" xfId="0" applyNumberFormat="1" applyFont="1" applyFill="1" applyAlignment="1" applyProtection="1">
      <alignment horizontal="justify" vertical="top" wrapText="1"/>
    </xf>
    <xf numFmtId="164" fontId="2" fillId="7" borderId="11" xfId="0" applyNumberFormat="1" applyFont="1" applyFill="1" applyBorder="1" applyAlignment="1" applyProtection="1">
      <alignment horizontal="left"/>
    </xf>
    <xf numFmtId="164" fontId="1" fillId="7" borderId="11" xfId="0" applyNumberFormat="1" applyFont="1" applyFill="1" applyBorder="1" applyProtection="1"/>
    <xf numFmtId="164" fontId="1" fillId="7" borderId="0" xfId="0" applyNumberFormat="1" applyFont="1" applyFill="1" applyAlignment="1" applyProtection="1">
      <alignment wrapText="1"/>
    </xf>
    <xf numFmtId="4" fontId="1" fillId="7" borderId="11" xfId="0" applyNumberFormat="1" applyFont="1" applyFill="1" applyBorder="1" applyAlignment="1" applyProtection="1">
      <alignment wrapText="1"/>
    </xf>
    <xf numFmtId="164" fontId="2" fillId="8" borderId="0" xfId="0" applyNumberFormat="1" applyFont="1" applyFill="1" applyAlignment="1" applyProtection="1">
      <alignment horizontal="left" vertical="top" wrapText="1"/>
    </xf>
    <xf numFmtId="164" fontId="1" fillId="8" borderId="0" xfId="0" applyNumberFormat="1" applyFont="1" applyFill="1" applyAlignment="1" applyProtection="1">
      <alignment horizontal="justify" vertical="top" wrapText="1"/>
    </xf>
    <xf numFmtId="164" fontId="2" fillId="8" borderId="11" xfId="0" applyNumberFormat="1" applyFont="1" applyFill="1" applyBorder="1" applyAlignment="1" applyProtection="1">
      <alignment horizontal="left"/>
    </xf>
    <xf numFmtId="164" fontId="1" fillId="8" borderId="11" xfId="0" applyNumberFormat="1" applyFont="1" applyFill="1" applyBorder="1" applyProtection="1"/>
    <xf numFmtId="164" fontId="1" fillId="8" borderId="0" xfId="0" applyNumberFormat="1" applyFont="1" applyFill="1" applyAlignment="1" applyProtection="1">
      <alignment wrapText="1"/>
    </xf>
    <xf numFmtId="4" fontId="1" fillId="8" borderId="11" xfId="0" applyNumberFormat="1" applyFont="1" applyFill="1" applyBorder="1" applyAlignment="1" applyProtection="1">
      <alignment wrapText="1"/>
    </xf>
    <xf numFmtId="164" fontId="2" fillId="0" borderId="0" xfId="0" applyNumberFormat="1" applyFont="1" applyFill="1" applyAlignment="1" applyProtection="1">
      <alignment horizontal="left" vertical="top" wrapText="1"/>
    </xf>
    <xf numFmtId="164" fontId="2" fillId="0" borderId="11" xfId="0" applyNumberFormat="1" applyFont="1" applyFill="1" applyBorder="1" applyAlignment="1" applyProtection="1">
      <alignment horizontal="left"/>
    </xf>
    <xf numFmtId="164" fontId="2" fillId="0" borderId="12" xfId="0" applyNumberFormat="1" applyFont="1" applyFill="1" applyBorder="1" applyAlignment="1" applyProtection="1">
      <alignment horizontal="left" vertical="top" wrapText="1"/>
    </xf>
    <xf numFmtId="164" fontId="2" fillId="0" borderId="12" xfId="0" applyNumberFormat="1" applyFont="1" applyFill="1" applyBorder="1" applyAlignment="1" applyProtection="1">
      <alignment horizontal="justify" vertical="top" wrapText="1"/>
    </xf>
    <xf numFmtId="164" fontId="2" fillId="0" borderId="13" xfId="0" applyNumberFormat="1" applyFont="1" applyFill="1" applyBorder="1" applyAlignment="1" applyProtection="1">
      <alignment horizontal="left"/>
    </xf>
    <xf numFmtId="164" fontId="1" fillId="0" borderId="13" xfId="0" applyNumberFormat="1" applyFont="1" applyFill="1" applyBorder="1" applyProtection="1"/>
    <xf numFmtId="164" fontId="1" fillId="0" borderId="12" xfId="0" applyNumberFormat="1" applyFont="1" applyFill="1" applyBorder="1" applyAlignment="1" applyProtection="1">
      <alignment wrapText="1"/>
    </xf>
    <xf numFmtId="4" fontId="1" fillId="0" borderId="13" xfId="0" applyNumberFormat="1" applyFont="1" applyFill="1" applyBorder="1" applyAlignment="1" applyProtection="1">
      <alignment wrapText="1"/>
    </xf>
    <xf numFmtId="164" fontId="1" fillId="9" borderId="14" xfId="0" applyNumberFormat="1" applyFont="1" applyFill="1" applyBorder="1" applyAlignment="1" applyProtection="1">
      <alignment horizontal="right" vertical="top"/>
    </xf>
    <xf numFmtId="164" fontId="2" fillId="9" borderId="14" xfId="0" applyNumberFormat="1" applyFont="1" applyFill="1" applyBorder="1" applyAlignment="1" applyProtection="1">
      <alignment horizontal="left"/>
    </xf>
    <xf numFmtId="164" fontId="1" fillId="9" borderId="15" xfId="0" applyNumberFormat="1" applyFont="1" applyFill="1" applyBorder="1" applyAlignment="1" applyProtection="1">
      <alignment horizontal="left"/>
    </xf>
    <xf numFmtId="164" fontId="1" fillId="9" borderId="15" xfId="0" applyNumberFormat="1" applyFont="1" applyFill="1" applyBorder="1" applyProtection="1"/>
    <xf numFmtId="164" fontId="1" fillId="9" borderId="14" xfId="0" applyNumberFormat="1" applyFont="1" applyFill="1" applyBorder="1" applyAlignment="1" applyProtection="1">
      <alignment wrapText="1"/>
    </xf>
    <xf numFmtId="4" fontId="1" fillId="9" borderId="15" xfId="0" applyNumberFormat="1" applyFont="1" applyFill="1" applyBorder="1" applyAlignment="1" applyProtection="1">
      <alignment wrapText="1"/>
    </xf>
    <xf numFmtId="164" fontId="1" fillId="0" borderId="0" xfId="0" applyNumberFormat="1" applyFont="1" applyFill="1" applyAlignment="1" applyProtection="1">
      <alignment horizontal="right" vertical="top"/>
    </xf>
    <xf numFmtId="164" fontId="4" fillId="0" borderId="0" xfId="0" applyNumberFormat="1" applyFont="1" applyFill="1" applyAlignment="1" applyProtection="1">
      <alignment horizontal="justify" vertical="top" wrapText="1"/>
    </xf>
    <xf numFmtId="164" fontId="1" fillId="0" borderId="0" xfId="0" applyNumberFormat="1" applyFont="1" applyFill="1" applyAlignment="1" applyProtection="1">
      <alignment wrapText="1"/>
    </xf>
    <xf numFmtId="164" fontId="1" fillId="0" borderId="0" xfId="0" applyNumberFormat="1" applyFont="1" applyFill="1" applyProtection="1"/>
    <xf numFmtId="164" fontId="1" fillId="0" borderId="0" xfId="0" applyNumberFormat="1" applyFont="1" applyFill="1" applyAlignment="1" applyProtection="1">
      <alignment horizontal="left" vertical="top"/>
    </xf>
    <xf numFmtId="164" fontId="1" fillId="0" borderId="1" xfId="0" applyNumberFormat="1" applyFont="1" applyFill="1" applyBorder="1" applyAlignment="1" applyProtection="1">
      <alignment horizontal="center" vertical="center" wrapText="1"/>
    </xf>
    <xf numFmtId="164" fontId="1" fillId="0" borderId="3" xfId="0" applyNumberFormat="1" applyFont="1" applyFill="1" applyBorder="1" applyAlignment="1" applyProtection="1">
      <alignment horizontal="center" vertical="center" wrapText="1"/>
    </xf>
    <xf numFmtId="164" fontId="1" fillId="0" borderId="2" xfId="0" applyNumberFormat="1" applyFont="1" applyFill="1" applyBorder="1" applyAlignment="1" applyProtection="1">
      <alignment horizontal="center" vertical="center" wrapText="1"/>
    </xf>
    <xf numFmtId="164" fontId="1" fillId="0" borderId="4" xfId="0" applyNumberFormat="1" applyFont="1" applyFill="1" applyBorder="1" applyAlignment="1" applyProtection="1">
      <alignment horizontal="center" vertical="center" wrapText="1"/>
    </xf>
    <xf numFmtId="164" fontId="1" fillId="0" borderId="5" xfId="0" applyNumberFormat="1" applyFont="1" applyFill="1" applyBorder="1" applyAlignment="1" applyProtection="1">
      <alignment horizontal="center" vertical="center" wrapText="1"/>
    </xf>
    <xf numFmtId="164" fontId="1" fillId="0" borderId="8" xfId="0" applyNumberFormat="1" applyFont="1" applyFill="1" applyBorder="1" applyAlignment="1" applyProtection="1">
      <alignment horizontal="center" vertical="center" wrapText="1"/>
    </xf>
    <xf numFmtId="164" fontId="1" fillId="0" borderId="6" xfId="0" applyNumberFormat="1" applyFont="1" applyFill="1" applyBorder="1" applyAlignment="1" applyProtection="1">
      <alignment horizontal="center" vertical="center" wrapText="1"/>
    </xf>
    <xf numFmtId="164" fontId="1" fillId="2" borderId="0" xfId="0" applyNumberFormat="1" applyFont="1" applyFill="1" applyAlignment="1" applyProtection="1">
      <alignment horizontal="justify" wrapText="1"/>
    </xf>
    <xf numFmtId="164" fontId="1" fillId="0" borderId="11" xfId="0" applyNumberFormat="1" applyFont="1" applyFill="1" applyBorder="1" applyAlignment="1" applyProtection="1">
      <alignment horizontal="justify" wrapText="1"/>
    </xf>
    <xf numFmtId="164" fontId="1" fillId="2" borderId="0" xfId="0" applyNumberFormat="1" applyFont="1" applyFill="1" applyAlignment="1" applyProtection="1">
      <alignment horizontal="justify" vertical="top" wrapText="1"/>
    </xf>
    <xf numFmtId="164" fontId="1" fillId="0" borderId="11" xfId="0" applyNumberFormat="1" applyFont="1" applyFill="1" applyBorder="1" applyAlignment="1" applyProtection="1">
      <alignment horizontal="justify" vertical="top" wrapText="1"/>
    </xf>
    <xf numFmtId="164" fontId="1" fillId="0" borderId="7" xfId="0" applyNumberFormat="1" applyFont="1" applyFill="1" applyBorder="1" applyAlignment="1" applyProtection="1">
      <alignment horizontal="center" vertical="center" wrapText="1"/>
    </xf>
    <xf numFmtId="164" fontId="1" fillId="0" borderId="7" xfId="0" applyNumberFormat="1" applyFont="1" applyFill="1" applyBorder="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7"/>
  <sheetViews>
    <sheetView tabSelected="1" view="pageBreakPreview" topLeftCell="B337" zoomScale="115" zoomScaleNormal="100" zoomScaleSheetLayoutView="115" workbookViewId="0">
      <selection activeCell="Q331" sqref="Q331:R331"/>
    </sheetView>
  </sheetViews>
  <sheetFormatPr defaultColWidth="9" defaultRowHeight="12" x14ac:dyDescent="0.2"/>
  <cols>
    <col min="1" max="1" width="9" style="7" hidden="1" customWidth="1"/>
    <col min="2" max="2" width="7.28515625" style="71" customWidth="1"/>
    <col min="3" max="3" width="56.7109375" style="7" customWidth="1"/>
    <col min="4" max="4" width="8.140625" style="7" customWidth="1"/>
    <col min="5" max="5" width="11.140625" style="7" customWidth="1"/>
    <col min="6" max="6" width="13.5703125" style="6" customWidth="1"/>
    <col min="7" max="7" width="14.5703125" style="6" customWidth="1"/>
    <col min="8" max="16384" width="9" style="6"/>
  </cols>
  <sheetData>
    <row r="1" spans="2:7" s="7" customFormat="1" ht="12.75" thickBot="1" x14ac:dyDescent="0.25">
      <c r="B1" s="76" t="s">
        <v>0</v>
      </c>
      <c r="C1" s="78" t="s">
        <v>1</v>
      </c>
      <c r="D1" s="80" t="s">
        <v>2</v>
      </c>
      <c r="E1" s="82" t="s">
        <v>250</v>
      </c>
      <c r="F1" s="87" t="s">
        <v>251</v>
      </c>
      <c r="G1" s="88"/>
    </row>
    <row r="2" spans="2:7" s="7" customFormat="1" ht="12.75" thickBot="1" x14ac:dyDescent="0.25">
      <c r="B2" s="77"/>
      <c r="C2" s="79"/>
      <c r="D2" s="81"/>
      <c r="E2" s="82" t="s">
        <v>3</v>
      </c>
      <c r="F2" s="8" t="s">
        <v>4</v>
      </c>
      <c r="G2" s="9" t="s">
        <v>5</v>
      </c>
    </row>
    <row r="3" spans="2:7" s="7" customFormat="1" x14ac:dyDescent="0.2">
      <c r="B3" s="10"/>
      <c r="C3" s="10"/>
      <c r="D3" s="11"/>
      <c r="E3" s="12"/>
      <c r="G3" s="14"/>
    </row>
    <row r="4" spans="2:7" ht="24" x14ac:dyDescent="0.2">
      <c r="C4" s="6" t="s">
        <v>6</v>
      </c>
      <c r="D4" s="14"/>
      <c r="E4" s="14"/>
      <c r="G4" s="13"/>
    </row>
    <row r="5" spans="2:7" x14ac:dyDescent="0.2">
      <c r="D5" s="14"/>
      <c r="E5" s="14"/>
      <c r="G5" s="13"/>
    </row>
    <row r="6" spans="2:7" x14ac:dyDescent="0.2">
      <c r="D6" s="14"/>
      <c r="E6" s="14"/>
      <c r="G6" s="13"/>
    </row>
    <row r="7" spans="2:7" x14ac:dyDescent="0.2">
      <c r="D7" s="14"/>
      <c r="E7" s="14"/>
      <c r="G7" s="13"/>
    </row>
    <row r="8" spans="2:7" x14ac:dyDescent="0.2">
      <c r="B8" s="15"/>
      <c r="C8" s="16" t="s">
        <v>7</v>
      </c>
      <c r="D8" s="17"/>
      <c r="E8" s="18"/>
      <c r="G8" s="13"/>
    </row>
    <row r="9" spans="2:7" x14ac:dyDescent="0.2">
      <c r="D9" s="14"/>
      <c r="E9" s="14"/>
      <c r="G9" s="13"/>
    </row>
    <row r="10" spans="2:7" x14ac:dyDescent="0.2">
      <c r="B10" s="15"/>
      <c r="C10" s="16" t="s">
        <v>8</v>
      </c>
      <c r="D10" s="17"/>
      <c r="E10" s="18"/>
      <c r="G10" s="13"/>
    </row>
    <row r="11" spans="2:7" x14ac:dyDescent="0.2">
      <c r="D11" s="14"/>
      <c r="E11" s="14"/>
      <c r="G11" s="13"/>
    </row>
    <row r="12" spans="2:7" x14ac:dyDescent="0.2">
      <c r="B12" s="15"/>
      <c r="C12" s="16" t="s">
        <v>9</v>
      </c>
      <c r="D12" s="17"/>
      <c r="E12" s="18"/>
      <c r="G12" s="13"/>
    </row>
    <row r="13" spans="2:7" x14ac:dyDescent="0.2">
      <c r="D13" s="14"/>
      <c r="E13" s="14"/>
      <c r="G13" s="13"/>
    </row>
    <row r="14" spans="2:7" x14ac:dyDescent="0.2">
      <c r="B14" s="15" t="s">
        <v>10</v>
      </c>
      <c r="C14" s="16" t="s">
        <v>11</v>
      </c>
      <c r="D14" s="17"/>
      <c r="E14" s="18"/>
      <c r="G14" s="13"/>
    </row>
    <row r="15" spans="2:7" x14ac:dyDescent="0.2">
      <c r="D15" s="14"/>
      <c r="E15" s="14"/>
      <c r="G15" s="13"/>
    </row>
    <row r="16" spans="2:7" x14ac:dyDescent="0.2">
      <c r="B16" s="15" t="s">
        <v>12</v>
      </c>
      <c r="C16" s="16" t="s">
        <v>13</v>
      </c>
      <c r="D16" s="17"/>
      <c r="E16" s="18"/>
      <c r="G16" s="13"/>
    </row>
    <row r="17" spans="2:7" x14ac:dyDescent="0.2">
      <c r="D17" s="14"/>
      <c r="E17" s="14"/>
      <c r="G17" s="13"/>
    </row>
    <row r="18" spans="2:7" x14ac:dyDescent="0.2">
      <c r="B18" s="15" t="s">
        <v>14</v>
      </c>
      <c r="C18" s="16" t="s">
        <v>15</v>
      </c>
      <c r="D18" s="17"/>
      <c r="E18" s="18"/>
      <c r="G18" s="13"/>
    </row>
    <row r="19" spans="2:7" x14ac:dyDescent="0.2">
      <c r="D19" s="14"/>
      <c r="E19" s="14"/>
      <c r="G19" s="13"/>
    </row>
    <row r="20" spans="2:7" x14ac:dyDescent="0.2">
      <c r="B20" s="15"/>
      <c r="C20" s="16" t="s">
        <v>16</v>
      </c>
      <c r="D20" s="17"/>
      <c r="E20" s="18"/>
      <c r="G20" s="13"/>
    </row>
    <row r="21" spans="2:7" x14ac:dyDescent="0.2">
      <c r="D21" s="14"/>
      <c r="E21" s="14"/>
      <c r="G21" s="13"/>
    </row>
    <row r="22" spans="2:7" x14ac:dyDescent="0.2">
      <c r="B22" s="15"/>
      <c r="C22" s="16" t="s">
        <v>17</v>
      </c>
      <c r="D22" s="17"/>
      <c r="E22" s="18"/>
      <c r="G22" s="13"/>
    </row>
    <row r="23" spans="2:7" x14ac:dyDescent="0.2">
      <c r="D23" s="14"/>
      <c r="E23" s="14"/>
      <c r="G23" s="13"/>
    </row>
    <row r="24" spans="2:7" ht="72" x14ac:dyDescent="0.2">
      <c r="B24" s="15" t="s">
        <v>18</v>
      </c>
      <c r="C24" s="16" t="s">
        <v>19</v>
      </c>
      <c r="D24" s="17"/>
      <c r="E24" s="18"/>
      <c r="G24" s="13"/>
    </row>
    <row r="25" spans="2:7" x14ac:dyDescent="0.2">
      <c r="D25" s="14"/>
      <c r="E25" s="14"/>
      <c r="G25" s="13"/>
    </row>
    <row r="26" spans="2:7" x14ac:dyDescent="0.2">
      <c r="B26" s="15" t="s">
        <v>20</v>
      </c>
      <c r="C26" s="16" t="s">
        <v>21</v>
      </c>
      <c r="D26" s="17"/>
      <c r="E26" s="18"/>
      <c r="G26" s="13"/>
    </row>
    <row r="27" spans="2:7" x14ac:dyDescent="0.2">
      <c r="D27" s="14"/>
      <c r="E27" s="14"/>
      <c r="G27" s="13"/>
    </row>
    <row r="28" spans="2:7" ht="36" x14ac:dyDescent="0.2">
      <c r="B28" s="15" t="s">
        <v>22</v>
      </c>
      <c r="C28" s="16" t="s">
        <v>23</v>
      </c>
      <c r="D28" s="17"/>
      <c r="E28" s="18"/>
      <c r="G28" s="13"/>
    </row>
    <row r="29" spans="2:7" x14ac:dyDescent="0.2">
      <c r="D29" s="14"/>
      <c r="E29" s="14"/>
      <c r="G29" s="13"/>
    </row>
    <row r="30" spans="2:7" ht="192" x14ac:dyDescent="0.2">
      <c r="B30" s="15"/>
      <c r="C30" s="16" t="s">
        <v>24</v>
      </c>
      <c r="D30" s="17"/>
      <c r="E30" s="18"/>
      <c r="G30" s="13"/>
    </row>
    <row r="31" spans="2:7" x14ac:dyDescent="0.2">
      <c r="D31" s="14"/>
      <c r="E31" s="14"/>
      <c r="G31" s="13"/>
    </row>
    <row r="32" spans="2:7" x14ac:dyDescent="0.2">
      <c r="B32" s="15" t="s">
        <v>25</v>
      </c>
      <c r="C32" s="16" t="s">
        <v>26</v>
      </c>
      <c r="D32" s="17"/>
      <c r="E32" s="18"/>
      <c r="G32" s="13"/>
    </row>
    <row r="33" spans="2:7" x14ac:dyDescent="0.2">
      <c r="D33" s="14"/>
      <c r="E33" s="14"/>
      <c r="G33" s="13"/>
    </row>
    <row r="34" spans="2:7" ht="372" x14ac:dyDescent="0.2">
      <c r="B34" s="15"/>
      <c r="C34" s="16" t="s">
        <v>27</v>
      </c>
      <c r="D34" s="17"/>
      <c r="E34" s="18"/>
      <c r="G34" s="13"/>
    </row>
    <row r="35" spans="2:7" x14ac:dyDescent="0.2">
      <c r="D35" s="14"/>
      <c r="E35" s="14"/>
    </row>
    <row r="36" spans="2:7" ht="228" x14ac:dyDescent="0.2">
      <c r="B36" s="15"/>
      <c r="C36" s="16" t="s">
        <v>29</v>
      </c>
      <c r="D36" s="17"/>
      <c r="E36" s="18"/>
      <c r="F36" s="83" t="s">
        <v>28</v>
      </c>
      <c r="G36" s="84"/>
    </row>
    <row r="37" spans="2:7" x14ac:dyDescent="0.2">
      <c r="D37" s="14"/>
      <c r="E37" s="14"/>
      <c r="G37" s="13"/>
    </row>
    <row r="38" spans="2:7" x14ac:dyDescent="0.2">
      <c r="B38" s="15"/>
      <c r="C38" s="16" t="s">
        <v>30</v>
      </c>
      <c r="D38" s="17" t="s">
        <v>31</v>
      </c>
      <c r="E38" s="18">
        <v>15</v>
      </c>
      <c r="F38" s="19">
        <v>67.7</v>
      </c>
      <c r="G38" s="20">
        <f>IF(OR(ISBLANK(F38),ISBLANK(E38)),0, ROUND(PRODUCT(ROUND(F38,2), ROUND(E38,2)),2))</f>
        <v>1015.5</v>
      </c>
    </row>
    <row r="39" spans="2:7" x14ac:dyDescent="0.2">
      <c r="D39" s="14"/>
      <c r="E39" s="14"/>
      <c r="G39" s="13"/>
    </row>
    <row r="40" spans="2:7" x14ac:dyDescent="0.2">
      <c r="B40" s="15"/>
      <c r="C40" s="16" t="s">
        <v>32</v>
      </c>
      <c r="D40" s="17" t="s">
        <v>31</v>
      </c>
      <c r="E40" s="18">
        <v>15</v>
      </c>
      <c r="F40" s="19">
        <v>31.2</v>
      </c>
      <c r="G40" s="20">
        <f>IF(OR(ISBLANK(F40),ISBLANK(E40)),0, ROUND(PRODUCT(ROUND(F40,2), ROUND(E40,2)),2))</f>
        <v>468</v>
      </c>
    </row>
    <row r="41" spans="2:7" x14ac:dyDescent="0.2">
      <c r="D41" s="14"/>
      <c r="E41" s="14"/>
      <c r="G41" s="13"/>
    </row>
    <row r="42" spans="2:7" x14ac:dyDescent="0.2">
      <c r="B42" s="15"/>
      <c r="C42" s="16" t="s">
        <v>33</v>
      </c>
      <c r="D42" s="17" t="s">
        <v>31</v>
      </c>
      <c r="E42" s="18">
        <v>14.1</v>
      </c>
      <c r="F42" s="19">
        <v>56.75</v>
      </c>
      <c r="G42" s="20">
        <f>IF(OR(ISBLANK(F42),ISBLANK(E42)),0, ROUND(PRODUCT(ROUND(F42,2), ROUND(E42,2)),2))</f>
        <v>800.18</v>
      </c>
    </row>
    <row r="43" spans="2:7" x14ac:dyDescent="0.2">
      <c r="D43" s="14"/>
      <c r="E43" s="14"/>
      <c r="G43" s="13"/>
    </row>
    <row r="44" spans="2:7" x14ac:dyDescent="0.2">
      <c r="B44" s="15"/>
      <c r="C44" s="16" t="s">
        <v>34</v>
      </c>
      <c r="D44" s="17" t="s">
        <v>31</v>
      </c>
      <c r="E44" s="18">
        <v>14.1</v>
      </c>
      <c r="F44" s="19">
        <v>31.2</v>
      </c>
      <c r="G44" s="20">
        <f>IF(OR(ISBLANK(F44),ISBLANK(E44)),0, ROUND(PRODUCT(ROUND(F44,2), ROUND(E44,2)),2))</f>
        <v>439.92</v>
      </c>
    </row>
    <row r="45" spans="2:7" x14ac:dyDescent="0.2">
      <c r="D45" s="14"/>
      <c r="E45" s="14"/>
      <c r="G45" s="13"/>
    </row>
    <row r="46" spans="2:7" x14ac:dyDescent="0.2">
      <c r="B46" s="15" t="s">
        <v>35</v>
      </c>
      <c r="C46" s="16" t="s">
        <v>36</v>
      </c>
      <c r="D46" s="17"/>
      <c r="E46" s="18"/>
      <c r="G46" s="13"/>
    </row>
    <row r="47" spans="2:7" x14ac:dyDescent="0.2">
      <c r="D47" s="14"/>
      <c r="E47" s="14"/>
      <c r="G47" s="13"/>
    </row>
    <row r="48" spans="2:7" ht="409.5" x14ac:dyDescent="0.2">
      <c r="B48" s="15"/>
      <c r="C48" s="16" t="s">
        <v>37</v>
      </c>
      <c r="D48" s="14"/>
      <c r="E48" s="14"/>
      <c r="G48" s="13"/>
    </row>
    <row r="49" spans="2:7" ht="60" x14ac:dyDescent="0.2">
      <c r="C49" s="16" t="s">
        <v>38</v>
      </c>
      <c r="D49" s="17"/>
      <c r="E49" s="18"/>
      <c r="G49" s="13"/>
    </row>
    <row r="50" spans="2:7" x14ac:dyDescent="0.2">
      <c r="D50" s="14"/>
      <c r="E50" s="14"/>
    </row>
    <row r="51" spans="2:7" ht="120" x14ac:dyDescent="0.2">
      <c r="B51" s="15"/>
      <c r="C51" s="16" t="s">
        <v>40</v>
      </c>
      <c r="D51" s="17"/>
      <c r="E51" s="18"/>
      <c r="F51" s="83" t="s">
        <v>39</v>
      </c>
      <c r="G51" s="84"/>
    </row>
    <row r="52" spans="2:7" x14ac:dyDescent="0.2">
      <c r="D52" s="14"/>
      <c r="E52" s="14"/>
      <c r="G52" s="13"/>
    </row>
    <row r="53" spans="2:7" x14ac:dyDescent="0.2">
      <c r="B53" s="15"/>
      <c r="C53" s="16" t="s">
        <v>41</v>
      </c>
      <c r="D53" s="17" t="s">
        <v>31</v>
      </c>
      <c r="E53" s="18">
        <v>1</v>
      </c>
      <c r="F53" s="19">
        <v>63.45</v>
      </c>
      <c r="G53" s="20">
        <f>IF(OR(ISBLANK(F53),ISBLANK(E53)),0, ROUND(PRODUCT(ROUND(F53,2), ROUND(E53,2)),2))</f>
        <v>63.45</v>
      </c>
    </row>
    <row r="54" spans="2:7" x14ac:dyDescent="0.2">
      <c r="D54" s="14"/>
      <c r="E54" s="14"/>
      <c r="G54" s="13"/>
    </row>
    <row r="55" spans="2:7" x14ac:dyDescent="0.2">
      <c r="B55" s="15"/>
      <c r="C55" s="16" t="s">
        <v>42</v>
      </c>
      <c r="D55" s="17" t="s">
        <v>31</v>
      </c>
      <c r="E55" s="18">
        <v>1</v>
      </c>
      <c r="F55" s="19">
        <v>31.2</v>
      </c>
      <c r="G55" s="20">
        <f>IF(OR(ISBLANK(F55),ISBLANK(E55)),0, ROUND(PRODUCT(ROUND(F55,2), ROUND(E55,2)),2))</f>
        <v>31.2</v>
      </c>
    </row>
    <row r="56" spans="2:7" x14ac:dyDescent="0.2">
      <c r="D56" s="14"/>
      <c r="E56" s="14"/>
      <c r="G56" s="13"/>
    </row>
    <row r="57" spans="2:7" x14ac:dyDescent="0.2">
      <c r="B57" s="15"/>
      <c r="C57" s="16" t="s">
        <v>43</v>
      </c>
      <c r="D57" s="17" t="s">
        <v>31</v>
      </c>
      <c r="E57" s="18">
        <v>2</v>
      </c>
      <c r="F57" s="19">
        <v>51.99</v>
      </c>
      <c r="G57" s="20">
        <f>IF(OR(ISBLANK(F57),ISBLANK(E57)),0, ROUND(PRODUCT(ROUND(F57,2), ROUND(E57,2)),2))</f>
        <v>103.98</v>
      </c>
    </row>
    <row r="58" spans="2:7" x14ac:dyDescent="0.2">
      <c r="D58" s="14"/>
      <c r="E58" s="14"/>
      <c r="G58" s="13"/>
    </row>
    <row r="59" spans="2:7" x14ac:dyDescent="0.2">
      <c r="B59" s="15"/>
      <c r="C59" s="16" t="s">
        <v>44</v>
      </c>
      <c r="D59" s="17" t="s">
        <v>31</v>
      </c>
      <c r="E59" s="18">
        <v>2</v>
      </c>
      <c r="F59" s="19">
        <v>31.2</v>
      </c>
      <c r="G59" s="20">
        <f>IF(OR(ISBLANK(F59),ISBLANK(E59)),0, ROUND(PRODUCT(ROUND(F59,2), ROUND(E59,2)),2))</f>
        <v>62.4</v>
      </c>
    </row>
    <row r="60" spans="2:7" x14ac:dyDescent="0.2">
      <c r="D60" s="14"/>
      <c r="E60" s="14"/>
      <c r="G60" s="13"/>
    </row>
    <row r="61" spans="2:7" ht="36" x14ac:dyDescent="0.2">
      <c r="B61" s="15" t="s">
        <v>45</v>
      </c>
      <c r="C61" s="16" t="s">
        <v>46</v>
      </c>
      <c r="D61" s="17"/>
      <c r="E61" s="18"/>
      <c r="G61" s="13"/>
    </row>
    <row r="62" spans="2:7" x14ac:dyDescent="0.2">
      <c r="D62" s="14"/>
      <c r="E62" s="14"/>
      <c r="G62" s="13"/>
    </row>
    <row r="63" spans="2:7" ht="360" x14ac:dyDescent="0.2">
      <c r="B63" s="15"/>
      <c r="C63" s="16" t="s">
        <v>47</v>
      </c>
      <c r="D63" s="14"/>
      <c r="E63" s="14"/>
      <c r="G63" s="13"/>
    </row>
    <row r="64" spans="2:7" ht="108" x14ac:dyDescent="0.2">
      <c r="C64" s="16" t="s">
        <v>48</v>
      </c>
      <c r="D64" s="17"/>
      <c r="E64" s="18"/>
      <c r="G64" s="13"/>
    </row>
    <row r="65" spans="2:7" x14ac:dyDescent="0.2">
      <c r="D65" s="14"/>
      <c r="E65" s="14"/>
    </row>
    <row r="66" spans="2:7" ht="288" x14ac:dyDescent="0.2">
      <c r="B66" s="15"/>
      <c r="C66" s="16" t="s">
        <v>50</v>
      </c>
      <c r="D66" s="17"/>
      <c r="E66" s="18"/>
      <c r="F66" s="83" t="s">
        <v>49</v>
      </c>
      <c r="G66" s="84"/>
    </row>
    <row r="67" spans="2:7" x14ac:dyDescent="0.2">
      <c r="D67" s="14"/>
      <c r="E67" s="14"/>
      <c r="G67" s="13"/>
    </row>
    <row r="68" spans="2:7" x14ac:dyDescent="0.2">
      <c r="B68" s="15"/>
      <c r="C68" s="16" t="s">
        <v>51</v>
      </c>
      <c r="D68" s="17" t="s">
        <v>52</v>
      </c>
      <c r="E68" s="18">
        <v>30</v>
      </c>
      <c r="F68" s="19">
        <v>135</v>
      </c>
      <c r="G68" s="20">
        <f>IF(OR(ISBLANK(F68),ISBLANK(E68)),0, ROUND(PRODUCT(ROUND(F68,2), ROUND(E68,2)),2))</f>
        <v>4050</v>
      </c>
    </row>
    <row r="69" spans="2:7" x14ac:dyDescent="0.2">
      <c r="D69" s="14"/>
      <c r="E69" s="14"/>
      <c r="G69" s="13"/>
    </row>
    <row r="70" spans="2:7" x14ac:dyDescent="0.2">
      <c r="B70" s="15"/>
      <c r="C70" s="16" t="s">
        <v>53</v>
      </c>
      <c r="D70" s="17" t="s">
        <v>31</v>
      </c>
      <c r="E70" s="18">
        <v>264.39999999999998</v>
      </c>
      <c r="F70" s="19">
        <v>88</v>
      </c>
      <c r="G70" s="20">
        <f>IF(OR(ISBLANK(F70),ISBLANK(E70)),0, ROUND(PRODUCT(ROUND(F70,2), ROUND(E70,2)),2))</f>
        <v>23267.200000000001</v>
      </c>
    </row>
    <row r="71" spans="2:7" x14ac:dyDescent="0.2">
      <c r="D71" s="14"/>
      <c r="E71" s="4">
        <v>179</v>
      </c>
      <c r="G71" s="13"/>
    </row>
    <row r="72" spans="2:7" ht="48" x14ac:dyDescent="0.2">
      <c r="B72" s="15"/>
      <c r="C72" s="3" t="s">
        <v>54</v>
      </c>
      <c r="D72" s="17" t="s">
        <v>31</v>
      </c>
      <c r="E72" s="18">
        <v>0</v>
      </c>
      <c r="F72" s="19">
        <v>0</v>
      </c>
      <c r="G72" s="20">
        <f>IF(OR(ISBLANK(F72),ISBLANK(E72)),0, ROUND(PRODUCT(ROUND(F72,2), ROUND(E72,2)),2))</f>
        <v>0</v>
      </c>
    </row>
    <row r="73" spans="2:7" x14ac:dyDescent="0.2">
      <c r="D73" s="14"/>
      <c r="E73" s="14"/>
      <c r="G73" s="13"/>
    </row>
    <row r="74" spans="2:7" x14ac:dyDescent="0.2">
      <c r="B74" s="15"/>
      <c r="C74" s="16" t="s">
        <v>55</v>
      </c>
      <c r="D74" s="17" t="s">
        <v>31</v>
      </c>
      <c r="E74" s="18">
        <v>264.39999999999998</v>
      </c>
      <c r="F74" s="19">
        <v>158</v>
      </c>
      <c r="G74" s="20">
        <f>IF(OR(ISBLANK(F74),ISBLANK(E74)),0, ROUND(PRODUCT(ROUND(F74,2), ROUND(E74,2)),2))</f>
        <v>41775.199999999997</v>
      </c>
    </row>
    <row r="75" spans="2:7" x14ac:dyDescent="0.2">
      <c r="D75" s="14"/>
      <c r="E75" s="14"/>
      <c r="G75" s="13"/>
    </row>
    <row r="76" spans="2:7" ht="48" x14ac:dyDescent="0.2">
      <c r="B76" s="15" t="s">
        <v>56</v>
      </c>
      <c r="C76" s="16" t="s">
        <v>57</v>
      </c>
      <c r="D76" s="17"/>
      <c r="E76" s="18"/>
      <c r="G76" s="13"/>
    </row>
    <row r="77" spans="2:7" x14ac:dyDescent="0.2">
      <c r="D77" s="14"/>
      <c r="E77" s="14"/>
      <c r="G77" s="13"/>
    </row>
    <row r="78" spans="2:7" ht="336" x14ac:dyDescent="0.2">
      <c r="B78" s="15"/>
      <c r="C78" s="16" t="s">
        <v>58</v>
      </c>
      <c r="D78" s="14"/>
      <c r="E78" s="14"/>
      <c r="G78" s="13"/>
    </row>
    <row r="79" spans="2:7" ht="108" x14ac:dyDescent="0.2">
      <c r="C79" s="16" t="s">
        <v>59</v>
      </c>
      <c r="D79" s="17"/>
      <c r="E79" s="18"/>
      <c r="G79" s="13"/>
    </row>
    <row r="80" spans="2:7" x14ac:dyDescent="0.2">
      <c r="D80" s="14"/>
      <c r="E80" s="14"/>
      <c r="G80" s="13"/>
    </row>
    <row r="81" spans="2:7" ht="300" x14ac:dyDescent="0.2">
      <c r="B81" s="15"/>
      <c r="C81" s="16" t="s">
        <v>60</v>
      </c>
      <c r="D81" s="17"/>
      <c r="E81" s="18"/>
      <c r="G81" s="13"/>
    </row>
    <row r="82" spans="2:7" x14ac:dyDescent="0.2">
      <c r="D82" s="14"/>
      <c r="E82" s="14"/>
      <c r="G82" s="13"/>
    </row>
    <row r="83" spans="2:7" x14ac:dyDescent="0.2">
      <c r="B83" s="15"/>
      <c r="C83" s="16" t="s">
        <v>61</v>
      </c>
      <c r="D83" s="17" t="s">
        <v>31</v>
      </c>
      <c r="E83" s="18">
        <v>15.8</v>
      </c>
      <c r="F83" s="19">
        <v>86</v>
      </c>
      <c r="G83" s="20">
        <f>IF(OR(ISBLANK(F83),ISBLANK(E83)),0, ROUND(PRODUCT(ROUND(F83,2), ROUND(E83,2)),2))</f>
        <v>1358.8</v>
      </c>
    </row>
    <row r="84" spans="2:7" x14ac:dyDescent="0.2">
      <c r="D84" s="14"/>
      <c r="E84" s="14"/>
      <c r="G84" s="13"/>
    </row>
    <row r="85" spans="2:7" x14ac:dyDescent="0.2">
      <c r="B85" s="15"/>
      <c r="C85" s="16" t="s">
        <v>62</v>
      </c>
      <c r="D85" s="17" t="s">
        <v>31</v>
      </c>
      <c r="E85" s="18">
        <v>15.8</v>
      </c>
      <c r="F85" s="19">
        <v>158</v>
      </c>
      <c r="G85" s="20">
        <f>IF(OR(ISBLANK(F85),ISBLANK(E85)),0, ROUND(PRODUCT(ROUND(F85,2), ROUND(E85,2)),2))</f>
        <v>2496.4</v>
      </c>
    </row>
    <row r="86" spans="2:7" x14ac:dyDescent="0.2">
      <c r="D86" s="14"/>
      <c r="E86" s="14"/>
      <c r="G86" s="13"/>
    </row>
    <row r="87" spans="2:7" ht="24" x14ac:dyDescent="0.2">
      <c r="B87" s="2" t="s">
        <v>246</v>
      </c>
      <c r="C87" s="1" t="s">
        <v>247</v>
      </c>
      <c r="D87" s="17" t="s">
        <v>52</v>
      </c>
      <c r="E87" s="18">
        <v>1</v>
      </c>
      <c r="F87" s="19">
        <v>27.59</v>
      </c>
      <c r="G87" s="20">
        <f>IF(OR(ISBLANK(F87),ISBLANK(E87)),0, ROUND(PRODUCT(ROUND(F87,2), ROUND(E87,2)),2))</f>
        <v>27.59</v>
      </c>
    </row>
    <row r="88" spans="2:7" x14ac:dyDescent="0.2">
      <c r="D88" s="14"/>
      <c r="E88" s="14"/>
      <c r="G88" s="13"/>
    </row>
    <row r="89" spans="2:7" x14ac:dyDescent="0.2">
      <c r="B89" s="15"/>
      <c r="C89" s="16" t="s">
        <v>63</v>
      </c>
      <c r="D89" s="17"/>
      <c r="E89" s="18"/>
      <c r="G89" s="13"/>
    </row>
    <row r="90" spans="2:7" x14ac:dyDescent="0.2">
      <c r="D90" s="14"/>
      <c r="E90" s="14"/>
      <c r="G90" s="13"/>
    </row>
    <row r="91" spans="2:7" ht="24" x14ac:dyDescent="0.2">
      <c r="B91" s="15" t="s">
        <v>64</v>
      </c>
      <c r="C91" s="16" t="s">
        <v>65</v>
      </c>
      <c r="D91" s="17"/>
      <c r="E91" s="18"/>
      <c r="G91" s="13"/>
    </row>
    <row r="92" spans="2:7" x14ac:dyDescent="0.2">
      <c r="D92" s="14"/>
      <c r="E92" s="14"/>
      <c r="G92" s="13"/>
    </row>
    <row r="93" spans="2:7" ht="108" x14ac:dyDescent="0.2">
      <c r="B93" s="15"/>
      <c r="C93" s="16" t="s">
        <v>66</v>
      </c>
      <c r="D93" s="17"/>
      <c r="E93" s="18"/>
      <c r="G93" s="13"/>
    </row>
    <row r="94" spans="2:7" x14ac:dyDescent="0.2">
      <c r="D94" s="14"/>
      <c r="E94" s="14"/>
      <c r="G94" s="13"/>
    </row>
    <row r="95" spans="2:7" ht="96" x14ac:dyDescent="0.2">
      <c r="B95" s="15" t="s">
        <v>67</v>
      </c>
      <c r="C95" s="16" t="s">
        <v>68</v>
      </c>
      <c r="D95" s="17"/>
      <c r="E95" s="18"/>
      <c r="G95" s="13"/>
    </row>
    <row r="96" spans="2:7" x14ac:dyDescent="0.2">
      <c r="D96" s="14"/>
      <c r="E96" s="14"/>
      <c r="G96" s="13"/>
    </row>
    <row r="97" spans="2:7" ht="144" x14ac:dyDescent="0.2">
      <c r="B97" s="15" t="s">
        <v>69</v>
      </c>
      <c r="C97" s="16" t="s">
        <v>70</v>
      </c>
      <c r="D97" s="17"/>
      <c r="E97" s="18"/>
      <c r="G97" s="13"/>
    </row>
    <row r="98" spans="2:7" x14ac:dyDescent="0.2">
      <c r="D98" s="14"/>
      <c r="E98" s="14"/>
      <c r="G98" s="13"/>
    </row>
    <row r="99" spans="2:7" ht="60" x14ac:dyDescent="0.2">
      <c r="B99" s="15" t="s">
        <v>71</v>
      </c>
      <c r="C99" s="16" t="s">
        <v>72</v>
      </c>
      <c r="D99" s="17"/>
      <c r="E99" s="18"/>
      <c r="G99" s="13"/>
    </row>
    <row r="100" spans="2:7" x14ac:dyDescent="0.2">
      <c r="D100" s="14"/>
      <c r="E100" s="14"/>
      <c r="G100" s="13"/>
    </row>
    <row r="101" spans="2:7" x14ac:dyDescent="0.2">
      <c r="B101" s="15" t="s">
        <v>73</v>
      </c>
      <c r="C101" s="16" t="s">
        <v>74</v>
      </c>
      <c r="D101" s="17"/>
      <c r="E101" s="18"/>
      <c r="G101" s="13"/>
    </row>
    <row r="102" spans="2:7" x14ac:dyDescent="0.2">
      <c r="D102" s="14"/>
      <c r="E102" s="14"/>
      <c r="F102" s="83" t="s">
        <v>75</v>
      </c>
      <c r="G102" s="84"/>
    </row>
    <row r="103" spans="2:7" ht="60" x14ac:dyDescent="0.2">
      <c r="B103" s="15"/>
      <c r="C103" s="16" t="s">
        <v>76</v>
      </c>
      <c r="D103" s="17"/>
      <c r="E103" s="18"/>
      <c r="G103" s="13"/>
    </row>
    <row r="104" spans="2:7" x14ac:dyDescent="0.2">
      <c r="D104" s="14"/>
      <c r="E104" s="14"/>
      <c r="G104" s="13"/>
    </row>
    <row r="105" spans="2:7" x14ac:dyDescent="0.2">
      <c r="B105" s="15"/>
      <c r="C105" s="16" t="s">
        <v>77</v>
      </c>
      <c r="D105" s="17" t="s">
        <v>31</v>
      </c>
      <c r="E105" s="18">
        <v>30.1</v>
      </c>
      <c r="F105" s="19">
        <v>56.75</v>
      </c>
      <c r="G105" s="20">
        <f>IF(OR(ISBLANK(F105),ISBLANK(E105)),0, ROUND(PRODUCT(ROUND(F105,2), ROUND(E105,2)),2))</f>
        <v>1708.18</v>
      </c>
    </row>
    <row r="106" spans="2:7" x14ac:dyDescent="0.2">
      <c r="D106" s="14"/>
      <c r="E106" s="14"/>
      <c r="G106" s="13"/>
    </row>
    <row r="107" spans="2:7" x14ac:dyDescent="0.2">
      <c r="B107" s="15"/>
      <c r="C107" s="16" t="s">
        <v>78</v>
      </c>
      <c r="D107" s="17" t="s">
        <v>31</v>
      </c>
      <c r="E107" s="18">
        <v>30.1</v>
      </c>
      <c r="F107" s="19">
        <v>17.75</v>
      </c>
      <c r="G107" s="20">
        <f>IF(OR(ISBLANK(F107),ISBLANK(E107)),0, ROUND(PRODUCT(ROUND(F107,2), ROUND(E107,2)),2))</f>
        <v>534.28</v>
      </c>
    </row>
    <row r="108" spans="2:7" x14ac:dyDescent="0.2">
      <c r="D108" s="14"/>
      <c r="E108" s="14"/>
      <c r="G108" s="13"/>
    </row>
    <row r="109" spans="2:7" x14ac:dyDescent="0.2">
      <c r="B109" s="15" t="s">
        <v>79</v>
      </c>
      <c r="C109" s="16" t="s">
        <v>80</v>
      </c>
      <c r="D109" s="17"/>
      <c r="E109" s="18"/>
      <c r="G109" s="13"/>
    </row>
    <row r="110" spans="2:7" x14ac:dyDescent="0.2">
      <c r="D110" s="14"/>
      <c r="E110" s="14"/>
      <c r="G110" s="13"/>
    </row>
    <row r="111" spans="2:7" ht="156" x14ac:dyDescent="0.2">
      <c r="B111" s="15"/>
      <c r="C111" s="16" t="s">
        <v>81</v>
      </c>
      <c r="D111" s="17"/>
      <c r="E111" s="18"/>
      <c r="G111" s="13"/>
    </row>
    <row r="112" spans="2:7" x14ac:dyDescent="0.2">
      <c r="D112" s="14"/>
      <c r="E112" s="14"/>
      <c r="G112" s="13"/>
    </row>
    <row r="113" spans="2:7" ht="108" x14ac:dyDescent="0.2">
      <c r="B113" s="15" t="s">
        <v>67</v>
      </c>
      <c r="C113" s="16" t="s">
        <v>82</v>
      </c>
      <c r="D113" s="17"/>
      <c r="E113" s="18"/>
      <c r="G113" s="13"/>
    </row>
    <row r="114" spans="2:7" x14ac:dyDescent="0.2">
      <c r="D114" s="14"/>
      <c r="E114" s="14"/>
      <c r="G114" s="13"/>
    </row>
    <row r="115" spans="2:7" ht="108" x14ac:dyDescent="0.2">
      <c r="B115" s="15" t="s">
        <v>69</v>
      </c>
      <c r="C115" s="16" t="s">
        <v>83</v>
      </c>
      <c r="D115" s="17"/>
      <c r="E115" s="18"/>
      <c r="G115" s="13"/>
    </row>
    <row r="116" spans="2:7" x14ac:dyDescent="0.2">
      <c r="D116" s="14"/>
      <c r="E116" s="14"/>
      <c r="G116" s="13"/>
    </row>
    <row r="117" spans="2:7" ht="60" x14ac:dyDescent="0.2">
      <c r="B117" s="15" t="s">
        <v>84</v>
      </c>
      <c r="C117" s="16" t="s">
        <v>85</v>
      </c>
      <c r="D117" s="17"/>
      <c r="E117" s="18"/>
      <c r="G117" s="13"/>
    </row>
    <row r="118" spans="2:7" x14ac:dyDescent="0.2">
      <c r="D118" s="14"/>
      <c r="E118" s="14"/>
      <c r="G118" s="13"/>
    </row>
    <row r="119" spans="2:7" x14ac:dyDescent="0.2">
      <c r="B119" s="15" t="s">
        <v>73</v>
      </c>
      <c r="C119" s="16" t="s">
        <v>86</v>
      </c>
      <c r="D119" s="17"/>
      <c r="E119" s="18"/>
      <c r="G119" s="13"/>
    </row>
    <row r="120" spans="2:7" x14ac:dyDescent="0.2">
      <c r="D120" s="14"/>
      <c r="E120" s="14"/>
      <c r="F120" s="83" t="s">
        <v>87</v>
      </c>
      <c r="G120" s="84"/>
    </row>
    <row r="121" spans="2:7" ht="60" x14ac:dyDescent="0.2">
      <c r="B121" s="15"/>
      <c r="C121" s="16" t="s">
        <v>88</v>
      </c>
      <c r="D121" s="17"/>
      <c r="E121" s="18"/>
      <c r="G121" s="13"/>
    </row>
    <row r="122" spans="2:7" x14ac:dyDescent="0.2">
      <c r="D122" s="14"/>
      <c r="E122" s="14"/>
      <c r="G122" s="13"/>
    </row>
    <row r="123" spans="2:7" x14ac:dyDescent="0.2">
      <c r="B123" s="15"/>
      <c r="C123" s="16" t="s">
        <v>89</v>
      </c>
      <c r="D123" s="17" t="s">
        <v>31</v>
      </c>
      <c r="E123" s="18">
        <v>20.2</v>
      </c>
      <c r="F123" s="19">
        <v>51.99</v>
      </c>
      <c r="G123" s="20">
        <f>IF(OR(ISBLANK(F123),ISBLANK(E123)),0, ROUND(PRODUCT(ROUND(F123,2), ROUND(E123,2)),2))</f>
        <v>1050.2</v>
      </c>
    </row>
    <row r="124" spans="2:7" x14ac:dyDescent="0.2">
      <c r="D124" s="14"/>
      <c r="E124" s="14"/>
      <c r="G124" s="13"/>
    </row>
    <row r="125" spans="2:7" x14ac:dyDescent="0.2">
      <c r="B125" s="15"/>
      <c r="C125" s="16" t="s">
        <v>90</v>
      </c>
      <c r="D125" s="17" t="s">
        <v>31</v>
      </c>
      <c r="E125" s="18">
        <v>20.2</v>
      </c>
      <c r="F125" s="19">
        <v>17.75</v>
      </c>
      <c r="G125" s="20">
        <f>IF(OR(ISBLANK(F125),ISBLANK(E125)),0, ROUND(PRODUCT(ROUND(F125,2), ROUND(E125,2)),2))</f>
        <v>358.55</v>
      </c>
    </row>
    <row r="126" spans="2:7" x14ac:dyDescent="0.2">
      <c r="D126" s="14"/>
      <c r="E126" s="14"/>
      <c r="G126" s="13"/>
    </row>
    <row r="127" spans="2:7" x14ac:dyDescent="0.2">
      <c r="B127" s="15"/>
      <c r="C127" s="16" t="s">
        <v>91</v>
      </c>
      <c r="D127" s="17"/>
      <c r="E127" s="18"/>
      <c r="G127" s="13"/>
    </row>
    <row r="128" spans="2:7" x14ac:dyDescent="0.2">
      <c r="D128" s="14"/>
      <c r="E128" s="14"/>
      <c r="G128" s="13"/>
    </row>
    <row r="129" spans="2:7" x14ac:dyDescent="0.2">
      <c r="B129" s="15" t="s">
        <v>92</v>
      </c>
      <c r="C129" s="16" t="s">
        <v>93</v>
      </c>
      <c r="D129" s="17"/>
      <c r="E129" s="18"/>
      <c r="G129" s="13"/>
    </row>
    <row r="130" spans="2:7" x14ac:dyDescent="0.2">
      <c r="D130" s="14"/>
      <c r="E130" s="14"/>
      <c r="G130" s="13"/>
    </row>
    <row r="131" spans="2:7" ht="132" x14ac:dyDescent="0.2">
      <c r="B131" s="15"/>
      <c r="C131" s="16" t="s">
        <v>94</v>
      </c>
      <c r="D131" s="17"/>
      <c r="E131" s="18"/>
      <c r="G131" s="13"/>
    </row>
    <row r="132" spans="2:7" x14ac:dyDescent="0.2">
      <c r="D132" s="14"/>
      <c r="E132" s="14"/>
      <c r="G132" s="13"/>
    </row>
    <row r="133" spans="2:7" ht="24" x14ac:dyDescent="0.2">
      <c r="B133" s="15" t="s">
        <v>67</v>
      </c>
      <c r="C133" s="16" t="s">
        <v>95</v>
      </c>
      <c r="D133" s="17"/>
      <c r="E133" s="18"/>
      <c r="G133" s="13"/>
    </row>
    <row r="134" spans="2:7" x14ac:dyDescent="0.2">
      <c r="D134" s="14"/>
      <c r="E134" s="14"/>
      <c r="G134" s="13"/>
    </row>
    <row r="135" spans="2:7" x14ac:dyDescent="0.2">
      <c r="B135" s="15" t="s">
        <v>69</v>
      </c>
      <c r="C135" s="16" t="s">
        <v>96</v>
      </c>
      <c r="D135" s="17"/>
      <c r="E135" s="18"/>
      <c r="G135" s="13"/>
    </row>
    <row r="136" spans="2:7" x14ac:dyDescent="0.2">
      <c r="D136" s="14"/>
      <c r="E136" s="14"/>
      <c r="G136" s="13"/>
    </row>
    <row r="137" spans="2:7" ht="132" x14ac:dyDescent="0.2">
      <c r="B137" s="15" t="s">
        <v>84</v>
      </c>
      <c r="C137" s="16" t="s">
        <v>97</v>
      </c>
      <c r="D137" s="17"/>
      <c r="E137" s="18"/>
      <c r="G137" s="13"/>
    </row>
    <row r="138" spans="2:7" x14ac:dyDescent="0.2">
      <c r="D138" s="14"/>
      <c r="E138" s="14"/>
      <c r="G138" s="13"/>
    </row>
    <row r="139" spans="2:7" ht="60" x14ac:dyDescent="0.2">
      <c r="B139" s="15" t="s">
        <v>73</v>
      </c>
      <c r="C139" s="16" t="s">
        <v>98</v>
      </c>
      <c r="D139" s="17"/>
      <c r="E139" s="18"/>
      <c r="G139" s="13"/>
    </row>
    <row r="140" spans="2:7" x14ac:dyDescent="0.2">
      <c r="D140" s="14"/>
      <c r="E140" s="14"/>
      <c r="G140" s="13"/>
    </row>
    <row r="141" spans="2:7" x14ac:dyDescent="0.2">
      <c r="B141" s="15" t="s">
        <v>99</v>
      </c>
      <c r="C141" s="16" t="s">
        <v>100</v>
      </c>
      <c r="D141" s="17"/>
      <c r="E141" s="18"/>
      <c r="G141" s="13"/>
    </row>
    <row r="142" spans="2:7" x14ac:dyDescent="0.2">
      <c r="D142" s="14"/>
      <c r="E142" s="14"/>
      <c r="G142" s="13"/>
    </row>
    <row r="143" spans="2:7" ht="72" x14ac:dyDescent="0.2">
      <c r="B143" s="15"/>
      <c r="C143" s="16" t="s">
        <v>101</v>
      </c>
      <c r="D143" s="17"/>
      <c r="E143" s="18"/>
    </row>
    <row r="144" spans="2:7" ht="36" x14ac:dyDescent="0.2">
      <c r="D144" s="14"/>
      <c r="E144" s="4"/>
      <c r="G144" s="13" t="s">
        <v>255</v>
      </c>
    </row>
    <row r="145" spans="2:7" x14ac:dyDescent="0.2">
      <c r="B145" s="15"/>
      <c r="C145" s="16" t="s">
        <v>102</v>
      </c>
      <c r="D145" s="17" t="s">
        <v>31</v>
      </c>
      <c r="E145" s="18">
        <v>144.5</v>
      </c>
      <c r="F145" s="19">
        <v>0</v>
      </c>
      <c r="G145" s="20">
        <f>IF(OR(ISBLANK(F145),ISBLANK(E145)),0, ROUND(PRODUCT(ROUND(F145,2), ROUND(E145,2)),2))</f>
        <v>0</v>
      </c>
    </row>
    <row r="146" spans="2:7" x14ac:dyDescent="0.2">
      <c r="D146" s="14"/>
      <c r="E146" s="14"/>
      <c r="F146" s="83" t="s">
        <v>103</v>
      </c>
      <c r="G146" s="84"/>
    </row>
    <row r="147" spans="2:7" x14ac:dyDescent="0.2">
      <c r="B147" s="15"/>
      <c r="C147" s="16" t="s">
        <v>104</v>
      </c>
      <c r="D147" s="17" t="s">
        <v>31</v>
      </c>
      <c r="E147" s="18">
        <v>111</v>
      </c>
      <c r="F147" s="19">
        <v>32.299999999999997</v>
      </c>
      <c r="G147" s="20">
        <f>IF(OR(ISBLANK(F147),ISBLANK(E147)),0, ROUND(PRODUCT(ROUND(F147,2), ROUND(E147,2)),2))</f>
        <v>3585.3</v>
      </c>
    </row>
    <row r="148" spans="2:7" x14ac:dyDescent="0.2">
      <c r="D148" s="14"/>
      <c r="E148" s="14"/>
      <c r="G148" s="13"/>
    </row>
    <row r="149" spans="2:7" x14ac:dyDescent="0.2">
      <c r="B149" s="15" t="s">
        <v>105</v>
      </c>
      <c r="C149" s="16" t="s">
        <v>106</v>
      </c>
      <c r="D149" s="17"/>
      <c r="E149" s="18"/>
      <c r="G149" s="13"/>
    </row>
    <row r="150" spans="2:7" x14ac:dyDescent="0.2">
      <c r="D150" s="14"/>
      <c r="E150" s="14"/>
      <c r="G150" s="13"/>
    </row>
    <row r="151" spans="2:7" ht="132" x14ac:dyDescent="0.2">
      <c r="B151" s="15"/>
      <c r="C151" s="16" t="s">
        <v>107</v>
      </c>
      <c r="D151" s="17"/>
      <c r="E151" s="18"/>
      <c r="G151" s="13"/>
    </row>
    <row r="152" spans="2:7" x14ac:dyDescent="0.2">
      <c r="D152" s="14"/>
      <c r="E152" s="14"/>
      <c r="G152" s="13"/>
    </row>
    <row r="153" spans="2:7" ht="108" x14ac:dyDescent="0.2">
      <c r="B153" s="15" t="s">
        <v>67</v>
      </c>
      <c r="C153" s="16" t="s">
        <v>108</v>
      </c>
      <c r="D153" s="17"/>
      <c r="E153" s="18"/>
      <c r="G153" s="13"/>
    </row>
    <row r="154" spans="2:7" x14ac:dyDescent="0.2">
      <c r="D154" s="14"/>
      <c r="E154" s="14"/>
      <c r="G154" s="13"/>
    </row>
    <row r="155" spans="2:7" ht="132" x14ac:dyDescent="0.2">
      <c r="B155" s="15" t="s">
        <v>69</v>
      </c>
      <c r="C155" s="16" t="s">
        <v>109</v>
      </c>
      <c r="D155" s="17"/>
      <c r="E155" s="18"/>
      <c r="G155" s="13"/>
    </row>
    <row r="156" spans="2:7" x14ac:dyDescent="0.2">
      <c r="D156" s="14"/>
      <c r="E156" s="14"/>
      <c r="G156" s="13"/>
    </row>
    <row r="157" spans="2:7" ht="60" x14ac:dyDescent="0.2">
      <c r="B157" s="15" t="s">
        <v>84</v>
      </c>
      <c r="C157" s="16" t="s">
        <v>110</v>
      </c>
      <c r="D157" s="17"/>
      <c r="E157" s="18"/>
      <c r="G157" s="13"/>
    </row>
    <row r="158" spans="2:7" x14ac:dyDescent="0.2">
      <c r="D158" s="14"/>
      <c r="E158" s="14"/>
      <c r="G158" s="13"/>
    </row>
    <row r="159" spans="2:7" x14ac:dyDescent="0.2">
      <c r="B159" s="15" t="s">
        <v>73</v>
      </c>
      <c r="C159" s="16" t="s">
        <v>111</v>
      </c>
      <c r="D159" s="17"/>
      <c r="E159" s="18"/>
      <c r="G159" s="13"/>
    </row>
    <row r="160" spans="2:7" x14ac:dyDescent="0.2">
      <c r="D160" s="14"/>
      <c r="E160" s="14"/>
      <c r="F160" s="83" t="s">
        <v>112</v>
      </c>
      <c r="G160" s="84"/>
    </row>
    <row r="161" spans="2:7" ht="60" x14ac:dyDescent="0.2">
      <c r="B161" s="15"/>
      <c r="C161" s="16" t="s">
        <v>113</v>
      </c>
      <c r="D161" s="17" t="s">
        <v>31</v>
      </c>
      <c r="E161" s="18">
        <v>183.2</v>
      </c>
      <c r="F161" s="19">
        <v>78.72</v>
      </c>
      <c r="G161" s="20">
        <f>IF(OR(ISBLANK(F161),ISBLANK(E161)),0, ROUND(PRODUCT(ROUND(F161,2), ROUND(E161,2)),2))</f>
        <v>14421.5</v>
      </c>
    </row>
    <row r="162" spans="2:7" x14ac:dyDescent="0.2">
      <c r="D162" s="14"/>
      <c r="E162" s="14"/>
      <c r="G162" s="13"/>
    </row>
    <row r="163" spans="2:7" x14ac:dyDescent="0.2">
      <c r="B163" s="15"/>
      <c r="C163" s="16" t="s">
        <v>114</v>
      </c>
      <c r="D163" s="17"/>
      <c r="E163" s="18"/>
      <c r="G163" s="13"/>
    </row>
    <row r="164" spans="2:7" x14ac:dyDescent="0.2">
      <c r="D164" s="14"/>
      <c r="E164" s="14"/>
      <c r="G164" s="13"/>
    </row>
    <row r="165" spans="2:7" x14ac:dyDescent="0.2">
      <c r="B165" s="15" t="s">
        <v>115</v>
      </c>
      <c r="C165" s="16" t="s">
        <v>116</v>
      </c>
      <c r="D165" s="17"/>
      <c r="E165" s="18"/>
      <c r="G165" s="13"/>
    </row>
    <row r="166" spans="2:7" x14ac:dyDescent="0.2">
      <c r="D166" s="14"/>
      <c r="E166" s="14"/>
      <c r="F166" s="83"/>
      <c r="G166" s="84"/>
    </row>
    <row r="167" spans="2:7" ht="300" x14ac:dyDescent="0.2">
      <c r="B167" s="15"/>
      <c r="C167" s="16" t="s">
        <v>118</v>
      </c>
      <c r="D167" s="17"/>
      <c r="E167" s="18"/>
      <c r="F167" s="83" t="s">
        <v>117</v>
      </c>
      <c r="G167" s="84"/>
    </row>
    <row r="168" spans="2:7" x14ac:dyDescent="0.2">
      <c r="D168" s="14"/>
      <c r="E168" s="14"/>
      <c r="G168" s="13"/>
    </row>
    <row r="169" spans="2:7" x14ac:dyDescent="0.2">
      <c r="B169" s="15"/>
      <c r="C169" s="16" t="s">
        <v>119</v>
      </c>
      <c r="D169" s="17" t="s">
        <v>31</v>
      </c>
      <c r="E169" s="18">
        <v>140.69999999999999</v>
      </c>
      <c r="F169" s="19">
        <v>31.2</v>
      </c>
      <c r="G169" s="20">
        <f>IF(OR(ISBLANK(F169),ISBLANK(E169)),0, ROUND(PRODUCT(ROUND(F169,2), ROUND(E169,2)),2))</f>
        <v>4389.84</v>
      </c>
    </row>
    <row r="170" spans="2:7" x14ac:dyDescent="0.2">
      <c r="D170" s="14"/>
      <c r="E170" s="14"/>
      <c r="G170" s="13"/>
    </row>
    <row r="171" spans="2:7" x14ac:dyDescent="0.2">
      <c r="B171" s="15"/>
      <c r="C171" s="16" t="s">
        <v>120</v>
      </c>
      <c r="D171" s="17" t="s">
        <v>52</v>
      </c>
      <c r="E171" s="18">
        <v>118.4</v>
      </c>
      <c r="F171" s="19">
        <v>23.4</v>
      </c>
      <c r="G171" s="20">
        <f>IF(OR(ISBLANK(F171),ISBLANK(E171)),0, ROUND(PRODUCT(ROUND(F171,2), ROUND(E171,2)),2))</f>
        <v>2770.56</v>
      </c>
    </row>
    <row r="172" spans="2:7" x14ac:dyDescent="0.2">
      <c r="D172" s="14"/>
      <c r="E172" s="14"/>
      <c r="G172" s="13"/>
    </row>
    <row r="173" spans="2:7" x14ac:dyDescent="0.2">
      <c r="B173" s="21" t="s">
        <v>121</v>
      </c>
      <c r="C173" s="22" t="s">
        <v>122</v>
      </c>
      <c r="D173" s="23" t="s">
        <v>123</v>
      </c>
      <c r="E173" s="24"/>
      <c r="F173" s="25"/>
      <c r="G173" s="26">
        <f>ROUND(SUM(G20:G171),2)</f>
        <v>104778.23</v>
      </c>
    </row>
    <row r="174" spans="2:7" x14ac:dyDescent="0.2">
      <c r="D174" s="14"/>
      <c r="E174" s="14"/>
      <c r="G174" s="13"/>
    </row>
    <row r="175" spans="2:7" x14ac:dyDescent="0.2">
      <c r="B175" s="27" t="s">
        <v>124</v>
      </c>
      <c r="C175" s="28" t="s">
        <v>125</v>
      </c>
      <c r="D175" s="29" t="s">
        <v>123</v>
      </c>
      <c r="E175" s="30"/>
      <c r="F175" s="31"/>
      <c r="G175" s="32">
        <f>ROUND(SUM(G173),2)</f>
        <v>104778.23</v>
      </c>
    </row>
    <row r="176" spans="2:7" x14ac:dyDescent="0.2">
      <c r="D176" s="14"/>
      <c r="E176" s="14"/>
      <c r="G176" s="13"/>
    </row>
    <row r="177" spans="2:7" x14ac:dyDescent="0.2">
      <c r="B177" s="33" t="s">
        <v>126</v>
      </c>
      <c r="C177" s="34" t="s">
        <v>127</v>
      </c>
      <c r="D177" s="35" t="s">
        <v>123</v>
      </c>
      <c r="E177" s="36"/>
      <c r="F177" s="37"/>
      <c r="G177" s="38">
        <f>ROUND(SUM(G175),2)</f>
        <v>104778.23</v>
      </c>
    </row>
    <row r="178" spans="2:7" x14ac:dyDescent="0.2">
      <c r="D178" s="14"/>
      <c r="E178" s="14"/>
      <c r="G178" s="13"/>
    </row>
    <row r="179" spans="2:7" x14ac:dyDescent="0.2">
      <c r="B179" s="39"/>
      <c r="C179" s="40" t="s">
        <v>128</v>
      </c>
      <c r="D179" s="41" t="s">
        <v>123</v>
      </c>
      <c r="E179" s="42"/>
      <c r="F179" s="43"/>
      <c r="G179" s="44">
        <f>ROUND(SUM(G177),2)</f>
        <v>104778.23</v>
      </c>
    </row>
    <row r="180" spans="2:7" x14ac:dyDescent="0.2">
      <c r="D180" s="14"/>
      <c r="E180" s="14"/>
      <c r="G180" s="13"/>
    </row>
    <row r="181" spans="2:7" x14ac:dyDescent="0.2">
      <c r="B181" s="15"/>
      <c r="C181" s="16" t="s">
        <v>129</v>
      </c>
      <c r="D181" s="17"/>
      <c r="E181" s="18"/>
      <c r="G181" s="13"/>
    </row>
    <row r="182" spans="2:7" x14ac:dyDescent="0.2">
      <c r="D182" s="14"/>
      <c r="E182" s="14"/>
      <c r="G182" s="13"/>
    </row>
    <row r="183" spans="2:7" x14ac:dyDescent="0.2">
      <c r="B183" s="15" t="s">
        <v>130</v>
      </c>
      <c r="C183" s="16" t="s">
        <v>131</v>
      </c>
      <c r="D183" s="17"/>
      <c r="E183" s="18"/>
      <c r="G183" s="13"/>
    </row>
    <row r="184" spans="2:7" x14ac:dyDescent="0.2">
      <c r="D184" s="14"/>
      <c r="E184" s="14"/>
      <c r="G184" s="13"/>
    </row>
    <row r="185" spans="2:7" x14ac:dyDescent="0.2">
      <c r="B185" s="15" t="s">
        <v>132</v>
      </c>
      <c r="C185" s="16" t="s">
        <v>133</v>
      </c>
      <c r="D185" s="17"/>
      <c r="E185" s="18"/>
      <c r="G185" s="13"/>
    </row>
    <row r="186" spans="2:7" x14ac:dyDescent="0.2">
      <c r="D186" s="14"/>
      <c r="E186" s="14"/>
      <c r="G186" s="13"/>
    </row>
    <row r="187" spans="2:7" x14ac:dyDescent="0.2">
      <c r="B187" s="15" t="s">
        <v>134</v>
      </c>
      <c r="C187" s="16" t="s">
        <v>135</v>
      </c>
      <c r="D187" s="17"/>
      <c r="E187" s="18"/>
      <c r="G187" s="13"/>
    </row>
    <row r="188" spans="2:7" x14ac:dyDescent="0.2">
      <c r="D188" s="14"/>
      <c r="E188" s="14"/>
      <c r="G188" s="13"/>
    </row>
    <row r="189" spans="2:7" x14ac:dyDescent="0.2">
      <c r="B189" s="15"/>
      <c r="C189" s="16" t="s">
        <v>136</v>
      </c>
      <c r="D189" s="17"/>
      <c r="E189" s="18"/>
      <c r="G189" s="13"/>
    </row>
    <row r="190" spans="2:7" x14ac:dyDescent="0.2">
      <c r="D190" s="14"/>
      <c r="E190" s="14"/>
      <c r="G190" s="13"/>
    </row>
    <row r="191" spans="2:7" x14ac:dyDescent="0.2">
      <c r="B191" s="15"/>
      <c r="C191" s="16" t="s">
        <v>137</v>
      </c>
      <c r="D191" s="17"/>
      <c r="E191" s="18"/>
      <c r="G191" s="13"/>
    </row>
    <row r="192" spans="2:7" x14ac:dyDescent="0.2">
      <c r="D192" s="14"/>
      <c r="E192" s="14"/>
      <c r="G192" s="13"/>
    </row>
    <row r="193" spans="2:7" ht="72" x14ac:dyDescent="0.2">
      <c r="B193" s="15" t="s">
        <v>138</v>
      </c>
      <c r="C193" s="16" t="s">
        <v>139</v>
      </c>
      <c r="D193" s="17"/>
      <c r="E193" s="18"/>
      <c r="G193" s="13"/>
    </row>
    <row r="194" spans="2:7" x14ac:dyDescent="0.2">
      <c r="D194" s="14"/>
      <c r="E194" s="14"/>
      <c r="G194" s="13"/>
    </row>
    <row r="195" spans="2:7" x14ac:dyDescent="0.2">
      <c r="B195" s="15" t="s">
        <v>140</v>
      </c>
      <c r="C195" s="16" t="s">
        <v>141</v>
      </c>
      <c r="D195" s="17"/>
      <c r="E195" s="18"/>
      <c r="G195" s="13"/>
    </row>
    <row r="196" spans="2:7" x14ac:dyDescent="0.2">
      <c r="D196" s="14"/>
      <c r="E196" s="14"/>
      <c r="G196" s="13"/>
    </row>
    <row r="197" spans="2:7" ht="36" x14ac:dyDescent="0.2">
      <c r="B197" s="15" t="s">
        <v>142</v>
      </c>
      <c r="C197" s="16" t="s">
        <v>143</v>
      </c>
      <c r="D197" s="17"/>
      <c r="E197" s="18"/>
      <c r="G197" s="13"/>
    </row>
    <row r="198" spans="2:7" x14ac:dyDescent="0.2">
      <c r="D198" s="14"/>
      <c r="E198" s="14"/>
      <c r="G198" s="13"/>
    </row>
    <row r="199" spans="2:7" ht="192" x14ac:dyDescent="0.2">
      <c r="B199" s="15"/>
      <c r="C199" s="16" t="s">
        <v>144</v>
      </c>
      <c r="D199" s="17"/>
      <c r="E199" s="18"/>
      <c r="G199" s="13"/>
    </row>
    <row r="200" spans="2:7" x14ac:dyDescent="0.2">
      <c r="D200" s="14"/>
      <c r="E200" s="14"/>
      <c r="G200" s="13"/>
    </row>
    <row r="201" spans="2:7" x14ac:dyDescent="0.2">
      <c r="B201" s="15" t="s">
        <v>145</v>
      </c>
      <c r="C201" s="16" t="s">
        <v>146</v>
      </c>
      <c r="D201" s="17"/>
      <c r="E201" s="18"/>
      <c r="G201" s="13"/>
    </row>
    <row r="202" spans="2:7" x14ac:dyDescent="0.2">
      <c r="D202" s="14"/>
      <c r="E202" s="14"/>
      <c r="G202" s="13"/>
    </row>
    <row r="203" spans="2:7" ht="409.5" x14ac:dyDescent="0.2">
      <c r="B203" s="15"/>
      <c r="C203" s="16" t="s">
        <v>147</v>
      </c>
      <c r="D203" s="14"/>
      <c r="E203" s="14"/>
      <c r="G203" s="13"/>
    </row>
    <row r="204" spans="2:7" ht="60" x14ac:dyDescent="0.2">
      <c r="C204" s="16" t="s">
        <v>148</v>
      </c>
      <c r="D204" s="17"/>
      <c r="E204" s="18"/>
      <c r="G204" s="13"/>
    </row>
    <row r="205" spans="2:7" x14ac:dyDescent="0.2">
      <c r="D205" s="14"/>
      <c r="E205" s="14"/>
      <c r="F205" s="83" t="s">
        <v>149</v>
      </c>
      <c r="G205" s="84"/>
    </row>
    <row r="206" spans="2:7" ht="120" x14ac:dyDescent="0.2">
      <c r="B206" s="15"/>
      <c r="C206" s="16" t="s">
        <v>150</v>
      </c>
      <c r="D206" s="17"/>
      <c r="E206" s="18"/>
      <c r="G206" s="13"/>
    </row>
    <row r="207" spans="2:7" x14ac:dyDescent="0.2">
      <c r="D207" s="14"/>
      <c r="E207" s="14"/>
      <c r="G207" s="13"/>
    </row>
    <row r="208" spans="2:7" x14ac:dyDescent="0.2">
      <c r="B208" s="15"/>
      <c r="C208" s="16" t="s">
        <v>151</v>
      </c>
      <c r="D208" s="17" t="s">
        <v>31</v>
      </c>
      <c r="E208" s="18">
        <v>54</v>
      </c>
      <c r="F208" s="19">
        <v>67.7</v>
      </c>
      <c r="G208" s="20">
        <f>IF(OR(ISBLANK(F208),ISBLANK(E208)),0, ROUND(PRODUCT(ROUND(F208,2), ROUND(E208,2)),2))</f>
        <v>3655.8</v>
      </c>
    </row>
    <row r="209" spans="2:7" x14ac:dyDescent="0.2">
      <c r="D209" s="14"/>
      <c r="E209" s="14"/>
      <c r="G209" s="13"/>
    </row>
    <row r="210" spans="2:7" x14ac:dyDescent="0.2">
      <c r="B210" s="15"/>
      <c r="C210" s="16" t="s">
        <v>152</v>
      </c>
      <c r="D210" s="17" t="s">
        <v>31</v>
      </c>
      <c r="E210" s="18">
        <v>54</v>
      </c>
      <c r="F210" s="19">
        <v>31.2</v>
      </c>
      <c r="G210" s="20">
        <f>IF(OR(ISBLANK(F210),ISBLANK(E210)),0, ROUND(PRODUCT(ROUND(F210,2), ROUND(E210,2)),2))</f>
        <v>1684.8</v>
      </c>
    </row>
    <row r="211" spans="2:7" x14ac:dyDescent="0.2">
      <c r="D211" s="14"/>
      <c r="E211" s="14"/>
      <c r="G211" s="13"/>
    </row>
    <row r="212" spans="2:7" x14ac:dyDescent="0.2">
      <c r="B212" s="15"/>
      <c r="C212" s="16" t="s">
        <v>153</v>
      </c>
      <c r="D212" s="17" t="s">
        <v>31</v>
      </c>
      <c r="E212" s="18">
        <v>14.1</v>
      </c>
      <c r="F212" s="19">
        <v>56.75</v>
      </c>
      <c r="G212" s="20">
        <f>IF(OR(ISBLANK(F212),ISBLANK(E212)),0, ROUND(PRODUCT(ROUND(F212,2), ROUND(E212,2)),2))</f>
        <v>800.18</v>
      </c>
    </row>
    <row r="213" spans="2:7" x14ac:dyDescent="0.2">
      <c r="D213" s="14"/>
      <c r="E213" s="14"/>
      <c r="G213" s="13"/>
    </row>
    <row r="214" spans="2:7" x14ac:dyDescent="0.2">
      <c r="B214" s="15"/>
      <c r="C214" s="16" t="s">
        <v>154</v>
      </c>
      <c r="D214" s="17" t="s">
        <v>31</v>
      </c>
      <c r="E214" s="18">
        <v>14.1</v>
      </c>
      <c r="F214" s="19">
        <v>31.2</v>
      </c>
      <c r="G214" s="20">
        <f>IF(OR(ISBLANK(F214),ISBLANK(E214)),0, ROUND(PRODUCT(ROUND(F214,2), ROUND(E214,2)),2))</f>
        <v>439.92</v>
      </c>
    </row>
    <row r="215" spans="2:7" x14ac:dyDescent="0.2">
      <c r="D215" s="14"/>
      <c r="E215" s="14"/>
      <c r="G215" s="13"/>
    </row>
    <row r="216" spans="2:7" x14ac:dyDescent="0.2">
      <c r="B216" s="15" t="s">
        <v>155</v>
      </c>
      <c r="C216" s="16" t="s">
        <v>156</v>
      </c>
      <c r="D216" s="17"/>
      <c r="E216" s="18"/>
      <c r="G216" s="13"/>
    </row>
    <row r="217" spans="2:7" x14ac:dyDescent="0.2">
      <c r="D217" s="14"/>
      <c r="E217" s="14"/>
      <c r="G217" s="13"/>
    </row>
    <row r="218" spans="2:7" ht="409.5" x14ac:dyDescent="0.2">
      <c r="B218" s="15"/>
      <c r="C218" s="16" t="s">
        <v>157</v>
      </c>
      <c r="D218" s="14"/>
      <c r="E218" s="14"/>
      <c r="G218" s="13"/>
    </row>
    <row r="219" spans="2:7" ht="156" x14ac:dyDescent="0.2">
      <c r="C219" s="16" t="s">
        <v>158</v>
      </c>
      <c r="D219" s="17"/>
      <c r="E219" s="18"/>
      <c r="G219" s="13"/>
    </row>
    <row r="220" spans="2:7" x14ac:dyDescent="0.2">
      <c r="D220" s="14"/>
      <c r="E220" s="14"/>
      <c r="F220" s="83" t="s">
        <v>159</v>
      </c>
      <c r="G220" s="84"/>
    </row>
    <row r="221" spans="2:7" ht="24" x14ac:dyDescent="0.2">
      <c r="B221" s="15"/>
      <c r="C221" s="16" t="s">
        <v>160</v>
      </c>
      <c r="D221" s="17"/>
      <c r="E221" s="18"/>
      <c r="G221" s="13"/>
    </row>
    <row r="222" spans="2:7" x14ac:dyDescent="0.2">
      <c r="D222" s="14"/>
      <c r="E222" s="14"/>
      <c r="G222" s="13"/>
    </row>
    <row r="223" spans="2:7" x14ac:dyDescent="0.2">
      <c r="B223" s="15"/>
      <c r="C223" s="16" t="s">
        <v>161</v>
      </c>
      <c r="D223" s="17" t="s">
        <v>31</v>
      </c>
      <c r="E223" s="18">
        <v>5</v>
      </c>
      <c r="F223" s="19">
        <v>63.45</v>
      </c>
      <c r="G223" s="20">
        <f>IF(OR(ISBLANK(F223),ISBLANK(E223)),0, ROUND(PRODUCT(ROUND(F223,2), ROUND(E223,2)),2))</f>
        <v>317.25</v>
      </c>
    </row>
    <row r="224" spans="2:7" x14ac:dyDescent="0.2">
      <c r="D224" s="14"/>
      <c r="E224" s="14"/>
      <c r="G224" s="13"/>
    </row>
    <row r="225" spans="2:7" x14ac:dyDescent="0.2">
      <c r="B225" s="15"/>
      <c r="C225" s="16" t="s">
        <v>162</v>
      </c>
      <c r="D225" s="17" t="s">
        <v>31</v>
      </c>
      <c r="E225" s="18">
        <v>5</v>
      </c>
      <c r="F225" s="19">
        <v>31.2</v>
      </c>
      <c r="G225" s="20">
        <f>IF(OR(ISBLANK(F225),ISBLANK(E225)),0, ROUND(PRODUCT(ROUND(F225,2), ROUND(E225,2)),2))</f>
        <v>156</v>
      </c>
    </row>
    <row r="226" spans="2:7" x14ac:dyDescent="0.2">
      <c r="D226" s="14"/>
      <c r="E226" s="14"/>
      <c r="G226" s="13"/>
    </row>
    <row r="227" spans="2:7" x14ac:dyDescent="0.2">
      <c r="B227" s="15"/>
      <c r="C227" s="16" t="s">
        <v>163</v>
      </c>
      <c r="D227" s="17" t="s">
        <v>31</v>
      </c>
      <c r="E227" s="18">
        <v>2</v>
      </c>
      <c r="F227" s="19">
        <v>51.99</v>
      </c>
      <c r="G227" s="20">
        <f>IF(OR(ISBLANK(F227),ISBLANK(E227)),0, ROUND(PRODUCT(ROUND(F227,2), ROUND(E227,2)),2))</f>
        <v>103.98</v>
      </c>
    </row>
    <row r="228" spans="2:7" x14ac:dyDescent="0.2">
      <c r="D228" s="14"/>
      <c r="E228" s="14"/>
      <c r="G228" s="13"/>
    </row>
    <row r="229" spans="2:7" x14ac:dyDescent="0.2">
      <c r="B229" s="15"/>
      <c r="C229" s="16" t="s">
        <v>164</v>
      </c>
      <c r="D229" s="17" t="s">
        <v>31</v>
      </c>
      <c r="E229" s="18">
        <v>2</v>
      </c>
      <c r="F229" s="19">
        <v>31.2</v>
      </c>
      <c r="G229" s="20">
        <f>IF(OR(ISBLANK(F229),ISBLANK(E229)),0, ROUND(PRODUCT(ROUND(F229,2), ROUND(E229,2)),2))</f>
        <v>62.4</v>
      </c>
    </row>
    <row r="230" spans="2:7" x14ac:dyDescent="0.2">
      <c r="D230" s="14"/>
      <c r="E230" s="14"/>
      <c r="G230" s="13"/>
    </row>
    <row r="231" spans="2:7" ht="36" x14ac:dyDescent="0.2">
      <c r="B231" s="15" t="s">
        <v>165</v>
      </c>
      <c r="C231" s="16" t="s">
        <v>166</v>
      </c>
      <c r="D231" s="17"/>
      <c r="E231" s="18"/>
      <c r="G231" s="13"/>
    </row>
    <row r="232" spans="2:7" x14ac:dyDescent="0.2">
      <c r="D232" s="14"/>
      <c r="E232" s="14"/>
      <c r="G232" s="13"/>
    </row>
    <row r="233" spans="2:7" ht="360" x14ac:dyDescent="0.2">
      <c r="B233" s="15"/>
      <c r="C233" s="16" t="s">
        <v>167</v>
      </c>
      <c r="D233" s="17"/>
      <c r="E233" s="18"/>
      <c r="G233" s="13"/>
    </row>
    <row r="234" spans="2:7" x14ac:dyDescent="0.2">
      <c r="D234" s="14"/>
      <c r="E234" s="14"/>
      <c r="G234" s="13"/>
    </row>
    <row r="235" spans="2:7" ht="396" x14ac:dyDescent="0.2">
      <c r="B235" s="15"/>
      <c r="C235" s="16" t="s">
        <v>168</v>
      </c>
      <c r="D235" s="17"/>
      <c r="E235" s="18"/>
      <c r="G235" s="13"/>
    </row>
    <row r="236" spans="2:7" x14ac:dyDescent="0.2">
      <c r="D236" s="14"/>
      <c r="E236" s="14"/>
      <c r="G236" s="13"/>
    </row>
    <row r="237" spans="2:7" x14ac:dyDescent="0.2">
      <c r="B237" s="15"/>
      <c r="C237" s="16" t="s">
        <v>169</v>
      </c>
      <c r="D237" s="17" t="s">
        <v>52</v>
      </c>
      <c r="E237" s="18">
        <v>30</v>
      </c>
      <c r="F237" s="19">
        <v>135</v>
      </c>
      <c r="G237" s="20">
        <f>IF(OR(ISBLANK(F237),ISBLANK(E237)),0, ROUND(PRODUCT(ROUND(F237,2), ROUND(E237,2)),2))</f>
        <v>4050</v>
      </c>
    </row>
    <row r="238" spans="2:7" x14ac:dyDescent="0.2">
      <c r="D238" s="14"/>
      <c r="E238" s="14"/>
      <c r="G238" s="13"/>
    </row>
    <row r="239" spans="2:7" x14ac:dyDescent="0.2">
      <c r="B239" s="15"/>
      <c r="C239" s="16" t="s">
        <v>170</v>
      </c>
      <c r="D239" s="17" t="s">
        <v>31</v>
      </c>
      <c r="E239" s="18">
        <v>264.39999999999998</v>
      </c>
      <c r="F239" s="19">
        <v>88</v>
      </c>
      <c r="G239" s="20">
        <f>IF(OR(ISBLANK(F239),ISBLANK(E239)),0, ROUND(PRODUCT(ROUND(F239,2), ROUND(E239,2)),2))</f>
        <v>23267.200000000001</v>
      </c>
    </row>
    <row r="240" spans="2:7" x14ac:dyDescent="0.2">
      <c r="D240" s="14"/>
      <c r="E240" s="4"/>
      <c r="G240" s="13"/>
    </row>
    <row r="241" spans="2:7" ht="48" x14ac:dyDescent="0.2">
      <c r="B241" s="15"/>
      <c r="C241" s="72" t="s">
        <v>249</v>
      </c>
      <c r="D241" s="17" t="s">
        <v>31</v>
      </c>
      <c r="E241" s="18">
        <v>179</v>
      </c>
      <c r="F241" s="19">
        <v>0</v>
      </c>
      <c r="G241" s="20">
        <f>IF(OR(ISBLANK(F241),ISBLANK(E241)),0, ROUND(PRODUCT(ROUND(F241,2), ROUND(E241,2)),2))</f>
        <v>0</v>
      </c>
    </row>
    <row r="242" spans="2:7" x14ac:dyDescent="0.2">
      <c r="D242" s="14"/>
      <c r="E242" s="14"/>
      <c r="G242" s="13"/>
    </row>
    <row r="243" spans="2:7" x14ac:dyDescent="0.2">
      <c r="B243" s="15"/>
      <c r="C243" s="16" t="s">
        <v>171</v>
      </c>
      <c r="D243" s="17" t="s">
        <v>31</v>
      </c>
      <c r="E243" s="18">
        <v>264.39999999999998</v>
      </c>
      <c r="F243" s="19">
        <v>158</v>
      </c>
      <c r="G243" s="20">
        <f>IF(OR(ISBLANK(F243),ISBLANK(E243)),0, ROUND(PRODUCT(ROUND(F243,2), ROUND(E243,2)),2))</f>
        <v>41775.199999999997</v>
      </c>
    </row>
    <row r="244" spans="2:7" x14ac:dyDescent="0.2">
      <c r="D244" s="14"/>
      <c r="E244" s="14"/>
      <c r="G244" s="13"/>
    </row>
    <row r="245" spans="2:7" ht="24" x14ac:dyDescent="0.2">
      <c r="B245" s="15" t="s">
        <v>172</v>
      </c>
      <c r="C245" s="16" t="s">
        <v>173</v>
      </c>
      <c r="D245" s="17"/>
      <c r="E245" s="18"/>
      <c r="G245" s="13"/>
    </row>
    <row r="246" spans="2:7" x14ac:dyDescent="0.2">
      <c r="D246" s="14"/>
      <c r="E246" s="14"/>
      <c r="G246" s="13"/>
    </row>
    <row r="247" spans="2:7" ht="336" x14ac:dyDescent="0.2">
      <c r="B247" s="15"/>
      <c r="C247" s="72" t="s">
        <v>248</v>
      </c>
      <c r="D247" s="14"/>
      <c r="E247" s="14"/>
      <c r="G247" s="13"/>
    </row>
    <row r="248" spans="2:7" ht="84" x14ac:dyDescent="0.2">
      <c r="C248" s="16" t="s">
        <v>174</v>
      </c>
      <c r="D248" s="17"/>
      <c r="E248" s="18"/>
      <c r="G248" s="13"/>
    </row>
    <row r="249" spans="2:7" x14ac:dyDescent="0.2">
      <c r="D249" s="14"/>
      <c r="E249" s="14"/>
      <c r="G249" s="13"/>
    </row>
    <row r="250" spans="2:7" ht="324" x14ac:dyDescent="0.2">
      <c r="B250" s="15"/>
      <c r="C250" s="16" t="s">
        <v>175</v>
      </c>
      <c r="D250" s="17"/>
      <c r="E250" s="18"/>
      <c r="G250" s="13"/>
    </row>
    <row r="251" spans="2:7" x14ac:dyDescent="0.2">
      <c r="D251" s="14"/>
      <c r="E251" s="14"/>
      <c r="G251" s="13"/>
    </row>
    <row r="252" spans="2:7" x14ac:dyDescent="0.2">
      <c r="B252" s="15"/>
      <c r="C252" s="16" t="s">
        <v>176</v>
      </c>
      <c r="D252" s="17" t="s">
        <v>31</v>
      </c>
      <c r="E252" s="18">
        <v>15.8</v>
      </c>
      <c r="F252" s="19">
        <v>86</v>
      </c>
      <c r="G252" s="20">
        <f>IF(OR(ISBLANK(F252),ISBLANK(E252)),0, ROUND(PRODUCT(ROUND(F252,2), ROUND(E252,2)),2))</f>
        <v>1358.8</v>
      </c>
    </row>
    <row r="253" spans="2:7" x14ac:dyDescent="0.2">
      <c r="D253" s="14"/>
      <c r="E253" s="14"/>
      <c r="G253" s="13"/>
    </row>
    <row r="254" spans="2:7" x14ac:dyDescent="0.2">
      <c r="B254" s="15"/>
      <c r="C254" s="16" t="s">
        <v>177</v>
      </c>
      <c r="D254" s="17" t="s">
        <v>31</v>
      </c>
      <c r="E254" s="18">
        <v>15.8</v>
      </c>
      <c r="F254" s="19">
        <v>158</v>
      </c>
      <c r="G254" s="20">
        <f>IF(OR(ISBLANK(F254),ISBLANK(E254)),0, ROUND(PRODUCT(ROUND(F254,2), ROUND(E254,2)),2))</f>
        <v>2496.4</v>
      </c>
    </row>
    <row r="255" spans="2:7" x14ac:dyDescent="0.2">
      <c r="D255" s="14"/>
      <c r="E255" s="14"/>
      <c r="G255" s="13"/>
    </row>
    <row r="256" spans="2:7" ht="24" x14ac:dyDescent="0.2">
      <c r="B256" s="2" t="s">
        <v>246</v>
      </c>
      <c r="C256" s="1" t="s">
        <v>247</v>
      </c>
      <c r="D256" s="17" t="s">
        <v>52</v>
      </c>
      <c r="E256" s="18">
        <v>1</v>
      </c>
      <c r="F256" s="19">
        <v>27.59</v>
      </c>
      <c r="G256" s="20">
        <f>IF(OR(ISBLANK(F256),ISBLANK(E256)),0, ROUND(PRODUCT(ROUND(F256,2), ROUND(E256,2)),2))</f>
        <v>27.59</v>
      </c>
    </row>
    <row r="257" spans="2:7" x14ac:dyDescent="0.2">
      <c r="D257" s="14"/>
      <c r="E257" s="14"/>
      <c r="G257" s="13"/>
    </row>
    <row r="258" spans="2:7" x14ac:dyDescent="0.2">
      <c r="B258" s="15"/>
      <c r="C258" s="16" t="s">
        <v>178</v>
      </c>
      <c r="D258" s="17"/>
      <c r="E258" s="18"/>
      <c r="G258" s="13"/>
    </row>
    <row r="259" spans="2:7" x14ac:dyDescent="0.2">
      <c r="D259" s="14"/>
      <c r="E259" s="14"/>
      <c r="G259" s="13"/>
    </row>
    <row r="260" spans="2:7" ht="24" x14ac:dyDescent="0.2">
      <c r="B260" s="15" t="s">
        <v>179</v>
      </c>
      <c r="C260" s="16" t="s">
        <v>180</v>
      </c>
      <c r="D260" s="17"/>
      <c r="E260" s="18"/>
      <c r="G260" s="13"/>
    </row>
    <row r="261" spans="2:7" x14ac:dyDescent="0.2">
      <c r="D261" s="14"/>
      <c r="E261" s="14"/>
      <c r="G261" s="13"/>
    </row>
    <row r="262" spans="2:7" ht="108" x14ac:dyDescent="0.2">
      <c r="B262" s="15"/>
      <c r="C262" s="16" t="s">
        <v>181</v>
      </c>
      <c r="D262" s="17"/>
      <c r="E262" s="18"/>
      <c r="G262" s="13"/>
    </row>
    <row r="263" spans="2:7" x14ac:dyDescent="0.2">
      <c r="D263" s="14"/>
      <c r="E263" s="14"/>
      <c r="G263" s="13"/>
    </row>
    <row r="264" spans="2:7" ht="96" x14ac:dyDescent="0.2">
      <c r="B264" s="15" t="s">
        <v>67</v>
      </c>
      <c r="C264" s="16" t="s">
        <v>182</v>
      </c>
      <c r="D264" s="17"/>
      <c r="E264" s="18"/>
      <c r="G264" s="13"/>
    </row>
    <row r="265" spans="2:7" x14ac:dyDescent="0.2">
      <c r="D265" s="14"/>
      <c r="E265" s="14"/>
      <c r="G265" s="13"/>
    </row>
    <row r="266" spans="2:7" ht="144" x14ac:dyDescent="0.2">
      <c r="B266" s="15" t="s">
        <v>69</v>
      </c>
      <c r="C266" s="16" t="s">
        <v>183</v>
      </c>
      <c r="D266" s="17"/>
      <c r="E266" s="18"/>
      <c r="G266" s="13"/>
    </row>
    <row r="267" spans="2:7" x14ac:dyDescent="0.2">
      <c r="D267" s="14"/>
      <c r="E267" s="14"/>
      <c r="G267" s="13"/>
    </row>
    <row r="268" spans="2:7" ht="60" x14ac:dyDescent="0.2">
      <c r="B268" s="15" t="s">
        <v>71</v>
      </c>
      <c r="C268" s="16" t="s">
        <v>184</v>
      </c>
      <c r="D268" s="17"/>
      <c r="E268" s="18"/>
      <c r="G268" s="13"/>
    </row>
    <row r="269" spans="2:7" x14ac:dyDescent="0.2">
      <c r="D269" s="14"/>
      <c r="E269" s="14"/>
      <c r="G269" s="13"/>
    </row>
    <row r="270" spans="2:7" x14ac:dyDescent="0.2">
      <c r="B270" s="15" t="s">
        <v>73</v>
      </c>
      <c r="C270" s="16" t="s">
        <v>185</v>
      </c>
      <c r="D270" s="17"/>
      <c r="E270" s="18"/>
      <c r="G270" s="13"/>
    </row>
    <row r="271" spans="2:7" x14ac:dyDescent="0.2">
      <c r="D271" s="14"/>
      <c r="E271" s="14"/>
      <c r="F271" s="83" t="s">
        <v>186</v>
      </c>
      <c r="G271" s="84"/>
    </row>
    <row r="272" spans="2:7" ht="60" x14ac:dyDescent="0.2">
      <c r="B272" s="15"/>
      <c r="C272" s="16" t="s">
        <v>187</v>
      </c>
      <c r="D272" s="17"/>
      <c r="E272" s="18"/>
      <c r="G272" s="13"/>
    </row>
    <row r="273" spans="2:7" x14ac:dyDescent="0.2">
      <c r="D273" s="14"/>
      <c r="E273" s="14"/>
      <c r="G273" s="13"/>
    </row>
    <row r="274" spans="2:7" x14ac:dyDescent="0.2">
      <c r="B274" s="15"/>
      <c r="C274" s="16" t="s">
        <v>188</v>
      </c>
      <c r="D274" s="17" t="s">
        <v>31</v>
      </c>
      <c r="E274" s="18">
        <v>30.1</v>
      </c>
      <c r="F274" s="19">
        <v>56.75</v>
      </c>
      <c r="G274" s="20">
        <f>IF(OR(ISBLANK(F274),ISBLANK(E274)),0, ROUND(PRODUCT(ROUND(F274,2), ROUND(E274,2)),2))</f>
        <v>1708.18</v>
      </c>
    </row>
    <row r="275" spans="2:7" x14ac:dyDescent="0.2">
      <c r="D275" s="14"/>
      <c r="E275" s="14"/>
      <c r="G275" s="13"/>
    </row>
    <row r="276" spans="2:7" x14ac:dyDescent="0.2">
      <c r="B276" s="15"/>
      <c r="C276" s="16" t="s">
        <v>189</v>
      </c>
      <c r="D276" s="17" t="s">
        <v>31</v>
      </c>
      <c r="E276" s="18">
        <v>30.1</v>
      </c>
      <c r="F276" s="19">
        <v>17.75</v>
      </c>
      <c r="G276" s="20">
        <f>IF(OR(ISBLANK(F276),ISBLANK(E276)),0, ROUND(PRODUCT(ROUND(F276,2), ROUND(E276,2)),2))</f>
        <v>534.28</v>
      </c>
    </row>
    <row r="277" spans="2:7" x14ac:dyDescent="0.2">
      <c r="D277" s="14"/>
      <c r="E277" s="14"/>
      <c r="G277" s="13"/>
    </row>
    <row r="278" spans="2:7" x14ac:dyDescent="0.2">
      <c r="B278" s="15" t="s">
        <v>190</v>
      </c>
      <c r="C278" s="16" t="s">
        <v>191</v>
      </c>
      <c r="D278" s="17"/>
      <c r="E278" s="18"/>
      <c r="G278" s="13"/>
    </row>
    <row r="279" spans="2:7" x14ac:dyDescent="0.2">
      <c r="D279" s="14"/>
      <c r="E279" s="14"/>
      <c r="G279" s="13"/>
    </row>
    <row r="280" spans="2:7" ht="156" x14ac:dyDescent="0.2">
      <c r="B280" s="15"/>
      <c r="C280" s="16" t="s">
        <v>192</v>
      </c>
      <c r="D280" s="17"/>
      <c r="E280" s="18"/>
      <c r="G280" s="13"/>
    </row>
    <row r="281" spans="2:7" x14ac:dyDescent="0.2">
      <c r="D281" s="14"/>
      <c r="E281" s="14"/>
      <c r="G281" s="13"/>
    </row>
    <row r="282" spans="2:7" ht="108" x14ac:dyDescent="0.2">
      <c r="B282" s="15" t="s">
        <v>67</v>
      </c>
      <c r="C282" s="16" t="s">
        <v>193</v>
      </c>
      <c r="D282" s="17"/>
      <c r="E282" s="18"/>
      <c r="G282" s="13"/>
    </row>
    <row r="283" spans="2:7" x14ac:dyDescent="0.2">
      <c r="D283" s="14"/>
      <c r="E283" s="14"/>
      <c r="G283" s="13"/>
    </row>
    <row r="284" spans="2:7" ht="108" x14ac:dyDescent="0.2">
      <c r="B284" s="15" t="s">
        <v>69</v>
      </c>
      <c r="C284" s="16" t="s">
        <v>194</v>
      </c>
      <c r="D284" s="17"/>
      <c r="E284" s="18"/>
      <c r="G284" s="13"/>
    </row>
    <row r="285" spans="2:7" x14ac:dyDescent="0.2">
      <c r="D285" s="14"/>
      <c r="E285" s="14"/>
      <c r="G285" s="13"/>
    </row>
    <row r="286" spans="2:7" ht="60" x14ac:dyDescent="0.2">
      <c r="B286" s="15" t="s">
        <v>84</v>
      </c>
      <c r="C286" s="16" t="s">
        <v>195</v>
      </c>
      <c r="D286" s="17"/>
      <c r="E286" s="18"/>
      <c r="G286" s="13"/>
    </row>
    <row r="287" spans="2:7" x14ac:dyDescent="0.2">
      <c r="D287" s="14"/>
      <c r="E287" s="14"/>
      <c r="G287" s="13"/>
    </row>
    <row r="288" spans="2:7" x14ac:dyDescent="0.2">
      <c r="B288" s="15" t="s">
        <v>73</v>
      </c>
      <c r="C288" s="16" t="s">
        <v>196</v>
      </c>
      <c r="D288" s="17"/>
      <c r="E288" s="18"/>
      <c r="G288" s="13"/>
    </row>
    <row r="289" spans="2:7" x14ac:dyDescent="0.2">
      <c r="D289" s="14"/>
      <c r="E289" s="14"/>
      <c r="F289" s="83" t="s">
        <v>197</v>
      </c>
      <c r="G289" s="84"/>
    </row>
    <row r="290" spans="2:7" ht="60" x14ac:dyDescent="0.2">
      <c r="B290" s="15"/>
      <c r="C290" s="16" t="s">
        <v>198</v>
      </c>
      <c r="D290" s="17"/>
      <c r="E290" s="18"/>
      <c r="G290" s="13"/>
    </row>
    <row r="291" spans="2:7" x14ac:dyDescent="0.2">
      <c r="D291" s="14"/>
      <c r="E291" s="14"/>
      <c r="G291" s="13"/>
    </row>
    <row r="292" spans="2:7" x14ac:dyDescent="0.2">
      <c r="B292" s="15"/>
      <c r="C292" s="16" t="s">
        <v>199</v>
      </c>
      <c r="D292" s="17" t="s">
        <v>31</v>
      </c>
      <c r="E292" s="18">
        <v>20.2</v>
      </c>
      <c r="F292" s="19">
        <v>51.99</v>
      </c>
      <c r="G292" s="20">
        <f>IF(OR(ISBLANK(F292),ISBLANK(E292)),0, ROUND(PRODUCT(ROUND(F292,2), ROUND(E292,2)),2))</f>
        <v>1050.2</v>
      </c>
    </row>
    <row r="293" spans="2:7" x14ac:dyDescent="0.2">
      <c r="D293" s="14"/>
      <c r="E293" s="14"/>
      <c r="G293" s="13"/>
    </row>
    <row r="294" spans="2:7" x14ac:dyDescent="0.2">
      <c r="B294" s="15"/>
      <c r="C294" s="16" t="s">
        <v>200</v>
      </c>
      <c r="D294" s="17" t="s">
        <v>31</v>
      </c>
      <c r="E294" s="18">
        <v>20.2</v>
      </c>
      <c r="F294" s="19">
        <v>17.75</v>
      </c>
      <c r="G294" s="20">
        <f>IF(OR(ISBLANK(F294),ISBLANK(E294)),0, ROUND(PRODUCT(ROUND(F294,2), ROUND(E294,2)),2))</f>
        <v>358.55</v>
      </c>
    </row>
    <row r="295" spans="2:7" x14ac:dyDescent="0.2">
      <c r="D295" s="14"/>
      <c r="E295" s="14"/>
      <c r="G295" s="13"/>
    </row>
    <row r="296" spans="2:7" x14ac:dyDescent="0.2">
      <c r="B296" s="15"/>
      <c r="C296" s="16" t="s">
        <v>201</v>
      </c>
      <c r="D296" s="17"/>
      <c r="E296" s="18"/>
      <c r="G296" s="13"/>
    </row>
    <row r="297" spans="2:7" x14ac:dyDescent="0.2">
      <c r="D297" s="14"/>
      <c r="E297" s="14"/>
      <c r="G297" s="13"/>
    </row>
    <row r="298" spans="2:7" x14ac:dyDescent="0.2">
      <c r="B298" s="15" t="s">
        <v>202</v>
      </c>
      <c r="C298" s="16" t="s">
        <v>203</v>
      </c>
      <c r="D298" s="17"/>
      <c r="E298" s="18"/>
      <c r="G298" s="13"/>
    </row>
    <row r="299" spans="2:7" x14ac:dyDescent="0.2">
      <c r="D299" s="14"/>
      <c r="E299" s="14"/>
      <c r="G299" s="13"/>
    </row>
    <row r="300" spans="2:7" ht="132" x14ac:dyDescent="0.2">
      <c r="B300" s="15"/>
      <c r="C300" s="16" t="s">
        <v>204</v>
      </c>
      <c r="D300" s="17"/>
      <c r="E300" s="18"/>
      <c r="G300" s="13"/>
    </row>
    <row r="301" spans="2:7" x14ac:dyDescent="0.2">
      <c r="D301" s="14"/>
      <c r="E301" s="14"/>
      <c r="G301" s="13"/>
    </row>
    <row r="302" spans="2:7" ht="24" x14ac:dyDescent="0.2">
      <c r="B302" s="15" t="s">
        <v>67</v>
      </c>
      <c r="C302" s="16" t="s">
        <v>205</v>
      </c>
      <c r="D302" s="17"/>
      <c r="E302" s="18"/>
      <c r="G302" s="13"/>
    </row>
    <row r="303" spans="2:7" x14ac:dyDescent="0.2">
      <c r="D303" s="14"/>
      <c r="E303" s="14"/>
      <c r="G303" s="13"/>
    </row>
    <row r="304" spans="2:7" x14ac:dyDescent="0.2">
      <c r="B304" s="15" t="s">
        <v>69</v>
      </c>
      <c r="C304" s="16" t="s">
        <v>206</v>
      </c>
      <c r="D304" s="17"/>
      <c r="E304" s="18"/>
      <c r="G304" s="13"/>
    </row>
    <row r="305" spans="2:7" x14ac:dyDescent="0.2">
      <c r="D305" s="14"/>
      <c r="E305" s="14"/>
      <c r="G305" s="13"/>
    </row>
    <row r="306" spans="2:7" ht="132" x14ac:dyDescent="0.2">
      <c r="B306" s="15" t="s">
        <v>84</v>
      </c>
      <c r="C306" s="16" t="s">
        <v>207</v>
      </c>
      <c r="D306" s="17"/>
      <c r="E306" s="18"/>
      <c r="G306" s="13"/>
    </row>
    <row r="307" spans="2:7" x14ac:dyDescent="0.2">
      <c r="D307" s="14"/>
      <c r="E307" s="14"/>
      <c r="G307" s="13"/>
    </row>
    <row r="308" spans="2:7" ht="60" x14ac:dyDescent="0.2">
      <c r="B308" s="15" t="s">
        <v>73</v>
      </c>
      <c r="C308" s="16" t="s">
        <v>208</v>
      </c>
      <c r="D308" s="17"/>
      <c r="E308" s="18"/>
      <c r="G308" s="13"/>
    </row>
    <row r="309" spans="2:7" x14ac:dyDescent="0.2">
      <c r="D309" s="14"/>
      <c r="E309" s="14"/>
      <c r="G309" s="13"/>
    </row>
    <row r="310" spans="2:7" x14ac:dyDescent="0.2">
      <c r="B310" s="15" t="s">
        <v>99</v>
      </c>
      <c r="C310" s="16" t="s">
        <v>209</v>
      </c>
      <c r="D310" s="17"/>
      <c r="E310" s="18"/>
      <c r="G310" s="13"/>
    </row>
    <row r="311" spans="2:7" x14ac:dyDescent="0.2">
      <c r="D311" s="14"/>
      <c r="E311" s="14"/>
      <c r="G311" s="13"/>
    </row>
    <row r="312" spans="2:7" ht="72" x14ac:dyDescent="0.2">
      <c r="B312" s="15"/>
      <c r="C312" s="16" t="s">
        <v>210</v>
      </c>
      <c r="D312" s="17"/>
      <c r="E312" s="18"/>
      <c r="G312" s="13"/>
    </row>
    <row r="313" spans="2:7" ht="36" x14ac:dyDescent="0.2">
      <c r="D313" s="14"/>
      <c r="E313" s="4"/>
      <c r="G313" s="13" t="s">
        <v>255</v>
      </c>
    </row>
    <row r="314" spans="2:7" x14ac:dyDescent="0.2">
      <c r="B314" s="15"/>
      <c r="C314" s="16" t="s">
        <v>211</v>
      </c>
      <c r="D314" s="17" t="s">
        <v>31</v>
      </c>
      <c r="E314" s="18">
        <v>144.5</v>
      </c>
      <c r="F314" s="19">
        <v>0</v>
      </c>
      <c r="G314" s="20">
        <f>IF(OR(ISBLANK(F314),ISBLANK(E314)),0, ROUND(PRODUCT(ROUND(F314,2), ROUND(E314,2)),2))</f>
        <v>0</v>
      </c>
    </row>
    <row r="315" spans="2:7" x14ac:dyDescent="0.2">
      <c r="D315" s="14"/>
      <c r="E315" s="14"/>
      <c r="F315" s="83" t="s">
        <v>212</v>
      </c>
      <c r="G315" s="84"/>
    </row>
    <row r="316" spans="2:7" x14ac:dyDescent="0.2">
      <c r="B316" s="15"/>
      <c r="C316" s="16" t="s">
        <v>213</v>
      </c>
      <c r="D316" s="17" t="s">
        <v>31</v>
      </c>
      <c r="E316" s="18">
        <v>111</v>
      </c>
      <c r="F316" s="19">
        <v>32.299999999999997</v>
      </c>
      <c r="G316" s="20">
        <f>IF(OR(ISBLANK(F316),ISBLANK(E316)),0, ROUND(PRODUCT(ROUND(F316,2), ROUND(E316,2)),2))</f>
        <v>3585.3</v>
      </c>
    </row>
    <row r="317" spans="2:7" x14ac:dyDescent="0.2">
      <c r="D317" s="14"/>
      <c r="E317" s="14"/>
      <c r="G317" s="13"/>
    </row>
    <row r="318" spans="2:7" x14ac:dyDescent="0.2">
      <c r="B318" s="15" t="s">
        <v>214</v>
      </c>
      <c r="C318" s="16" t="s">
        <v>215</v>
      </c>
      <c r="D318" s="17"/>
      <c r="E318" s="18"/>
      <c r="G318" s="13"/>
    </row>
    <row r="319" spans="2:7" x14ac:dyDescent="0.2">
      <c r="D319" s="14"/>
      <c r="E319" s="14"/>
      <c r="G319" s="13"/>
    </row>
    <row r="320" spans="2:7" ht="132" x14ac:dyDescent="0.2">
      <c r="B320" s="15"/>
      <c r="C320" s="16" t="s">
        <v>216</v>
      </c>
      <c r="D320" s="17"/>
      <c r="E320" s="18"/>
      <c r="G320" s="13"/>
    </row>
    <row r="321" spans="2:7" x14ac:dyDescent="0.2">
      <c r="D321" s="14"/>
      <c r="E321" s="14"/>
      <c r="G321" s="13"/>
    </row>
    <row r="322" spans="2:7" ht="108" x14ac:dyDescent="0.2">
      <c r="B322" s="15" t="s">
        <v>67</v>
      </c>
      <c r="C322" s="16" t="s">
        <v>217</v>
      </c>
      <c r="D322" s="17"/>
      <c r="E322" s="18"/>
      <c r="G322" s="13"/>
    </row>
    <row r="323" spans="2:7" x14ac:dyDescent="0.2">
      <c r="D323" s="14"/>
      <c r="E323" s="14"/>
      <c r="G323" s="13"/>
    </row>
    <row r="324" spans="2:7" ht="132" x14ac:dyDescent="0.2">
      <c r="B324" s="15" t="s">
        <v>69</v>
      </c>
      <c r="C324" s="16" t="s">
        <v>218</v>
      </c>
      <c r="D324" s="17"/>
      <c r="E324" s="18"/>
      <c r="G324" s="13"/>
    </row>
    <row r="325" spans="2:7" x14ac:dyDescent="0.2">
      <c r="D325" s="14"/>
      <c r="E325" s="14"/>
      <c r="G325" s="13"/>
    </row>
    <row r="326" spans="2:7" ht="60" x14ac:dyDescent="0.2">
      <c r="B326" s="15" t="s">
        <v>84</v>
      </c>
      <c r="C326" s="16" t="s">
        <v>219</v>
      </c>
      <c r="D326" s="17"/>
      <c r="E326" s="18"/>
      <c r="G326" s="13"/>
    </row>
    <row r="327" spans="2:7" x14ac:dyDescent="0.2">
      <c r="D327" s="14"/>
      <c r="E327" s="14"/>
      <c r="G327" s="13"/>
    </row>
    <row r="328" spans="2:7" x14ac:dyDescent="0.2">
      <c r="B328" s="15" t="s">
        <v>73</v>
      </c>
      <c r="C328" s="16" t="s">
        <v>220</v>
      </c>
      <c r="D328" s="17"/>
      <c r="E328" s="18"/>
      <c r="G328" s="13"/>
    </row>
    <row r="329" spans="2:7" x14ac:dyDescent="0.2">
      <c r="D329" s="14"/>
      <c r="E329" s="14"/>
      <c r="F329" s="85" t="s">
        <v>221</v>
      </c>
      <c r="G329" s="86"/>
    </row>
    <row r="330" spans="2:7" ht="60" x14ac:dyDescent="0.2">
      <c r="B330" s="15"/>
      <c r="C330" s="16" t="s">
        <v>222</v>
      </c>
      <c r="D330" s="17" t="s">
        <v>31</v>
      </c>
      <c r="E330" s="18">
        <v>188.4</v>
      </c>
      <c r="F330" s="19">
        <v>78.72</v>
      </c>
      <c r="G330" s="20">
        <f>IF(OR(ISBLANK(F330),ISBLANK(E330)),0, ROUND(PRODUCT(ROUND(F330,2), ROUND(E330,2)),2))</f>
        <v>14830.85</v>
      </c>
    </row>
    <row r="331" spans="2:7" x14ac:dyDescent="0.2">
      <c r="D331" s="14"/>
      <c r="E331" s="14"/>
      <c r="G331" s="13"/>
    </row>
    <row r="332" spans="2:7" x14ac:dyDescent="0.2">
      <c r="B332" s="15"/>
      <c r="C332" s="16" t="s">
        <v>223</v>
      </c>
      <c r="D332" s="17"/>
      <c r="E332" s="18"/>
      <c r="G332" s="13"/>
    </row>
    <row r="333" spans="2:7" x14ac:dyDescent="0.2">
      <c r="D333" s="14"/>
      <c r="E333" s="14"/>
      <c r="G333" s="13"/>
    </row>
    <row r="334" spans="2:7" x14ac:dyDescent="0.2">
      <c r="B334" s="15" t="s">
        <v>224</v>
      </c>
      <c r="C334" s="16" t="s">
        <v>225</v>
      </c>
      <c r="D334" s="17"/>
      <c r="E334" s="18"/>
      <c r="G334" s="13"/>
    </row>
    <row r="335" spans="2:7" x14ac:dyDescent="0.2">
      <c r="D335" s="14"/>
      <c r="E335" s="14"/>
      <c r="G335" s="13"/>
    </row>
    <row r="336" spans="2:7" ht="312" x14ac:dyDescent="0.2">
      <c r="B336" s="15"/>
      <c r="C336" s="16" t="s">
        <v>226</v>
      </c>
      <c r="D336" s="17"/>
      <c r="E336" s="18"/>
      <c r="F336" s="83" t="s">
        <v>117</v>
      </c>
      <c r="G336" s="84"/>
    </row>
    <row r="337" spans="2:7" x14ac:dyDescent="0.2">
      <c r="D337" s="14"/>
      <c r="E337" s="14"/>
      <c r="G337" s="13"/>
    </row>
    <row r="338" spans="2:7" x14ac:dyDescent="0.2">
      <c r="B338" s="15"/>
      <c r="C338" s="16" t="s">
        <v>227</v>
      </c>
      <c r="D338" s="17" t="s">
        <v>31</v>
      </c>
      <c r="E338" s="18">
        <v>211.7</v>
      </c>
      <c r="F338" s="19">
        <v>31.2</v>
      </c>
      <c r="G338" s="20">
        <f>IF(OR(ISBLANK(F338),ISBLANK(E338)),0, ROUND(PRODUCT(ROUND(F338,2), ROUND(E338,2)),2))</f>
        <v>6605.04</v>
      </c>
    </row>
    <row r="339" spans="2:7" x14ac:dyDescent="0.2">
      <c r="D339" s="14"/>
      <c r="E339" s="14"/>
      <c r="G339" s="13"/>
    </row>
    <row r="340" spans="2:7" x14ac:dyDescent="0.2">
      <c r="B340" s="15"/>
      <c r="C340" s="16" t="s">
        <v>228</v>
      </c>
      <c r="D340" s="17" t="s">
        <v>52</v>
      </c>
      <c r="E340" s="18">
        <v>102.3</v>
      </c>
      <c r="F340" s="19">
        <v>23.4</v>
      </c>
      <c r="G340" s="20">
        <f>IF(OR(ISBLANK(F340),ISBLANK(E340)),0, ROUND(PRODUCT(ROUND(F340,2), ROUND(E340,2)),2))</f>
        <v>2393.8200000000002</v>
      </c>
    </row>
    <row r="341" spans="2:7" x14ac:dyDescent="0.2">
      <c r="D341" s="14"/>
      <c r="E341" s="14"/>
      <c r="G341" s="13"/>
    </row>
    <row r="342" spans="2:7" x14ac:dyDescent="0.2">
      <c r="B342" s="21" t="s">
        <v>229</v>
      </c>
      <c r="C342" s="22" t="s">
        <v>230</v>
      </c>
      <c r="D342" s="23" t="s">
        <v>123</v>
      </c>
      <c r="E342" s="24"/>
      <c r="F342" s="25"/>
      <c r="G342" s="26">
        <f>ROUND(SUM(G189:G340),2)</f>
        <v>111261.74</v>
      </c>
    </row>
    <row r="343" spans="2:7" x14ac:dyDescent="0.2">
      <c r="D343" s="14"/>
      <c r="E343" s="14"/>
      <c r="G343" s="13"/>
    </row>
    <row r="344" spans="2:7" x14ac:dyDescent="0.2">
      <c r="B344" s="27" t="s">
        <v>231</v>
      </c>
      <c r="C344" s="28" t="s">
        <v>232</v>
      </c>
      <c r="D344" s="29" t="s">
        <v>123</v>
      </c>
      <c r="E344" s="30"/>
      <c r="F344" s="31"/>
      <c r="G344" s="32">
        <f>ROUND(SUM(G342),2)</f>
        <v>111261.74</v>
      </c>
    </row>
    <row r="345" spans="2:7" x14ac:dyDescent="0.2">
      <c r="D345" s="14"/>
      <c r="E345" s="14"/>
      <c r="G345" s="13"/>
    </row>
    <row r="346" spans="2:7" x14ac:dyDescent="0.2">
      <c r="B346" s="33" t="s">
        <v>233</v>
      </c>
      <c r="C346" s="34" t="s">
        <v>234</v>
      </c>
      <c r="D346" s="35" t="s">
        <v>123</v>
      </c>
      <c r="E346" s="36"/>
      <c r="F346" s="37"/>
      <c r="G346" s="38">
        <f>ROUND(SUM(G344),2)</f>
        <v>111261.74</v>
      </c>
    </row>
    <row r="347" spans="2:7" x14ac:dyDescent="0.2">
      <c r="D347" s="14"/>
      <c r="E347" s="14"/>
      <c r="G347" s="13"/>
    </row>
    <row r="348" spans="2:7" x14ac:dyDescent="0.2">
      <c r="B348" s="39"/>
      <c r="C348" s="40" t="s">
        <v>235</v>
      </c>
      <c r="D348" s="41" t="s">
        <v>123</v>
      </c>
      <c r="E348" s="42"/>
      <c r="F348" s="43"/>
      <c r="G348" s="44">
        <f>ROUND(SUM(G346),2)</f>
        <v>111261.74</v>
      </c>
    </row>
    <row r="349" spans="2:7" x14ac:dyDescent="0.2">
      <c r="D349" s="14"/>
      <c r="E349" s="14"/>
      <c r="G349" s="13"/>
    </row>
    <row r="350" spans="2:7" x14ac:dyDescent="0.2">
      <c r="B350" s="45"/>
      <c r="C350" s="46" t="s">
        <v>236</v>
      </c>
      <c r="D350" s="47" t="s">
        <v>123</v>
      </c>
      <c r="E350" s="48"/>
      <c r="F350" s="49"/>
      <c r="G350" s="50">
        <f>ROUND(SUM(G348,G179),2)</f>
        <v>216039.97</v>
      </c>
    </row>
    <row r="351" spans="2:7" x14ac:dyDescent="0.2">
      <c r="D351" s="14"/>
      <c r="E351" s="14"/>
      <c r="G351" s="13"/>
    </row>
    <row r="352" spans="2:7" x14ac:dyDescent="0.2">
      <c r="B352" s="51"/>
      <c r="C352" s="52" t="s">
        <v>237</v>
      </c>
      <c r="D352" s="53" t="s">
        <v>123</v>
      </c>
      <c r="E352" s="54"/>
      <c r="F352" s="55"/>
      <c r="G352" s="56">
        <f>ROUND(SUM(G350),2)</f>
        <v>216039.97</v>
      </c>
    </row>
    <row r="353" spans="2:7" x14ac:dyDescent="0.2">
      <c r="D353" s="14"/>
      <c r="E353" s="14"/>
      <c r="G353" s="13"/>
    </row>
    <row r="354" spans="2:7" x14ac:dyDescent="0.2">
      <c r="D354" s="14"/>
      <c r="E354" s="14"/>
      <c r="G354" s="13"/>
    </row>
    <row r="355" spans="2:7" x14ac:dyDescent="0.2">
      <c r="C355" s="57" t="s">
        <v>238</v>
      </c>
      <c r="D355" s="14"/>
      <c r="E355" s="14"/>
      <c r="G355" s="13"/>
    </row>
    <row r="356" spans="2:7" x14ac:dyDescent="0.2">
      <c r="D356" s="14"/>
      <c r="E356" s="14"/>
      <c r="G356" s="13"/>
    </row>
    <row r="357" spans="2:7" x14ac:dyDescent="0.2">
      <c r="B357" s="57" t="s">
        <v>239</v>
      </c>
      <c r="C357" s="5" t="s">
        <v>244</v>
      </c>
      <c r="D357" s="58" t="s">
        <v>123</v>
      </c>
      <c r="E357" s="14"/>
      <c r="G357" s="20">
        <f>G173-G359</f>
        <v>31830.630000000005</v>
      </c>
    </row>
    <row r="358" spans="2:7" x14ac:dyDescent="0.2">
      <c r="D358" s="14"/>
      <c r="E358" s="14"/>
      <c r="G358" s="13"/>
    </row>
    <row r="359" spans="2:7" x14ac:dyDescent="0.2">
      <c r="B359" s="57" t="s">
        <v>14</v>
      </c>
      <c r="C359" s="5" t="s">
        <v>245</v>
      </c>
      <c r="D359" s="58" t="s">
        <v>123</v>
      </c>
      <c r="E359" s="14"/>
      <c r="G359" s="20">
        <f>SUM(G68,G70,G72,G74,G83,G85)</f>
        <v>72947.599999999991</v>
      </c>
    </row>
    <row r="360" spans="2:7" x14ac:dyDescent="0.2">
      <c r="D360" s="14"/>
      <c r="E360" s="14"/>
      <c r="G360" s="13"/>
    </row>
    <row r="361" spans="2:7" x14ac:dyDescent="0.2">
      <c r="B361" s="59"/>
      <c r="C361" s="60" t="s">
        <v>240</v>
      </c>
      <c r="D361" s="61" t="s">
        <v>123</v>
      </c>
      <c r="E361" s="62"/>
      <c r="F361" s="63"/>
      <c r="G361" s="64">
        <f>G179</f>
        <v>104778.23</v>
      </c>
    </row>
    <row r="362" spans="2:7" x14ac:dyDescent="0.2">
      <c r="D362" s="14"/>
      <c r="E362" s="14"/>
      <c r="G362" s="13"/>
    </row>
    <row r="363" spans="2:7" x14ac:dyDescent="0.2">
      <c r="D363" s="14"/>
      <c r="E363" s="14"/>
      <c r="G363" s="13"/>
    </row>
    <row r="364" spans="2:7" x14ac:dyDescent="0.2">
      <c r="B364" s="57" t="s">
        <v>241</v>
      </c>
      <c r="C364" s="5" t="s">
        <v>244</v>
      </c>
      <c r="D364" s="58" t="s">
        <v>123</v>
      </c>
      <c r="E364" s="14"/>
      <c r="G364" s="20">
        <f>G342-G366</f>
        <v>38314.140000000014</v>
      </c>
    </row>
    <row r="365" spans="2:7" x14ac:dyDescent="0.2">
      <c r="D365" s="14"/>
      <c r="E365" s="14"/>
      <c r="G365" s="13"/>
    </row>
    <row r="366" spans="2:7" x14ac:dyDescent="0.2">
      <c r="B366" s="57" t="s">
        <v>14</v>
      </c>
      <c r="C366" s="5" t="s">
        <v>245</v>
      </c>
      <c r="D366" s="58" t="s">
        <v>123</v>
      </c>
      <c r="E366" s="14"/>
      <c r="G366" s="20">
        <f>SUM(G237,G239,G241,G243,G252,G254)</f>
        <v>72947.599999999991</v>
      </c>
    </row>
    <row r="367" spans="2:7" x14ac:dyDescent="0.2">
      <c r="D367" s="14"/>
      <c r="E367" s="14"/>
      <c r="G367" s="13"/>
    </row>
    <row r="368" spans="2:7" x14ac:dyDescent="0.2">
      <c r="B368" s="59"/>
      <c r="C368" s="60" t="s">
        <v>242</v>
      </c>
      <c r="D368" s="61" t="s">
        <v>123</v>
      </c>
      <c r="E368" s="62"/>
      <c r="F368" s="63"/>
      <c r="G368" s="64">
        <f>G348</f>
        <v>111261.74</v>
      </c>
    </row>
    <row r="369" spans="2:7" ht="12.75" thickBot="1" x14ac:dyDescent="0.25">
      <c r="D369" s="14"/>
      <c r="E369" s="14"/>
      <c r="G369" s="13"/>
    </row>
    <row r="370" spans="2:7" ht="12.75" thickBot="1" x14ac:dyDescent="0.25">
      <c r="B370" s="65"/>
      <c r="C370" s="66" t="s">
        <v>243</v>
      </c>
      <c r="D370" s="67" t="s">
        <v>123</v>
      </c>
      <c r="E370" s="68"/>
      <c r="F370" s="69"/>
      <c r="G370" s="70">
        <f>G352</f>
        <v>216039.97</v>
      </c>
    </row>
    <row r="372" spans="2:7" x14ac:dyDescent="0.2">
      <c r="C372" s="75" t="s">
        <v>252</v>
      </c>
      <c r="D372" s="75"/>
      <c r="E372" s="75"/>
      <c r="F372" s="75"/>
      <c r="G372" s="75"/>
    </row>
    <row r="373" spans="2:7" x14ac:dyDescent="0.2">
      <c r="C373" s="75"/>
      <c r="D373" s="75"/>
      <c r="E373" s="75"/>
      <c r="F373" s="75"/>
      <c r="G373" s="75"/>
    </row>
    <row r="374" spans="2:7" x14ac:dyDescent="0.2">
      <c r="C374" s="74"/>
      <c r="D374" s="74"/>
      <c r="E374" s="74"/>
      <c r="F374" s="73"/>
      <c r="G374" s="73"/>
    </row>
    <row r="375" spans="2:7" x14ac:dyDescent="0.2">
      <c r="C375" s="74"/>
      <c r="D375" s="74"/>
      <c r="E375" s="74"/>
      <c r="F375" s="73"/>
      <c r="G375" s="73"/>
    </row>
    <row r="376" spans="2:7" x14ac:dyDescent="0.2">
      <c r="C376" s="74"/>
      <c r="D376" s="74"/>
      <c r="E376" s="74"/>
      <c r="F376" s="73"/>
      <c r="G376" s="73"/>
    </row>
    <row r="377" spans="2:7" x14ac:dyDescent="0.2">
      <c r="C377" s="74" t="s">
        <v>253</v>
      </c>
      <c r="D377" s="74"/>
      <c r="E377" s="74"/>
      <c r="F377" s="73" t="s">
        <v>254</v>
      </c>
      <c r="G377" s="73"/>
    </row>
  </sheetData>
  <mergeCells count="22">
    <mergeCell ref="F336:G336"/>
    <mergeCell ref="F36:G36"/>
    <mergeCell ref="F51:G51"/>
    <mergeCell ref="F66:G66"/>
    <mergeCell ref="F102:G102"/>
    <mergeCell ref="F120:G120"/>
    <mergeCell ref="C372:G373"/>
    <mergeCell ref="B1:B2"/>
    <mergeCell ref="C1:C2"/>
    <mergeCell ref="D1:D2"/>
    <mergeCell ref="E1:E2"/>
    <mergeCell ref="F167:G167"/>
    <mergeCell ref="F271:G271"/>
    <mergeCell ref="F289:G289"/>
    <mergeCell ref="F315:G315"/>
    <mergeCell ref="F329:G329"/>
    <mergeCell ref="F1:G1"/>
    <mergeCell ref="F146:G146"/>
    <mergeCell ref="F160:G160"/>
    <mergeCell ref="F166:G166"/>
    <mergeCell ref="F205:G205"/>
    <mergeCell ref="F220:G220"/>
  </mergeCells>
  <pageMargins left="0.70866141732283472" right="0.70866141732283472" top="0.74803149606299213" bottom="0.74803149606299213" header="0.31496062992125984" footer="0.31496062992125984"/>
  <pageSetup paperSize="9" scale="78" fitToHeight="19" orientation="portrait" r:id="rId1"/>
  <headerFooter>
    <oddHeader>&amp;L&amp;"Calibri,Regular"&amp;11&amp;K000000Stambena građevina Srebrnjak
RN 0625/U</oddHeader>
    <evenHeader>&amp;L&amp;"Calibri,Regular"&amp;11&amp;K000000Stambena građevina Srebrnjak
RN 0625/U</evenHeader>
    <firstHeader>&amp;L&amp;"Calibri,Regular"&amp;11&amp;K000000Stambena građevina Srebrnjak
RN 0625/U</firstHeader>
  </headerFooter>
  <rowBreaks count="1" manualBreakCount="1">
    <brk id="353"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Fasaderski radovi</vt:lpstr>
      <vt:lpstr>'Fasaderski radovi'!Print_Area</vt:lpstr>
      <vt:lpstr>'Fasaderski radovi'!Print_Titles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Ivica Bes</dc:creator>
  <cp:lastModifiedBy>Emina Kulenović</cp:lastModifiedBy>
  <cp:lastPrinted>2026-04-13T10:33:18Z</cp:lastPrinted>
  <dcterms:created xsi:type="dcterms:W3CDTF">2015-11-02T11:19:36Z</dcterms:created>
  <dcterms:modified xsi:type="dcterms:W3CDTF">2026-04-13T10:33:55Z</dcterms:modified>
</cp:coreProperties>
</file>