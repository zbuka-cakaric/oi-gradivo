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P:\PONUDE\PONUDE Mirjana\2026\05. ZELENI CENTAR - Bjelovar\03. UPITI\žbuka, estrih, fasada\"/>
    </mc:Choice>
  </mc:AlternateContent>
  <xr:revisionPtr revIDLastSave="0" documentId="13_ncr:1_{2B874A00-E585-45B6-970C-B3D2D020CB34}" xr6:coauthVersionLast="47" xr6:coauthVersionMax="47" xr10:uidLastSave="{00000000-0000-0000-0000-000000000000}"/>
  <bookViews>
    <workbookView xWindow="-108" yWindow="-108" windowWidth="23256" windowHeight="12456" tabRatio="730" activeTab="1" xr2:uid="{00000000-000D-0000-FFFF-FFFF00000000}"/>
  </bookViews>
  <sheets>
    <sheet name="NASLOVNICA" sheetId="59" r:id="rId1"/>
    <sheet name="B.6. KERAM. I KAMEN. RADOVI" sheetId="53" r:id="rId2"/>
  </sheets>
  <definedNames>
    <definedName name="AUTO_COUNT">_xlfn.LAMBDA(MAX(INDIRECT(ADDRESS(ROW(first_cell),COLUMN())&amp;":"&amp;ADDRESS(ROW()-1,COLUMN())))+1)</definedName>
    <definedName name="_xlnm.Print_Area" localSheetId="1">'B.6. KERAM. I KAMEN. RADOVI'!$A$1:$F$123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1" i="53" l="1"/>
  <c r="F119" i="53"/>
  <c r="F117" i="53"/>
  <c r="F114" i="53"/>
  <c r="F112" i="53"/>
  <c r="F109" i="53"/>
  <c r="F108" i="53"/>
  <c r="F107" i="53"/>
  <c r="F106" i="53"/>
  <c r="F105" i="53"/>
  <c r="F104" i="53"/>
  <c r="F103" i="53"/>
  <c r="F102" i="53"/>
  <c r="F101" i="53"/>
  <c r="F100" i="53"/>
  <c r="F98" i="53"/>
  <c r="F97" i="53"/>
  <c r="F96" i="53"/>
  <c r="F95" i="53"/>
  <c r="F93" i="53"/>
  <c r="F92" i="53"/>
  <c r="F91" i="53"/>
  <c r="F90" i="53"/>
  <c r="F89" i="53"/>
  <c r="F88" i="53"/>
  <c r="F87" i="53"/>
  <c r="F86" i="53"/>
  <c r="F84" i="53"/>
  <c r="F83" i="53"/>
  <c r="F82" i="53"/>
  <c r="F81" i="53"/>
  <c r="F77" i="53"/>
  <c r="F75" i="53"/>
  <c r="F74" i="53"/>
  <c r="F72" i="53"/>
  <c r="F71" i="53"/>
  <c r="F68" i="53"/>
  <c r="F66" i="53"/>
  <c r="F65" i="53"/>
  <c r="F63" i="53"/>
  <c r="F62" i="53"/>
  <c r="F60" i="53"/>
  <c r="F59" i="53"/>
  <c r="F57" i="53"/>
  <c r="F56" i="53"/>
  <c r="F53" i="53"/>
  <c r="F51" i="53"/>
  <c r="F49" i="53"/>
  <c r="F48" i="53"/>
  <c r="F46" i="53"/>
  <c r="F45" i="53"/>
  <c r="F43" i="53"/>
  <c r="F42" i="53"/>
  <c r="F40" i="53"/>
  <c r="F39" i="53"/>
  <c r="F37" i="53"/>
  <c r="F36" i="53"/>
  <c r="F34" i="53"/>
  <c r="F33" i="53"/>
  <c r="F31" i="53"/>
  <c r="F30" i="53"/>
  <c r="F27" i="53"/>
  <c r="F26" i="53"/>
  <c r="F24" i="53"/>
  <c r="F23" i="53"/>
  <c r="F20" i="53"/>
  <c r="F19" i="53"/>
  <c r="F17" i="53"/>
  <c r="F16" i="53"/>
  <c r="F14" i="53"/>
  <c r="F13" i="53"/>
  <c r="F11" i="53"/>
  <c r="F10" i="53"/>
  <c r="F123" i="5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SAFU</author>
  </authors>
  <commentList>
    <comment ref="B70" authorId="0" shapeId="0" xr:uid="{C15426F0-85E5-479B-A6D2-6A7A233B89FB}">
      <text>
        <r>
          <rPr>
            <b/>
            <sz val="9"/>
            <color indexed="81"/>
            <rFont val="Tahoma"/>
            <family val="2"/>
            <charset val="238"/>
          </rPr>
          <t>SAFU:</t>
        </r>
        <r>
          <rPr>
            <sz val="9"/>
            <color indexed="81"/>
            <rFont val="Tahoma"/>
            <family val="2"/>
            <charset val="238"/>
          </rPr>
          <t xml:space="preserve">
Preporuka je u stavci troškovnika što detaljnije opisati predmetni materijal umjesto da se ostavlja na izbor investitora/projektanta kako bi se izbjeglo povećanje cijene nakon provedenog postupka nabave, a vezano uz naknadni odabir.</t>
        </r>
      </text>
    </comment>
    <comment ref="B79" authorId="0" shapeId="0" xr:uid="{EAD94F26-CAB4-4E45-AA98-E52269227BCD}">
      <text>
        <r>
          <rPr>
            <b/>
            <sz val="9"/>
            <color indexed="81"/>
            <rFont val="Tahoma"/>
            <family val="2"/>
            <charset val="238"/>
          </rPr>
          <t>SAFU:</t>
        </r>
        <r>
          <rPr>
            <sz val="9"/>
            <color indexed="81"/>
            <rFont val="Tahoma"/>
            <family val="2"/>
            <charset val="238"/>
          </rPr>
          <t xml:space="preserve">
Preporuka je u stavci troškovnika što detaljnije opisati predmetni materijal umjesto da se ostavlja na izbor investitora/projektanta kako bi se izbjeglo povećanje cijene nakon provedenog postupka nabave, a vezano uz naknadni odabir.</t>
        </r>
      </text>
    </comment>
  </commentList>
</comments>
</file>

<file path=xl/sharedStrings.xml><?xml version="1.0" encoding="utf-8"?>
<sst xmlns="http://schemas.openxmlformats.org/spreadsheetml/2006/main" count="223" uniqueCount="96">
  <si>
    <t>ARCHING-STUDIO d.o.o. Split</t>
  </si>
  <si>
    <t>PODUZEĆE ZA PROJEKTIRANJE I INŽENJERING, DRŽIĆEVA 25, SPLIT</t>
  </si>
  <si>
    <t>OIB: 63051518045;  E-MAIL. info@archingstudio.hr</t>
  </si>
  <si>
    <t>TROŠKOVNIK SVIH RADOVA</t>
  </si>
  <si>
    <t>INVESTITOR:</t>
  </si>
  <si>
    <t>Komunalac d.o.o.</t>
  </si>
  <si>
    <t>Ferde Livadića 14a, 43000 Bjelovar</t>
  </si>
  <si>
    <t>OIB 27962400486</t>
  </si>
  <si>
    <t>GRAĐEVINA:</t>
  </si>
  <si>
    <t>ZELENI CENTAR BJELOVAR</t>
  </si>
  <si>
    <t>LOKACIJA:</t>
  </si>
  <si>
    <t>K.Č. 3346/1</t>
  </si>
  <si>
    <t>K.O. Bjelovar</t>
  </si>
  <si>
    <t>ZAJEDNIČKA OZNAKA</t>
  </si>
  <si>
    <t>PROJEKTA:</t>
  </si>
  <si>
    <t>Z.O.P. 119/21-2</t>
  </si>
  <si>
    <t>GLAVNI PROJEKTANT:</t>
  </si>
  <si>
    <t>SRĐAN ŠEGVIĆ dipl.ing.arh. (A 1887)</t>
  </si>
  <si>
    <t>MJESTO I DATUM</t>
  </si>
  <si>
    <t>IZRADE:</t>
  </si>
  <si>
    <t>Split, siječanj 2025.</t>
  </si>
  <si>
    <t>1.</t>
  </si>
  <si>
    <t>2.</t>
  </si>
  <si>
    <t>3.</t>
  </si>
  <si>
    <t>4.</t>
  </si>
  <si>
    <t>5.</t>
  </si>
  <si>
    <t>6.</t>
  </si>
  <si>
    <t>7.</t>
  </si>
  <si>
    <t>br.st.</t>
  </si>
  <si>
    <t>opis radova</t>
  </si>
  <si>
    <t>j.mjera</t>
  </si>
  <si>
    <t>količina</t>
  </si>
  <si>
    <t>jed.cijena</t>
  </si>
  <si>
    <t>ukupno</t>
  </si>
  <si>
    <t>m1</t>
  </si>
  <si>
    <t>kpl</t>
  </si>
  <si>
    <t>kom</t>
  </si>
  <si>
    <t>m2</t>
  </si>
  <si>
    <t>8.</t>
  </si>
  <si>
    <t>KAPELICA SV. FLORIJANA</t>
  </si>
  <si>
    <t>B.6.</t>
  </si>
  <si>
    <t>KERAMIČARSKI I KAMENARSKI RADOVI</t>
  </si>
  <si>
    <t xml:space="preserve">NAPOMENA </t>
  </si>
  <si>
    <t xml:space="preserve">Jedinična cijena treba obuhvatiti:
- sav materijal, dobavu, izradu i dopremi alata, i uskladištenje,
- troškove radne snage za kompletan  rad opisan u troškovniku, sve dilatacijske, alu i završne lasjne/ PROTUKLIZNE LAJSNE NA POČETKU GAZIŠTA
- sve horizontalne i vertikalne transporte do mjesta montaže,
- potrebne radne i pomoćne skele ,
- čišćenje nakon završetka radova,
- svu štetu kao i troškovi popravka kao posljedica nepažnje u toku izvedbe,
- troškovi zaštite na radu,
- troškovi atesta.
</t>
  </si>
  <si>
    <r>
      <rPr>
        <sz val="10"/>
        <rFont val="Arial"/>
        <family val="2"/>
      </rPr>
      <t xml:space="preserve">Priprema podloge za polaganje keramičke obloge od keramike na način da površinu treba pripremiti brušenjem, sačmarenjem ili frezanjem, te ukloniti prašinu postupkom usisavanja. Kod polaganja keramike potrebno je poštivati konstruktivne dilatacije, najveće polje prostornih dilatacija je 25 m2. Vlačna čvrstoća podloge treba biti min. 1,5 N/mm2, čista, bez masnoća, te vlagom do 4 %. Temperatura zraka mora biti viša od +8 ºC, a temperatura podloge najmanje +3 ºC viša od temperature rošenja. Izvodi se prema uputama proizvođača. Boja fugirne mase i keramike prema izboru projektanta. </t>
    </r>
    <r>
      <rPr>
        <b/>
        <sz val="10"/>
        <rFont val="Arial"/>
        <family val="2"/>
      </rPr>
      <t>NAPOMENA: Pločice dimezije 60 / 60 / 1 cm.</t>
    </r>
  </si>
  <si>
    <t>GARAŽA -2</t>
  </si>
  <si>
    <t>PREDPROSTOR STUBIŠTA- SJEVER</t>
  </si>
  <si>
    <t>pod</t>
  </si>
  <si>
    <t>sokl</t>
  </si>
  <si>
    <t>PREDPROSTOR STUBIŠTA- JUG</t>
  </si>
  <si>
    <t>PROSTOR ZA ELEKTROORMARE</t>
  </si>
  <si>
    <t>SPREMIŠTA</t>
  </si>
  <si>
    <t>GARAŽA -1</t>
  </si>
  <si>
    <t>PRIZEMLJE</t>
  </si>
  <si>
    <t>STREET FOOD CORNER</t>
  </si>
  <si>
    <t>CAFFE BAR</t>
  </si>
  <si>
    <t>HODNICI - SJEV. DIO</t>
  </si>
  <si>
    <t>SANITARIJE</t>
  </si>
  <si>
    <t>zid</t>
  </si>
  <si>
    <t>MESNICA + RIBARNICA + MLIJEĆNA TRŽ.+ OPSKRB. HODNIK</t>
  </si>
  <si>
    <t>PREDPR. I PROSTOR STUBIŠTA- JUŽ. DIO</t>
  </si>
  <si>
    <t>ZAJEDNIČKI PROSTOR (unutar gabarita zgrade) - kamene pločice, klasa protukliznosti R12</t>
  </si>
  <si>
    <t>VANJSKI PROSTOR (van gabarita zgrade) - kamene pločice, klasa protukliznosti R12</t>
  </si>
  <si>
    <t>1. KAT</t>
  </si>
  <si>
    <t>POSLOVNI PROSTORI I SPREMIŠTA</t>
  </si>
  <si>
    <t>PREDPR. I PROSTOR STUBIŠTA</t>
  </si>
  <si>
    <t>GALERIJA</t>
  </si>
  <si>
    <t>2. KAT</t>
  </si>
  <si>
    <t>SPREMIŠTE I PR. STUB.</t>
  </si>
  <si>
    <t>Dobava i ugradnja sanitarnog silikona u boji po želji invetitora. Obračun po m1 izvedenog silikona.</t>
  </si>
  <si>
    <t>GLAVNO STUBIŠTE, širina kraka 585 cm</t>
  </si>
  <si>
    <t>čelo h= 16,30 cm</t>
  </si>
  <si>
    <t>gazište h= 30,00 cm</t>
  </si>
  <si>
    <t>sokl h= 10 cm</t>
  </si>
  <si>
    <t>međupodest  š= 2,15 cm</t>
  </si>
  <si>
    <t>STUBIŠTE SJEVER (garaža- 1.kat), širina kraka 110 cm</t>
  </si>
  <si>
    <t>čelo h=17,25 cm</t>
  </si>
  <si>
    <t>gazište š= 26,00 cm</t>
  </si>
  <si>
    <t>čelo h= 17,06 cm</t>
  </si>
  <si>
    <t>čelo h= 18 cm</t>
  </si>
  <si>
    <t xml:space="preserve">međupodest </t>
  </si>
  <si>
    <t>STUBIŠTE SJEVER (1.kat- 2.kat), širina kraka 110 cm</t>
  </si>
  <si>
    <t>čelo h= 16,2 cm</t>
  </si>
  <si>
    <t>gazište š= 28,00 cm</t>
  </si>
  <si>
    <t>STUBIŠTE JUG, širina kraka 110 cm</t>
  </si>
  <si>
    <t>čelo h= 16,90 cm</t>
  </si>
  <si>
    <t>čelo h= 17,77 cm</t>
  </si>
  <si>
    <t>ZIDNA OBLOGA</t>
  </si>
  <si>
    <t xml:space="preserve">Dobava i postava crnih keramičkih slip pločica u imitaciji cigle, debljine d= 1 cm, kao završna obloga fasade (vanjska strana). Pločice se postavljaju na prethodno postavljene slojeve ETICS fasade koji su obrađeni u fasaderskim radovima. Ljepilo i sav potreban materijal u cijeni stavke. Pločice postaviti s povećanim oprezom, sve prema pravilima struke. </t>
  </si>
  <si>
    <t xml:space="preserve">Dobava i postava crnih keramičkih slip pločica u imitaciji cigle, debljine d= 1 cm, kao završna obloga unutarnjeg zida. Ljepilo i sav potreban materijal u cijeni stavke. Pločice postaviti s povećanim oprezom, sve prema pravilima struke. </t>
  </si>
  <si>
    <t xml:space="preserve">Dobava i postava vanjskog kamenog popločenja oko kapelice sv. Florijana, prema projektu faksimilske obnove. Pločice se postavlja na prethodno postavljene slojeve krova garaže, obrađene u zasebnoj stavci. U cijeni sav potreban materijal za postavu popločenja. Obračun po m2. </t>
  </si>
  <si>
    <t>Dobava i postava kamenog popločenja unutar kapelice sv. Florijana, prema projektu faksimilske onove. Pločice se postavlja na na prethodno izvedenu podlu ploču obrađenu u zasebnoj stavci. U cijeni sav potreban materijal, ljepilo, masa za fugiranje i dr. Obračun po m2 postavljenog popločenja.</t>
  </si>
  <si>
    <t xml:space="preserve">Dobava i postava kamenog oltara unutar kapelice sv. Florijana, sve prema projektu faksimilske onove i uputama nadležnog konzervatorskog odjela. U cijeni sav potreban materijal i rad za dovršetak posla. </t>
  </si>
  <si>
    <r>
      <t>Dobava i ugradnja</t>
    </r>
    <r>
      <rPr>
        <b/>
        <sz val="10"/>
        <rFont val="Arial"/>
        <family val="2"/>
      </rPr>
      <t xml:space="preserve"> protukliznih keramičkih i kamenih pločica</t>
    </r>
    <r>
      <rPr>
        <sz val="10"/>
        <rFont val="Arial"/>
        <family val="2"/>
      </rPr>
      <t xml:space="preserve"> u objektu na čvrstu i ravnu podlogu, prema nacrtu polaganja pločica, koristeći poboljšano, fleksibilno cementno ljepilo s Low Dust tehnologijom, razreda C2TE S1, za nanose debljine do 15 mm ili koristiti ljepilo s mogućnošću potpunog uljeganja poleđine keramičke pločice u ljepljivu oposteljici. Stavka obuhvaća sve potrebne radove, fugiranje poboljšanom cementnom brzovezujućom i brzosušećom fugirnom masom za fuge širine 2 do 20 mm, te brtvljenje dilatacijskih spojeva pomoću silikonske mase za brtvljenje bez otapala na osnovi acetatnog zamreženja. Obračun po m2 izvedenih površina. Nanošenje ljepila prema uputama proizvođača - potpuno punoplošno i s lopaticama za ljepilo po uputama proizvođača ljepila (zaobljeni profili ruba lopatice) rebra. Poštivati uvjete i temperaturu postavljanja ljepila prema uputi proizvođača. Širina fuge 3 mm. Pločice su boje i tipa po izboru projektanta. Dilatacije pločica izvesti  silikonskom fugom. Prije postavljanja pločica, potrebno je izraditi shemu polaganja. U cijenu stavke je uračunata navedena fug masa i dilatacijska silikonska fug masa. Opločenje po zidovima do stropa, u sanitarijama.</t>
    </r>
  </si>
  <si>
    <t>KROVNA TERASA - kamene pločice, protukliznost R12 
Završni sloj poda krovne terase činit će  kamene plocice protukliznosti r12, lokalnog pjescenjaka u sivoj boji</t>
  </si>
  <si>
    <t xml:space="preserve"> Nabava, izrada, dobava i postava kamenih pločica od lokalnog pjescenjaka u sivoj boji u cementnom mortu omjera 1:2 ili ljepljenje fleksibilnim ljepilom na unutarnja stubišta.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</si>
</sst>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 #,##0.00\ &quot;kn&quot;_-;\-* #,##0.00\ &quot;kn&quot;_-;_-* &quot;-&quot;??\ &quot;kn&quot;_-;_-@_-"/>
    <numFmt numFmtId="43" formatCode="_-* #,##0.00_-;\-* #,##0.00_-;_-* &quot;-&quot;??_-;_-@_-"/>
    <numFmt numFmtId="164" formatCode="_-&quot;£&quot;* #,##0.00_-;\-&quot;£&quot;* #,##0.00_-;_-&quot;£&quot;* &quot;-&quot;??_-;_-@_-"/>
    <numFmt numFmtId="165" formatCode="_(* #,##0.00_);_(* \(#,##0.00\);_(* &quot;-&quot;??_);_(@_)"/>
    <numFmt numFmtId="166" formatCode="_-* #,##0.00\ _k_n_-;\-* #,##0.00\ _k_n_-;_-* \-??\ _k_n_-;_-@_-"/>
    <numFmt numFmtId="167" formatCode="_-* #,##0.00\ _k_n_-;\-* #,##0.00\ _k_n_-;_-* &quot;-&quot;??\ _k_n_-;_-@_-"/>
    <numFmt numFmtId="168" formatCode="_ * #,##0.00_ ;_ * \-#,##0.00_ ;_ * &quot;-&quot;??_ ;_ @_ "/>
    <numFmt numFmtId="169" formatCode="_-* #,##0.00&quot; kn&quot;_-;\-* #,##0.00&quot; kn&quot;_-;_-* \-??&quot; kn&quot;_-;_-@_-"/>
    <numFmt numFmtId="170" formatCode="#,##0.00\ [$EUR];[Red]#,##0.00\ [$EUR]"/>
    <numFmt numFmtId="171" formatCode="[$-141A]General"/>
    <numFmt numFmtId="172" formatCode="#,##0.00\ [$€-1];\-#,##0.00\ [$€-1]"/>
    <numFmt numFmtId="173" formatCode="##&quot;.&quot;"/>
  </numFmts>
  <fonts count="61">
    <font>
      <sz val="11"/>
      <color theme="1"/>
      <name val="Calibri"/>
      <charset val="134"/>
      <scheme val="minor"/>
    </font>
    <font>
      <sz val="10"/>
      <name val="Arial"/>
      <family val="2"/>
    </font>
    <font>
      <b/>
      <sz val="12"/>
      <name val="Arial"/>
      <family val="2"/>
    </font>
    <font>
      <b/>
      <sz val="10"/>
      <name val="Arial"/>
      <family val="2"/>
    </font>
    <font>
      <sz val="10"/>
      <name val="Arial"/>
      <family val="2"/>
    </font>
    <font>
      <i/>
      <sz val="10"/>
      <name val="Arial"/>
      <family val="2"/>
    </font>
    <font>
      <sz val="12"/>
      <name val="Arial"/>
      <family val="2"/>
    </font>
    <font>
      <sz val="9"/>
      <name val="Arial"/>
      <family val="2"/>
    </font>
    <font>
      <sz val="11"/>
      <name val="Arial"/>
      <family val="2"/>
    </font>
    <font>
      <sz val="10"/>
      <name val="Arial Narrow"/>
      <family val="2"/>
    </font>
    <font>
      <sz val="11"/>
      <color theme="1"/>
      <name val="Calibri"/>
      <family val="2"/>
      <scheme val="minor"/>
    </font>
    <font>
      <b/>
      <sz val="10"/>
      <color indexed="8"/>
      <name val="Arial"/>
      <family val="2"/>
    </font>
    <font>
      <sz val="10"/>
      <color indexed="8"/>
      <name val="Arial"/>
      <family val="2"/>
    </font>
    <font>
      <b/>
      <sz val="9"/>
      <name val="Arial"/>
      <family val="2"/>
    </font>
    <font>
      <sz val="11"/>
      <color theme="1"/>
      <name val="Arial"/>
      <family val="2"/>
    </font>
    <font>
      <sz val="10"/>
      <color theme="1"/>
      <name val="Arial"/>
      <family val="2"/>
    </font>
    <font>
      <sz val="10"/>
      <color rgb="FFFF0000"/>
      <name val="Arial"/>
      <family val="2"/>
    </font>
    <font>
      <b/>
      <sz val="11"/>
      <color theme="1"/>
      <name val="Arial"/>
      <family val="2"/>
    </font>
    <font>
      <b/>
      <sz val="10"/>
      <color rgb="FFFF0000"/>
      <name val="Arial"/>
      <family val="2"/>
    </font>
    <font>
      <sz val="11"/>
      <color rgb="FFFF0000"/>
      <name val="Arial"/>
      <family val="2"/>
    </font>
    <font>
      <sz val="11"/>
      <color rgb="FF7030A0"/>
      <name val="Arial"/>
      <family val="2"/>
    </font>
    <font>
      <sz val="10"/>
      <name val="Arial Narrow"/>
      <family val="2"/>
    </font>
    <font>
      <sz val="11"/>
      <color indexed="8"/>
      <name val="Calibri"/>
      <family val="2"/>
    </font>
    <font>
      <sz val="11"/>
      <name val="Arial"/>
      <family val="2"/>
    </font>
    <font>
      <sz val="12"/>
      <color theme="1"/>
      <name val="Calibri"/>
      <family val="2"/>
      <scheme val="minor"/>
    </font>
    <font>
      <sz val="12"/>
      <color theme="1"/>
      <name val="Arial"/>
      <family val="2"/>
    </font>
    <font>
      <b/>
      <sz val="14"/>
      <color theme="1"/>
      <name val="Arial"/>
      <family val="2"/>
    </font>
    <font>
      <b/>
      <sz val="12"/>
      <color theme="1"/>
      <name val="Arial"/>
      <family val="2"/>
    </font>
    <font>
      <sz val="11"/>
      <color theme="1"/>
      <name val="Calibri"/>
      <family val="2"/>
      <scheme val="minor"/>
    </font>
    <font>
      <sz val="11"/>
      <color indexed="9"/>
      <name val="Calibri"/>
      <family val="2"/>
    </font>
    <font>
      <sz val="11"/>
      <color indexed="20"/>
      <name val="Calibri"/>
      <family val="2"/>
    </font>
    <font>
      <b/>
      <i/>
      <sz val="8"/>
      <name val="Verdana"/>
      <family val="2"/>
    </font>
    <font>
      <b/>
      <i/>
      <sz val="8"/>
      <color theme="1"/>
      <name val="Verdana"/>
      <family val="2"/>
    </font>
    <font>
      <b/>
      <sz val="11"/>
      <color indexed="52"/>
      <name val="Calibri"/>
      <family val="2"/>
    </font>
    <font>
      <b/>
      <sz val="11"/>
      <color indexed="9"/>
      <name val="Calibri"/>
      <family val="2"/>
    </font>
    <font>
      <sz val="12"/>
      <name val="Times New Roman"/>
      <family val="1"/>
    </font>
    <font>
      <sz val="10"/>
      <name val="Lucida Sans"/>
      <family val="2"/>
    </font>
    <font>
      <b/>
      <sz val="11"/>
      <color indexed="8"/>
      <name val="Calibri"/>
      <family val="2"/>
    </font>
    <font>
      <sz val="11"/>
      <color indexed="17"/>
      <name val="Calibri"/>
      <family val="2"/>
    </font>
    <font>
      <b/>
      <sz val="10"/>
      <color theme="1"/>
      <name val="Verdana"/>
      <family val="2"/>
    </font>
    <font>
      <b/>
      <sz val="8"/>
      <color theme="1"/>
      <name val="Verdana"/>
      <family val="2"/>
    </font>
    <font>
      <u/>
      <sz val="8"/>
      <color indexed="12"/>
      <name val="Arial"/>
      <family val="2"/>
    </font>
    <font>
      <u/>
      <sz val="10"/>
      <color theme="10"/>
      <name val="Arial"/>
      <family val="2"/>
    </font>
    <font>
      <sz val="11"/>
      <color indexed="62"/>
      <name val="Calibri"/>
      <family val="2"/>
    </font>
    <font>
      <i/>
      <sz val="8"/>
      <color theme="1"/>
      <name val="Verdana"/>
      <family val="2"/>
    </font>
    <font>
      <sz val="10"/>
      <name val="Times New Roman CE"/>
      <charset val="238"/>
    </font>
    <font>
      <sz val="11"/>
      <color indexed="60"/>
      <name val="Calibri"/>
      <family val="2"/>
    </font>
    <font>
      <sz val="10"/>
      <name val="MS Sans Serif"/>
      <charset val="238"/>
    </font>
    <font>
      <sz val="10"/>
      <color rgb="FF000000"/>
      <name val="Calibri"/>
      <family val="2"/>
      <scheme val="minor"/>
    </font>
    <font>
      <sz val="10"/>
      <color theme="1"/>
      <name val="Calibri"/>
      <family val="2"/>
    </font>
    <font>
      <sz val="10"/>
      <color rgb="FF000000"/>
      <name val="Arial3"/>
      <charset val="238"/>
    </font>
    <font>
      <sz val="9"/>
      <name val="Tahoma"/>
      <family val="2"/>
    </font>
    <font>
      <sz val="10"/>
      <name val="CRO_Bookman-Normal"/>
      <charset val="238"/>
    </font>
    <font>
      <sz val="10"/>
      <name val="MS Sans Serif"/>
      <charset val="134"/>
    </font>
    <font>
      <sz val="8"/>
      <color theme="1"/>
      <name val="Verdana"/>
      <family val="2"/>
    </font>
    <font>
      <b/>
      <sz val="11"/>
      <color indexed="63"/>
      <name val="Calibri"/>
      <family val="2"/>
    </font>
    <font>
      <b/>
      <sz val="18"/>
      <color indexed="56"/>
      <name val="Cambria"/>
      <family val="1"/>
    </font>
    <font>
      <sz val="10"/>
      <name val="Helv"/>
      <charset val="134"/>
    </font>
    <font>
      <sz val="11"/>
      <color theme="1"/>
      <name val="Calibri"/>
      <family val="2"/>
      <scheme val="minor"/>
    </font>
    <font>
      <sz val="9"/>
      <color indexed="81"/>
      <name val="Tahoma"/>
      <family val="2"/>
      <charset val="238"/>
    </font>
    <font>
      <b/>
      <sz val="9"/>
      <color indexed="81"/>
      <name val="Tahoma"/>
      <family val="2"/>
      <charset val="238"/>
    </font>
  </fonts>
  <fills count="34">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22"/>
        <bgColor indexed="64"/>
      </patternFill>
    </fill>
    <fill>
      <patternFill patternType="solid">
        <fgColor theme="0" tint="-0.14996795556505021"/>
        <bgColor indexed="64"/>
      </patternFill>
    </fill>
    <fill>
      <patternFill patternType="solid">
        <fgColor rgb="FFFFFF00"/>
        <bgColor indexed="64"/>
      </patternFill>
    </fill>
    <fill>
      <patternFill patternType="solid">
        <fgColor indexed="31"/>
        <bgColor indexed="22"/>
      </patternFill>
    </fill>
    <fill>
      <patternFill patternType="solid">
        <fgColor indexed="44"/>
        <bgColor indexed="31"/>
      </patternFill>
    </fill>
    <fill>
      <patternFill patternType="solid">
        <fgColor indexed="30"/>
        <bgColor indexed="21"/>
      </patternFill>
    </fill>
    <fill>
      <patternFill patternType="solid">
        <fgColor indexed="62"/>
        <bgColor indexed="56"/>
      </patternFill>
    </fill>
    <fill>
      <patternFill patternType="solid">
        <fgColor indexed="45"/>
        <bgColor indexed="29"/>
      </patternFill>
    </fill>
    <fill>
      <patternFill patternType="solid">
        <fgColor indexed="29"/>
        <bgColor indexed="45"/>
      </patternFill>
    </fill>
    <fill>
      <patternFill patternType="solid">
        <fgColor indexed="10"/>
        <bgColor indexed="61"/>
      </patternFill>
    </fill>
    <fill>
      <patternFill patternType="solid">
        <fgColor indexed="42"/>
        <bgColor indexed="27"/>
      </patternFill>
    </fill>
    <fill>
      <patternFill patternType="solid">
        <fgColor indexed="11"/>
        <bgColor indexed="49"/>
      </patternFill>
    </fill>
    <fill>
      <patternFill patternType="solid">
        <fgColor indexed="57"/>
        <bgColor indexed="21"/>
      </patternFill>
    </fill>
    <fill>
      <patternFill patternType="solid">
        <fgColor indexed="46"/>
        <bgColor indexed="45"/>
      </patternFill>
    </fill>
    <fill>
      <patternFill patternType="solid">
        <fgColor indexed="20"/>
        <bgColor indexed="36"/>
      </patternFill>
    </fill>
    <fill>
      <patternFill patternType="solid">
        <fgColor indexed="27"/>
        <bgColor indexed="41"/>
      </patternFill>
    </fill>
    <fill>
      <patternFill patternType="solid">
        <fgColor indexed="49"/>
        <bgColor indexed="40"/>
      </patternFill>
    </fill>
    <fill>
      <patternFill patternType="solid">
        <fgColor indexed="47"/>
        <bgColor indexed="22"/>
      </patternFill>
    </fill>
    <fill>
      <patternFill patternType="solid">
        <fgColor indexed="51"/>
        <bgColor indexed="13"/>
      </patternFill>
    </fill>
    <fill>
      <patternFill patternType="solid">
        <fgColor indexed="52"/>
        <bgColor indexed="51"/>
      </patternFill>
    </fill>
    <fill>
      <patternFill patternType="solid">
        <fgColor indexed="53"/>
        <bgColor indexed="25"/>
      </patternFill>
    </fill>
    <fill>
      <patternFill patternType="solid">
        <fgColor indexed="22"/>
        <bgColor indexed="31"/>
      </patternFill>
    </fill>
    <fill>
      <patternFill patternType="solid">
        <fgColor indexed="55"/>
        <bgColor indexed="23"/>
      </patternFill>
    </fill>
    <fill>
      <patternFill patternType="solid">
        <fgColor indexed="40"/>
        <bgColor indexed="49"/>
      </patternFill>
    </fill>
    <fill>
      <patternFill patternType="solid">
        <fgColor indexed="25"/>
        <bgColor indexed="61"/>
      </patternFill>
    </fill>
    <fill>
      <patternFill patternType="solid">
        <fgColor indexed="24"/>
        <bgColor indexed="55"/>
      </patternFill>
    </fill>
    <fill>
      <patternFill patternType="solid">
        <fgColor rgb="FFCCCCCC"/>
        <bgColor rgb="FFCCCCCC"/>
      </patternFill>
    </fill>
    <fill>
      <patternFill patternType="solid">
        <fgColor rgb="FFE6E6E6"/>
        <bgColor rgb="FFE6E6E6"/>
      </patternFill>
    </fill>
    <fill>
      <patternFill patternType="solid">
        <fgColor indexed="43"/>
        <bgColor indexed="26"/>
      </patternFill>
    </fill>
    <fill>
      <patternFill patternType="solid">
        <fgColor indexed="26"/>
        <bgColor indexed="9"/>
      </patternFill>
    </fill>
  </fills>
  <borders count="19">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rgb="FF000000"/>
      </top>
      <bottom style="double">
        <color auto="1"/>
      </bottom>
      <diagonal/>
    </border>
    <border>
      <left/>
      <right/>
      <top style="thin">
        <color rgb="FF000000"/>
      </top>
      <bottom style="thin">
        <color rgb="FF00000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s>
  <cellStyleXfs count="226">
    <xf numFmtId="0" fontId="0" fillId="0" borderId="0"/>
    <xf numFmtId="9" fontId="58" fillId="0" borderId="0" applyFont="0" applyFill="0" applyBorder="0" applyAlignment="0" applyProtection="0"/>
    <xf numFmtId="0" fontId="22" fillId="7" borderId="0" applyNumberFormat="0" applyBorder="0" applyAlignment="0" applyProtection="0"/>
    <xf numFmtId="0" fontId="22"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2" fillId="11" borderId="0" applyNumberFormat="0" applyBorder="0" applyAlignment="0" applyProtection="0"/>
    <xf numFmtId="0" fontId="22"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2" fillId="17" borderId="0" applyNumberFormat="0" applyBorder="0" applyAlignment="0" applyProtection="0"/>
    <xf numFmtId="0" fontId="22" fillId="17"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2" fillId="19" borderId="0" applyNumberFormat="0" applyBorder="0" applyAlignment="0" applyProtection="0"/>
    <xf numFmtId="0" fontId="22" fillId="8" borderId="0" applyNumberFormat="0" applyBorder="0" applyAlignment="0" applyProtection="0"/>
    <xf numFmtId="0" fontId="29" fillId="20" borderId="0" applyNumberFormat="0" applyBorder="0" applyAlignment="0" applyProtection="0"/>
    <xf numFmtId="0" fontId="29" fillId="20" borderId="0" applyNumberFormat="0" applyBorder="0" applyAlignment="0" applyProtection="0"/>
    <xf numFmtId="0" fontId="29" fillId="20" borderId="0" applyNumberFormat="0" applyBorder="0" applyAlignment="0" applyProtection="0"/>
    <xf numFmtId="0" fontId="22" fillId="21" borderId="0" applyNumberFormat="0" applyBorder="0" applyAlignment="0" applyProtection="0"/>
    <xf numFmtId="0" fontId="22" fillId="22" borderId="0" applyNumberFormat="0" applyBorder="0" applyAlignment="0" applyProtection="0"/>
    <xf numFmtId="0" fontId="29" fillId="23" borderId="0" applyNumberFormat="0" applyBorder="0" applyAlignment="0" applyProtection="0"/>
    <xf numFmtId="0" fontId="29" fillId="24" borderId="0" applyNumberFormat="0" applyBorder="0" applyAlignment="0" applyProtection="0"/>
    <xf numFmtId="0" fontId="29" fillId="24"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1" fillId="0" borderId="0" applyBorder="0" applyProtection="0">
      <alignment vertical="top"/>
    </xf>
    <xf numFmtId="0" fontId="32" fillId="0" borderId="0">
      <alignment vertical="top"/>
    </xf>
    <xf numFmtId="0" fontId="33" fillId="25" borderId="13" applyNumberFormat="0" applyAlignment="0" applyProtection="0"/>
    <xf numFmtId="0" fontId="33" fillId="25" borderId="13" applyNumberFormat="0" applyAlignment="0" applyProtection="0"/>
    <xf numFmtId="0" fontId="34" fillId="26" borderId="14" applyNumberFormat="0" applyAlignment="0" applyProtection="0"/>
    <xf numFmtId="0" fontId="34" fillId="26" borderId="14" applyNumberFormat="0" applyAlignment="0" applyProtection="0"/>
    <xf numFmtId="43" fontId="35" fillId="0" borderId="0" applyFont="0" applyFill="0" applyBorder="0" applyAlignment="0" applyProtection="0"/>
    <xf numFmtId="166" fontId="22" fillId="0" borderId="0" applyFill="0" applyBorder="0" applyAlignment="0" applyProtection="0"/>
    <xf numFmtId="166" fontId="22" fillId="0" borderId="0" applyFill="0" applyBorder="0" applyAlignment="0" applyProtection="0"/>
    <xf numFmtId="166" fontId="22" fillId="0" borderId="0" applyFill="0" applyBorder="0" applyAlignment="0" applyProtection="0"/>
    <xf numFmtId="167" fontId="6" fillId="0" borderId="0" applyFont="0" applyFill="0" applyBorder="0" applyAlignment="0" applyProtection="0"/>
    <xf numFmtId="166" fontId="22" fillId="0" borderId="0" applyFill="0" applyBorder="0" applyAlignment="0" applyProtection="0"/>
    <xf numFmtId="166" fontId="22" fillId="0" borderId="0" applyFill="0" applyBorder="0" applyAlignment="0" applyProtection="0"/>
    <xf numFmtId="166" fontId="22" fillId="0" borderId="0" applyFill="0" applyBorder="0" applyAlignment="0" applyProtection="0"/>
    <xf numFmtId="166" fontId="22" fillId="0" borderId="0" applyFill="0" applyBorder="0" applyAlignment="0" applyProtection="0"/>
    <xf numFmtId="166" fontId="22" fillId="0" borderId="0" applyFill="0" applyBorder="0" applyAlignment="0" applyProtection="0"/>
    <xf numFmtId="166" fontId="22" fillId="0" borderId="0" applyFill="0" applyBorder="0" applyAlignment="0" applyProtection="0"/>
    <xf numFmtId="166" fontId="22" fillId="0" borderId="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6" fontId="36" fillId="0" borderId="0" applyFill="0" applyBorder="0" applyAlignment="0" applyProtection="0"/>
    <xf numFmtId="167" fontId="58" fillId="0" borderId="0" applyFont="0" applyFill="0" applyBorder="0" applyAlignment="0" applyProtection="0"/>
    <xf numFmtId="167" fontId="58" fillId="0" borderId="0" applyFont="0" applyFill="0" applyBorder="0" applyAlignment="0" applyProtection="0"/>
    <xf numFmtId="167" fontId="1" fillId="0" borderId="0" applyFill="0" applyBorder="0" applyAlignment="0" applyProtection="0"/>
    <xf numFmtId="166" fontId="22" fillId="0" borderId="0" applyFill="0" applyBorder="0" applyAlignment="0" applyProtection="0"/>
    <xf numFmtId="168" fontId="28" fillId="0" borderId="0" applyFont="0" applyFill="0" applyBorder="0" applyAlignment="0" applyProtection="0">
      <alignment vertical="center"/>
    </xf>
    <xf numFmtId="169" fontId="22" fillId="0" borderId="0" applyFill="0" applyBorder="0" applyAlignment="0" applyProtection="0"/>
    <xf numFmtId="0" fontId="37" fillId="27" borderId="0" applyNumberFormat="0" applyBorder="0" applyAlignment="0" applyProtection="0"/>
    <xf numFmtId="0" fontId="37" fillId="28" borderId="0" applyNumberFormat="0" applyBorder="0" applyAlignment="0" applyProtection="0"/>
    <xf numFmtId="0" fontId="37" fillId="29"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4" fontId="39" fillId="30" borderId="15">
      <alignment horizontal="left" vertical="top"/>
    </xf>
    <xf numFmtId="4" fontId="40" fillId="31" borderId="16">
      <alignment horizontal="left" vertical="top" indent="1"/>
    </xf>
    <xf numFmtId="0" fontId="41" fillId="0" borderId="0" applyNumberFormat="0" applyFill="0" applyBorder="0" applyAlignment="0" applyProtection="0">
      <alignment vertical="top"/>
      <protection locked="0"/>
    </xf>
    <xf numFmtId="170" fontId="42" fillId="0" borderId="0" applyNumberFormat="0" applyFill="0" applyBorder="0" applyAlignment="0" applyProtection="0"/>
    <xf numFmtId="0" fontId="43" fillId="21" borderId="13" applyNumberFormat="0" applyAlignment="0" applyProtection="0"/>
    <xf numFmtId="0" fontId="43" fillId="21" borderId="13" applyNumberFormat="0" applyAlignment="0" applyProtection="0"/>
    <xf numFmtId="0" fontId="44" fillId="0" borderId="0">
      <alignment horizontal="left" vertical="top" indent="1"/>
    </xf>
    <xf numFmtId="0" fontId="45" fillId="0" borderId="0">
      <alignment horizontal="right" vertical="top"/>
    </xf>
    <xf numFmtId="4" fontId="39" fillId="30" borderId="15">
      <alignment horizontal="left" vertical="top"/>
    </xf>
    <xf numFmtId="0" fontId="46" fillId="32" borderId="0" applyNumberFormat="0" applyBorder="0" applyAlignment="0" applyProtection="0"/>
    <xf numFmtId="0" fontId="46" fillId="32" borderId="0" applyNumberFormat="0" applyBorder="0" applyAlignment="0" applyProtection="0"/>
    <xf numFmtId="0" fontId="40" fillId="0" borderId="0">
      <alignment vertical="top"/>
    </xf>
    <xf numFmtId="0" fontId="1" fillId="0" borderId="0"/>
    <xf numFmtId="4" fontId="6" fillId="0" borderId="0"/>
    <xf numFmtId="0" fontId="1" fillId="0" borderId="0"/>
    <xf numFmtId="0" fontId="1" fillId="0" borderId="0"/>
    <xf numFmtId="0" fontId="1" fillId="0" borderId="0"/>
    <xf numFmtId="0" fontId="47" fillId="0" borderId="0"/>
    <xf numFmtId="0" fontId="22" fillId="0" borderId="0"/>
    <xf numFmtId="0" fontId="1" fillId="0" borderId="0"/>
    <xf numFmtId="0" fontId="1" fillId="0" borderId="0"/>
    <xf numFmtId="0" fontId="10" fillId="0" borderId="0"/>
    <xf numFmtId="0" fontId="1" fillId="0" borderId="0"/>
    <xf numFmtId="0" fontId="48" fillId="0" borderId="0"/>
    <xf numFmtId="0" fontId="10" fillId="0" borderId="0"/>
    <xf numFmtId="0" fontId="10" fillId="0" borderId="0"/>
    <xf numFmtId="0" fontId="10" fillId="0" borderId="0"/>
    <xf numFmtId="0" fontId="4" fillId="0" borderId="0"/>
    <xf numFmtId="0" fontId="10"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9"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171" fontId="50" fillId="0" borderId="0" applyBorder="0" applyProtection="0"/>
    <xf numFmtId="0" fontId="1" fillId="0" borderId="0" applyNumberFormat="0" applyFont="0" applyFill="0" applyBorder="0" applyAlignment="0" applyProtection="0">
      <alignment vertical="top"/>
    </xf>
    <xf numFmtId="0" fontId="6" fillId="0" borderId="0"/>
    <xf numFmtId="0" fontId="1" fillId="0" borderId="0"/>
    <xf numFmtId="0" fontId="1" fillId="0" borderId="0"/>
    <xf numFmtId="2" fontId="47" fillId="0" borderId="0"/>
    <xf numFmtId="0" fontId="1" fillId="0" borderId="0"/>
    <xf numFmtId="0" fontId="10" fillId="0" borderId="0"/>
    <xf numFmtId="0" fontId="10"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35" fillId="0" borderId="0"/>
    <xf numFmtId="0" fontId="47" fillId="0" borderId="0"/>
    <xf numFmtId="0" fontId="47" fillId="0" borderId="0"/>
    <xf numFmtId="0" fontId="47" fillId="0" borderId="0"/>
    <xf numFmtId="0" fontId="47" fillId="0" borderId="0"/>
    <xf numFmtId="0" fontId="47" fillId="0" borderId="0"/>
    <xf numFmtId="0" fontId="1" fillId="0" borderId="0"/>
    <xf numFmtId="0" fontId="4" fillId="0" borderId="0"/>
    <xf numFmtId="0" fontId="28" fillId="0" borderId="0"/>
    <xf numFmtId="0" fontId="47" fillId="0" borderId="0"/>
    <xf numFmtId="0" fontId="1" fillId="0" borderId="0"/>
    <xf numFmtId="0" fontId="51" fillId="0" borderId="0">
      <alignment horizontal="justify" vertical="top" wrapText="1"/>
    </xf>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1" fillId="0" borderId="0"/>
    <xf numFmtId="0" fontId="22" fillId="0" borderId="0"/>
    <xf numFmtId="0" fontId="24" fillId="0" borderId="0"/>
    <xf numFmtId="0" fontId="1" fillId="0" borderId="0"/>
    <xf numFmtId="0" fontId="1" fillId="0" borderId="0"/>
    <xf numFmtId="0" fontId="10" fillId="0" borderId="0"/>
    <xf numFmtId="0" fontId="52" fillId="0" borderId="0"/>
    <xf numFmtId="0" fontId="4" fillId="0" borderId="0"/>
    <xf numFmtId="0" fontId="52" fillId="0" borderId="0"/>
    <xf numFmtId="0" fontId="52" fillId="0" borderId="0"/>
    <xf numFmtId="0" fontId="52" fillId="0" borderId="0"/>
    <xf numFmtId="0" fontId="52" fillId="0" borderId="0"/>
    <xf numFmtId="0" fontId="58" fillId="0" borderId="0"/>
    <xf numFmtId="0" fontId="22" fillId="0" borderId="0"/>
    <xf numFmtId="0" fontId="52" fillId="0" borderId="0"/>
    <xf numFmtId="0" fontId="52" fillId="0" borderId="0"/>
    <xf numFmtId="0" fontId="52" fillId="0" borderId="0"/>
    <xf numFmtId="0" fontId="1" fillId="0" borderId="0"/>
    <xf numFmtId="0" fontId="52" fillId="0" borderId="0"/>
    <xf numFmtId="0" fontId="52" fillId="0" borderId="0"/>
    <xf numFmtId="0" fontId="1" fillId="0" borderId="0"/>
    <xf numFmtId="0" fontId="52" fillId="0" borderId="0"/>
    <xf numFmtId="0" fontId="52" fillId="0" borderId="0"/>
    <xf numFmtId="0" fontId="52" fillId="0" borderId="0"/>
    <xf numFmtId="0" fontId="4" fillId="0" borderId="0"/>
    <xf numFmtId="0" fontId="53" fillId="0" borderId="0"/>
    <xf numFmtId="0" fontId="1" fillId="0" borderId="0"/>
    <xf numFmtId="0" fontId="4" fillId="0" borderId="0"/>
    <xf numFmtId="0" fontId="1" fillId="0" borderId="0"/>
    <xf numFmtId="0" fontId="1" fillId="0" borderId="0"/>
    <xf numFmtId="0" fontId="1" fillId="0" borderId="0"/>
    <xf numFmtId="0" fontId="1" fillId="0" borderId="0"/>
    <xf numFmtId="0" fontId="4" fillId="0" borderId="0"/>
    <xf numFmtId="0" fontId="1" fillId="0" borderId="0"/>
    <xf numFmtId="0" fontId="47" fillId="0" borderId="0"/>
    <xf numFmtId="0" fontId="58" fillId="0" borderId="0"/>
    <xf numFmtId="0" fontId="58" fillId="0" borderId="0"/>
    <xf numFmtId="0" fontId="4" fillId="0" borderId="0"/>
    <xf numFmtId="4" fontId="8" fillId="0" borderId="0">
      <alignment horizontal="justify" vertical="justify"/>
    </xf>
    <xf numFmtId="4" fontId="23" fillId="0" borderId="0">
      <alignment horizontal="justify"/>
    </xf>
    <xf numFmtId="0" fontId="22" fillId="0" borderId="0"/>
    <xf numFmtId="0" fontId="54" fillId="0" borderId="0">
      <alignment vertical="top"/>
    </xf>
    <xf numFmtId="0" fontId="1" fillId="0" borderId="0"/>
    <xf numFmtId="0" fontId="4" fillId="0" borderId="0"/>
    <xf numFmtId="0" fontId="1" fillId="0" borderId="0"/>
    <xf numFmtId="0" fontId="1" fillId="0" borderId="0"/>
    <xf numFmtId="0" fontId="1" fillId="0" borderId="0"/>
    <xf numFmtId="0" fontId="10" fillId="0" borderId="0"/>
    <xf numFmtId="0" fontId="10" fillId="0" borderId="0"/>
    <xf numFmtId="0" fontId="4" fillId="0" borderId="0"/>
    <xf numFmtId="0" fontId="10" fillId="0" borderId="0"/>
    <xf numFmtId="0" fontId="10" fillId="0" borderId="0"/>
    <xf numFmtId="0" fontId="22" fillId="33" borderId="17" applyNumberFormat="0" applyAlignment="0" applyProtection="0"/>
    <xf numFmtId="0" fontId="22" fillId="33" borderId="17" applyNumberFormat="0" applyAlignment="0" applyProtection="0"/>
    <xf numFmtId="0" fontId="22" fillId="33" borderId="17" applyNumberFormat="0" applyAlignment="0" applyProtection="0"/>
    <xf numFmtId="0" fontId="22" fillId="33" borderId="17" applyNumberFormat="0" applyAlignment="0" applyProtection="0"/>
    <xf numFmtId="0" fontId="22" fillId="33" borderId="17" applyNumberFormat="0" applyAlignment="0" applyProtection="0"/>
    <xf numFmtId="0" fontId="22" fillId="33" borderId="17" applyNumberFormat="0" applyAlignment="0" applyProtection="0"/>
    <xf numFmtId="0" fontId="22" fillId="33" borderId="17" applyNumberFormat="0" applyAlignment="0" applyProtection="0"/>
    <xf numFmtId="0" fontId="22" fillId="33" borderId="17" applyNumberFormat="0" applyAlignment="0" applyProtection="0"/>
    <xf numFmtId="0" fontId="7" fillId="0" borderId="0"/>
    <xf numFmtId="0" fontId="55" fillId="25" borderId="18" applyNumberFormat="0" applyAlignment="0" applyProtection="0"/>
    <xf numFmtId="0" fontId="55" fillId="25" borderId="18" applyNumberFormat="0" applyAlignment="0" applyProtection="0"/>
    <xf numFmtId="4" fontId="40" fillId="31" borderId="16">
      <alignment vertical="top"/>
    </xf>
    <xf numFmtId="4" fontId="40" fillId="31" borderId="16">
      <alignment vertical="top"/>
    </xf>
    <xf numFmtId="4" fontId="54" fillId="0" borderId="0">
      <alignment horizontal="right"/>
    </xf>
    <xf numFmtId="0" fontId="56" fillId="0" borderId="0" applyNumberFormat="0" applyFill="0" applyBorder="0" applyAlignment="0" applyProtection="0"/>
    <xf numFmtId="0" fontId="1" fillId="0" borderId="0"/>
    <xf numFmtId="0" fontId="57" fillId="0" borderId="0"/>
    <xf numFmtId="0" fontId="23" fillId="0" borderId="0">
      <alignment horizontal="left" vertical="top" wrapText="1"/>
    </xf>
    <xf numFmtId="0" fontId="57" fillId="0" borderId="0"/>
    <xf numFmtId="0" fontId="57" fillId="0" borderId="0"/>
    <xf numFmtId="44" fontId="58" fillId="0" borderId="0" applyFont="0" applyFill="0" applyBorder="0" applyAlignment="0" applyProtection="0"/>
    <xf numFmtId="164" fontId="4" fillId="0" borderId="0" applyFont="0" applyFill="0" applyBorder="0" applyAlignment="0" applyProtection="0"/>
    <xf numFmtId="167" fontId="22" fillId="0" borderId="0" applyFont="0" applyFill="0" applyBorder="0" applyAlignment="0" applyProtection="0"/>
    <xf numFmtId="167" fontId="1" fillId="0" borderId="0" applyFont="0" applyFill="0" applyBorder="0" applyAlignment="0" applyProtection="0"/>
  </cellStyleXfs>
  <cellXfs count="77">
    <xf numFmtId="0" fontId="0" fillId="0" borderId="0" xfId="0"/>
    <xf numFmtId="0" fontId="3" fillId="0" borderId="2" xfId="0" applyFont="1" applyBorder="1" applyAlignment="1">
      <alignment horizontal="center" vertical="top" wrapText="1"/>
    </xf>
    <xf numFmtId="172" fontId="1" fillId="0" borderId="2" xfId="0" applyNumberFormat="1" applyFont="1" applyBorder="1" applyAlignment="1">
      <alignment horizontal="right"/>
    </xf>
    <xf numFmtId="0" fontId="1" fillId="0" borderId="2" xfId="0" applyFont="1" applyBorder="1" applyAlignment="1">
      <alignment horizontal="left" vertical="top" wrapText="1"/>
    </xf>
    <xf numFmtId="4" fontId="1" fillId="0" borderId="2" xfId="0" applyNumberFormat="1" applyFont="1" applyBorder="1" applyAlignment="1">
      <alignment horizontal="right"/>
    </xf>
    <xf numFmtId="0" fontId="1" fillId="0" borderId="2" xfId="0" applyFont="1" applyBorder="1" applyAlignment="1">
      <alignment horizontal="center"/>
    </xf>
    <xf numFmtId="172" fontId="3" fillId="0" borderId="2" xfId="0" applyNumberFormat="1" applyFont="1" applyBorder="1" applyAlignment="1">
      <alignment horizontal="right"/>
    </xf>
    <xf numFmtId="0" fontId="14" fillId="0" borderId="0" xfId="0" applyFont="1"/>
    <xf numFmtId="0" fontId="3" fillId="0" borderId="2" xfId="0" applyFont="1" applyBorder="1" applyAlignment="1">
      <alignment horizontal="left" vertical="top" wrapText="1"/>
    </xf>
    <xf numFmtId="172" fontId="1" fillId="0" borderId="2" xfId="0" applyNumberFormat="1" applyFont="1" applyBorder="1" applyAlignment="1" applyProtection="1">
      <alignment horizontal="right"/>
      <protection locked="0"/>
    </xf>
    <xf numFmtId="0" fontId="1" fillId="0" borderId="2" xfId="0" applyFont="1" applyBorder="1" applyAlignment="1">
      <alignment horizontal="justify" vertical="top" wrapText="1"/>
    </xf>
    <xf numFmtId="172" fontId="16" fillId="0" borderId="2" xfId="0" applyNumberFormat="1" applyFont="1" applyBorder="1" applyAlignment="1">
      <alignment horizontal="right"/>
    </xf>
    <xf numFmtId="0" fontId="14" fillId="0" borderId="0" xfId="0" applyFont="1" applyAlignment="1">
      <alignment horizontal="left" vertical="top" wrapText="1"/>
    </xf>
    <xf numFmtId="172" fontId="14" fillId="0" borderId="0" xfId="0" applyNumberFormat="1" applyFont="1"/>
    <xf numFmtId="172" fontId="17" fillId="0" borderId="0" xfId="1" applyNumberFormat="1" applyFont="1"/>
    <xf numFmtId="49" fontId="3"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xf>
    <xf numFmtId="4" fontId="1" fillId="4" borderId="2" xfId="0" applyNumberFormat="1" applyFont="1" applyFill="1" applyBorder="1" applyAlignment="1">
      <alignment horizontal="center" vertical="center"/>
    </xf>
    <xf numFmtId="172" fontId="3" fillId="4" borderId="2" xfId="0" applyNumberFormat="1" applyFont="1" applyFill="1" applyBorder="1" applyAlignment="1" applyProtection="1">
      <alignment horizontal="center" vertical="center"/>
      <protection locked="0"/>
    </xf>
    <xf numFmtId="172" fontId="3" fillId="4" borderId="2" xfId="1" applyNumberFormat="1" applyFont="1" applyFill="1" applyBorder="1" applyAlignment="1">
      <alignment horizontal="center" vertical="center"/>
    </xf>
    <xf numFmtId="0" fontId="13" fillId="4" borderId="2" xfId="0" applyFont="1" applyFill="1" applyBorder="1" applyAlignment="1">
      <alignment horizontal="center" vertical="center" wrapText="1"/>
    </xf>
    <xf numFmtId="0" fontId="13" fillId="4" borderId="2" xfId="0" applyFont="1" applyFill="1" applyBorder="1" applyAlignment="1">
      <alignment horizontal="center" vertical="center"/>
    </xf>
    <xf numFmtId="4" fontId="13" fillId="4" borderId="2" xfId="0" applyNumberFormat="1" applyFont="1" applyFill="1" applyBorder="1" applyAlignment="1">
      <alignment horizontal="center" vertical="center"/>
    </xf>
    <xf numFmtId="172" fontId="13" fillId="4" borderId="2" xfId="0" applyNumberFormat="1" applyFont="1" applyFill="1" applyBorder="1" applyAlignment="1" applyProtection="1">
      <alignment horizontal="center" vertical="center"/>
      <protection locked="0"/>
    </xf>
    <xf numFmtId="172" fontId="13" fillId="4" borderId="2" xfId="1" applyNumberFormat="1" applyFont="1" applyFill="1" applyBorder="1" applyAlignment="1">
      <alignment horizontal="center" vertical="center"/>
    </xf>
    <xf numFmtId="173" fontId="3" fillId="0" borderId="2" xfId="0" applyNumberFormat="1" applyFont="1" applyBorder="1" applyAlignment="1">
      <alignment horizontal="center" vertical="top"/>
    </xf>
    <xf numFmtId="0" fontId="3" fillId="0" borderId="2" xfId="0" applyFont="1" applyBorder="1" applyAlignment="1">
      <alignment horizontal="right"/>
    </xf>
    <xf numFmtId="4" fontId="3" fillId="0" borderId="2" xfId="0" applyNumberFormat="1" applyFont="1" applyBorder="1" applyAlignment="1">
      <alignment horizontal="right"/>
    </xf>
    <xf numFmtId="0" fontId="3" fillId="4" borderId="2" xfId="0" applyFont="1" applyFill="1" applyBorder="1" applyAlignment="1">
      <alignment horizontal="right"/>
    </xf>
    <xf numFmtId="4" fontId="3" fillId="4" borderId="2" xfId="0" applyNumberFormat="1" applyFont="1" applyFill="1" applyBorder="1" applyAlignment="1">
      <alignment horizontal="right"/>
    </xf>
    <xf numFmtId="172" fontId="3" fillId="4" borderId="2" xfId="0" applyNumberFormat="1" applyFont="1" applyFill="1" applyBorder="1" applyAlignment="1" applyProtection="1">
      <alignment horizontal="right"/>
      <protection locked="0"/>
    </xf>
    <xf numFmtId="172" fontId="3" fillId="4" borderId="2" xfId="1" applyNumberFormat="1" applyFont="1" applyFill="1" applyBorder="1" applyAlignment="1">
      <alignment horizontal="right"/>
    </xf>
    <xf numFmtId="0" fontId="19" fillId="0" borderId="0" xfId="0" applyFont="1"/>
    <xf numFmtId="49" fontId="3" fillId="4" borderId="2" xfId="0" applyNumberFormat="1" applyFont="1" applyFill="1" applyBorder="1" applyAlignment="1">
      <alignment horizontal="center" vertical="center"/>
    </xf>
    <xf numFmtId="49" fontId="13" fillId="4" borderId="2" xfId="0" applyNumberFormat="1" applyFont="1" applyFill="1" applyBorder="1" applyAlignment="1">
      <alignment horizontal="center" vertical="center"/>
    </xf>
    <xf numFmtId="172" fontId="3" fillId="0" borderId="2" xfId="0" applyNumberFormat="1" applyFont="1" applyBorder="1" applyAlignment="1" applyProtection="1">
      <alignment horizontal="right"/>
      <protection locked="0"/>
    </xf>
    <xf numFmtId="172" fontId="3" fillId="0" borderId="2" xfId="1" applyNumberFormat="1" applyFont="1" applyBorder="1" applyAlignment="1">
      <alignment horizontal="right"/>
    </xf>
    <xf numFmtId="0" fontId="11" fillId="5" borderId="2" xfId="0" applyFont="1" applyFill="1" applyBorder="1" applyAlignment="1">
      <alignment horizontal="left" vertical="top" wrapText="1"/>
    </xf>
    <xf numFmtId="0" fontId="12" fillId="0" borderId="2" xfId="0" applyFont="1" applyBorder="1" applyAlignment="1">
      <alignment horizontal="left" vertical="top" wrapText="1"/>
    </xf>
    <xf numFmtId="0" fontId="5" fillId="0" borderId="2" xfId="0" applyFont="1" applyBorder="1" applyAlignment="1">
      <alignment horizontal="right" vertical="top" wrapText="1" indent="2"/>
    </xf>
    <xf numFmtId="173" fontId="18" fillId="0" borderId="2" xfId="0" applyNumberFormat="1" applyFont="1" applyBorder="1" applyAlignment="1">
      <alignment horizontal="center" vertical="top"/>
    </xf>
    <xf numFmtId="0" fontId="18" fillId="0" borderId="2" xfId="0" applyFont="1" applyBorder="1" applyAlignment="1">
      <alignment horizontal="right"/>
    </xf>
    <xf numFmtId="4" fontId="18" fillId="0" borderId="2" xfId="0" applyNumberFormat="1" applyFont="1" applyBorder="1" applyAlignment="1">
      <alignment horizontal="right"/>
    </xf>
    <xf numFmtId="172" fontId="16" fillId="0" borderId="2" xfId="0" applyNumberFormat="1" applyFont="1" applyBorder="1" applyAlignment="1" applyProtection="1">
      <alignment horizontal="right"/>
      <protection locked="0"/>
    </xf>
    <xf numFmtId="0" fontId="20" fillId="6" borderId="0" xfId="0" applyFont="1" applyFill="1"/>
    <xf numFmtId="4" fontId="21" fillId="0" borderId="2" xfId="0" applyNumberFormat="1" applyFont="1" applyBorder="1" applyAlignment="1">
      <alignment horizontal="right"/>
    </xf>
    <xf numFmtId="172" fontId="9" fillId="0" borderId="2" xfId="0" applyNumberFormat="1" applyFont="1" applyBorder="1" applyAlignment="1">
      <alignment horizontal="right"/>
    </xf>
    <xf numFmtId="0" fontId="1" fillId="0" borderId="2" xfId="0" applyFont="1" applyBorder="1" applyAlignment="1">
      <alignment horizontal="right" vertical="top" wrapText="1"/>
    </xf>
    <xf numFmtId="0" fontId="24" fillId="0" borderId="0" xfId="0" applyFont="1"/>
    <xf numFmtId="49" fontId="2" fillId="2" borderId="0" xfId="195" applyNumberFormat="1" applyFont="1" applyFill="1" applyAlignment="1">
      <alignment vertical="top" wrapText="1"/>
    </xf>
    <xf numFmtId="49" fontId="1" fillId="3" borderId="0" xfId="195" applyNumberFormat="1" applyFill="1" applyAlignment="1">
      <alignment vertical="top" wrapText="1"/>
    </xf>
    <xf numFmtId="0" fontId="1" fillId="3" borderId="0" xfId="195" applyFill="1" applyAlignment="1">
      <alignment vertical="top" wrapText="1"/>
    </xf>
    <xf numFmtId="0" fontId="15" fillId="3" borderId="0" xfId="0" applyFont="1" applyFill="1"/>
    <xf numFmtId="0" fontId="25" fillId="3" borderId="0" xfId="0" applyFont="1" applyFill="1"/>
    <xf numFmtId="0" fontId="25" fillId="0" borderId="0" xfId="0" applyFont="1"/>
    <xf numFmtId="0" fontId="25" fillId="0" borderId="0" xfId="0" applyFont="1" applyAlignment="1">
      <alignment vertical="center"/>
    </xf>
    <xf numFmtId="0" fontId="25" fillId="0" borderId="0" xfId="0" applyFont="1" applyAlignment="1">
      <alignment horizontal="left"/>
    </xf>
    <xf numFmtId="49" fontId="2" fillId="2" borderId="9" xfId="195" applyNumberFormat="1" applyFont="1" applyFill="1" applyBorder="1" applyAlignment="1">
      <alignment horizontal="left" vertical="center" wrapText="1"/>
    </xf>
    <xf numFmtId="49" fontId="2" fillId="2" borderId="6" xfId="195" applyNumberFormat="1" applyFont="1" applyFill="1" applyBorder="1" applyAlignment="1">
      <alignment horizontal="left" vertical="center" wrapText="1"/>
    </xf>
    <xf numFmtId="49" fontId="2" fillId="2" borderId="7" xfId="195" applyNumberFormat="1" applyFont="1" applyFill="1" applyBorder="1" applyAlignment="1">
      <alignment horizontal="left" vertical="center" wrapText="1"/>
    </xf>
    <xf numFmtId="49" fontId="1" fillId="3" borderId="8" xfId="195" applyNumberFormat="1" applyFill="1" applyBorder="1" applyAlignment="1">
      <alignment horizontal="left" vertical="center" wrapText="1"/>
    </xf>
    <xf numFmtId="49" fontId="1" fillId="3" borderId="0" xfId="195" applyNumberFormat="1" applyFill="1" applyAlignment="1">
      <alignment horizontal="left" vertical="center" wrapText="1"/>
    </xf>
    <xf numFmtId="49" fontId="1" fillId="3" borderId="10" xfId="195" applyNumberFormat="1" applyFill="1" applyBorder="1" applyAlignment="1">
      <alignment horizontal="left" vertical="center" wrapText="1"/>
    </xf>
    <xf numFmtId="0" fontId="1" fillId="3" borderId="11" xfId="195" applyFill="1" applyBorder="1" applyAlignment="1">
      <alignment horizontal="left" vertical="center" wrapText="1"/>
    </xf>
    <xf numFmtId="0" fontId="1" fillId="3" borderId="1" xfId="195" applyFill="1" applyBorder="1" applyAlignment="1">
      <alignment horizontal="left" vertical="center" wrapText="1"/>
    </xf>
    <xf numFmtId="0" fontId="1" fillId="3" borderId="12" xfId="195" applyFill="1" applyBorder="1" applyAlignment="1">
      <alignment horizontal="left" vertical="center" wrapText="1"/>
    </xf>
    <xf numFmtId="0" fontId="26" fillId="0" borderId="0" xfId="0" applyFont="1" applyAlignment="1">
      <alignment horizontal="center"/>
    </xf>
    <xf numFmtId="0" fontId="27" fillId="0" borderId="0" xfId="0" applyFont="1" applyAlignment="1">
      <alignment horizontal="left"/>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3" fillId="6" borderId="2" xfId="0" applyFont="1" applyFill="1" applyBorder="1" applyAlignment="1">
      <alignment horizontal="center" vertical="top" wrapText="1"/>
    </xf>
    <xf numFmtId="0" fontId="3" fillId="6" borderId="2" xfId="0" applyFont="1" applyFill="1" applyBorder="1" applyAlignment="1">
      <alignment horizontal="left" vertical="center" wrapText="1"/>
    </xf>
    <xf numFmtId="0" fontId="1" fillId="6" borderId="2" xfId="0" applyFont="1" applyFill="1" applyBorder="1" applyAlignment="1">
      <alignment horizontal="center"/>
    </xf>
    <xf numFmtId="4" fontId="21" fillId="6" borderId="2" xfId="0" applyNumberFormat="1" applyFont="1" applyFill="1" applyBorder="1" applyAlignment="1">
      <alignment horizontal="right"/>
    </xf>
    <xf numFmtId="0" fontId="1" fillId="6" borderId="2" xfId="0" applyFont="1" applyFill="1" applyBorder="1" applyAlignment="1">
      <alignment horizontal="left" vertical="top" wrapText="1"/>
    </xf>
    <xf numFmtId="4" fontId="1" fillId="6" borderId="2" xfId="0" applyNumberFormat="1" applyFont="1" applyFill="1" applyBorder="1" applyAlignment="1">
      <alignment horizontal="right"/>
    </xf>
  </cellXfs>
  <cellStyles count="226">
    <cellStyle name="Accent1 - 20%" xfId="2" xr:uid="{00000000-0005-0000-0000-000031000000}"/>
    <cellStyle name="Accent1 - 40%" xfId="3" xr:uid="{00000000-0005-0000-0000-000032000000}"/>
    <cellStyle name="Accent1 - 60%" xfId="4" xr:uid="{00000000-0005-0000-0000-000033000000}"/>
    <cellStyle name="Accent1 2" xfId="5" xr:uid="{00000000-0005-0000-0000-000034000000}"/>
    <cellStyle name="Accent1 3" xfId="6" xr:uid="{00000000-0005-0000-0000-000035000000}"/>
    <cellStyle name="Accent2 - 20%" xfId="7" xr:uid="{00000000-0005-0000-0000-000036000000}"/>
    <cellStyle name="Accent2 - 40%" xfId="8" xr:uid="{00000000-0005-0000-0000-000037000000}"/>
    <cellStyle name="Accent2 - 60%" xfId="9" xr:uid="{00000000-0005-0000-0000-000038000000}"/>
    <cellStyle name="Accent2 2" xfId="10" xr:uid="{00000000-0005-0000-0000-000039000000}"/>
    <cellStyle name="Accent2 3" xfId="11" xr:uid="{00000000-0005-0000-0000-00003A000000}"/>
    <cellStyle name="Accent3 - 20%" xfId="12" xr:uid="{00000000-0005-0000-0000-00003B000000}"/>
    <cellStyle name="Accent3 - 40%" xfId="13" xr:uid="{00000000-0005-0000-0000-00003C000000}"/>
    <cellStyle name="Accent3 - 60%" xfId="14" xr:uid="{00000000-0005-0000-0000-00003D000000}"/>
    <cellStyle name="Accent3 2" xfId="15" xr:uid="{00000000-0005-0000-0000-00003E000000}"/>
    <cellStyle name="Accent3 3" xfId="16" xr:uid="{00000000-0005-0000-0000-00003F000000}"/>
    <cellStyle name="Accent4 - 20%" xfId="17" xr:uid="{00000000-0005-0000-0000-000040000000}"/>
    <cellStyle name="Accent4 - 40%" xfId="18" xr:uid="{00000000-0005-0000-0000-000041000000}"/>
    <cellStyle name="Accent4 - 60%" xfId="19" xr:uid="{00000000-0005-0000-0000-000042000000}"/>
    <cellStyle name="Accent4 2" xfId="20" xr:uid="{00000000-0005-0000-0000-000043000000}"/>
    <cellStyle name="Accent4 3" xfId="21" xr:uid="{00000000-0005-0000-0000-000044000000}"/>
    <cellStyle name="Accent5 - 20%" xfId="22" xr:uid="{00000000-0005-0000-0000-000045000000}"/>
    <cellStyle name="Accent5 - 40%" xfId="23" xr:uid="{00000000-0005-0000-0000-000046000000}"/>
    <cellStyle name="Accent5 - 60%" xfId="24" xr:uid="{00000000-0005-0000-0000-000047000000}"/>
    <cellStyle name="Accent5 2" xfId="25" xr:uid="{00000000-0005-0000-0000-000048000000}"/>
    <cellStyle name="Accent5 3" xfId="26" xr:uid="{00000000-0005-0000-0000-000049000000}"/>
    <cellStyle name="Accent6 - 20%" xfId="27" xr:uid="{00000000-0005-0000-0000-00004A000000}"/>
    <cellStyle name="Accent6 - 40%" xfId="28" xr:uid="{00000000-0005-0000-0000-00004B000000}"/>
    <cellStyle name="Accent6 - 60%" xfId="29" xr:uid="{00000000-0005-0000-0000-00004C000000}"/>
    <cellStyle name="Accent6 2" xfId="30" xr:uid="{00000000-0005-0000-0000-00004D000000}"/>
    <cellStyle name="Accent6 3" xfId="31" xr:uid="{00000000-0005-0000-0000-00004E000000}"/>
    <cellStyle name="Bad 2" xfId="32" xr:uid="{00000000-0005-0000-0000-00004F000000}"/>
    <cellStyle name="Bad 3" xfId="33" xr:uid="{00000000-0005-0000-0000-000050000000}"/>
    <cellStyle name="Bold" xfId="34" xr:uid="{00000000-0005-0000-0000-000051000000}"/>
    <cellStyle name="Bold 2" xfId="35" xr:uid="{00000000-0005-0000-0000-000052000000}"/>
    <cellStyle name="Calculation 2" xfId="36" xr:uid="{00000000-0005-0000-0000-000053000000}"/>
    <cellStyle name="Calculation 3" xfId="37" xr:uid="{00000000-0005-0000-0000-000054000000}"/>
    <cellStyle name="Check Cell 2" xfId="38" xr:uid="{00000000-0005-0000-0000-000055000000}"/>
    <cellStyle name="Check Cell 3" xfId="39" xr:uid="{00000000-0005-0000-0000-000056000000}"/>
    <cellStyle name="Comma 2" xfId="40" xr:uid="{00000000-0005-0000-0000-000057000000}"/>
    <cellStyle name="Comma 2 10" xfId="41" xr:uid="{00000000-0005-0000-0000-000058000000}"/>
    <cellStyle name="Comma 2 11" xfId="42" xr:uid="{00000000-0005-0000-0000-000059000000}"/>
    <cellStyle name="Comma 2 2" xfId="43" xr:uid="{00000000-0005-0000-0000-00005A000000}"/>
    <cellStyle name="Comma 2 2 2" xfId="44" xr:uid="{00000000-0005-0000-0000-00005B000000}"/>
    <cellStyle name="Comma 2 3" xfId="45" xr:uid="{00000000-0005-0000-0000-00005C000000}"/>
    <cellStyle name="Comma 2 4" xfId="46" xr:uid="{00000000-0005-0000-0000-00005D000000}"/>
    <cellStyle name="Comma 2 5" xfId="47" xr:uid="{00000000-0005-0000-0000-00005E000000}"/>
    <cellStyle name="Comma 2 6" xfId="48" xr:uid="{00000000-0005-0000-0000-00005F000000}"/>
    <cellStyle name="Comma 2 7" xfId="49" xr:uid="{00000000-0005-0000-0000-000060000000}"/>
    <cellStyle name="Comma 2 8" xfId="50" xr:uid="{00000000-0005-0000-0000-000061000000}"/>
    <cellStyle name="Comma 2 9" xfId="51" xr:uid="{00000000-0005-0000-0000-000062000000}"/>
    <cellStyle name="Comma 3" xfId="52" xr:uid="{00000000-0005-0000-0000-000063000000}"/>
    <cellStyle name="Comma 3 2" xfId="53" xr:uid="{00000000-0005-0000-0000-000064000000}"/>
    <cellStyle name="Comma 3 2 2" xfId="54" xr:uid="{00000000-0005-0000-0000-000065000000}"/>
    <cellStyle name="Comma 3 2 3" xfId="55" xr:uid="{00000000-0005-0000-0000-000066000000}"/>
    <cellStyle name="Comma 4" xfId="56" xr:uid="{00000000-0005-0000-0000-000067000000}"/>
    <cellStyle name="Comma 4 2" xfId="57" xr:uid="{00000000-0005-0000-0000-000068000000}"/>
    <cellStyle name="Comma 5" xfId="58" xr:uid="{00000000-0005-0000-0000-000069000000}"/>
    <cellStyle name="Comma 5 2" xfId="59" xr:uid="{00000000-0005-0000-0000-00006A000000}"/>
    <cellStyle name="Comma 6" xfId="60" xr:uid="{00000000-0005-0000-0000-00006B000000}"/>
    <cellStyle name="Currency 2" xfId="61" xr:uid="{00000000-0005-0000-0000-00006C000000}"/>
    <cellStyle name="Emphasis 1" xfId="62" xr:uid="{00000000-0005-0000-0000-00006D000000}"/>
    <cellStyle name="Emphasis 2" xfId="63" xr:uid="{00000000-0005-0000-0000-00006E000000}"/>
    <cellStyle name="Emphasis 3" xfId="64" xr:uid="{00000000-0005-0000-0000-00006F000000}"/>
    <cellStyle name="Good 2" xfId="65" xr:uid="{00000000-0005-0000-0000-000070000000}"/>
    <cellStyle name="Good 3" xfId="66" xr:uid="{00000000-0005-0000-0000-000071000000}"/>
    <cellStyle name="Heading" xfId="67" xr:uid="{00000000-0005-0000-0000-000072000000}"/>
    <cellStyle name="Heading1" xfId="68" xr:uid="{00000000-0005-0000-0000-000073000000}"/>
    <cellStyle name="Hyperlink 2" xfId="69" xr:uid="{00000000-0005-0000-0000-000074000000}"/>
    <cellStyle name="Hyperlink 2 2" xfId="70" xr:uid="{00000000-0005-0000-0000-000075000000}"/>
    <cellStyle name="Input 2" xfId="71" xr:uid="{00000000-0005-0000-0000-000076000000}"/>
    <cellStyle name="Input 3" xfId="72" xr:uid="{00000000-0005-0000-0000-000077000000}"/>
    <cellStyle name="Italic" xfId="73" xr:uid="{00000000-0005-0000-0000-000078000000}"/>
    <cellStyle name="kolona A" xfId="74" xr:uid="{00000000-0005-0000-0000-000079000000}"/>
    <cellStyle name="Naslov 5" xfId="75" xr:uid="{00000000-0005-0000-0000-00007A000000}"/>
    <cellStyle name="Neutral 2" xfId="76" xr:uid="{00000000-0005-0000-0000-00007B000000}"/>
    <cellStyle name="Neutral 3" xfId="77" xr:uid="{00000000-0005-0000-0000-00007C000000}"/>
    <cellStyle name="Normal - bold" xfId="78" xr:uid="{00000000-0005-0000-0000-00007D000000}"/>
    <cellStyle name="Normal 10" xfId="79" xr:uid="{00000000-0005-0000-0000-00007E000000}"/>
    <cellStyle name="Normal 10 2" xfId="80" xr:uid="{00000000-0005-0000-0000-00007F000000}"/>
    <cellStyle name="Normal 10 2 2" xfId="81" xr:uid="{00000000-0005-0000-0000-000080000000}"/>
    <cellStyle name="Normal 11" xfId="82" xr:uid="{00000000-0005-0000-0000-000081000000}"/>
    <cellStyle name="Normal 12" xfId="83" xr:uid="{00000000-0005-0000-0000-000082000000}"/>
    <cellStyle name="Normal 127 10" xfId="84" xr:uid="{00000000-0005-0000-0000-000083000000}"/>
    <cellStyle name="Normal 13" xfId="85" xr:uid="{00000000-0005-0000-0000-000084000000}"/>
    <cellStyle name="Normal 13 2" xfId="86" xr:uid="{00000000-0005-0000-0000-000085000000}"/>
    <cellStyle name="Normal 13 35" xfId="87" xr:uid="{00000000-0005-0000-0000-000086000000}"/>
    <cellStyle name="Normal 14" xfId="88" xr:uid="{00000000-0005-0000-0000-000087000000}"/>
    <cellStyle name="Normal 15" xfId="89" xr:uid="{00000000-0005-0000-0000-000088000000}"/>
    <cellStyle name="Normal 16" xfId="90" xr:uid="{00000000-0005-0000-0000-000089000000}"/>
    <cellStyle name="Normal 19" xfId="91" xr:uid="{00000000-0005-0000-0000-00008A000000}"/>
    <cellStyle name="Normal 19 2" xfId="92" xr:uid="{00000000-0005-0000-0000-00008B000000}"/>
    <cellStyle name="Normal 19 2 2" xfId="93" xr:uid="{00000000-0005-0000-0000-00008C000000}"/>
    <cellStyle name="Normal 19 2 2 2" xfId="94" xr:uid="{00000000-0005-0000-0000-00008D000000}"/>
    <cellStyle name="Normal 19 3" xfId="95" xr:uid="{00000000-0005-0000-0000-00008E000000}"/>
    <cellStyle name="Normal 2" xfId="96" xr:uid="{00000000-0005-0000-0000-00008F000000}"/>
    <cellStyle name="Normal 2 10" xfId="97" xr:uid="{00000000-0005-0000-0000-000090000000}"/>
    <cellStyle name="Normal 2 11" xfId="98" xr:uid="{00000000-0005-0000-0000-000091000000}"/>
    <cellStyle name="Normal 2 12" xfId="99" xr:uid="{00000000-0005-0000-0000-000092000000}"/>
    <cellStyle name="Normal 2 13" xfId="100" xr:uid="{00000000-0005-0000-0000-000093000000}"/>
    <cellStyle name="Normal 2 14" xfId="101" xr:uid="{00000000-0005-0000-0000-000094000000}"/>
    <cellStyle name="Normal 2 15" xfId="102" xr:uid="{00000000-0005-0000-0000-000095000000}"/>
    <cellStyle name="Normal 2 16" xfId="103" xr:uid="{00000000-0005-0000-0000-000096000000}"/>
    <cellStyle name="Normal 2 17" xfId="104" xr:uid="{00000000-0005-0000-0000-000097000000}"/>
    <cellStyle name="Normal 2 18" xfId="105" xr:uid="{00000000-0005-0000-0000-000098000000}"/>
    <cellStyle name="Normal 2 19" xfId="106" xr:uid="{00000000-0005-0000-0000-000099000000}"/>
    <cellStyle name="Normal 2 2" xfId="107" xr:uid="{00000000-0005-0000-0000-00009A000000}"/>
    <cellStyle name="Normal 2 2 2" xfId="108" xr:uid="{00000000-0005-0000-0000-00009B000000}"/>
    <cellStyle name="Normal 2 2 3" xfId="109" xr:uid="{00000000-0005-0000-0000-00009C000000}"/>
    <cellStyle name="Normal 2 20" xfId="110" xr:uid="{00000000-0005-0000-0000-00009D000000}"/>
    <cellStyle name="Normal 2 21" xfId="111" xr:uid="{00000000-0005-0000-0000-00009E000000}"/>
    <cellStyle name="Normal 2 22" xfId="112" xr:uid="{00000000-0005-0000-0000-00009F000000}"/>
    <cellStyle name="Normal 2 23" xfId="113" xr:uid="{00000000-0005-0000-0000-0000A0000000}"/>
    <cellStyle name="Normal 2 24" xfId="114" xr:uid="{00000000-0005-0000-0000-0000A1000000}"/>
    <cellStyle name="Normal 2 25" xfId="115" xr:uid="{00000000-0005-0000-0000-0000A2000000}"/>
    <cellStyle name="Normal 2 26" xfId="116" xr:uid="{00000000-0005-0000-0000-0000A3000000}"/>
    <cellStyle name="Normal 2 27" xfId="117" xr:uid="{00000000-0005-0000-0000-0000A4000000}"/>
    <cellStyle name="Normal 2 28" xfId="118" xr:uid="{00000000-0005-0000-0000-0000A5000000}"/>
    <cellStyle name="Normal 2 3" xfId="119" xr:uid="{00000000-0005-0000-0000-0000A6000000}"/>
    <cellStyle name="Normal 2 3 2" xfId="120" xr:uid="{00000000-0005-0000-0000-0000A7000000}"/>
    <cellStyle name="Normal 2 4" xfId="121" xr:uid="{00000000-0005-0000-0000-0000A8000000}"/>
    <cellStyle name="Normal 2 4 2" xfId="122" xr:uid="{00000000-0005-0000-0000-0000A9000000}"/>
    <cellStyle name="Normal 2 4 44" xfId="123" xr:uid="{00000000-0005-0000-0000-0000AA000000}"/>
    <cellStyle name="Normal 2 5" xfId="124" xr:uid="{00000000-0005-0000-0000-0000AB000000}"/>
    <cellStyle name="Normal 2 5 2" xfId="125" xr:uid="{00000000-0005-0000-0000-0000AC000000}"/>
    <cellStyle name="Normal 2 6" xfId="126" xr:uid="{00000000-0005-0000-0000-0000AD000000}"/>
    <cellStyle name="Normal 2 7" xfId="127" xr:uid="{00000000-0005-0000-0000-0000AE000000}"/>
    <cellStyle name="Normal 2 8" xfId="128" xr:uid="{00000000-0005-0000-0000-0000AF000000}"/>
    <cellStyle name="Normal 2 9" xfId="129" xr:uid="{00000000-0005-0000-0000-0000B0000000}"/>
    <cellStyle name="Normal 21" xfId="130" xr:uid="{00000000-0005-0000-0000-0000B1000000}"/>
    <cellStyle name="Normal 3" xfId="131" xr:uid="{00000000-0005-0000-0000-0000B2000000}"/>
    <cellStyle name="Normal 3 10" xfId="132" xr:uid="{00000000-0005-0000-0000-0000B3000000}"/>
    <cellStyle name="Normal 3 11" xfId="133" xr:uid="{00000000-0005-0000-0000-0000B4000000}"/>
    <cellStyle name="Normal 3 12" xfId="134" xr:uid="{00000000-0005-0000-0000-0000B5000000}"/>
    <cellStyle name="Normal 3 13" xfId="135" xr:uid="{00000000-0005-0000-0000-0000B6000000}"/>
    <cellStyle name="Normal 3 14" xfId="136" xr:uid="{00000000-0005-0000-0000-0000B7000000}"/>
    <cellStyle name="Normal 3 15" xfId="137" xr:uid="{00000000-0005-0000-0000-0000B8000000}"/>
    <cellStyle name="Normal 3 16" xfId="138" xr:uid="{00000000-0005-0000-0000-0000B9000000}"/>
    <cellStyle name="Normal 3 17" xfId="139" xr:uid="{00000000-0005-0000-0000-0000BA000000}"/>
    <cellStyle name="Normal 3 2" xfId="140" xr:uid="{00000000-0005-0000-0000-0000BB000000}"/>
    <cellStyle name="Normal 3 2 2" xfId="141" xr:uid="{00000000-0005-0000-0000-0000BC000000}"/>
    <cellStyle name="Normal 3 2 3" xfId="142" xr:uid="{00000000-0005-0000-0000-0000BD000000}"/>
    <cellStyle name="Normal 3 3" xfId="143" xr:uid="{00000000-0005-0000-0000-0000BE000000}"/>
    <cellStyle name="Normal 3 4" xfId="144" xr:uid="{00000000-0005-0000-0000-0000BF000000}"/>
    <cellStyle name="Normal 3 5" xfId="145" xr:uid="{00000000-0005-0000-0000-0000C0000000}"/>
    <cellStyle name="Normal 3 6" xfId="146" xr:uid="{00000000-0005-0000-0000-0000C1000000}"/>
    <cellStyle name="Normal 3 7" xfId="147" xr:uid="{00000000-0005-0000-0000-0000C2000000}"/>
    <cellStyle name="Normal 3 8" xfId="148" xr:uid="{00000000-0005-0000-0000-0000C3000000}"/>
    <cellStyle name="Normal 3 9" xfId="149" xr:uid="{00000000-0005-0000-0000-0000C4000000}"/>
    <cellStyle name="Normal 34" xfId="150" xr:uid="{00000000-0005-0000-0000-0000C5000000}"/>
    <cellStyle name="Normal 39" xfId="151" xr:uid="{00000000-0005-0000-0000-0000C6000000}"/>
    <cellStyle name="Normal 4" xfId="152" xr:uid="{00000000-0005-0000-0000-0000C7000000}"/>
    <cellStyle name="Normal 4 10" xfId="153" xr:uid="{00000000-0005-0000-0000-0000C8000000}"/>
    <cellStyle name="Normal 4 2" xfId="154" xr:uid="{00000000-0005-0000-0000-0000C9000000}"/>
    <cellStyle name="Normal 5" xfId="155" xr:uid="{00000000-0005-0000-0000-0000CA000000}"/>
    <cellStyle name="Normal 5 10" xfId="156" xr:uid="{00000000-0005-0000-0000-0000CB000000}"/>
    <cellStyle name="Normal 5 10 2" xfId="157" xr:uid="{00000000-0005-0000-0000-0000CC000000}"/>
    <cellStyle name="Normal 5 11" xfId="158" xr:uid="{00000000-0005-0000-0000-0000CD000000}"/>
    <cellStyle name="Normal 5 12" xfId="159" xr:uid="{00000000-0005-0000-0000-0000CE000000}"/>
    <cellStyle name="Normal 5 13" xfId="160" xr:uid="{00000000-0005-0000-0000-0000CF000000}"/>
    <cellStyle name="Normal 5 14" xfId="161" xr:uid="{00000000-0005-0000-0000-0000D0000000}"/>
    <cellStyle name="Normal 5 15" xfId="162" xr:uid="{00000000-0005-0000-0000-0000D1000000}"/>
    <cellStyle name="Normal 5 16" xfId="163" xr:uid="{00000000-0005-0000-0000-0000D2000000}"/>
    <cellStyle name="Normal 5 2" xfId="164" xr:uid="{00000000-0005-0000-0000-0000D3000000}"/>
    <cellStyle name="Normal 5 3" xfId="165" xr:uid="{00000000-0005-0000-0000-0000D4000000}"/>
    <cellStyle name="Normal 5 4" xfId="166" xr:uid="{00000000-0005-0000-0000-0000D5000000}"/>
    <cellStyle name="Normal 5 47" xfId="167" xr:uid="{00000000-0005-0000-0000-0000D6000000}"/>
    <cellStyle name="Normal 5 5" xfId="168" xr:uid="{00000000-0005-0000-0000-0000D7000000}"/>
    <cellStyle name="Normal 5 6" xfId="169" xr:uid="{00000000-0005-0000-0000-0000D8000000}"/>
    <cellStyle name="Normal 5 66" xfId="170" xr:uid="{00000000-0005-0000-0000-0000D9000000}"/>
    <cellStyle name="Normal 5 7" xfId="171" xr:uid="{00000000-0005-0000-0000-0000DA000000}"/>
    <cellStyle name="Normal 5 8" xfId="172" xr:uid="{00000000-0005-0000-0000-0000DB000000}"/>
    <cellStyle name="Normal 5 9" xfId="173" xr:uid="{00000000-0005-0000-0000-0000DC000000}"/>
    <cellStyle name="Normal 54" xfId="174" xr:uid="{00000000-0005-0000-0000-0000DD000000}"/>
    <cellStyle name="Normal 59" xfId="175" xr:uid="{00000000-0005-0000-0000-0000DE000000}"/>
    <cellStyle name="Normal 6" xfId="176" xr:uid="{00000000-0005-0000-0000-0000DF000000}"/>
    <cellStyle name="Normal 6 2" xfId="177" xr:uid="{00000000-0005-0000-0000-0000E0000000}"/>
    <cellStyle name="Normal 6 3 2 3" xfId="178" xr:uid="{00000000-0005-0000-0000-0000E1000000}"/>
    <cellStyle name="Normal 7" xfId="179" xr:uid="{00000000-0005-0000-0000-0000E2000000}"/>
    <cellStyle name="Normal 7 10" xfId="180" xr:uid="{00000000-0005-0000-0000-0000E3000000}"/>
    <cellStyle name="Normal 8" xfId="181" xr:uid="{00000000-0005-0000-0000-0000E4000000}"/>
    <cellStyle name="Normal 8 2" xfId="182" xr:uid="{00000000-0005-0000-0000-0000E5000000}"/>
    <cellStyle name="Normal 8 26" xfId="183" xr:uid="{00000000-0005-0000-0000-0000E6000000}"/>
    <cellStyle name="Normal 89" xfId="184" xr:uid="{00000000-0005-0000-0000-0000E7000000}"/>
    <cellStyle name="Normal 9" xfId="185" xr:uid="{00000000-0005-0000-0000-0000E8000000}"/>
    <cellStyle name="Normal 9 2" xfId="186" xr:uid="{00000000-0005-0000-0000-0000E9000000}"/>
    <cellStyle name="Normal_5183-1 sprinkler Garaža Budmanijeva-Zoranićeva" xfId="187" xr:uid="{00000000-0005-0000-0000-0000EA000000}"/>
    <cellStyle name="Normal1" xfId="188" xr:uid="{00000000-0005-0000-0000-0000ED000000}"/>
    <cellStyle name="Normal3" xfId="189" xr:uid="{00000000-0005-0000-0000-0000EE000000}"/>
    <cellStyle name="Normalno" xfId="0" builtinId="0"/>
    <cellStyle name="Normalno 11" xfId="190" xr:uid="{00000000-0005-0000-0000-0000EF000000}"/>
    <cellStyle name="Normalno 2" xfId="191" xr:uid="{00000000-0005-0000-0000-0000F0000000}"/>
    <cellStyle name="Normalno 2 2" xfId="192" xr:uid="{00000000-0005-0000-0000-0000F1000000}"/>
    <cellStyle name="Normalno 2 3" xfId="193" xr:uid="{00000000-0005-0000-0000-0000F2000000}"/>
    <cellStyle name="Normalno 20" xfId="194" xr:uid="{00000000-0005-0000-0000-0000F3000000}"/>
    <cellStyle name="Normalno 3" xfId="195" xr:uid="{00000000-0005-0000-0000-0000F4000000}"/>
    <cellStyle name="Normalno 4" xfId="196" xr:uid="{00000000-0005-0000-0000-0000F5000000}"/>
    <cellStyle name="Normalno 4 2" xfId="197" xr:uid="{00000000-0005-0000-0000-0000F6000000}"/>
    <cellStyle name="Normalno 5" xfId="198" xr:uid="{00000000-0005-0000-0000-0000F7000000}"/>
    <cellStyle name="Normalno 6" xfId="199" xr:uid="{00000000-0005-0000-0000-0000F8000000}"/>
    <cellStyle name="Normalno 7" xfId="200" xr:uid="{00000000-0005-0000-0000-0000F9000000}"/>
    <cellStyle name="Normalno 7 2" xfId="201" xr:uid="{00000000-0005-0000-0000-0000FA000000}"/>
    <cellStyle name="Note 2" xfId="202" xr:uid="{00000000-0005-0000-0000-0000FB000000}"/>
    <cellStyle name="Note 2 2" xfId="203" xr:uid="{00000000-0005-0000-0000-0000FC000000}"/>
    <cellStyle name="Note 2 3" xfId="204" xr:uid="{00000000-0005-0000-0000-0000FD000000}"/>
    <cellStyle name="Note 2 4" xfId="205" xr:uid="{00000000-0005-0000-0000-0000FE000000}"/>
    <cellStyle name="Note 2 5" xfId="206" xr:uid="{00000000-0005-0000-0000-0000FF000000}"/>
    <cellStyle name="Note 2 6" xfId="207" xr:uid="{00000000-0005-0000-0000-000000010000}"/>
    <cellStyle name="Note 2 7" xfId="208" xr:uid="{00000000-0005-0000-0000-000001010000}"/>
    <cellStyle name="Note 3" xfId="209" xr:uid="{00000000-0005-0000-0000-000002010000}"/>
    <cellStyle name="Obično_ISPIS_1" xfId="210" xr:uid="{00000000-0005-0000-0000-000003010000}"/>
    <cellStyle name="Output 2" xfId="211" xr:uid="{00000000-0005-0000-0000-000005010000}"/>
    <cellStyle name="Output 3" xfId="212" xr:uid="{00000000-0005-0000-0000-000006010000}"/>
    <cellStyle name="Postotak" xfId="1" builtinId="5"/>
    <cellStyle name="Result" xfId="213" xr:uid="{00000000-0005-0000-0000-000007010000}"/>
    <cellStyle name="Rezultat" xfId="214" xr:uid="{00000000-0005-0000-0000-000008010000}"/>
    <cellStyle name="Right" xfId="215" xr:uid="{00000000-0005-0000-0000-000009010000}"/>
    <cellStyle name="Sheet Title" xfId="216" xr:uid="{00000000-0005-0000-0000-00000A010000}"/>
    <cellStyle name="Stil 1" xfId="217" xr:uid="{00000000-0005-0000-0000-00000B010000}"/>
    <cellStyle name="Stil 1 2" xfId="218" xr:uid="{00000000-0005-0000-0000-00000C010000}"/>
    <cellStyle name="Style 1" xfId="219" xr:uid="{00000000-0005-0000-0000-00000D010000}"/>
    <cellStyle name="Style 1 2" xfId="220" xr:uid="{00000000-0005-0000-0000-00000E010000}"/>
    <cellStyle name="Style 1 3" xfId="221" xr:uid="{00000000-0005-0000-0000-00000F010000}"/>
    <cellStyle name="Valuta 2" xfId="222" xr:uid="{00000000-0005-0000-0000-000010010000}"/>
    <cellStyle name="Valuta 3" xfId="223" xr:uid="{00000000-0005-0000-0000-000011010000}"/>
    <cellStyle name="Zarez 2" xfId="224" xr:uid="{00000000-0005-0000-0000-000012010000}"/>
    <cellStyle name="Zarez 2 2" xfId="225" xr:uid="{00000000-0005-0000-0000-000013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5"/>
  <sheetViews>
    <sheetView topLeftCell="A3" zoomScaleNormal="100" workbookViewId="0">
      <selection activeCell="G18" sqref="G18"/>
    </sheetView>
  </sheetViews>
  <sheetFormatPr defaultColWidth="9.33203125" defaultRowHeight="14.4"/>
  <cols>
    <col min="1" max="1" width="26.33203125" customWidth="1"/>
    <col min="2" max="2" width="19.44140625" customWidth="1"/>
    <col min="6" max="6" width="12.44140625" customWidth="1"/>
  </cols>
  <sheetData>
    <row r="1" spans="1:6" ht="23.1" customHeight="1">
      <c r="A1" s="57" t="s">
        <v>0</v>
      </c>
      <c r="B1" s="58"/>
      <c r="C1" s="58"/>
      <c r="D1" s="58"/>
      <c r="E1" s="59"/>
      <c r="F1" s="49"/>
    </row>
    <row r="2" spans="1:6" ht="15" customHeight="1">
      <c r="A2" s="60" t="s">
        <v>1</v>
      </c>
      <c r="B2" s="61"/>
      <c r="C2" s="61"/>
      <c r="D2" s="61"/>
      <c r="E2" s="62"/>
      <c r="F2" s="50"/>
    </row>
    <row r="3" spans="1:6" ht="26.1" customHeight="1">
      <c r="A3" s="63" t="s">
        <v>2</v>
      </c>
      <c r="B3" s="64"/>
      <c r="C3" s="64"/>
      <c r="D3" s="64"/>
      <c r="E3" s="65"/>
      <c r="F3" s="51"/>
    </row>
    <row r="4" spans="1:6">
      <c r="A4" s="52"/>
      <c r="B4" s="52"/>
      <c r="C4" s="52"/>
      <c r="D4" s="52"/>
      <c r="E4" s="52"/>
      <c r="F4" s="52"/>
    </row>
    <row r="5" spans="1:6" s="48" customFormat="1" ht="15.6">
      <c r="A5" s="53"/>
      <c r="B5" s="53"/>
      <c r="C5" s="53"/>
      <c r="D5" s="53"/>
      <c r="E5" s="53"/>
      <c r="F5" s="54"/>
    </row>
    <row r="6" spans="1:6" s="48" customFormat="1" ht="15.6">
      <c r="A6" s="54"/>
      <c r="B6" s="54"/>
      <c r="C6" s="54"/>
      <c r="D6" s="54"/>
      <c r="E6" s="54"/>
      <c r="F6" s="54"/>
    </row>
    <row r="7" spans="1:6" s="48" customFormat="1" ht="15.6">
      <c r="A7" s="54"/>
      <c r="B7" s="54"/>
      <c r="C7" s="54"/>
      <c r="D7" s="54"/>
      <c r="E7" s="54"/>
      <c r="F7" s="54"/>
    </row>
    <row r="8" spans="1:6" s="48" customFormat="1" ht="15.6">
      <c r="A8" s="54"/>
      <c r="B8" s="54"/>
      <c r="C8" s="54"/>
      <c r="D8" s="54"/>
      <c r="E8" s="54"/>
      <c r="F8" s="54"/>
    </row>
    <row r="9" spans="1:6" s="48" customFormat="1" ht="15.6">
      <c r="A9" s="54"/>
      <c r="B9" s="54"/>
      <c r="C9" s="54"/>
      <c r="D9" s="54"/>
      <c r="E9" s="54"/>
      <c r="F9" s="54"/>
    </row>
    <row r="10" spans="1:6" s="48" customFormat="1" ht="15.6">
      <c r="A10" s="54"/>
      <c r="B10" s="54"/>
      <c r="C10" s="54"/>
      <c r="D10" s="54"/>
      <c r="E10" s="54"/>
      <c r="F10" s="54"/>
    </row>
    <row r="11" spans="1:6" s="48" customFormat="1" ht="15.6"/>
    <row r="12" spans="1:6" s="48" customFormat="1" ht="17.399999999999999">
      <c r="A12" s="66" t="s">
        <v>3</v>
      </c>
      <c r="B12" s="66"/>
      <c r="C12" s="66"/>
      <c r="D12" s="66"/>
      <c r="E12" s="66"/>
      <c r="F12" s="66"/>
    </row>
    <row r="13" spans="1:6" s="48" customFormat="1" ht="15.6">
      <c r="A13" s="54"/>
      <c r="B13" s="54"/>
      <c r="C13" s="54"/>
      <c r="D13" s="54"/>
      <c r="E13" s="54"/>
      <c r="F13" s="54"/>
    </row>
    <row r="14" spans="1:6" s="48" customFormat="1" ht="15.6">
      <c r="A14" s="54"/>
      <c r="B14" s="54"/>
      <c r="C14" s="54"/>
      <c r="D14" s="54"/>
      <c r="E14" s="54"/>
      <c r="F14" s="54"/>
    </row>
    <row r="15" spans="1:6" s="48" customFormat="1" ht="15.6">
      <c r="A15" s="54"/>
      <c r="B15" s="54"/>
      <c r="C15" s="54"/>
      <c r="D15" s="54"/>
      <c r="E15" s="54"/>
      <c r="F15" s="54"/>
    </row>
    <row r="16" spans="1:6" s="48" customFormat="1" ht="15.6">
      <c r="A16" s="54"/>
      <c r="B16" s="54"/>
      <c r="C16" s="54"/>
      <c r="D16" s="54"/>
      <c r="E16" s="54"/>
      <c r="F16" s="54"/>
    </row>
    <row r="17" spans="1:6" s="48" customFormat="1" ht="15.6">
      <c r="A17" s="54"/>
      <c r="B17" s="54"/>
      <c r="C17" s="54"/>
      <c r="D17" s="54"/>
      <c r="E17" s="54"/>
      <c r="F17" s="54"/>
    </row>
    <row r="18" spans="1:6" s="48" customFormat="1" ht="15.6">
      <c r="A18" s="54"/>
      <c r="B18" s="54"/>
      <c r="C18" s="54"/>
      <c r="D18" s="54"/>
      <c r="E18" s="54"/>
      <c r="F18" s="54"/>
    </row>
    <row r="19" spans="1:6" s="48" customFormat="1" ht="15.6">
      <c r="A19" s="54" t="s">
        <v>4</v>
      </c>
      <c r="B19" s="55" t="s">
        <v>5</v>
      </c>
      <c r="C19" s="54"/>
      <c r="D19" s="54"/>
      <c r="E19" s="54"/>
      <c r="F19" s="54"/>
    </row>
    <row r="20" spans="1:6" s="48" customFormat="1" ht="15.6">
      <c r="A20" s="54"/>
      <c r="B20" s="54" t="s">
        <v>6</v>
      </c>
      <c r="C20" s="54"/>
      <c r="D20" s="54"/>
      <c r="E20" s="54"/>
      <c r="F20" s="54"/>
    </row>
    <row r="21" spans="1:6" s="48" customFormat="1" ht="15.6">
      <c r="A21" s="54"/>
      <c r="B21" s="54" t="s">
        <v>7</v>
      </c>
      <c r="C21" s="54"/>
      <c r="D21" s="54"/>
      <c r="E21" s="54"/>
      <c r="F21" s="54"/>
    </row>
    <row r="22" spans="1:6" s="48" customFormat="1" ht="15.6">
      <c r="A22" s="54"/>
      <c r="B22" s="54"/>
      <c r="C22" s="54"/>
      <c r="D22" s="54"/>
      <c r="E22" s="54"/>
      <c r="F22" s="54"/>
    </row>
    <row r="23" spans="1:6" s="48" customFormat="1" ht="15.6">
      <c r="A23" s="54" t="s">
        <v>8</v>
      </c>
      <c r="B23" s="67" t="s">
        <v>9</v>
      </c>
      <c r="C23" s="67"/>
      <c r="D23" s="67"/>
      <c r="E23" s="67"/>
      <c r="F23" s="67"/>
    </row>
    <row r="24" spans="1:6" s="48" customFormat="1" ht="15.6">
      <c r="A24" s="54"/>
      <c r="B24" s="54"/>
      <c r="C24" s="54"/>
      <c r="D24" s="54"/>
      <c r="E24" s="54"/>
      <c r="F24" s="54"/>
    </row>
    <row r="25" spans="1:6" s="48" customFormat="1" ht="15.6">
      <c r="A25" s="54" t="s">
        <v>10</v>
      </c>
      <c r="B25" s="54" t="s">
        <v>11</v>
      </c>
      <c r="C25" s="54"/>
      <c r="D25" s="54"/>
      <c r="E25" s="54"/>
      <c r="F25" s="54"/>
    </row>
    <row r="26" spans="1:6" s="48" customFormat="1" ht="15.6">
      <c r="A26" s="54"/>
      <c r="B26" s="54" t="s">
        <v>12</v>
      </c>
      <c r="C26" s="54"/>
      <c r="D26" s="54"/>
      <c r="E26" s="54"/>
      <c r="F26" s="54"/>
    </row>
    <row r="27" spans="1:6" s="48" customFormat="1" ht="15.6">
      <c r="A27" s="54"/>
      <c r="B27" s="54"/>
      <c r="C27" s="54"/>
      <c r="D27" s="54"/>
      <c r="E27" s="54"/>
      <c r="F27" s="54"/>
    </row>
    <row r="28" spans="1:6" s="48" customFormat="1" ht="15.6">
      <c r="A28" s="54" t="s">
        <v>13</v>
      </c>
      <c r="C28" s="54"/>
      <c r="D28" s="54"/>
      <c r="E28" s="54"/>
      <c r="F28" s="54"/>
    </row>
    <row r="29" spans="1:6" s="48" customFormat="1" ht="15.6">
      <c r="A29" s="54" t="s">
        <v>14</v>
      </c>
      <c r="B29" s="54" t="s">
        <v>15</v>
      </c>
      <c r="C29" s="54"/>
      <c r="D29" s="54"/>
      <c r="E29" s="54"/>
      <c r="F29" s="54"/>
    </row>
    <row r="30" spans="1:6" s="48" customFormat="1" ht="15.6">
      <c r="A30" s="54"/>
      <c r="B30" s="54"/>
      <c r="C30" s="54"/>
      <c r="D30" s="54"/>
      <c r="E30" s="54"/>
      <c r="F30" s="54"/>
    </row>
    <row r="31" spans="1:6" s="48" customFormat="1" ht="15.6">
      <c r="A31" s="54" t="s">
        <v>16</v>
      </c>
      <c r="B31" s="54" t="s">
        <v>17</v>
      </c>
      <c r="C31" s="54"/>
      <c r="D31" s="54"/>
      <c r="E31" s="54"/>
      <c r="F31" s="54"/>
    </row>
    <row r="32" spans="1:6" s="48" customFormat="1" ht="15.6"/>
    <row r="34" spans="1:4" ht="15.6">
      <c r="A34" s="54" t="s">
        <v>18</v>
      </c>
    </row>
    <row r="35" spans="1:4" ht="15.6">
      <c r="A35" s="54" t="s">
        <v>19</v>
      </c>
      <c r="B35" s="56" t="s">
        <v>20</v>
      </c>
      <c r="C35" s="56"/>
      <c r="D35" s="56"/>
    </row>
  </sheetData>
  <mergeCells count="6">
    <mergeCell ref="B35:D35"/>
    <mergeCell ref="A1:E1"/>
    <mergeCell ref="A2:E2"/>
    <mergeCell ref="A3:E3"/>
    <mergeCell ref="A12:F12"/>
    <mergeCell ref="B23:F2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pageSetUpPr fitToPage="1"/>
  </sheetPr>
  <dimension ref="A1:G123"/>
  <sheetViews>
    <sheetView tabSelected="1" topLeftCell="A105" zoomScaleNormal="100" zoomScaleSheetLayoutView="100" workbookViewId="0">
      <selection activeCell="A111" sqref="A111:D114"/>
    </sheetView>
  </sheetViews>
  <sheetFormatPr defaultColWidth="9.33203125" defaultRowHeight="13.8"/>
  <cols>
    <col min="1" max="1" width="7.44140625" style="7" customWidth="1"/>
    <col min="2" max="2" width="60.6640625" style="12" customWidth="1"/>
    <col min="3" max="3" width="11.33203125" style="7" customWidth="1"/>
    <col min="4" max="4" width="14.44140625" style="7" customWidth="1"/>
    <col min="5" max="5" width="14.44140625" style="13" customWidth="1"/>
    <col min="6" max="6" width="18.33203125" style="14" customWidth="1"/>
    <col min="7" max="16384" width="9.33203125" style="7"/>
  </cols>
  <sheetData>
    <row r="1" spans="1:6">
      <c r="A1" s="33" t="s">
        <v>40</v>
      </c>
      <c r="B1" s="15" t="s">
        <v>41</v>
      </c>
      <c r="C1" s="16"/>
      <c r="D1" s="17"/>
      <c r="E1" s="18"/>
      <c r="F1" s="19"/>
    </row>
    <row r="2" spans="1:6">
      <c r="A2" s="34" t="s">
        <v>28</v>
      </c>
      <c r="B2" s="20" t="s">
        <v>29</v>
      </c>
      <c r="C2" s="21" t="s">
        <v>30</v>
      </c>
      <c r="D2" s="22" t="s">
        <v>31</v>
      </c>
      <c r="E2" s="23" t="s">
        <v>32</v>
      </c>
      <c r="F2" s="24" t="s">
        <v>33</v>
      </c>
    </row>
    <row r="3" spans="1:6">
      <c r="A3" s="25"/>
      <c r="B3" s="8"/>
      <c r="C3" s="26"/>
      <c r="D3" s="27"/>
      <c r="E3" s="35"/>
      <c r="F3" s="36"/>
    </row>
    <row r="4" spans="1:6">
      <c r="A4" s="25"/>
      <c r="B4" s="10" t="s">
        <v>42</v>
      </c>
      <c r="C4" s="26"/>
      <c r="D4" s="27"/>
      <c r="E4" s="35"/>
      <c r="F4" s="6"/>
    </row>
    <row r="5" spans="1:6" ht="147" customHeight="1">
      <c r="A5" s="25"/>
      <c r="B5" s="68" t="s">
        <v>43</v>
      </c>
      <c r="C5" s="69"/>
      <c r="D5" s="69"/>
      <c r="E5" s="69"/>
      <c r="F5" s="70"/>
    </row>
    <row r="6" spans="1:6" ht="239.25" customHeight="1">
      <c r="A6" s="25" t="s">
        <v>21</v>
      </c>
      <c r="B6" s="10" t="s">
        <v>93</v>
      </c>
      <c r="C6" s="26"/>
      <c r="D6" s="27"/>
      <c r="E6" s="9"/>
      <c r="F6" s="2"/>
    </row>
    <row r="7" spans="1:6" ht="130.5" customHeight="1">
      <c r="A7" s="25"/>
      <c r="B7" s="3" t="s">
        <v>44</v>
      </c>
      <c r="C7" s="26"/>
      <c r="D7" s="27"/>
      <c r="E7" s="9"/>
      <c r="F7" s="2"/>
    </row>
    <row r="8" spans="1:6">
      <c r="A8" s="25"/>
      <c r="B8" s="37" t="s">
        <v>45</v>
      </c>
      <c r="C8" s="26"/>
      <c r="D8" s="27"/>
      <c r="E8" s="9"/>
      <c r="F8" s="2"/>
    </row>
    <row r="9" spans="1:6">
      <c r="A9" s="25"/>
      <c r="B9" s="38" t="s">
        <v>46</v>
      </c>
      <c r="C9" s="26"/>
      <c r="D9" s="27"/>
      <c r="E9" s="9"/>
      <c r="F9" s="2"/>
    </row>
    <row r="10" spans="1:6">
      <c r="A10" s="25"/>
      <c r="B10" s="39" t="s">
        <v>47</v>
      </c>
      <c r="C10" s="5" t="s">
        <v>37</v>
      </c>
      <c r="D10" s="4">
        <v>17</v>
      </c>
      <c r="E10" s="9"/>
      <c r="F10" s="2">
        <f t="shared" ref="F10:F11" si="0">D10*E10</f>
        <v>0</v>
      </c>
    </row>
    <row r="11" spans="1:6">
      <c r="A11" s="25"/>
      <c r="B11" s="39" t="s">
        <v>48</v>
      </c>
      <c r="C11" s="5" t="s">
        <v>34</v>
      </c>
      <c r="D11" s="4">
        <v>21</v>
      </c>
      <c r="E11" s="9"/>
      <c r="F11" s="2">
        <f t="shared" si="0"/>
        <v>0</v>
      </c>
    </row>
    <row r="12" spans="1:6">
      <c r="A12" s="25"/>
      <c r="B12" s="38" t="s">
        <v>49</v>
      </c>
      <c r="C12" s="26"/>
      <c r="D12" s="27"/>
      <c r="E12" s="9"/>
      <c r="F12" s="2"/>
    </row>
    <row r="13" spans="1:6">
      <c r="A13" s="25"/>
      <c r="B13" s="39" t="s">
        <v>47</v>
      </c>
      <c r="C13" s="5" t="s">
        <v>37</v>
      </c>
      <c r="D13" s="4">
        <v>9</v>
      </c>
      <c r="E13" s="9"/>
      <c r="F13" s="2">
        <f t="shared" ref="F13:F14" si="1">D13*E13</f>
        <v>0</v>
      </c>
    </row>
    <row r="14" spans="1:6">
      <c r="A14" s="25"/>
      <c r="B14" s="39" t="s">
        <v>48</v>
      </c>
      <c r="C14" s="5" t="s">
        <v>34</v>
      </c>
      <c r="D14" s="4">
        <v>13</v>
      </c>
      <c r="E14" s="9"/>
      <c r="F14" s="2">
        <f t="shared" si="1"/>
        <v>0</v>
      </c>
    </row>
    <row r="15" spans="1:6">
      <c r="A15" s="25"/>
      <c r="B15" s="38" t="s">
        <v>50</v>
      </c>
      <c r="C15" s="26"/>
      <c r="D15" s="27"/>
      <c r="E15" s="9"/>
      <c r="F15" s="2"/>
    </row>
    <row r="16" spans="1:6">
      <c r="A16" s="25"/>
      <c r="B16" s="39" t="s">
        <v>47</v>
      </c>
      <c r="C16" s="5" t="s">
        <v>37</v>
      </c>
      <c r="D16" s="4">
        <v>10</v>
      </c>
      <c r="E16" s="9"/>
      <c r="F16" s="2">
        <f t="shared" ref="F16:F17" si="2">D16*E16</f>
        <v>0</v>
      </c>
    </row>
    <row r="17" spans="1:6">
      <c r="A17" s="25"/>
      <c r="B17" s="39" t="s">
        <v>48</v>
      </c>
      <c r="C17" s="5" t="s">
        <v>34</v>
      </c>
      <c r="D17" s="4">
        <v>13</v>
      </c>
      <c r="E17" s="9"/>
      <c r="F17" s="2">
        <f t="shared" si="2"/>
        <v>0</v>
      </c>
    </row>
    <row r="18" spans="1:6">
      <c r="A18" s="25"/>
      <c r="B18" s="38" t="s">
        <v>51</v>
      </c>
      <c r="C18" s="26"/>
      <c r="D18" s="27"/>
      <c r="E18" s="9"/>
      <c r="F18" s="2"/>
    </row>
    <row r="19" spans="1:6">
      <c r="A19" s="25"/>
      <c r="B19" s="39" t="s">
        <v>47</v>
      </c>
      <c r="C19" s="5" t="s">
        <v>37</v>
      </c>
      <c r="D19" s="4">
        <v>27</v>
      </c>
      <c r="E19" s="9"/>
      <c r="F19" s="2">
        <f t="shared" ref="F19:F20" si="3">D19*E19</f>
        <v>0</v>
      </c>
    </row>
    <row r="20" spans="1:6">
      <c r="A20" s="25"/>
      <c r="B20" s="39" t="s">
        <v>48</v>
      </c>
      <c r="C20" s="5" t="s">
        <v>34</v>
      </c>
      <c r="D20" s="4">
        <v>29</v>
      </c>
      <c r="E20" s="9"/>
      <c r="F20" s="2">
        <f t="shared" si="3"/>
        <v>0</v>
      </c>
    </row>
    <row r="21" spans="1:6">
      <c r="A21" s="25"/>
      <c r="B21" s="37" t="s">
        <v>52</v>
      </c>
      <c r="C21" s="26"/>
      <c r="D21" s="27"/>
      <c r="E21" s="9"/>
      <c r="F21" s="2"/>
    </row>
    <row r="22" spans="1:6">
      <c r="A22" s="25"/>
      <c r="B22" s="38" t="s">
        <v>46</v>
      </c>
      <c r="C22" s="26"/>
      <c r="D22" s="27"/>
      <c r="E22" s="9"/>
      <c r="F22" s="2"/>
    </row>
    <row r="23" spans="1:6">
      <c r="A23" s="25"/>
      <c r="B23" s="39" t="s">
        <v>47</v>
      </c>
      <c r="C23" s="5" t="s">
        <v>37</v>
      </c>
      <c r="D23" s="4">
        <v>15</v>
      </c>
      <c r="E23" s="9"/>
      <c r="F23" s="2">
        <f t="shared" ref="F23:F24" si="4">D23*E23</f>
        <v>0</v>
      </c>
    </row>
    <row r="24" spans="1:6">
      <c r="A24" s="25"/>
      <c r="B24" s="39" t="s">
        <v>48</v>
      </c>
      <c r="C24" s="5" t="s">
        <v>34</v>
      </c>
      <c r="D24" s="4">
        <v>18</v>
      </c>
      <c r="E24" s="9"/>
      <c r="F24" s="2">
        <f t="shared" si="4"/>
        <v>0</v>
      </c>
    </row>
    <row r="25" spans="1:6">
      <c r="A25" s="25"/>
      <c r="B25" s="38" t="s">
        <v>49</v>
      </c>
      <c r="C25" s="26"/>
      <c r="D25" s="27"/>
      <c r="E25" s="9"/>
      <c r="F25" s="2"/>
    </row>
    <row r="26" spans="1:6">
      <c r="A26" s="25"/>
      <c r="B26" s="39" t="s">
        <v>47</v>
      </c>
      <c r="C26" s="5" t="s">
        <v>37</v>
      </c>
      <c r="D26" s="4">
        <v>8</v>
      </c>
      <c r="E26" s="9"/>
      <c r="F26" s="2">
        <f t="shared" ref="F26:F27" si="5">D26*E26</f>
        <v>0</v>
      </c>
    </row>
    <row r="27" spans="1:6">
      <c r="A27" s="25"/>
      <c r="B27" s="39" t="s">
        <v>48</v>
      </c>
      <c r="C27" s="5" t="s">
        <v>34</v>
      </c>
      <c r="D27" s="4">
        <v>13</v>
      </c>
      <c r="E27" s="9"/>
      <c r="F27" s="2">
        <f t="shared" si="5"/>
        <v>0</v>
      </c>
    </row>
    <row r="28" spans="1:6">
      <c r="A28" s="25"/>
      <c r="B28" s="37" t="s">
        <v>53</v>
      </c>
      <c r="C28" s="26"/>
      <c r="D28" s="27"/>
      <c r="E28" s="9"/>
      <c r="F28" s="2"/>
    </row>
    <row r="29" spans="1:6">
      <c r="A29" s="25"/>
      <c r="B29" s="38" t="s">
        <v>54</v>
      </c>
      <c r="C29" s="26"/>
      <c r="D29" s="27"/>
      <c r="E29" s="9"/>
      <c r="F29" s="2"/>
    </row>
    <row r="30" spans="1:6">
      <c r="A30" s="25"/>
      <c r="B30" s="39" t="s">
        <v>47</v>
      </c>
      <c r="C30" s="5" t="s">
        <v>37</v>
      </c>
      <c r="D30" s="4">
        <v>27</v>
      </c>
      <c r="E30" s="9"/>
      <c r="F30" s="2">
        <f t="shared" ref="F30" si="6">D30*E30</f>
        <v>0</v>
      </c>
    </row>
    <row r="31" spans="1:6">
      <c r="A31" s="25"/>
      <c r="B31" s="39" t="s">
        <v>48</v>
      </c>
      <c r="C31" s="5" t="s">
        <v>34</v>
      </c>
      <c r="D31" s="4">
        <v>22</v>
      </c>
      <c r="E31" s="9"/>
      <c r="F31" s="2">
        <f t="shared" ref="F31" si="7">D31*E31</f>
        <v>0</v>
      </c>
    </row>
    <row r="32" spans="1:6">
      <c r="A32" s="25"/>
      <c r="B32" s="38" t="s">
        <v>55</v>
      </c>
      <c r="C32" s="26"/>
      <c r="D32" s="27"/>
      <c r="E32" s="9"/>
      <c r="F32" s="2"/>
    </row>
    <row r="33" spans="1:6">
      <c r="A33" s="25"/>
      <c r="B33" s="39" t="s">
        <v>47</v>
      </c>
      <c r="C33" s="5" t="s">
        <v>37</v>
      </c>
      <c r="D33" s="4">
        <v>31</v>
      </c>
      <c r="E33" s="9"/>
      <c r="F33" s="2">
        <f t="shared" ref="F33:F34" si="8">D33*E33</f>
        <v>0</v>
      </c>
    </row>
    <row r="34" spans="1:6">
      <c r="A34" s="25"/>
      <c r="B34" s="39" t="s">
        <v>48</v>
      </c>
      <c r="C34" s="5" t="s">
        <v>34</v>
      </c>
      <c r="D34" s="4">
        <v>35</v>
      </c>
      <c r="E34" s="9"/>
      <c r="F34" s="2">
        <f t="shared" si="8"/>
        <v>0</v>
      </c>
    </row>
    <row r="35" spans="1:6" ht="13.35" customHeight="1">
      <c r="A35" s="25"/>
      <c r="B35" s="38" t="s">
        <v>56</v>
      </c>
      <c r="C35" s="26"/>
      <c r="D35" s="27"/>
      <c r="E35" s="9"/>
      <c r="F35" s="2"/>
    </row>
    <row r="36" spans="1:6">
      <c r="A36" s="25"/>
      <c r="B36" s="39" t="s">
        <v>47</v>
      </c>
      <c r="C36" s="5" t="s">
        <v>37</v>
      </c>
      <c r="D36" s="4">
        <v>41</v>
      </c>
      <c r="E36" s="9"/>
      <c r="F36" s="2">
        <f t="shared" ref="F36:F37" si="9">D36*E36</f>
        <v>0</v>
      </c>
    </row>
    <row r="37" spans="1:6">
      <c r="A37" s="25"/>
      <c r="B37" s="39" t="s">
        <v>48</v>
      </c>
      <c r="C37" s="5" t="s">
        <v>34</v>
      </c>
      <c r="D37" s="4">
        <v>52</v>
      </c>
      <c r="E37" s="9"/>
      <c r="F37" s="2">
        <f t="shared" si="9"/>
        <v>0</v>
      </c>
    </row>
    <row r="38" spans="1:6">
      <c r="A38" s="25"/>
      <c r="B38" s="38" t="s">
        <v>57</v>
      </c>
      <c r="C38" s="26"/>
      <c r="D38" s="27"/>
      <c r="E38" s="9"/>
      <c r="F38" s="2"/>
    </row>
    <row r="39" spans="1:6">
      <c r="A39" s="25"/>
      <c r="B39" s="39" t="s">
        <v>47</v>
      </c>
      <c r="C39" s="5" t="s">
        <v>37</v>
      </c>
      <c r="D39" s="4">
        <v>40</v>
      </c>
      <c r="E39" s="9"/>
      <c r="F39" s="2">
        <f t="shared" ref="F39:F40" si="10">D39*E39</f>
        <v>0</v>
      </c>
    </row>
    <row r="40" spans="1:6">
      <c r="A40" s="25"/>
      <c r="B40" s="39" t="s">
        <v>58</v>
      </c>
      <c r="C40" s="5" t="s">
        <v>37</v>
      </c>
      <c r="D40" s="4">
        <v>164</v>
      </c>
      <c r="E40" s="9"/>
      <c r="F40" s="2">
        <f t="shared" si="10"/>
        <v>0</v>
      </c>
    </row>
    <row r="41" spans="1:6">
      <c r="A41" s="25"/>
      <c r="B41" s="38" t="s">
        <v>59</v>
      </c>
      <c r="C41" s="26"/>
      <c r="D41" s="27"/>
      <c r="E41" s="9"/>
      <c r="F41" s="2"/>
    </row>
    <row r="42" spans="1:6">
      <c r="A42" s="25"/>
      <c r="B42" s="39" t="s">
        <v>47</v>
      </c>
      <c r="C42" s="5" t="s">
        <v>37</v>
      </c>
      <c r="D42" s="4">
        <v>220</v>
      </c>
      <c r="E42" s="9"/>
      <c r="F42" s="2">
        <f t="shared" ref="F42:F43" si="11">D42*E42</f>
        <v>0</v>
      </c>
    </row>
    <row r="43" spans="1:6">
      <c r="A43" s="25"/>
      <c r="B43" s="39" t="s">
        <v>48</v>
      </c>
      <c r="C43" s="5" t="s">
        <v>34</v>
      </c>
      <c r="D43" s="4">
        <v>151</v>
      </c>
      <c r="E43" s="9"/>
      <c r="F43" s="2">
        <f t="shared" si="11"/>
        <v>0</v>
      </c>
    </row>
    <row r="44" spans="1:6" ht="13.35" customHeight="1">
      <c r="A44" s="25"/>
      <c r="B44" s="38" t="s">
        <v>60</v>
      </c>
      <c r="C44" s="26"/>
      <c r="D44" s="27"/>
      <c r="E44" s="9"/>
      <c r="F44" s="2"/>
    </row>
    <row r="45" spans="1:6">
      <c r="A45" s="25"/>
      <c r="B45" s="39" t="s">
        <v>47</v>
      </c>
      <c r="C45" s="5" t="s">
        <v>37</v>
      </c>
      <c r="D45" s="4">
        <v>18</v>
      </c>
      <c r="E45" s="9"/>
      <c r="F45" s="2">
        <f t="shared" ref="F45:F46" si="12">D45*E45</f>
        <v>0</v>
      </c>
    </row>
    <row r="46" spans="1:6">
      <c r="A46" s="25"/>
      <c r="B46" s="39" t="s">
        <v>48</v>
      </c>
      <c r="C46" s="5" t="s">
        <v>34</v>
      </c>
      <c r="D46" s="4">
        <v>27</v>
      </c>
      <c r="E46" s="9"/>
      <c r="F46" s="2">
        <f t="shared" si="12"/>
        <v>0</v>
      </c>
    </row>
    <row r="47" spans="1:6" ht="13.35" customHeight="1">
      <c r="A47" s="25"/>
      <c r="B47" s="38" t="s">
        <v>51</v>
      </c>
      <c r="C47" s="26"/>
      <c r="D47" s="27"/>
      <c r="E47" s="9"/>
      <c r="F47" s="2"/>
    </row>
    <row r="48" spans="1:6">
      <c r="A48" s="25"/>
      <c r="B48" s="39" t="s">
        <v>47</v>
      </c>
      <c r="C48" s="5" t="s">
        <v>37</v>
      </c>
      <c r="D48" s="4">
        <v>16</v>
      </c>
      <c r="E48" s="9"/>
      <c r="F48" s="2">
        <f t="shared" ref="F48:F49" si="13">D48*E48</f>
        <v>0</v>
      </c>
    </row>
    <row r="49" spans="1:6">
      <c r="A49" s="25"/>
      <c r="B49" s="39" t="s">
        <v>48</v>
      </c>
      <c r="C49" s="5" t="s">
        <v>34</v>
      </c>
      <c r="D49" s="4">
        <v>18</v>
      </c>
      <c r="E49" s="9"/>
      <c r="F49" s="2">
        <f t="shared" si="13"/>
        <v>0</v>
      </c>
    </row>
    <row r="50" spans="1:6" ht="29.1" customHeight="1">
      <c r="A50" s="25"/>
      <c r="B50" s="38" t="s">
        <v>61</v>
      </c>
      <c r="C50" s="26"/>
      <c r="D50" s="27"/>
      <c r="E50" s="9"/>
      <c r="F50" s="2"/>
    </row>
    <row r="51" spans="1:6">
      <c r="A51" s="25"/>
      <c r="B51" s="39" t="s">
        <v>47</v>
      </c>
      <c r="C51" s="5" t="s">
        <v>37</v>
      </c>
      <c r="D51" s="4">
        <v>697</v>
      </c>
      <c r="E51" s="9"/>
      <c r="F51" s="2">
        <f t="shared" ref="F51" si="14">D51*E51</f>
        <v>0</v>
      </c>
    </row>
    <row r="52" spans="1:6" ht="27.6" customHeight="1">
      <c r="A52" s="25"/>
      <c r="B52" s="38" t="s">
        <v>62</v>
      </c>
      <c r="C52" s="26"/>
      <c r="D52" s="27"/>
      <c r="E52" s="9"/>
      <c r="F52" s="2"/>
    </row>
    <row r="53" spans="1:6">
      <c r="A53" s="25"/>
      <c r="B53" s="39" t="s">
        <v>47</v>
      </c>
      <c r="C53" s="5" t="s">
        <v>37</v>
      </c>
      <c r="D53" s="4">
        <v>1260</v>
      </c>
      <c r="E53" s="9"/>
      <c r="F53" s="2">
        <f t="shared" ref="F53" si="15">D53*E53</f>
        <v>0</v>
      </c>
    </row>
    <row r="54" spans="1:6">
      <c r="A54" s="25"/>
      <c r="B54" s="37" t="s">
        <v>63</v>
      </c>
      <c r="C54" s="26"/>
      <c r="D54" s="27"/>
      <c r="E54" s="9"/>
      <c r="F54" s="2"/>
    </row>
    <row r="55" spans="1:6">
      <c r="A55" s="25"/>
      <c r="B55" s="38" t="s">
        <v>55</v>
      </c>
      <c r="C55" s="26"/>
      <c r="D55" s="27"/>
      <c r="E55" s="9"/>
      <c r="F55" s="2"/>
    </row>
    <row r="56" spans="1:6">
      <c r="A56" s="25"/>
      <c r="B56" s="39" t="s">
        <v>47</v>
      </c>
      <c r="C56" s="5" t="s">
        <v>37</v>
      </c>
      <c r="D56" s="4">
        <v>34</v>
      </c>
      <c r="E56" s="9"/>
      <c r="F56" s="2">
        <f t="shared" ref="F56:F57" si="16">D56*E56</f>
        <v>0</v>
      </c>
    </row>
    <row r="57" spans="1:6">
      <c r="A57" s="25"/>
      <c r="B57" s="39" t="s">
        <v>48</v>
      </c>
      <c r="C57" s="5" t="s">
        <v>34</v>
      </c>
      <c r="D57" s="4">
        <v>33</v>
      </c>
      <c r="E57" s="9"/>
      <c r="F57" s="2">
        <f t="shared" si="16"/>
        <v>0</v>
      </c>
    </row>
    <row r="58" spans="1:6">
      <c r="A58" s="25"/>
      <c r="B58" s="38" t="s">
        <v>64</v>
      </c>
      <c r="C58" s="26"/>
      <c r="D58" s="27"/>
      <c r="E58" s="9"/>
      <c r="F58" s="2"/>
    </row>
    <row r="59" spans="1:6">
      <c r="A59" s="25"/>
      <c r="B59" s="39" t="s">
        <v>47</v>
      </c>
      <c r="C59" s="5" t="s">
        <v>37</v>
      </c>
      <c r="D59" s="4">
        <v>417</v>
      </c>
      <c r="E59" s="9"/>
      <c r="F59" s="2">
        <f t="shared" ref="F59:F60" si="17">D59*E59</f>
        <v>0</v>
      </c>
    </row>
    <row r="60" spans="1:6">
      <c r="A60" s="25"/>
      <c r="B60" s="39" t="s">
        <v>48</v>
      </c>
      <c r="C60" s="5" t="s">
        <v>34</v>
      </c>
      <c r="D60" s="4">
        <v>229</v>
      </c>
      <c r="E60" s="9"/>
      <c r="F60" s="2">
        <f t="shared" si="17"/>
        <v>0</v>
      </c>
    </row>
    <row r="61" spans="1:6" ht="13.35" customHeight="1">
      <c r="A61" s="25"/>
      <c r="B61" s="38" t="s">
        <v>57</v>
      </c>
      <c r="C61" s="26"/>
      <c r="D61" s="27"/>
      <c r="E61" s="9"/>
      <c r="F61" s="2"/>
    </row>
    <row r="62" spans="1:6">
      <c r="A62" s="25"/>
      <c r="B62" s="39" t="s">
        <v>47</v>
      </c>
      <c r="C62" s="5" t="s">
        <v>37</v>
      </c>
      <c r="D62" s="4">
        <v>15</v>
      </c>
      <c r="E62" s="9"/>
      <c r="F62" s="2">
        <f t="shared" ref="F62:F63" si="18">D62*E62</f>
        <v>0</v>
      </c>
    </row>
    <row r="63" spans="1:6">
      <c r="A63" s="25"/>
      <c r="B63" s="39" t="s">
        <v>58</v>
      </c>
      <c r="C63" s="5" t="s">
        <v>37</v>
      </c>
      <c r="D63" s="4">
        <v>111</v>
      </c>
      <c r="E63" s="9"/>
      <c r="F63" s="2">
        <f t="shared" si="18"/>
        <v>0</v>
      </c>
    </row>
    <row r="64" spans="1:6" ht="13.35" customHeight="1">
      <c r="A64" s="25"/>
      <c r="B64" s="38" t="s">
        <v>65</v>
      </c>
      <c r="C64" s="26"/>
      <c r="D64" s="27"/>
      <c r="E64" s="9"/>
      <c r="F64" s="2"/>
    </row>
    <row r="65" spans="1:7">
      <c r="A65" s="25"/>
      <c r="B65" s="39" t="s">
        <v>47</v>
      </c>
      <c r="C65" s="5" t="s">
        <v>37</v>
      </c>
      <c r="D65" s="4">
        <v>15</v>
      </c>
      <c r="E65" s="9"/>
      <c r="F65" s="2">
        <f t="shared" ref="F65:F66" si="19">D65*E65</f>
        <v>0</v>
      </c>
    </row>
    <row r="66" spans="1:7">
      <c r="A66" s="25"/>
      <c r="B66" s="39" t="s">
        <v>48</v>
      </c>
      <c r="C66" s="5" t="s">
        <v>34</v>
      </c>
      <c r="D66" s="4">
        <v>16</v>
      </c>
      <c r="E66" s="9"/>
      <c r="F66" s="2">
        <f t="shared" si="19"/>
        <v>0</v>
      </c>
    </row>
    <row r="67" spans="1:7" ht="13.35" customHeight="1">
      <c r="A67" s="25"/>
      <c r="B67" s="38" t="s">
        <v>66</v>
      </c>
      <c r="C67" s="26"/>
      <c r="D67" s="27"/>
      <c r="E67" s="9"/>
      <c r="F67" s="2"/>
    </row>
    <row r="68" spans="1:7">
      <c r="A68" s="25"/>
      <c r="B68" s="39" t="s">
        <v>47</v>
      </c>
      <c r="C68" s="5" t="s">
        <v>37</v>
      </c>
      <c r="D68" s="4">
        <v>289</v>
      </c>
      <c r="E68" s="9"/>
      <c r="F68" s="2">
        <f t="shared" ref="F68" si="20">D68*E68</f>
        <v>0</v>
      </c>
    </row>
    <row r="69" spans="1:7">
      <c r="A69" s="25"/>
      <c r="B69" s="37" t="s">
        <v>67</v>
      </c>
      <c r="C69" s="26"/>
      <c r="D69" s="27"/>
      <c r="E69" s="9"/>
      <c r="F69" s="2"/>
    </row>
    <row r="70" spans="1:7" s="32" customFormat="1" ht="43.35" customHeight="1">
      <c r="A70" s="40"/>
      <c r="B70" s="3" t="s">
        <v>94</v>
      </c>
      <c r="C70" s="41"/>
      <c r="D70" s="42"/>
      <c r="E70" s="43"/>
      <c r="F70" s="11"/>
    </row>
    <row r="71" spans="1:7" s="32" customFormat="1">
      <c r="A71" s="40"/>
      <c r="B71" s="39" t="s">
        <v>47</v>
      </c>
      <c r="C71" s="5" t="s">
        <v>37</v>
      </c>
      <c r="D71" s="4">
        <v>945</v>
      </c>
      <c r="E71" s="9"/>
      <c r="F71" s="2">
        <f t="shared" ref="F71:F72" si="21">D71*E71</f>
        <v>0</v>
      </c>
      <c r="G71" s="44"/>
    </row>
    <row r="72" spans="1:7" s="32" customFormat="1">
      <c r="A72" s="40"/>
      <c r="B72" s="39" t="s">
        <v>48</v>
      </c>
      <c r="C72" s="5" t="s">
        <v>34</v>
      </c>
      <c r="D72" s="4">
        <v>290</v>
      </c>
      <c r="E72" s="9"/>
      <c r="F72" s="2">
        <f t="shared" si="21"/>
        <v>0</v>
      </c>
    </row>
    <row r="73" spans="1:7" ht="13.35" customHeight="1">
      <c r="A73" s="25"/>
      <c r="B73" s="38" t="s">
        <v>68</v>
      </c>
      <c r="C73" s="26"/>
      <c r="D73" s="27"/>
      <c r="E73" s="9"/>
      <c r="F73" s="2"/>
    </row>
    <row r="74" spans="1:7">
      <c r="A74" s="25"/>
      <c r="B74" s="39" t="s">
        <v>47</v>
      </c>
      <c r="C74" s="5" t="s">
        <v>37</v>
      </c>
      <c r="D74" s="4">
        <v>14</v>
      </c>
      <c r="E74" s="9"/>
      <c r="F74" s="2">
        <f t="shared" ref="F74:F75" si="22">D74*E74</f>
        <v>0</v>
      </c>
    </row>
    <row r="75" spans="1:7">
      <c r="A75" s="25"/>
      <c r="B75" s="39" t="s">
        <v>48</v>
      </c>
      <c r="C75" s="5" t="s">
        <v>34</v>
      </c>
      <c r="D75" s="4">
        <v>16</v>
      </c>
      <c r="E75" s="9"/>
      <c r="F75" s="2">
        <f t="shared" si="22"/>
        <v>0</v>
      </c>
    </row>
    <row r="76" spans="1:7">
      <c r="A76" s="25"/>
      <c r="B76" s="39"/>
      <c r="C76" s="5"/>
      <c r="D76" s="4"/>
      <c r="E76" s="9"/>
      <c r="F76" s="2"/>
    </row>
    <row r="77" spans="1:7" ht="26.4">
      <c r="A77" s="1" t="s">
        <v>22</v>
      </c>
      <c r="B77" s="3" t="s">
        <v>69</v>
      </c>
      <c r="C77" s="5" t="s">
        <v>34</v>
      </c>
      <c r="D77" s="4">
        <v>40</v>
      </c>
      <c r="E77" s="2"/>
      <c r="F77" s="2">
        <f>D77*E77</f>
        <v>0</v>
      </c>
    </row>
    <row r="78" spans="1:7" ht="14.4">
      <c r="A78" s="1"/>
      <c r="B78" s="3"/>
      <c r="C78" s="5"/>
      <c r="D78" s="45"/>
      <c r="E78" s="46"/>
      <c r="F78" s="2"/>
    </row>
    <row r="79" spans="1:7" ht="42.6" customHeight="1">
      <c r="A79" s="1" t="s">
        <v>23</v>
      </c>
      <c r="B79" s="3" t="s">
        <v>95</v>
      </c>
      <c r="C79" s="5"/>
      <c r="D79" s="4"/>
      <c r="E79" s="9"/>
      <c r="F79" s="2"/>
    </row>
    <row r="80" spans="1:7">
      <c r="A80" s="1"/>
      <c r="B80" s="3" t="s">
        <v>70</v>
      </c>
      <c r="C80" s="5"/>
      <c r="D80" s="4"/>
      <c r="E80" s="9"/>
      <c r="F80" s="2"/>
    </row>
    <row r="81" spans="1:7">
      <c r="A81" s="1"/>
      <c r="B81" s="47" t="s">
        <v>71</v>
      </c>
      <c r="C81" s="5" t="s">
        <v>36</v>
      </c>
      <c r="D81" s="4">
        <v>24</v>
      </c>
      <c r="E81" s="2"/>
      <c r="F81" s="2">
        <f t="shared" ref="F81:F84" si="23">D81*E81</f>
        <v>0</v>
      </c>
    </row>
    <row r="82" spans="1:7">
      <c r="A82" s="1"/>
      <c r="B82" s="47" t="s">
        <v>72</v>
      </c>
      <c r="C82" s="5" t="s">
        <v>36</v>
      </c>
      <c r="D82" s="4">
        <v>22</v>
      </c>
      <c r="E82" s="2"/>
      <c r="F82" s="2">
        <f t="shared" si="23"/>
        <v>0</v>
      </c>
    </row>
    <row r="83" spans="1:7">
      <c r="A83" s="1"/>
      <c r="B83" s="47" t="s">
        <v>73</v>
      </c>
      <c r="C83" s="5" t="s">
        <v>34</v>
      </c>
      <c r="D83" s="4">
        <v>6</v>
      </c>
      <c r="E83" s="2"/>
      <c r="F83" s="2">
        <f t="shared" si="23"/>
        <v>0</v>
      </c>
    </row>
    <row r="84" spans="1:7">
      <c r="A84" s="1"/>
      <c r="B84" s="47" t="s">
        <v>74</v>
      </c>
      <c r="C84" s="5" t="s">
        <v>37</v>
      </c>
      <c r="D84" s="4">
        <v>12.6</v>
      </c>
      <c r="E84" s="2"/>
      <c r="F84" s="2">
        <f t="shared" si="23"/>
        <v>0</v>
      </c>
    </row>
    <row r="85" spans="1:7">
      <c r="A85" s="1"/>
      <c r="B85" s="3" t="s">
        <v>75</v>
      </c>
      <c r="C85" s="5"/>
      <c r="D85" s="4"/>
      <c r="E85" s="9"/>
      <c r="F85" s="2"/>
    </row>
    <row r="86" spans="1:7">
      <c r="A86" s="1"/>
      <c r="B86" s="47" t="s">
        <v>76</v>
      </c>
      <c r="C86" s="5" t="s">
        <v>36</v>
      </c>
      <c r="D86" s="4">
        <v>18</v>
      </c>
      <c r="E86" s="2"/>
      <c r="F86" s="2">
        <f t="shared" ref="F86:F93" si="24">D86*E86</f>
        <v>0</v>
      </c>
    </row>
    <row r="87" spans="1:7">
      <c r="A87" s="1"/>
      <c r="B87" s="47" t="s">
        <v>77</v>
      </c>
      <c r="C87" s="5" t="s">
        <v>36</v>
      </c>
      <c r="D87" s="4">
        <v>16</v>
      </c>
      <c r="E87" s="2"/>
      <c r="F87" s="2">
        <f t="shared" si="24"/>
        <v>0</v>
      </c>
    </row>
    <row r="88" spans="1:7">
      <c r="A88" s="1"/>
      <c r="B88" s="47" t="s">
        <v>78</v>
      </c>
      <c r="C88" s="5" t="s">
        <v>36</v>
      </c>
      <c r="D88" s="4">
        <v>22</v>
      </c>
      <c r="E88" s="2"/>
      <c r="F88" s="2">
        <f t="shared" ref="F88:F89" si="25">D88*E88</f>
        <v>0</v>
      </c>
    </row>
    <row r="89" spans="1:7">
      <c r="A89" s="1"/>
      <c r="B89" s="47" t="s">
        <v>77</v>
      </c>
      <c r="C89" s="5" t="s">
        <v>36</v>
      </c>
      <c r="D89" s="4">
        <v>20</v>
      </c>
      <c r="E89" s="2"/>
      <c r="F89" s="2">
        <f t="shared" si="25"/>
        <v>0</v>
      </c>
    </row>
    <row r="90" spans="1:7">
      <c r="A90" s="1"/>
      <c r="B90" s="47" t="s">
        <v>79</v>
      </c>
      <c r="C90" s="5" t="s">
        <v>36</v>
      </c>
      <c r="D90" s="4">
        <v>23</v>
      </c>
      <c r="E90" s="2"/>
      <c r="F90" s="2">
        <f t="shared" ref="F90:F91" si="26">D90*E90</f>
        <v>0</v>
      </c>
    </row>
    <row r="91" spans="1:7">
      <c r="A91" s="1"/>
      <c r="B91" s="47" t="s">
        <v>77</v>
      </c>
      <c r="C91" s="5" t="s">
        <v>36</v>
      </c>
      <c r="D91" s="4">
        <v>21</v>
      </c>
      <c r="E91" s="2"/>
      <c r="F91" s="2">
        <f t="shared" si="26"/>
        <v>0</v>
      </c>
    </row>
    <row r="92" spans="1:7">
      <c r="A92" s="1"/>
      <c r="B92" s="47" t="s">
        <v>73</v>
      </c>
      <c r="C92" s="5" t="s">
        <v>34</v>
      </c>
      <c r="D92" s="4">
        <v>27.4</v>
      </c>
      <c r="E92" s="2"/>
      <c r="F92" s="2">
        <f t="shared" si="24"/>
        <v>0</v>
      </c>
    </row>
    <row r="93" spans="1:7">
      <c r="A93" s="1"/>
      <c r="B93" s="47" t="s">
        <v>80</v>
      </c>
      <c r="C93" s="5" t="s">
        <v>37</v>
      </c>
      <c r="D93" s="4">
        <v>6.2</v>
      </c>
      <c r="E93" s="2"/>
      <c r="F93" s="2">
        <f t="shared" si="24"/>
        <v>0</v>
      </c>
    </row>
    <row r="94" spans="1:7">
      <c r="A94" s="1"/>
      <c r="B94" s="3" t="s">
        <v>81</v>
      </c>
      <c r="C94" s="5"/>
      <c r="D94" s="4"/>
      <c r="E94" s="9"/>
      <c r="F94" s="2"/>
    </row>
    <row r="95" spans="1:7">
      <c r="A95" s="1"/>
      <c r="B95" s="47" t="s">
        <v>82</v>
      </c>
      <c r="C95" s="5" t="s">
        <v>36</v>
      </c>
      <c r="D95" s="4">
        <v>24</v>
      </c>
      <c r="E95" s="2"/>
      <c r="F95" s="2">
        <f t="shared" ref="F95:F98" si="27">D95*E95</f>
        <v>0</v>
      </c>
    </row>
    <row r="96" spans="1:7">
      <c r="A96" s="1"/>
      <c r="B96" s="47" t="s">
        <v>83</v>
      </c>
      <c r="C96" s="5" t="s">
        <v>36</v>
      </c>
      <c r="D96" s="4">
        <v>22</v>
      </c>
      <c r="E96" s="2"/>
      <c r="F96" s="2">
        <f t="shared" si="27"/>
        <v>0</v>
      </c>
      <c r="G96" s="44"/>
    </row>
    <row r="97" spans="1:6">
      <c r="A97" s="1"/>
      <c r="B97" s="47" t="s">
        <v>73</v>
      </c>
      <c r="C97" s="5" t="s">
        <v>34</v>
      </c>
      <c r="D97" s="4">
        <v>12.5</v>
      </c>
      <c r="E97" s="2"/>
      <c r="F97" s="2">
        <f t="shared" si="27"/>
        <v>0</v>
      </c>
    </row>
    <row r="98" spans="1:6">
      <c r="A98" s="1"/>
      <c r="B98" s="47" t="s">
        <v>80</v>
      </c>
      <c r="C98" s="5" t="s">
        <v>37</v>
      </c>
      <c r="D98" s="4">
        <v>3.5</v>
      </c>
      <c r="E98" s="2"/>
      <c r="F98" s="2">
        <f t="shared" si="27"/>
        <v>0</v>
      </c>
    </row>
    <row r="99" spans="1:6">
      <c r="A99" s="1"/>
      <c r="B99" s="3" t="s">
        <v>84</v>
      </c>
      <c r="C99" s="5"/>
      <c r="D99" s="4"/>
      <c r="E99" s="9"/>
      <c r="F99" s="2"/>
    </row>
    <row r="100" spans="1:6">
      <c r="A100" s="1"/>
      <c r="B100" s="47" t="s">
        <v>85</v>
      </c>
      <c r="C100" s="5" t="s">
        <v>36</v>
      </c>
      <c r="D100" s="4">
        <v>18</v>
      </c>
      <c r="E100" s="2"/>
      <c r="F100" s="2">
        <f t="shared" ref="F100:F109" si="28">D100*E100</f>
        <v>0</v>
      </c>
    </row>
    <row r="101" spans="1:6">
      <c r="A101" s="1"/>
      <c r="B101" s="47" t="s">
        <v>77</v>
      </c>
      <c r="C101" s="5" t="s">
        <v>36</v>
      </c>
      <c r="D101" s="4">
        <v>16</v>
      </c>
      <c r="E101" s="2"/>
      <c r="F101" s="2">
        <f t="shared" si="28"/>
        <v>0</v>
      </c>
    </row>
    <row r="102" spans="1:6">
      <c r="A102" s="1"/>
      <c r="B102" s="47" t="s">
        <v>78</v>
      </c>
      <c r="C102" s="5" t="s">
        <v>36</v>
      </c>
      <c r="D102" s="4">
        <v>22</v>
      </c>
      <c r="E102" s="2"/>
      <c r="F102" s="2">
        <f t="shared" ref="F102:F103" si="29">D102*E102</f>
        <v>0</v>
      </c>
    </row>
    <row r="103" spans="1:6">
      <c r="A103" s="1"/>
      <c r="B103" s="47" t="s">
        <v>77</v>
      </c>
      <c r="C103" s="5" t="s">
        <v>36</v>
      </c>
      <c r="D103" s="4">
        <v>20</v>
      </c>
      <c r="E103" s="2"/>
      <c r="F103" s="2">
        <f t="shared" si="29"/>
        <v>0</v>
      </c>
    </row>
    <row r="104" spans="1:6">
      <c r="A104" s="1"/>
      <c r="B104" s="47" t="s">
        <v>86</v>
      </c>
      <c r="C104" s="5" t="s">
        <v>36</v>
      </c>
      <c r="D104" s="4">
        <v>22</v>
      </c>
      <c r="E104" s="2"/>
      <c r="F104" s="2">
        <f t="shared" ref="F104:F105" si="30">D104*E104</f>
        <v>0</v>
      </c>
    </row>
    <row r="105" spans="1:6">
      <c r="A105" s="1"/>
      <c r="B105" s="47" t="s">
        <v>77</v>
      </c>
      <c r="C105" s="5" t="s">
        <v>36</v>
      </c>
      <c r="D105" s="4">
        <v>20</v>
      </c>
      <c r="E105" s="2"/>
      <c r="F105" s="2">
        <f t="shared" si="30"/>
        <v>0</v>
      </c>
    </row>
    <row r="106" spans="1:6">
      <c r="A106" s="1"/>
      <c r="B106" s="47" t="s">
        <v>86</v>
      </c>
      <c r="C106" s="5" t="s">
        <v>36</v>
      </c>
      <c r="D106" s="4">
        <v>22</v>
      </c>
      <c r="E106" s="2"/>
      <c r="F106" s="2">
        <f t="shared" ref="F106:F107" si="31">D106*E106</f>
        <v>0</v>
      </c>
    </row>
    <row r="107" spans="1:6">
      <c r="A107" s="1"/>
      <c r="B107" s="47" t="s">
        <v>77</v>
      </c>
      <c r="C107" s="5" t="s">
        <v>36</v>
      </c>
      <c r="D107" s="4">
        <v>21</v>
      </c>
      <c r="E107" s="2"/>
      <c r="F107" s="2">
        <f t="shared" si="31"/>
        <v>0</v>
      </c>
    </row>
    <row r="108" spans="1:6">
      <c r="A108" s="1"/>
      <c r="B108" s="47" t="s">
        <v>73</v>
      </c>
      <c r="C108" s="5" t="s">
        <v>34</v>
      </c>
      <c r="D108" s="4">
        <v>46.5</v>
      </c>
      <c r="E108" s="2"/>
      <c r="F108" s="2">
        <f t="shared" si="28"/>
        <v>0</v>
      </c>
    </row>
    <row r="109" spans="1:6">
      <c r="A109" s="1"/>
      <c r="B109" s="47" t="s">
        <v>80</v>
      </c>
      <c r="C109" s="5" t="s">
        <v>37</v>
      </c>
      <c r="D109" s="4">
        <v>11.1</v>
      </c>
      <c r="E109" s="2"/>
      <c r="F109" s="2">
        <f t="shared" si="28"/>
        <v>0</v>
      </c>
    </row>
    <row r="110" spans="1:6" ht="14.4">
      <c r="A110" s="1"/>
      <c r="B110" s="47"/>
      <c r="C110" s="5"/>
      <c r="D110" s="45"/>
      <c r="E110" s="46"/>
      <c r="F110" s="2"/>
    </row>
    <row r="111" spans="1:6" ht="15.6" customHeight="1">
      <c r="A111" s="71"/>
      <c r="B111" s="72" t="s">
        <v>87</v>
      </c>
      <c r="C111" s="73"/>
      <c r="D111" s="74"/>
      <c r="E111" s="46"/>
      <c r="F111" s="2"/>
    </row>
    <row r="112" spans="1:6" ht="80.849999999999994" customHeight="1">
      <c r="A112" s="71" t="s">
        <v>24</v>
      </c>
      <c r="B112" s="75" t="s">
        <v>88</v>
      </c>
      <c r="C112" s="73" t="s">
        <v>37</v>
      </c>
      <c r="D112" s="76">
        <v>1180</v>
      </c>
      <c r="E112" s="9"/>
      <c r="F112" s="2">
        <f t="shared" ref="F112" si="32">D112*E112</f>
        <v>0</v>
      </c>
    </row>
    <row r="113" spans="1:7" ht="14.85" customHeight="1">
      <c r="A113" s="71"/>
      <c r="B113" s="75"/>
      <c r="C113" s="73"/>
      <c r="D113" s="76"/>
      <c r="E113" s="9"/>
      <c r="F113" s="2"/>
    </row>
    <row r="114" spans="1:7" ht="58.35" customHeight="1">
      <c r="A114" s="71" t="s">
        <v>25</v>
      </c>
      <c r="B114" s="75" t="s">
        <v>89</v>
      </c>
      <c r="C114" s="73" t="s">
        <v>37</v>
      </c>
      <c r="D114" s="76">
        <v>630</v>
      </c>
      <c r="E114" s="9"/>
      <c r="F114" s="2">
        <f t="shared" ref="F114" si="33">D114*E114</f>
        <v>0</v>
      </c>
    </row>
    <row r="115" spans="1:7" ht="15.6" customHeight="1">
      <c r="A115" s="1"/>
      <c r="B115" s="3"/>
      <c r="C115" s="5"/>
      <c r="D115" s="4"/>
      <c r="E115" s="9"/>
      <c r="F115" s="2"/>
    </row>
    <row r="116" spans="1:7" ht="15.6" customHeight="1">
      <c r="A116" s="1"/>
      <c r="B116" s="8" t="s">
        <v>39</v>
      </c>
      <c r="C116" s="5"/>
      <c r="D116" s="4"/>
      <c r="E116" s="9"/>
      <c r="F116" s="2"/>
    </row>
    <row r="117" spans="1:7" ht="56.85" customHeight="1">
      <c r="A117" s="1" t="s">
        <v>26</v>
      </c>
      <c r="B117" s="3" t="s">
        <v>90</v>
      </c>
      <c r="C117" s="5" t="s">
        <v>37</v>
      </c>
      <c r="D117" s="4">
        <v>22</v>
      </c>
      <c r="E117" s="9"/>
      <c r="F117" s="2">
        <f t="shared" ref="F117" si="34">D117*E117</f>
        <v>0</v>
      </c>
      <c r="G117" s="44"/>
    </row>
    <row r="118" spans="1:7" ht="12.6" customHeight="1">
      <c r="A118" s="1"/>
      <c r="B118" s="3"/>
      <c r="C118" s="5"/>
      <c r="D118" s="4"/>
      <c r="E118" s="9"/>
      <c r="F118" s="2"/>
      <c r="G118" s="44"/>
    </row>
    <row r="119" spans="1:7" ht="63" customHeight="1">
      <c r="A119" s="1" t="s">
        <v>27</v>
      </c>
      <c r="B119" s="3" t="s">
        <v>91</v>
      </c>
      <c r="C119" s="5" t="s">
        <v>37</v>
      </c>
      <c r="D119" s="4">
        <v>12</v>
      </c>
      <c r="E119" s="9"/>
      <c r="F119" s="2">
        <f t="shared" ref="F119" si="35">D119*E119</f>
        <v>0</v>
      </c>
      <c r="G119" s="44"/>
    </row>
    <row r="120" spans="1:7" ht="12.6" customHeight="1">
      <c r="A120" s="1"/>
      <c r="B120" s="3"/>
      <c r="C120" s="5"/>
      <c r="D120" s="4"/>
      <c r="E120" s="9"/>
      <c r="F120" s="2"/>
      <c r="G120" s="44"/>
    </row>
    <row r="121" spans="1:7" ht="42" customHeight="1">
      <c r="A121" s="1" t="s">
        <v>38</v>
      </c>
      <c r="B121" s="3" t="s">
        <v>92</v>
      </c>
      <c r="C121" s="5" t="s">
        <v>35</v>
      </c>
      <c r="D121" s="4">
        <v>1</v>
      </c>
      <c r="E121" s="9"/>
      <c r="F121" s="2">
        <f t="shared" ref="F121" si="36">D121*E121</f>
        <v>0</v>
      </c>
      <c r="G121" s="44"/>
    </row>
    <row r="122" spans="1:7" ht="14.85" customHeight="1">
      <c r="A122" s="1"/>
      <c r="B122" s="3"/>
      <c r="C122" s="5"/>
      <c r="D122" s="4"/>
      <c r="E122" s="9"/>
      <c r="F122" s="2"/>
      <c r="G122" s="44"/>
    </row>
    <row r="123" spans="1:7">
      <c r="A123" s="33" t="s">
        <v>40</v>
      </c>
      <c r="B123" s="15" t="s">
        <v>41</v>
      </c>
      <c r="C123" s="28"/>
      <c r="D123" s="29"/>
      <c r="E123" s="30"/>
      <c r="F123" s="31">
        <f>SUM(F6:F122)</f>
        <v>0</v>
      </c>
    </row>
  </sheetData>
  <mergeCells count="1">
    <mergeCell ref="B5:F5"/>
  </mergeCells>
  <printOptions horizontalCentered="1"/>
  <pageMargins left="0.70866141732283505" right="0.70866141732283505" top="0.74803149606299202" bottom="0.74803149606299202" header="0.31496062992126" footer="0.31496062992126"/>
  <pageSetup paperSize="9" scale="68" fitToHeight="0" orientation="portrait" r:id="rId1"/>
  <headerFooter>
    <oddFooter>&amp;R&amp;P/&amp;N</oddFooter>
  </headerFooter>
  <rowBreaks count="2" manualBreakCount="2">
    <brk id="43" max="5" man="1"/>
    <brk id="110" max="5" man="1"/>
  </rowBreak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59" master="" otherUserPermission="visible"/>
  <rangeList sheetStid="68" master="" otherUserPermission="visible"/>
  <rangeList sheetStid="42" master="" otherUserPermission="visible"/>
  <rangeList sheetStid="24" master="" otherUserPermission="visible"/>
  <rangeList sheetStid="67" master="" otherUserPermission="visible"/>
  <rangeList sheetStid="66" master="" otherUserPermission="visible"/>
  <rangeList sheetStid="26" master="" otherUserPermission="visible"/>
  <rangeList sheetStid="25" master="" otherUserPermission="visible"/>
  <rangeList sheetStid="27" master="" otherUserPermission="visible"/>
  <rangeList sheetStid="29" master="" otherUserPermission="visible"/>
  <rangeList sheetStid="65" master="" otherUserPermission="visible"/>
  <rangeList sheetStid="48" master="" otherUserPermission="visible"/>
  <rangeList sheetStid="49" master="" otherUserPermission="visible"/>
  <rangeList sheetStid="50" master="" otherUserPermission="visible"/>
  <rangeList sheetStid="51" master="" otherUserPermission="visible"/>
  <rangeList sheetStid="53" master="" otherUserPermission="visible"/>
  <rangeList sheetStid="54" master="" otherUserPermission="visible"/>
  <rangeList sheetStid="38" master="" otherUserPermission="visible"/>
  <rangeList sheetStid="60" master="" otherUserPermission="visible"/>
  <rangeList sheetStid="41" master="" otherUserPermission="visible"/>
  <rangeList sheetStid="69" master="" otherUserPermission="visible"/>
  <rangeList sheetStid="70" master="" otherUserPermission="visible"/>
  <rangeList sheetStid="71" master="" otherUserPermission="visible">
    <arrUserId title="Range1" rangeCreator="" othersAccessPermission="edit"/>
  </rangeList>
  <rangeList sheetStid="72" master="" otherUserPermission="visible"/>
  <rangeList sheetStid="73" master="" otherUserPermission="visible"/>
  <rangeList sheetStid="74" master="" otherUserPermission="visible"/>
  <rangeList sheetStid="75" master="" otherUserPermission="visible"/>
  <rangeList sheetStid="76" master="" otherUserPermission="visible"/>
  <rangeList sheetStid="77" master="" otherUserPermission="visible"/>
  <rangeList sheetStid="78" master="" otherUserPermission="visible"/>
  <rangeList sheetStid="79" master="" otherUserPermission="visible"/>
  <rangeList sheetStid="80" master="" otherUserPermission="visible"/>
  <rangeList sheetStid="81" master="" otherUserPermission="visible"/>
  <rangeList sheetStid="82" master="" otherUserPermission="visible"/>
  <rangeList sheetStid="83" master="" otherUserPermission="visible"/>
  <rangeList sheetStid="8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Radni listovi</vt:lpstr>
      </vt:variant>
      <vt:variant>
        <vt:i4>2</vt:i4>
      </vt:variant>
      <vt:variant>
        <vt:lpstr>Imenovani rasponi</vt:lpstr>
      </vt:variant>
      <vt:variant>
        <vt:i4>1</vt:i4>
      </vt:variant>
    </vt:vector>
  </HeadingPairs>
  <TitlesOfParts>
    <vt:vector size="3" baseType="lpstr">
      <vt:lpstr>NASLOVNICA</vt:lpstr>
      <vt:lpstr>B.6. KERAM. I KAMEN. RADOVI</vt:lpstr>
      <vt:lpstr>'B.6. KERAM. I KAMEN. RADOVI'!Podrucje_ispisa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Antemurales</dc:creator>
  <cp:lastModifiedBy>MIRJANA PRENTAŠIĆ</cp:lastModifiedBy>
  <cp:lastPrinted>2025-03-27T09:18:00Z</cp:lastPrinted>
  <dcterms:created xsi:type="dcterms:W3CDTF">2016-09-23T10:47:00Z</dcterms:created>
  <dcterms:modified xsi:type="dcterms:W3CDTF">2026-05-22T13:51:14Z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16548E16F71743F1A87FB3C8AE94361A_12</vt:lpwstr>
  </property>
  <property fmtid="{D5CDD505-2E9C-101B-9397-08002B2CF9AE}" pid="3" name="KSOProductBuildVer">
    <vt:lpwstr>1033-12.2.0.23155</vt:lpwstr>
  </property>
</Properties>
</file>