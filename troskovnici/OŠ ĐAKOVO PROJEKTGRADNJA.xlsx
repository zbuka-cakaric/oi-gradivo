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T:\Ingrad Vladimir Nazor Đakovo\"/>
    </mc:Choice>
  </mc:AlternateContent>
  <xr:revisionPtr revIDLastSave="0" documentId="13_ncr:1_{7A65DA60-E470-4909-9C8D-B6C9B26656EB}" xr6:coauthVersionLast="47" xr6:coauthVersionMax="47" xr10:uidLastSave="{00000000-0000-0000-0000-000000000000}"/>
  <bookViews>
    <workbookView xWindow="32070" yWindow="345" windowWidth="27945" windowHeight="20100" tabRatio="878" firstSheet="2" activeTab="6" xr2:uid="{00000000-000D-0000-FFFF-FFFF00000000}"/>
  </bookViews>
  <sheets>
    <sheet name="Naslovnica" sheetId="49" r:id="rId1"/>
    <sheet name="DNSH NAČELA-PRIMJENA" sheetId="19" r:id="rId2"/>
    <sheet name="Opći uvjeti" sheetId="2" r:id="rId3"/>
    <sheet name="Građ.-obrtnički radovi škola" sheetId="1" r:id="rId4"/>
    <sheet name="Građ.-obrtnički radovi dvorana" sheetId="22" r:id="rId5"/>
    <sheet name="Naslovnica-" sheetId="31" r:id="rId6"/>
    <sheet name="PREUREĐENJE POSTOJEĆE ŠKOLE" sheetId="34" r:id="rId7"/>
    <sheet name="Naslovnica_ " sheetId="44" r:id="rId8"/>
    <sheet name="obrtnički" sheetId="46" r:id="rId9"/>
  </sheets>
  <externalReferences>
    <externalReference r:id="rId10"/>
    <externalReference r:id="rId11"/>
    <externalReference r:id="rId12"/>
  </externalReferences>
  <definedNames>
    <definedName name="_">[1]Nap.!#REF!</definedName>
    <definedName name="_____OS2">[1]Nap.!#REF!</definedName>
    <definedName name="_____os5">[1]Nap.!#REF!</definedName>
    <definedName name="____OS2">[1]Nap.!#REF!</definedName>
    <definedName name="____os5">[1]Nap.!#REF!</definedName>
    <definedName name="___OS2">[1]Nap.!#REF!</definedName>
    <definedName name="___os5">[1]Nap.!#REF!</definedName>
    <definedName name="__OS2">[1]Nap.!#REF!</definedName>
    <definedName name="__os5">[1]Nap.!#REF!</definedName>
    <definedName name="_Order1">255</definedName>
    <definedName name="_OS2">[1]Nap.!#REF!</definedName>
    <definedName name="_os5">[1]Nap.!#REF!</definedName>
    <definedName name="DAT_SIT">[2]O.pod.!$C$17</definedName>
    <definedName name="DATOTEKA">[1]O.pod.!$C$22</definedName>
    <definedName name="DATUM_DANAS">[1]O.pod.!$G$19</definedName>
    <definedName name="DIREKTOR">[1]O.pod.!$C$20</definedName>
    <definedName name="el">[1]Nap.!#REF!</definedName>
    <definedName name="elektro">[1]Nap.!#REF!</definedName>
    <definedName name="Excel_BuiltIn_Print_Area_1">#REF!</definedName>
    <definedName name="Excel_BuiltIn_Print_Area_1_1">#REF!</definedName>
    <definedName name="Excel_BuiltIn_Print_Area_1_1_1">#REF!</definedName>
    <definedName name="f">[1]Nap.!#REF!</definedName>
    <definedName name="fontana">[1]Nap.!#REF!</definedName>
    <definedName name="h">[1]Nap.!#REF!</definedName>
    <definedName name="hgf">[1]Nap.!#REF!</definedName>
    <definedName name="IZVODITELJ">[1]O.pod.!$C$8</definedName>
    <definedName name="Jed_Cijena">#REF!</definedName>
    <definedName name="jjvc">[1]Nap.!#REF!</definedName>
    <definedName name="kllllllllll">[1]Nap.!#REF!</definedName>
    <definedName name="KOKLL">[1]Nap.!#REF!</definedName>
    <definedName name="MJESTO">[1]O.pod.!$G$6</definedName>
    <definedName name="NAP_DODAVANJE">[1]Nap.!#REF!</definedName>
    <definedName name="NAP_ISPIS">[1]Nap.!#REF!</definedName>
    <definedName name="NAP_PREGLED">[1]Nap.!#REF!</definedName>
    <definedName name="NAP_SPREMANJE">[1]Nap.!#REF!</definedName>
    <definedName name="NAP_UNOS">[1]Nap.!#REF!</definedName>
    <definedName name="OBRADIO">[1]O.pod.!$G$20</definedName>
    <definedName name="os3_1">[1]Nap.!#REF!</definedName>
    <definedName name="OSSS5">[1]Nap.!#REF!</definedName>
    <definedName name="PODRUCJE">[1]O.pod.!$C$5</definedName>
    <definedName name="_xlnm.Print_Area" localSheetId="1">'DNSH NAČELA-PRIMJENA'!$A$1:$F$31</definedName>
    <definedName name="_xlnm.Print_Area" localSheetId="4">'Građ.-obrtnički radovi dvorana'!$A$1:$F$45</definedName>
    <definedName name="_xlnm.Print_Area" localSheetId="3">'Građ.-obrtnički radovi škola'!$A$1:$F$58</definedName>
    <definedName name="_xlnm.Print_Area" localSheetId="0">Naslovnica!$A$1:$J$34</definedName>
    <definedName name="_xlnm.Print_Area" localSheetId="5">'Naslovnica-'!$A$1:$J$41</definedName>
    <definedName name="_xlnm.Print_Area" localSheetId="2">'Opći uvjeti'!$A$1:$F$569</definedName>
    <definedName name="_xlnm.Print_Area" localSheetId="6">'PREUREĐENJE POSTOJEĆE ŠKOLE'!$A$1:$F$67</definedName>
    <definedName name="_xlnm.Print_Titles" localSheetId="8">obrtnički!$5:$5</definedName>
    <definedName name="re">[1]Nap.!#REF!</definedName>
    <definedName name="REALIZACIJA_1997">'[3]Osn-Pod'!$E$5</definedName>
    <definedName name="rek">[1]Nap.!#REF!</definedName>
    <definedName name="rtzzjj">[1]Nap.!#REF!</definedName>
    <definedName name="Staja_2_građevinski">[1]Nap.!#REF!</definedName>
    <definedName name="upravna">[1]Nap.!#REF!</definedName>
    <definedName name="VU">[1]Nap.!#REF!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4" i="46" l="1"/>
  <c r="F12" i="46"/>
  <c r="F22" i="46"/>
  <c r="F16" i="46" l="1"/>
  <c r="F24" i="46" s="1"/>
  <c r="F27" i="46" s="1"/>
  <c r="F64" i="34"/>
  <c r="F63" i="34"/>
  <c r="F59" i="34"/>
  <c r="F58" i="34"/>
  <c r="F54" i="34"/>
  <c r="F53" i="34"/>
  <c r="F49" i="34"/>
  <c r="F44" i="34"/>
  <c r="F42" i="34"/>
  <c r="F37" i="34"/>
  <c r="F36" i="34"/>
  <c r="F32" i="34"/>
  <c r="F28" i="34"/>
  <c r="F24" i="34"/>
  <c r="F20" i="34"/>
  <c r="F19" i="34"/>
  <c r="F15" i="34"/>
  <c r="F14" i="34"/>
  <c r="F66" i="34" l="1"/>
  <c r="F42" i="22" l="1"/>
  <c r="F39" i="22"/>
  <c r="F25" i="22"/>
  <c r="F22" i="22"/>
  <c r="F19" i="22"/>
  <c r="F44" i="22" l="1"/>
  <c r="F27" i="22"/>
  <c r="F32" i="1" l="1"/>
  <c r="F55" i="1" l="1"/>
  <c r="F52" i="1"/>
  <c r="F57" i="1" l="1"/>
  <c r="F29" i="1" l="1"/>
  <c r="F26" i="1"/>
  <c r="F23" i="1"/>
  <c r="F20" i="1"/>
  <c r="F34" i="1" l="1"/>
</calcChain>
</file>

<file path=xl/sharedStrings.xml><?xml version="1.0" encoding="utf-8"?>
<sst xmlns="http://schemas.openxmlformats.org/spreadsheetml/2006/main" count="575" uniqueCount="469">
  <si>
    <t xml:space="preserve">HELION GROUP d.o.o., Martina Divalta 184, Osijek
                                                                                                                                                                                                                                                                                                                                                                                                                                                                                                                                                                         </t>
  </si>
  <si>
    <t>OSNOVNA ŠKOLA VLADIMIRA NAZORA ĐAKOVO</t>
  </si>
  <si>
    <t>OPĆE NAPOMENE</t>
  </si>
  <si>
    <t>1.</t>
  </si>
  <si>
    <t>OPĆENITO</t>
  </si>
  <si>
    <r>
      <t>m</t>
    </r>
    <r>
      <rPr>
        <vertAlign val="superscript"/>
        <sz val="10"/>
        <color theme="1"/>
        <rFont val="Calibri"/>
        <family val="2"/>
        <scheme val="minor"/>
      </rPr>
      <t>2</t>
    </r>
  </si>
  <si>
    <t>2.1.</t>
  </si>
  <si>
    <t>2.2.</t>
  </si>
  <si>
    <t>2.3.</t>
  </si>
  <si>
    <t>2.4.</t>
  </si>
  <si>
    <t>2.5.</t>
  </si>
  <si>
    <t>2.6.</t>
  </si>
  <si>
    <t>2.7.</t>
  </si>
  <si>
    <t>2.8.</t>
  </si>
  <si>
    <t>m²</t>
  </si>
  <si>
    <t>6.</t>
  </si>
  <si>
    <t>ZIDARSKI RADOVI</t>
  </si>
  <si>
    <t>Jedinična cijena sadrži sav osnovni i vezni materijal, sidra, rad, alat, transporte, radne skele, razne zaštite i slično.</t>
  </si>
  <si>
    <r>
      <t>m</t>
    </r>
    <r>
      <rPr>
        <vertAlign val="superscript"/>
        <sz val="10"/>
        <color theme="1"/>
        <rFont val="Calibri"/>
        <family val="2"/>
        <charset val="238"/>
        <scheme val="minor"/>
      </rPr>
      <t>2</t>
    </r>
  </si>
  <si>
    <t>6.1.</t>
  </si>
  <si>
    <t>Žbukanje  zidova  s obradom svih špaleta. Grubo i fino žbukanje vapneno-cementnom žbukom u ukupnom sloju debljine 0,5 cm. Prije samog žbukanja nanosi se sloj cementnog šprica, a na svim rubovima i kutevima se postavljaju lajsne za žbukanje. Stavka obuhvaća i druge predradnje, kao što je čišćenje zidova i zaštita stolarije te skela. U cijeni sve do potpune gotovosti i funkcionalnosti.</t>
  </si>
  <si>
    <t>6.2.</t>
  </si>
  <si>
    <t>6.4.</t>
  </si>
  <si>
    <t>6.3.</t>
  </si>
  <si>
    <t>Nanošenje vapneno cementne žbuke debljine 0,5 cm na stupove</t>
  </si>
  <si>
    <t>Žbukanje stupova  s obradom svih špaleta. Grubo i fino žbukanje vapneno-cementnom žbukom u ukupnom sloju debljine 0,5 cm. Prije samog žbukanja nanosi se sloj cementnog šprica, a na svim rubovima i kutevima se postavljaju lajsne za žbukanje. Stavka obuhvaća i druge predradnje, kao što je čišćenje zidova i zaštita stolarije te skela. U cijeni sve do potpune gotovosti i funkcionalnosti.</t>
  </si>
  <si>
    <t>Nanošenje vapneno cementne žbuke debljine 0,5 cm na stubište</t>
  </si>
  <si>
    <t>Žbukanje stubišta  s obradom svih špaleta. Grubo i fino žbukanje vapneno-cementnom žbukom u ukupnom sloju debljine 0,5 cm. Prije samog žbukanja nanosi se sloj cementnog šprica, a na svim rubovima i kutevima se postavljaju lajsne za žbukanje. Stavka obuhvaća i druge predradnje, kao što je čišćenje zidova i zaštita stolarije te skela. U cijeni sve do potpune gotovosti i funkcionalnosti.</t>
  </si>
  <si>
    <t>Zidanje zidova od pune opeke d=20 cm</t>
  </si>
  <si>
    <t>Doprema, istovar i ugradnja svog potrebnog materijala, spravljanje vapneno-cementnog morta i zidanje punom opekom d=20 cm. U cijeni sve do potpune gotovosti i funkcionalnosti.</t>
  </si>
  <si>
    <t>Ukupno - zidarski radovi</t>
  </si>
  <si>
    <t>LIMARSKI RADOVI</t>
  </si>
  <si>
    <t>9.</t>
  </si>
  <si>
    <t>FASADERSKI RADOVI</t>
  </si>
  <si>
    <t>9.1.</t>
  </si>
  <si>
    <t>9.2.</t>
  </si>
  <si>
    <t>Ukupno - fasaderski radovi</t>
  </si>
  <si>
    <t>Izvedba ETICS sustava (suteren, prizemlje)</t>
  </si>
  <si>
    <r>
      <rPr>
        <b/>
        <sz val="10"/>
        <color theme="1"/>
        <rFont val="Calibri"/>
        <family val="2"/>
        <scheme val="minor"/>
      </rPr>
      <t xml:space="preserve">PROVJERA  </t>
    </r>
    <r>
      <rPr>
        <sz val="10"/>
        <color theme="1"/>
        <rFont val="Calibri"/>
        <family val="2"/>
        <scheme val="minor"/>
      </rPr>
      <t xml:space="preserve">                                                                                                                      Provjeriti ravnost zidne površine i ukoliko ima odstupanja većih od 1 cm na 4 m potrebno je nanijeti izravnavajući sloj morta.    </t>
    </r>
  </si>
  <si>
    <r>
      <rPr>
        <b/>
        <sz val="10"/>
        <color theme="1"/>
        <rFont val="Calibri"/>
        <family val="2"/>
        <scheme val="minor"/>
      </rPr>
      <t xml:space="preserve">PRIČVRSNICE  </t>
    </r>
    <r>
      <rPr>
        <sz val="10"/>
        <color theme="1"/>
        <rFont val="Calibri"/>
        <family val="2"/>
        <scheme val="minor"/>
      </rPr>
      <t xml:space="preserve">                                                                                                               Pričvršćivanje ploča izvodi se ljepljenjem i mehaničkim pričvršćenjem na postojeće ožbukane, opečne i armiranobetonske zidove. Pričvrsnice moraju odgovarati kategoriji A za beton i B za punu opeku.  Pričvrsnice montirati 3 dana nakon ljepljenja izolacijskih ploča. Broj pričvrsnica prema proračunu specificiranog sustava. Montirati minimalno 6‐ 8 pričvrsnica po m</t>
    </r>
    <r>
      <rPr>
        <vertAlign val="superscript"/>
        <sz val="10"/>
        <color theme="1"/>
        <rFont val="Calibri"/>
        <family val="2"/>
        <scheme val="minor"/>
      </rPr>
      <t>2</t>
    </r>
    <r>
      <rPr>
        <sz val="10"/>
        <color theme="1"/>
        <rFont val="Calibri"/>
        <family val="2"/>
        <scheme val="minor"/>
      </rPr>
      <t xml:space="preserve"> plohe.  </t>
    </r>
  </si>
  <si>
    <r>
      <rPr>
        <b/>
        <sz val="10"/>
        <color theme="1"/>
        <rFont val="Calibri"/>
        <family val="2"/>
        <scheme val="minor"/>
      </rPr>
      <t xml:space="preserve">ŠPALETE        </t>
    </r>
    <r>
      <rPr>
        <sz val="10"/>
        <color theme="1"/>
        <rFont val="Calibri"/>
        <family val="2"/>
        <scheme val="minor"/>
      </rPr>
      <t xml:space="preserve">                                                                                                                      Oko prozora, vrata i drugih otvora pravilno obraditi površine i sudare s ravninom pročelja te oko prozora ugraditi profil koji sadrži izolacijsku letvicu s mrežicom, pokretnu spojnicu, skrivenu fugu i zaštitnu traku za spoj žbuke i prozora, za trajnu zaštitu od kiše. Špalete izvesti s pločama mineralne vune debljine 2 cm. Punoplošna izolacija mora pokriti čelo ploče špalete. Lijepe se s građevinskim ljepilom i pričvrste s pričvrsnicama za mineralnu vunu 2 kom/m'. </t>
    </r>
    <r>
      <rPr>
        <i/>
        <sz val="10"/>
        <color theme="1"/>
        <rFont val="Calibri"/>
        <family val="2"/>
        <scheme val="minor"/>
      </rPr>
      <t>NAPOMENA:</t>
    </r>
    <r>
      <rPr>
        <sz val="10"/>
        <color theme="1"/>
        <rFont val="Calibri"/>
        <family val="2"/>
        <scheme val="minor"/>
      </rPr>
      <t xml:space="preserve"> Oduzimaju se samo otvori veći od 5 m² dok je obrada špaleta otvora manjih od 5 m</t>
    </r>
    <r>
      <rPr>
        <vertAlign val="superscript"/>
        <sz val="10"/>
        <color theme="1"/>
        <rFont val="Calibri"/>
        <family val="2"/>
        <charset val="238"/>
        <scheme val="minor"/>
      </rPr>
      <t>2</t>
    </r>
    <r>
      <rPr>
        <sz val="10"/>
        <color theme="1"/>
        <rFont val="Calibri"/>
        <family val="2"/>
        <scheme val="minor"/>
      </rPr>
      <t xml:space="preserve"> uključena u cijenu. Obrada špaleta otvora većih od 5 m² je obračunata zasebno.  </t>
    </r>
  </si>
  <si>
    <r>
      <t>Obrada špaleta otvora većih od 5 m</t>
    </r>
    <r>
      <rPr>
        <b/>
        <vertAlign val="superscript"/>
        <sz val="10"/>
        <color theme="1"/>
        <rFont val="Calibri"/>
        <family val="2"/>
        <scheme val="minor"/>
      </rPr>
      <t>2</t>
    </r>
  </si>
  <si>
    <t xml:space="preserve">Izvedba toplinske izolacije špaleta mineralnom vunom i svim slojevima sa pročelja d = 2 cm </t>
  </si>
  <si>
    <r>
      <rPr>
        <b/>
        <sz val="10"/>
        <color theme="1"/>
        <rFont val="Calibri"/>
        <family val="2"/>
        <scheme val="minor"/>
      </rPr>
      <t xml:space="preserve">ZAVRŠNA OBRADA (MW)     </t>
    </r>
    <r>
      <rPr>
        <sz val="10"/>
        <color theme="1"/>
        <rFont val="Calibri"/>
        <family val="2"/>
        <scheme val="minor"/>
      </rPr>
      <t xml:space="preserve">                                                                                    Završna obrada na zidovima i atike s mineralnom vunom je silikatna žbuka, granulacije do 2,0 mm.                  </t>
    </r>
  </si>
  <si>
    <t>6.5.</t>
  </si>
  <si>
    <t>Nanošenje vapneno cementne žbuke debljine 0,5 cm na stropove</t>
  </si>
  <si>
    <t>Žbukanje stropova  s obradom svih špaleta. Grubo i fino žbukanje vapneno-cementnom žbukom u ukupnom sloju debljine 0,5 cm. Prije samog žbukanja nanosi se sloj cementnog šprica, a na svim rubovima i kutevima se postavljaju lajsne za žbukanje. Stavka obuhvaća i druge predradnje, kao što je čišćenje zidova i zaštita stolarije te skela. U cijeni sve do potpune gotovosti i funkcionalnosti.</t>
  </si>
  <si>
    <t>Nanošenje vapneno cementne žbuke debljine 0,5 cm na zidove</t>
  </si>
  <si>
    <t>OPĆI UVJETI UZ TROŠKOVNIK</t>
  </si>
  <si>
    <t>Upisom jedinične cijene pojedine stavke podrazumijeva se da je izvođač proučio cjelokupnu dokumentaciju i da je jediničnom cijenom obuhvaćeno sve navedeno troškovničkom stavkom i natječajnom dokumentacijom.</t>
  </si>
  <si>
    <t>Ovi opći tehnički uvjeti se dopunjuju opisima stavaka troškovnika i posebnim tehničkim uvjetima za pojedine vrste radova. Sve što je navedeno u njima, a nije u pojedinačnom opisu stavke smatra se uključenim u jediničnu cijenu.</t>
  </si>
  <si>
    <r>
      <rPr>
        <b/>
        <sz val="11"/>
        <color theme="1"/>
        <rFont val="Calibri"/>
        <family val="2"/>
        <charset val="238"/>
        <scheme val="minor"/>
      </rPr>
      <t>JEDINIČNA CIJENA</t>
    </r>
    <r>
      <rPr>
        <sz val="11"/>
        <color theme="1"/>
        <rFont val="Calibri"/>
        <family val="2"/>
        <charset val="238"/>
        <scheme val="minor"/>
      </rPr>
      <t xml:space="preserve"> (odnosi se na sve vrste radova):
Sve stavke troškovnika podrazumijevaju nabavu, isporuku, transport, montažu pomoću kvalificirane i stručne radne snage i adekvatne mehanizacije u skladu s važećim propisima, standardima i projektnoj dokumentaciji, sve horizontalne i vertikalne transporte potrebnog specificiranog materijala na samoj lokaciji do mjesta ugradnje i primopredaju Naručitelju.</t>
    </r>
  </si>
  <si>
    <t>U cijenu materijala uključeno je sve potrebno za kvalitetnu izvedbu odabranog sistema kako bi se stavka izvela do potpune gotovosti i funkcionalnosti u skladu sa natječajnom dokumentacijom i uputama proizvođača, uključivo i materijale potrebne za pripremu podloge.</t>
  </si>
  <si>
    <r>
      <rPr>
        <b/>
        <sz val="11"/>
        <color theme="1"/>
        <rFont val="Calibri"/>
        <family val="2"/>
        <charset val="238"/>
        <scheme val="minor"/>
      </rPr>
      <t>Transportni troškovi</t>
    </r>
    <r>
      <rPr>
        <sz val="11"/>
        <color theme="1"/>
        <rFont val="Calibri"/>
        <family val="2"/>
        <charset val="238"/>
        <scheme val="minor"/>
      </rPr>
      <t xml:space="preserve">  </t>
    </r>
    <r>
      <rPr>
        <b/>
        <sz val="11"/>
        <color theme="1"/>
        <rFont val="Calibri"/>
        <family val="2"/>
        <charset val="238"/>
        <scheme val="minor"/>
      </rPr>
      <t xml:space="preserve">- </t>
    </r>
    <r>
      <rPr>
        <sz val="11"/>
        <color theme="1"/>
        <rFont val="Calibri"/>
        <family val="2"/>
        <charset val="238"/>
        <scheme val="minor"/>
      </rPr>
      <t>U cijenu materijala uključena je i cijena transportnih troškova bez obzira na prijevozno sredstvo sa svim prijenosima, utovarima i istovarima, te uskladištenje i čuvanje na gradilištu od unošenja (prebacivanje, zaštita i sl.) do ugradnje. U jediničnu cijenu uključena je i izrada svih transportnih privremenih putova na gradilištu.</t>
    </r>
  </si>
  <si>
    <r>
      <rPr>
        <b/>
        <sz val="11"/>
        <color theme="1"/>
        <rFont val="Calibri"/>
        <family val="2"/>
        <charset val="238"/>
        <scheme val="minor"/>
      </rPr>
      <t xml:space="preserve">Uzorci materijala i opreme - </t>
    </r>
    <r>
      <rPr>
        <sz val="11"/>
        <color theme="1"/>
        <rFont val="Calibri"/>
        <family val="2"/>
        <charset val="238"/>
        <scheme val="minor"/>
      </rPr>
      <t>Prije početka ugradnje materijala i opreme po ovom troškovniku izvođač je dužan dostaviti nadzornom inženjeru, na suglasnost sve uzorke materijala koje upotrebljava u proizvodnji i opremanju, bez posebne naknade.Dostavljeni uzorak mora biti: adekvatne veličine i kvalitete da jasno prikaže funkcionalne karakteristike materijala, boje i uzorke. Kada dimenzija uzorka nije specificirana, pretpostavljena dimenzija je minimalno A4 (210x297 mm).Kod uzoraka standardnih jedinica ili veličina - potrebno je dostaviti minimalno 3 pojedinačne jedinice po boji ili mustri. Kod uzoraka s različitim bojama i obradama potrebno dostaviti puni asortiman boja / uzoraka. Rok dostave uzoraka materijala ili opreme je najmanje 14 kalendarskih dana prije zadnjeg datuma moguće narudžbe koja neće ugroziti ugovorni rok.</t>
    </r>
  </si>
  <si>
    <r>
      <rPr>
        <b/>
        <sz val="11"/>
        <color theme="1"/>
        <rFont val="Calibri"/>
        <family val="2"/>
        <charset val="238"/>
        <scheme val="minor"/>
      </rPr>
      <t>Skladištenje -</t>
    </r>
    <r>
      <rPr>
        <sz val="11"/>
        <color theme="1"/>
        <rFont val="Calibri"/>
        <family val="2"/>
        <charset val="238"/>
        <scheme val="minor"/>
      </rPr>
      <t xml:space="preserve">  Skladištenje materijala i opreme treba provesti u svemu sukladno uputama proizvođača, tako da materijal bude osiguran od vlaženja, lomova i sl., jer se smije ugrađivati samo neoštećen i kvalitetan materijal. Vezna sredstva moraju biti neoštećena i kvalitetna. Sve materijale koji se ugrađuju treba ispitati prema važećim tehničkim propisima i ateste predočiti nadzornom inženjeru. Sav oštećeni materijal izvođač je dužan zamijeniti ispravnim prije ugradnje o vlastitom trošku.</t>
    </r>
  </si>
  <si>
    <r>
      <rPr>
        <b/>
        <sz val="11"/>
        <color theme="1"/>
        <rFont val="Calibri"/>
        <family val="2"/>
        <charset val="238"/>
        <scheme val="minor"/>
      </rPr>
      <t>Otpadni materijal -</t>
    </r>
    <r>
      <rPr>
        <sz val="11"/>
        <color theme="1"/>
        <rFont val="Calibri"/>
        <family val="2"/>
        <charset val="238"/>
        <scheme val="minor"/>
      </rPr>
      <t xml:space="preserve"> U jediničnu cijenu uključiti sve troškove otpada materijala, otpad koji je nastao zbog oblika i razvedenosti objekta te samog odabira materijala (npr. kod podopolagačkih radova, keramičarskih radova, kamenarskih radova i sl.). Prije nuđenja izvođač je dužan izraditi sheme polaganja kako bi ustanovio količinu otpadnog materijala koji mora uračunati u jediničnu cijenu.</t>
    </r>
  </si>
  <si>
    <t>Sve radove potrebno je izvesti u skladu s natječajnom dokumentacijom. Zabranjena je ugradnja građevnog proizvoda koji:je isporučen bez oznake u skladu s posebnim propisom,je isporučen bez tehničke upute za ugradnju i uporabu,nema svojstva zahtijevana projektom ili mu je istekao rok uporabe, odnosno čiji podaci su značajni za ugradnju, uporabu i utjecaj na svojstva i trajnost nisu sukladni podacima određenim projektom.je na bilo koji način oštećen ili nezadovoljavajućih karakteristika.</t>
  </si>
  <si>
    <r>
      <rPr>
        <b/>
        <sz val="11"/>
        <color theme="1"/>
        <rFont val="Calibri"/>
        <family val="2"/>
        <charset val="238"/>
        <scheme val="minor"/>
      </rPr>
      <t xml:space="preserve">Dokazi kvalitete materijala - </t>
    </r>
    <r>
      <rPr>
        <sz val="11"/>
        <color theme="1"/>
        <rFont val="Calibri"/>
        <family val="2"/>
        <charset val="238"/>
        <scheme val="minor"/>
      </rPr>
      <t>Ukoliko isto nije obračunato u zasebnoj stavci troškovnika, jedinična cijena materijala, osim gore navedenog, uključuje i: a. troškove osiguranja izjave o svojstvima ugrađenih materijala,b. troškove ishođenja izjave o svojstvima ugrađene opreme i/ili postrojenja i c. troškove ishođenja dokaza kvalitete za koje postoji obveza prikupljanja tijekom izvođenja građevinskih i drugih radova za sve instalacije i sve izvedene dijelove građevine što uključuje sva potrebna ispitivanja i pisani prikaz rezultata ispitivanja, zapisnike o provedenim postupcima kontrole kvalitete i funkcionalnim probama ugrađenih sustava;Svi ugrađeni materijali i proizvodi moraju odgovarati važećim tehničkim propisima i standardima, propisima zaštite na radu i ostalim pozitivnim propisima, a trošak svih dokaza kvalitete mora biti ugrađen u jediničnu cijenu.</t>
    </r>
  </si>
  <si>
    <t>Prije početka radova potrebno je isključiti sve instalacije unutar zone obuhvata gdje se radovi obavljaju: plin, vodu, struju, kanalizaciju, od strane ovlaštenih službi, te izvesti vanjske priključke potrebnih instalacija, u skladu s pravilima gradskih komunalnih poduzeća i uz njihovu suglasnost.</t>
  </si>
  <si>
    <t>U jediničnu cijenu je uključen trošak ishođenja privremenih priključaka i osiguranje pogonske energije i vode za potrebe gradilišta u dogovoru s Naručiteljem. U cijenu rada uključen je i sav trošak energenata (vode, struje, plina, WC-a za radnike) potreban za izvođenje radova.Priprema i uređenje gradilišta uključuju čišćenje terena i odvoz na gradsku deponiju, izradu prilaza i organiziranje gradilišta. U cijenu rada uključen je i trošak postave gradilišne ploče u skladu s hrvatskim pravilnicima i smjernicama EU, gradilišne ograde, znakova upozorenja i signalizaciju (osiguranja sigurnog prolaza pješaka i automobila) oko gradilišta .Osvjetljenje gradilišta tijekom noći mora biti uračunato u jediničnu cijenu. Pripremni radovi i radovi na organizaciji gradilišta neće biti obračunati posebno, već su obuhvaćeni u jediničnim cijenama stavaka, osim ako za pojedine radove nije navedena troškovnička stavka.Troškove zauzimanja javne površine izvođač je dužan ukalkulirati u jediničnu cijenu ponude te mu se dodatni trošak na račun toga neće priznavati ako nije drugačije određeno troškovnikom</t>
  </si>
  <si>
    <r>
      <rPr>
        <b/>
        <sz val="11"/>
        <color theme="1"/>
        <rFont val="Calibri"/>
        <family val="2"/>
        <charset val="238"/>
        <scheme val="minor"/>
      </rPr>
      <t>Rad na privremenim gradilišnim instalacijama i pripremni radovi -</t>
    </r>
    <r>
      <rPr>
        <sz val="11"/>
        <color theme="1"/>
        <rFont val="Calibri"/>
        <family val="2"/>
        <charset val="238"/>
        <scheme val="minor"/>
      </rPr>
      <t xml:space="preserve"> Prije početka gradnje potrebno je predvidjeti i planirati sve aktivnosti koje su potrebne da se građevina izgradi u skladu sa važećim zakonima i propisima, u ugovorenom roku i uz poštivanje ugovorenih ekonomsko-financijskih uvjeta.</t>
    </r>
  </si>
  <si>
    <r>
      <rPr>
        <b/>
        <sz val="11"/>
        <color theme="1"/>
        <rFont val="Calibri"/>
        <family val="2"/>
        <charset val="238"/>
        <scheme val="minor"/>
      </rPr>
      <t>Radionička dokumentacija/ Razrada specifičnih detalja -</t>
    </r>
    <r>
      <rPr>
        <sz val="11"/>
        <color theme="1"/>
        <rFont val="Calibri"/>
        <family val="2"/>
        <charset val="238"/>
        <scheme val="minor"/>
      </rPr>
      <t xml:space="preserve"> U cijenu rada treba uključiti i rad na razradi specifičnih detalja projekta gdje je to potrebno (radionički nacrt). Za čelik, bravarske, aluminijske, staklarske, stolarske i ostale radove, osim ako nije definirano u posebnoj troškovničkoj stavci u jedinične cijene treba uključiti izradu statičkog proračuna i radioničkih nacrta, i predaju radioničkih nacrta na pregled nadzornom inženjeru. Kod podopolagačkih, keramičarskih, kamenarskih i završno montažerskih radova (fasadne obloge), i ostalih radova gdje je to potrebno u cijenu stavke uključiti izradu nacrta polaganja obloga.</t>
    </r>
  </si>
  <si>
    <r>
      <rPr>
        <b/>
        <sz val="11"/>
        <color theme="1"/>
        <rFont val="Calibri"/>
        <family val="2"/>
        <charset val="238"/>
        <scheme val="minor"/>
      </rPr>
      <t>OBUKA KORISNIKA</t>
    </r>
    <r>
      <rPr>
        <sz val="11"/>
        <color theme="1"/>
        <rFont val="Calibri"/>
        <family val="2"/>
        <charset val="238"/>
        <scheme val="minor"/>
      </rPr>
      <t xml:space="preserve"> - U cijenu ponude treba uključiti neophodnu obuku za sigurno rukovanje ugrađenom opremom za predstavnika korisnika zgrade, koji mora biti u organizaciji i trošku izvođača radova.Po završetku radova za ugrađenu opremu izvođač je dužan investitoru dostaviti sve upute za rukovanje, korištenje i održavanje ugrađene opreme bez posebne nadoplate.</t>
    </r>
  </si>
  <si>
    <r>
      <rPr>
        <b/>
        <sz val="11"/>
        <color theme="1"/>
        <rFont val="Calibri"/>
        <family val="2"/>
        <charset val="238"/>
        <scheme val="minor"/>
      </rPr>
      <t xml:space="preserve">ZIMSKI I LJETNI RAD </t>
    </r>
    <r>
      <rPr>
        <sz val="11"/>
        <color theme="1"/>
        <rFont val="Calibri"/>
        <family val="2"/>
        <charset val="238"/>
        <scheme val="minor"/>
      </rPr>
      <t>- Ukoliko je u ugovoreni termin izvršenja objekta uključen i zimski odnosno ljetni period, to se neće posebno izvođaču priznavati na ime naknade, već sve mora biti uključeno u jediničnu cijenu. Za vrijeme zime građevina se mora zaštititi. Svi eventualno smrznuti dijelovi moraju se ukloniti i izvesti ponovno bez bilo kakve naplate. Ukoliko je temperatura niža od temperature pri kojoj je dozvoljen određeni rad, izvođač je dužan o tome obavijestiti Naručitelja i nadzornog inženjera. To isto vrijedi i za zaštitu radova tokom ljeta od prebrzog sušenja uslijed visoke temperature. Ukoliko dođe do kašnjenja u dinamici krivnjom izvođača, dodatne troškove pri radu na niskim/ visokim temperaturama snosi izvođač.U jedinične cijene izvođač mora prema ponuđenim radovima uračunati zaštite radova za zimski ili ljetni period, kišu ili sl.</t>
    </r>
  </si>
  <si>
    <r>
      <rPr>
        <b/>
        <sz val="11"/>
        <color theme="1"/>
        <rFont val="Calibri"/>
        <family val="2"/>
        <charset val="238"/>
        <scheme val="minor"/>
      </rPr>
      <t xml:space="preserve">OBRAČUN RADOVA </t>
    </r>
    <r>
      <rPr>
        <sz val="11"/>
        <color theme="1"/>
        <rFont val="Calibri"/>
        <family val="2"/>
        <charset val="238"/>
        <scheme val="minor"/>
      </rPr>
      <t>- Radovi se obračunavaju kako je navedeno u opisu troškovničke stavke ili Općim tehničkim uvjetima za pojedinu vrstu radova.</t>
    </r>
  </si>
  <si>
    <r>
      <rPr>
        <b/>
        <sz val="11"/>
        <color theme="1"/>
        <rFont val="Calibri"/>
        <family val="2"/>
        <charset val="238"/>
        <scheme val="minor"/>
      </rPr>
      <t>IZVOĐENJE RADOVA
KVALITETA IZVEDENIH RADOVA</t>
    </r>
    <r>
      <rPr>
        <sz val="11"/>
        <color theme="1"/>
        <rFont val="Calibri"/>
        <family val="2"/>
        <charset val="238"/>
        <scheme val="minor"/>
      </rPr>
      <t xml:space="preserve"> - Materijal i opremu potrebnu za izvođenje radova koji su predmet nabave dužan je dobaviti i ugraditi izvođač, osim ako nije drugačije navedeno u troškovničkoj stavci.Ugrađeni materijal i oprema moraju biti odgovarajuće kvalitete sukladno projektu što se dokazuje propisanim izjavama o svojstvima.Izvođač jamči za kvalitetu izvedenih radova prema uvjetima iz natječajne dokumentacije, važećih standarda i propisa i pravila struke, kao i da će tijekom gradnje poduzeti sve mjere da osigura radove tako da isti nemaju nedostatke koji onemogućuju i umanjuju njihovu vrijednost ili prikladnost za namijenjenu upotrebu.Sva potrebna ispitivanja materijala moraju obaviti osobe koje su po zakonu ovlaštene za obavljanje tog posla i zadovoljavaju sve uvjete. Ako opis bilo koje stavke dovodi izvođača u sumnju o načinu izvedbe, treba pravovremeno prije predaje ponude tražiti objašnjenje od nadzornog inženjera.</t>
    </r>
  </si>
  <si>
    <r>
      <rPr>
        <b/>
        <sz val="11"/>
        <color theme="1"/>
        <rFont val="Calibri"/>
        <family val="2"/>
        <charset val="238"/>
        <scheme val="minor"/>
      </rPr>
      <t xml:space="preserve"> ZAKONI - </t>
    </r>
    <r>
      <rPr>
        <sz val="11"/>
        <color theme="1"/>
        <rFont val="Calibri"/>
        <family val="2"/>
        <charset val="238"/>
        <scheme val="minor"/>
      </rPr>
      <t>Sve radove unutar troškovnika treba izvesti prema važećim zakonima, pravilnicima, tehničkim propisima i važećim priznatim pravilima struke te svim njihovim dopunama i izmjenama, uključivo i sve zakone, pravilnike i propise na koje se isti pozivaju, a koji su navedeni u natjčajnoj dokumentaciji.</t>
    </r>
  </si>
  <si>
    <r>
      <rPr>
        <b/>
        <sz val="11"/>
        <color theme="1"/>
        <rFont val="Calibri"/>
        <family val="2"/>
        <charset val="238"/>
        <scheme val="minor"/>
      </rPr>
      <t>KONTROLA MJERA</t>
    </r>
    <r>
      <rPr>
        <sz val="11"/>
        <color theme="1"/>
        <rFont val="Calibri"/>
        <family val="2"/>
        <charset val="238"/>
        <scheme val="minor"/>
      </rPr>
      <t xml:space="preserve"> - Izvođač radova dužan je prije početka radova kontrolirati kote postojećeg terena u odnosu na relativnu +/- 0,00 kotu kod svih ulaza i kod svih unutarnjih podnih ploča. Svu kontrolu vršiti bez posebne naplate. Ukoliko se ukažu eventualne nejednakosti između natječajne dokumentacije i stanja na gradilištu izvođač radova dužan je pravovremeno obavijestiti predstavnika Naručitelja.</t>
    </r>
  </si>
  <si>
    <t>Zbrinjavanje otpadnog materijala Materijal štetan za okoliš (razne hidroizolacije, kemijske supstance i sl.) iste treba izdvojiti od ostalog otpada i na adekvatan način zbrinuti prema važećim propisima. Zbrinjavanje tog otpada provodi se putem komunalne organizacije ili nekog drugog ovlaštenog sakupljača. Izvođač mora sve otpadne elemente usitniti na veličine i težine prikladne za utovar i odvoz kamionima.</t>
  </si>
  <si>
    <r>
      <rPr>
        <b/>
        <sz val="11"/>
        <color theme="1"/>
        <rFont val="Calibri"/>
        <family val="2"/>
        <charset val="238"/>
        <scheme val="minor"/>
      </rPr>
      <t xml:space="preserve">SURADNJA NA GRADILIŠTU </t>
    </r>
    <r>
      <rPr>
        <sz val="11"/>
        <color theme="1"/>
        <rFont val="Calibri"/>
        <family val="2"/>
        <charset val="238"/>
        <scheme val="minor"/>
      </rPr>
      <t>- Izvođač je dužan, bez posebne naplate, pravovremeno a najkasnije tri radna dana prije predviđenog roka izvođenja, obavijestiti nadzornog inženjera o svim radovima koji će se zatvoriti u konstrukciju, prekriti slojevima međukatne konstrukcije ili na drugi način postati nevidljivi. Takvi radovi se mogu zatvoriti tek nakon pregleda i pozitivne ocjene nadzornog inženjera. Ovo se odnosi na sve instalacije u zidovima, podovima, stropovima, na ojačanja u zidovima, unutarnje konstrukcije i materijale koji će biti skriveni prekrivanjem drugog sloja.Izvođač je dužan bez posebne naplate detaljno proučiti i pregledati svaki dio projektne dokumentacije pregledati te dati primjedbe na eventualne tehničke probleme koji bi mogli prouzročiti slabiju kvalitetu, postojnost ugrađenih elemenata, zastoj u izvođenju radova ili druge štete. Naročitu pažnju kod toga treba posvetiti usuglašavanju građevinskih i instalaterskih nacrta. Ako izvođač ustanovi neke razlike u mjerama, nedostatke ili pogreške u podlogama, dužan je, bez posebne naplate pravovremeno obavijestiti nadzornog inženjera , te zatražiti rješenja i/ili pojašnjenja.</t>
    </r>
  </si>
  <si>
    <r>
      <rPr>
        <b/>
        <sz val="11"/>
        <color theme="1"/>
        <rFont val="Calibri"/>
        <family val="2"/>
        <charset val="238"/>
        <scheme val="minor"/>
      </rPr>
      <t xml:space="preserve">ZAŠTITA NA RADU I UREĐENJE GRADILIŠTA </t>
    </r>
    <r>
      <rPr>
        <sz val="11"/>
        <color theme="1"/>
        <rFont val="Calibri"/>
        <family val="2"/>
        <charset val="238"/>
        <scheme val="minor"/>
      </rPr>
      <t xml:space="preserve">- Pri izvođenju radova na gradilištu je potrebno uvažavati i primjenjivati načela Zakona o zaštiti na radu i to osobito : </t>
    </r>
    <r>
      <rPr>
        <b/>
        <sz val="11"/>
        <color theme="1"/>
        <rFont val="Calibri"/>
        <family val="2"/>
        <charset val="238"/>
        <scheme val="minor"/>
      </rPr>
      <t>1</t>
    </r>
    <r>
      <rPr>
        <sz val="11"/>
        <color theme="1"/>
        <rFont val="Calibri"/>
        <family val="2"/>
        <charset val="238"/>
        <scheme val="minor"/>
      </rPr>
      <t xml:space="preserve">. za održavanje primjerenog reda i zadovoljavajuće čistoće na gradilištu; </t>
    </r>
    <r>
      <rPr>
        <b/>
        <sz val="11"/>
        <color theme="1"/>
        <rFont val="Calibri"/>
        <family val="2"/>
        <charset val="238"/>
        <scheme val="minor"/>
      </rPr>
      <t>2.</t>
    </r>
    <r>
      <rPr>
        <sz val="11"/>
        <color theme="1"/>
        <rFont val="Calibri"/>
        <family val="2"/>
        <charset val="238"/>
        <scheme val="minor"/>
      </rPr>
      <t xml:space="preserve"> izbor i razmještaj mjesta rada, uzimajući pri tome u obzir način održavanja pristupnih putova te određivanja smjerova kretanja i površina za prolaz, kretanje ili za opremu; </t>
    </r>
    <r>
      <rPr>
        <b/>
        <sz val="11"/>
        <color theme="1"/>
        <rFont val="Calibri"/>
        <family val="2"/>
        <charset val="238"/>
        <scheme val="minor"/>
      </rPr>
      <t>3.</t>
    </r>
    <r>
      <rPr>
        <sz val="11"/>
        <color theme="1"/>
        <rFont val="Calibri"/>
        <family val="2"/>
        <charset val="238"/>
        <scheme val="minor"/>
      </rPr>
      <t xml:space="preserve"> uvjete pod kojima se rukuje različitim materijalima; </t>
    </r>
    <r>
      <rPr>
        <b/>
        <sz val="11"/>
        <color theme="1"/>
        <rFont val="Calibri"/>
        <family val="2"/>
        <charset val="238"/>
        <scheme val="minor"/>
      </rPr>
      <t>4.</t>
    </r>
    <r>
      <rPr>
        <sz val="11"/>
        <color theme="1"/>
        <rFont val="Calibri"/>
        <family val="2"/>
        <charset val="238"/>
        <scheme val="minor"/>
      </rPr>
      <t xml:space="preserve"> tehničko održavanje, prethodni i redoviti pregledi instalacija i opreme radi ispravljanja svih nedostataka koji mogu utjecati na sigurnost i zdravlje radnika; </t>
    </r>
    <r>
      <rPr>
        <b/>
        <sz val="11"/>
        <color theme="1"/>
        <rFont val="Calibri"/>
        <family val="2"/>
        <charset val="238"/>
        <scheme val="minor"/>
      </rPr>
      <t xml:space="preserve">5. </t>
    </r>
    <r>
      <rPr>
        <sz val="11"/>
        <color theme="1"/>
        <rFont val="Calibri"/>
        <family val="2"/>
        <charset val="238"/>
        <scheme val="minor"/>
      </rPr>
      <t xml:space="preserve">razmještaj i označavanje površina za skladištenje različitih ma-terijala, posebice kada se radi o opasnim materijalima i tvarima; </t>
    </r>
    <r>
      <rPr>
        <b/>
        <sz val="11"/>
        <color theme="1"/>
        <rFont val="Calibri"/>
        <family val="2"/>
        <charset val="238"/>
        <scheme val="minor"/>
      </rPr>
      <t>6.</t>
    </r>
    <r>
      <rPr>
        <sz val="11"/>
        <color theme="1"/>
        <rFont val="Calibri"/>
        <family val="2"/>
        <charset val="238"/>
        <scheme val="minor"/>
      </rPr>
      <t xml:space="preserve"> uvjete pod kojima se koriste i premještaju ili uklanjaju opasni materijali; </t>
    </r>
    <r>
      <rPr>
        <b/>
        <sz val="11"/>
        <color theme="1"/>
        <rFont val="Calibri"/>
        <family val="2"/>
        <charset val="238"/>
        <scheme val="minor"/>
      </rPr>
      <t>7.</t>
    </r>
    <r>
      <rPr>
        <sz val="11"/>
        <color theme="1"/>
        <rFont val="Calibri"/>
        <family val="2"/>
        <charset val="238"/>
        <scheme val="minor"/>
      </rPr>
      <t xml:space="preserve"> skladištenje i odlaganje ili uklanjanje otpadaka i otpadnog materijala; </t>
    </r>
    <r>
      <rPr>
        <b/>
        <sz val="11"/>
        <color theme="1"/>
        <rFont val="Calibri"/>
        <family val="2"/>
        <charset val="238"/>
        <scheme val="minor"/>
      </rPr>
      <t>8.</t>
    </r>
    <r>
      <rPr>
        <sz val="11"/>
        <color theme="1"/>
        <rFont val="Calibri"/>
        <family val="2"/>
        <charset val="238"/>
        <scheme val="minor"/>
      </rPr>
      <t xml:space="preserve"> usklađivanje vremena izvođenja različitih vrsta radova ili faza rada na temelju odvijanja poslova na gradilištu; </t>
    </r>
    <r>
      <rPr>
        <b/>
        <sz val="11"/>
        <color theme="1"/>
        <rFont val="Calibri"/>
        <family val="2"/>
        <charset val="238"/>
        <scheme val="minor"/>
      </rPr>
      <t xml:space="preserve">9. </t>
    </r>
    <r>
      <rPr>
        <sz val="11"/>
        <color theme="1"/>
        <rFont val="Calibri"/>
        <family val="2"/>
        <charset val="238"/>
        <scheme val="minor"/>
      </rPr>
      <t xml:space="preserve">suradnja između Izvođača i drugih osoba na gradilištu; </t>
    </r>
    <r>
      <rPr>
        <b/>
        <sz val="11"/>
        <color theme="1"/>
        <rFont val="Calibri"/>
        <family val="2"/>
        <charset val="238"/>
        <scheme val="minor"/>
      </rPr>
      <t xml:space="preserve">10. </t>
    </r>
    <r>
      <rPr>
        <sz val="11"/>
        <color theme="1"/>
        <rFont val="Calibri"/>
        <family val="2"/>
        <charset val="238"/>
        <scheme val="minor"/>
      </rPr>
      <t>uzajamnog djelovanja svih aktivnosti na mjestu na kojem se radi ili u blizini kojega se nalazi gradilište.</t>
    </r>
  </si>
  <si>
    <t>PRIPREMNI I ZAVRŠNI RADOVI
OPĆI UVJETI</t>
  </si>
  <si>
    <t>ZEMLJANI RADOVI
OPĆI UVJETI</t>
  </si>
  <si>
    <t>ARMIRANO - BETONSKI RADOVI
OPĆI UVJETI</t>
  </si>
  <si>
    <r>
      <rPr>
        <b/>
        <sz val="11"/>
        <color theme="1"/>
        <rFont val="Calibri"/>
        <family val="2"/>
        <charset val="238"/>
        <scheme val="minor"/>
      </rPr>
      <t xml:space="preserve">IZVOĐENJE BETONSKIH RADOVA </t>
    </r>
    <r>
      <rPr>
        <sz val="11"/>
        <color theme="1"/>
        <rFont val="Calibri"/>
        <family val="2"/>
        <charset val="238"/>
        <scheme val="minor"/>
      </rPr>
      <t xml:space="preserve"> - Transport projektiranog betona će se vršiti automješalicama. Transportna sredstva ne smiju izazivati segregaciju betonske smjese tijekom vožnje od mjesta proizvodnje do mjesta ugradnje. Vrijeme transporta i drugih manipulacija svježim betonom mora biti u neposrednoj vezi s vremenom početka vezivanja cementa. Ugrađivanje betona se može početi samo na osnovu pismene potvrde o preuzimanju podloge, armature i odobrenju betoniranja od strane nadzornog inženjera. Beton se mora ugrađivati prema određenom planu. Svaki započeti betonski odsjek, konstruktivni dio ili element objekta, mora biti izbetoniran u skladu s programom betoniranja i pravilima struke, bez obzira na uvjete izvođenja radova kao što su na primjer radno vrijeme, brze vremenske promjene, kvarovi pojedinih uređaja mehanizacije, poteškoće u transportu i sl. Isključenje negativnih utjecaja i drugih rizika na kvalitetu betona nužno je predvidjeti programom betoniranja i osigurati alternativna rješenja za slučaj da se oni pojave. Zabranjeno je korigiranje vode u svježem betonu bez prisustva tehnologa betona. Prije betoniranja treba oplatu polijevati kod čega se treba paziti da voda ne uđe u svježi beton. Svježi beton mora se ugrađivati vibriranjem u slojevima čija debljina ne smije biti veća od 50 cm. Sloj betona, koji se ugrađuje, mora vibriranjem biti dobro spojen s prethodnim donjim slojem betona. Beton treba ubacivati što bliže njegovom konačnom položaju u konstrukciji. Kod betoniranja smiju se prekidi i radni spojevi izvesti prema pravilima struke, s trakama primjenjivim za radne i dilatacijske fuge. Prekidi koji su definirani projektom se smiju izvesti samo na mjestima koja su projektom određena i na način određen projektom konstrukcije. Na prekidima mora biti ostvarena dobra prionjivost starog i novog betona, a sam spoj mora biti vodonepropustan. Da bi se spriječilo, kod vidljivih površina betona, naknadno provlaživanje i kristalizacija zbog procjedne vode, na mjestima prekida betoniranja, potrebno je površine radnih reški prije nastavka betoniranja premazati sredstvom za vezu starog i novog betona držeći se u svemu upute proizvođača. Kod izvedbe vodonepropusnih betona u jediničnu cijenu rada uključene su i sve potrebne radnje za osiguranje vodonepropusnosti betona (brtve na prekidima betoniranja, dodatak za vodonepropusnost te ostali tehnički zahtjevi). Prilikom izvedbe potrebno je voditi računa o ostvarenju projektiranog zaštitnog sloja betona.</t>
    </r>
  </si>
  <si>
    <r>
      <rPr>
        <b/>
        <sz val="11"/>
        <color theme="1"/>
        <rFont val="Calibri"/>
        <family val="2"/>
        <charset val="238"/>
        <scheme val="minor"/>
      </rPr>
      <t>UGRAĐIVANJE BETONA U POSEBNIM UVJETIMA -</t>
    </r>
    <r>
      <rPr>
        <sz val="11"/>
        <color theme="1"/>
        <rFont val="Calibri"/>
        <family val="2"/>
        <charset val="238"/>
        <scheme val="minor"/>
      </rPr>
      <t xml:space="preserve"> Ugrađivanje betona u kalupima ili u oplati pri vanjskim temperaturama ispod +5 ili iznad +30 °C smatra se betoniranjem u posebnim uvjetima. Za betoniranje u posebnim uvjetima moraju se osigurati posebne mjere zaštite betona. Betonu treba dodati dodatke protiv smrzavanja betona. Prije prvog smrzavanja beton mora imati najmanje 50 % zahtijevane čvrstoće. Kad se u vrlo hladnim danima skida oplata, ne smije doći do naglog hlađenja betona te se vanjske površine betona moraju zaštititi.Pri betoniranju na visokim temperaturama početnu obradivost treba odrediti prema prethodno utvrđenom gubitku i obradivosti prilikom transporta i ugradnje.
U slučaju dužeg transporta ili spore ugradnje betona treba rabiti dodatke - usporivače vezanja. Cement i sastav betona koji se ugrađuju u masivne elemente moraju biti takvi da ni u kom slučaju temperatura betona ugrađenog u masu elemenata ne bude iznad 65° C. U protivnom se poduzimaju mjere za hlađenje komponenata betona ili hlađenje betona u samom elementu. Ukoliko se betonira u posebnim uvjetima mjere zaštite moraju biti ukalkulirane u jediničnu cijenu.</t>
    </r>
  </si>
  <si>
    <r>
      <rPr>
        <b/>
        <sz val="11"/>
        <color theme="1"/>
        <rFont val="Calibri"/>
        <family val="2"/>
        <charset val="238"/>
        <scheme val="minor"/>
      </rPr>
      <t xml:space="preserve">OPLATE - </t>
    </r>
    <r>
      <rPr>
        <sz val="11"/>
        <color theme="1"/>
        <rFont val="Calibri"/>
        <family val="2"/>
        <charset val="238"/>
        <scheme val="minor"/>
      </rPr>
      <t>Oplate, kao i razna razupiranja, moraju imati takvu sigurnost i krutost da bez slijeganja i štetnih deformacija mogu primiti opterećenja i utjecaje koji nastaju za vrijeme izvedbe radova. Oplate moraju biti stabilne, otporne i dovoljno poduprte da se ne bi izvile ili popustile u bilo kojem pravcu. Moraju biti izrađene točno po mjerama označenim u nacrtima plana oplate za pojedine dijelove konstrukcije koji će se betonirati sa svim potrebnim podupiračima. Unutarnje površine oplate moraju biti ravne, bilo da su horizontalne, vertikalne ili nagnute, prema tome kako je to u nacrtima planova oplate predviđeno. Nastavci oplata ne smiju izlaziti iz ravnine, tako da nakon njihovog skidanja vidljive površine betona budu ravne i s oštrim rubovima, te da se osigura dobro brtvljenje i sprečavaju deformacije.</t>
    </r>
  </si>
  <si>
    <t>Za oplatu se ne smiju koristiti takvi premazi koji se ne bi mogli oprati s gotovog betona ili bi nakon pranja ostale mrlje na tim površinama. Oplatu za betonske konstrukcije čije će površine ostati vidljive, potrebno je izvesti u glatkoj oplati, a prema nacrtu oplate. Ako se u projektu traži blanjana oplata, onda treba koristiti daske istih širina, osim ako nije drugačije predviđeno, s vidljivom strukturom drveta, a slaganje dasaka prema projektu ili uputama nadzornog inženjera. Kad su u betonskim zidovima i drugim konstrukcijama predviđeni otvori i udubine za prolaz vodovodne i kanalizacione cijevi, cijevi centralnog grijanja i slično, kao i dimovodne i ventilacione kanale i otvore, treba još prije betoniranja izvesti i postaviti cijevi većeg profila od prolazeće cijevi da se iste mogu provući kroz zid ili konstrukciju i propisno zabrtviti.</t>
  </si>
  <si>
    <t>Kod nastavljanja betoniranja po visini, prilikom postavljanja oplate za tu konstrukciju treba izvesti zaštitu površina betona već gotovih konstrukcija od procjeđivanja cementnog mlijeka. Neposredno prije početka ugrađivanja betona oplata se mora očistiti. Oplate moraju biti tako izvedene da se mogu skidati lako i bez potreba i oštećenja konstrukcija, sa svim njenim elementima, kao i slaganje i sortiranje građe na određenim mjestima.</t>
  </si>
  <si>
    <t>Izrađena oplata, s podupiranjem, prije betoniranja mora biti od strane Izvođača statički kontrolirana. Prije nego što se počne ugrađivati beton moraju se provjeriti dimenzije oplate i kakvoća njihove izvedbe, kao i čistoća i vlažnost oplate. Rezultati ispitivanja nivelete oplate, kao i zapisnik o prijemu tih konstrukcija, čuvaju se u evidenciji koja se prilikom primopredaje izgrađene građevine ustupa korisniku te građevine.</t>
  </si>
  <si>
    <t>U stavke je uključena oplata, sve vrste skela i radnih platformi, podupiranje, zaštitne i nosive privremene konstrukcije sav potreban materijal i rad, te sva tekuća ispitivanja i dokazivanja kvalitete. U cijenu uključiti sve potrebne dodatke betonu sukladno zahtjevima u izvedbenim projektima.</t>
  </si>
  <si>
    <t>U cijeni svakog rada uključena sva potrebna sredstva za rad, režijski troškovi najma alata i prijevoznih sredstava, sve vrste skela, sredstva za osiguranje ljudi, radnih sredstava i samog gradilišta. Sve nepredviđene troškove koji mogu nastupiti, a izvan su opisanih troškova uključenih u cijenu radova, a potrebni su za izvođenje rada izvođač mora izvesti u sklopu ponuđene cijene.</t>
  </si>
  <si>
    <t>U cijene uključiti pripremu i ugradnju elemenata za sidrenje i pričvršćenje metalnih dijelova konstrukcije iskazanih u bravarskim radovima i građevinskom dijelu projektu koji se odnosi na čeličnu konstrukciju.</t>
  </si>
  <si>
    <t>U cijenu radova Izvođač treba uključiti izradu projekta betona, sva potrebna ispitivanja betona i dokumentacija vezana na betonske i armirano-betonske radove potrebna za tehnički pregled građevine.</t>
  </si>
  <si>
    <t>ARMIRAČKI RADOVI
OPĆI UVJETI</t>
  </si>
  <si>
    <r>
      <rPr>
        <b/>
        <sz val="11"/>
        <color theme="1"/>
        <rFont val="Calibri"/>
        <family val="2"/>
        <charset val="238"/>
        <scheme val="minor"/>
      </rPr>
      <t xml:space="preserve">UGRADNJA ARMATURE </t>
    </r>
    <r>
      <rPr>
        <sz val="11"/>
        <color theme="1"/>
        <rFont val="Calibri"/>
        <family val="2"/>
        <charset val="238"/>
        <scheme val="minor"/>
      </rPr>
      <t>- Površina armature mora biti očišćena od slobodne hrđe i tvari koje mogu štetno djelovati na čelik, beton ili vezu između njih. Armatura će se na gradilište dovesti u savijenom stanju, a bit će rezana i savijena u armiračkom pogonu ili će se savijati na gradilištu prema nacrtima armature. Čelik za armiranje betona treba rezati i savijati prema projektnim specifikacijama. Pri tome : - savijanje treba izvoditi hladno jednolikom brzinom, - savijanje čelika pri temp. ispod -5 °C, ako je dopušteno projektnim specifikacijama, treba izvoditi uz poduzimanje odgovarajućih posebnih mjera osiguranja, Šipke čelične armature, zavarene mreže i predgotovljeni armaturni koševi ne smiju se oštetiti tijekom prijevoza, skladištenja, rukovanja i postavljanja u projektiranu poziciju. Prije postavljanja armature, mora se ista očistiti od prljavštine, masnoće i ljusaka od korozije. Ispod armature koja se postavlja na tlo potrebno je izvesti sloj za izravnanje. Prilikom ugradnje armature u betonske elemente obavezno je točno pozicioniranje prema statičkom proračunu, poštujući propisani zaštitni sloj armature za pojedini element.</t>
    </r>
  </si>
  <si>
    <r>
      <rPr>
        <b/>
        <sz val="11"/>
        <color theme="1"/>
        <rFont val="Calibri"/>
        <family val="2"/>
        <charset val="238"/>
        <scheme val="minor"/>
      </rPr>
      <t>JEDINIČNA CIJENA -</t>
    </r>
    <r>
      <rPr>
        <sz val="11"/>
        <color theme="1"/>
        <rFont val="Calibri"/>
        <family val="2"/>
        <charset val="238"/>
        <scheme val="minor"/>
      </rPr>
      <t xml:space="preserve"> Osim iznad navedenog jedinična cijena armiračkih radova uključuje još i slijedeće radove:</t>
    </r>
    <r>
      <rPr>
        <b/>
        <sz val="11"/>
        <color theme="1"/>
        <rFont val="Calibri"/>
        <family val="2"/>
        <charset val="238"/>
        <scheme val="minor"/>
      </rPr>
      <t xml:space="preserve"> a.</t>
    </r>
    <r>
      <rPr>
        <sz val="11"/>
        <color theme="1"/>
        <rFont val="Calibri"/>
        <family val="2"/>
        <charset val="238"/>
        <scheme val="minor"/>
      </rPr>
      <t xml:space="preserve"> pregled armature prije savijanja sa čišćenjem i sortiranjem, </t>
    </r>
    <r>
      <rPr>
        <b/>
        <sz val="11"/>
        <color theme="1"/>
        <rFont val="Calibri"/>
        <family val="2"/>
        <charset val="238"/>
        <scheme val="minor"/>
      </rPr>
      <t xml:space="preserve">b. </t>
    </r>
    <r>
      <rPr>
        <sz val="11"/>
        <color theme="1"/>
        <rFont val="Calibri"/>
        <family val="2"/>
        <charset val="238"/>
        <scheme val="minor"/>
      </rPr>
      <t xml:space="preserve">sječenje, ravnanje i savijanje armature na gradilištu sa transportom do mjesta ugradnje ili savijanje u centralnoj armiračnici, transport do gradilišta, te horizontalni i vertikalni transport već gotovog savijenog čelika do mjesta ugradnje, </t>
    </r>
    <r>
      <rPr>
        <b/>
        <sz val="11"/>
        <color theme="1"/>
        <rFont val="Calibri"/>
        <family val="2"/>
        <charset val="238"/>
        <scheme val="minor"/>
      </rPr>
      <t>c.</t>
    </r>
    <r>
      <rPr>
        <sz val="11"/>
        <color theme="1"/>
        <rFont val="Calibri"/>
        <family val="2"/>
        <charset val="238"/>
        <scheme val="minor"/>
      </rPr>
      <t xml:space="preserve"> postavljanje i vezanje armature točno prema armaturnim nacrtima, sa podmetanjem podložaka, kako bi se osigurala potrebna udaljenost između armature i oplate,</t>
    </r>
    <r>
      <rPr>
        <b/>
        <sz val="11"/>
        <color theme="1"/>
        <rFont val="Calibri"/>
        <family val="2"/>
        <charset val="238"/>
        <scheme val="minor"/>
      </rPr>
      <t xml:space="preserve"> d.</t>
    </r>
    <r>
      <rPr>
        <sz val="11"/>
        <color theme="1"/>
        <rFont val="Calibri"/>
        <family val="2"/>
        <charset val="238"/>
        <scheme val="minor"/>
      </rPr>
      <t xml:space="preserve"> sve vrste podložaka, distancera i jahača koje je nužno ugraditi kako bi se ostvarili projektirani uvjeti konstrukcije, </t>
    </r>
    <r>
      <rPr>
        <b/>
        <sz val="11"/>
        <color theme="1"/>
        <rFont val="Calibri"/>
        <family val="2"/>
        <charset val="238"/>
        <scheme val="minor"/>
      </rPr>
      <t>e.</t>
    </r>
    <r>
      <rPr>
        <sz val="11"/>
        <color theme="1"/>
        <rFont val="Calibri"/>
        <family val="2"/>
        <charset val="238"/>
        <scheme val="minor"/>
      </rPr>
      <t xml:space="preserve"> pregled armature od strane izvođača, statičara i nadzornog inženjera prije početka betoniranja.</t>
    </r>
  </si>
  <si>
    <t>ČELIČNA KONSTRUKCIJA
OPĆI UVJETI</t>
  </si>
  <si>
    <t>Radioničke nacrte čelične konstrukcije razrađuje izvođač. Isto vrijedi za sve konstrukcije staklenih stijena, bilo da se radi o čeličnim ili aluminijskim elementima sukladno izabranom sustavu.
Cijenom moraju biti obuhvaćeni svi troškovi vezani na nabavu i izradu kao i svi ostali potrebni (direktni i indirektni) radovi, postupci i materijali neophodni za ispravnu izvedbu i montažu konstrukcije. Elementi čelične konstrukcije ne smiju se oštetiti tijekom manipulacije, skladištenja i transporta od proizvodnje do montaže na gradilištu. Sva nastala oštećenja trebaju se sanirati na zadovoljavajući način prije ugradnje o trošku Izvođača.
Zaštita čelične konstrukcije od korozije i od požara Sukladno elaboratu zaštite od požara, čeličnu konstrukciju je potrebno zaštititi od požara premazima ili oblogama, na zahtijevanu klasu otpornosti. Zaštitu čelične konstrukcije od korozije i od požara potrebno je izvesti u svemu prema natječajnoj dokumentaciji. U slučaju da se radioničkim nacrtom predvidi neka izmjena u odnosu na dokumentaciju iz natječajne dokumentacije potrebno je dostaviti i novi izračun/dokaz otpornosti na požar.
Priprema površine Čelik: Površina mora biti očišćena od ulja, masti i prašine. Nivo pripreme ovisi o očekivanim opterećenjima. Pocinčane površine: Očistiti od ulja, masti i korodirajućih materijala. Kod trajnog opterećenja pod vodom ili opterećenja od kondezirajuće vode površine prethodno lagano opjeskariti. Za odabir pravilnog načina ugradnje i ostvarivanje željenog rezultata zaštite (debljine sloja i izgleda) potrebno je prije ugradnje napraviti probna polja. Prilikom nanošenja premaza potrebno je ostvariti jednolične debljine sloja i ravnomjerni izgled površine. Sustav zaštite u potpunosti izvesti prema uputama proizvođača.
Radioničke nacrte treba ovjeriti nadzorni inženjer.
Sve navedene RAL boje pojedinih elemenata dodatno potvrđuje nadzorni inženjer prije same izrade ovjerom uzorka koji mu se predođuje prije narudžbe.</t>
  </si>
  <si>
    <t>ZIDARSKI RADOVI
OPĆI UVJETI</t>
  </si>
  <si>
    <t>Neposredno nakon ugradnje obrađenu površinu zaštititi od brzog sušenja i propuha. Nekoliko sati nakon ugradnje površina se njeguje (lagano vlaženje, prekrivanje folijom ili premazivanje sredstvima za zaštitu svježeg betona). Završne podne obloge polagati na osušeni cementni estrih nakon minimalno 28 dana. Prije polaganja podnih obloga kontrolirati zaostalu građevinsku vlagu. Prilikom izvođenja radova pridržavati se važećih građevinskih normi.</t>
  </si>
  <si>
    <r>
      <rPr>
        <b/>
        <sz val="11"/>
        <color theme="1"/>
        <rFont val="Calibri"/>
        <family val="2"/>
        <charset val="238"/>
        <scheme val="minor"/>
      </rPr>
      <t>ESTRIH</t>
    </r>
    <r>
      <rPr>
        <sz val="11"/>
        <color theme="1"/>
        <rFont val="Calibri"/>
        <family val="2"/>
        <charset val="238"/>
        <scheme val="minor"/>
      </rPr>
      <t xml:space="preserve"> - Na sudarima estriha sa zidovima, stupovima, dovratnicima i ostalim vertikalnim elementima konstrukcije, te oko elemenata instalacija koji prodiru kroz pod, potrebno je izvesti dilatacionu fugu. Fuga se izvodi umetkom od ekspandiranog polistirena ("stiropor"), širine 1cm i visine do kote gotova poda. Estrih se u normalnim uvjetima suši 3-4 tjedna, dok mu vlažnost ne padne ispod 3% a čvrstoća naraste preko 70% . Potom se mogu izvoditi daljnji radovi.</t>
    </r>
  </si>
  <si>
    <r>
      <rPr>
        <b/>
        <sz val="11"/>
        <color theme="1"/>
        <rFont val="Calibri"/>
        <family val="2"/>
        <charset val="238"/>
        <scheme val="minor"/>
      </rPr>
      <t xml:space="preserve">LAGANO ARMIRANE BETONSKE PODLOGE PODOVA I CEMENTNI ESTRIH - PLIVAJUĆI PODOVI - </t>
    </r>
    <r>
      <rPr>
        <sz val="11"/>
        <color theme="1"/>
        <rFont val="Calibri"/>
        <family val="2"/>
        <charset val="238"/>
        <scheme val="minor"/>
      </rPr>
      <t>Debljinu i nagibe estriha i betonskih podloga izvesti prema natječajnoj dokumentaciji. Zaglada treba biti kvalitetno izvedena, kao podloga za završnu podnu oblogu. Sve podloge moraju biti čiste, čvrste, suhe, nesmrznute, nosive. Plohe veće od 25 m2 dilatirati na plohe sa stranicama omjera maksimalno 2:1. Uz zidove, položiti rubne trake širine cca 1 cm. Sve podloge dobro navlažiti vodom ili impregnirati. Dilatacije u hodnicima izvoditi svakih 10 m'. Dilatacije u bet.podlozi i estrihu izvoditi u skladu sa dilatacijama na završnim podnim slojevima! Uz zidove, položiti rubne trake širine cca 1 cm za osiguranje dilatacije poda od zidova. Površinska vlačna čvrstoća podloge u prosjeku mora iznositi 1,5 N/mm2, a tlačna čvrstoća najmanje 25 N/mm2 odnosno biti usklađena sa zahtjevima za čvrstoću podloge za postavu završne podne obloge.</t>
    </r>
  </si>
  <si>
    <t>IZOLATERSKI RADOVI
OPĆI UVJETI</t>
  </si>
  <si>
    <t>Kod izrade hidroizolacije treba se u potpunosti pridržavati uputstva proizvođača materijala, kako u pogledu pripreme podloge, svih faza rada, zaštite izvedene izolacije, te uvjeta rada (atmosferskih prilika, temperatura i sl.). Kod pripreme podloge potrebno je površinu zida ili poda dobro očistiti od svih nečistoća, prašine, krhotina i masnoća, a eventualne veće neravnine kod betonskih površina zapuniti mortom za izravnanje, a u svemu prema uputama proizvođača što može uključivati i mehaničku pripremu površine (pjeskarenje ili sačmarenje radi uklanjanja cementnog mlijeka i postizanje otvorene teksture površine). U cijenu treba uračunati i sve probe/testiranja vodonepropusnosti hidroizolacije na licu mjesta koja se rade po nalogu nadzornog inženjera. Takvo ispitivanje ne amnestira Izvođača od odgovornosti za nedostatke u garantnom periodu. Hidroizolacija se ne smije oštetiti tijekom transporta i ugradnje. Prije zatvaranja, nadzorni inženjer treba pregledati hidroizolaciju te ukoliko se ustanove oštećenja ona se moraju sanirati na zadovoljavajući način na trošak Izvođača. Materijali za izolaciju moraju biti deponirani do ugradnje te zaštićeni nakon ugradnje u svemu prema uputama proizvođača materijala. Ukoliko se ugradi neadekvatni materijal isti se mora ukloniti i zamijeniti novim na račun Izvođača radova. Kod izrade bilo kojeg sustava hidroizolacija potrebno je koristiti sistemske komponente i sistemska rješenja prema uputama proizvođača. Hirdroizolacije koje se postavljaju na prostore gdje dolaze u kontakt sa pitkom vodom moraju posjedovati odobrenje nadležne institucije za takvu primjenu. Odabrani sustav hidroizolacije mora u svemu ispunjavati projektne i tehničke zahtjeve (prionjivost, vlačna i savojna čvrstoća, protukliznost, UV stabilnost, i sl.)</t>
  </si>
  <si>
    <r>
      <rPr>
        <b/>
        <sz val="11"/>
        <color theme="1"/>
        <rFont val="Calibri"/>
        <family val="2"/>
        <charset val="238"/>
        <scheme val="minor"/>
      </rPr>
      <t>HIDROIZOLACIJE OD SINTETIČKE MEMBRANE A BAZI PVC-a i TPO-a</t>
    </r>
    <r>
      <rPr>
        <sz val="11"/>
        <color theme="1"/>
        <rFont val="Calibri"/>
        <family val="2"/>
        <charset val="238"/>
        <scheme val="minor"/>
      </rPr>
      <t xml:space="preserve"> - Kod polaganja hidroizolacije PVC folijom i TPO folijom potrebno je osigurati izvedbu svih slojeva prema uputstvu proizvođača. Eventualne fuge u podlozi moraju biti zapunjene kitom, odnosno mortom za reprofiliranje i u istoj ravnini s podlogom. Hidroizolaciju je u svemu potrebno izvesti prema uputama proizvođača. Sve spojeve izvesti sa originalnim komadima za prodore i uglove, te rubnim limovima istom metodom kao spajanje traka. Rubni lim je izrađen od obostrano pocinčanog čeličnog lima debljine 0,6 mm, koji je s jedne strane kaširan mekom hidroizolacijskom folijom debljine 0,8 mm. Eventualne izmjene materijala ili način izvedbe hidroizolacije tokom gradnje moraju se napraviti isključivo pismenim dogovorom s nadzornim inženjerom. Ukoliko se naknadno ustanovi nesolidna izvedba, tj. pojave se prodori vode, Izvođač mora izvesti sanaciju hidroizolacije na svoj trošak. Ako Izvođač tijekom sanacije hidroizolacije na bilo koji način ošteti ili mora oštetiti ostale dijelove građevine, Izvođač snosi sve troškove i te sanacije.</t>
    </r>
  </si>
  <si>
    <t>CIJEVNA SKELA
OPĆI UVJETI</t>
  </si>
  <si>
    <r>
      <rPr>
        <b/>
        <sz val="11"/>
        <color theme="1"/>
        <rFont val="Calibri"/>
        <family val="2"/>
        <charset val="238"/>
        <scheme val="minor"/>
      </rPr>
      <t xml:space="preserve">Fasadna skela - </t>
    </r>
    <r>
      <rPr>
        <sz val="11"/>
        <color theme="1"/>
        <rFont val="Calibri"/>
        <family val="2"/>
        <charset val="238"/>
        <scheme val="minor"/>
      </rPr>
      <t>Fasadna skela mora biti u svemu izvedena, osigurana i označena u skladu s važećim propisima, statičkim proračunom i projektom skele. Izvođač je dužan dostaviti statički proračun i ateste za postavljenu fasadnu skelu. Laka pokretna skela bez obzira na visinu ulazi u jedinične cijene stavaka i ne naplaćuje se posebno. Skela mora biti na vrijeme postavljena. U cijenu treba uračunati svu zidarsku pripomoć obrtnicima, instalaterima, nošenje izuzetno teških predmeta, pripomoć kod raznih ugradbi, te materijal za ugradbu. Opći uvjeti se dopunjuju prema opisima stavaka troškovnika.</t>
    </r>
  </si>
  <si>
    <t>LIMARSKI RADOVI
OPĆI UVJETI</t>
  </si>
  <si>
    <t>BRAVARSKI RADOVI
OPĆI UVJETI</t>
  </si>
  <si>
    <t>Svi radovi moraju biti izrađeni u skladu sa zahtjevima važećih standarda i propisa navedenih u tekstu na početku ovih općih uvjeta.
Također, svi bravarski radovi moraju se izvesti prema potvrđenim radioničkim nacrtima, opisu troškovnika i uputama nadzornog inženjera.
Izvođač je dužan uzeti na gradilištu sve mjere otvora u koje se treba ugraditi bravarija te nakon toga pristupiti izradi iste. Također, prije početka izrade obavezno se moraju uskladiti mjere i količine na objektu s onima u projektima te izraditi radioničke nacrte koje mora ovjeriti nadzorni inženjer.
Izvođač radova dužan je dobaviti i montirati te u cijenu ukalkulirati sav potreban okov za besprijekornu upotrebu pojedinog bravarskog elementa bez obzira da li je u pojedinim stavkama sve iskazano.</t>
  </si>
  <si>
    <t>Materijal - Sav materijal koji se upotrebljava za izradu bravarskih radova mora odgovarati važećim standardima.</t>
  </si>
  <si>
    <r>
      <rPr>
        <b/>
        <sz val="11"/>
        <color theme="1"/>
        <rFont val="Calibri"/>
        <family val="2"/>
        <charset val="238"/>
        <scheme val="minor"/>
      </rPr>
      <t xml:space="preserve">Površinska obrada -  </t>
    </r>
    <r>
      <rPr>
        <sz val="11"/>
        <color theme="1"/>
        <rFont val="Calibri"/>
        <family val="2"/>
        <charset val="238"/>
        <scheme val="minor"/>
      </rPr>
      <t>Antikorozivna zaštita čeličnih dijelova mora biti u skladu sa važećim propisima. Kompletna površinska obrada svih materijala mora biti u skladu s važećim propisima i uputama proizvođača. Sva čelična bravarija mora prije otpreme na gradilište biti pjeskarena i ličena prvim temeljnim slojem 2x ili pocinčana. Sva vanjska bravarija mora biti brtvena protiv prodora kiše i prašine. Za sve boje navedene u pojedinim stavkama prema RAL ton karti, prije završne obrade donosi se uzorak nadzornom inženjeru na ovjeru - vrijedi za sve navedene boje.</t>
    </r>
  </si>
  <si>
    <r>
      <rPr>
        <b/>
        <sz val="11"/>
        <color theme="1"/>
        <rFont val="Calibri"/>
        <family val="2"/>
        <charset val="238"/>
        <scheme val="minor"/>
      </rPr>
      <t xml:space="preserve">Izrada - </t>
    </r>
    <r>
      <rPr>
        <sz val="11"/>
        <color theme="1"/>
        <rFont val="Calibri"/>
        <family val="2"/>
        <charset val="238"/>
        <scheme val="minor"/>
      </rPr>
      <t>Izvođač je obavezan sukladno općim uvjetima navedenim u dokumentaciji, dostaviti radioničke nacrte i detalje usklađene s ostalim građevinskim, obrtničkim i instalaterskim radovima. Svi definitivno izrađeni radionički nacrti i detalji, predočeni uzorci okova odnosno predočeni prospekti tipiziranih elemenata moraju biti potpisani od strane stručnog nadzora. Građevinska bravarija izvodi se i od aluminijskih vučenih profila formiranih prema tvorničkim detaljima koji omogućuju izradu elemenata sa ili bez prekinutog toplinskog mosta, kao i al. limova d = 0,7- 3 mm. Spojni dijelovi spajaju se varenjem ili vijčano. Kod spajanja vijcima svaki sastav mora biti tako konstruktivno riješen da na vanjskim površinama nema vidljivih vijaka. Kod prozorskih i sl. profila specijalni umeci od tvrdog PVC materijala moraju osigurati kvalitetu i čisti sastav dvaju profila. Vanjska bravarija izvodi se sa prekinutim toplinskim mostom, a unutarnja bez prekinutog toplinskog mosta.</t>
    </r>
  </si>
  <si>
    <r>
      <rPr>
        <b/>
        <sz val="11"/>
        <color theme="1"/>
        <rFont val="Calibri"/>
        <family val="2"/>
        <charset val="238"/>
        <scheme val="minor"/>
      </rPr>
      <t>Okov -</t>
    </r>
    <r>
      <rPr>
        <sz val="11"/>
        <color theme="1"/>
        <rFont val="Calibri"/>
        <family val="2"/>
        <charset val="238"/>
        <scheme val="minor"/>
      </rPr>
      <t xml:space="preserve"> Sav okov treba biti kvalitetne izvedbe i sa detaljima bravarije predočen nadzornom inženjeru na odobrenje. Bez pismene suglasnosti nadzornog inženjera nije moguće započeti s proizvodnjom. Okov je sadržan u jediničnoj cijeni. Okov na protupožarnim vratima mora biti vatrootporan.</t>
    </r>
  </si>
  <si>
    <r>
      <rPr>
        <b/>
        <sz val="11"/>
        <color theme="1"/>
        <rFont val="Calibri"/>
        <family val="2"/>
        <charset val="238"/>
        <scheme val="minor"/>
      </rPr>
      <t xml:space="preserve">Ugradnja - </t>
    </r>
    <r>
      <rPr>
        <sz val="11"/>
        <color theme="1"/>
        <rFont val="Calibri"/>
        <family val="2"/>
        <charset val="238"/>
        <scheme val="minor"/>
      </rPr>
      <t>Svi bravarski elementi ugrađuju se varenjem na prethodno ostavljena sidra odnosno pomoću vijaka ili posredstvom plastičnih ili metalnih čepova, što će u pojedinom detalju biti određeno. Sve reške između metala i zida moraju biti brtvljene ili kitane silikonskim ili TIO kitom. Kod suhog postupka bravarija se ugrađuje na slijepi okvir koji je kod aluminijske, mesing, inox bravarije u načelu od čeličnih profila i ulazi u cijenu stavke. Izvođač je dužan osigurati transport i ugradnju elemenata bez oštećenja. Sve mjere ugradbe kao i broj komada prije izrade kontrolirati u naravi. Prije izvedbe sve mjere kontrolirati u naravi na licu mjesta. Svi detalji potrebni za radionički nacrt dogovaraju se s stručnim nadzorom. Radionički nacrt je obaveza i trošak izvođača, a ugradnja slijedi nakon što nadzorni inženjer odobri radioničke nacrte i uzorke materijala.</t>
    </r>
  </si>
  <si>
    <t>SUHOMONTAŽNI RADOVI
OPĆI UVJETI</t>
  </si>
  <si>
    <r>
      <t xml:space="preserve">MONTAŽNI ZIDOVI I ZIDNE OBLOGE - </t>
    </r>
    <r>
      <rPr>
        <sz val="11"/>
        <color theme="1"/>
        <rFont val="Calibri"/>
        <family val="2"/>
        <charset val="238"/>
        <scheme val="minor"/>
      </rPr>
      <t>Montažni zidovi i zidne obloge sastoje se od pocinčane čelične potkonstrukcije (jednostruke ili dvostruke) te obloge od GK ploča (jednostruke ili dvostruke; jednostrane u slučaju zidnih obloga, a dvostrane u slučaju zidova). Potkonstrukcija se pričvršćuje za okolne građevinske elemente, a u zidnom međuprostoru mogu se provoditi instalacije. Potkonstrukcija iz pocinčanih čeličnih profila sa otvorima za vodovodne ili električne instalacije mora biti čvrsto postavljena. Svi učvrsni elementi kao što su vijci i čavli pocinčani su ili fosforizirani. Lim za profile debljine je od min. 0,6 mm. Sve priključne površine na zidovima, na stropu ili podu izvode se s brtvenom trakom ili brtvenim kitom (na profile). Izolacijski sloj se postavlja po čitavoj površini i osigurava se od micanja. Ako nije drugačije navedeno mogu se koristiti izolacijske ploče. Odbitak otvora:Izrada slijepog otvora za dovratnik ili druge prodore površine do 2,5 m² svijetlog otvora posebno se ne zaračunava.</t>
    </r>
  </si>
  <si>
    <r>
      <rPr>
        <b/>
        <sz val="11"/>
        <color theme="1"/>
        <rFont val="Calibri"/>
        <family val="2"/>
        <charset val="238"/>
        <scheme val="minor"/>
      </rPr>
      <t>SPUŠTENI STROPOVI</t>
    </r>
    <r>
      <rPr>
        <sz val="11"/>
        <color theme="1"/>
        <rFont val="Calibri"/>
        <family val="2"/>
        <charset val="238"/>
        <scheme val="minor"/>
      </rPr>
      <t xml:space="preserve">
Izvođač je dužan izraditi shemu polaganja spuštenog stropa sa ucrtanom potkonstrucijom, rasterima, pločama. Shema polaganja mora uključivati sve instalacije koje se ugrađuju u strop (rasvjeta, ventilacija i sl.) te način njihovog uklapanja u raster potkonstrukcije spuštenog stropa i izvedbu potrebnih ojačanja. Izvođač je dužan osigurati transport i ugradnju elemenata bez oštećenja. Spušteni stropovi od gipskartonskih ploča sastoje se od metalne podkonstrukcije, nosivih i montažnih profila, potrebnih ojačanja i gipskartonskih ploča. Spušteni stropovi se učvršćuju neposredno direktnim ovjesom, pomoću ovjesa sa žicom ili krutim direktnim ovjesom za nosivi strop. GK ploče se učvršćuju posebnim vijcima za čeličnu potkonstrukciju koja se sastoji od nosivih i montažnih profila (u jednoj ili dvije razine). Ploče se postavljaju okomito na smjer montažnih profila. Nosiva i montažna podkonstrukcija montiraju se po rasteru određenom od proizvođača spuštenog stropa. Spoj sa zidom izvodi se UD profilima. Učvršćenje izvesti pogodnim sredstvima ovisno o materijalu zida. Strop mora biti potpuno ravan i ne smiju se vidjeti spojevi ploča. Spoj sa zidom ili s vertikalnim plohama stropa mora biti zapunjen masom za reške.</t>
    </r>
  </si>
  <si>
    <r>
      <rPr>
        <b/>
        <sz val="11"/>
        <color theme="1"/>
        <rFont val="Calibri"/>
        <family val="2"/>
        <charset val="238"/>
        <scheme val="minor"/>
      </rPr>
      <t>DILATACIJE</t>
    </r>
    <r>
      <rPr>
        <sz val="11"/>
        <color theme="1"/>
        <rFont val="Calibri"/>
        <family val="2"/>
        <charset val="238"/>
        <scheme val="minor"/>
      </rPr>
      <t xml:space="preserve">
Dilatacije objekta prenijeti na konstrukciju spuštenog stropa. Kod duljina većih od 10 m ili kod naglih smanjenja presjeka stropnih površina potrebno je izraditi dilatacijski spoj. Učvršćenje i ovješenje spuštenog stropa izvesti prema detaljima sukladno tehničkim listovima proizvođača spuštenog stropa. Kod zahtijeva vatrozaštite obvezno upotrijebiti protupožarne ploče i obratiti pozornost na razmak ovjesa i profila u potkonstrukciji.</t>
    </r>
  </si>
  <si>
    <r>
      <rPr>
        <b/>
        <sz val="11"/>
        <color theme="1"/>
        <rFont val="Calibri"/>
        <family val="2"/>
        <charset val="238"/>
        <scheme val="minor"/>
      </rPr>
      <t>OBRADA SPOJEVA</t>
    </r>
    <r>
      <rPr>
        <sz val="11"/>
        <color theme="1"/>
        <rFont val="Calibri"/>
        <family val="2"/>
        <charset val="238"/>
        <scheme val="minor"/>
      </rPr>
      <t xml:space="preserve">
Projektom zahtijevana obrada spojeva i površina:K2 - standardna kvaliteta površine K 3 - površina koja premašuje standardne zahtjevePredstavlja uobičajenu vrstu obrade površine koja je pogodna za završne premaze i tapete. Ostvaruje se osnovnom obradom spojeva ploča i naknadnim dodatnim zaglađivanjem područja spoja kako bi se izradio kvalitetan prijelaz prema ravnini ploče. Kvaliteta K2 je uračunata u jediničnu cijenu svih suhomontažnih radova. Za pozicije za koje se očekuje obrada K3 - isto je navedeno u stavci. Kod višeslojnih obloga zida pojedine ploče treba postaviti uz međusobni pomak te svaki sloj ploča pritisnuti za potkonstrukciju i zasebno pričvrstiti vijcima. Potrebno je zapuniti spojeve ploča svih slojeva obloge kako bi se osigurala zvučna zaštita. Kod dvostrukog oblaganja stropa potrebno je obraditi i spojeve prvog sloja ploča.Spojeve zapuniti primjerenim materijalom sukladno zahtjevima proizvođača i zagladiti lopaticom. Rezani rubovi ploča obrađuju se papirnatom, bandažnom trakom. Glave vijaka treba pregletati. Površine se izrađuju do stanja koje je pogodno za bojanje ili tapeciranje, bez temeljnog premaza. Radovi za prilagodbu na instalacijske i ugradbene dijelove, koji su ugrađeni prije oblaganja, posebno se ne obračunavaju. Prekid radova za instalacijske radove nakon polaganja s jedne strane uključeni su u osnovnu cijenu. Fugiranje spojeva između ploča i sredstava za pričvršćivanje izvodi se posebnim elastičnim kitovima u skladu s standardom, odnosno smjernicama proizvođača. Za nastale nekontrolirane raspukline unutar gips kartonskih sistema odgovoran je izvođač bandaža, a za neravnu površinu (vidljiv spoj gips kartonskih ploča) izvođač soboslikarskih radova. Međusobno se bandažiraju samo istovrsni materijali. Bandažiranje između raznovrsnih materijala nije dopušteno. Spojevi dvaju raznovrsnih materijala (npr. beton ili žbuka-GK ploča) izvode se tzv. kontroliranom fugom. Kod spojeva protupožarnih zidova s okolnim građevnim dijelovima (strop, pod i zidovi) potrebno je osigurati otpornost na požar nosivih i potpornih dijelova iste razine kao i pregradni zid, protupožarnim brtvljenjem što je uključeno u jediničnu cijenu.</t>
    </r>
  </si>
  <si>
    <t>PODOPOLAGAČKI RADOVI
OPĆI UVJETI</t>
  </si>
  <si>
    <t>Izvođač radova dužan je prije početka radova kontrolirati vlažnost podloge za postavu svih podnih obloga i iste postavljati na podlogu odgovarajuće vlažnosti za pojedini materijal podne obloge. Izvođač treba prije polaganja ispitati horizontalnost i ispravnost izvedene podloge. Ukoliko je podloga neispravna ima se izvesti nova, odnosno sanirati postojeća, sve u dogovoru s nadzornim inženjerom. Priprema podloge kod svih podopolagačkih radova:Podlogu pripremiti kroz odgovarajuće mjere kao npr. kroz sačmarenje ili brušenje dijamantnim alatima, rezanja diletacija i pukotina (dodatno otvoriti i poprečno zasjeći svakih 20 – 30 cm te ubaciti valovite spojnice koje se zatim se saniraju/zatvaraju punilima sukladnim završnom sloju), zatim impregnacija, na svim površinama prema zahtjevima tih površina (prostorije veće od 25m2, dugački hodnici, sudari dviju prostorija, karakteristični detalji) kako bi podna obloga bila izvedena kvalitetno, trajno i bez pojave pukotina. Izvedbu nivelirajućeg sloja u slučaju odstupanja u ravnosti izvan tolerancija potrebno je izvesti uz odobrenje nadzornog inženjera. Priprema podloge je uključena u jedinične cijene. Materijal za izradu obloga poda mora biti kvalitetan i odgovarati natječajnoj dokumentaciji, tj. mora zadovoljavati uvjete požarnih otpornosti, imati visoku otpornost na mehanička oštećenja, mora biti jednostavan za održavanje, antistatičan, mora upijati zvuk i imati dobar koeficijent provodljivosti topline te biti protuklizan.Materijal za izvedbu sokla mora biti isti kao i materijal za izvedbu podne površine, osim ako troškovničkom stavkom nije definirano drugačije.Sav materijal potreban za izvođenje radova na jednom objektu mora biti iz iste serije proizvodnje kako se ne bi dogodila odstupanja u dimenzijama, nijansi boje ili ostalim svojstvima. Svaki proizvod koji služi za oblaganje podova mora imati izjavu o svojstvima za navedene karakteristike. Ljepila moraju biti takva da se njima postiže čvrsta i trajna veza. Ne smiju štetno utjecati na podlogu, oblogu ni zdravlje ljudi koji s njima rade. Izvođač je dužan za ljepilo priložiti izjavu o svojstvima nadzornom inženjeru kojom se potvrđuje da je ljepilo pogodno i isprobano za određenu vrstu obloge. Masa za izravnavanje neravnina podloge ili za dobivanje neutralnog međusloja, u slučaju da se ljepilo ne podnosi sa podlogom, mora se čvrsto i trajno vezati za podlogu i mora biti prionjiva za ljepila. Masa ne smije štetno utjecati na podlogu, ljepilo i podnu oblogu. Podloga treba postići svoju izjednačujuću vlažnost i za vrijeme korištenja mora biti zaštićena od utjecaja vlage. Prije izrade i narudžbe materijala za sve ispod navedene podne obloge nadzornom inženjeru se na ovjeru dostavljaju uzorci boja svih podova na potvrdu.</t>
  </si>
  <si>
    <t>SOBOSLIKARSKI I LIČILAČKI RADOVI
OPĆI UVJETI</t>
  </si>
  <si>
    <t>Izvođač je dužan izvesti uzorak prije izvođenja radova, od materijala od kojega će se radovi izvoditi, i tek po dobivanju suglasnosti od strane nadzornog inženjera na predočeni uzorak, izvođač može pristupiti bojanju i ličenju. Rad mora biti kvalitetno izveden. Na obojenim površinama ne smije biti mrlja, sjaj mora biti jednoličan i čist, a boja stalna, te se ne smije ljuštiti ni napuhivati. Materijal za izvedbu soboslikarskih radova treba biti kvalitetan. Na oličenim površinama ne smiju se poznati tragovi četke ili valjka, ne smije biti mrlja, a ton boje treba biti ujednačen. Ukoliko na zidovima i ostalim površinama koje se boje ima nekih značajnih pogrešaka, koje bi kvarile kvalitetu nakon izvršenog soboslikarskog rada, dužan je soboslikar upozoriti na te pogreške rukovoditelja građevinskih radova i nadzornog inženjera , da se ovo odstrani prije bojenja. Podloga mora biti suha, čvrsta i čista (bez masnih mrlja i druge prljavštine, bez slabo vezanih dijelova, praha te drugih nečistoća) nosiva, suha,nesmrznuta, te prije prvog bojanja impregnirana impregnacijom. Nanosi se četkom, valjkom ili prskanjem u dva ili tri sloja, ovisno o boji i pokrivanju. Prije dodavanja vode boju treba dobro promiješati. Po prekidu rada ambalažu s bojom dobro zatvoriti, a nakon ličenja pribor oprati vodom. U cijenu svake stavke ulaze sve predradnje i pripremni radovi. Svi vidljivi spojevi zidova i stropova iz različitih materijala obrađeni akrilnim kitom prije završnog bojanja. 'Izvođač radova je dužan izvršiti predradnje, pomoćne radnje te dobaviti i upotrijebiti pomoćne materijale i opremu kako bi se osigurala projektirana funkcionalnost i estetika građevine: - pomične radne skele za rad na visini do 5,0m - izradu uzorka veličine 1,0x1,0m za sve vrste obrada i prezentaciju nadzornom inženjeru- pripremu podloge prema uputama proizvođača premaza - sva potrebna brtvljenja akrilnim kitom - zaštitu izvedenih otvora, obloga. Obračun, ako drugačije nije navedeno u stavci:- zidovi se obračunavaju po površini izraženoj u m² na način: - otvori manji od 3 m² se ne odbijaju i špalete se ne obračunavaju dodatno - otvori veći od 3 -7m² odbija se višak preko 3 m²- otvori veći od 7m² se kompletno odbijaju - stropovi se obračunavaju po površini izraženoj u m² - zasebno gipskartonske i žbukane površine. Izvođač radova je dužan izvršiti popravke eventualnih oštećenja na obrađenim površinama nakon završetka svih radova.</t>
  </si>
  <si>
    <t>STOLARSKI RADOVI
OPĆI UVJETI</t>
  </si>
  <si>
    <t>NAPOMENA: VRIJEDI ZA SVE STOLARSKE STAVKE Prije izvedbe sve mjere kontrolirati u naravi na licu mjesta. Svi detalji potrebni za radionički nacrt dogovaraju se sa stručnim nadzorom a ugradnja slijedi nakon što nadzorni inženjer odobri radioničke nacrte i uzorke materijala.</t>
  </si>
  <si>
    <t>ELEKTROTEHNIČKI RADOVI
OPĆI PROJEKTNI UVJETI</t>
  </si>
  <si>
    <t>Prilikom izvedbe stolarskih radova opisanih ovim troškovnikom, Izvođač radova mora pridržavati se svih uvjeta i opisa iz troškovnika, kao i važećih propisa. Sav upotrijebljeni materijal mora odgovarati svim postojećim standardima i propisima. Izvođač je dužan izvesti solidan i ispravan rad na temelju shema i troškova, te pregleda postojećih elemenata na građevini. Prije početka izvedbe stolarskih elemenata sve potrebne radioničke nacrte izrađuje Izvođač stolarskih radova te s predloženim okovom dostavlja ih na usuglašavanje nadzornom inženjeru. Okov mora biti prvoklasan i osigurati besprijekorno funkcioniranje pojedinog elementa, bez obzira da li je u pojedinim stavkama shema posebno sve iskazano. Isporučitelj je obvezan prije isporuke robe izvršiti izmjeru na licu mjesta, pregledati prostorije. Sav rad i materijal vezan uz nabavu, isporuku, montažu i razmještaj uključeni su u ugovorenu cijenu. Sva oprema kod dostave i prilikom ugradnje mora biti zaštićena, kako tijekom i nakon ugradbe ne bi došlo do njenog oštećenja.</t>
  </si>
  <si>
    <t>JEDINIČNA CIJENA UKLJUČUJE:- uzimanje mjera na gradilištu- tehnološku razradu svih detalja- izradu radioničkih nacrta- sav spojni materijal- ostakljenje- sav okov- zaštitne premaze- postavu i skidanje radne skele- sve posredne i neposredne troškove za rad, materijal, alat i građevinske strojeve- sve transporte- čišćenje tokom rada s odvozom i zbrinjavanjem otpada- završno čišćenje prije primopredaje radova- nadoknadu eventualne štete nastale iz nepažnje na svojim ili tuđim radovima.</t>
  </si>
  <si>
    <t>U jediničnim cijenama svih stavki troškovnika, prilikom izrade ponude moraju biti obuhvaćeni ukupni troškovi materijala, opreme i rada za potpuno dovršenje cjelokupnog posla uključujući: nabavu i transport na gradilište, spajanje i montažu opreme prema priloženoj tehničkoj dokumentaciji s ugradnjom kvalitetnog elektroinstalacijskog materijala pomoću kvalificirane i stručne radne snage u skladu s važećim tehničkim propisima i pravilima struke, izradu prateće radioničke dokumentacije, građevinsku pripomoć u vidu izrade i zatvaranja šliceva za polaganje kabela, izrade niša s ugradnjom i obzidavanjem razvodnih ploča i svih ostalih građevinskih radova koji se odnose na elektroinstalaterske radove, izuzev ako je to izričito stavkom troškovnika traženo i nuđeno, puštanje sustava u rad, kao i ostali radovi koji nisu posebno iskazani specifikacijama, a potrebni su za potpunu i urednu izvedbu projektiranih instalacija, njihovu funkcionalnost, pogonsku gotovost i primopredaju korisniku (uputstva za rukovanje, izrada natpisnih pločica, pribavljanje potrebne dokumentacije za tehnički pregled i sl.), prateća čišćenja prostora tijekom izvođenja radova, svi potrebni prijenosi, utovari i istovari, uskladištenje i čuvanje.</t>
  </si>
  <si>
    <t>Svi radovi moraju se izvoditi sa stručno osposobljenom radnom snagom za svaku vrstu radova. U slučaju da izvođač radova izvede pojedine radove čiji kvalitet ne zadovoljava kvalitet predviđen projektom, dužan je o svom trošku iste radove ukloniti i ponovno izvesti onako kako je predviđeno projektom. Svu štetu koju Izvođač nanese nemarom okolnim prostorima, zgradama, predmetima, infrastrukturi i okolišu, dužan je popraviti i dovesti u prvobitno stanje i to o svom trošku. Izvođač je odgovoran za izvedene radove do primopredaje radova i u slučaju bilo kakve štete ili kvara dužan je o svom trošku to otkloniti. Izvođači su dužni prije podnošenja ponude temeljito pregledati natječajnu dokumentaciju i procijeniti sve činjenice koje utječu na cijenu, kvalitetu i rok završetka radova, budući se naknadni prigovori i zahtjevi za povećanje cijene radi nepoznavanja ili nedovoljnog poznavanja građevine i projektne dokumentacije neće razmatrati. Prije početka radova izvođač radova dužan je u skladu s važećim propisima označiti i osigurati gradilište. Sve stavke troškovnika moraju su količinski kontrolirati prije narudžbe.</t>
  </si>
  <si>
    <r>
      <rPr>
        <b/>
        <sz val="11"/>
        <color theme="1"/>
        <rFont val="Calibri"/>
        <family val="2"/>
        <charset val="238"/>
        <scheme val="minor"/>
      </rPr>
      <t>ELEKTROINSTALACIJA</t>
    </r>
    <r>
      <rPr>
        <sz val="11"/>
        <color theme="1"/>
        <rFont val="Calibri"/>
        <family val="2"/>
        <charset val="238"/>
        <scheme val="minor"/>
      </rPr>
      <t xml:space="preserve">
Kod podžbuknog polaganja kabela stavkama je obuhvaćeno dubljenje žlijeba i otvora za razvodne kutije u zidu, zatvaranje otvora, proboj zidova i ostala građevinska pripomoć. Kod izvođenja el.instalacije u montažnim pregradnim zidovima i stropovima (gips, drvo,metal) instalaciju izvoditi obavezno u samogasivim savitljivim PVC instalacijskim cijevima, a koristiti posebne montažne i razvodne kutije za montažu u pregrade.</t>
    </r>
  </si>
  <si>
    <r>
      <rPr>
        <b/>
        <sz val="11"/>
        <color theme="1"/>
        <rFont val="Calibri"/>
        <family val="2"/>
        <charset val="238"/>
        <scheme val="minor"/>
      </rPr>
      <t>RAZVODNE PLOČE - RAZDJELNICI</t>
    </r>
    <r>
      <rPr>
        <sz val="11"/>
        <color theme="1"/>
        <rFont val="Calibri"/>
        <family val="2"/>
        <charset val="238"/>
        <scheme val="minor"/>
      </rPr>
      <t xml:space="preserve">
Svim stavkama razvodnih ploča - razdjelnika obuhvaćena je izrada izvedbenih shema razdjelnika, dimenzionih shema i mjernih skica s rasporedom opreme u razdjelniku i na vratima, montaža razdjelnika na mjesto ugradnje, spajanje svih kabela na stezaljke u razdjelniku, označavanje svih kabela trajno čitljivim natpisnim pločicama, uvodnice za ulaz kabela, stezaljke, sabirnice, oznake, natpisne pločice, unutarnje ožičenje razdjelnika, označavanje svih elemenata prema jednopolnoj shemi izvedenog stanja, izrada i postavljanje u razdjelnik jednopolne sheme izvedenog stanja, izjava o sukladnosti i ispitni protokol u skladu s propisima, oznaka sukladnosti, oznaka sustava zaštite.</t>
    </r>
  </si>
  <si>
    <t>Kabeli položeni na nosačima kabela i u PVC instalacijskim cijevima unutar spuštenog stropa i u PVC instalacijskim cijevima unutar gips kartonskih pregradnih zidova. U cijenu kabela uključene sve potrebne PVC instalacijske cijevi.</t>
  </si>
  <si>
    <t>RADOVI STROJARSKIH INSTALACIJA GRIJANJA, HLAĐENJA I VENTILACIJE
OPĆE NAPOMENE</t>
  </si>
  <si>
    <r>
      <rPr>
        <b/>
        <sz val="11"/>
        <color theme="1"/>
        <rFont val="Calibri"/>
        <family val="2"/>
        <charset val="238"/>
        <scheme val="minor"/>
      </rPr>
      <t xml:space="preserve">TEHNOLOŠKI UVJETI IZRADE INSTALACIJE </t>
    </r>
    <r>
      <rPr>
        <sz val="11"/>
        <color theme="1"/>
        <rFont val="Calibri"/>
        <family val="2"/>
        <charset val="238"/>
        <scheme val="minor"/>
      </rPr>
      <t>- Prije ugradnje,cijevi je potrebno očistiti iznutra.Također nakon ugradnje cjevovoda, a prije montaže mlaznica cjevovod treba temeljito isprati. Prije nego se priđe polaganju cijevi mora se izvršiti točno razmjeravanje i obilježavanje na zidu i stropovima. Prije ugradnje mlaznica paziti na minimalno zahtijevane udaljenosti mlaznica od stropa.Raspored mlaznica izvesti u skladu s natječajnom dokumentacijom i propisima.</t>
    </r>
  </si>
  <si>
    <r>
      <rPr>
        <b/>
        <sz val="11"/>
        <color theme="1"/>
        <rFont val="Calibri"/>
        <family val="2"/>
        <charset val="238"/>
        <scheme val="minor"/>
      </rPr>
      <t>KVALITETA UGRAĐENE OPREME I RADOVA</t>
    </r>
    <r>
      <rPr>
        <sz val="11"/>
        <color theme="1"/>
        <rFont val="Calibri"/>
        <family val="2"/>
        <charset val="238"/>
        <scheme val="minor"/>
      </rPr>
      <t xml:space="preserve">
Sva protupožarna oprema treba posjedovati uvjerenja o ispravnosti i podobnosti izdana od ovlaštene osobe. Pored materijala i sam rad mora biti kvalitetno izveden, a sve što bi se u toku rada i poslije pokazalo nekvalitetno izvođač je dužan u svom trošku ispraviti. Cijela instalacija mora biti izvedena potpuno nepropusno o čemu izvođač jamči s odgovarajućim zapisnicima o izvršenoj tlačnoj probi. Cijela instalacija mora biti ispravna o čemu izvođač jamči s odgovarajućim zapisnicima o izvršenom ispiranju cjevovoda.</t>
    </r>
  </si>
  <si>
    <r>
      <rPr>
        <b/>
        <sz val="11"/>
        <color theme="1"/>
        <rFont val="Calibri"/>
        <family val="2"/>
        <charset val="238"/>
        <scheme val="minor"/>
      </rPr>
      <t>INSTALACIJSKI MATERIJAL -</t>
    </r>
    <r>
      <rPr>
        <sz val="11"/>
        <color theme="1"/>
        <rFont val="Calibri"/>
        <family val="2"/>
        <charset val="238"/>
        <scheme val="minor"/>
      </rPr>
      <t xml:space="preserve"> Instalacijski materijal mora biti modularnog tipa. Tip instalacijskog materijala i boju ukrasnih okvira mora prije narudžbe definirati i potvrditi nadzorni inženjer ili investitor. Obveza izvođača je izrada radioničke dokumentacije sa smještajem elemenata u instalacijske kutije. U stavkama predviđenim za instalacijski materijal predviđene su instalacijske i razvodne kutije za zid i gips pregradne zidove, oznake žila, vodova i kabela, te ostali nespecifirani sitni instalacijski materijal. Obveza izvođača je izrada radioničke dokumentacije sa smještajem elemenata u instalacijske kutije. Pribor mora biti istog tipa za sve vrste instalacija. U istu kutiju ne smiju se postavljati elementi instalacija jake i slabe struje.</t>
    </r>
  </si>
  <si>
    <r>
      <rPr>
        <b/>
        <sz val="11"/>
        <color theme="1"/>
        <rFont val="Calibri"/>
        <family val="2"/>
        <charset val="238"/>
        <scheme val="minor"/>
      </rPr>
      <t>ELEKTROINSTALACIJA UZ STROJARSKE INSTALACIJE</t>
    </r>
    <r>
      <rPr>
        <sz val="11"/>
        <color theme="1"/>
        <rFont val="Calibri"/>
        <family val="2"/>
        <charset val="238"/>
        <scheme val="minor"/>
      </rPr>
      <t xml:space="preserve">
</t>
    </r>
    <r>
      <rPr>
        <b/>
        <sz val="11"/>
        <color theme="1"/>
        <rFont val="Calibri"/>
        <family val="2"/>
        <charset val="238"/>
        <scheme val="minor"/>
      </rPr>
      <t>NAPOMENA : Izvedbu elektroinstalacije obvezno uskladiti s izvođenjem radova strojarskih instalacija.</t>
    </r>
  </si>
  <si>
    <r>
      <rPr>
        <b/>
        <sz val="11"/>
        <color theme="1"/>
        <rFont val="Calibri"/>
        <family val="2"/>
        <charset val="238"/>
        <scheme val="minor"/>
      </rPr>
      <t>KABLIRANJE ZA SUSTAVE TEHNIČKE ZAŠTITE NAPOMENA</t>
    </r>
    <r>
      <rPr>
        <sz val="11"/>
        <color theme="1"/>
        <rFont val="Calibri"/>
        <family val="2"/>
        <charset val="238"/>
        <scheme val="minor"/>
      </rPr>
      <t xml:space="preserve"> : Izvedbu elektroinstalacije obvezno uskladiti s izvedbom sustava tehničke zaštite, a radi usklađivanja s odabranom opremom čiji odabir direktno ili indirektno utječe na izvedbu elektroinstalacije.</t>
    </r>
  </si>
  <si>
    <r>
      <rPr>
        <b/>
        <sz val="11"/>
        <color theme="1"/>
        <rFont val="Calibri"/>
        <family val="2"/>
        <charset val="238"/>
        <scheme val="minor"/>
      </rPr>
      <t>ELEKTROINSTALACJA -</t>
    </r>
    <r>
      <rPr>
        <sz val="11"/>
        <color theme="1"/>
        <rFont val="Calibri"/>
        <family val="2"/>
        <charset val="238"/>
        <scheme val="minor"/>
      </rPr>
      <t xml:space="preserve"> Kod podžbuknog polaganja kabela stavkama je obuhvaćeno dubljenje žlijeba i otvora za razvodne kutije u zidu, zatvaranje otvora, proboj zidova i ostala građevinska pripomoć. Kod izvođenja el.instalacije u montažnim pregradnim zidovima i stropovima (gips, drvo,metal) instalaciju izvoditi obavezno u samogasivim savitljivim PVC instalacijskim cijevima, a koristiti posebne montažne i razvodne kutije za montažu u pregrade.</t>
    </r>
  </si>
  <si>
    <r>
      <rPr>
        <b/>
        <sz val="11"/>
        <color theme="1"/>
        <rFont val="Calibri"/>
        <family val="2"/>
        <charset val="238"/>
        <scheme val="minor"/>
      </rPr>
      <t xml:space="preserve">VODOOPSKRBA I ODVODNJA </t>
    </r>
    <r>
      <rPr>
        <sz val="11"/>
        <color theme="1"/>
        <rFont val="Calibri"/>
        <family val="2"/>
        <charset val="238"/>
        <scheme val="minor"/>
      </rPr>
      <t xml:space="preserve">- Svi radovi i dobava materijala moraju se izvesti prema općim uvjetima, tehničkom opisu i opisu radova i materijala u troškovniku, nacrtima, te postojećim propisima i pravilima za izvođenje uređaja instalacija vodovoda i kanalizacije. Jedinične cijene pojedinih stavki troškovnika moraju sadržavati svu odštetu i pripomoć za obavljeni rad, osnovni i pomoćni materijal, tj. dobavu i ugradnju, uključivo horizontalni i vertikalni prijenos u zgradi, te pomoćne skele i zaštitu, tako da se na pogođenu stavku troškovnika ne može tražiti nikakva dodatna odšteta osim pogođene cijene. U jediničnim cijenama moraju biti sadržani svi sporedni radovi, koji se posebno ne "zaračunavaju:" </t>
    </r>
    <r>
      <rPr>
        <b/>
        <sz val="11"/>
        <color theme="1"/>
        <rFont val="Calibri"/>
        <family val="2"/>
        <charset val="238"/>
        <scheme val="minor"/>
      </rPr>
      <t>a)</t>
    </r>
    <r>
      <rPr>
        <sz val="11"/>
        <color theme="1"/>
        <rFont val="Calibri"/>
        <family val="2"/>
        <charset val="238"/>
        <scheme val="minor"/>
      </rPr>
      <t xml:space="preserve"> izmjere ugrađenog materijala poterbne za konačni obračun (građevinska knjiga, obračunski nacrti, geodetske skice, poterbne sheme i sl.) </t>
    </r>
    <r>
      <rPr>
        <b/>
        <sz val="11"/>
        <color theme="1"/>
        <rFont val="Calibri"/>
        <family val="2"/>
        <charset val="238"/>
        <scheme val="minor"/>
      </rPr>
      <t>b)</t>
    </r>
    <r>
      <rPr>
        <sz val="11"/>
        <color theme="1"/>
        <rFont val="Calibri"/>
        <family val="2"/>
        <charset val="238"/>
        <scheme val="minor"/>
      </rPr>
      <t xml:space="preserve"> sav potreban alat i zaštitne naprave, pod kojima se podrazumjeva postavljanje skele, zaštitne ograde i sl. </t>
    </r>
    <r>
      <rPr>
        <b/>
        <sz val="11"/>
        <color theme="1"/>
        <rFont val="Calibri"/>
        <family val="2"/>
        <charset val="238"/>
        <scheme val="minor"/>
      </rPr>
      <t>c)</t>
    </r>
    <r>
      <rPr>
        <sz val="11"/>
        <color theme="1"/>
        <rFont val="Calibri"/>
        <family val="2"/>
        <charset val="238"/>
        <scheme val="minor"/>
      </rPr>
      <t xml:space="preserve"> troškovi ispitivanja materijala, ali samo u slučaju ako je ovim ispitivanjem dokazano da izvođač nije upotrijebio odgovarajući materijal </t>
    </r>
    <r>
      <rPr>
        <b/>
        <sz val="11"/>
        <color theme="1"/>
        <rFont val="Calibri"/>
        <family val="2"/>
        <charset val="238"/>
        <scheme val="minor"/>
      </rPr>
      <t>d)</t>
    </r>
    <r>
      <rPr>
        <sz val="11"/>
        <color theme="1"/>
        <rFont val="Calibri"/>
        <family val="2"/>
        <charset val="238"/>
        <scheme val="minor"/>
      </rPr>
      <t xml:space="preserve"> odstrarnjivanje svih otpadaka i smeća od instalacija vodovoda i kanalizacije s gradilišta </t>
    </r>
    <r>
      <rPr>
        <b/>
        <sz val="11"/>
        <color theme="1"/>
        <rFont val="Calibri"/>
        <family val="2"/>
        <charset val="238"/>
        <scheme val="minor"/>
      </rPr>
      <t xml:space="preserve">e) </t>
    </r>
    <r>
      <rPr>
        <sz val="11"/>
        <color theme="1"/>
        <rFont val="Calibri"/>
        <family val="2"/>
        <charset val="238"/>
        <scheme val="minor"/>
      </rPr>
      <t xml:space="preserve">prijedlozi eventualno potrebnih uzoraka, naročito sanitarnih uređaja i pribora te vodovodnih i kanalizacijskih cijevi na uvid investitoru-nadzoru </t>
    </r>
    <r>
      <rPr>
        <b/>
        <sz val="11"/>
        <color theme="1"/>
        <rFont val="Calibri"/>
        <family val="2"/>
        <charset val="238"/>
        <scheme val="minor"/>
      </rPr>
      <t>f)</t>
    </r>
    <r>
      <rPr>
        <sz val="11"/>
        <color theme="1"/>
        <rFont val="Calibri"/>
        <family val="2"/>
        <charset val="238"/>
        <scheme val="minor"/>
      </rPr>
      <t xml:space="preserve"> popravak šteta počinjenih nepažnjom na vlastitim i tuđim radovima </t>
    </r>
    <r>
      <rPr>
        <b/>
        <sz val="11"/>
        <color theme="1"/>
        <rFont val="Calibri"/>
        <family val="2"/>
        <charset val="238"/>
        <scheme val="minor"/>
      </rPr>
      <t>g)</t>
    </r>
    <r>
      <rPr>
        <sz val="11"/>
        <color theme="1"/>
        <rFont val="Calibri"/>
        <family val="2"/>
        <charset val="238"/>
        <scheme val="minor"/>
      </rPr>
      <t xml:space="preserve"> pripomoć kod ugradnje vodovodnih i kanalizacijskih cijevi i fazonskih komada, uključivo sva poterbna štemanja šliceva, prodora, pripasavanja i sl. zajedno s fazonskim komadima. </t>
    </r>
    <r>
      <rPr>
        <b/>
        <sz val="11"/>
        <color theme="1"/>
        <rFont val="Calibri"/>
        <family val="2"/>
        <charset val="238"/>
        <scheme val="minor"/>
      </rPr>
      <t xml:space="preserve">h) </t>
    </r>
    <r>
      <rPr>
        <sz val="11"/>
        <color theme="1"/>
        <rFont val="Calibri"/>
        <family val="2"/>
        <charset val="238"/>
        <scheme val="minor"/>
      </rPr>
      <t>ispumpavanje vode iz rovova kod montaže kanalizacijksih cijevi (oborine i sl.) uz obaveznu "fotodokumentaciju."</t>
    </r>
  </si>
  <si>
    <t>Izvođač se mora brinuti da se sav rad, cjevovodi, a naročito svi sanitarni uređaji, ugrađeni predmeti te hidranti zaštite od oštećenja.</t>
  </si>
  <si>
    <t>Ugrađeni materijal mora odgovarati kako prema veličini, tako i po kvaliteti, postojećim propisima i standardima.</t>
  </si>
  <si>
    <t>Izvođač radova mora prije početka radova pregledati natječajnu dokumentaciju, i ukoliko ima bilo kakvih primjedbi na istu ili izbor materijala, upozoriti investitora, jer naknadni prigovori ili izgovori neće se uzimati u obzir. Radovi se moraju u potpunosti izvesti prema natječajnoj dokumentaciji.</t>
  </si>
  <si>
    <t>Različite vrste materijala koje se uslijed elektrolitskih pojava međusobno zavaruju ne smiju se direktno dodirivati, već se za spoj moraju upotrijebiti međukomadi sa neutralnim djelovanjem.</t>
  </si>
  <si>
    <t>Sva učvršćenja-zavješenja i međusobna spajanja cjevovoda, izolacija i sl. moraju biti kvalitetno izvedeni. Cijevi natlačene vodom unutar vodovodne mreže u prostorijama mogućeg smrzavanja, potrebno je odgovarajuće izolirati i po potrebi grijati elektro grijačima do faze primopredaje radova.</t>
  </si>
  <si>
    <t>Zatvaranju rovova usjeka i izradi izolacije pristupiti nakon uspješno provedene tlačne probe.</t>
  </si>
  <si>
    <t>Za sve ostalo držati se propisa i normi o izvođenju radova na instalacijama vodovoda i kanalizacije.</t>
  </si>
  <si>
    <t>Tankostjene kanalizacione cijevi i cijevi sumnjive kvalitete bez odgovarajuće atestne dokumentacije zabranjeno je ugrađivati u sistem vodoopskrbe i odvodnje.</t>
  </si>
  <si>
    <t>Skreće se pažnja izvođaču radova da za vrijeme realizacije objekta ne puštaju otpadne vode od pranja u kanalizaciju (kao što su npr. pranje četki, cem. mlijeko boje i sl.) jer će troškove sanacije i popravak snositi sam. Svi odvodi za vrijeme radova na kanalizaciji moraju biti začepljeni, kako ne bi došlo do nekontroliranog ulaska smeća ili otpada u cijevi, s posljedicama kasnijeg začepljenja.</t>
  </si>
  <si>
    <t>Izvođač radova prije izrade ponude treba dobro pregledati natječajnu dokumentaciju, upoznati se sa postojećim stanjem na terenu, te eventualno zatražiti sva poterbna objašnjenja od investitora, kako bi ponuda bila realna. U tom smislu ponudbene stavke iz ovog troškovnika moraju sadržavati sve dobave materijala sa točno određenim tipovima i vrstom opreme, cijevi, izolacijom cijevi, potrebnim atestima i sl., kao i sve potrebne transporte, prijenos po gradilištu, te ugradnju do finalnog proizvoda. Izvođač radova dužan je pridržavati se svih uvjeta ove natječajne dokumentacije, kao i važećih građevinskih propisa i normi pri izvođenju instalacija vodovoda i kanalizacije.</t>
  </si>
  <si>
    <t>Izvedbu priključka na javnu infrastrukturu, izvođač radova treba nuditi i izvoditi u dogovoru s nadležnom komunalnom organizacijom.</t>
  </si>
  <si>
    <t>Prije izvođenja vodomjernog okna, mikrolokaciju i dimenzije okna u konačnoj varijanti odrediti-utvrditi sa službenim predstavnikom javnog vodovoda na licu mjesta (na gradilištu), te upisati u građevinski dnevnik.</t>
  </si>
  <si>
    <t>Uz sve stavke iskopa i polaganja cjevovoda obavezna je geodetska kontrola, kao i geodetska kontrola mjesta priključenja na javnu infrastrukturu. Geodetsku izmjeru-kotrolu obavljati prije izvedbe temeljne kanalizacije, a eventualne korekcije provesti s nadzorom te upisati u građevinski dnevnik."</t>
  </si>
  <si>
    <t>Cijevi, spojevi cijevi i fitinga i izolacija cijevi moraju biti takve kvalitete da osiguraju besprijekorno funkcioniranje instalacija bez šumova, curenja i pucanja spojeva te smrzavanja i sl.</t>
  </si>
  <si>
    <t>Tankostijene kanalizacijske cijevi i cijevi sumnjive kvalitete bez odgovarajuće atestne dokumentacije zabranjeno je ugrađivati u sistem vodoopskrbe i odvodnje.</t>
  </si>
  <si>
    <t>Za sve ostalo izvođač radova dužan je pridržavati se natječajne dokumentacije, kao i važećih građevinskih propisa i normi na izvođenju instalacija vodovoda i kanalizacije.</t>
  </si>
  <si>
    <t>Samovoljno priključenje objekta na javni sistem vodoopskrbe i odvodnje, izvan građevinske dozvole i uvjeta nadležnih komunalnih organizacija, nije dozvoljen.</t>
  </si>
  <si>
    <t>Instalacije vodoopskrbe i odvodnje mogu izvoditi samo ovlaštene osobe i firme uz obavezan stručni nadzor. U protivnom svu nastalu štetu snosi onaj tko je angažirao nestručnog izvođača.</t>
  </si>
  <si>
    <t>Cijevi sumnjive kvalitete bez odgovarajuće izvorne (originalne) atestne dokumentacije, ne smiju se ugrađivati u sistem vodoopskrbe i odvodnje objekta, uz obavezno odobrenje investitora-nadzora i upisom u građevinski dnevnik.</t>
  </si>
  <si>
    <t>Ukoliko izvođač ne ugradi materijal propisane i dogovorene vrste i dimenzija, tada izvođač mora na poziv nadzornog inženjera ukloniti sve nedostatke i zamjeniti ih sa propisanim.</t>
  </si>
  <si>
    <t>Križanja cijevi vođenih kroz slojeve podova, potrebno je izvoditi odgovarajućim zaobilaznicama. Posebno je važno, da su sve instalacije vođene po šlicevima, vertikalnim šahtovima i podovima (iznad a.b. konstrukcije) katova, te ispod stropova, dobro pričvršćene i zaštićene od oštećenja za vrijeme građevinskih radova, te kvalitetno izolirane. Cijevi, spojevi i izolacija ne smiju biti izgažene ili oštećene prilikom izvedbe slojeva poda. Isto vrijedi za sanitarne predmete.</t>
  </si>
  <si>
    <t>Priključke objekta na javnu vodoopskrbu i odvodnju, mogu izvoditi samo nadležne komunalne organizacije, ili izvođač instalacija u dogovoru s njima.</t>
  </si>
  <si>
    <t>INTERNE CESTE I PARKIRALIŠTA</t>
  </si>
  <si>
    <t>Izvođač je dužan pridržavati se svih važećih zakona i propisa iz područja gradnje, propisanih ili jednakovrijednih normi, "Općih tehničkih uvjeta za radove na cestama" (OTU, Zagreb, IGH, izdanje 2001. god.). Ukoliko OTU svojom uputom propisuju korištenje, odnosno postupanje sukladno određenoj normi, naručitelj će prihvatiti jednakovrijednu zamjenjujuću normu ili propis, kako je opisano i u sadržaju općih tehničkih uvjeta.</t>
  </si>
  <si>
    <t>Svi radovi moraju se izvesti solidno i stručno prema važećim propisima.</t>
  </si>
  <si>
    <t>Od trenutka preuzimanja gradilišta pa do primopredaje objekta izvođač je odgovoran za stvari i osobe koje se nalaze unutar gradilišta. U građevinski dnevnik se unose svi bitni podaci i događaji tijekom građenja (npr. meteorološke prilike, temperatura zraka i sl.), upisuju primjedbe i nalozi nadzornog inženjera i inspekcije, sukladno posebnom propisu.</t>
  </si>
  <si>
    <t>Količine radova, koje nakon izvršenja čitavog posla nije moguće mjeriti neposrednom izmjerom treba po izvršenju pojedinog takvog rada preuzeti i ovjeriti nadzorni inženjer. Nadzorni inženjer i predstavnik izvođača radova unosit će u građevnu knjigu količine pojedinih takvih radova, s potrebnim skicama i izmjerama, te će svojim potpisima jamčiti za njihovu točnost.</t>
  </si>
  <si>
    <t>Radovi se izvode prema natječajnoj dokumentaciji, a u svim slučajevima potrebne izmjene ili dopune njenih dijelova, odluku o tome donosit će se sukladno Ugovoru o građenju, a tu svoju odluku unositi će u građevni dnevnik. Sve izmjene ili dopune projekta, ili njegovih dijelova, za koje se po građevnom dnevniku ne može dokazati da su uslijedile po opisanom postupku, neće se obračunavati ni po privremenom ni po okončanom obračunu.</t>
  </si>
  <si>
    <t>U ovom troškovniku izložene cijene odnose se na jediničnu mjeru izvršenog rada. Prema tome, jedinične cijene obuhvaćaju sav rad, opremu, materijal, prijevoze, režiju gradilišta i uprave poduzeća, sva davanja te zaradu poduzeća. Sav montažni i sitni materijal je uključen i ne obračunava se zasebnim stavkama. Uključeni su sve vrste radova na izradi i montaži zaštitnih mjera i provizorija, sve vrste radova na montaži opreme, ispitivanja i parametriranja; po završetku svake faze i konačna ispitivanja po završetku svih radova, funkcionalne probe, podešenje i puštanje u pokusni rad ukoliko je predviđen projektom, praćenje pogona i otklanjanje eventualnih nedostataka u jamstvenom roku, dodatni troškovi radne snage (dnevnice, prekovremeni i noćni rad) zbog izvođenja dijela radova u doba isključenog pogona, te svi ostali neimenovani pomoćni radovi i materijal, koji su potrebni za kompletno dovršenje radova po ovom troškovniku.</t>
  </si>
  <si>
    <t>Jediničnim cijenama obuhvaćeno je osiguranje i ocjenjivanje kakvoće, tj. svi troškovi prethodnih i tekućih ispitivanja kako osnovnih materijala, tako i poluproizvoda, te definitivno dovršenih radova u skladu s važećim tehničkim propisima, pravilnicima i standardima i Općim tehničkim uvjetima Naručitelja. Stavke troškovnika odnose se na definitivno dovršene radove, ispitane po kvaliteti i funkcionalnosti, te preuzete po nadzornoj službi Naručitelja, ukoliko nije u opisu izričito drukčije određeno.</t>
  </si>
  <si>
    <t>Radovi iskolčenja trase i objekataneće se posebno obračunavati.</t>
  </si>
  <si>
    <t>Sav materijal i oprema, koju izvođač dobavlja i ugrađuje, mora imati isprave o sukladnosti, u skladu s važećim zakonima i propisima iz područja gradnje (tvornička ispitivanja, izjave o svojstvima, izjave o sukladnosti i sl.) i uvjerenja o kakvoći u skladu s važećim zakonima i propisima.</t>
  </si>
  <si>
    <t>Izvođač je dužan gradilište održavati čistim, a na kraju radova izvesti detaljno čišćenje.</t>
  </si>
  <si>
    <t>Sva oštećenja nastala na već izvedenim radovima izvođač je dužan otkloniti o vlastitom trošku.</t>
  </si>
  <si>
    <t>Obveza izvođača je na propisan način zbrinuti višak materijala iz iskopa i građevinski otpad nastao uklanjanjem ili rušenjem sukladno važećim propisima i Zakonima, a ovi troškovi su uključeni u cijenu radova.</t>
  </si>
  <si>
    <t>Jedinične cijene obuhvaćaju i izradu uputa za rukovanje i održavanje ugrađene opreme i izradu svih protokola o ispitivanju. Uključena je sva dokumentacija i troškovi potrebni za tehnički pregled.</t>
  </si>
  <si>
    <t>Opis stavke</t>
  </si>
  <si>
    <t>ukupno</t>
  </si>
  <si>
    <t>2.</t>
  </si>
  <si>
    <t>2.9.</t>
  </si>
  <si>
    <t>2.10.</t>
  </si>
  <si>
    <t>2.11.</t>
  </si>
  <si>
    <t>m2</t>
  </si>
  <si>
    <t>cijena</t>
  </si>
  <si>
    <t>IV.</t>
  </si>
  <si>
    <t>V.</t>
  </si>
  <si>
    <t xml:space="preserve"> </t>
  </si>
  <si>
    <t>Ponuđači su obvezni prije podnošenja ponude temeljito pregledati projektnu dokumentaciju, te procijeniti relevantne činjenice koje utječu na cijenu, kvalitetu i rok završetka radova.</t>
  </si>
  <si>
    <t xml:space="preserve">Prateća čišćenja prostora tijekom izvedbe radova, kao  obuka osoblja korisnika u rukovanju instalacijom do konačne - službene primopredaje investitoru, odnosno krajnjem korisniku, moraju biti uključena u ponudbenu cijenu. </t>
  </si>
  <si>
    <t>Izvođač je obvezan imenovati svog ovlaštenog predstavnika – voditelja radova, prije početka radova i o tome pismeno izvjestiti naručitelja.</t>
  </si>
  <si>
    <t>U troškovima materijala, podrazumijeva se nabavna cijena kako primarnog, tako i kompletnog pomoćnog spojnog - potrošnog materijala, uključivo sa svim potrebnim prijenosima, utovarima i istovarima, uskladištenjem i čuvanjem.</t>
  </si>
  <si>
    <t>Za sve izvedene radove, ugrađene materijale i opremu, potrebno je u skladu s propisima ishodovati dokaze o kakvoći (atestna dokumentacija i sl.), koji se bez posebne naknade daju na uvid nadzornom inženjeru, a prilikom primopredaje građevine uručuju investitoru, odnosno krajnjem korisniku.</t>
  </si>
  <si>
    <t>Izvođač se obvezuje da će redovito upisivati u građevinski dnevnik sve potrebne podatke koje je obvezan upisivati i da će osobi ovlaštenoj za vršenja nadzora omogućiti svakodnevno uvid u građevinski dnevnik.</t>
  </si>
  <si>
    <t>Skele se uračunavaju u jediničnu cijenu stavke uzimajući u obzir predmetne visine montaže. Potrebni radovi izvode se na svim katovima bez povećanja cijene za povećani utrošak vremena na transport.</t>
  </si>
  <si>
    <t>NAPOMENE VEZANE UZ IZVEDBU INSTALACIJA GRIJANJA I HLAĐENJA</t>
  </si>
  <si>
    <t>U dopuni ostalih točaka ugovora, prilikom izvođenja radova posebno se mora paziti na sljedeće točke:</t>
  </si>
  <si>
    <t>1. KOROZIJA
Materijali i debljine zidova prema popisu radova predstavljaju minimalne zahtjeve. Svi dijelovi sustava, osobito svi vodovi položeni u zidovima i podnoj konstrukciji moraju se trajno zaštititi od korozije. Kombinacije materijala koje potiču koroziju nisu dopuštene, kod svake takve kombinacije potrebno je obavezno predvidjeti korozijski neutralan međusloj. Svi "crni" željezni elementi moraju se čitavom površinom premazati s dva sloja boje za zaštitu od korozije</t>
  </si>
  <si>
    <t>2. BUKA
Širenje zvuka, npr. uslijed prevelikih brzina strujanja, šumova ispusta i odvoda ili slično, te širenje zvuka tijela npr. zbog nepostojećih gumenih uložaka kod ovjesa ili slično, načelno je potrebno izbjegavati. Ako se pojave ometajući prijenosi zvuka, nužno je ukloniti neodgovarajuće ugradbene elemente o trošku Izvođača i zamijeniti ih prikladnim elementima. Mjerilo su priznata pravila struke.</t>
  </si>
  <si>
    <t xml:space="preserve">Strojevi i uređaji se uz korištenje zvučnih izolacijskih elemenata moraju postaviti tako da se ne prenosi njihov zvuk i vibracija. 
Za izolaciju strojarnica od buke moraju se po potrebi poduzeti prikladne mjere, kako razina zvuka u susjednim prostorijama ne bi bila prekoračena. Prikladnim mjerama smatraju se kape za apsorpciju zvuka, oblaganje strojarnica prikladnim materijalima itd. Razina zvuka pritom ne smije prelaziti dopuštene maksimalne vrijednosti, u skladu s referentnim građevinskim normama.
Izvođač može samoinicijativno iznijeti prijedloge kako će u pojedinačnom slučaju realizirati zvučnu izolaciju. On mora dokazati svoj projekt u provjerljivoj formi i smije pristupiti ugradnji tek nakon što dobije suglasnost Investitora. </t>
  </si>
  <si>
    <t>Načelno je dozvoljeno umjesto uobičajenih prirubnica koristiti cjevne spojke. U svakom slučaju Izvođač ipak mora prije ugradnje dokazati Investitoru podobnost spojki, i ne smije ih ugraditi bez dopuštenja Investitora ili njegovog opunomoćenika.</t>
  </si>
  <si>
    <t>Za sve cijevi i vodove koji prolaze kroz zidove, stropove ili ostale građevne elemente, moraju se ugraditi čelične zaštitne cijevi. Cijev i zaštitna cijev moraju se zabrtviti trajno elastičnim brtvenim materijalom.</t>
  </si>
  <si>
    <t>Ako se ne ugrade zaštitne cijevi, cijevi položene u zidu ili stropu moraju se izolirati na način da bude osigurano širenje i spriječen direktni dodir. Treba biti moguća kasnija zamjena cjevovoda bez da se moraju ukloniti drugi cjevovodi i njihova izolacija.</t>
  </si>
  <si>
    <t xml:space="preserve">5. STROJARNICE
Odgovornost za izolaciju od zvuka uređaja kao i za izolaciju od zvuka prostorije snosi Izvođač. Detaljno se moraju predložiti prikladne mjere za izolaciju od buke u strojarskoj centrali. Razina zvuka u susjednim prostorijama pritom ne smije prelaziti maksimalne vrijednosti referentnih građevinskih normi i smjernica. </t>
  </si>
  <si>
    <t xml:space="preserve">6. KABLIRANJE
Kompletno kabliranje i priključivanje motora, uređaja i razdjelnika sadržano je u opsegu radova Izvođača. Polaganje i priključivanje glavnog napajanja nije predmet ovog popisa radova.
Međutim, stezaljke se moraju postaviti na potrebnom poprečnom presjeku kabela. </t>
  </si>
  <si>
    <t>7. UVJETI ELEKTRIČNOG PRIKLJUČIVANJA
Svi električni uređaji uključujući pribor moraju se isporučiti i izvesti u skladu s:
- svim propisima i odredbama organa vlasti i nadležnih javnih ustanova
- zadnje važećim HR zakonima, propisima i normama
- tehničkim uvjetim priključivanja nadležnog distributera el. energije
- usuglašavanjem i uzimajući u obzir propise i posebne uvjete elektrodistributera, tijela nadležnog za protupožarnu zaštitu, inspekcije rada i državnog inspektorata,
- opće priznatim pravilima tehnike.</t>
  </si>
  <si>
    <t>PROBNI RAD</t>
  </si>
  <si>
    <t>Kompletan sustav pušta se u probni rad nakon dovršetka. Probni rad izvodi Izvođač u prisutnosti Investitora odnosno njegovog opunomoćenika. 
Za vrijeme trajanja probnog rada odnosno po potrebi i duže, Investitor odnosno njegovo osoblje, u potpunosti se upoznaju sa sustavom kako bi se održao uredan i pravilan rad sustava. 
Probni rad potrebno je provesti i u režimu grijanja i u režimu hlađenja.
Za vrijeme trajanja probnog rada bilježe se i protokoliraju svi bitni podaci o radu sustava i ostali, npr.:</t>
  </si>
  <si>
    <t>NAPOMENE VEZANE UZ IZVEDBU IZOLACIJE</t>
  </si>
  <si>
    <t>Dodatno ostalim stavkama ugovora, pri izvođenju radova potrebno je obratiti pažnju na sljedeće točke: 
U cjelini treba paziti na uredan, pravilan izgled izolacije. Ovo se posebice odnosi na izolacijski plašt na spojevima, isječcima i završecima cijevi. 
Kod paralelnih dionica cjevovoda spojevi se izvode na jednakim duljinama cijevi. 
Izolacijski plašt ne smije nigdje biti toplinski povezan sa predmetom koji se izolira. Ovo se posebice odnosi na isječke i završetke. 
Kod korištenja izolacijskih držača treba pripaziti na kompatibilnost držača sa predmetom koji se izolira u odnosu na buku, koroziju i vatrootpornost. U slučaju dvojbe potrebno je prije pristupanja radovima izvođenja postići suglasnost s Nadzorom.</t>
  </si>
  <si>
    <t>MATERIJALI</t>
  </si>
  <si>
    <t>NAPOMENE VEZANE UZ IZVEDBU INSTALACIJA VENTILACIJE</t>
  </si>
  <si>
    <t>1. KOROZIJA
Materijali i debljine stijenki prema troškovniku su minimalni uvjeti. Ukoliko nije izričito propisano drugačije, svaki dio sustava mora biti galvaniziran u debljini sloja najmanje 0,030 mm. Hladno cinčanje dopušteno je samo kod neizbježnih obrađenih mjesta. Kombinacije materijala sklonih koroziji nisu dopuštene, kod svakog takvog spoja neophodno je predvidjeti antikorozijski međusloj (gumeni ili plastični umeci).</t>
  </si>
  <si>
    <t xml:space="preserve">6. STROJARNICE
Odgovornost za izolaciju od zvuka uređaja kao i za izolaciju od zvuka prostorije snosi Izvođač. Detaljno se moraju predložiti prikladne mjere za izolaciju od buke u strojarskoj centrali. Razina zvuka u susjednim prostorijama pritom ne smije prelaziti maksimalne vrijednosti referentnih građevinskih normi i smjernica. </t>
  </si>
  <si>
    <t xml:space="preserve">7. KABLIRANJE
Kompletno kabliranje i priključivanje motora, uređaja i razdjelnika sadržano je u opsegu radova Izvođača. Polaganje i priključivanje glavnog napajanja nije predmet ovog popisa radova.
Međutim, stezaljke se moraju postaviti na potrebnom poprečnom presjeku kabela. </t>
  </si>
  <si>
    <t>8. UVJETI ELEKTRIČNOG PRIKLJUČIVANJA
Svi električni uređaji uključujući pribor moraju se isporučiti i izvesti u skladu s:
- svim propisima i odredbama organa vlasti i nadležnih javnih ustanova
- zadnje važećim HR zakonima, propisima i normama
- tehničkim uvjetim priključivanja nadležnog distributera el. energije
- usuglašavanjem i uzimajući u obzir propise i posebne uvjete elektrodistributera, tijela nadležnog za protupožarnu zaštitu, inspekcije rada i državnog inspektorata,
- opće priznatim pravilima tehnike.</t>
  </si>
  <si>
    <t>Nakon uspješnog puštanja u pogon s Investitorom ili njegovim predstavnikom dogovara se sveobuhvatni probni rad za sve predmetne dijelove sustava. Ukoliko nije napravljen tehnički pregled radova, početak probnog rada dogovara se s Investitorom. (max. tehnički pregled radova)
Probni rad je reguliran u ugovoru s glavnim izvođačem prema dinamičkom planu.
Trajanje probnog rada je 4 tjedna, 24 sata bez prestanka. Za vikend i večernje odnosno noćne sate organizira se call centar.
Za vrijeme trajanja probnog rada vrši se obuka odnosno školovanje osoblja Investitora.
Obuka i školovanje odnosno njihova vrsta i trajanje utvrđuje se u dogovoru s Investitorom.
Za vrijeme trajanja probnog rada bilježe se i protokoliraju svi bitni podaci o radu i sustavu:
- Volumenski protok
- Količine zraka
- Temperature zraka
- Mjerenje struje svih ventilatorskih motora
- Protokoli sa zadanim vrijednostima na zahtjev
- Podešavanje i kontrola rada
- Svi sustavi i dojelovi sustava
- Tlakovi sustava</t>
  </si>
  <si>
    <t>Svi tako izrađeni protokoli mjerenja potpuno ispunjeni, sa mogućim potvrdama o ispitivanju predaju se Investitoru i po potrebi nadležnim tijelima i javnim službama.
Probni rad treba provesti bez prekida. Ukoliko je potrebno prekinuti probni rad iz razloga koje zastupa Izvođač, probni rad u trajanju 4 tjedna ponavlja se ispočetka.
Time povećani troškovi Izvođača zbog izdataka za osoblje itd. snosi Izvođač. 4 tjedna prije početka probnog rada Investitoru se predaje kompletna dokumentacija. Bez usuglašene dokumentacije ne može započeti probni rad.</t>
  </si>
  <si>
    <t>Dodatno ostalim stavkama ugovora, pri izvođenju radova potrebno je obratiti pažnju na sljedeće točke: 
U cjelini treba paziti na uredan, pravilan izgled izolacije. Ovo se posebice odnosi na izolacijski plašt na spojevima, isječcima i završecima cijevi. 
Kod paralelnih dionica kanala spojevi se stalo izvode na jednakim duljinama kanalskog razvoda. 
Izolacijski plašt ne smije nigdje biti toplinski povezan sa predmetom koji se izolira. Ovo se posebice odnosi na isječke i završetke. 
Kod korištenja izolacijskih držača treba pripaziti na kompatibilnost držača sa predmetom koji se izolira u odnosu na buku, koroziju i vatrootpornost. U slučaju dvojbe potrebno je prije pristupanja radovima izvođenja postići suglasnost s Nadzorom.</t>
  </si>
  <si>
    <t>PROTUPOŽARNA ZAŠTITA</t>
  </si>
  <si>
    <t>1.	OPSEG RADOVA
Jedinične cijene obuhvaćaju stručno izvođenje radova potrebnih za izradu mjera protupožarne zaštite, uključujući sporedne radove, kao što je izrada priključaka i prilagodbi na granične građevinske elemente, potrebno polaganje spojeva, štednih otvora i njihovi priključci te protupožarno tehnički potrebno zaglađivanje kompatibilnom masom.
Izvođač se pri izvođenju radova treba pridržavati svih predmetnih zakona, normi, odredbi i propisa.</t>
  </si>
  <si>
    <t>2.	ZAHTJEVI ZA MATERIJAL
Svi građevinski materijali koji će se isporučiti moraju biti zadovoljavajućih svojstava te otporni na starenje i koroziju. Ovo se odnosi i na okolne temperature do 120º C i relativnu vlažnost zraka do 98%.
Premazi se u slučaju požara moraju zapjeniti, ne smiju sadržavati otapala i biti higroskopni. Ne smiju sadržavati po zdravlje štetne materijale, moraju i u konačnom stanju ostati trajno elastični i ne smiju prouzrokovati smanjenje opteretivosti kablova itd.. Materijal je moguće nanositi špricanjem ili pomoću kista.
Vatrootporno brtvljenje mora biti nepropusna za dimne plinove i mora biti moguća naknadna instalacija.</t>
  </si>
  <si>
    <t>Površine vatrootporne obloge u pravilu moraju obvezno: završavati u zidu, te se premazuju uobičajenim bojama i premazima, kako bi se optički prilagodili površinama zidova i stropova s kojima graniče.
Na zahtjev nadzora Izvođač treba napraviti i dostaviti probe ili uzorke bez posebne naknade. Smiju se koristiti samo građevinski proizvodi i vrste, koje odgovaraju državnim građevinskim odredbama. Za predviđeno korištenje predmetni sustav protupožarne zaštite mora biti građevinski pravno odobren. U svakom slučaju se dokazuje građevinsko pravno odobrenje.</t>
  </si>
  <si>
    <t>Svako požarno brtvljenje trajno se označava pločom, na kojoj su navedeni ime proizvođača, sustav i godina proizvodnje.
Izvođač generalno jamči za ispravno izvođenje požarnog brtvljenja itd. u skladu s propisima. Sve štete i posljedice nastale zbog nepravilnog izvođenja snosi Izvođač.</t>
  </si>
  <si>
    <t>3.	IZVOĐENJE 
Izvoditi se smiju samo mjere protupožarne zaštite istog proizvođača. Ukoliko se nude različiti proizvodi od navedenih u troškovniku, oni moraju biti minimalno iste kvalitete kao proizvod iz troškovnika. 
Prije početka radova treba besprijekorno očistiti predmetne podloge, kablove, vodove i td. Kod protupožarnih premaza el. kablova i vodova mora sigurno biti onemogućeno širenje vatre plastikom izoliranim kablom; korišteni materijal mora apsorbirati nastale HCl-plinove.</t>
  </si>
  <si>
    <t>POŽARNA BRTVLJENJA
Požarno brtvljnje smiju izvoditi samo školovani stručnjaci.
Mora biti moguća naknadna instalacija kablova jednostavnim sredstvima. Time se ne smije narušiti protupožarno djelovanje pregrađivanja.</t>
  </si>
  <si>
    <t>Izrada pregrada kako slijedi:
A) MEKA BRTVLJENJA
Kod pregrađivanja u zidovima i stropovima potrebno je obostrano zatvoriti područja između kablova, nosećih konstrukcija kablova, cijevi i kanala te njihovih nosećih konstrukcija i otvora negorivom pločom od mineralnih vlakana (klasa A) minimalne bruto gustoće 150 kg/m3. Vanjska strana ploča od mineralnih vlakana premazuje se mehanički visoko opteretivim, fleksibilnim, premazom otprornim na starenje, vremenske uvjete i kemikalije.</t>
  </si>
  <si>
    <t>A) TVRDA BRTVLJENJA
Sastoji se od središnje ploče od mineralnih vlakana (klasa A), debljina prema potrebi (minimalna bruto gustoća 150 kg/m3), s obje strane nanesen protupožarni mort grupe II ili III. Rubovi protupožarnih ploča premazuju se gipsanim mlijekom i učvršćuju. Međuprostori te izlazi kablova dostatno se brtve; Nadalje, vanjske  površine zidova u području pregrađivanje tijesno voditi.</t>
  </si>
  <si>
    <t>Svi kablovi, vodovi i njihove viseće i noseće konstrukcije premazuju se s obje strane pemazom u duljini sukladno potvrdama o ispitivanju protuprožarnim premazom za kablove (premaz ili špricanje). Izrada pregrada mora jamčiti, da u slučaju požara kanalice ne mogu izvući ugrađenu zagrađivanje iz njihovih sidrenja.
OBLOGE se sastoje od mineralnih protupožarnih ploča (klasa A), debljine po potrebi, minimalne bruto gustoće 450 kg/m3. Obloge (plaštevi) moraju biti tako izvedeni, da zbog uzdužnih dilatacija, posebice kod oblaganja čeličnih elemenata, bez da se utječe na otpornost od požara elemenata nosive konstrukcije.</t>
  </si>
  <si>
    <t>Oblaganje trasa kablova i ventilacijskih kanala: Raspisane obloge se podrazumijevaju – ukoliko nije drugačije navedeno u tekstu pozicije – za trase kablova s neobloženim visećim konstrukcijama. Viseći razmak iznosi max. 120 cm, max. dopušteni čelični napon 160 N/mm2. Kod priključaka na čelične elemente klase vatrootpornosti F 90 oblažu se ovjesi i priključni čelični elementi u duljini od najmanje 300 mm u potrebnoj debljini priključenog čeličnog elementa. Kod sveobuhvatnih se u području protupožarnih zidova ugrađuju zadani prijelomi.</t>
  </si>
  <si>
    <t>ZAKLJUČAK</t>
  </si>
  <si>
    <t>SVI UVJETI OVDJE NAVEDENI, KOJI SE NE POJAVLJUJU KAO ZASEBNE STAVKE U OPSEGU USLUGA, BITI ĆE UKLJUČENE U CIJENU, I NE MOGU NI POD KAKVIM OKOLNOSITIMA BITI ZASEBNO NAPLAĆENE.
Tijekom priprema dokumentacije, izvođač se mora upoznati sa lokalnim uvjetima. Na temelju toga izvođač ne može tražiti nikakve dodatne troškove.</t>
  </si>
  <si>
    <t>GRAĐEVINA:</t>
  </si>
  <si>
    <t>LOKACIJA:</t>
  </si>
  <si>
    <t>Dogradnja  OŠ "V. Nazor" Đakovo</t>
  </si>
  <si>
    <t>Ulica kralja Tomislava 18, Đakovo</t>
  </si>
  <si>
    <t>k.č.br. 7359, k.o. Đakovo</t>
  </si>
  <si>
    <t>Najmanje 70% neopasnog građevinskog otpada i otpada od rušenja,iskopa i sl.. nastalog na gradilištu će biti pripremljeno za ponovnu uporabu, recikliranje i korištenje drugog materijala.</t>
  </si>
  <si>
    <t>Ponuditelj/izvođač dužan je prije početka radova izraditi "Plan izvođenja radova" a u njemu između ostalog predvidjeti mjere za smanjenje emisije buke, prašine i onečišćujućih tvari tijekom građevinskih radova.</t>
  </si>
  <si>
    <t>Pri nuđenju u svakoj stavci ulaznih ili sobnih vata predvidjeti i u ponudu uračunati  i pločicu na Braillovom pismu, bez obzira da li je to spacifično naznačeno u stavci ili nije.</t>
  </si>
  <si>
    <t>Sve stavke treba nuditi na način da uključe sav potreban rad i materijal do pune gotovosti.</t>
  </si>
  <si>
    <t>Sve krovne obloge projektirane su kao takve da svojom mehaničkom otpornošću mogu izdržati udar tuče te ih kao takve treba nuditi.</t>
  </si>
  <si>
    <t>Sve spojne elementi (vijci, sidra, sidrni vijci i sl.) treba nuditi takve da mogu izdržati načete snažnog vjetra, pijavica i tornada.</t>
  </si>
  <si>
    <t>NAPOMENE</t>
  </si>
  <si>
    <r>
      <rPr>
        <b/>
        <sz val="10"/>
        <color theme="1"/>
        <rFont val="Calibri"/>
        <family val="2"/>
        <scheme val="minor"/>
      </rPr>
      <t xml:space="preserve">ZAVRŠNA OBRADA (XPS)  </t>
    </r>
    <r>
      <rPr>
        <sz val="10"/>
        <color theme="1"/>
        <rFont val="Calibri"/>
        <family val="2"/>
        <scheme val="minor"/>
      </rPr>
      <t xml:space="preserve">                                                                                                                                                                                                                                                                                                                                                                                  Završna obrada XPS-a je silikatna žbuka, granulacije do 2,0 mm.  U cijenu su uključeni svi potrebni profili za žbukanje i profili za pročelje, alu i/ili PVC kutnici (sa mrežicom), sokl profili, okapni profili na nadvojima otvora, ojačanja za rubove, otvore, uglove i drugo, te brtvljenje spojeva pročelja i vanjske stolarije i bravarije brtvom S</t>
    </r>
    <r>
      <rPr>
        <vertAlign val="subscript"/>
        <sz val="10"/>
        <color theme="1"/>
        <rFont val="Calibri"/>
        <family val="2"/>
        <scheme val="minor"/>
      </rPr>
      <t>d</t>
    </r>
    <r>
      <rPr>
        <sz val="10"/>
        <color theme="1"/>
        <rFont val="Calibri"/>
        <family val="2"/>
        <scheme val="minor"/>
      </rPr>
      <t xml:space="preserve"> = 0,50.   </t>
    </r>
  </si>
  <si>
    <t>kolicina</t>
  </si>
  <si>
    <t>Jed.mjera</t>
  </si>
  <si>
    <t>Svi uređaji za vodu koji će se instalirati/nuditi (tuševi s miješalicom, slavine, WC školjke i vodokotlići i slično) moraju biti svrstani u dva najbolja razreda potrošnje vode EU vodne oznake (EU Water Label - načelo "ne čini značajnu štetu").</t>
  </si>
  <si>
    <t>Građevinski dijelovi i materijali koji se koriste u izgradnji zgrade ne sadrže/ne smiju sadržavati azbest niti tvari koje izazivaju veliku zabrinutost, kako je utvrđeno na temelju popisa tvari za koje je potrebno odobrenje.</t>
  </si>
  <si>
    <t>Građevinski dijelovi i materijali korišteni u zgradi koji mogu doći u kontakt sa korisnicima emitiraju manje od 0,06 mg formaldehida po m3 materijala ili komponente i manje od 0,001 mg kategorija 1A i 1B kancerogeni hlapljivi organski spojevi po m 3 materijala ili komponente, nakon ispitivanja u skladu s važećim propisima ili drugim usporedivim standardiziranim uvjetima ispitivanja i metodom određivanja.</t>
  </si>
  <si>
    <t>Doprinos povećanju upotrebe obnovljivih izvora energije primjenjuje se kroz izgradnju sustava za korištenje obnovljivih izvora energije za proizvodnju toplinske ili toplinske i rashladne energije.</t>
  </si>
  <si>
    <t>Dodatne mjere kojima osiguravamo doprinos smanjenju emisija stakleničkih plinova su proizvodnja obnovljivih izvora energije kao što je dizalica topline.</t>
  </si>
  <si>
    <t>Prilagodba klimatskim promjenama primjenjuje se  optimizacijom tehničkih sustava zgrade (grijanje i hlađenje).</t>
  </si>
  <si>
    <t>NAPOMENA: DINAMIČKI PLAN IZVOĐENJA RADOVA IZRAĐUJE SE ISKLJUČIVO UZ KONZULTACIJE S INVESTITOROM I NADZORNIM INŽENJEROM. OBZIROM DA SE RADOVI IZVODE NA ODGOJNO-OBRAZOVNOJ USTANOVI, POTREBNO JE DINAMIKU RADOVA USKLADITI S RADOM USTANOVE.</t>
  </si>
  <si>
    <t>Izvođaču se uz troškovnik radova stavljaju na uvid kompletni glavni projekti svih struka koji su sastavni dio ponudbene dokumentacije. Upisom jedinične cijene pojedine stavke podrazumijeva se da je izvođač proučio cjelokupnu dokumentaciju i da je jediničnom cijenom obuhvaćeno sve navedeno troškovničkom stavkom i sve navedeno u nacrtima i tekstu glavnog projekta.</t>
  </si>
  <si>
    <t>Kako bi se osigurao ispravan tok i kvaliteta građenja, Izvođač mora na gradilištu posjedovati
odgovarajuću dokumentaciju za građenje i obavljati potrebne radnje prema istoj, kako slijedi:
- građevinski dnevnik i građevinsku knjigu,
- rješenja o imenovanju odgovornih osoba,
- elaborat organizacije gradilišta sa primijenjenim mjerama zaštite na radu i zaštite od požara,
- projekt skele, elaborat montaže i vođenje knjige montaže skele,
- dokumentaciju o kvaliteti radova i ugrađenim materijalima i opremi,
- odgovarajuće ateste i uvjerenja za svu ugrađenu opremu,
- uputstva o pogonu i održavanju,
- rezultate ispitivanja kvalitete - odgovarajuće ateste i uvjerenja,
- izvještaje o ostalim eventualnim radovima i opremi (zavareni spojevi, izolacije i sl.),
- sva ostala ispitivanja i radnje koja nisu navedena, a koja su potrebna radi osiguranja kvalitete radova i ugrađenog materijala i opreme.</t>
  </si>
  <si>
    <t>Jedinična cijena obuhvaća sav potreban rad, materijal i radnu skelu. Izvođač je dužan održavati gradilište čistim uz svakodnevno čišćenje od ostataka materijala i smeća. U tu cijenu uključena je i cijena prijevoza sa svim prijenosima, utovarima, istovarima te uskladištenje i čuvanje na gradilištu. Tu je također uključeno i davanje probnih uzoraka kod pojedinih vrsta materijala kao i izdavanje certifikata za sve vrste istih. U cijenu je ukučen i trošak probavljanja atestne dokumentacije za izdavanje uporabne dozvole, za sve ugrađene materijali i cijeli sustav.</t>
  </si>
  <si>
    <r>
      <rPr>
        <b/>
        <sz val="11"/>
        <color theme="1"/>
        <rFont val="Calibri"/>
        <family val="2"/>
        <charset val="238"/>
        <scheme val="minor"/>
      </rPr>
      <t>NJEGOVANJE UGRAĐENOG BETONA</t>
    </r>
    <r>
      <rPr>
        <sz val="11"/>
        <color theme="1"/>
        <rFont val="Calibri"/>
        <family val="2"/>
        <charset val="238"/>
        <scheme val="minor"/>
      </rPr>
      <t xml:space="preserve"> - Neposredno nakon betoniranja beton će se zaštićivati od:- oborina i tekuće vode - prekrivanjem najlonima i ceradama - vibracija koje mogu utjecati na promjenu unutrašnje strukture i prionjivosti betona i armature, kao i drugih mehaničkih oštećenja u vrijeme vezivanja i početnog očvršćivanja.Zaštitu od prebrzog isušivanja treba provoditi mokrim postupkom (polijevanjem, prekrivanjem filcom ili jutom) a u trajanju od najmanje 7 dana ili postizanja 70 % tražene čvrstoće.Zaštita betona mora biti ukalkulirana u jedinične cijene.Za ocjenu postignute kakvoće konstrukcije mjerodavan je osim rezultata prije spomenutih proba i kontrolnih ispitivanja, opći izgled betona, njegova jednoličnost i kompaktnost koja se odražava na vidljivim plohama. Sve troškove oko redovitog ili izvanrednog ispitivanja kvalitete betona snosi Izvođač radova. Tehnologiju izvedbe, te eventualno prekida, izvesti isključivo po uputama proizvođača i nadzornog inženjera. Obrada gornjih površina treba biti ravno zaribana, osim gdje se u stavci traži drugačija obrada. Sve visine pri izradi oplate određivati, a nakon betoniranja kontrolirati instrumentom. Armirano-betonski elementi moraju imati potpuno ravne i glatke površine i izvode se u pravilu u glatkoj oplati. Prilikom betoniranja naročito treba paziti da armatura ostane u položaju predviđenom statičkim proračunom i nacrtom. U jediničnim cijenama betonskih i arm.-betonskih konstrukcija sadržani su svi pripremni radovi, skele, zaštita betona od niskih i visokih temperatura, te ispitivanje uzoraka. Velike površine betonskih ploča moraju se dilatirati. Prekid pri betoniranju ploča, greda, itd. vršiti po propisima odnosno prema uputama proizvođača i nadzornog inženjera a što se upisuje u građevinski dnevnik. Nadzorni inženjer zadržava pravo izvanrednog ispitivanja betona, tj. može uzeti seriju kocki i dati ih na ispitivanje.</t>
    </r>
  </si>
  <si>
    <r>
      <rPr>
        <b/>
        <sz val="11"/>
        <color theme="1"/>
        <rFont val="Calibri"/>
        <family val="2"/>
        <charset val="238"/>
        <scheme val="minor"/>
      </rPr>
      <t>SKELE</t>
    </r>
    <r>
      <rPr>
        <sz val="11"/>
        <color theme="1"/>
        <rFont val="Calibri"/>
        <family val="2"/>
        <charset val="238"/>
        <scheme val="minor"/>
      </rPr>
      <t xml:space="preserve"> - Sve vrste skele bez obzira na visinu ulaze u jediničnu cijenu pojedinog rada osim fasadne skele koja se obračunava u posebnoj stavci.Skela mora biti na vrijeme postavljena kako ne bi nastao zastoj u radu. Pod pojmom skela podrazumijeva se i prilaz istoj, te ograda i sve potrebne zaštite propisane važećim propisima. Kod zemljanih radova u jediničnu cijenu ulaze razupore, te mostovi za prebacivanje iskopa većih dubina.Skele moraju biti ispravno projektirane, postavljene i održavane tako, da se ne sruše ili nekontrolirano pomaknu.Postava, korištenje i nadziranje skela u svemu moraju biti u skladu s odredbama važećih zakona i pravilnika.Skele i slične pomoćne konstrukcije (ljestve, platforme i sl) trebaju imati fiksne zaštite na postolju/nogicama u svrhu sprečavanja oštećivanja već izvedenih završnih radova, što treba biti uključeno u jediničnu cijenu pojedinih radova.Skele i oplate moraju zadovoljavati važeće propise. Izvođač je dužan dostaviti projekt fasadne skele te istu izvesti u skladu s istim.</t>
    </r>
  </si>
  <si>
    <t>Pri izvođenju zatrpavanja po izvođenju temelja, materijal koji se koristi za zatrpavanje, obvezatno se nasipava u slojevima max debljine do 30 cm, uz zbijanje svakog sloja sukladno traženoj natječajnoj dokumentaciji ili troškovničkom stavkom predviđene zbijenosti. Zbijenost slojeva koji se zbijaju kontrolirati metodom kružne ploče sukladno svim važećim propisima i smjernicama. Obračun količina iskopa i nasipa u ovom troškovniku vršen je za sve zemljane i šljunčane materijale u sraslom (odn., zbijenom) stanju, ukoliko u pripadajućoj stavki-opisu rada nije izrijekom predviđeno drugačije. Izvođač je dužan prije početka radova provesti sve pripremne radove da se izvođenje može nesmetano odvijati. Potrebno je proučiti sve tehnologije izvedbe pojedinih radova radi optimalne organizacije građenja, nabavke materijala, kalkulacije i sl. U jediničnu cijenu stavki obavezno uključiti sve utovare i odvoze na deponiju predviđenu za tu namjenu sukladno zakonskim propisima bez obzira na udaljenost, sva potrebna razupiranja, osiguranja iskopa od urušavanja, crpljenja vode, deponiranja materijala na gradilišnu deponiju, koeficijente rastresitosti (svi obračuni vršiti će se u sraslom stanju), takse za deponij, nabave i dopreme materijala, razastiranja, zbijanja, valjanja i slično i sve ostale osnovne i pomoćne radove, otežani rad među razupiračima, u skučenom prostoru, mokrom zemljištu i sve materijale do potpune funkcionalne gotovosti pojedine stavke - ako opisom stavke nije drugačije određeno. Za materijal koji će se ponovo upotrijebiti nadzorni inženjer će odrediti mjesto privremenog odlaganja na prostoru gradilišta. Materijali moraju biti odloženi na način da ne ometaju radove. Izvođač treba očistiti i čuvati materijal do njegove primopredaje ovlaštenoj tvrtki za uporabu i zbrinjavanje materijala, odnosno za daljnje korištenje. Izvođač je nakon zatrpavanja iskopa obavezan okolnu površinu dovesti u prijašnje stanje. Izvođač treba isplanirati i izvesti radove tako da spriječi oštećenja postojećih objekata, zaštiti ljude i objekte i da osigura sigurne radne uvjete. Radovi se trebaju izvoditi u skladu sa svim zdravstvenim i sigurnosnim propisima. Iskope, nasipe i temeljenje izvesti sukladno natječajnoj dokumentciji i stavkama troškovnika.</t>
  </si>
  <si>
    <r>
      <rPr>
        <b/>
        <sz val="11"/>
        <color theme="1"/>
        <rFont val="Calibri"/>
        <family val="2"/>
        <charset val="238"/>
        <scheme val="minor"/>
      </rPr>
      <t xml:space="preserve">BETON / CEMENT / AGREGAT </t>
    </r>
    <r>
      <rPr>
        <sz val="11"/>
        <color theme="1"/>
        <rFont val="Calibri"/>
        <family val="2"/>
        <charset val="238"/>
        <scheme val="minor"/>
      </rPr>
      <t>- Čvrstoća betona određuje se razredom tlačne čvrstoće. Izvođač se mora strogo pridržavati razreda tlačne čvrstoće za pojedine konstrukcije prema statičkom proračunu. Beton spravljati isključivo strojnim putem. Beton se mora proizvoditi od prethodno ispitanih i tijekom vremena kontroliranih osnovnih materijala, u pogonima za proizvodnju betona, koji su funkcionalno projektirani, prethodno ispitani i kontrolirani u toku rada. Sastav betona mora biti projektiran računski i provjeren eksperimentalno u skladu s postojećim tehničkim propisima i važećim standardima. Svojstva osnovnih materijala i ugrađenog betona moraju se dokazati laboratorijskim ispitivanjima koje će obaviti Izvođač radova putem organizacije registrirane za tu djelatnosti. Tekuću kontrolu osnovnih materijala i betona, koju obavlja Izvođač, kontrolira nadzorni inženjer. Za izradu betona upotrijebiti istu vrstu cementa i granulirani agregat. Pri betoniranju jedne cjelovite betonske ili AB konstrukcije upotrijebiti isključivo jednu vrstu cementa. Tehnička svojstva i drugi zahtjevi, te potvrđivanje sukladnosti mineralnog dodatka za beton, provodi se ovisno o vrsti mineralnog dodatka, prema važećem tehničkom propisu za betonske konstrukcije. Tehnička svojstva mineralnog dodatka betonu moraju ispuniti opće i posebne zahtjeve bitne za svojstva betona i ovisno o vrsti mineralnog dodatka moraju biti specificirana prema važećim propisima. Za izradu betona predviđa se prirodno granulirani šljunak ili drobljeni agregat. Kameni agregat mora imati propisani granulometrijski sastav, mora biti dovoljno čvrst i postojan, ne smije sadržavati zemljanih i organskih sastojaka, niti drugih primjesa štetnih za beton i armaturu. Sve betonske konstrukcije izvesti prema natječajnoj dokumentaciji konstrukcije i propisima navedenim u istima.</t>
    </r>
  </si>
  <si>
    <t>Prilikom izvedbe limarskih radova opisanih u troškovniku Izvođač radova mora se pridržavati svih uvjeta i opisa iz troškovnika, kao i važećih propisa. Sav materijal koji se upotrebljava u limarskim radovima mora odgovarati u svemu važećim propisima i standardima. Izvođač je obavezan koristiti limove u debljinama opisa iz troškovnika, a ukoliko isto nije naznačeno, debljinu treba ovjeriti nadzorni inženjer. Izvođač radova dužan je prije izvedbe limarije uzeti sve izmjere u naravi, a također je dužan prije početka montaže ispitati sve dijelove gdje se imaju izvesti limarski radovi, te na eventualne neispravnosti istih upozoriti nadzornog inženjera, jer će se u protivnom naknadni popravci izvršiti na račun Izvođača. Mekani limovi spajaju se utorenjem ili lemljenjem, a srednje tvrdi limovi utorenjem ili zakivanjem i lemljenjem. Pričvršćenje lima vrši se mehaničkim alatima, vijcima, plastičnim čepovima i drugim nosačima (čeličnim pocinčanim nosačima). Limarija mora biti odvojena od površine betona i žbuke bitumenskom ljepenkom ili polietilenskom folijom, što je uključeno u jediničnoj cijeni, ako nije drugačije označeno troškovnikom. Sav spojni materijal (čavli, zakovice) mora biti iz istog materijala kao i lim. Željezni dijelovi koji dolaze u neposredan dodir sa površinom od cinčanog bakra ili cinčanog lima, moraju biti cinčani. Svi dijelovi limenih elemenata kod kojih postoji zahtjev vodonepropusnosti moraju biti zabrtvljeni i pričvršćeni na propisan način. Sastav i učvršćenja moraju biti tako izvedeni da elementi pri temperaturnim promjenama mogu nesmetano dilatirati, a da pri tom ostanu nepropusni. Za sva rezanja na gradilištu, treba upotrebljavati alate koje propisuje proizvođač, odnosno dodatno antikorozivno zaštiti elemente na mjestu eventualnog oštećenja. Sve spojeve izvoditi standardnim preklopima ili po zahtjevu lemiti. U jediničnu cijenu uključiti sav rad i materijal oko prodora.</t>
  </si>
  <si>
    <t>Svi materijali za pregradne zidove, obloge, spuštene stropove i ostale elemente moraju biti u skladu za važećim zakonima i propisima, moraju odgovarati važećim standardima, te moraju posjedovati ateste, a moraju se izvoditi prema uputama proizvođača elemenata od kojih se radovi izvode. Kod izvedbe zidova, obloga i spuštenih stropova od gipskartonskih ploča potrebno se pridržavati svih uputa proizvođača, naročito kod uskladištenja ploča i uvjeta temperature i vlažnosti zraka prostora u kojima će se izvoditi radovi (temperatura se smije kretati od 11 do 35º i relativna vlažnost zraka do 70 %). Ploče treba zaštiti od kondenzne vlage. Ploče trebaju prije izvedbe biti na mjestu ugradnje najmanje 24 sata, da bi se prilagodile mikroklimatskim uvjetima prostora. Ugradnja GK ploča u slučaju relativne vlage zraka koja traje duže vrijeme i koja je viša od 75-85 % u objektu nije dozvoljena. Nakon montaže je potrebno gipsano- kartonske sustave zaštititi od djelovanja dugotrajne vlage. U objektu se treba i nakon završetka montažnih radova pobrinuti za dovoljno prozračivanje. Radovi obrade spojeva se smiju izvoditi tek nakon što se više ne mogu očekivati promjene dužina GK ploča, koje bi mogle biti posljedica promjena vlage ili temperature. Prilikom obrade spojeva ili obrade površine temperatura prostora ne smije biti niža od 10 ºC. Montirane zidne ili stropne ploče treba po montaži očistiti od eventualnih nečistoća suhim postupkom. Eventualna manja oštećenja može se otkloniti kitanjem, a kod većih je potrebno zamijeniti ploču. S polaganjem se može započeti tek nakon što su završeni svi radovi koji im prethode, te su prostori dovoljno suhi, nakon ugradnje prozora i montaže svih instalacija. Zimi se za montažu mora grijati prostor, a ljeti treba osigurati prozračivanje. Za učvršćenje tereta za GK konstrukciju treba primijeniti specijalna pričvrsna sredstva te se pridržavati uputa o maksimalnom opterećenju. Također je potrebno pripremiti ojačanja u GK zidovima na odgovarajućim pozicijama na koje se montira oprema. U slučaju da nije na nacrtima označena pozicija ojačanja, Izvođač je dužan zatražiti prije zatvaranja zidova pozicije ojačanja od potvrdu nadzornog inženjera za zatvaranje zidova. Prilikom izvedbe svih završno montažerskih radova izvođač je dužan primijeniti sve komponente istog proizvođača odabranog sistema.Za mokre prostore obavezno koristiti impregnirane gipskartonske ploče.Za osiguranje zadovoljavajućeg stupnja protupožarnosti i zvučne zaštite potrebno je koristiti sve sistemske komponente prema rješenjima proizvođača te sve ugraditi prema uputama proizvođača te zapuniti sve spojeve između ploča. Ako nije drugačije navedeno visina ovješenja kod spuštenih stropova ukalkulirana je u jediničnoj cijeni.</t>
  </si>
  <si>
    <t>Sve radove potrebno je izvesti u potpunosti prema natječajnoj dokumentaciji, troškovniku, svim važećim tehničkim propisima, zakonima, uputama proizvođača opreme i pravilima struke. Dinamika izvođenja radova mora se prilagoditi roku za završetak radova.</t>
  </si>
  <si>
    <t>Izvođač radova je, prema zakonu, dužan:
- graditi u skladu s tehničkom dokumentacijom i pravilima struke,
- radove izvoditi na način da se zadovolje svojstva u smislu pouzdanosti, mehaničke otpornosti i stabilnosti, sigurnosti u slučaju požara, zaštite od ugrožavanja zdravlja ljudi, zaštite korisnika od povreda, zaštite od buka i vibracija, toplinske zaštite i uštede energije, zaštite od korozije, te svih ostalih funkcionalnih i
zaštitnih svojstava,
- ugrađivati materijale, opremu i proizvode predviđene tehničkom dokumentacijom, provjerene u praksi, a čija je kvaliteta dokazana izjavom o svojstvima proizvođača koji dokazuje da je kvaliteta određenog proizvoda u skladu sa svim važećim propisima,
- osiguravati dokaze o kvaliteti radova i ugrađenih proizvoda i opreme u skladu sa projektom i zakonom.</t>
  </si>
  <si>
    <r>
      <rPr>
        <b/>
        <sz val="11"/>
        <color theme="1"/>
        <rFont val="Calibri"/>
        <family val="2"/>
        <charset val="238"/>
        <scheme val="minor"/>
      </rPr>
      <t xml:space="preserve">Odstupanja/Tolerancije mjera - </t>
    </r>
    <r>
      <rPr>
        <sz val="11"/>
        <color theme="1"/>
        <rFont val="Calibri"/>
        <family val="2"/>
        <charset val="238"/>
        <scheme val="minor"/>
      </rPr>
      <t>Tolerancija mjera izvedenih radova mora biti u skladu s važećim propisima i standardima, a za pojedinačne radove. Nisu dopuštena odstupanja od normiranih vrijednosti mjera za pojedine vrste radova. U slučaju da se dogodi odstupanje od pojedinih mjera izvođač je dužan o vlastitom trošku otkloniti nedostatak.Napomena: Nisu dopuštena odstupanja kod unutarnjih mjera prostorija u projektima zbog utjecaja tih izmjena na projekt interijera, plan polaganja kamena, keramike, stolarske ili bravarske stavke i sl.</t>
    </r>
  </si>
  <si>
    <r>
      <rPr>
        <b/>
        <sz val="11"/>
        <color theme="1"/>
        <rFont val="Calibri"/>
        <family val="2"/>
        <charset val="238"/>
        <scheme val="minor"/>
      </rPr>
      <t xml:space="preserve">KONTROLNI POSTUPCI KOD UGRADNJE BETONA </t>
    </r>
    <r>
      <rPr>
        <sz val="11"/>
        <color theme="1"/>
        <rFont val="Calibri"/>
        <family val="2"/>
        <charset val="238"/>
        <scheme val="minor"/>
      </rPr>
      <t>- Prije ugradnje betona u oplati, odgovorna osoba izvođača i nadzorni inženjer moraju konstatirati ispravnost oplate i armature, te betonske mase, i to potvrditi upisom u građevinski dnevnik. Betoniranje prije ili bez ovog postupka ne smije se vršiti. Izvođač treba sukladno važećim propisima prije početka ugradnje provjeriti da li je beton u skladu sa zahtjevima iz projekta, te da li je tijekom transporta došlo do promjene njegovih svojstava koja bi bila od utjecaja na tehnička svojstva betonske konstrukcije. Kontrolni postupak utvrđivanja svojstava svježeg betona provodi se na uzorcima koji se uzimaju neposredno prije ugradnje betona u betonsku konstrukciju u skladu s važećim zahtjevima i propisima, a najmanje pregledom svake otpremnice i vizualnom kontrolom konzistencije kod svake dopreme (svakog vozila) te, kod opravdane sumnje ispitivanjem konzistencije istim postupkom kojim je ispitana u proizvodnji. Izvođač treba izraditi plan uzimanja uzoraka, za pojedine vrste betona, na osnovi operativnog plana radova u suglasnosti s nadzornim inženjerom. Ispitivanje očvrsnulog betona će se provoditi na uzorcima uzetim tijekom izvođenja radova, a u skladu sa važećim propisima. Uzorci su oblika kocke 15x15x15 cm ili valjka ɸ15/30 cm. Rezultati ispitivanja će se evidentirati redoslijedom kako su uzimani i grupirati u grupe betona koje su definirane u programu uzimanja kontrolnih betonskih uzoraka. Kod izvođenja betonskih radova treba voditi računa o tome kakve su atmosferske prilike, tj. ako je temperatura visoka prije betoniranja politi podlogu, odnosno tlo i eventualno oplatu kako ne bi došlo do upijanja vode iz betona. S ugradnjom betona može se započeti tek kada je oplata i armatura definitivno postavljena i učvršćena.</t>
    </r>
  </si>
  <si>
    <t>U svaku stavku potrebno je uključiti dobavu opreme i materijala na gradilište, njeno skladištenje po potrebi, čišćenje i zbrinjavanje zaostalog materijala, te ugradnju opreme i materijala do pune pogonske gotovosti.
Radovi do pune pogonske gotovosti mogu uključivati:</t>
  </si>
  <si>
    <t>U troškove opreme i uređaja podrazumijeva se njihova nabavna cijena, transportni troškovi, svi potrebni prijenosi, utovari i istovari, skladištenje i čuvanje, sve fco. Montirano prema projektnoj dokumentaciji i uputama proizvođača, važećim hrvatskim propisima, tehničkim propisima prema kojima je instalacija projektirana i pravilima struke.</t>
  </si>
  <si>
    <r>
      <t>Radove treba izvesti točno prema opisu troškovnika, tehničkom opisu građevine, a u stavkama gdje nije objašnjen način rada i posebne osobine finalnog produkta, izvođač je dužan pridržavati se uobičajenog načina rada, uvažavajući odredbe važećih standarda, uz obvezu izvedbe kvalitetnog proizvoda. Osim toga, izvođač  je obvezan pridržavati se uputa</t>
    </r>
    <r>
      <rPr>
        <sz val="10"/>
        <color rgb="FFFF0000"/>
        <rFont val="Calibri"/>
        <family val="2"/>
        <scheme val="minor"/>
      </rPr>
      <t xml:space="preserve"> </t>
    </r>
    <r>
      <rPr>
        <sz val="10"/>
        <color theme="1"/>
        <rFont val="Calibri"/>
        <family val="2"/>
        <charset val="238"/>
        <scheme val="minor"/>
      </rPr>
      <t xml:space="preserve">nadzora, a naročito u slučajevima kada se zahtjeva izvedba van propisanih standarda. Sav materijal za izgradnju mora biti kvalitetan i mora odgovarati opisu troškovnika, tehničkom opisu i postojećim građevinskim propisima. U slučaju da opis pojedine stavke nije dovoljno jasan, mjerodavna je samo uputa i tumačenje nadzora. O tome se izvođač treba informirati već prilikom sastavljanja jedinične cijene. Cijene pojedinih radova moraju sadržavati sve elemente koji određuju cijenu gotovog proizvoda, a u skladu sa odredbama troškovnika. Ako  izvođač </t>
    </r>
    <r>
      <rPr>
        <sz val="10"/>
        <color rgb="FFFF0000"/>
        <rFont val="Calibri"/>
        <family val="2"/>
        <scheme val="minor"/>
      </rPr>
      <t xml:space="preserve"> </t>
    </r>
    <r>
      <rPr>
        <sz val="10"/>
        <color theme="1"/>
        <rFont val="Calibri"/>
        <family val="2"/>
        <charset val="238"/>
        <scheme val="minor"/>
      </rPr>
      <t>sumnja u valjanost ili kvalitetu nekog propisanog mate</t>
    </r>
    <r>
      <rPr>
        <sz val="10"/>
        <rFont val="Calibri"/>
        <family val="2"/>
        <scheme val="minor"/>
      </rPr>
      <t>rijala i drži da za takvu izvedbu ne bi mogao preuzeti odgovornost, dužan je o tome obavijestiti nadzornog inženjera</t>
    </r>
    <r>
      <rPr>
        <sz val="10"/>
        <color theme="1"/>
        <rFont val="Calibri"/>
        <family val="2"/>
        <charset val="238"/>
        <scheme val="minor"/>
      </rPr>
      <t xml:space="preserve"> sa obrazloženjem i dokumentacijom. Konačnu odluku donosi </t>
    </r>
    <r>
      <rPr>
        <sz val="10"/>
        <rFont val="Calibri"/>
        <family val="2"/>
        <scheme val="minor"/>
      </rPr>
      <t>nadzorni inženjer u suglasnosti s naručiteljem, nakon proučenog prijedloga   izvođača . Ponuda obuhvaća sve</t>
    </r>
    <r>
      <rPr>
        <sz val="10"/>
        <color theme="1"/>
        <rFont val="Calibri"/>
        <family val="2"/>
        <charset val="238"/>
        <scheme val="minor"/>
      </rPr>
      <t xml:space="preserve"> radove koji su neophodni za izvedbu određenih radova, ukljućujući i čišćenje nakon obavljanja istih. Obračun prema stvarnim količinama. U jediničnu cijenu svake stavke obvezno uključiti sve mjere osiguranja prolaznika, radnika i okolnih građevina za vrijeme trajanja radova, svu potrebnu skelu, sva potrebna premještanja postojećih instalacija i dovođenje istih u prvobitno stanje po završetku radova, sve transporte materijala preostalog od rušenja, deponiranje na gradilišnoj deponiji, utovar i odvoz na gradsku deponiju (5 km udaljenost), odnosno sortiranje i deponiranje na mjesto koje odredi investitor za eventualnu ponovnu ugradnju, sve nabave, transporte do gradilišta, horizontalne i vertikalne transporte na gradilištu, sav potreban rad, osnovni i pomoćni materijal i pomoćne radnje, razne pripomoći; sva čišćenja u tijeku i nakon završetka radova. Stavke obuhvaćaju sve potrebne radnje i materijale do potpune gotovosti i funkcionalnosti uz dozvoljeno odstupanje u dimenzijama od 5 %.</t>
    </r>
  </si>
  <si>
    <t>Prije početka izvedbe izvođač radova dužan je u skladu s važećim propisima osigurati gradilište.</t>
  </si>
  <si>
    <t>Za eventualne štete uzrokovane neodgovornim ili nestručnim radom odgovara izvođač radova, te ih je obvezan nadoknaditi investitoru.</t>
  </si>
  <si>
    <t>-	Ventilatori i pogonski motori postavljaju se vibroizolacijski u kućišta i povezuju sa sustavom pomoću fleksibilnih držača. Odgovornost za bešumnu usklađenost komponenti snosi Izvođač.
-	Ukupni pad tlaka izvedene mreže kanala Izvođač mora izračunati i primjeniti kod konačnog postavljanja ventilatora.
-	Karakteristična krivulja ventilatora mora se nalaziti u stabilnom područku kod oscilacija od +/-15 % oko svih mogućih točki. Treba se pridržavati raspisanog stupnja korisnosti ventilatora.
-	Kabelski prolazi za sve el. priključke opremaju se PG-vijcima/crijevnim vijcima. 
-	Svi dijelovi sustava i komponente, posebice grijaće i baterije za hlađenje 
moraju se u svako doba moći ispitati pomoću revizijskih otvora
- Uzemljenje ventilacijskog sustava/uređaja vrši električar. Sve dodatne spojeve na uzemljenje u uređaju ili kod premošćivanja spojeva od jakog platna izvodi proizvođač ventilacijskog sustava u skladu sa pravilnikom.</t>
  </si>
  <si>
    <r>
      <rPr>
        <b/>
        <sz val="10"/>
        <color theme="1"/>
        <rFont val="Calibri"/>
        <family val="2"/>
        <scheme val="minor"/>
      </rPr>
      <t>SPOJ</t>
    </r>
    <r>
      <rPr>
        <sz val="10"/>
        <color theme="1"/>
        <rFont val="Calibri"/>
        <family val="2"/>
        <scheme val="minor"/>
      </rPr>
      <t xml:space="preserve">
Sudar termoizolacijskih slojeva ‐ mineralne vune i XPS‐a izvesti u pravilnoj horizontalnoj reški, ispod linije postava mineralne vune položiti profil za podnožja i brtvenu traku ispod profila. Spojeve mineralne vune sa već ugrađenom stolarijom izvesti sa "zasijecanjem" na odgovarajuću dimenziju doprozornika. Sve izvoditi po uputstvima proizvođača i u dogovoru s nadzorom. Konačna fasadna ploha mora biti u strukturi ujednačena, bez pukotina i neravnina. U cijenu uključiti nabavu svog materijala i izvedbu komplet svih navedenih slojeva, sokl‐profile za zatvaranje donjeg ruba fasade, kutne profile za ojačanje uglova i obradu špaleta, te završni sloj. U svemu se pridržavati uputa proizvođača i Smjernica za izvedbu tankoslojnih fasada. Komplet do pune gotovosti i funkcionalnosti stavke.</t>
    </r>
  </si>
  <si>
    <t>Pripremnim radovima mora se prići s velikim oprezom, sa svim potrebnim osiguranjima i mjerama zaštite okoliša i štetnog utjecaja na susjedne objekte. Sve radove treba izvesti uz obveznu primjenu važećih propisa zaštite na radu za ovu vrstu radova. Izvođač je dužan tijekom cijelog izvođenja radova održavati gradilište - zgrade i okoliša čistim. Obavezno treba čistiti od blata i sl. kotače vozila koja izlaze sa gradilišta na javnu prometnicu, te obavezno osigurati čišćenje dijela prometnice uz ulaz u gradilište. Čišćenje se vrši po potrebi, izvan pojedinih radova, a uključuje i završno čišćenje pred predaju objekta. Izvođač je dužan tijekom cijelog izvođenja radova zaštiti postojeće zelenilo u zoni gradilišta. Izvođač je dužan izraditi terminski plan i dostaviti isti nadzornom inženjeru na ovjeru sukladno potpisanom Ugovoru s Naručiteljem. 'Izvođač je za vrijeme izvođenja radova dužan s građevinskim otpadom nastalim obavljanjem radova postupati sukladno DNSH načelima te Odluci o odlaganju građevinskog otpada i zemlje od iskopa građevinskih radova nadležne jedinice lokalne samouprave i ishoditi sve tražene Potvrde sukladno Odluci nadležnog Upravnog odjela. Za vrijeme izvođenja radova potrebno je osigurati nužno nesmetano i sigurno odvijanje prometa vozila i pješaka. Izvođač je dužan ishoditi Suglasnost na kolni prilaz od nadležnog Upravnog odjela jedinice lokalne samouprave. Zahtjev za suglasnost treba sadržavati i projekt privremene regulacije prometa za vrijeme izvođenja radova. Pripremni radovi obuhvaćaju i sve potrebne geodetske radnje od strane osobe ovlaštene za obavljanje poslova državne izmjere katastra nekretnina prema posebnom zakonu i u skladu sa geodetskim projektom, sva geodetska mjerenja kojima se podaci s projekta prenose na teren (vertikalno i horizontalno), sve obnavljanje i održavanje iskolčenih oznaka na terenu za vrijeme građenja, izradu Elaborata iskolčenja, stalno geodetsko praćenje izvedbe armiranobetonskih radova i radova na izradi čelične konstrukcije, te sve potrebne radnje za upis objekta u katastar. Nakon provedenog iskolčenja, izvođač je dužan dostaviti izjavu o provedenom iskolčenju u skladu s geodetskim projektom koja je ovjerena od strane ovlaštenog geodete, bez posebne nadoplate. Izvođač je sve vrijeme građenja dužan obnavljati izvedeno iskolčenje i sve oznake na terenu, bez obzira na uzroke štete. Geodetskom kontrolom utvrđuje se visinski i položajno početno stanje ili stanje izvedenog posla. Točnost mjerenja mora biti u skladu s geodetskim važećim propisima za pojedine vrste mjerenja i u skladu sa zahtjevima za kakvoću pojedinih radova prema ovim tehničkim uvjetima. Geodetski radovi pri građenju obuhvaćaju :a.iskolčenje trase i svih objekata u trasi i preko trase cesta;b.ovjerenu izjavu ovlaštenog geodete da je iskolčenje izvedeno u skladu sa geodetskim projektomc.sva geodetska mjerenja koja su u vezi s prijenosom podataka iz projekata na teren i obrnuto;d.održavanje iskolčenih oznaka na terenu u cijelom razdoblju od početka radova do predaje svih radova Naručitelju.</t>
  </si>
  <si>
    <t>Prije početka radova provjeriti da li trase postojećih instalacijskih vodova na gradilištu i u blizini zgrade kolidiraju s iskopom ili radnim prostorom potrebne mehanizacije.</t>
  </si>
  <si>
    <t xml:space="preserve">Radovi se moraju izvesti prema nacrtima i opisima iz troškovnika. Prije početka zemljanih radova obavezno iskolčiti gabarite objekta, te po potrebi postaviti druge potrebne oznake, označiti stalne visine te snimiti postojeći teren radi obračuna količine iskopa. Izvođenje radova na gradilištu započeti tek kada je ono uređeno prema odredbama Pravilnika o zaštiti na radu u građevinarstvu. </t>
  </si>
  <si>
    <t xml:space="preserve">U betonsku konstrukciju ugrađuje se samo projektirani beton (beton sa specificiranim tehničkim svojstvima). Izvođač mora prije početka ugradnje provjeriti je li beton u skladu sa zahtjevima iz projekta betonske konstrukcije te je li tijekom transporta betona došlo do promjene njegovih svojstava koja utječu na tehnička svojstva betonske konstrukcije. Kontrolni postupak utvrđivanja svojstava svježeg betona provodi se na uzorcima koji se uzimaju neposredno prije ugradnje betona u betonsku konstrukciju, pregledom svake otpremnice i vizualnom kontrolom konzistencije (svako vozilo) te kod opravdane sumnje ispitivanjem konzistencije istim postupkom kao u proizvodnji. </t>
  </si>
  <si>
    <t>Potvrđivanje sukladnosti armature proizvedene prema tehničkoj specifikaciji provodi se prema odredbama i specifikaciji navedenoj u glavnim projektima odnosno prema svim odgovarajućim važećim propisima. Svaki proizvod treba biti jasno označen i prepoznatljiv. Ako ne postoje pravovaljani tvornički rezultati ispitivanja proizvodne šarže, iz koje je primljena pošiljka čelika za armiranje, Izvođač mora prije ugradnje čelika izvršiti kontrolna ispitivanja čelika. Za armaturni čelik Izvođač je dužan priložiti izjave o svojstvima.
Svojstva armature koja se rabi za betonske konstrukcije moraju biti u skladu sa Tehničkim propisom za građevinske konstrukcije.</t>
  </si>
  <si>
    <t>Armatura izrađena od čelika za armiranje ugrađuje se u armiranu betonsku konstrukciju prema projektu betonske konstrukcije i/ili tehničkoj uputi za ugradnju i uporabu armature. Osiguranje debljine zaštitnog sloja betona treba svakako postići umetanjem odgovarajućeg broja plastičnih podmetača i jahača (za fiksiranje armature u gornjoj zoni pločastih konstrukcija). Najmanji zaštitni sloj betona ovisi o razredu izloženosti te načinu armiranja elementa i određen je projektom betonske konstrukcije.</t>
  </si>
  <si>
    <t>Zidarski radovi moraju se izvesti u skladu sa Pravilnikom o tehničkim mjerama i uvjetima za izvođenje zidova zgrade i važećim normama. Odstupanje od projektom predviđenih dimenzija dozvoljeno je samo u sporazumu s Nadzornim inženjerom. Isto vrijedi i za materijal koji se ugrađuje.</t>
  </si>
  <si>
    <t>Zidarski radovi odnose se na zidanje zidova od opeke debljine 25 i 12 cm, žbukanje zidova, stropova i obradu protupožarnih prodora, izradu i obradu prodora i šliceva, žbukanje zidova, stropova i dijelova fasade, razne zidarske pripomoći kod izvođenja instalacija, ugradnje stolarije, aluminijskih stijena i bravarskih elemenata i krpanja oštećenja. Zidovi se izvode od vrha donje AB ploče do podgleda gornje AB ploče - pune visine prostora.</t>
  </si>
  <si>
    <t>Zidovi od opeke zidaju se u odgovarajućem mortu, prema pravilima struke i uputama proizvođača. Zidanje nije dozvoljeno kod temperatura nižih od 0° C. Sve eventualno smrznute zidove treba srušiti i ponovo zazidati. Mort za pojedine namjene mora imati projektim konstrukcije predviđena svojstva. Vapno za žbukanje mora biti odležano barem 3 mjeseca. Pijesak mora biti oštar i čist. Cementno mlijeko za prskanje zidova mora sadržavati 10% oštrog čistog pijeska. Fina žbuka izvodi se u pravilu na već potpuno osušenu grubu žbuku, a izrađuje se od finog prosijanog pijeska. Ukupna debljina žbuke je 1,5 do 2 cm. Ne smiju se vidjeti tragovi glačalice niti pukotine od naglog sušenja.</t>
  </si>
  <si>
    <t xml:space="preserve">Svi zidarski i završni zidarski radovi moraju se izvoditi stručno prema važećim propisima i pravilima zanata. Zidanje se izvodi sa pravilnim zidarskim vezovima, a preklop mora iznositi najmanje jednu četvrtinu dužine zidnog elementa. Debljina ležajnica nesmije biti veća od 15 mm, a širina sudarnica nesmije biti manja od 10 mm niti veća od 15 mm. Zidove uz verikalni serklaž izvesti zupčasto.
Horizontalne i vertikalne reške za pregradne zidove su 1-1,5 cm, a mort se raspoređuje po cijeloj površini. Za vrijeme zidanja opeka se mora vlažiti vodom. Zida se u pravilnom zidarskom vezu sa preklopom od 1/2 bloka. Međusobni spoj uzdužnih i poprečnih zidova izvodi se zidarskim vezom, tako da se iz svakog drugog reda ispuste “zupci” za 1/2 opeke. </t>
  </si>
  <si>
    <t>Svi nadvoji u pregradnim zidovima se rade od tipskih opečnih elemenata za nadvoje i uključeni su u cijenu izvedbe zida. Nalijeganje nadvoja je min. 15 cm. Pri zidanju vertikalnost i horizontalnost zida obvezno kontrolirati pomoću libele i viska. Višak morta iz reške obvezno se skida (u ravnini opeke).</t>
  </si>
  <si>
    <t xml:space="preserve">Prilikom zidanja pravovremeno ostaviti otvore prema zidarskim mjerama, voditi računa o uzidavanju pojedinih građevinskih elemenata i ostavljanju utora za instalacije. Izrada utora za instalacije kao i žbukanje nakon polaganja istih uključeno je u cijenu i ne naplaćuje se posebno. Pri obračunu količina svi otvori se odbijaju po zidarskim mjerama. </t>
  </si>
  <si>
    <t xml:space="preserve">Opeku je pri skladištenju potrebno zaštititi od vlaženja i smrzavanja, kao i gotov zid. Vertikalne šupljine zida ne smiju se napuniti vodom, jer to može izazvati topljenje soli u glini i iscvjetavanje. Zidati se ne smije ispod temperature 5 °C. Mort mora odgovarati točno omjerima po količinama materijala označenim u prosječnim normama, a čvrstoća važećim propisima. </t>
  </si>
  <si>
    <t xml:space="preserve">Pijesak za žbukanje mora biti čist, bez organskih primjesa, oštar i prosijan, a vapno hidratizirano. Za produženi mort i špric upotrebiti portland cement PC-350. Žbukanje zidova vršiti u pogodno vrijeme. Površina zida treba biti suha i ne smije biti smrznuta. Temperatura jedan dan prije žbukanja, za vrijeme žbukanja i dva dana nakon žbukanja, ne smije pasti ispod 5 °C. Također treba izbjegavati žbukanje po velikoj vrućini da ne dođe do pucanja uslijed prebrzog sušenja. Ako se ipak radovi izvode pri niskim ili visokim temperaturama, izvođač je dužan osigurati njegovanje žbuke, grijanjem odnosno vlaženjem. </t>
  </si>
  <si>
    <t>Prije žbukanja plohe dobro navlažiti i nanijeti cementni špric u debljini 0,3 cm. Kod žbukanja u dva sloja, drugi sloj se nabacuje tek kad je drugi sloj potpuno suh. Kod strojnog žbukanja prskanjem, nanosi se samo jedan sloj žbuke ukupne debljine cca 1,5 cm. Žbukanje vršiti obvezno sa vodilicama pričvršćenim na zid, a na sve bridove ugrađuju se kutni profili od pocinčanog lima. Vodilice i kutni profili uključeni su u jediničnu cijenu.</t>
  </si>
  <si>
    <t>Završne površine moraju biti potpuno glatke i ravne, a kutevi i bridovi, te spojevi zida i stropa oštro izvedeni. 
Izvođač odgovara za kvalitet žbuke, a u slučaju neispravnosti, svi troškovi padaju na teret istog.
Uzorke žbuke: boju, vrstu agregata, teksturu i način obrade završne plohe prije ugradnje treba potvrditi Nadzorni inženjer.</t>
  </si>
  <si>
    <t>Obračun žbukanja se vrši po m2 površine, a otvori oko kojih postoje uložine (do 20 cm širine) se odbijaju na slijedeći način:
­ otvor veličine do 3,00 m2 ne odbija se, a uložine se ne zaračunavaju se posebno.
­ kod otvora veličine preko 3,00 m2 do 5,00 m2 odbija se površina preko 3,00 m2, a uložine se ne zaračunavaju posebno.
­ kod otvora veličine preko 5,00 m2 odbija se površina preko 3,00 m2, a uložine se zaračunavaju posebno.</t>
  </si>
  <si>
    <t>Za vrijeme izvođenja i po završetku radova, izvođač je dužan očistiti objekt od otpadnog materijala i isti odvesti na gradski deponij, što se ne obračunava posebno, već je uključeno u cijenu.</t>
  </si>
  <si>
    <t xml:space="preserve">Ova skupina radova odnosi se na nabavu, dobavu, izradu i montažu:
- vertikalnih i horizontalnih hidroizolacija;
- toplinskih izolacija;
- zvučnih izolacija;
- zaštitnih i razdijelnih folija/membrana. </t>
  </si>
  <si>
    <t>Ovi uvjeti odnose se na sve izolaterske radove na ravnim i kosim krovovima, podovima, zidovima kao i na radove koji su u vezi s tim radovima. Svi materijali koji se ugrađuju moraju po svom sastavu, fizičko mehaničkim osobinama i obliku sukladni važećim zakonskim propisima za materijale i za njih moraju postojati atesti. Ukoliko za pojedine materijale ne postoje hrvatske norme, za njih moraju postojati atesti s mišljenjem ovlaštene stručne institucije, da se mogu upotrebljavati za pojedinu vrstu izolacija u predviđenim kombinacijama. Oštećeni, slijepljeni ili na bilo koji drugi način neispravni materijali ne smiju se ugrađivati.</t>
  </si>
  <si>
    <t>Izolaterski radovi moraju biti izvedeni prema Izvedbenom projektu, a u skladu sa važećim tehničkim propisima, uputstvima proizvođača materijala, te prema oprobano ispravnim i ustaljenim načinima rada.
Svi građevinski, zanatski i drugi radovi koji prethode izolacijama ili se izvode paralelno ili nakon izolacija, a čije izvođenje stvara mogućnost oštećenja izolacije, moraju se izvesti maksimalno pažljivo.</t>
  </si>
  <si>
    <t>Svi građevinski, zanatski i drugi radovi, koji prethode pojedinim izolacijama, bilo da su u vezi s njima ili ne, ali čije odvijanje usporedno ili kasnije izvođenje stvara mogućnost oštećenja izolacije moraju se izvršiti prije izolacije. Prije početka izvedbe izolacijskih radova mora se kontrolirati ispravnost već izvršenih građevinskih, zanatskih i drugih radova, koji bi mogli utjecati na kvalitetu, sigurnost i trajnost izolacija, te činjenično stanje zapisnički ustanoviti u građevinskom dnevniku. Kad Izvođač započne sa radovima znači da je prethodne radove prihvatio kao ispravne, pa se naknadne primjedbe na račun kvalitete neće priznati.</t>
  </si>
  <si>
    <t>Izvođenje izolaterskih radova mora biti takvo da pojedini dijelovi ili slojevi kao i cijela završna izolacija u potpunosti odgovara svojoj namjeni, zahtjevima dobre kvalitete, sigurnosti i dugotrajnosti.
Ako u opisu radova nije izričito propisan određeni materijal, izvođač mora na vlastitu odgovornost izabrati i pripremiti materijal koji odgovara mjestu ugradbe, a u skladu je sa važećim zakonskim propisima.
U jediničnim cijenama uračunati su svi radovi dotične stavke, sa dobavom potrebnog materijala, istovarom i uskladištenjem na gradilištu, sav horizontalni i vertikalni transport do radnog mjesta, kao i sva potrebna radna snaga i režijski troškovi. Obračun se vrši prema iskazanoj razvijenoj površini izolacija.</t>
  </si>
  <si>
    <t>Primjena hidroizoilacijske zaštite od  vodoodbojnih, vodonepropusnih, paropropusnih i UV stabilnih materijala; moguća je samo uz prilaganje važećih atesta ili odgovarajućeg dokaza o kvaliteti, a sve u skladu sa važećim zakonima, propisima, normama, te Izvedbenim projektom.</t>
  </si>
  <si>
    <r>
      <rPr>
        <b/>
        <sz val="11"/>
        <color theme="1"/>
        <rFont val="Calibri"/>
        <family val="2"/>
        <charset val="238"/>
        <scheme val="minor"/>
      </rPr>
      <t>TOPLINSKA I ZVUČNE IZOLACIJE -</t>
    </r>
    <r>
      <rPr>
        <sz val="11"/>
        <color theme="1"/>
        <rFont val="Calibri"/>
        <family val="2"/>
        <charset val="238"/>
        <scheme val="minor"/>
      </rPr>
      <t xml:space="preserve"> Ovi radovi obuhvaćaju toplinsku izolaciju svih podova i zidova građevine, toplinsku izolaciju ravnih prohodnih i neprohodnih krovova, te zvučnu izolaciju međukatnih i razdjelnih konstrukcija.
Primjena toplinske zaštite od termostabilnih i vodoodbojnih termoizolacijskih materijala, te primjena zvučne zaštite akustičkim oblogama, panelima i izolacijskim pločama; moguća je samo uz prilaganje važećih atesta ili odgovarajućeg dokaza o kvaliteti, a sve u skladu sa važećim zakonima, propisima te Izvedbenim projektom.
Materijali za izolaciju moraju biti deponirani do ugradnje, propisno odležani te zaštićeni nakon ugradnje u svemu prema uputama proizvođača materijala. Ukoliko se ugradi neadekvatni materijal isti se mora ukloniti i zamijeniti novim na račun Izvođača radova. Izvođač mora primjenjivati materijale predviđene natječajnom dokumentacijom te dostaviti ateste proizvođača, kako za izolacioni materijal, tako i za sidra kojima se učvršćuje na konstrukciju. Izvođač je dužan dostaviti sve ateste prije izvedbe radova. Toplinskom izolacijom moraju se ostvariti energetska svojstva objekta predviđena natječajnom dokumentacijom. Svi materijali moraju zadovoljiti natječajne zahtjeve u vidu koeficijenta toplinske provodljivosti (W/mK).</t>
    </r>
  </si>
  <si>
    <r>
      <rPr>
        <b/>
        <sz val="11"/>
        <color theme="1"/>
        <rFont val="Calibri"/>
        <family val="2"/>
        <charset val="238"/>
        <scheme val="minor"/>
      </rPr>
      <t>HIDROIZOLACIJE</t>
    </r>
    <r>
      <rPr>
        <sz val="11"/>
        <color theme="1"/>
        <rFont val="Calibri"/>
        <family val="2"/>
        <charset val="238"/>
        <scheme val="minor"/>
      </rPr>
      <t xml:space="preserve">
Ovi radovi obuhvaćaju izvedbu hidroizolacije podrumskih zidova i temelja, hidroizolaciju u prostorima sanitarnih čvorova, hidroizolaciju ravnih i kosih krovova, hidroizolacju zidova vanjskih i unutarnjih pročelja.
Hidroizolacije se izvode kao folije, membrane, mortovi ili premazi, na vertikalnim, horizontalnim i kosim plohama, a sve kako je opisano u općim uvjetima i opisima pojedinih stavki ovog troškovnika.
Kod izrade hidroizolacije treba se u potpunosti pridržavati uputstva proizvođača materijala, kako u pogledu pripreme podloga tako i svih faza rada, zaštite izvedene izolacije te uvjeta rada (atmosferske prilike, temperatura i sl). Podloge za izolaciju potrebno je dobro očistiti od svih nečistoća, prašine, krhotina i masnoća. Veće izbočine treba otući ili izbrusiti, a neravnine i udubine zapuniti mortom za izravnanje ili drugim sredstvima, a sve po uputi proizvođača. Izvođač izolaterskih radova dužan je prije polaganja hidroizolacije, provjeriti ravnost i kvalitetu podloge, te zatražiti popravak iste ako je to potrebno.
</t>
    </r>
  </si>
  <si>
    <t>Preporuča se postavljanje potkonstrukcije na sve horizontalne spojeve ploča. Obloga se izvodi uglavnom od gipskartonskih impregniranih ploča debljine 12.5 mm u jednom ili više slojeva. Obloga se postavlja 1 cm od poda i zaštićuje od tehnološke vlage. Fiksiraju se na pocinčanu potkonstrukciju odgovarajućim samoreznim vijcima prema uputama proizvođača. Kod izvedbe konstrukcije od GK ploča potrebno se držati svih uputa proizvođača, naročito glede uskladištenja ploča i uvjeta temperature i vlažnosti zraka prostora u kojima će se izvoditi spušteni strop ili pregrada(temperatura od 11do 35°C i relativna vlažnost od 70%). Sve priključne površine na zidovima, na stropu ili na podu izvode se s brtvenim trakama. U kontaktu između dviju nosivih metalnih potkonstrukcija postavlja se PE traka. Kao izolacijski sloj predviđena je meka mineralna vuna koja se postavlja po čitavoj površini tako da se onemogući njeno pomicanje. Odbitak otvora:Izrada slijepog otvora za dovratnik ili druge prodore površine do 2,5 m² svijetlog otvora posebno se ne zaračunava. Spojevi ploča se bandažiraju i obrađuju specijalnim zapunjačem prema preporuci proizvođača.</t>
  </si>
  <si>
    <r>
      <t xml:space="preserve">Spoj sa zidom izvesti UD profilima. Učvršćenje izvesti pogodnim sredstvima ovisno o materijalu zida. Bridove učvrstiti tipskim metalnim "L" profilima. Nakon obrade spojeva i prekrivanja spojnih sredstava potrebno je površinu zida obraditi tako da bude prikladna za nanošenje impregnacijskih sredstava prije bojanja. Konstrukcija je ojačana sa Fe profilama, koji se postavljaju u slučaju predviđenih niša za ormare, kao dodatno horizontalno učvršćenje obloge u dvovisinskim prostorijama i uz ulazna vrata. Pocinčani Fe profili 70x30 mm fiksiraju se na betonske i porobetonske zidove odgovarajućim vijcima.
</t>
    </r>
    <r>
      <rPr>
        <b/>
        <sz val="11"/>
        <color theme="1"/>
        <rFont val="Calibri"/>
        <family val="2"/>
        <charset val="238"/>
        <scheme val="minor"/>
      </rPr>
      <t>SPUŠTENI STROPOVI</t>
    </r>
    <r>
      <rPr>
        <sz val="11"/>
        <color theme="1"/>
        <rFont val="Calibri"/>
        <family val="2"/>
        <charset val="238"/>
        <scheme val="minor"/>
      </rPr>
      <t xml:space="preserve">
Izvođač je dužan izraditi shemu polaganja spuštenog stropa sa ucrtanom potkonstrucijom, rasterima, pločama. Shema polaganja mora uključivati sve instalacije koje se ugrađuju u strop (rasvjeta, ventilacija i sl.) te način njihovog uklapanja u raster potkonstrukcije spuštenog stropa i izvedbu potrebnih ojačanja. Izvođač je dužan osigurati transport i ugradnju elemenata bez oštećenja.
</t>
    </r>
  </si>
  <si>
    <t>Dilatacije objekta prenijeti na konstrukciju spuštenog stropa. Kod duljina većih od 10 m ili kod naglih smanjenja presjeka stropnih površina potrebno je izraditi dilatacijski spoj. Učvršćenje i ovješenje spuštenog stropa izvesti prema detaljima sukladno tehničkim listovima proizvođača spuštenog stropa. Kod zahtijeva vatrozaštite obvezno upotrijebiti protupožarne ploče i obratiti pozornost na razmak ovjesa i profila u potkonstrukciji.
Fugiranje spojeva između ploča i sredstava za pričvršćivanje izvodi se posebnim elastičnim kitovima u skladu s standardom, odnosno smjernicama proizvođača. Za nastale nekontrolirane raspukline unutar gips kartonskih sistema odgovoran je izvođač bandaža, a za neravnu površinu (vidljiv spoj gips kartonskih ploča) izvođač soboslikarskih radova. Međusobno se bandažiraju samo istovrsni materijali. Bandažiranje između raznovrsnih materijala nije dopušteno. Spojevi dvaju raznovrsnih materijala (npr. beton ili žbuka-GK ploča) izvode se tzv. kontroliranom fugom.</t>
  </si>
  <si>
    <t>Kod spojeva protupožarnih zidova s okolnim građevnim dijelovima (strop, pod i zidovi) potrebno je osigurati otpornost na požar nosivih i potpornih dijelova iste razine kao i pregradni zid, protupožarnim brtvljenjem što je uključeno u jediničnu cijenu.</t>
  </si>
  <si>
    <r>
      <rPr>
        <b/>
        <sz val="11"/>
        <color theme="1"/>
        <rFont val="Calibri"/>
        <family val="2"/>
        <charset val="238"/>
        <scheme val="minor"/>
      </rPr>
      <t>ZAŠTITNE I RAZDJELNE FOLIJE I MEMBRANE</t>
    </r>
    <r>
      <rPr>
        <sz val="11"/>
        <color theme="1"/>
        <rFont val="Calibri"/>
        <family val="2"/>
        <charset val="238"/>
        <scheme val="minor"/>
      </rPr>
      <t xml:space="preserve">
Ovi radovi obuhvaćaju postav zaštitnih te razdjelnih folija i membrana unutar horizontalnih, vertikalnih i kosih dijelova konstrukcije.
Pod navedenim se smatra dobava i ugradnja PE folije u sklopu međukatnih konstrukacija, parne brana u sklopu konstrukcija krovova, geotekstila u sklopu međukatnih i podnih konstrukcija, te polietilenske čepićaste trake u sklopu konstrukcije zidova,  a sve kako je opisano u općim uvjetima i opisima pojedinih stavki ovog troškovnika.
Primjena zaštite od mehaničkog oštećenja hidroizolacije čepićastom folijom, te izvedba paronepropusnih membrana moguća je samo uz prilaganje važećih atesta ili odgovarajućeg dokaza o kvaliteti, a sve u skladu sa važećim zakonima, propisima, normama, te Izvedbenim projektom.</t>
    </r>
  </si>
  <si>
    <r>
      <rPr>
        <b/>
        <sz val="11"/>
        <color theme="1"/>
        <rFont val="Calibri"/>
        <family val="2"/>
        <charset val="238"/>
        <scheme val="minor"/>
      </rPr>
      <t>GIPSKARTONSKI RADOVI</t>
    </r>
    <r>
      <rPr>
        <sz val="11"/>
        <color theme="1"/>
        <rFont val="Calibri"/>
        <family val="2"/>
        <charset val="238"/>
        <scheme val="minor"/>
      </rPr>
      <t xml:space="preserve">
Gipskartonskim radovima obuhvaćena je izrada: pregradnih, obložnih te instalacijskih zidova i maski za instalacije. Svi elementi potkonstrukcije, obloga, izolacija kao i zidovi u cjelini trebaju odgovarati traženim karakteristikama i važećim propisima. Radovi se izvode po proceduri propisane od proizvođača materijala. Potkonstrukcija se izvodi od pocinčanih čeličnih UW i CW profila različitih visina profila , a minimalne debljine stjenke od 0.6 mm sa štancanim otvorima za vodovodne ili električne instalacije.
UW profili učvršćuju se u pod i strop ,a nosivi CW profili u UW i zidove u skladu sa važećim zakonskim propisima.
Pregrade se upinju u nosivu podnu i stropnu konstrukciju tako da presjecaju slojeve poda. Razmak i odabir podkonstrukcije ovisi o traženim karakteristikama zida te o visini prostorije.
</t>
    </r>
  </si>
  <si>
    <t xml:space="preserve">Materijal mora odgovarati važećim zakonskim i tehničkim propisima, a oni koji nisu obuhvaćeni moraju biti atestirani od strane ovlaštene organizacije.
Kod izrade bilo kojeg sustava fasade potrebno je koristiti sistemske komponente i sistemska rješenja prema uputama proizvođača. Izvođač je dužan u jediničnu cijenu uključiti sve potrebne profile za kvalitetno izvođenje radova na fasadi (okapni i kutni profil, završetak podnožja fasade i sl.).
Fasaderski radovi ne smiju se izvoditi  po lošem vremenu koje bi moglo utjecati na kvalitetu radova. </t>
  </si>
  <si>
    <t>Fasaderski radovi moraju biti stručno dobro izvedeni. Na dovršenoj fasadi ne smiju se primjećivati tragovi četke, kista ili valjka. Sloj boja mora biti ujednačene jakosti i bez mrlja.
Materijali se mogu ugrađivati samo na onim površinama za koje su prema svojim fizikalno-kemijskim i mehaničkim karakteristikama i namjenjeni.</t>
  </si>
  <si>
    <t>Povezani sustavi za vanjsku toplinsku izolaciju (ETICS) na osnovi ekspandiranog/ekstrudiranog polistirena i na osnovi mineralne ili kamene vune smiju se ugraditi ako, ovisno o vrsti materijala, njihovoj namjeni i uvjetima kojima će biti izloženi u ugrađenom stanju, ispunjavaju zahtjeve iz važećih zakonskim propisa te dodatne zahtjeve koji se određuju projektom. Fasadna skela mora biti u svemu izvedena, osigurana i označena u skladu sa važećim propisima, statičkim proračunom i projektom skele.</t>
  </si>
  <si>
    <r>
      <rPr>
        <b/>
        <sz val="11"/>
        <color theme="1"/>
        <rFont val="Calibri"/>
        <family val="2"/>
        <charset val="238"/>
        <scheme val="minor"/>
      </rPr>
      <t>ZIDANJE</t>
    </r>
    <r>
      <rPr>
        <sz val="11"/>
        <color theme="1"/>
        <rFont val="Calibri"/>
        <family val="2"/>
        <charset val="238"/>
        <scheme val="minor"/>
      </rPr>
      <t xml:space="preserve">
Sav upotrijebljeni materijal mora odgovarati važećim zakonskim propisima. Opeka za zidanje mora biti dobro pečena, a materijal iz kojeg je napravljena ne smije sadržavati salitru. Za zidanje vanjskih zidova debljine 25 cm koristi se šuplja glinena opeka. Za zidanje pregradnih zidova debljine 12 cm koristi se šuplja blok opeka. Prije zidanja treba potpuno horizontalno izravnati podlogu ispod zida. Površina se izravnava mortom debljine 1 cm u debljini zida. Marka opeke je MO 10 a marka morta je M5. Zidati se mora potpuno horizontalnim redovima. Horizontalne reške za nosive zidove su debljine 1,2 cm, a mort se raspoređuje po cijeloj površini. Vertikalnih reški od morta nema (mort se ne vidi), a zapunjavaju se po cijeloj visini opeke mortni čepovi u sredini.</t>
    </r>
  </si>
  <si>
    <r>
      <rPr>
        <b/>
        <sz val="11"/>
        <color theme="1"/>
        <rFont val="Calibri"/>
        <family val="2"/>
        <charset val="238"/>
        <scheme val="minor"/>
      </rPr>
      <t>ŽBUKANJE</t>
    </r>
    <r>
      <rPr>
        <sz val="11"/>
        <color theme="1"/>
        <rFont val="Calibri"/>
        <family val="2"/>
        <charset val="238"/>
        <scheme val="minor"/>
      </rPr>
      <t xml:space="preserve">
Žbukaju se svi unutrašnji zidovi i unutrašnji i vanjski stropovi. Unutrašnje žbukanje izvodi se produžnim cementnim mortom ili strojno industrijskim mortom. Za žbukanje stropova koristi se ista žbuka kao i za zidove. Sve plohe nakon žbukanja trebaju biti čvrste, postojane i potpuno ravne. Bridovi trebaju biti oštri i potpuno ravni i vertikalni.</t>
    </r>
  </si>
  <si>
    <t>Jedinična cijena obuhvaća dobavu i ugradbu pločica sa veznim materijalom, izvedbom radnih reški i obradu reški masom za popunjavanje. Obračun po m2 izvedene obloge poda i m' sokla.</t>
  </si>
  <si>
    <t>Pukotine u ravnini do 0,5 mm moraju se moći premostiti. Jednake vrijednosti važe kod korištenja brtvenih mortova u postupku tankog uležištenja. Završeci i kutevi moraju se zatvoriti brtvenom trakom i prekriti sredstvom za brtvljenje. Za uljeve u podu treba koristiti sistemu odgovarajuće brtvene manžete.</t>
  </si>
  <si>
    <t>Spojevi površina zida i poda, predmeta (kade za kupanje i sl.) kao i vratnih pragova na površine s pločicama, treba izvesti s reškama vodopostojano i elastično, ukoliko nije drugačije raspisano. Ukoliko kade ili tuš-kade stoje na plivajućem estrihu, trebaju prije izvođenja popločenja uzidati ili obložiti, treba paziti na razdvajanje od flankirajućih zidova (10 mm trake od pjenaste plastike). Elastično reškanje treba izvesti nadalje kod površina s više od 4 m duljine, uskačućih kuteva kao na linijama dodira različitih podloga (npr. beton i ziđe). Rubovi reški moraju se najprije premazati primerom za prijanjanje. Rubove treba obljepiti. Reške moraju biti bez ostataka žbuke i prolaziti do podloge. Materijal reški mora biti usklađen s pločicama i podlogom.</t>
  </si>
  <si>
    <r>
      <rPr>
        <b/>
        <sz val="11"/>
        <color theme="1"/>
        <rFont val="Calibri"/>
        <family val="2"/>
        <charset val="238"/>
        <scheme val="minor"/>
      </rPr>
      <t>KERAMIČARSKI RADOVI</t>
    </r>
    <r>
      <rPr>
        <sz val="11"/>
        <color theme="1"/>
        <rFont val="Calibri"/>
        <family val="2"/>
        <charset val="238"/>
        <scheme val="minor"/>
      </rPr>
      <t xml:space="preserve">
Podne keramičke pločice  polažu se u ljepilu sa reškom širine 3 mm, zapunjena i obrađena masom za fugiranje u boji po izboru nadzora/investitora. Obrada reški ulazi u jediničnu cijenu izvedbe opločenja.</t>
    </r>
    <r>
      <rPr>
        <b/>
        <sz val="11"/>
        <color theme="1"/>
        <rFont val="Calibri"/>
        <family val="2"/>
        <charset val="238"/>
        <scheme val="minor"/>
      </rPr>
      <t xml:space="preserve">
</t>
    </r>
    <r>
      <rPr>
        <sz val="11"/>
        <color theme="1"/>
        <rFont val="Calibri"/>
        <family val="2"/>
        <charset val="238"/>
        <scheme val="minor"/>
      </rPr>
      <t>Zidne keramičke pločice  polažu se u ljepilu sa reškama širine 2 mm. Opločenje se  izvodi sistemom reška na rešku. Dubina reške 5 mm. Tako pripremljene reške zapunjavaju se masom za fugiranje u boji po izboru nadzora/investitora. Shema slaganja, vrsta i boja pločica u dogovoru sa nadzorom/investitorom.</t>
    </r>
  </si>
  <si>
    <t>Na svim vidljivim rubovima treba ugraditi kuteve za pločice, ukoliko se ne stavljaju pločice s rubnom glazurom. Kod izvođenja zidnih obloga treba paziti na rezanje pločica s obzirom na položaj sanitarnih uređaja, pričvršćenja, armatura, prekidača, utičnica i sl. Odgovarajuće podatke treba dogovoriti s vodstvom gradnje u ovisnosti o rasterskoj mjeri. Ako su utičnice ili kutije za instalacije smješteni nepričvršćeni ili su heftani, onda ih pri polaganju ploča treba konačno fiksirati. Ako nije drugačije raspisano, onda se pločice i ploče polažu u presjek reške i paralelno na zidove. Dosjedni dijelovi ne smiju biti manji od pola ploče.</t>
  </si>
  <si>
    <t>Za vrijeme izvođenja treba paziti da su otvori preljeva, cijevi i slično zatvoreni i da se predmeti uređenja moraju zaštititi od zaprljanja. Uljevi u podu dobivaju u području spajanja dodatno laki pad.
Ako su na poleđini pločica užljebljene strukture, onda treba paziti na pravac polaganja. Materijal za reškanje mora biološki biti bez primisli. Reškanje smije uslijediti tek nakon vezivanja odnosno sušenja morta za polaganje a nikako prije nego prođu 24 sata.  Ako nije drugačije opisano, dopušteno je reškanje s gumenom lopaticom odnosno razvodnikom.</t>
  </si>
  <si>
    <t>Za vanjske obloge, vlažne prostorije i iznad podnog grijanja treba koristiti tvornički proizvedene i relativno elastične reške s mortom. Kod radova brušenja u suhom postupku treba koristiti usisivače. Ugrađen materijal mora odgovarati uzorku; izričita potvrda uzorka trebala bi se pribaviti od Investitora.</t>
  </si>
  <si>
    <r>
      <t xml:space="preserve">LIČILAČKI RADOVI
</t>
    </r>
    <r>
      <rPr>
        <sz val="11"/>
        <color theme="1"/>
        <rFont val="Calibri"/>
        <family val="2"/>
        <charset val="238"/>
        <scheme val="minor"/>
      </rPr>
      <t>Izvođač je dužan izvesti uzorak prije izvođenja radova, od materijala od kojega će se radovi izvoditi, i tek po dobivanju suglasnosti od strane nadzora na predočeni uzorak, izvođač može pristupiti bojanju i ličenju. Rad mora biti kvalitetno izveden. Na obojenim površinama ne smije biti mrlja, sjaj mora biti jednoličan i čist, a boja stalan, te se ne smije ljuštiti ni napuhivati.</t>
    </r>
  </si>
  <si>
    <t>Podloga mora biti suha, čvrsta i čista (bez masnih mrlja i druge prljavštine, bez slabo vezanih dijelova, praha te drugih nečistoća) nosiva, suha, nesmrznuta, te prije prvog bojanja impregnirana impregnacijom. Nanosi se četkom, valjkom ili prskanjem u dva ili tri sloja, ovisno o boji i pokrivanju. Prije dodavanja vode boju treba dobro promiješati. Po prekidu rada ambalažu s bojom dobro zatvoriti, a nakon ličenja pribor oprati vodom.</t>
  </si>
  <si>
    <t>Tijekom izvođenja ličilačkih radova treba obratiti pažnju na atmosferske prilike. Vanjski radovi se ne smiju izvoditi u slučaju oborina, magle, zraka prezasićenog vlagom, te jakog vjetra i temperature ispod +50°C.
Premazi i obojenja moraju biti postojani na svjetlo i otporni na pranje vodom, a na vanjskim plohama otporni na atmosferilije. Svi soboslikarski radovi moraju se izvesti prema odabranim uzorcima.</t>
  </si>
  <si>
    <t>Izvođač je dužan prije početka rada pregledati podloge i ustanoviti da li su sposobne za predviđenu obradu. Ako na podlozi postoje bilo kakvi nedostaci koji se mogu odraziti na kvalitetu radova, izvođač je dužan na to upozoriti naručitelja radova jer se naknadno pozivanje na lošu podlogu neće uvažiti.</t>
  </si>
  <si>
    <t>Izvođač može započeti radove tek kada su iz prostorije odstranjeni svi otpatci i dr. što bi moglo smetati pri izvedbi. Za sve vrste soboslikarsko-ličilačkih radova podloge moraju biti čiste od prašine i druge prljavštine kao što su smole, ulja, masti, čađa, bitumen, cement, mort i slično.</t>
  </si>
  <si>
    <t>Unutrašnji zidovi prostorija prvo se izravnaju, gletaju specijalnim poistavama koje moraju dobro prijanjati na podlogu i nakon sušenja tvoriti vrlo čvrstu podlogu za bojanje disperzivnim bojama.
Vanjski ličilački radovi ne smiju se izvoditi po lošem vremenu, koje bi moglo štetiti kvaliteti radova (kao npr. hladnoća, oborine, magla, jak vjetar i sl.).</t>
  </si>
  <si>
    <t>RAL ugradnja
Prozori i vrata smiju se ugraditi u građevinu ako ispunjavaju zahtjeve propisane Tehničkim propisom za prozore i vrata i ako su za prozor odnosno vrata izdane izjave o sukladnosti u skladu s odredbama posebnog propisa.</t>
  </si>
  <si>
    <t>Dokumentacija s kojom se isporučuju prozori i/ili vrata mora sadržavati:
- podatke koji povezuju radnje i dokumentaciju o sukladnosti prozora odnosno vrata i izjave o sukladnosti iz stavka 1. čl. 6 Tehničkog propisa za prozore i vrata odnosno potvrde o sukladnosti iz stavka 2. ovoga članka, 
- podatke u vezi s označavanjem prozora odnosno vrata, i
- druge podatke značajne za rukovanje, prijevoz, pretovar, skladištenje, ugradnju, uporabu i održavanje
prozora i/ili vrata te za njihov utjecaj na bitna svojstva i trajnost građevine.</t>
  </si>
  <si>
    <t>Prozor treba biti točno centriran u zidarski otvor (sa zračnim razmacima od 1 cm sa svake strane), zračni razmaci od 1 cm su bitni zato da bi ih mogli kvalitetno ispuniti pjenom i time omogućiti kvalitetnu zvučnu i toplinsku izolaciju jer montažom ne smijemo srušiti izolacijske vrjednosti samog prozora.
Međuprostor između građevinskog otvora i veličine prozora, kao i materijal koji se koristi za učvršćivanje prozora mora omogućiti prozoru da se uslijed utjecaja temperature nesmetano širi odnosno skuplja.
Drugi zahtjevi su montažni zahtjevi koji onemogućavaju prodor prašine, vlage ili vode između prozora i zidarskog otvora, ti zahtjevi se osiguravaju zapunjavanjem proreza silikonskim kitovima visoke kvalitete, postojanosti i opstojnosti kod različitih temperatura, jer moraju omogućiti sigurno brtvljenje i dovoljno rastezanje kako ne bi puknuli kod toplinskih rastezanja prozora.</t>
  </si>
  <si>
    <t xml:space="preserve">Prozore i vrata je potrebno prilikom ugradnje kontinuirano zabrtviti brtvenom pjenom po cijelom obodu.
Izvođač je dužan izraditi izvedbene sheme stolarije i dostaviti ih nadzoru/investitoru ovoga projekta na odobrenje. Pozicije stolarije, točnu veličinu otvora i broj komada provjeriti na građevini. Dimenzije stolarije definirane u shemama stolarije mogu odstupati do 5% u odnosu na stvarno stanje. Ta eventualna odstupanja je potrebno uračunati u cijenu stavke.
</t>
  </si>
  <si>
    <t>Elemente konstrukcije treba izvoditi u svemu prema specifikacijama, crtežima i uputama iz glavnog i izvedbenog građevinskog projekta konstrukcije.</t>
  </si>
  <si>
    <t>Izvođač je dužan izraditi radioničke nacrte svih čeličnih konstrukcjia prema stvarnoj izmjeri na licu mjesta, te istu dokumentaciju dostaviti na suglasnost nadzoru/investitoru. Dokumentacija mora sadržavati detaljnu razradu načina pričvršćenja čeličnih elementa naokolne nosive konstruktivne elemente, te međusobno spajanje elemenata. Dokumentacija mora sadržavati iskaz svih pričvrsnih sredstava  sa proračunom i dokazom nosivosti istih izrađenim od strane ovlaštene osobe.</t>
  </si>
  <si>
    <r>
      <rPr>
        <b/>
        <sz val="11"/>
        <color theme="1"/>
        <rFont val="Calibri"/>
        <family val="2"/>
        <charset val="238"/>
        <scheme val="minor"/>
      </rPr>
      <t>VODOOPSKRBA I ODVODNJA</t>
    </r>
    <r>
      <rPr>
        <sz val="11"/>
        <color theme="1"/>
        <rFont val="Calibri"/>
        <family val="2"/>
        <charset val="238"/>
        <scheme val="minor"/>
      </rPr>
      <t xml:space="preserve">
Svi radovi i dobava materijala moraju se izvesti prema općim uvjetima, tehničkom opisu i opisu radova i materijala u troškovniku, nacrtima, te postojećim propisima i pravilima za izvođenje uređaja instalacija vodovoda i kanalizacije. Jedinične cijene pojedinih stavki troškovnika moraju sadržavati svu odštetu i pripomoć za obavljeni rad, osnovni i pomoćni materijal, tj. dobavu i ugradnju, uključivo horizontalni i vertikalni prijenos u zgradi, te pomoćne skele i zaštitu, tako da se na pogođenu stavku troškovnika ne može tražiti nikakva dodatna odšteta osim pogođene cijene. U jediničnim cijenama moraju biti sadržani svi sporedni radovi, koji se posebno ne "zaračunavaju:" a) izmjere ugrađenog materijala poterbne za konačni obračun (građevinska knjiga, obračunski nacrti, geodetske skice, poterbne sheme i sl.) b) sav potreban alat i zaštitne naprave, pod kojima se podrazumjeva postavljanje skele, zaštitne ograde i sl. c) troškovi ispitivanja materijala, ali samo u slučaju ako je ovim ispitivanjem dokazano da izvođač nije upotrijebio odgovarajući materijal d) odstrarnjivanje svih otpadaka i smeća od instalacija vodovoda i kanalizacije s gradilišta e) prijedlozi eventualno potrebnih uzoraka, naročito sanitarnih uređaja i pribora te vodovodnih i kanalizacijskih cijevi na uvid investitoru-nadzoru f) popravak šteta počinjenih nepažnjom na vlastitim i tuđim radovima g) pripomoć kod ugradnje vodovodnih i kanalizacijskih cijevi i fazonskih komada, uključivo sva poterbna štemanja šliceva, prodora, pripasavanja i sl. zajedno s fazonskim komadima. h) ispumpavanje vode iz rovova kod montaže kanalizacijksih cijevi (oborine i sl.) uz obaveznu "fotodokumentaciju."</t>
    </r>
  </si>
  <si>
    <t>Izvođač se mora brinuti da se sav rad, cjevovodi, a naročito svi sanitarni uređaji, ugrađeni predmeti te hidranti zaštite od oštećenja.
Različite vrste materijala koje se uslijed elektrolitskih pojava međusobno zavaruju ne smiju se direktno dodirivati, već se za spoj moraju upotrijebiti međukomadi sa neutralnim djelovanjem.</t>
  </si>
  <si>
    <t>Sva učvršćenja-zavješenja i međusobna spajanja cjevovoda, izolacija i sl. moraju biti kvalitetno izvedeni. Cijevi natlačene vodom unutar vodovodne mreže u prostorijama mogućeg smrzavanja, potrebno je odgovarajuće izolirati i po potrebi grijati elektro grijačima do faze primopredaje radova.
Zatvaranju rovova usjeka i izradi izolacije pristupiti nakon uspješno provedene tlačne probe.</t>
  </si>
  <si>
    <t>Cijevi, spojevi cijevi i fitinga i izolacija cijevi moraju biti takve kvalitete da osiguraju besprijekorno funkcioniranje instalacija bez šumova, curenja i pucanja spojeva te smrzavanja i sl.
Križanja cijevi vođenih kroz slojeve podova, potrebno je izvoditi odgovarajućim zaobilaznicama. Posebno je važno, da su sve instalacije vođene po šlicevima, vertikalnim šahtovima i podovima (iznad a.b. konstrukcije) katova, te ispod stropova, dobro pričvršćene i zaštićene od oštećenja za vrijeme građevinskih radova, te kvalitetno izolirane. Cijevi, spojevi i izolacija ne smiju biti izgažene ili oštećene prilikom izvedbe slojeva poda. Isto vrijedi za sanitarne predmete.</t>
  </si>
  <si>
    <t>U jediničnim cijenama svih navedenih stavki specifikacija, prilikom izrade ponude (nuđenje izvedbe instalacija) moraju biti sadržani i obuhvaćeni ukupni troškovi opreme i uređaja, ukupni troškovi materijala i rada za potpuno dovršenje cjelokupnog posla uključujući:‒ izradu potrebne prateće radioničke dokumentacije,‒ prateća ispitivanja (tlačne, funkcionalne probe i sl.) s izradom pismenog izvješća, ‒ puštanje u probni pogon,‒ podešavanje radnih parametara,‒ puštanje u funkcijski-trajni rad, ‒ izradu primopredajne dokumentacije,‒ izradu projekta izvedenog stanja,kao i ostale radove koji nisu posebno iskazani specifikacijama, a potrebni su za potpunu i urednu izvedbu projektiranih instalacija, njihovu funkcionalnost, pogonsku gotovost i primopredaju korisniku kao npr. uputstva za rukovanje i održavanje, izradu natpisnih pločica i oznaka, pribavljanje potrebne dokumentacije za uporabnu dozvolu i sl. 
Izvođači su obvezni prije podnošenja ponude temeljito pregledati projektnu dokumentaciju, te procjeniti relevantne činjenice koje utječu na cijenu, kvalitetu i rok završetka radova.Prateća čišćenja prostora tijekom izvedbe radova, kao i obuka osoblja korisnika u rukovanju instalacijom do konačne - službene primopredaje investitoru odnosno krajnjem korisniku, moraju biti uključena u ponudbenu cijenu.U troškovima opreme i uređaja, podrazumijeva se njihova nabavna cijena, transpotrni troškovi, svi potrebni prijenosi, utovari i istovari, uskladištenje i čuvanje, sve fco. montirano, prema projektnoj dokumentaciji, odnosno u skladu s predmetnim općim napomenama. U troškovima materijala, podrazumijeva se nabavna cijena kako primarnog, tako i kompletnog pomoćnog spojnog - potrošnog materijala, uključivo sa svim potrebnim prijenosima, utovarima i istovarima, uskladištenjem i čuvanjem. Za sve izvedene radove, ugrađene materijale i opremu, potrebno je u skladu s propisima pribaviti dokaze o kakvoći (atestna dokumentacija i sl.), koji se bez posebne naknade daju na uvid nadzornom inženjeru, a prilikom primopredaje građevine uručuju Naručitelju, odnosno krajnjem korisniku.U ponudbenim cijenama mora biti obuhvaćen sav rad, uporaba lakih pokretnih skela, sva potrebna podupiranja, sav unutrašnji transport te potrebna zaštita izvedenih radova.Jedinična cijena svake stavke uključuje radnu snagu potrebnu za izvedbu, organizaciju na gradilištu, režije i sve ostalo potrebno za izvedbu funkcionalne stavke. Za eventualne štete uzrokovane neodgovornim ili nestručnim radom odgovara izvođač radova, te ih je obvezan nadoknaditi investitoru.</t>
  </si>
  <si>
    <t xml:space="preserve"> - FEF 3000 (Formable Elastomeric Foam), klasa B1, prema važećim propisima, teško zapaljiv. Toplinska vodljivost manja ili jednaka 0,040 W/mK pri 20°C. Koeficijent otpora difuziji vodene pare my =&gt; 3000.
- FEF 5000 (Formable Elastomeric Foam), klasa B1, prema važećim propisima. dio teško zapaljiv. Toplinska vodljivost manja ili jednaka 0,040 W/mK pri 20°C. Koeficijent otpora difuziji vodene pare my =&gt; 5000.
- FEF 7000 (Formable Elastomeric Foam), klasa B1, prema važećim propisima, teško zapaljiv. Toplinska vodljivost manja ili jednaka 0,038 W/mK pri 20°C. Koeficijent otpora difuziji vodene pare my=&gt;7000 
- FEF 15000 (Formable Elastomeric Foam), klasa B1, prema važećim propisima, teško zapaljiv. Toplinska vodljivost manja ili jednaka 0,040 W/mK pri 20°C. Koeficijent otpora difuziji vodene pare my =&gt; 15000.
- Za odabir i obradu izolacijskih materijala moraju se uvažavati važeće smjernice i norme.</t>
  </si>
  <si>
    <t>Opći uvjeti - strojarstvo</t>
  </si>
  <si>
    <t>sve potrebne prateće građevinske radove za ugradnju instalacija, kao što su štemanja, ušlicavanje, učvršćenje zidnih čahura, oslonaca i nosača cjevovoda, prodori za instalacije do Ø60 mm i slično. Nisu uključeni veći građevinski radovi kao što su interijarsko maskiranje, žbukanje, bojanje i sl.)</t>
  </si>
  <si>
    <t>sve potrebne radove za pripremu gradilišta, primjerice demontažu postojećih sustava koje je potrebno ukloniti, opremu i razvod, te transport na deponiju.</t>
  </si>
  <si>
    <t>prateće elektroinstalaterske radove odnosno spajanje uređaja na izvedene elektroinstalacije, međusobno povezivanje uređaja komunikacijskim kabelom i sl. Troškovnikom  nije obuhvaćeno dovođenje električnog napajanja na pojedine uređaje (predmet elektroinstalaterskih radova).</t>
  </si>
  <si>
    <t>izradu potrebne prateće radioničke dokumentacije,</t>
  </si>
  <si>
    <t>prateća ispitivanja (tlačne, funkcionalne probe i sl.) s izradom pismenog izvješća</t>
  </si>
  <si>
    <t xml:space="preserve">puštanje u probni pogon </t>
  </si>
  <si>
    <t>podešavanje radnih parametara</t>
  </si>
  <si>
    <t>puštanje u funkcijski-trajni rad</t>
  </si>
  <si>
    <t>izdradu primopredajne dokumentacije</t>
  </si>
  <si>
    <t>izradu projekta izvedenog stanja</t>
  </si>
  <si>
    <t xml:space="preserve">ostale radove koji nisu posebno iskazani specifikacijama, a potrebni su za potpunu i urednu izvedbu projektiranih instalacija, njihovu funkcionalnost, pogonsku gotovost i primopredaju korisniku kao npr. Uputstva za rukovanje i održavanje. Izradu natpisnih pločica i oznaka, pribavljanje potrebne dokumentacije za uporabnu dozvolu i sl. </t>
  </si>
  <si>
    <t>Za promjene i odstupanja od projekta treba se pribaviti pismena suglasnost nadzornog inženjera.</t>
  </si>
  <si>
    <t>Pri izvedbi instalacije obavezno je poštivati: Pozitivne hrvatske zakone, propise ili jednakovrijedno, upute proizvođača opreme</t>
  </si>
  <si>
    <t>3. MONTAŽA CIJEVI
Mreža cjevovoda izrađuje se u ravnoj liniji, pod pravim kutom i na način da se može potpuno isprazniti i odzračiti. 
Cjelokupna mreža cijevi izrađuje se na način koji osigurava dobro strujanje.
Potrebno je odabrati cjevovode čija debljina stijenki odgovara ispitnom tlaku pojedinog nazivnog tlaka (prema važećim propisima). Cijevni nosači se postavljaju u pravilnim razmacima i uredno poredani.</t>
  </si>
  <si>
    <t>Nakon postavljanja potrebne toplinske izolacije, sukladno važećim propisima, uključujući njezino oblaganje, mora biti osiguran svijetli razmak između cjevovoda od najmanje 5 cm. Cjevovodi se moraju moći pojedinačno izolirati.</t>
  </si>
  <si>
    <t>potrošnja pogonskog energenta
temperatura kondenzacije
temperatura isparavanja
pad tlaka u izmjenjivaču topline
podaci o emisiji
temperature ispusnih plinova
temperature polaza i povrata
regulacija i kontrola funkcije svih sustava i dijelova sustava.
                                                                                                                                                                                                                                                                Potrebno se pridržavati smjernica o ispitivanju sustava centralnog grijanja sukladno važećim propisima. Knjiga postrojenja i Knjiga sa rezultatima ispitivanja moraju se potpuno popunjene nakon usuglašavanja s prvostupanjskim tijelom zajedno sa svim mjernim protokolima predati Investitoru.</t>
  </si>
  <si>
    <t>Za korištene materijale vrijede sljedeće smjernice:
- U načelu su dopušteni samo materijali koji su prikladni za odgovarajuću razinu temperature.
- MINERALNA VUNA, klasa A1, prema važećim propisima, nezapaljiva. Toplinska vodljivost manja ili jednaka 0,035 W/mK pri 40°C. 
- PUR, klasa B2, prema važećim propisima normalno zapaljiva. Brutto gustoća iznosi pri temperaturama od 100 do 0 stupnjeva najmanje 40 kg/m3, od 0 do -50 stupnjeva najmanje 45 kg/m3, ispod -50 stupnjeva najmanje 50 kg/m3. Brutto gustoća distancera (držača razmaka) može neznatno odstupati od gornjih vrijednosti. Toplinska vodljivost manja ili jednaka 0,035 W/mK.
- PUR-in situ pjena: od 100 do 0 stupnjeva najmanje 40 kg/m3, od 0 do -50 stupnjeva najmanje 45 kg/m3, ispod -50 stupnjeva najmanje 50 kg/m3.
- PUR-ljuske od tvrde pjene: oko 25 kg/m3. Brutto gustoća distancera (držača razmaka) može neznatno odstupati od gornjih vrijednosti. Toplinska vodljivost manja ili jednaka 0,035 W/mK pri 40° C.
- PE, klasa B1, prema važećim propisima, teško zapaljiv. Toplinska vodljivost manja ili jednaka 0,04 W/mK pri 40°C. Koeficijent otpora difuziji vodene pare my =&gt; 2500.</t>
  </si>
  <si>
    <t>2. BUKA
Načelno treba izbjegavati buku, nastalu npr. zbog prevelikih brzina strujanja u kanalima, fazonskim dijelovima, rešetkama ili sl. te prenošenje vibracijske buke zbog npr. nedostatka gumenih umetaka kod ovjesa kanala i uređaja ili sl. Uređaji koji proizvode šumove kao npr. ventilatori postavljaju se na odgovarajuće antivibracijske elemente. Ukoliko dođe do smetajućeg provođenja/prenošenja buke potrebno je ukloniti neodgovarajuće ugradbene dijelove i zamjeniti ih odgovarajućim na trošak Izvođača. Mjerilo su priznata pravila tehnike.</t>
  </si>
  <si>
    <t>3. VENTILACIJSKI UREĐAJI
Ventilacijskim uređajima smatraju se sve jedinice koje obrađuju zrak, kao što su filteri, konvektori topline, ventilatori, i td. Za ventilacijske uređaje vrijedi:
-	Svi ugrađeni dijelovi moraju biti lako dostupni pomoću postaljenih vrata, bez potrebe rastavljanja kućišta.
-	Vrata moraju dobro zatvarati pomoću brzih zatvarača i gumenih brtvi, te ih jedna osoba mora moći lagano otvoriti.
-	Nema oštrih kutova i rubova.
-	Svi priključni držači provode se sa brtvama kroz kućište prema van i isporučuju sa priključkom cijevi (protuprirubnica, zavareni rubovi, naglavak). Dopušteni su samo rastaljivi spojevi.
-	Držači kondenzata isporučuju se sa sifonima, čija visina odgovara radnom tlaku zraka.</t>
  </si>
  <si>
    <t>4. SUSTAV KANALA
Debljina lima i nepropusnost biraju se prema važećim propisima, ukoliko nije izričito drugačije propisano.
Čitava mreža kanala mora biti spojena na uzemljenje. Kod elektroizolirajućih spojeva kao npr. spojevi od jakog platna predviđa se premošćenje pomoću fleksibilnog vodiča (yf 4 mm2 žuto/zeleno).
Veće kanale potrebno je odgovarajuće učvrstiti, kako bi se izbjegle neravnine ili nastanak buke zbog oscilacija radnog tlaka.
U fazonskim dijelovima kanala ugrađuju se deflektori, kako bi se postiglo ravnomjerno raspoređivanje strujanja.</t>
  </si>
  <si>
    <t>Prolazi kroz zidove i stropove se sa kanalske strane oblažu izolacijskim pokrivačima za zvučnu i toplinsku izolaciju od negorivog materijala klase A1 prema važećim propisima.
Vodonepropusno lemljenje kanala potrebno je na mjestima u mreži, gdje se mogu pojaviti kondenzirana voda, naslage masti i sl., pri čemu se na najnižim točkama ugrađuju nepropusni kondenzatni nastavci na zatvaranje.
Svi kanali moraju na početku rada biti čisti od prašine, za vrijeme stanki u montaži ili skladištenja na otvorenom moraju se svakako oblijepiti najlonom ili sl..
Na svim mjestima kanalskog sustava, gdje će biti kasnije biti potrebni zahvati, ugrađuju se revizijska vrata s brzim zatvaračima i u odgovarajućoj veličini. Svi elementi kojima se rukuje kao npr. protupožarni poklopci trebaju biti lako dostupni.
Za ventilacijske kanale na krovu i njenu izolaciju od glatkog aluminijskog lima potrebno je predočiti statički dokaz u skladu s max. lokalnim opterećenjem vjetra.</t>
  </si>
  <si>
    <t>5. PARAMETRI ZA ZRAK U BORAVIŠNOM PROSTORU
Načelno vrijedi prema važećim propisima, dio 2. S obzirom na buku i temperaturu potrebno je tako postaviti izlaznu brzinu i indukciju ulaznih zraka, da brzina zraka u boravišnom prostoru ne prelazi sljedeće vrijednosti
Sobna temperatura 20°C	0,15 m/s i
Sobna temperatura 26°C	0,25 m/s.
Ukoliko zbog pritužbi korisnika budu potrebna mjerenja ili probe, te troškove snosi izvođač.</t>
  </si>
  <si>
    <t>Za korištene materijale vrijede sljedeće smjernice:
- U načelu su dopušteni samo materijali koji su prikladni za odgovarajuću razinu temperature.
- MINERALNA VUNA, klasa A1 / A2, prema važećim propisima, negoriva. Toplinska vodljivost manja ili jednaka 0,035 W/mK pri 10°C.</t>
  </si>
  <si>
    <t xml:space="preserve">Izvedba pročelja mineralnom vunom do potpune gotovosti d=18 cm </t>
  </si>
  <si>
    <r>
      <t>U jedinične cijene stavki obavezno uključiti sve nabave, transporte i ugradnje materijala, sav potrebni rad, osnovni i pomoćni materijal i pomoćne radnje, pokretnu skelu, razne pripomoći instalaterima, stolarima i slično, sve do potpune funkcionalne gotovosti pojedine stavke, uključivo čišćenje nakon dovršetka i u tijeku radova ‐ ako opisom stavke nije drugačije određeno. U jediničnim cijenama uključiti montažu i demontažu lake fasadne skele za potrebe izvođenja radova. Obračun radova po m</t>
    </r>
    <r>
      <rPr>
        <vertAlign val="superscript"/>
        <sz val="10"/>
        <color theme="1"/>
        <rFont val="Calibri"/>
        <family val="2"/>
        <charset val="238"/>
        <scheme val="minor"/>
      </rPr>
      <t xml:space="preserve">2 </t>
    </r>
    <r>
      <rPr>
        <sz val="10"/>
        <color theme="1"/>
        <rFont val="Calibri"/>
        <family val="2"/>
        <charset val="238"/>
        <scheme val="minor"/>
      </rPr>
      <t>. Prema građevinskoj normi otvori veličine do 3 m</t>
    </r>
    <r>
      <rPr>
        <vertAlign val="superscript"/>
        <sz val="10"/>
        <color theme="1"/>
        <rFont val="Calibri"/>
        <family val="2"/>
        <charset val="238"/>
        <scheme val="minor"/>
      </rPr>
      <t>2</t>
    </r>
    <r>
      <rPr>
        <sz val="10"/>
        <color theme="1"/>
        <rFont val="Calibri"/>
        <family val="2"/>
        <charset val="238"/>
        <scheme val="minor"/>
      </rPr>
      <t xml:space="preserve"> ne odbijaju se od površine, kod otvora veličine od 3‐5 m</t>
    </r>
    <r>
      <rPr>
        <vertAlign val="superscript"/>
        <sz val="10"/>
        <color theme="1"/>
        <rFont val="Calibri"/>
        <family val="2"/>
        <charset val="238"/>
        <scheme val="minor"/>
      </rPr>
      <t>2</t>
    </r>
    <r>
      <rPr>
        <sz val="10"/>
        <color theme="1"/>
        <rFont val="Calibri"/>
        <family val="2"/>
        <charset val="238"/>
        <scheme val="minor"/>
      </rPr>
      <t xml:space="preserve"> odbija se površina veća od 3 m</t>
    </r>
    <r>
      <rPr>
        <vertAlign val="superscript"/>
        <sz val="10"/>
        <color theme="1"/>
        <rFont val="Calibri"/>
        <family val="2"/>
        <charset val="238"/>
        <scheme val="minor"/>
      </rPr>
      <t>2</t>
    </r>
    <r>
      <rPr>
        <sz val="10"/>
        <color theme="1"/>
        <rFont val="Calibri"/>
        <family val="2"/>
        <charset val="238"/>
        <scheme val="minor"/>
      </rPr>
      <t>, a otvori veći od 5 m</t>
    </r>
    <r>
      <rPr>
        <vertAlign val="superscript"/>
        <sz val="10"/>
        <color theme="1"/>
        <rFont val="Calibri"/>
        <family val="2"/>
        <charset val="238"/>
        <scheme val="minor"/>
      </rPr>
      <t>2</t>
    </r>
    <r>
      <rPr>
        <sz val="10"/>
        <color theme="1"/>
        <rFont val="Calibri"/>
        <family val="2"/>
        <charset val="238"/>
        <scheme val="minor"/>
      </rPr>
      <t xml:space="preserve"> odbijaju se u cijelosti. Kod otvora veličine preko 5 m</t>
    </r>
    <r>
      <rPr>
        <vertAlign val="superscript"/>
        <sz val="10"/>
        <color theme="1"/>
        <rFont val="Calibri"/>
        <family val="2"/>
        <charset val="238"/>
        <scheme val="minor"/>
      </rPr>
      <t>2</t>
    </r>
    <r>
      <rPr>
        <sz val="10"/>
        <color theme="1"/>
        <rFont val="Calibri"/>
        <family val="2"/>
        <charset val="238"/>
        <scheme val="minor"/>
      </rPr>
      <t xml:space="preserve"> špalete obračunati posebno po m</t>
    </r>
    <r>
      <rPr>
        <vertAlign val="superscript"/>
        <sz val="10"/>
        <color theme="1"/>
        <rFont val="Calibri"/>
        <family val="2"/>
        <charset val="238"/>
        <scheme val="minor"/>
      </rPr>
      <t>2</t>
    </r>
    <r>
      <rPr>
        <sz val="10"/>
        <color theme="1"/>
        <rFont val="Calibri"/>
        <family val="2"/>
        <charset val="238"/>
        <scheme val="minor"/>
      </rPr>
      <t>.
NAPOMENA:
Sustav izvoditi prema projektu.</t>
    </r>
  </si>
  <si>
    <r>
      <t xml:space="preserve">Koeficijent prolaska topline novoizvedenog sustava vanjskih zidova U </t>
    </r>
    <r>
      <rPr>
        <sz val="10"/>
        <color theme="1"/>
        <rFont val="Calibri"/>
        <family val="2"/>
      </rPr>
      <t>≤ 0,25 W/m</t>
    </r>
    <r>
      <rPr>
        <vertAlign val="superscript"/>
        <sz val="10"/>
        <color theme="1"/>
        <rFont val="Calibri"/>
        <family val="2"/>
      </rPr>
      <t>2</t>
    </r>
    <r>
      <rPr>
        <sz val="10"/>
        <color theme="1"/>
        <rFont val="Calibri"/>
        <family val="2"/>
      </rPr>
      <t xml:space="preserve">K. </t>
    </r>
    <r>
      <rPr>
        <sz val="10"/>
        <color theme="1"/>
        <rFont val="Calibri"/>
        <family val="2"/>
        <scheme val="minor"/>
      </rPr>
      <t xml:space="preserve">
Izvedba fasadnog sustava zidova sa sljedećim slojevima:
‐ polimerno‐cementno ljepilo 0,3 cm
‐ ploče mineralne vune debljine  5  - 18  cm                                                                                                                   ‐ sloj građevinskog ljepila s armaturnom mrežicom 0,3 cm
‐ sloj građevinskog ljepila 0,3 cm
‐ impregnirajući pretpremaz kvalitete kao koncentrat grund
‐ silikatna žbuka 0,2 cm.            
</t>
    </r>
    <r>
      <rPr>
        <b/>
        <sz val="10"/>
        <color theme="1"/>
        <rFont val="Calibri"/>
        <family val="2"/>
        <charset val="238"/>
        <scheme val="minor"/>
      </rPr>
      <t xml:space="preserve">RAL 1015 </t>
    </r>
    <r>
      <rPr>
        <sz val="10"/>
        <color theme="1"/>
        <rFont val="Calibri"/>
        <family val="2"/>
        <scheme val="minor"/>
      </rPr>
      <t xml:space="preserve">                                                                                                                                                                                                                                                                                                                                                                                                                                                                                                                                                                                                                                                                        </t>
    </r>
  </si>
  <si>
    <r>
      <rPr>
        <b/>
        <sz val="10"/>
        <color theme="1"/>
        <rFont val="Calibri"/>
        <family val="2"/>
        <scheme val="minor"/>
      </rPr>
      <t>SOKL</t>
    </r>
    <r>
      <rPr>
        <sz val="10"/>
        <color theme="1"/>
        <rFont val="Calibri"/>
        <family val="2"/>
        <scheme val="minor"/>
      </rPr>
      <t xml:space="preserve">
Zona ziđa u visini od kote okolnog terena visine 55,0 - 120,0 cm, oblaže se pločama mineralne vune sa sljedećim slojevima: 
-  polimerno-cementno ljepilo 0,3 cm
‐ ploče mineralne vune  debljine 5 - 18 cm                                                                                                                           ‐sloj građevinskog ljepila s armaturnom mrežicom 0,3 cm
‐ sloj građevinskog ljepila 0,3 cm
‐ impregnirajući pretpremaz kvalitete kao koncentrat grund
‐ silikatna žbuka 0,3 cm.
</t>
    </r>
    <r>
      <rPr>
        <b/>
        <sz val="10"/>
        <color theme="1"/>
        <rFont val="Calibri"/>
        <family val="2"/>
        <charset val="238"/>
        <scheme val="minor"/>
      </rPr>
      <t>RAL 8001</t>
    </r>
  </si>
  <si>
    <t>GRAĐEVINSKO - OBRTNIČKI RADOVI (škola)</t>
  </si>
  <si>
    <t>GRAĐEVINSKO - OBRTNIČKI RADOVI (dvorana)</t>
  </si>
  <si>
    <t>Radove treba izvesti točno prema opisu troškovnika, tehničkom opisu građevine, a u stavkama gdje nije objašnjen način rada i posebne osobine finalnog produkta,  izvođač je dužan pridržavati se uobičajenog načina rada, uvažavajući odredbe važećih standarda, uz obvezu izvedbe kvalitetnog proizvoda. Osim toga, izvođač je obvezan pridržavati se uputa nadzora, a naročito u slučajevima kada se zahtjeva izvedba van propisanih standarda. Sav materijal za izgradnju mora biti kvalitetan i mora odgovarati opisu troškovnika, tehničkom opisu i postojećim građevinskim propisima. U slučaju da opis pojedine stavke nije dovoljno jasan, mjerodavna je samo uputa i tumačenje nadzora. O tome se izvođač treba informirati već prilikom sastavljanja jedinične cijene. Cijene pojedinih radova moraju sadržavati sve elemente koji određuju cijenu gotovog proizvoda, a u skladu sa odredbama troškovnika. Ako izvođač sumnja u valjanost ili kvalitetu nekog propisanog materijala i drži da za takvu izvedbu ne bi mogao preuzeti odgovornost, dužan je o tome obavijestiti nadzora sa obrazloženjem i dokumentacijom. Konačnu odluku donosi nadzorni inženjer, nakon proučenog prijedloga izvođač. Ponuda obuhvaća sve radove koji su neophodni za izvedbu određenih radova, ukljućujući i čišćenje nakon obavljanja istih. Obračun prema stvarnim količinama. U jediničnu cijenu svake stavke obvezno uključiti sve mjere osiguranja prolaznika, radnika i okolnih građevina za vrijeme trajanja radova, svu potrebnu skelu, sva potrebna premještanja postojećih instalacija i dovođenje istih u prvobitno stanje po završetku radova, sve transporte materijala preostalog od rušenja, deponiranje na gradilišnoj deponiji, utovar i odvoz na gradsku deponiju (5 km udaljenost), odnosno sortiranje i deponiranje na mjesto koje odredi investitor za eventualnu ponovnu ugradnju, sve nabave, transporte do gradilišta, horizontalne i vertikalne transporte na gradilištu, sav potreban rad, osnovni i pomoćni materijal i pomoćne radnje, razne pripomoći; sva čišćenja u tijeku i nakon završetka radova. Stavke obuhvaćaju sve potrebne radnje i materijale do potpune gotovosti i funkcionalnosti uz dozvoljeno odstupanje u dimenzijama od 5 %.</t>
  </si>
  <si>
    <r>
      <t>U jedinične cijene stavki obavezno uključiti sve nabave, transporte i ugradnje materijala, sav potrebni rad, osnovni i pomoćni materijal i pomoćne radnje, pokretnu skelu, razne pripomoći instalaterima, stolarima i slično, sve do potpune funkcionalne gotovosti pojedine stavke, uključivo čišćenje nakon dovršetka i u tijeku radova ‐ ako opisom stavke nije drugačije određeno. U jediničnim cijenama uključiti montažu i demontažu lake fasadne skele za potrebe izvođenja radova. Obračun radova po m</t>
    </r>
    <r>
      <rPr>
        <vertAlign val="superscript"/>
        <sz val="10"/>
        <color theme="1"/>
        <rFont val="Calibri"/>
        <family val="2"/>
        <charset val="238"/>
        <scheme val="minor"/>
      </rPr>
      <t xml:space="preserve">2 </t>
    </r>
    <r>
      <rPr>
        <sz val="10"/>
        <color theme="1"/>
        <rFont val="Calibri"/>
        <family val="2"/>
        <charset val="238"/>
        <scheme val="minor"/>
      </rPr>
      <t>. Prema građevinskoj normi otvori veličine do 3 m</t>
    </r>
    <r>
      <rPr>
        <vertAlign val="superscript"/>
        <sz val="10"/>
        <color theme="1"/>
        <rFont val="Calibri"/>
        <family val="2"/>
        <charset val="238"/>
        <scheme val="minor"/>
      </rPr>
      <t>2</t>
    </r>
    <r>
      <rPr>
        <sz val="10"/>
        <color theme="1"/>
        <rFont val="Calibri"/>
        <family val="2"/>
        <charset val="238"/>
        <scheme val="minor"/>
      </rPr>
      <t xml:space="preserve"> ne odbijaju se od površine, kod otvora veličine od 3‐5 m</t>
    </r>
    <r>
      <rPr>
        <vertAlign val="superscript"/>
        <sz val="10"/>
        <color theme="1"/>
        <rFont val="Calibri"/>
        <family val="2"/>
        <charset val="238"/>
        <scheme val="minor"/>
      </rPr>
      <t>2</t>
    </r>
    <r>
      <rPr>
        <sz val="10"/>
        <color theme="1"/>
        <rFont val="Calibri"/>
        <family val="2"/>
        <charset val="238"/>
        <scheme val="minor"/>
      </rPr>
      <t xml:space="preserve"> odbija se površina veća od 3 m</t>
    </r>
    <r>
      <rPr>
        <vertAlign val="superscript"/>
        <sz val="10"/>
        <color theme="1"/>
        <rFont val="Calibri"/>
        <family val="2"/>
        <charset val="238"/>
        <scheme val="minor"/>
      </rPr>
      <t>2</t>
    </r>
    <r>
      <rPr>
        <sz val="10"/>
        <color theme="1"/>
        <rFont val="Calibri"/>
        <family val="2"/>
        <charset val="238"/>
        <scheme val="minor"/>
      </rPr>
      <t>, a otvori veći od 5 m</t>
    </r>
    <r>
      <rPr>
        <vertAlign val="superscript"/>
        <sz val="10"/>
        <color theme="1"/>
        <rFont val="Calibri"/>
        <family val="2"/>
        <charset val="238"/>
        <scheme val="minor"/>
      </rPr>
      <t>2</t>
    </r>
    <r>
      <rPr>
        <sz val="10"/>
        <color theme="1"/>
        <rFont val="Calibri"/>
        <family val="2"/>
        <charset val="238"/>
        <scheme val="minor"/>
      </rPr>
      <t xml:space="preserve"> odbijaju se u cijelosti. Kod otvora veličine preko 5 m</t>
    </r>
    <r>
      <rPr>
        <vertAlign val="superscript"/>
        <sz val="10"/>
        <color theme="1"/>
        <rFont val="Calibri"/>
        <family val="2"/>
        <charset val="238"/>
        <scheme val="minor"/>
      </rPr>
      <t>2</t>
    </r>
    <r>
      <rPr>
        <sz val="10"/>
        <color theme="1"/>
        <rFont val="Calibri"/>
        <family val="2"/>
        <charset val="238"/>
        <scheme val="minor"/>
      </rPr>
      <t xml:space="preserve"> špalete obračunati posebno po m</t>
    </r>
    <r>
      <rPr>
        <vertAlign val="superscript"/>
        <sz val="10"/>
        <color theme="1"/>
        <rFont val="Calibri"/>
        <family val="2"/>
        <charset val="238"/>
        <scheme val="minor"/>
      </rPr>
      <t>2</t>
    </r>
    <r>
      <rPr>
        <sz val="10"/>
        <color theme="1"/>
        <rFont val="Calibri"/>
        <family val="2"/>
        <charset val="238"/>
        <scheme val="minor"/>
      </rPr>
      <t xml:space="preserve">.
</t>
    </r>
    <r>
      <rPr>
        <b/>
        <sz val="10"/>
        <color theme="1"/>
        <rFont val="Calibri"/>
        <family val="2"/>
        <charset val="238"/>
        <scheme val="minor"/>
      </rPr>
      <t>Izvedba ETICS sustava</t>
    </r>
    <r>
      <rPr>
        <sz val="10"/>
        <color theme="1"/>
        <rFont val="Calibri"/>
        <family val="2"/>
        <charset val="238"/>
        <scheme val="minor"/>
      </rPr>
      <t xml:space="preserve">
Koeficijent prolaska topline novoizvedenog sustava vanjskih zidova U ≤ 0,25 W/m2K. 
Izvedba fasadnog sustava zidova sa sljedećim slojevima:
‐ polimerno‐cementno ljepilo 0,3 cm
‐ ploče mineralne vune debljine  5  - 18  cm                                                                                                                   ‐ sloj građevinskog ljepila s armaturnom mrežicom 0,3 cm
‐ sloj građevinskog ljepila 0,3 cm
‐ impregnirajući pretpremaz kvalitete kao koncentrat grund
‐ silikatna žbuka 0,2 cm.
</t>
    </r>
    <r>
      <rPr>
        <b/>
        <sz val="10"/>
        <color theme="1"/>
        <rFont val="Calibri"/>
        <family val="2"/>
        <charset val="238"/>
        <scheme val="minor"/>
      </rPr>
      <t>RAL 1015</t>
    </r>
  </si>
  <si>
    <r>
      <rPr>
        <b/>
        <sz val="10"/>
        <color theme="1"/>
        <rFont val="Calibri"/>
        <family val="2"/>
        <charset val="238"/>
        <scheme val="minor"/>
      </rPr>
      <t xml:space="preserve">PROVJERA  </t>
    </r>
    <r>
      <rPr>
        <sz val="10"/>
        <color theme="1"/>
        <rFont val="Calibri"/>
        <family val="2"/>
        <charset val="238"/>
        <scheme val="minor"/>
      </rPr>
      <t xml:space="preserve">                                                                                                                      Provjeriti ravnost zidne površine i ukoliko ima odstupanja većih od 1 cm na 4 m potrebno je nanijeti izravnavajući sloj morta. 
</t>
    </r>
    <r>
      <rPr>
        <b/>
        <sz val="10"/>
        <color theme="1"/>
        <rFont val="Calibri"/>
        <family val="2"/>
        <charset val="238"/>
        <scheme val="minor"/>
      </rPr>
      <t xml:space="preserve">PRIČVRSNICE  </t>
    </r>
    <r>
      <rPr>
        <sz val="10"/>
        <color theme="1"/>
        <rFont val="Calibri"/>
        <family val="2"/>
        <charset val="238"/>
        <scheme val="minor"/>
      </rPr>
      <t xml:space="preserve">                                                                                                               Pričvršćivanje ploča izvodi se ljepljenjem i mehaničkim pričvršćenjem na postojeće ožbukane, opečne i armiranobetonske zidove. Pričvrsnice moraju odgovarati kategoriji A za beton i B za punu opeku.  Pričvrsnice montirati 3 dana nakon ljepljenja izolacijskih ploča. Broj pričvrsnica prema proračunu specificiranog sustava. Montirati minimalno 6‐ 8 pričvrsnica po m2 plohe.   
</t>
    </r>
    <r>
      <rPr>
        <b/>
        <sz val="10"/>
        <color theme="1"/>
        <rFont val="Calibri"/>
        <family val="2"/>
        <charset val="238"/>
        <scheme val="minor"/>
      </rPr>
      <t xml:space="preserve">ŠPALETE   </t>
    </r>
    <r>
      <rPr>
        <sz val="10"/>
        <color theme="1"/>
        <rFont val="Calibri"/>
        <family val="2"/>
        <charset val="238"/>
        <scheme val="minor"/>
      </rPr>
      <t xml:space="preserve">                                                                                                                           Oko prozora, vrata i drugih otvora pravilno obraditi površine i sudare s ravninom pročelja te oko prozora ugraditi profil koji sadrži izolacijsku letvicu s mrežicom, pokretnu spojnicu, skrivenu fugu i zaštitnu traku za spoj žbuke i prozora, za trajnu zaštitu od kiše. Špalete izvesti s pločama mineralne vune debljine 2 cm. Punoplošna izolacija mora pokriti čelo ploče špalete. Lijepe se s građevinskim ljepilom i pričvrste s pričvrsnicama za mineralnu vunu 2 kom/m'. NAPOMENA: Oduzimaju se samo otvori veći od 5 m² dok je obrada špaleta otvora manjih od 5 m2 uključena u cijenu. Obrada špaleta otvora većih od 5 m² je obračunata zasebno.  
</t>
    </r>
    <r>
      <rPr>
        <b/>
        <sz val="10"/>
        <color theme="1"/>
        <rFont val="Calibri"/>
        <family val="2"/>
        <charset val="238"/>
        <scheme val="minor"/>
      </rPr>
      <t>ZAVRŠNA OBRADA (MW)</t>
    </r>
    <r>
      <rPr>
        <sz val="10"/>
        <color theme="1"/>
        <rFont val="Calibri"/>
        <family val="2"/>
        <charset val="238"/>
        <scheme val="minor"/>
      </rPr>
      <t xml:space="preserve">                                                                                         Završna obrada na zidovima i atike s mineralnom vunom je silikatna žbuka, granulacije do 2,0 mm.
</t>
    </r>
  </si>
  <si>
    <r>
      <rPr>
        <b/>
        <sz val="10"/>
        <color theme="1"/>
        <rFont val="Calibri"/>
        <family val="2"/>
        <charset val="238"/>
        <scheme val="minor"/>
      </rPr>
      <t xml:space="preserve">ZAVRŠNA OBRADA (XPS)       </t>
    </r>
    <r>
      <rPr>
        <sz val="10"/>
        <color theme="1"/>
        <rFont val="Calibri"/>
        <family val="2"/>
        <charset val="238"/>
        <scheme val="minor"/>
      </rPr>
      <t xml:space="preserve">                                                                                                                                                                                                                                                                                                                                                                             Završna obrada XPS-a je silikatna žbuka, granulacije do 2,0 mm.  U cijenu su uključeni svi potrebni profili za žbukanje i profili za pročelje, alu i/ili PVC kutnici (sa mrežicom), sokl profili, okapni profili na nadvojima otvora, ojačanja za rubove, otvore, uglove i drugo, te brtvljenje spojeva pročelja i vanjske stolarije i bravarije brtvom Sd = 0,50.   
</t>
    </r>
    <r>
      <rPr>
        <b/>
        <sz val="10"/>
        <color theme="1"/>
        <rFont val="Calibri"/>
        <family val="2"/>
        <charset val="238"/>
        <scheme val="minor"/>
      </rPr>
      <t>SOKL</t>
    </r>
    <r>
      <rPr>
        <sz val="10"/>
        <color theme="1"/>
        <rFont val="Calibri"/>
        <family val="2"/>
        <charset val="238"/>
        <scheme val="minor"/>
      </rPr>
      <t xml:space="preserve">
Zona ziđa u visini od kote okolnog terena visine 55,0 - 120,0 cm, oblaže se pločama mineralne vune sa sljedećim slojevima: 
-  polimerno-cementno ljepilo 0,3 cm
‐ ploče mineralne vune  debljine 5 - 18 cm                                                                                                                           ‐sloj građevinskog ljepila s armaturnom mrežicom 0,3 cm
‐ sloj građevinskog ljepila 0,3 cm
‐ impregnirajući pretpremaz kvalitete kao koncentrat grund
‐ silikatna žbuka 0,3 cm.
</t>
    </r>
    <r>
      <rPr>
        <b/>
        <sz val="10"/>
        <color theme="1"/>
        <rFont val="Calibri"/>
        <family val="2"/>
        <charset val="238"/>
        <scheme val="minor"/>
      </rPr>
      <t>RAL 8001</t>
    </r>
  </si>
  <si>
    <r>
      <rPr>
        <b/>
        <sz val="10"/>
        <color theme="1"/>
        <rFont val="Calibri"/>
        <family val="2"/>
        <charset val="238"/>
        <scheme val="minor"/>
      </rPr>
      <t>SPOJ</t>
    </r>
    <r>
      <rPr>
        <sz val="10"/>
        <color theme="1"/>
        <rFont val="Calibri"/>
        <family val="2"/>
        <charset val="238"/>
        <scheme val="minor"/>
      </rPr>
      <t xml:space="preserve">
Sudar termoizolacijskih slojeva ‐ mineralne vune i XPS‐a izvesti u pravilnoj horizontalnoj reški, ispod linije postava mineralne vune položiti profil za podnožja i brtvenu traku ispod profila. Spojeve mineralne vune sa već ugrađenom stolarijom izvesti sa "zasijecanjem" na odgovarajuću dimenziju doprozornika. Sve izvoditi po uputstvima proizvođača i u dogovoru s nadzorom. Konačna fasadna ploha mora biti u strukturi ujednačena, bez pukotina i neravnina. U cijenu uključiti nabavu svog materijala i izvedbu komplet svih navedenih slojeva, sokl‐profile za zatvaranje donjeg ruba fasade, kutne profile za ojačanje uglova i obradu špaleta, te završni sloj. U svemu se pridržavati uputa proizvođača i Smjernica za izvedbu tankoslojnih fasada. Komplet do pune gotovosti i funkcionalnosti stavke.</t>
    </r>
  </si>
  <si>
    <t>Minearalna vuna na dvorani</t>
  </si>
  <si>
    <t>Nabava, doprema i polaganje mineralne vune na dvorani d=18 cm. U cijeni sve do potpune gotovosti i funkcionalnosti. Obračun po m2 .</t>
  </si>
  <si>
    <t>Obrada špaleta otvora većih od 5 m2</t>
  </si>
  <si>
    <t>TROŠKOVNIK</t>
  </si>
  <si>
    <t>OZNAKA PROJEKTA:</t>
  </si>
  <si>
    <t>19-2024-G</t>
  </si>
  <si>
    <t>GRAĐEVINA :</t>
  </si>
  <si>
    <t>OŠ "VLADIMIRA NAZORA"</t>
  </si>
  <si>
    <t>LOKACIJA :</t>
  </si>
  <si>
    <t xml:space="preserve">Ulica kralja Tomislava 18, Đakovo, k.č.br. 7359 k.o. Đakovo </t>
  </si>
  <si>
    <t>NARUČITELJ</t>
  </si>
  <si>
    <t xml:space="preserve">OSJEČKO- BARANJSKA ŽUPANIJA , Trg Ante Starčevića 2, Osijek,                                              OIB : 10383308860 </t>
  </si>
  <si>
    <t>IZRADIO :</t>
  </si>
  <si>
    <t>JASMINA TOPIĆ, mag.ing.aedif.</t>
  </si>
  <si>
    <t>MJESTO I DATUM IZRADE:</t>
  </si>
  <si>
    <t>Ernestinovo , siječanj 2024.</t>
  </si>
  <si>
    <t>Red.br.</t>
  </si>
  <si>
    <t>Jed.mjere</t>
  </si>
  <si>
    <t>Količina</t>
  </si>
  <si>
    <t>Jed.cijena</t>
  </si>
  <si>
    <t>Ukupno</t>
  </si>
  <si>
    <t>UREĐENJE UČIONICA I KABINETA</t>
  </si>
  <si>
    <t>Suteren</t>
  </si>
  <si>
    <t>Kat</t>
  </si>
  <si>
    <t>SUTEREN</t>
  </si>
  <si>
    <t>KAT</t>
  </si>
  <si>
    <t>m1</t>
  </si>
  <si>
    <t>€</t>
  </si>
  <si>
    <t xml:space="preserve">ZIDARSKI I BETONSKI RADOVI </t>
  </si>
  <si>
    <r>
      <rPr>
        <b/>
        <sz val="11"/>
        <color theme="1"/>
        <rFont val="Calibri"/>
        <family val="2"/>
        <scheme val="minor"/>
      </rPr>
      <t>OPĆI UVJETI I NAPOMENE</t>
    </r>
    <r>
      <rPr>
        <sz val="11"/>
        <color theme="1"/>
        <rFont val="Calibri"/>
        <family val="2"/>
        <scheme val="minor"/>
      </rPr>
      <t xml:space="preserve">
Jedinična cijena svake stavke uključuje:
- glavni i pomoćni materijal, rad i svi transporti
­ radna skela
­ zaštita već ugrađenih elemenata ili opreme pri izvođenju radova
­ zaštita zidova i žbuke od nepovoljnih atmosferskih utjecaja                       - zaštita poda od mehaničkih oštećenja
­ uzimanje potrebnih uzoraka i ispitivanje materijala ukoliko je potrebno
- ateste za sve primjenjene materijale koje dobavlja izvođač
­ troškovi zaštite na radu
­ čišćenje tijekom izvođenja i nakon završetka svih radova
Svi završni zidarski i betonski  radovi moraju se izvoditi stručno prema važećim propisima i pravilima STRUKE.</t>
    </r>
  </si>
  <si>
    <t>Izvođač je dužan osigurati i zaštititi sve dijelove građevine na kojima se izvode radovi , radi sprječavanja oštećenja tijekom izvedbe. Pojava svih oštečenja na na dijelovima na kojima se ne izvode radovi ili koji su nastupili nepažnom izvođača isti je dužan otkloniti o vlastitom trošku. Naročitu pažnju treba posvetiti zaštiti prozorskih stakala koje treba zaštiti građevinskom PVC folijom . Zaštita prozora ulazi u jediničnu cijenu radova.</t>
  </si>
  <si>
    <t xml:space="preserve">ŽBUKANJE ZIDA </t>
  </si>
  <si>
    <t xml:space="preserve">Žbukanje zida nakon struganja boje i žbuke (stavka 1.8.), te radova prilagodbe instalacija . Grubo i fino žbukanje vapneno-cementnom žbukom u sloju debljine cca 2,0 cm sa ravnošću +-3mm. Prije samog žbukanja nanosi se sloj cementnog šprica, a na svim rubovima i kutevima se postavljaju lajsne za žbukanje.U stavku uključeno i žbukanje zida na mjestima zazidanih otvora sa strane hodinika. Stavka obuhvaća zapunjavanje postojećih rupa,te druge predradnje, kao što je čišćenje zidova i zaštita stolarije, zaštita klupica, zaštita instalacijskih cijevi, radnu skelu, potrebnu opremu, alat, materijal i rad.  Obračun po m2. </t>
  </si>
  <si>
    <t>ZATVARANJE STOLARSKIH OTVORA U UNUTARNJEM PROSTORU</t>
  </si>
  <si>
    <t>Nabava materijala i zatvaranje postojećih unutarnjih otvora vrata, na pozicijama prema grafičkom prilogu, zidanjem siporex blokovima u vapneno cementnom mortu. U cijenu uključiti radnu skelu, sav rad i materijal do potpune gotovosti. Obračun po m3  ugrađenog bloka.</t>
  </si>
  <si>
    <t>m3</t>
  </si>
  <si>
    <t>ZATVARANJE OTVORA KUHINJSKE NAPE U SUTERENU</t>
  </si>
  <si>
    <t>Nabava materijala i zatvaranje postojećeg otvora kuhinjske nape u kuhinji u suterenu ( postojeći dio pozicija 10), zidanjem siporex blokoma u vapneno cementnom mortu. U cijenu uključiti radnu skelu, sav rad i materijal do potpune gotovosti. Obračun po m3  ugrađenog bloka.</t>
  </si>
  <si>
    <t>Kuhinja suteren</t>
  </si>
  <si>
    <t>ZIDANJE PREGRADNOG ZIDA</t>
  </si>
  <si>
    <t>Nabava materijala i izrada novih pregradnih zidova između učionice (11) i spremišta (12) , te izmežu učionice (6) i kabineta (5) na katu zgrade  siporex blokovima  debljine d = d=15,0 cm u vapneno cementnom mortu u punoj visini prostora. U cijenu uključiti potrebnu radnu skelu, sav rad i materijal do potpune gotovosti. Obračun po m2 ugrađenog bloka.</t>
  </si>
  <si>
    <t>Blok d = 15,0 cm</t>
  </si>
  <si>
    <t>ZIDARSKO ZATVARANJE ŠLICEVA</t>
  </si>
  <si>
    <t xml:space="preserve">Dobava materijala i zatvaranje šliceva cementnom žbukom nakon završenih radova elektro instalatera. Veće šliceve rabicirati PVC mrežicom u sloju cementne žbuke. U cijenu uključiti potrebnu radnu skelu, sav rad i materijal  do pune gotovosti.  </t>
  </si>
  <si>
    <t>Obračun po m1 kanala</t>
  </si>
  <si>
    <t>ZIDARSKA OBRADA ŠPALETA</t>
  </si>
  <si>
    <t>Zidarska obrada špaleta nakon ugradnje stolarije. U cijenu uključiti kutne profile, sav rad, materijal do potpune gotovosti i po potrebi radnu skelu.Obračun po 1 m špalete</t>
  </si>
  <si>
    <t>IZRADA KANALA ZA ELEKTROINSTALACIJE</t>
  </si>
  <si>
    <t>Izrada građevinskih otvora u zidu  za potrebe polaganja novih elektroinstalacija. Izrada kanala širine do cca 10 cm, te dubine do cca 6 cm. U cijenu uključiti sav rad i materijal do pune gotovosti , te potrebnu radnu skelu.</t>
  </si>
  <si>
    <t>IZRADA OTVORA ZA NOVA VRATA</t>
  </si>
  <si>
    <t>Strojno i ručno razbijanje zida od opeke između hodnika i novog kabineta na katu škole - otvaranje otvora za vrata dimenzija 110/210 cm kako bi se ostvarila komunikacija između novog kabineta i hodnika. U cijenu uključiti sav rad, potrebna pridržanja, materijal i opremu do potpune gotovosti. Stavka obuhvaća radnu skelu i taksu za deponiju. Obračun po m3 otvora</t>
  </si>
  <si>
    <t>Zbornica 11</t>
  </si>
  <si>
    <t>POPRAVAK OŠTEĆENE PODLOGE</t>
  </si>
  <si>
    <t>Nabava i dobava materijala, te popravak oštećene  podloge nakon uklanjnja završnih obloga u teracu i keramici, većih i manjih rupa u pod, reparaturnim mortom sa prethodnim premazivanjem primerom. Stavka se izvodi uz suglasnost nadzornog inženjera i naručitelja radova, nakon što se utvrde oštećenja. U cijenu uključiti svu opremu, materijal i rad do potpune gotovosti. Obračun po m2</t>
  </si>
  <si>
    <t>BRUŠENJE PODA</t>
  </si>
  <si>
    <r>
      <t xml:space="preserve">Brušenje poda radi izravnavanja većih neravnina prije izvođenja završnog sloja poda. U cijenu uračunati sav rad i materijal do potpune gotovosti, kao i usisavanje podloge nakon brušenja. </t>
    </r>
    <r>
      <rPr>
        <i/>
        <sz val="11"/>
        <rFont val="Calibri"/>
        <family val="2"/>
        <scheme val="minor"/>
      </rPr>
      <t>Radovi se izvode uz suglasnost nadzornog inženjera i investitora, nakon što se utvrdi postoji li potreba za izravnanjem.Obračun prema m2</t>
    </r>
  </si>
  <si>
    <t>NIVELIRANJE PODA</t>
  </si>
  <si>
    <r>
      <t xml:space="preserve">Izravnavanje površine poda  masom za izravnavanje s padom prema vratima kako bi se završna obloga mogla izvesti u koti hodnika. Stavka uključuje sav potreban rad i materijal do potpune gotovosti za podopolagačke radove.  </t>
    </r>
    <r>
      <rPr>
        <i/>
        <sz val="11"/>
        <rFont val="Calibri"/>
        <family val="2"/>
        <scheme val="minor"/>
      </rPr>
      <t>Radovi se izvode uz suglasnost nadzornog inženjera i investitora.Obračun prema m2</t>
    </r>
  </si>
  <si>
    <t xml:space="preserve">UKUPNO 2.  ZIDARSKI I BETONSKI RADOVI </t>
  </si>
  <si>
    <t>ĐAKOVOPROJEKT d.o.o</t>
  </si>
  <si>
    <t>ZA PROJEKTIRANJE URBANIZAM I KONZALTING</t>
  </si>
  <si>
    <t>Đakovo, V.K.A. Stepinca 10, tel 031/813-369, 822-374</t>
  </si>
  <si>
    <t>IBAN: HR3623400091102715078   OIB:14608399915</t>
  </si>
  <si>
    <t>PROJEKTANTSKI  TROŠKOVNIK</t>
  </si>
  <si>
    <t>UKLANJANJE GRAĐEVINE JAVNE I DRUŠTVENE NAMJENE (OSNOVNOŠKOLSKA USTANOVA)- UČIONICE</t>
  </si>
  <si>
    <t>NARUČITELJ:</t>
  </si>
  <si>
    <t>OSJEČKO BARANJSKA ŽUPANIJA</t>
  </si>
  <si>
    <t>OSIJEK, TRG ANTE STARČEVIĆA 2</t>
  </si>
  <si>
    <t>INVESTITOR:</t>
  </si>
  <si>
    <t>OSNOVNA ŠKOLA "VLADIMIR NAZOR" 
ĐAKOVO, KRALJA TOMISLAVA 18</t>
  </si>
  <si>
    <t>MJESTO GRADNJE:</t>
  </si>
  <si>
    <t xml:space="preserve">ĐAKOVO, KRALJA TOMISLAVA 18 A, 
na k.č.br.7359 k.o. ĐAKOVO
</t>
  </si>
  <si>
    <t>BROJ PROJEKTA:</t>
  </si>
  <si>
    <t>T - 82/23</t>
  </si>
  <si>
    <t>DATUM</t>
  </si>
  <si>
    <t>prosinac, 2023. god.</t>
  </si>
  <si>
    <t>DIREKTOR:</t>
  </si>
  <si>
    <t>Franjo Mikuš, dipl.ing.građ.</t>
  </si>
  <si>
    <t>Opis  stavke</t>
  </si>
  <si>
    <t>Jed. mjera</t>
  </si>
  <si>
    <t>Jed. cijena</t>
  </si>
  <si>
    <r>
      <t>m</t>
    </r>
    <r>
      <rPr>
        <vertAlign val="superscript"/>
        <sz val="10"/>
        <rFont val="Arial"/>
        <family val="2"/>
        <charset val="238"/>
      </rPr>
      <t>2</t>
    </r>
  </si>
  <si>
    <t>UKUPNO   :</t>
  </si>
  <si>
    <t xml:space="preserve">     B. OBRTNIČKI RADOVI</t>
  </si>
  <si>
    <t>Red.
broj</t>
  </si>
  <si>
    <r>
      <t>Izvedba sustava toplinske izolacije podnožja zgrade, pločama sa preklopom i hrapave strukture, od ekstrudiranog polistirena (XPS-a),</t>
    </r>
    <r>
      <rPr>
        <b/>
        <sz val="10"/>
        <rFont val="Arial"/>
        <family val="2"/>
        <charset val="238"/>
      </rPr>
      <t xml:space="preserve">  debljine  5</t>
    </r>
    <r>
      <rPr>
        <sz val="10"/>
        <rFont val="Arial"/>
        <family val="2"/>
        <charset val="238"/>
      </rPr>
      <t xml:space="preserve">cm. Postavljanje ploča minimalno 20cm ispod razine terena. Na dio ploče XPS u kontaktu sa tlom postaviti PVC hidroizolacijsku traku (visina min. 40cm) koja onemogućava kapilarnu vlagu. Završna obrada Mozaik žbukom u boji postojeće fasade. Sve prema uputama nadzornog inženjera, sve do potpune gotovosti. </t>
    </r>
  </si>
  <si>
    <t>XPS -5 cm</t>
  </si>
  <si>
    <t>Dobava i izvedba  fasadnog toplinskog sustava na izolacijskim pločama  EPS-F debljine 12 cm uz srušeni dio objekta. 
Ploče se učvrščuju tiplama, 6-8 kom/m2. Nakon tiplanja ploče se obrađuju sa dva sloja ljepila s međuarmiranjem staklenom mrežicom. Uključivo svi kutni profili na rubovima zidova i oko otvora uz dodatna ojačanja staklenom mrežicom. 
Na tako pripremljenu podlogu nanijeti univerzalni prednamaz za ujednačavanje upojnosti i poboljšanje prionljivosti prije završne obrade fasadnom žbukom. Završna žbuka fasadnom bojom u RAL tonu u boji postojeće fasade. Sve prema uputama nadzornog inženjera. Zbog nemogućnosti utvrđivanja konačne količine, predvidivo je 60 m2.
Obračun  po m2. U cijenu uključiti i radnu skelu, sve do potpune gotovosti.</t>
  </si>
  <si>
    <t>UKUPNO FASADERKI RADOVI:</t>
  </si>
  <si>
    <t>B/    SAŽETAK OBRTNIČKI RADOVI</t>
  </si>
  <si>
    <t>77-20</t>
  </si>
  <si>
    <t>OŠ "VLADIMIRA NAZORA" ĐAKOVO</t>
  </si>
  <si>
    <t>GLAVNI PROJEKTANT :</t>
  </si>
  <si>
    <t>DEJAN MIKULIĆ, mag.ing.aedif.</t>
  </si>
  <si>
    <t>Osijek , veljača 2023.</t>
  </si>
  <si>
    <t>HELION GROUP d.o.o., Martina Divalta 184, Osijek</t>
  </si>
  <si>
    <t>Načelo “ne nanosi bitnu štetu” (''do not significant harm'') što znači da se ne podupiru i ne obavljaju gospodarske djelatnosti kojima se nanosi bitna šteta bilo kojem od okolišnih ciljeva.</t>
  </si>
  <si>
    <r>
      <rPr>
        <b/>
        <sz val="11"/>
        <color theme="1"/>
        <rFont val="Calibri"/>
        <family val="2"/>
        <charset val="238"/>
        <scheme val="minor"/>
      </rPr>
      <t>Materijal</t>
    </r>
    <r>
      <rPr>
        <sz val="11"/>
        <color theme="1"/>
        <rFont val="Calibri"/>
        <family val="2"/>
        <charset val="238"/>
        <scheme val="minor"/>
      </rPr>
      <t xml:space="preserve"> </t>
    </r>
    <r>
      <rPr>
        <b/>
        <sz val="11"/>
        <color theme="1"/>
        <rFont val="Calibri"/>
        <family val="2"/>
        <charset val="238"/>
        <scheme val="minor"/>
      </rPr>
      <t>-</t>
    </r>
    <r>
      <rPr>
        <sz val="11"/>
        <color theme="1"/>
        <rFont val="Calibri"/>
        <family val="2"/>
        <charset val="238"/>
        <scheme val="minor"/>
      </rPr>
      <t xml:space="preserve"> Sve stavke troškovnika moraju se količinski kontrolirati prije narudžbe. Pod tim nazivom se podrazumijeva cijena materijala tj. dobavna cijena i to kako glavnog materijala, tako i pomoćnog, veznog materijala, podkonstrukcije i sl., a upotrijebljeni materijal, kojeg izvođač dobavlja i ugrađuje, mora odgovarati trenutno važećim standardima i za iste dostaviti važeće izjave o svojstvima i to najmanje 14 kalendarskih dana prije zadnjeg datuma moguće narudžbe koja neće ugroziti ugovorni rok.</t>
    </r>
  </si>
  <si>
    <r>
      <rPr>
        <b/>
        <sz val="11"/>
        <color theme="1"/>
        <rFont val="Calibri"/>
        <family val="2"/>
        <charset val="238"/>
        <scheme val="minor"/>
      </rPr>
      <t>RAD -</t>
    </r>
    <r>
      <rPr>
        <sz val="11"/>
        <color theme="1"/>
        <rFont val="Calibri"/>
        <family val="2"/>
        <charset val="238"/>
        <scheme val="minor"/>
      </rPr>
      <t xml:space="preserve"> Jedinična cijena rada uključuje: </t>
    </r>
    <r>
      <rPr>
        <b/>
        <sz val="11"/>
        <color theme="1"/>
        <rFont val="Calibri"/>
        <family val="2"/>
        <charset val="238"/>
        <scheme val="minor"/>
      </rPr>
      <t>1.</t>
    </r>
    <r>
      <rPr>
        <sz val="11"/>
        <color theme="1"/>
        <rFont val="Calibri"/>
        <family val="2"/>
        <charset val="238"/>
        <scheme val="minor"/>
      </rPr>
      <t xml:space="preserve"> sav rad potreban da se stavka izvede do potpune gotovosti i funkcionalnosti, kako glavni tako i pomoćni, rad svih radnika, alata strojeva i pribora </t>
    </r>
    <r>
      <rPr>
        <b/>
        <sz val="11"/>
        <color theme="1"/>
        <rFont val="Calibri"/>
        <family val="2"/>
        <charset val="238"/>
        <scheme val="minor"/>
      </rPr>
      <t>2.</t>
    </r>
    <r>
      <rPr>
        <sz val="11"/>
        <color theme="1"/>
        <rFont val="Calibri"/>
        <family val="2"/>
        <charset val="238"/>
        <scheme val="minor"/>
      </rPr>
      <t xml:space="preserve"> čišćenje prostora svakodnevno tijekom cijelog vremena izvođenja radova </t>
    </r>
    <r>
      <rPr>
        <b/>
        <sz val="11"/>
        <color theme="1"/>
        <rFont val="Calibri"/>
        <family val="2"/>
        <charset val="238"/>
        <scheme val="minor"/>
      </rPr>
      <t>3.</t>
    </r>
    <r>
      <rPr>
        <sz val="11"/>
        <color theme="1"/>
        <rFont val="Calibri"/>
        <family val="2"/>
        <charset val="238"/>
        <scheme val="minor"/>
      </rPr>
      <t xml:space="preserve">odvoz otpadnog materijala (šute i viška materijala te lomova, ambalaže i sl.) s gradilišta, osim ako odvoz nije specificiran posebnom troškovničkom stavkom </t>
    </r>
    <r>
      <rPr>
        <b/>
        <sz val="11"/>
        <color theme="1"/>
        <rFont val="Calibri"/>
        <family val="2"/>
        <charset val="238"/>
        <scheme val="minor"/>
      </rPr>
      <t xml:space="preserve">4. </t>
    </r>
    <r>
      <rPr>
        <sz val="11"/>
        <color theme="1"/>
        <rFont val="Calibri"/>
        <family val="2"/>
        <charset val="238"/>
        <scheme val="minor"/>
      </rPr>
      <t xml:space="preserve">sve naknade za odlaganje otpadnog materijala na deponiju </t>
    </r>
    <r>
      <rPr>
        <b/>
        <sz val="11"/>
        <color theme="1"/>
        <rFont val="Calibri"/>
        <family val="2"/>
        <charset val="238"/>
        <scheme val="minor"/>
      </rPr>
      <t>5.</t>
    </r>
    <r>
      <rPr>
        <sz val="11"/>
        <color theme="1"/>
        <rFont val="Calibri"/>
        <family val="2"/>
        <charset val="238"/>
        <scheme val="minor"/>
      </rPr>
      <t xml:space="preserve"> sva pomagala, alate, mehanizaciju koja se koristi za rad, te odvoz, dovoz i skladištenje istih, uključivo i troškove za posuđenu i unajmljenu mehanizaciju </t>
    </r>
    <r>
      <rPr>
        <b/>
        <sz val="11"/>
        <color theme="1"/>
        <rFont val="Calibri"/>
        <family val="2"/>
        <charset val="238"/>
        <scheme val="minor"/>
      </rPr>
      <t>6.</t>
    </r>
    <r>
      <rPr>
        <sz val="11"/>
        <color theme="1"/>
        <rFont val="Calibri"/>
        <family val="2"/>
        <charset val="238"/>
        <scheme val="minor"/>
      </rPr>
      <t xml:space="preserve"> sve horizontalne i vertikalne transporte do mjesta ugradnje (uključivo svu potrebnu mehanizaciju za kvalitetan transport) </t>
    </r>
    <r>
      <rPr>
        <b/>
        <sz val="11"/>
        <color theme="1"/>
        <rFont val="Calibri"/>
        <family val="2"/>
        <charset val="238"/>
        <scheme val="minor"/>
      </rPr>
      <t>7.</t>
    </r>
    <r>
      <rPr>
        <sz val="11"/>
        <color theme="1"/>
        <rFont val="Calibri"/>
        <family val="2"/>
        <charset val="238"/>
        <scheme val="minor"/>
      </rPr>
      <t xml:space="preserve">potrebne oplate, razupore, podupore (osiguranje od urušavanja kod zemljanih radova), radne skele, užadi, ljestve </t>
    </r>
    <r>
      <rPr>
        <b/>
        <sz val="11"/>
        <color theme="1"/>
        <rFont val="Calibri"/>
        <family val="2"/>
        <charset val="238"/>
        <scheme val="minor"/>
      </rPr>
      <t>8.</t>
    </r>
    <r>
      <rPr>
        <sz val="11"/>
        <color theme="1"/>
        <rFont val="Calibri"/>
        <family val="2"/>
        <charset val="238"/>
        <scheme val="minor"/>
      </rPr>
      <t xml:space="preserve"> postave ograde i mostova za prebacivanje alata, materijala i radnika </t>
    </r>
    <r>
      <rPr>
        <b/>
        <sz val="11"/>
        <color theme="1"/>
        <rFont val="Calibri"/>
        <family val="2"/>
        <charset val="238"/>
        <scheme val="minor"/>
      </rPr>
      <t>9.</t>
    </r>
    <r>
      <rPr>
        <sz val="11"/>
        <color theme="1"/>
        <rFont val="Calibri"/>
        <family val="2"/>
        <charset val="238"/>
        <scheme val="minor"/>
      </rPr>
      <t xml:space="preserve">crpljenje površinske i procjedne vode </t>
    </r>
    <r>
      <rPr>
        <b/>
        <sz val="11"/>
        <color theme="1"/>
        <rFont val="Calibri"/>
        <family val="2"/>
        <charset val="238"/>
        <scheme val="minor"/>
      </rPr>
      <t>10.</t>
    </r>
    <r>
      <rPr>
        <sz val="11"/>
        <color theme="1"/>
        <rFont val="Calibri"/>
        <family val="2"/>
        <charset val="238"/>
        <scheme val="minor"/>
      </rPr>
      <t xml:space="preserve"> pripremu podloge i ugradnja podložnih/razdjelnih slojeva potrebnih za kvalitetno izvođenje radova </t>
    </r>
    <r>
      <rPr>
        <b/>
        <sz val="11"/>
        <color theme="1"/>
        <rFont val="Calibri"/>
        <family val="2"/>
        <charset val="238"/>
        <scheme val="minor"/>
      </rPr>
      <t>11.</t>
    </r>
    <r>
      <rPr>
        <sz val="11"/>
        <color theme="1"/>
        <rFont val="Calibri"/>
        <family val="2"/>
        <charset val="238"/>
        <scheme val="minor"/>
      </rPr>
      <t xml:space="preserve"> sva brtvljenja oko ugrađenih elemenata (do potpune vodonepropusnosti, zrakonepropusnosti, ispunjavanje požarnih zahtjeva i sl.) </t>
    </r>
    <r>
      <rPr>
        <b/>
        <sz val="11"/>
        <color theme="1"/>
        <rFont val="Calibri"/>
        <family val="2"/>
        <charset val="238"/>
        <scheme val="minor"/>
      </rPr>
      <t>12.</t>
    </r>
    <r>
      <rPr>
        <sz val="11"/>
        <color theme="1"/>
        <rFont val="Calibri"/>
        <family val="2"/>
        <charset val="238"/>
        <scheme val="minor"/>
      </rPr>
      <t xml:space="preserve"> kvalitetnu izvedbu svih spojeva ugrađenih materijala </t>
    </r>
    <r>
      <rPr>
        <b/>
        <sz val="11"/>
        <color theme="1"/>
        <rFont val="Calibri"/>
        <family val="2"/>
        <charset val="238"/>
        <scheme val="minor"/>
      </rPr>
      <t>13.</t>
    </r>
    <r>
      <rPr>
        <sz val="11"/>
        <color theme="1"/>
        <rFont val="Calibri"/>
        <family val="2"/>
        <charset val="238"/>
        <scheme val="minor"/>
      </rPr>
      <t xml:space="preserve"> troškove rada u radionici i sve troškove dostave na gradilište </t>
    </r>
    <r>
      <rPr>
        <b/>
        <sz val="11"/>
        <color theme="1"/>
        <rFont val="Calibri"/>
        <family val="2"/>
        <charset val="238"/>
        <scheme val="minor"/>
      </rPr>
      <t>14.</t>
    </r>
    <r>
      <rPr>
        <sz val="11"/>
        <color theme="1"/>
        <rFont val="Calibri"/>
        <family val="2"/>
        <charset val="238"/>
        <scheme val="minor"/>
      </rPr>
      <t xml:space="preserve"> izlazak na teren i uzimanje potrebnih izmjera na gradilištu za sve vrste radova </t>
    </r>
    <r>
      <rPr>
        <b/>
        <sz val="11"/>
        <color theme="1"/>
        <rFont val="Calibri"/>
        <family val="2"/>
        <charset val="238"/>
        <scheme val="minor"/>
      </rPr>
      <t>15.</t>
    </r>
    <r>
      <rPr>
        <sz val="11"/>
        <color theme="1"/>
        <rFont val="Calibri"/>
        <family val="2"/>
        <charset val="238"/>
        <scheme val="minor"/>
      </rPr>
      <t xml:space="preserve"> sva ocrtavanja/označavanja mjesta za štemenje, rupe, pante, rasvjetu, instalacije, obujmice, revizije te rezanja za manje prodore </t>
    </r>
    <r>
      <rPr>
        <b/>
        <sz val="11"/>
        <color theme="1"/>
        <rFont val="Calibri"/>
        <family val="2"/>
        <charset val="238"/>
        <scheme val="minor"/>
      </rPr>
      <t>16.</t>
    </r>
    <r>
      <rPr>
        <sz val="11"/>
        <color theme="1"/>
        <rFont val="Calibri"/>
        <family val="2"/>
        <charset val="238"/>
        <scheme val="minor"/>
      </rPr>
      <t xml:space="preserve"> nanosnu skelu i sva druga sredstva i rad potreban za odmjeravanje i označavanje gabarita objekta, te sva odmjeravanja i označavanja unutar objekta za točno pozicioniranje prilikom izvođenja radova </t>
    </r>
    <r>
      <rPr>
        <b/>
        <sz val="11"/>
        <color theme="1"/>
        <rFont val="Calibri"/>
        <family val="2"/>
        <charset val="238"/>
        <scheme val="minor"/>
      </rPr>
      <t>17.</t>
    </r>
    <r>
      <rPr>
        <sz val="11"/>
        <color theme="1"/>
        <rFont val="Calibri"/>
        <family val="2"/>
        <charset val="238"/>
        <scheme val="minor"/>
      </rPr>
      <t xml:space="preserve"> troškove popravka štete kao posljedica nepažnje u toku izvedbe, eventualna krpanja tijekom radova </t>
    </r>
    <r>
      <rPr>
        <b/>
        <sz val="11"/>
        <color theme="1"/>
        <rFont val="Calibri"/>
        <family val="2"/>
        <charset val="238"/>
        <scheme val="minor"/>
      </rPr>
      <t>18</t>
    </r>
    <r>
      <rPr>
        <sz val="11"/>
        <color theme="1"/>
        <rFont val="Calibri"/>
        <family val="2"/>
        <charset val="238"/>
        <scheme val="minor"/>
      </rPr>
      <t xml:space="preserve">. troškove zaštite na radu </t>
    </r>
    <r>
      <rPr>
        <b/>
        <sz val="11"/>
        <color theme="1"/>
        <rFont val="Calibri"/>
        <family val="2"/>
        <charset val="238"/>
        <scheme val="minor"/>
      </rPr>
      <t>19.</t>
    </r>
    <r>
      <rPr>
        <sz val="11"/>
        <color theme="1"/>
        <rFont val="Calibri"/>
        <family val="2"/>
        <charset val="238"/>
        <scheme val="minor"/>
      </rPr>
      <t xml:space="preserve"> zidarska pripomoć obrtnicima, instalaterima, nošenje izuzetno teških predmeta, pripomoć kod raznih ugradbi, materijal za ugradbu i troškovi suradnje sa drugim izvođačima </t>
    </r>
    <r>
      <rPr>
        <b/>
        <sz val="11"/>
        <color theme="1"/>
        <rFont val="Calibri"/>
        <family val="2"/>
        <charset val="238"/>
        <scheme val="minor"/>
      </rPr>
      <t>20</t>
    </r>
    <r>
      <rPr>
        <sz val="11"/>
        <color theme="1"/>
        <rFont val="Calibri"/>
        <family val="2"/>
        <charset val="238"/>
        <scheme val="minor"/>
      </rPr>
      <t xml:space="preserve">. kompletnu zaštitu od korozije i požara prema projektnim zahtjevima; </t>
    </r>
    <r>
      <rPr>
        <b/>
        <sz val="11"/>
        <color theme="1"/>
        <rFont val="Calibri"/>
        <family val="2"/>
        <charset val="238"/>
        <scheme val="minor"/>
      </rPr>
      <t>21.</t>
    </r>
    <r>
      <rPr>
        <sz val="11"/>
        <color theme="1"/>
        <rFont val="Calibri"/>
        <family val="2"/>
        <charset val="238"/>
        <scheme val="minor"/>
      </rPr>
      <t xml:space="preserve"> troškovi ispitivanja kvalitete materijala tijekom izvođenja </t>
    </r>
    <r>
      <rPr>
        <b/>
        <sz val="11"/>
        <color theme="1"/>
        <rFont val="Calibri"/>
        <family val="2"/>
        <charset val="238"/>
        <scheme val="minor"/>
      </rPr>
      <t>22.</t>
    </r>
    <r>
      <rPr>
        <sz val="11"/>
        <color theme="1"/>
        <rFont val="Calibri"/>
        <family val="2"/>
        <charset val="238"/>
        <scheme val="minor"/>
      </rPr>
      <t xml:space="preserve"> izrada radioničkih nacrta </t>
    </r>
    <r>
      <rPr>
        <b/>
        <sz val="11"/>
        <color theme="1"/>
        <rFont val="Calibri"/>
        <family val="2"/>
        <charset val="238"/>
        <scheme val="minor"/>
      </rPr>
      <t>23.</t>
    </r>
    <r>
      <rPr>
        <sz val="11"/>
        <color theme="1"/>
        <rFont val="Calibri"/>
        <family val="2"/>
        <charset val="238"/>
        <scheme val="minor"/>
      </rPr>
      <t xml:space="preserve"> svu zaštitnu i završnu obradu prema opisu stavku </t>
    </r>
    <r>
      <rPr>
        <b/>
        <sz val="11"/>
        <color theme="1"/>
        <rFont val="Calibri"/>
        <family val="2"/>
        <charset val="238"/>
        <scheme val="minor"/>
      </rPr>
      <t>24.</t>
    </r>
    <r>
      <rPr>
        <sz val="11"/>
        <color theme="1"/>
        <rFont val="Calibri"/>
        <family val="2"/>
        <charset val="238"/>
        <scheme val="minor"/>
      </rPr>
      <t xml:space="preserve"> sav rad oko zaštite i zaštitu gotovih konstrukcija i dijelova objekta od nepovoljnih atmosferskih utjecaja, radova koji slijede nakon toga rada i popravak, tj. naknadu štete učinjene pri radu na svojim ili tuđim radovima </t>
    </r>
    <r>
      <rPr>
        <b/>
        <sz val="11"/>
        <color theme="1"/>
        <rFont val="Calibri"/>
        <family val="2"/>
        <charset val="238"/>
        <scheme val="minor"/>
      </rPr>
      <t>25.</t>
    </r>
    <r>
      <rPr>
        <sz val="11"/>
        <color theme="1"/>
        <rFont val="Calibri"/>
        <family val="2"/>
        <charset val="238"/>
        <scheme val="minor"/>
      </rPr>
      <t xml:space="preserve"> izvedba u svemu prema svim važećim projektnima, nacrtima, dodatnim uputama i danim tehničkim smjernicama </t>
    </r>
    <r>
      <rPr>
        <b/>
        <sz val="11"/>
        <color theme="1"/>
        <rFont val="Calibri"/>
        <family val="2"/>
        <charset val="238"/>
        <scheme val="minor"/>
      </rPr>
      <t>26.</t>
    </r>
    <r>
      <rPr>
        <sz val="11"/>
        <color theme="1"/>
        <rFont val="Calibri"/>
        <family val="2"/>
        <charset val="238"/>
        <scheme val="minor"/>
      </rPr>
      <t xml:space="preserve"> suradnja sa ostalim izvođačima radova na gradilištu, posebice prilikom izvođenja složenih ili kontaktnih stavki Ugovorene jedinične cijene pojedinih stavaka vrijede za cijeli objekt bez obzira na katnost, visinu prostorija ili sl. gdje se vrši dotični rad.</t>
    </r>
  </si>
  <si>
    <t>Prije početka zavarivanja izvođač je dužan pregledati sve površine predviđene za zavarivanje i osigurati da iste budu metalno čiste, bez prljavštine, hrđe ili masnoće. 
Izmjene bilo kojih elemenata konstrukcije ili detalja u odnosu na one koji su zadani projektom konstrukcije u načelu su dozvoljene ukoliko za njih izvođač dobije pismeno odobrenje od stručnog nadzora i ukoliko ih u potpunosti statički dokaže.</t>
  </si>
  <si>
    <r>
      <rPr>
        <b/>
        <sz val="11"/>
        <color theme="1"/>
        <rFont val="Calibri"/>
        <family val="2"/>
        <charset val="238"/>
        <scheme val="minor"/>
      </rPr>
      <t xml:space="preserve">Proizvodi/dimenzije - </t>
    </r>
    <r>
      <rPr>
        <sz val="11"/>
        <color theme="1"/>
        <rFont val="Calibri"/>
        <family val="2"/>
        <charset val="238"/>
        <scheme val="minor"/>
      </rPr>
      <t>Dopuštena odstupanja tehničkih karakteristika ponuđenih proizvoda u odnosu na tehničke podatke u troškovniku iznose maksimalno 5%. Odnosi se na sve stavke troškovnika i za sve točno navedene mjere/dimenzije.</t>
    </r>
  </si>
  <si>
    <t>NAPOMENA: Ove stavke troškovnika su sastavni dio općih uvjeta
U svim stavkama predvidjeti nabavu, dobavu, montažu i spajanje! U cijeni sav rad i potreban materijal, uz upotrebu skela, bina i auto-dizalice do potpune gotovosti, te svakodnevno čišćenje.</t>
  </si>
  <si>
    <t>Dozvoljena odstupanja iskazanih za sve točno navedene mjere/dimenzije iznose ± 5%.</t>
  </si>
  <si>
    <t xml:space="preserve">NAPOMENA: Ove stavke troškovnika su sastavni dio općih uvjeta
U svim stavkama predvidjeti nabavu, dobavu, montažu i spajanje! U cijeni sav rad i potreban materijal, uz upotrebu skela, bina i auto-dizalice do potpune gotovosti, te svakodnevno čišćenje.
Dozvoljena odstupanja iskazanih za sve točno navedene mjere/dimenzije iznose ± 5%. </t>
  </si>
  <si>
    <t>Nudimo špric i VC žbuku debljine do 20mm i finu žbuku 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</si>
</sst>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kn&quot;_-;\-* #,##0.00\ &quot;kn&quot;_-;_-* &quot;-&quot;??\ &quot;kn&quot;_-;_-@_-"/>
    <numFmt numFmtId="164" formatCode="_-* #,##0.00\ _k_n_-;\-* #,##0.00\ _k_n_-;_-* &quot;-&quot;??\ _k_n_-;_-@_-"/>
    <numFmt numFmtId="165" formatCode="#,##0.00\ _k_n"/>
    <numFmt numFmtId="166" formatCode="#,##0.00\ [$€-1]"/>
    <numFmt numFmtId="167" formatCode="#,##0.00\ &quot;kn&quot;"/>
    <numFmt numFmtId="168" formatCode="_-* #,##0.00\ [$€-1]_-;\-* #,##0.00\ [$€-1]_-;_-* &quot;-&quot;??\ [$€-1]_-;_-@_-"/>
    <numFmt numFmtId="169" formatCode="_(* #,##0.00_);_(* \(#,##0.00\);_(* &quot;-&quot;??_);_(@_)"/>
    <numFmt numFmtId="170" formatCode="&quot; &quot;#,##0.00&quot;    &quot;;&quot;-&quot;#,##0.00&quot;    &quot;;&quot; -&quot;00&quot;    &quot;;&quot; &quot;@&quot; &quot;"/>
  </numFmts>
  <fonts count="55" x14ac:knownFonts="1">
    <font>
      <sz val="11"/>
      <color theme="1"/>
      <name val="Calibri"/>
      <family val="2"/>
      <charset val="238"/>
      <scheme val="minor"/>
    </font>
    <font>
      <sz val="11"/>
      <color theme="1"/>
      <name val="Calibri"/>
      <family val="2"/>
      <charset val="238"/>
      <scheme val="minor"/>
    </font>
    <font>
      <b/>
      <sz val="10"/>
      <color theme="1"/>
      <name val="Calibri"/>
      <family val="2"/>
      <charset val="238"/>
      <scheme val="minor"/>
    </font>
    <font>
      <sz val="10"/>
      <color theme="1"/>
      <name val="Calibri"/>
      <family val="2"/>
      <charset val="238"/>
      <scheme val="minor"/>
    </font>
    <font>
      <sz val="10"/>
      <name val="Calibri"/>
      <family val="2"/>
      <charset val="238"/>
      <scheme val="minor"/>
    </font>
    <font>
      <b/>
      <sz val="10"/>
      <color theme="1"/>
      <name val="Calibri"/>
      <family val="2"/>
      <scheme val="minor"/>
    </font>
    <font>
      <sz val="10"/>
      <color theme="1"/>
      <name val="Calibri"/>
      <family val="2"/>
      <scheme val="minor"/>
    </font>
    <font>
      <sz val="10"/>
      <name val="Calibri"/>
      <family val="2"/>
      <scheme val="minor"/>
    </font>
    <font>
      <sz val="10"/>
      <color theme="1"/>
      <name val="Calibri"/>
      <family val="2"/>
    </font>
    <font>
      <vertAlign val="superscript"/>
      <sz val="10"/>
      <color theme="1"/>
      <name val="Calibri"/>
      <family val="2"/>
      <scheme val="minor"/>
    </font>
    <font>
      <b/>
      <sz val="10"/>
      <name val="Calibri"/>
      <family val="2"/>
      <charset val="238"/>
      <scheme val="minor"/>
    </font>
    <font>
      <sz val="12"/>
      <name val="Arial"/>
      <family val="2"/>
      <charset val="238"/>
    </font>
    <font>
      <b/>
      <sz val="11"/>
      <color theme="1"/>
      <name val="Calibri"/>
      <family val="2"/>
      <charset val="238"/>
      <scheme val="minor"/>
    </font>
    <font>
      <vertAlign val="superscript"/>
      <sz val="10"/>
      <color theme="1"/>
      <name val="Calibri"/>
      <family val="2"/>
      <charset val="238"/>
      <scheme val="minor"/>
    </font>
    <font>
      <sz val="11"/>
      <color theme="1"/>
      <name val="Calibri"/>
      <family val="2"/>
      <scheme val="minor"/>
    </font>
    <font>
      <vertAlign val="superscript"/>
      <sz val="10"/>
      <color theme="1"/>
      <name val="Calibri"/>
      <family val="2"/>
    </font>
    <font>
      <i/>
      <sz val="10"/>
      <color theme="1"/>
      <name val="Calibri"/>
      <family val="2"/>
      <scheme val="minor"/>
    </font>
    <font>
      <vertAlign val="subscript"/>
      <sz val="10"/>
      <color theme="1"/>
      <name val="Calibri"/>
      <family val="2"/>
      <scheme val="minor"/>
    </font>
    <font>
      <b/>
      <vertAlign val="superscript"/>
      <sz val="10"/>
      <color theme="1"/>
      <name val="Calibri"/>
      <family val="2"/>
      <scheme val="minor"/>
    </font>
    <font>
      <sz val="10"/>
      <name val="Arial"/>
      <family val="2"/>
      <charset val="238"/>
    </font>
    <font>
      <sz val="11"/>
      <color indexed="8"/>
      <name val="Calibri"/>
      <family val="2"/>
      <charset val="238"/>
    </font>
    <font>
      <b/>
      <sz val="11"/>
      <name val="Calibri"/>
      <family val="2"/>
      <scheme val="minor"/>
    </font>
    <font>
      <sz val="10"/>
      <name val="Arial"/>
      <family val="2"/>
      <charset val="238"/>
    </font>
    <font>
      <sz val="11"/>
      <name val="Arial"/>
      <family val="2"/>
      <charset val="238"/>
    </font>
    <font>
      <b/>
      <sz val="10"/>
      <name val="Arial"/>
      <family val="2"/>
      <charset val="238"/>
    </font>
    <font>
      <sz val="10"/>
      <color rgb="FFFF0000"/>
      <name val="Arial"/>
      <family val="2"/>
      <charset val="238"/>
    </font>
    <font>
      <sz val="10"/>
      <name val="Arial"/>
      <family val="2"/>
    </font>
    <font>
      <b/>
      <sz val="11"/>
      <name val="Arial"/>
      <family val="2"/>
      <charset val="238"/>
    </font>
    <font>
      <sz val="10"/>
      <name val="Helv"/>
    </font>
    <font>
      <vertAlign val="superscript"/>
      <sz val="10"/>
      <name val="Arial"/>
      <family val="2"/>
      <charset val="238"/>
    </font>
    <font>
      <sz val="11"/>
      <color rgb="FF000000"/>
      <name val="Calibri"/>
      <family val="2"/>
    </font>
    <font>
      <sz val="10"/>
      <name val="Times New Roman"/>
      <family val="1"/>
      <charset val="238"/>
    </font>
    <font>
      <b/>
      <sz val="8"/>
      <color rgb="FF000000"/>
      <name val="Tahoma"/>
      <family val="2"/>
      <charset val="238"/>
    </font>
    <font>
      <sz val="10"/>
      <color rgb="FFFF0000"/>
      <name val="Calibri"/>
      <family val="2"/>
      <scheme val="minor"/>
    </font>
    <font>
      <b/>
      <sz val="12"/>
      <name val="Arial"/>
      <family val="2"/>
      <charset val="238"/>
    </font>
    <font>
      <b/>
      <sz val="9"/>
      <name val="Arial"/>
      <family val="2"/>
      <charset val="238"/>
    </font>
    <font>
      <sz val="11"/>
      <name val="Calibri"/>
      <family val="2"/>
      <charset val="238"/>
      <scheme val="minor"/>
    </font>
    <font>
      <sz val="11"/>
      <name val="Calibri"/>
      <family val="2"/>
      <scheme val="minor"/>
    </font>
    <font>
      <b/>
      <sz val="24"/>
      <color theme="1"/>
      <name val="Calibri"/>
      <family val="2"/>
      <scheme val="minor"/>
    </font>
    <font>
      <b/>
      <sz val="12"/>
      <color theme="1"/>
      <name val="Calibri"/>
      <family val="2"/>
      <scheme val="minor"/>
    </font>
    <font>
      <b/>
      <sz val="11"/>
      <color theme="1"/>
      <name val="Calibri"/>
      <family val="2"/>
      <scheme val="minor"/>
    </font>
    <font>
      <i/>
      <sz val="11"/>
      <color theme="1"/>
      <name val="Calibri"/>
      <family val="2"/>
      <scheme val="minor"/>
    </font>
    <font>
      <i/>
      <sz val="11"/>
      <name val="Calibri"/>
      <family val="2"/>
      <scheme val="minor"/>
    </font>
    <font>
      <b/>
      <sz val="24"/>
      <name val="Arial Black"/>
      <family val="2"/>
      <charset val="238"/>
    </font>
    <font>
      <b/>
      <sz val="14"/>
      <name val="Arial"/>
      <family val="2"/>
      <charset val="238"/>
    </font>
    <font>
      <b/>
      <sz val="16"/>
      <name val="Arial"/>
      <family val="2"/>
      <charset val="238"/>
    </font>
    <font>
      <i/>
      <sz val="10"/>
      <color rgb="FFFF0000"/>
      <name val="Arial"/>
      <family val="2"/>
      <charset val="238"/>
    </font>
    <font>
      <b/>
      <i/>
      <sz val="12"/>
      <name val="Arial"/>
      <family val="2"/>
      <charset val="238"/>
    </font>
    <font>
      <b/>
      <i/>
      <sz val="12"/>
      <color rgb="FFFF0000"/>
      <name val="Arial"/>
      <family val="2"/>
      <charset val="238"/>
    </font>
    <font>
      <b/>
      <i/>
      <sz val="14"/>
      <color rgb="FFFF0000"/>
      <name val="Arial"/>
      <family val="2"/>
      <charset val="238"/>
    </font>
    <font>
      <i/>
      <sz val="10"/>
      <name val="Arial"/>
      <family val="2"/>
      <charset val="238"/>
    </font>
    <font>
      <b/>
      <sz val="20"/>
      <name val="Arial"/>
      <family val="2"/>
      <charset val="238"/>
    </font>
    <font>
      <b/>
      <sz val="24"/>
      <name val="Arial"/>
      <family val="2"/>
      <charset val="238"/>
    </font>
    <font>
      <sz val="24"/>
      <name val="Arial"/>
      <family val="2"/>
      <charset val="238"/>
    </font>
    <font>
      <sz val="11"/>
      <color rgb="FFFF0000"/>
      <name val="Calibri"/>
      <family val="2"/>
      <charset val="238"/>
      <scheme val="minor"/>
    </font>
  </fonts>
  <fills count="7">
    <fill>
      <patternFill patternType="none"/>
    </fill>
    <fill>
      <patternFill patternType="gray125"/>
    </fill>
    <fill>
      <patternFill patternType="solid">
        <fgColor theme="6" tint="0.59999389629810485"/>
        <bgColor indexed="65"/>
      </patternFill>
    </fill>
    <fill>
      <patternFill patternType="solid">
        <fgColor theme="6" tint="0.79998168889431442"/>
        <bgColor indexed="65"/>
      </patternFill>
    </fill>
    <fill>
      <patternFill patternType="solid">
        <fgColor rgb="FFCD94E4"/>
        <bgColor indexed="64"/>
      </patternFill>
    </fill>
    <fill>
      <patternFill patternType="solid">
        <fgColor theme="0"/>
        <bgColor indexed="64"/>
      </patternFill>
    </fill>
    <fill>
      <patternFill patternType="solid">
        <fgColor rgb="FFA365D1"/>
        <bgColor indexed="64"/>
      </patternFill>
    </fill>
  </fills>
  <borders count="26">
    <border>
      <left/>
      <right/>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hair">
        <color theme="0" tint="-0.499984740745262"/>
      </top>
      <bottom style="hair">
        <color theme="0" tint="-0.499984740745262"/>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8"/>
      </left>
      <right style="thin">
        <color indexed="8"/>
      </right>
      <top style="thin">
        <color indexed="8"/>
      </top>
      <bottom style="thin">
        <color indexed="8"/>
      </bottom>
      <diagonal/>
    </border>
    <border>
      <left/>
      <right/>
      <top style="thin">
        <color indexed="8"/>
      </top>
      <bottom style="double">
        <color indexed="8"/>
      </bottom>
      <diagonal/>
    </border>
    <border>
      <left/>
      <right/>
      <top/>
      <bottom style="thin">
        <color indexed="8"/>
      </bottom>
      <diagonal/>
    </border>
    <border>
      <left/>
      <right/>
      <top style="thin">
        <color indexed="64"/>
      </top>
      <bottom style="double">
        <color indexed="64"/>
      </bottom>
      <diagonal/>
    </border>
  </borders>
  <cellStyleXfs count="33">
    <xf numFmtId="0" fontId="0" fillId="0" borderId="0"/>
    <xf numFmtId="0" fontId="1" fillId="2" borderId="0" applyNumberFormat="0" applyBorder="0" applyAlignment="0" applyProtection="0"/>
    <xf numFmtId="0" fontId="1" fillId="3" borderId="0" applyNumberFormat="0" applyBorder="0" applyAlignment="0" applyProtection="0"/>
    <xf numFmtId="4" fontId="11" fillId="0" borderId="0"/>
    <xf numFmtId="0" fontId="14" fillId="0" borderId="0"/>
    <xf numFmtId="0" fontId="22" fillId="0" borderId="0"/>
    <xf numFmtId="0" fontId="19" fillId="0" borderId="0"/>
    <xf numFmtId="0" fontId="19" fillId="0" borderId="0"/>
    <xf numFmtId="0" fontId="19" fillId="0" borderId="0"/>
    <xf numFmtId="0" fontId="14" fillId="0" borderId="0"/>
    <xf numFmtId="0" fontId="19" fillId="0" borderId="0"/>
    <xf numFmtId="0" fontId="28" fillId="0" borderId="0"/>
    <xf numFmtId="164" fontId="19" fillId="0" borderId="0" applyFont="0" applyFill="0" applyBorder="0" applyAlignment="0" applyProtection="0"/>
    <xf numFmtId="169" fontId="19" fillId="0" borderId="0" applyFont="0" applyFill="0" applyBorder="0" applyAlignment="0" applyProtection="0"/>
    <xf numFmtId="169" fontId="19" fillId="0" borderId="0" applyFont="0" applyFill="0" applyBorder="0" applyAlignment="0" applyProtection="0"/>
    <xf numFmtId="0" fontId="19" fillId="0" borderId="0"/>
    <xf numFmtId="0" fontId="19" fillId="0" borderId="0"/>
    <xf numFmtId="0" fontId="19" fillId="0" borderId="0"/>
    <xf numFmtId="0" fontId="1" fillId="0" borderId="0"/>
    <xf numFmtId="170" fontId="30" fillId="0" borderId="0" applyFont="0" applyFill="0" applyBorder="0" applyAlignment="0" applyProtection="0"/>
    <xf numFmtId="0" fontId="31" fillId="0" borderId="0"/>
    <xf numFmtId="0" fontId="1" fillId="0" borderId="5" applyAlignment="0">
      <alignment horizontal="left" vertical="center" wrapText="1"/>
    </xf>
    <xf numFmtId="0" fontId="32" fillId="0" borderId="0">
      <alignment horizontal="right" vertical="top"/>
    </xf>
    <xf numFmtId="0" fontId="32" fillId="0" borderId="0">
      <alignment horizontal="left" vertical="top"/>
    </xf>
    <xf numFmtId="164" fontId="19" fillId="0" borderId="0" applyFont="0" applyFill="0" applyBorder="0" applyAlignment="0" applyProtection="0"/>
    <xf numFmtId="0" fontId="20" fillId="0" borderId="0"/>
    <xf numFmtId="0" fontId="19" fillId="0" borderId="0"/>
    <xf numFmtId="0" fontId="26" fillId="0" borderId="0"/>
    <xf numFmtId="4" fontId="11" fillId="0" borderId="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19" fillId="0" borderId="0"/>
  </cellStyleXfs>
  <cellXfs count="254">
    <xf numFmtId="0" fontId="0" fillId="0" borderId="0" xfId="0"/>
    <xf numFmtId="0" fontId="3" fillId="0" borderId="0" xfId="0" applyFont="1"/>
    <xf numFmtId="0" fontId="2" fillId="0" borderId="0" xfId="0" applyFont="1"/>
    <xf numFmtId="0" fontId="3" fillId="0" borderId="0" xfId="0" applyFont="1" applyAlignment="1">
      <alignment horizontal="justify" vertical="top" wrapText="1"/>
    </xf>
    <xf numFmtId="0" fontId="3" fillId="0" borderId="0" xfId="0" applyFont="1" applyAlignment="1">
      <alignment horizontal="center" vertical="center"/>
    </xf>
    <xf numFmtId="165" fontId="3" fillId="0" borderId="0" xfId="0" applyNumberFormat="1" applyFont="1"/>
    <xf numFmtId="165" fontId="3" fillId="0" borderId="0" xfId="0" applyNumberFormat="1" applyFont="1" applyAlignment="1">
      <alignment horizontal="center" vertical="center"/>
    </xf>
    <xf numFmtId="0" fontId="3" fillId="0" borderId="0" xfId="0" applyFont="1" applyAlignment="1">
      <alignment horizontal="left" vertical="top" wrapText="1"/>
    </xf>
    <xf numFmtId="0" fontId="0" fillId="0" borderId="0" xfId="0" applyAlignment="1">
      <alignment wrapText="1"/>
    </xf>
    <xf numFmtId="49" fontId="19" fillId="0" borderId="0" xfId="7" applyNumberFormat="1" applyAlignment="1">
      <alignment horizontal="left" vertical="top" wrapText="1"/>
    </xf>
    <xf numFmtId="0" fontId="0" fillId="0" borderId="6" xfId="0" applyBorder="1"/>
    <xf numFmtId="0" fontId="0" fillId="0" borderId="7" xfId="0" applyBorder="1"/>
    <xf numFmtId="0" fontId="2" fillId="0" borderId="0" xfId="0" applyFont="1" applyAlignment="1">
      <alignment horizontal="left" vertical="top" wrapText="1"/>
    </xf>
    <xf numFmtId="0" fontId="2" fillId="0" borderId="0" xfId="0" applyFont="1" applyAlignment="1">
      <alignment horizontal="left" vertical="top"/>
    </xf>
    <xf numFmtId="0" fontId="5" fillId="0" borderId="6" xfId="0" applyFont="1" applyBorder="1" applyAlignment="1">
      <alignment horizontal="center" vertical="top"/>
    </xf>
    <xf numFmtId="0" fontId="6" fillId="0" borderId="0" xfId="0" applyFont="1"/>
    <xf numFmtId="0" fontId="7" fillId="0" borderId="0" xfId="0" applyFont="1" applyAlignment="1">
      <alignment horizontal="justify" vertical="top" wrapText="1" shrinkToFit="1"/>
    </xf>
    <xf numFmtId="0" fontId="6" fillId="0" borderId="0" xfId="0" applyFont="1" applyAlignment="1">
      <alignment horizontal="center"/>
    </xf>
    <xf numFmtId="165" fontId="6" fillId="0" borderId="0" xfId="0" applyNumberFormat="1" applyFont="1" applyAlignment="1">
      <alignment horizontal="center"/>
    </xf>
    <xf numFmtId="0" fontId="6" fillId="0" borderId="0" xfId="0" applyFont="1" applyAlignment="1">
      <alignment horizontal="center" vertical="center"/>
    </xf>
    <xf numFmtId="165" fontId="6" fillId="0" borderId="0" xfId="0" applyNumberFormat="1" applyFont="1" applyAlignment="1">
      <alignment horizontal="center" vertical="center"/>
    </xf>
    <xf numFmtId="0" fontId="5" fillId="0" borderId="6" xfId="0" applyFont="1" applyBorder="1" applyAlignment="1">
      <alignment horizontal="center" vertical="center"/>
    </xf>
    <xf numFmtId="0" fontId="7" fillId="0" borderId="0" xfId="0" applyFont="1" applyAlignment="1">
      <alignment horizontal="justify" vertical="top" wrapText="1"/>
    </xf>
    <xf numFmtId="0" fontId="7" fillId="0" borderId="0" xfId="0" applyFont="1" applyAlignment="1">
      <alignment horizontal="center"/>
    </xf>
    <xf numFmtId="0" fontId="10" fillId="0" borderId="0" xfId="0" applyFont="1" applyAlignment="1">
      <alignment horizontal="left" vertical="top" wrapText="1"/>
    </xf>
    <xf numFmtId="165" fontId="3" fillId="0" borderId="0" xfId="0" applyNumberFormat="1" applyFont="1" applyAlignment="1">
      <alignment horizontal="center"/>
    </xf>
    <xf numFmtId="0" fontId="4" fillId="0" borderId="0" xfId="0" applyFont="1" applyAlignment="1">
      <alignment horizontal="justify" vertical="top" wrapText="1"/>
    </xf>
    <xf numFmtId="0" fontId="4" fillId="0" borderId="0" xfId="0" applyFont="1" applyAlignment="1">
      <alignment horizontal="left" vertical="top" wrapText="1"/>
    </xf>
    <xf numFmtId="0" fontId="2" fillId="2" borderId="6" xfId="1" applyFont="1" applyBorder="1" applyAlignment="1">
      <alignment horizontal="center" vertical="center"/>
    </xf>
    <xf numFmtId="0" fontId="2" fillId="2" borderId="0" xfId="1" applyFont="1" applyBorder="1"/>
    <xf numFmtId="0" fontId="2" fillId="0" borderId="6" xfId="0" applyFont="1" applyBorder="1" applyAlignment="1">
      <alignment horizontal="center" vertical="center"/>
    </xf>
    <xf numFmtId="0" fontId="2" fillId="0" borderId="6" xfId="0" applyFont="1" applyBorder="1" applyAlignment="1">
      <alignment horizontal="center" vertical="top"/>
    </xf>
    <xf numFmtId="0" fontId="3" fillId="0" borderId="0" xfId="0" applyFont="1" applyAlignment="1">
      <alignment horizontal="center"/>
    </xf>
    <xf numFmtId="2" fontId="3" fillId="0" borderId="0" xfId="0" applyNumberFormat="1" applyFont="1" applyAlignment="1">
      <alignment horizontal="center"/>
    </xf>
    <xf numFmtId="44" fontId="4" fillId="0" borderId="0" xfId="0" applyNumberFormat="1" applyFont="1" applyAlignment="1">
      <alignment horizontal="justify" vertical="top" wrapText="1"/>
    </xf>
    <xf numFmtId="0" fontId="12" fillId="0" borderId="6" xfId="0" applyFont="1" applyBorder="1" applyAlignment="1">
      <alignment horizontal="center" vertical="top"/>
    </xf>
    <xf numFmtId="0" fontId="5" fillId="0" borderId="0" xfId="0" applyFont="1" applyAlignment="1">
      <alignment horizontal="left" vertical="top" wrapText="1"/>
    </xf>
    <xf numFmtId="0" fontId="6" fillId="0" borderId="0" xfId="4" applyFont="1" applyAlignment="1">
      <alignment vertical="top" wrapText="1"/>
    </xf>
    <xf numFmtId="0" fontId="6" fillId="0" borderId="0" xfId="4" applyFont="1" applyAlignment="1">
      <alignment horizontal="left" vertical="center" wrapText="1"/>
    </xf>
    <xf numFmtId="0" fontId="6" fillId="0" borderId="0" xfId="4" applyFont="1" applyAlignment="1">
      <alignment horizontal="justify" vertical="top" wrapText="1"/>
    </xf>
    <xf numFmtId="0" fontId="6" fillId="0" borderId="0" xfId="0" quotePrefix="1" applyFont="1" applyAlignment="1">
      <alignment vertical="center" wrapText="1"/>
    </xf>
    <xf numFmtId="165" fontId="7" fillId="0" borderId="0" xfId="0" applyNumberFormat="1" applyFont="1" applyAlignment="1">
      <alignment horizontal="center" vertical="center" wrapText="1"/>
    </xf>
    <xf numFmtId="0" fontId="5" fillId="0" borderId="0" xfId="0" quotePrefix="1" applyFont="1" applyAlignment="1">
      <alignment vertical="center" wrapText="1"/>
    </xf>
    <xf numFmtId="0" fontId="6" fillId="0" borderId="0" xfId="0" quotePrefix="1" applyFont="1" applyAlignment="1">
      <alignment horizontal="justify" vertical="top" wrapText="1"/>
    </xf>
    <xf numFmtId="165" fontId="7" fillId="0" borderId="0" xfId="0" applyNumberFormat="1" applyFont="1" applyAlignment="1">
      <alignment horizontal="center" wrapText="1"/>
    </xf>
    <xf numFmtId="166" fontId="2" fillId="3" borderId="10" xfId="2" applyNumberFormat="1" applyFont="1" applyBorder="1" applyAlignment="1">
      <alignment horizontal="center" vertical="center"/>
    </xf>
    <xf numFmtId="166" fontId="12" fillId="3" borderId="10" xfId="2" applyNumberFormat="1" applyFont="1" applyBorder="1" applyAlignment="1">
      <alignment horizontal="center" vertical="center"/>
    </xf>
    <xf numFmtId="166" fontId="0" fillId="0" borderId="0" xfId="0" applyNumberFormat="1"/>
    <xf numFmtId="0" fontId="37" fillId="0" borderId="0" xfId="0" applyFont="1"/>
    <xf numFmtId="0" fontId="12" fillId="0" borderId="0" xfId="0" applyFont="1" applyAlignment="1">
      <alignment horizontal="left" vertical="top" wrapText="1"/>
    </xf>
    <xf numFmtId="0" fontId="10" fillId="0" borderId="0" xfId="0" quotePrefix="1" applyFont="1" applyAlignment="1">
      <alignment horizontal="justify" vertical="top" wrapText="1" shrinkToFit="1"/>
    </xf>
    <xf numFmtId="0" fontId="3" fillId="0" borderId="0" xfId="0" quotePrefix="1" applyFont="1" applyAlignment="1">
      <alignment horizontal="justify" vertical="top" wrapText="1"/>
    </xf>
    <xf numFmtId="0" fontId="14" fillId="0" borderId="0" xfId="0" applyFont="1" applyAlignment="1">
      <alignment horizontal="left" vertical="top"/>
    </xf>
    <xf numFmtId="0" fontId="40" fillId="0" borderId="0" xfId="0" applyFont="1" applyAlignment="1">
      <alignment vertical="top"/>
    </xf>
    <xf numFmtId="4" fontId="14" fillId="0" borderId="0" xfId="0" applyNumberFormat="1" applyFont="1" applyAlignment="1">
      <alignment horizontal="center"/>
    </xf>
    <xf numFmtId="4" fontId="14" fillId="0" borderId="0" xfId="0" applyNumberFormat="1" applyFont="1"/>
    <xf numFmtId="0" fontId="40" fillId="6" borderId="19" xfId="0" applyFont="1" applyFill="1" applyBorder="1" applyAlignment="1">
      <alignment horizontal="center" vertical="top"/>
    </xf>
    <xf numFmtId="0" fontId="40" fillId="6" borderId="20" xfId="0" applyFont="1" applyFill="1" applyBorder="1" applyAlignment="1">
      <alignment horizontal="center" vertical="top" wrapText="1"/>
    </xf>
    <xf numFmtId="4" fontId="40" fillId="6" borderId="20" xfId="0" applyNumberFormat="1" applyFont="1" applyFill="1" applyBorder="1" applyAlignment="1">
      <alignment horizontal="center"/>
    </xf>
    <xf numFmtId="4" fontId="40" fillId="6" borderId="20" xfId="0" applyNumberFormat="1" applyFont="1" applyFill="1" applyBorder="1" applyAlignment="1">
      <alignment vertical="center"/>
    </xf>
    <xf numFmtId="4" fontId="40" fillId="6" borderId="21" xfId="0" applyNumberFormat="1" applyFont="1" applyFill="1" applyBorder="1" applyAlignment="1">
      <alignment vertical="center"/>
    </xf>
    <xf numFmtId="0" fontId="40" fillId="0" borderId="3" xfId="0" applyFont="1" applyBorder="1" applyAlignment="1">
      <alignment horizontal="center" vertical="top"/>
    </xf>
    <xf numFmtId="0" fontId="40" fillId="0" borderId="3" xfId="0" applyFont="1" applyBorder="1" applyAlignment="1">
      <alignment horizontal="center" vertical="top" wrapText="1"/>
    </xf>
    <xf numFmtId="4" fontId="40" fillId="0" borderId="3" xfId="0" applyNumberFormat="1" applyFont="1" applyBorder="1" applyAlignment="1">
      <alignment horizontal="center"/>
    </xf>
    <xf numFmtId="4" fontId="40" fillId="0" borderId="3" xfId="0" applyNumberFormat="1" applyFont="1" applyBorder="1" applyAlignment="1">
      <alignment vertical="center"/>
    </xf>
    <xf numFmtId="0" fontId="40" fillId="4" borderId="13" xfId="0" applyFont="1" applyFill="1" applyBorder="1" applyAlignment="1">
      <alignment horizontal="center" vertical="top"/>
    </xf>
    <xf numFmtId="0" fontId="40" fillId="4" borderId="14" xfId="0" applyFont="1" applyFill="1" applyBorder="1" applyAlignment="1">
      <alignment horizontal="left" vertical="top" wrapText="1"/>
    </xf>
    <xf numFmtId="4" fontId="40" fillId="4" borderId="14" xfId="0" applyNumberFormat="1" applyFont="1" applyFill="1" applyBorder="1" applyAlignment="1">
      <alignment horizontal="center"/>
    </xf>
    <xf numFmtId="4" fontId="40" fillId="4" borderId="14" xfId="0" applyNumberFormat="1" applyFont="1" applyFill="1" applyBorder="1" applyAlignment="1">
      <alignment vertical="center"/>
    </xf>
    <xf numFmtId="4" fontId="40" fillId="4" borderId="15" xfId="0" applyNumberFormat="1" applyFont="1" applyFill="1" applyBorder="1" applyAlignment="1">
      <alignment vertical="center"/>
    </xf>
    <xf numFmtId="0" fontId="14" fillId="0" borderId="3" xfId="0" applyFont="1" applyBorder="1" applyAlignment="1">
      <alignment horizontal="center" vertical="top"/>
    </xf>
    <xf numFmtId="0" fontId="14" fillId="0" borderId="3" xfId="0" applyFont="1" applyBorder="1" applyAlignment="1">
      <alignment vertical="top" wrapText="1"/>
    </xf>
    <xf numFmtId="4" fontId="14" fillId="0" borderId="3" xfId="0" applyNumberFormat="1" applyFont="1" applyBorder="1" applyAlignment="1">
      <alignment horizontal="center"/>
    </xf>
    <xf numFmtId="4" fontId="14" fillId="0" borderId="3" xfId="0" applyNumberFormat="1" applyFont="1" applyBorder="1"/>
    <xf numFmtId="0" fontId="41" fillId="0" borderId="3" xfId="0" applyFont="1" applyBorder="1" applyAlignment="1">
      <alignment vertical="top" wrapText="1"/>
    </xf>
    <xf numFmtId="4" fontId="37" fillId="0" borderId="0" xfId="0" applyNumberFormat="1" applyFont="1"/>
    <xf numFmtId="0" fontId="42" fillId="0" borderId="3" xfId="0" applyFont="1" applyBorder="1" applyAlignment="1">
      <alignment vertical="top" wrapText="1"/>
    </xf>
    <xf numFmtId="0" fontId="14" fillId="0" borderId="0" xfId="0" applyFont="1"/>
    <xf numFmtId="4" fontId="40" fillId="4" borderId="13" xfId="0" applyNumberFormat="1" applyFont="1" applyFill="1" applyBorder="1" applyAlignment="1">
      <alignment horizontal="center"/>
    </xf>
    <xf numFmtId="4" fontId="40" fillId="4" borderId="14" xfId="0" applyNumberFormat="1" applyFont="1" applyFill="1" applyBorder="1" applyAlignment="1">
      <alignment horizontal="left"/>
    </xf>
    <xf numFmtId="4" fontId="40" fillId="4" borderId="15" xfId="0" applyNumberFormat="1" applyFont="1" applyFill="1" applyBorder="1" applyAlignment="1">
      <alignment horizontal="right"/>
    </xf>
    <xf numFmtId="0" fontId="40" fillId="0" borderId="3" xfId="0" applyFont="1" applyBorder="1" applyAlignment="1">
      <alignment horizontal="left" vertical="top" wrapText="1"/>
    </xf>
    <xf numFmtId="0" fontId="21" fillId="0" borderId="3" xfId="8" applyFont="1" applyBorder="1" applyAlignment="1">
      <alignment horizontal="left" vertical="top" wrapText="1"/>
    </xf>
    <xf numFmtId="4" fontId="40" fillId="0" borderId="3" xfId="0" applyNumberFormat="1" applyFont="1" applyBorder="1"/>
    <xf numFmtId="0" fontId="37" fillId="0" borderId="3" xfId="28" applyNumberFormat="1" applyFont="1" applyBorder="1" applyAlignment="1">
      <alignment horizontal="justify" vertical="top" wrapText="1"/>
    </xf>
    <xf numFmtId="2" fontId="21" fillId="0" borderId="3" xfId="28" applyNumberFormat="1" applyFont="1" applyBorder="1" applyAlignment="1">
      <alignment horizontal="center" vertical="top" wrapText="1"/>
    </xf>
    <xf numFmtId="4" fontId="21" fillId="0" borderId="3" xfId="29" applyNumberFormat="1" applyFont="1" applyFill="1" applyBorder="1" applyAlignment="1" applyProtection="1">
      <alignment horizontal="right" vertical="top"/>
    </xf>
    <xf numFmtId="4" fontId="21" fillId="0" borderId="3" xfId="29" applyNumberFormat="1" applyFont="1" applyFill="1" applyBorder="1" applyAlignment="1" applyProtection="1">
      <alignment horizontal="right" vertical="top" wrapText="1"/>
      <protection locked="0"/>
    </xf>
    <xf numFmtId="4" fontId="21" fillId="0" borderId="3" xfId="28" applyFont="1" applyBorder="1" applyAlignment="1">
      <alignment horizontal="right" vertical="top" wrapText="1"/>
    </xf>
    <xf numFmtId="2" fontId="37" fillId="0" borderId="3" xfId="28" applyNumberFormat="1" applyFont="1" applyBorder="1" applyAlignment="1">
      <alignment horizontal="center" vertical="top" wrapText="1"/>
    </xf>
    <xf numFmtId="4" fontId="37" fillId="0" borderId="3" xfId="29" applyNumberFormat="1" applyFont="1" applyFill="1" applyBorder="1" applyAlignment="1" applyProtection="1">
      <alignment horizontal="right" vertical="top"/>
    </xf>
    <xf numFmtId="4" fontId="37" fillId="0" borderId="3" xfId="29" applyNumberFormat="1" applyFont="1" applyFill="1" applyBorder="1" applyAlignment="1" applyProtection="1">
      <alignment horizontal="right" vertical="top" wrapText="1"/>
      <protection locked="0"/>
    </xf>
    <xf numFmtId="4" fontId="37" fillId="0" borderId="3" xfId="30" applyNumberFormat="1" applyFont="1" applyFill="1" applyBorder="1" applyAlignment="1" applyProtection="1">
      <alignment horizontal="right" vertical="top"/>
    </xf>
    <xf numFmtId="0" fontId="37" fillId="0" borderId="3" xfId="28" applyNumberFormat="1" applyFont="1" applyBorder="1" applyAlignment="1">
      <alignment vertical="top" wrapText="1"/>
    </xf>
    <xf numFmtId="0" fontId="21" fillId="0" borderId="3" xfId="0" applyFont="1" applyBorder="1" applyAlignment="1">
      <alignment horizontal="center" vertical="top"/>
    </xf>
    <xf numFmtId="0" fontId="37" fillId="0" borderId="3" xfId="8" applyFont="1" applyBorder="1" applyAlignment="1">
      <alignment horizontal="left" vertical="top" wrapText="1"/>
    </xf>
    <xf numFmtId="4" fontId="37" fillId="0" borderId="3" xfId="0" applyNumberFormat="1" applyFont="1" applyBorder="1" applyAlignment="1">
      <alignment horizontal="center"/>
    </xf>
    <xf numFmtId="4" fontId="37" fillId="0" borderId="3" xfId="0" applyNumberFormat="1" applyFont="1" applyBorder="1"/>
    <xf numFmtId="16" fontId="21" fillId="0" borderId="3" xfId="0" applyNumberFormat="1" applyFont="1" applyBorder="1" applyAlignment="1">
      <alignment horizontal="center" vertical="top"/>
    </xf>
    <xf numFmtId="4" fontId="40" fillId="0" borderId="0" xfId="0" applyNumberFormat="1" applyFont="1"/>
    <xf numFmtId="0" fontId="21" fillId="0" borderId="3" xfId="28" applyNumberFormat="1" applyFont="1" applyBorder="1" applyAlignment="1">
      <alignment vertical="top" wrapText="1"/>
    </xf>
    <xf numFmtId="0" fontId="42" fillId="0" borderId="3" xfId="28" applyNumberFormat="1" applyFont="1" applyBorder="1" applyAlignment="1">
      <alignment vertical="top" wrapText="1"/>
    </xf>
    <xf numFmtId="0" fontId="42" fillId="0" borderId="3" xfId="8" applyFont="1" applyBorder="1" applyAlignment="1">
      <alignment horizontal="left" vertical="top" wrapText="1"/>
    </xf>
    <xf numFmtId="0" fontId="40" fillId="0" borderId="0" xfId="0" applyFont="1" applyAlignment="1">
      <alignment horizontal="center" vertical="top"/>
    </xf>
    <xf numFmtId="0" fontId="40" fillId="0" borderId="0" xfId="0" applyFont="1" applyAlignment="1">
      <alignment vertical="top" wrapText="1"/>
    </xf>
    <xf numFmtId="4" fontId="40" fillId="0" borderId="0" xfId="0" applyNumberFormat="1" applyFont="1" applyAlignment="1">
      <alignment horizontal="center"/>
    </xf>
    <xf numFmtId="0" fontId="14" fillId="0" borderId="0" xfId="0" applyFont="1" applyAlignment="1">
      <alignment horizontal="center" vertical="top"/>
    </xf>
    <xf numFmtId="0" fontId="14" fillId="0" borderId="0" xfId="0" applyFont="1" applyAlignment="1">
      <alignment vertical="top" wrapText="1"/>
    </xf>
    <xf numFmtId="0" fontId="19" fillId="0" borderId="0" xfId="7"/>
    <xf numFmtId="0" fontId="43" fillId="0" borderId="0" xfId="7" applyFont="1"/>
    <xf numFmtId="0" fontId="44" fillId="0" borderId="0" xfId="7" applyFont="1"/>
    <xf numFmtId="0" fontId="19" fillId="0" borderId="8" xfId="7" applyBorder="1"/>
    <xf numFmtId="0" fontId="44" fillId="0" borderId="8" xfId="7" applyFont="1" applyBorder="1"/>
    <xf numFmtId="0" fontId="11" fillId="0" borderId="0" xfId="7" applyFont="1" applyAlignment="1">
      <alignment horizontal="left"/>
    </xf>
    <xf numFmtId="0" fontId="11" fillId="0" borderId="0" xfId="7" applyFont="1"/>
    <xf numFmtId="4" fontId="46" fillId="0" borderId="0" xfId="7" applyNumberFormat="1" applyFont="1"/>
    <xf numFmtId="49" fontId="25" fillId="0" borderId="0" xfId="7" applyNumberFormat="1" applyFont="1" applyAlignment="1">
      <alignment horizontal="left" vertical="top"/>
    </xf>
    <xf numFmtId="4" fontId="25" fillId="0" borderId="0" xfId="7" applyNumberFormat="1" applyFont="1"/>
    <xf numFmtId="49" fontId="24" fillId="0" borderId="22" xfId="7" applyNumberFormat="1" applyFont="1" applyBorder="1" applyAlignment="1">
      <alignment horizontal="center" vertical="center" wrapText="1"/>
    </xf>
    <xf numFmtId="0" fontId="24" fillId="0" borderId="22" xfId="7" applyFont="1" applyBorder="1" applyAlignment="1">
      <alignment horizontal="center" vertical="center" wrapText="1"/>
    </xf>
    <xf numFmtId="4" fontId="24" fillId="0" borderId="22" xfId="7" applyNumberFormat="1" applyFont="1" applyBorder="1" applyAlignment="1">
      <alignment horizontal="center" vertical="center" wrapText="1"/>
    </xf>
    <xf numFmtId="49" fontId="19" fillId="0" borderId="0" xfId="7" applyNumberFormat="1" applyAlignment="1">
      <alignment horizontal="left" vertical="top"/>
    </xf>
    <xf numFmtId="0" fontId="19" fillId="0" borderId="0" xfId="7" applyAlignment="1">
      <alignment vertical="top"/>
    </xf>
    <xf numFmtId="0" fontId="19" fillId="0" borderId="0" xfId="7" applyAlignment="1">
      <alignment horizontal="right"/>
    </xf>
    <xf numFmtId="4" fontId="19" fillId="0" borderId="0" xfId="7" applyNumberFormat="1" applyAlignment="1">
      <alignment horizontal="right"/>
    </xf>
    <xf numFmtId="4" fontId="19" fillId="0" borderId="0" xfId="7" applyNumberFormat="1"/>
    <xf numFmtId="168" fontId="19" fillId="0" borderId="0" xfId="7" applyNumberFormat="1" applyAlignment="1">
      <alignment horizontal="right"/>
    </xf>
    <xf numFmtId="0" fontId="19" fillId="0" borderId="0" xfId="7" applyAlignment="1">
      <alignment horizontal="right" wrapText="1"/>
    </xf>
    <xf numFmtId="0" fontId="19" fillId="0" borderId="0" xfId="7" applyAlignment="1">
      <alignment horizontal="left" vertical="top" wrapText="1"/>
    </xf>
    <xf numFmtId="49" fontId="19" fillId="0" borderId="0" xfId="7" applyNumberFormat="1" applyAlignment="1">
      <alignment horizontal="right" wrapText="1"/>
    </xf>
    <xf numFmtId="0" fontId="24" fillId="0" borderId="23" xfId="7" applyFont="1" applyBorder="1" applyAlignment="1">
      <alignment horizontal="left" vertical="top" wrapText="1"/>
    </xf>
    <xf numFmtId="49" fontId="24" fillId="0" borderId="0" xfId="7" applyNumberFormat="1" applyFont="1" applyAlignment="1">
      <alignment horizontal="justify" vertical="top" wrapText="1"/>
    </xf>
    <xf numFmtId="49" fontId="25" fillId="0" borderId="0" xfId="7" applyNumberFormat="1" applyFont="1" applyAlignment="1">
      <alignment horizontal="right" wrapText="1"/>
    </xf>
    <xf numFmtId="4" fontId="25" fillId="0" borderId="0" xfId="7" applyNumberFormat="1" applyFont="1" applyAlignment="1">
      <alignment horizontal="right" wrapText="1"/>
    </xf>
    <xf numFmtId="49" fontId="25" fillId="0" borderId="0" xfId="7" applyNumberFormat="1" applyFont="1" applyAlignment="1">
      <alignment horizontal="justify" vertical="top" wrapText="1"/>
    </xf>
    <xf numFmtId="49" fontId="19" fillId="0" borderId="0" xfId="7" applyNumberFormat="1" applyAlignment="1">
      <alignment horizontal="center" vertical="top"/>
    </xf>
    <xf numFmtId="0" fontId="24" fillId="0" borderId="0" xfId="7" applyFont="1" applyAlignment="1">
      <alignment horizontal="left" vertical="top" wrapText="1"/>
    </xf>
    <xf numFmtId="4" fontId="19" fillId="0" borderId="0" xfId="7" applyNumberFormat="1" applyAlignment="1">
      <alignment horizontal="right" wrapText="1"/>
    </xf>
    <xf numFmtId="49" fontId="49" fillId="0" borderId="0" xfId="7" applyNumberFormat="1" applyFont="1" applyAlignment="1">
      <alignment horizontal="right" vertical="top" wrapText="1"/>
    </xf>
    <xf numFmtId="4" fontId="49" fillId="0" borderId="0" xfId="7" applyNumberFormat="1" applyFont="1" applyAlignment="1">
      <alignment horizontal="right" wrapText="1"/>
    </xf>
    <xf numFmtId="49" fontId="34" fillId="0" borderId="0" xfId="7" applyNumberFormat="1" applyFont="1" applyAlignment="1">
      <alignment horizontal="center" vertical="center"/>
    </xf>
    <xf numFmtId="49" fontId="34" fillId="0" borderId="0" xfId="7" applyNumberFormat="1" applyFont="1" applyAlignment="1">
      <alignment horizontal="center" vertical="top" wrapText="1"/>
    </xf>
    <xf numFmtId="4" fontId="50" fillId="0" borderId="24" xfId="7" applyNumberFormat="1" applyFont="1" applyBorder="1" applyAlignment="1">
      <alignment horizontal="right"/>
    </xf>
    <xf numFmtId="168" fontId="34" fillId="0" borderId="24" xfId="7" applyNumberFormat="1" applyFont="1" applyBorder="1"/>
    <xf numFmtId="4" fontId="50" fillId="0" borderId="0" xfId="7" applyNumberFormat="1" applyFont="1" applyAlignment="1">
      <alignment horizontal="right"/>
    </xf>
    <xf numFmtId="4" fontId="34" fillId="0" borderId="0" xfId="7" applyNumberFormat="1" applyFont="1"/>
    <xf numFmtId="4" fontId="47" fillId="0" borderId="0" xfId="7" applyNumberFormat="1" applyFont="1"/>
    <xf numFmtId="49" fontId="34" fillId="0" borderId="23" xfId="7" applyNumberFormat="1" applyFont="1" applyBorder="1" applyAlignment="1">
      <alignment horizontal="left" vertical="center"/>
    </xf>
    <xf numFmtId="0" fontId="48" fillId="0" borderId="23" xfId="7" applyFont="1" applyBorder="1" applyAlignment="1">
      <alignment horizontal="right"/>
    </xf>
    <xf numFmtId="4" fontId="48" fillId="0" borderId="23" xfId="7" applyNumberFormat="1" applyFont="1" applyBorder="1" applyAlignment="1">
      <alignment horizontal="right"/>
    </xf>
    <xf numFmtId="4" fontId="47" fillId="0" borderId="23" xfId="7" applyNumberFormat="1" applyFont="1" applyBorder="1" applyAlignment="1">
      <alignment horizontal="left" vertical="center" indent="1"/>
    </xf>
    <xf numFmtId="168" fontId="34" fillId="0" borderId="25" xfId="7" applyNumberFormat="1" applyFont="1" applyBorder="1"/>
    <xf numFmtId="0" fontId="51" fillId="0" borderId="0" xfId="7" applyFont="1" applyAlignment="1">
      <alignment vertical="top"/>
    </xf>
    <xf numFmtId="0" fontId="52" fillId="0" borderId="0" xfId="7" applyFont="1" applyAlignment="1">
      <alignment horizontal="center" vertical="top"/>
    </xf>
    <xf numFmtId="0" fontId="53" fillId="0" borderId="0" xfId="7" applyFont="1" applyAlignment="1">
      <alignment horizontal="right"/>
    </xf>
    <xf numFmtId="4" fontId="53" fillId="0" borderId="0" xfId="7" applyNumberFormat="1" applyFont="1" applyAlignment="1">
      <alignment horizontal="right"/>
    </xf>
    <xf numFmtId="0" fontId="19" fillId="0" borderId="0" xfId="7" applyAlignment="1">
      <alignment horizontal="center" vertical="center" wrapText="1"/>
    </xf>
    <xf numFmtId="4" fontId="19" fillId="0" borderId="0" xfId="7" applyNumberFormat="1" applyAlignment="1">
      <alignment horizontal="center" vertical="center" wrapText="1"/>
    </xf>
    <xf numFmtId="4" fontId="24" fillId="0" borderId="0" xfId="7" applyNumberFormat="1" applyFont="1" applyAlignment="1">
      <alignment horizontal="center" vertical="center" wrapText="1"/>
    </xf>
    <xf numFmtId="4" fontId="24" fillId="0" borderId="0" xfId="7" applyNumberFormat="1" applyFont="1"/>
    <xf numFmtId="168" fontId="24" fillId="0" borderId="23" xfId="7" applyNumberFormat="1" applyFont="1" applyBorder="1" applyAlignment="1">
      <alignment vertical="center"/>
    </xf>
    <xf numFmtId="0" fontId="23" fillId="0" borderId="0" xfId="7" applyFont="1"/>
    <xf numFmtId="0" fontId="24" fillId="0" borderId="0" xfId="7" applyFont="1" applyAlignment="1">
      <alignment horizontal="left" vertical="center" wrapText="1"/>
    </xf>
    <xf numFmtId="4" fontId="24" fillId="0" borderId="0" xfId="7" applyNumberFormat="1" applyFont="1" applyAlignment="1">
      <alignment vertical="center"/>
    </xf>
    <xf numFmtId="49" fontId="24" fillId="0" borderId="0" xfId="7" applyNumberFormat="1" applyFont="1" applyAlignment="1">
      <alignment horizontal="center" vertical="top"/>
    </xf>
    <xf numFmtId="49" fontId="19" fillId="0" borderId="0" xfId="7" applyNumberFormat="1" applyAlignment="1">
      <alignment horizontal="justify" vertical="top" wrapText="1"/>
    </xf>
    <xf numFmtId="49" fontId="23" fillId="0" borderId="0" xfId="7" applyNumberFormat="1" applyFont="1" applyAlignment="1">
      <alignment horizontal="left" vertical="top"/>
    </xf>
    <xf numFmtId="49" fontId="27" fillId="0" borderId="0" xfId="7" applyNumberFormat="1" applyFont="1" applyAlignment="1">
      <alignment horizontal="justify" vertical="top" wrapText="1"/>
    </xf>
    <xf numFmtId="0" fontId="45" fillId="0" borderId="0" xfId="7" applyFont="1" applyAlignment="1">
      <alignment vertical="top"/>
    </xf>
    <xf numFmtId="49" fontId="34" fillId="0" borderId="0" xfId="7" applyNumberFormat="1" applyFont="1" applyAlignment="1">
      <alignment horizontal="center" vertical="top"/>
    </xf>
    <xf numFmtId="0" fontId="34" fillId="0" borderId="0" xfId="7" applyFont="1" applyAlignment="1">
      <alignment vertical="top" wrapText="1"/>
    </xf>
    <xf numFmtId="0" fontId="50" fillId="0" borderId="0" xfId="7" applyFont="1" applyAlignment="1">
      <alignment horizontal="right"/>
    </xf>
    <xf numFmtId="4" fontId="50" fillId="0" borderId="0" xfId="7" applyNumberFormat="1" applyFont="1"/>
    <xf numFmtId="49" fontId="47" fillId="0" borderId="0" xfId="7" applyNumberFormat="1" applyFont="1" applyAlignment="1">
      <alignment horizontal="center" vertical="top"/>
    </xf>
    <xf numFmtId="0" fontId="47" fillId="0" borderId="0" xfId="7" applyFont="1" applyAlignment="1">
      <alignment vertical="top" wrapText="1"/>
    </xf>
    <xf numFmtId="4" fontId="34" fillId="0" borderId="0" xfId="7" applyNumberFormat="1" applyFont="1" applyAlignment="1">
      <alignment vertical="center"/>
    </xf>
    <xf numFmtId="4" fontId="19" fillId="0" borderId="0" xfId="7" applyNumberFormat="1" applyAlignment="1">
      <alignment horizontal="left"/>
    </xf>
    <xf numFmtId="0" fontId="35" fillId="0" borderId="0" xfId="7" applyFont="1" applyAlignment="1">
      <alignment horizontal="left" vertical="top" wrapText="1"/>
    </xf>
    <xf numFmtId="0" fontId="54" fillId="0" borderId="0" xfId="0" applyFont="1"/>
    <xf numFmtId="0" fontId="39" fillId="0" borderId="3" xfId="0" applyFont="1" applyBorder="1" applyAlignment="1">
      <alignment horizontal="center" vertical="center"/>
    </xf>
    <xf numFmtId="0" fontId="39" fillId="5" borderId="11" xfId="0" applyFont="1" applyFill="1" applyBorder="1" applyAlignment="1">
      <alignment horizontal="center" vertical="center"/>
    </xf>
    <xf numFmtId="0" fontId="39" fillId="5" borderId="4" xfId="0" applyFont="1" applyFill="1" applyBorder="1" applyAlignment="1">
      <alignment horizontal="center" vertical="center"/>
    </xf>
    <xf numFmtId="0" fontId="39" fillId="5" borderId="16" xfId="0" applyFont="1" applyFill="1" applyBorder="1" applyAlignment="1">
      <alignment horizontal="center" vertical="center"/>
    </xf>
    <xf numFmtId="0" fontId="39" fillId="5" borderId="12" xfId="0" applyFont="1" applyFill="1" applyBorder="1" applyAlignment="1">
      <alignment horizontal="center" vertical="center"/>
    </xf>
    <xf numFmtId="0" fontId="39" fillId="5" borderId="1" xfId="0" applyFont="1" applyFill="1" applyBorder="1" applyAlignment="1">
      <alignment horizontal="center" vertical="center"/>
    </xf>
    <xf numFmtId="0" fontId="39" fillId="5" borderId="18" xfId="0" applyFont="1" applyFill="1" applyBorder="1" applyAlignment="1">
      <alignment horizontal="center" vertical="center"/>
    </xf>
    <xf numFmtId="0" fontId="0" fillId="0" borderId="0" xfId="0" applyAlignment="1">
      <alignment horizontal="center" vertical="center"/>
    </xf>
    <xf numFmtId="0" fontId="39" fillId="0" borderId="3" xfId="0" applyFont="1" applyBorder="1" applyAlignment="1">
      <alignment horizontal="left" vertical="center"/>
    </xf>
    <xf numFmtId="0" fontId="39" fillId="0" borderId="3" xfId="0" applyFont="1" applyBorder="1" applyAlignment="1">
      <alignment horizontal="left" vertical="center" wrapText="1"/>
    </xf>
    <xf numFmtId="0" fontId="39" fillId="0" borderId="11" xfId="0" applyFont="1" applyBorder="1" applyAlignment="1">
      <alignment horizontal="center" vertical="center"/>
    </xf>
    <xf numFmtId="0" fontId="39" fillId="0" borderId="4" xfId="0" applyFont="1" applyBorder="1" applyAlignment="1">
      <alignment horizontal="center" vertical="center"/>
    </xf>
    <xf numFmtId="0" fontId="39" fillId="0" borderId="16" xfId="0" applyFont="1" applyBorder="1" applyAlignment="1">
      <alignment horizontal="center" vertical="center"/>
    </xf>
    <xf numFmtId="0" fontId="39" fillId="0" borderId="2" xfId="0" applyFont="1" applyBorder="1" applyAlignment="1">
      <alignment horizontal="center" vertical="center"/>
    </xf>
    <xf numFmtId="0" fontId="39" fillId="0" borderId="0" xfId="0" applyFont="1" applyAlignment="1">
      <alignment horizontal="center" vertical="center"/>
    </xf>
    <xf numFmtId="0" fontId="39" fillId="0" borderId="17" xfId="0" applyFont="1" applyBorder="1" applyAlignment="1">
      <alignment horizontal="center" vertical="center"/>
    </xf>
    <xf numFmtId="0" fontId="39" fillId="0" borderId="12" xfId="0" applyFont="1" applyBorder="1" applyAlignment="1">
      <alignment horizontal="center" vertical="center"/>
    </xf>
    <xf numFmtId="0" fontId="39" fillId="0" borderId="1" xfId="0" applyFont="1" applyBorder="1" applyAlignment="1">
      <alignment horizontal="center" vertical="center"/>
    </xf>
    <xf numFmtId="0" fontId="39" fillId="0" borderId="18" xfId="0" applyFont="1" applyBorder="1" applyAlignment="1">
      <alignment horizontal="center" vertical="center"/>
    </xf>
    <xf numFmtId="0" fontId="38" fillId="0" borderId="13"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12" fillId="0" borderId="0" xfId="0" applyFont="1" applyAlignment="1">
      <alignment horizontal="center"/>
    </xf>
    <xf numFmtId="0" fontId="12" fillId="3" borderId="0" xfId="2" applyFont="1" applyAlignment="1">
      <alignment horizontal="center"/>
    </xf>
    <xf numFmtId="0" fontId="0" fillId="0" borderId="0" xfId="0" applyAlignment="1">
      <alignment horizontal="center"/>
    </xf>
    <xf numFmtId="167" fontId="0" fillId="0" borderId="0" xfId="0" applyNumberFormat="1" applyAlignment="1">
      <alignment horizontal="justify" vertical="top" wrapText="1"/>
    </xf>
    <xf numFmtId="167" fontId="0" fillId="0" borderId="0" xfId="0" applyNumberFormat="1" applyAlignment="1">
      <alignment horizontal="justify" vertical="top"/>
    </xf>
    <xf numFmtId="0" fontId="0" fillId="3" borderId="0" xfId="2" applyFont="1" applyAlignment="1">
      <alignment horizontal="left" wrapText="1"/>
    </xf>
    <xf numFmtId="0" fontId="1" fillId="3" borderId="0" xfId="2" applyAlignment="1">
      <alignment horizontal="left" wrapText="1"/>
    </xf>
    <xf numFmtId="0" fontId="0" fillId="0" borderId="0" xfId="0" applyAlignment="1">
      <alignment horizontal="justify" vertical="top" wrapText="1"/>
    </xf>
    <xf numFmtId="0" fontId="0" fillId="0" borderId="0" xfId="0" applyAlignment="1">
      <alignment horizontal="justify" vertical="top"/>
    </xf>
    <xf numFmtId="0" fontId="0" fillId="0" borderId="0" xfId="0" applyAlignment="1">
      <alignment horizontal="left" vertical="top" wrapText="1"/>
    </xf>
    <xf numFmtId="0" fontId="36" fillId="0" borderId="0" xfId="0" applyFont="1" applyAlignment="1">
      <alignment horizontal="justify" vertical="top" wrapText="1"/>
    </xf>
    <xf numFmtId="0" fontId="36" fillId="0" borderId="0" xfId="0" applyFont="1" applyAlignment="1">
      <alignment horizontal="justify" vertical="top"/>
    </xf>
    <xf numFmtId="0" fontId="0" fillId="0" borderId="0" xfId="0" applyAlignment="1">
      <alignment horizontal="left" wrapText="1"/>
    </xf>
    <xf numFmtId="0" fontId="0" fillId="0" borderId="0" xfId="0" applyAlignment="1">
      <alignment horizontal="left" vertical="top"/>
    </xf>
    <xf numFmtId="0" fontId="0" fillId="0" borderId="0" xfId="0" applyAlignment="1">
      <alignment horizontal="center" vertical="top"/>
    </xf>
    <xf numFmtId="0" fontId="12" fillId="0" borderId="0" xfId="0" applyFont="1" applyAlignment="1">
      <alignment horizontal="justify" vertical="top" wrapText="1"/>
    </xf>
    <xf numFmtId="0" fontId="12" fillId="0" borderId="0" xfId="0" applyFont="1" applyAlignment="1">
      <alignment horizontal="justify" vertical="top"/>
    </xf>
    <xf numFmtId="0" fontId="0" fillId="0" borderId="0" xfId="0" applyAlignment="1">
      <alignment horizontal="left"/>
    </xf>
    <xf numFmtId="0" fontId="0" fillId="0" borderId="0" xfId="0" applyAlignment="1">
      <alignment horizontal="justify"/>
    </xf>
    <xf numFmtId="0" fontId="12" fillId="0" borderId="0" xfId="0" applyFont="1" applyAlignment="1">
      <alignment horizontal="left" wrapText="1"/>
    </xf>
    <xf numFmtId="166" fontId="0" fillId="0" borderId="0" xfId="0" applyNumberFormat="1" applyAlignment="1">
      <alignment horizontal="left" vertical="top" wrapText="1"/>
    </xf>
    <xf numFmtId="166" fontId="0" fillId="0" borderId="0" xfId="0" applyNumberFormat="1" applyAlignment="1">
      <alignment horizontal="justify" vertical="top"/>
    </xf>
    <xf numFmtId="166" fontId="0" fillId="0" borderId="0" xfId="0" applyNumberFormat="1" applyAlignment="1">
      <alignment horizontal="justify" vertical="top" wrapText="1"/>
    </xf>
    <xf numFmtId="0" fontId="12" fillId="0" borderId="0" xfId="0" applyFont="1" applyAlignment="1">
      <alignment horizontal="center" vertical="top"/>
    </xf>
    <xf numFmtId="0" fontId="0" fillId="0" borderId="0" xfId="0" applyAlignment="1">
      <alignment horizontal="center" vertical="top" wrapText="1"/>
    </xf>
    <xf numFmtId="0" fontId="12" fillId="0" borderId="0" xfId="0" applyFont="1" applyAlignment="1">
      <alignment horizontal="left" vertical="top" wrapText="1"/>
    </xf>
    <xf numFmtId="0" fontId="12" fillId="0" borderId="0" xfId="0" applyFont="1" applyAlignment="1">
      <alignment horizontal="left" vertical="top"/>
    </xf>
    <xf numFmtId="166" fontId="0" fillId="0" borderId="0" xfId="0" applyNumberFormat="1" applyAlignment="1">
      <alignment horizontal="center" vertical="top"/>
    </xf>
    <xf numFmtId="0" fontId="0" fillId="0" borderId="0" xfId="0" quotePrefix="1" applyAlignment="1">
      <alignment horizontal="left" vertical="top" wrapText="1"/>
    </xf>
    <xf numFmtId="0" fontId="0" fillId="0" borderId="0" xfId="0" applyAlignment="1">
      <alignment horizontal="center" wrapText="1"/>
    </xf>
    <xf numFmtId="0" fontId="2" fillId="3" borderId="9" xfId="2" applyFont="1" applyBorder="1" applyAlignment="1">
      <alignment horizontal="center" vertical="center"/>
    </xf>
    <xf numFmtId="0" fontId="2" fillId="3" borderId="10" xfId="2" applyFont="1" applyBorder="1" applyAlignment="1">
      <alignment horizontal="center" vertical="center"/>
    </xf>
    <xf numFmtId="0" fontId="2" fillId="2" borderId="6" xfId="1" applyFont="1" applyBorder="1" applyAlignment="1">
      <alignment horizontal="center"/>
    </xf>
    <xf numFmtId="0" fontId="2" fillId="2" borderId="0" xfId="1" applyFont="1" applyBorder="1" applyAlignment="1">
      <alignment horizontal="center"/>
    </xf>
    <xf numFmtId="0" fontId="3" fillId="0" borderId="6" xfId="0" applyFont="1" applyBorder="1" applyAlignment="1">
      <alignment horizontal="justify" vertical="top" wrapText="1"/>
    </xf>
    <xf numFmtId="0" fontId="3" fillId="0" borderId="0" xfId="0" applyFont="1" applyAlignment="1">
      <alignment horizontal="justify" vertical="top" wrapText="1"/>
    </xf>
    <xf numFmtId="0" fontId="4" fillId="0" borderId="0" xfId="5" applyFont="1" applyAlignment="1">
      <alignment horizontal="center" vertical="center" wrapText="1"/>
    </xf>
    <xf numFmtId="0" fontId="7" fillId="0" borderId="6" xfId="0" applyFont="1" applyBorder="1" applyAlignment="1">
      <alignment horizontal="justify" vertical="top" wrapText="1"/>
    </xf>
    <xf numFmtId="0" fontId="7" fillId="0" borderId="0" xfId="0" applyFont="1" applyAlignment="1">
      <alignment horizontal="justify" vertical="top" wrapText="1"/>
    </xf>
    <xf numFmtId="0" fontId="38" fillId="4" borderId="13" xfId="0" applyFont="1" applyFill="1" applyBorder="1" applyAlignment="1">
      <alignment horizontal="center" vertical="center" wrapText="1"/>
    </xf>
    <xf numFmtId="0" fontId="38" fillId="4" borderId="14" xfId="0" applyFont="1" applyFill="1" applyBorder="1" applyAlignment="1">
      <alignment horizontal="center" vertical="center" wrapText="1"/>
    </xf>
    <xf numFmtId="0" fontId="38" fillId="4" borderId="15" xfId="0" applyFont="1" applyFill="1" applyBorder="1" applyAlignment="1">
      <alignment horizontal="center" vertical="center" wrapText="1"/>
    </xf>
    <xf numFmtId="0" fontId="40" fillId="4" borderId="13" xfId="0" applyFont="1" applyFill="1" applyBorder="1" applyAlignment="1">
      <alignment horizontal="center" vertical="top" wrapText="1"/>
    </xf>
    <xf numFmtId="0" fontId="40" fillId="4" borderId="14" xfId="0" applyFont="1" applyFill="1" applyBorder="1" applyAlignment="1">
      <alignment horizontal="center" vertical="top" wrapText="1"/>
    </xf>
    <xf numFmtId="0" fontId="40" fillId="4" borderId="15" xfId="0" applyFont="1" applyFill="1" applyBorder="1" applyAlignment="1">
      <alignment horizontal="center" vertical="top" wrapText="1"/>
    </xf>
    <xf numFmtId="0" fontId="11" fillId="0" borderId="0" xfId="7" applyFont="1" applyAlignment="1">
      <alignment horizontal="left"/>
    </xf>
    <xf numFmtId="0" fontId="44" fillId="0" borderId="0" xfId="7" applyFont="1" applyAlignment="1">
      <alignment horizontal="left"/>
    </xf>
    <xf numFmtId="0" fontId="45" fillId="0" borderId="0" xfId="7" applyFont="1" applyAlignment="1">
      <alignment horizontal="center"/>
    </xf>
    <xf numFmtId="0" fontId="11" fillId="0" borderId="0" xfId="7" applyFont="1" applyAlignment="1">
      <alignment horizontal="left" vertical="top"/>
    </xf>
    <xf numFmtId="0" fontId="11" fillId="0" borderId="0" xfId="7" applyFont="1" applyAlignment="1">
      <alignment horizontal="left" vertical="top" wrapText="1"/>
    </xf>
    <xf numFmtId="0" fontId="19" fillId="0" borderId="0" xfId="7" applyAlignment="1">
      <alignment horizontal="center"/>
    </xf>
    <xf numFmtId="0" fontId="44" fillId="0" borderId="0" xfId="7" applyFont="1" applyAlignment="1">
      <alignment horizontal="center" vertical="top"/>
    </xf>
    <xf numFmtId="0" fontId="24" fillId="0" borderId="23" xfId="7" applyFont="1" applyBorder="1" applyAlignment="1">
      <alignment horizontal="left" vertical="center" wrapText="1"/>
    </xf>
  </cellXfs>
  <cellStyles count="33">
    <cellStyle name="20% - Accent3" xfId="2" builtinId="38"/>
    <cellStyle name="40% - Accent3" xfId="1" builtinId="39"/>
    <cellStyle name="A4 Small 210 x 297 mm" xfId="32" xr:uid="{5A5B1159-3DFE-405E-BA6F-91D4793374D9}"/>
    <cellStyle name="Comma 19 2" xfId="24" xr:uid="{00000000-0005-0000-0000-000002000000}"/>
    <cellStyle name="Comma 2" xfId="13" xr:uid="{00000000-0005-0000-0000-000003000000}"/>
    <cellStyle name="Comma 2 2" xfId="12" xr:uid="{00000000-0005-0000-0000-000004000000}"/>
    <cellStyle name="Comma 2 2 2" xfId="29" xr:uid="{987B3C0B-6C03-4B43-A0F0-F20B7966772D}"/>
    <cellStyle name="Comma 2 2 4" xfId="19" xr:uid="{00000000-0005-0000-0000-000005000000}"/>
    <cellStyle name="Comma 2 3" xfId="31" xr:uid="{BCBA1EBC-F887-4189-A15C-D10AADC69350}"/>
    <cellStyle name="Comma 2 7" xfId="30" xr:uid="{C56137B1-2647-440C-A9FA-112F4808E5DD}"/>
    <cellStyle name="Comma 3 2" xfId="14" xr:uid="{00000000-0005-0000-0000-000006000000}"/>
    <cellStyle name="Excel Built-in Normal" xfId="25" xr:uid="{00000000-0005-0000-0000-000007000000}"/>
    <cellStyle name="Normal" xfId="0" builtinId="0"/>
    <cellStyle name="Normal 10" xfId="3" xr:uid="{00000000-0005-0000-0000-000008000000}"/>
    <cellStyle name="Normal 10 10" xfId="17" xr:uid="{00000000-0005-0000-0000-000009000000}"/>
    <cellStyle name="Normal 10 2" xfId="10" xr:uid="{00000000-0005-0000-0000-00000A000000}"/>
    <cellStyle name="Normal 10 2 2" xfId="28" xr:uid="{AB3861C4-6ED1-4BDD-A49C-F61E705E79FD}"/>
    <cellStyle name="Normal 11" xfId="4" xr:uid="{00000000-0005-0000-0000-00000B000000}"/>
    <cellStyle name="Normal 2" xfId="5" xr:uid="{00000000-0005-0000-0000-00000C000000}"/>
    <cellStyle name="Normal 2 2" xfId="27" xr:uid="{5F1D723D-4EA2-4AD8-96DC-32471B21FAF1}"/>
    <cellStyle name="Normal 2 2 3" xfId="8" xr:uid="{00000000-0005-0000-0000-00000D000000}"/>
    <cellStyle name="Normal 3" xfId="6" xr:uid="{00000000-0005-0000-0000-00000E000000}"/>
    <cellStyle name="Normal 47" xfId="15" xr:uid="{00000000-0005-0000-0000-00000F000000}"/>
    <cellStyle name="Normal 5" xfId="16" xr:uid="{00000000-0005-0000-0000-000010000000}"/>
    <cellStyle name="Normal 9" xfId="9" xr:uid="{00000000-0005-0000-0000-000011000000}"/>
    <cellStyle name="Normalno 2" xfId="18" xr:uid="{00000000-0005-0000-0000-000017000000}"/>
    <cellStyle name="Normalno 2 2" xfId="7" xr:uid="{00000000-0005-0000-0000-000018000000}"/>
    <cellStyle name="Normalno 3 3" xfId="26" xr:uid="{0AB904EF-6CFD-4E98-A8A6-E0C611CCF9FD}"/>
    <cellStyle name="Obično 2 2" xfId="20" xr:uid="{00000000-0005-0000-0000-000019000000}"/>
    <cellStyle name="S29" xfId="22" xr:uid="{00000000-0005-0000-0000-00001A000000}"/>
    <cellStyle name="S30" xfId="23" xr:uid="{00000000-0005-0000-0000-00001B000000}"/>
    <cellStyle name="stavke" xfId="21" xr:uid="{00000000-0005-0000-0000-00001C000000}"/>
    <cellStyle name="Style 1" xfId="11" xr:uid="{00000000-0005-0000-0000-00001D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3.wmf"/></Relationships>
</file>

<file path=xl/drawings/drawing1.xml><?xml version="1.0" encoding="utf-8"?>
<xdr:wsDr xmlns:xdr="http://schemas.openxmlformats.org/drawingml/2006/spreadsheetDrawing" xmlns:a="http://schemas.openxmlformats.org/drawingml/2006/main">
  <xdr:twoCellAnchor editAs="oneCell">
    <xdr:from>
      <xdr:col>0</xdr:col>
      <xdr:colOff>74083</xdr:colOff>
      <xdr:row>0</xdr:row>
      <xdr:rowOff>105834</xdr:rowOff>
    </xdr:from>
    <xdr:to>
      <xdr:col>2</xdr:col>
      <xdr:colOff>212936</xdr:colOff>
      <xdr:row>1</xdr:row>
      <xdr:rowOff>303954</xdr:rowOff>
    </xdr:to>
    <xdr:pic>
      <xdr:nvPicPr>
        <xdr:cNvPr id="3" name="Picture 2" descr="Untitled-16">
          <a:extLst>
            <a:ext uri="{FF2B5EF4-FFF2-40B4-BE49-F238E27FC236}">
              <a16:creationId xmlns:a16="http://schemas.microsoft.com/office/drawing/2014/main" id="{C5BBDAE5-99B2-464A-9604-BC3338C6E8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083" y="105834"/>
          <a:ext cx="136652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99060</xdr:colOff>
      <xdr:row>0</xdr:row>
      <xdr:rowOff>55245</xdr:rowOff>
    </xdr:from>
    <xdr:to>
      <xdr:col>1</xdr:col>
      <xdr:colOff>802005</xdr:colOff>
      <xdr:row>1</xdr:row>
      <xdr:rowOff>253365</xdr:rowOff>
    </xdr:to>
    <xdr:pic>
      <xdr:nvPicPr>
        <xdr:cNvPr id="2" name="Picture 2" descr="Untitled-16">
          <a:extLst>
            <a:ext uri="{FF2B5EF4-FFF2-40B4-BE49-F238E27FC236}">
              <a16:creationId xmlns:a16="http://schemas.microsoft.com/office/drawing/2014/main" id="{6EA93D58-99F5-425E-9D37-1A3BD8FDF0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 y="55245"/>
          <a:ext cx="1369695"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99060</xdr:colOff>
      <xdr:row>0</xdr:row>
      <xdr:rowOff>121920</xdr:rowOff>
    </xdr:from>
    <xdr:to>
      <xdr:col>1</xdr:col>
      <xdr:colOff>802005</xdr:colOff>
      <xdr:row>1</xdr:row>
      <xdr:rowOff>205740</xdr:rowOff>
    </xdr:to>
    <xdr:pic>
      <xdr:nvPicPr>
        <xdr:cNvPr id="2" name="Picture 2" descr="Untitled-16">
          <a:extLst>
            <a:ext uri="{FF2B5EF4-FFF2-40B4-BE49-F238E27FC236}">
              <a16:creationId xmlns:a16="http://schemas.microsoft.com/office/drawing/2014/main" id="{BEC43A87-09F3-480A-9CD2-1B47B24E3F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 y="121920"/>
          <a:ext cx="1369695"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56445</xdr:colOff>
      <xdr:row>1</xdr:row>
      <xdr:rowOff>14111</xdr:rowOff>
    </xdr:from>
    <xdr:to>
      <xdr:col>4</xdr:col>
      <xdr:colOff>465597</xdr:colOff>
      <xdr:row>7</xdr:row>
      <xdr:rowOff>180904</xdr:rowOff>
    </xdr:to>
    <xdr:pic>
      <xdr:nvPicPr>
        <xdr:cNvPr id="2" name="Picture 1">
          <a:extLst>
            <a:ext uri="{FF2B5EF4-FFF2-40B4-BE49-F238E27FC236}">
              <a16:creationId xmlns:a16="http://schemas.microsoft.com/office/drawing/2014/main" id="{97EF27B7-DF21-4741-AAF7-BF6CEC7B3A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445" y="204611"/>
          <a:ext cx="2666577" cy="1309793"/>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152400</xdr:rowOff>
    </xdr:from>
    <xdr:to>
      <xdr:col>1</xdr:col>
      <xdr:colOff>381000</xdr:colOff>
      <xdr:row>6</xdr:row>
      <xdr:rowOff>47625</xdr:rowOff>
    </xdr:to>
    <xdr:pic>
      <xdr:nvPicPr>
        <xdr:cNvPr id="2" name="Picture 1" descr="logo2plavi">
          <a:extLst>
            <a:ext uri="{FF2B5EF4-FFF2-40B4-BE49-F238E27FC236}">
              <a16:creationId xmlns:a16="http://schemas.microsoft.com/office/drawing/2014/main" id="{1C2ACACC-ED8C-463A-AA95-32FBE1CD7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7434" r="28319"/>
        <a:stretch>
          <a:fillRect/>
        </a:stretch>
      </xdr:blipFill>
      <xdr:spPr bwMode="auto">
        <a:xfrm>
          <a:off x="0" y="152400"/>
          <a:ext cx="942975"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ranjo\e\My%20Documents\GRADILI&#352;TA\ENT69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PROJEKTI\NMRO\SITSLU7F.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um-mario\d\farma-SLAscaK\TEND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p."/>
      <sheetName val="O.pod."/>
      <sheetName val="Naslov"/>
      <sheetName val="Unos d.ug."/>
      <sheetName val="Ku}e"/>
      <sheetName val="Pr.sit."/>
      <sheetName val="Dop.ug."/>
      <sheetName val="Ok.sit."/>
      <sheetName val="Obra~."/>
      <sheetName val="Evid."/>
      <sheetName val="Module2"/>
      <sheetName val="Module1"/>
      <sheetName val="Nap_"/>
      <sheetName val="O_pod_"/>
      <sheetName val="Unos_d_ug_"/>
      <sheetName val="Pr_sit_"/>
      <sheetName val="Dop_ug_"/>
      <sheetName val="Ok_sit_"/>
      <sheetName val="Obra~_"/>
      <sheetName val="Evid_"/>
      <sheetName val="Nap_1"/>
      <sheetName val="O_pod_1"/>
      <sheetName val="Unos_d_ug_1"/>
      <sheetName val="Pr_sit_1"/>
      <sheetName val="Dop_ug_1"/>
      <sheetName val="Ok_sit_1"/>
      <sheetName val="Obra~_1"/>
      <sheetName val="Evid_1"/>
      <sheetName val="opci uvjeti"/>
    </sheetNames>
    <sheetDataSet>
      <sheetData sheetId="0"/>
      <sheetData sheetId="1">
        <row r="5">
          <cell r="C5" t="str">
            <v>SLUNJ</v>
          </cell>
        </row>
        <row r="6">
          <cell r="G6" t="str">
            <v>ZAGREB</v>
          </cell>
        </row>
        <row r="8">
          <cell r="C8" t="str">
            <v>" ENTERIJER " \AKOVO</v>
          </cell>
        </row>
        <row r="19">
          <cell r="G19" t="str">
            <v>24.09.1997.</v>
          </cell>
        </row>
        <row r="20">
          <cell r="C20" t="str">
            <v xml:space="preserve"> MARKO SPAJI]</v>
          </cell>
          <cell r="G20" t="str">
            <v>Milan Peri} i Dra`en Omazi}</v>
          </cell>
        </row>
        <row r="22">
          <cell r="C22" t="str">
            <v>(FAZA_4_6.XLS)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p."/>
      <sheetName val="O.pod."/>
      <sheetName val="FAKTORI"/>
    </sheetNames>
    <sheetDataSet>
      <sheetData sheetId="0"/>
      <sheetData sheetId="1">
        <row r="17">
          <cell r="C17" t="str">
            <v>ZAGREB                , 2-1-97</v>
          </cell>
        </row>
      </sheetData>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Module6"/>
      <sheetName val="Module5"/>
      <sheetName val="Module4"/>
      <sheetName val="Module3"/>
      <sheetName val="Module2"/>
      <sheetName val="Module1"/>
      <sheetName val="Nap"/>
      <sheetName val="Osn-Pod"/>
      <sheetName val="Ugov"/>
      <sheetName val="Kuce"/>
      <sheetName val="Pr-Sit"/>
      <sheetName val="Dop-Ug"/>
      <sheetName val="Obra"/>
      <sheetName val="Ok-Sit"/>
      <sheetName val="Evid"/>
      <sheetName val="Osn_Pod"/>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row r="5">
          <cell r="E5">
            <v>0</v>
          </cell>
        </row>
      </sheetData>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D18C-E7AC-443F-ADB8-5172996A28A3}">
  <sheetPr>
    <tabColor rgb="FFCD94E4"/>
  </sheetPr>
  <dimension ref="A1:J33"/>
  <sheetViews>
    <sheetView view="pageBreakPreview" zoomScale="90" zoomScaleNormal="100" zoomScaleSheetLayoutView="90" workbookViewId="0">
      <selection activeCell="A8" sqref="A8:J8"/>
    </sheetView>
  </sheetViews>
  <sheetFormatPr defaultRowHeight="15" x14ac:dyDescent="0.25"/>
  <cols>
    <col min="3" max="3" width="6.42578125" customWidth="1"/>
    <col min="7" max="7" width="5" customWidth="1"/>
    <col min="10" max="10" width="18.5703125" customWidth="1"/>
  </cols>
  <sheetData>
    <row r="1" spans="1:10" x14ac:dyDescent="0.25">
      <c r="A1" s="186" t="s">
        <v>459</v>
      </c>
      <c r="B1" s="186"/>
      <c r="C1" s="186"/>
      <c r="D1" s="186"/>
      <c r="E1" s="186"/>
      <c r="F1" s="186"/>
      <c r="G1" s="186"/>
      <c r="H1" s="186"/>
      <c r="I1" s="186"/>
      <c r="J1" s="186"/>
    </row>
    <row r="2" spans="1:10" ht="35.25" customHeight="1" x14ac:dyDescent="0.25">
      <c r="A2" s="186"/>
      <c r="B2" s="186"/>
      <c r="C2" s="186"/>
      <c r="D2" s="186"/>
      <c r="E2" s="186"/>
      <c r="F2" s="186"/>
      <c r="G2" s="186"/>
      <c r="H2" s="186"/>
      <c r="I2" s="186"/>
      <c r="J2" s="186"/>
    </row>
    <row r="8" spans="1:10" ht="44.1" customHeight="1" x14ac:dyDescent="0.25">
      <c r="A8" s="198" t="s">
        <v>367</v>
      </c>
      <c r="B8" s="199"/>
      <c r="C8" s="199"/>
      <c r="D8" s="199"/>
      <c r="E8" s="199"/>
      <c r="F8" s="199"/>
      <c r="G8" s="199"/>
      <c r="H8" s="199"/>
      <c r="I8" s="199"/>
      <c r="J8" s="200"/>
    </row>
    <row r="13" spans="1:10" ht="15.6" customHeight="1" x14ac:dyDescent="0.25">
      <c r="A13" s="179" t="s">
        <v>368</v>
      </c>
      <c r="B13" s="179"/>
      <c r="C13" s="179"/>
      <c r="D13" s="187" t="s">
        <v>454</v>
      </c>
      <c r="E13" s="187"/>
      <c r="F13" s="187"/>
      <c r="G13" s="187"/>
      <c r="H13" s="187"/>
      <c r="I13" s="187"/>
      <c r="J13" s="187"/>
    </row>
    <row r="14" spans="1:10" ht="15.6" customHeight="1" x14ac:dyDescent="0.25">
      <c r="A14" s="179"/>
      <c r="B14" s="179"/>
      <c r="C14" s="179"/>
      <c r="D14" s="187"/>
      <c r="E14" s="187"/>
      <c r="F14" s="187"/>
      <c r="G14" s="187"/>
      <c r="H14" s="187"/>
      <c r="I14" s="187"/>
      <c r="J14" s="187"/>
    </row>
    <row r="15" spans="1:10" ht="14.45" customHeight="1" x14ac:dyDescent="0.25">
      <c r="A15" s="179" t="s">
        <v>370</v>
      </c>
      <c r="B15" s="179"/>
      <c r="C15" s="179"/>
      <c r="D15" s="187" t="s">
        <v>455</v>
      </c>
      <c r="E15" s="187"/>
      <c r="F15" s="187"/>
      <c r="G15" s="187"/>
      <c r="H15" s="187"/>
      <c r="I15" s="187"/>
      <c r="J15" s="187"/>
    </row>
    <row r="16" spans="1:10" ht="14.45" customHeight="1" x14ac:dyDescent="0.25">
      <c r="A16" s="179"/>
      <c r="B16" s="179"/>
      <c r="C16" s="179"/>
      <c r="D16" s="187"/>
      <c r="E16" s="187"/>
      <c r="F16" s="187"/>
      <c r="G16" s="187"/>
      <c r="H16" s="187"/>
      <c r="I16" s="187"/>
      <c r="J16" s="187"/>
    </row>
    <row r="17" spans="1:10" ht="14.45" customHeight="1" x14ac:dyDescent="0.25">
      <c r="A17" s="179" t="s">
        <v>372</v>
      </c>
      <c r="B17" s="179"/>
      <c r="C17" s="179"/>
      <c r="D17" s="187" t="s">
        <v>373</v>
      </c>
      <c r="E17" s="187"/>
      <c r="F17" s="187"/>
      <c r="G17" s="187"/>
      <c r="H17" s="187"/>
      <c r="I17" s="187"/>
      <c r="J17" s="187"/>
    </row>
    <row r="18" spans="1:10" ht="14.45" customHeight="1" x14ac:dyDescent="0.25">
      <c r="A18" s="179"/>
      <c r="B18" s="179"/>
      <c r="C18" s="179"/>
      <c r="D18" s="187"/>
      <c r="E18" s="187"/>
      <c r="F18" s="187"/>
      <c r="G18" s="187"/>
      <c r="H18" s="187"/>
      <c r="I18" s="187"/>
      <c r="J18" s="187"/>
    </row>
    <row r="19" spans="1:10" x14ac:dyDescent="0.25">
      <c r="A19" s="179" t="s">
        <v>374</v>
      </c>
      <c r="B19" s="179"/>
      <c r="C19" s="179"/>
      <c r="D19" s="188" t="s">
        <v>375</v>
      </c>
      <c r="E19" s="188"/>
      <c r="F19" s="188"/>
      <c r="G19" s="188"/>
      <c r="H19" s="188"/>
      <c r="I19" s="188"/>
      <c r="J19" s="188"/>
    </row>
    <row r="20" spans="1:10" ht="23.1" customHeight="1" x14ac:dyDescent="0.25">
      <c r="A20" s="179"/>
      <c r="B20" s="179"/>
      <c r="C20" s="179"/>
      <c r="D20" s="188"/>
      <c r="E20" s="188"/>
      <c r="F20" s="188"/>
      <c r="G20" s="188"/>
      <c r="H20" s="188"/>
      <c r="I20" s="188"/>
      <c r="J20" s="188"/>
    </row>
    <row r="21" spans="1:10" ht="14.45" customHeight="1" x14ac:dyDescent="0.25"/>
    <row r="22" spans="1:10" ht="14.45" customHeight="1" x14ac:dyDescent="0.25">
      <c r="A22" s="179" t="s">
        <v>456</v>
      </c>
      <c r="B22" s="179"/>
      <c r="C22" s="179"/>
      <c r="D22" s="189" t="s">
        <v>457</v>
      </c>
      <c r="E22" s="190"/>
      <c r="F22" s="190"/>
      <c r="G22" s="191"/>
      <c r="H22" s="189"/>
      <c r="I22" s="190"/>
      <c r="J22" s="191"/>
    </row>
    <row r="23" spans="1:10" ht="14.45" customHeight="1" x14ac:dyDescent="0.25">
      <c r="A23" s="179"/>
      <c r="B23" s="179"/>
      <c r="C23" s="179"/>
      <c r="D23" s="192"/>
      <c r="E23" s="193"/>
      <c r="F23" s="193"/>
      <c r="G23" s="194"/>
      <c r="H23" s="192"/>
      <c r="I23" s="193"/>
      <c r="J23" s="194"/>
    </row>
    <row r="24" spans="1:10" ht="41.1" customHeight="1" x14ac:dyDescent="0.25">
      <c r="A24" s="179"/>
      <c r="B24" s="179"/>
      <c r="C24" s="179"/>
      <c r="D24" s="195"/>
      <c r="E24" s="196"/>
      <c r="F24" s="196"/>
      <c r="G24" s="197"/>
      <c r="H24" s="195"/>
      <c r="I24" s="196"/>
      <c r="J24" s="197"/>
    </row>
    <row r="32" spans="1:10" ht="14.45" customHeight="1" x14ac:dyDescent="0.25">
      <c r="A32" s="179" t="s">
        <v>378</v>
      </c>
      <c r="B32" s="179"/>
      <c r="C32" s="179"/>
      <c r="D32" s="180" t="s">
        <v>458</v>
      </c>
      <c r="E32" s="181"/>
      <c r="F32" s="181"/>
      <c r="G32" s="181"/>
      <c r="H32" s="181"/>
      <c r="I32" s="181"/>
      <c r="J32" s="182"/>
    </row>
    <row r="33" spans="1:10" ht="14.45" customHeight="1" x14ac:dyDescent="0.25">
      <c r="A33" s="179"/>
      <c r="B33" s="179"/>
      <c r="C33" s="179"/>
      <c r="D33" s="183"/>
      <c r="E33" s="184"/>
      <c r="F33" s="184"/>
      <c r="G33" s="184"/>
      <c r="H33" s="184"/>
      <c r="I33" s="184"/>
      <c r="J33" s="185"/>
    </row>
  </sheetData>
  <mergeCells count="15">
    <mergeCell ref="A32:C33"/>
    <mergeCell ref="D32:J33"/>
    <mergeCell ref="A1:J2"/>
    <mergeCell ref="A17:C18"/>
    <mergeCell ref="D17:J18"/>
    <mergeCell ref="A19:C20"/>
    <mergeCell ref="D19:J20"/>
    <mergeCell ref="A22:C24"/>
    <mergeCell ref="D22:G24"/>
    <mergeCell ref="H22:J24"/>
    <mergeCell ref="A8:J8"/>
    <mergeCell ref="A13:C14"/>
    <mergeCell ref="D13:J14"/>
    <mergeCell ref="A15:C16"/>
    <mergeCell ref="D15:J16"/>
  </mergeCells>
  <pageMargins left="0.7" right="0.7" top="0.75" bottom="0.75" header="0.3" footer="0.3"/>
  <pageSetup paperSize="9" scale="91" orientation="portrait"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9C107-8DC3-452E-A86F-3AD3D5F3C120}">
  <dimension ref="A1:F30"/>
  <sheetViews>
    <sheetView view="pageBreakPreview" zoomScale="80" zoomScaleNormal="80" zoomScaleSheetLayoutView="80" workbookViewId="0">
      <selection activeCell="A6" sqref="A6:F6"/>
    </sheetView>
  </sheetViews>
  <sheetFormatPr defaultRowHeight="15" x14ac:dyDescent="0.25"/>
  <cols>
    <col min="1" max="1" width="19.7109375" customWidth="1"/>
    <col min="2" max="2" width="20.28515625" customWidth="1"/>
    <col min="3" max="5" width="20" customWidth="1"/>
    <col min="6" max="6" width="19.85546875" customWidth="1"/>
  </cols>
  <sheetData>
    <row r="1" spans="1:6" x14ac:dyDescent="0.25">
      <c r="A1" t="s">
        <v>225</v>
      </c>
      <c r="B1" t="s">
        <v>227</v>
      </c>
    </row>
    <row r="2" spans="1:6" x14ac:dyDescent="0.25">
      <c r="A2" t="s">
        <v>226</v>
      </c>
      <c r="B2" t="s">
        <v>228</v>
      </c>
    </row>
    <row r="3" spans="1:6" x14ac:dyDescent="0.25">
      <c r="B3" t="s">
        <v>229</v>
      </c>
    </row>
    <row r="4" spans="1:6" x14ac:dyDescent="0.25">
      <c r="A4" s="201"/>
      <c r="B4" s="201"/>
      <c r="C4" s="201"/>
      <c r="D4" s="201"/>
      <c r="E4" s="201"/>
      <c r="F4" s="201"/>
    </row>
    <row r="5" spans="1:6" x14ac:dyDescent="0.25">
      <c r="A5" s="202" t="s">
        <v>236</v>
      </c>
      <c r="B5" s="202"/>
      <c r="C5" s="202"/>
      <c r="D5" s="202"/>
      <c r="E5" s="202"/>
      <c r="F5" s="202"/>
    </row>
    <row r="6" spans="1:6" ht="31.5" customHeight="1" x14ac:dyDescent="0.25">
      <c r="A6" s="206" t="s">
        <v>460</v>
      </c>
      <c r="B6" s="207"/>
      <c r="C6" s="207"/>
      <c r="D6" s="207"/>
      <c r="E6" s="207"/>
      <c r="F6" s="207"/>
    </row>
    <row r="7" spans="1:6" x14ac:dyDescent="0.25">
      <c r="A7" s="203"/>
      <c r="B7" s="203"/>
      <c r="C7" s="203"/>
      <c r="D7" s="203"/>
      <c r="E7" s="203"/>
      <c r="F7" s="203"/>
    </row>
    <row r="8" spans="1:6" ht="33.75" customHeight="1" x14ac:dyDescent="0.25">
      <c r="A8" s="204" t="s">
        <v>230</v>
      </c>
      <c r="B8" s="205"/>
      <c r="C8" s="205"/>
      <c r="D8" s="205"/>
      <c r="E8" s="205"/>
      <c r="F8" s="205"/>
    </row>
    <row r="9" spans="1:6" x14ac:dyDescent="0.25">
      <c r="A9" s="203"/>
      <c r="B9" s="203"/>
      <c r="C9" s="203"/>
      <c r="D9" s="203"/>
      <c r="E9" s="203"/>
      <c r="F9" s="203"/>
    </row>
    <row r="10" spans="1:6" ht="34.5" customHeight="1" x14ac:dyDescent="0.25">
      <c r="A10" s="208" t="s">
        <v>240</v>
      </c>
      <c r="B10" s="209"/>
      <c r="C10" s="209"/>
      <c r="D10" s="209"/>
      <c r="E10" s="209"/>
      <c r="F10" s="209"/>
    </row>
    <row r="11" spans="1:6" ht="12" customHeight="1" x14ac:dyDescent="0.25">
      <c r="A11" s="203"/>
      <c r="B11" s="203"/>
      <c r="C11" s="203"/>
      <c r="D11" s="203"/>
      <c r="E11" s="203"/>
      <c r="F11" s="203"/>
    </row>
    <row r="12" spans="1:6" ht="33" customHeight="1" x14ac:dyDescent="0.25">
      <c r="A12" s="210" t="s">
        <v>241</v>
      </c>
      <c r="B12" s="210"/>
      <c r="C12" s="210"/>
      <c r="D12" s="210"/>
      <c r="E12" s="210"/>
      <c r="F12" s="210"/>
    </row>
    <row r="13" spans="1:6" ht="12.75" customHeight="1" x14ac:dyDescent="0.25">
      <c r="A13" s="203"/>
      <c r="B13" s="203"/>
      <c r="C13" s="203"/>
      <c r="D13" s="203"/>
      <c r="E13" s="203"/>
      <c r="F13" s="203"/>
    </row>
    <row r="14" spans="1:6" ht="63.75" customHeight="1" x14ac:dyDescent="0.25">
      <c r="A14" s="208" t="s">
        <v>242</v>
      </c>
      <c r="B14" s="208"/>
      <c r="C14" s="208"/>
      <c r="D14" s="208"/>
      <c r="E14" s="208"/>
      <c r="F14" s="208"/>
    </row>
    <row r="15" spans="1:6" ht="11.25" customHeight="1" x14ac:dyDescent="0.25">
      <c r="A15" s="203"/>
      <c r="B15" s="203"/>
      <c r="C15" s="203"/>
      <c r="D15" s="203"/>
      <c r="E15" s="203"/>
      <c r="F15" s="203"/>
    </row>
    <row r="16" spans="1:6" ht="33.75" customHeight="1" x14ac:dyDescent="0.25">
      <c r="A16" s="211" t="s">
        <v>231</v>
      </c>
      <c r="B16" s="212"/>
      <c r="C16" s="212"/>
      <c r="D16" s="212"/>
      <c r="E16" s="212"/>
      <c r="F16" s="212"/>
    </row>
    <row r="17" spans="1:6" x14ac:dyDescent="0.25">
      <c r="A17" s="203"/>
      <c r="B17" s="203"/>
      <c r="C17" s="203"/>
      <c r="D17" s="203"/>
      <c r="E17" s="203"/>
      <c r="F17" s="203"/>
    </row>
    <row r="18" spans="1:6" ht="32.25" customHeight="1" x14ac:dyDescent="0.25">
      <c r="A18" s="208" t="s">
        <v>232</v>
      </c>
      <c r="B18" s="209"/>
      <c r="C18" s="209"/>
      <c r="D18" s="209"/>
      <c r="E18" s="209"/>
      <c r="F18" s="209"/>
    </row>
    <row r="19" spans="1:6" ht="10.5" customHeight="1" x14ac:dyDescent="0.25">
      <c r="A19" s="203"/>
      <c r="B19" s="203"/>
      <c r="C19" s="203"/>
      <c r="D19" s="203"/>
      <c r="E19" s="203"/>
      <c r="F19" s="203"/>
    </row>
    <row r="20" spans="1:6" ht="23.25" customHeight="1" x14ac:dyDescent="0.25">
      <c r="A20" s="209" t="s">
        <v>233</v>
      </c>
      <c r="B20" s="209"/>
      <c r="C20" s="209"/>
      <c r="D20" s="209"/>
      <c r="E20" s="209"/>
      <c r="F20" s="209"/>
    </row>
    <row r="21" spans="1:6" ht="11.25" customHeight="1" x14ac:dyDescent="0.25">
      <c r="A21" s="203"/>
      <c r="B21" s="203"/>
      <c r="C21" s="203"/>
      <c r="D21" s="203"/>
      <c r="E21" s="203"/>
      <c r="F21" s="203"/>
    </row>
    <row r="22" spans="1:6" ht="34.5" customHeight="1" x14ac:dyDescent="0.25">
      <c r="A22" s="209" t="s">
        <v>234</v>
      </c>
      <c r="B22" s="209"/>
      <c r="C22" s="209"/>
      <c r="D22" s="209"/>
      <c r="E22" s="209"/>
      <c r="F22" s="209"/>
    </row>
    <row r="23" spans="1:6" ht="10.5" customHeight="1" x14ac:dyDescent="0.25">
      <c r="A23" s="203"/>
      <c r="B23" s="203"/>
      <c r="C23" s="203"/>
      <c r="D23" s="203"/>
      <c r="E23" s="203"/>
      <c r="F23" s="203"/>
    </row>
    <row r="24" spans="1:6" ht="31.5" customHeight="1" x14ac:dyDescent="0.25">
      <c r="A24" s="208" t="s">
        <v>235</v>
      </c>
      <c r="B24" s="209"/>
      <c r="C24" s="209"/>
      <c r="D24" s="209"/>
      <c r="E24" s="209"/>
      <c r="F24" s="209"/>
    </row>
    <row r="26" spans="1:6" ht="33" customHeight="1" x14ac:dyDescent="0.25">
      <c r="A26" s="213" t="s">
        <v>243</v>
      </c>
      <c r="B26" s="213"/>
      <c r="C26" s="213"/>
      <c r="D26" s="213"/>
      <c r="E26" s="213"/>
      <c r="F26" s="213"/>
    </row>
    <row r="28" spans="1:6" ht="30" customHeight="1" x14ac:dyDescent="0.25">
      <c r="A28" s="213" t="s">
        <v>244</v>
      </c>
      <c r="B28" s="213"/>
      <c r="C28" s="213"/>
      <c r="D28" s="213"/>
      <c r="E28" s="213"/>
      <c r="F28" s="213"/>
    </row>
    <row r="30" spans="1:6" x14ac:dyDescent="0.25">
      <c r="A30" s="210" t="s">
        <v>245</v>
      </c>
      <c r="B30" s="210"/>
      <c r="C30" s="210"/>
      <c r="D30" s="210"/>
      <c r="E30" s="210"/>
      <c r="F30" s="210"/>
    </row>
  </sheetData>
  <mergeCells count="24">
    <mergeCell ref="A26:F26"/>
    <mergeCell ref="A28:F28"/>
    <mergeCell ref="A30:F30"/>
    <mergeCell ref="A22:F22"/>
    <mergeCell ref="A23:F23"/>
    <mergeCell ref="A24:F24"/>
    <mergeCell ref="A21:F21"/>
    <mergeCell ref="A10:F10"/>
    <mergeCell ref="A11:F11"/>
    <mergeCell ref="A13:F13"/>
    <mergeCell ref="A14:F14"/>
    <mergeCell ref="A15:F15"/>
    <mergeCell ref="A12:F12"/>
    <mergeCell ref="A16:F16"/>
    <mergeCell ref="A17:F17"/>
    <mergeCell ref="A18:F18"/>
    <mergeCell ref="A19:F19"/>
    <mergeCell ref="A20:F20"/>
    <mergeCell ref="A4:F4"/>
    <mergeCell ref="A5:F5"/>
    <mergeCell ref="A7:F7"/>
    <mergeCell ref="A8:F8"/>
    <mergeCell ref="A9:F9"/>
    <mergeCell ref="A6:F6"/>
  </mergeCells>
  <pageMargins left="0.7" right="0.7" top="0.75" bottom="0.75" header="0.3" footer="0.3"/>
  <pageSetup paperSize="9" scale="7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4"/>
  <sheetViews>
    <sheetView view="pageBreakPreview" zoomScaleNormal="90" zoomScaleSheetLayoutView="100" workbookViewId="0">
      <selection activeCell="A30" sqref="A30:F30"/>
    </sheetView>
  </sheetViews>
  <sheetFormatPr defaultRowHeight="15" x14ac:dyDescent="0.25"/>
  <cols>
    <col min="1" max="1" width="19.7109375" customWidth="1"/>
    <col min="2" max="2" width="20.28515625" customWidth="1"/>
    <col min="3" max="5" width="20" customWidth="1"/>
    <col min="6" max="6" width="19.85546875" customWidth="1"/>
  </cols>
  <sheetData>
    <row r="1" spans="1:6" x14ac:dyDescent="0.25">
      <c r="A1" t="s">
        <v>225</v>
      </c>
      <c r="B1" t="s">
        <v>227</v>
      </c>
    </row>
    <row r="2" spans="1:6" x14ac:dyDescent="0.25">
      <c r="A2" t="s">
        <v>226</v>
      </c>
      <c r="B2" t="s">
        <v>228</v>
      </c>
    </row>
    <row r="3" spans="1:6" x14ac:dyDescent="0.25">
      <c r="B3" t="s">
        <v>229</v>
      </c>
    </row>
    <row r="4" spans="1:6" x14ac:dyDescent="0.25">
      <c r="A4" s="202" t="s">
        <v>48</v>
      </c>
      <c r="B4" s="202"/>
      <c r="C4" s="202"/>
      <c r="D4" s="202"/>
      <c r="E4" s="202"/>
      <c r="F4" s="202"/>
    </row>
    <row r="5" spans="1:6" x14ac:dyDescent="0.25">
      <c r="A5" s="201"/>
      <c r="B5" s="201"/>
      <c r="C5" s="201"/>
      <c r="D5" s="201"/>
      <c r="E5" s="201"/>
      <c r="F5" s="201"/>
    </row>
    <row r="6" spans="1:6" x14ac:dyDescent="0.25">
      <c r="A6" s="202" t="s">
        <v>4</v>
      </c>
      <c r="B6" s="202"/>
      <c r="C6" s="202"/>
      <c r="D6" s="202"/>
      <c r="E6" s="202"/>
      <c r="F6" s="202"/>
    </row>
    <row r="7" spans="1:6" x14ac:dyDescent="0.25">
      <c r="A7" s="203"/>
      <c r="B7" s="203"/>
      <c r="C7" s="203"/>
      <c r="D7" s="203"/>
      <c r="E7" s="203"/>
      <c r="F7" s="203"/>
    </row>
    <row r="8" spans="1:6" ht="48.75" customHeight="1" x14ac:dyDescent="0.25">
      <c r="A8" s="220" t="s">
        <v>246</v>
      </c>
      <c r="B8" s="220"/>
      <c r="C8" s="220"/>
      <c r="D8" s="220"/>
      <c r="E8" s="220"/>
      <c r="F8" s="220"/>
    </row>
    <row r="9" spans="1:6" x14ac:dyDescent="0.25">
      <c r="A9" s="203"/>
      <c r="B9" s="203"/>
      <c r="C9" s="203"/>
      <c r="D9" s="203"/>
      <c r="E9" s="203"/>
      <c r="F9" s="203"/>
    </row>
    <row r="10" spans="1:6" ht="48" customHeight="1" x14ac:dyDescent="0.25">
      <c r="A10" s="213" t="s">
        <v>247</v>
      </c>
      <c r="B10" s="213"/>
      <c r="C10" s="213"/>
      <c r="D10" s="213"/>
      <c r="E10" s="213"/>
      <c r="F10" s="213"/>
    </row>
    <row r="11" spans="1:6" x14ac:dyDescent="0.25">
      <c r="A11" s="203"/>
      <c r="B11" s="203"/>
      <c r="C11" s="203"/>
      <c r="D11" s="203"/>
      <c r="E11" s="203"/>
      <c r="F11" s="203"/>
    </row>
    <row r="12" spans="1:6" ht="32.25" customHeight="1" x14ac:dyDescent="0.25">
      <c r="A12" s="220" t="s">
        <v>50</v>
      </c>
      <c r="B12" s="220"/>
      <c r="C12" s="220"/>
      <c r="D12" s="220"/>
      <c r="E12" s="220"/>
      <c r="F12" s="220"/>
    </row>
    <row r="13" spans="1:6" x14ac:dyDescent="0.25">
      <c r="A13" s="203"/>
      <c r="B13" s="203"/>
      <c r="C13" s="203"/>
      <c r="D13" s="203"/>
      <c r="E13" s="203"/>
      <c r="F13" s="203"/>
    </row>
    <row r="14" spans="1:6" ht="30.75" customHeight="1" x14ac:dyDescent="0.25">
      <c r="A14" s="204" t="s">
        <v>49</v>
      </c>
      <c r="B14" s="205"/>
      <c r="C14" s="205"/>
      <c r="D14" s="205"/>
      <c r="E14" s="205"/>
      <c r="F14" s="205"/>
    </row>
    <row r="15" spans="1:6" x14ac:dyDescent="0.25">
      <c r="A15" s="203"/>
      <c r="B15" s="203"/>
      <c r="C15" s="203"/>
      <c r="D15" s="203"/>
      <c r="E15" s="203"/>
      <c r="F15" s="203"/>
    </row>
    <row r="16" spans="1:6" ht="32.25" customHeight="1" x14ac:dyDescent="0.25">
      <c r="A16" s="208" t="s">
        <v>50</v>
      </c>
      <c r="B16" s="209"/>
      <c r="C16" s="209"/>
      <c r="D16" s="209"/>
      <c r="E16" s="209"/>
      <c r="F16" s="209"/>
    </row>
    <row r="17" spans="1:6" x14ac:dyDescent="0.25">
      <c r="A17" s="203"/>
      <c r="B17" s="203"/>
      <c r="C17" s="203"/>
      <c r="D17" s="203"/>
      <c r="E17" s="203"/>
      <c r="F17" s="203"/>
    </row>
    <row r="18" spans="1:6" ht="37.9" customHeight="1" x14ac:dyDescent="0.25">
      <c r="A18" s="208" t="s">
        <v>51</v>
      </c>
      <c r="B18" s="209"/>
      <c r="C18" s="209"/>
      <c r="D18" s="209"/>
      <c r="E18" s="209"/>
      <c r="F18" s="209"/>
    </row>
    <row r="19" spans="1:6" ht="24.75" customHeight="1" x14ac:dyDescent="0.25">
      <c r="A19" s="209"/>
      <c r="B19" s="209"/>
      <c r="C19" s="209"/>
      <c r="D19" s="209"/>
      <c r="E19" s="209"/>
      <c r="F19" s="209"/>
    </row>
    <row r="20" spans="1:6" x14ac:dyDescent="0.25">
      <c r="A20" s="203"/>
      <c r="B20" s="203"/>
      <c r="C20" s="203"/>
      <c r="D20" s="203"/>
      <c r="E20" s="203"/>
      <c r="F20" s="203"/>
    </row>
    <row r="21" spans="1:6" ht="80.25" customHeight="1" x14ac:dyDescent="0.25">
      <c r="A21" s="213" t="s">
        <v>249</v>
      </c>
      <c r="B21" s="213"/>
      <c r="C21" s="213"/>
      <c r="D21" s="213"/>
      <c r="E21" s="213"/>
      <c r="F21" s="213"/>
    </row>
    <row r="22" spans="1:6" x14ac:dyDescent="0.25">
      <c r="A22" s="203"/>
      <c r="B22" s="203"/>
      <c r="C22" s="203"/>
      <c r="D22" s="203"/>
      <c r="E22" s="203"/>
      <c r="F22" s="203"/>
    </row>
    <row r="23" spans="1:6" ht="136.5" customHeight="1" x14ac:dyDescent="0.25">
      <c r="A23" s="213" t="s">
        <v>257</v>
      </c>
      <c r="B23" s="218"/>
      <c r="C23" s="218"/>
      <c r="D23" s="218"/>
      <c r="E23" s="218"/>
      <c r="F23" s="218"/>
    </row>
    <row r="24" spans="1:6" ht="21" customHeight="1" x14ac:dyDescent="0.25">
      <c r="A24" s="203"/>
      <c r="B24" s="203"/>
      <c r="C24" s="203"/>
      <c r="D24" s="203"/>
      <c r="E24" s="203"/>
      <c r="F24" s="203"/>
    </row>
    <row r="25" spans="1:6" ht="189.75" customHeight="1" x14ac:dyDescent="0.25">
      <c r="A25" s="213" t="s">
        <v>248</v>
      </c>
      <c r="B25" s="218"/>
      <c r="C25" s="218"/>
      <c r="D25" s="218"/>
      <c r="E25" s="218"/>
      <c r="F25" s="218"/>
    </row>
    <row r="26" spans="1:6" x14ac:dyDescent="0.25">
      <c r="A26" s="203"/>
      <c r="B26" s="203"/>
      <c r="C26" s="203"/>
      <c r="D26" s="203"/>
      <c r="E26" s="203"/>
      <c r="F26" s="203"/>
    </row>
    <row r="27" spans="1:6" ht="56.45" customHeight="1" x14ac:dyDescent="0.25">
      <c r="A27" s="208" t="s">
        <v>461</v>
      </c>
      <c r="B27" s="209"/>
      <c r="C27" s="209"/>
      <c r="D27" s="209"/>
      <c r="E27" s="209"/>
      <c r="F27" s="209"/>
    </row>
    <row r="28" spans="1:6" ht="19.149999999999999" customHeight="1" x14ac:dyDescent="0.25">
      <c r="A28" s="209"/>
      <c r="B28" s="209"/>
      <c r="C28" s="209"/>
      <c r="D28" s="209"/>
      <c r="E28" s="209"/>
      <c r="F28" s="209"/>
    </row>
    <row r="29" spans="1:6" x14ac:dyDescent="0.25">
      <c r="A29" s="203"/>
      <c r="B29" s="203"/>
      <c r="C29" s="203"/>
      <c r="D29" s="203"/>
      <c r="E29" s="203"/>
      <c r="F29" s="203"/>
    </row>
    <row r="30" spans="1:6" ht="33" customHeight="1" x14ac:dyDescent="0.25">
      <c r="A30" s="210" t="s">
        <v>464</v>
      </c>
      <c r="B30" s="210"/>
      <c r="C30" s="210"/>
      <c r="D30" s="210"/>
      <c r="E30" s="210"/>
      <c r="F30" s="210"/>
    </row>
    <row r="31" spans="1:6" x14ac:dyDescent="0.25">
      <c r="A31" s="203"/>
      <c r="B31" s="203"/>
      <c r="C31" s="203"/>
      <c r="D31" s="203"/>
      <c r="E31" s="203"/>
      <c r="F31" s="203"/>
    </row>
    <row r="32" spans="1:6" ht="31.9" customHeight="1" x14ac:dyDescent="0.25">
      <c r="A32" s="209" t="s">
        <v>53</v>
      </c>
      <c r="B32" s="209"/>
      <c r="C32" s="209"/>
      <c r="D32" s="209"/>
      <c r="E32" s="209"/>
      <c r="F32" s="209"/>
    </row>
    <row r="33" spans="1:6" ht="26.45" customHeight="1" x14ac:dyDescent="0.25">
      <c r="A33" s="209"/>
      <c r="B33" s="209"/>
      <c r="C33" s="209"/>
      <c r="D33" s="209"/>
      <c r="E33" s="209"/>
      <c r="F33" s="209"/>
    </row>
    <row r="34" spans="1:6" x14ac:dyDescent="0.25">
      <c r="A34" s="203"/>
      <c r="B34" s="203"/>
      <c r="C34" s="203"/>
      <c r="D34" s="203"/>
      <c r="E34" s="203"/>
      <c r="F34" s="203"/>
    </row>
    <row r="35" spans="1:6" ht="25.15" customHeight="1" x14ac:dyDescent="0.25">
      <c r="A35" s="209" t="s">
        <v>52</v>
      </c>
      <c r="B35" s="209"/>
      <c r="C35" s="209"/>
      <c r="D35" s="209"/>
      <c r="E35" s="209"/>
      <c r="F35" s="209"/>
    </row>
    <row r="36" spans="1:6" ht="18.600000000000001" customHeight="1" x14ac:dyDescent="0.25">
      <c r="A36" s="209"/>
      <c r="B36" s="209"/>
      <c r="C36" s="209"/>
      <c r="D36" s="209"/>
      <c r="E36" s="209"/>
      <c r="F36" s="209"/>
    </row>
    <row r="37" spans="1:6" x14ac:dyDescent="0.25">
      <c r="A37" s="203"/>
      <c r="B37" s="203"/>
      <c r="C37" s="203"/>
      <c r="D37" s="203"/>
      <c r="E37" s="203"/>
      <c r="F37" s="203"/>
    </row>
    <row r="38" spans="1:6" ht="74.45" customHeight="1" x14ac:dyDescent="0.25">
      <c r="A38" s="208" t="s">
        <v>54</v>
      </c>
      <c r="B38" s="209"/>
      <c r="C38" s="209"/>
      <c r="D38" s="209"/>
      <c r="E38" s="209"/>
      <c r="F38" s="209"/>
    </row>
    <row r="39" spans="1:6" ht="38.450000000000003" customHeight="1" x14ac:dyDescent="0.25">
      <c r="A39" s="209"/>
      <c r="B39" s="209"/>
      <c r="C39" s="209"/>
      <c r="D39" s="209"/>
      <c r="E39" s="209"/>
      <c r="F39" s="209"/>
    </row>
    <row r="40" spans="1:6" x14ac:dyDescent="0.25">
      <c r="A40" s="209"/>
      <c r="B40" s="209"/>
      <c r="C40" s="209"/>
      <c r="D40" s="209"/>
      <c r="E40" s="209"/>
      <c r="F40" s="209"/>
    </row>
    <row r="41" spans="1:6" ht="40.9" customHeight="1" x14ac:dyDescent="0.25">
      <c r="A41" s="209" t="s">
        <v>55</v>
      </c>
      <c r="B41" s="209"/>
      <c r="C41" s="209"/>
      <c r="D41" s="209"/>
      <c r="E41" s="209"/>
      <c r="F41" s="209"/>
    </row>
    <row r="42" spans="1:6" ht="31.15" customHeight="1" x14ac:dyDescent="0.25">
      <c r="A42" s="209"/>
      <c r="B42" s="209"/>
      <c r="C42" s="209"/>
      <c r="D42" s="209"/>
      <c r="E42" s="209"/>
      <c r="F42" s="209"/>
    </row>
    <row r="43" spans="1:6" x14ac:dyDescent="0.25">
      <c r="A43" s="209"/>
      <c r="B43" s="209"/>
      <c r="C43" s="209"/>
      <c r="D43" s="209"/>
      <c r="E43" s="209"/>
      <c r="F43" s="209"/>
    </row>
    <row r="44" spans="1:6" ht="31.15" customHeight="1" x14ac:dyDescent="0.25">
      <c r="A44" s="209" t="s">
        <v>56</v>
      </c>
      <c r="B44" s="209"/>
      <c r="C44" s="209"/>
      <c r="D44" s="209"/>
      <c r="E44" s="209"/>
      <c r="F44" s="209"/>
    </row>
    <row r="45" spans="1:6" ht="22.9" customHeight="1" x14ac:dyDescent="0.25">
      <c r="A45" s="209"/>
      <c r="B45" s="209"/>
      <c r="C45" s="209"/>
      <c r="D45" s="209"/>
      <c r="E45" s="209"/>
      <c r="F45" s="209"/>
    </row>
    <row r="46" spans="1:6" x14ac:dyDescent="0.25">
      <c r="A46" s="203"/>
      <c r="B46" s="203"/>
      <c r="C46" s="203"/>
      <c r="D46" s="203"/>
      <c r="E46" s="203"/>
      <c r="F46" s="203"/>
    </row>
    <row r="47" spans="1:6" ht="69" customHeight="1" x14ac:dyDescent="0.25">
      <c r="A47" s="209" t="s">
        <v>58</v>
      </c>
      <c r="B47" s="209"/>
      <c r="C47" s="209"/>
      <c r="D47" s="209"/>
      <c r="E47" s="209"/>
      <c r="F47" s="209"/>
    </row>
    <row r="48" spans="1:6" ht="48.6" customHeight="1" x14ac:dyDescent="0.25">
      <c r="A48" s="209"/>
      <c r="B48" s="209"/>
      <c r="C48" s="209"/>
      <c r="D48" s="209"/>
      <c r="E48" s="209"/>
      <c r="F48" s="209"/>
    </row>
    <row r="49" spans="1:6" x14ac:dyDescent="0.25">
      <c r="A49" s="219"/>
      <c r="B49" s="219"/>
      <c r="C49" s="219"/>
      <c r="D49" s="219"/>
      <c r="E49" s="219"/>
      <c r="F49" s="219"/>
    </row>
    <row r="50" spans="1:6" ht="40.15" customHeight="1" x14ac:dyDescent="0.25">
      <c r="A50" s="209" t="s">
        <v>57</v>
      </c>
      <c r="B50" s="209"/>
      <c r="C50" s="209"/>
      <c r="D50" s="209"/>
      <c r="E50" s="209"/>
      <c r="F50" s="209"/>
    </row>
    <row r="51" spans="1:6" ht="22.9" customHeight="1" x14ac:dyDescent="0.25">
      <c r="A51" s="209"/>
      <c r="B51" s="209"/>
      <c r="C51" s="209"/>
      <c r="D51" s="209"/>
      <c r="E51" s="209"/>
      <c r="F51" s="209"/>
    </row>
    <row r="52" spans="1:6" x14ac:dyDescent="0.25">
      <c r="A52" s="203"/>
      <c r="B52" s="203"/>
      <c r="C52" s="203"/>
      <c r="D52" s="203"/>
      <c r="E52" s="203"/>
      <c r="F52" s="203"/>
    </row>
    <row r="53" spans="1:6" ht="172.9" customHeight="1" x14ac:dyDescent="0.25">
      <c r="A53" s="208" t="s">
        <v>462</v>
      </c>
      <c r="B53" s="209"/>
      <c r="C53" s="209"/>
      <c r="D53" s="209"/>
      <c r="E53" s="209"/>
      <c r="F53" s="209"/>
    </row>
    <row r="54" spans="1:6" ht="177" customHeight="1" x14ac:dyDescent="0.25">
      <c r="A54" s="209"/>
      <c r="B54" s="209"/>
      <c r="C54" s="209"/>
      <c r="D54" s="209"/>
      <c r="E54" s="209"/>
      <c r="F54" s="209"/>
    </row>
    <row r="55" spans="1:6" x14ac:dyDescent="0.25">
      <c r="A55" s="203"/>
      <c r="B55" s="203"/>
      <c r="C55" s="203"/>
      <c r="D55" s="203"/>
      <c r="E55" s="203"/>
      <c r="F55" s="203"/>
    </row>
    <row r="56" spans="1:6" ht="31.15" customHeight="1" x14ac:dyDescent="0.25">
      <c r="A56" s="209" t="s">
        <v>258</v>
      </c>
      <c r="B56" s="209"/>
      <c r="C56" s="209"/>
      <c r="D56" s="209"/>
      <c r="E56" s="209"/>
      <c r="F56" s="209"/>
    </row>
    <row r="57" spans="1:6" ht="45" customHeight="1" x14ac:dyDescent="0.25">
      <c r="A57" s="209"/>
      <c r="B57" s="209"/>
      <c r="C57" s="209"/>
      <c r="D57" s="209"/>
      <c r="E57" s="209"/>
      <c r="F57" s="209"/>
    </row>
    <row r="58" spans="1:6" x14ac:dyDescent="0.25">
      <c r="A58" s="215"/>
      <c r="B58" s="215"/>
      <c r="C58" s="215"/>
      <c r="D58" s="215"/>
      <c r="E58" s="215"/>
      <c r="F58" s="215"/>
    </row>
    <row r="59" spans="1:6" ht="47.45" customHeight="1" x14ac:dyDescent="0.25">
      <c r="A59" s="209" t="s">
        <v>62</v>
      </c>
      <c r="B59" s="209"/>
      <c r="C59" s="209"/>
      <c r="D59" s="209"/>
      <c r="E59" s="209"/>
      <c r="F59" s="209"/>
    </row>
    <row r="60" spans="1:6" ht="43.9" customHeight="1" x14ac:dyDescent="0.25">
      <c r="A60" s="209"/>
      <c r="B60" s="209"/>
      <c r="C60" s="209"/>
      <c r="D60" s="209"/>
      <c r="E60" s="209"/>
      <c r="F60" s="209"/>
    </row>
    <row r="61" spans="1:6" x14ac:dyDescent="0.25">
      <c r="A61" s="215"/>
      <c r="B61" s="215"/>
      <c r="C61" s="215"/>
      <c r="D61" s="215"/>
      <c r="E61" s="215"/>
      <c r="F61" s="215"/>
    </row>
    <row r="62" spans="1:6" ht="28.9" customHeight="1" x14ac:dyDescent="0.25">
      <c r="A62" s="209" t="s">
        <v>61</v>
      </c>
      <c r="B62" s="209"/>
      <c r="C62" s="209"/>
      <c r="D62" s="209"/>
      <c r="E62" s="209"/>
      <c r="F62" s="209"/>
    </row>
    <row r="63" spans="1:6" x14ac:dyDescent="0.25">
      <c r="A63" s="209"/>
      <c r="B63" s="209"/>
      <c r="C63" s="209"/>
      <c r="D63" s="209"/>
      <c r="E63" s="209"/>
      <c r="F63" s="209"/>
    </row>
    <row r="64" spans="1:6" x14ac:dyDescent="0.25">
      <c r="A64" s="215"/>
      <c r="B64" s="215"/>
      <c r="C64" s="215"/>
      <c r="D64" s="215"/>
      <c r="E64" s="215"/>
      <c r="F64" s="215"/>
    </row>
    <row r="65" spans="1:6" ht="19.899999999999999" customHeight="1" x14ac:dyDescent="0.25">
      <c r="A65" s="209" t="s">
        <v>59</v>
      </c>
      <c r="B65" s="209"/>
      <c r="C65" s="209"/>
      <c r="D65" s="209"/>
      <c r="E65" s="209"/>
      <c r="F65" s="209"/>
    </row>
    <row r="66" spans="1:6" ht="25.9" customHeight="1" x14ac:dyDescent="0.25">
      <c r="A66" s="209"/>
      <c r="B66" s="209"/>
      <c r="C66" s="209"/>
      <c r="D66" s="209"/>
      <c r="E66" s="209"/>
      <c r="F66" s="209"/>
    </row>
    <row r="67" spans="1:6" x14ac:dyDescent="0.25">
      <c r="A67" s="215"/>
      <c r="B67" s="215"/>
      <c r="C67" s="215"/>
      <c r="D67" s="215"/>
      <c r="E67" s="215"/>
      <c r="F67" s="215"/>
    </row>
    <row r="68" spans="1:6" ht="58.9" customHeight="1" x14ac:dyDescent="0.25">
      <c r="A68" s="209" t="s">
        <v>60</v>
      </c>
      <c r="B68" s="209"/>
      <c r="C68" s="209"/>
      <c r="D68" s="209"/>
      <c r="E68" s="209"/>
      <c r="F68" s="209"/>
    </row>
    <row r="69" spans="1:6" ht="81" customHeight="1" x14ac:dyDescent="0.25">
      <c r="A69" s="209"/>
      <c r="B69" s="209"/>
      <c r="C69" s="209"/>
      <c r="D69" s="209"/>
      <c r="E69" s="209"/>
      <c r="F69" s="209"/>
    </row>
    <row r="70" spans="1:6" x14ac:dyDescent="0.25">
      <c r="A70" s="215"/>
      <c r="B70" s="215"/>
      <c r="C70" s="215"/>
      <c r="D70" s="215"/>
      <c r="E70" s="215"/>
      <c r="F70" s="215"/>
    </row>
    <row r="71" spans="1:6" ht="72.599999999999994" customHeight="1" x14ac:dyDescent="0.25">
      <c r="A71" s="209" t="s">
        <v>251</v>
      </c>
      <c r="B71" s="209"/>
      <c r="C71" s="209"/>
      <c r="D71" s="209"/>
      <c r="E71" s="209"/>
      <c r="F71" s="209"/>
    </row>
    <row r="72" spans="1:6" ht="54" customHeight="1" x14ac:dyDescent="0.25">
      <c r="A72" s="209"/>
      <c r="B72" s="209"/>
      <c r="C72" s="209"/>
      <c r="D72" s="209"/>
      <c r="E72" s="209"/>
      <c r="F72" s="209"/>
    </row>
    <row r="73" spans="1:6" x14ac:dyDescent="0.25">
      <c r="A73" s="215"/>
      <c r="B73" s="215"/>
      <c r="C73" s="215"/>
      <c r="D73" s="215"/>
      <c r="E73" s="215"/>
      <c r="F73" s="215"/>
    </row>
    <row r="74" spans="1:6" ht="37.15" customHeight="1" x14ac:dyDescent="0.25">
      <c r="A74" s="209" t="s">
        <v>63</v>
      </c>
      <c r="B74" s="209"/>
      <c r="C74" s="209"/>
      <c r="D74" s="209"/>
      <c r="E74" s="209"/>
      <c r="F74" s="209"/>
    </row>
    <row r="75" spans="1:6" ht="21.6" customHeight="1" x14ac:dyDescent="0.25">
      <c r="A75" s="209"/>
      <c r="B75" s="209"/>
      <c r="C75" s="209"/>
      <c r="D75" s="209"/>
      <c r="E75" s="209"/>
      <c r="F75" s="209"/>
    </row>
    <row r="76" spans="1:6" x14ac:dyDescent="0.25">
      <c r="A76" s="215"/>
      <c r="B76" s="215"/>
      <c r="C76" s="215"/>
      <c r="D76" s="215"/>
      <c r="E76" s="215"/>
      <c r="F76" s="215"/>
    </row>
    <row r="77" spans="1:6" ht="66" customHeight="1" x14ac:dyDescent="0.25">
      <c r="A77" s="209" t="s">
        <v>64</v>
      </c>
      <c r="B77" s="209"/>
      <c r="C77" s="209"/>
      <c r="D77" s="209"/>
      <c r="E77" s="209"/>
      <c r="F77" s="209"/>
    </row>
    <row r="78" spans="1:6" ht="49.9" customHeight="1" x14ac:dyDescent="0.25">
      <c r="A78" s="209"/>
      <c r="B78" s="209"/>
      <c r="C78" s="209"/>
      <c r="D78" s="209"/>
      <c r="E78" s="209"/>
      <c r="F78" s="209"/>
    </row>
    <row r="79" spans="1:6" x14ac:dyDescent="0.25">
      <c r="A79" s="215"/>
      <c r="B79" s="215"/>
      <c r="C79" s="215"/>
      <c r="D79" s="215"/>
      <c r="E79" s="215"/>
      <c r="F79" s="215"/>
    </row>
    <row r="80" spans="1:6" ht="16.899999999999999" customHeight="1" x14ac:dyDescent="0.25">
      <c r="A80" s="209" t="s">
        <v>65</v>
      </c>
      <c r="B80" s="209"/>
      <c r="C80" s="209"/>
      <c r="D80" s="209"/>
      <c r="E80" s="209"/>
      <c r="F80" s="209"/>
    </row>
    <row r="81" spans="1:6" x14ac:dyDescent="0.25">
      <c r="A81" s="209"/>
      <c r="B81" s="209"/>
      <c r="C81" s="209"/>
      <c r="D81" s="209"/>
      <c r="E81" s="209"/>
      <c r="F81" s="209"/>
    </row>
    <row r="82" spans="1:6" x14ac:dyDescent="0.25">
      <c r="A82" s="215"/>
      <c r="B82" s="215"/>
      <c r="C82" s="215"/>
      <c r="D82" s="215"/>
      <c r="E82" s="215"/>
      <c r="F82" s="215"/>
    </row>
    <row r="83" spans="1:6" ht="56.45" customHeight="1" x14ac:dyDescent="0.25">
      <c r="A83" s="208" t="s">
        <v>66</v>
      </c>
      <c r="B83" s="209"/>
      <c r="C83" s="209"/>
      <c r="D83" s="209"/>
      <c r="E83" s="209"/>
      <c r="F83" s="209"/>
    </row>
    <row r="84" spans="1:6" ht="87" customHeight="1" x14ac:dyDescent="0.25">
      <c r="A84" s="209"/>
      <c r="B84" s="209"/>
      <c r="C84" s="209"/>
      <c r="D84" s="209"/>
      <c r="E84" s="209"/>
      <c r="F84" s="209"/>
    </row>
    <row r="85" spans="1:6" x14ac:dyDescent="0.25">
      <c r="A85" s="215"/>
      <c r="B85" s="215"/>
      <c r="C85" s="215"/>
      <c r="D85" s="215"/>
      <c r="E85" s="215"/>
      <c r="F85" s="215"/>
    </row>
    <row r="86" spans="1:6" ht="48.75" customHeight="1" x14ac:dyDescent="0.25">
      <c r="A86" s="210" t="s">
        <v>67</v>
      </c>
      <c r="B86" s="210"/>
      <c r="C86" s="210"/>
      <c r="D86" s="210"/>
      <c r="E86" s="210"/>
      <c r="F86" s="210"/>
    </row>
    <row r="87" spans="1:6" x14ac:dyDescent="0.25">
      <c r="A87" s="215"/>
      <c r="B87" s="215"/>
      <c r="C87" s="215"/>
      <c r="D87" s="215"/>
      <c r="E87" s="215"/>
      <c r="F87" s="215"/>
    </row>
    <row r="88" spans="1:6" ht="28.15" customHeight="1" x14ac:dyDescent="0.25">
      <c r="A88" s="209" t="s">
        <v>68</v>
      </c>
      <c r="B88" s="209"/>
      <c r="C88" s="209"/>
      <c r="D88" s="209"/>
      <c r="E88" s="209"/>
      <c r="F88" s="209"/>
    </row>
    <row r="89" spans="1:6" ht="24.75" customHeight="1" x14ac:dyDescent="0.25">
      <c r="A89" s="209"/>
      <c r="B89" s="209"/>
      <c r="C89" s="209"/>
      <c r="D89" s="209"/>
      <c r="E89" s="209"/>
      <c r="F89" s="209"/>
    </row>
    <row r="90" spans="1:6" x14ac:dyDescent="0.25">
      <c r="A90" s="215"/>
      <c r="B90" s="215"/>
      <c r="C90" s="215"/>
      <c r="D90" s="215"/>
      <c r="E90" s="215"/>
      <c r="F90" s="215"/>
    </row>
    <row r="91" spans="1:6" ht="66" customHeight="1" x14ac:dyDescent="0.25">
      <c r="A91" s="209" t="s">
        <v>70</v>
      </c>
      <c r="B91" s="209"/>
      <c r="C91" s="209"/>
      <c r="D91" s="209"/>
      <c r="E91" s="209"/>
      <c r="F91" s="209"/>
    </row>
    <row r="92" spans="1:6" ht="70.150000000000006" customHeight="1" x14ac:dyDescent="0.25">
      <c r="A92" s="209"/>
      <c r="B92" s="209"/>
      <c r="C92" s="209"/>
      <c r="D92" s="209"/>
      <c r="E92" s="209"/>
      <c r="F92" s="209"/>
    </row>
    <row r="93" spans="1:6" x14ac:dyDescent="0.25">
      <c r="A93" s="215"/>
      <c r="B93" s="215"/>
      <c r="C93" s="215"/>
      <c r="D93" s="215"/>
      <c r="E93" s="215"/>
      <c r="F93" s="215"/>
    </row>
    <row r="94" spans="1:6" ht="74.45" customHeight="1" x14ac:dyDescent="0.25">
      <c r="A94" s="209" t="s">
        <v>71</v>
      </c>
      <c r="B94" s="209"/>
      <c r="C94" s="209"/>
      <c r="D94" s="209"/>
      <c r="E94" s="209"/>
      <c r="F94" s="209"/>
    </row>
    <row r="95" spans="1:6" ht="61.9" customHeight="1" x14ac:dyDescent="0.25">
      <c r="A95" s="209"/>
      <c r="B95" s="209"/>
      <c r="C95" s="209"/>
      <c r="D95" s="209"/>
      <c r="E95" s="209"/>
      <c r="F95" s="209"/>
    </row>
    <row r="96" spans="1:6" x14ac:dyDescent="0.25">
      <c r="A96" s="215"/>
      <c r="B96" s="215"/>
      <c r="C96" s="215"/>
      <c r="D96" s="215"/>
      <c r="E96" s="215"/>
      <c r="F96" s="215"/>
    </row>
    <row r="97" spans="1:6" ht="21" customHeight="1" x14ac:dyDescent="0.25">
      <c r="A97" s="209" t="s">
        <v>69</v>
      </c>
      <c r="B97" s="209"/>
      <c r="C97" s="209"/>
      <c r="D97" s="209"/>
      <c r="E97" s="209"/>
      <c r="F97" s="209"/>
    </row>
    <row r="98" spans="1:6" ht="41.25" customHeight="1" x14ac:dyDescent="0.25">
      <c r="A98" s="209"/>
      <c r="B98" s="209"/>
      <c r="C98" s="209"/>
      <c r="D98" s="209"/>
      <c r="E98" s="209"/>
      <c r="F98" s="209"/>
    </row>
    <row r="99" spans="1:6" x14ac:dyDescent="0.25">
      <c r="A99" s="215"/>
      <c r="B99" s="215"/>
      <c r="C99" s="215"/>
      <c r="D99" s="215"/>
      <c r="E99" s="215"/>
      <c r="F99" s="215"/>
    </row>
    <row r="100" spans="1:6" x14ac:dyDescent="0.25">
      <c r="A100" s="216" t="s">
        <v>72</v>
      </c>
      <c r="B100" s="217"/>
      <c r="C100" s="217"/>
      <c r="D100" s="217"/>
      <c r="E100" s="217"/>
      <c r="F100" s="217"/>
    </row>
    <row r="101" spans="1:6" x14ac:dyDescent="0.25">
      <c r="A101" s="217"/>
      <c r="B101" s="217"/>
      <c r="C101" s="217"/>
      <c r="D101" s="217"/>
      <c r="E101" s="217"/>
      <c r="F101" s="217"/>
    </row>
    <row r="102" spans="1:6" x14ac:dyDescent="0.25">
      <c r="A102" s="215"/>
      <c r="B102" s="215"/>
      <c r="C102" s="215"/>
      <c r="D102" s="215"/>
      <c r="E102" s="215"/>
      <c r="F102" s="215"/>
    </row>
    <row r="103" spans="1:6" ht="159" customHeight="1" x14ac:dyDescent="0.25">
      <c r="A103" s="208" t="s">
        <v>267</v>
      </c>
      <c r="B103" s="209"/>
      <c r="C103" s="209"/>
      <c r="D103" s="209"/>
      <c r="E103" s="209"/>
      <c r="F103" s="209"/>
    </row>
    <row r="104" spans="1:6" ht="204" customHeight="1" x14ac:dyDescent="0.25">
      <c r="A104" s="209"/>
      <c r="B104" s="209"/>
      <c r="C104" s="209"/>
      <c r="D104" s="209"/>
      <c r="E104" s="209"/>
      <c r="F104" s="209"/>
    </row>
    <row r="105" spans="1:6" x14ac:dyDescent="0.25">
      <c r="A105" s="215"/>
      <c r="B105" s="215"/>
      <c r="C105" s="215"/>
      <c r="D105" s="215"/>
      <c r="E105" s="215"/>
      <c r="F105" s="215"/>
    </row>
    <row r="106" spans="1:6" x14ac:dyDescent="0.25">
      <c r="A106" s="216" t="s">
        <v>73</v>
      </c>
      <c r="B106" s="217"/>
      <c r="C106" s="217"/>
      <c r="D106" s="217"/>
      <c r="E106" s="217"/>
      <c r="F106" s="217"/>
    </row>
    <row r="107" spans="1:6" x14ac:dyDescent="0.25">
      <c r="A107" s="217"/>
      <c r="B107" s="217"/>
      <c r="C107" s="217"/>
      <c r="D107" s="217"/>
      <c r="E107" s="217"/>
      <c r="F107" s="217"/>
    </row>
    <row r="108" spans="1:6" x14ac:dyDescent="0.25">
      <c r="A108" s="215"/>
      <c r="B108" s="215"/>
      <c r="C108" s="215"/>
      <c r="D108" s="215"/>
      <c r="E108" s="215"/>
      <c r="F108" s="215"/>
    </row>
    <row r="109" spans="1:6" ht="30.75" customHeight="1" x14ac:dyDescent="0.25">
      <c r="A109" s="210" t="s">
        <v>268</v>
      </c>
      <c r="B109" s="210"/>
      <c r="C109" s="210"/>
      <c r="D109" s="210"/>
      <c r="E109" s="210"/>
      <c r="F109" s="210"/>
    </row>
    <row r="110" spans="1:6" ht="48.75" customHeight="1" x14ac:dyDescent="0.25">
      <c r="A110" s="210" t="s">
        <v>269</v>
      </c>
      <c r="B110" s="210"/>
      <c r="C110" s="210"/>
      <c r="D110" s="210"/>
      <c r="E110" s="210"/>
      <c r="F110" s="210"/>
    </row>
    <row r="111" spans="1:6" x14ac:dyDescent="0.25">
      <c r="A111" s="215"/>
      <c r="B111" s="215"/>
      <c r="C111" s="215"/>
      <c r="D111" s="215"/>
      <c r="E111" s="215"/>
      <c r="F111" s="215"/>
    </row>
    <row r="112" spans="1:6" ht="127.9" customHeight="1" x14ac:dyDescent="0.25">
      <c r="A112" s="208" t="s">
        <v>252</v>
      </c>
      <c r="B112" s="209"/>
      <c r="C112" s="209"/>
      <c r="D112" s="209"/>
      <c r="E112" s="209"/>
      <c r="F112" s="209"/>
    </row>
    <row r="113" spans="1:6" ht="147" customHeight="1" x14ac:dyDescent="0.25">
      <c r="A113" s="209"/>
      <c r="B113" s="209"/>
      <c r="C113" s="209"/>
      <c r="D113" s="209"/>
      <c r="E113" s="209"/>
      <c r="F113" s="209"/>
    </row>
    <row r="114" spans="1:6" x14ac:dyDescent="0.25">
      <c r="A114" s="215"/>
      <c r="B114" s="215"/>
      <c r="C114" s="215"/>
      <c r="D114" s="215"/>
      <c r="E114" s="215"/>
      <c r="F114" s="215"/>
    </row>
    <row r="115" spans="1:6" x14ac:dyDescent="0.25">
      <c r="A115" s="216" t="s">
        <v>74</v>
      </c>
      <c r="B115" s="217"/>
      <c r="C115" s="217"/>
      <c r="D115" s="217"/>
      <c r="E115" s="217"/>
      <c r="F115" s="217"/>
    </row>
    <row r="116" spans="1:6" x14ac:dyDescent="0.25">
      <c r="A116" s="217"/>
      <c r="B116" s="217"/>
      <c r="C116" s="217"/>
      <c r="D116" s="217"/>
      <c r="E116" s="217"/>
      <c r="F116" s="217"/>
    </row>
    <row r="117" spans="1:6" x14ac:dyDescent="0.25">
      <c r="A117" s="215"/>
      <c r="B117" s="215"/>
      <c r="C117" s="215"/>
      <c r="D117" s="215"/>
      <c r="E117" s="215"/>
      <c r="F117" s="215"/>
    </row>
    <row r="118" spans="1:6" ht="109.9" customHeight="1" x14ac:dyDescent="0.25">
      <c r="A118" s="208" t="s">
        <v>253</v>
      </c>
      <c r="B118" s="209"/>
      <c r="C118" s="209"/>
      <c r="D118" s="209"/>
      <c r="E118" s="209"/>
      <c r="F118" s="209"/>
    </row>
    <row r="119" spans="1:6" ht="104.45" customHeight="1" x14ac:dyDescent="0.25">
      <c r="A119" s="209"/>
      <c r="B119" s="209"/>
      <c r="C119" s="209"/>
      <c r="D119" s="209"/>
      <c r="E119" s="209"/>
      <c r="F119" s="209"/>
    </row>
    <row r="120" spans="1:6" ht="91.5" customHeight="1" x14ac:dyDescent="0.25">
      <c r="A120" s="208" t="s">
        <v>270</v>
      </c>
      <c r="B120" s="209"/>
      <c r="C120" s="209"/>
      <c r="D120" s="209"/>
      <c r="E120" s="209"/>
      <c r="F120" s="209"/>
    </row>
    <row r="121" spans="1:6" x14ac:dyDescent="0.25">
      <c r="A121" s="215"/>
      <c r="B121" s="215"/>
      <c r="C121" s="215"/>
      <c r="D121" s="215"/>
      <c r="E121" s="215"/>
      <c r="F121" s="215"/>
    </row>
    <row r="122" spans="1:6" ht="99.6" customHeight="1" x14ac:dyDescent="0.25">
      <c r="A122" s="208" t="s">
        <v>259</v>
      </c>
      <c r="B122" s="209"/>
      <c r="C122" s="209"/>
      <c r="D122" s="209"/>
      <c r="E122" s="209"/>
      <c r="F122" s="209"/>
    </row>
    <row r="123" spans="1:6" ht="111" customHeight="1" x14ac:dyDescent="0.25">
      <c r="A123" s="209"/>
      <c r="B123" s="209"/>
      <c r="C123" s="209"/>
      <c r="D123" s="209"/>
      <c r="E123" s="209"/>
      <c r="F123" s="209"/>
    </row>
    <row r="124" spans="1:6" x14ac:dyDescent="0.25">
      <c r="A124" s="215"/>
      <c r="B124" s="215"/>
      <c r="C124" s="215"/>
      <c r="D124" s="215"/>
      <c r="E124" s="215"/>
      <c r="F124" s="215"/>
    </row>
    <row r="125" spans="1:6" ht="138.75" customHeight="1" x14ac:dyDescent="0.25">
      <c r="A125" s="208" t="s">
        <v>75</v>
      </c>
      <c r="B125" s="209"/>
      <c r="C125" s="209"/>
      <c r="D125" s="209"/>
      <c r="E125" s="209"/>
      <c r="F125" s="209"/>
    </row>
    <row r="126" spans="1:6" ht="152.25" customHeight="1" x14ac:dyDescent="0.25">
      <c r="A126" s="209"/>
      <c r="B126" s="209"/>
      <c r="C126" s="209"/>
      <c r="D126" s="209"/>
      <c r="E126" s="209"/>
      <c r="F126" s="209"/>
    </row>
    <row r="127" spans="1:6" x14ac:dyDescent="0.25">
      <c r="A127" s="215"/>
      <c r="B127" s="215"/>
      <c r="C127" s="215"/>
      <c r="D127" s="215"/>
      <c r="E127" s="215"/>
      <c r="F127" s="215"/>
    </row>
    <row r="128" spans="1:6" ht="57" customHeight="1" x14ac:dyDescent="0.25">
      <c r="A128" s="208" t="s">
        <v>76</v>
      </c>
      <c r="B128" s="209"/>
      <c r="C128" s="209"/>
      <c r="D128" s="209"/>
      <c r="E128" s="209"/>
      <c r="F128" s="209"/>
    </row>
    <row r="129" spans="1:6" ht="98.25" customHeight="1" x14ac:dyDescent="0.25">
      <c r="A129" s="209"/>
      <c r="B129" s="209"/>
      <c r="C129" s="209"/>
      <c r="D129" s="209"/>
      <c r="E129" s="209"/>
      <c r="F129" s="209"/>
    </row>
    <row r="130" spans="1:6" x14ac:dyDescent="0.25">
      <c r="A130" s="215"/>
      <c r="B130" s="215"/>
      <c r="C130" s="215"/>
      <c r="D130" s="215"/>
      <c r="E130" s="215"/>
      <c r="F130" s="215"/>
    </row>
    <row r="131" spans="1:6" ht="93" customHeight="1" x14ac:dyDescent="0.25">
      <c r="A131" s="208" t="s">
        <v>250</v>
      </c>
      <c r="B131" s="209"/>
      <c r="C131" s="209"/>
      <c r="D131" s="209"/>
      <c r="E131" s="209"/>
      <c r="F131" s="209"/>
    </row>
    <row r="132" spans="1:6" ht="132.6" customHeight="1" x14ac:dyDescent="0.25">
      <c r="A132" s="209"/>
      <c r="B132" s="209"/>
      <c r="C132" s="209"/>
      <c r="D132" s="209"/>
      <c r="E132" s="209"/>
      <c r="F132" s="209"/>
    </row>
    <row r="133" spans="1:6" x14ac:dyDescent="0.25">
      <c r="A133" s="215"/>
      <c r="B133" s="215"/>
      <c r="C133" s="215"/>
      <c r="D133" s="215"/>
      <c r="E133" s="215"/>
      <c r="F133" s="215"/>
    </row>
    <row r="134" spans="1:6" ht="54" customHeight="1" x14ac:dyDescent="0.25">
      <c r="A134" s="209" t="s">
        <v>77</v>
      </c>
      <c r="B134" s="209"/>
      <c r="C134" s="209"/>
      <c r="D134" s="209"/>
      <c r="E134" s="209"/>
      <c r="F134" s="209"/>
    </row>
    <row r="135" spans="1:6" ht="55.5" customHeight="1" x14ac:dyDescent="0.25">
      <c r="A135" s="209"/>
      <c r="B135" s="209"/>
      <c r="C135" s="209"/>
      <c r="D135" s="209"/>
      <c r="E135" s="209"/>
      <c r="F135" s="209"/>
    </row>
    <row r="136" spans="1:6" x14ac:dyDescent="0.25">
      <c r="A136" s="209"/>
      <c r="B136" s="209"/>
      <c r="C136" s="209"/>
      <c r="D136" s="209"/>
      <c r="E136" s="209"/>
      <c r="F136" s="209"/>
    </row>
    <row r="137" spans="1:6" ht="44.45" customHeight="1" x14ac:dyDescent="0.25">
      <c r="A137" s="209" t="s">
        <v>78</v>
      </c>
      <c r="B137" s="209"/>
      <c r="C137" s="209"/>
      <c r="D137" s="209"/>
      <c r="E137" s="209"/>
      <c r="F137" s="209"/>
    </row>
    <row r="138" spans="1:6" ht="66.75" customHeight="1" x14ac:dyDescent="0.25">
      <c r="A138" s="209"/>
      <c r="B138" s="209"/>
      <c r="C138" s="209"/>
      <c r="D138" s="209"/>
      <c r="E138" s="209"/>
      <c r="F138" s="209"/>
    </row>
    <row r="139" spans="1:6" x14ac:dyDescent="0.25">
      <c r="A139" s="209"/>
      <c r="B139" s="209"/>
      <c r="C139" s="209"/>
      <c r="D139" s="209"/>
      <c r="E139" s="209"/>
      <c r="F139" s="209"/>
    </row>
    <row r="140" spans="1:6" x14ac:dyDescent="0.25">
      <c r="A140" s="209" t="s">
        <v>79</v>
      </c>
      <c r="B140" s="209"/>
      <c r="C140" s="209"/>
      <c r="D140" s="209"/>
      <c r="E140" s="209"/>
      <c r="F140" s="209"/>
    </row>
    <row r="141" spans="1:6" ht="51.75" customHeight="1" x14ac:dyDescent="0.25">
      <c r="A141" s="209"/>
      <c r="B141" s="209"/>
      <c r="C141" s="209"/>
      <c r="D141" s="209"/>
      <c r="E141" s="209"/>
      <c r="F141" s="209"/>
    </row>
    <row r="142" spans="1:6" x14ac:dyDescent="0.25">
      <c r="A142" s="209"/>
      <c r="B142" s="209"/>
      <c r="C142" s="209"/>
      <c r="D142" s="209"/>
      <c r="E142" s="209"/>
      <c r="F142" s="209"/>
    </row>
    <row r="143" spans="1:6" ht="23.45" customHeight="1" x14ac:dyDescent="0.25">
      <c r="A143" s="209" t="s">
        <v>80</v>
      </c>
      <c r="B143" s="209"/>
      <c r="C143" s="209"/>
      <c r="D143" s="209"/>
      <c r="E143" s="209"/>
      <c r="F143" s="209"/>
    </row>
    <row r="144" spans="1:6" ht="44.25" customHeight="1" x14ac:dyDescent="0.25">
      <c r="A144" s="209"/>
      <c r="B144" s="209"/>
      <c r="C144" s="209"/>
      <c r="D144" s="209"/>
      <c r="E144" s="209"/>
      <c r="F144" s="209"/>
    </row>
    <row r="145" spans="1:6" x14ac:dyDescent="0.25">
      <c r="A145" s="209"/>
      <c r="B145" s="209"/>
      <c r="C145" s="209"/>
      <c r="D145" s="209"/>
      <c r="E145" s="209"/>
      <c r="F145" s="209"/>
    </row>
    <row r="146" spans="1:6" ht="31.15" customHeight="1" x14ac:dyDescent="0.25">
      <c r="A146" s="209" t="s">
        <v>81</v>
      </c>
      <c r="B146" s="209"/>
      <c r="C146" s="209"/>
      <c r="D146" s="209"/>
      <c r="E146" s="209"/>
      <c r="F146" s="209"/>
    </row>
    <row r="147" spans="1:6" ht="17.25" customHeight="1" x14ac:dyDescent="0.25">
      <c r="A147" s="209"/>
      <c r="B147" s="209"/>
      <c r="C147" s="209"/>
      <c r="D147" s="209"/>
      <c r="E147" s="209"/>
      <c r="F147" s="209"/>
    </row>
    <row r="148" spans="1:6" x14ac:dyDescent="0.25">
      <c r="A148" s="209"/>
      <c r="B148" s="209"/>
      <c r="C148" s="209"/>
      <c r="D148" s="209"/>
      <c r="E148" s="209"/>
      <c r="F148" s="209"/>
    </row>
    <row r="149" spans="1:6" ht="28.15" customHeight="1" x14ac:dyDescent="0.25">
      <c r="A149" s="209" t="s">
        <v>82</v>
      </c>
      <c r="B149" s="209"/>
      <c r="C149" s="209"/>
      <c r="D149" s="209"/>
      <c r="E149" s="209"/>
      <c r="F149" s="209"/>
    </row>
    <row r="150" spans="1:6" ht="25.9" customHeight="1" x14ac:dyDescent="0.25">
      <c r="A150" s="209"/>
      <c r="B150" s="209"/>
      <c r="C150" s="209"/>
      <c r="D150" s="209"/>
      <c r="E150" s="209"/>
      <c r="F150" s="209"/>
    </row>
    <row r="151" spans="1:6" x14ac:dyDescent="0.25">
      <c r="A151" s="209"/>
      <c r="B151" s="209"/>
      <c r="C151" s="209"/>
      <c r="D151" s="209"/>
      <c r="E151" s="209"/>
      <c r="F151" s="209"/>
    </row>
    <row r="152" spans="1:6" ht="19.149999999999999" customHeight="1" x14ac:dyDescent="0.25">
      <c r="A152" s="209" t="s">
        <v>83</v>
      </c>
      <c r="B152" s="209"/>
      <c r="C152" s="209"/>
      <c r="D152" s="209"/>
      <c r="E152" s="209"/>
      <c r="F152" s="209"/>
    </row>
    <row r="153" spans="1:6" x14ac:dyDescent="0.25">
      <c r="A153" s="209"/>
      <c r="B153" s="209"/>
      <c r="C153" s="209"/>
      <c r="D153" s="209"/>
      <c r="E153" s="209"/>
      <c r="F153" s="209"/>
    </row>
    <row r="154" spans="1:6" x14ac:dyDescent="0.25">
      <c r="A154" s="209"/>
      <c r="B154" s="209"/>
      <c r="C154" s="209"/>
      <c r="D154" s="209"/>
      <c r="E154" s="209"/>
      <c r="F154" s="209"/>
    </row>
    <row r="155" spans="1:6" ht="16.149999999999999" customHeight="1" x14ac:dyDescent="0.25">
      <c r="A155" s="209" t="s">
        <v>84</v>
      </c>
      <c r="B155" s="209"/>
      <c r="C155" s="209"/>
      <c r="D155" s="209"/>
      <c r="E155" s="209"/>
      <c r="F155" s="209"/>
    </row>
    <row r="156" spans="1:6" x14ac:dyDescent="0.25">
      <c r="A156" s="209"/>
      <c r="B156" s="209"/>
      <c r="C156" s="209"/>
      <c r="D156" s="209"/>
      <c r="E156" s="209"/>
      <c r="F156" s="209"/>
    </row>
    <row r="157" spans="1:6" x14ac:dyDescent="0.25">
      <c r="A157" s="215"/>
      <c r="B157" s="215"/>
      <c r="C157" s="215"/>
      <c r="D157" s="215"/>
      <c r="E157" s="215"/>
      <c r="F157" s="215"/>
    </row>
    <row r="158" spans="1:6" x14ac:dyDescent="0.25">
      <c r="A158" s="216" t="s">
        <v>85</v>
      </c>
      <c r="B158" s="217"/>
      <c r="C158" s="217"/>
      <c r="D158" s="217"/>
      <c r="E158" s="217"/>
      <c r="F158" s="217"/>
    </row>
    <row r="159" spans="1:6" x14ac:dyDescent="0.25">
      <c r="A159" s="217"/>
      <c r="B159" s="217"/>
      <c r="C159" s="217"/>
      <c r="D159" s="217"/>
      <c r="E159" s="217"/>
      <c r="F159" s="217"/>
    </row>
    <row r="160" spans="1:6" x14ac:dyDescent="0.25">
      <c r="A160" s="215"/>
      <c r="B160" s="215"/>
      <c r="C160" s="215"/>
      <c r="D160" s="215"/>
      <c r="E160" s="215"/>
      <c r="F160" s="215"/>
    </row>
    <row r="161" spans="1:6" ht="66.75" customHeight="1" x14ac:dyDescent="0.25">
      <c r="A161" s="208" t="s">
        <v>272</v>
      </c>
      <c r="B161" s="209"/>
      <c r="C161" s="209"/>
      <c r="D161" s="209"/>
      <c r="E161" s="209"/>
      <c r="F161" s="209"/>
    </row>
    <row r="162" spans="1:6" x14ac:dyDescent="0.25">
      <c r="A162" s="208" t="s">
        <v>271</v>
      </c>
      <c r="B162" s="209"/>
      <c r="C162" s="209"/>
      <c r="D162" s="209"/>
      <c r="E162" s="209"/>
      <c r="F162" s="209"/>
    </row>
    <row r="163" spans="1:6" ht="62.25" customHeight="1" x14ac:dyDescent="0.25">
      <c r="A163" s="209"/>
      <c r="B163" s="209"/>
      <c r="C163" s="209"/>
      <c r="D163" s="209"/>
      <c r="E163" s="209"/>
      <c r="F163" s="209"/>
    </row>
    <row r="164" spans="1:6" x14ac:dyDescent="0.25">
      <c r="A164" s="215"/>
      <c r="B164" s="215"/>
      <c r="C164" s="215"/>
      <c r="D164" s="215"/>
      <c r="E164" s="215"/>
      <c r="F164" s="215"/>
    </row>
    <row r="165" spans="1:6" ht="70.900000000000006" customHeight="1" x14ac:dyDescent="0.25">
      <c r="A165" s="209" t="s">
        <v>86</v>
      </c>
      <c r="B165" s="209"/>
      <c r="C165" s="209"/>
      <c r="D165" s="209"/>
      <c r="E165" s="209"/>
      <c r="F165" s="209"/>
    </row>
    <row r="166" spans="1:6" ht="64.900000000000006" customHeight="1" x14ac:dyDescent="0.25">
      <c r="A166" s="209"/>
      <c r="B166" s="209"/>
      <c r="C166" s="209"/>
      <c r="D166" s="209"/>
      <c r="E166" s="209"/>
      <c r="F166" s="209"/>
    </row>
    <row r="167" spans="1:6" x14ac:dyDescent="0.25">
      <c r="A167" s="215"/>
      <c r="B167" s="215"/>
      <c r="C167" s="215"/>
      <c r="D167" s="215"/>
      <c r="E167" s="215"/>
      <c r="F167" s="215"/>
    </row>
    <row r="168" spans="1:6" ht="52.15" customHeight="1" x14ac:dyDescent="0.25">
      <c r="A168" s="209" t="s">
        <v>87</v>
      </c>
      <c r="B168" s="209"/>
      <c r="C168" s="209"/>
      <c r="D168" s="209"/>
      <c r="E168" s="209"/>
      <c r="F168" s="209"/>
    </row>
    <row r="169" spans="1:6" ht="46.9" customHeight="1" x14ac:dyDescent="0.25">
      <c r="A169" s="209"/>
      <c r="B169" s="209"/>
      <c r="C169" s="209"/>
      <c r="D169" s="209"/>
      <c r="E169" s="209"/>
      <c r="F169" s="209"/>
    </row>
    <row r="170" spans="1:6" x14ac:dyDescent="0.25">
      <c r="A170" s="215"/>
      <c r="B170" s="215"/>
      <c r="C170" s="215"/>
      <c r="D170" s="215"/>
      <c r="E170" s="215"/>
      <c r="F170" s="215"/>
    </row>
    <row r="171" spans="1:6" x14ac:dyDescent="0.25">
      <c r="A171" s="216" t="s">
        <v>88</v>
      </c>
      <c r="B171" s="217"/>
      <c r="C171" s="217"/>
      <c r="D171" s="217"/>
      <c r="E171" s="217"/>
      <c r="F171" s="217"/>
    </row>
    <row r="172" spans="1:6" x14ac:dyDescent="0.25">
      <c r="A172" s="217"/>
      <c r="B172" s="217"/>
      <c r="C172" s="217"/>
      <c r="D172" s="217"/>
      <c r="E172" s="217"/>
      <c r="F172" s="217"/>
    </row>
    <row r="173" spans="1:6" x14ac:dyDescent="0.25">
      <c r="A173" s="215"/>
      <c r="B173" s="215"/>
      <c r="C173" s="215"/>
      <c r="D173" s="215"/>
      <c r="E173" s="215"/>
      <c r="F173" s="215"/>
    </row>
    <row r="174" spans="1:6" x14ac:dyDescent="0.25">
      <c r="A174" s="208" t="s">
        <v>89</v>
      </c>
      <c r="B174" s="209"/>
      <c r="C174" s="209"/>
      <c r="D174" s="209"/>
      <c r="E174" s="209"/>
      <c r="F174" s="209"/>
    </row>
    <row r="175" spans="1:6" x14ac:dyDescent="0.25">
      <c r="A175" s="209"/>
      <c r="B175" s="209"/>
      <c r="C175" s="209"/>
      <c r="D175" s="209"/>
      <c r="E175" s="209"/>
      <c r="F175" s="209"/>
    </row>
    <row r="176" spans="1:6" ht="35.25" customHeight="1" x14ac:dyDescent="0.25">
      <c r="A176" s="208" t="s">
        <v>321</v>
      </c>
      <c r="B176" s="209"/>
      <c r="C176" s="209"/>
      <c r="D176" s="209"/>
      <c r="E176" s="209"/>
      <c r="F176" s="209"/>
    </row>
    <row r="177" spans="1:6" ht="63.75" customHeight="1" x14ac:dyDescent="0.25">
      <c r="A177" s="208" t="s">
        <v>322</v>
      </c>
      <c r="B177" s="209"/>
      <c r="C177" s="209"/>
      <c r="D177" s="209"/>
      <c r="E177" s="209"/>
      <c r="F177" s="209"/>
    </row>
    <row r="178" spans="1:6" ht="70.5" customHeight="1" x14ac:dyDescent="0.25">
      <c r="A178" s="208" t="s">
        <v>463</v>
      </c>
      <c r="B178" s="209"/>
      <c r="C178" s="209"/>
      <c r="D178" s="209"/>
      <c r="E178" s="209"/>
      <c r="F178" s="209"/>
    </row>
    <row r="179" spans="1:6" x14ac:dyDescent="0.25">
      <c r="A179" s="215"/>
      <c r="B179" s="215"/>
      <c r="C179" s="215"/>
      <c r="D179" s="215"/>
      <c r="E179" s="215"/>
      <c r="F179" s="215"/>
    </row>
    <row r="180" spans="1:6" x14ac:dyDescent="0.25">
      <c r="A180" s="216" t="s">
        <v>90</v>
      </c>
      <c r="B180" s="217"/>
      <c r="C180" s="217"/>
      <c r="D180" s="217"/>
      <c r="E180" s="217"/>
      <c r="F180" s="217"/>
    </row>
    <row r="181" spans="1:6" x14ac:dyDescent="0.25">
      <c r="A181" s="217"/>
      <c r="B181" s="217"/>
      <c r="C181" s="217"/>
      <c r="D181" s="217"/>
      <c r="E181" s="217"/>
      <c r="F181" s="217"/>
    </row>
    <row r="182" spans="1:6" x14ac:dyDescent="0.25">
      <c r="A182" s="224"/>
      <c r="B182" s="224"/>
      <c r="C182" s="224"/>
      <c r="D182" s="224"/>
      <c r="E182" s="224"/>
      <c r="F182" s="224"/>
    </row>
    <row r="183" spans="1:6" ht="48" customHeight="1" x14ac:dyDescent="0.25">
      <c r="A183" s="222" t="s">
        <v>273</v>
      </c>
      <c r="B183" s="222"/>
      <c r="C183" s="222"/>
      <c r="D183" s="222"/>
      <c r="E183" s="222"/>
      <c r="F183" s="222"/>
    </row>
    <row r="184" spans="1:6" ht="68.25" customHeight="1" x14ac:dyDescent="0.25">
      <c r="A184" s="222" t="s">
        <v>274</v>
      </c>
      <c r="B184" s="222"/>
      <c r="C184" s="222"/>
      <c r="D184" s="222"/>
      <c r="E184" s="222"/>
      <c r="F184" s="222"/>
    </row>
    <row r="185" spans="1:6" ht="96" customHeight="1" x14ac:dyDescent="0.25">
      <c r="A185" s="222" t="s">
        <v>275</v>
      </c>
      <c r="B185" s="222"/>
      <c r="C185" s="222"/>
      <c r="D185" s="222"/>
      <c r="E185" s="222"/>
      <c r="F185" s="222"/>
    </row>
    <row r="186" spans="1:6" ht="112.5" customHeight="1" x14ac:dyDescent="0.25">
      <c r="A186" s="223" t="s">
        <v>302</v>
      </c>
      <c r="B186" s="222"/>
      <c r="C186" s="222"/>
      <c r="D186" s="222"/>
      <c r="E186" s="222"/>
      <c r="F186" s="222"/>
    </row>
    <row r="187" spans="1:6" ht="94.5" customHeight="1" x14ac:dyDescent="0.25">
      <c r="A187" s="223" t="s">
        <v>276</v>
      </c>
      <c r="B187" s="222"/>
      <c r="C187" s="222"/>
      <c r="D187" s="222"/>
      <c r="E187" s="222"/>
      <c r="F187" s="222"/>
    </row>
    <row r="188" spans="1:6" ht="52.5" customHeight="1" x14ac:dyDescent="0.25">
      <c r="A188" s="223" t="s">
        <v>277</v>
      </c>
      <c r="B188" s="222"/>
      <c r="C188" s="222"/>
      <c r="D188" s="222"/>
      <c r="E188" s="222"/>
      <c r="F188" s="222"/>
    </row>
    <row r="189" spans="1:6" ht="52.5" customHeight="1" x14ac:dyDescent="0.25">
      <c r="A189" s="221" t="s">
        <v>278</v>
      </c>
      <c r="B189" s="221"/>
      <c r="C189" s="221"/>
      <c r="D189" s="221"/>
      <c r="E189" s="221"/>
      <c r="F189" s="221"/>
    </row>
    <row r="190" spans="1:6" ht="52.5" customHeight="1" x14ac:dyDescent="0.25">
      <c r="A190" s="221" t="s">
        <v>279</v>
      </c>
      <c r="B190" s="221"/>
      <c r="C190" s="221"/>
      <c r="D190" s="221"/>
      <c r="E190" s="221"/>
      <c r="F190" s="221"/>
    </row>
    <row r="191" spans="1:6" x14ac:dyDescent="0.25">
      <c r="A191" s="215"/>
      <c r="B191" s="215"/>
      <c r="C191" s="215"/>
      <c r="D191" s="215"/>
      <c r="E191" s="215"/>
      <c r="F191" s="215"/>
    </row>
    <row r="192" spans="1:6" ht="45.6" customHeight="1" x14ac:dyDescent="0.25">
      <c r="A192" s="223" t="s">
        <v>93</v>
      </c>
      <c r="B192" s="222"/>
      <c r="C192" s="222"/>
      <c r="D192" s="222"/>
      <c r="E192" s="222"/>
      <c r="F192" s="222"/>
    </row>
    <row r="193" spans="1:6" ht="68.25" customHeight="1" x14ac:dyDescent="0.25">
      <c r="A193" s="222"/>
      <c r="B193" s="222"/>
      <c r="C193" s="222"/>
      <c r="D193" s="222"/>
      <c r="E193" s="222"/>
      <c r="F193" s="222"/>
    </row>
    <row r="194" spans="1:6" x14ac:dyDescent="0.25">
      <c r="A194" s="228"/>
      <c r="B194" s="228"/>
      <c r="C194" s="228"/>
      <c r="D194" s="228"/>
      <c r="E194" s="228"/>
      <c r="F194" s="228"/>
    </row>
    <row r="195" spans="1:6" ht="31.15" customHeight="1" x14ac:dyDescent="0.25">
      <c r="A195" s="222" t="s">
        <v>92</v>
      </c>
      <c r="B195" s="222"/>
      <c r="C195" s="222"/>
      <c r="D195" s="222"/>
      <c r="E195" s="222"/>
      <c r="F195" s="222"/>
    </row>
    <row r="196" spans="1:6" ht="34.9" customHeight="1" x14ac:dyDescent="0.25">
      <c r="A196" s="222"/>
      <c r="B196" s="222"/>
      <c r="C196" s="222"/>
      <c r="D196" s="222"/>
      <c r="E196" s="222"/>
      <c r="F196" s="222"/>
    </row>
    <row r="197" spans="1:6" x14ac:dyDescent="0.25">
      <c r="A197" s="228"/>
      <c r="B197" s="228"/>
      <c r="C197" s="228"/>
      <c r="D197" s="228"/>
      <c r="E197" s="228"/>
      <c r="F197" s="228"/>
    </row>
    <row r="198" spans="1:6" ht="24.6" customHeight="1" x14ac:dyDescent="0.25">
      <c r="A198" s="222" t="s">
        <v>91</v>
      </c>
      <c r="B198" s="222"/>
      <c r="C198" s="222"/>
      <c r="D198" s="222"/>
      <c r="E198" s="222"/>
      <c r="F198" s="222"/>
    </row>
    <row r="199" spans="1:6" ht="39.75" customHeight="1" x14ac:dyDescent="0.25">
      <c r="A199" s="222"/>
      <c r="B199" s="222"/>
      <c r="C199" s="222"/>
      <c r="D199" s="222"/>
      <c r="E199" s="222"/>
      <c r="F199" s="222"/>
    </row>
    <row r="200" spans="1:6" ht="67.5" customHeight="1" x14ac:dyDescent="0.25">
      <c r="A200" s="221" t="s">
        <v>303</v>
      </c>
      <c r="B200" s="221"/>
      <c r="C200" s="221"/>
      <c r="D200" s="221"/>
      <c r="E200" s="221"/>
      <c r="F200" s="221"/>
    </row>
    <row r="201" spans="1:6" ht="81.75" customHeight="1" x14ac:dyDescent="0.25">
      <c r="A201" s="221" t="s">
        <v>280</v>
      </c>
      <c r="B201" s="221"/>
      <c r="C201" s="221"/>
      <c r="D201" s="221"/>
      <c r="E201" s="221"/>
      <c r="F201" s="221"/>
    </row>
    <row r="202" spans="1:6" ht="61.5" customHeight="1" x14ac:dyDescent="0.25">
      <c r="A202" s="221" t="s">
        <v>281</v>
      </c>
      <c r="B202" s="221"/>
      <c r="C202" s="221"/>
      <c r="D202" s="221"/>
      <c r="E202" s="221"/>
      <c r="F202" s="221"/>
    </row>
    <row r="203" spans="1:6" ht="51.75" customHeight="1" x14ac:dyDescent="0.25">
      <c r="A203" s="221" t="s">
        <v>282</v>
      </c>
      <c r="B203" s="221"/>
      <c r="C203" s="221"/>
      <c r="D203" s="221"/>
      <c r="E203" s="221"/>
      <c r="F203" s="221"/>
    </row>
    <row r="204" spans="1:6" ht="61.5" customHeight="1" x14ac:dyDescent="0.25">
      <c r="A204" s="221" t="s">
        <v>283</v>
      </c>
      <c r="B204" s="221"/>
      <c r="C204" s="221"/>
      <c r="D204" s="221"/>
      <c r="E204" s="221"/>
      <c r="F204" s="221"/>
    </row>
    <row r="205" spans="1:6" ht="36.75" customHeight="1" x14ac:dyDescent="0.25">
      <c r="A205" s="221" t="s">
        <v>284</v>
      </c>
      <c r="B205" s="221"/>
      <c r="C205" s="221"/>
      <c r="D205" s="221"/>
      <c r="E205" s="221"/>
      <c r="F205" s="221"/>
    </row>
    <row r="206" spans="1:6" x14ac:dyDescent="0.25">
      <c r="A206" s="215"/>
      <c r="B206" s="215"/>
      <c r="C206" s="215"/>
      <c r="D206" s="215"/>
      <c r="E206" s="215"/>
      <c r="F206" s="215"/>
    </row>
    <row r="207" spans="1:6" x14ac:dyDescent="0.25">
      <c r="A207" s="216" t="s">
        <v>94</v>
      </c>
      <c r="B207" s="217"/>
      <c r="C207" s="217"/>
      <c r="D207" s="217"/>
      <c r="E207" s="217"/>
      <c r="F207" s="217"/>
    </row>
    <row r="208" spans="1:6" x14ac:dyDescent="0.25">
      <c r="A208" s="217"/>
      <c r="B208" s="217"/>
      <c r="C208" s="217"/>
      <c r="D208" s="217"/>
      <c r="E208" s="217"/>
      <c r="F208" s="217"/>
    </row>
    <row r="209" spans="1:6" x14ac:dyDescent="0.25">
      <c r="A209" s="215"/>
      <c r="B209" s="215"/>
      <c r="C209" s="215"/>
      <c r="D209" s="215"/>
      <c r="E209" s="215"/>
      <c r="F209" s="215"/>
    </row>
    <row r="210" spans="1:6" ht="87" customHeight="1" x14ac:dyDescent="0.25">
      <c r="A210" s="210" t="s">
        <v>285</v>
      </c>
      <c r="B210" s="210"/>
      <c r="C210" s="210"/>
      <c r="D210" s="210"/>
      <c r="E210" s="210"/>
      <c r="F210" s="210"/>
    </row>
    <row r="211" spans="1:6" ht="80.25" customHeight="1" x14ac:dyDescent="0.25">
      <c r="A211" s="208" t="s">
        <v>286</v>
      </c>
      <c r="B211" s="209"/>
      <c r="C211" s="209"/>
      <c r="D211" s="209"/>
      <c r="E211" s="209"/>
      <c r="F211" s="209"/>
    </row>
    <row r="212" spans="1:6" ht="69" customHeight="1" x14ac:dyDescent="0.25">
      <c r="A212" s="210" t="s">
        <v>287</v>
      </c>
      <c r="B212" s="210"/>
      <c r="C212" s="210"/>
      <c r="D212" s="210"/>
      <c r="E212" s="210"/>
      <c r="F212" s="210"/>
    </row>
    <row r="213" spans="1:6" ht="79.5" customHeight="1" x14ac:dyDescent="0.25">
      <c r="A213" s="210" t="s">
        <v>288</v>
      </c>
      <c r="B213" s="210"/>
      <c r="C213" s="210"/>
      <c r="D213" s="210"/>
      <c r="E213" s="210"/>
      <c r="F213" s="210"/>
    </row>
    <row r="214" spans="1:6" ht="114.75" customHeight="1" x14ac:dyDescent="0.25">
      <c r="A214" s="210" t="s">
        <v>289</v>
      </c>
      <c r="B214" s="210"/>
      <c r="C214" s="210"/>
      <c r="D214" s="210"/>
      <c r="E214" s="210"/>
      <c r="F214" s="210"/>
    </row>
    <row r="215" spans="1:6" ht="92.45" customHeight="1" x14ac:dyDescent="0.25">
      <c r="A215" s="208" t="s">
        <v>95</v>
      </c>
      <c r="B215" s="209"/>
      <c r="C215" s="209"/>
      <c r="D215" s="209"/>
      <c r="E215" s="209"/>
      <c r="F215" s="209"/>
    </row>
    <row r="216" spans="1:6" ht="122.25" customHeight="1" x14ac:dyDescent="0.25">
      <c r="A216" s="209"/>
      <c r="B216" s="209"/>
      <c r="C216" s="209"/>
      <c r="D216" s="209"/>
      <c r="E216" s="209"/>
      <c r="F216" s="209"/>
    </row>
    <row r="217" spans="1:6" x14ac:dyDescent="0.25">
      <c r="A217" s="215"/>
      <c r="B217" s="215"/>
      <c r="C217" s="215"/>
      <c r="D217" s="215"/>
      <c r="E217" s="215"/>
      <c r="F217" s="215"/>
    </row>
    <row r="218" spans="1:6" ht="156.75" customHeight="1" x14ac:dyDescent="0.25">
      <c r="A218" s="210" t="s">
        <v>292</v>
      </c>
      <c r="B218" s="214"/>
      <c r="C218" s="214"/>
      <c r="D218" s="214"/>
      <c r="E218" s="214"/>
      <c r="F218" s="214"/>
    </row>
    <row r="219" spans="1:6" ht="49.5" customHeight="1" x14ac:dyDescent="0.25">
      <c r="A219" s="210" t="s">
        <v>290</v>
      </c>
      <c r="B219" s="210"/>
      <c r="C219" s="210"/>
      <c r="D219" s="210"/>
      <c r="E219" s="210"/>
      <c r="F219" s="210"/>
    </row>
    <row r="220" spans="1:6" x14ac:dyDescent="0.25">
      <c r="A220" s="215"/>
      <c r="B220" s="215"/>
      <c r="C220" s="215"/>
      <c r="D220" s="215"/>
      <c r="E220" s="215"/>
      <c r="F220" s="215"/>
    </row>
    <row r="221" spans="1:6" ht="70.150000000000006" customHeight="1" x14ac:dyDescent="0.25">
      <c r="A221" s="208" t="s">
        <v>96</v>
      </c>
      <c r="B221" s="209"/>
      <c r="C221" s="209"/>
      <c r="D221" s="209"/>
      <c r="E221" s="209"/>
      <c r="F221" s="209"/>
    </row>
    <row r="222" spans="1:6" ht="70.5" customHeight="1" x14ac:dyDescent="0.25">
      <c r="A222" s="209"/>
      <c r="B222" s="209"/>
      <c r="C222" s="209"/>
      <c r="D222" s="209"/>
      <c r="E222" s="209"/>
      <c r="F222" s="209"/>
    </row>
    <row r="223" spans="1:6" x14ac:dyDescent="0.25">
      <c r="A223" s="215"/>
      <c r="B223" s="215"/>
      <c r="C223" s="215"/>
      <c r="D223" s="215"/>
      <c r="E223" s="215"/>
      <c r="F223" s="215"/>
    </row>
    <row r="224" spans="1:6" ht="56.45" customHeight="1" x14ac:dyDescent="0.25">
      <c r="A224" s="208" t="s">
        <v>291</v>
      </c>
      <c r="B224" s="209"/>
      <c r="C224" s="209"/>
      <c r="D224" s="209"/>
      <c r="E224" s="209"/>
      <c r="F224" s="209"/>
    </row>
    <row r="225" spans="1:6" ht="117" customHeight="1" x14ac:dyDescent="0.25">
      <c r="A225" s="209"/>
      <c r="B225" s="209"/>
      <c r="C225" s="209"/>
      <c r="D225" s="209"/>
      <c r="E225" s="209"/>
      <c r="F225" s="209"/>
    </row>
    <row r="226" spans="1:6" ht="127.5" customHeight="1" x14ac:dyDescent="0.25">
      <c r="A226" s="208" t="s">
        <v>297</v>
      </c>
      <c r="B226" s="209"/>
      <c r="C226" s="209"/>
      <c r="D226" s="209"/>
      <c r="E226" s="209"/>
      <c r="F226" s="209"/>
    </row>
    <row r="227" spans="1:6" ht="126.75" customHeight="1" x14ac:dyDescent="0.25">
      <c r="A227" s="208" t="s">
        <v>298</v>
      </c>
      <c r="B227" s="209"/>
      <c r="C227" s="209"/>
      <c r="D227" s="209"/>
      <c r="E227" s="209"/>
      <c r="F227" s="209"/>
    </row>
    <row r="228" spans="1:6" ht="141.75" customHeight="1" x14ac:dyDescent="0.25">
      <c r="A228" s="208" t="s">
        <v>293</v>
      </c>
      <c r="B228" s="209"/>
      <c r="C228" s="209"/>
      <c r="D228" s="209"/>
      <c r="E228" s="209"/>
      <c r="F228" s="209"/>
    </row>
    <row r="229" spans="1:6" ht="144" customHeight="1" x14ac:dyDescent="0.25">
      <c r="A229" s="208" t="s">
        <v>294</v>
      </c>
      <c r="B229" s="209"/>
      <c r="C229" s="209"/>
      <c r="D229" s="209"/>
      <c r="E229" s="209"/>
      <c r="F229" s="209"/>
    </row>
    <row r="230" spans="1:6" ht="141" customHeight="1" x14ac:dyDescent="0.25">
      <c r="A230" s="208" t="s">
        <v>295</v>
      </c>
      <c r="B230" s="209"/>
      <c r="C230" s="209"/>
      <c r="D230" s="209"/>
      <c r="E230" s="209"/>
      <c r="F230" s="209"/>
    </row>
    <row r="231" spans="1:6" ht="38.25" customHeight="1" x14ac:dyDescent="0.25">
      <c r="A231" s="210" t="s">
        <v>296</v>
      </c>
      <c r="B231" s="210"/>
      <c r="C231" s="210"/>
      <c r="D231" s="210"/>
      <c r="E231" s="210"/>
      <c r="F231" s="210"/>
    </row>
    <row r="232" spans="1:6" x14ac:dyDescent="0.25">
      <c r="A232" s="215"/>
      <c r="B232" s="215"/>
      <c r="C232" s="215"/>
      <c r="D232" s="215"/>
      <c r="E232" s="215"/>
      <c r="F232" s="215"/>
    </row>
    <row r="233" spans="1:6" x14ac:dyDescent="0.25">
      <c r="A233" s="226" t="s">
        <v>33</v>
      </c>
      <c r="B233" s="226"/>
      <c r="C233" s="226"/>
      <c r="D233" s="226"/>
      <c r="E233" s="226"/>
      <c r="F233" s="226"/>
    </row>
    <row r="234" spans="1:6" ht="93.75" customHeight="1" x14ac:dyDescent="0.25">
      <c r="A234" s="208" t="s">
        <v>299</v>
      </c>
      <c r="B234" s="209"/>
      <c r="C234" s="209"/>
      <c r="D234" s="209"/>
      <c r="E234" s="209"/>
      <c r="F234" s="209"/>
    </row>
    <row r="235" spans="1:6" ht="65.25" customHeight="1" x14ac:dyDescent="0.25">
      <c r="A235" s="210" t="s">
        <v>300</v>
      </c>
      <c r="B235" s="210"/>
      <c r="C235" s="210"/>
      <c r="D235" s="210"/>
      <c r="E235" s="210"/>
      <c r="F235" s="210"/>
    </row>
    <row r="236" spans="1:6" ht="65.25" customHeight="1" x14ac:dyDescent="0.25">
      <c r="A236" s="210" t="s">
        <v>301</v>
      </c>
      <c r="B236" s="210"/>
      <c r="C236" s="210"/>
      <c r="D236" s="210"/>
      <c r="E236" s="210"/>
      <c r="F236" s="210"/>
    </row>
    <row r="237" spans="1:6" x14ac:dyDescent="0.25">
      <c r="A237" s="225"/>
      <c r="B237" s="225"/>
      <c r="C237" s="225"/>
      <c r="D237" s="225"/>
      <c r="E237" s="225"/>
      <c r="F237" s="225"/>
    </row>
    <row r="238" spans="1:6" x14ac:dyDescent="0.25">
      <c r="A238" s="216" t="s">
        <v>97</v>
      </c>
      <c r="B238" s="217"/>
      <c r="C238" s="217"/>
      <c r="D238" s="217"/>
      <c r="E238" s="217"/>
      <c r="F238" s="217"/>
    </row>
    <row r="239" spans="1:6" x14ac:dyDescent="0.25">
      <c r="A239" s="217"/>
      <c r="B239" s="217"/>
      <c r="C239" s="217"/>
      <c r="D239" s="217"/>
      <c r="E239" s="217"/>
      <c r="F239" s="217"/>
    </row>
    <row r="240" spans="1:6" x14ac:dyDescent="0.25">
      <c r="A240" s="215"/>
      <c r="B240" s="215"/>
      <c r="C240" s="215"/>
      <c r="D240" s="215"/>
      <c r="E240" s="215"/>
      <c r="F240" s="215"/>
    </row>
    <row r="241" spans="1:6" ht="37.15" customHeight="1" x14ac:dyDescent="0.25">
      <c r="A241" s="208" t="s">
        <v>98</v>
      </c>
      <c r="B241" s="209"/>
      <c r="C241" s="209"/>
      <c r="D241" s="209"/>
      <c r="E241" s="209"/>
      <c r="F241" s="209"/>
    </row>
    <row r="242" spans="1:6" ht="44.45" customHeight="1" x14ac:dyDescent="0.25">
      <c r="A242" s="209"/>
      <c r="B242" s="209"/>
      <c r="C242" s="209"/>
      <c r="D242" s="209"/>
      <c r="E242" s="209"/>
      <c r="F242" s="209"/>
    </row>
    <row r="243" spans="1:6" x14ac:dyDescent="0.25">
      <c r="A243" s="215"/>
      <c r="B243" s="215"/>
      <c r="C243" s="215"/>
      <c r="D243" s="215"/>
      <c r="E243" s="215"/>
      <c r="F243" s="215"/>
    </row>
    <row r="244" spans="1:6" ht="91.5" customHeight="1" x14ac:dyDescent="0.25">
      <c r="A244" s="208" t="s">
        <v>307</v>
      </c>
      <c r="B244" s="209"/>
      <c r="C244" s="209"/>
      <c r="D244" s="209"/>
      <c r="E244" s="209"/>
      <c r="F244" s="209"/>
    </row>
    <row r="245" spans="1:6" ht="32.25" customHeight="1" x14ac:dyDescent="0.25">
      <c r="A245" s="208" t="s">
        <v>304</v>
      </c>
      <c r="B245" s="209"/>
      <c r="C245" s="209"/>
      <c r="D245" s="209"/>
      <c r="E245" s="209"/>
      <c r="F245" s="209"/>
    </row>
    <row r="246" spans="1:6" ht="53.25" customHeight="1" x14ac:dyDescent="0.25">
      <c r="A246" s="208" t="s">
        <v>305</v>
      </c>
      <c r="B246" s="209"/>
      <c r="C246" s="209"/>
      <c r="D246" s="209"/>
      <c r="E246" s="209"/>
      <c r="F246" s="209"/>
    </row>
    <row r="247" spans="1:6" ht="96.75" customHeight="1" x14ac:dyDescent="0.25">
      <c r="A247" s="208" t="s">
        <v>306</v>
      </c>
      <c r="B247" s="209"/>
      <c r="C247" s="209"/>
      <c r="D247" s="209"/>
      <c r="E247" s="209"/>
      <c r="F247" s="209"/>
    </row>
    <row r="248" spans="1:6" ht="81.75" customHeight="1" x14ac:dyDescent="0.25">
      <c r="A248" s="208" t="s">
        <v>308</v>
      </c>
      <c r="B248" s="209"/>
      <c r="C248" s="209"/>
      <c r="D248" s="209"/>
      <c r="E248" s="209"/>
      <c r="F248" s="209"/>
    </row>
    <row r="249" spans="1:6" ht="81.75" customHeight="1" x14ac:dyDescent="0.25">
      <c r="A249" s="208" t="s">
        <v>309</v>
      </c>
      <c r="B249" s="209"/>
      <c r="C249" s="209"/>
      <c r="D249" s="209"/>
      <c r="E249" s="209"/>
      <c r="F249" s="209"/>
    </row>
    <row r="250" spans="1:6" ht="50.25" customHeight="1" x14ac:dyDescent="0.25">
      <c r="A250" s="208" t="s">
        <v>310</v>
      </c>
      <c r="B250" s="209"/>
      <c r="C250" s="209"/>
      <c r="D250" s="209"/>
      <c r="E250" s="209"/>
      <c r="F250" s="209"/>
    </row>
    <row r="251" spans="1:6" x14ac:dyDescent="0.25">
      <c r="A251" s="210"/>
      <c r="B251" s="210"/>
      <c r="C251" s="210"/>
      <c r="D251" s="210"/>
      <c r="E251" s="210"/>
      <c r="F251" s="210"/>
    </row>
    <row r="252" spans="1:6" ht="71.25" customHeight="1" x14ac:dyDescent="0.25">
      <c r="A252" s="208" t="s">
        <v>311</v>
      </c>
      <c r="B252" s="209"/>
      <c r="C252" s="209"/>
      <c r="D252" s="209"/>
      <c r="E252" s="209"/>
      <c r="F252" s="209"/>
    </row>
    <row r="253" spans="1:6" ht="71.25" customHeight="1" x14ac:dyDescent="0.25">
      <c r="A253" s="208" t="s">
        <v>312</v>
      </c>
      <c r="B253" s="209"/>
      <c r="C253" s="209"/>
      <c r="D253" s="209"/>
      <c r="E253" s="209"/>
      <c r="F253" s="209"/>
    </row>
    <row r="254" spans="1:6" ht="71.25" customHeight="1" x14ac:dyDescent="0.25">
      <c r="A254" s="208" t="s">
        <v>313</v>
      </c>
      <c r="B254" s="209"/>
      <c r="C254" s="209"/>
      <c r="D254" s="209"/>
      <c r="E254" s="209"/>
      <c r="F254" s="209"/>
    </row>
    <row r="255" spans="1:6" ht="48" customHeight="1" x14ac:dyDescent="0.25">
      <c r="A255" s="208" t="s">
        <v>314</v>
      </c>
      <c r="B255" s="209"/>
      <c r="C255" s="209"/>
      <c r="D255" s="209"/>
      <c r="E255" s="209"/>
      <c r="F255" s="209"/>
    </row>
    <row r="256" spans="1:6" ht="55.5" customHeight="1" x14ac:dyDescent="0.25">
      <c r="A256" s="208" t="s">
        <v>315</v>
      </c>
      <c r="B256" s="209"/>
      <c r="C256" s="209"/>
      <c r="D256" s="209"/>
      <c r="E256" s="209"/>
      <c r="F256" s="209"/>
    </row>
    <row r="257" spans="1:6" ht="71.25" customHeight="1" x14ac:dyDescent="0.25">
      <c r="A257" s="208" t="s">
        <v>316</v>
      </c>
      <c r="B257" s="209"/>
      <c r="C257" s="209"/>
      <c r="D257" s="209"/>
      <c r="E257" s="209"/>
      <c r="F257" s="209"/>
    </row>
    <row r="258" spans="1:6" x14ac:dyDescent="0.25">
      <c r="A258" s="210"/>
      <c r="B258" s="210"/>
      <c r="C258" s="210"/>
      <c r="D258" s="210"/>
      <c r="E258" s="210"/>
      <c r="F258" s="210"/>
    </row>
    <row r="259" spans="1:6" x14ac:dyDescent="0.25">
      <c r="A259" s="216" t="s">
        <v>99</v>
      </c>
      <c r="B259" s="217"/>
      <c r="C259" s="217"/>
      <c r="D259" s="217"/>
      <c r="E259" s="217"/>
      <c r="F259" s="217"/>
    </row>
    <row r="260" spans="1:6" x14ac:dyDescent="0.25">
      <c r="A260" s="217"/>
      <c r="B260" s="217"/>
      <c r="C260" s="217"/>
      <c r="D260" s="217"/>
      <c r="E260" s="217"/>
      <c r="F260" s="217"/>
    </row>
    <row r="261" spans="1:6" x14ac:dyDescent="0.25">
      <c r="A261" s="215"/>
      <c r="B261" s="215"/>
      <c r="C261" s="215"/>
      <c r="D261" s="215"/>
      <c r="E261" s="215"/>
      <c r="F261" s="215"/>
    </row>
    <row r="262" spans="1:6" ht="114" customHeight="1" x14ac:dyDescent="0.25">
      <c r="A262" s="208" t="s">
        <v>254</v>
      </c>
      <c r="B262" s="209"/>
      <c r="C262" s="209"/>
      <c r="D262" s="209"/>
      <c r="E262" s="209"/>
      <c r="F262" s="209"/>
    </row>
    <row r="263" spans="1:6" ht="124.5" customHeight="1" x14ac:dyDescent="0.25">
      <c r="A263" s="209"/>
      <c r="B263" s="209"/>
      <c r="C263" s="209"/>
      <c r="D263" s="209"/>
      <c r="E263" s="209"/>
      <c r="F263" s="209"/>
    </row>
    <row r="264" spans="1:6" x14ac:dyDescent="0.25">
      <c r="A264" s="215"/>
      <c r="B264" s="215"/>
      <c r="C264" s="215"/>
      <c r="D264" s="215"/>
      <c r="E264" s="215"/>
      <c r="F264" s="215"/>
    </row>
    <row r="265" spans="1:6" x14ac:dyDescent="0.25">
      <c r="A265" s="216" t="s">
        <v>100</v>
      </c>
      <c r="B265" s="217"/>
      <c r="C265" s="217"/>
      <c r="D265" s="217"/>
      <c r="E265" s="217"/>
      <c r="F265" s="217"/>
    </row>
    <row r="266" spans="1:6" x14ac:dyDescent="0.25">
      <c r="A266" s="217"/>
      <c r="B266" s="217"/>
      <c r="C266" s="217"/>
      <c r="D266" s="217"/>
      <c r="E266" s="217"/>
      <c r="F266" s="217"/>
    </row>
    <row r="267" spans="1:6" x14ac:dyDescent="0.25">
      <c r="A267" s="215"/>
      <c r="B267" s="215"/>
      <c r="C267" s="215"/>
      <c r="D267" s="215"/>
      <c r="E267" s="215"/>
      <c r="F267" s="215"/>
    </row>
    <row r="268" spans="1:6" ht="45.75" customHeight="1" x14ac:dyDescent="0.25">
      <c r="A268" s="208" t="s">
        <v>101</v>
      </c>
      <c r="B268" s="209"/>
      <c r="C268" s="209"/>
      <c r="D268" s="209"/>
      <c r="E268" s="209"/>
      <c r="F268" s="209"/>
    </row>
    <row r="269" spans="1:6" ht="84" customHeight="1" x14ac:dyDescent="0.25">
      <c r="A269" s="209"/>
      <c r="B269" s="209"/>
      <c r="C269" s="209"/>
      <c r="D269" s="209"/>
      <c r="E269" s="209"/>
      <c r="F269" s="209"/>
    </row>
    <row r="270" spans="1:6" x14ac:dyDescent="0.25">
      <c r="A270" s="210"/>
      <c r="B270" s="210"/>
      <c r="C270" s="210"/>
      <c r="D270" s="210"/>
      <c r="E270" s="210"/>
      <c r="F270" s="210"/>
    </row>
    <row r="271" spans="1:6" x14ac:dyDescent="0.25">
      <c r="A271" s="209" t="s">
        <v>102</v>
      </c>
      <c r="B271" s="209"/>
      <c r="C271" s="209"/>
      <c r="D271" s="209"/>
      <c r="E271" s="209"/>
      <c r="F271" s="209"/>
    </row>
    <row r="272" spans="1:6" ht="9" customHeight="1" x14ac:dyDescent="0.25">
      <c r="A272" s="209"/>
      <c r="B272" s="209"/>
      <c r="C272" s="209"/>
      <c r="D272" s="209"/>
      <c r="E272" s="209"/>
      <c r="F272" s="209"/>
    </row>
    <row r="273" spans="1:6" x14ac:dyDescent="0.25">
      <c r="A273" s="215"/>
      <c r="B273" s="215"/>
      <c r="C273" s="215"/>
      <c r="D273" s="215"/>
      <c r="E273" s="215"/>
      <c r="F273" s="215"/>
    </row>
    <row r="274" spans="1:6" ht="39" customHeight="1" x14ac:dyDescent="0.25">
      <c r="A274" s="208" t="s">
        <v>103</v>
      </c>
      <c r="B274" s="209"/>
      <c r="C274" s="209"/>
      <c r="D274" s="209"/>
      <c r="E274" s="209"/>
      <c r="F274" s="209"/>
    </row>
    <row r="275" spans="1:6" ht="44.45" customHeight="1" x14ac:dyDescent="0.25">
      <c r="A275" s="209"/>
      <c r="B275" s="209"/>
      <c r="C275" s="209"/>
      <c r="D275" s="209"/>
      <c r="E275" s="209"/>
      <c r="F275" s="209"/>
    </row>
    <row r="276" spans="1:6" x14ac:dyDescent="0.25">
      <c r="A276" s="215"/>
      <c r="B276" s="215"/>
      <c r="C276" s="215"/>
      <c r="D276" s="215"/>
      <c r="E276" s="215"/>
      <c r="F276" s="215"/>
    </row>
    <row r="277" spans="1:6" ht="64.900000000000006" customHeight="1" x14ac:dyDescent="0.25">
      <c r="A277" s="208" t="s">
        <v>104</v>
      </c>
      <c r="B277" s="209"/>
      <c r="C277" s="209"/>
      <c r="D277" s="209"/>
      <c r="E277" s="209"/>
      <c r="F277" s="209"/>
    </row>
    <row r="278" spans="1:6" ht="60.75" customHeight="1" x14ac:dyDescent="0.25">
      <c r="A278" s="209"/>
      <c r="B278" s="209"/>
      <c r="C278" s="209"/>
      <c r="D278" s="209"/>
      <c r="E278" s="209"/>
      <c r="F278" s="209"/>
    </row>
    <row r="279" spans="1:6" x14ac:dyDescent="0.25">
      <c r="A279" s="215"/>
      <c r="B279" s="215"/>
      <c r="C279" s="215"/>
      <c r="D279" s="215"/>
      <c r="E279" s="215"/>
      <c r="F279" s="215"/>
    </row>
    <row r="280" spans="1:6" ht="23.45" customHeight="1" x14ac:dyDescent="0.25">
      <c r="A280" s="208" t="s">
        <v>105</v>
      </c>
      <c r="B280" s="209"/>
      <c r="C280" s="209"/>
      <c r="D280" s="209"/>
      <c r="E280" s="209"/>
      <c r="F280" s="209"/>
    </row>
    <row r="281" spans="1:6" ht="24.6" customHeight="1" x14ac:dyDescent="0.25">
      <c r="A281" s="209"/>
      <c r="B281" s="209"/>
      <c r="C281" s="209"/>
      <c r="D281" s="209"/>
      <c r="E281" s="209"/>
      <c r="F281" s="209"/>
    </row>
    <row r="282" spans="1:6" x14ac:dyDescent="0.25">
      <c r="A282" s="215"/>
      <c r="B282" s="215"/>
      <c r="C282" s="215"/>
      <c r="D282" s="215"/>
      <c r="E282" s="215"/>
      <c r="F282" s="215"/>
    </row>
    <row r="283" spans="1:6" ht="57" customHeight="1" x14ac:dyDescent="0.25">
      <c r="A283" s="208" t="s">
        <v>106</v>
      </c>
      <c r="B283" s="209"/>
      <c r="C283" s="209"/>
      <c r="D283" s="209"/>
      <c r="E283" s="209"/>
      <c r="F283" s="209"/>
    </row>
    <row r="284" spans="1:6" ht="50.25" customHeight="1" x14ac:dyDescent="0.25">
      <c r="A284" s="209"/>
      <c r="B284" s="209"/>
      <c r="C284" s="209"/>
      <c r="D284" s="209"/>
      <c r="E284" s="209"/>
      <c r="F284" s="209"/>
    </row>
    <row r="285" spans="1:6" x14ac:dyDescent="0.25">
      <c r="A285" s="215"/>
      <c r="B285" s="215"/>
      <c r="C285" s="215"/>
      <c r="D285" s="215"/>
      <c r="E285" s="215"/>
      <c r="F285" s="215"/>
    </row>
    <row r="286" spans="1:6" x14ac:dyDescent="0.25">
      <c r="A286" s="216" t="s">
        <v>107</v>
      </c>
      <c r="B286" s="217"/>
      <c r="C286" s="217"/>
      <c r="D286" s="217"/>
      <c r="E286" s="217"/>
      <c r="F286" s="217"/>
    </row>
    <row r="287" spans="1:6" x14ac:dyDescent="0.25">
      <c r="A287" s="217"/>
      <c r="B287" s="217"/>
      <c r="C287" s="217"/>
      <c r="D287" s="217"/>
      <c r="E287" s="217"/>
      <c r="F287" s="217"/>
    </row>
    <row r="288" spans="1:6" x14ac:dyDescent="0.25">
      <c r="A288" s="215"/>
      <c r="B288" s="215"/>
      <c r="C288" s="215"/>
      <c r="D288" s="215"/>
      <c r="E288" s="215"/>
      <c r="F288" s="215"/>
    </row>
    <row r="289" spans="1:6" ht="141.6" customHeight="1" x14ac:dyDescent="0.25">
      <c r="A289" s="208" t="s">
        <v>255</v>
      </c>
      <c r="B289" s="209"/>
      <c r="C289" s="209"/>
      <c r="D289" s="209"/>
      <c r="E289" s="209"/>
      <c r="F289" s="209"/>
    </row>
    <row r="290" spans="1:6" ht="181.5" customHeight="1" x14ac:dyDescent="0.25">
      <c r="A290" s="209"/>
      <c r="B290" s="209"/>
      <c r="C290" s="209"/>
      <c r="D290" s="209"/>
      <c r="E290" s="209"/>
      <c r="F290" s="209"/>
    </row>
    <row r="291" spans="1:6" x14ac:dyDescent="0.25">
      <c r="A291" s="215"/>
      <c r="B291" s="215"/>
      <c r="C291" s="215"/>
      <c r="D291" s="215"/>
      <c r="E291" s="215"/>
      <c r="F291" s="215"/>
    </row>
    <row r="292" spans="1:6" ht="125.25" customHeight="1" x14ac:dyDescent="0.25">
      <c r="A292" s="226" t="s">
        <v>108</v>
      </c>
      <c r="B292" s="226"/>
      <c r="C292" s="226"/>
      <c r="D292" s="226"/>
      <c r="E292" s="226"/>
      <c r="F292" s="226"/>
    </row>
    <row r="293" spans="1:6" x14ac:dyDescent="0.25">
      <c r="A293" s="215"/>
      <c r="B293" s="215"/>
      <c r="C293" s="215"/>
      <c r="D293" s="215"/>
      <c r="E293" s="215"/>
      <c r="F293" s="215"/>
    </row>
    <row r="294" spans="1:6" ht="91.15" customHeight="1" x14ac:dyDescent="0.25">
      <c r="A294" s="208" t="s">
        <v>109</v>
      </c>
      <c r="B294" s="209"/>
      <c r="C294" s="209"/>
      <c r="D294" s="209"/>
      <c r="E294" s="209"/>
      <c r="F294" s="209"/>
    </row>
    <row r="295" spans="1:6" ht="79.5" customHeight="1" x14ac:dyDescent="0.25">
      <c r="A295" s="209"/>
      <c r="B295" s="209"/>
      <c r="C295" s="209"/>
      <c r="D295" s="209"/>
      <c r="E295" s="209"/>
      <c r="F295" s="209"/>
    </row>
    <row r="296" spans="1:6" x14ac:dyDescent="0.25">
      <c r="A296" s="215"/>
      <c r="B296" s="215"/>
      <c r="C296" s="215"/>
      <c r="D296" s="215"/>
      <c r="E296" s="215"/>
      <c r="F296" s="215"/>
    </row>
    <row r="297" spans="1:6" ht="43.15" customHeight="1" x14ac:dyDescent="0.25">
      <c r="A297" s="208" t="s">
        <v>110</v>
      </c>
      <c r="B297" s="209"/>
      <c r="C297" s="209"/>
      <c r="D297" s="209"/>
      <c r="E297" s="209"/>
      <c r="F297" s="209"/>
    </row>
    <row r="298" spans="1:6" ht="39" customHeight="1" x14ac:dyDescent="0.25">
      <c r="A298" s="209"/>
      <c r="B298" s="209"/>
      <c r="C298" s="209"/>
      <c r="D298" s="209"/>
      <c r="E298" s="209"/>
      <c r="F298" s="209"/>
    </row>
    <row r="299" spans="1:6" x14ac:dyDescent="0.25">
      <c r="A299" s="215"/>
      <c r="B299" s="215"/>
      <c r="C299" s="215"/>
      <c r="D299" s="215"/>
      <c r="E299" s="215"/>
      <c r="F299" s="215"/>
    </row>
    <row r="300" spans="1:6" ht="91.9" customHeight="1" x14ac:dyDescent="0.25">
      <c r="A300" s="208" t="s">
        <v>111</v>
      </c>
      <c r="B300" s="209"/>
      <c r="C300" s="209"/>
      <c r="D300" s="209"/>
      <c r="E300" s="209"/>
      <c r="F300" s="209"/>
    </row>
    <row r="301" spans="1:6" ht="189" customHeight="1" x14ac:dyDescent="0.25">
      <c r="A301" s="209"/>
      <c r="B301" s="209"/>
      <c r="C301" s="209"/>
      <c r="D301" s="209"/>
      <c r="E301" s="209"/>
      <c r="F301" s="209"/>
    </row>
    <row r="302" spans="1:6" x14ac:dyDescent="0.25">
      <c r="A302" s="215"/>
      <c r="B302" s="215"/>
      <c r="C302" s="215"/>
      <c r="D302" s="215"/>
      <c r="E302" s="215"/>
      <c r="F302" s="215"/>
    </row>
    <row r="303" spans="1:6" x14ac:dyDescent="0.25">
      <c r="A303" s="216" t="s">
        <v>112</v>
      </c>
      <c r="B303" s="217"/>
      <c r="C303" s="217"/>
      <c r="D303" s="217"/>
      <c r="E303" s="217"/>
      <c r="F303" s="217"/>
    </row>
    <row r="304" spans="1:6" x14ac:dyDescent="0.25">
      <c r="A304" s="217"/>
      <c r="B304" s="217"/>
      <c r="C304" s="217"/>
      <c r="D304" s="217"/>
      <c r="E304" s="217"/>
      <c r="F304" s="217"/>
    </row>
    <row r="305" spans="1:6" x14ac:dyDescent="0.25">
      <c r="A305" s="215"/>
      <c r="B305" s="215"/>
      <c r="C305" s="215"/>
      <c r="D305" s="215"/>
      <c r="E305" s="215"/>
      <c r="F305" s="215"/>
    </row>
    <row r="306" spans="1:6" ht="136.5" customHeight="1" x14ac:dyDescent="0.25">
      <c r="A306" s="208" t="s">
        <v>113</v>
      </c>
      <c r="B306" s="209"/>
      <c r="C306" s="209"/>
      <c r="D306" s="209"/>
      <c r="E306" s="209"/>
      <c r="F306" s="209"/>
    </row>
    <row r="307" spans="1:6" ht="189" customHeight="1" x14ac:dyDescent="0.25">
      <c r="A307" s="209"/>
      <c r="B307" s="209"/>
      <c r="C307" s="209"/>
      <c r="D307" s="209"/>
      <c r="E307" s="209"/>
      <c r="F307" s="209"/>
    </row>
    <row r="308" spans="1:6" x14ac:dyDescent="0.25">
      <c r="A308" s="215"/>
      <c r="B308" s="215"/>
      <c r="C308" s="215"/>
      <c r="D308" s="215"/>
      <c r="E308" s="215"/>
      <c r="F308" s="215"/>
    </row>
    <row r="309" spans="1:6" x14ac:dyDescent="0.25">
      <c r="A309" s="216" t="s">
        <v>114</v>
      </c>
      <c r="B309" s="217"/>
      <c r="C309" s="217"/>
      <c r="D309" s="217"/>
      <c r="E309" s="217"/>
      <c r="F309" s="217"/>
    </row>
    <row r="310" spans="1:6" x14ac:dyDescent="0.25">
      <c r="A310" s="217"/>
      <c r="B310" s="217"/>
      <c r="C310" s="217"/>
      <c r="D310" s="217"/>
      <c r="E310" s="217"/>
      <c r="F310" s="217"/>
    </row>
    <row r="311" spans="1:6" x14ac:dyDescent="0.25">
      <c r="A311" s="215"/>
      <c r="B311" s="215"/>
      <c r="C311" s="215"/>
      <c r="D311" s="215"/>
      <c r="E311" s="215"/>
      <c r="F311" s="215"/>
    </row>
    <row r="312" spans="1:6" ht="133.15" customHeight="1" x14ac:dyDescent="0.25">
      <c r="A312" s="208" t="s">
        <v>115</v>
      </c>
      <c r="B312" s="209"/>
      <c r="C312" s="209"/>
      <c r="D312" s="209"/>
      <c r="E312" s="209"/>
      <c r="F312" s="209"/>
    </row>
    <row r="313" spans="1:6" ht="157.5" customHeight="1" x14ac:dyDescent="0.25">
      <c r="A313" s="209"/>
      <c r="B313" s="209"/>
      <c r="C313" s="209"/>
      <c r="D313" s="209"/>
      <c r="E313" s="209"/>
      <c r="F313" s="209"/>
    </row>
    <row r="314" spans="1:6" x14ac:dyDescent="0.25">
      <c r="A314" s="215"/>
      <c r="B314" s="215"/>
      <c r="C314" s="215"/>
      <c r="D314" s="215"/>
      <c r="E314" s="215"/>
      <c r="F314" s="215"/>
    </row>
    <row r="315" spans="1:6" x14ac:dyDescent="0.25">
      <c r="A315" s="216" t="s">
        <v>116</v>
      </c>
      <c r="B315" s="217"/>
      <c r="C315" s="217"/>
      <c r="D315" s="217"/>
      <c r="E315" s="217"/>
      <c r="F315" s="217"/>
    </row>
    <row r="316" spans="1:6" x14ac:dyDescent="0.25">
      <c r="A316" s="217"/>
      <c r="B316" s="217"/>
      <c r="C316" s="217"/>
      <c r="D316" s="217"/>
      <c r="E316" s="217"/>
      <c r="F316" s="217"/>
    </row>
    <row r="317" spans="1:6" x14ac:dyDescent="0.25">
      <c r="A317" s="227"/>
      <c r="B317" s="227"/>
      <c r="C317" s="227"/>
      <c r="D317" s="227"/>
      <c r="E317" s="227"/>
      <c r="F317" s="227"/>
    </row>
    <row r="318" spans="1:6" ht="55.5" customHeight="1" x14ac:dyDescent="0.25">
      <c r="A318" s="208" t="s">
        <v>317</v>
      </c>
      <c r="B318" s="209"/>
      <c r="C318" s="209"/>
      <c r="D318" s="209"/>
      <c r="E318" s="209"/>
      <c r="F318" s="209"/>
    </row>
    <row r="319" spans="1:6" ht="96.75" customHeight="1" x14ac:dyDescent="0.25">
      <c r="A319" s="210" t="s">
        <v>318</v>
      </c>
      <c r="B319" s="210"/>
      <c r="C319" s="210"/>
      <c r="D319" s="210"/>
      <c r="E319" s="210"/>
      <c r="F319" s="210"/>
    </row>
    <row r="320" spans="1:6" ht="128.25" customHeight="1" x14ac:dyDescent="0.25">
      <c r="A320" s="208" t="s">
        <v>319</v>
      </c>
      <c r="B320" s="209"/>
      <c r="C320" s="209"/>
      <c r="D320" s="209"/>
      <c r="E320" s="209"/>
      <c r="F320" s="209"/>
    </row>
    <row r="321" spans="1:6" ht="65.25" customHeight="1" x14ac:dyDescent="0.25">
      <c r="A321" s="208" t="s">
        <v>320</v>
      </c>
      <c r="B321" s="209"/>
      <c r="C321" s="209"/>
      <c r="D321" s="209"/>
      <c r="E321" s="209"/>
      <c r="F321" s="209"/>
    </row>
    <row r="322" spans="1:6" x14ac:dyDescent="0.25">
      <c r="A322" s="215"/>
      <c r="B322" s="215"/>
      <c r="C322" s="215"/>
      <c r="D322" s="215"/>
      <c r="E322" s="215"/>
      <c r="F322" s="215"/>
    </row>
    <row r="323" spans="1:6" ht="68.45" customHeight="1" x14ac:dyDescent="0.25">
      <c r="A323" s="208" t="s">
        <v>119</v>
      </c>
      <c r="B323" s="209"/>
      <c r="C323" s="209"/>
      <c r="D323" s="209"/>
      <c r="E323" s="209"/>
      <c r="F323" s="209"/>
    </row>
    <row r="324" spans="1:6" ht="59.45" customHeight="1" x14ac:dyDescent="0.25">
      <c r="A324" s="209"/>
      <c r="B324" s="209"/>
      <c r="C324" s="209"/>
      <c r="D324" s="209"/>
      <c r="E324" s="209"/>
      <c r="F324" s="209"/>
    </row>
    <row r="325" spans="1:6" x14ac:dyDescent="0.25">
      <c r="A325" s="209"/>
      <c r="B325" s="209"/>
      <c r="C325" s="209"/>
      <c r="D325" s="209"/>
      <c r="E325" s="209"/>
      <c r="F325" s="209"/>
    </row>
    <row r="326" spans="1:6" ht="17.45" customHeight="1" x14ac:dyDescent="0.25">
      <c r="A326" s="209" t="s">
        <v>117</v>
      </c>
      <c r="B326" s="209"/>
      <c r="C326" s="209"/>
      <c r="D326" s="209"/>
      <c r="E326" s="209"/>
      <c r="F326" s="209"/>
    </row>
    <row r="327" spans="1:6" ht="35.25" customHeight="1" x14ac:dyDescent="0.25">
      <c r="A327" s="209"/>
      <c r="B327" s="209"/>
      <c r="C327" s="209"/>
      <c r="D327" s="209"/>
      <c r="E327" s="209"/>
      <c r="F327" s="209"/>
    </row>
    <row r="328" spans="1:6" x14ac:dyDescent="0.25">
      <c r="A328" s="209"/>
      <c r="B328" s="209"/>
      <c r="C328" s="209"/>
      <c r="D328" s="209"/>
      <c r="E328" s="209"/>
      <c r="F328" s="209"/>
    </row>
    <row r="329" spans="1:6" ht="33.6" customHeight="1" x14ac:dyDescent="0.25">
      <c r="A329" s="209" t="s">
        <v>120</v>
      </c>
      <c r="B329" s="209"/>
      <c r="C329" s="209"/>
      <c r="D329" s="209"/>
      <c r="E329" s="209"/>
      <c r="F329" s="209"/>
    </row>
    <row r="330" spans="1:6" ht="35.450000000000003" customHeight="1" x14ac:dyDescent="0.25">
      <c r="A330" s="209"/>
      <c r="B330" s="209"/>
      <c r="C330" s="209"/>
      <c r="D330" s="209"/>
      <c r="E330" s="209"/>
      <c r="F330" s="209"/>
    </row>
    <row r="331" spans="1:6" ht="18" customHeight="1" x14ac:dyDescent="0.25">
      <c r="A331" s="210"/>
      <c r="B331" s="210"/>
      <c r="C331" s="210"/>
      <c r="D331" s="210"/>
      <c r="E331" s="210"/>
      <c r="F331" s="210"/>
    </row>
    <row r="332" spans="1:6" ht="214.5" customHeight="1" x14ac:dyDescent="0.25">
      <c r="A332" s="208" t="s">
        <v>323</v>
      </c>
      <c r="B332" s="209"/>
      <c r="C332" s="209"/>
      <c r="D332" s="209"/>
      <c r="E332" s="209"/>
      <c r="F332" s="209"/>
    </row>
    <row r="333" spans="1:6" ht="47.25" customHeight="1" x14ac:dyDescent="0.25">
      <c r="A333" s="208" t="s">
        <v>324</v>
      </c>
      <c r="B333" s="209"/>
      <c r="C333" s="209"/>
      <c r="D333" s="209"/>
      <c r="E333" s="209"/>
      <c r="F333" s="209"/>
    </row>
    <row r="334" spans="1:6" ht="71.25" customHeight="1" x14ac:dyDescent="0.25">
      <c r="A334" s="208" t="s">
        <v>325</v>
      </c>
      <c r="B334" s="209"/>
      <c r="C334" s="209"/>
      <c r="D334" s="209"/>
      <c r="E334" s="209"/>
      <c r="F334" s="209"/>
    </row>
    <row r="335" spans="1:6" ht="47.25" customHeight="1" x14ac:dyDescent="0.25">
      <c r="A335" s="208" t="s">
        <v>142</v>
      </c>
      <c r="B335" s="209"/>
      <c r="C335" s="209"/>
      <c r="D335" s="209"/>
      <c r="E335" s="209"/>
      <c r="F335" s="209"/>
    </row>
    <row r="336" spans="1:6" ht="97.5" customHeight="1" x14ac:dyDescent="0.25">
      <c r="A336" s="208" t="s">
        <v>143</v>
      </c>
      <c r="B336" s="209"/>
      <c r="C336" s="209"/>
      <c r="D336" s="209"/>
      <c r="E336" s="209"/>
      <c r="F336" s="209"/>
    </row>
    <row r="337" spans="1:6" ht="33.75" customHeight="1" x14ac:dyDescent="0.25">
      <c r="A337" s="208" t="s">
        <v>145</v>
      </c>
      <c r="B337" s="209"/>
      <c r="C337" s="209"/>
      <c r="D337" s="209"/>
      <c r="E337" s="209"/>
      <c r="F337" s="209"/>
    </row>
    <row r="338" spans="1:6" ht="54.75" customHeight="1" x14ac:dyDescent="0.25">
      <c r="A338" s="208" t="s">
        <v>146</v>
      </c>
      <c r="B338" s="209"/>
      <c r="C338" s="209"/>
      <c r="D338" s="209"/>
      <c r="E338" s="209"/>
      <c r="F338" s="209"/>
    </row>
    <row r="339" spans="1:6" ht="101.25" customHeight="1" x14ac:dyDescent="0.25">
      <c r="A339" s="208" t="s">
        <v>326</v>
      </c>
      <c r="B339" s="209"/>
      <c r="C339" s="209"/>
      <c r="D339" s="209"/>
      <c r="E339" s="209"/>
      <c r="F339" s="209"/>
    </row>
    <row r="340" spans="1:6" ht="39.75" customHeight="1" x14ac:dyDescent="0.25">
      <c r="A340" s="210" t="s">
        <v>168</v>
      </c>
      <c r="B340" s="210"/>
      <c r="C340" s="210"/>
      <c r="D340" s="210"/>
      <c r="E340" s="210"/>
      <c r="F340" s="210"/>
    </row>
    <row r="341" spans="1:6" x14ac:dyDescent="0.25">
      <c r="A341" s="215"/>
      <c r="B341" s="215"/>
      <c r="C341" s="215"/>
      <c r="D341" s="215"/>
      <c r="E341" s="215"/>
      <c r="F341" s="215"/>
    </row>
    <row r="342" spans="1:6" x14ac:dyDescent="0.25">
      <c r="A342" s="216" t="s">
        <v>118</v>
      </c>
      <c r="B342" s="217"/>
      <c r="C342" s="217"/>
      <c r="D342" s="217"/>
      <c r="E342" s="217"/>
      <c r="F342" s="217"/>
    </row>
    <row r="343" spans="1:6" x14ac:dyDescent="0.25">
      <c r="A343" s="217"/>
      <c r="B343" s="217"/>
      <c r="C343" s="217"/>
      <c r="D343" s="217"/>
      <c r="E343" s="217"/>
      <c r="F343" s="217"/>
    </row>
    <row r="344" spans="1:6" x14ac:dyDescent="0.25">
      <c r="A344" s="215"/>
      <c r="B344" s="215"/>
      <c r="C344" s="215"/>
      <c r="D344" s="215"/>
      <c r="E344" s="215"/>
      <c r="F344" s="215"/>
    </row>
    <row r="345" spans="1:6" ht="21.6" customHeight="1" x14ac:dyDescent="0.25">
      <c r="A345" s="209" t="s">
        <v>256</v>
      </c>
      <c r="B345" s="209"/>
      <c r="C345" s="209"/>
      <c r="D345" s="209"/>
      <c r="E345" s="209"/>
      <c r="F345" s="209"/>
    </row>
    <row r="346" spans="1:6" ht="9.6" customHeight="1" x14ac:dyDescent="0.25">
      <c r="A346" s="209"/>
      <c r="B346" s="209"/>
      <c r="C346" s="209"/>
      <c r="D346" s="209"/>
      <c r="E346" s="209"/>
      <c r="F346" s="209"/>
    </row>
    <row r="347" spans="1:6" x14ac:dyDescent="0.25">
      <c r="A347" s="215"/>
      <c r="B347" s="215"/>
      <c r="C347" s="215"/>
      <c r="D347" s="215"/>
      <c r="E347" s="215"/>
      <c r="F347" s="215"/>
    </row>
    <row r="348" spans="1:6" ht="72.599999999999994" customHeight="1" x14ac:dyDescent="0.25">
      <c r="A348" s="209" t="s">
        <v>121</v>
      </c>
      <c r="B348" s="209"/>
      <c r="C348" s="209"/>
      <c r="D348" s="209"/>
      <c r="E348" s="209"/>
      <c r="F348" s="209"/>
    </row>
    <row r="349" spans="1:6" ht="83.25" customHeight="1" x14ac:dyDescent="0.25">
      <c r="A349" s="209"/>
      <c r="B349" s="209"/>
      <c r="C349" s="209"/>
      <c r="D349" s="209"/>
      <c r="E349" s="209"/>
      <c r="F349" s="209"/>
    </row>
    <row r="350" spans="1:6" x14ac:dyDescent="0.25">
      <c r="A350" s="215"/>
      <c r="B350" s="215"/>
      <c r="C350" s="215"/>
      <c r="D350" s="215"/>
      <c r="E350" s="215"/>
      <c r="F350" s="215"/>
    </row>
    <row r="351" spans="1:6" ht="76.150000000000006" customHeight="1" x14ac:dyDescent="0.25">
      <c r="A351" s="208" t="s">
        <v>122</v>
      </c>
      <c r="B351" s="209"/>
      <c r="C351" s="209"/>
      <c r="D351" s="209"/>
      <c r="E351" s="209"/>
      <c r="F351" s="209"/>
    </row>
    <row r="352" spans="1:6" ht="67.900000000000006" customHeight="1" x14ac:dyDescent="0.25">
      <c r="A352" s="209"/>
      <c r="B352" s="209"/>
      <c r="C352" s="209"/>
      <c r="D352" s="209"/>
      <c r="E352" s="209"/>
      <c r="F352" s="209"/>
    </row>
    <row r="353" spans="1:6" x14ac:dyDescent="0.25">
      <c r="A353" s="215"/>
      <c r="B353" s="215"/>
      <c r="C353" s="215"/>
      <c r="D353" s="215"/>
      <c r="E353" s="215"/>
      <c r="F353" s="215"/>
    </row>
    <row r="354" spans="1:6" ht="39" customHeight="1" x14ac:dyDescent="0.25">
      <c r="A354" s="208" t="s">
        <v>123</v>
      </c>
      <c r="B354" s="209"/>
      <c r="C354" s="209"/>
      <c r="D354" s="209"/>
      <c r="E354" s="209"/>
      <c r="F354" s="209"/>
    </row>
    <row r="355" spans="1:6" ht="40.9" customHeight="1" x14ac:dyDescent="0.25">
      <c r="A355" s="209"/>
      <c r="B355" s="209"/>
      <c r="C355" s="209"/>
      <c r="D355" s="209"/>
      <c r="E355" s="209"/>
      <c r="F355" s="209"/>
    </row>
    <row r="356" spans="1:6" ht="25.9" customHeight="1" x14ac:dyDescent="0.25">
      <c r="A356" s="215"/>
      <c r="B356" s="215"/>
      <c r="C356" s="215"/>
      <c r="D356" s="215"/>
      <c r="E356" s="215"/>
      <c r="F356" s="215"/>
    </row>
    <row r="357" spans="1:6" ht="55.9" customHeight="1" x14ac:dyDescent="0.25">
      <c r="A357" s="208" t="s">
        <v>124</v>
      </c>
      <c r="B357" s="209"/>
      <c r="C357" s="209"/>
      <c r="D357" s="209"/>
      <c r="E357" s="209"/>
      <c r="F357" s="209"/>
    </row>
    <row r="358" spans="1:6" ht="53.25" customHeight="1" x14ac:dyDescent="0.25">
      <c r="A358" s="209"/>
      <c r="B358" s="209"/>
      <c r="C358" s="209"/>
      <c r="D358" s="209"/>
      <c r="E358" s="209"/>
      <c r="F358" s="209"/>
    </row>
    <row r="359" spans="1:6" x14ac:dyDescent="0.25">
      <c r="A359" s="215"/>
      <c r="B359" s="215"/>
      <c r="C359" s="215"/>
      <c r="D359" s="215"/>
      <c r="E359" s="215"/>
      <c r="F359" s="215"/>
    </row>
    <row r="360" spans="1:6" ht="42" customHeight="1" x14ac:dyDescent="0.25">
      <c r="A360" s="208" t="s">
        <v>129</v>
      </c>
      <c r="B360" s="209"/>
      <c r="C360" s="209"/>
      <c r="D360" s="209"/>
      <c r="E360" s="209"/>
      <c r="F360" s="209"/>
    </row>
    <row r="361" spans="1:6" ht="51.75" customHeight="1" x14ac:dyDescent="0.25">
      <c r="A361" s="209"/>
      <c r="B361" s="209"/>
      <c r="C361" s="209"/>
      <c r="D361" s="209"/>
      <c r="E361" s="209"/>
      <c r="F361" s="209"/>
    </row>
    <row r="362" spans="1:6" x14ac:dyDescent="0.25">
      <c r="A362" s="215"/>
      <c r="B362" s="215"/>
      <c r="C362" s="215"/>
      <c r="D362" s="215"/>
      <c r="E362" s="215"/>
      <c r="F362" s="215"/>
    </row>
    <row r="363" spans="1:6" ht="19.899999999999999" customHeight="1" x14ac:dyDescent="0.25">
      <c r="A363" s="208" t="s">
        <v>130</v>
      </c>
      <c r="B363" s="209"/>
      <c r="C363" s="209"/>
      <c r="D363" s="209"/>
      <c r="E363" s="209"/>
      <c r="F363" s="209"/>
    </row>
    <row r="364" spans="1:6" x14ac:dyDescent="0.25">
      <c r="A364" s="209"/>
      <c r="B364" s="209"/>
      <c r="C364" s="209"/>
      <c r="D364" s="209"/>
      <c r="E364" s="209"/>
      <c r="F364" s="209"/>
    </row>
    <row r="365" spans="1:6" x14ac:dyDescent="0.25">
      <c r="A365" s="215"/>
      <c r="B365" s="215"/>
      <c r="C365" s="215"/>
      <c r="D365" s="215"/>
      <c r="E365" s="215"/>
      <c r="F365" s="215"/>
    </row>
    <row r="366" spans="1:6" x14ac:dyDescent="0.25">
      <c r="A366" s="209" t="s">
        <v>131</v>
      </c>
      <c r="B366" s="209"/>
      <c r="C366" s="209"/>
      <c r="D366" s="209"/>
      <c r="E366" s="209"/>
      <c r="F366" s="209"/>
    </row>
    <row r="367" spans="1:6" ht="14.45" customHeight="1" x14ac:dyDescent="0.25">
      <c r="A367" s="209"/>
      <c r="B367" s="209"/>
      <c r="C367" s="209"/>
      <c r="D367" s="209"/>
      <c r="E367" s="209"/>
      <c r="F367" s="209"/>
    </row>
    <row r="368" spans="1:6" x14ac:dyDescent="0.25">
      <c r="A368" s="215"/>
      <c r="B368" s="215"/>
      <c r="C368" s="215"/>
      <c r="D368" s="215"/>
      <c r="E368" s="215"/>
      <c r="F368" s="215"/>
    </row>
    <row r="369" spans="1:6" x14ac:dyDescent="0.25">
      <c r="A369" s="209" t="s">
        <v>125</v>
      </c>
      <c r="B369" s="209"/>
      <c r="C369" s="209"/>
      <c r="D369" s="209"/>
      <c r="E369" s="209"/>
      <c r="F369" s="209"/>
    </row>
    <row r="370" spans="1:6" ht="19.149999999999999" customHeight="1" x14ac:dyDescent="0.25">
      <c r="A370" s="209"/>
      <c r="B370" s="209"/>
      <c r="C370" s="209"/>
      <c r="D370" s="209"/>
      <c r="E370" s="209"/>
      <c r="F370" s="209"/>
    </row>
    <row r="371" spans="1:6" x14ac:dyDescent="0.25">
      <c r="A371" s="215"/>
      <c r="B371" s="215"/>
      <c r="C371" s="215"/>
      <c r="D371" s="215"/>
      <c r="E371" s="215"/>
      <c r="F371" s="215"/>
    </row>
    <row r="372" spans="1:6" ht="33.6" customHeight="1" x14ac:dyDescent="0.25">
      <c r="A372" s="208" t="s">
        <v>132</v>
      </c>
      <c r="B372" s="209"/>
      <c r="C372" s="209"/>
      <c r="D372" s="209"/>
      <c r="E372" s="209"/>
      <c r="F372" s="209"/>
    </row>
    <row r="373" spans="1:6" ht="28.15" customHeight="1" x14ac:dyDescent="0.25">
      <c r="A373" s="209"/>
      <c r="B373" s="209"/>
      <c r="C373" s="209"/>
      <c r="D373" s="209"/>
      <c r="E373" s="209"/>
      <c r="F373" s="209"/>
    </row>
    <row r="374" spans="1:6" x14ac:dyDescent="0.25">
      <c r="A374" s="215"/>
      <c r="B374" s="215"/>
      <c r="C374" s="215"/>
      <c r="D374" s="215"/>
      <c r="E374" s="215"/>
      <c r="F374" s="215"/>
    </row>
    <row r="375" spans="1:6" x14ac:dyDescent="0.25">
      <c r="A375" s="216" t="s">
        <v>126</v>
      </c>
      <c r="B375" s="217"/>
      <c r="C375" s="217"/>
      <c r="D375" s="217"/>
      <c r="E375" s="217"/>
      <c r="F375" s="217"/>
    </row>
    <row r="376" spans="1:6" x14ac:dyDescent="0.25">
      <c r="A376" s="217"/>
      <c r="B376" s="217"/>
      <c r="C376" s="217"/>
      <c r="D376" s="217"/>
      <c r="E376" s="217"/>
      <c r="F376" s="217"/>
    </row>
    <row r="377" spans="1:6" x14ac:dyDescent="0.25">
      <c r="A377" s="215"/>
      <c r="B377" s="215"/>
      <c r="C377" s="215"/>
      <c r="D377" s="215"/>
      <c r="E377" s="215"/>
      <c r="F377" s="215"/>
    </row>
    <row r="378" spans="1:6" ht="124.5" customHeight="1" x14ac:dyDescent="0.25">
      <c r="A378" s="208" t="s">
        <v>327</v>
      </c>
      <c r="B378" s="209"/>
      <c r="C378" s="209"/>
      <c r="D378" s="209"/>
      <c r="E378" s="209"/>
      <c r="F378" s="209"/>
    </row>
    <row r="379" spans="1:6" ht="189.75" customHeight="1" x14ac:dyDescent="0.25">
      <c r="A379" s="209"/>
      <c r="B379" s="209"/>
      <c r="C379" s="209"/>
      <c r="D379" s="209"/>
      <c r="E379" s="209"/>
      <c r="F379" s="209"/>
    </row>
    <row r="380" spans="1:6" x14ac:dyDescent="0.25">
      <c r="A380" s="215"/>
      <c r="B380" s="215"/>
      <c r="C380" s="215"/>
      <c r="D380" s="215"/>
      <c r="E380" s="215"/>
      <c r="F380" s="215"/>
    </row>
    <row r="381" spans="1:6" ht="38.450000000000003" customHeight="1" x14ac:dyDescent="0.25">
      <c r="A381" s="208" t="s">
        <v>128</v>
      </c>
      <c r="B381" s="209"/>
      <c r="C381" s="209"/>
      <c r="D381" s="209"/>
      <c r="E381" s="209"/>
      <c r="F381" s="209"/>
    </row>
    <row r="382" spans="1:6" ht="37.15" customHeight="1" x14ac:dyDescent="0.25">
      <c r="A382" s="209"/>
      <c r="B382" s="209"/>
      <c r="C382" s="209"/>
      <c r="D382" s="209"/>
      <c r="E382" s="209"/>
      <c r="F382" s="209"/>
    </row>
    <row r="383" spans="1:6" x14ac:dyDescent="0.25">
      <c r="A383" s="215"/>
      <c r="B383" s="215"/>
      <c r="C383" s="215"/>
      <c r="D383" s="215"/>
      <c r="E383" s="215"/>
      <c r="F383" s="215"/>
    </row>
    <row r="384" spans="1:6" ht="42" customHeight="1" x14ac:dyDescent="0.25">
      <c r="A384" s="208" t="s">
        <v>127</v>
      </c>
      <c r="B384" s="209"/>
      <c r="C384" s="209"/>
      <c r="D384" s="209"/>
      <c r="E384" s="209"/>
      <c r="F384" s="209"/>
    </row>
    <row r="385" spans="1:6" ht="21.6" customHeight="1" x14ac:dyDescent="0.25">
      <c r="A385" s="209"/>
      <c r="B385" s="209"/>
      <c r="C385" s="209"/>
      <c r="D385" s="209"/>
      <c r="E385" s="209"/>
      <c r="F385" s="209"/>
    </row>
    <row r="386" spans="1:6" x14ac:dyDescent="0.25">
      <c r="A386" s="215"/>
      <c r="B386" s="215"/>
      <c r="C386" s="215"/>
      <c r="D386" s="215"/>
      <c r="E386" s="215"/>
      <c r="F386" s="215"/>
    </row>
    <row r="387" spans="1:6" ht="94.15" customHeight="1" x14ac:dyDescent="0.25">
      <c r="A387" s="209" t="s">
        <v>133</v>
      </c>
      <c r="B387" s="209"/>
      <c r="C387" s="209"/>
      <c r="D387" s="209"/>
      <c r="E387" s="209"/>
      <c r="F387" s="209"/>
    </row>
    <row r="388" spans="1:6" ht="106.5" customHeight="1" x14ac:dyDescent="0.25">
      <c r="A388" s="209"/>
      <c r="B388" s="209"/>
      <c r="C388" s="209"/>
      <c r="D388" s="209"/>
      <c r="E388" s="209"/>
      <c r="F388" s="209"/>
    </row>
    <row r="389" spans="1:6" x14ac:dyDescent="0.25">
      <c r="A389" s="215"/>
      <c r="B389" s="215"/>
      <c r="C389" s="215"/>
      <c r="D389" s="215"/>
      <c r="E389" s="215"/>
      <c r="F389" s="215"/>
    </row>
    <row r="390" spans="1:6" x14ac:dyDescent="0.25">
      <c r="A390" s="209" t="s">
        <v>134</v>
      </c>
      <c r="B390" s="209"/>
      <c r="C390" s="209"/>
      <c r="D390" s="209"/>
      <c r="E390" s="209"/>
      <c r="F390" s="209"/>
    </row>
    <row r="391" spans="1:6" ht="12" customHeight="1" x14ac:dyDescent="0.25">
      <c r="A391" s="209"/>
      <c r="B391" s="209"/>
      <c r="C391" s="209"/>
      <c r="D391" s="209"/>
      <c r="E391" s="209"/>
      <c r="F391" s="209"/>
    </row>
    <row r="392" spans="1:6" x14ac:dyDescent="0.25">
      <c r="A392" s="209"/>
      <c r="B392" s="209"/>
      <c r="C392" s="209"/>
      <c r="D392" s="209"/>
      <c r="E392" s="209"/>
      <c r="F392" s="209"/>
    </row>
    <row r="393" spans="1:6" x14ac:dyDescent="0.25">
      <c r="A393" s="209" t="s">
        <v>135</v>
      </c>
      <c r="B393" s="209"/>
      <c r="C393" s="209"/>
      <c r="D393" s="209"/>
      <c r="E393" s="209"/>
      <c r="F393" s="209"/>
    </row>
    <row r="394" spans="1:6" ht="9" customHeight="1" x14ac:dyDescent="0.25">
      <c r="A394" s="209"/>
      <c r="B394" s="209"/>
      <c r="C394" s="209"/>
      <c r="D394" s="209"/>
      <c r="E394" s="209"/>
      <c r="F394" s="209"/>
    </row>
    <row r="395" spans="1:6" x14ac:dyDescent="0.25">
      <c r="A395" s="209"/>
      <c r="B395" s="209"/>
      <c r="C395" s="209"/>
      <c r="D395" s="209"/>
      <c r="E395" s="209"/>
      <c r="F395" s="209"/>
    </row>
    <row r="396" spans="1:6" ht="21.6" customHeight="1" x14ac:dyDescent="0.25">
      <c r="A396" s="209" t="s">
        <v>136</v>
      </c>
      <c r="B396" s="209"/>
      <c r="C396" s="209"/>
      <c r="D396" s="209"/>
      <c r="E396" s="209"/>
      <c r="F396" s="209"/>
    </row>
    <row r="397" spans="1:6" ht="24" customHeight="1" x14ac:dyDescent="0.25">
      <c r="A397" s="209"/>
      <c r="B397" s="209"/>
      <c r="C397" s="209"/>
      <c r="D397" s="209"/>
      <c r="E397" s="209"/>
      <c r="F397" s="209"/>
    </row>
    <row r="398" spans="1:6" x14ac:dyDescent="0.25">
      <c r="A398" s="209"/>
      <c r="B398" s="209"/>
      <c r="C398" s="209"/>
      <c r="D398" s="209"/>
      <c r="E398" s="209"/>
      <c r="F398" s="209"/>
    </row>
    <row r="399" spans="1:6" ht="20.45" customHeight="1" x14ac:dyDescent="0.25">
      <c r="A399" s="209" t="s">
        <v>153</v>
      </c>
      <c r="B399" s="209"/>
      <c r="C399" s="209"/>
      <c r="D399" s="209"/>
      <c r="E399" s="209"/>
      <c r="F399" s="209"/>
    </row>
    <row r="400" spans="1:6" ht="15.6" customHeight="1" x14ac:dyDescent="0.25">
      <c r="A400" s="209"/>
      <c r="B400" s="209"/>
      <c r="C400" s="209"/>
      <c r="D400" s="209"/>
      <c r="E400" s="209"/>
      <c r="F400" s="209"/>
    </row>
    <row r="401" spans="1:6" x14ac:dyDescent="0.25">
      <c r="A401" s="209"/>
      <c r="B401" s="209"/>
      <c r="C401" s="209"/>
      <c r="D401" s="209"/>
      <c r="E401" s="209"/>
      <c r="F401" s="209"/>
    </row>
    <row r="402" spans="1:6" ht="18" customHeight="1" x14ac:dyDescent="0.25">
      <c r="A402" s="209" t="s">
        <v>137</v>
      </c>
      <c r="B402" s="209"/>
      <c r="C402" s="209"/>
      <c r="D402" s="209"/>
      <c r="E402" s="209"/>
      <c r="F402" s="209"/>
    </row>
    <row r="403" spans="1:6" ht="19.149999999999999" customHeight="1" x14ac:dyDescent="0.25">
      <c r="A403" s="209"/>
      <c r="B403" s="209"/>
      <c r="C403" s="209"/>
      <c r="D403" s="209"/>
      <c r="E403" s="209"/>
      <c r="F403" s="209"/>
    </row>
    <row r="404" spans="1:6" x14ac:dyDescent="0.25">
      <c r="A404" s="209"/>
      <c r="B404" s="209"/>
      <c r="C404" s="209"/>
      <c r="D404" s="209"/>
      <c r="E404" s="209"/>
      <c r="F404" s="209"/>
    </row>
    <row r="405" spans="1:6" ht="24" customHeight="1" x14ac:dyDescent="0.25">
      <c r="A405" s="209" t="s">
        <v>138</v>
      </c>
      <c r="B405" s="209"/>
      <c r="C405" s="209"/>
      <c r="D405" s="209"/>
      <c r="E405" s="209"/>
      <c r="F405" s="209"/>
    </row>
    <row r="406" spans="1:6" ht="24.75" customHeight="1" x14ac:dyDescent="0.25">
      <c r="A406" s="209"/>
      <c r="B406" s="209"/>
      <c r="C406" s="209"/>
      <c r="D406" s="209"/>
      <c r="E406" s="209"/>
      <c r="F406" s="209"/>
    </row>
    <row r="407" spans="1:6" x14ac:dyDescent="0.25">
      <c r="A407" s="209"/>
      <c r="B407" s="209"/>
      <c r="C407" s="209"/>
      <c r="D407" s="209"/>
      <c r="E407" s="209"/>
      <c r="F407" s="209"/>
    </row>
    <row r="408" spans="1:6" ht="15" customHeight="1" x14ac:dyDescent="0.25">
      <c r="A408" s="210" t="s">
        <v>139</v>
      </c>
      <c r="B408" s="210"/>
      <c r="C408" s="210"/>
      <c r="D408" s="210"/>
      <c r="E408" s="210"/>
      <c r="F408" s="210"/>
    </row>
    <row r="409" spans="1:6" x14ac:dyDescent="0.25">
      <c r="A409" s="209"/>
      <c r="B409" s="209"/>
      <c r="C409" s="209"/>
      <c r="D409" s="209"/>
      <c r="E409" s="209"/>
      <c r="F409" s="209"/>
    </row>
    <row r="410" spans="1:6" ht="15" customHeight="1" x14ac:dyDescent="0.25">
      <c r="A410" s="210" t="s">
        <v>140</v>
      </c>
      <c r="B410" s="210"/>
      <c r="C410" s="210"/>
      <c r="D410" s="210"/>
      <c r="E410" s="210"/>
      <c r="F410" s="210"/>
    </row>
    <row r="411" spans="1:6" x14ac:dyDescent="0.25">
      <c r="A411" s="209"/>
      <c r="B411" s="209"/>
      <c r="C411" s="209"/>
      <c r="D411" s="209"/>
      <c r="E411" s="209"/>
      <c r="F411" s="209"/>
    </row>
    <row r="412" spans="1:6" x14ac:dyDescent="0.25">
      <c r="A412" s="209" t="s">
        <v>141</v>
      </c>
      <c r="B412" s="209"/>
      <c r="C412" s="209"/>
      <c r="D412" s="209"/>
      <c r="E412" s="209"/>
      <c r="F412" s="209"/>
    </row>
    <row r="413" spans="1:6" x14ac:dyDescent="0.25">
      <c r="A413" s="209"/>
      <c r="B413" s="209"/>
      <c r="C413" s="209"/>
      <c r="D413" s="209"/>
      <c r="E413" s="209"/>
      <c r="F413" s="209"/>
    </row>
    <row r="414" spans="1:6" x14ac:dyDescent="0.25">
      <c r="A414" s="209"/>
      <c r="B414" s="209"/>
      <c r="C414" s="209"/>
      <c r="D414" s="209"/>
      <c r="E414" s="209"/>
      <c r="F414" s="209"/>
    </row>
    <row r="415" spans="1:6" ht="25.15" customHeight="1" x14ac:dyDescent="0.25">
      <c r="A415" s="209" t="s">
        <v>142</v>
      </c>
      <c r="B415" s="209"/>
      <c r="C415" s="209"/>
      <c r="D415" s="209"/>
      <c r="E415" s="209"/>
      <c r="F415" s="209"/>
    </row>
    <row r="416" spans="1:6" ht="27.75" customHeight="1" x14ac:dyDescent="0.25">
      <c r="A416" s="209"/>
      <c r="B416" s="209"/>
      <c r="C416" s="209"/>
      <c r="D416" s="209"/>
      <c r="E416" s="209"/>
      <c r="F416" s="209"/>
    </row>
    <row r="417" spans="1:6" x14ac:dyDescent="0.25">
      <c r="A417" s="209"/>
      <c r="B417" s="209"/>
      <c r="C417" s="209"/>
      <c r="D417" s="209"/>
      <c r="E417" s="209"/>
      <c r="F417" s="209"/>
    </row>
    <row r="418" spans="1:6" ht="40.15" customHeight="1" x14ac:dyDescent="0.25">
      <c r="A418" s="209" t="s">
        <v>143</v>
      </c>
      <c r="B418" s="209"/>
      <c r="C418" s="209"/>
      <c r="D418" s="209"/>
      <c r="E418" s="209"/>
      <c r="F418" s="209"/>
    </row>
    <row r="419" spans="1:6" ht="57" customHeight="1" x14ac:dyDescent="0.25">
      <c r="A419" s="209"/>
      <c r="B419" s="209"/>
      <c r="C419" s="209"/>
      <c r="D419" s="209"/>
      <c r="E419" s="209"/>
      <c r="F419" s="209"/>
    </row>
    <row r="420" spans="1:6" x14ac:dyDescent="0.25">
      <c r="A420" s="209"/>
      <c r="B420" s="209"/>
      <c r="C420" s="209"/>
      <c r="D420" s="209"/>
      <c r="E420" s="209"/>
      <c r="F420" s="209"/>
    </row>
    <row r="421" spans="1:6" x14ac:dyDescent="0.25">
      <c r="A421" s="209" t="s">
        <v>144</v>
      </c>
      <c r="B421" s="209"/>
      <c r="C421" s="209"/>
      <c r="D421" s="209"/>
      <c r="E421" s="209"/>
      <c r="F421" s="209"/>
    </row>
    <row r="422" spans="1:6" x14ac:dyDescent="0.25">
      <c r="A422" s="209"/>
      <c r="B422" s="209"/>
      <c r="C422" s="209"/>
      <c r="D422" s="209"/>
      <c r="E422" s="209"/>
      <c r="F422" s="209"/>
    </row>
    <row r="423" spans="1:6" x14ac:dyDescent="0.25">
      <c r="A423" s="209"/>
      <c r="B423" s="209"/>
      <c r="C423" s="209"/>
      <c r="D423" s="209"/>
      <c r="E423" s="209"/>
      <c r="F423" s="209"/>
    </row>
    <row r="424" spans="1:6" x14ac:dyDescent="0.25">
      <c r="A424" s="209" t="s">
        <v>145</v>
      </c>
      <c r="B424" s="209"/>
      <c r="C424" s="209"/>
      <c r="D424" s="209"/>
      <c r="E424" s="209"/>
      <c r="F424" s="209"/>
    </row>
    <row r="425" spans="1:6" ht="21" customHeight="1" x14ac:dyDescent="0.25">
      <c r="A425" s="209"/>
      <c r="B425" s="209"/>
      <c r="C425" s="209"/>
      <c r="D425" s="209"/>
      <c r="E425" s="209"/>
      <c r="F425" s="209"/>
    </row>
    <row r="426" spans="1:6" x14ac:dyDescent="0.25">
      <c r="A426" s="209"/>
      <c r="B426" s="209"/>
      <c r="C426" s="209"/>
      <c r="D426" s="209"/>
      <c r="E426" s="209"/>
      <c r="F426" s="209"/>
    </row>
    <row r="427" spans="1:6" ht="24" customHeight="1" x14ac:dyDescent="0.25">
      <c r="A427" s="209" t="s">
        <v>146</v>
      </c>
      <c r="B427" s="209"/>
      <c r="C427" s="209"/>
      <c r="D427" s="209"/>
      <c r="E427" s="209"/>
      <c r="F427" s="209"/>
    </row>
    <row r="428" spans="1:6" ht="26.25" customHeight="1" x14ac:dyDescent="0.25">
      <c r="A428" s="209"/>
      <c r="B428" s="209"/>
      <c r="C428" s="209"/>
      <c r="D428" s="209"/>
      <c r="E428" s="209"/>
      <c r="F428" s="209"/>
    </row>
    <row r="429" spans="1:6" x14ac:dyDescent="0.25">
      <c r="A429" s="209"/>
      <c r="B429" s="209"/>
      <c r="C429" s="209"/>
      <c r="D429" s="209"/>
      <c r="E429" s="209"/>
      <c r="F429" s="209"/>
    </row>
    <row r="430" spans="1:6" x14ac:dyDescent="0.25">
      <c r="A430" s="209" t="s">
        <v>147</v>
      </c>
      <c r="B430" s="209"/>
      <c r="C430" s="209"/>
      <c r="D430" s="209"/>
      <c r="E430" s="209"/>
      <c r="F430" s="209"/>
    </row>
    <row r="431" spans="1:6" ht="17.25" customHeight="1" x14ac:dyDescent="0.25">
      <c r="A431" s="209"/>
      <c r="B431" s="209"/>
      <c r="C431" s="209"/>
      <c r="D431" s="209"/>
      <c r="E431" s="209"/>
      <c r="F431" s="209"/>
    </row>
    <row r="432" spans="1:6" x14ac:dyDescent="0.25">
      <c r="A432" s="209"/>
      <c r="B432" s="209"/>
      <c r="C432" s="209"/>
      <c r="D432" s="209"/>
      <c r="E432" s="209"/>
      <c r="F432" s="209"/>
    </row>
    <row r="433" spans="1:6" x14ac:dyDescent="0.25">
      <c r="A433" s="209" t="s">
        <v>148</v>
      </c>
      <c r="B433" s="209"/>
      <c r="C433" s="209"/>
      <c r="D433" s="209"/>
      <c r="E433" s="209"/>
      <c r="F433" s="209"/>
    </row>
    <row r="434" spans="1:6" ht="16.5" customHeight="1" x14ac:dyDescent="0.25">
      <c r="A434" s="209"/>
      <c r="B434" s="209"/>
      <c r="C434" s="209"/>
      <c r="D434" s="209"/>
      <c r="E434" s="209"/>
      <c r="F434" s="209"/>
    </row>
    <row r="435" spans="1:6" x14ac:dyDescent="0.25">
      <c r="A435" s="209"/>
      <c r="B435" s="209"/>
      <c r="C435" s="209"/>
      <c r="D435" s="209"/>
      <c r="E435" s="209"/>
      <c r="F435" s="209"/>
    </row>
    <row r="436" spans="1:6" ht="29.45" customHeight="1" x14ac:dyDescent="0.25">
      <c r="A436" s="209" t="s">
        <v>154</v>
      </c>
      <c r="B436" s="209"/>
      <c r="C436" s="209"/>
      <c r="D436" s="209"/>
      <c r="E436" s="209"/>
      <c r="F436" s="209"/>
    </row>
    <row r="437" spans="1:6" ht="33" customHeight="1" x14ac:dyDescent="0.25">
      <c r="A437" s="209"/>
      <c r="B437" s="209"/>
      <c r="C437" s="209"/>
      <c r="D437" s="209"/>
      <c r="E437" s="209"/>
      <c r="F437" s="209"/>
    </row>
    <row r="438" spans="1:6" x14ac:dyDescent="0.25">
      <c r="A438" s="209"/>
      <c r="B438" s="209"/>
      <c r="C438" s="209"/>
      <c r="D438" s="209"/>
      <c r="E438" s="209"/>
      <c r="F438" s="209"/>
    </row>
    <row r="439" spans="1:6" ht="17.45" customHeight="1" x14ac:dyDescent="0.25">
      <c r="A439" s="209" t="s">
        <v>149</v>
      </c>
      <c r="B439" s="209"/>
      <c r="C439" s="209"/>
      <c r="D439" s="209"/>
      <c r="E439" s="209"/>
      <c r="F439" s="209"/>
    </row>
    <row r="440" spans="1:6" ht="17.45" customHeight="1" x14ac:dyDescent="0.25">
      <c r="A440" s="209"/>
      <c r="B440" s="209"/>
      <c r="C440" s="209"/>
      <c r="D440" s="209"/>
      <c r="E440" s="209"/>
      <c r="F440" s="209"/>
    </row>
    <row r="441" spans="1:6" x14ac:dyDescent="0.25">
      <c r="A441" s="209"/>
      <c r="B441" s="209"/>
      <c r="C441" s="209"/>
      <c r="D441" s="209"/>
      <c r="E441" s="209"/>
      <c r="F441" s="209"/>
    </row>
    <row r="442" spans="1:6" x14ac:dyDescent="0.25">
      <c r="A442" s="209" t="s">
        <v>155</v>
      </c>
      <c r="B442" s="209"/>
      <c r="C442" s="209"/>
      <c r="D442" s="209"/>
      <c r="E442" s="209"/>
      <c r="F442" s="209"/>
    </row>
    <row r="443" spans="1:6" x14ac:dyDescent="0.25">
      <c r="A443" s="209"/>
      <c r="B443" s="209"/>
      <c r="C443" s="209"/>
      <c r="D443" s="209"/>
      <c r="E443" s="209"/>
      <c r="F443" s="209"/>
    </row>
    <row r="444" spans="1:6" x14ac:dyDescent="0.25">
      <c r="A444" s="209"/>
      <c r="B444" s="209"/>
      <c r="C444" s="209"/>
      <c r="D444" s="209"/>
      <c r="E444" s="209"/>
      <c r="F444" s="209"/>
    </row>
    <row r="445" spans="1:6" ht="15.6" customHeight="1" x14ac:dyDescent="0.25">
      <c r="A445" s="209" t="s">
        <v>150</v>
      </c>
      <c r="B445" s="209"/>
      <c r="C445" s="209"/>
      <c r="D445" s="209"/>
      <c r="E445" s="209"/>
      <c r="F445" s="209"/>
    </row>
    <row r="446" spans="1:6" ht="16.5" customHeight="1" x14ac:dyDescent="0.25">
      <c r="A446" s="209"/>
      <c r="B446" s="209"/>
      <c r="C446" s="209"/>
      <c r="D446" s="209"/>
      <c r="E446" s="209"/>
      <c r="F446" s="209"/>
    </row>
    <row r="447" spans="1:6" x14ac:dyDescent="0.25">
      <c r="A447" s="209"/>
      <c r="B447" s="209"/>
      <c r="C447" s="209"/>
      <c r="D447" s="209"/>
      <c r="E447" s="209"/>
      <c r="F447" s="209"/>
    </row>
    <row r="448" spans="1:6" x14ac:dyDescent="0.25">
      <c r="A448" s="209" t="s">
        <v>151</v>
      </c>
      <c r="B448" s="209"/>
      <c r="C448" s="209"/>
      <c r="D448" s="209"/>
      <c r="E448" s="209"/>
      <c r="F448" s="209"/>
    </row>
    <row r="449" spans="1:6" ht="16.5" customHeight="1" x14ac:dyDescent="0.25">
      <c r="A449" s="209"/>
      <c r="B449" s="209"/>
      <c r="C449" s="209"/>
      <c r="D449" s="209"/>
      <c r="E449" s="209"/>
      <c r="F449" s="209"/>
    </row>
    <row r="450" spans="1:6" x14ac:dyDescent="0.25">
      <c r="A450" s="209"/>
      <c r="B450" s="209"/>
      <c r="C450" s="209"/>
      <c r="D450" s="209"/>
      <c r="E450" s="209"/>
      <c r="F450" s="209"/>
    </row>
    <row r="451" spans="1:6" ht="15.6" customHeight="1" x14ac:dyDescent="0.25">
      <c r="A451" s="209" t="s">
        <v>152</v>
      </c>
      <c r="B451" s="209"/>
      <c r="C451" s="209"/>
      <c r="D451" s="209"/>
      <c r="E451" s="209"/>
      <c r="F451" s="209"/>
    </row>
    <row r="452" spans="1:6" ht="23.25" customHeight="1" x14ac:dyDescent="0.25">
      <c r="A452" s="209"/>
      <c r="B452" s="209"/>
      <c r="C452" s="209"/>
      <c r="D452" s="209"/>
      <c r="E452" s="209"/>
      <c r="F452" s="209"/>
    </row>
    <row r="453" spans="1:6" x14ac:dyDescent="0.25">
      <c r="A453" s="215"/>
      <c r="B453" s="215"/>
      <c r="C453" s="215"/>
      <c r="D453" s="215"/>
      <c r="E453" s="215"/>
      <c r="F453" s="215"/>
    </row>
    <row r="454" spans="1:6" x14ac:dyDescent="0.25">
      <c r="A454" s="217" t="s">
        <v>156</v>
      </c>
      <c r="B454" s="217"/>
      <c r="C454" s="217"/>
      <c r="D454" s="217"/>
      <c r="E454" s="217"/>
      <c r="F454" s="217"/>
    </row>
    <row r="455" spans="1:6" x14ac:dyDescent="0.25">
      <c r="A455" s="217"/>
      <c r="B455" s="217"/>
      <c r="C455" s="217"/>
      <c r="D455" s="217"/>
      <c r="E455" s="217"/>
      <c r="F455" s="217"/>
    </row>
    <row r="456" spans="1:6" x14ac:dyDescent="0.25">
      <c r="A456" s="215"/>
      <c r="B456" s="215"/>
      <c r="C456" s="215"/>
      <c r="D456" s="215"/>
      <c r="E456" s="215"/>
      <c r="F456" s="215"/>
    </row>
    <row r="457" spans="1:6" ht="30" customHeight="1" x14ac:dyDescent="0.25">
      <c r="A457" s="209" t="s">
        <v>157</v>
      </c>
      <c r="B457" s="209"/>
      <c r="C457" s="209"/>
      <c r="D457" s="209"/>
      <c r="E457" s="209"/>
      <c r="F457" s="209"/>
    </row>
    <row r="458" spans="1:6" ht="33.75" customHeight="1" x14ac:dyDescent="0.25">
      <c r="A458" s="209"/>
      <c r="B458" s="209"/>
      <c r="C458" s="209"/>
      <c r="D458" s="209"/>
      <c r="E458" s="209"/>
      <c r="F458" s="209"/>
    </row>
    <row r="459" spans="1:6" x14ac:dyDescent="0.25">
      <c r="A459" s="209"/>
      <c r="B459" s="209"/>
      <c r="C459" s="209"/>
      <c r="D459" s="209"/>
      <c r="E459" s="209"/>
      <c r="F459" s="209"/>
    </row>
    <row r="460" spans="1:6" x14ac:dyDescent="0.25">
      <c r="A460" s="209" t="s">
        <v>158</v>
      </c>
      <c r="B460" s="209"/>
      <c r="C460" s="209"/>
      <c r="D460" s="209"/>
      <c r="E460" s="209"/>
      <c r="F460" s="209"/>
    </row>
    <row r="461" spans="1:6" x14ac:dyDescent="0.25">
      <c r="A461" s="209"/>
      <c r="B461" s="209"/>
      <c r="C461" s="209"/>
      <c r="D461" s="209"/>
      <c r="E461" s="209"/>
      <c r="F461" s="209"/>
    </row>
    <row r="462" spans="1:6" x14ac:dyDescent="0.25">
      <c r="A462" s="209"/>
      <c r="B462" s="209"/>
      <c r="C462" s="209"/>
      <c r="D462" s="209"/>
      <c r="E462" s="209"/>
      <c r="F462" s="209"/>
    </row>
    <row r="463" spans="1:6" ht="25.9" customHeight="1" x14ac:dyDescent="0.25">
      <c r="A463" s="209" t="s">
        <v>159</v>
      </c>
      <c r="B463" s="209"/>
      <c r="C463" s="209"/>
      <c r="D463" s="209"/>
      <c r="E463" s="209"/>
      <c r="F463" s="209"/>
    </row>
    <row r="464" spans="1:6" ht="28.5" customHeight="1" x14ac:dyDescent="0.25">
      <c r="A464" s="209"/>
      <c r="B464" s="209"/>
      <c r="C464" s="209"/>
      <c r="D464" s="209"/>
      <c r="E464" s="209"/>
      <c r="F464" s="209"/>
    </row>
    <row r="465" spans="1:6" x14ac:dyDescent="0.25">
      <c r="A465" s="209"/>
      <c r="B465" s="209"/>
      <c r="C465" s="209"/>
      <c r="D465" s="209"/>
      <c r="E465" s="209"/>
      <c r="F465" s="209"/>
    </row>
    <row r="466" spans="1:6" ht="22.15" customHeight="1" x14ac:dyDescent="0.25">
      <c r="A466" s="209" t="s">
        <v>160</v>
      </c>
      <c r="B466" s="209"/>
      <c r="C466" s="209"/>
      <c r="D466" s="209"/>
      <c r="E466" s="209"/>
      <c r="F466" s="209"/>
    </row>
    <row r="467" spans="1:6" ht="27" customHeight="1" x14ac:dyDescent="0.25">
      <c r="A467" s="209"/>
      <c r="B467" s="209"/>
      <c r="C467" s="209"/>
      <c r="D467" s="209"/>
      <c r="E467" s="209"/>
      <c r="F467" s="209"/>
    </row>
    <row r="468" spans="1:6" x14ac:dyDescent="0.25">
      <c r="A468" s="209"/>
      <c r="B468" s="209"/>
      <c r="C468" s="209"/>
      <c r="D468" s="209"/>
      <c r="E468" s="209"/>
      <c r="F468" s="209"/>
    </row>
    <row r="469" spans="1:6" ht="31.15" customHeight="1" x14ac:dyDescent="0.25">
      <c r="A469" s="209" t="s">
        <v>161</v>
      </c>
      <c r="B469" s="209"/>
      <c r="C469" s="209"/>
      <c r="D469" s="209"/>
      <c r="E469" s="209"/>
      <c r="F469" s="209"/>
    </row>
    <row r="470" spans="1:6" ht="32.25" customHeight="1" x14ac:dyDescent="0.25">
      <c r="A470" s="209"/>
      <c r="B470" s="209"/>
      <c r="C470" s="209"/>
      <c r="D470" s="209"/>
      <c r="E470" s="209"/>
      <c r="F470" s="209"/>
    </row>
    <row r="471" spans="1:6" x14ac:dyDescent="0.25">
      <c r="A471" s="209"/>
      <c r="B471" s="209"/>
      <c r="C471" s="209"/>
      <c r="D471" s="209"/>
      <c r="E471" s="209"/>
      <c r="F471" s="209"/>
    </row>
    <row r="472" spans="1:6" ht="63" customHeight="1" x14ac:dyDescent="0.25">
      <c r="A472" s="209" t="s">
        <v>162</v>
      </c>
      <c r="B472" s="209"/>
      <c r="C472" s="209"/>
      <c r="D472" s="209"/>
      <c r="E472" s="209"/>
      <c r="F472" s="209"/>
    </row>
    <row r="473" spans="1:6" ht="62.25" customHeight="1" x14ac:dyDescent="0.25">
      <c r="A473" s="209"/>
      <c r="B473" s="209"/>
      <c r="C473" s="209"/>
      <c r="D473" s="209"/>
      <c r="E473" s="209"/>
      <c r="F473" s="209"/>
    </row>
    <row r="474" spans="1:6" x14ac:dyDescent="0.25">
      <c r="A474" s="209"/>
      <c r="B474" s="209"/>
      <c r="C474" s="209"/>
      <c r="D474" s="209"/>
      <c r="E474" s="209"/>
      <c r="F474" s="209"/>
    </row>
    <row r="475" spans="1:6" ht="28.15" customHeight="1" x14ac:dyDescent="0.25">
      <c r="A475" s="209" t="s">
        <v>163</v>
      </c>
      <c r="B475" s="209"/>
      <c r="C475" s="209"/>
      <c r="D475" s="209"/>
      <c r="E475" s="209"/>
      <c r="F475" s="209"/>
    </row>
    <row r="476" spans="1:6" ht="37.5" customHeight="1" x14ac:dyDescent="0.25">
      <c r="A476" s="209"/>
      <c r="B476" s="209"/>
      <c r="C476" s="209"/>
      <c r="D476" s="209"/>
      <c r="E476" s="209"/>
      <c r="F476" s="209"/>
    </row>
    <row r="477" spans="1:6" x14ac:dyDescent="0.25">
      <c r="A477" s="209"/>
      <c r="B477" s="209"/>
      <c r="C477" s="209"/>
      <c r="D477" s="209"/>
      <c r="E477" s="209"/>
      <c r="F477" s="209"/>
    </row>
    <row r="478" spans="1:6" ht="15" customHeight="1" x14ac:dyDescent="0.25">
      <c r="A478" s="210" t="s">
        <v>164</v>
      </c>
      <c r="B478" s="210"/>
      <c r="C478" s="210"/>
      <c r="D478" s="210"/>
      <c r="E478" s="210"/>
      <c r="F478" s="210"/>
    </row>
    <row r="479" spans="1:6" x14ac:dyDescent="0.25">
      <c r="A479" s="209"/>
      <c r="B479" s="209"/>
      <c r="C479" s="209"/>
      <c r="D479" s="209"/>
      <c r="E479" s="209"/>
      <c r="F479" s="209"/>
    </row>
    <row r="480" spans="1:6" x14ac:dyDescent="0.25">
      <c r="A480" s="209" t="s">
        <v>169</v>
      </c>
      <c r="B480" s="209"/>
      <c r="C480" s="209"/>
      <c r="D480" s="209"/>
      <c r="E480" s="209"/>
      <c r="F480" s="209"/>
    </row>
    <row r="481" spans="1:6" x14ac:dyDescent="0.25">
      <c r="A481" s="209"/>
      <c r="B481" s="209"/>
      <c r="C481" s="209"/>
      <c r="D481" s="209"/>
      <c r="E481" s="209"/>
      <c r="F481" s="209"/>
    </row>
    <row r="482" spans="1:6" x14ac:dyDescent="0.25">
      <c r="A482" s="209"/>
      <c r="B482" s="209"/>
      <c r="C482" s="209"/>
      <c r="D482" s="209"/>
      <c r="E482" s="209"/>
      <c r="F482" s="209"/>
    </row>
    <row r="483" spans="1:6" ht="26.45" customHeight="1" x14ac:dyDescent="0.25">
      <c r="A483" s="209" t="s">
        <v>165</v>
      </c>
      <c r="B483" s="209"/>
      <c r="C483" s="209"/>
      <c r="D483" s="209"/>
      <c r="E483" s="209"/>
      <c r="F483" s="209"/>
    </row>
    <row r="484" spans="1:6" ht="19.149999999999999" customHeight="1" x14ac:dyDescent="0.25">
      <c r="A484" s="209"/>
      <c r="B484" s="209"/>
      <c r="C484" s="209"/>
      <c r="D484" s="209"/>
      <c r="E484" s="209"/>
      <c r="F484" s="209"/>
    </row>
    <row r="485" spans="1:6" x14ac:dyDescent="0.25">
      <c r="A485" s="209"/>
      <c r="B485" s="209"/>
      <c r="C485" s="209"/>
      <c r="D485" s="209"/>
      <c r="E485" s="209"/>
      <c r="F485" s="209"/>
    </row>
    <row r="486" spans="1:6" ht="15" customHeight="1" x14ac:dyDescent="0.25">
      <c r="A486" s="214" t="s">
        <v>166</v>
      </c>
      <c r="B486" s="214"/>
      <c r="C486" s="214"/>
      <c r="D486" s="214"/>
      <c r="E486" s="214"/>
      <c r="F486" s="214"/>
    </row>
    <row r="487" spans="1:6" x14ac:dyDescent="0.25">
      <c r="A487" s="209"/>
      <c r="B487" s="209"/>
      <c r="C487" s="209"/>
      <c r="D487" s="209"/>
      <c r="E487" s="209"/>
      <c r="F487" s="209"/>
    </row>
    <row r="488" spans="1:6" ht="15" customHeight="1" x14ac:dyDescent="0.25">
      <c r="A488" s="210" t="s">
        <v>167</v>
      </c>
      <c r="B488" s="210"/>
      <c r="C488" s="210"/>
      <c r="D488" s="210"/>
      <c r="E488" s="210"/>
      <c r="F488" s="210"/>
    </row>
    <row r="489" spans="1:6" x14ac:dyDescent="0.25">
      <c r="A489" s="209"/>
      <c r="B489" s="209"/>
      <c r="C489" s="209"/>
      <c r="D489" s="209"/>
      <c r="E489" s="209"/>
      <c r="F489" s="209"/>
    </row>
    <row r="490" spans="1:6" ht="34.5" customHeight="1" x14ac:dyDescent="0.25">
      <c r="A490" s="210" t="s">
        <v>168</v>
      </c>
      <c r="B490" s="210"/>
      <c r="C490" s="210"/>
      <c r="D490" s="210"/>
      <c r="E490" s="210"/>
      <c r="F490" s="210"/>
    </row>
    <row r="491" spans="1:6" x14ac:dyDescent="0.25">
      <c r="A491" s="215"/>
      <c r="B491" s="215"/>
      <c r="C491" s="215"/>
      <c r="D491" s="215"/>
      <c r="E491" s="215"/>
      <c r="F491" s="215"/>
    </row>
    <row r="492" spans="1:6" x14ac:dyDescent="0.25">
      <c r="A492" s="227" t="s">
        <v>329</v>
      </c>
      <c r="B492" s="227"/>
      <c r="C492" s="227"/>
      <c r="D492" s="227"/>
      <c r="E492" s="227"/>
      <c r="F492" s="227"/>
    </row>
    <row r="493" spans="1:6" ht="15" customHeight="1" x14ac:dyDescent="0.25">
      <c r="A493" s="214" t="s">
        <v>466</v>
      </c>
      <c r="B493" s="214"/>
      <c r="C493" s="214"/>
      <c r="D493" s="214"/>
      <c r="E493" s="214"/>
      <c r="F493" s="214"/>
    </row>
    <row r="494" spans="1:6" ht="48.75" customHeight="1" x14ac:dyDescent="0.25">
      <c r="A494" s="210" t="s">
        <v>260</v>
      </c>
      <c r="B494" s="210"/>
      <c r="C494" s="210"/>
      <c r="D494" s="210"/>
      <c r="E494" s="210"/>
      <c r="F494" s="210"/>
    </row>
    <row r="495" spans="1:6" ht="52.5" customHeight="1" x14ac:dyDescent="0.25">
      <c r="A495" s="210" t="s">
        <v>330</v>
      </c>
      <c r="B495" s="210"/>
      <c r="C495" s="210"/>
      <c r="D495" s="210"/>
      <c r="E495" s="210"/>
      <c r="F495" s="210"/>
    </row>
    <row r="496" spans="1:6" ht="40.5" customHeight="1" x14ac:dyDescent="0.25">
      <c r="A496" s="210" t="s">
        <v>331</v>
      </c>
      <c r="B496" s="210"/>
      <c r="C496" s="210"/>
      <c r="D496" s="210"/>
      <c r="E496" s="210"/>
      <c r="F496" s="210"/>
    </row>
    <row r="497" spans="1:6" ht="57.75" customHeight="1" x14ac:dyDescent="0.25">
      <c r="A497" s="210" t="s">
        <v>332</v>
      </c>
      <c r="B497" s="210"/>
      <c r="C497" s="210"/>
      <c r="D497" s="210"/>
      <c r="E497" s="210"/>
      <c r="F497" s="210"/>
    </row>
    <row r="498" spans="1:6" x14ac:dyDescent="0.25">
      <c r="A498" s="210" t="s">
        <v>333</v>
      </c>
      <c r="B498" s="210"/>
      <c r="C498" s="210"/>
      <c r="D498" s="210"/>
      <c r="E498" s="210"/>
      <c r="F498" s="210"/>
    </row>
    <row r="499" spans="1:6" x14ac:dyDescent="0.25">
      <c r="A499" s="210" t="s">
        <v>334</v>
      </c>
      <c r="B499" s="210"/>
      <c r="C499" s="210"/>
      <c r="D499" s="210"/>
      <c r="E499" s="210"/>
      <c r="F499" s="210"/>
    </row>
    <row r="500" spans="1:6" x14ac:dyDescent="0.25">
      <c r="A500" s="210" t="s">
        <v>335</v>
      </c>
      <c r="B500" s="210"/>
      <c r="C500" s="210"/>
      <c r="D500" s="210"/>
      <c r="E500" s="210"/>
      <c r="F500" s="210"/>
    </row>
    <row r="501" spans="1:6" x14ac:dyDescent="0.25">
      <c r="A501" s="210" t="s">
        <v>336</v>
      </c>
      <c r="B501" s="210"/>
      <c r="C501" s="210"/>
      <c r="D501" s="210"/>
      <c r="E501" s="210"/>
      <c r="F501" s="210"/>
    </row>
    <row r="502" spans="1:6" x14ac:dyDescent="0.25">
      <c r="A502" s="210" t="s">
        <v>337</v>
      </c>
      <c r="B502" s="210"/>
      <c r="C502" s="210"/>
      <c r="D502" s="210"/>
      <c r="E502" s="210"/>
      <c r="F502" s="210"/>
    </row>
    <row r="503" spans="1:6" x14ac:dyDescent="0.25">
      <c r="A503" s="210" t="s">
        <v>338</v>
      </c>
      <c r="B503" s="210"/>
      <c r="C503" s="210"/>
      <c r="D503" s="210"/>
      <c r="E503" s="210"/>
      <c r="F503" s="210"/>
    </row>
    <row r="504" spans="1:6" x14ac:dyDescent="0.25">
      <c r="A504" s="210" t="s">
        <v>339</v>
      </c>
      <c r="B504" s="210"/>
      <c r="C504" s="210"/>
      <c r="D504" s="210"/>
      <c r="E504" s="210"/>
      <c r="F504" s="210"/>
    </row>
    <row r="505" spans="1:6" ht="45.75" customHeight="1" x14ac:dyDescent="0.25">
      <c r="A505" s="210" t="s">
        <v>340</v>
      </c>
      <c r="B505" s="210"/>
      <c r="C505" s="210"/>
      <c r="D505" s="210"/>
      <c r="E505" s="210"/>
      <c r="F505" s="210"/>
    </row>
    <row r="506" spans="1:6" ht="34.5" customHeight="1" x14ac:dyDescent="0.25">
      <c r="A506" s="210" t="s">
        <v>181</v>
      </c>
      <c r="B506" s="210"/>
      <c r="C506" s="210"/>
      <c r="D506" s="210"/>
      <c r="E506" s="210"/>
      <c r="F506" s="210"/>
    </row>
    <row r="507" spans="1:6" ht="36" customHeight="1" x14ac:dyDescent="0.25">
      <c r="A507" s="210" t="s">
        <v>182</v>
      </c>
      <c r="B507" s="210"/>
      <c r="C507" s="210"/>
      <c r="D507" s="210"/>
      <c r="E507" s="210"/>
      <c r="F507" s="210"/>
    </row>
    <row r="508" spans="1:6" ht="51" customHeight="1" x14ac:dyDescent="0.25">
      <c r="A508" s="210" t="s">
        <v>261</v>
      </c>
      <c r="B508" s="210"/>
      <c r="C508" s="210"/>
      <c r="D508" s="210"/>
      <c r="E508" s="210"/>
      <c r="F508" s="210"/>
    </row>
    <row r="509" spans="1:6" x14ac:dyDescent="0.25">
      <c r="A509" s="210" t="s">
        <v>341</v>
      </c>
      <c r="B509" s="210"/>
      <c r="C509" s="210"/>
      <c r="D509" s="210"/>
      <c r="E509" s="210"/>
      <c r="F509" s="210"/>
    </row>
    <row r="510" spans="1:6" ht="29.25" customHeight="1" x14ac:dyDescent="0.25">
      <c r="A510" s="210" t="s">
        <v>183</v>
      </c>
      <c r="B510" s="210"/>
      <c r="C510" s="210"/>
      <c r="D510" s="210"/>
      <c r="E510" s="210"/>
      <c r="F510" s="210"/>
    </row>
    <row r="511" spans="1:6" ht="35.25" customHeight="1" x14ac:dyDescent="0.25">
      <c r="A511" s="210" t="s">
        <v>184</v>
      </c>
      <c r="B511" s="210"/>
      <c r="C511" s="210"/>
      <c r="D511" s="210"/>
      <c r="E511" s="210"/>
      <c r="F511" s="210"/>
    </row>
    <row r="512" spans="1:6" ht="51.75" customHeight="1" x14ac:dyDescent="0.25">
      <c r="A512" s="210" t="s">
        <v>185</v>
      </c>
      <c r="B512" s="210"/>
      <c r="C512" s="210"/>
      <c r="D512" s="210"/>
      <c r="E512" s="210"/>
      <c r="F512" s="210"/>
    </row>
    <row r="513" spans="1:6" ht="36" customHeight="1" x14ac:dyDescent="0.25">
      <c r="A513" s="210" t="s">
        <v>186</v>
      </c>
      <c r="B513" s="210"/>
      <c r="C513" s="210"/>
      <c r="D513" s="210"/>
      <c r="E513" s="210"/>
      <c r="F513" s="210"/>
    </row>
    <row r="514" spans="1:6" x14ac:dyDescent="0.25">
      <c r="A514" s="210" t="s">
        <v>263</v>
      </c>
      <c r="B514" s="210"/>
      <c r="C514" s="210"/>
      <c r="D514" s="210"/>
      <c r="E514" s="210"/>
      <c r="F514" s="210"/>
    </row>
    <row r="515" spans="1:6" ht="21.75" customHeight="1" x14ac:dyDescent="0.25">
      <c r="A515" s="210" t="s">
        <v>264</v>
      </c>
      <c r="B515" s="210"/>
      <c r="C515" s="210"/>
      <c r="D515" s="210"/>
      <c r="E515" s="210"/>
      <c r="F515" s="210"/>
    </row>
    <row r="516" spans="1:6" x14ac:dyDescent="0.25">
      <c r="A516" s="210" t="s">
        <v>342</v>
      </c>
      <c r="B516" s="210"/>
      <c r="C516" s="210"/>
      <c r="D516" s="210"/>
      <c r="E516" s="210"/>
      <c r="F516" s="210"/>
    </row>
    <row r="517" spans="1:6" ht="36.75" customHeight="1" x14ac:dyDescent="0.25">
      <c r="A517" s="210" t="s">
        <v>187</v>
      </c>
      <c r="B517" s="210"/>
      <c r="C517" s="210"/>
      <c r="D517" s="210"/>
      <c r="E517" s="210"/>
      <c r="F517" s="210"/>
    </row>
    <row r="518" spans="1:6" x14ac:dyDescent="0.25">
      <c r="A518" s="226" t="s">
        <v>188</v>
      </c>
      <c r="B518" s="226"/>
      <c r="C518" s="226"/>
      <c r="D518" s="226"/>
      <c r="E518" s="226"/>
      <c r="F518" s="226"/>
    </row>
    <row r="519" spans="1:6" x14ac:dyDescent="0.25">
      <c r="A519" s="210" t="s">
        <v>189</v>
      </c>
      <c r="B519" s="210"/>
      <c r="C519" s="210"/>
      <c r="D519" s="210"/>
      <c r="E519" s="210"/>
      <c r="F519" s="210"/>
    </row>
    <row r="520" spans="1:6" ht="81" customHeight="1" x14ac:dyDescent="0.25">
      <c r="A520" s="210" t="s">
        <v>190</v>
      </c>
      <c r="B520" s="210"/>
      <c r="C520" s="210"/>
      <c r="D520" s="210"/>
      <c r="E520" s="210"/>
      <c r="F520" s="210"/>
    </row>
    <row r="521" spans="1:6" ht="68.25" customHeight="1" x14ac:dyDescent="0.25">
      <c r="A521" s="210" t="s">
        <v>191</v>
      </c>
      <c r="B521" s="210"/>
      <c r="C521" s="210"/>
      <c r="D521" s="210"/>
      <c r="E521" s="210"/>
      <c r="F521" s="210"/>
    </row>
    <row r="522" spans="1:6" ht="98.25" customHeight="1" x14ac:dyDescent="0.25">
      <c r="A522" s="210" t="s">
        <v>192</v>
      </c>
      <c r="B522" s="210"/>
      <c r="C522" s="210"/>
      <c r="D522" s="210"/>
      <c r="E522" s="210"/>
      <c r="F522" s="210"/>
    </row>
    <row r="523" spans="1:6" ht="78" customHeight="1" x14ac:dyDescent="0.25">
      <c r="A523" s="210" t="s">
        <v>343</v>
      </c>
      <c r="B523" s="210"/>
      <c r="C523" s="210"/>
      <c r="D523" s="210"/>
      <c r="E523" s="210"/>
      <c r="F523" s="210"/>
    </row>
    <row r="524" spans="1:6" ht="40.5" customHeight="1" x14ac:dyDescent="0.25">
      <c r="A524" s="210" t="s">
        <v>193</v>
      </c>
      <c r="B524" s="210"/>
      <c r="C524" s="210"/>
      <c r="D524" s="210"/>
      <c r="E524" s="210"/>
      <c r="F524" s="210"/>
    </row>
    <row r="525" spans="1:6" ht="34.5" customHeight="1" x14ac:dyDescent="0.25">
      <c r="A525" s="210" t="s">
        <v>344</v>
      </c>
      <c r="B525" s="210"/>
      <c r="C525" s="210"/>
      <c r="D525" s="210"/>
      <c r="E525" s="210"/>
      <c r="F525" s="210"/>
    </row>
    <row r="526" spans="1:6" ht="32.25" customHeight="1" x14ac:dyDescent="0.25">
      <c r="A526" s="210" t="s">
        <v>194</v>
      </c>
      <c r="B526" s="210"/>
      <c r="C526" s="210"/>
      <c r="D526" s="210"/>
      <c r="E526" s="210"/>
      <c r="F526" s="210"/>
    </row>
    <row r="527" spans="1:6" ht="37.5" customHeight="1" x14ac:dyDescent="0.25">
      <c r="A527" s="210" t="s">
        <v>195</v>
      </c>
      <c r="B527" s="210"/>
      <c r="C527" s="210"/>
      <c r="D527" s="210"/>
      <c r="E527" s="210"/>
      <c r="F527" s="210"/>
    </row>
    <row r="528" spans="1:6" ht="63" customHeight="1" x14ac:dyDescent="0.25">
      <c r="A528" s="210" t="s">
        <v>196</v>
      </c>
      <c r="B528" s="210"/>
      <c r="C528" s="210"/>
      <c r="D528" s="210"/>
      <c r="E528" s="210"/>
      <c r="F528" s="210"/>
    </row>
    <row r="529" spans="1:6" ht="64.5" customHeight="1" x14ac:dyDescent="0.25">
      <c r="A529" s="210" t="s">
        <v>197</v>
      </c>
      <c r="B529" s="210"/>
      <c r="C529" s="210"/>
      <c r="D529" s="210"/>
      <c r="E529" s="210"/>
      <c r="F529" s="210"/>
    </row>
    <row r="530" spans="1:6" ht="130.5" customHeight="1" x14ac:dyDescent="0.25">
      <c r="A530" s="210" t="s">
        <v>198</v>
      </c>
      <c r="B530" s="210"/>
      <c r="C530" s="210"/>
      <c r="D530" s="210"/>
      <c r="E530" s="210"/>
      <c r="F530" s="210"/>
    </row>
    <row r="531" spans="1:6" x14ac:dyDescent="0.25">
      <c r="A531" s="226" t="s">
        <v>199</v>
      </c>
      <c r="B531" s="226"/>
      <c r="C531" s="226"/>
      <c r="D531" s="226"/>
      <c r="E531" s="226"/>
      <c r="F531" s="226"/>
    </row>
    <row r="532" spans="1:6" ht="99" customHeight="1" x14ac:dyDescent="0.25">
      <c r="A532" s="210" t="s">
        <v>200</v>
      </c>
      <c r="B532" s="210"/>
      <c r="C532" s="210"/>
      <c r="D532" s="210"/>
      <c r="E532" s="210"/>
      <c r="F532" s="210"/>
    </row>
    <row r="533" spans="1:6" ht="193.5" customHeight="1" x14ac:dyDescent="0.25">
      <c r="A533" s="210" t="s">
        <v>345</v>
      </c>
      <c r="B533" s="210"/>
      <c r="C533" s="210"/>
      <c r="D533" s="210"/>
      <c r="E533" s="210"/>
      <c r="F533" s="210"/>
    </row>
    <row r="534" spans="1:6" x14ac:dyDescent="0.25">
      <c r="A534" s="226" t="s">
        <v>201</v>
      </c>
      <c r="B534" s="226"/>
      <c r="C534" s="226"/>
      <c r="D534" s="226"/>
      <c r="E534" s="226"/>
      <c r="F534" s="226"/>
    </row>
    <row r="535" spans="1:6" ht="119.25" customHeight="1" x14ac:dyDescent="0.25">
      <c r="A535" s="210" t="s">
        <v>202</v>
      </c>
      <c r="B535" s="210"/>
      <c r="C535" s="210"/>
      <c r="D535" s="210"/>
      <c r="E535" s="210"/>
      <c r="F535" s="210"/>
    </row>
    <row r="536" spans="1:6" x14ac:dyDescent="0.25">
      <c r="A536" s="226" t="s">
        <v>203</v>
      </c>
      <c r="B536" s="210"/>
      <c r="C536" s="210"/>
      <c r="D536" s="210"/>
      <c r="E536" s="210"/>
      <c r="F536" s="210"/>
    </row>
    <row r="537" spans="1:6" ht="185.25" customHeight="1" x14ac:dyDescent="0.25">
      <c r="A537" s="210" t="s">
        <v>346</v>
      </c>
      <c r="B537" s="210"/>
      <c r="C537" s="210"/>
      <c r="D537" s="210"/>
      <c r="E537" s="210"/>
      <c r="F537" s="210"/>
    </row>
    <row r="538" spans="1:6" ht="141" customHeight="1" x14ac:dyDescent="0.25">
      <c r="A538" s="210" t="s">
        <v>328</v>
      </c>
      <c r="B538" s="210"/>
      <c r="C538" s="210"/>
      <c r="D538" s="210"/>
      <c r="E538" s="210"/>
      <c r="F538" s="210"/>
    </row>
    <row r="539" spans="1:6" x14ac:dyDescent="0.25">
      <c r="A539" s="226" t="s">
        <v>204</v>
      </c>
      <c r="B539" s="226"/>
      <c r="C539" s="226"/>
      <c r="D539" s="226"/>
      <c r="E539" s="226"/>
      <c r="F539" s="226"/>
    </row>
    <row r="540" spans="1:6" x14ac:dyDescent="0.25">
      <c r="A540" s="210" t="s">
        <v>189</v>
      </c>
      <c r="B540" s="210"/>
      <c r="C540" s="210"/>
      <c r="D540" s="210"/>
      <c r="E540" s="210"/>
      <c r="F540" s="210"/>
    </row>
    <row r="541" spans="1:6" ht="79.5" customHeight="1" x14ac:dyDescent="0.25">
      <c r="A541" s="210" t="s">
        <v>205</v>
      </c>
      <c r="B541" s="210"/>
      <c r="C541" s="210"/>
      <c r="D541" s="210"/>
      <c r="E541" s="210"/>
      <c r="F541" s="210"/>
    </row>
    <row r="542" spans="1:6" ht="94.5" customHeight="1" x14ac:dyDescent="0.25">
      <c r="A542" s="210" t="s">
        <v>347</v>
      </c>
      <c r="B542" s="210"/>
      <c r="C542" s="210"/>
      <c r="D542" s="210"/>
      <c r="E542" s="210"/>
      <c r="F542" s="210"/>
    </row>
    <row r="543" spans="1:6" ht="147.75" customHeight="1" x14ac:dyDescent="0.25">
      <c r="A543" s="210" t="s">
        <v>348</v>
      </c>
      <c r="B543" s="210"/>
      <c r="C543" s="210"/>
      <c r="D543" s="210"/>
      <c r="E543" s="210"/>
      <c r="F543" s="210"/>
    </row>
    <row r="544" spans="1:6" ht="159.75" customHeight="1" x14ac:dyDescent="0.25">
      <c r="A544" s="229" t="s">
        <v>265</v>
      </c>
      <c r="B544" s="210"/>
      <c r="C544" s="210"/>
      <c r="D544" s="210"/>
      <c r="E544" s="210"/>
      <c r="F544" s="210"/>
    </row>
    <row r="545" spans="1:6" ht="99.75" customHeight="1" x14ac:dyDescent="0.25">
      <c r="A545" s="210" t="s">
        <v>349</v>
      </c>
      <c r="B545" s="210"/>
      <c r="C545" s="210"/>
      <c r="D545" s="210"/>
      <c r="E545" s="210"/>
      <c r="F545" s="210"/>
    </row>
    <row r="546" spans="1:6" ht="154.5" customHeight="1" x14ac:dyDescent="0.25">
      <c r="A546" s="210" t="s">
        <v>350</v>
      </c>
      <c r="B546" s="210"/>
      <c r="C546" s="210"/>
      <c r="D546" s="210"/>
      <c r="E546" s="210"/>
      <c r="F546" s="210"/>
    </row>
    <row r="547" spans="1:6" ht="99.75" customHeight="1" x14ac:dyDescent="0.25">
      <c r="A547" s="210" t="s">
        <v>351</v>
      </c>
      <c r="B547" s="210"/>
      <c r="C547" s="210"/>
      <c r="D547" s="210"/>
      <c r="E547" s="210"/>
      <c r="F547" s="210"/>
    </row>
    <row r="548" spans="1:6" ht="63" customHeight="1" x14ac:dyDescent="0.25">
      <c r="A548" s="210" t="s">
        <v>206</v>
      </c>
      <c r="B548" s="210"/>
      <c r="C548" s="210"/>
      <c r="D548" s="210"/>
      <c r="E548" s="210"/>
      <c r="F548" s="210"/>
    </row>
    <row r="549" spans="1:6" ht="67.5" customHeight="1" x14ac:dyDescent="0.25">
      <c r="A549" s="210" t="s">
        <v>207</v>
      </c>
      <c r="B549" s="210"/>
      <c r="C549" s="210"/>
      <c r="D549" s="210"/>
      <c r="E549" s="210"/>
      <c r="F549" s="210"/>
    </row>
    <row r="550" spans="1:6" ht="130.5" customHeight="1" x14ac:dyDescent="0.25">
      <c r="A550" s="210" t="s">
        <v>208</v>
      </c>
      <c r="B550" s="210"/>
      <c r="C550" s="210"/>
      <c r="D550" s="210"/>
      <c r="E550" s="210"/>
      <c r="F550" s="210"/>
    </row>
    <row r="551" spans="1:6" x14ac:dyDescent="0.25">
      <c r="A551" s="226" t="s">
        <v>199</v>
      </c>
      <c r="B551" s="226"/>
      <c r="C551" s="226"/>
      <c r="D551" s="226"/>
      <c r="E551" s="226"/>
      <c r="F551" s="226"/>
    </row>
    <row r="552" spans="1:6" ht="264.75" customHeight="1" x14ac:dyDescent="0.25">
      <c r="A552" s="210" t="s">
        <v>209</v>
      </c>
      <c r="B552" s="210"/>
      <c r="C552" s="210"/>
      <c r="D552" s="210"/>
      <c r="E552" s="210"/>
      <c r="F552" s="210"/>
    </row>
    <row r="553" spans="1:6" ht="97.5" customHeight="1" x14ac:dyDescent="0.25">
      <c r="A553" s="210" t="s">
        <v>210</v>
      </c>
      <c r="B553" s="210"/>
      <c r="C553" s="210"/>
      <c r="D553" s="210"/>
      <c r="E553" s="210"/>
      <c r="F553" s="210"/>
    </row>
    <row r="554" spans="1:6" x14ac:dyDescent="0.25">
      <c r="A554" s="226" t="s">
        <v>201</v>
      </c>
      <c r="B554" s="226"/>
      <c r="C554" s="226"/>
      <c r="D554" s="226"/>
      <c r="E554" s="226"/>
      <c r="F554" s="226"/>
    </row>
    <row r="555" spans="1:6" ht="115.5" customHeight="1" x14ac:dyDescent="0.25">
      <c r="A555" s="210" t="s">
        <v>211</v>
      </c>
      <c r="B555" s="210"/>
      <c r="C555" s="210"/>
      <c r="D555" s="210"/>
      <c r="E555" s="210"/>
      <c r="F555" s="210"/>
    </row>
    <row r="556" spans="1:6" ht="55.5" customHeight="1" x14ac:dyDescent="0.25">
      <c r="A556" s="210" t="s">
        <v>352</v>
      </c>
      <c r="B556" s="210"/>
      <c r="C556" s="210"/>
      <c r="D556" s="210"/>
      <c r="E556" s="210"/>
      <c r="F556" s="210"/>
    </row>
    <row r="557" spans="1:6" x14ac:dyDescent="0.25">
      <c r="A557" s="226" t="s">
        <v>212</v>
      </c>
      <c r="B557" s="210"/>
      <c r="C557" s="210"/>
      <c r="D557" s="210"/>
      <c r="E557" s="210"/>
      <c r="F557" s="210"/>
    </row>
    <row r="558" spans="1:6" ht="87" customHeight="1" x14ac:dyDescent="0.25">
      <c r="A558" s="210" t="s">
        <v>213</v>
      </c>
      <c r="B558" s="210"/>
      <c r="C558" s="210"/>
      <c r="D558" s="210"/>
      <c r="E558" s="210"/>
      <c r="F558" s="210"/>
    </row>
    <row r="559" spans="1:6" ht="108" customHeight="1" x14ac:dyDescent="0.25">
      <c r="A559" s="210" t="s">
        <v>214</v>
      </c>
      <c r="B559" s="210"/>
      <c r="C559" s="210"/>
      <c r="D559" s="210"/>
      <c r="E559" s="210"/>
      <c r="F559" s="210"/>
    </row>
    <row r="560" spans="1:6" ht="83.25" customHeight="1" x14ac:dyDescent="0.25">
      <c r="A560" s="210" t="s">
        <v>215</v>
      </c>
      <c r="B560" s="210"/>
      <c r="C560" s="210"/>
      <c r="D560" s="210"/>
      <c r="E560" s="210"/>
      <c r="F560" s="210"/>
    </row>
    <row r="561" spans="1:6" ht="56.25" customHeight="1" x14ac:dyDescent="0.25">
      <c r="A561" s="210" t="s">
        <v>216</v>
      </c>
      <c r="B561" s="210"/>
      <c r="C561" s="210"/>
      <c r="D561" s="210"/>
      <c r="E561" s="210"/>
      <c r="F561" s="210"/>
    </row>
    <row r="562" spans="1:6" ht="96" customHeight="1" x14ac:dyDescent="0.25">
      <c r="A562" s="210" t="s">
        <v>217</v>
      </c>
      <c r="B562" s="210"/>
      <c r="C562" s="210"/>
      <c r="D562" s="210"/>
      <c r="E562" s="210"/>
      <c r="F562" s="210"/>
    </row>
    <row r="563" spans="1:6" ht="66.75" customHeight="1" x14ac:dyDescent="0.25">
      <c r="A563" s="210" t="s">
        <v>218</v>
      </c>
      <c r="B563" s="210"/>
      <c r="C563" s="210"/>
      <c r="D563" s="210"/>
      <c r="E563" s="210"/>
      <c r="F563" s="210"/>
    </row>
    <row r="564" spans="1:6" ht="92.25" customHeight="1" x14ac:dyDescent="0.25">
      <c r="A564" s="210" t="s">
        <v>219</v>
      </c>
      <c r="B564" s="210"/>
      <c r="C564" s="210"/>
      <c r="D564" s="210"/>
      <c r="E564" s="210"/>
      <c r="F564" s="210"/>
    </row>
    <row r="565" spans="1:6" ht="65.25" customHeight="1" x14ac:dyDescent="0.25">
      <c r="A565" s="210" t="s">
        <v>220</v>
      </c>
      <c r="B565" s="210"/>
      <c r="C565" s="210"/>
      <c r="D565" s="210"/>
      <c r="E565" s="210"/>
      <c r="F565" s="210"/>
    </row>
    <row r="566" spans="1:6" ht="91.5" customHeight="1" x14ac:dyDescent="0.25">
      <c r="A566" s="210" t="s">
        <v>221</v>
      </c>
      <c r="B566" s="210"/>
      <c r="C566" s="210"/>
      <c r="D566" s="210"/>
      <c r="E566" s="210"/>
      <c r="F566" s="210"/>
    </row>
    <row r="567" spans="1:6" ht="81.75" customHeight="1" x14ac:dyDescent="0.25">
      <c r="A567" s="210" t="s">
        <v>222</v>
      </c>
      <c r="B567" s="210"/>
      <c r="C567" s="210"/>
      <c r="D567" s="210"/>
      <c r="E567" s="210"/>
      <c r="F567" s="210"/>
    </row>
    <row r="568" spans="1:6" x14ac:dyDescent="0.25">
      <c r="A568" s="226" t="s">
        <v>223</v>
      </c>
      <c r="B568" s="226"/>
      <c r="C568" s="226"/>
      <c r="D568" s="226"/>
      <c r="E568" s="226"/>
      <c r="F568" s="226"/>
    </row>
    <row r="569" spans="1:6" ht="71.25" customHeight="1" x14ac:dyDescent="0.25">
      <c r="A569" s="210" t="s">
        <v>224</v>
      </c>
      <c r="B569" s="210"/>
      <c r="C569" s="210"/>
      <c r="D569" s="210"/>
      <c r="E569" s="210"/>
      <c r="F569" s="210"/>
    </row>
    <row r="570" spans="1:6" x14ac:dyDescent="0.25">
      <c r="A570" s="230"/>
      <c r="B570" s="230"/>
      <c r="C570" s="230"/>
      <c r="D570" s="230"/>
      <c r="E570" s="230"/>
      <c r="F570" s="230"/>
    </row>
    <row r="571" spans="1:6" x14ac:dyDescent="0.25">
      <c r="A571" s="230"/>
      <c r="B571" s="230"/>
      <c r="C571" s="230"/>
      <c r="D571" s="230"/>
      <c r="E571" s="230"/>
      <c r="F571" s="230"/>
    </row>
    <row r="572" spans="1:6" x14ac:dyDescent="0.25">
      <c r="A572" s="230"/>
      <c r="B572" s="230"/>
      <c r="C572" s="230"/>
      <c r="D572" s="230"/>
      <c r="E572" s="230"/>
      <c r="F572" s="230"/>
    </row>
    <row r="573" spans="1:6" x14ac:dyDescent="0.25">
      <c r="A573" s="230"/>
      <c r="B573" s="230"/>
      <c r="C573" s="230"/>
      <c r="D573" s="230"/>
      <c r="E573" s="230"/>
      <c r="F573" s="230"/>
    </row>
    <row r="574" spans="1:6" x14ac:dyDescent="0.25">
      <c r="A574" s="230"/>
      <c r="B574" s="230"/>
      <c r="C574" s="230"/>
      <c r="D574" s="230"/>
      <c r="E574" s="230"/>
      <c r="F574" s="230"/>
    </row>
    <row r="575" spans="1:6" x14ac:dyDescent="0.25">
      <c r="A575" s="230"/>
      <c r="B575" s="230"/>
      <c r="C575" s="230"/>
      <c r="D575" s="230"/>
      <c r="E575" s="230"/>
      <c r="F575" s="230"/>
    </row>
    <row r="576" spans="1:6" x14ac:dyDescent="0.25">
      <c r="A576" s="230"/>
      <c r="B576" s="230"/>
      <c r="C576" s="230"/>
      <c r="D576" s="230"/>
      <c r="E576" s="230"/>
      <c r="F576" s="230"/>
    </row>
    <row r="577" spans="1:6" x14ac:dyDescent="0.25">
      <c r="A577" s="230"/>
      <c r="B577" s="230"/>
      <c r="C577" s="230"/>
      <c r="D577" s="230"/>
      <c r="E577" s="230"/>
      <c r="F577" s="230"/>
    </row>
    <row r="578" spans="1:6" x14ac:dyDescent="0.25">
      <c r="A578" s="230"/>
      <c r="B578" s="230"/>
      <c r="C578" s="230"/>
      <c r="D578" s="230"/>
      <c r="E578" s="230"/>
      <c r="F578" s="230"/>
    </row>
    <row r="579" spans="1:6" x14ac:dyDescent="0.25">
      <c r="A579" s="230"/>
      <c r="B579" s="230"/>
      <c r="C579" s="230"/>
      <c r="D579" s="230"/>
      <c r="E579" s="230"/>
      <c r="F579" s="230"/>
    </row>
    <row r="580" spans="1:6" x14ac:dyDescent="0.25">
      <c r="A580" s="230"/>
      <c r="B580" s="230"/>
      <c r="C580" s="230"/>
      <c r="D580" s="230"/>
      <c r="E580" s="230"/>
      <c r="F580" s="230"/>
    </row>
    <row r="581" spans="1:6" x14ac:dyDescent="0.25">
      <c r="A581" s="230"/>
      <c r="B581" s="230"/>
      <c r="C581" s="230"/>
      <c r="D581" s="230"/>
      <c r="E581" s="230"/>
      <c r="F581" s="230"/>
    </row>
    <row r="582" spans="1:6" x14ac:dyDescent="0.25">
      <c r="A582" s="230"/>
      <c r="B582" s="230"/>
      <c r="C582" s="230"/>
      <c r="D582" s="230"/>
      <c r="E582" s="230"/>
      <c r="F582" s="230"/>
    </row>
    <row r="583" spans="1:6" x14ac:dyDescent="0.25">
      <c r="A583" s="230"/>
      <c r="B583" s="230"/>
      <c r="C583" s="230"/>
      <c r="D583" s="230"/>
      <c r="E583" s="230"/>
      <c r="F583" s="230"/>
    </row>
    <row r="584" spans="1:6" x14ac:dyDescent="0.25">
      <c r="A584" s="230"/>
      <c r="B584" s="230"/>
      <c r="C584" s="230"/>
      <c r="D584" s="230"/>
      <c r="E584" s="230"/>
      <c r="F584" s="230"/>
    </row>
    <row r="585" spans="1:6" x14ac:dyDescent="0.25">
      <c r="A585" s="230"/>
      <c r="B585" s="230"/>
      <c r="C585" s="230"/>
      <c r="D585" s="230"/>
      <c r="E585" s="230"/>
      <c r="F585" s="230"/>
    </row>
    <row r="586" spans="1:6" x14ac:dyDescent="0.25">
      <c r="A586" s="230"/>
      <c r="B586" s="230"/>
      <c r="C586" s="230"/>
      <c r="D586" s="230"/>
      <c r="E586" s="230"/>
      <c r="F586" s="230"/>
    </row>
    <row r="587" spans="1:6" x14ac:dyDescent="0.25">
      <c r="A587" s="230"/>
      <c r="B587" s="230"/>
      <c r="C587" s="230"/>
      <c r="D587" s="230"/>
      <c r="E587" s="230"/>
      <c r="F587" s="230"/>
    </row>
    <row r="588" spans="1:6" x14ac:dyDescent="0.25">
      <c r="A588" s="230"/>
      <c r="B588" s="230"/>
      <c r="C588" s="230"/>
      <c r="D588" s="230"/>
      <c r="E588" s="230"/>
      <c r="F588" s="230"/>
    </row>
    <row r="589" spans="1:6" x14ac:dyDescent="0.25">
      <c r="A589" s="230"/>
      <c r="B589" s="230"/>
      <c r="C589" s="230"/>
      <c r="D589" s="230"/>
      <c r="E589" s="230"/>
      <c r="F589" s="230"/>
    </row>
    <row r="590" spans="1:6" x14ac:dyDescent="0.25">
      <c r="A590" s="230"/>
      <c r="B590" s="230"/>
      <c r="C590" s="230"/>
      <c r="D590" s="230"/>
      <c r="E590" s="230"/>
      <c r="F590" s="230"/>
    </row>
    <row r="591" spans="1:6" x14ac:dyDescent="0.25">
      <c r="A591" s="230"/>
      <c r="B591" s="230"/>
      <c r="C591" s="230"/>
      <c r="D591" s="230"/>
      <c r="E591" s="230"/>
      <c r="F591" s="230"/>
    </row>
    <row r="592" spans="1:6" x14ac:dyDescent="0.25">
      <c r="A592" s="230"/>
      <c r="B592" s="230"/>
      <c r="C592" s="230"/>
      <c r="D592" s="230"/>
      <c r="E592" s="230"/>
      <c r="F592" s="230"/>
    </row>
    <row r="593" spans="1:6" x14ac:dyDescent="0.25">
      <c r="A593" s="230"/>
      <c r="B593" s="230"/>
      <c r="C593" s="230"/>
      <c r="D593" s="230"/>
      <c r="E593" s="230"/>
      <c r="F593" s="230"/>
    </row>
    <row r="594" spans="1:6" x14ac:dyDescent="0.25">
      <c r="A594" s="230"/>
      <c r="B594" s="230"/>
      <c r="C594" s="230"/>
      <c r="D594" s="230"/>
      <c r="E594" s="230"/>
      <c r="F594" s="230"/>
    </row>
    <row r="595" spans="1:6" x14ac:dyDescent="0.25">
      <c r="A595" s="230"/>
      <c r="B595" s="230"/>
      <c r="C595" s="230"/>
      <c r="D595" s="230"/>
      <c r="E595" s="230"/>
      <c r="F595" s="230"/>
    </row>
    <row r="596" spans="1:6" x14ac:dyDescent="0.25">
      <c r="A596" s="230"/>
      <c r="B596" s="230"/>
      <c r="C596" s="230"/>
      <c r="D596" s="230"/>
      <c r="E596" s="230"/>
      <c r="F596" s="230"/>
    </row>
    <row r="597" spans="1:6" x14ac:dyDescent="0.25">
      <c r="A597" s="230"/>
      <c r="B597" s="230"/>
      <c r="C597" s="230"/>
      <c r="D597" s="230"/>
      <c r="E597" s="230"/>
      <c r="F597" s="230"/>
    </row>
    <row r="598" spans="1:6" x14ac:dyDescent="0.25">
      <c r="A598" s="230"/>
      <c r="B598" s="230"/>
      <c r="C598" s="230"/>
      <c r="D598" s="230"/>
      <c r="E598" s="230"/>
      <c r="F598" s="230"/>
    </row>
    <row r="599" spans="1:6" x14ac:dyDescent="0.25">
      <c r="A599" s="230"/>
      <c r="B599" s="230"/>
      <c r="C599" s="230"/>
      <c r="D599" s="230"/>
      <c r="E599" s="230"/>
      <c r="F599" s="230"/>
    </row>
    <row r="600" spans="1:6" x14ac:dyDescent="0.25">
      <c r="A600" s="230"/>
      <c r="B600" s="230"/>
      <c r="C600" s="230"/>
      <c r="D600" s="230"/>
      <c r="E600" s="230"/>
      <c r="F600" s="230"/>
    </row>
    <row r="601" spans="1:6" x14ac:dyDescent="0.25">
      <c r="A601" s="230"/>
      <c r="B601" s="230"/>
      <c r="C601" s="230"/>
      <c r="D601" s="230"/>
      <c r="E601" s="230"/>
      <c r="F601" s="230"/>
    </row>
    <row r="602" spans="1:6" x14ac:dyDescent="0.25">
      <c r="A602" s="8"/>
      <c r="B602" s="8"/>
      <c r="C602" s="8"/>
      <c r="D602" s="8"/>
      <c r="E602" s="8"/>
      <c r="F602" s="8"/>
    </row>
    <row r="603" spans="1:6" x14ac:dyDescent="0.25">
      <c r="A603" s="8"/>
      <c r="B603" s="8"/>
      <c r="C603" s="8"/>
      <c r="D603" s="8"/>
      <c r="E603" s="8"/>
      <c r="F603" s="8"/>
    </row>
    <row r="604" spans="1:6" x14ac:dyDescent="0.25">
      <c r="A604" s="8"/>
      <c r="B604" s="8"/>
      <c r="C604" s="8"/>
      <c r="D604" s="8"/>
      <c r="E604" s="8"/>
      <c r="F604" s="8"/>
    </row>
  </sheetData>
  <mergeCells count="472">
    <mergeCell ref="A598:F598"/>
    <mergeCell ref="A599:F599"/>
    <mergeCell ref="A600:F600"/>
    <mergeCell ref="A601:F601"/>
    <mergeCell ref="A589:F589"/>
    <mergeCell ref="A590:F590"/>
    <mergeCell ref="A591:F591"/>
    <mergeCell ref="A592:F592"/>
    <mergeCell ref="A593:F593"/>
    <mergeCell ref="A594:F594"/>
    <mergeCell ref="A595:F595"/>
    <mergeCell ref="A596:F596"/>
    <mergeCell ref="A597:F597"/>
    <mergeCell ref="A580:F580"/>
    <mergeCell ref="A581:F581"/>
    <mergeCell ref="A582:F582"/>
    <mergeCell ref="A583:F583"/>
    <mergeCell ref="A584:F584"/>
    <mergeCell ref="A585:F585"/>
    <mergeCell ref="A586:F586"/>
    <mergeCell ref="A587:F587"/>
    <mergeCell ref="A588:F588"/>
    <mergeCell ref="A571:F571"/>
    <mergeCell ref="A572:F572"/>
    <mergeCell ref="A573:F573"/>
    <mergeCell ref="A574:F574"/>
    <mergeCell ref="A575:F575"/>
    <mergeCell ref="A576:F576"/>
    <mergeCell ref="A577:F577"/>
    <mergeCell ref="A578:F578"/>
    <mergeCell ref="A579:F579"/>
    <mergeCell ref="A562:F562"/>
    <mergeCell ref="A563:F563"/>
    <mergeCell ref="A564:F564"/>
    <mergeCell ref="A565:F565"/>
    <mergeCell ref="A566:F566"/>
    <mergeCell ref="A567:F567"/>
    <mergeCell ref="A568:F568"/>
    <mergeCell ref="A569:F569"/>
    <mergeCell ref="A570:F570"/>
    <mergeCell ref="A553:F553"/>
    <mergeCell ref="A554:F554"/>
    <mergeCell ref="A555:F555"/>
    <mergeCell ref="A556:F556"/>
    <mergeCell ref="A557:F557"/>
    <mergeCell ref="A558:F558"/>
    <mergeCell ref="A559:F559"/>
    <mergeCell ref="A560:F560"/>
    <mergeCell ref="A561:F561"/>
    <mergeCell ref="A544:F544"/>
    <mergeCell ref="A545:F545"/>
    <mergeCell ref="A546:F546"/>
    <mergeCell ref="A547:F547"/>
    <mergeCell ref="A548:F548"/>
    <mergeCell ref="A549:F549"/>
    <mergeCell ref="A550:F550"/>
    <mergeCell ref="A551:F551"/>
    <mergeCell ref="A552:F552"/>
    <mergeCell ref="A535:F535"/>
    <mergeCell ref="A536:F536"/>
    <mergeCell ref="A537:F537"/>
    <mergeCell ref="A538:F538"/>
    <mergeCell ref="A539:F539"/>
    <mergeCell ref="A540:F540"/>
    <mergeCell ref="A541:F541"/>
    <mergeCell ref="A542:F542"/>
    <mergeCell ref="A543:F543"/>
    <mergeCell ref="A526:F526"/>
    <mergeCell ref="A527:F527"/>
    <mergeCell ref="A528:F528"/>
    <mergeCell ref="A529:F529"/>
    <mergeCell ref="A530:F530"/>
    <mergeCell ref="A531:F531"/>
    <mergeCell ref="A532:F532"/>
    <mergeCell ref="A533:F533"/>
    <mergeCell ref="A534:F534"/>
    <mergeCell ref="A517:F517"/>
    <mergeCell ref="A518:F518"/>
    <mergeCell ref="A519:F519"/>
    <mergeCell ref="A520:F520"/>
    <mergeCell ref="A521:F521"/>
    <mergeCell ref="A522:F522"/>
    <mergeCell ref="A523:F523"/>
    <mergeCell ref="A524:F524"/>
    <mergeCell ref="A525:F525"/>
    <mergeCell ref="A508:F508"/>
    <mergeCell ref="A509:F509"/>
    <mergeCell ref="A510:F510"/>
    <mergeCell ref="A511:F511"/>
    <mergeCell ref="A512:F512"/>
    <mergeCell ref="A513:F513"/>
    <mergeCell ref="A514:F514"/>
    <mergeCell ref="A515:F515"/>
    <mergeCell ref="A516:F516"/>
    <mergeCell ref="A499:F499"/>
    <mergeCell ref="A500:F500"/>
    <mergeCell ref="A501:F501"/>
    <mergeCell ref="A502:F502"/>
    <mergeCell ref="A503:F503"/>
    <mergeCell ref="A504:F504"/>
    <mergeCell ref="A505:F505"/>
    <mergeCell ref="A506:F506"/>
    <mergeCell ref="A507:F507"/>
    <mergeCell ref="A491:F491"/>
    <mergeCell ref="A492:F492"/>
    <mergeCell ref="A493:F493"/>
    <mergeCell ref="A494:F494"/>
    <mergeCell ref="A495:F495"/>
    <mergeCell ref="A496:F496"/>
    <mergeCell ref="A497:F497"/>
    <mergeCell ref="A498:F498"/>
    <mergeCell ref="A251:F251"/>
    <mergeCell ref="A468:F468"/>
    <mergeCell ref="A469:F470"/>
    <mergeCell ref="A471:F471"/>
    <mergeCell ref="A472:F473"/>
    <mergeCell ref="A474:F474"/>
    <mergeCell ref="A475:F476"/>
    <mergeCell ref="A459:F459"/>
    <mergeCell ref="A460:F461"/>
    <mergeCell ref="A462:F462"/>
    <mergeCell ref="A463:F464"/>
    <mergeCell ref="A465:F465"/>
    <mergeCell ref="A466:F467"/>
    <mergeCell ref="A450:F450"/>
    <mergeCell ref="A451:F452"/>
    <mergeCell ref="A453:F453"/>
    <mergeCell ref="A188:F188"/>
    <mergeCell ref="A189:F189"/>
    <mergeCell ref="A190:F190"/>
    <mergeCell ref="A200:F200"/>
    <mergeCell ref="A201:F201"/>
    <mergeCell ref="A202:F202"/>
    <mergeCell ref="A244:F244"/>
    <mergeCell ref="A245:F245"/>
    <mergeCell ref="A247:F247"/>
    <mergeCell ref="A243:F243"/>
    <mergeCell ref="A206:F206"/>
    <mergeCell ref="A207:F208"/>
    <mergeCell ref="A209:F209"/>
    <mergeCell ref="A215:F216"/>
    <mergeCell ref="A220:F220"/>
    <mergeCell ref="A221:F222"/>
    <mergeCell ref="A191:F191"/>
    <mergeCell ref="A192:F193"/>
    <mergeCell ref="A194:F194"/>
    <mergeCell ref="A195:F196"/>
    <mergeCell ref="A197:F197"/>
    <mergeCell ref="A198:F199"/>
    <mergeCell ref="A203:F203"/>
    <mergeCell ref="A204:F204"/>
    <mergeCell ref="A177:F177"/>
    <mergeCell ref="A178:F178"/>
    <mergeCell ref="A170:F170"/>
    <mergeCell ref="A171:F172"/>
    <mergeCell ref="A173:F173"/>
    <mergeCell ref="A174:F175"/>
    <mergeCell ref="A179:F179"/>
    <mergeCell ref="A180:F181"/>
    <mergeCell ref="A154:F154"/>
    <mergeCell ref="A454:F455"/>
    <mergeCell ref="A456:F456"/>
    <mergeCell ref="A457:F458"/>
    <mergeCell ref="A441:F441"/>
    <mergeCell ref="A442:F443"/>
    <mergeCell ref="A444:F444"/>
    <mergeCell ref="A445:F446"/>
    <mergeCell ref="A447:F447"/>
    <mergeCell ref="A448:F449"/>
    <mergeCell ref="A432:F432"/>
    <mergeCell ref="A433:F434"/>
    <mergeCell ref="A435:F435"/>
    <mergeCell ref="A436:F437"/>
    <mergeCell ref="A438:F438"/>
    <mergeCell ref="A439:F440"/>
    <mergeCell ref="A423:F423"/>
    <mergeCell ref="A424:F425"/>
    <mergeCell ref="A426:F426"/>
    <mergeCell ref="A427:F428"/>
    <mergeCell ref="A429:F429"/>
    <mergeCell ref="A430:F431"/>
    <mergeCell ref="A414:F414"/>
    <mergeCell ref="A415:F416"/>
    <mergeCell ref="A417:F417"/>
    <mergeCell ref="A418:F419"/>
    <mergeCell ref="A420:F420"/>
    <mergeCell ref="A421:F422"/>
    <mergeCell ref="A407:F407"/>
    <mergeCell ref="A409:F409"/>
    <mergeCell ref="A411:F411"/>
    <mergeCell ref="A412:F413"/>
    <mergeCell ref="A408:F408"/>
    <mergeCell ref="A410:F410"/>
    <mergeCell ref="A398:F398"/>
    <mergeCell ref="A399:F400"/>
    <mergeCell ref="A401:F401"/>
    <mergeCell ref="A402:F403"/>
    <mergeCell ref="A404:F404"/>
    <mergeCell ref="A405:F406"/>
    <mergeCell ref="A389:F389"/>
    <mergeCell ref="A390:F391"/>
    <mergeCell ref="A392:F392"/>
    <mergeCell ref="A393:F394"/>
    <mergeCell ref="A395:F395"/>
    <mergeCell ref="A396:F397"/>
    <mergeCell ref="A380:F380"/>
    <mergeCell ref="A381:F382"/>
    <mergeCell ref="A383:F383"/>
    <mergeCell ref="A384:F385"/>
    <mergeCell ref="A386:F386"/>
    <mergeCell ref="A387:F388"/>
    <mergeCell ref="A371:F371"/>
    <mergeCell ref="A372:F373"/>
    <mergeCell ref="A374:F374"/>
    <mergeCell ref="A375:F376"/>
    <mergeCell ref="A377:F377"/>
    <mergeCell ref="A378:F379"/>
    <mergeCell ref="A362:F362"/>
    <mergeCell ref="A363:F364"/>
    <mergeCell ref="A365:F365"/>
    <mergeCell ref="A366:F367"/>
    <mergeCell ref="A368:F368"/>
    <mergeCell ref="A369:F370"/>
    <mergeCell ref="A353:F353"/>
    <mergeCell ref="A354:F355"/>
    <mergeCell ref="A356:F356"/>
    <mergeCell ref="A357:F358"/>
    <mergeCell ref="A359:F359"/>
    <mergeCell ref="A360:F361"/>
    <mergeCell ref="A344:F344"/>
    <mergeCell ref="A345:F346"/>
    <mergeCell ref="A347:F347"/>
    <mergeCell ref="A348:F349"/>
    <mergeCell ref="A350:F350"/>
    <mergeCell ref="A351:F352"/>
    <mergeCell ref="A325:F325"/>
    <mergeCell ref="A326:F327"/>
    <mergeCell ref="A328:F328"/>
    <mergeCell ref="A329:F330"/>
    <mergeCell ref="A341:F341"/>
    <mergeCell ref="A342:F343"/>
    <mergeCell ref="A331:F331"/>
    <mergeCell ref="A333:F333"/>
    <mergeCell ref="A332:F332"/>
    <mergeCell ref="A334:F334"/>
    <mergeCell ref="A335:F335"/>
    <mergeCell ref="A336:F336"/>
    <mergeCell ref="A337:F337"/>
    <mergeCell ref="A338:F338"/>
    <mergeCell ref="A339:F339"/>
    <mergeCell ref="A340:F340"/>
    <mergeCell ref="A311:F311"/>
    <mergeCell ref="A312:F313"/>
    <mergeCell ref="A314:F314"/>
    <mergeCell ref="A315:F316"/>
    <mergeCell ref="A322:F322"/>
    <mergeCell ref="A323:F324"/>
    <mergeCell ref="A302:F302"/>
    <mergeCell ref="A303:F304"/>
    <mergeCell ref="A305:F305"/>
    <mergeCell ref="A306:F307"/>
    <mergeCell ref="A308:F308"/>
    <mergeCell ref="A309:F310"/>
    <mergeCell ref="A317:F317"/>
    <mergeCell ref="A318:F318"/>
    <mergeCell ref="A319:F319"/>
    <mergeCell ref="A320:F320"/>
    <mergeCell ref="A321:F321"/>
    <mergeCell ref="A293:F293"/>
    <mergeCell ref="A294:F295"/>
    <mergeCell ref="A296:F296"/>
    <mergeCell ref="A297:F298"/>
    <mergeCell ref="A299:F299"/>
    <mergeCell ref="A300:F301"/>
    <mergeCell ref="A285:F285"/>
    <mergeCell ref="A286:F287"/>
    <mergeCell ref="A288:F288"/>
    <mergeCell ref="A289:F290"/>
    <mergeCell ref="A291:F291"/>
    <mergeCell ref="A292:F292"/>
    <mergeCell ref="A276:F276"/>
    <mergeCell ref="A277:F278"/>
    <mergeCell ref="A279:F279"/>
    <mergeCell ref="A280:F281"/>
    <mergeCell ref="A282:F282"/>
    <mergeCell ref="A283:F284"/>
    <mergeCell ref="A267:F267"/>
    <mergeCell ref="A268:F269"/>
    <mergeCell ref="A271:F272"/>
    <mergeCell ref="A273:F273"/>
    <mergeCell ref="A274:F275"/>
    <mergeCell ref="A270:F270"/>
    <mergeCell ref="A264:F264"/>
    <mergeCell ref="A265:F266"/>
    <mergeCell ref="A223:F223"/>
    <mergeCell ref="A224:F225"/>
    <mergeCell ref="A232:F232"/>
    <mergeCell ref="A238:F239"/>
    <mergeCell ref="A240:F240"/>
    <mergeCell ref="A241:F242"/>
    <mergeCell ref="A226:F226"/>
    <mergeCell ref="A227:F227"/>
    <mergeCell ref="A230:F230"/>
    <mergeCell ref="A229:F229"/>
    <mergeCell ref="A228:F228"/>
    <mergeCell ref="A231:F231"/>
    <mergeCell ref="A235:F235"/>
    <mergeCell ref="A237:F237"/>
    <mergeCell ref="A233:F233"/>
    <mergeCell ref="A234:F234"/>
    <mergeCell ref="A236:F236"/>
    <mergeCell ref="A246:F246"/>
    <mergeCell ref="A248:F248"/>
    <mergeCell ref="A249:F249"/>
    <mergeCell ref="A250:F250"/>
    <mergeCell ref="A252:F252"/>
    <mergeCell ref="A212:F212"/>
    <mergeCell ref="A214:F214"/>
    <mergeCell ref="A213:F213"/>
    <mergeCell ref="A217:F217"/>
    <mergeCell ref="A218:F218"/>
    <mergeCell ref="A219:F219"/>
    <mergeCell ref="A259:F260"/>
    <mergeCell ref="A261:F261"/>
    <mergeCell ref="A262:F263"/>
    <mergeCell ref="A258:F258"/>
    <mergeCell ref="A253:F253"/>
    <mergeCell ref="A254:F254"/>
    <mergeCell ref="A255:F255"/>
    <mergeCell ref="A256:F256"/>
    <mergeCell ref="A257:F257"/>
    <mergeCell ref="A142:F142"/>
    <mergeCell ref="A143:F144"/>
    <mergeCell ref="A145:F145"/>
    <mergeCell ref="A146:F147"/>
    <mergeCell ref="A148:F148"/>
    <mergeCell ref="A149:F150"/>
    <mergeCell ref="A205:F205"/>
    <mergeCell ref="A210:F210"/>
    <mergeCell ref="A211:F211"/>
    <mergeCell ref="A160:F160"/>
    <mergeCell ref="A162:F163"/>
    <mergeCell ref="A164:F164"/>
    <mergeCell ref="A165:F166"/>
    <mergeCell ref="A167:F167"/>
    <mergeCell ref="A168:F169"/>
    <mergeCell ref="A151:F151"/>
    <mergeCell ref="A185:F185"/>
    <mergeCell ref="A187:F187"/>
    <mergeCell ref="A186:F186"/>
    <mergeCell ref="A161:F161"/>
    <mergeCell ref="A182:F182"/>
    <mergeCell ref="A183:F183"/>
    <mergeCell ref="A184:F184"/>
    <mergeCell ref="A176:F176"/>
    <mergeCell ref="A15:F15"/>
    <mergeCell ref="A17:F17"/>
    <mergeCell ref="A22:F22"/>
    <mergeCell ref="A102:F102"/>
    <mergeCell ref="A83:F84"/>
    <mergeCell ref="A136:F136"/>
    <mergeCell ref="A137:F138"/>
    <mergeCell ref="A124:F124"/>
    <mergeCell ref="A125:F126"/>
    <mergeCell ref="A127:F127"/>
    <mergeCell ref="A128:F129"/>
    <mergeCell ref="A130:F130"/>
    <mergeCell ref="A131:F132"/>
    <mergeCell ref="A111:F111"/>
    <mergeCell ref="A109:F109"/>
    <mergeCell ref="A110:F110"/>
    <mergeCell ref="A120:F120"/>
    <mergeCell ref="A86:F86"/>
    <mergeCell ref="A134:F135"/>
    <mergeCell ref="A68:F69"/>
    <mergeCell ref="A71:F72"/>
    <mergeCell ref="A74:F75"/>
    <mergeCell ref="A47:F48"/>
    <mergeCell ref="A50:F51"/>
    <mergeCell ref="A4:F4"/>
    <mergeCell ref="A14:F14"/>
    <mergeCell ref="A16:F16"/>
    <mergeCell ref="A18:F19"/>
    <mergeCell ref="A29:F29"/>
    <mergeCell ref="A44:F45"/>
    <mergeCell ref="A40:F40"/>
    <mergeCell ref="A43:F43"/>
    <mergeCell ref="A7:F7"/>
    <mergeCell ref="A9:F9"/>
    <mergeCell ref="A8:F8"/>
    <mergeCell ref="A10:F10"/>
    <mergeCell ref="A12:F12"/>
    <mergeCell ref="A11:F11"/>
    <mergeCell ref="A23:F23"/>
    <mergeCell ref="A24:F24"/>
    <mergeCell ref="A13:F13"/>
    <mergeCell ref="A5:F5"/>
    <mergeCell ref="A6:F6"/>
    <mergeCell ref="A38:F39"/>
    <mergeCell ref="A41:F42"/>
    <mergeCell ref="A20:F20"/>
    <mergeCell ref="A31:F31"/>
    <mergeCell ref="A34:F34"/>
    <mergeCell ref="A46:F46"/>
    <mergeCell ref="A49:F49"/>
    <mergeCell ref="A37:F37"/>
    <mergeCell ref="A79:F79"/>
    <mergeCell ref="A82:F82"/>
    <mergeCell ref="A52:F52"/>
    <mergeCell ref="A53:F54"/>
    <mergeCell ref="A56:F57"/>
    <mergeCell ref="A59:F60"/>
    <mergeCell ref="A62:F63"/>
    <mergeCell ref="A65:F66"/>
    <mergeCell ref="A55:F55"/>
    <mergeCell ref="A58:F58"/>
    <mergeCell ref="A61:F61"/>
    <mergeCell ref="A64:F64"/>
    <mergeCell ref="A67:F67"/>
    <mergeCell ref="A70:F70"/>
    <mergeCell ref="A73:F73"/>
    <mergeCell ref="A76:F76"/>
    <mergeCell ref="A77:F78"/>
    <mergeCell ref="A80:F81"/>
    <mergeCell ref="A21:F21"/>
    <mergeCell ref="A105:F105"/>
    <mergeCell ref="A106:F107"/>
    <mergeCell ref="A108:F108"/>
    <mergeCell ref="A112:F113"/>
    <mergeCell ref="A133:F133"/>
    <mergeCell ref="A25:F25"/>
    <mergeCell ref="A30:F30"/>
    <mergeCell ref="A32:F33"/>
    <mergeCell ref="A35:F36"/>
    <mergeCell ref="A85:F85"/>
    <mergeCell ref="A87:F87"/>
    <mergeCell ref="A90:F90"/>
    <mergeCell ref="A93:F93"/>
    <mergeCell ref="A96:F96"/>
    <mergeCell ref="A100:F101"/>
    <mergeCell ref="A103:F104"/>
    <mergeCell ref="A88:F89"/>
    <mergeCell ref="A91:F92"/>
    <mergeCell ref="A94:F95"/>
    <mergeCell ref="A97:F98"/>
    <mergeCell ref="A99:F99"/>
    <mergeCell ref="A27:F28"/>
    <mergeCell ref="A26:F26"/>
    <mergeCell ref="A486:F486"/>
    <mergeCell ref="A488:F488"/>
    <mergeCell ref="A490:F490"/>
    <mergeCell ref="A487:F487"/>
    <mergeCell ref="A489:F489"/>
    <mergeCell ref="A483:F484"/>
    <mergeCell ref="A485:F485"/>
    <mergeCell ref="A114:F114"/>
    <mergeCell ref="A115:F116"/>
    <mergeCell ref="A117:F117"/>
    <mergeCell ref="A118:F119"/>
    <mergeCell ref="A121:F121"/>
    <mergeCell ref="A122:F123"/>
    <mergeCell ref="A477:F477"/>
    <mergeCell ref="A479:F479"/>
    <mergeCell ref="A480:F481"/>
    <mergeCell ref="A482:F482"/>
    <mergeCell ref="A152:F153"/>
    <mergeCell ref="A478:F478"/>
    <mergeCell ref="A139:F139"/>
    <mergeCell ref="A140:F141"/>
    <mergeCell ref="A155:F156"/>
    <mergeCell ref="A157:F157"/>
    <mergeCell ref="A158:F159"/>
  </mergeCells>
  <pageMargins left="0.7" right="0.7" top="0.75" bottom="0.75" header="0.3" footer="0.3"/>
  <pageSetup paperSize="9" scale="72" orientation="portrait" r:id="rId1"/>
  <rowBreaks count="3" manualBreakCount="3">
    <brk id="105" max="16383" man="1"/>
    <brk id="178" max="5" man="1"/>
    <brk id="409"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G58"/>
  <sheetViews>
    <sheetView view="pageBreakPreview" topLeftCell="A50" zoomScaleNormal="100" zoomScaleSheetLayoutView="100" workbookViewId="0">
      <selection activeCell="C68" sqref="C68"/>
    </sheetView>
  </sheetViews>
  <sheetFormatPr defaultRowHeight="15" x14ac:dyDescent="0.25"/>
  <cols>
    <col min="1" max="1" width="10" customWidth="1"/>
    <col min="2" max="2" width="55.5703125" customWidth="1"/>
    <col min="3" max="3" width="11.5703125" customWidth="1"/>
    <col min="4" max="4" width="13.42578125" customWidth="1"/>
    <col min="5" max="5" width="11.7109375" customWidth="1"/>
    <col min="6" max="6" width="17" customWidth="1"/>
    <col min="7" max="7" width="20.5703125" customWidth="1"/>
  </cols>
  <sheetData>
    <row r="1" spans="1:6" x14ac:dyDescent="0.25">
      <c r="A1" s="237" t="s">
        <v>0</v>
      </c>
      <c r="B1" s="237"/>
      <c r="C1" s="237"/>
      <c r="D1" s="237"/>
      <c r="E1" s="237"/>
      <c r="F1" s="237"/>
    </row>
    <row r="2" spans="1:6" ht="30" customHeight="1" x14ac:dyDescent="0.25">
      <c r="A2" s="237"/>
      <c r="B2" s="237"/>
      <c r="C2" s="237"/>
      <c r="D2" s="237"/>
      <c r="E2" s="237"/>
      <c r="F2" s="237"/>
    </row>
    <row r="3" spans="1:6" x14ac:dyDescent="0.25">
      <c r="A3" s="10"/>
      <c r="B3" s="12" t="s">
        <v>357</v>
      </c>
      <c r="F3" s="11"/>
    </row>
    <row r="4" spans="1:6" x14ac:dyDescent="0.25">
      <c r="A4" s="10"/>
      <c r="B4" s="12"/>
      <c r="F4" s="11"/>
    </row>
    <row r="5" spans="1:6" ht="100.5" customHeight="1" x14ac:dyDescent="0.25">
      <c r="A5" s="10"/>
      <c r="B5" s="12" t="s">
        <v>467</v>
      </c>
      <c r="F5" s="11"/>
    </row>
    <row r="6" spans="1:6" x14ac:dyDescent="0.25">
      <c r="A6" s="10"/>
      <c r="B6" s="1"/>
      <c r="F6" s="11"/>
    </row>
    <row r="7" spans="1:6" x14ac:dyDescent="0.25">
      <c r="A7" s="10"/>
      <c r="B7" s="13" t="s">
        <v>1</v>
      </c>
      <c r="F7" s="11"/>
    </row>
    <row r="8" spans="1:6" x14ac:dyDescent="0.25">
      <c r="A8" s="10"/>
      <c r="F8" s="11"/>
    </row>
    <row r="9" spans="1:6" ht="15.6" customHeight="1" x14ac:dyDescent="0.25">
      <c r="A9" s="233" t="s">
        <v>2</v>
      </c>
      <c r="B9" s="234"/>
      <c r="C9" t="s">
        <v>239</v>
      </c>
      <c r="D9" t="s">
        <v>238</v>
      </c>
      <c r="E9" t="s">
        <v>177</v>
      </c>
      <c r="F9" t="s">
        <v>171</v>
      </c>
    </row>
    <row r="10" spans="1:6" ht="202.9" customHeight="1" x14ac:dyDescent="0.25">
      <c r="A10" s="235" t="s">
        <v>262</v>
      </c>
      <c r="B10" s="236"/>
    </row>
    <row r="11" spans="1:6" ht="173.25" customHeight="1" x14ac:dyDescent="0.25">
      <c r="A11" s="235"/>
      <c r="B11" s="236"/>
    </row>
    <row r="12" spans="1:6" x14ac:dyDescent="0.25">
      <c r="A12" s="10"/>
    </row>
    <row r="13" spans="1:6" x14ac:dyDescent="0.25">
      <c r="A13" s="10"/>
    </row>
    <row r="14" spans="1:6" x14ac:dyDescent="0.25">
      <c r="A14" s="28" t="s">
        <v>15</v>
      </c>
      <c r="B14" s="29" t="s">
        <v>16</v>
      </c>
    </row>
    <row r="15" spans="1:6" x14ac:dyDescent="0.25">
      <c r="A15" s="30"/>
      <c r="B15" s="1"/>
    </row>
    <row r="16" spans="1:6" x14ac:dyDescent="0.25">
      <c r="A16" s="30"/>
      <c r="B16" s="2" t="s">
        <v>4</v>
      </c>
    </row>
    <row r="17" spans="1:6" ht="25.5" x14ac:dyDescent="0.25">
      <c r="A17" s="30"/>
      <c r="B17" s="26" t="s">
        <v>17</v>
      </c>
    </row>
    <row r="18" spans="1:6" x14ac:dyDescent="0.25">
      <c r="A18" s="10"/>
    </row>
    <row r="19" spans="1:6" x14ac:dyDescent="0.25">
      <c r="A19" s="31" t="s">
        <v>19</v>
      </c>
      <c r="B19" s="12" t="s">
        <v>47</v>
      </c>
      <c r="C19" s="4"/>
      <c r="D19" s="1"/>
      <c r="E19" s="1"/>
      <c r="F19" s="5"/>
    </row>
    <row r="20" spans="1:6" ht="87.95" customHeight="1" x14ac:dyDescent="0.25">
      <c r="A20" s="31"/>
      <c r="B20" s="26" t="s">
        <v>20</v>
      </c>
      <c r="C20" s="32" t="s">
        <v>18</v>
      </c>
      <c r="D20" s="25">
        <v>6040</v>
      </c>
      <c r="E20" s="33">
        <v>31</v>
      </c>
      <c r="F20" s="25">
        <f>$D20*$E20</f>
        <v>187240</v>
      </c>
    </row>
    <row r="21" spans="1:6" x14ac:dyDescent="0.25">
      <c r="A21" s="31"/>
      <c r="B21" s="178" t="s">
        <v>468</v>
      </c>
    </row>
    <row r="22" spans="1:6" x14ac:dyDescent="0.25">
      <c r="A22" s="31" t="s">
        <v>21</v>
      </c>
      <c r="B22" s="12" t="s">
        <v>24</v>
      </c>
      <c r="C22" s="32"/>
      <c r="D22" s="25"/>
      <c r="E22" s="33"/>
      <c r="F22" s="25"/>
    </row>
    <row r="23" spans="1:6" ht="95.25" customHeight="1" x14ac:dyDescent="0.25">
      <c r="A23" s="30"/>
      <c r="B23" s="26" t="s">
        <v>25</v>
      </c>
      <c r="C23" s="32" t="s">
        <v>18</v>
      </c>
      <c r="D23" s="25">
        <v>235</v>
      </c>
      <c r="E23" s="33">
        <v>36</v>
      </c>
      <c r="F23" s="25">
        <f>$D23*$E23</f>
        <v>8460</v>
      </c>
    </row>
    <row r="24" spans="1:6" x14ac:dyDescent="0.25">
      <c r="A24" s="31"/>
      <c r="B24" s="178" t="s">
        <v>468</v>
      </c>
    </row>
    <row r="25" spans="1:6" x14ac:dyDescent="0.25">
      <c r="A25" s="31" t="s">
        <v>23</v>
      </c>
      <c r="B25" s="12" t="s">
        <v>26</v>
      </c>
      <c r="C25" s="32"/>
      <c r="D25" s="25"/>
      <c r="E25" s="33"/>
      <c r="F25" s="25"/>
    </row>
    <row r="26" spans="1:6" ht="84.6" customHeight="1" x14ac:dyDescent="0.25">
      <c r="A26" s="30"/>
      <c r="B26" s="26" t="s">
        <v>27</v>
      </c>
      <c r="C26" s="32" t="s">
        <v>18</v>
      </c>
      <c r="D26" s="25">
        <v>145</v>
      </c>
      <c r="E26" s="33">
        <v>34</v>
      </c>
      <c r="F26" s="25">
        <f>$D26*$E26</f>
        <v>4930</v>
      </c>
    </row>
    <row r="27" spans="1:6" x14ac:dyDescent="0.25">
      <c r="A27" s="10"/>
      <c r="B27" s="178" t="s">
        <v>468</v>
      </c>
    </row>
    <row r="28" spans="1:6" x14ac:dyDescent="0.25">
      <c r="A28" s="31" t="s">
        <v>22</v>
      </c>
      <c r="B28" s="24" t="s">
        <v>28</v>
      </c>
      <c r="C28" s="32"/>
      <c r="D28" s="25"/>
      <c r="E28" s="25"/>
      <c r="F28" s="25"/>
    </row>
    <row r="29" spans="1:6" ht="51" customHeight="1" x14ac:dyDescent="0.25">
      <c r="A29" s="31"/>
      <c r="B29" s="34" t="s">
        <v>29</v>
      </c>
      <c r="C29" s="32" t="s">
        <v>18</v>
      </c>
      <c r="D29" s="25">
        <v>127</v>
      </c>
      <c r="E29" s="25"/>
      <c r="F29" s="25">
        <f>$D29*$E29</f>
        <v>0</v>
      </c>
    </row>
    <row r="30" spans="1:6" x14ac:dyDescent="0.25">
      <c r="A30" s="31"/>
      <c r="B30" s="27"/>
      <c r="C30" s="32"/>
      <c r="D30" s="25"/>
      <c r="E30" s="25"/>
      <c r="F30" s="25"/>
    </row>
    <row r="31" spans="1:6" x14ac:dyDescent="0.25">
      <c r="A31" s="31" t="s">
        <v>44</v>
      </c>
      <c r="B31" s="12" t="s">
        <v>45</v>
      </c>
      <c r="C31" s="32"/>
      <c r="D31" s="25"/>
      <c r="E31" s="33"/>
      <c r="F31" s="25"/>
    </row>
    <row r="32" spans="1:6" ht="91.5" customHeight="1" x14ac:dyDescent="0.25">
      <c r="A32" s="31"/>
      <c r="B32" s="26" t="s">
        <v>46</v>
      </c>
      <c r="C32" s="32" t="s">
        <v>18</v>
      </c>
      <c r="D32" s="25">
        <v>200</v>
      </c>
      <c r="E32" s="33">
        <v>34</v>
      </c>
      <c r="F32" s="25">
        <f>$D32*$E32</f>
        <v>6800</v>
      </c>
    </row>
    <row r="33" spans="1:6" ht="15.75" thickBot="1" x14ac:dyDescent="0.3">
      <c r="A33" s="10"/>
      <c r="B33" s="178" t="s">
        <v>468</v>
      </c>
    </row>
    <row r="34" spans="1:6" ht="15.75" thickBot="1" x14ac:dyDescent="0.3">
      <c r="A34" s="231" t="s">
        <v>30</v>
      </c>
      <c r="B34" s="232"/>
      <c r="C34" s="232"/>
      <c r="D34" s="232"/>
      <c r="E34" s="232"/>
      <c r="F34" s="46">
        <f>SUM(F20:F32)</f>
        <v>207430</v>
      </c>
    </row>
    <row r="35" spans="1:6" x14ac:dyDescent="0.25">
      <c r="A35" s="10"/>
    </row>
    <row r="36" spans="1:6" x14ac:dyDescent="0.25">
      <c r="A36" s="35"/>
    </row>
    <row r="37" spans="1:6" x14ac:dyDescent="0.25">
      <c r="A37" s="28" t="s">
        <v>32</v>
      </c>
      <c r="B37" s="29" t="s">
        <v>33</v>
      </c>
    </row>
    <row r="38" spans="1:6" x14ac:dyDescent="0.25">
      <c r="A38" s="30"/>
      <c r="B38" s="1"/>
    </row>
    <row r="39" spans="1:6" x14ac:dyDescent="0.25">
      <c r="A39" s="30"/>
      <c r="B39" s="2" t="s">
        <v>4</v>
      </c>
    </row>
    <row r="40" spans="1:6" ht="193.5" customHeight="1" x14ac:dyDescent="0.25">
      <c r="A40" s="30"/>
      <c r="B40" s="3" t="s">
        <v>354</v>
      </c>
    </row>
    <row r="41" spans="1:6" x14ac:dyDescent="0.25">
      <c r="A41" s="35"/>
    </row>
    <row r="42" spans="1:6" x14ac:dyDescent="0.25">
      <c r="A42" s="21" t="s">
        <v>34</v>
      </c>
      <c r="B42" s="36" t="s">
        <v>37</v>
      </c>
      <c r="C42" s="15"/>
      <c r="D42" s="15"/>
      <c r="E42" s="22"/>
      <c r="F42" s="5"/>
    </row>
    <row r="43" spans="1:6" x14ac:dyDescent="0.25">
      <c r="A43" s="21"/>
      <c r="B43" s="36"/>
      <c r="C43" s="15"/>
      <c r="D43" s="15"/>
      <c r="E43" s="22"/>
      <c r="F43" s="5"/>
    </row>
    <row r="44" spans="1:6" ht="146.25" customHeight="1" x14ac:dyDescent="0.25">
      <c r="A44" s="21"/>
      <c r="B44" s="37" t="s">
        <v>355</v>
      </c>
      <c r="C44" s="38"/>
      <c r="D44" s="15"/>
      <c r="E44" s="22"/>
      <c r="F44" s="5"/>
    </row>
    <row r="45" spans="1:6" ht="50.1" customHeight="1" x14ac:dyDescent="0.25">
      <c r="A45" s="21"/>
      <c r="B45" s="39" t="s">
        <v>38</v>
      </c>
      <c r="C45" s="15"/>
      <c r="D45" s="15"/>
      <c r="E45" s="22"/>
      <c r="F45" s="5"/>
    </row>
    <row r="46" spans="1:6" ht="98.25" customHeight="1" x14ac:dyDescent="0.25">
      <c r="A46" s="21"/>
      <c r="B46" s="39" t="s">
        <v>39</v>
      </c>
      <c r="C46" s="15"/>
      <c r="D46" s="15"/>
      <c r="E46" s="22"/>
      <c r="F46" s="5"/>
    </row>
    <row r="47" spans="1:6" ht="164.25" customHeight="1" x14ac:dyDescent="0.25">
      <c r="A47" s="21"/>
      <c r="B47" s="39" t="s">
        <v>40</v>
      </c>
      <c r="C47" s="15"/>
      <c r="D47" s="15"/>
      <c r="E47" s="22"/>
      <c r="F47" s="5"/>
    </row>
    <row r="48" spans="1:6" ht="51.6" customHeight="1" x14ac:dyDescent="0.25">
      <c r="A48" s="21"/>
      <c r="B48" s="37" t="s">
        <v>43</v>
      </c>
      <c r="C48" s="15"/>
      <c r="D48" s="15"/>
      <c r="E48" s="22"/>
      <c r="F48" s="5"/>
    </row>
    <row r="49" spans="1:7" ht="100.5" customHeight="1" x14ac:dyDescent="0.25">
      <c r="A49" s="21"/>
      <c r="B49" s="39" t="s">
        <v>237</v>
      </c>
      <c r="C49" s="15"/>
      <c r="D49" s="15"/>
      <c r="E49" s="22"/>
      <c r="F49" s="5"/>
    </row>
    <row r="50" spans="1:7" ht="140.25" customHeight="1" x14ac:dyDescent="0.25">
      <c r="A50" s="21"/>
      <c r="B50" s="39" t="s">
        <v>356</v>
      </c>
      <c r="C50" s="15"/>
      <c r="D50" s="15"/>
      <c r="E50" s="22"/>
      <c r="F50" s="5"/>
    </row>
    <row r="51" spans="1:7" ht="191.45" customHeight="1" x14ac:dyDescent="0.25">
      <c r="A51" s="21"/>
      <c r="B51" s="39" t="s">
        <v>266</v>
      </c>
      <c r="C51" s="15"/>
      <c r="D51" s="15"/>
      <c r="E51" s="22"/>
      <c r="F51" s="5"/>
    </row>
    <row r="52" spans="1:7" x14ac:dyDescent="0.25">
      <c r="A52" s="21"/>
      <c r="B52" s="40" t="s">
        <v>353</v>
      </c>
      <c r="C52" s="23" t="s">
        <v>14</v>
      </c>
      <c r="D52" s="20">
        <v>1605</v>
      </c>
      <c r="E52" s="41">
        <v>95</v>
      </c>
      <c r="F52" s="6">
        <f>$D52*$E52</f>
        <v>152475</v>
      </c>
    </row>
    <row r="53" spans="1:7" x14ac:dyDescent="0.25">
      <c r="A53" s="21"/>
      <c r="B53" s="36"/>
    </row>
    <row r="54" spans="1:7" x14ac:dyDescent="0.25">
      <c r="A54" s="21" t="s">
        <v>35</v>
      </c>
      <c r="B54" s="42" t="s">
        <v>41</v>
      </c>
      <c r="C54" s="19"/>
      <c r="D54" s="20"/>
      <c r="E54" s="41"/>
      <c r="F54" s="6"/>
    </row>
    <row r="55" spans="1:7" ht="25.5" x14ac:dyDescent="0.25">
      <c r="A55" s="21"/>
      <c r="B55" s="43" t="s">
        <v>42</v>
      </c>
      <c r="C55" s="17" t="s">
        <v>5</v>
      </c>
      <c r="D55" s="18">
        <v>81</v>
      </c>
      <c r="E55" s="44">
        <v>180</v>
      </c>
      <c r="F55" s="25">
        <f>$D55*$E55</f>
        <v>14580</v>
      </c>
    </row>
    <row r="56" spans="1:7" ht="20.45" customHeight="1" thickBot="1" x14ac:dyDescent="0.3">
      <c r="A56" s="21"/>
      <c r="B56" s="16"/>
      <c r="C56" s="23"/>
      <c r="D56" s="18"/>
      <c r="E56" s="18"/>
      <c r="F56" s="25"/>
      <c r="G56" s="47"/>
    </row>
    <row r="57" spans="1:7" ht="15.75" thickBot="1" x14ac:dyDescent="0.3">
      <c r="A57" s="231" t="s">
        <v>36</v>
      </c>
      <c r="B57" s="232"/>
      <c r="C57" s="232"/>
      <c r="D57" s="232"/>
      <c r="E57" s="232"/>
      <c r="F57" s="45">
        <f>SUM(F47:F56)</f>
        <v>167055</v>
      </c>
    </row>
    <row r="58" spans="1:7" x14ac:dyDescent="0.25">
      <c r="A58" s="35"/>
    </row>
  </sheetData>
  <mergeCells count="5">
    <mergeCell ref="A57:E57"/>
    <mergeCell ref="A9:B9"/>
    <mergeCell ref="A10:B11"/>
    <mergeCell ref="A1:F2"/>
    <mergeCell ref="A34:E34"/>
  </mergeCells>
  <pageMargins left="0.7" right="0.7" top="0.75" bottom="0.75" header="0.3" footer="0.3"/>
  <pageSetup paperSize="9" scale="73" fitToHeight="0" orientation="portrait" r:id="rId1"/>
  <rowBreaks count="2" manualBreakCount="2">
    <brk id="12" max="5" man="1"/>
    <brk id="47"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B7666-8EEE-43D9-B85B-5A66CB79D1C0}">
  <sheetPr>
    <tabColor theme="9" tint="0.39997558519241921"/>
    <pageSetUpPr fitToPage="1"/>
  </sheetPr>
  <dimension ref="A1:G45"/>
  <sheetViews>
    <sheetView view="pageBreakPreview" topLeftCell="A35" zoomScaleNormal="100" zoomScaleSheetLayoutView="100" workbookViewId="0">
      <selection activeCell="E43" sqref="E43"/>
    </sheetView>
  </sheetViews>
  <sheetFormatPr defaultRowHeight="15" x14ac:dyDescent="0.25"/>
  <cols>
    <col min="1" max="1" width="10" customWidth="1"/>
    <col min="2" max="2" width="55.5703125" customWidth="1"/>
    <col min="3" max="3" width="11.5703125" customWidth="1"/>
    <col min="4" max="4" width="13.42578125" customWidth="1"/>
    <col min="5" max="5" width="11.7109375" customWidth="1"/>
    <col min="6" max="6" width="17" customWidth="1"/>
    <col min="7" max="7" width="20.5703125" customWidth="1"/>
  </cols>
  <sheetData>
    <row r="1" spans="1:6" ht="24" customHeight="1" x14ac:dyDescent="0.25">
      <c r="A1" s="237" t="s">
        <v>0</v>
      </c>
      <c r="B1" s="237"/>
      <c r="C1" s="237"/>
      <c r="D1" s="237"/>
      <c r="E1" s="237"/>
      <c r="F1" s="237"/>
    </row>
    <row r="2" spans="1:6" ht="21" customHeight="1" x14ac:dyDescent="0.25">
      <c r="A2" s="237"/>
      <c r="B2" s="237"/>
      <c r="C2" s="237"/>
      <c r="D2" s="237"/>
      <c r="E2" s="237"/>
      <c r="F2" s="237"/>
    </row>
    <row r="3" spans="1:6" x14ac:dyDescent="0.25">
      <c r="A3" s="10"/>
      <c r="B3" s="12" t="s">
        <v>358</v>
      </c>
      <c r="F3" s="11"/>
    </row>
    <row r="4" spans="1:6" x14ac:dyDescent="0.25">
      <c r="A4" s="10"/>
      <c r="B4" s="12"/>
      <c r="F4" s="11"/>
    </row>
    <row r="5" spans="1:6" ht="138" customHeight="1" x14ac:dyDescent="0.25">
      <c r="A5" s="10"/>
      <c r="B5" s="49" t="s">
        <v>467</v>
      </c>
      <c r="F5" s="11"/>
    </row>
    <row r="6" spans="1:6" x14ac:dyDescent="0.25">
      <c r="A6" s="10"/>
      <c r="B6" s="1"/>
      <c r="F6" s="11"/>
    </row>
    <row r="7" spans="1:6" x14ac:dyDescent="0.25">
      <c r="A7" s="10"/>
      <c r="B7" s="13" t="s">
        <v>1</v>
      </c>
      <c r="F7" s="11"/>
    </row>
    <row r="8" spans="1:6" x14ac:dyDescent="0.25">
      <c r="A8" s="10"/>
      <c r="F8" s="11"/>
    </row>
    <row r="9" spans="1:6" ht="15.6" customHeight="1" x14ac:dyDescent="0.25">
      <c r="A9" s="233" t="s">
        <v>2</v>
      </c>
      <c r="B9" s="234"/>
      <c r="C9" t="s">
        <v>239</v>
      </c>
      <c r="D9" t="s">
        <v>238</v>
      </c>
      <c r="E9" t="s">
        <v>177</v>
      </c>
      <c r="F9" t="s">
        <v>171</v>
      </c>
    </row>
    <row r="10" spans="1:6" ht="202.9" customHeight="1" x14ac:dyDescent="0.25">
      <c r="A10" s="238" t="s">
        <v>359</v>
      </c>
      <c r="B10" s="239"/>
    </row>
    <row r="11" spans="1:6" ht="165.75" customHeight="1" x14ac:dyDescent="0.25">
      <c r="A11" s="238"/>
      <c r="B11" s="239"/>
    </row>
    <row r="12" spans="1:6" x14ac:dyDescent="0.25">
      <c r="A12" s="10"/>
    </row>
    <row r="13" spans="1:6" x14ac:dyDescent="0.25">
      <c r="A13" s="28" t="s">
        <v>15</v>
      </c>
      <c r="B13" s="29" t="s">
        <v>16</v>
      </c>
    </row>
    <row r="14" spans="1:6" x14ac:dyDescent="0.25">
      <c r="A14" s="30"/>
      <c r="B14" s="1"/>
    </row>
    <row r="15" spans="1:6" x14ac:dyDescent="0.25">
      <c r="A15" s="30"/>
      <c r="B15" s="2" t="s">
        <v>4</v>
      </c>
    </row>
    <row r="16" spans="1:6" ht="25.5" x14ac:dyDescent="0.25">
      <c r="A16" s="30"/>
      <c r="B16" s="26" t="s">
        <v>17</v>
      </c>
    </row>
    <row r="17" spans="1:6" x14ac:dyDescent="0.25">
      <c r="A17" s="10"/>
    </row>
    <row r="18" spans="1:6" x14ac:dyDescent="0.25">
      <c r="A18" s="31" t="s">
        <v>19</v>
      </c>
      <c r="B18" s="12" t="s">
        <v>47</v>
      </c>
      <c r="C18" s="4"/>
      <c r="D18" s="1"/>
      <c r="E18" s="1"/>
      <c r="F18" s="5"/>
    </row>
    <row r="19" spans="1:6" ht="96" customHeight="1" x14ac:dyDescent="0.25">
      <c r="A19" s="31"/>
      <c r="B19" s="26" t="s">
        <v>20</v>
      </c>
      <c r="C19" s="32" t="s">
        <v>18</v>
      </c>
      <c r="D19" s="25">
        <v>2286</v>
      </c>
      <c r="E19" s="33">
        <v>31</v>
      </c>
      <c r="F19" s="25">
        <f>$D19*$E19</f>
        <v>70866</v>
      </c>
    </row>
    <row r="20" spans="1:6" x14ac:dyDescent="0.25">
      <c r="A20" s="31"/>
      <c r="B20" s="178" t="s">
        <v>468</v>
      </c>
    </row>
    <row r="21" spans="1:6" x14ac:dyDescent="0.25">
      <c r="A21" s="31" t="s">
        <v>21</v>
      </c>
      <c r="B21" s="12" t="s">
        <v>24</v>
      </c>
      <c r="C21" s="32"/>
      <c r="D21" s="25"/>
      <c r="E21" s="33"/>
      <c r="F21" s="25"/>
    </row>
    <row r="22" spans="1:6" ht="93.75" customHeight="1" x14ac:dyDescent="0.25">
      <c r="A22" s="30"/>
      <c r="B22" s="26" t="s">
        <v>25</v>
      </c>
      <c r="C22" s="32" t="s">
        <v>18</v>
      </c>
      <c r="D22" s="25">
        <v>183</v>
      </c>
      <c r="E22" s="33">
        <v>36</v>
      </c>
      <c r="F22" s="25">
        <f>$D22*$E22</f>
        <v>6588</v>
      </c>
    </row>
    <row r="23" spans="1:6" x14ac:dyDescent="0.25">
      <c r="A23" s="31"/>
      <c r="B23" s="178" t="s">
        <v>468</v>
      </c>
    </row>
    <row r="24" spans="1:6" x14ac:dyDescent="0.25">
      <c r="A24" s="31" t="s">
        <v>44</v>
      </c>
      <c r="B24" s="12" t="s">
        <v>45</v>
      </c>
      <c r="C24" s="32"/>
      <c r="D24" s="25"/>
      <c r="E24" s="33"/>
      <c r="F24" s="25"/>
    </row>
    <row r="25" spans="1:6" ht="96.75" customHeight="1" x14ac:dyDescent="0.25">
      <c r="A25" s="31"/>
      <c r="B25" s="26" t="s">
        <v>46</v>
      </c>
      <c r="C25" s="32" t="s">
        <v>18</v>
      </c>
      <c r="D25" s="25">
        <v>245</v>
      </c>
      <c r="E25" s="33">
        <v>34</v>
      </c>
      <c r="F25" s="25">
        <f>$D25*$E25</f>
        <v>8330</v>
      </c>
    </row>
    <row r="26" spans="1:6" ht="15.75" thickBot="1" x14ac:dyDescent="0.3">
      <c r="A26" s="10"/>
      <c r="B26" s="178" t="s">
        <v>468</v>
      </c>
    </row>
    <row r="27" spans="1:6" ht="15.75" thickBot="1" x14ac:dyDescent="0.3">
      <c r="A27" s="231" t="s">
        <v>30</v>
      </c>
      <c r="B27" s="232"/>
      <c r="C27" s="232"/>
      <c r="D27" s="232"/>
      <c r="E27" s="232"/>
      <c r="F27" s="46">
        <f>SUM(F19:F25)</f>
        <v>85784</v>
      </c>
    </row>
    <row r="28" spans="1:6" x14ac:dyDescent="0.25">
      <c r="A28" s="10"/>
    </row>
    <row r="29" spans="1:6" x14ac:dyDescent="0.25">
      <c r="A29" s="35"/>
    </row>
    <row r="30" spans="1:6" x14ac:dyDescent="0.25">
      <c r="A30" s="28" t="s">
        <v>32</v>
      </c>
      <c r="B30" s="29" t="s">
        <v>33</v>
      </c>
    </row>
    <row r="31" spans="1:6" x14ac:dyDescent="0.25">
      <c r="A31" s="30"/>
      <c r="B31" s="1"/>
    </row>
    <row r="32" spans="1:6" x14ac:dyDescent="0.25">
      <c r="A32" s="30"/>
      <c r="B32" s="2" t="s">
        <v>4</v>
      </c>
    </row>
    <row r="33" spans="1:7" ht="331.5" customHeight="1" x14ac:dyDescent="0.25">
      <c r="A33" s="30"/>
      <c r="B33" s="3" t="s">
        <v>360</v>
      </c>
    </row>
    <row r="34" spans="1:7" ht="331.5" customHeight="1" x14ac:dyDescent="0.25">
      <c r="A34" s="30"/>
      <c r="B34" s="7" t="s">
        <v>361</v>
      </c>
    </row>
    <row r="35" spans="1:7" ht="246.75" customHeight="1" x14ac:dyDescent="0.25">
      <c r="A35" s="30"/>
      <c r="B35" s="7" t="s">
        <v>362</v>
      </c>
    </row>
    <row r="36" spans="1:7" ht="181.5" customHeight="1" x14ac:dyDescent="0.25">
      <c r="A36" s="30"/>
      <c r="B36" s="7" t="s">
        <v>363</v>
      </c>
    </row>
    <row r="37" spans="1:7" x14ac:dyDescent="0.25">
      <c r="A37" s="21"/>
      <c r="B37" s="36"/>
    </row>
    <row r="38" spans="1:7" x14ac:dyDescent="0.25">
      <c r="A38" s="21" t="s">
        <v>34</v>
      </c>
      <c r="B38" s="42" t="s">
        <v>364</v>
      </c>
      <c r="C38" s="19"/>
      <c r="D38" s="20"/>
      <c r="E38" s="41"/>
      <c r="F38" s="6"/>
    </row>
    <row r="39" spans="1:7" ht="38.25" x14ac:dyDescent="0.25">
      <c r="A39" s="21"/>
      <c r="B39" s="43" t="s">
        <v>365</v>
      </c>
      <c r="C39" s="17" t="s">
        <v>5</v>
      </c>
      <c r="D39" s="18">
        <v>1434.44</v>
      </c>
      <c r="E39" s="44">
        <v>95</v>
      </c>
      <c r="F39" s="25">
        <f>$D39*$E39</f>
        <v>136271.80000000002</v>
      </c>
    </row>
    <row r="40" spans="1:7" ht="14.25" customHeight="1" x14ac:dyDescent="0.25">
      <c r="A40" s="21"/>
      <c r="B40" s="16"/>
      <c r="C40" s="23"/>
      <c r="D40" s="18"/>
      <c r="E40" s="18"/>
      <c r="F40" s="25"/>
    </row>
    <row r="41" spans="1:7" ht="15" customHeight="1" x14ac:dyDescent="0.25">
      <c r="A41" s="14" t="s">
        <v>35</v>
      </c>
      <c r="B41" s="50" t="s">
        <v>366</v>
      </c>
      <c r="C41" s="23"/>
      <c r="D41" s="18"/>
      <c r="E41" s="18"/>
      <c r="F41" s="25"/>
    </row>
    <row r="42" spans="1:7" ht="40.9" customHeight="1" x14ac:dyDescent="0.25">
      <c r="A42" s="21"/>
      <c r="B42" s="51" t="s">
        <v>42</v>
      </c>
      <c r="C42" s="23" t="s">
        <v>14</v>
      </c>
      <c r="D42" s="18">
        <v>21.5</v>
      </c>
      <c r="E42" s="44">
        <v>180</v>
      </c>
      <c r="F42" s="25">
        <f>$D42*$E42</f>
        <v>3870</v>
      </c>
      <c r="G42" s="47"/>
    </row>
    <row r="43" spans="1:7" ht="15.75" thickBot="1" x14ac:dyDescent="0.3">
      <c r="A43" s="35"/>
      <c r="D43" s="18"/>
      <c r="G43" s="25"/>
    </row>
    <row r="44" spans="1:7" ht="15.75" thickBot="1" x14ac:dyDescent="0.3">
      <c r="A44" s="231" t="s">
        <v>36</v>
      </c>
      <c r="B44" s="232"/>
      <c r="C44" s="232"/>
      <c r="D44" s="232"/>
      <c r="E44" s="232"/>
      <c r="F44" s="45">
        <f>SUM(F37:F42)</f>
        <v>140141.80000000002</v>
      </c>
      <c r="G44" s="47"/>
    </row>
    <row r="45" spans="1:7" x14ac:dyDescent="0.25">
      <c r="A45" s="35"/>
    </row>
  </sheetData>
  <mergeCells count="5">
    <mergeCell ref="A27:E27"/>
    <mergeCell ref="A44:E44"/>
    <mergeCell ref="A1:F2"/>
    <mergeCell ref="A9:B9"/>
    <mergeCell ref="A10:B11"/>
  </mergeCells>
  <pageMargins left="0.7" right="0.7" top="0.75" bottom="0.75" header="0.3" footer="0.3"/>
  <pageSetup paperSize="9" scale="73" fitToHeight="0" orientation="portrait" r:id="rId1"/>
  <rowBreaks count="2" manualBreakCount="2">
    <brk id="27" max="5" man="1"/>
    <brk id="3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B8B87-4392-4011-88C4-CF10494EB761}">
  <sheetPr>
    <tabColor rgb="FFCD94E4"/>
  </sheetPr>
  <dimension ref="A1:J40"/>
  <sheetViews>
    <sheetView view="pageBreakPreview" zoomScale="90" zoomScaleNormal="100" zoomScaleSheetLayoutView="90" workbookViewId="0">
      <selection activeCell="O27" sqref="O27"/>
    </sheetView>
  </sheetViews>
  <sheetFormatPr defaultRowHeight="15" x14ac:dyDescent="0.25"/>
  <cols>
    <col min="3" max="3" width="6.42578125" customWidth="1"/>
    <col min="7" max="7" width="5" customWidth="1"/>
    <col min="10" max="10" width="18.5703125" customWidth="1"/>
  </cols>
  <sheetData>
    <row r="1" spans="1:10" x14ac:dyDescent="0.25">
      <c r="A1" s="203"/>
      <c r="B1" s="203"/>
      <c r="C1" s="203"/>
      <c r="D1" s="203"/>
      <c r="E1" s="203"/>
      <c r="F1" s="203"/>
      <c r="G1" s="203"/>
      <c r="H1" s="203"/>
      <c r="I1" s="203"/>
      <c r="J1" s="203"/>
    </row>
    <row r="15" spans="1:10" ht="44.1" customHeight="1" x14ac:dyDescent="0.25">
      <c r="A15" s="240" t="s">
        <v>367</v>
      </c>
      <c r="B15" s="241"/>
      <c r="C15" s="241"/>
      <c r="D15" s="241"/>
      <c r="E15" s="241"/>
      <c r="F15" s="241"/>
      <c r="G15" s="241"/>
      <c r="H15" s="241"/>
      <c r="I15" s="241"/>
      <c r="J15" s="242"/>
    </row>
    <row r="20" spans="1:10" ht="15.6" customHeight="1" x14ac:dyDescent="0.25">
      <c r="A20" s="179" t="s">
        <v>368</v>
      </c>
      <c r="B20" s="179"/>
      <c r="C20" s="179"/>
      <c r="D20" s="187" t="s">
        <v>369</v>
      </c>
      <c r="E20" s="187"/>
      <c r="F20" s="187"/>
      <c r="G20" s="187"/>
      <c r="H20" s="187"/>
      <c r="I20" s="187"/>
      <c r="J20" s="187"/>
    </row>
    <row r="21" spans="1:10" ht="15.6" customHeight="1" x14ac:dyDescent="0.25">
      <c r="A21" s="179"/>
      <c r="B21" s="179"/>
      <c r="C21" s="179"/>
      <c r="D21" s="187"/>
      <c r="E21" s="187"/>
      <c r="F21" s="187"/>
      <c r="G21" s="187"/>
      <c r="H21" s="187"/>
      <c r="I21" s="187"/>
      <c r="J21" s="187"/>
    </row>
    <row r="22" spans="1:10" ht="14.45" customHeight="1" x14ac:dyDescent="0.25">
      <c r="A22" s="179" t="s">
        <v>370</v>
      </c>
      <c r="B22" s="179"/>
      <c r="C22" s="179"/>
      <c r="D22" s="187" t="s">
        <v>371</v>
      </c>
      <c r="E22" s="187"/>
      <c r="F22" s="187"/>
      <c r="G22" s="187"/>
      <c r="H22" s="187"/>
      <c r="I22" s="187"/>
      <c r="J22" s="187"/>
    </row>
    <row r="23" spans="1:10" ht="14.45" customHeight="1" x14ac:dyDescent="0.25">
      <c r="A23" s="179"/>
      <c r="B23" s="179"/>
      <c r="C23" s="179"/>
      <c r="D23" s="187"/>
      <c r="E23" s="187"/>
      <c r="F23" s="187"/>
      <c r="G23" s="187"/>
      <c r="H23" s="187"/>
      <c r="I23" s="187"/>
      <c r="J23" s="187"/>
    </row>
    <row r="24" spans="1:10" ht="14.45" customHeight="1" x14ac:dyDescent="0.25">
      <c r="A24" s="179" t="s">
        <v>372</v>
      </c>
      <c r="B24" s="179"/>
      <c r="C24" s="179"/>
      <c r="D24" s="187" t="s">
        <v>373</v>
      </c>
      <c r="E24" s="187"/>
      <c r="F24" s="187"/>
      <c r="G24" s="187"/>
      <c r="H24" s="187"/>
      <c r="I24" s="187"/>
      <c r="J24" s="187"/>
    </row>
    <row r="25" spans="1:10" ht="14.45" customHeight="1" x14ac:dyDescent="0.25">
      <c r="A25" s="179"/>
      <c r="B25" s="179"/>
      <c r="C25" s="179"/>
      <c r="D25" s="187"/>
      <c r="E25" s="187"/>
      <c r="F25" s="187"/>
      <c r="G25" s="187"/>
      <c r="H25" s="187"/>
      <c r="I25" s="187"/>
      <c r="J25" s="187"/>
    </row>
    <row r="26" spans="1:10" x14ac:dyDescent="0.25">
      <c r="A26" s="179" t="s">
        <v>374</v>
      </c>
      <c r="B26" s="179"/>
      <c r="C26" s="179"/>
      <c r="D26" s="188" t="s">
        <v>375</v>
      </c>
      <c r="E26" s="188"/>
      <c r="F26" s="188"/>
      <c r="G26" s="188"/>
      <c r="H26" s="188"/>
      <c r="I26" s="188"/>
      <c r="J26" s="188"/>
    </row>
    <row r="27" spans="1:10" ht="23.1" customHeight="1" x14ac:dyDescent="0.25">
      <c r="A27" s="179"/>
      <c r="B27" s="179"/>
      <c r="C27" s="179"/>
      <c r="D27" s="188"/>
      <c r="E27" s="188"/>
      <c r="F27" s="188"/>
      <c r="G27" s="188"/>
      <c r="H27" s="188"/>
      <c r="I27" s="188"/>
      <c r="J27" s="188"/>
    </row>
    <row r="28" spans="1:10" ht="14.45" customHeight="1" x14ac:dyDescent="0.25"/>
    <row r="29" spans="1:10" ht="14.45" customHeight="1" x14ac:dyDescent="0.25">
      <c r="A29" s="179" t="s">
        <v>376</v>
      </c>
      <c r="B29" s="179"/>
      <c r="C29" s="179"/>
      <c r="D29" s="189" t="s">
        <v>377</v>
      </c>
      <c r="E29" s="190"/>
      <c r="F29" s="190"/>
      <c r="G29" s="191"/>
      <c r="H29" s="189"/>
      <c r="I29" s="190"/>
      <c r="J29" s="191"/>
    </row>
    <row r="30" spans="1:10" ht="14.45" customHeight="1" x14ac:dyDescent="0.25">
      <c r="A30" s="179"/>
      <c r="B30" s="179"/>
      <c r="C30" s="179"/>
      <c r="D30" s="192"/>
      <c r="E30" s="193"/>
      <c r="F30" s="193"/>
      <c r="G30" s="194"/>
      <c r="H30" s="192"/>
      <c r="I30" s="193"/>
      <c r="J30" s="194"/>
    </row>
    <row r="31" spans="1:10" ht="41.1" customHeight="1" x14ac:dyDescent="0.25">
      <c r="A31" s="179"/>
      <c r="B31" s="179"/>
      <c r="C31" s="179"/>
      <c r="D31" s="195"/>
      <c r="E31" s="196"/>
      <c r="F31" s="196"/>
      <c r="G31" s="197"/>
      <c r="H31" s="195"/>
      <c r="I31" s="196"/>
      <c r="J31" s="197"/>
    </row>
    <row r="39" spans="1:10" ht="14.45" customHeight="1" x14ac:dyDescent="0.25">
      <c r="A39" s="179" t="s">
        <v>378</v>
      </c>
      <c r="B39" s="179"/>
      <c r="C39" s="179"/>
      <c r="D39" s="180" t="s">
        <v>379</v>
      </c>
      <c r="E39" s="181"/>
      <c r="F39" s="181"/>
      <c r="G39" s="181"/>
      <c r="H39" s="181"/>
      <c r="I39" s="181"/>
      <c r="J39" s="182"/>
    </row>
    <row r="40" spans="1:10" ht="14.45" customHeight="1" x14ac:dyDescent="0.25">
      <c r="A40" s="179"/>
      <c r="B40" s="179"/>
      <c r="C40" s="179"/>
      <c r="D40" s="183"/>
      <c r="E40" s="184"/>
      <c r="F40" s="184"/>
      <c r="G40" s="184"/>
      <c r="H40" s="184"/>
      <c r="I40" s="184"/>
      <c r="J40" s="185"/>
    </row>
  </sheetData>
  <mergeCells count="15">
    <mergeCell ref="A39:C40"/>
    <mergeCell ref="D39:J40"/>
    <mergeCell ref="A24:C25"/>
    <mergeCell ref="D24:J25"/>
    <mergeCell ref="A26:C27"/>
    <mergeCell ref="D26:J27"/>
    <mergeCell ref="A29:C31"/>
    <mergeCell ref="D29:G31"/>
    <mergeCell ref="H29:J31"/>
    <mergeCell ref="A1:J1"/>
    <mergeCell ref="A15:J15"/>
    <mergeCell ref="A20:C21"/>
    <mergeCell ref="D20:J21"/>
    <mergeCell ref="A22:C23"/>
    <mergeCell ref="D22:J23"/>
  </mergeCells>
  <pageMargins left="0.7" right="0.7" top="0.75" bottom="0.75" header="0.3" footer="0.3"/>
  <pageSetup paperSize="9" scale="91" orientation="portrait"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2AE30-1D4A-4860-BD5B-1A3F253F1DE0}">
  <sheetPr>
    <tabColor rgb="FFCD94E4"/>
    <pageSetUpPr fitToPage="1"/>
  </sheetPr>
  <dimension ref="A1:T70"/>
  <sheetViews>
    <sheetView tabSelected="1" view="pageBreakPreview" topLeftCell="A58" zoomScale="90" zoomScaleNormal="130" zoomScaleSheetLayoutView="90" workbookViewId="0">
      <selection activeCell="E16" sqref="E16"/>
    </sheetView>
  </sheetViews>
  <sheetFormatPr defaultColWidth="9.140625" defaultRowHeight="15" x14ac:dyDescent="0.25"/>
  <cols>
    <col min="1" max="1" width="8.7109375" style="106" customWidth="1"/>
    <col min="2" max="2" width="60.7109375" style="107" customWidth="1"/>
    <col min="3" max="3" width="9.140625" style="54"/>
    <col min="4" max="4" width="10.5703125" style="55" customWidth="1"/>
    <col min="5" max="5" width="10.7109375" style="55" customWidth="1"/>
    <col min="6" max="6" width="13" style="55" bestFit="1" customWidth="1"/>
    <col min="7" max="7" width="11.5703125" style="55" customWidth="1"/>
    <col min="8" max="8" width="17" style="55" customWidth="1"/>
    <col min="9" max="9" width="12.140625" style="55" customWidth="1"/>
    <col min="10" max="10" width="12.5703125" style="55" customWidth="1"/>
    <col min="11" max="20" width="9.140625" style="55"/>
    <col min="21" max="16384" width="9.140625" style="77"/>
  </cols>
  <sheetData>
    <row r="1" spans="1:6" x14ac:dyDescent="0.25">
      <c r="A1" s="52"/>
      <c r="B1" s="53"/>
    </row>
    <row r="2" spans="1:6" x14ac:dyDescent="0.25">
      <c r="A2" s="56" t="s">
        <v>380</v>
      </c>
      <c r="B2" s="57" t="s">
        <v>170</v>
      </c>
      <c r="C2" s="58" t="s">
        <v>381</v>
      </c>
      <c r="D2" s="59" t="s">
        <v>382</v>
      </c>
      <c r="E2" s="59" t="s">
        <v>383</v>
      </c>
      <c r="F2" s="60" t="s">
        <v>384</v>
      </c>
    </row>
    <row r="3" spans="1:6" x14ac:dyDescent="0.25">
      <c r="A3" s="61"/>
      <c r="B3" s="62"/>
      <c r="C3" s="63"/>
      <c r="D3" s="64"/>
      <c r="E3" s="64"/>
      <c r="F3" s="64"/>
    </row>
    <row r="4" spans="1:6" x14ac:dyDescent="0.25">
      <c r="A4" s="243" t="s">
        <v>385</v>
      </c>
      <c r="B4" s="244"/>
      <c r="C4" s="244"/>
      <c r="D4" s="244"/>
      <c r="E4" s="244"/>
      <c r="F4" s="245"/>
    </row>
    <row r="5" spans="1:6" x14ac:dyDescent="0.25">
      <c r="A5" s="61"/>
      <c r="B5" s="62"/>
      <c r="C5" s="63"/>
      <c r="D5" s="64"/>
      <c r="E5" s="64"/>
      <c r="F5" s="64"/>
    </row>
    <row r="6" spans="1:6" x14ac:dyDescent="0.25">
      <c r="A6" s="70"/>
      <c r="B6" s="71"/>
      <c r="C6" s="72"/>
      <c r="D6" s="73"/>
      <c r="E6" s="73"/>
      <c r="F6" s="73"/>
    </row>
    <row r="7" spans="1:6" x14ac:dyDescent="0.25">
      <c r="A7" s="65" t="s">
        <v>172</v>
      </c>
      <c r="B7" s="66" t="s">
        <v>392</v>
      </c>
      <c r="C7" s="67"/>
      <c r="D7" s="68"/>
      <c r="E7" s="68"/>
      <c r="F7" s="69"/>
    </row>
    <row r="8" spans="1:6" x14ac:dyDescent="0.25">
      <c r="A8" s="61"/>
      <c r="B8" s="81"/>
      <c r="C8" s="63"/>
      <c r="D8" s="64"/>
      <c r="E8" s="64"/>
      <c r="F8" s="64"/>
    </row>
    <row r="9" spans="1:6" ht="216.75" customHeight="1" x14ac:dyDescent="0.25">
      <c r="A9" s="70"/>
      <c r="B9" s="71" t="s">
        <v>393</v>
      </c>
      <c r="C9" s="72"/>
      <c r="D9" s="73"/>
      <c r="E9" s="73"/>
      <c r="F9" s="73"/>
    </row>
    <row r="10" spans="1:6" ht="109.5" customHeight="1" x14ac:dyDescent="0.25">
      <c r="A10" s="70"/>
      <c r="B10" s="71" t="s">
        <v>394</v>
      </c>
      <c r="C10" s="72"/>
      <c r="D10" s="73"/>
      <c r="E10" s="73"/>
      <c r="F10" s="73"/>
    </row>
    <row r="11" spans="1:6" x14ac:dyDescent="0.25">
      <c r="A11" s="70"/>
      <c r="B11" s="71"/>
      <c r="C11" s="72"/>
      <c r="D11" s="73"/>
      <c r="E11" s="73"/>
      <c r="F11" s="73"/>
    </row>
    <row r="12" spans="1:6" x14ac:dyDescent="0.25">
      <c r="A12" s="61" t="s">
        <v>6</v>
      </c>
      <c r="B12" s="82" t="s">
        <v>395</v>
      </c>
      <c r="C12" s="63"/>
      <c r="D12" s="83"/>
      <c r="E12" s="83"/>
      <c r="F12" s="83"/>
    </row>
    <row r="13" spans="1:6" ht="150" customHeight="1" x14ac:dyDescent="0.25">
      <c r="A13" s="70"/>
      <c r="B13" s="84" t="s">
        <v>396</v>
      </c>
      <c r="C13" s="85"/>
      <c r="D13" s="86"/>
      <c r="E13" s="87"/>
      <c r="F13" s="88"/>
    </row>
    <row r="14" spans="1:6" x14ac:dyDescent="0.25">
      <c r="A14" s="70"/>
      <c r="B14" s="74" t="s">
        <v>388</v>
      </c>
      <c r="C14" s="89" t="s">
        <v>176</v>
      </c>
      <c r="D14" s="90">
        <v>600</v>
      </c>
      <c r="E14" s="91">
        <v>40</v>
      </c>
      <c r="F14" s="92">
        <f>D14*E14</f>
        <v>24000</v>
      </c>
    </row>
    <row r="15" spans="1:6" x14ac:dyDescent="0.25">
      <c r="A15" s="70"/>
      <c r="B15" s="74" t="s">
        <v>389</v>
      </c>
      <c r="C15" s="89" t="s">
        <v>176</v>
      </c>
      <c r="D15" s="90">
        <v>295</v>
      </c>
      <c r="E15" s="91">
        <v>40</v>
      </c>
      <c r="F15" s="92">
        <f>D15*E15</f>
        <v>11800</v>
      </c>
    </row>
    <row r="16" spans="1:6" x14ac:dyDescent="0.25">
      <c r="A16" s="70"/>
      <c r="B16" s="178" t="s">
        <v>468</v>
      </c>
      <c r="C16" s="89"/>
      <c r="D16" s="90"/>
      <c r="E16" s="91"/>
      <c r="F16" s="92"/>
    </row>
    <row r="17" spans="1:20" x14ac:dyDescent="0.25">
      <c r="A17" s="94" t="s">
        <v>7</v>
      </c>
      <c r="B17" s="82" t="s">
        <v>397</v>
      </c>
      <c r="C17" s="89"/>
      <c r="D17" s="90"/>
      <c r="E17" s="91"/>
      <c r="F17" s="92"/>
    </row>
    <row r="18" spans="1:20" ht="60.95" customHeight="1" x14ac:dyDescent="0.25">
      <c r="A18" s="94"/>
      <c r="B18" s="95" t="s">
        <v>398</v>
      </c>
      <c r="C18" s="89"/>
      <c r="D18" s="90"/>
      <c r="E18" s="91"/>
      <c r="F18" s="92"/>
    </row>
    <row r="19" spans="1:20" x14ac:dyDescent="0.25">
      <c r="A19" s="94"/>
      <c r="B19" s="76" t="s">
        <v>386</v>
      </c>
      <c r="C19" s="96" t="s">
        <v>399</v>
      </c>
      <c r="D19" s="97">
        <v>7.8</v>
      </c>
      <c r="E19" s="91"/>
      <c r="F19" s="92">
        <f>D19*E19</f>
        <v>0</v>
      </c>
    </row>
    <row r="20" spans="1:20" x14ac:dyDescent="0.25">
      <c r="A20" s="94"/>
      <c r="B20" s="76" t="s">
        <v>387</v>
      </c>
      <c r="C20" s="96" t="s">
        <v>399</v>
      </c>
      <c r="D20" s="97">
        <v>1.45</v>
      </c>
      <c r="E20" s="91"/>
      <c r="F20" s="92">
        <f>D20*E20</f>
        <v>0</v>
      </c>
    </row>
    <row r="21" spans="1:20" x14ac:dyDescent="0.25">
      <c r="A21" s="94"/>
      <c r="B21" s="76"/>
      <c r="C21" s="96"/>
      <c r="D21" s="97"/>
      <c r="E21" s="91"/>
      <c r="F21" s="92"/>
    </row>
    <row r="22" spans="1:20" x14ac:dyDescent="0.25">
      <c r="A22" s="94" t="s">
        <v>8</v>
      </c>
      <c r="B22" s="82" t="s">
        <v>400</v>
      </c>
      <c r="C22" s="89"/>
      <c r="D22" s="90"/>
      <c r="E22" s="91"/>
      <c r="F22" s="92"/>
    </row>
    <row r="23" spans="1:20" ht="75" x14ac:dyDescent="0.25">
      <c r="A23" s="94"/>
      <c r="B23" s="95" t="s">
        <v>401</v>
      </c>
      <c r="C23" s="89"/>
      <c r="D23" s="90"/>
      <c r="E23" s="91"/>
      <c r="F23" s="92"/>
    </row>
    <row r="24" spans="1:20" x14ac:dyDescent="0.25">
      <c r="A24" s="94"/>
      <c r="B24" s="76" t="s">
        <v>402</v>
      </c>
      <c r="C24" s="96" t="s">
        <v>399</v>
      </c>
      <c r="D24" s="97">
        <v>0.6</v>
      </c>
      <c r="E24" s="91"/>
      <c r="F24" s="92">
        <f>D24*E24</f>
        <v>0</v>
      </c>
    </row>
    <row r="25" spans="1:20" x14ac:dyDescent="0.25">
      <c r="A25" s="70"/>
      <c r="B25" s="93"/>
      <c r="C25" s="89"/>
      <c r="D25" s="90"/>
      <c r="E25" s="91"/>
      <c r="F25" s="92"/>
    </row>
    <row r="26" spans="1:20" x14ac:dyDescent="0.25">
      <c r="A26" s="94" t="s">
        <v>9</v>
      </c>
      <c r="B26" s="82" t="s">
        <v>403</v>
      </c>
      <c r="C26" s="89"/>
      <c r="D26" s="90"/>
      <c r="E26" s="91"/>
      <c r="F26" s="92"/>
    </row>
    <row r="27" spans="1:20" ht="77.099999999999994" customHeight="1" x14ac:dyDescent="0.25">
      <c r="A27" s="70"/>
      <c r="B27" s="93" t="s">
        <v>404</v>
      </c>
      <c r="C27" s="89"/>
      <c r="D27" s="90"/>
      <c r="E27" s="91"/>
      <c r="F27" s="92"/>
    </row>
    <row r="28" spans="1:20" x14ac:dyDescent="0.25">
      <c r="A28" s="70"/>
      <c r="B28" s="93" t="s">
        <v>405</v>
      </c>
      <c r="C28" s="96" t="s">
        <v>176</v>
      </c>
      <c r="D28" s="97">
        <v>61</v>
      </c>
      <c r="E28" s="91"/>
      <c r="F28" s="92">
        <f>D28*E28</f>
        <v>0</v>
      </c>
    </row>
    <row r="29" spans="1:20" x14ac:dyDescent="0.25">
      <c r="A29" s="70"/>
      <c r="B29" s="93"/>
      <c r="C29" s="89"/>
      <c r="D29" s="90"/>
      <c r="E29" s="91"/>
      <c r="F29" s="92"/>
    </row>
    <row r="30" spans="1:20" s="48" customFormat="1" x14ac:dyDescent="0.25">
      <c r="A30" s="98" t="s">
        <v>10</v>
      </c>
      <c r="B30" s="82" t="s">
        <v>406</v>
      </c>
      <c r="C30" s="96"/>
      <c r="D30" s="97"/>
      <c r="E30" s="97"/>
      <c r="F30" s="97"/>
      <c r="G30" s="75"/>
      <c r="H30" s="75"/>
      <c r="I30" s="75"/>
      <c r="J30" s="75"/>
      <c r="K30" s="75"/>
      <c r="L30" s="75"/>
      <c r="M30" s="75"/>
      <c r="N30" s="75"/>
      <c r="O30" s="75"/>
      <c r="P30" s="75"/>
      <c r="Q30" s="75"/>
      <c r="R30" s="75"/>
      <c r="S30" s="75"/>
      <c r="T30" s="75"/>
    </row>
    <row r="31" spans="1:20" ht="64.5" customHeight="1" x14ac:dyDescent="0.25">
      <c r="A31" s="70"/>
      <c r="B31" s="84" t="s">
        <v>407</v>
      </c>
      <c r="C31" s="85"/>
      <c r="D31" s="86"/>
      <c r="E31" s="87"/>
      <c r="F31" s="88"/>
    </row>
    <row r="32" spans="1:20" x14ac:dyDescent="0.25">
      <c r="A32" s="70"/>
      <c r="B32" s="93" t="s">
        <v>408</v>
      </c>
      <c r="C32" s="89" t="s">
        <v>390</v>
      </c>
      <c r="D32" s="90">
        <v>409.2</v>
      </c>
      <c r="E32" s="91"/>
      <c r="F32" s="92">
        <f>D32*E32</f>
        <v>0</v>
      </c>
      <c r="J32" s="99"/>
    </row>
    <row r="33" spans="1:8" x14ac:dyDescent="0.25">
      <c r="A33" s="70"/>
      <c r="B33" s="93"/>
      <c r="C33" s="89"/>
      <c r="D33" s="90"/>
      <c r="E33" s="91"/>
      <c r="F33" s="92"/>
    </row>
    <row r="34" spans="1:8" x14ac:dyDescent="0.25">
      <c r="A34" s="61" t="s">
        <v>11</v>
      </c>
      <c r="B34" s="100" t="s">
        <v>409</v>
      </c>
      <c r="C34" s="89"/>
      <c r="D34" s="90"/>
      <c r="E34" s="91"/>
      <c r="F34" s="92"/>
    </row>
    <row r="35" spans="1:8" ht="46.5" customHeight="1" x14ac:dyDescent="0.25">
      <c r="A35" s="70"/>
      <c r="B35" s="93" t="s">
        <v>410</v>
      </c>
      <c r="C35" s="89"/>
      <c r="D35" s="90"/>
      <c r="E35" s="91"/>
      <c r="F35" s="92"/>
    </row>
    <row r="36" spans="1:8" ht="14.45" customHeight="1" x14ac:dyDescent="0.25">
      <c r="A36" s="70"/>
      <c r="B36" s="101" t="s">
        <v>386</v>
      </c>
      <c r="C36" s="89" t="s">
        <v>390</v>
      </c>
      <c r="D36" s="90">
        <v>30.6</v>
      </c>
      <c r="E36" s="91"/>
      <c r="F36" s="92">
        <f>D36*E36</f>
        <v>0</v>
      </c>
    </row>
    <row r="37" spans="1:8" x14ac:dyDescent="0.25">
      <c r="A37" s="70"/>
      <c r="B37" s="101" t="s">
        <v>387</v>
      </c>
      <c r="C37" s="89" t="s">
        <v>390</v>
      </c>
      <c r="D37" s="90">
        <v>19</v>
      </c>
      <c r="E37" s="91"/>
      <c r="F37" s="92">
        <f>D37*E37</f>
        <v>0</v>
      </c>
    </row>
    <row r="38" spans="1:8" x14ac:dyDescent="0.25">
      <c r="A38" s="70"/>
      <c r="B38" s="93"/>
      <c r="C38" s="89"/>
      <c r="D38" s="90"/>
      <c r="E38" s="91"/>
      <c r="F38" s="92"/>
    </row>
    <row r="39" spans="1:8" x14ac:dyDescent="0.25">
      <c r="A39" s="94" t="s">
        <v>12</v>
      </c>
      <c r="B39" s="82" t="s">
        <v>411</v>
      </c>
      <c r="C39" s="89"/>
      <c r="D39" s="90"/>
      <c r="E39" s="91"/>
      <c r="F39" s="92"/>
    </row>
    <row r="40" spans="1:8" ht="60.6" customHeight="1" x14ac:dyDescent="0.25">
      <c r="A40" s="94"/>
      <c r="B40" s="95" t="s">
        <v>412</v>
      </c>
      <c r="C40" s="89"/>
      <c r="D40" s="90"/>
      <c r="E40" s="91"/>
      <c r="F40" s="92"/>
    </row>
    <row r="41" spans="1:8" x14ac:dyDescent="0.25">
      <c r="A41" s="94"/>
      <c r="B41" s="101" t="s">
        <v>388</v>
      </c>
      <c r="C41" s="89"/>
      <c r="D41" s="90"/>
      <c r="E41" s="91"/>
      <c r="F41" s="92"/>
    </row>
    <row r="42" spans="1:8" x14ac:dyDescent="0.25">
      <c r="A42" s="94"/>
      <c r="B42" s="93" t="s">
        <v>408</v>
      </c>
      <c r="C42" s="89" t="s">
        <v>390</v>
      </c>
      <c r="D42" s="90">
        <v>206.2</v>
      </c>
      <c r="E42" s="91"/>
      <c r="F42" s="92">
        <f>D42*E42</f>
        <v>0</v>
      </c>
      <c r="H42" s="75"/>
    </row>
    <row r="43" spans="1:8" x14ac:dyDescent="0.25">
      <c r="A43" s="94"/>
      <c r="B43" s="101" t="s">
        <v>389</v>
      </c>
      <c r="C43" s="89"/>
      <c r="D43" s="90"/>
      <c r="E43" s="91"/>
      <c r="F43" s="92"/>
    </row>
    <row r="44" spans="1:8" x14ac:dyDescent="0.25">
      <c r="A44" s="94"/>
      <c r="B44" s="93" t="s">
        <v>408</v>
      </c>
      <c r="C44" s="89" t="s">
        <v>390</v>
      </c>
      <c r="D44" s="90">
        <v>140</v>
      </c>
      <c r="E44" s="91"/>
      <c r="F44" s="92">
        <f>D44*E44</f>
        <v>0</v>
      </c>
      <c r="H44" s="75"/>
    </row>
    <row r="45" spans="1:8" x14ac:dyDescent="0.25">
      <c r="A45" s="94"/>
      <c r="B45" s="93"/>
      <c r="C45" s="89"/>
      <c r="D45" s="90"/>
      <c r="E45" s="91"/>
      <c r="F45" s="92"/>
      <c r="H45" s="75"/>
    </row>
    <row r="46" spans="1:8" x14ac:dyDescent="0.25">
      <c r="A46" s="94" t="s">
        <v>13</v>
      </c>
      <c r="B46" s="82" t="s">
        <v>413</v>
      </c>
      <c r="C46" s="89"/>
      <c r="D46" s="90"/>
      <c r="E46" s="91"/>
      <c r="F46" s="92"/>
      <c r="H46" s="75"/>
    </row>
    <row r="47" spans="1:8" ht="90" x14ac:dyDescent="0.25">
      <c r="A47" s="94"/>
      <c r="B47" s="95" t="s">
        <v>414</v>
      </c>
      <c r="C47" s="89"/>
      <c r="D47" s="90"/>
      <c r="E47" s="91"/>
      <c r="F47" s="92"/>
      <c r="H47" s="75"/>
    </row>
    <row r="48" spans="1:8" x14ac:dyDescent="0.25">
      <c r="A48" s="94"/>
      <c r="B48" s="101" t="s">
        <v>388</v>
      </c>
      <c r="C48" s="89"/>
      <c r="D48" s="90"/>
      <c r="E48" s="91"/>
      <c r="F48" s="92"/>
      <c r="H48" s="75"/>
    </row>
    <row r="49" spans="1:6" x14ac:dyDescent="0.25">
      <c r="A49" s="94"/>
      <c r="B49" s="93" t="s">
        <v>415</v>
      </c>
      <c r="C49" s="89" t="s">
        <v>399</v>
      </c>
      <c r="D49" s="90">
        <v>1.85</v>
      </c>
      <c r="E49" s="91"/>
      <c r="F49" s="92">
        <f>D49*E49</f>
        <v>0</v>
      </c>
    </row>
    <row r="50" spans="1:6" x14ac:dyDescent="0.25">
      <c r="A50" s="94"/>
      <c r="B50" s="93"/>
      <c r="C50" s="89"/>
      <c r="D50" s="90"/>
      <c r="E50" s="91"/>
      <c r="F50" s="92"/>
    </row>
    <row r="51" spans="1:6" x14ac:dyDescent="0.25">
      <c r="A51" s="94" t="s">
        <v>173</v>
      </c>
      <c r="B51" s="82" t="s">
        <v>416</v>
      </c>
      <c r="C51" s="89"/>
      <c r="D51" s="90"/>
      <c r="E51" s="91"/>
      <c r="F51" s="92"/>
    </row>
    <row r="52" spans="1:6" ht="105" x14ac:dyDescent="0.25">
      <c r="A52" s="94"/>
      <c r="B52" s="95" t="s">
        <v>417</v>
      </c>
      <c r="C52" s="89"/>
      <c r="D52" s="90"/>
      <c r="E52" s="91"/>
      <c r="F52" s="92"/>
    </row>
    <row r="53" spans="1:6" x14ac:dyDescent="0.25">
      <c r="A53" s="94"/>
      <c r="B53" s="102" t="s">
        <v>386</v>
      </c>
      <c r="C53" s="89" t="s">
        <v>176</v>
      </c>
      <c r="D53" s="90">
        <v>161</v>
      </c>
      <c r="E53" s="91"/>
      <c r="F53" s="92">
        <f>D53*E53</f>
        <v>0</v>
      </c>
    </row>
    <row r="54" spans="1:6" x14ac:dyDescent="0.25">
      <c r="A54" s="94"/>
      <c r="B54" s="102" t="s">
        <v>387</v>
      </c>
      <c r="C54" s="89" t="s">
        <v>176</v>
      </c>
      <c r="D54" s="90">
        <v>100</v>
      </c>
      <c r="E54" s="91"/>
      <c r="F54" s="92">
        <f>D54*E54</f>
        <v>0</v>
      </c>
    </row>
    <row r="55" spans="1:6" x14ac:dyDescent="0.25">
      <c r="A55" s="94"/>
      <c r="B55" s="82"/>
      <c r="C55" s="89"/>
      <c r="D55" s="90"/>
      <c r="E55" s="91"/>
      <c r="F55" s="92"/>
    </row>
    <row r="56" spans="1:6" x14ac:dyDescent="0.25">
      <c r="A56" s="94" t="s">
        <v>174</v>
      </c>
      <c r="B56" s="82" t="s">
        <v>418</v>
      </c>
      <c r="C56" s="89"/>
      <c r="D56" s="90"/>
      <c r="E56" s="91"/>
      <c r="F56" s="92"/>
    </row>
    <row r="57" spans="1:6" ht="90" x14ac:dyDescent="0.25">
      <c r="A57" s="94"/>
      <c r="B57" s="93" t="s">
        <v>419</v>
      </c>
      <c r="C57" s="89"/>
      <c r="D57" s="90"/>
      <c r="E57" s="91"/>
      <c r="F57" s="92"/>
    </row>
    <row r="58" spans="1:6" x14ac:dyDescent="0.25">
      <c r="A58" s="94"/>
      <c r="B58" s="93" t="s">
        <v>386</v>
      </c>
      <c r="C58" s="89" t="s">
        <v>176</v>
      </c>
      <c r="D58" s="90">
        <v>321</v>
      </c>
      <c r="E58" s="91"/>
      <c r="F58" s="92">
        <f>D58*E58</f>
        <v>0</v>
      </c>
    </row>
    <row r="59" spans="1:6" x14ac:dyDescent="0.25">
      <c r="A59" s="94"/>
      <c r="B59" s="93" t="s">
        <v>387</v>
      </c>
      <c r="C59" s="89" t="s">
        <v>176</v>
      </c>
      <c r="D59" s="90">
        <v>200</v>
      </c>
      <c r="E59" s="91"/>
      <c r="F59" s="92">
        <f>D59*E59</f>
        <v>0</v>
      </c>
    </row>
    <row r="60" spans="1:6" x14ac:dyDescent="0.25">
      <c r="A60" s="94"/>
      <c r="B60" s="93"/>
      <c r="C60" s="89"/>
      <c r="D60" s="90"/>
      <c r="E60" s="91"/>
      <c r="F60" s="92"/>
    </row>
    <row r="61" spans="1:6" x14ac:dyDescent="0.25">
      <c r="A61" s="94" t="s">
        <v>175</v>
      </c>
      <c r="B61" s="82" t="s">
        <v>420</v>
      </c>
      <c r="C61" s="89"/>
      <c r="D61" s="90"/>
      <c r="E61" s="91"/>
      <c r="F61" s="92"/>
    </row>
    <row r="62" spans="1:6" ht="75" x14ac:dyDescent="0.25">
      <c r="A62" s="94"/>
      <c r="B62" s="93" t="s">
        <v>421</v>
      </c>
      <c r="C62" s="89"/>
      <c r="D62" s="90"/>
      <c r="E62" s="91"/>
      <c r="F62" s="92"/>
    </row>
    <row r="63" spans="1:6" x14ac:dyDescent="0.25">
      <c r="A63" s="94"/>
      <c r="B63" s="93" t="s">
        <v>386</v>
      </c>
      <c r="C63" s="89" t="s">
        <v>176</v>
      </c>
      <c r="D63" s="90">
        <v>321</v>
      </c>
      <c r="E63" s="91"/>
      <c r="F63" s="92">
        <f>D63*E63</f>
        <v>0</v>
      </c>
    </row>
    <row r="64" spans="1:6" x14ac:dyDescent="0.25">
      <c r="A64" s="94"/>
      <c r="B64" s="93" t="s">
        <v>387</v>
      </c>
      <c r="C64" s="89" t="s">
        <v>176</v>
      </c>
      <c r="D64" s="90">
        <v>200</v>
      </c>
      <c r="E64" s="91"/>
      <c r="F64" s="92">
        <f>D64*E64</f>
        <v>0</v>
      </c>
    </row>
    <row r="65" spans="1:6" x14ac:dyDescent="0.25">
      <c r="A65" s="94"/>
      <c r="B65" s="93"/>
      <c r="C65" s="89"/>
      <c r="D65" s="90"/>
      <c r="E65" s="91"/>
      <c r="F65" s="92"/>
    </row>
    <row r="66" spans="1:6" x14ac:dyDescent="0.25">
      <c r="A66" s="78"/>
      <c r="B66" s="79" t="s">
        <v>422</v>
      </c>
      <c r="C66" s="67" t="s">
        <v>391</v>
      </c>
      <c r="D66" s="67"/>
      <c r="E66" s="67"/>
      <c r="F66" s="80">
        <f>SUM(F9:F64)</f>
        <v>35800</v>
      </c>
    </row>
    <row r="67" spans="1:6" x14ac:dyDescent="0.25">
      <c r="A67" s="70"/>
      <c r="B67" s="71"/>
      <c r="C67" s="72"/>
      <c r="D67" s="73"/>
      <c r="E67" s="73"/>
      <c r="F67" s="73"/>
    </row>
    <row r="68" spans="1:6" x14ac:dyDescent="0.25">
      <c r="A68" s="103"/>
      <c r="B68" s="104"/>
      <c r="C68" s="105"/>
      <c r="D68" s="99"/>
      <c r="E68" s="99"/>
      <c r="F68" s="99"/>
    </row>
    <row r="69" spans="1:6" x14ac:dyDescent="0.25">
      <c r="A69" s="103"/>
      <c r="B69" s="104"/>
      <c r="C69" s="105"/>
      <c r="D69" s="99"/>
      <c r="E69" s="99"/>
      <c r="F69" s="99"/>
    </row>
    <row r="70" spans="1:6" x14ac:dyDescent="0.25">
      <c r="A70" s="103"/>
      <c r="B70" s="104"/>
      <c r="C70" s="105"/>
      <c r="D70" s="99"/>
      <c r="E70" s="99"/>
      <c r="F70" s="99"/>
    </row>
  </sheetData>
  <mergeCells count="1">
    <mergeCell ref="A4:F4"/>
  </mergeCells>
  <pageMargins left="1" right="1" top="1" bottom="1" header="0.5" footer="0.5"/>
  <pageSetup paperSize="9" scale="70" fitToHeight="0" orientation="portrait" r:id="rId1"/>
  <rowBreaks count="2" manualBreakCount="2">
    <brk id="6" max="5" man="1"/>
    <brk id="29"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1478-5996-4EAE-9B05-34C9B49AD26C}">
  <sheetPr>
    <tabColor rgb="FFFFFF00"/>
  </sheetPr>
  <dimension ref="A2:K44"/>
  <sheetViews>
    <sheetView view="pageBreakPreview" topLeftCell="A7" zoomScaleNormal="100" zoomScaleSheetLayoutView="100" zoomScalePageLayoutView="110" workbookViewId="0">
      <selection activeCell="H6" sqref="H6"/>
    </sheetView>
  </sheetViews>
  <sheetFormatPr defaultRowHeight="12.75" x14ac:dyDescent="0.2"/>
  <cols>
    <col min="1" max="1" width="8.42578125" style="108" customWidth="1"/>
    <col min="2" max="2" width="9.140625" style="108"/>
    <col min="3" max="3" width="9.5703125" style="108" customWidth="1"/>
    <col min="4" max="4" width="9.85546875" style="108" customWidth="1"/>
    <col min="5" max="5" width="10.28515625" style="108" customWidth="1"/>
    <col min="6" max="6" width="10.5703125" style="108" customWidth="1"/>
    <col min="7" max="7" width="5.5703125" style="108" hidden="1" customWidth="1"/>
    <col min="8" max="9" width="9.140625" style="108"/>
    <col min="10" max="10" width="11.7109375" style="108" customWidth="1"/>
    <col min="11" max="256" width="9.140625" style="108"/>
    <col min="257" max="257" width="8.42578125" style="108" customWidth="1"/>
    <col min="258" max="258" width="9.140625" style="108"/>
    <col min="259" max="259" width="9.5703125" style="108" customWidth="1"/>
    <col min="260" max="260" width="9.85546875" style="108" customWidth="1"/>
    <col min="261" max="261" width="10.28515625" style="108" customWidth="1"/>
    <col min="262" max="262" width="10.5703125" style="108" customWidth="1"/>
    <col min="263" max="263" width="0" style="108" hidden="1" customWidth="1"/>
    <col min="264" max="265" width="9.140625" style="108"/>
    <col min="266" max="266" width="11.7109375" style="108" customWidth="1"/>
    <col min="267" max="512" width="9.140625" style="108"/>
    <col min="513" max="513" width="8.42578125" style="108" customWidth="1"/>
    <col min="514" max="514" width="9.140625" style="108"/>
    <col min="515" max="515" width="9.5703125" style="108" customWidth="1"/>
    <col min="516" max="516" width="9.85546875" style="108" customWidth="1"/>
    <col min="517" max="517" width="10.28515625" style="108" customWidth="1"/>
    <col min="518" max="518" width="10.5703125" style="108" customWidth="1"/>
    <col min="519" max="519" width="0" style="108" hidden="1" customWidth="1"/>
    <col min="520" max="521" width="9.140625" style="108"/>
    <col min="522" max="522" width="11.7109375" style="108" customWidth="1"/>
    <col min="523" max="768" width="9.140625" style="108"/>
    <col min="769" max="769" width="8.42578125" style="108" customWidth="1"/>
    <col min="770" max="770" width="9.140625" style="108"/>
    <col min="771" max="771" width="9.5703125" style="108" customWidth="1"/>
    <col min="772" max="772" width="9.85546875" style="108" customWidth="1"/>
    <col min="773" max="773" width="10.28515625" style="108" customWidth="1"/>
    <col min="774" max="774" width="10.5703125" style="108" customWidth="1"/>
    <col min="775" max="775" width="0" style="108" hidden="1" customWidth="1"/>
    <col min="776" max="777" width="9.140625" style="108"/>
    <col min="778" max="778" width="11.7109375" style="108" customWidth="1"/>
    <col min="779" max="1024" width="9.140625" style="108"/>
    <col min="1025" max="1025" width="8.42578125" style="108" customWidth="1"/>
    <col min="1026" max="1026" width="9.140625" style="108"/>
    <col min="1027" max="1027" width="9.5703125" style="108" customWidth="1"/>
    <col min="1028" max="1028" width="9.85546875" style="108" customWidth="1"/>
    <col min="1029" max="1029" width="10.28515625" style="108" customWidth="1"/>
    <col min="1030" max="1030" width="10.5703125" style="108" customWidth="1"/>
    <col min="1031" max="1031" width="0" style="108" hidden="1" customWidth="1"/>
    <col min="1032" max="1033" width="9.140625" style="108"/>
    <col min="1034" max="1034" width="11.7109375" style="108" customWidth="1"/>
    <col min="1035" max="1280" width="9.140625" style="108"/>
    <col min="1281" max="1281" width="8.42578125" style="108" customWidth="1"/>
    <col min="1282" max="1282" width="9.140625" style="108"/>
    <col min="1283" max="1283" width="9.5703125" style="108" customWidth="1"/>
    <col min="1284" max="1284" width="9.85546875" style="108" customWidth="1"/>
    <col min="1285" max="1285" width="10.28515625" style="108" customWidth="1"/>
    <col min="1286" max="1286" width="10.5703125" style="108" customWidth="1"/>
    <col min="1287" max="1287" width="0" style="108" hidden="1" customWidth="1"/>
    <col min="1288" max="1289" width="9.140625" style="108"/>
    <col min="1290" max="1290" width="11.7109375" style="108" customWidth="1"/>
    <col min="1291" max="1536" width="9.140625" style="108"/>
    <col min="1537" max="1537" width="8.42578125" style="108" customWidth="1"/>
    <col min="1538" max="1538" width="9.140625" style="108"/>
    <col min="1539" max="1539" width="9.5703125" style="108" customWidth="1"/>
    <col min="1540" max="1540" width="9.85546875" style="108" customWidth="1"/>
    <col min="1541" max="1541" width="10.28515625" style="108" customWidth="1"/>
    <col min="1542" max="1542" width="10.5703125" style="108" customWidth="1"/>
    <col min="1543" max="1543" width="0" style="108" hidden="1" customWidth="1"/>
    <col min="1544" max="1545" width="9.140625" style="108"/>
    <col min="1546" max="1546" width="11.7109375" style="108" customWidth="1"/>
    <col min="1547" max="1792" width="9.140625" style="108"/>
    <col min="1793" max="1793" width="8.42578125" style="108" customWidth="1"/>
    <col min="1794" max="1794" width="9.140625" style="108"/>
    <col min="1795" max="1795" width="9.5703125" style="108" customWidth="1"/>
    <col min="1796" max="1796" width="9.85546875" style="108" customWidth="1"/>
    <col min="1797" max="1797" width="10.28515625" style="108" customWidth="1"/>
    <col min="1798" max="1798" width="10.5703125" style="108" customWidth="1"/>
    <col min="1799" max="1799" width="0" style="108" hidden="1" customWidth="1"/>
    <col min="1800" max="1801" width="9.140625" style="108"/>
    <col min="1802" max="1802" width="11.7109375" style="108" customWidth="1"/>
    <col min="1803" max="2048" width="9.140625" style="108"/>
    <col min="2049" max="2049" width="8.42578125" style="108" customWidth="1"/>
    <col min="2050" max="2050" width="9.140625" style="108"/>
    <col min="2051" max="2051" width="9.5703125" style="108" customWidth="1"/>
    <col min="2052" max="2052" width="9.85546875" style="108" customWidth="1"/>
    <col min="2053" max="2053" width="10.28515625" style="108" customWidth="1"/>
    <col min="2054" max="2054" width="10.5703125" style="108" customWidth="1"/>
    <col min="2055" max="2055" width="0" style="108" hidden="1" customWidth="1"/>
    <col min="2056" max="2057" width="9.140625" style="108"/>
    <col min="2058" max="2058" width="11.7109375" style="108" customWidth="1"/>
    <col min="2059" max="2304" width="9.140625" style="108"/>
    <col min="2305" max="2305" width="8.42578125" style="108" customWidth="1"/>
    <col min="2306" max="2306" width="9.140625" style="108"/>
    <col min="2307" max="2307" width="9.5703125" style="108" customWidth="1"/>
    <col min="2308" max="2308" width="9.85546875" style="108" customWidth="1"/>
    <col min="2309" max="2309" width="10.28515625" style="108" customWidth="1"/>
    <col min="2310" max="2310" width="10.5703125" style="108" customWidth="1"/>
    <col min="2311" max="2311" width="0" style="108" hidden="1" customWidth="1"/>
    <col min="2312" max="2313" width="9.140625" style="108"/>
    <col min="2314" max="2314" width="11.7109375" style="108" customWidth="1"/>
    <col min="2315" max="2560" width="9.140625" style="108"/>
    <col min="2561" max="2561" width="8.42578125" style="108" customWidth="1"/>
    <col min="2562" max="2562" width="9.140625" style="108"/>
    <col min="2563" max="2563" width="9.5703125" style="108" customWidth="1"/>
    <col min="2564" max="2564" width="9.85546875" style="108" customWidth="1"/>
    <col min="2565" max="2565" width="10.28515625" style="108" customWidth="1"/>
    <col min="2566" max="2566" width="10.5703125" style="108" customWidth="1"/>
    <col min="2567" max="2567" width="0" style="108" hidden="1" customWidth="1"/>
    <col min="2568" max="2569" width="9.140625" style="108"/>
    <col min="2570" max="2570" width="11.7109375" style="108" customWidth="1"/>
    <col min="2571" max="2816" width="9.140625" style="108"/>
    <col min="2817" max="2817" width="8.42578125" style="108" customWidth="1"/>
    <col min="2818" max="2818" width="9.140625" style="108"/>
    <col min="2819" max="2819" width="9.5703125" style="108" customWidth="1"/>
    <col min="2820" max="2820" width="9.85546875" style="108" customWidth="1"/>
    <col min="2821" max="2821" width="10.28515625" style="108" customWidth="1"/>
    <col min="2822" max="2822" width="10.5703125" style="108" customWidth="1"/>
    <col min="2823" max="2823" width="0" style="108" hidden="1" customWidth="1"/>
    <col min="2824" max="2825" width="9.140625" style="108"/>
    <col min="2826" max="2826" width="11.7109375" style="108" customWidth="1"/>
    <col min="2827" max="3072" width="9.140625" style="108"/>
    <col min="3073" max="3073" width="8.42578125" style="108" customWidth="1"/>
    <col min="3074" max="3074" width="9.140625" style="108"/>
    <col min="3075" max="3075" width="9.5703125" style="108" customWidth="1"/>
    <col min="3076" max="3076" width="9.85546875" style="108" customWidth="1"/>
    <col min="3077" max="3077" width="10.28515625" style="108" customWidth="1"/>
    <col min="3078" max="3078" width="10.5703125" style="108" customWidth="1"/>
    <col min="3079" max="3079" width="0" style="108" hidden="1" customWidth="1"/>
    <col min="3080" max="3081" width="9.140625" style="108"/>
    <col min="3082" max="3082" width="11.7109375" style="108" customWidth="1"/>
    <col min="3083" max="3328" width="9.140625" style="108"/>
    <col min="3329" max="3329" width="8.42578125" style="108" customWidth="1"/>
    <col min="3330" max="3330" width="9.140625" style="108"/>
    <col min="3331" max="3331" width="9.5703125" style="108" customWidth="1"/>
    <col min="3332" max="3332" width="9.85546875" style="108" customWidth="1"/>
    <col min="3333" max="3333" width="10.28515625" style="108" customWidth="1"/>
    <col min="3334" max="3334" width="10.5703125" style="108" customWidth="1"/>
    <col min="3335" max="3335" width="0" style="108" hidden="1" customWidth="1"/>
    <col min="3336" max="3337" width="9.140625" style="108"/>
    <col min="3338" max="3338" width="11.7109375" style="108" customWidth="1"/>
    <col min="3339" max="3584" width="9.140625" style="108"/>
    <col min="3585" max="3585" width="8.42578125" style="108" customWidth="1"/>
    <col min="3586" max="3586" width="9.140625" style="108"/>
    <col min="3587" max="3587" width="9.5703125" style="108" customWidth="1"/>
    <col min="3588" max="3588" width="9.85546875" style="108" customWidth="1"/>
    <col min="3589" max="3589" width="10.28515625" style="108" customWidth="1"/>
    <col min="3590" max="3590" width="10.5703125" style="108" customWidth="1"/>
    <col min="3591" max="3591" width="0" style="108" hidden="1" customWidth="1"/>
    <col min="3592" max="3593" width="9.140625" style="108"/>
    <col min="3594" max="3594" width="11.7109375" style="108" customWidth="1"/>
    <col min="3595" max="3840" width="9.140625" style="108"/>
    <col min="3841" max="3841" width="8.42578125" style="108" customWidth="1"/>
    <col min="3842" max="3842" width="9.140625" style="108"/>
    <col min="3843" max="3843" width="9.5703125" style="108" customWidth="1"/>
    <col min="3844" max="3844" width="9.85546875" style="108" customWidth="1"/>
    <col min="3845" max="3845" width="10.28515625" style="108" customWidth="1"/>
    <col min="3846" max="3846" width="10.5703125" style="108" customWidth="1"/>
    <col min="3847" max="3847" width="0" style="108" hidden="1" customWidth="1"/>
    <col min="3848" max="3849" width="9.140625" style="108"/>
    <col min="3850" max="3850" width="11.7109375" style="108" customWidth="1"/>
    <col min="3851" max="4096" width="9.140625" style="108"/>
    <col min="4097" max="4097" width="8.42578125" style="108" customWidth="1"/>
    <col min="4098" max="4098" width="9.140625" style="108"/>
    <col min="4099" max="4099" width="9.5703125" style="108" customWidth="1"/>
    <col min="4100" max="4100" width="9.85546875" style="108" customWidth="1"/>
    <col min="4101" max="4101" width="10.28515625" style="108" customWidth="1"/>
    <col min="4102" max="4102" width="10.5703125" style="108" customWidth="1"/>
    <col min="4103" max="4103" width="0" style="108" hidden="1" customWidth="1"/>
    <col min="4104" max="4105" width="9.140625" style="108"/>
    <col min="4106" max="4106" width="11.7109375" style="108" customWidth="1"/>
    <col min="4107" max="4352" width="9.140625" style="108"/>
    <col min="4353" max="4353" width="8.42578125" style="108" customWidth="1"/>
    <col min="4354" max="4354" width="9.140625" style="108"/>
    <col min="4355" max="4355" width="9.5703125" style="108" customWidth="1"/>
    <col min="4356" max="4356" width="9.85546875" style="108" customWidth="1"/>
    <col min="4357" max="4357" width="10.28515625" style="108" customWidth="1"/>
    <col min="4358" max="4358" width="10.5703125" style="108" customWidth="1"/>
    <col min="4359" max="4359" width="0" style="108" hidden="1" customWidth="1"/>
    <col min="4360" max="4361" width="9.140625" style="108"/>
    <col min="4362" max="4362" width="11.7109375" style="108" customWidth="1"/>
    <col min="4363" max="4608" width="9.140625" style="108"/>
    <col min="4609" max="4609" width="8.42578125" style="108" customWidth="1"/>
    <col min="4610" max="4610" width="9.140625" style="108"/>
    <col min="4611" max="4611" width="9.5703125" style="108" customWidth="1"/>
    <col min="4612" max="4612" width="9.85546875" style="108" customWidth="1"/>
    <col min="4613" max="4613" width="10.28515625" style="108" customWidth="1"/>
    <col min="4614" max="4614" width="10.5703125" style="108" customWidth="1"/>
    <col min="4615" max="4615" width="0" style="108" hidden="1" customWidth="1"/>
    <col min="4616" max="4617" width="9.140625" style="108"/>
    <col min="4618" max="4618" width="11.7109375" style="108" customWidth="1"/>
    <col min="4619" max="4864" width="9.140625" style="108"/>
    <col min="4865" max="4865" width="8.42578125" style="108" customWidth="1"/>
    <col min="4866" max="4866" width="9.140625" style="108"/>
    <col min="4867" max="4867" width="9.5703125" style="108" customWidth="1"/>
    <col min="4868" max="4868" width="9.85546875" style="108" customWidth="1"/>
    <col min="4869" max="4869" width="10.28515625" style="108" customWidth="1"/>
    <col min="4870" max="4870" width="10.5703125" style="108" customWidth="1"/>
    <col min="4871" max="4871" width="0" style="108" hidden="1" customWidth="1"/>
    <col min="4872" max="4873" width="9.140625" style="108"/>
    <col min="4874" max="4874" width="11.7109375" style="108" customWidth="1"/>
    <col min="4875" max="5120" width="9.140625" style="108"/>
    <col min="5121" max="5121" width="8.42578125" style="108" customWidth="1"/>
    <col min="5122" max="5122" width="9.140625" style="108"/>
    <col min="5123" max="5123" width="9.5703125" style="108" customWidth="1"/>
    <col min="5124" max="5124" width="9.85546875" style="108" customWidth="1"/>
    <col min="5125" max="5125" width="10.28515625" style="108" customWidth="1"/>
    <col min="5126" max="5126" width="10.5703125" style="108" customWidth="1"/>
    <col min="5127" max="5127" width="0" style="108" hidden="1" customWidth="1"/>
    <col min="5128" max="5129" width="9.140625" style="108"/>
    <col min="5130" max="5130" width="11.7109375" style="108" customWidth="1"/>
    <col min="5131" max="5376" width="9.140625" style="108"/>
    <col min="5377" max="5377" width="8.42578125" style="108" customWidth="1"/>
    <col min="5378" max="5378" width="9.140625" style="108"/>
    <col min="5379" max="5379" width="9.5703125" style="108" customWidth="1"/>
    <col min="5380" max="5380" width="9.85546875" style="108" customWidth="1"/>
    <col min="5381" max="5381" width="10.28515625" style="108" customWidth="1"/>
    <col min="5382" max="5382" width="10.5703125" style="108" customWidth="1"/>
    <col min="5383" max="5383" width="0" style="108" hidden="1" customWidth="1"/>
    <col min="5384" max="5385" width="9.140625" style="108"/>
    <col min="5386" max="5386" width="11.7109375" style="108" customWidth="1"/>
    <col min="5387" max="5632" width="9.140625" style="108"/>
    <col min="5633" max="5633" width="8.42578125" style="108" customWidth="1"/>
    <col min="5634" max="5634" width="9.140625" style="108"/>
    <col min="5635" max="5635" width="9.5703125" style="108" customWidth="1"/>
    <col min="5636" max="5636" width="9.85546875" style="108" customWidth="1"/>
    <col min="5637" max="5637" width="10.28515625" style="108" customWidth="1"/>
    <col min="5638" max="5638" width="10.5703125" style="108" customWidth="1"/>
    <col min="5639" max="5639" width="0" style="108" hidden="1" customWidth="1"/>
    <col min="5640" max="5641" width="9.140625" style="108"/>
    <col min="5642" max="5642" width="11.7109375" style="108" customWidth="1"/>
    <col min="5643" max="5888" width="9.140625" style="108"/>
    <col min="5889" max="5889" width="8.42578125" style="108" customWidth="1"/>
    <col min="5890" max="5890" width="9.140625" style="108"/>
    <col min="5891" max="5891" width="9.5703125" style="108" customWidth="1"/>
    <col min="5892" max="5892" width="9.85546875" style="108" customWidth="1"/>
    <col min="5893" max="5893" width="10.28515625" style="108" customWidth="1"/>
    <col min="5894" max="5894" width="10.5703125" style="108" customWidth="1"/>
    <col min="5895" max="5895" width="0" style="108" hidden="1" customWidth="1"/>
    <col min="5896" max="5897" width="9.140625" style="108"/>
    <col min="5898" max="5898" width="11.7109375" style="108" customWidth="1"/>
    <col min="5899" max="6144" width="9.140625" style="108"/>
    <col min="6145" max="6145" width="8.42578125" style="108" customWidth="1"/>
    <col min="6146" max="6146" width="9.140625" style="108"/>
    <col min="6147" max="6147" width="9.5703125" style="108" customWidth="1"/>
    <col min="6148" max="6148" width="9.85546875" style="108" customWidth="1"/>
    <col min="6149" max="6149" width="10.28515625" style="108" customWidth="1"/>
    <col min="6150" max="6150" width="10.5703125" style="108" customWidth="1"/>
    <col min="6151" max="6151" width="0" style="108" hidden="1" customWidth="1"/>
    <col min="6152" max="6153" width="9.140625" style="108"/>
    <col min="6154" max="6154" width="11.7109375" style="108" customWidth="1"/>
    <col min="6155" max="6400" width="9.140625" style="108"/>
    <col min="6401" max="6401" width="8.42578125" style="108" customWidth="1"/>
    <col min="6402" max="6402" width="9.140625" style="108"/>
    <col min="6403" max="6403" width="9.5703125" style="108" customWidth="1"/>
    <col min="6404" max="6404" width="9.85546875" style="108" customWidth="1"/>
    <col min="6405" max="6405" width="10.28515625" style="108" customWidth="1"/>
    <col min="6406" max="6406" width="10.5703125" style="108" customWidth="1"/>
    <col min="6407" max="6407" width="0" style="108" hidden="1" customWidth="1"/>
    <col min="6408" max="6409" width="9.140625" style="108"/>
    <col min="6410" max="6410" width="11.7109375" style="108" customWidth="1"/>
    <col min="6411" max="6656" width="9.140625" style="108"/>
    <col min="6657" max="6657" width="8.42578125" style="108" customWidth="1"/>
    <col min="6658" max="6658" width="9.140625" style="108"/>
    <col min="6659" max="6659" width="9.5703125" style="108" customWidth="1"/>
    <col min="6660" max="6660" width="9.85546875" style="108" customWidth="1"/>
    <col min="6661" max="6661" width="10.28515625" style="108" customWidth="1"/>
    <col min="6662" max="6662" width="10.5703125" style="108" customWidth="1"/>
    <col min="6663" max="6663" width="0" style="108" hidden="1" customWidth="1"/>
    <col min="6664" max="6665" width="9.140625" style="108"/>
    <col min="6666" max="6666" width="11.7109375" style="108" customWidth="1"/>
    <col min="6667" max="6912" width="9.140625" style="108"/>
    <col min="6913" max="6913" width="8.42578125" style="108" customWidth="1"/>
    <col min="6914" max="6914" width="9.140625" style="108"/>
    <col min="6915" max="6915" width="9.5703125" style="108" customWidth="1"/>
    <col min="6916" max="6916" width="9.85546875" style="108" customWidth="1"/>
    <col min="6917" max="6917" width="10.28515625" style="108" customWidth="1"/>
    <col min="6918" max="6918" width="10.5703125" style="108" customWidth="1"/>
    <col min="6919" max="6919" width="0" style="108" hidden="1" customWidth="1"/>
    <col min="6920" max="6921" width="9.140625" style="108"/>
    <col min="6922" max="6922" width="11.7109375" style="108" customWidth="1"/>
    <col min="6923" max="7168" width="9.140625" style="108"/>
    <col min="7169" max="7169" width="8.42578125" style="108" customWidth="1"/>
    <col min="7170" max="7170" width="9.140625" style="108"/>
    <col min="7171" max="7171" width="9.5703125" style="108" customWidth="1"/>
    <col min="7172" max="7172" width="9.85546875" style="108" customWidth="1"/>
    <col min="7173" max="7173" width="10.28515625" style="108" customWidth="1"/>
    <col min="7174" max="7174" width="10.5703125" style="108" customWidth="1"/>
    <col min="7175" max="7175" width="0" style="108" hidden="1" customWidth="1"/>
    <col min="7176" max="7177" width="9.140625" style="108"/>
    <col min="7178" max="7178" width="11.7109375" style="108" customWidth="1"/>
    <col min="7179" max="7424" width="9.140625" style="108"/>
    <col min="7425" max="7425" width="8.42578125" style="108" customWidth="1"/>
    <col min="7426" max="7426" width="9.140625" style="108"/>
    <col min="7427" max="7427" width="9.5703125" style="108" customWidth="1"/>
    <col min="7428" max="7428" width="9.85546875" style="108" customWidth="1"/>
    <col min="7429" max="7429" width="10.28515625" style="108" customWidth="1"/>
    <col min="7430" max="7430" width="10.5703125" style="108" customWidth="1"/>
    <col min="7431" max="7431" width="0" style="108" hidden="1" customWidth="1"/>
    <col min="7432" max="7433" width="9.140625" style="108"/>
    <col min="7434" max="7434" width="11.7109375" style="108" customWidth="1"/>
    <col min="7435" max="7680" width="9.140625" style="108"/>
    <col min="7681" max="7681" width="8.42578125" style="108" customWidth="1"/>
    <col min="7682" max="7682" width="9.140625" style="108"/>
    <col min="7683" max="7683" width="9.5703125" style="108" customWidth="1"/>
    <col min="7684" max="7684" width="9.85546875" style="108" customWidth="1"/>
    <col min="7685" max="7685" width="10.28515625" style="108" customWidth="1"/>
    <col min="7686" max="7686" width="10.5703125" style="108" customWidth="1"/>
    <col min="7687" max="7687" width="0" style="108" hidden="1" customWidth="1"/>
    <col min="7688" max="7689" width="9.140625" style="108"/>
    <col min="7690" max="7690" width="11.7109375" style="108" customWidth="1"/>
    <col min="7691" max="7936" width="9.140625" style="108"/>
    <col min="7937" max="7937" width="8.42578125" style="108" customWidth="1"/>
    <col min="7938" max="7938" width="9.140625" style="108"/>
    <col min="7939" max="7939" width="9.5703125" style="108" customWidth="1"/>
    <col min="7940" max="7940" width="9.85546875" style="108" customWidth="1"/>
    <col min="7941" max="7941" width="10.28515625" style="108" customWidth="1"/>
    <col min="7942" max="7942" width="10.5703125" style="108" customWidth="1"/>
    <col min="7943" max="7943" width="0" style="108" hidden="1" customWidth="1"/>
    <col min="7944" max="7945" width="9.140625" style="108"/>
    <col min="7946" max="7946" width="11.7109375" style="108" customWidth="1"/>
    <col min="7947" max="8192" width="9.140625" style="108"/>
    <col min="8193" max="8193" width="8.42578125" style="108" customWidth="1"/>
    <col min="8194" max="8194" width="9.140625" style="108"/>
    <col min="8195" max="8195" width="9.5703125" style="108" customWidth="1"/>
    <col min="8196" max="8196" width="9.85546875" style="108" customWidth="1"/>
    <col min="8197" max="8197" width="10.28515625" style="108" customWidth="1"/>
    <col min="8198" max="8198" width="10.5703125" style="108" customWidth="1"/>
    <col min="8199" max="8199" width="0" style="108" hidden="1" customWidth="1"/>
    <col min="8200" max="8201" width="9.140625" style="108"/>
    <col min="8202" max="8202" width="11.7109375" style="108" customWidth="1"/>
    <col min="8203" max="8448" width="9.140625" style="108"/>
    <col min="8449" max="8449" width="8.42578125" style="108" customWidth="1"/>
    <col min="8450" max="8450" width="9.140625" style="108"/>
    <col min="8451" max="8451" width="9.5703125" style="108" customWidth="1"/>
    <col min="8452" max="8452" width="9.85546875" style="108" customWidth="1"/>
    <col min="8453" max="8453" width="10.28515625" style="108" customWidth="1"/>
    <col min="8454" max="8454" width="10.5703125" style="108" customWidth="1"/>
    <col min="8455" max="8455" width="0" style="108" hidden="1" customWidth="1"/>
    <col min="8456" max="8457" width="9.140625" style="108"/>
    <col min="8458" max="8458" width="11.7109375" style="108" customWidth="1"/>
    <col min="8459" max="8704" width="9.140625" style="108"/>
    <col min="8705" max="8705" width="8.42578125" style="108" customWidth="1"/>
    <col min="8706" max="8706" width="9.140625" style="108"/>
    <col min="8707" max="8707" width="9.5703125" style="108" customWidth="1"/>
    <col min="8708" max="8708" width="9.85546875" style="108" customWidth="1"/>
    <col min="8709" max="8709" width="10.28515625" style="108" customWidth="1"/>
    <col min="8710" max="8710" width="10.5703125" style="108" customWidth="1"/>
    <col min="8711" max="8711" width="0" style="108" hidden="1" customWidth="1"/>
    <col min="8712" max="8713" width="9.140625" style="108"/>
    <col min="8714" max="8714" width="11.7109375" style="108" customWidth="1"/>
    <col min="8715" max="8960" width="9.140625" style="108"/>
    <col min="8961" max="8961" width="8.42578125" style="108" customWidth="1"/>
    <col min="8962" max="8962" width="9.140625" style="108"/>
    <col min="8963" max="8963" width="9.5703125" style="108" customWidth="1"/>
    <col min="8964" max="8964" width="9.85546875" style="108" customWidth="1"/>
    <col min="8965" max="8965" width="10.28515625" style="108" customWidth="1"/>
    <col min="8966" max="8966" width="10.5703125" style="108" customWidth="1"/>
    <col min="8967" max="8967" width="0" style="108" hidden="1" customWidth="1"/>
    <col min="8968" max="8969" width="9.140625" style="108"/>
    <col min="8970" max="8970" width="11.7109375" style="108" customWidth="1"/>
    <col min="8971" max="9216" width="9.140625" style="108"/>
    <col min="9217" max="9217" width="8.42578125" style="108" customWidth="1"/>
    <col min="9218" max="9218" width="9.140625" style="108"/>
    <col min="9219" max="9219" width="9.5703125" style="108" customWidth="1"/>
    <col min="9220" max="9220" width="9.85546875" style="108" customWidth="1"/>
    <col min="9221" max="9221" width="10.28515625" style="108" customWidth="1"/>
    <col min="9222" max="9222" width="10.5703125" style="108" customWidth="1"/>
    <col min="9223" max="9223" width="0" style="108" hidden="1" customWidth="1"/>
    <col min="9224" max="9225" width="9.140625" style="108"/>
    <col min="9226" max="9226" width="11.7109375" style="108" customWidth="1"/>
    <col min="9227" max="9472" width="9.140625" style="108"/>
    <col min="9473" max="9473" width="8.42578125" style="108" customWidth="1"/>
    <col min="9474" max="9474" width="9.140625" style="108"/>
    <col min="9475" max="9475" width="9.5703125" style="108" customWidth="1"/>
    <col min="9476" max="9476" width="9.85546875" style="108" customWidth="1"/>
    <col min="9477" max="9477" width="10.28515625" style="108" customWidth="1"/>
    <col min="9478" max="9478" width="10.5703125" style="108" customWidth="1"/>
    <col min="9479" max="9479" width="0" style="108" hidden="1" customWidth="1"/>
    <col min="9480" max="9481" width="9.140625" style="108"/>
    <col min="9482" max="9482" width="11.7109375" style="108" customWidth="1"/>
    <col min="9483" max="9728" width="9.140625" style="108"/>
    <col min="9729" max="9729" width="8.42578125" style="108" customWidth="1"/>
    <col min="9730" max="9730" width="9.140625" style="108"/>
    <col min="9731" max="9731" width="9.5703125" style="108" customWidth="1"/>
    <col min="9732" max="9732" width="9.85546875" style="108" customWidth="1"/>
    <col min="9733" max="9733" width="10.28515625" style="108" customWidth="1"/>
    <col min="9734" max="9734" width="10.5703125" style="108" customWidth="1"/>
    <col min="9735" max="9735" width="0" style="108" hidden="1" customWidth="1"/>
    <col min="9736" max="9737" width="9.140625" style="108"/>
    <col min="9738" max="9738" width="11.7109375" style="108" customWidth="1"/>
    <col min="9739" max="9984" width="9.140625" style="108"/>
    <col min="9985" max="9985" width="8.42578125" style="108" customWidth="1"/>
    <col min="9986" max="9986" width="9.140625" style="108"/>
    <col min="9987" max="9987" width="9.5703125" style="108" customWidth="1"/>
    <col min="9988" max="9988" width="9.85546875" style="108" customWidth="1"/>
    <col min="9989" max="9989" width="10.28515625" style="108" customWidth="1"/>
    <col min="9990" max="9990" width="10.5703125" style="108" customWidth="1"/>
    <col min="9991" max="9991" width="0" style="108" hidden="1" customWidth="1"/>
    <col min="9992" max="9993" width="9.140625" style="108"/>
    <col min="9994" max="9994" width="11.7109375" style="108" customWidth="1"/>
    <col min="9995" max="10240" width="9.140625" style="108"/>
    <col min="10241" max="10241" width="8.42578125" style="108" customWidth="1"/>
    <col min="10242" max="10242" width="9.140625" style="108"/>
    <col min="10243" max="10243" width="9.5703125" style="108" customWidth="1"/>
    <col min="10244" max="10244" width="9.85546875" style="108" customWidth="1"/>
    <col min="10245" max="10245" width="10.28515625" style="108" customWidth="1"/>
    <col min="10246" max="10246" width="10.5703125" style="108" customWidth="1"/>
    <col min="10247" max="10247" width="0" style="108" hidden="1" customWidth="1"/>
    <col min="10248" max="10249" width="9.140625" style="108"/>
    <col min="10250" max="10250" width="11.7109375" style="108" customWidth="1"/>
    <col min="10251" max="10496" width="9.140625" style="108"/>
    <col min="10497" max="10497" width="8.42578125" style="108" customWidth="1"/>
    <col min="10498" max="10498" width="9.140625" style="108"/>
    <col min="10499" max="10499" width="9.5703125" style="108" customWidth="1"/>
    <col min="10500" max="10500" width="9.85546875" style="108" customWidth="1"/>
    <col min="10501" max="10501" width="10.28515625" style="108" customWidth="1"/>
    <col min="10502" max="10502" width="10.5703125" style="108" customWidth="1"/>
    <col min="10503" max="10503" width="0" style="108" hidden="1" customWidth="1"/>
    <col min="10504" max="10505" width="9.140625" style="108"/>
    <col min="10506" max="10506" width="11.7109375" style="108" customWidth="1"/>
    <col min="10507" max="10752" width="9.140625" style="108"/>
    <col min="10753" max="10753" width="8.42578125" style="108" customWidth="1"/>
    <col min="10754" max="10754" width="9.140625" style="108"/>
    <col min="10755" max="10755" width="9.5703125" style="108" customWidth="1"/>
    <col min="10756" max="10756" width="9.85546875" style="108" customWidth="1"/>
    <col min="10757" max="10757" width="10.28515625" style="108" customWidth="1"/>
    <col min="10758" max="10758" width="10.5703125" style="108" customWidth="1"/>
    <col min="10759" max="10759" width="0" style="108" hidden="1" customWidth="1"/>
    <col min="10760" max="10761" width="9.140625" style="108"/>
    <col min="10762" max="10762" width="11.7109375" style="108" customWidth="1"/>
    <col min="10763" max="11008" width="9.140625" style="108"/>
    <col min="11009" max="11009" width="8.42578125" style="108" customWidth="1"/>
    <col min="11010" max="11010" width="9.140625" style="108"/>
    <col min="11011" max="11011" width="9.5703125" style="108" customWidth="1"/>
    <col min="11012" max="11012" width="9.85546875" style="108" customWidth="1"/>
    <col min="11013" max="11013" width="10.28515625" style="108" customWidth="1"/>
    <col min="11014" max="11014" width="10.5703125" style="108" customWidth="1"/>
    <col min="11015" max="11015" width="0" style="108" hidden="1" customWidth="1"/>
    <col min="11016" max="11017" width="9.140625" style="108"/>
    <col min="11018" max="11018" width="11.7109375" style="108" customWidth="1"/>
    <col min="11019" max="11264" width="9.140625" style="108"/>
    <col min="11265" max="11265" width="8.42578125" style="108" customWidth="1"/>
    <col min="11266" max="11266" width="9.140625" style="108"/>
    <col min="11267" max="11267" width="9.5703125" style="108" customWidth="1"/>
    <col min="11268" max="11268" width="9.85546875" style="108" customWidth="1"/>
    <col min="11269" max="11269" width="10.28515625" style="108" customWidth="1"/>
    <col min="11270" max="11270" width="10.5703125" style="108" customWidth="1"/>
    <col min="11271" max="11271" width="0" style="108" hidden="1" customWidth="1"/>
    <col min="11272" max="11273" width="9.140625" style="108"/>
    <col min="11274" max="11274" width="11.7109375" style="108" customWidth="1"/>
    <col min="11275" max="11520" width="9.140625" style="108"/>
    <col min="11521" max="11521" width="8.42578125" style="108" customWidth="1"/>
    <col min="11522" max="11522" width="9.140625" style="108"/>
    <col min="11523" max="11523" width="9.5703125" style="108" customWidth="1"/>
    <col min="11524" max="11524" width="9.85546875" style="108" customWidth="1"/>
    <col min="11525" max="11525" width="10.28515625" style="108" customWidth="1"/>
    <col min="11526" max="11526" width="10.5703125" style="108" customWidth="1"/>
    <col min="11527" max="11527" width="0" style="108" hidden="1" customWidth="1"/>
    <col min="11528" max="11529" width="9.140625" style="108"/>
    <col min="11530" max="11530" width="11.7109375" style="108" customWidth="1"/>
    <col min="11531" max="11776" width="9.140625" style="108"/>
    <col min="11777" max="11777" width="8.42578125" style="108" customWidth="1"/>
    <col min="11778" max="11778" width="9.140625" style="108"/>
    <col min="11779" max="11779" width="9.5703125" style="108" customWidth="1"/>
    <col min="11780" max="11780" width="9.85546875" style="108" customWidth="1"/>
    <col min="11781" max="11781" width="10.28515625" style="108" customWidth="1"/>
    <col min="11782" max="11782" width="10.5703125" style="108" customWidth="1"/>
    <col min="11783" max="11783" width="0" style="108" hidden="1" customWidth="1"/>
    <col min="11784" max="11785" width="9.140625" style="108"/>
    <col min="11786" max="11786" width="11.7109375" style="108" customWidth="1"/>
    <col min="11787" max="12032" width="9.140625" style="108"/>
    <col min="12033" max="12033" width="8.42578125" style="108" customWidth="1"/>
    <col min="12034" max="12034" width="9.140625" style="108"/>
    <col min="12035" max="12035" width="9.5703125" style="108" customWidth="1"/>
    <col min="12036" max="12036" width="9.85546875" style="108" customWidth="1"/>
    <col min="12037" max="12037" width="10.28515625" style="108" customWidth="1"/>
    <col min="12038" max="12038" width="10.5703125" style="108" customWidth="1"/>
    <col min="12039" max="12039" width="0" style="108" hidden="1" customWidth="1"/>
    <col min="12040" max="12041" width="9.140625" style="108"/>
    <col min="12042" max="12042" width="11.7109375" style="108" customWidth="1"/>
    <col min="12043" max="12288" width="9.140625" style="108"/>
    <col min="12289" max="12289" width="8.42578125" style="108" customWidth="1"/>
    <col min="12290" max="12290" width="9.140625" style="108"/>
    <col min="12291" max="12291" width="9.5703125" style="108" customWidth="1"/>
    <col min="12292" max="12292" width="9.85546875" style="108" customWidth="1"/>
    <col min="12293" max="12293" width="10.28515625" style="108" customWidth="1"/>
    <col min="12294" max="12294" width="10.5703125" style="108" customWidth="1"/>
    <col min="12295" max="12295" width="0" style="108" hidden="1" customWidth="1"/>
    <col min="12296" max="12297" width="9.140625" style="108"/>
    <col min="12298" max="12298" width="11.7109375" style="108" customWidth="1"/>
    <col min="12299" max="12544" width="9.140625" style="108"/>
    <col min="12545" max="12545" width="8.42578125" style="108" customWidth="1"/>
    <col min="12546" max="12546" width="9.140625" style="108"/>
    <col min="12547" max="12547" width="9.5703125" style="108" customWidth="1"/>
    <col min="12548" max="12548" width="9.85546875" style="108" customWidth="1"/>
    <col min="12549" max="12549" width="10.28515625" style="108" customWidth="1"/>
    <col min="12550" max="12550" width="10.5703125" style="108" customWidth="1"/>
    <col min="12551" max="12551" width="0" style="108" hidden="1" customWidth="1"/>
    <col min="12552" max="12553" width="9.140625" style="108"/>
    <col min="12554" max="12554" width="11.7109375" style="108" customWidth="1"/>
    <col min="12555" max="12800" width="9.140625" style="108"/>
    <col min="12801" max="12801" width="8.42578125" style="108" customWidth="1"/>
    <col min="12802" max="12802" width="9.140625" style="108"/>
    <col min="12803" max="12803" width="9.5703125" style="108" customWidth="1"/>
    <col min="12804" max="12804" width="9.85546875" style="108" customWidth="1"/>
    <col min="12805" max="12805" width="10.28515625" style="108" customWidth="1"/>
    <col min="12806" max="12806" width="10.5703125" style="108" customWidth="1"/>
    <col min="12807" max="12807" width="0" style="108" hidden="1" customWidth="1"/>
    <col min="12808" max="12809" width="9.140625" style="108"/>
    <col min="12810" max="12810" width="11.7109375" style="108" customWidth="1"/>
    <col min="12811" max="13056" width="9.140625" style="108"/>
    <col min="13057" max="13057" width="8.42578125" style="108" customWidth="1"/>
    <col min="13058" max="13058" width="9.140625" style="108"/>
    <col min="13059" max="13059" width="9.5703125" style="108" customWidth="1"/>
    <col min="13060" max="13060" width="9.85546875" style="108" customWidth="1"/>
    <col min="13061" max="13061" width="10.28515625" style="108" customWidth="1"/>
    <col min="13062" max="13062" width="10.5703125" style="108" customWidth="1"/>
    <col min="13063" max="13063" width="0" style="108" hidden="1" customWidth="1"/>
    <col min="13064" max="13065" width="9.140625" style="108"/>
    <col min="13066" max="13066" width="11.7109375" style="108" customWidth="1"/>
    <col min="13067" max="13312" width="9.140625" style="108"/>
    <col min="13313" max="13313" width="8.42578125" style="108" customWidth="1"/>
    <col min="13314" max="13314" width="9.140625" style="108"/>
    <col min="13315" max="13315" width="9.5703125" style="108" customWidth="1"/>
    <col min="13316" max="13316" width="9.85546875" style="108" customWidth="1"/>
    <col min="13317" max="13317" width="10.28515625" style="108" customWidth="1"/>
    <col min="13318" max="13318" width="10.5703125" style="108" customWidth="1"/>
    <col min="13319" max="13319" width="0" style="108" hidden="1" customWidth="1"/>
    <col min="13320" max="13321" width="9.140625" style="108"/>
    <col min="13322" max="13322" width="11.7109375" style="108" customWidth="1"/>
    <col min="13323" max="13568" width="9.140625" style="108"/>
    <col min="13569" max="13569" width="8.42578125" style="108" customWidth="1"/>
    <col min="13570" max="13570" width="9.140625" style="108"/>
    <col min="13571" max="13571" width="9.5703125" style="108" customWidth="1"/>
    <col min="13572" max="13572" width="9.85546875" style="108" customWidth="1"/>
    <col min="13573" max="13573" width="10.28515625" style="108" customWidth="1"/>
    <col min="13574" max="13574" width="10.5703125" style="108" customWidth="1"/>
    <col min="13575" max="13575" width="0" style="108" hidden="1" customWidth="1"/>
    <col min="13576" max="13577" width="9.140625" style="108"/>
    <col min="13578" max="13578" width="11.7109375" style="108" customWidth="1"/>
    <col min="13579" max="13824" width="9.140625" style="108"/>
    <col min="13825" max="13825" width="8.42578125" style="108" customWidth="1"/>
    <col min="13826" max="13826" width="9.140625" style="108"/>
    <col min="13827" max="13827" width="9.5703125" style="108" customWidth="1"/>
    <col min="13828" max="13828" width="9.85546875" style="108" customWidth="1"/>
    <col min="13829" max="13829" width="10.28515625" style="108" customWidth="1"/>
    <col min="13830" max="13830" width="10.5703125" style="108" customWidth="1"/>
    <col min="13831" max="13831" width="0" style="108" hidden="1" customWidth="1"/>
    <col min="13832" max="13833" width="9.140625" style="108"/>
    <col min="13834" max="13834" width="11.7109375" style="108" customWidth="1"/>
    <col min="13835" max="14080" width="9.140625" style="108"/>
    <col min="14081" max="14081" width="8.42578125" style="108" customWidth="1"/>
    <col min="14082" max="14082" width="9.140625" style="108"/>
    <col min="14083" max="14083" width="9.5703125" style="108" customWidth="1"/>
    <col min="14084" max="14084" width="9.85546875" style="108" customWidth="1"/>
    <col min="14085" max="14085" width="10.28515625" style="108" customWidth="1"/>
    <col min="14086" max="14086" width="10.5703125" style="108" customWidth="1"/>
    <col min="14087" max="14087" width="0" style="108" hidden="1" customWidth="1"/>
    <col min="14088" max="14089" width="9.140625" style="108"/>
    <col min="14090" max="14090" width="11.7109375" style="108" customWidth="1"/>
    <col min="14091" max="14336" width="9.140625" style="108"/>
    <col min="14337" max="14337" width="8.42578125" style="108" customWidth="1"/>
    <col min="14338" max="14338" width="9.140625" style="108"/>
    <col min="14339" max="14339" width="9.5703125" style="108" customWidth="1"/>
    <col min="14340" max="14340" width="9.85546875" style="108" customWidth="1"/>
    <col min="14341" max="14341" width="10.28515625" style="108" customWidth="1"/>
    <col min="14342" max="14342" width="10.5703125" style="108" customWidth="1"/>
    <col min="14343" max="14343" width="0" style="108" hidden="1" customWidth="1"/>
    <col min="14344" max="14345" width="9.140625" style="108"/>
    <col min="14346" max="14346" width="11.7109375" style="108" customWidth="1"/>
    <col min="14347" max="14592" width="9.140625" style="108"/>
    <col min="14593" max="14593" width="8.42578125" style="108" customWidth="1"/>
    <col min="14594" max="14594" width="9.140625" style="108"/>
    <col min="14595" max="14595" width="9.5703125" style="108" customWidth="1"/>
    <col min="14596" max="14596" width="9.85546875" style="108" customWidth="1"/>
    <col min="14597" max="14597" width="10.28515625" style="108" customWidth="1"/>
    <col min="14598" max="14598" width="10.5703125" style="108" customWidth="1"/>
    <col min="14599" max="14599" width="0" style="108" hidden="1" customWidth="1"/>
    <col min="14600" max="14601" width="9.140625" style="108"/>
    <col min="14602" max="14602" width="11.7109375" style="108" customWidth="1"/>
    <col min="14603" max="14848" width="9.140625" style="108"/>
    <col min="14849" max="14849" width="8.42578125" style="108" customWidth="1"/>
    <col min="14850" max="14850" width="9.140625" style="108"/>
    <col min="14851" max="14851" width="9.5703125" style="108" customWidth="1"/>
    <col min="14852" max="14852" width="9.85546875" style="108" customWidth="1"/>
    <col min="14853" max="14853" width="10.28515625" style="108" customWidth="1"/>
    <col min="14854" max="14854" width="10.5703125" style="108" customWidth="1"/>
    <col min="14855" max="14855" width="0" style="108" hidden="1" customWidth="1"/>
    <col min="14856" max="14857" width="9.140625" style="108"/>
    <col min="14858" max="14858" width="11.7109375" style="108" customWidth="1"/>
    <col min="14859" max="15104" width="9.140625" style="108"/>
    <col min="15105" max="15105" width="8.42578125" style="108" customWidth="1"/>
    <col min="15106" max="15106" width="9.140625" style="108"/>
    <col min="15107" max="15107" width="9.5703125" style="108" customWidth="1"/>
    <col min="15108" max="15108" width="9.85546875" style="108" customWidth="1"/>
    <col min="15109" max="15109" width="10.28515625" style="108" customWidth="1"/>
    <col min="15110" max="15110" width="10.5703125" style="108" customWidth="1"/>
    <col min="15111" max="15111" width="0" style="108" hidden="1" customWidth="1"/>
    <col min="15112" max="15113" width="9.140625" style="108"/>
    <col min="15114" max="15114" width="11.7109375" style="108" customWidth="1"/>
    <col min="15115" max="15360" width="9.140625" style="108"/>
    <col min="15361" max="15361" width="8.42578125" style="108" customWidth="1"/>
    <col min="15362" max="15362" width="9.140625" style="108"/>
    <col min="15363" max="15363" width="9.5703125" style="108" customWidth="1"/>
    <col min="15364" max="15364" width="9.85546875" style="108" customWidth="1"/>
    <col min="15365" max="15365" width="10.28515625" style="108" customWidth="1"/>
    <col min="15366" max="15366" width="10.5703125" style="108" customWidth="1"/>
    <col min="15367" max="15367" width="0" style="108" hidden="1" customWidth="1"/>
    <col min="15368" max="15369" width="9.140625" style="108"/>
    <col min="15370" max="15370" width="11.7109375" style="108" customWidth="1"/>
    <col min="15371" max="15616" width="9.140625" style="108"/>
    <col min="15617" max="15617" width="8.42578125" style="108" customWidth="1"/>
    <col min="15618" max="15618" width="9.140625" style="108"/>
    <col min="15619" max="15619" width="9.5703125" style="108" customWidth="1"/>
    <col min="15620" max="15620" width="9.85546875" style="108" customWidth="1"/>
    <col min="15621" max="15621" width="10.28515625" style="108" customWidth="1"/>
    <col min="15622" max="15622" width="10.5703125" style="108" customWidth="1"/>
    <col min="15623" max="15623" width="0" style="108" hidden="1" customWidth="1"/>
    <col min="15624" max="15625" width="9.140625" style="108"/>
    <col min="15626" max="15626" width="11.7109375" style="108" customWidth="1"/>
    <col min="15627" max="15872" width="9.140625" style="108"/>
    <col min="15873" max="15873" width="8.42578125" style="108" customWidth="1"/>
    <col min="15874" max="15874" width="9.140625" style="108"/>
    <col min="15875" max="15875" width="9.5703125" style="108" customWidth="1"/>
    <col min="15876" max="15876" width="9.85546875" style="108" customWidth="1"/>
    <col min="15877" max="15877" width="10.28515625" style="108" customWidth="1"/>
    <col min="15878" max="15878" width="10.5703125" style="108" customWidth="1"/>
    <col min="15879" max="15879" width="0" style="108" hidden="1" customWidth="1"/>
    <col min="15880" max="15881" width="9.140625" style="108"/>
    <col min="15882" max="15882" width="11.7109375" style="108" customWidth="1"/>
    <col min="15883" max="16128" width="9.140625" style="108"/>
    <col min="16129" max="16129" width="8.42578125" style="108" customWidth="1"/>
    <col min="16130" max="16130" width="9.140625" style="108"/>
    <col min="16131" max="16131" width="9.5703125" style="108" customWidth="1"/>
    <col min="16132" max="16132" width="9.85546875" style="108" customWidth="1"/>
    <col min="16133" max="16133" width="10.28515625" style="108" customWidth="1"/>
    <col min="16134" max="16134" width="10.5703125" style="108" customWidth="1"/>
    <col min="16135" max="16135" width="0" style="108" hidden="1" customWidth="1"/>
    <col min="16136" max="16137" width="9.140625" style="108"/>
    <col min="16138" max="16138" width="11.7109375" style="108" customWidth="1"/>
    <col min="16139" max="16384" width="9.140625" style="108"/>
  </cols>
  <sheetData>
    <row r="2" spans="1:10" ht="36.75" x14ac:dyDescent="0.7">
      <c r="C2" s="109" t="s">
        <v>423</v>
      </c>
    </row>
    <row r="3" spans="1:10" ht="18" x14ac:dyDescent="0.25">
      <c r="C3" s="110" t="s">
        <v>424</v>
      </c>
    </row>
    <row r="4" spans="1:10" ht="18" x14ac:dyDescent="0.25">
      <c r="C4" s="110" t="s">
        <v>425</v>
      </c>
    </row>
    <row r="5" spans="1:10" ht="18" x14ac:dyDescent="0.25">
      <c r="C5" s="247" t="s">
        <v>426</v>
      </c>
      <c r="D5" s="247"/>
      <c r="E5" s="247"/>
      <c r="F5" s="247"/>
      <c r="G5" s="247"/>
      <c r="H5" s="247"/>
      <c r="I5" s="247"/>
      <c r="J5" s="247"/>
    </row>
    <row r="6" spans="1:10" ht="18" x14ac:dyDescent="0.25">
      <c r="C6" s="110" t="s">
        <v>180</v>
      </c>
    </row>
    <row r="7" spans="1:10" ht="18.75" thickBot="1" x14ac:dyDescent="0.3">
      <c r="A7" s="111"/>
      <c r="B7" s="111"/>
      <c r="C7" s="112"/>
      <c r="D7" s="111"/>
      <c r="E7" s="111"/>
      <c r="F7" s="111"/>
      <c r="H7" s="111"/>
      <c r="I7" s="111"/>
      <c r="J7" s="111"/>
    </row>
    <row r="13" spans="1:10" ht="20.25" x14ac:dyDescent="0.3">
      <c r="A13" s="248" t="s">
        <v>427</v>
      </c>
      <c r="B13" s="248"/>
      <c r="C13" s="248"/>
      <c r="D13" s="248"/>
      <c r="E13" s="248"/>
      <c r="F13" s="248"/>
      <c r="G13" s="248"/>
      <c r="H13" s="248"/>
      <c r="I13" s="248"/>
      <c r="J13" s="248"/>
    </row>
    <row r="16" spans="1:10" ht="45" customHeight="1" x14ac:dyDescent="0.2">
      <c r="A16" s="249" t="s">
        <v>225</v>
      </c>
      <c r="B16" s="249"/>
      <c r="C16" s="249"/>
      <c r="D16" s="250" t="s">
        <v>428</v>
      </c>
      <c r="E16" s="249"/>
      <c r="F16" s="249"/>
      <c r="G16" s="249"/>
      <c r="H16" s="249"/>
      <c r="I16" s="249"/>
      <c r="J16" s="249"/>
    </row>
    <row r="17" spans="1:11" ht="20.25" customHeight="1" x14ac:dyDescent="0.2">
      <c r="A17" s="113"/>
      <c r="B17" s="113"/>
      <c r="C17" s="113"/>
      <c r="D17" s="113"/>
      <c r="E17" s="113"/>
      <c r="F17" s="113"/>
      <c r="G17" s="113"/>
      <c r="H17" s="113"/>
    </row>
    <row r="18" spans="1:11" ht="15" x14ac:dyDescent="0.2">
      <c r="A18" s="113"/>
      <c r="B18" s="113"/>
      <c r="C18" s="113"/>
      <c r="D18" s="113"/>
      <c r="E18" s="113"/>
      <c r="F18" s="113"/>
      <c r="G18" s="113"/>
      <c r="H18" s="113"/>
    </row>
    <row r="19" spans="1:11" ht="15" x14ac:dyDescent="0.2">
      <c r="A19" s="113" t="s">
        <v>429</v>
      </c>
      <c r="B19" s="113"/>
      <c r="C19" s="113"/>
      <c r="D19" s="246" t="s">
        <v>430</v>
      </c>
      <c r="E19" s="246"/>
      <c r="F19" s="246"/>
      <c r="G19" s="246"/>
      <c r="H19" s="246"/>
      <c r="I19" s="246"/>
      <c r="J19" s="246"/>
    </row>
    <row r="20" spans="1:11" ht="15" x14ac:dyDescent="0.2">
      <c r="A20" s="113"/>
      <c r="B20" s="113"/>
      <c r="C20" s="113"/>
      <c r="D20" s="246" t="s">
        <v>431</v>
      </c>
      <c r="E20" s="246"/>
      <c r="F20" s="246"/>
      <c r="G20" s="246"/>
      <c r="H20" s="246"/>
      <c r="I20" s="246"/>
      <c r="J20" s="246"/>
    </row>
    <row r="21" spans="1:11" ht="15" x14ac:dyDescent="0.2">
      <c r="A21" s="113"/>
      <c r="B21" s="113"/>
      <c r="C21" s="113"/>
      <c r="D21" s="113"/>
      <c r="E21" s="113"/>
      <c r="F21" s="113"/>
      <c r="G21" s="113"/>
      <c r="H21" s="113"/>
    </row>
    <row r="22" spans="1:11" ht="33" customHeight="1" x14ac:dyDescent="0.2">
      <c r="A22" s="249" t="s">
        <v>432</v>
      </c>
      <c r="B22" s="249"/>
      <c r="C22" s="249"/>
      <c r="D22" s="250" t="s">
        <v>433</v>
      </c>
      <c r="E22" s="250"/>
      <c r="F22" s="250"/>
      <c r="G22" s="250"/>
      <c r="H22" s="250"/>
      <c r="I22" s="250"/>
      <c r="J22" s="250"/>
      <c r="K22" s="114"/>
    </row>
    <row r="23" spans="1:11" ht="15" x14ac:dyDescent="0.2">
      <c r="A23" s="113"/>
      <c r="B23" s="113"/>
      <c r="C23" s="113"/>
      <c r="D23" s="113"/>
      <c r="E23" s="113"/>
      <c r="F23" s="113"/>
      <c r="G23" s="113"/>
      <c r="H23" s="113"/>
      <c r="I23" s="113"/>
      <c r="J23" s="113"/>
      <c r="K23" s="114"/>
    </row>
    <row r="24" spans="1:11" ht="33.75" customHeight="1" x14ac:dyDescent="0.2">
      <c r="A24" s="249" t="s">
        <v>434</v>
      </c>
      <c r="B24" s="249"/>
      <c r="C24" s="249"/>
      <c r="D24" s="250" t="s">
        <v>435</v>
      </c>
      <c r="E24" s="250"/>
      <c r="F24" s="250"/>
      <c r="G24" s="250"/>
      <c r="H24" s="250"/>
      <c r="I24" s="250"/>
      <c r="J24" s="250"/>
    </row>
    <row r="25" spans="1:11" ht="15" x14ac:dyDescent="0.2">
      <c r="A25" s="114"/>
      <c r="B25" s="114"/>
      <c r="C25" s="114"/>
      <c r="D25" s="114"/>
      <c r="E25" s="114"/>
      <c r="F25" s="114"/>
      <c r="G25" s="114"/>
      <c r="H25" s="114"/>
    </row>
    <row r="26" spans="1:11" ht="18" customHeight="1" x14ac:dyDescent="0.2">
      <c r="A26" s="246" t="s">
        <v>436</v>
      </c>
      <c r="B26" s="246"/>
      <c r="C26" s="246"/>
      <c r="D26" s="246" t="s">
        <v>437</v>
      </c>
      <c r="E26" s="246"/>
      <c r="F26" s="246"/>
      <c r="G26" s="246"/>
      <c r="H26" s="246"/>
    </row>
    <row r="27" spans="1:11" ht="15" x14ac:dyDescent="0.2">
      <c r="A27" s="114"/>
      <c r="B27" s="114"/>
      <c r="C27" s="114"/>
      <c r="D27" s="114"/>
      <c r="E27" s="114"/>
      <c r="F27" s="114"/>
      <c r="G27" s="114"/>
      <c r="H27" s="114"/>
    </row>
    <row r="28" spans="1:11" ht="16.5" customHeight="1" x14ac:dyDescent="0.2">
      <c r="A28" s="246" t="s">
        <v>438</v>
      </c>
      <c r="B28" s="246"/>
      <c r="C28" s="246"/>
      <c r="D28" s="246" t="s">
        <v>439</v>
      </c>
      <c r="E28" s="246"/>
      <c r="F28" s="246"/>
      <c r="G28" s="114"/>
      <c r="H28" s="114"/>
    </row>
    <row r="36" spans="4:9" x14ac:dyDescent="0.2">
      <c r="F36" s="108" t="s">
        <v>440</v>
      </c>
    </row>
    <row r="37" spans="4:9" ht="18" customHeight="1" x14ac:dyDescent="0.2">
      <c r="F37" s="251" t="s">
        <v>441</v>
      </c>
      <c r="G37" s="251"/>
      <c r="H37" s="251"/>
      <c r="I37" s="251"/>
    </row>
    <row r="44" spans="4:9" x14ac:dyDescent="0.2">
      <c r="D44" s="115"/>
    </row>
  </sheetData>
  <mergeCells count="15">
    <mergeCell ref="A28:C28"/>
    <mergeCell ref="D28:F28"/>
    <mergeCell ref="F37:I37"/>
    <mergeCell ref="A22:C22"/>
    <mergeCell ref="D22:J22"/>
    <mergeCell ref="A24:C24"/>
    <mergeCell ref="D24:J24"/>
    <mergeCell ref="A26:C26"/>
    <mergeCell ref="D26:H26"/>
    <mergeCell ref="D20:J20"/>
    <mergeCell ref="C5:J5"/>
    <mergeCell ref="A13:J13"/>
    <mergeCell ref="A16:C16"/>
    <mergeCell ref="D16:J16"/>
    <mergeCell ref="D19:J19"/>
  </mergeCells>
  <pageMargins left="0.78740157480314965" right="0.6692913385826772" top="0.98425196850393704" bottom="0.98425196850393704" header="0.51181102362204722" footer="0.51181102362204722"/>
  <pageSetup paperSize="9" scale="98" orientation="portrait" r:id="rId1"/>
  <headerFooter scaleWithDoc="0">
    <oddFooter>&amp;L&amp;8
Investitor:
OSNOVNA ŠKOLA "VLADIMIR NAZOR"
ĐAKOVO, KRALJA TOMISLAVA 18 &amp;10                                          &amp;R&amp;8ĐAKOVO,prosinac 2023.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2FEF-9B58-4A89-986D-A5D5ABA6291B}">
  <sheetPr>
    <tabColor rgb="FFFFFF00"/>
  </sheetPr>
  <dimension ref="A2:F29"/>
  <sheetViews>
    <sheetView view="pageBreakPreview" topLeftCell="A13" zoomScaleNormal="100" zoomScaleSheetLayoutView="100" workbookViewId="0">
      <selection activeCell="F3" sqref="F3"/>
    </sheetView>
  </sheetViews>
  <sheetFormatPr defaultRowHeight="12.75" x14ac:dyDescent="0.2"/>
  <cols>
    <col min="1" max="1" width="5.85546875" style="121" customWidth="1"/>
    <col min="2" max="2" width="40.42578125" style="122" customWidth="1"/>
    <col min="3" max="3" width="7.85546875" style="123" customWidth="1"/>
    <col min="4" max="4" width="11.7109375" style="124" customWidth="1"/>
    <col min="5" max="5" width="9.85546875" style="125" customWidth="1"/>
    <col min="6" max="6" width="15.140625" style="159" customWidth="1"/>
    <col min="7" max="256" width="9.140625" style="108"/>
    <col min="257" max="257" width="5.85546875" style="108" customWidth="1"/>
    <col min="258" max="258" width="40.42578125" style="108" customWidth="1"/>
    <col min="259" max="259" width="7.85546875" style="108" customWidth="1"/>
    <col min="260" max="260" width="11.7109375" style="108" customWidth="1"/>
    <col min="261" max="261" width="9.85546875" style="108" customWidth="1"/>
    <col min="262" max="262" width="15.140625" style="108" customWidth="1"/>
    <col min="263" max="512" width="9.140625" style="108"/>
    <col min="513" max="513" width="5.85546875" style="108" customWidth="1"/>
    <col min="514" max="514" width="40.42578125" style="108" customWidth="1"/>
    <col min="515" max="515" width="7.85546875" style="108" customWidth="1"/>
    <col min="516" max="516" width="11.7109375" style="108" customWidth="1"/>
    <col min="517" max="517" width="9.85546875" style="108" customWidth="1"/>
    <col min="518" max="518" width="15.140625" style="108" customWidth="1"/>
    <col min="519" max="768" width="9.140625" style="108"/>
    <col min="769" max="769" width="5.85546875" style="108" customWidth="1"/>
    <col min="770" max="770" width="40.42578125" style="108" customWidth="1"/>
    <col min="771" max="771" width="7.85546875" style="108" customWidth="1"/>
    <col min="772" max="772" width="11.7109375" style="108" customWidth="1"/>
    <col min="773" max="773" width="9.85546875" style="108" customWidth="1"/>
    <col min="774" max="774" width="15.140625" style="108" customWidth="1"/>
    <col min="775" max="1024" width="9.140625" style="108"/>
    <col min="1025" max="1025" width="5.85546875" style="108" customWidth="1"/>
    <col min="1026" max="1026" width="40.42578125" style="108" customWidth="1"/>
    <col min="1027" max="1027" width="7.85546875" style="108" customWidth="1"/>
    <col min="1028" max="1028" width="11.7109375" style="108" customWidth="1"/>
    <col min="1029" max="1029" width="9.85546875" style="108" customWidth="1"/>
    <col min="1030" max="1030" width="15.140625" style="108" customWidth="1"/>
    <col min="1031" max="1280" width="9.140625" style="108"/>
    <col min="1281" max="1281" width="5.85546875" style="108" customWidth="1"/>
    <col min="1282" max="1282" width="40.42578125" style="108" customWidth="1"/>
    <col min="1283" max="1283" width="7.85546875" style="108" customWidth="1"/>
    <col min="1284" max="1284" width="11.7109375" style="108" customWidth="1"/>
    <col min="1285" max="1285" width="9.85546875" style="108" customWidth="1"/>
    <col min="1286" max="1286" width="15.140625" style="108" customWidth="1"/>
    <col min="1287" max="1536" width="9.140625" style="108"/>
    <col min="1537" max="1537" width="5.85546875" style="108" customWidth="1"/>
    <col min="1538" max="1538" width="40.42578125" style="108" customWidth="1"/>
    <col min="1539" max="1539" width="7.85546875" style="108" customWidth="1"/>
    <col min="1540" max="1540" width="11.7109375" style="108" customWidth="1"/>
    <col min="1541" max="1541" width="9.85546875" style="108" customWidth="1"/>
    <col min="1542" max="1542" width="15.140625" style="108" customWidth="1"/>
    <col min="1543" max="1792" width="9.140625" style="108"/>
    <col min="1793" max="1793" width="5.85546875" style="108" customWidth="1"/>
    <col min="1794" max="1794" width="40.42578125" style="108" customWidth="1"/>
    <col min="1795" max="1795" width="7.85546875" style="108" customWidth="1"/>
    <col min="1796" max="1796" width="11.7109375" style="108" customWidth="1"/>
    <col min="1797" max="1797" width="9.85546875" style="108" customWidth="1"/>
    <col min="1798" max="1798" width="15.140625" style="108" customWidth="1"/>
    <col min="1799" max="2048" width="9.140625" style="108"/>
    <col min="2049" max="2049" width="5.85546875" style="108" customWidth="1"/>
    <col min="2050" max="2050" width="40.42578125" style="108" customWidth="1"/>
    <col min="2051" max="2051" width="7.85546875" style="108" customWidth="1"/>
    <col min="2052" max="2052" width="11.7109375" style="108" customWidth="1"/>
    <col min="2053" max="2053" width="9.85546875" style="108" customWidth="1"/>
    <col min="2054" max="2054" width="15.140625" style="108" customWidth="1"/>
    <col min="2055" max="2304" width="9.140625" style="108"/>
    <col min="2305" max="2305" width="5.85546875" style="108" customWidth="1"/>
    <col min="2306" max="2306" width="40.42578125" style="108" customWidth="1"/>
    <col min="2307" max="2307" width="7.85546875" style="108" customWidth="1"/>
    <col min="2308" max="2308" width="11.7109375" style="108" customWidth="1"/>
    <col min="2309" max="2309" width="9.85546875" style="108" customWidth="1"/>
    <col min="2310" max="2310" width="15.140625" style="108" customWidth="1"/>
    <col min="2311" max="2560" width="9.140625" style="108"/>
    <col min="2561" max="2561" width="5.85546875" style="108" customWidth="1"/>
    <col min="2562" max="2562" width="40.42578125" style="108" customWidth="1"/>
    <col min="2563" max="2563" width="7.85546875" style="108" customWidth="1"/>
    <col min="2564" max="2564" width="11.7109375" style="108" customWidth="1"/>
    <col min="2565" max="2565" width="9.85546875" style="108" customWidth="1"/>
    <col min="2566" max="2566" width="15.140625" style="108" customWidth="1"/>
    <col min="2567" max="2816" width="9.140625" style="108"/>
    <col min="2817" max="2817" width="5.85546875" style="108" customWidth="1"/>
    <col min="2818" max="2818" width="40.42578125" style="108" customWidth="1"/>
    <col min="2819" max="2819" width="7.85546875" style="108" customWidth="1"/>
    <col min="2820" max="2820" width="11.7109375" style="108" customWidth="1"/>
    <col min="2821" max="2821" width="9.85546875" style="108" customWidth="1"/>
    <col min="2822" max="2822" width="15.140625" style="108" customWidth="1"/>
    <col min="2823" max="3072" width="9.140625" style="108"/>
    <col min="3073" max="3073" width="5.85546875" style="108" customWidth="1"/>
    <col min="3074" max="3074" width="40.42578125" style="108" customWidth="1"/>
    <col min="3075" max="3075" width="7.85546875" style="108" customWidth="1"/>
    <col min="3076" max="3076" width="11.7109375" style="108" customWidth="1"/>
    <col min="3077" max="3077" width="9.85546875" style="108" customWidth="1"/>
    <col min="3078" max="3078" width="15.140625" style="108" customWidth="1"/>
    <col min="3079" max="3328" width="9.140625" style="108"/>
    <col min="3329" max="3329" width="5.85546875" style="108" customWidth="1"/>
    <col min="3330" max="3330" width="40.42578125" style="108" customWidth="1"/>
    <col min="3331" max="3331" width="7.85546875" style="108" customWidth="1"/>
    <col min="3332" max="3332" width="11.7109375" style="108" customWidth="1"/>
    <col min="3333" max="3333" width="9.85546875" style="108" customWidth="1"/>
    <col min="3334" max="3334" width="15.140625" style="108" customWidth="1"/>
    <col min="3335" max="3584" width="9.140625" style="108"/>
    <col min="3585" max="3585" width="5.85546875" style="108" customWidth="1"/>
    <col min="3586" max="3586" width="40.42578125" style="108" customWidth="1"/>
    <col min="3587" max="3587" width="7.85546875" style="108" customWidth="1"/>
    <col min="3588" max="3588" width="11.7109375" style="108" customWidth="1"/>
    <col min="3589" max="3589" width="9.85546875" style="108" customWidth="1"/>
    <col min="3590" max="3590" width="15.140625" style="108" customWidth="1"/>
    <col min="3591" max="3840" width="9.140625" style="108"/>
    <col min="3841" max="3841" width="5.85546875" style="108" customWidth="1"/>
    <col min="3842" max="3842" width="40.42578125" style="108" customWidth="1"/>
    <col min="3843" max="3843" width="7.85546875" style="108" customWidth="1"/>
    <col min="3844" max="3844" width="11.7109375" style="108" customWidth="1"/>
    <col min="3845" max="3845" width="9.85546875" style="108" customWidth="1"/>
    <col min="3846" max="3846" width="15.140625" style="108" customWidth="1"/>
    <col min="3847" max="4096" width="9.140625" style="108"/>
    <col min="4097" max="4097" width="5.85546875" style="108" customWidth="1"/>
    <col min="4098" max="4098" width="40.42578125" style="108" customWidth="1"/>
    <col min="4099" max="4099" width="7.85546875" style="108" customWidth="1"/>
    <col min="4100" max="4100" width="11.7109375" style="108" customWidth="1"/>
    <col min="4101" max="4101" width="9.85546875" style="108" customWidth="1"/>
    <col min="4102" max="4102" width="15.140625" style="108" customWidth="1"/>
    <col min="4103" max="4352" width="9.140625" style="108"/>
    <col min="4353" max="4353" width="5.85546875" style="108" customWidth="1"/>
    <col min="4354" max="4354" width="40.42578125" style="108" customWidth="1"/>
    <col min="4355" max="4355" width="7.85546875" style="108" customWidth="1"/>
    <col min="4356" max="4356" width="11.7109375" style="108" customWidth="1"/>
    <col min="4357" max="4357" width="9.85546875" style="108" customWidth="1"/>
    <col min="4358" max="4358" width="15.140625" style="108" customWidth="1"/>
    <col min="4359" max="4608" width="9.140625" style="108"/>
    <col min="4609" max="4609" width="5.85546875" style="108" customWidth="1"/>
    <col min="4610" max="4610" width="40.42578125" style="108" customWidth="1"/>
    <col min="4611" max="4611" width="7.85546875" style="108" customWidth="1"/>
    <col min="4612" max="4612" width="11.7109375" style="108" customWidth="1"/>
    <col min="4613" max="4613" width="9.85546875" style="108" customWidth="1"/>
    <col min="4614" max="4614" width="15.140625" style="108" customWidth="1"/>
    <col min="4615" max="4864" width="9.140625" style="108"/>
    <col min="4865" max="4865" width="5.85546875" style="108" customWidth="1"/>
    <col min="4866" max="4866" width="40.42578125" style="108" customWidth="1"/>
    <col min="4867" max="4867" width="7.85546875" style="108" customWidth="1"/>
    <col min="4868" max="4868" width="11.7109375" style="108" customWidth="1"/>
    <col min="4869" max="4869" width="9.85546875" style="108" customWidth="1"/>
    <col min="4870" max="4870" width="15.140625" style="108" customWidth="1"/>
    <col min="4871" max="5120" width="9.140625" style="108"/>
    <col min="5121" max="5121" width="5.85546875" style="108" customWidth="1"/>
    <col min="5122" max="5122" width="40.42578125" style="108" customWidth="1"/>
    <col min="5123" max="5123" width="7.85546875" style="108" customWidth="1"/>
    <col min="5124" max="5124" width="11.7109375" style="108" customWidth="1"/>
    <col min="5125" max="5125" width="9.85546875" style="108" customWidth="1"/>
    <col min="5126" max="5126" width="15.140625" style="108" customWidth="1"/>
    <col min="5127" max="5376" width="9.140625" style="108"/>
    <col min="5377" max="5377" width="5.85546875" style="108" customWidth="1"/>
    <col min="5378" max="5378" width="40.42578125" style="108" customWidth="1"/>
    <col min="5379" max="5379" width="7.85546875" style="108" customWidth="1"/>
    <col min="5380" max="5380" width="11.7109375" style="108" customWidth="1"/>
    <col min="5381" max="5381" width="9.85546875" style="108" customWidth="1"/>
    <col min="5382" max="5382" width="15.140625" style="108" customWidth="1"/>
    <col min="5383" max="5632" width="9.140625" style="108"/>
    <col min="5633" max="5633" width="5.85546875" style="108" customWidth="1"/>
    <col min="5634" max="5634" width="40.42578125" style="108" customWidth="1"/>
    <col min="5635" max="5635" width="7.85546875" style="108" customWidth="1"/>
    <col min="5636" max="5636" width="11.7109375" style="108" customWidth="1"/>
    <col min="5637" max="5637" width="9.85546875" style="108" customWidth="1"/>
    <col min="5638" max="5638" width="15.140625" style="108" customWidth="1"/>
    <col min="5639" max="5888" width="9.140625" style="108"/>
    <col min="5889" max="5889" width="5.85546875" style="108" customWidth="1"/>
    <col min="5890" max="5890" width="40.42578125" style="108" customWidth="1"/>
    <col min="5891" max="5891" width="7.85546875" style="108" customWidth="1"/>
    <col min="5892" max="5892" width="11.7109375" style="108" customWidth="1"/>
    <col min="5893" max="5893" width="9.85546875" style="108" customWidth="1"/>
    <col min="5894" max="5894" width="15.140625" style="108" customWidth="1"/>
    <col min="5895" max="6144" width="9.140625" style="108"/>
    <col min="6145" max="6145" width="5.85546875" style="108" customWidth="1"/>
    <col min="6146" max="6146" width="40.42578125" style="108" customWidth="1"/>
    <col min="6147" max="6147" width="7.85546875" style="108" customWidth="1"/>
    <col min="6148" max="6148" width="11.7109375" style="108" customWidth="1"/>
    <col min="6149" max="6149" width="9.85546875" style="108" customWidth="1"/>
    <col min="6150" max="6150" width="15.140625" style="108" customWidth="1"/>
    <col min="6151" max="6400" width="9.140625" style="108"/>
    <col min="6401" max="6401" width="5.85546875" style="108" customWidth="1"/>
    <col min="6402" max="6402" width="40.42578125" style="108" customWidth="1"/>
    <col min="6403" max="6403" width="7.85546875" style="108" customWidth="1"/>
    <col min="6404" max="6404" width="11.7109375" style="108" customWidth="1"/>
    <col min="6405" max="6405" width="9.85546875" style="108" customWidth="1"/>
    <col min="6406" max="6406" width="15.140625" style="108" customWidth="1"/>
    <col min="6407" max="6656" width="9.140625" style="108"/>
    <col min="6657" max="6657" width="5.85546875" style="108" customWidth="1"/>
    <col min="6658" max="6658" width="40.42578125" style="108" customWidth="1"/>
    <col min="6659" max="6659" width="7.85546875" style="108" customWidth="1"/>
    <col min="6660" max="6660" width="11.7109375" style="108" customWidth="1"/>
    <col min="6661" max="6661" width="9.85546875" style="108" customWidth="1"/>
    <col min="6662" max="6662" width="15.140625" style="108" customWidth="1"/>
    <col min="6663" max="6912" width="9.140625" style="108"/>
    <col min="6913" max="6913" width="5.85546875" style="108" customWidth="1"/>
    <col min="6914" max="6914" width="40.42578125" style="108" customWidth="1"/>
    <col min="6915" max="6915" width="7.85546875" style="108" customWidth="1"/>
    <col min="6916" max="6916" width="11.7109375" style="108" customWidth="1"/>
    <col min="6917" max="6917" width="9.85546875" style="108" customWidth="1"/>
    <col min="6918" max="6918" width="15.140625" style="108" customWidth="1"/>
    <col min="6919" max="7168" width="9.140625" style="108"/>
    <col min="7169" max="7169" width="5.85546875" style="108" customWidth="1"/>
    <col min="7170" max="7170" width="40.42578125" style="108" customWidth="1"/>
    <col min="7171" max="7171" width="7.85546875" style="108" customWidth="1"/>
    <col min="7172" max="7172" width="11.7109375" style="108" customWidth="1"/>
    <col min="7173" max="7173" width="9.85546875" style="108" customWidth="1"/>
    <col min="7174" max="7174" width="15.140625" style="108" customWidth="1"/>
    <col min="7175" max="7424" width="9.140625" style="108"/>
    <col min="7425" max="7425" width="5.85546875" style="108" customWidth="1"/>
    <col min="7426" max="7426" width="40.42578125" style="108" customWidth="1"/>
    <col min="7427" max="7427" width="7.85546875" style="108" customWidth="1"/>
    <col min="7428" max="7428" width="11.7109375" style="108" customWidth="1"/>
    <col min="7429" max="7429" width="9.85546875" style="108" customWidth="1"/>
    <col min="7430" max="7430" width="15.140625" style="108" customWidth="1"/>
    <col min="7431" max="7680" width="9.140625" style="108"/>
    <col min="7681" max="7681" width="5.85546875" style="108" customWidth="1"/>
    <col min="7682" max="7682" width="40.42578125" style="108" customWidth="1"/>
    <col min="7683" max="7683" width="7.85546875" style="108" customWidth="1"/>
    <col min="7684" max="7684" width="11.7109375" style="108" customWidth="1"/>
    <col min="7685" max="7685" width="9.85546875" style="108" customWidth="1"/>
    <col min="7686" max="7686" width="15.140625" style="108" customWidth="1"/>
    <col min="7687" max="7936" width="9.140625" style="108"/>
    <col min="7937" max="7937" width="5.85546875" style="108" customWidth="1"/>
    <col min="7938" max="7938" width="40.42578125" style="108" customWidth="1"/>
    <col min="7939" max="7939" width="7.85546875" style="108" customWidth="1"/>
    <col min="7940" max="7940" width="11.7109375" style="108" customWidth="1"/>
    <col min="7941" max="7941" width="9.85546875" style="108" customWidth="1"/>
    <col min="7942" max="7942" width="15.140625" style="108" customWidth="1"/>
    <col min="7943" max="8192" width="9.140625" style="108"/>
    <col min="8193" max="8193" width="5.85546875" style="108" customWidth="1"/>
    <col min="8194" max="8194" width="40.42578125" style="108" customWidth="1"/>
    <col min="8195" max="8195" width="7.85546875" style="108" customWidth="1"/>
    <col min="8196" max="8196" width="11.7109375" style="108" customWidth="1"/>
    <col min="8197" max="8197" width="9.85546875" style="108" customWidth="1"/>
    <col min="8198" max="8198" width="15.140625" style="108" customWidth="1"/>
    <col min="8199" max="8448" width="9.140625" style="108"/>
    <col min="8449" max="8449" width="5.85546875" style="108" customWidth="1"/>
    <col min="8450" max="8450" width="40.42578125" style="108" customWidth="1"/>
    <col min="8451" max="8451" width="7.85546875" style="108" customWidth="1"/>
    <col min="8452" max="8452" width="11.7109375" style="108" customWidth="1"/>
    <col min="8453" max="8453" width="9.85546875" style="108" customWidth="1"/>
    <col min="8454" max="8454" width="15.140625" style="108" customWidth="1"/>
    <col min="8455" max="8704" width="9.140625" style="108"/>
    <col min="8705" max="8705" width="5.85546875" style="108" customWidth="1"/>
    <col min="8706" max="8706" width="40.42578125" style="108" customWidth="1"/>
    <col min="8707" max="8707" width="7.85546875" style="108" customWidth="1"/>
    <col min="8708" max="8708" width="11.7109375" style="108" customWidth="1"/>
    <col min="8709" max="8709" width="9.85546875" style="108" customWidth="1"/>
    <col min="8710" max="8710" width="15.140625" style="108" customWidth="1"/>
    <col min="8711" max="8960" width="9.140625" style="108"/>
    <col min="8961" max="8961" width="5.85546875" style="108" customWidth="1"/>
    <col min="8962" max="8962" width="40.42578125" style="108" customWidth="1"/>
    <col min="8963" max="8963" width="7.85546875" style="108" customWidth="1"/>
    <col min="8964" max="8964" width="11.7109375" style="108" customWidth="1"/>
    <col min="8965" max="8965" width="9.85546875" style="108" customWidth="1"/>
    <col min="8966" max="8966" width="15.140625" style="108" customWidth="1"/>
    <col min="8967" max="9216" width="9.140625" style="108"/>
    <col min="9217" max="9217" width="5.85546875" style="108" customWidth="1"/>
    <col min="9218" max="9218" width="40.42578125" style="108" customWidth="1"/>
    <col min="9219" max="9219" width="7.85546875" style="108" customWidth="1"/>
    <col min="9220" max="9220" width="11.7109375" style="108" customWidth="1"/>
    <col min="9221" max="9221" width="9.85546875" style="108" customWidth="1"/>
    <col min="9222" max="9222" width="15.140625" style="108" customWidth="1"/>
    <col min="9223" max="9472" width="9.140625" style="108"/>
    <col min="9473" max="9473" width="5.85546875" style="108" customWidth="1"/>
    <col min="9474" max="9474" width="40.42578125" style="108" customWidth="1"/>
    <col min="9475" max="9475" width="7.85546875" style="108" customWidth="1"/>
    <col min="9476" max="9476" width="11.7109375" style="108" customWidth="1"/>
    <col min="9477" max="9477" width="9.85546875" style="108" customWidth="1"/>
    <col min="9478" max="9478" width="15.140625" style="108" customWidth="1"/>
    <col min="9479" max="9728" width="9.140625" style="108"/>
    <col min="9729" max="9729" width="5.85546875" style="108" customWidth="1"/>
    <col min="9730" max="9730" width="40.42578125" style="108" customWidth="1"/>
    <col min="9731" max="9731" width="7.85546875" style="108" customWidth="1"/>
    <col min="9732" max="9732" width="11.7109375" style="108" customWidth="1"/>
    <col min="9733" max="9733" width="9.85546875" style="108" customWidth="1"/>
    <col min="9734" max="9734" width="15.140625" style="108" customWidth="1"/>
    <col min="9735" max="9984" width="9.140625" style="108"/>
    <col min="9985" max="9985" width="5.85546875" style="108" customWidth="1"/>
    <col min="9986" max="9986" width="40.42578125" style="108" customWidth="1"/>
    <col min="9987" max="9987" width="7.85546875" style="108" customWidth="1"/>
    <col min="9988" max="9988" width="11.7109375" style="108" customWidth="1"/>
    <col min="9989" max="9989" width="9.85546875" style="108" customWidth="1"/>
    <col min="9990" max="9990" width="15.140625" style="108" customWidth="1"/>
    <col min="9991" max="10240" width="9.140625" style="108"/>
    <col min="10241" max="10241" width="5.85546875" style="108" customWidth="1"/>
    <col min="10242" max="10242" width="40.42578125" style="108" customWidth="1"/>
    <col min="10243" max="10243" width="7.85546875" style="108" customWidth="1"/>
    <col min="10244" max="10244" width="11.7109375" style="108" customWidth="1"/>
    <col min="10245" max="10245" width="9.85546875" style="108" customWidth="1"/>
    <col min="10246" max="10246" width="15.140625" style="108" customWidth="1"/>
    <col min="10247" max="10496" width="9.140625" style="108"/>
    <col min="10497" max="10497" width="5.85546875" style="108" customWidth="1"/>
    <col min="10498" max="10498" width="40.42578125" style="108" customWidth="1"/>
    <col min="10499" max="10499" width="7.85546875" style="108" customWidth="1"/>
    <col min="10500" max="10500" width="11.7109375" style="108" customWidth="1"/>
    <col min="10501" max="10501" width="9.85546875" style="108" customWidth="1"/>
    <col min="10502" max="10502" width="15.140625" style="108" customWidth="1"/>
    <col min="10503" max="10752" width="9.140625" style="108"/>
    <col min="10753" max="10753" width="5.85546875" style="108" customWidth="1"/>
    <col min="10754" max="10754" width="40.42578125" style="108" customWidth="1"/>
    <col min="10755" max="10755" width="7.85546875" style="108" customWidth="1"/>
    <col min="10756" max="10756" width="11.7109375" style="108" customWidth="1"/>
    <col min="10757" max="10757" width="9.85546875" style="108" customWidth="1"/>
    <col min="10758" max="10758" width="15.140625" style="108" customWidth="1"/>
    <col min="10759" max="11008" width="9.140625" style="108"/>
    <col min="11009" max="11009" width="5.85546875" style="108" customWidth="1"/>
    <col min="11010" max="11010" width="40.42578125" style="108" customWidth="1"/>
    <col min="11011" max="11011" width="7.85546875" style="108" customWidth="1"/>
    <col min="11012" max="11012" width="11.7109375" style="108" customWidth="1"/>
    <col min="11013" max="11013" width="9.85546875" style="108" customWidth="1"/>
    <col min="11014" max="11014" width="15.140625" style="108" customWidth="1"/>
    <col min="11015" max="11264" width="9.140625" style="108"/>
    <col min="11265" max="11265" width="5.85546875" style="108" customWidth="1"/>
    <col min="11266" max="11266" width="40.42578125" style="108" customWidth="1"/>
    <col min="11267" max="11267" width="7.85546875" style="108" customWidth="1"/>
    <col min="11268" max="11268" width="11.7109375" style="108" customWidth="1"/>
    <col min="11269" max="11269" width="9.85546875" style="108" customWidth="1"/>
    <col min="11270" max="11270" width="15.140625" style="108" customWidth="1"/>
    <col min="11271" max="11520" width="9.140625" style="108"/>
    <col min="11521" max="11521" width="5.85546875" style="108" customWidth="1"/>
    <col min="11522" max="11522" width="40.42578125" style="108" customWidth="1"/>
    <col min="11523" max="11523" width="7.85546875" style="108" customWidth="1"/>
    <col min="11524" max="11524" width="11.7109375" style="108" customWidth="1"/>
    <col min="11525" max="11525" width="9.85546875" style="108" customWidth="1"/>
    <col min="11526" max="11526" width="15.140625" style="108" customWidth="1"/>
    <col min="11527" max="11776" width="9.140625" style="108"/>
    <col min="11777" max="11777" width="5.85546875" style="108" customWidth="1"/>
    <col min="11778" max="11778" width="40.42578125" style="108" customWidth="1"/>
    <col min="11779" max="11779" width="7.85546875" style="108" customWidth="1"/>
    <col min="11780" max="11780" width="11.7109375" style="108" customWidth="1"/>
    <col min="11781" max="11781" width="9.85546875" style="108" customWidth="1"/>
    <col min="11782" max="11782" width="15.140625" style="108" customWidth="1"/>
    <col min="11783" max="12032" width="9.140625" style="108"/>
    <col min="12033" max="12033" width="5.85546875" style="108" customWidth="1"/>
    <col min="12034" max="12034" width="40.42578125" style="108" customWidth="1"/>
    <col min="12035" max="12035" width="7.85546875" style="108" customWidth="1"/>
    <col min="12036" max="12036" width="11.7109375" style="108" customWidth="1"/>
    <col min="12037" max="12037" width="9.85546875" style="108" customWidth="1"/>
    <col min="12038" max="12038" width="15.140625" style="108" customWidth="1"/>
    <col min="12039" max="12288" width="9.140625" style="108"/>
    <col min="12289" max="12289" width="5.85546875" style="108" customWidth="1"/>
    <col min="12290" max="12290" width="40.42578125" style="108" customWidth="1"/>
    <col min="12291" max="12291" width="7.85546875" style="108" customWidth="1"/>
    <col min="12292" max="12292" width="11.7109375" style="108" customWidth="1"/>
    <col min="12293" max="12293" width="9.85546875" style="108" customWidth="1"/>
    <col min="12294" max="12294" width="15.140625" style="108" customWidth="1"/>
    <col min="12295" max="12544" width="9.140625" style="108"/>
    <col min="12545" max="12545" width="5.85546875" style="108" customWidth="1"/>
    <col min="12546" max="12546" width="40.42578125" style="108" customWidth="1"/>
    <col min="12547" max="12547" width="7.85546875" style="108" customWidth="1"/>
    <col min="12548" max="12548" width="11.7109375" style="108" customWidth="1"/>
    <col min="12549" max="12549" width="9.85546875" style="108" customWidth="1"/>
    <col min="12550" max="12550" width="15.140625" style="108" customWidth="1"/>
    <col min="12551" max="12800" width="9.140625" style="108"/>
    <col min="12801" max="12801" width="5.85546875" style="108" customWidth="1"/>
    <col min="12802" max="12802" width="40.42578125" style="108" customWidth="1"/>
    <col min="12803" max="12803" width="7.85546875" style="108" customWidth="1"/>
    <col min="12804" max="12804" width="11.7109375" style="108" customWidth="1"/>
    <col min="12805" max="12805" width="9.85546875" style="108" customWidth="1"/>
    <col min="12806" max="12806" width="15.140625" style="108" customWidth="1"/>
    <col min="12807" max="13056" width="9.140625" style="108"/>
    <col min="13057" max="13057" width="5.85546875" style="108" customWidth="1"/>
    <col min="13058" max="13058" width="40.42578125" style="108" customWidth="1"/>
    <col min="13059" max="13059" width="7.85546875" style="108" customWidth="1"/>
    <col min="13060" max="13060" width="11.7109375" style="108" customWidth="1"/>
    <col min="13061" max="13061" width="9.85546875" style="108" customWidth="1"/>
    <col min="13062" max="13062" width="15.140625" style="108" customWidth="1"/>
    <col min="13063" max="13312" width="9.140625" style="108"/>
    <col min="13313" max="13313" width="5.85546875" style="108" customWidth="1"/>
    <col min="13314" max="13314" width="40.42578125" style="108" customWidth="1"/>
    <col min="13315" max="13315" width="7.85546875" style="108" customWidth="1"/>
    <col min="13316" max="13316" width="11.7109375" style="108" customWidth="1"/>
    <col min="13317" max="13317" width="9.85546875" style="108" customWidth="1"/>
    <col min="13318" max="13318" width="15.140625" style="108" customWidth="1"/>
    <col min="13319" max="13568" width="9.140625" style="108"/>
    <col min="13569" max="13569" width="5.85546875" style="108" customWidth="1"/>
    <col min="13570" max="13570" width="40.42578125" style="108" customWidth="1"/>
    <col min="13571" max="13571" width="7.85546875" style="108" customWidth="1"/>
    <col min="13572" max="13572" width="11.7109375" style="108" customWidth="1"/>
    <col min="13573" max="13573" width="9.85546875" style="108" customWidth="1"/>
    <col min="13574" max="13574" width="15.140625" style="108" customWidth="1"/>
    <col min="13575" max="13824" width="9.140625" style="108"/>
    <col min="13825" max="13825" width="5.85546875" style="108" customWidth="1"/>
    <col min="13826" max="13826" width="40.42578125" style="108" customWidth="1"/>
    <col min="13827" max="13827" width="7.85546875" style="108" customWidth="1"/>
    <col min="13828" max="13828" width="11.7109375" style="108" customWidth="1"/>
    <col min="13829" max="13829" width="9.85546875" style="108" customWidth="1"/>
    <col min="13830" max="13830" width="15.140625" style="108" customWidth="1"/>
    <col min="13831" max="14080" width="9.140625" style="108"/>
    <col min="14081" max="14081" width="5.85546875" style="108" customWidth="1"/>
    <col min="14082" max="14082" width="40.42578125" style="108" customWidth="1"/>
    <col min="14083" max="14083" width="7.85546875" style="108" customWidth="1"/>
    <col min="14084" max="14084" width="11.7109375" style="108" customWidth="1"/>
    <col min="14085" max="14085" width="9.85546875" style="108" customWidth="1"/>
    <col min="14086" max="14086" width="15.140625" style="108" customWidth="1"/>
    <col min="14087" max="14336" width="9.140625" style="108"/>
    <col min="14337" max="14337" width="5.85546875" style="108" customWidth="1"/>
    <col min="14338" max="14338" width="40.42578125" style="108" customWidth="1"/>
    <col min="14339" max="14339" width="7.85546875" style="108" customWidth="1"/>
    <col min="14340" max="14340" width="11.7109375" style="108" customWidth="1"/>
    <col min="14341" max="14341" width="9.85546875" style="108" customWidth="1"/>
    <col min="14342" max="14342" width="15.140625" style="108" customWidth="1"/>
    <col min="14343" max="14592" width="9.140625" style="108"/>
    <col min="14593" max="14593" width="5.85546875" style="108" customWidth="1"/>
    <col min="14594" max="14594" width="40.42578125" style="108" customWidth="1"/>
    <col min="14595" max="14595" width="7.85546875" style="108" customWidth="1"/>
    <col min="14596" max="14596" width="11.7109375" style="108" customWidth="1"/>
    <col min="14597" max="14597" width="9.85546875" style="108" customWidth="1"/>
    <col min="14598" max="14598" width="15.140625" style="108" customWidth="1"/>
    <col min="14599" max="14848" width="9.140625" style="108"/>
    <col min="14849" max="14849" width="5.85546875" style="108" customWidth="1"/>
    <col min="14850" max="14850" width="40.42578125" style="108" customWidth="1"/>
    <col min="14851" max="14851" width="7.85546875" style="108" customWidth="1"/>
    <col min="14852" max="14852" width="11.7109375" style="108" customWidth="1"/>
    <col min="14853" max="14853" width="9.85546875" style="108" customWidth="1"/>
    <col min="14854" max="14854" width="15.140625" style="108" customWidth="1"/>
    <col min="14855" max="15104" width="9.140625" style="108"/>
    <col min="15105" max="15105" width="5.85546875" style="108" customWidth="1"/>
    <col min="15106" max="15106" width="40.42578125" style="108" customWidth="1"/>
    <col min="15107" max="15107" width="7.85546875" style="108" customWidth="1"/>
    <col min="15108" max="15108" width="11.7109375" style="108" customWidth="1"/>
    <col min="15109" max="15109" width="9.85546875" style="108" customWidth="1"/>
    <col min="15110" max="15110" width="15.140625" style="108" customWidth="1"/>
    <col min="15111" max="15360" width="9.140625" style="108"/>
    <col min="15361" max="15361" width="5.85546875" style="108" customWidth="1"/>
    <col min="15362" max="15362" width="40.42578125" style="108" customWidth="1"/>
    <col min="15363" max="15363" width="7.85546875" style="108" customWidth="1"/>
    <col min="15364" max="15364" width="11.7109375" style="108" customWidth="1"/>
    <col min="15365" max="15365" width="9.85546875" style="108" customWidth="1"/>
    <col min="15366" max="15366" width="15.140625" style="108" customWidth="1"/>
    <col min="15367" max="15616" width="9.140625" style="108"/>
    <col min="15617" max="15617" width="5.85546875" style="108" customWidth="1"/>
    <col min="15618" max="15618" width="40.42578125" style="108" customWidth="1"/>
    <col min="15619" max="15619" width="7.85546875" style="108" customWidth="1"/>
    <col min="15620" max="15620" width="11.7109375" style="108" customWidth="1"/>
    <col min="15621" max="15621" width="9.85546875" style="108" customWidth="1"/>
    <col min="15622" max="15622" width="15.140625" style="108" customWidth="1"/>
    <col min="15623" max="15872" width="9.140625" style="108"/>
    <col min="15873" max="15873" width="5.85546875" style="108" customWidth="1"/>
    <col min="15874" max="15874" width="40.42578125" style="108" customWidth="1"/>
    <col min="15875" max="15875" width="7.85546875" style="108" customWidth="1"/>
    <col min="15876" max="15876" width="11.7109375" style="108" customWidth="1"/>
    <col min="15877" max="15877" width="9.85546875" style="108" customWidth="1"/>
    <col min="15878" max="15878" width="15.140625" style="108" customWidth="1"/>
    <col min="15879" max="16128" width="9.140625" style="108"/>
    <col min="16129" max="16129" width="5.85546875" style="108" customWidth="1"/>
    <col min="16130" max="16130" width="40.42578125" style="108" customWidth="1"/>
    <col min="16131" max="16131" width="7.85546875" style="108" customWidth="1"/>
    <col min="16132" max="16132" width="11.7109375" style="108" customWidth="1"/>
    <col min="16133" max="16133" width="9.85546875" style="108" customWidth="1"/>
    <col min="16134" max="16134" width="15.140625" style="108" customWidth="1"/>
    <col min="16135" max="16384" width="9.140625" style="108"/>
  </cols>
  <sheetData>
    <row r="2" spans="1:6" ht="26.25" x14ac:dyDescent="0.2">
      <c r="B2" s="252" t="s">
        <v>447</v>
      </c>
      <c r="C2" s="252"/>
      <c r="D2" s="252"/>
      <c r="E2" s="152"/>
      <c r="F2" s="152"/>
    </row>
    <row r="3" spans="1:6" ht="90.75" customHeight="1" x14ac:dyDescent="0.4">
      <c r="B3" s="177" t="s">
        <v>465</v>
      </c>
      <c r="C3" s="154"/>
      <c r="D3" s="155"/>
      <c r="E3" s="153"/>
      <c r="F3" s="153"/>
    </row>
    <row r="5" spans="1:6" ht="27" customHeight="1" x14ac:dyDescent="0.2">
      <c r="A5" s="118" t="s">
        <v>448</v>
      </c>
      <c r="B5" s="119" t="s">
        <v>442</v>
      </c>
      <c r="C5" s="119" t="s">
        <v>443</v>
      </c>
      <c r="D5" s="120" t="s">
        <v>382</v>
      </c>
      <c r="E5" s="120" t="s">
        <v>444</v>
      </c>
      <c r="F5" s="120" t="s">
        <v>384</v>
      </c>
    </row>
    <row r="6" spans="1:6" ht="12.75" customHeight="1" x14ac:dyDescent="0.2">
      <c r="A6" s="9"/>
      <c r="B6" s="156"/>
      <c r="C6" s="127"/>
      <c r="D6" s="137"/>
      <c r="E6" s="157"/>
      <c r="F6" s="158"/>
    </row>
    <row r="7" spans="1:6" s="161" customFormat="1" ht="15" customHeight="1" x14ac:dyDescent="0.2">
      <c r="A7" s="121"/>
      <c r="B7" s="162"/>
      <c r="C7" s="162"/>
      <c r="D7" s="162"/>
      <c r="E7" s="136"/>
      <c r="F7" s="163"/>
    </row>
    <row r="8" spans="1:6" s="161" customFormat="1" ht="15" customHeight="1" x14ac:dyDescent="0.2">
      <c r="A8" s="121"/>
      <c r="B8" s="162"/>
      <c r="C8" s="162"/>
      <c r="D8" s="162"/>
      <c r="E8" s="136"/>
      <c r="F8" s="163"/>
    </row>
    <row r="9" spans="1:6" ht="13.5" customHeight="1" x14ac:dyDescent="0.2">
      <c r="A9" s="164" t="s">
        <v>179</v>
      </c>
      <c r="B9" s="131" t="s">
        <v>33</v>
      </c>
      <c r="C9" s="132"/>
      <c r="D9" s="133"/>
      <c r="E9" s="133"/>
      <c r="F9" s="117"/>
    </row>
    <row r="10" spans="1:6" x14ac:dyDescent="0.2">
      <c r="A10" s="116"/>
      <c r="B10" s="134"/>
      <c r="C10" s="132"/>
      <c r="D10" s="133"/>
      <c r="E10" s="133"/>
      <c r="F10" s="117"/>
    </row>
    <row r="11" spans="1:6" ht="139.5" customHeight="1" x14ac:dyDescent="0.2">
      <c r="A11" s="135" t="s">
        <v>3</v>
      </c>
      <c r="B11" s="128" t="s">
        <v>449</v>
      </c>
      <c r="C11" s="132"/>
      <c r="D11" s="133"/>
      <c r="E11" s="133"/>
      <c r="F11" s="117"/>
    </row>
    <row r="12" spans="1:6" ht="14.25" x14ac:dyDescent="0.2">
      <c r="A12" s="116"/>
      <c r="B12" s="165" t="s">
        <v>450</v>
      </c>
      <c r="C12" s="123" t="s">
        <v>445</v>
      </c>
      <c r="D12" s="124">
        <v>5</v>
      </c>
      <c r="E12" s="124"/>
      <c r="F12" s="126" t="str">
        <f>IF(E12=0,"",PRODUCT(D12:E12))</f>
        <v/>
      </c>
    </row>
    <row r="13" spans="1:6" x14ac:dyDescent="0.2">
      <c r="A13" s="116"/>
      <c r="B13" s="165"/>
      <c r="E13" s="124"/>
      <c r="F13" s="126"/>
    </row>
    <row r="14" spans="1:6" ht="259.5" customHeight="1" x14ac:dyDescent="0.2">
      <c r="A14" s="121" t="s">
        <v>172</v>
      </c>
      <c r="B14" s="165" t="s">
        <v>451</v>
      </c>
      <c r="C14" s="123" t="s">
        <v>445</v>
      </c>
      <c r="D14" s="124">
        <v>60</v>
      </c>
      <c r="E14" s="124"/>
      <c r="F14" s="126" t="str">
        <f>IF(E14=0,"",PRODUCT(D14:E14))</f>
        <v/>
      </c>
    </row>
    <row r="15" spans="1:6" x14ac:dyDescent="0.2">
      <c r="A15" s="116"/>
      <c r="B15" s="165"/>
      <c r="E15" s="124"/>
      <c r="F15" s="126"/>
    </row>
    <row r="16" spans="1:6" ht="13.5" thickBot="1" x14ac:dyDescent="0.25">
      <c r="A16" s="116"/>
      <c r="B16" s="253" t="s">
        <v>452</v>
      </c>
      <c r="C16" s="253"/>
      <c r="D16" s="253"/>
      <c r="E16" s="130"/>
      <c r="F16" s="160" t="str">
        <f>IF(SUM(F12:F15)=0,"",SUM(F12:F15))</f>
        <v/>
      </c>
    </row>
    <row r="17" spans="1:6" ht="13.5" thickTop="1" x14ac:dyDescent="0.2">
      <c r="A17" s="116"/>
      <c r="B17" s="165"/>
      <c r="E17" s="124"/>
      <c r="F17" s="126"/>
    </row>
    <row r="18" spans="1:6" ht="12.75" customHeight="1" x14ac:dyDescent="0.2">
      <c r="A18" s="166"/>
      <c r="B18" s="167"/>
      <c r="C18" s="129"/>
      <c r="D18" s="137"/>
      <c r="E18" s="137"/>
      <c r="F18" s="125"/>
    </row>
    <row r="19" spans="1:6" ht="20.25" x14ac:dyDescent="0.2">
      <c r="B19" s="168" t="s">
        <v>453</v>
      </c>
      <c r="C19" s="168"/>
      <c r="D19" s="168"/>
      <c r="E19" s="168"/>
    </row>
    <row r="22" spans="1:6" ht="18.75" x14ac:dyDescent="0.3">
      <c r="A22" s="140" t="s">
        <v>178</v>
      </c>
      <c r="B22" s="141" t="s">
        <v>31</v>
      </c>
      <c r="C22" s="138"/>
      <c r="D22" s="139"/>
      <c r="E22" s="142"/>
      <c r="F22" s="143" t="e">
        <f>#REF!</f>
        <v>#REF!</v>
      </c>
    </row>
    <row r="23" spans="1:6" ht="15.75" x14ac:dyDescent="0.25">
      <c r="A23" s="169"/>
      <c r="B23" s="170"/>
      <c r="C23" s="171"/>
      <c r="D23" s="144"/>
      <c r="E23" s="172"/>
      <c r="F23" s="145"/>
    </row>
    <row r="24" spans="1:6" ht="18.75" x14ac:dyDescent="0.3">
      <c r="A24" s="140" t="s">
        <v>179</v>
      </c>
      <c r="B24" s="141" t="s">
        <v>33</v>
      </c>
      <c r="C24" s="138"/>
      <c r="D24" s="139"/>
      <c r="E24" s="142"/>
      <c r="F24" s="143" t="str">
        <f>F16</f>
        <v/>
      </c>
    </row>
    <row r="25" spans="1:6" ht="15" x14ac:dyDescent="0.2">
      <c r="A25" s="173"/>
      <c r="B25" s="174"/>
      <c r="C25" s="171"/>
      <c r="D25" s="144"/>
      <c r="E25" s="172"/>
      <c r="F25" s="146"/>
    </row>
    <row r="26" spans="1:6" ht="15.75" x14ac:dyDescent="0.2">
      <c r="A26" s="173"/>
      <c r="B26" s="170"/>
      <c r="E26" s="172"/>
      <c r="F26" s="175"/>
    </row>
    <row r="27" spans="1:6" ht="16.5" thickBot="1" x14ac:dyDescent="0.3">
      <c r="A27" s="173"/>
      <c r="B27" s="147" t="s">
        <v>446</v>
      </c>
      <c r="C27" s="148"/>
      <c r="D27" s="149"/>
      <c r="E27" s="150"/>
      <c r="F27" s="151" t="e">
        <f>IF(SUM(F19:F26)=0,"",SUM(F19:F26))</f>
        <v>#REF!</v>
      </c>
    </row>
    <row r="28" spans="1:6" ht="13.5" thickTop="1" x14ac:dyDescent="0.2"/>
    <row r="29" spans="1:6" x14ac:dyDescent="0.2">
      <c r="D29" s="176"/>
    </row>
  </sheetData>
  <sheetProtection selectLockedCells="1" selectUnlockedCells="1"/>
  <mergeCells count="2">
    <mergeCell ref="B2:D2"/>
    <mergeCell ref="B16:D16"/>
  </mergeCells>
  <pageMargins left="0.98402777777777772" right="0.19652777777777777" top="0.90833333333333321" bottom="0.98402777777777772" header="0.51180555555555551" footer="0.51180555555555551"/>
  <pageSetup paperSize="9" scale="98" firstPageNumber="0" orientation="portrait" verticalDpi="300" r:id="rId1"/>
  <headerFooter alignWithMargins="0">
    <oddHeader>&amp;L     &amp;U ĐAKOVOPROJEKT d.o.o. ĐAKOVO                                                     BROJ TROŠKOVNIKA: T - 82/23</oddHeader>
    <oddFooter>&amp;L&amp;8
Investitor:
OSNOVNA ŠKOLA "VLADIMIR NAZOR"
ĐAKOVO, KRALJA TOMISLAVA 18  &amp;10                                         &amp;R&amp;8ĐAKOVO,prosinac 2023.</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Naslovnica</vt:lpstr>
      <vt:lpstr>DNSH NAČELA-PRIMJENA</vt:lpstr>
      <vt:lpstr>Opći uvjeti</vt:lpstr>
      <vt:lpstr>Građ.-obrtnički radovi škola</vt:lpstr>
      <vt:lpstr>Građ.-obrtnički radovi dvorana</vt:lpstr>
      <vt:lpstr>Naslovnica-</vt:lpstr>
      <vt:lpstr>PREUREĐENJE POSTOJEĆE ŠKOLE</vt:lpstr>
      <vt:lpstr>Naslovnica_ </vt:lpstr>
      <vt:lpstr>obrtnički</vt:lpstr>
      <vt:lpstr>'DNSH NAČELA-PRIMJENA'!Print_Area</vt:lpstr>
      <vt:lpstr>'Građ.-obrtnički radovi dvorana'!Print_Area</vt:lpstr>
      <vt:lpstr>'Građ.-obrtnički radovi škola'!Print_Area</vt:lpstr>
      <vt:lpstr>Naslovnica!Print_Area</vt:lpstr>
      <vt:lpstr>'Naslovnica-'!Print_Area</vt:lpstr>
      <vt:lpstr>'Opći uvjeti'!Print_Area</vt:lpstr>
      <vt:lpstr>'PREUREĐENJE POSTOJEĆE ŠKOLE'!Print_Area</vt:lpstr>
      <vt:lpstr>obrtnički!Print_Titles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Ivona</dc:creator>
  <cp:lastModifiedBy>Ivan Cakaric</cp:lastModifiedBy>
  <cp:lastPrinted>2025-04-08T09:46:15Z</cp:lastPrinted>
  <dcterms:created xsi:type="dcterms:W3CDTF">2023-02-01T07:58:35Z</dcterms:created>
  <dcterms:modified xsi:type="dcterms:W3CDTF">2025-07-08T16:51:39Z</dcterms:modified>
</cp:coreProperties>
</file>