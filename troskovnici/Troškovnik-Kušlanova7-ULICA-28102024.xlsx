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howInkAnnotation="0" defaultThemeVersion="124226"/>
  <mc:AlternateContent xmlns:mc="http://schemas.openxmlformats.org/markup-compatibility/2006">
    <mc:Choice Requires="x15">
      <x15ac:absPath xmlns:x15ac="http://schemas.microsoft.com/office/spreadsheetml/2010/11/ac" url="C:\2023-PROJEKTI\2024-Kušlanova 7\04-troskovnik\"/>
    </mc:Choice>
  </mc:AlternateContent>
  <xr:revisionPtr revIDLastSave="0" documentId="13_ncr:1_{7B181D26-656F-4C7A-BAA8-2C7702636FD5}" xr6:coauthVersionLast="47" xr6:coauthVersionMax="47" xr10:uidLastSave="{00000000-0000-0000-0000-000000000000}"/>
  <bookViews>
    <workbookView xWindow="-98" yWindow="-98" windowWidth="22695" windowHeight="14476" tabRatio="896" activeTab="1" xr2:uid="{00000000-000D-0000-FFFF-FFFF00000000}"/>
  </bookViews>
  <sheets>
    <sheet name="opći uvjeti" sheetId="38" r:id="rId1"/>
    <sheet name="skela i rušenja" sheetId="39" r:id="rId2"/>
    <sheet name="zidarski" sheetId="40" r:id="rId3"/>
    <sheet name="limarski" sheetId="41" r:id="rId4"/>
    <sheet name="stolarski" sheetId="46" r:id="rId5"/>
    <sheet name="ličilački" sheetId="42" r:id="rId6"/>
    <sheet name="restauratorki" sheetId="45" r:id="rId7"/>
    <sheet name="druga faza" sheetId="43" r:id="rId8"/>
    <sheet name="rekapitulacija" sheetId="44" r:id="rId9"/>
  </sheets>
  <definedNames>
    <definedName name="_xlnm.Print_Titles" localSheetId="7">'druga faza'!#REF!</definedName>
    <definedName name="_xlnm.Print_Titles" localSheetId="5">ličilački!#REF!</definedName>
    <definedName name="_xlnm.Print_Titles" localSheetId="3">limarski!#REF!</definedName>
    <definedName name="_xlnm.Print_Titles" localSheetId="0">'opći uvjeti'!$1:$1</definedName>
    <definedName name="_xlnm.Print_Titles" localSheetId="8">rekapitulacija!#REF!</definedName>
    <definedName name="_xlnm.Print_Titles" localSheetId="6">restauratorki!#REF!</definedName>
    <definedName name="_xlnm.Print_Titles" localSheetId="4">stolarski!#REF!</definedName>
    <definedName name="_xlnm.Print_Area" localSheetId="7">'druga faza'!$A$1:$G$31</definedName>
    <definedName name="_xlnm.Print_Area" localSheetId="5">ličilački!$A$1:$G$71</definedName>
    <definedName name="_xlnm.Print_Area" localSheetId="3">limarski!$A$1:$G$26</definedName>
    <definedName name="_xlnm.Print_Area" localSheetId="0">'opći uvjeti'!$A$2:$G$246</definedName>
    <definedName name="_xlnm.Print_Area" localSheetId="8">rekapitulacija!$A$1:$G$34</definedName>
    <definedName name="_xlnm.Print_Area" localSheetId="6">restauratorki!$A$1:$G$20</definedName>
    <definedName name="_xlnm.Print_Area" localSheetId="1">'skela i rušenja'!$A$1:$G$103</definedName>
    <definedName name="_xlnm.Print_Area" localSheetId="4">stolarski!$A$1:$G$7</definedName>
    <definedName name="_xlnm.Print_Area" localSheetId="2">zidarski!$A$1:$G$92</definedName>
  </definedNames>
  <calcPr calcId="191029"/>
  <customWorkbookViews>
    <customWorkbookView name="NESTO" guid="{415EBB08-2A29-4058-9B7C-5052C5605ECC}" maximized="1" xWindow="-8" yWindow="-8" windowWidth="1616" windowHeight="876" tabRatio="896" activeSheetId="18"/>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43" l="1"/>
  <c r="G62" i="42"/>
  <c r="E62" i="42"/>
  <c r="G61" i="42"/>
  <c r="E61" i="42"/>
  <c r="G45" i="42"/>
  <c r="G18" i="45"/>
  <c r="E81" i="40"/>
  <c r="G81" i="40" s="1"/>
  <c r="E69" i="40"/>
  <c r="G69" i="40" s="1"/>
  <c r="E68" i="40"/>
  <c r="G68" i="40" s="1"/>
  <c r="E67" i="40"/>
  <c r="G67" i="40" s="1"/>
  <c r="E31" i="39"/>
  <c r="E62" i="40"/>
  <c r="G62" i="40" s="1"/>
  <c r="G61" i="40"/>
  <c r="E96" i="39"/>
  <c r="G96" i="39" s="1"/>
  <c r="G95" i="39"/>
  <c r="E98" i="39"/>
  <c r="G98" i="39" s="1"/>
  <c r="B32" i="44"/>
  <c r="A32" i="44"/>
  <c r="G32" i="44"/>
  <c r="G28" i="43"/>
  <c r="G29" i="43"/>
  <c r="G60" i="42"/>
  <c r="E59" i="42"/>
  <c r="G59" i="42" s="1"/>
  <c r="E58" i="42"/>
  <c r="G58" i="42" s="1"/>
  <c r="E57" i="42"/>
  <c r="G57" i="42" s="1"/>
  <c r="E56" i="42"/>
  <c r="G56" i="42" s="1"/>
  <c r="G55" i="42"/>
  <c r="E54" i="42"/>
  <c r="G54" i="42" s="1"/>
  <c r="G53" i="42"/>
  <c r="E52" i="42"/>
  <c r="G52" i="42" s="1"/>
  <c r="E51" i="42"/>
  <c r="G51" i="42" s="1"/>
  <c r="G50" i="42"/>
  <c r="E49" i="42"/>
  <c r="G49" i="42" s="1"/>
  <c r="G48" i="42"/>
  <c r="E47" i="42"/>
  <c r="G47" i="42" s="1"/>
  <c r="E46" i="42"/>
  <c r="G46" i="42" s="1"/>
  <c r="E42" i="42"/>
  <c r="G42" i="42" s="1"/>
  <c r="G41" i="42"/>
  <c r="E38" i="42"/>
  <c r="G38" i="42" s="1"/>
  <c r="G37" i="42"/>
  <c r="E34" i="42"/>
  <c r="G34" i="42" s="1"/>
  <c r="G33" i="42"/>
  <c r="E30" i="42"/>
  <c r="G30" i="42" s="1"/>
  <c r="G29" i="42"/>
  <c r="E26" i="42"/>
  <c r="G26" i="42" s="1"/>
  <c r="G25" i="42"/>
  <c r="E22" i="42"/>
  <c r="G22" i="42" s="1"/>
  <c r="G21" i="42"/>
  <c r="E18" i="42"/>
  <c r="G18" i="42" s="1"/>
  <c r="G17" i="42"/>
  <c r="G16" i="45"/>
  <c r="G61" i="39"/>
  <c r="G66" i="40"/>
  <c r="E65" i="40"/>
  <c r="G65" i="40" s="1"/>
  <c r="E60" i="39"/>
  <c r="E75" i="40"/>
  <c r="E7" i="40"/>
  <c r="E6" i="40"/>
  <c r="E10" i="40"/>
  <c r="E79" i="40"/>
  <c r="E64" i="40"/>
  <c r="G64" i="40" s="1"/>
  <c r="E28" i="40"/>
  <c r="G28" i="40" s="1"/>
  <c r="E27" i="40"/>
  <c r="G27" i="40" s="1"/>
  <c r="G26" i="40"/>
  <c r="E25" i="40"/>
  <c r="G25" i="40" s="1"/>
  <c r="G24" i="40"/>
  <c r="E23" i="40"/>
  <c r="G23" i="40" s="1"/>
  <c r="E22" i="40"/>
  <c r="G22" i="40" s="1"/>
  <c r="G21" i="40"/>
  <c r="E20" i="40"/>
  <c r="G20" i="40" s="1"/>
  <c r="G19" i="40"/>
  <c r="E18" i="40"/>
  <c r="G18" i="40" s="1"/>
  <c r="E17" i="40"/>
  <c r="G17" i="40" s="1"/>
  <c r="E58" i="40"/>
  <c r="G58" i="40" s="1"/>
  <c r="G57" i="40"/>
  <c r="E54" i="40"/>
  <c r="G54" i="40" s="1"/>
  <c r="G53" i="40"/>
  <c r="E50" i="40"/>
  <c r="G50" i="40" s="1"/>
  <c r="G49" i="40"/>
  <c r="E46" i="40"/>
  <c r="G46" i="40" s="1"/>
  <c r="G45" i="40"/>
  <c r="E42" i="40"/>
  <c r="G42" i="40" s="1"/>
  <c r="G41" i="40"/>
  <c r="E38" i="40"/>
  <c r="G38" i="40" s="1"/>
  <c r="G37" i="40"/>
  <c r="E34" i="40"/>
  <c r="G34" i="40" s="1"/>
  <c r="G33" i="40"/>
  <c r="E67" i="42"/>
  <c r="E16" i="39"/>
  <c r="E44" i="39"/>
  <c r="E92" i="39"/>
  <c r="E88" i="39"/>
  <c r="E84" i="39"/>
  <c r="E80" i="39"/>
  <c r="E76" i="39"/>
  <c r="E72" i="39"/>
  <c r="E68" i="39"/>
  <c r="E59" i="39"/>
  <c r="E58" i="39"/>
  <c r="E57" i="39"/>
  <c r="E55" i="39"/>
  <c r="E53" i="39"/>
  <c r="E52" i="39"/>
  <c r="E50" i="39"/>
  <c r="E48" i="39"/>
  <c r="E47" i="39"/>
  <c r="G25" i="39"/>
  <c r="B15" i="44"/>
  <c r="B20" i="44"/>
  <c r="B19" i="44"/>
  <c r="B31" i="44"/>
  <c r="B30" i="44"/>
  <c r="G14" i="44"/>
  <c r="B16" i="44"/>
  <c r="B14" i="44"/>
  <c r="B13" i="44"/>
  <c r="B12" i="44"/>
  <c r="B11" i="44"/>
  <c r="B9" i="44"/>
  <c r="G41" i="39"/>
  <c r="B10" i="44"/>
  <c r="E6" i="41"/>
  <c r="G10" i="43"/>
  <c r="G4" i="46"/>
  <c r="G7" i="46" s="1"/>
  <c r="E20" i="41"/>
  <c r="E19" i="41"/>
  <c r="E16" i="41"/>
  <c r="E15" i="41"/>
  <c r="E12" i="41"/>
  <c r="E11" i="41"/>
  <c r="E72" i="40"/>
  <c r="D18" i="40"/>
  <c r="D60" i="39"/>
  <c r="D51" i="42"/>
  <c r="D42" i="40"/>
  <c r="D38" i="42"/>
  <c r="D57" i="42"/>
  <c r="D20" i="40"/>
  <c r="D52" i="42"/>
  <c r="D23" i="40"/>
  <c r="D46" i="40"/>
  <c r="D64" i="40"/>
  <c r="D49" i="42"/>
  <c r="D61" i="42"/>
  <c r="D34" i="40"/>
  <c r="D67" i="40"/>
  <c r="D28" i="40"/>
  <c r="D26" i="42"/>
  <c r="D22" i="40"/>
  <c r="D38" i="40"/>
  <c r="D22" i="42"/>
  <c r="D50" i="40"/>
  <c r="D42" i="42"/>
  <c r="D56" i="42"/>
  <c r="D81" i="40"/>
  <c r="D62" i="40"/>
  <c r="D96" i="39"/>
  <c r="D58" i="42"/>
  <c r="D58" i="40"/>
  <c r="D46" i="42"/>
  <c r="D54" i="40"/>
  <c r="D69" i="40"/>
  <c r="D34" i="42"/>
  <c r="D59" i="42"/>
  <c r="D18" i="42"/>
  <c r="D17" i="40"/>
  <c r="D68" i="40"/>
  <c r="D62" i="42"/>
  <c r="D25" i="40"/>
  <c r="D54" i="42"/>
  <c r="D47" i="42"/>
  <c r="D65" i="40"/>
  <c r="D27" i="40"/>
  <c r="D30" i="42"/>
  <c r="G60" i="39" l="1"/>
  <c r="G59" i="39"/>
  <c r="G72" i="39"/>
  <c r="G71" i="39"/>
  <c r="G51" i="39"/>
  <c r="G50" i="39"/>
  <c r="G44" i="39"/>
  <c r="E41" i="39"/>
  <c r="G40" i="39" s="1"/>
  <c r="E40" i="39"/>
  <c r="E36" i="39"/>
  <c r="G36" i="39" s="1"/>
  <c r="G31" i="39"/>
  <c r="G16" i="39"/>
  <c r="E14" i="39"/>
  <c r="G14" i="39" s="1"/>
  <c r="E8" i="39"/>
  <c r="G8" i="39" s="1"/>
  <c r="G15" i="45"/>
  <c r="G14" i="45"/>
  <c r="G5" i="45"/>
  <c r="G4" i="45"/>
  <c r="G23" i="43"/>
  <c r="G12" i="43"/>
  <c r="G67" i="42"/>
  <c r="E5" i="42"/>
  <c r="G5" i="42" s="1"/>
  <c r="G8" i="42" s="1"/>
  <c r="G15" i="44" s="1"/>
  <c r="G20" i="41"/>
  <c r="G19" i="41"/>
  <c r="G16" i="41"/>
  <c r="G15" i="41"/>
  <c r="G12" i="41"/>
  <c r="G11" i="41"/>
  <c r="G6" i="41"/>
  <c r="G89" i="40"/>
  <c r="G87" i="40"/>
  <c r="G79" i="40"/>
  <c r="G76" i="40"/>
  <c r="G75" i="40"/>
  <c r="G72" i="40"/>
  <c r="G11" i="40"/>
  <c r="G10" i="40"/>
  <c r="G7" i="40"/>
  <c r="G6" i="40"/>
  <c r="E102" i="39"/>
  <c r="G102" i="39" s="1"/>
  <c r="G100" i="39"/>
  <c r="G92" i="39"/>
  <c r="G91" i="39"/>
  <c r="G88" i="39"/>
  <c r="G87" i="39"/>
  <c r="G84" i="39"/>
  <c r="G83" i="39"/>
  <c r="G80" i="39"/>
  <c r="G79" i="39"/>
  <c r="G76" i="39"/>
  <c r="G75" i="39"/>
  <c r="G68" i="39"/>
  <c r="G67" i="39"/>
  <c r="G58" i="39"/>
  <c r="G57" i="39"/>
  <c r="G56" i="39"/>
  <c r="G55" i="39"/>
  <c r="G54" i="39"/>
  <c r="G53" i="39"/>
  <c r="G52" i="39"/>
  <c r="G49" i="39"/>
  <c r="G48" i="39"/>
  <c r="G47" i="39"/>
  <c r="G28" i="39"/>
  <c r="G23" i="39"/>
  <c r="G18" i="39"/>
  <c r="D57" i="39"/>
  <c r="D58" i="39"/>
  <c r="D8" i="39"/>
  <c r="D68" i="39"/>
  <c r="D72" i="39"/>
  <c r="D55" i="39"/>
  <c r="D80" i="39"/>
  <c r="D79" i="40"/>
  <c r="D12" i="41"/>
  <c r="D6" i="41"/>
  <c r="D53" i="39"/>
  <c r="D16" i="41"/>
  <c r="D11" i="41"/>
  <c r="D31" i="39"/>
  <c r="D76" i="39"/>
  <c r="D88" i="39"/>
  <c r="D92" i="39"/>
  <c r="D44" i="39"/>
  <c r="D7" i="40"/>
  <c r="D14" i="39"/>
  <c r="D5" i="42"/>
  <c r="D6" i="40"/>
  <c r="D72" i="40"/>
  <c r="D48" i="39"/>
  <c r="D15" i="41"/>
  <c r="D20" i="41"/>
  <c r="D40" i="39"/>
  <c r="D36" i="39"/>
  <c r="D75" i="40"/>
  <c r="D41" i="39"/>
  <c r="D52" i="39"/>
  <c r="D50" i="39"/>
  <c r="D19" i="41"/>
  <c r="D84" i="39"/>
  <c r="D59" i="39"/>
  <c r="D67" i="42"/>
  <c r="D16" i="39"/>
  <c r="D47" i="39"/>
  <c r="G24" i="43" l="1"/>
  <c r="G31" i="44" s="1"/>
  <c r="G91" i="40"/>
  <c r="G12" i="44" s="1"/>
  <c r="G103" i="39"/>
  <c r="G10" i="44" s="1"/>
  <c r="G16" i="43"/>
  <c r="G30" i="44" s="1"/>
  <c r="G7" i="45"/>
  <c r="G19" i="44" s="1"/>
  <c r="G20" i="45"/>
  <c r="G20" i="44" s="1"/>
  <c r="G70" i="42"/>
  <c r="G16" i="44" s="1"/>
  <c r="G26" i="41"/>
  <c r="G13" i="44" s="1"/>
  <c r="G84" i="40"/>
  <c r="G11" i="44" s="1"/>
  <c r="G20" i="39"/>
  <c r="G9" i="44" s="1"/>
  <c r="G26" i="43" l="1"/>
  <c r="G21" i="44"/>
  <c r="G24" i="44" s="1"/>
  <c r="G33" i="44"/>
  <c r="G23" i="44" s="1"/>
  <c r="G25" i="44" l="1"/>
  <c r="G26" i="44" s="1"/>
  <c r="G27" i="44" s="1"/>
</calcChain>
</file>

<file path=xl/sharedStrings.xml><?xml version="1.0" encoding="utf-8"?>
<sst xmlns="http://schemas.openxmlformats.org/spreadsheetml/2006/main" count="1206" uniqueCount="529">
  <si>
    <t>OPĆI UVJETI UZ TROŠKOVNIK</t>
  </si>
  <si>
    <t>Sve radove treba izvoditi isključivo s vanjske strane, tj. sa skele.</t>
  </si>
  <si>
    <t>U jediničnu cijenu radova potrebno je obračunati:</t>
  </si>
  <si>
    <t>- sve pripremne i završne radove,</t>
  </si>
  <si>
    <t>- sav rad i materijal potreban za izvođenje pojedine stavke opisa,</t>
  </si>
  <si>
    <t>- ispiranje i kvašenje površine zida,</t>
  </si>
  <si>
    <t>- sav otežani rad na izvedbi profilacije,</t>
  </si>
  <si>
    <t>- zaštita izvedenog dijela obrade pročelja,</t>
  </si>
  <si>
    <t>- sav potrebni horizontalni i vertikalni transport, kao i transport do gradilišta,</t>
  </si>
  <si>
    <t>- primjena svih mjera zaštite na radu,</t>
  </si>
  <si>
    <t>Popis normativa za materijale koji se treba pridržavati:</t>
  </si>
  <si>
    <t>- HRN B.C1. 030, B.C8.030. – građevinski gips</t>
  </si>
  <si>
    <t>- HRN B.C1. 020, B.C8.042. – građevinsko vapno</t>
  </si>
  <si>
    <t>- HRN B.C8.015, 022-026. – cement</t>
  </si>
  <si>
    <t>sve društvene obaveze.</t>
  </si>
  <si>
    <t>HRN B.C8.011. – portland cement</t>
  </si>
  <si>
    <t>HRN B.C8.030. – pijesak</t>
  </si>
  <si>
    <t>HRN U.M2.010., U.M2.012.</t>
  </si>
  <si>
    <t xml:space="preserve"> mortovi</t>
  </si>
  <si>
    <t>HRN U.F2.010. – tehnički normativi za izvođenje fasaderskih radova.</t>
  </si>
  <si>
    <t>1.</t>
  </si>
  <si>
    <t>2.</t>
  </si>
  <si>
    <t>3.</t>
  </si>
  <si>
    <t>4.</t>
  </si>
  <si>
    <t>5.</t>
  </si>
  <si>
    <t>6.</t>
  </si>
  <si>
    <t>7.</t>
  </si>
  <si>
    <t>Zidarsko-fasaderski radovi izvode se isključivo prema opisima stavaka troškovnika, kao i prema važećim propisima za ovu vrstu radova. Kvaliteta svog upotrebljenog materijala mora odgovarati propisima i važećim normama, što izvoditelj mora dokazati potrebnim atestima.</t>
  </si>
  <si>
    <t>Izvoditelj je dužan osigurati i zaštititi sve dijelove građevine na kojima se ne izvode radovi, radi sprečavanja oštećenja tokom izvedbe. Pojava svih oštećenja na dijelovima na kojima se ne izvode radovi ili koji su nastupili nepažnjom izvoditelja isti je dužan otkloniti o vlastitom trošku.</t>
  </si>
  <si>
    <t>Sav rad, sve komunikacije i sav transport vrši se isključivo s vanjske strane građevine, tj. preko skele.</t>
  </si>
  <si>
    <t>Žbukanje se izvodi na dobro očišćenoj, otprašenoj i vodom ispranoj površini. Radove na žbukanju izvoditi samo u povoljnim vremenskim uvjetima, uz odgovarajuće osiguranje i zaštitu svježe ožbukanih površina od štetnog utjecaja djelovanja sunca i oborina. Prije samog pristupanja žbukanju, površinu zida potrebno je dobro navlažiti.</t>
  </si>
  <si>
    <t>8.</t>
  </si>
  <si>
    <t>Sav materijal koji se upotrebljava mora odgovarati postojećim tehničkim propisima i normama. Ukoliko se upotrebljava materijal za koji ne postoji odgovarajući standard, njegovu kvalitetu treba dokazati atestima.</t>
  </si>
  <si>
    <t>9.</t>
  </si>
  <si>
    <t>RUŠENJA I DEMONTAŽE</t>
  </si>
  <si>
    <t>LIMARSKI RADOVI</t>
  </si>
  <si>
    <t>RUŠENJA I DEMONTAŽE UKUPNO:</t>
  </si>
  <si>
    <t>-</t>
  </si>
  <si>
    <t>RAZNI GRAĐEVINSKI RADOVI</t>
  </si>
  <si>
    <t>Izvođač radova dužan je u nivou pločnika izvesti ograđeni prostor za odlaganje potrebnih materijala, a u skladu s rješenjem o zauzimanju javno-prometne površine, što je uključeno u cijenu skele. Prije izvedbe skele izvođač je dužan izraditi projekt skele što je u cijeni stavke.</t>
  </si>
  <si>
    <t>Obračun se vrši po m2 vertikalne projekcije površine skele. U cijenu uračunati i naknadu za zauzimanje javnih površine.</t>
  </si>
  <si>
    <t>a)</t>
  </si>
  <si>
    <t>b)</t>
  </si>
  <si>
    <t>OPĆI UVJETI</t>
  </si>
  <si>
    <t>Završno čišćenje gradilišta</t>
  </si>
  <si>
    <t>m2</t>
  </si>
  <si>
    <t>m1</t>
  </si>
  <si>
    <t>kom</t>
  </si>
  <si>
    <t>m3</t>
  </si>
  <si>
    <t>Opis</t>
  </si>
  <si>
    <t>Jedinična cijena</t>
  </si>
  <si>
    <t>Ukupno</t>
  </si>
  <si>
    <t>Jed. mjere</t>
  </si>
  <si>
    <t>Red. br.</t>
  </si>
  <si>
    <t>10.</t>
  </si>
  <si>
    <t>STAKLARSKI RADOVI</t>
  </si>
  <si>
    <t>Ostakljenje jednostrukim staklom d=4 mm.</t>
  </si>
  <si>
    <t>Uključen sav rad, materijal i pribor. Komplet izvedeno.</t>
  </si>
  <si>
    <t>BRAVARSKI RADOVI</t>
  </si>
  <si>
    <t>ZIDARSKO FASADERSKI RADOVI</t>
  </si>
  <si>
    <t>ravne plohe pročelja</t>
  </si>
  <si>
    <t>vijenac</t>
  </si>
  <si>
    <t>LIČILAČKI RADOVI</t>
  </si>
  <si>
    <t>Jediničnom cijenom obuhvatiti:</t>
  </si>
  <si>
    <t>Obračun po m2 ostakljene površine.</t>
  </si>
  <si>
    <t>Ostakljenje prozora na uličnoj strani</t>
  </si>
  <si>
    <t>h</t>
  </si>
  <si>
    <t>STOLARSKI RADOVI</t>
  </si>
  <si>
    <t>kg</t>
  </si>
  <si>
    <t>KONZERVATORSKA ISTRAŽIVANJA UKUPNO:</t>
  </si>
  <si>
    <t>ZIDARSKO FASADERSKI RADOVI- UKUPNO</t>
  </si>
  <si>
    <t>Ručni utovar demontirane limarije, odvoz i istovar na deponiju</t>
  </si>
  <si>
    <t xml:space="preserve">Kol.
</t>
  </si>
  <si>
    <t>Detaljan pregled postojeće stolarije kako bi se odredio način i obim sanacije ili zamjene dotrajalih dijelova, odnosno izrade novih prozora u cijelosti, te prikupili podaci o materijalu, detaljima, profilacijama i obradama. 
Obračun po stvarno utrošenim satima.</t>
  </si>
  <si>
    <t>Ia.</t>
  </si>
  <si>
    <t>SKELA I PRIPREMNI RADOVI -UKUPNO:</t>
  </si>
  <si>
    <t>RAZNI GRAĐEVINSKI RADOVI- UKUPNO</t>
  </si>
  <si>
    <t>LIMARSKI RADOVI- UKUPNO</t>
  </si>
  <si>
    <t>STAKLARSKI RADOVI- UKUPNO</t>
  </si>
  <si>
    <t>LIČILAČKI RADOVI- UKUPNO</t>
  </si>
  <si>
    <t>A</t>
  </si>
  <si>
    <t>GRAĐEVINSKO-OBRTNIČKI RADOVI</t>
  </si>
  <si>
    <t>B</t>
  </si>
  <si>
    <t>RESTAURATORSKI  RADOVI</t>
  </si>
  <si>
    <t>sonde</t>
  </si>
  <si>
    <t>elaborat</t>
  </si>
  <si>
    <t>Ugradba prethodno skinutih natpisa, kućnog broja i slično</t>
  </si>
  <si>
    <t>kmpl</t>
  </si>
  <si>
    <t xml:space="preserve"> KONZERVATORSKI I RESTAURATORSKI RADOVI</t>
  </si>
  <si>
    <t>zid</t>
  </si>
  <si>
    <t>Cijene upisane u ovaj troškovnik sadrže svu odštetu za pojedine radove i dobave u odnosnim stavkama troškovnika i to u potpuno dogotovljenom stanju, tj. sav rad, naknadu za alat, materijal, sve pripremne, sporedne i završne radove, horizontalne i vertikalne prijenose i prijevoze, postavu i skidanje potrebnih skela i razupora, sve sigurnosne mjere po odredbama HTZ mjera i slično. Pod unesenim cijenama podrazumijevaju se također i sva zakonska davanja, kao i pripomoć kod izvedbe obrtničkih radova (zaštita obrtničkih proizvoda: stolarije, bravarije, limarije, restauratorskih elemenata i slično), sva potrebna ispitivanja građevinskog i drugih ugrađenih materijala zbog podizanja kvalitete i čvrstoće pojedinih proizvoda.</t>
  </si>
  <si>
    <t>Davanjem ponude izvoditelj se obvezuje da će pravovremeno nabaviti sav materijal opisan u pojedinim stavkama troškovnika. U slučaju nemogućnosti nabave opisanog materijala tijekom izvođenja radova, za svaku će se izmjenu prikupiti ponude i u prisutnosti naručitelja i nadzornog inžinjera odabrati najpovoljnija.</t>
  </si>
  <si>
    <t>Pročelje građevine dekorirano je ukrasnim elementima (restauratorski, vučeni profili), za koje je, prije pregleda sa skele i ispitivanja postojećih materijala, teško dovoljno precizno definirati način i veličinu sanacionog zahvata, pa je prilikom uvođenja u posao obavezan detaljan pregled i utvrđivanje pravog stanja elemenata i načina sanacije.</t>
  </si>
  <si>
    <t>Ukoliko opis pojedine stavke dovodi izvoditelja u nedoumicu o načinu izvedbe ili kalkulacije cijena, treba pravovremeno tražiti objašnjenje od naručitelja i projektanta. Ako tijekom gradnje dođe do promjena, treba prije početka rada tražiti suglasnost nadzornog inžinjera, predstavnika Gradskog zavoda za zaštitu spomenika kulture i prirode, također treba ugovoriti jediničnu cijenu nove stavke na temelju elemenata datih u ponudi i sve to unijeti u građevinski dnevnik uz ovjeru nadzornog inžinjera. Sve više radnje do kojih dođe uslijed promjene načina ili opsega izvedbe, a nisu na spomenuti način utvrđene, upisane i ovjerene, neće se priznati u obračunu.</t>
  </si>
  <si>
    <t>Prije izrade ponude izvoditelj je dužan obići i pregledati građevinu zbog ocjene njezinog građevinskog stanja, radova obuhvaćenih troškovnikom, uvjeta organizacije gradilišta, načina i mogućnosti pristupa građevini, mogućnosti zauzimanja javne površine, postave skele, osiguranja ulaza u građevinu i sl. Prema tome, ponuđena cijena je konačna cijena za realizaciju pojedine troškovničke stavke i ne može se mijenjati. Prilikom davanja ponude izvoditelj je obvezan dostaviti detaljni operativni plan izvođenja radova i shemu organizacije gradilišta.</t>
  </si>
  <si>
    <t>Bez obzira na vrstu pogodbe, izvoditelj je obvezan svakodnevno voditi građevinski dnevnik u dva primjerka, a također i građevinsku knjigu, koje će redovito kontrolirati i ovjeravati nadzorni inžinjer, kako bi se uvijek mogle ustanoviti stvarne količine izvedenih radova.</t>
  </si>
  <si>
    <t>Jediničnom cijenom treba obuhvatiti:</t>
  </si>
  <si>
    <t xml:space="preserve"> ZIDARSKO-FASADERSKI RADOVI</t>
  </si>
  <si>
    <t>Kvalitetu žbuke izvoditelj je dužan dokazati pribavljanjem stručnih nalaza i mišljenja Građevinskog instituta u Zagrebu.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predstavnik nadležnog Konzervatorskog odjelaP i nadzorni inžinjer investitora. Izrada uzoraka završne obrade uračunata je u jediničnu cijenu pojedine stavke i ne obračunava se posebno.</t>
  </si>
  <si>
    <t>Sve detalje izvedbe na pročelju potrebno je dogovoriti i na njih ishoditi suglasnost predstavnika nadležnog Konzervatorskog odjelaP i nadzornog inžinjera, a prije pristupanja izvedbi radova. Obračun svih radova vršiti kako je to naznačeno u opisu stavaka.</t>
  </si>
  <si>
    <t>Sav upotrebljeni materijal i finalni građevinski proizvodi moraju odgovarati postojećim tehničkim propisima i HR normama. Prilikom izvedbe limarskih radova treba se u svemu pridržavati slijedećih propisa i normi:</t>
  </si>
  <si>
    <t>- Pravilnik o zaštiti na radu u građevinarstvu,</t>
  </si>
  <si>
    <t>- Pravilnik o tehničkim mjerama i uvjetima za završne radove u građevinarstvu,</t>
  </si>
  <si>
    <t>- Tehnički uvjeti za izvođenje limarskih radova,</t>
  </si>
  <si>
    <t>- HR norme:</t>
  </si>
  <si>
    <t>pocinčani lim HRN C.E4.020.</t>
  </si>
  <si>
    <t>bakarni lim HRN C.D4.500., HRN C.D4.020.</t>
  </si>
  <si>
    <t>Pomoćni i vezivni materijali kalaj, zakovice, zavrtnji i drugo moraju odgovarati odredbama HR normi.</t>
  </si>
  <si>
    <t>Sve radove treba izvesti stručno i solidno, prema tehničkim proisima i uzancama zanata. Izvoditelj je dužan na zahtjev investitora ili nadzornog inženjera predočiti uzorke i prospekte za pojedine materijale. Nestandardiziran materijal mora imati atest o kvaliteti izdan od organizacije ovlaštene za izdavanje atesta. Izvoditelj je također dužan da za svaku stavku izradi detaljni crtež i ovjeri ga kod projektanta inadzornog inženjera. Različite vrste metala, koje se uslijed elektrolitskih pojava međusobno razaraju, ne smiju se izravno dodirivati. Sve željezne dijelove koji dolaze u dodir s cinkom ili 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 konstrukcije.</t>
  </si>
  <si>
    <t>U jediničnim cijenama uračunato je:</t>
  </si>
  <si>
    <t>- naknada za kompletni rad (izrada i montaža),</t>
  </si>
  <si>
    <t>- matrijal,</t>
  </si>
  <si>
    <t>- svi vanjski i unutarnji, horizontalni i vertikalni transporti,</t>
  </si>
  <si>
    <t>- premazivanja asfalt lakom, podlaganje krovne ljepenke,</t>
  </si>
  <si>
    <t>- sav sitni i spojni materijal i matrijal za učvršćenje (kuke, plosna željeza, žica za učvršćenje, vijci, zakovice i sl.).</t>
  </si>
  <si>
    <t>Izmjere je potrebno izvršiti na gradilištu, nakon izvedbe, obračunato prema građevinskim normama. Obračun se vrši po m ili m2, ovisno o vrsti elementa, prema važećim građevinskim normama za ojedine radove, što je i naznačeno u pojedinim stavkama troškovnika. Eventualne nejasnoće oko načina izvedbe ili obračuna izvoditelj je dužan razjasniti sa nadzornim inžinjerom prije samog pristupanja izvođenju.</t>
  </si>
  <si>
    <t>Prije pristupanja izvođenju radova izvoditelj je dužan izvršiti detaljan pregled svih stolarskih elemenata, prozora i vrata, na uličnom pročelju i krovu. Stolarski elementi ili njihovi dijelovi, kao i pripadajući okov, koji su oštećeni, moraju se zamjeniti novim, prema opisima stavaka troškovnika i mjerama uzetim na licu mjesta. Sav rad mora biti izveden kvalitetno, a za sve detalje i predložene elemente izvoditelj mora pribaviti suglasnost predstavnika nadležnog Konzervatorskog odjelaP i nadzornog inžinjera. Pri izradi novog elementa, u jediničnu cijenu uračunat je gotov stolarski element sa pripadajućim okovom, ugradnjom na građevini, ostakljenjem i završnom obradom onog dijela elementa koji ostaje vidljive teksture drveta. Osobitu pažnju potrebno je posvetiti čišćenju postojećih stolarskih elemenata i njihovom popravku.</t>
  </si>
  <si>
    <t>Jedinična cijena mora obuhvatiti sav rad i materijal, sav transort do i unutar gradilišta i do mjesta ugradbe, zaštitni premaz lanenim uljem, sav potreban okov, kao i sve pomoćne radove i materijale.</t>
  </si>
  <si>
    <t>Sav rad, ugrađeni matrijal kao i finalni proizvod mora odgovarati važećim tehničkim propisima i normama.</t>
  </si>
  <si>
    <t>Popis propisa i normi kojih se treba pridržavati:</t>
  </si>
  <si>
    <t>*- HRN D.E1.012. – vanjska stolarija</t>
  </si>
  <si>
    <t>- HRN M.B1.024. i 510. – vijci za drvo</t>
  </si>
  <si>
    <t>- HRN D.E8.193. i 235. – vodoneropusnost i hermetičnost</t>
  </si>
  <si>
    <t>Naomena: Eventualne izmjene mogu se izvoditi samo u skladu s konzervatorskim istraživanjima uz odobrenje predstavnika nadležnog Konzervatorskog odjela i nadzornog inžinjera.</t>
  </si>
  <si>
    <t>Sav upotrebljeni materijal i finalni građevinski proizvodi moraju odgovarati važećim tehničkim propisima i normama.</t>
  </si>
  <si>
    <t>HRN C.B3.025. – plosno željezo</t>
  </si>
  <si>
    <t>HRN C.B3.024. – kvadratno željezo</t>
  </si>
  <si>
    <t>Sva nova bravarija mora biti u potpunosti izvedena kao i postojeća i prije dostave na gradilište treba biti zaštićena antikorozivnim premazom.</t>
  </si>
  <si>
    <t>Snimanje postojeće bravarije i uzimanje uzoraka uključeno je u cijenu pojedine stavke i ne iskazuje se posebno.</t>
  </si>
  <si>
    <t>U cijenu pojedine stavke treba uključiti:</t>
  </si>
  <si>
    <t>- snimanje, uzimanje mjera i uzoraka postojeće bravarije,</t>
  </si>
  <si>
    <t>- izrada i ugradnja bravarskih elemenata,</t>
  </si>
  <si>
    <t>- sav vanjski i unutarnji, vertikalni i horizontalni transport,</t>
  </si>
  <si>
    <t>- okov i spojna sredstva,</t>
  </si>
  <si>
    <t>- ličenje i bojenje sa svim predradnjama,</t>
  </si>
  <si>
    <t>sav sitni i spojni matrijal i naknada za stojeve i alat.</t>
  </si>
  <si>
    <t>Napomena: Eventualne izmjene mogu se izvoditi samo u skladu s konzervatorskim</t>
  </si>
  <si>
    <t>Sav upotrebljeni materijal i finalni proizvod moraju odgovarati važećim propisima i normama.</t>
  </si>
  <si>
    <t>Ostakljenje mora biti izvedeno propisno i kvalitetno. Polaganje stakla i kita ostakljenoj površini mora osigurati vodonepropusnost.</t>
  </si>
  <si>
    <t>Jediničnom cijenom obuhvaćen je sav rad, materijal, transport vanjski i unutar gradilišta, sav pomoćni materijal, kao i sve navedeno u stavkama troškovnika i u tehničkim uvjetima za izvođenje staklarskih radova, te svi prateći radovi koji nisu navedeni, a spadaju u staklarske radove i obavezni su za izvoditelja.</t>
  </si>
  <si>
    <t>Sav rad mora biti izveden po važećim propisima i pravilima dobrog zanata.</t>
  </si>
  <si>
    <t>HRN S.B.E.011. – ravno vučeno staklo</t>
  </si>
  <si>
    <t>HRN S.H.06.050. – staklarski kit</t>
  </si>
  <si>
    <t>SOBOSLIKARSKO-LIČILAČKI RADOVI</t>
  </si>
  <si>
    <t>Sav upotrebljeni materijal kao i finalni proizvod moraju odgovarati važećim tehničkim propisima i normama.</t>
  </si>
  <si>
    <t>- pravilnik o zaštiti na radu u građevinarstvu,</t>
  </si>
  <si>
    <t>- pravilnik o tehničkim mjerama i uvjetima za zaršne radove u građevinarstvu,</t>
  </si>
  <si>
    <t>- HRN U.F2.013. – tehnički uvjeti za izvođenje soboslikarskih radova,</t>
  </si>
  <si>
    <t>- HRN U.F2.012. – tehnički uvjeti za izvođenje ličilačkih radova,</t>
  </si>
  <si>
    <t>- HRN B.C1.030. – gips neutralan i čist,</t>
  </si>
  <si>
    <t>- HRN H.K2.015. – kalijev sapun,</t>
  </si>
  <si>
    <t>* HRN B.C1.020. – hidratizirano vapno</t>
  </si>
  <si>
    <t>* HRN H.C5.020. – firnis lanenog ulja</t>
  </si>
  <si>
    <t>* HRN H.C1.034. – cinkov kromat</t>
  </si>
  <si>
    <t>* HRN H.C1.002. – uljene boje i lakovi</t>
  </si>
  <si>
    <t>Svi radovi moraju se izvesti po izabranom uzorku i tonu, koje je ličilac dužan izvesti prije početka radova od materijala od kojeg će se radovi izvesti, a u svemu prema uputama proizvođača i nadležnog Konzervatorskog odjela.</t>
  </si>
  <si>
    <t xml:space="preserve"> Na tako izvedene uzorke izvoditelj mora ishodovati suglasnost predstavnika nadležnog Konzervatorskog odjelaP i nadzornog inžinjera investitora, pa tek onda započeti sa izvođenjem radova.</t>
  </si>
  <si>
    <t>Ukoliko se bojenje pročelja izvodi preko potpuno nove žbuke, tj. homogene površine, upotrijebiti će se silikatni premaz sa svim potrebnim predradnjama u skladu s uputstvom proizvođača, kao što je impregniranje površine pročelja.</t>
  </si>
  <si>
    <t>Ukoliko se bojenje pročelja izvodi preko žbuke koja je samo djelomično sanirana tj. površina nije homogena već se sastoji iz dijelova stare i nove žbuke, upotrijebiti će se također silikatni premaz, ali tako da se prethodno nanese temeljni sloj koje će izjednačiti strukturu, upojnost i kemijsku reakciju podloge.</t>
  </si>
  <si>
    <t>Bojenje mora biti kvalitetno i dobro izvedeno. Na obojenim površinama ne smije biti mrlja, površine moraju biti jednolične i čiste i ne smiju se ljuštiti. Kit za ispunjenje udubina i pukotina mora biti srodnog sastaa podlozi i boji.</t>
  </si>
  <si>
    <t>Ličenje bravarskih dijelova izvodi se nakon čišćenja rđe, premazom temeljne boje i potom liči vanjskom bojom za željezo u dva sloja.</t>
  </si>
  <si>
    <t xml:space="preserve">Ličenje stolarije izvodi se nakon skidanja starog naličja otapalima ili paljenjem. </t>
  </si>
  <si>
    <t>Potom je potrebno stolariju obrusiti, natopiti firnisom, kitati te ponovo brusiti. Na tako pripremljenu podlogu nanosi se dvostruki nalič, te lakira lakom otpornim na atmosferilije. Izbor tona, vrši se prema postojećem, a u suglasnosti s predstavnikom nadležnog Konzervatorskog odjelaP i nadzornim inžinjerom.</t>
  </si>
  <si>
    <t>Jedinična cijena obuhvaća sav rad, materijal, sve troškove nabave i dopreme, skidanje i ponovnu postavu vanjske stolarije (vratna i prozorska krila), izradu uzoraka i sva čišćenja po završetku radova.</t>
  </si>
  <si>
    <t>Prije početka radova izvođač mora ustanoviti kvalitet podloge za izvođenje soboslikarskih i ličilačkih radova i ako ona nije pogodna za taj rad mora o tome pismeno obavijestiti svog naručioca radova, kako bi se na vrijeme mogla podloga popraviti i prirediti za soboslikarsko ličilačke radove. Kasnije pozivanje i opravdanje da kvalitet nije dobar radi loše podloge neće se uzimati u obzir.</t>
  </si>
  <si>
    <t>KLESARSKI I RESTAURATORSKI RADOVI</t>
  </si>
  <si>
    <t>Sanacija dekorativnih elemenata na pročelju obaviti će se čišćenjem i sanacijom na građevini ili restauracijom u radionici. Točan opseg radova i način izvedbe utvrditi će se nakon postavljanja skele, kada će biti moguće na licu mjesta utvrditi stanje svakog pojedinog elementa.</t>
  </si>
  <si>
    <t>Sanacija na građevini izvesti će se upotrebom štuko-mase ili drugog matrijala u kojem su izvedeni izvorni elementi i to u slučajevima kada je osnova elementa zadovoljavajuće čvrstoće, a nedostaju manji dijelovi pojedinog elementa. Upotrebljeni materijal treba imati zadovoljavajuću čvrstoću, otpornost na smrzavanje, vodoodbojnost i paropropusnost.</t>
  </si>
  <si>
    <t>Dograđene dijelove treba imobilizirati pomoću armature iz nehrđajućeg matrijala.</t>
  </si>
  <si>
    <t>Elementi koji nedostaju, ili su oštećenja takva da na građevini nije moguća sanacija, zamijeniti će se novima. Po jedan primjerak svakog različitog elementa treba retuširati i po potrebi dograditi dijelove koji nedostaju, kako bi poslužio kao izvornik za izradu kalupa. Potreban broj odljeva izraditi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matrijala.</t>
  </si>
  <si>
    <t>Elementi se ugrađuju u tijeku izvedbe fasaderskih radova, tj. nakon što se izvede gruba žbuka. Postavljaju se na očišćenu i čvrstu podlogu (najčešće zid od pune opeke s kojeg je otučena žbuka). Učvršćuju se odgovarajućim klinovima od nehrđajućeg materijala. Nakon postave treba po potrebi obaviti retuš (na spojevima pojedinih dijelova ili ako je došlo do sitnijih oštećenja prilikom ugradnje) i izvesti sloj fine žbuke, s tim da e pazi da ne dođe do naknadnih oštećenja elemenata.</t>
  </si>
  <si>
    <t>Sve radove treba izvesti prema važećim tehničkim propisima, normama ili prihvaćenim recepturama, te uzancama zanata.</t>
  </si>
  <si>
    <t>Kod primopredaje radova izvoditelj je dužan predati investitoru uvjerenje o kvaliteti svih ugrađenih matrijala (atesti, normi).</t>
  </si>
  <si>
    <t>- sav rad i pomoćni materijal,</t>
  </si>
  <si>
    <t>- troškove transporta i prijenosa do mjesta rada,</t>
  </si>
  <si>
    <t>- skidanje elemenata koji služe kao izvornici,</t>
  </si>
  <si>
    <t>- uzimanje otisaka,</t>
  </si>
  <si>
    <t>- izradu kalupa,</t>
  </si>
  <si>
    <t>- izradu odljeva sa potrebnom armaturom za učvršćenje,</t>
  </si>
  <si>
    <t>postavu na građevini.</t>
  </si>
  <si>
    <t>Prije početka radova, izvođač je obavezan postaviti i instalirati sve privremene objekte, zaštitne ograde, opremu i instalacije potrebne za normalno izvođenje radova te iste ukloniti s gradilišta nakon završetka radova.</t>
  </si>
  <si>
    <t>Privremeni objekti, ograde, zaštita i oprema pored ostalog obuhvaća uređenje pristupa, privremeno ograđivanje prostora koji mogu poslužiti za odlaganje materijala, doprema i postava građevinskih dizala, ljestvi i penjalice, ograde, zaštitne ograde, skele, platforme, oznake, protupožarnu opremu i sve ostalo potrebno za brzo i sigurno odvijanje rušenja. Izvođač će sve ove radove izvesti bez posebne naplate.</t>
  </si>
  <si>
    <t>Postupak rušenja</t>
  </si>
  <si>
    <t>U postupku rušenja – uklanjanja postojećih građevina rad mora biti organiziran tako da se poštuju svi propisi zaštite na radu, a izvršioci – djelatnici moraju biti upoznati s njima i primjenjivati ih u potpunosti.</t>
  </si>
  <si>
    <t>Mora se povesti zaštita prema susjednim objektima i prolaznicima.</t>
  </si>
  <si>
    <t>Postupak rušenja započet će:</t>
  </si>
  <si>
    <t>Sa gradilišta se materijal koji se neće koristiti, te šuta, mora sukcesivno odvoziti na gradsku deponiju.</t>
  </si>
  <si>
    <t>Pristup i eventualna evakuacija sa građevine i prostora neposredno uz nju mora u svim fazama rada biti nesmetana.</t>
  </si>
  <si>
    <t>a)       isključivanjem elektroinstalacija telefona, plinskih instalacija i vodovoda, s tim da se u neposrednoj blizini osigura dobava vode (polijevanje šute). Isključivanje infrastrukturnih priključaka mora izvesti ovlaštena pravna osoba,</t>
  </si>
  <si>
    <t>b)       demontažom svih predmeta i opreme, kao prozora, vrata, sanitarne opreme i slično – koja će se eventualno upotrijebiti,</t>
  </si>
  <si>
    <t>c)       rušenju – demontaži pristupit će se odozgo prema dolje,</t>
  </si>
  <si>
    <t>d)       ručno će se demontirati pokrov sa krovišta građevina, kao i samo krovište,</t>
  </si>
  <si>
    <t>e)       materijal će biti sortiran i složen na privremenu deponiju na parceli,</t>
  </si>
  <si>
    <t>f)       tavanska konstrukcija će se rušiti ručno, isijecanjem u dijelovima u smjeru nošenja konstrukcije. Kod toga se mora po potrebi vršiti adekvatno podupiranje, a rad obavljati sa radne skele,</t>
  </si>
  <si>
    <t>g)       rušenje pregradnih i nosivih zidova izvršit će se ručno odozgo prema dolje, s posebnom pažnjom da ne dođe do urušavanja dijelova zida,</t>
  </si>
  <si>
    <t>h)       da se izbjegne zagađivanje okoliša prašinom, neophodno je povremeno polijevanje vodom,</t>
  </si>
  <si>
    <t>i)       strojno rušenje obuhvatit će radom rušenje betonskih temelja, betonskih podloga, šahtova i sl.</t>
  </si>
  <si>
    <t>Način zbrinjavanja građevnog otpada</t>
  </si>
  <si>
    <t>Sav otpad nastao rušenjem sortirati će se na parceli prema vrsti materijala.</t>
  </si>
  <si>
    <t>Posebno će se odvojiti ambalažni otpad (papir, plastika, staklo, drvo i sl.) od šute i otpada građevinskog materijala (cigla, beton, crijep, ker. pločice i sl.). Sav otpadni materijal će se učestalo odvoziti sa lokacije na mjesta predviđena za odlaganje pojedine vrste otpada i u reciklažna dvorišta.</t>
  </si>
  <si>
    <t>Zabranjeno je odvoziti otpad na mjesta koja za to nisu dozvoljena.</t>
  </si>
  <si>
    <t>Sav otpad prevozi se i odlaže sukladno propisima o otpadu i komunalnom redu.</t>
  </si>
  <si>
    <t>Nakon rušenja i odvoza otpada i građevinske šute, parcela i zemljište se mora dovesti u uredno stanje, a sa ulične strane javna prometna površina se mora očistiti i dovesti u prvobitno stanje.</t>
  </si>
  <si>
    <t xml:space="preserve">Izvedba cementne glazure u nagibu sa gornje strane profilacija i prozorskih klupčica, a prije montaže limenih opšava klupčica, vijenaca i profilacija na pročelju. </t>
  </si>
  <si>
    <t>Ispitivanje vertikalnosti pročelja, nakon postave skele uz prisutnost nadzornog inženjera. Na crtežu pročelja označiti uočene neravnine i kotirati njihove veličine.</t>
  </si>
  <si>
    <t>Materijal mora biti paropropustan, pH neutralan i transparentan, bez sjaja i koji se prilagođava materijalu pročelja na koje se nanosi.</t>
  </si>
  <si>
    <t>Podloga mora biti suha, čista, čvrsta, građevinski pripremljena te impregnirana.</t>
  </si>
  <si>
    <t>Materijal se nanosi četkom u tankom sloju. Nakon sušenja nanosi se drugi sloj premaza.
Temperatura obrade mora biti iznad +5°C temperature zraka i površine zida.</t>
  </si>
  <si>
    <t>SKELA I PRIPREMNI RADOVI</t>
  </si>
  <si>
    <t xml:space="preserve">U jediničnu cijenu uključiti i zaštitni zastor od jutenih ili plastičnih traka, koje se postavljaju s vanjske strane skele po cijeloj površini. Skelu je potrebno osigurati od prevrtanja sidrenjem u objekat na način da se ne oštete profilacije i štuko dekoracije, a od udara groma uzemljenjem. </t>
  </si>
  <si>
    <t xml:space="preserve">Potrebno je izvesti pomoćne željezne ili drvene ljestve – penjalice u svrhu osiguranja vertikalne komunikacije po skeli. Prije izvedbe skele izvođač je dužan izraditi projekt skele, što je u cijeni stavke.  </t>
  </si>
  <si>
    <t>STOLARSKI RADOVI- UKUPNO</t>
  </si>
  <si>
    <t>razvijena širina: 15 cm</t>
  </si>
  <si>
    <t xml:space="preserve">Svi radovi moraju se izvršiti stručno i solidno sa odgovarajućom radnom snagom i materijalom, a prema važećim tehničkim mjerama i uvjetima za primjenu betona i armiranog betona (prema Zakonu).                                                                                                                                                                                                                                        Ugradbu betona vršiti strojno, a ručno samo na mjestima ukoliko nije moguće izvesti ugradnju strojevima.                                                                                                                                                                                                                          </t>
  </si>
  <si>
    <t>Sav materijal mora imati važeće Izjave o sukladnosti.</t>
  </si>
  <si>
    <t>Beton i armirani beton odgovarajuće zaštititi u tijeku izvedbe.</t>
  </si>
  <si>
    <t xml:space="preserve">U tijeku rada vršiti potrebna ispitivanja određena propisima (na kockama, uzetim s mjesta ugrađivanja, u prisustvu nadzornog organa, koje će se ispitivati nakon 3-7 ili 28 dana, a u skladu sa Zakonom i važećim Pravilnicima).                                    </t>
  </si>
  <si>
    <t xml:space="preserve">Jediničnim cijenama treba se obuhvatiti:  </t>
  </si>
  <si>
    <t xml:space="preserve">• uračunati i otvore koji se pojavljuju u pločama i zidovima sukladno s instalaterskim projektima                                                                                                                                                     </t>
  </si>
  <si>
    <t>• troškovi HTZ zaštite                                                                                                                                                                                • sakupljanja otpadaka i čišćenje radnog prostora s odvozom otpadaka na gradski deponij</t>
  </si>
  <si>
    <t xml:space="preserve">• sva skela i oplata (svih vrsta) sa postavljanjem i skidanjem                                                                                                                         • zaštita betonske konstrukcije i njegovanje betona                                                                                                                                      • svi posredni i neposredni troškovi za rad, materijal, alati i strojevi sa uskladištenjem i sa svojim potrebnim transportima i prenosima                                                                                                                                                                                                                                                                                                                                                            • svi troškovi oko popravaka na izvedenim radovima nastalim zbog nepažnje izvođača                                                                                      
• zatvaranje rupe i sl.                                                                                                                                                                                                                                                                                                                                                                   </t>
  </si>
  <si>
    <t xml:space="preserve">HRN EN 10210 — toplovaljani čelik S235 HRN EN 10025-2:2007 IPE profili ČE 24 (Č.0361) - čelik </t>
  </si>
  <si>
    <t xml:space="preserve">Prije izvedbe skele izvoclač je dužan izraditi projekt skeie sa svim mjerama zaštite radnika, prolaznika i stanara. Skela u svemu mora odgovarati postojećim propisima zaštite na radu i zaštite prolaznika i stanara. Sav materijal za izradu skele mora odgovarati postojećim tehničkim propisima i standardima. Na skelu je potrebno postaviti svu potrebnu signalizaciju: rasvjetu, putokaze i slično. Nacrt i proračun skele treba predočiti nadzornom inženjeru te ishoditi suglasnost nadležnih službi za postavljanje skele i zauzimanje javno-prometne površine. </t>
  </si>
  <si>
    <t xml:space="preserve"> SKELA I PRIPREMNI RADOVI </t>
  </si>
  <si>
    <t xml:space="preserve">Svi materijali za izradu skele moraju odgovarati važećim propisima i normama: - HRN C.B3.021. - čelik - HRN C.B5.021. - valjani čelični profili - HRN D.C1.021-041. - rezana grada - HRN M.B4.020-100. — čavli </t>
  </si>
  <si>
    <t>a)       isključivanjem elektroinstalacija telefona, plinskih instalacija i vodovoda, s tim da se u neposrednoj blizini osigura dobava vode (polijevanje šute). Isključivanje infrastrukturnih priključaka mora izvesti ovlaštena pravna osoba</t>
  </si>
  <si>
    <t>b)       demontažom svih predmeta i opreme, kao prozora, vrata, sanitarne opreme i slično – koja će se eventualno upotrijebiti</t>
  </si>
  <si>
    <t>c)       rušenju – demontaži pristupit će se odozgo prema dolje</t>
  </si>
  <si>
    <t>d)       ručno će se demontirati pokrov sa krovišta građevina, kao i samo krovište</t>
  </si>
  <si>
    <t>e)       materijal će biti sortiran i složen na privremenu deponiju na parceli</t>
  </si>
  <si>
    <t>f)       tavanska konstrukcija će se rušiti ručno, isijecanjem u dijelovima u smjeru nošenja konstrukcije. Kod toga se mora po potrebi vršiti adekvatno podupiranje, a rad obavljati sa radne skele</t>
  </si>
  <si>
    <t>g)       rušenje pregradnih i nosivih zidova izvršit će se ručno odozgo prema dolje, s posebnom pažnjom da ne dođe do urušavanja dijelova zida</t>
  </si>
  <si>
    <t>h)       da se izbjegne zagađivanje okoliša prašinom, neophodno je povremeno polijevanje vodom</t>
  </si>
  <si>
    <t xml:space="preserve">Davanjem ponude izvoditelj se obvezuje da će pravovremeno nabaviti sav materijal opisan u pojedinim stavkama troškovnika. </t>
  </si>
  <si>
    <t>Ukoliko opis pojedine stavke dovodi izvoditelja u nedoumicu o načinu izvedbe, treba pravovremeno tražiti objašnjenje od naručitelja. Ako tijekom gradnje dođe do promjena, treba prije početka rada tražiti suglasnost nadzornog inžinjera, predstavnika Gradskog zavoda za zaštitu spomenika kulture i prirode, također treba ugovoriti jediničnu cijenu nove stavke na temelju elemenata datih u ponudi i sve to unijeti u građevinski dnevnik uz ovjeru nadzornog inžinjera. Odnosno, sve izmjene trebaju biti ugovorene u skladu sa Zakonom o javnoj nabavi. Sve više radnje do kojih dođe uslijed promjene načina ili opsega izvedbe, a nisu na spomenuti način utvrđene, upisane i ovjerene, neće se priznati u obračunu.</t>
  </si>
  <si>
    <t>Ia</t>
  </si>
  <si>
    <t>Ib</t>
  </si>
  <si>
    <t>VII</t>
  </si>
  <si>
    <t>VI</t>
  </si>
  <si>
    <t>V</t>
  </si>
  <si>
    <t>IV</t>
  </si>
  <si>
    <t>III</t>
  </si>
  <si>
    <t>II</t>
  </si>
  <si>
    <t>2-P2</t>
  </si>
  <si>
    <t>razvijena širina: 10 cm</t>
  </si>
  <si>
    <t>razvijena širina:  10 cm</t>
  </si>
  <si>
    <t>8.1.</t>
  </si>
  <si>
    <t>8.2.</t>
  </si>
  <si>
    <t>8.3.</t>
  </si>
  <si>
    <t>8.4.</t>
  </si>
  <si>
    <t>8.5.</t>
  </si>
  <si>
    <t>8.6.</t>
  </si>
  <si>
    <t>8.7.</t>
  </si>
  <si>
    <t>8.8.</t>
  </si>
  <si>
    <t>8.9.</t>
  </si>
  <si>
    <t>8.10.</t>
  </si>
  <si>
    <t>a) portafon</t>
  </si>
  <si>
    <t>RAVNE PLOHE PROČELJA:</t>
  </si>
  <si>
    <t>Žbukanje ravnih površina pročelja produžnom grubom i finom žbukom m-5, omjera 1:3:9 zaglađene završne obrade debljine 3-4,5 cm, uz prethodno pranje površina vodom pod pritiskom. Rad uključuje žbukanje manjih površina uz korištenje jednostavnih šablona.</t>
  </si>
  <si>
    <t xml:space="preserve">Demontaža postojećih opšava. Demontažu obavezno izvodi limar koji je dužan uzeti mjere i uzorke te snimiti detalje izvedbe, što je uključeno u cijenu stavke. Također u cijenu stavke uključiti i sav vertikalni i horizontalni prenos do gradilišne deponije. Obračun po m1 r.š.35 cm </t>
  </si>
  <si>
    <t>Dobava materijala i premazivanje obnovljenog pročelja antigrafitnim premazom. Nanosi se do razdjelnog vijenca prizemlja.</t>
  </si>
  <si>
    <t xml:space="preserve">Skela mora sadržavati tunel za prolaz pješaka i stanara u kuću. Skela mora ispunjavati slijedeće zahtjeve: - koristiti ispravne čelične cijevi i spojnice - koristiti ispravnu gradu od drveta - fiksirati i učvrstiti skelu za fasadne zidove gradevine na mjestima otvora - osigurati zaštitu od pada predmeta, materijala i alata sa skele, te na skelu postaviti svu potrebnu signalizaciju Skelu izraditi od čeiičnih bešavnih cijevi sa spojnim elementima.  Vanjsku stranu skele prekriti jutenim ili PVC prekrivačima i osigurati od udara groma, skelu je potrebno osigurati protiv deformacija, udara vjetra u svakom polju i protiv prevrtanja. 
</t>
  </si>
  <si>
    <t>Za ugradene materijale pribaviti potrebne ateste.  Amortizacija skele obračunava se za vrijeme kompletne obnove pročelja s tim da skelu mogu koristiti svi sudionici koji izvode radove na pročelju bez posebne nadoplate. U jediničnu cijenu treba uključiti: - sav rad oko postavi i skidanja skele - izradu statičkog računa i nacrta montaže skele - dostavu svog potrebnog materijala za postavu skele, čiščenje i odvoz smeća nakon skidanja skele - postavu signalizacije i njezino održavanje - sve društvene obveze vezane za radnu snagu i materijal - odžavanje skele za vrijeme trajanja radova - pripremno-završne radove - naknadu za zauzimanje javno-prometne površine.</t>
  </si>
  <si>
    <t xml:space="preserve">Dokaznica
</t>
  </si>
  <si>
    <t>Kvalitetu žbuke izvoditelj je dužan dokazati pribavljanjem stručnih nalaza i mišljenja relevantne ovlaštene institucije. Spojeve stare i nove žbuke izvesti kvalitetno, tako da se nakon završne obrade ne primjećuju razlike između ploha ožbukanih starom i ploha ožbukanih novom žbukom, već da se nakon završnog sloja dobije jednoliki izgled površine. Za sve završne obrade na pročelju potrebno je izraditi uzorke koje prije početka izvođenja mora odobriti predstavnik GZZSKP i nadzorni inžinjer investitora. Izrada uzoraka završne obrade uračunata je u jediničnu cijenu pojedine stavke i ne obračunava se posebno.</t>
  </si>
  <si>
    <t>folija</t>
  </si>
  <si>
    <t xml:space="preserve">Izrada šablona za izvedbu vučenih profilacija. Šablone izraditi za sve vučene profilacije.. Šablone će pregledati i odobriti predstavnik GZZSKP. Postupak uključuje čišćenje i eventualnu rekonstrukciju profilacije do
izvorne forme te uzimanje uzoraka na očišćenim i retuširanim izvornim dijelovima.
Obračunava se 1 komplet šablona za grubu i finu žbuku, bez obzira na broj pomoćnih
šablona zbog duljine profilacije ili izrade posebne šablone za grubu žbuku. </t>
  </si>
  <si>
    <t>Boju i ton određuje predstavnik GZZSKP.</t>
  </si>
  <si>
    <t xml:space="preserve">Izrada novih okova na mjestima gdje nije moguć popravak u svemu prema postojećem. Zamjenu izvršiti uz suglasnost nadzornog inženjera i predstavnika GZZSKP. </t>
  </si>
  <si>
    <t>Napomena: Eventualne izmjene mogu se izvoditi samo u skladu s konzervatorskim istraživanjima uz odobrenje predstavnika GZZSKP i nadzornog inžinjera.</t>
  </si>
  <si>
    <t>Dograđene dijelove treba imobilizirati pomoću armature iz nehrđajućeg materijala.</t>
  </si>
  <si>
    <t>Svi radovi moraju se izvesti po izabranom uzorku i tonu, koje je ličilac dužan izvesti prije početka radova od materijala od kojeg će se radovi izvesti, a u svemu prema uputama proizvođača i predstavnika GZZSKP.</t>
  </si>
  <si>
    <t xml:space="preserve"> Na tako izvedene uzorke izvoditelj mora ishodovati suglasnost predstavnika GZZSKP i nadzornog inžinjera investitora, pa tek onda započeti sa izvođenjem radova.</t>
  </si>
  <si>
    <t>Bojenje mora biti kvalitetno i dobro izvedeno. Na obojenim površinama ne smije biti mrlja, površine moraju biti jednolične i čiste i ne smiju se ljuštiti. Kit za ispunjenje udubina i pukotina mora biti srodnog sastava podlozi i boji.</t>
  </si>
  <si>
    <t>Svi detalji izvedbe i ugradnje bravarije moraju biti odobreni od predstavnika GZZSKP i nadzornog inžinjera investitora.</t>
  </si>
  <si>
    <t>Prije pristupanja izvođenju radova izvoditelj je dužan izvršiti detaljan pregled svih stolarskih elemenata, prozora i vrata, na uličnom pročelju i krovu. Stolarski elementi ili njihovi dijelovi, kao i pripadajući okov, koji su oštećeni, moraju se zamjeniti novim, prema opisima stavaka troškovnika i mjerama uzetim na licu mjesta. Sav rad mora biti izveden kvalitetno, a za sve detalje i predložene elemente izvoditelj mora pribaviti suglasnost predstavnika GZZSKP i nadzornog inžinjera. Pri izradi novog elementa, u jediničnu cijenu uračunat je gotov stolarski element sa pripadajućim okovom, ugradnjom na građevini, ostakljenjem i završnom obradom onog dijela elementa koji ostaje vidljive teksture drveta. Osobitu pažnju potrebno je posvetiti čišćenju postojećih stolarskih elemenata i njihovom popravku.</t>
  </si>
  <si>
    <t>- materijal</t>
  </si>
  <si>
    <t>Sve radove treba izvesti stručno i solidno, prema tehničkim propisima i uzancama zanata. Izvoditelj je dužan na zahtjev investitora ili nadzornog inženjera predočiti uzorke i prospekte za pojedine materijale. Nestandardiziran materijal mora imati atest o kvaliteti izdan od organizacije ovlaštene za izdavanje atesta. Izvoditelj je također dužan da za svaku stavku izradi detaljni crtež i ovjeri ga kod projektanta inadzornog inženjera. Različite vrste metala, koje se uslijed elektrolitskih pojava međusobno razaraju, ne smiju se izravno dodirivati. Sve željezne dijelove koji dolaze u dodir s cinkom ili ocinčanim limom treba preličiti asfaltnim lakom, ili odgovarajućim sredstvom. Kod polaganja lima na masivne podloge, potrebno je podloge prije oblaganja obložiti slojem krovne ljepenke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 konstrukcije.</t>
  </si>
  <si>
    <t>Obračun po m2</t>
  </si>
  <si>
    <t>Pranje zidova pročelja od opeke vodom. Vrši se nakon obijanja žbuke i čišćenja plohe zida pročelja. Obračun po m2 vertikalne projekcije pročelja.</t>
  </si>
  <si>
    <t xml:space="preserve">Konzervatorska istraživanja žbuke i boje pročelja nakon postave skele, a prije rušenja i demontaža, radi utvrđivanja izgleda pročelja u raznim povijesnim razdobljima, te radi utvrđivanja stanja obrada i konstrukcija. Prema odredbama GZZSKP otvoriti konzervatorske sonde na ravnim površinama kata, prizemlja, u zoni podnožja, na vučenim profilacijama vijenaca, nadprozornika, prozorskih klupčica, kapitela i baza pilastara, kiparskim i kamenim elementima, te stolariji i bravariji. Stavka uključuje izradu nacrta istraživanja s ucrtanim i opisanim nalazima. Obračun po kom sondi i  kom elaborat </t>
  </si>
  <si>
    <t>Sve detalje izvedbe na pročelju potrebno je dogovoriti i na njih ishoditi suglasnost predstavnika GZZSKP i nadzornog inžinjera, a prije pristupanja izvedbi radova. Obračun svih radova vršiti kako je to naznačeno u opisu stavaka.</t>
  </si>
  <si>
    <t>Žbukanje ravnih površina prizemlja zgrade sa  linijskim horizontalnim i kosim profilacijama grubom i finom žbukom, debljine 4-4,5 cm.
Žbuka se nanosi na ravne površine pročelja gdje je postojeća žbuka otučena, reške očišćene, a površina otprašena i oprana. U cijenu stavke uključene sve faze nanošenja žbuke na ravnu površinu kako bi se postigla žbuka u svemu prema postojećoj. 
Za kvalitetu žbuke izvoditelj je dužan pribaviti stručni nalaz i mišljenje ovlaštene ustanove za ispitivanje kvalitete žbuke, što je obuhvaćeno jediničnom cijenom ove stavke.
Obračun po m2 ortogonalne projekcije ne računajući otvore i kompletu šablona. Adekvatan koeficijent složenosti uračunati u cijenu stavke.</t>
  </si>
  <si>
    <t>Potom je potrebno stolariju obrusiti, natopiti firnisom, kitati te ponovo brusiti. Na tako pripremljenu podlogu nanosi se dvostruki nalič, te lakira lakom otpornim na atmosferilije. Izbor tona, vrši se prema postojećem, a u suglasnosti s predstavnikom GZZSKP i nadzornim inženjerom.</t>
  </si>
  <si>
    <t>a) ulična strana</t>
  </si>
  <si>
    <t xml:space="preserve">Zidanje oštećenih dijelova zida i istaka nastalih ispadanjem opeke , te oštećenjem kod demontaže čelične konstrukcije. 
Stavkom je obuhvaćeno vađenje iz ležajeva dotrajale opeke i ponovno zidanje novom
punom opekom u produženom mortu. Prilikom zidanja treba poštivati postojeći vez opeke, a kod istaknutih dijelova konstrukcije vijenaca opeku odsjecanjem prilagoditi izvornom obliku. Obračun po m2 saniranog zida i m1 sanirane istake vijenaca, a prema prethodnom pregledu i upisu nadzornog inženjera u građevinski dnevnik.
</t>
  </si>
  <si>
    <t>Nabacivanje sloja produžnog morta na većim uleknućima površine zidova kako bi se doveli u okomitost. Izravnanje zidova izvesti na mjestima ustanovljenim mjerenjem okomitosti zidova, a uz suglasnost nadzornog inženjera. Debljina sloja morta do 5 cm.</t>
  </si>
  <si>
    <t>razvijena širina 45 cm</t>
  </si>
  <si>
    <t>Uključivo obujmice za učvršćenje u zid, spoj na horizontalni ležeći žljeb, prijelazno koljeno, te spoj na  izljevno koljeno.</t>
  </si>
  <si>
    <t xml:space="preserve">Demontaža postojećih oluka opisana je u radovima 'Demontaža i rušenja'. </t>
  </si>
  <si>
    <t>Uključena sva pričvršćenja i osiguranja, te postava bitumenske ljepenke ispod opšava.</t>
  </si>
  <si>
    <t>Uključivo spoj na vertikalni oluk.</t>
  </si>
  <si>
    <t>viseći žljeb r.š. 70 cm</t>
  </si>
  <si>
    <t>opšav ruba krova r.š. 80 cm</t>
  </si>
  <si>
    <t>Obračun po m1.</t>
  </si>
  <si>
    <t xml:space="preserve">Demontaža instalacijskih uređaja na pročelju - portafon, zvona, rasvjetna tijela; sa svim pripadajućim električnim kablovima. 
Demontirane elemente očistiti, te pohraniti na gradilištu ili kod vlasnika-zakupca. Izvoditelj snosi sve troškove ponovne dobave ili izrade pojedinih elemenata u slučaju oštećenja ili otuđenja s gradilišta. 
Privremena blokada elektroinstalacija, te ponovna postava instalacijskih uređaja nakon izvedbe radova obnove pročelja uz stavljanje instalacija u funkciju. Ponovna postava uređaja samo uz odobrenje i na pozicijama koje odredi predstavnik Gradskog zavoda za zaštitu spomenika kulture i prirode. </t>
  </si>
  <si>
    <t>Demontaža ležećeg žlijeba s krovnog vijenca i  opšava ruba krova ispod žljeba. Izvedeno od pocinčanog lima d=0.55mm, razvijene širine 70 cm (žljeb) i 80 cm (podložni lim).</t>
  </si>
  <si>
    <t>ležeći žljeb r.š. 70 cm</t>
  </si>
  <si>
    <t>Demontaža limenih olučnih cijevi za odvodnju oborinske vode, zajedno sa izljevnim koljenom i spojem na ležeći žljeb.</t>
  </si>
  <si>
    <t>Demontaža prozorskih klupčica.  Demontažu obavezno izvodi limar koji je dužan uzeti mjere i uzorke te snimiti detalje izvedbe, što je uključeno u cijenu stavke. Također u cijenu stavke uključiti i sav vertikalni i horizontalni prenos do gradilišne deponije. Obračun po m1.</t>
  </si>
  <si>
    <t>Stavka uključuje izvedbu ploha s jednostavnim šablonama. Obračun se vrši po m2 ortogonalne projekcije pročelja, ne računajući površine otvora, profilacija i ukrasa i kompletu šablona.</t>
  </si>
  <si>
    <t xml:space="preserve">Ib </t>
  </si>
  <si>
    <t xml:space="preserve">Ručno obijanje trošne žbuke  debljine 2,5-4 cm sa ravnih ploha pročelja, nakon konzervatorskih istraživanja. Rad izvoditi pažljivo naročito u blizini profilacija i dekoracija kako se ne bi oštetili dekorativni elementi od štuka ili žbuke. Ziđe pročelja je od opeke. Nakon obijanja žbuke zid očistiti skobama do dubine  1 cm. Potom cijelu površinu otprašiti i isprati vodom. Uključivo prenos i odlaganje na gradilišnu deponiju šute. 
Prije obijanja snimiti jednostavne profilacije, uzeti otiske i izraditi gipsane odljeve, te izraditi nacrte u mjerilu 1-1 i dati ih na ovjeru predstavniku GZZSKP.
Obračun po m2 ortogonalne projekcije pročelja ne računajući površine prozorskih otvora i složenih profilacija. Obija se kompletna žbuka. Obzirom da je neznatan dio žbuke otpao s pročelja, predviđa se obijanje 100% površine. </t>
  </si>
  <si>
    <t>2-P1</t>
  </si>
  <si>
    <t>1-P1</t>
  </si>
  <si>
    <t>1-P2</t>
  </si>
  <si>
    <t>Prilikom izvedbe tesarskih radova treba se u svemu pridržavati svih važećih propisa i standarda za drvene konstrukcije:</t>
  </si>
  <si>
    <t>Pravilnik o zaštiti na radu u građevinarstvu</t>
  </si>
  <si>
    <t>rezana građa, ispitivanje oplate i skele
(izvođenje drvenih skela i oplata</t>
  </si>
  <si>
    <t>HRN U C9.400.</t>
  </si>
  <si>
    <t>ispitivanje ploča vlaknatica i iverica</t>
  </si>
  <si>
    <t>HRN D ,D8.100.do 114.</t>
  </si>
  <si>
    <t>ispitivanje ploča vlaknatica i  slojevito drvo, terminologija i definicije</t>
  </si>
  <si>
    <t>HRN D .10.060-1969.</t>
  </si>
  <si>
    <t>ispitivanje drveta, opći dio</t>
  </si>
  <si>
    <t>HRN D A1.020-1957.</t>
  </si>
  <si>
    <t>ispitivanje drveta, održavanje sadržaja vlage</t>
  </si>
  <si>
    <t>HRN D A1.048-1979.</t>
  </si>
  <si>
    <t>ispitivanje drveta, određivanje zatezne čvrstoće u pravcu vlakana</t>
  </si>
  <si>
    <t>ispitivanje drveta, zatezna čvrstoća okomito na drvna vlakna</t>
  </si>
  <si>
    <t>HRN D A1.052-1958.</t>
  </si>
  <si>
    <t>zaštita drveta, ispitivanje otpornosti prema gljivama, usporedna otpornost različitih vrsta drveta</t>
  </si>
  <si>
    <t>HRN D A1.058-1971.</t>
  </si>
  <si>
    <t>furnirske i stolarske ploče, određivanje stupnja slijepljenosti</t>
  </si>
  <si>
    <t>HRN D A1.072.1972</t>
  </si>
  <si>
    <t>tesana građa četinara</t>
  </si>
  <si>
    <t>HRN D B7.020-1955.</t>
  </si>
  <si>
    <t>ploče vlaknatice (lesonit ploče), tehnički uvjeti za izradu i isporuku</t>
  </si>
  <si>
    <t>HRN D C5.022-1968.</t>
  </si>
  <si>
    <t>Norme za tesarske radove:</t>
  </si>
  <si>
    <t>HRN S.D.B7.020. - tesano crnogorično drvo</t>
  </si>
  <si>
    <t>HRN S.D.C 1.040. i 041. - rezano crnogorično drvo</t>
  </si>
  <si>
    <t xml:space="preserve">Lake fasadne skele izrađivati od metala i drveta, a prema projektu radne organizacije izvoditelj, tj. nije dat tip skele, već se to prepušta izvoditelju. Jedniničnom cijenom obuhvaćen je sav rad s potrebnim premazima, sav materijal, pomoćna skela, svi pomoćni radovi, donošenje i držanje alata i sitnog pribora, sva uskladištenja i svi transporti, dobava pogonskog materijala, osiguranje radova od vjetra, odstranjivanje svih otpada u toku radova i nakon dovršenja radova, popravak šteta učinjenih nepažnjom.
</t>
  </si>
  <si>
    <t>HRN D C1.040.041. i 042</t>
  </si>
  <si>
    <t>RESTAURATORSKI RADOVI</t>
  </si>
  <si>
    <t>šablone-P-R</t>
  </si>
  <si>
    <r>
      <t xml:space="preserve">Dobava, postava, skidanje i otprema </t>
    </r>
    <r>
      <rPr>
        <sz val="11"/>
        <color theme="1"/>
        <rFont val="Calibri"/>
        <family val="2"/>
      </rPr>
      <t>tunelske skele prolaza za pješake, izrađenog od bešavnih cijevi i potrebnih spojnih elemenata, sa svim potrebnim ukrućenjima i sidrenjima. Pokrov tunela izraditi od mosnica položenih jedne do druge, a preko njih postaviti bitumensku ljepenku s preklopom minimalno 10 cm ili alternativno PVC foliju. Projektom skele treba predvidjeti funkcionalnost kolnog ulaza u vežu.</t>
    </r>
  </si>
  <si>
    <r>
      <rPr>
        <sz val="11"/>
        <color theme="1"/>
        <rFont val="Calibri"/>
        <family val="2"/>
      </rPr>
      <t>Dobava i postava PVC folije za zaštitu otvora na pročelju. Folija se pričvršćuje na doprozornike pomoću drvenih letvica, koje su u cijeni stavke.</t>
    </r>
  </si>
  <si>
    <t xml:space="preserve">Dobava, izrada i postava opšava razdjelnog vijenca iz pocinčanog lima. Na vanjskom rubu izvesti okapnicu udaljenu min. 2 cm od žbuke, a na strani do zida lim podvući pod žbuku i uzdići 1 cm. Sva mjesta dodira lima i žbuke ili betona zaštititi razdjelnim parorasteretnim slojem.  Jediničnom cijenom obuhvatiti kompletan rad i materijal. Obračun po m1 i razvijenoj širini lima, te m2 folije. </t>
  </si>
  <si>
    <t>=14,8*4-1,25*2,45*3-1,13*2,9-2,06*3,4</t>
  </si>
  <si>
    <t xml:space="preserve">Obračun se vrši po m2 vertikalne projekcije površine skele. </t>
  </si>
  <si>
    <t>Doprema, postava, skidanje i otprema cijevne fasadne skele od bešavnih cijevi. Skela se postavlja na prethodno postavljenu tunelsku skelu. Skelu izvesti prema postojećim HTZ propisima i u svemu kako je opisano u općim uvjetima.</t>
  </si>
  <si>
    <t>Prije izrade ponude izvoditelj može obići i pregledati građevinu zbog ocjene njezinog građevinskog stanja, radova obuhvaćenih troškovnikom, uvjeta organizacije gradilišta, načina i mogućnosti pristupa građevini, mogućnosti zauzimanja javne površine, postave skele, osiguranja ulaza u građevinu i sl. Prema tome, ponuđena cijena je konačna cijena za realizaciju pojedine troškovničke stavke i ne može se mijenjati. Prilikom uvođenja u posao izvoditelj je obvezan dostaviti detaljni operativni plan izvođenja radova i shemu organizacije gradilišta.</t>
  </si>
  <si>
    <t>Ručni utovar građevinske šute i materijala od rušenja i demontaža te prijevoz na gradsku planirku. Istovar izvrtanjem i planiranjem.Obračun po m3. Plaćanje svih pristojbi uključeno u jediničnu cijenu.</t>
  </si>
  <si>
    <t>šablone -Š3</t>
  </si>
  <si>
    <t>šablone -Š2</t>
  </si>
  <si>
    <t>šablone -Š1</t>
  </si>
  <si>
    <t>Ponovna montaža zvonca, portafona i rasvjete sa spajanjem na postojeću instalaciju</t>
  </si>
  <si>
    <t>Montaža postojećih okruglih olučnih cijevi za odvodnju oborinske vode od pocinčanog  lima.</t>
  </si>
  <si>
    <t xml:space="preserve">Montaža postojećeg ležećeg žljeba i opšava ruba krova ispod žljeba pocinčanim limom.  Lim podvući pod crijep, što obuhvaća prethodno pažljivo raskrivanje crijepa s ruba krova, u širini cca 1 m, te nakon zamjene limarije - ponovna postava postojećeg crijepa. </t>
  </si>
  <si>
    <t>Dobava, izrada i postava opšava prozorskih klupčica iz pocinčanog  lima. Na vanjskom rubu izvesti okapnicu udaljenu min. 3 cm od žbuke, a na strani do zida lim podvući pod žbuku i uzdići 1 cm. Sva mjesta dodira lima i žbuke ili betona zaštititi razdjelnim parorasteretnim slojem. Jediničnom cijenom obuhvatiti kompletan rad i materijal. Obračun po m1 i razvijenoj širini lima, te m2 folije. Razvijena širina lima 25 cm.</t>
  </si>
  <si>
    <t>Limene oluke pažljivo demontirati, jer će ponovo biti upotrebljeni. Montaža oluka nakon izvedbe radova sanacije pročelja (opisana u limarskim radovima).</t>
  </si>
  <si>
    <t>Uključivo sav transport i skladištenje</t>
  </si>
  <si>
    <t>Limene oluke pažljivo demontirati, jer će ponovo biti upotrebljeni. Uključen transport i odlaganje lima i slojeva krova na gradilišnu privremenu deponiju, prenosom kantama i spuštanjem koloturom od mjesta rada na gradilištnu deponiju - H=18 m.  Montaža oluka nakon izvedbe radova sanacije pročelja (opisana u limarskim radovima).</t>
  </si>
  <si>
    <t>Popravak i ličenje ulaznih vrata. Obračun po komadu.</t>
  </si>
  <si>
    <t>a) vijenac između prizemlja i 1.kata od pocinčanog lima</t>
  </si>
  <si>
    <t xml:space="preserve">Ručno obijanje trošne žbuke debljine 3,5-5 cm s vučenih profilacija: vijenaca, prozorskih klupčica, nadprozornika, kapitela i baze pilastara, a nakon konzervatorskih istraživanja. Prije obijanja snimiti sve profilacije, po potrebi uzeti otiske i izraditi gipsane odljeve, te izraditi nacrte u mjerilu 1:1 i dati ih na ovjeru predstavniku GZZSKP i nadzornom inženjeru. Obračun po m1 i razvijenoj širini profilacije.
</t>
  </si>
  <si>
    <t>Demontaža i privremeno deponiranje pločica sa kućnim brojem, natpisnih ploča, držača za zastave, reklame i slično. Sve navedeno pohraniti na gradilištu ili kod vlasnika-zakupca. Izvoditelj snosi sve troškove ponovne dobave ili izrade pojedinih elemenata u slučaju oštećenja ili otuđenja s gradilišta. 
Ponovna postava nakon izvedbe radova obnove pročelja uključena u stavku.
Za ponovnu postavu reklamnih natpisnih ploča koje nemaju prethodno odobrenje GZZSKP potrebno je izraditi projekte te isto.
Obračun po komadu.</t>
  </si>
  <si>
    <t>RESTAURATORSKI RADOVI NA DRVENIM I METALNIM ELEMENTIMA</t>
  </si>
  <si>
    <t xml:space="preserve">GRAĐEVINSKO-OBRTNIČKI RADOVI </t>
  </si>
  <si>
    <t xml:space="preserve">RESTAURATORSKI  RADOVI </t>
  </si>
  <si>
    <t xml:space="preserve"> KONZERVATORSKA ISTRAŽIVANJA</t>
  </si>
  <si>
    <t xml:space="preserve">Labave dijelove kao i stari nalič, hrđu i nečistoće potrebno je temeljito ukloniti sa žičanom četkom, grubim brusnim papirom ili pjeskarenjem. </t>
  </si>
  <si>
    <t xml:space="preserve">Izvedba na licu mjesta zbog nemogućnosti demontaže. U stavku uključena izvedba dijelova koji nedostaju, te popravak i nadomjestak pripadajućeg okova. Stavka uključuje uklanjanje postojećeg naliča, uklanjanje slabovezanih i natrulih dijelova, kitanje s brušenjem, impregnacije i temeljni premaz,  te sve pripremne radnje za konačno ličenje i ličenje.  U stavku je uključen sav horizontalni i vertikalni transport , kao i eventualno potrebna radna skela. Ton i boje određuje predstavnik GZZSKP. </t>
  </si>
  <si>
    <t>TOPLINSKA FASADA ETICS i FASADNA ŽBUKA</t>
  </si>
  <si>
    <t>Svi radovi moraju se izvesti prema:</t>
  </si>
  <si>
    <t>* Tehničkim uvjetima za izvođenje fasaderskih radova  HRN U.F2.010</t>
  </si>
  <si>
    <t xml:space="preserve">* Tehničkom propisu o racionalnoj uporabi energije i toplinskoj zaštiti u zgradama </t>
  </si>
  <si>
    <t xml:space="preserve">* Pravilniku o zaštiti na radu u građevinarstvu </t>
  </si>
  <si>
    <t>* Pravilniku o tehničkim mjerama i uvjetima za završne radove u građevinarstvu  Sl.list 49/70</t>
  </si>
  <si>
    <t>Fasaderski radovi izvode se kompletno prema opisu iz pojedine stavke troškovnika, a prema projektu toplinske zaštite zgrade. Ovim radovima obuhvaćena je izrada toplinske fasade sa završnim obradama.</t>
  </si>
  <si>
    <t>Prilikom rada na fasaderskim radovima treba se pridržavati uputa proizvođača materijala o izradi fasade i pripremi podloge te vremenskim uvjetima izrade.</t>
  </si>
  <si>
    <t>U jediničnu cijenu je uključen sav rad i materijal, kako je to u pojedinim stavkama troškovnika opisano. U stavku nije uključena fasadna skela jer je obračunata posebno, a služi svim sudionicima u izgradnji.</t>
  </si>
  <si>
    <t>Toplinska fasada</t>
  </si>
  <si>
    <t>Izvodi se u slijedećim slojevima prema uputstvu proizvođača na zidu od opeke.</t>
  </si>
  <si>
    <t>·       cementni mort i mineralno građ. ljepilo</t>
  </si>
  <si>
    <t>·       ploče fasadne mineralne vune ili samogasivog ekspandiranog polistirena</t>
  </si>
  <si>
    <t xml:space="preserve">·       staklena mrežica između dva sloja morta </t>
  </si>
  <si>
    <t xml:space="preserve">·       završna dekorativna žbuka </t>
  </si>
  <si>
    <t>Prije početka radova na izvedbi toplinske fasade, na donji rub fasade postavlja se metalni sokl profil.</t>
  </si>
  <si>
    <t>Izolacione ploče lijepe se za podlogu polimercementnim mortom i mehanički učvrščuju pričvrsnim vijcima.</t>
  </si>
  <si>
    <t>Nakon dva dana na izolacione ploče se nanosi polimercem. mort , utiskuje staklena mrežica s preklopima i potrebnim ojačanjima rubova otvora i uglova i nakon 24 sata drugi sloj morta.</t>
  </si>
  <si>
    <t>Na posušeni i odprašeni mort nanosi se impregnacijski premaz,   te na tako pripremljenu podlogu nanosi se u dva sloja dekorativna žbuka u debljini 3 mm prskanjem.</t>
  </si>
  <si>
    <t>Materijali za sve radove moraju odgovarati odredbama odgovarajućih standarda i tehničkih uvjeta.</t>
  </si>
  <si>
    <t>Podloga na koju se nanosi fasadna žbuka ili boja mora biti potpuno očišćena od masnoća, ostataka armature, žice i sl, ravna, dovoljno hrapava, u svemu prema zahtjevima proizvođača žbuke. Gotova žbuka (i boja) mora biti ujednačene boje, potpuno ravna, oštrih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t>
  </si>
  <si>
    <t>Svi materijali primjenjeni na fasadi moraju imati potrebne ateste proizvođača i dokumente o ispravnosti isporučenog materijala.</t>
  </si>
  <si>
    <t>Izvedene zidarske i armirano - betonske radove izvođač fasade preuzima zapisnikom.</t>
  </si>
  <si>
    <t xml:space="preserve">Ako se žbuka za vrijeme zime treba zidove zaštiti od mraza, odnosno radove izvoditi u normom propisanom temperaturnom rasponu i temperaturi podloge.  </t>
  </si>
  <si>
    <t>Posebno se ne naplaćuje ni zatvaranje (žbukanje) šliceva iza položene instalacije.</t>
  </si>
  <si>
    <t xml:space="preserve">Radove žbukanja izvesti u svemu prema troškovniku. Ako koja stavka nije izvođaču jasna, mora prije ponude tražiti objašnjenje od projektanta. Eventualne izmjene materijala, te način izvedbe tokom gradnje mora se izvršiti isključivo pismenim dogovorom s projektantom i nadzornom službom Sve više radnje koje neće biti na taj način utvrđene, neće se priznati u obračun. </t>
  </si>
  <si>
    <t>Žbukanje zidova izvoditi u vrijeme i kad su potpuno suhi. Po velikoj zimi i vrućini izbjegavati žbukanje, jer tada može doći do smrzavanja odnosno pucanja uslijed sušenja. Prije žbukanja plohe dobro očistiti i navlažiti.</t>
  </si>
  <si>
    <t xml:space="preserve">Spojnice moraju biti udubljene cca 2 cm od plohe zida. Površine žbuke moraju biti glatke i ravne bez pukotina i visova. </t>
  </si>
  <si>
    <t>Sudar žbuka sa svim elementima ugrađenim u zid mora biti potpuno zatvoren i fino obrađen. Ploha žbuke ne smije prekoračiti ravnine ugrađenih okvira (tipskih metalnih uglovnih profila), doprozornika i dovratnika. Svi kutevi  i sudari moraju biti oštro i ravno odrezani i izvedeni pod pravnim kutem  i ojačani tipskim kutnim metalnim profilima.</t>
  </si>
  <si>
    <t xml:space="preserve">Spojeve opeke i AB zidova rabicirati pocinčanom rabic mrežom (alternativa alkalno otporna plastična mrežica). </t>
  </si>
  <si>
    <t>U cijeni metalne vodilice za žbukanje, kutni profili i plastične dilatacije od stolarije, materijal za rabiciranje i sl., radna skela za rad do 3m kao i zaštita vanjske stolarije  i  instalacija</t>
  </si>
  <si>
    <t>* sve pokretne skele, osim fasadne skele</t>
  </si>
  <si>
    <t>* sav materijal, osnovni i pomoćni, alat, mehanizaciju, transport i uskladištenje</t>
  </si>
  <si>
    <t>* troškove radne snage</t>
  </si>
  <si>
    <t>* atestnu dokumentaciju</t>
  </si>
  <si>
    <t>* izradu i predočenje probnih uzoraka, boja</t>
  </si>
  <si>
    <t>* čišćenje po završenom radu s odvozom šute</t>
  </si>
  <si>
    <t>NOVA STOLARIJA</t>
  </si>
  <si>
    <t xml:space="preserve">Izrada i dobava nove stolarije, izrađene od bora ili ariša I. klase vlažnosti do max.18% 
Dimenzije, profilacije i okov treba odobriti
predstavnik GZZSKP.
</t>
  </si>
  <si>
    <t>Obračun po komadu. Izvesti prema izmjeri u naravi.</t>
  </si>
  <si>
    <t>U cijenu je uračunat sav potreban okov.</t>
  </si>
  <si>
    <t xml:space="preserve">Ostakljenje krila je float staklom. </t>
  </si>
  <si>
    <t xml:space="preserve">Izrada i dobava novih drvenih, dvostrukih, dvokrilnih prozora sa pošvama širine  20 cm, nadsvjetlom s dekorativnim razdjelnim letvicama, šprljcima i profiliranom sudarnom letvom,u svemu prema postojećim prozorima (U-P1), pazeći da se ponove izvorne dimenzije, profilacije i način ostakljenja. 
U cijenu je uračunat sav potreban okov u svemu prema izvornom. 
Vanjska krila otvaraju se prema unutra. </t>
  </si>
  <si>
    <t>STOLARSKA STAVKA U-P1</t>
  </si>
  <si>
    <t>dim. 115/185 cm</t>
  </si>
  <si>
    <t>Dimenzije i profilacije treba odobriti predstavnik GZZSKP. Izvesti prema izmjeri u naravi. Obračun po komadu.</t>
  </si>
  <si>
    <t>BRAVARSKI RADOVI- UKUPNO</t>
  </si>
  <si>
    <t xml:space="preserve">Rešetku čine nosive horizontale i vertikale od kvadratnog čeličnog profila dimenzija 20/20 mm na razmaku od 30 cm, sidrene bočno u zidarski otvor. Ispuna je napravljena od čeličnih kvadratnih profila dimenzija 15/15 mm, dijagonalno postavljenih sa kružnim ukrasnim elementom na mjestu križanja profila. Sav potreban pribor za montažu uključen je u cijenu stavke. </t>
  </si>
  <si>
    <t>ugrađuje se ispred Stolarske stavke U-P2</t>
  </si>
  <si>
    <t>ULIČNO PROČELJE - FAZA I</t>
  </si>
  <si>
    <t>ULIČNO PROČELJE - FAZA II</t>
  </si>
  <si>
    <t>STOLARSKI RADOVI UKUPNO</t>
  </si>
  <si>
    <t>GRAĐEVINSKO-OBRTNIČKI RADOVI UKUPNO</t>
  </si>
  <si>
    <t>VIII</t>
  </si>
  <si>
    <t>IX</t>
  </si>
  <si>
    <t>SVEUKUPNO-bez PDV-A</t>
  </si>
  <si>
    <t>PDV</t>
  </si>
  <si>
    <t>SVEUKUPNO -s PDV-om</t>
  </si>
  <si>
    <t>REKAPITULACIJA</t>
  </si>
  <si>
    <t>ravna ploha 1. i 2.kat-R1</t>
  </si>
  <si>
    <t>ravna ploha na klupčici prozora- 2. kat-R2</t>
  </si>
  <si>
    <t>ravna ploha na klupčici prozora- 1. kat-R3</t>
  </si>
  <si>
    <t>špaleta prozora na 1. i 2. katu-R4</t>
  </si>
  <si>
    <t>ravni dio razdjelni vijenac prizemlje prvi kat-R5</t>
  </si>
  <si>
    <t>ravni dio- špaleta prozora u prizemlju-R6</t>
  </si>
  <si>
    <t>šablone -S4</t>
  </si>
  <si>
    <t>ravna ploha- klupčica prozora u prizemlju- R7</t>
  </si>
  <si>
    <t>plohe pročelja -podrum- R8</t>
  </si>
  <si>
    <t>razvijena širina: 60 cm</t>
  </si>
  <si>
    <t>Profilacija erta prozora na 2.katu</t>
  </si>
  <si>
    <t>Krovni vijenac</t>
  </si>
  <si>
    <t>Donja profilacija ispod krovnog vijenca</t>
  </si>
  <si>
    <t>Profilacija ispod klupčice na 2.katu</t>
  </si>
  <si>
    <t>KV-P1</t>
  </si>
  <si>
    <t>KV-P2</t>
  </si>
  <si>
    <t>Profilacija erta prozora na 1.katu</t>
  </si>
  <si>
    <t>Profilacija ispod klupčice na 1.katu</t>
  </si>
  <si>
    <t>razvijena širina:  15 cm</t>
  </si>
  <si>
    <t>RV-P1</t>
  </si>
  <si>
    <t>Profilacija ispod razdjelnog vijenca</t>
  </si>
  <si>
    <t>Plohe ulaznog portala- R9</t>
  </si>
  <si>
    <t>dim. 165/185 cm</t>
  </si>
  <si>
    <t>STOLARSKA STAVKA U-P2</t>
  </si>
  <si>
    <t>r.š. 45 cm</t>
  </si>
  <si>
    <t>9.1.</t>
  </si>
  <si>
    <t>9.2.</t>
  </si>
  <si>
    <t>9.3.</t>
  </si>
  <si>
    <t>9.4.</t>
  </si>
  <si>
    <t>9.5.</t>
  </si>
  <si>
    <t>9.6.</t>
  </si>
  <si>
    <t>9.7.</t>
  </si>
  <si>
    <t>11.</t>
  </si>
  <si>
    <t>Demontaža i premještanje s novom montažom na dvorišnom pročelju vanjskih klima jedinica.</t>
  </si>
  <si>
    <t>Srednja ploha ulaznog portala- R10</t>
  </si>
  <si>
    <t xml:space="preserve">Izrada novih fiksnih protuprovalnih rešetki u skladu sa postojećima. </t>
  </si>
  <si>
    <t>5.1.</t>
  </si>
  <si>
    <t>5.2.</t>
  </si>
  <si>
    <t>5.3.</t>
  </si>
  <si>
    <t>5.4.</t>
  </si>
  <si>
    <t>5.5.</t>
  </si>
  <si>
    <t>5.6.</t>
  </si>
  <si>
    <t>5.7.</t>
  </si>
  <si>
    <t>4.1.</t>
  </si>
  <si>
    <t>4.2.</t>
  </si>
  <si>
    <t>4.3.</t>
  </si>
  <si>
    <t>4.4.</t>
  </si>
  <si>
    <t>4.5.</t>
  </si>
  <si>
    <t>4.6.</t>
  </si>
  <si>
    <t>4.7.</t>
  </si>
  <si>
    <t>4.8.</t>
  </si>
  <si>
    <t>šablone -Š5</t>
  </si>
  <si>
    <t>Prilagodba postojećih ili izrada novih vrata plinskog ormarića, kako bi ista bila u fluhti s novom lijinom žbuke</t>
  </si>
  <si>
    <t>komplet</t>
  </si>
  <si>
    <t>12.</t>
  </si>
  <si>
    <t xml:space="preserve">Izrada tonirane mineralne žbuke veće granulacije u prizemlju, te iste na cijelom pročelju zgrade i profilacijama uz predložene dvije različite završne obrade iste za koje je potrebno predvidjeti izradu uzorka Podloga mora biti suha, čista, čvrsta, građevinski pripremljena te impregnirana.                                                          </t>
  </si>
  <si>
    <t>Izrada grube žbuke na složenim vučenim profilacijama s obratima, produžnom cementnom žbukom m-5 omjera 1:2:6, debljine 3,5-5,0 cm, sa završnom zaglađenom obradom. Profilacije izvoditi sa šablonama koje je prethodno pregledao i odobrio predstavnik GZZSKP. 
Šablone upotrebljavati uz obveznu postavu vodilica. Obračun po m1 srednje linije profilacije bez ikakvih drugih dodataka na rubove unutar profilacija, promjene smjera (lomove) i završetke i komadu obrata.</t>
  </si>
  <si>
    <t>1.1.</t>
  </si>
  <si>
    <t>1.2.</t>
  </si>
  <si>
    <t>1.3.</t>
  </si>
  <si>
    <t>.</t>
  </si>
  <si>
    <t>1.4.</t>
  </si>
  <si>
    <t>1.5.</t>
  </si>
  <si>
    <t>1.6.</t>
  </si>
  <si>
    <t>1.7.</t>
  </si>
  <si>
    <t>1.8.</t>
  </si>
  <si>
    <t>1.9.</t>
  </si>
  <si>
    <t>1.10.</t>
  </si>
  <si>
    <t>1.11.</t>
  </si>
  <si>
    <t>1.12.</t>
  </si>
  <si>
    <t>1.13.</t>
  </si>
  <si>
    <t>1.14.</t>
  </si>
  <si>
    <t>1.15.</t>
  </si>
  <si>
    <t>1.16.</t>
  </si>
  <si>
    <t>1.17.</t>
  </si>
  <si>
    <t>6.1.</t>
  </si>
  <si>
    <t>6.2.</t>
  </si>
  <si>
    <t>Popravak i izrada nove kamene žbuke oko ulaznih vrata, te izrada sokla u istom materijalu i tehnici štokanja sa glatkim pasicama oko završnih rubova i podrumskih prozora</t>
  </si>
  <si>
    <t xml:space="preserve">Popravak  postojećih drvenih, dvostrukih, dvokrilnih prozora sa pošvama širine  20 cm, nadsvjetlom s dekorativnim razdjelnim letvicama, šprljcima i profiliranom sudarnom letvom,u svemu prema postojećim prozorima, pazeći da se ponove izvorne dimenzije, profilacije i način ostakljenja. 
U cijenu je uračunat sav potreban okov u svemu prema izvornom. 
Vanjska krila otvaraju se prema unutra. </t>
  </si>
  <si>
    <t>Jediničnom cijenom obuhvatiti sve potrebne predradnje, sav materijal i pribor za rad kao i sve zaštite okoline od oštećenja. Obračun po kom vrata.
Dim. 150/380</t>
  </si>
  <si>
    <t>X</t>
  </si>
  <si>
    <t>Pregled, preventivna zaštita i konsolidacija in situ te čišćenje i pažljiva restauracija izvornog lijevanog natpisa izvođača radova na pročelju zgrade</t>
  </si>
  <si>
    <t xml:space="preserve">Detaljan pregled i popravak dvokrilnih masivnih, uklađenih hrastovih ulaznih vrata. Dimenzije 145/350 cm. Nadsvjetlo vrata je ostakljeno float staklom. Stavka obuhvaća izradu i ugradnju novog sokla od hrastovine, čišćenje brušenjem, zapunjavanje svih reški i raspuklina i oštećenja dvokomponentnim punilom na bazi epoksidnih smola. U cijenu uračunati kompletan materijal, u svemu prema postojećem.
Obračun po komadu. 
</t>
  </si>
  <si>
    <t>Demontaža i trajno uklanjanje granitnih klupčica na prozorima u prizemlju. Ukupno 4 kom. Obračun po m2 demontirane klupčice.</t>
  </si>
  <si>
    <t>9.8.</t>
  </si>
  <si>
    <t>PR-P1</t>
  </si>
  <si>
    <t>Profilacija ispod klupčice u prizemlju-okap</t>
  </si>
  <si>
    <t>5.8.</t>
  </si>
  <si>
    <t>Žbuka se nanosi na ravne površine pročelja gdje je postojeća žbuka otućena, reške očišćene, a površina otprašena i oprena. Žbuku izvesti prema slijedećim fazama: površinu zida oprati vodom pod pritiskom, na navlaženu površinu zida nanijeti rijetki cementni mort-špric omjera 1:2. Na tako pripremljenu podlogu nanijeti osnovni sloj grube produžne žbuke debljine 2-2,5 cm.  Završni sloj fino zagladiti. Za kvalitetu žbuke izvoditelj je dužan pribaviti stručni nalaz i mišljenje ovlaštene ustanove za ispitivanje kvalitete žbuke, što je obuhvaćeno jediničnom cijenom ove stavke.</t>
  </si>
  <si>
    <t>6.3.</t>
  </si>
  <si>
    <t>plohe pročelja -podrum-sokl- R8</t>
  </si>
  <si>
    <t>glatka pasica- okviri prozora</t>
  </si>
  <si>
    <t>6.4.</t>
  </si>
  <si>
    <t>6.5.</t>
  </si>
  <si>
    <t>glatka pasica- završni rubovi</t>
  </si>
  <si>
    <t>Izvedba sloja teraca na postojećim betonskim ulaznim stepenicama. Debljina 2-3 cm. Paziti da se sloj iznivelira s podom pasaža. U stavku uračunati i aluminijski profil na spoju s asfaltom, te završno brušenje u dvije faze s popunjavanjem rupa u međufazi finom smjesom cementa. 
Vrsta kamenog agregata i način izvedbe prema uzorku koji odobrava nadležni konzervator.</t>
  </si>
  <si>
    <t>1.18.</t>
  </si>
  <si>
    <t>1.19.</t>
  </si>
  <si>
    <t>1.20.</t>
  </si>
  <si>
    <t>glatka pasica- okviri prozora sokl</t>
  </si>
  <si>
    <t>glatka pasica- završni rubovi sokla</t>
  </si>
  <si>
    <t>Izvedba nove oznake za sklonište lazurnom, polutransparentnom mineralnom bojom, prema uzoru na izvornu</t>
  </si>
  <si>
    <t>dim. 100/60cm</t>
  </si>
  <si>
    <t>STOLARSKA STAVKA U-P3</t>
  </si>
  <si>
    <t>dim. 100/60 cm</t>
  </si>
  <si>
    <t xml:space="preserve">Izrada i dobava novih drvenih, jednostrukih, dvokrilnih prozora u podrumu pazeći da se ponove izvorne dimenzije, profilacije i način ostakljenja. 
U cijenu je uračunat sav potreban okov u svemu prema izvornom.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</si>
</sst>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0.00\ _k_n"/>
  </numFmts>
  <fonts count="63"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11"/>
      <name val="Calibri"/>
      <family val="2"/>
      <scheme val="minor"/>
    </font>
    <font>
      <sz val="10"/>
      <name val="Arial"/>
      <family val="2"/>
    </font>
    <font>
      <sz val="12"/>
      <name val="Arial"/>
      <family val="2"/>
      <charset val="238"/>
    </font>
    <font>
      <b/>
      <sz val="11"/>
      <color theme="1"/>
      <name val="Calibri"/>
      <family val="2"/>
      <charset val="238"/>
      <scheme val="minor"/>
    </font>
    <font>
      <sz val="11"/>
      <color theme="1"/>
      <name val="Calibri"/>
      <family val="2"/>
      <charset val="238"/>
    </font>
    <font>
      <sz val="11"/>
      <color theme="1"/>
      <name val="Calibri"/>
      <family val="2"/>
    </font>
    <font>
      <b/>
      <sz val="16"/>
      <color theme="1"/>
      <name val="Calibri"/>
      <family val="2"/>
      <charset val="238"/>
      <scheme val="minor"/>
    </font>
    <font>
      <sz val="11"/>
      <color theme="1"/>
      <name val="Franklin Gothic Book"/>
      <family val="2"/>
      <charset val="238"/>
    </font>
    <font>
      <sz val="10"/>
      <name val="Arial"/>
      <family val="2"/>
      <charset val="238"/>
    </font>
    <font>
      <sz val="6.8"/>
      <color indexed="8"/>
      <name val="Arial Unicode MS"/>
      <family val="2"/>
      <charset val="238"/>
    </font>
    <font>
      <sz val="10"/>
      <color indexed="8"/>
      <name val="Century Gothic"/>
      <family val="2"/>
      <charset val="238"/>
    </font>
    <font>
      <sz val="10"/>
      <name val="Helv"/>
    </font>
    <font>
      <b/>
      <sz val="12"/>
      <color indexed="8"/>
      <name val="Century Gothic"/>
      <family val="2"/>
      <charset val="238"/>
    </font>
    <font>
      <sz val="11"/>
      <name val="Calibri"/>
      <family val="2"/>
      <scheme val="minor"/>
    </font>
    <font>
      <sz val="10"/>
      <name val="Arial CE"/>
      <family val="2"/>
      <charset val="238"/>
    </font>
    <font>
      <sz val="11"/>
      <name val="Arial"/>
      <family val="2"/>
      <charset val="238"/>
    </font>
    <font>
      <sz val="11"/>
      <name val="Arial"/>
      <family val="2"/>
    </font>
    <font>
      <sz val="11"/>
      <name val="Calibri"/>
      <family val="2"/>
    </font>
    <font>
      <sz val="10"/>
      <color theme="1"/>
      <name val="Arial CE"/>
      <family val="2"/>
      <charset val="238"/>
    </font>
    <font>
      <sz val="10"/>
      <color theme="1"/>
      <name val="Arial"/>
      <family val="2"/>
      <charset val="238"/>
    </font>
    <font>
      <sz val="11"/>
      <color rgb="FFFF0000"/>
      <name val="Calibri"/>
      <family val="2"/>
      <charset val="238"/>
      <scheme val="minor"/>
    </font>
    <font>
      <sz val="11"/>
      <color rgb="FFFF0000"/>
      <name val="Calibri"/>
      <family val="2"/>
      <scheme val="minor"/>
    </font>
    <font>
      <b/>
      <sz val="11"/>
      <color rgb="FFFF0000"/>
      <name val="Calibri"/>
      <family val="2"/>
      <charset val="238"/>
      <scheme val="minor"/>
    </font>
    <font>
      <b/>
      <sz val="11"/>
      <color rgb="FFFF0000"/>
      <name val="Calibri"/>
      <family val="2"/>
      <scheme val="minor"/>
    </font>
    <font>
      <sz val="12"/>
      <color rgb="FFFF0000"/>
      <name val="Calibri"/>
      <family val="2"/>
      <charset val="238"/>
    </font>
    <font>
      <b/>
      <sz val="11"/>
      <color rgb="FFFF0000"/>
      <name val="Calibri"/>
      <family val="2"/>
      <charset val="238"/>
    </font>
    <font>
      <sz val="11"/>
      <name val="Calibri"/>
      <family val="2"/>
      <charset val="238"/>
      <scheme val="minor"/>
    </font>
    <font>
      <sz val="12"/>
      <name val="Calibri"/>
      <family val="2"/>
      <charset val="238"/>
    </font>
    <font>
      <sz val="12"/>
      <name val="Calibri"/>
      <family val="2"/>
    </font>
    <font>
      <b/>
      <sz val="11"/>
      <name val="Calibri"/>
      <family val="2"/>
    </font>
    <font>
      <b/>
      <sz val="14"/>
      <name val="Arial"/>
      <family val="2"/>
      <charset val="238"/>
    </font>
    <font>
      <b/>
      <sz val="11"/>
      <name val="Calibri"/>
      <family val="2"/>
      <charset val="238"/>
      <scheme val="minor"/>
    </font>
    <font>
      <b/>
      <sz val="11"/>
      <color theme="1"/>
      <name val="Calibri"/>
      <family val="2"/>
      <scheme val="minor"/>
    </font>
    <font>
      <sz val="11"/>
      <color theme="1"/>
      <name val="Arial"/>
      <family val="2"/>
      <charset val="238"/>
    </font>
    <font>
      <b/>
      <i/>
      <sz val="10"/>
      <color theme="1"/>
      <name val="Arial CE"/>
      <family val="2"/>
      <charset val="238"/>
    </font>
    <font>
      <b/>
      <i/>
      <sz val="11"/>
      <color theme="1"/>
      <name val="Arial CE"/>
      <charset val="238"/>
    </font>
    <font>
      <b/>
      <sz val="11"/>
      <color theme="1"/>
      <name val="Arial"/>
      <family val="2"/>
      <charset val="238"/>
    </font>
    <font>
      <sz val="11"/>
      <color theme="1"/>
      <name val="Arial"/>
      <family val="2"/>
    </font>
    <font>
      <sz val="12"/>
      <color theme="1"/>
      <name val="Calibri"/>
      <family val="2"/>
      <charset val="238"/>
    </font>
    <font>
      <sz val="12"/>
      <color theme="1"/>
      <name val="Calibri"/>
      <family val="2"/>
    </font>
    <font>
      <b/>
      <sz val="11"/>
      <color theme="1"/>
      <name val="Calibri"/>
      <family val="2"/>
    </font>
    <font>
      <sz val="12"/>
      <color theme="1"/>
      <name val="Arial"/>
      <family val="2"/>
      <charset val="238"/>
    </font>
    <font>
      <sz val="11"/>
      <color theme="0"/>
      <name val="Calibri"/>
      <family val="2"/>
      <charset val="238"/>
      <scheme val="minor"/>
    </font>
    <font>
      <sz val="11"/>
      <name val="Calibri"/>
      <family val="2"/>
      <charset val="238"/>
    </font>
    <font>
      <b/>
      <sz val="11"/>
      <name val="Calibri"/>
      <family val="2"/>
      <charset val="238"/>
    </font>
    <font>
      <sz val="11"/>
      <color rgb="FF000000"/>
      <name val="Calibri"/>
      <family val="2"/>
      <charset val="238"/>
    </font>
    <font>
      <sz val="11"/>
      <color rgb="FF000000"/>
      <name val="Calibri"/>
      <family val="2"/>
      <charset val="238"/>
      <scheme val="minor"/>
    </font>
    <font>
      <sz val="12"/>
      <color theme="9" tint="-0.249977111117893"/>
      <name val="Calibri"/>
      <family val="2"/>
    </font>
    <font>
      <sz val="11"/>
      <color theme="9" tint="-0.249977111117893"/>
      <name val="Calibri"/>
      <family val="2"/>
      <scheme val="minor"/>
    </font>
    <font>
      <b/>
      <sz val="16"/>
      <name val="Calibri"/>
      <family val="2"/>
      <charset val="238"/>
      <scheme val="minor"/>
    </font>
    <font>
      <b/>
      <sz val="16"/>
      <name val="Calibri"/>
      <family val="2"/>
      <scheme val="minor"/>
    </font>
    <font>
      <sz val="12"/>
      <color rgb="FFFF0000"/>
      <name val="Calibri"/>
      <family val="2"/>
    </font>
    <font>
      <strike/>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8">
    <xf numFmtId="0" fontId="0" fillId="0" borderId="0"/>
    <xf numFmtId="0" fontId="9" fillId="0" borderId="0"/>
    <xf numFmtId="0" fontId="8" fillId="0" borderId="0"/>
    <xf numFmtId="0" fontId="11" fillId="0" borderId="0"/>
    <xf numFmtId="0" fontId="7" fillId="0" borderId="0"/>
    <xf numFmtId="0" fontId="9" fillId="0" borderId="0"/>
    <xf numFmtId="0" fontId="12" fillId="0" borderId="0"/>
    <xf numFmtId="0" fontId="11" fillId="0" borderId="0"/>
    <xf numFmtId="0" fontId="18" fillId="0" borderId="0"/>
    <xf numFmtId="0" fontId="22" fillId="0" borderId="0" applyNumberFormat="0" applyFill="0" applyBorder="0" applyProtection="0">
      <alignment horizontal="left" vertical="top" wrapText="1"/>
    </xf>
    <xf numFmtId="49" fontId="19" fillId="0" borderId="0" applyBorder="0">
      <alignment horizontal="left" vertical="top" wrapText="1"/>
      <protection locked="0"/>
    </xf>
    <xf numFmtId="0" fontId="20" fillId="0" borderId="0" applyBorder="0" applyProtection="0">
      <alignment horizontal="right" vertical="top" wrapText="1"/>
    </xf>
    <xf numFmtId="0" fontId="20" fillId="0" borderId="0" applyBorder="0">
      <alignment horizontal="justify" vertical="top" wrapText="1"/>
      <protection locked="0"/>
    </xf>
    <xf numFmtId="0" fontId="19" fillId="0" borderId="0" applyNumberFormat="0" applyFill="0" applyBorder="0" applyProtection="0">
      <alignment horizontal="justify" vertical="top" wrapText="1"/>
    </xf>
    <xf numFmtId="0" fontId="9" fillId="0" borderId="0"/>
    <xf numFmtId="0" fontId="9" fillId="0" borderId="0"/>
    <xf numFmtId="1" fontId="20" fillId="0" borderId="0" applyFill="0" applyBorder="0" applyProtection="0">
      <alignment horizontal="center" vertical="top" wrapText="1"/>
    </xf>
    <xf numFmtId="0" fontId="21" fillId="0" borderId="0"/>
  </cellStyleXfs>
  <cellXfs count="396">
    <xf numFmtId="0" fontId="0" fillId="0" borderId="0" xfId="0"/>
    <xf numFmtId="0" fontId="23" fillId="2" borderId="0" xfId="0" applyFont="1" applyFill="1"/>
    <xf numFmtId="4" fontId="6" fillId="0" borderId="0" xfId="0" applyNumberFormat="1" applyFont="1" applyAlignment="1">
      <alignment horizontal="center" vertical="top" wrapText="1"/>
    </xf>
    <xf numFmtId="4" fontId="6" fillId="0" borderId="0" xfId="0" applyNumberFormat="1" applyFont="1" applyAlignment="1">
      <alignment horizontal="left" vertical="top" wrapText="1"/>
    </xf>
    <xf numFmtId="0" fontId="53" fillId="0" borderId="0" xfId="0" applyFont="1" applyAlignment="1">
      <alignment horizontal="center" vertical="top"/>
    </xf>
    <xf numFmtId="0" fontId="53" fillId="0" borderId="0" xfId="0" applyFont="1" applyAlignment="1">
      <alignment vertical="top" wrapText="1"/>
    </xf>
    <xf numFmtId="2" fontId="53" fillId="0" borderId="0" xfId="0" applyNumberFormat="1" applyFont="1" applyAlignment="1">
      <alignment wrapText="1"/>
    </xf>
    <xf numFmtId="2" fontId="53" fillId="0" borderId="0" xfId="0" applyNumberFormat="1" applyFont="1" applyAlignment="1">
      <alignment horizontal="center" wrapText="1"/>
    </xf>
    <xf numFmtId="2" fontId="14" fillId="0" borderId="0" xfId="0" applyNumberFormat="1" applyFont="1" applyAlignment="1">
      <alignment wrapText="1"/>
    </xf>
    <xf numFmtId="2" fontId="36" fillId="0" borderId="0" xfId="0" applyNumberFormat="1" applyFont="1" applyAlignment="1">
      <alignment wrapText="1"/>
    </xf>
    <xf numFmtId="2" fontId="36" fillId="0" borderId="0" xfId="0" applyNumberFormat="1" applyFont="1" applyAlignment="1">
      <alignment horizontal="center" wrapText="1"/>
    </xf>
    <xf numFmtId="49" fontId="53" fillId="0" borderId="0" xfId="0" applyNumberFormat="1" applyFont="1" applyAlignment="1">
      <alignment horizontal="center" vertical="top"/>
    </xf>
    <xf numFmtId="0" fontId="14" fillId="0" borderId="0" xfId="0" applyFont="1" applyAlignment="1">
      <alignment vertical="top" wrapText="1"/>
    </xf>
    <xf numFmtId="4" fontId="4" fillId="0" borderId="0" xfId="0" applyNumberFormat="1" applyFont="1" applyAlignment="1">
      <alignment horizontal="center" vertical="top" wrapText="1"/>
    </xf>
    <xf numFmtId="4" fontId="4" fillId="0" borderId="0" xfId="0" applyNumberFormat="1" applyFont="1" applyAlignment="1">
      <alignment vertical="top" wrapText="1"/>
    </xf>
    <xf numFmtId="2" fontId="52" fillId="0" borderId="0" xfId="0" applyNumberFormat="1" applyFont="1" applyAlignment="1">
      <alignment wrapText="1"/>
    </xf>
    <xf numFmtId="2" fontId="55" fillId="0" borderId="0" xfId="0" applyNumberFormat="1" applyFont="1" applyAlignment="1">
      <alignment wrapText="1"/>
    </xf>
    <xf numFmtId="2" fontId="55" fillId="0" borderId="0" xfId="0" applyNumberFormat="1" applyFont="1" applyAlignment="1">
      <alignment horizontal="center" wrapText="1"/>
    </xf>
    <xf numFmtId="0" fontId="4" fillId="0" borderId="0" xfId="0" applyFont="1" applyAlignment="1">
      <alignment horizontal="center" vertical="top"/>
    </xf>
    <xf numFmtId="165" fontId="4" fillId="0" borderId="0" xfId="0" applyNumberFormat="1" applyFont="1" applyAlignment="1">
      <alignment horizontal="center" vertical="top" wrapText="1"/>
    </xf>
    <xf numFmtId="165" fontId="4" fillId="0" borderId="0" xfId="0" applyNumberFormat="1" applyFont="1" applyAlignment="1">
      <alignment vertical="top" wrapText="1"/>
    </xf>
    <xf numFmtId="2" fontId="4" fillId="0" borderId="0" xfId="0" applyNumberFormat="1" applyFont="1" applyAlignment="1">
      <alignment wrapText="1"/>
    </xf>
    <xf numFmtId="0" fontId="56" fillId="0" borderId="0" xfId="0" applyFont="1" applyAlignment="1">
      <alignment horizontal="center" vertical="top"/>
    </xf>
    <xf numFmtId="0" fontId="56" fillId="0" borderId="0" xfId="0" applyFont="1" applyAlignment="1">
      <alignment vertical="top" wrapText="1"/>
    </xf>
    <xf numFmtId="0" fontId="36" fillId="0" borderId="0" xfId="0" applyFont="1" applyAlignment="1">
      <alignment horizontal="center" vertical="top"/>
    </xf>
    <xf numFmtId="2" fontId="14" fillId="0" borderId="0" xfId="0" applyNumberFormat="1" applyFont="1" applyAlignment="1">
      <alignment horizontal="center" wrapText="1"/>
    </xf>
    <xf numFmtId="0" fontId="53" fillId="0" borderId="0" xfId="1" applyFont="1" applyAlignment="1">
      <alignment vertical="top" wrapText="1"/>
    </xf>
    <xf numFmtId="165" fontId="6" fillId="0" borderId="3" xfId="0" applyNumberFormat="1" applyFont="1" applyBorder="1" applyAlignment="1">
      <alignment horizontal="center" vertical="center" wrapText="1"/>
    </xf>
    <xf numFmtId="165" fontId="6" fillId="0" borderId="4"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4" fontId="6" fillId="0" borderId="3" xfId="0" applyNumberFormat="1" applyFont="1" applyBorder="1" applyAlignment="1">
      <alignment horizontal="right" vertical="center" wrapText="1"/>
    </xf>
    <xf numFmtId="4" fontId="6" fillId="0" borderId="0" xfId="0" applyNumberFormat="1" applyFont="1" applyAlignment="1">
      <alignment horizontal="center"/>
    </xf>
    <xf numFmtId="0" fontId="13" fillId="0" borderId="0" xfId="0" applyFont="1" applyAlignment="1">
      <alignment wrapText="1"/>
    </xf>
    <xf numFmtId="4" fontId="6" fillId="0" borderId="0" xfId="0" applyNumberFormat="1" applyFont="1" applyAlignment="1">
      <alignment horizontal="right" wrapText="1"/>
    </xf>
    <xf numFmtId="4" fontId="6" fillId="0" borderId="0" xfId="0" applyNumberFormat="1" applyFont="1" applyAlignment="1">
      <alignment horizontal="right"/>
    </xf>
    <xf numFmtId="4" fontId="6" fillId="0" borderId="0" xfId="0" applyNumberFormat="1" applyFont="1" applyAlignment="1">
      <alignment horizontal="right" vertical="top" wrapText="1"/>
    </xf>
    <xf numFmtId="0" fontId="0" fillId="0" borderId="0" xfId="0" applyAlignment="1">
      <alignment horizontal="left" vertical="top" wrapText="1"/>
    </xf>
    <xf numFmtId="0" fontId="13" fillId="0" borderId="0" xfId="0" applyFont="1" applyAlignment="1">
      <alignment horizontal="center"/>
    </xf>
    <xf numFmtId="4" fontId="0" fillId="0" borderId="0" xfId="0" applyNumberFormat="1" applyAlignment="1">
      <alignment horizontal="center"/>
    </xf>
    <xf numFmtId="4" fontId="0" fillId="0" borderId="0" xfId="0" applyNumberFormat="1" applyAlignment="1">
      <alignment horizontal="right" wrapText="1"/>
    </xf>
    <xf numFmtId="0" fontId="0" fillId="0" borderId="0" xfId="0" applyAlignment="1">
      <alignment horizontal="center"/>
    </xf>
    <xf numFmtId="0" fontId="13" fillId="0" borderId="0" xfId="0" applyFont="1" applyAlignment="1">
      <alignment horizontal="center" vertical="top"/>
    </xf>
    <xf numFmtId="4" fontId="14" fillId="0" borderId="0" xfId="0" applyNumberFormat="1" applyFont="1" applyAlignment="1">
      <alignment wrapText="1"/>
    </xf>
    <xf numFmtId="0" fontId="26" fillId="0" borderId="0" xfId="0" applyFont="1" applyAlignment="1">
      <alignment horizontal="center"/>
    </xf>
    <xf numFmtId="4" fontId="4" fillId="0" borderId="0" xfId="0" applyNumberFormat="1" applyFont="1" applyAlignment="1">
      <alignment wrapText="1"/>
    </xf>
    <xf numFmtId="0" fontId="54" fillId="0" borderId="0" xfId="0" applyFont="1" applyAlignment="1">
      <alignment horizontal="center" vertical="top"/>
    </xf>
    <xf numFmtId="49" fontId="54" fillId="0" borderId="0" xfId="0" applyNumberFormat="1" applyFont="1" applyAlignment="1">
      <alignment horizontal="center" vertical="top"/>
    </xf>
    <xf numFmtId="2" fontId="29" fillId="0" borderId="0" xfId="0" applyNumberFormat="1" applyFont="1" applyAlignment="1">
      <alignment wrapText="1"/>
    </xf>
    <xf numFmtId="4" fontId="29" fillId="0" borderId="0" xfId="0" applyNumberFormat="1" applyFont="1" applyAlignment="1">
      <alignment wrapText="1"/>
    </xf>
    <xf numFmtId="165" fontId="4" fillId="0" borderId="0" xfId="0" applyNumberFormat="1" applyFont="1" applyAlignment="1">
      <alignment horizontal="center" vertical="center" wrapText="1"/>
    </xf>
    <xf numFmtId="0" fontId="37" fillId="0" borderId="0" xfId="0" applyFont="1" applyAlignment="1">
      <alignment horizontal="center"/>
    </xf>
    <xf numFmtId="0" fontId="44" fillId="0" borderId="0" xfId="0" applyFont="1" applyAlignment="1">
      <alignment horizontal="center" vertical="top"/>
    </xf>
    <xf numFmtId="0" fontId="29" fillId="0" borderId="0" xfId="0" applyFont="1" applyAlignment="1">
      <alignment horizontal="justify" wrapText="1"/>
    </xf>
    <xf numFmtId="0" fontId="28" fillId="0" borderId="0" xfId="0" applyFont="1" applyAlignment="1">
      <alignment horizontal="center"/>
    </xf>
    <xf numFmtId="4" fontId="28" fillId="0" borderId="0" xfId="0" applyNumberFormat="1" applyFont="1" applyAlignment="1">
      <alignment horizontal="center"/>
    </xf>
    <xf numFmtId="4" fontId="29" fillId="0" borderId="0" xfId="0" applyNumberFormat="1" applyFont="1" applyAlignment="1">
      <alignment horizontal="center"/>
    </xf>
    <xf numFmtId="4" fontId="28" fillId="0" borderId="0" xfId="0" applyNumberFormat="1" applyFont="1" applyAlignment="1">
      <alignment horizontal="right" wrapText="1"/>
    </xf>
    <xf numFmtId="0" fontId="25" fillId="0" borderId="0" xfId="0" applyFont="1"/>
    <xf numFmtId="0" fontId="24" fillId="0" borderId="0" xfId="0" applyFont="1"/>
    <xf numFmtId="49" fontId="45" fillId="0" borderId="0" xfId="0" applyNumberFormat="1" applyFont="1" applyAlignment="1">
      <alignment horizontal="center" vertical="top"/>
    </xf>
    <xf numFmtId="4" fontId="29" fillId="0" borderId="0" xfId="0" applyNumberFormat="1" applyFont="1" applyAlignment="1">
      <alignment horizontal="center" vertical="center"/>
    </xf>
    <xf numFmtId="4" fontId="29" fillId="0" borderId="0" xfId="0" applyNumberFormat="1" applyFont="1" applyAlignment="1">
      <alignment horizontal="right" vertical="center" wrapText="1"/>
    </xf>
    <xf numFmtId="0" fontId="25" fillId="0" borderId="0" xfId="0" applyFont="1" applyAlignment="1">
      <alignment vertical="top"/>
    </xf>
    <xf numFmtId="0" fontId="24" fillId="0" borderId="0" xfId="0" applyFont="1" applyAlignment="1">
      <alignment vertical="top"/>
    </xf>
    <xf numFmtId="4" fontId="29" fillId="0" borderId="0" xfId="0" applyNumberFormat="1" applyFont="1" applyAlignment="1">
      <alignment horizontal="center" vertical="top" wrapText="1"/>
    </xf>
    <xf numFmtId="4" fontId="29" fillId="0" borderId="0" xfId="0" applyNumberFormat="1" applyFont="1" applyAlignment="1">
      <alignment horizontal="right" vertical="top" wrapText="1"/>
    </xf>
    <xf numFmtId="0" fontId="26" fillId="0" borderId="0" xfId="0" applyFont="1"/>
    <xf numFmtId="4" fontId="6" fillId="0" borderId="0" xfId="0" applyNumberFormat="1" applyFont="1" applyAlignment="1">
      <alignment horizontal="center" wrapText="1"/>
    </xf>
    <xf numFmtId="0" fontId="13" fillId="0" borderId="0" xfId="0" applyFont="1" applyAlignment="1">
      <alignment horizontal="center" wrapText="1"/>
    </xf>
    <xf numFmtId="0" fontId="46" fillId="0" borderId="0" xfId="0" applyFont="1" applyAlignment="1">
      <alignment horizontal="center"/>
    </xf>
    <xf numFmtId="0" fontId="14" fillId="0" borderId="0" xfId="0" applyFont="1" applyAlignment="1">
      <alignment horizontal="left" vertical="top" wrapText="1"/>
    </xf>
    <xf numFmtId="0" fontId="43" fillId="0" borderId="0" xfId="0" applyFont="1" applyAlignment="1">
      <alignment horizontal="center"/>
    </xf>
    <xf numFmtId="4" fontId="12" fillId="0" borderId="0" xfId="0" applyNumberFormat="1" applyFont="1" applyAlignment="1">
      <alignment horizontal="center"/>
    </xf>
    <xf numFmtId="0" fontId="12" fillId="0" borderId="0" xfId="0" applyFont="1" applyAlignment="1">
      <alignment horizontal="center"/>
    </xf>
    <xf numFmtId="0" fontId="46" fillId="0" borderId="0" xfId="0" applyFont="1" applyAlignment="1">
      <alignment horizontal="center" vertical="top"/>
    </xf>
    <xf numFmtId="0" fontId="6" fillId="0" borderId="0" xfId="0" applyFont="1" applyAlignment="1">
      <alignment horizontal="center" vertical="top"/>
    </xf>
    <xf numFmtId="0" fontId="16" fillId="0" borderId="0" xfId="0" applyFont="1" applyAlignment="1">
      <alignment horizontal="left" vertical="top" wrapText="1"/>
    </xf>
    <xf numFmtId="0" fontId="6" fillId="0" borderId="0" xfId="0" applyFont="1" applyAlignment="1">
      <alignment horizontal="center"/>
    </xf>
    <xf numFmtId="4" fontId="0" fillId="0" borderId="0" xfId="0" applyNumberFormat="1" applyAlignment="1">
      <alignment horizontal="center" wrapText="1"/>
    </xf>
    <xf numFmtId="4" fontId="0" fillId="0" borderId="0" xfId="0" applyNumberFormat="1" applyAlignment="1">
      <alignment horizontal="right"/>
    </xf>
    <xf numFmtId="0" fontId="6" fillId="0" borderId="0" xfId="0" applyFont="1" applyAlignment="1">
      <alignment horizontal="left" vertical="top" wrapText="1"/>
    </xf>
    <xf numFmtId="0" fontId="0" fillId="0" borderId="0" xfId="0" applyAlignment="1">
      <alignment horizontal="center" vertical="top"/>
    </xf>
    <xf numFmtId="0" fontId="23" fillId="0" borderId="0" xfId="0" applyFont="1"/>
    <xf numFmtId="4" fontId="23" fillId="0" borderId="0" xfId="0" applyNumberFormat="1" applyFont="1" applyAlignment="1">
      <alignment horizontal="right"/>
    </xf>
    <xf numFmtId="0" fontId="14" fillId="0" borderId="0" xfId="0" applyFont="1" applyAlignment="1">
      <alignment horizontal="center" wrapText="1"/>
    </xf>
    <xf numFmtId="4" fontId="14" fillId="0" borderId="0" xfId="0" applyNumberFormat="1" applyFont="1" applyAlignment="1">
      <alignment horizontal="right"/>
    </xf>
    <xf numFmtId="4" fontId="31" fillId="0" borderId="0" xfId="0" applyNumberFormat="1" applyFont="1" applyAlignment="1">
      <alignment horizontal="right"/>
    </xf>
    <xf numFmtId="0" fontId="31" fillId="0" borderId="0" xfId="0" applyFont="1"/>
    <xf numFmtId="0" fontId="14" fillId="0" borderId="0" xfId="0" applyFont="1" applyAlignment="1">
      <alignment horizontal="center" vertical="top"/>
    </xf>
    <xf numFmtId="4" fontId="14" fillId="0" borderId="0" xfId="0" applyNumberFormat="1" applyFont="1" applyAlignment="1">
      <alignment horizontal="center"/>
    </xf>
    <xf numFmtId="4" fontId="14" fillId="0" borderId="0" xfId="0" applyNumberFormat="1" applyFont="1" applyAlignment="1">
      <alignment horizontal="center" wrapText="1"/>
    </xf>
    <xf numFmtId="0" fontId="15" fillId="0" borderId="0" xfId="0" applyFont="1" applyAlignment="1">
      <alignment horizontal="center" vertical="top"/>
    </xf>
    <xf numFmtId="0" fontId="15" fillId="0" borderId="0" xfId="0" applyFont="1" applyAlignment="1">
      <alignment horizontal="left" vertical="top" wrapText="1"/>
    </xf>
    <xf numFmtId="4" fontId="15" fillId="0" borderId="0" xfId="0" applyNumberFormat="1" applyFont="1" applyAlignment="1">
      <alignment horizontal="center"/>
    </xf>
    <xf numFmtId="4" fontId="15" fillId="0" borderId="0" xfId="0" applyNumberFormat="1" applyFont="1" applyAlignment="1">
      <alignment horizontal="center" wrapText="1"/>
    </xf>
    <xf numFmtId="3" fontId="15" fillId="0" borderId="0" xfId="0" applyNumberFormat="1" applyFont="1" applyAlignment="1">
      <alignment horizontal="center"/>
    </xf>
    <xf numFmtId="0" fontId="15" fillId="0" borderId="1" xfId="0" applyFont="1" applyBorder="1" applyAlignment="1">
      <alignment horizontal="center" vertical="top"/>
    </xf>
    <xf numFmtId="0" fontId="15" fillId="0" borderId="1" xfId="0" applyFont="1" applyBorder="1" applyAlignment="1">
      <alignment horizontal="left" vertical="top" wrapText="1"/>
    </xf>
    <xf numFmtId="4" fontId="15" fillId="0" borderId="1" xfId="0" applyNumberFormat="1" applyFont="1" applyBorder="1" applyAlignment="1">
      <alignment horizontal="center"/>
    </xf>
    <xf numFmtId="4" fontId="15" fillId="0" borderId="1" xfId="0" applyNumberFormat="1" applyFont="1" applyBorder="1" applyAlignment="1">
      <alignment horizontal="center" wrapText="1"/>
    </xf>
    <xf numFmtId="4" fontId="0" fillId="0" borderId="1" xfId="0" applyNumberFormat="1" applyBorder="1" applyAlignment="1">
      <alignment horizontal="center"/>
    </xf>
    <xf numFmtId="0" fontId="0" fillId="0" borderId="0" xfId="0" applyAlignment="1">
      <alignment vertical="top" wrapText="1"/>
    </xf>
    <xf numFmtId="0" fontId="6" fillId="0" borderId="0" xfId="0" applyFont="1" applyAlignment="1">
      <alignment vertical="top" wrapText="1"/>
    </xf>
    <xf numFmtId="0" fontId="0" fillId="0" borderId="0" xfId="0" applyAlignment="1">
      <alignment horizontal="center" wrapText="1"/>
    </xf>
    <xf numFmtId="4" fontId="0" fillId="0" borderId="0" xfId="0" applyNumberFormat="1" applyAlignment="1">
      <alignment horizontal="center" vertical="top"/>
    </xf>
    <xf numFmtId="0" fontId="47" fillId="0" borderId="0" xfId="1" applyFont="1" applyAlignment="1">
      <alignment horizontal="center"/>
    </xf>
    <xf numFmtId="164" fontId="47" fillId="0" borderId="0" xfId="1" applyNumberFormat="1" applyFont="1" applyAlignment="1">
      <alignment horizontal="center"/>
    </xf>
    <xf numFmtId="0" fontId="26" fillId="0" borderId="0" xfId="0" applyFont="1" applyAlignment="1">
      <alignment horizontal="justify" vertical="top"/>
    </xf>
    <xf numFmtId="49" fontId="47" fillId="0" borderId="0" xfId="1" applyNumberFormat="1" applyFont="1" applyAlignment="1">
      <alignment horizontal="center"/>
    </xf>
    <xf numFmtId="0" fontId="47" fillId="0" borderId="0" xfId="0" applyFont="1" applyAlignment="1">
      <alignment horizontal="right" vertical="top"/>
    </xf>
    <xf numFmtId="0" fontId="26" fillId="0" borderId="0" xfId="1" applyFont="1" applyAlignment="1">
      <alignment horizontal="center"/>
    </xf>
    <xf numFmtId="3" fontId="14" fillId="0" borderId="0" xfId="0" applyNumberFormat="1" applyFont="1" applyAlignment="1">
      <alignment horizontal="center"/>
    </xf>
    <xf numFmtId="164" fontId="0" fillId="0" borderId="0" xfId="0" applyNumberFormat="1" applyAlignment="1">
      <alignment horizontal="center" wrapText="1"/>
    </xf>
    <xf numFmtId="164" fontId="0" fillId="0" borderId="0" xfId="0" applyNumberFormat="1" applyAlignment="1">
      <alignment horizontal="center"/>
    </xf>
    <xf numFmtId="164" fontId="27" fillId="0" borderId="0" xfId="0" applyNumberFormat="1" applyFont="1" applyAlignment="1">
      <alignment horizontal="right"/>
    </xf>
    <xf numFmtId="0" fontId="27" fillId="0" borderId="0" xfId="0" applyFont="1" applyAlignment="1">
      <alignment horizontal="center"/>
    </xf>
    <xf numFmtId="0" fontId="42" fillId="0" borderId="0" xfId="0" applyFont="1" applyAlignment="1">
      <alignment horizontal="center" vertical="top"/>
    </xf>
    <xf numFmtId="0" fontId="38" fillId="0" borderId="0" xfId="0" applyFont="1" applyAlignment="1">
      <alignment horizontal="center"/>
    </xf>
    <xf numFmtId="0" fontId="49" fillId="0" borderId="0" xfId="0" applyFont="1" applyAlignment="1">
      <alignment horizontal="center"/>
    </xf>
    <xf numFmtId="0" fontId="48" fillId="0" borderId="0" xfId="0" applyFont="1" applyAlignment="1">
      <alignment horizontal="center"/>
    </xf>
    <xf numFmtId="0" fontId="34" fillId="0" borderId="0" xfId="0" applyFont="1" applyAlignment="1">
      <alignment horizontal="center"/>
    </xf>
    <xf numFmtId="0" fontId="6" fillId="0" borderId="1" xfId="0" applyFont="1" applyBorder="1" applyAlignment="1">
      <alignment horizontal="center" vertical="top"/>
    </xf>
    <xf numFmtId="0" fontId="6" fillId="0" borderId="1" xfId="0" applyFont="1" applyBorder="1" applyAlignment="1">
      <alignment vertical="top" wrapText="1"/>
    </xf>
    <xf numFmtId="4" fontId="6" fillId="0" borderId="1" xfId="0" applyNumberFormat="1" applyFont="1" applyBorder="1" applyAlignment="1">
      <alignment horizontal="center"/>
    </xf>
    <xf numFmtId="4" fontId="6" fillId="0" borderId="1" xfId="0" applyNumberFormat="1" applyFont="1" applyBorder="1" applyAlignment="1">
      <alignment horizontal="center" wrapText="1"/>
    </xf>
    <xf numFmtId="1" fontId="6" fillId="0" borderId="0" xfId="0" applyNumberFormat="1" applyFont="1" applyAlignment="1">
      <alignment horizontal="center"/>
    </xf>
    <xf numFmtId="1" fontId="0" fillId="0" borderId="0" xfId="0" applyNumberFormat="1" applyAlignment="1">
      <alignment horizontal="center" vertical="top"/>
    </xf>
    <xf numFmtId="4" fontId="0" fillId="0" borderId="0" xfId="0" applyNumberFormat="1" applyAlignment="1">
      <alignment horizontal="left"/>
    </xf>
    <xf numFmtId="4" fontId="15" fillId="0" borderId="0" xfId="1" applyNumberFormat="1" applyFont="1" applyAlignment="1">
      <alignment horizontal="center"/>
    </xf>
    <xf numFmtId="0" fontId="50" fillId="0" borderId="0" xfId="0" applyFont="1" applyAlignment="1">
      <alignment horizontal="center" vertical="top"/>
    </xf>
    <xf numFmtId="0" fontId="15" fillId="0" borderId="0" xfId="2" applyFont="1" applyAlignment="1">
      <alignment horizontal="left" vertical="top" wrapText="1"/>
    </xf>
    <xf numFmtId="0" fontId="50" fillId="0" borderId="0" xfId="2" applyFont="1" applyAlignment="1">
      <alignment horizontal="center" vertical="top"/>
    </xf>
    <xf numFmtId="1" fontId="6" fillId="0" borderId="0" xfId="0" applyNumberFormat="1" applyFont="1" applyAlignment="1">
      <alignment horizontal="center" vertical="top"/>
    </xf>
    <xf numFmtId="0" fontId="40" fillId="0" borderId="0" xfId="0" applyFont="1"/>
    <xf numFmtId="0" fontId="6" fillId="0" borderId="0" xfId="0" applyFont="1" applyAlignment="1">
      <alignment horizontal="center" vertical="top" wrapText="1"/>
    </xf>
    <xf numFmtId="0" fontId="12" fillId="0" borderId="0" xfId="0" applyFont="1"/>
    <xf numFmtId="49" fontId="14" fillId="0" borderId="0" xfId="1" applyNumberFormat="1" applyFont="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4" fontId="0" fillId="0" borderId="1" xfId="0" applyNumberFormat="1" applyBorder="1" applyAlignment="1">
      <alignment horizontal="center" wrapText="1"/>
    </xf>
    <xf numFmtId="0" fontId="10" fillId="0" borderId="0" xfId="0" applyFont="1" applyAlignment="1">
      <alignment horizontal="center" vertical="top"/>
    </xf>
    <xf numFmtId="4" fontId="0" fillId="0" borderId="0" xfId="0" applyNumberFormat="1" applyAlignment="1">
      <alignment horizontal="center" vertical="center" wrapText="1"/>
    </xf>
    <xf numFmtId="1" fontId="10" fillId="0" borderId="0" xfId="0" applyNumberFormat="1" applyFont="1" applyAlignment="1">
      <alignment horizontal="center" vertical="top"/>
    </xf>
    <xf numFmtId="0" fontId="0" fillId="0" borderId="0" xfId="0" applyAlignment="1">
      <alignment horizontal="right"/>
    </xf>
    <xf numFmtId="1" fontId="0" fillId="0" borderId="0" xfId="0" applyNumberFormat="1" applyAlignment="1">
      <alignment horizontal="right"/>
    </xf>
    <xf numFmtId="0" fontId="0" fillId="0" borderId="0" xfId="0" applyAlignment="1">
      <alignment horizontal="left"/>
    </xf>
    <xf numFmtId="0" fontId="30" fillId="0" borderId="0" xfId="0" applyFont="1" applyAlignment="1">
      <alignment horizontal="center" vertical="top"/>
    </xf>
    <xf numFmtId="0" fontId="0" fillId="0" borderId="0" xfId="0" applyAlignment="1">
      <alignment horizontal="center" vertical="top" wrapText="1"/>
    </xf>
    <xf numFmtId="49" fontId="15" fillId="0" borderId="0" xfId="1" applyNumberFormat="1" applyFont="1" applyAlignment="1">
      <alignment horizontal="center" vertical="top"/>
    </xf>
    <xf numFmtId="0" fontId="0" fillId="0" borderId="0" xfId="1" applyFont="1" applyAlignment="1">
      <alignment horizontal="justify" vertical="top" wrapText="1"/>
    </xf>
    <xf numFmtId="4" fontId="15" fillId="0" borderId="0" xfId="1" applyNumberFormat="1" applyFont="1" applyAlignment="1">
      <alignment horizontal="center" wrapText="1"/>
    </xf>
    <xf numFmtId="49" fontId="39" fillId="0" borderId="0" xfId="1" applyNumberFormat="1" applyFont="1" applyAlignment="1">
      <alignment horizontal="center"/>
    </xf>
    <xf numFmtId="0" fontId="15" fillId="0" borderId="0" xfId="1" applyFont="1" applyAlignment="1">
      <alignment horizontal="justify" vertical="top"/>
    </xf>
    <xf numFmtId="0" fontId="10" fillId="0" borderId="0" xfId="0" applyFont="1" applyAlignment="1">
      <alignment horizontal="center" vertical="top" wrapText="1"/>
    </xf>
    <xf numFmtId="0" fontId="32" fillId="0" borderId="0" xfId="0" applyFont="1" applyAlignment="1">
      <alignment horizontal="center" vertical="top" wrapText="1"/>
    </xf>
    <xf numFmtId="0" fontId="14" fillId="0" borderId="0" xfId="1" applyFont="1" applyAlignment="1">
      <alignment horizontal="justify" vertical="top" wrapText="1"/>
    </xf>
    <xf numFmtId="49" fontId="35" fillId="0" borderId="0" xfId="1" applyNumberFormat="1" applyFont="1" applyAlignment="1">
      <alignment horizontal="center" vertical="top"/>
    </xf>
    <xf numFmtId="0" fontId="15" fillId="0" borderId="0" xfId="0" applyFont="1" applyAlignment="1">
      <alignment horizontal="justify" vertical="top"/>
    </xf>
    <xf numFmtId="0" fontId="39" fillId="0" borderId="0" xfId="0" applyFont="1"/>
    <xf numFmtId="0" fontId="14" fillId="0" borderId="0" xfId="0" applyFont="1" applyAlignment="1">
      <alignment horizontal="justify" vertical="top" wrapText="1"/>
    </xf>
    <xf numFmtId="3" fontId="14" fillId="0" borderId="0" xfId="0" applyNumberFormat="1" applyFont="1" applyAlignment="1">
      <alignment horizontal="right"/>
    </xf>
    <xf numFmtId="0" fontId="0" fillId="0" borderId="1" xfId="0" applyBorder="1" applyAlignment="1">
      <alignment horizontal="center" vertical="top" wrapText="1"/>
    </xf>
    <xf numFmtId="49" fontId="15" fillId="0" borderId="0" xfId="1" applyNumberFormat="1" applyFont="1" applyAlignment="1">
      <alignment horizontal="center"/>
    </xf>
    <xf numFmtId="49" fontId="14" fillId="0" borderId="0" xfId="1" applyNumberFormat="1" applyFont="1" applyAlignment="1">
      <alignment horizontal="center"/>
    </xf>
    <xf numFmtId="4" fontId="14" fillId="0" borderId="0" xfId="1" applyNumberFormat="1" applyFont="1" applyAlignment="1">
      <alignment horizontal="center" wrapText="1"/>
    </xf>
    <xf numFmtId="0" fontId="15" fillId="0" borderId="0" xfId="1" applyFont="1" applyAlignment="1">
      <alignment horizontal="justify" vertical="top" wrapText="1"/>
    </xf>
    <xf numFmtId="0" fontId="0" fillId="0" borderId="1" xfId="0" applyBorder="1" applyAlignment="1">
      <alignment horizontal="left" vertical="top" wrapText="1"/>
    </xf>
    <xf numFmtId="4" fontId="0" fillId="0" borderId="1" xfId="0" applyNumberFormat="1" applyBorder="1" applyAlignment="1">
      <alignment horizontal="center" vertical="top"/>
    </xf>
    <xf numFmtId="0" fontId="23" fillId="0" borderId="0" xfId="0" applyFont="1" applyAlignment="1">
      <alignment horizontal="left" vertical="top"/>
    </xf>
    <xf numFmtId="49" fontId="0" fillId="0" borderId="0" xfId="0" applyNumberFormat="1" applyAlignment="1">
      <alignment horizontal="center" vertical="top"/>
    </xf>
    <xf numFmtId="49" fontId="10" fillId="0" borderId="0" xfId="0" applyNumberFormat="1" applyFont="1" applyAlignment="1">
      <alignment horizontal="center" vertical="top"/>
    </xf>
    <xf numFmtId="0" fontId="14" fillId="0" borderId="0" xfId="0" applyFont="1" applyAlignment="1">
      <alignment horizontal="justify" vertical="top"/>
    </xf>
    <xf numFmtId="0" fontId="35" fillId="0" borderId="0" xfId="0" applyFont="1"/>
    <xf numFmtId="0" fontId="51" fillId="0" borderId="0" xfId="0" applyFont="1" applyAlignment="1">
      <alignment horizontal="center" vertical="top"/>
    </xf>
    <xf numFmtId="49" fontId="6" fillId="0" borderId="0" xfId="0" applyNumberFormat="1" applyFont="1" applyAlignment="1">
      <alignment horizontal="center" vertical="top"/>
    </xf>
    <xf numFmtId="49" fontId="41" fillId="0" borderId="0" xfId="0" applyNumberFormat="1" applyFont="1" applyAlignment="1">
      <alignment horizontal="center" vertical="top"/>
    </xf>
    <xf numFmtId="0" fontId="59" fillId="0" borderId="0" xfId="0" applyFont="1" applyAlignment="1">
      <alignment horizontal="left" vertical="top" wrapText="1"/>
    </xf>
    <xf numFmtId="4" fontId="36" fillId="0" borderId="0" xfId="0" applyNumberFormat="1" applyFont="1" applyAlignment="1">
      <alignment horizontal="center"/>
    </xf>
    <xf numFmtId="4" fontId="36" fillId="0" borderId="0" xfId="0" applyNumberFormat="1" applyFont="1" applyAlignment="1">
      <alignment horizontal="center" wrapText="1"/>
    </xf>
    <xf numFmtId="4" fontId="36" fillId="0" borderId="0" xfId="0" applyNumberFormat="1" applyFont="1" applyAlignment="1">
      <alignment horizontal="right"/>
    </xf>
    <xf numFmtId="0" fontId="23" fillId="0" borderId="0" xfId="0" applyFont="1" applyAlignment="1">
      <alignment horizontal="center" vertical="top" wrapText="1"/>
    </xf>
    <xf numFmtId="0" fontId="23" fillId="0" borderId="0" xfId="0" applyFont="1" applyAlignment="1">
      <alignment horizontal="left" vertical="top" wrapText="1"/>
    </xf>
    <xf numFmtId="4" fontId="23" fillId="0" borderId="0" xfId="0" applyNumberFormat="1" applyFont="1" applyAlignment="1">
      <alignment horizontal="center"/>
    </xf>
    <xf numFmtId="4" fontId="23" fillId="0" borderId="0" xfId="0" applyNumberFormat="1" applyFont="1" applyAlignment="1">
      <alignment horizontal="center" wrapText="1"/>
    </xf>
    <xf numFmtId="0" fontId="27" fillId="0" borderId="0" xfId="0" applyFont="1" applyAlignment="1">
      <alignment horizontal="center" vertical="top"/>
    </xf>
    <xf numFmtId="0" fontId="27" fillId="0" borderId="0" xfId="0" applyFont="1" applyAlignment="1">
      <alignment horizontal="justify" vertical="top"/>
    </xf>
    <xf numFmtId="4" fontId="27" fillId="0" borderId="0" xfId="0" applyNumberFormat="1" applyFont="1" applyAlignment="1">
      <alignment horizontal="right"/>
    </xf>
    <xf numFmtId="0" fontId="57" fillId="0" borderId="0" xfId="0" applyFont="1" applyAlignment="1">
      <alignment horizontal="center"/>
    </xf>
    <xf numFmtId="0" fontId="27" fillId="0" borderId="0" xfId="0" applyFont="1" applyAlignment="1">
      <alignment horizontal="justify" vertical="top" wrapText="1"/>
    </xf>
    <xf numFmtId="0" fontId="58" fillId="0" borderId="0" xfId="0" applyFont="1"/>
    <xf numFmtId="3" fontId="27" fillId="0" borderId="0" xfId="0" applyNumberFormat="1" applyFont="1" applyAlignment="1">
      <alignment horizontal="right"/>
    </xf>
    <xf numFmtId="0" fontId="23" fillId="0" borderId="1" xfId="0" applyFont="1" applyBorder="1" applyAlignment="1">
      <alignment horizontal="center" vertical="top" wrapText="1"/>
    </xf>
    <xf numFmtId="0" fontId="23" fillId="0" borderId="1" xfId="0" applyFont="1" applyBorder="1" applyAlignment="1">
      <alignment horizontal="left" vertical="top" wrapText="1"/>
    </xf>
    <xf numFmtId="4" fontId="23" fillId="0" borderId="1" xfId="0" applyNumberFormat="1" applyFont="1" applyBorder="1" applyAlignment="1">
      <alignment horizontal="center"/>
    </xf>
    <xf numFmtId="4" fontId="23" fillId="0" borderId="1" xfId="0" applyNumberFormat="1" applyFont="1" applyBorder="1" applyAlignment="1">
      <alignment horizontal="center" wrapText="1"/>
    </xf>
    <xf numFmtId="49" fontId="53" fillId="0" borderId="0" xfId="0" applyNumberFormat="1" applyFont="1" applyAlignment="1">
      <alignment horizontal="center"/>
    </xf>
    <xf numFmtId="0" fontId="36" fillId="0" borderId="0" xfId="0" applyFont="1" applyAlignment="1">
      <alignment horizontal="left" vertical="top" wrapText="1"/>
    </xf>
    <xf numFmtId="4" fontId="53" fillId="0" borderId="0" xfId="0" applyNumberFormat="1" applyFont="1" applyAlignment="1">
      <alignment horizontal="right"/>
    </xf>
    <xf numFmtId="1" fontId="53" fillId="0" borderId="0" xfId="0" applyNumberFormat="1" applyFont="1" applyAlignment="1">
      <alignment horizontal="center" vertical="top"/>
    </xf>
    <xf numFmtId="4" fontId="25" fillId="0" borderId="0" xfId="0" applyNumberFormat="1" applyFont="1" applyAlignment="1">
      <alignment horizontal="right"/>
    </xf>
    <xf numFmtId="3" fontId="53" fillId="0" borderId="0" xfId="0" applyNumberFormat="1" applyFont="1" applyAlignment="1">
      <alignment horizontal="right"/>
    </xf>
    <xf numFmtId="0" fontId="36" fillId="0" borderId="1" xfId="0" applyFont="1" applyBorder="1" applyAlignment="1">
      <alignment horizontal="center" vertical="top" wrapText="1"/>
    </xf>
    <xf numFmtId="0" fontId="36" fillId="0" borderId="1" xfId="0" applyFont="1" applyBorder="1" applyAlignment="1">
      <alignment vertical="top" wrapText="1"/>
    </xf>
    <xf numFmtId="4" fontId="36" fillId="0" borderId="1" xfId="0" applyNumberFormat="1" applyFont="1" applyBorder="1" applyAlignment="1">
      <alignment horizontal="right"/>
    </xf>
    <xf numFmtId="0" fontId="42" fillId="0" borderId="0" xfId="0" applyFont="1" applyAlignment="1">
      <alignment horizontal="center"/>
    </xf>
    <xf numFmtId="0" fontId="42" fillId="0" borderId="0" xfId="0" applyFont="1"/>
    <xf numFmtId="3" fontId="0" fillId="0" borderId="0" xfId="0" applyNumberFormat="1" applyAlignment="1">
      <alignment horizontal="center"/>
    </xf>
    <xf numFmtId="0" fontId="15" fillId="0" borderId="0" xfId="0" applyFont="1" applyAlignment="1">
      <alignment horizontal="center"/>
    </xf>
    <xf numFmtId="1" fontId="33" fillId="0" borderId="0" xfId="0" applyNumberFormat="1" applyFont="1" applyAlignment="1">
      <alignment horizontal="center" vertical="top"/>
    </xf>
    <xf numFmtId="0" fontId="16" fillId="0" borderId="0" xfId="0" applyFont="1" applyAlignment="1">
      <alignment wrapText="1"/>
    </xf>
    <xf numFmtId="4" fontId="4" fillId="0" borderId="0" xfId="0" applyNumberFormat="1" applyFont="1" applyAlignment="1">
      <alignment horizontal="center"/>
    </xf>
    <xf numFmtId="4" fontId="4" fillId="0" borderId="0" xfId="0" applyNumberFormat="1" applyFont="1" applyAlignment="1">
      <alignment horizontal="center" wrapText="1"/>
    </xf>
    <xf numFmtId="0" fontId="42" fillId="0" borderId="0" xfId="0" applyFont="1" applyAlignment="1">
      <alignment wrapText="1"/>
    </xf>
    <xf numFmtId="0" fontId="4" fillId="0" borderId="0" xfId="0" applyFont="1" applyAlignment="1">
      <alignment wrapText="1"/>
    </xf>
    <xf numFmtId="4" fontId="4" fillId="0" borderId="0" xfId="0" applyNumberFormat="1" applyFont="1" applyAlignment="1">
      <alignment horizontal="center" vertical="center" wrapText="1"/>
    </xf>
    <xf numFmtId="0" fontId="13" fillId="0" borderId="1" xfId="0" applyFont="1" applyBorder="1" applyAlignment="1">
      <alignment horizontal="center" vertical="top"/>
    </xf>
    <xf numFmtId="0" fontId="13" fillId="0" borderId="1" xfId="0" applyFont="1" applyBorder="1" applyAlignment="1">
      <alignment horizontal="left" vertical="top" wrapText="1"/>
    </xf>
    <xf numFmtId="4" fontId="13" fillId="0" borderId="1" xfId="0" applyNumberFormat="1" applyFont="1" applyBorder="1" applyAlignment="1">
      <alignment horizontal="center" vertical="top"/>
    </xf>
    <xf numFmtId="4" fontId="13" fillId="0" borderId="1" xfId="0" applyNumberFormat="1" applyFont="1" applyBorder="1" applyAlignment="1">
      <alignment horizontal="center" vertical="top" wrapText="1"/>
    </xf>
    <xf numFmtId="0" fontId="4" fillId="0" borderId="0" xfId="0" applyFont="1" applyAlignment="1">
      <alignment vertical="top" wrapText="1"/>
    </xf>
    <xf numFmtId="0" fontId="14" fillId="0" borderId="0" xfId="0" applyFont="1" applyAlignment="1">
      <alignment wrapText="1"/>
    </xf>
    <xf numFmtId="0" fontId="13" fillId="0" borderId="1" xfId="0" applyFont="1" applyBorder="1" applyAlignment="1">
      <alignment horizontal="center"/>
    </xf>
    <xf numFmtId="0" fontId="13" fillId="0" borderId="1" xfId="0" applyFont="1" applyBorder="1" applyAlignment="1">
      <alignment wrapText="1"/>
    </xf>
    <xf numFmtId="4" fontId="13" fillId="0" borderId="1" xfId="0" applyNumberFormat="1" applyFont="1" applyBorder="1" applyAlignment="1">
      <alignment horizontal="center"/>
    </xf>
    <xf numFmtId="4" fontId="13" fillId="0" borderId="1" xfId="0" applyNumberFormat="1" applyFont="1" applyBorder="1" applyAlignment="1">
      <alignment horizontal="center" wrapText="1"/>
    </xf>
    <xf numFmtId="0" fontId="50" fillId="0" borderId="0" xfId="0" applyFont="1" applyAlignment="1">
      <alignment wrapText="1"/>
    </xf>
    <xf numFmtId="0" fontId="50" fillId="0" borderId="2" xfId="0" applyFont="1" applyBorder="1" applyAlignment="1">
      <alignment horizontal="center" vertical="top"/>
    </xf>
    <xf numFmtId="0" fontId="50" fillId="0" borderId="2" xfId="0" applyFont="1" applyBorder="1" applyAlignment="1">
      <alignment wrapText="1"/>
    </xf>
    <xf numFmtId="4" fontId="14" fillId="0" borderId="2" xfId="0" applyNumberFormat="1" applyFont="1" applyBorder="1" applyAlignment="1">
      <alignment horizontal="center"/>
    </xf>
    <xf numFmtId="4" fontId="14" fillId="0" borderId="2" xfId="0" applyNumberFormat="1" applyFont="1" applyBorder="1" applyAlignment="1">
      <alignment horizontal="center" wrapText="1"/>
    </xf>
    <xf numFmtId="0" fontId="17" fillId="0" borderId="0" xfId="1" applyFont="1" applyAlignment="1">
      <alignment horizontal="center" vertical="top"/>
    </xf>
    <xf numFmtId="0" fontId="17" fillId="0" borderId="0" xfId="1" applyFont="1" applyAlignment="1">
      <alignment horizontal="left" vertical="top" wrapText="1"/>
    </xf>
    <xf numFmtId="4" fontId="17" fillId="0" borderId="0" xfId="1" applyNumberFormat="1" applyFont="1" applyAlignment="1">
      <alignment horizontal="center"/>
    </xf>
    <xf numFmtId="1" fontId="36" fillId="2" borderId="0" xfId="0" applyNumberFormat="1" applyFont="1" applyFill="1" applyAlignment="1">
      <alignment horizontal="center" vertical="top"/>
    </xf>
    <xf numFmtId="0" fontId="60" fillId="2" borderId="0" xfId="0" applyFont="1" applyFill="1" applyAlignment="1">
      <alignment wrapText="1"/>
    </xf>
    <xf numFmtId="0" fontId="23" fillId="2" borderId="0" xfId="0" applyFont="1" applyFill="1" applyAlignment="1">
      <alignment horizontal="center"/>
    </xf>
    <xf numFmtId="4" fontId="23" fillId="2" borderId="0" xfId="0" applyNumberFormat="1" applyFont="1" applyFill="1" applyAlignment="1">
      <alignment horizontal="center" wrapText="1"/>
    </xf>
    <xf numFmtId="4" fontId="23" fillId="2" borderId="0" xfId="0" applyNumberFormat="1" applyFont="1" applyFill="1" applyAlignment="1">
      <alignment horizontal="center"/>
    </xf>
    <xf numFmtId="4" fontId="42" fillId="0" borderId="0" xfId="0" applyNumberFormat="1" applyFont="1" applyAlignment="1">
      <alignment horizontal="center"/>
    </xf>
    <xf numFmtId="4" fontId="42" fillId="0" borderId="0" xfId="0" applyNumberFormat="1" applyFont="1" applyAlignment="1">
      <alignment horizontal="center" wrapText="1"/>
    </xf>
    <xf numFmtId="0" fontId="10" fillId="0" borderId="0" xfId="0" applyFont="1"/>
    <xf numFmtId="0" fontId="3" fillId="0" borderId="0" xfId="0" applyFont="1" applyAlignment="1">
      <alignment horizontal="center" vertical="top"/>
    </xf>
    <xf numFmtId="165" fontId="2" fillId="0" borderId="0" xfId="0" applyNumberFormat="1" applyFont="1" applyAlignment="1">
      <alignment horizontal="center" vertical="center" wrapText="1"/>
    </xf>
    <xf numFmtId="1" fontId="2" fillId="0" borderId="0" xfId="0" applyNumberFormat="1" applyFont="1" applyAlignment="1">
      <alignment horizontal="center" vertical="top"/>
    </xf>
    <xf numFmtId="0" fontId="2" fillId="0" borderId="0" xfId="0" applyFont="1" applyAlignment="1">
      <alignment horizontal="center" vertical="top"/>
    </xf>
    <xf numFmtId="49" fontId="2" fillId="0" borderId="0" xfId="0" applyNumberFormat="1" applyFont="1" applyAlignment="1">
      <alignment horizontal="center" vertical="top"/>
    </xf>
    <xf numFmtId="49" fontId="2" fillId="0" borderId="1" xfId="0" applyNumberFormat="1" applyFont="1" applyBorder="1" applyAlignment="1">
      <alignment horizontal="center" vertical="top"/>
    </xf>
    <xf numFmtId="4" fontId="15" fillId="2" borderId="0" xfId="1" applyNumberFormat="1" applyFont="1" applyFill="1" applyAlignment="1">
      <alignment horizontal="center" wrapText="1"/>
    </xf>
    <xf numFmtId="4" fontId="15" fillId="2" borderId="0" xfId="1" applyNumberFormat="1" applyFont="1" applyFill="1" applyAlignment="1">
      <alignment horizontal="center"/>
    </xf>
    <xf numFmtId="4" fontId="0" fillId="2" borderId="0" xfId="0" applyNumberFormat="1" applyFill="1" applyAlignment="1">
      <alignment wrapText="1"/>
    </xf>
    <xf numFmtId="4" fontId="15" fillId="2" borderId="0" xfId="0" applyNumberFormat="1" applyFont="1" applyFill="1"/>
    <xf numFmtId="4" fontId="0" fillId="2" borderId="1" xfId="0" applyNumberFormat="1" applyFill="1" applyBorder="1" applyAlignment="1">
      <alignment wrapText="1"/>
    </xf>
    <xf numFmtId="4" fontId="0" fillId="2" borderId="1" xfId="0" applyNumberFormat="1" applyFill="1" applyBorder="1"/>
    <xf numFmtId="4" fontId="6" fillId="2" borderId="0" xfId="0" applyNumberFormat="1" applyFont="1" applyFill="1" applyAlignment="1">
      <alignment wrapText="1"/>
    </xf>
    <xf numFmtId="4" fontId="6" fillId="2" borderId="0" xfId="0" applyNumberFormat="1" applyFont="1" applyFill="1"/>
    <xf numFmtId="4" fontId="0" fillId="2" borderId="0" xfId="0" applyNumberFormat="1" applyFill="1"/>
    <xf numFmtId="4" fontId="0" fillId="2" borderId="0" xfId="0" applyNumberFormat="1" applyFill="1" applyAlignment="1">
      <alignment horizontal="right" wrapText="1"/>
    </xf>
    <xf numFmtId="4" fontId="0" fillId="2" borderId="0" xfId="0" applyNumberFormat="1" applyFill="1" applyAlignment="1">
      <alignment horizontal="right"/>
    </xf>
    <xf numFmtId="4" fontId="14" fillId="2" borderId="0" xfId="0" applyNumberFormat="1" applyFont="1" applyFill="1" applyAlignment="1">
      <alignment horizontal="right" wrapText="1"/>
    </xf>
    <xf numFmtId="4" fontId="14" fillId="2" borderId="0" xfId="0" applyNumberFormat="1" applyFont="1" applyFill="1" applyAlignment="1">
      <alignment horizontal="right"/>
    </xf>
    <xf numFmtId="4" fontId="51" fillId="2" borderId="0" xfId="0" applyNumberFormat="1" applyFont="1" applyFill="1" applyAlignment="1">
      <alignment horizontal="right" wrapText="1"/>
    </xf>
    <xf numFmtId="4" fontId="51" fillId="2" borderId="0" xfId="0" applyNumberFormat="1" applyFont="1" applyFill="1" applyAlignment="1">
      <alignment horizontal="right"/>
    </xf>
    <xf numFmtId="4" fontId="0" fillId="2" borderId="0" xfId="0" applyNumberFormat="1" applyFill="1" applyAlignment="1">
      <alignment horizontal="center" wrapText="1"/>
    </xf>
    <xf numFmtId="4" fontId="0" fillId="2" borderId="0" xfId="0" applyNumberFormat="1" applyFill="1" applyAlignment="1">
      <alignment horizontal="center"/>
    </xf>
    <xf numFmtId="4" fontId="6" fillId="2" borderId="0" xfId="0" applyNumberFormat="1" applyFont="1" applyFill="1" applyAlignment="1">
      <alignment horizontal="center"/>
    </xf>
    <xf numFmtId="4" fontId="6" fillId="2" borderId="0" xfId="0" applyNumberFormat="1" applyFont="1" applyFill="1" applyAlignment="1">
      <alignment horizontal="center" wrapText="1"/>
    </xf>
    <xf numFmtId="4" fontId="14" fillId="2" borderId="0" xfId="0" applyNumberFormat="1" applyFont="1" applyFill="1" applyAlignment="1">
      <alignment horizontal="center"/>
    </xf>
    <xf numFmtId="4" fontId="6" fillId="2" borderId="1" xfId="0" applyNumberFormat="1" applyFont="1" applyFill="1" applyBorder="1" applyAlignment="1">
      <alignment horizontal="center" wrapText="1"/>
    </xf>
    <xf numFmtId="4" fontId="6" fillId="2" borderId="1" xfId="0" applyNumberFormat="1" applyFont="1" applyFill="1" applyBorder="1" applyAlignment="1">
      <alignment horizontal="center"/>
    </xf>
    <xf numFmtId="3" fontId="14" fillId="2" borderId="0" xfId="0" applyNumberFormat="1" applyFont="1" applyFill="1" applyAlignment="1">
      <alignment horizontal="center"/>
    </xf>
    <xf numFmtId="4" fontId="15" fillId="2" borderId="0" xfId="0" applyNumberFormat="1" applyFont="1" applyFill="1" applyAlignment="1">
      <alignment horizontal="center" wrapText="1"/>
    </xf>
    <xf numFmtId="1" fontId="31" fillId="0" borderId="0" xfId="0" applyNumberFormat="1" applyFont="1" applyAlignment="1">
      <alignment horizontal="center" vertical="top"/>
    </xf>
    <xf numFmtId="0" fontId="61" fillId="0" borderId="0" xfId="0" applyFont="1" applyAlignment="1">
      <alignment horizontal="center"/>
    </xf>
    <xf numFmtId="0" fontId="31" fillId="0" borderId="0" xfId="0" applyFont="1" applyAlignment="1">
      <alignment horizontal="center" vertical="top" wrapText="1"/>
    </xf>
    <xf numFmtId="0" fontId="36" fillId="0" borderId="0" xfId="0" applyFont="1" applyAlignment="1">
      <alignment horizontal="center" vertical="top" wrapText="1"/>
    </xf>
    <xf numFmtId="0" fontId="36" fillId="0" borderId="0" xfId="0" applyFont="1" applyAlignment="1">
      <alignment vertical="top" wrapText="1"/>
    </xf>
    <xf numFmtId="0" fontId="36" fillId="0" borderId="2" xfId="0" applyFont="1" applyBorder="1" applyAlignment="1">
      <alignment horizontal="center" vertical="top" wrapText="1"/>
    </xf>
    <xf numFmtId="0" fontId="36" fillId="0" borderId="2" xfId="0" applyFont="1" applyBorder="1" applyAlignment="1">
      <alignment vertical="top" wrapText="1"/>
    </xf>
    <xf numFmtId="4" fontId="36" fillId="0" borderId="2" xfId="0" applyNumberFormat="1" applyFont="1" applyBorder="1" applyAlignment="1">
      <alignment horizontal="right"/>
    </xf>
    <xf numFmtId="0" fontId="1" fillId="0" borderId="1" xfId="0" applyFont="1" applyBorder="1" applyAlignment="1">
      <alignment horizontal="center" vertical="top"/>
    </xf>
    <xf numFmtId="0" fontId="1" fillId="0" borderId="1" xfId="0" applyFont="1" applyBorder="1" applyAlignment="1">
      <alignment wrapText="1"/>
    </xf>
    <xf numFmtId="1" fontId="62" fillId="0" borderId="0" xfId="0" applyNumberFormat="1" applyFont="1" applyAlignment="1">
      <alignment horizontal="right"/>
    </xf>
    <xf numFmtId="0" fontId="62" fillId="0" borderId="0" xfId="0" applyFont="1" applyAlignment="1">
      <alignment horizontal="left"/>
    </xf>
    <xf numFmtId="4" fontId="62" fillId="0" borderId="0" xfId="0" applyNumberFormat="1" applyFont="1" applyAlignment="1">
      <alignment horizontal="center"/>
    </xf>
    <xf numFmtId="4" fontId="62" fillId="0" borderId="0" xfId="0" applyNumberFormat="1" applyFont="1" applyAlignment="1">
      <alignment horizontal="center" wrapText="1"/>
    </xf>
    <xf numFmtId="4" fontId="62" fillId="2" borderId="0" xfId="0" applyNumberFormat="1" applyFont="1" applyFill="1" applyAlignment="1">
      <alignment horizontal="center"/>
    </xf>
    <xf numFmtId="0" fontId="27" fillId="0" borderId="0" xfId="0" applyFont="1" applyAlignment="1">
      <alignment horizontal="left" vertical="top" wrapText="1"/>
    </xf>
    <xf numFmtId="4" fontId="27" fillId="0" borderId="0" xfId="0" applyNumberFormat="1" applyFont="1" applyAlignment="1">
      <alignment horizontal="center"/>
    </xf>
    <xf numFmtId="4" fontId="27" fillId="0" borderId="0" xfId="0" applyNumberFormat="1" applyFont="1" applyAlignment="1">
      <alignment horizontal="center" wrapText="1"/>
    </xf>
    <xf numFmtId="3" fontId="27" fillId="0" borderId="0" xfId="0" applyNumberFormat="1" applyFont="1" applyAlignment="1">
      <alignment horizontal="center"/>
    </xf>
    <xf numFmtId="4" fontId="53" fillId="0" borderId="0" xfId="0" applyNumberFormat="1" applyFont="1" applyAlignment="1">
      <alignment horizontal="center"/>
    </xf>
    <xf numFmtId="0" fontId="23" fillId="0" borderId="0" xfId="0" applyFont="1" applyAlignment="1">
      <alignment horizontal="center" vertical="top"/>
    </xf>
    <xf numFmtId="0" fontId="23" fillId="0" borderId="0" xfId="0" applyFont="1" applyAlignment="1">
      <alignment vertical="top" wrapText="1"/>
    </xf>
    <xf numFmtId="4" fontId="27" fillId="2" borderId="0" xfId="0" applyNumberFormat="1" applyFont="1" applyFill="1" applyAlignment="1">
      <alignment horizontal="center" wrapText="1"/>
    </xf>
    <xf numFmtId="4" fontId="27" fillId="2" borderId="0" xfId="0" applyNumberFormat="1" applyFont="1" applyFill="1" applyAlignment="1">
      <alignment horizontal="center"/>
    </xf>
    <xf numFmtId="3" fontId="27" fillId="2" borderId="0" xfId="0" applyNumberFormat="1" applyFont="1" applyFill="1" applyAlignment="1">
      <alignment horizontal="center"/>
    </xf>
    <xf numFmtId="1" fontId="23" fillId="0" borderId="0" xfId="0" applyNumberFormat="1" applyFont="1" applyAlignment="1">
      <alignment horizontal="center" vertical="top"/>
    </xf>
    <xf numFmtId="0" fontId="40" fillId="0" borderId="0" xfId="0" applyFont="1" applyAlignment="1">
      <alignment horizontal="center"/>
    </xf>
    <xf numFmtId="0" fontId="23" fillId="0" borderId="0" xfId="0" applyFont="1" applyAlignment="1">
      <alignment horizontal="center"/>
    </xf>
    <xf numFmtId="4" fontId="23" fillId="2" borderId="0" xfId="0" applyNumberFormat="1" applyFont="1" applyFill="1" applyAlignment="1">
      <alignment wrapText="1"/>
    </xf>
    <xf numFmtId="4" fontId="23" fillId="2" borderId="0" xfId="0" applyNumberFormat="1" applyFont="1" applyFill="1"/>
    <xf numFmtId="4" fontId="23" fillId="0" borderId="0" xfId="0" applyNumberFormat="1" applyFont="1" applyAlignment="1">
      <alignment horizontal="center" vertical="top" wrapText="1"/>
    </xf>
    <xf numFmtId="16" fontId="27" fillId="0" borderId="0" xfId="0" applyNumberFormat="1" applyFont="1" applyAlignment="1">
      <alignment horizontal="center" vertical="top"/>
    </xf>
    <xf numFmtId="0" fontId="23" fillId="0" borderId="0" xfId="0" applyFont="1" applyAlignment="1">
      <alignment horizontal="center" wrapText="1"/>
    </xf>
    <xf numFmtId="4" fontId="6" fillId="0" borderId="0" xfId="0" applyNumberFormat="1" applyFont="1" applyAlignment="1">
      <alignment horizontal="left" vertical="top" wrapText="1"/>
    </xf>
    <xf numFmtId="4" fontId="6" fillId="0" borderId="0" xfId="0" applyNumberFormat="1" applyFont="1" applyAlignment="1">
      <alignment horizontal="center"/>
    </xf>
    <xf numFmtId="0" fontId="14" fillId="0" borderId="0" xfId="0" applyFont="1" applyAlignment="1">
      <alignment horizontal="center" vertical="top" wrapText="1"/>
    </xf>
    <xf numFmtId="4" fontId="13" fillId="0" borderId="0" xfId="0" applyNumberFormat="1" applyFont="1" applyAlignment="1">
      <alignment horizontal="left" vertical="top" wrapText="1"/>
    </xf>
    <xf numFmtId="49" fontId="6" fillId="0" borderId="0" xfId="0" applyNumberFormat="1" applyFont="1" applyAlignment="1">
      <alignment horizontal="left" vertical="top" wrapText="1"/>
    </xf>
    <xf numFmtId="4" fontId="5" fillId="0" borderId="0" xfId="0" applyNumberFormat="1" applyFont="1" applyAlignment="1">
      <alignment horizontal="left" vertical="top" wrapText="1"/>
    </xf>
    <xf numFmtId="4" fontId="6" fillId="0" borderId="0" xfId="0" applyNumberFormat="1" applyFont="1" applyAlignment="1">
      <alignment horizontal="left" vertical="top" wrapText="1" shrinkToFit="1"/>
    </xf>
    <xf numFmtId="4" fontId="0" fillId="0" borderId="0" xfId="0" applyNumberFormat="1" applyAlignment="1" applyProtection="1">
      <alignment horizontal="center"/>
      <protection locked="0"/>
    </xf>
    <xf numFmtId="4" fontId="0" fillId="0" borderId="0" xfId="0" applyNumberFormat="1" applyAlignment="1" applyProtection="1">
      <alignment horizontal="right"/>
      <protection locked="0"/>
    </xf>
    <xf numFmtId="4" fontId="6" fillId="0" borderId="0" xfId="0" applyNumberFormat="1" applyFont="1" applyAlignment="1" applyProtection="1">
      <alignment horizontal="center"/>
      <protection locked="0"/>
    </xf>
    <xf numFmtId="4" fontId="6" fillId="0" borderId="0" xfId="0" applyNumberFormat="1" applyFont="1" applyAlignment="1" applyProtection="1">
      <alignment horizontal="right" wrapText="1"/>
      <protection locked="0"/>
    </xf>
    <xf numFmtId="4" fontId="36" fillId="0" borderId="0" xfId="0" applyNumberFormat="1" applyFont="1" applyAlignment="1" applyProtection="1">
      <alignment horizontal="center"/>
      <protection locked="0"/>
    </xf>
    <xf numFmtId="4" fontId="23" fillId="2" borderId="0" xfId="0" applyNumberFormat="1" applyFont="1" applyFill="1" applyAlignment="1" applyProtection="1">
      <alignment horizontal="right" wrapText="1"/>
      <protection locked="0"/>
    </xf>
    <xf numFmtId="4" fontId="4" fillId="0" borderId="0" xfId="0" applyNumberFormat="1" applyFont="1" applyAlignment="1" applyProtection="1">
      <alignment horizontal="center"/>
      <protection locked="0"/>
    </xf>
    <xf numFmtId="4" fontId="4" fillId="0" borderId="0" xfId="0" applyNumberFormat="1" applyFont="1" applyAlignment="1" applyProtection="1">
      <alignment horizontal="center" vertical="center" wrapText="1"/>
      <protection locked="0"/>
    </xf>
    <xf numFmtId="4" fontId="0" fillId="0" borderId="0" xfId="0" applyNumberFormat="1" applyAlignment="1" applyProtection="1">
      <alignment horizontal="right" vertical="center" wrapText="1"/>
      <protection locked="0"/>
    </xf>
    <xf numFmtId="4" fontId="15" fillId="0" borderId="0" xfId="0" applyNumberFormat="1" applyFont="1" applyAlignment="1" applyProtection="1">
      <alignment horizontal="right"/>
      <protection locked="0"/>
    </xf>
    <xf numFmtId="4" fontId="42" fillId="0" borderId="0" xfId="0" applyNumberFormat="1" applyFont="1" applyAlignment="1" applyProtection="1">
      <alignment horizontal="center"/>
      <protection locked="0"/>
    </xf>
    <xf numFmtId="4" fontId="50" fillId="0" borderId="0" xfId="0" applyNumberFormat="1" applyFont="1" applyAlignment="1" applyProtection="1">
      <alignment horizontal="right"/>
      <protection locked="0"/>
    </xf>
    <xf numFmtId="4" fontId="13" fillId="0" borderId="1" xfId="0" applyNumberFormat="1" applyFont="1" applyBorder="1" applyAlignment="1" applyProtection="1">
      <alignment horizontal="center"/>
      <protection locked="0"/>
    </xf>
    <xf numFmtId="4" fontId="42" fillId="0" borderId="1" xfId="0" applyNumberFormat="1" applyFont="1" applyBorder="1" applyAlignment="1" applyProtection="1">
      <alignment horizontal="right"/>
      <protection locked="0"/>
    </xf>
    <xf numFmtId="4" fontId="4" fillId="0" borderId="2" xfId="0" applyNumberFormat="1" applyFont="1" applyBorder="1" applyAlignment="1" applyProtection="1">
      <alignment horizontal="center"/>
      <protection locked="0"/>
    </xf>
    <xf numFmtId="4" fontId="0" fillId="0" borderId="2" xfId="0" applyNumberFormat="1" applyBorder="1" applyAlignment="1" applyProtection="1">
      <alignment horizontal="right"/>
      <protection locked="0"/>
    </xf>
    <xf numFmtId="4" fontId="13" fillId="0" borderId="1" xfId="0" applyNumberFormat="1" applyFont="1" applyBorder="1" applyAlignment="1" applyProtection="1">
      <alignment horizontal="center" vertical="top"/>
      <protection locked="0"/>
    </xf>
    <xf numFmtId="4" fontId="42" fillId="0" borderId="1" xfId="0" applyNumberFormat="1" applyFont="1" applyBorder="1" applyAlignment="1" applyProtection="1">
      <alignment horizontal="right" vertical="top"/>
      <protection locked="0"/>
    </xf>
    <xf numFmtId="4" fontId="6" fillId="0" borderId="0" xfId="0" applyNumberFormat="1" applyFont="1" applyAlignment="1" applyProtection="1">
      <alignment horizontal="right"/>
      <protection locked="0"/>
    </xf>
    <xf numFmtId="4" fontId="14" fillId="0" borderId="0" xfId="0" applyNumberFormat="1" applyFont="1" applyAlignment="1" applyProtection="1">
      <alignment horizontal="right"/>
      <protection locked="0"/>
    </xf>
    <xf numFmtId="4" fontId="14" fillId="0" borderId="0" xfId="0" applyNumberFormat="1" applyFont="1" applyAlignment="1" applyProtection="1">
      <alignment horizontal="center"/>
      <protection locked="0"/>
    </xf>
    <xf numFmtId="4" fontId="15" fillId="0" borderId="0" xfId="0" applyNumberFormat="1" applyFont="1" applyAlignment="1" applyProtection="1">
      <alignment horizontal="center"/>
      <protection locked="0"/>
    </xf>
    <xf numFmtId="4" fontId="0" fillId="0" borderId="1" xfId="0" applyNumberFormat="1" applyBorder="1" applyAlignment="1" applyProtection="1">
      <alignment horizontal="center"/>
      <protection locked="0"/>
    </xf>
    <xf numFmtId="4" fontId="0" fillId="0" borderId="1" xfId="0" applyNumberFormat="1" applyBorder="1" applyAlignment="1" applyProtection="1">
      <alignment horizontal="right"/>
      <protection locked="0"/>
    </xf>
    <xf numFmtId="4" fontId="47" fillId="0" borderId="0" xfId="1" applyNumberFormat="1" applyFont="1" applyAlignment="1" applyProtection="1">
      <alignment horizontal="center"/>
      <protection locked="0"/>
    </xf>
    <xf numFmtId="4" fontId="47" fillId="0" borderId="0" xfId="1" applyNumberFormat="1" applyFont="1" applyAlignment="1" applyProtection="1">
      <alignment horizontal="right"/>
      <protection locked="0"/>
    </xf>
    <xf numFmtId="3" fontId="15" fillId="0" borderId="0" xfId="0" applyNumberFormat="1" applyFont="1" applyAlignment="1" applyProtection="1">
      <alignment horizontal="center"/>
      <protection locked="0"/>
    </xf>
    <xf numFmtId="4" fontId="0" fillId="0" borderId="0" xfId="0" applyNumberFormat="1" applyAlignment="1" applyProtection="1">
      <alignment horizontal="center" vertical="top"/>
      <protection locked="0"/>
    </xf>
    <xf numFmtId="4" fontId="0" fillId="0" borderId="0" xfId="0" applyNumberFormat="1" applyAlignment="1" applyProtection="1">
      <alignment horizontal="right" vertical="top"/>
      <protection locked="0"/>
    </xf>
    <xf numFmtId="0" fontId="0" fillId="0" borderId="0" xfId="0" applyProtection="1">
      <protection locked="0"/>
    </xf>
    <xf numFmtId="4" fontId="14" fillId="2" borderId="0" xfId="0" applyNumberFormat="1" applyFont="1" applyFill="1" applyAlignment="1" applyProtection="1">
      <alignment horizontal="center"/>
      <protection locked="0"/>
    </xf>
    <xf numFmtId="4" fontId="6" fillId="2" borderId="0" xfId="0" applyNumberFormat="1" applyFont="1" applyFill="1" applyAlignment="1" applyProtection="1">
      <alignment horizontal="right"/>
      <protection locked="0"/>
    </xf>
    <xf numFmtId="4" fontId="0" fillId="2" borderId="0" xfId="0" applyNumberFormat="1" applyFill="1" applyAlignment="1" applyProtection="1">
      <alignment horizontal="center"/>
      <protection locked="0"/>
    </xf>
    <xf numFmtId="4" fontId="0" fillId="2" borderId="0" xfId="0" applyNumberFormat="1" applyFill="1" applyAlignment="1" applyProtection="1">
      <alignment horizontal="right"/>
      <protection locked="0"/>
    </xf>
    <xf numFmtId="164" fontId="0" fillId="0" borderId="0" xfId="0" applyNumberFormat="1" applyAlignment="1" applyProtection="1">
      <alignment horizontal="center"/>
      <protection locked="0"/>
    </xf>
    <xf numFmtId="164" fontId="0" fillId="0" borderId="0" xfId="0" applyNumberFormat="1" applyAlignment="1" applyProtection="1">
      <alignment horizontal="right"/>
      <protection locked="0"/>
    </xf>
    <xf numFmtId="4" fontId="27" fillId="0" borderId="0" xfId="0" applyNumberFormat="1" applyFont="1" applyAlignment="1" applyProtection="1">
      <alignment horizontal="center"/>
      <protection locked="0"/>
    </xf>
    <xf numFmtId="4" fontId="27" fillId="0" borderId="0" xfId="0" applyNumberFormat="1" applyFont="1" applyAlignment="1" applyProtection="1">
      <alignment horizontal="right"/>
      <protection locked="0"/>
    </xf>
    <xf numFmtId="4" fontId="23" fillId="0" borderId="0" xfId="0" applyNumberFormat="1" applyFont="1" applyAlignment="1" applyProtection="1">
      <alignment horizontal="right"/>
      <protection locked="0"/>
    </xf>
    <xf numFmtId="4" fontId="23" fillId="0" borderId="0" xfId="0" applyNumberFormat="1" applyFont="1" applyAlignment="1" applyProtection="1">
      <alignment horizontal="center"/>
      <protection locked="0"/>
    </xf>
    <xf numFmtId="4" fontId="6" fillId="0" borderId="1" xfId="0" applyNumberFormat="1" applyFont="1" applyBorder="1" applyAlignment="1" applyProtection="1">
      <alignment horizontal="center"/>
      <protection locked="0"/>
    </xf>
    <xf numFmtId="4" fontId="6" fillId="0" borderId="1" xfId="0" applyNumberFormat="1" applyFont="1" applyBorder="1" applyAlignment="1" applyProtection="1">
      <alignment horizontal="right"/>
      <protection locked="0"/>
    </xf>
    <xf numFmtId="4" fontId="15" fillId="0" borderId="0" xfId="0" applyNumberFormat="1" applyFont="1" applyAlignment="1" applyProtection="1">
      <alignment horizontal="center" wrapText="1"/>
      <protection locked="0"/>
    </xf>
    <xf numFmtId="4" fontId="15" fillId="0" borderId="0" xfId="0" applyNumberFormat="1" applyFont="1" applyAlignment="1" applyProtection="1">
      <alignment horizontal="right" wrapText="1"/>
      <protection locked="0"/>
    </xf>
    <xf numFmtId="4" fontId="53" fillId="0" borderId="0" xfId="0" applyNumberFormat="1" applyFont="1" applyAlignment="1" applyProtection="1">
      <alignment horizontal="center"/>
      <protection locked="0"/>
    </xf>
    <xf numFmtId="4" fontId="36" fillId="0" borderId="0" xfId="0" applyNumberFormat="1" applyFont="1" applyAlignment="1" applyProtection="1">
      <alignment horizontal="right"/>
      <protection locked="0"/>
    </xf>
    <xf numFmtId="4" fontId="23" fillId="2" borderId="0" xfId="0" applyNumberFormat="1" applyFont="1" applyFill="1" applyAlignment="1" applyProtection="1">
      <alignment horizontal="center"/>
      <protection locked="0"/>
    </xf>
    <xf numFmtId="4" fontId="23" fillId="2" borderId="0" xfId="0" applyNumberFormat="1" applyFont="1" applyFill="1" applyAlignment="1" applyProtection="1">
      <alignment horizontal="right"/>
      <protection locked="0"/>
    </xf>
    <xf numFmtId="4" fontId="27" fillId="2" borderId="0" xfId="0" applyNumberFormat="1" applyFont="1" applyFill="1" applyAlignment="1" applyProtection="1">
      <alignment horizontal="center"/>
      <protection locked="0"/>
    </xf>
    <xf numFmtId="0" fontId="40" fillId="0" borderId="0" xfId="0" applyFont="1" applyAlignment="1" applyProtection="1">
      <alignment horizontal="center"/>
      <protection locked="0"/>
    </xf>
    <xf numFmtId="0" fontId="40" fillId="0" borderId="0" xfId="0" applyFont="1" applyAlignment="1" applyProtection="1">
      <alignment horizontal="right"/>
      <protection locked="0"/>
    </xf>
    <xf numFmtId="4" fontId="0" fillId="0" borderId="0" xfId="0" applyNumberFormat="1" applyAlignment="1" applyProtection="1">
      <alignment horizontal="center" wrapText="1"/>
      <protection locked="0"/>
    </xf>
    <xf numFmtId="4" fontId="0" fillId="0" borderId="0" xfId="0" applyNumberFormat="1" applyAlignment="1" applyProtection="1">
      <alignment horizontal="center" vertical="center" wrapText="1"/>
      <protection locked="0"/>
    </xf>
    <xf numFmtId="0" fontId="0" fillId="0" borderId="0" xfId="0" applyAlignment="1" applyProtection="1">
      <alignment horizontal="center"/>
      <protection locked="0"/>
    </xf>
    <xf numFmtId="0" fontId="0" fillId="0" borderId="0" xfId="0" applyAlignment="1" applyProtection="1">
      <alignment horizontal="right"/>
      <protection locked="0"/>
    </xf>
    <xf numFmtId="4" fontId="62" fillId="0" borderId="0" xfId="0" applyNumberFormat="1" applyFont="1" applyAlignment="1" applyProtection="1">
      <alignment horizontal="center"/>
      <protection locked="0"/>
    </xf>
    <xf numFmtId="4" fontId="62" fillId="0" borderId="0" xfId="0" applyNumberFormat="1" applyFont="1" applyAlignment="1" applyProtection="1">
      <alignment horizontal="right"/>
      <protection locked="0"/>
    </xf>
    <xf numFmtId="0" fontId="23" fillId="0" borderId="0" xfId="0" applyFont="1" applyAlignment="1" applyProtection="1">
      <alignment horizontal="center"/>
      <protection locked="0"/>
    </xf>
    <xf numFmtId="0" fontId="23" fillId="0" borderId="0" xfId="0" applyFont="1" applyAlignment="1" applyProtection="1">
      <alignment horizontal="right"/>
      <protection locked="0"/>
    </xf>
    <xf numFmtId="4" fontId="15" fillId="0" borderId="0" xfId="1" applyNumberFormat="1" applyFont="1" applyAlignment="1" applyProtection="1">
      <alignment horizontal="center"/>
      <protection locked="0"/>
    </xf>
    <xf numFmtId="4" fontId="15" fillId="0" borderId="0" xfId="1" applyNumberFormat="1" applyFont="1" applyAlignment="1" applyProtection="1">
      <alignment horizontal="right"/>
      <protection locked="0"/>
    </xf>
    <xf numFmtId="0" fontId="54" fillId="0" borderId="0" xfId="0" applyFont="1" applyProtection="1">
      <protection locked="0"/>
    </xf>
    <xf numFmtId="4" fontId="15" fillId="2" borderId="0" xfId="1" applyNumberFormat="1" applyFont="1" applyFill="1" applyAlignment="1" applyProtection="1">
      <alignment horizontal="center"/>
      <protection locked="0"/>
    </xf>
    <xf numFmtId="4" fontId="15" fillId="2" borderId="0" xfId="1" applyNumberFormat="1" applyFont="1" applyFill="1" applyAlignment="1" applyProtection="1">
      <alignment horizontal="right"/>
      <protection locked="0"/>
    </xf>
    <xf numFmtId="4" fontId="15" fillId="2" borderId="0" xfId="0" applyNumberFormat="1" applyFont="1" applyFill="1" applyProtection="1">
      <protection locked="0"/>
    </xf>
    <xf numFmtId="4" fontId="0" fillId="2" borderId="1" xfId="0" applyNumberFormat="1" applyFill="1" applyBorder="1" applyProtection="1">
      <protection locked="0"/>
    </xf>
    <xf numFmtId="4" fontId="6" fillId="2" borderId="0" xfId="0" applyNumberFormat="1" applyFont="1" applyFill="1" applyProtection="1">
      <protection locked="0"/>
    </xf>
    <xf numFmtId="4" fontId="0" fillId="2" borderId="0" xfId="0" applyNumberFormat="1" applyFill="1" applyProtection="1">
      <protection locked="0"/>
    </xf>
    <xf numFmtId="4" fontId="23" fillId="2" borderId="0" xfId="0" applyNumberFormat="1" applyFont="1" applyFill="1" applyProtection="1">
      <protection locked="0"/>
    </xf>
    <xf numFmtId="4" fontId="14" fillId="2" borderId="0" xfId="0" applyNumberFormat="1" applyFont="1" applyFill="1" applyAlignment="1" applyProtection="1">
      <alignment horizontal="right"/>
      <protection locked="0"/>
    </xf>
    <xf numFmtId="4" fontId="6" fillId="2" borderId="0" xfId="1" applyNumberFormat="1" applyFont="1" applyFill="1" applyAlignment="1" applyProtection="1">
      <alignment horizontal="right"/>
      <protection locked="0"/>
    </xf>
    <xf numFmtId="4" fontId="51" fillId="2" borderId="0" xfId="0" applyNumberFormat="1" applyFont="1" applyFill="1" applyAlignment="1" applyProtection="1">
      <alignment horizontal="right"/>
      <protection locked="0"/>
    </xf>
    <xf numFmtId="4" fontId="6" fillId="2" borderId="0" xfId="0" applyNumberFormat="1" applyFont="1" applyFill="1" applyAlignment="1" applyProtection="1">
      <alignment horizontal="center"/>
      <protection locked="0"/>
    </xf>
    <xf numFmtId="4" fontId="6" fillId="2" borderId="1" xfId="0" applyNumberFormat="1" applyFont="1" applyFill="1" applyBorder="1" applyAlignment="1" applyProtection="1">
      <alignment horizontal="center"/>
      <protection locked="0"/>
    </xf>
    <xf numFmtId="4" fontId="6" fillId="2" borderId="1" xfId="0" applyNumberFormat="1" applyFont="1" applyFill="1" applyBorder="1" applyAlignment="1" applyProtection="1">
      <alignment horizontal="right"/>
      <protection locked="0"/>
    </xf>
    <xf numFmtId="0" fontId="39" fillId="0" borderId="0" xfId="0" applyFont="1" applyProtection="1">
      <protection locked="0"/>
    </xf>
    <xf numFmtId="4" fontId="23" fillId="0" borderId="1" xfId="0" applyNumberFormat="1" applyFont="1" applyBorder="1" applyAlignment="1" applyProtection="1">
      <alignment horizontal="center"/>
      <protection locked="0"/>
    </xf>
    <xf numFmtId="4" fontId="23" fillId="0" borderId="1" xfId="0" applyNumberFormat="1" applyFont="1" applyBorder="1" applyAlignment="1" applyProtection="1">
      <alignment horizontal="right"/>
      <protection locked="0"/>
    </xf>
    <xf numFmtId="4" fontId="53" fillId="0" borderId="0" xfId="0" applyNumberFormat="1" applyFont="1" applyAlignment="1" applyProtection="1">
      <alignment horizontal="right"/>
      <protection locked="0"/>
    </xf>
    <xf numFmtId="49" fontId="54" fillId="0" borderId="0" xfId="0" applyNumberFormat="1" applyFont="1" applyAlignment="1" applyProtection="1">
      <alignment horizontal="center"/>
      <protection locked="0"/>
    </xf>
    <xf numFmtId="1" fontId="54" fillId="0" borderId="0" xfId="0" applyNumberFormat="1" applyFont="1" applyAlignment="1" applyProtection="1">
      <alignment horizontal="center" vertical="top"/>
      <protection locked="0"/>
    </xf>
    <xf numFmtId="49" fontId="54" fillId="0" borderId="0" xfId="0" applyNumberFormat="1" applyFont="1" applyAlignment="1" applyProtection="1">
      <alignment horizontal="center" vertical="top"/>
      <protection locked="0"/>
    </xf>
    <xf numFmtId="4" fontId="53" fillId="0" borderId="2" xfId="0" applyNumberFormat="1" applyFont="1" applyBorder="1" applyAlignment="1" applyProtection="1">
      <alignment horizontal="right"/>
      <protection locked="0"/>
    </xf>
    <xf numFmtId="4" fontId="23" fillId="0" borderId="2" xfId="0" applyNumberFormat="1" applyFont="1" applyBorder="1" applyAlignment="1" applyProtection="1">
      <alignment horizontal="right"/>
      <protection locked="0"/>
    </xf>
    <xf numFmtId="4" fontId="36" fillId="0" borderId="2" xfId="0" applyNumberFormat="1" applyFont="1" applyBorder="1" applyAlignment="1" applyProtection="1">
      <alignment horizontal="right"/>
      <protection locked="0"/>
    </xf>
  </cellXfs>
  <cellStyles count="18">
    <cellStyle name="Heading" xfId="9" xr:uid="{00000000-0005-0000-0000-000000000000}"/>
    <cellStyle name="Heading1" xfId="10" xr:uid="{00000000-0005-0000-0000-000001000000}"/>
    <cellStyle name="komadi" xfId="11" xr:uid="{00000000-0005-0000-0000-000002000000}"/>
    <cellStyle name="nabrajanje" xfId="12" xr:uid="{00000000-0005-0000-0000-000003000000}"/>
    <cellStyle name="napomene_2" xfId="13" xr:uid="{00000000-0005-0000-0000-000004000000}"/>
    <cellStyle name="Normal 2" xfId="1" xr:uid="{00000000-0005-0000-0000-000006000000}"/>
    <cellStyle name="Normal 2 2" xfId="6" xr:uid="{00000000-0005-0000-0000-000007000000}"/>
    <cellStyle name="Normal 2 2 2" xfId="14" xr:uid="{00000000-0005-0000-0000-000008000000}"/>
    <cellStyle name="Normal 2 3" xfId="7" xr:uid="{00000000-0005-0000-0000-000009000000}"/>
    <cellStyle name="Normal 3" xfId="2" xr:uid="{00000000-0005-0000-0000-00000A000000}"/>
    <cellStyle name="Normal 3 2" xfId="3" xr:uid="{00000000-0005-0000-0000-00000B000000}"/>
    <cellStyle name="Normal 3 3" xfId="4" xr:uid="{00000000-0005-0000-0000-00000C000000}"/>
    <cellStyle name="Normal 3 4" xfId="15" xr:uid="{00000000-0005-0000-0000-00000D000000}"/>
    <cellStyle name="Normalno" xfId="0" builtinId="0"/>
    <cellStyle name="Normalno 2" xfId="5" xr:uid="{00000000-0005-0000-0000-00000E000000}"/>
    <cellStyle name="Normalno 3" xfId="8" xr:uid="{00000000-0005-0000-0000-00000F000000}"/>
    <cellStyle name="redni brojevi" xfId="16" xr:uid="{00000000-0005-0000-0000-000010000000}"/>
    <cellStyle name="Style 1" xfId="17" xr:uid="{00000000-0005-0000-0000-00001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8</xdr:col>
      <xdr:colOff>0</xdr:colOff>
      <xdr:row>246</xdr:row>
      <xdr:rowOff>0</xdr:rowOff>
    </xdr:from>
    <xdr:ext cx="65" cy="172227"/>
    <xdr:sp macro="" textlink="">
      <xdr:nvSpPr>
        <xdr:cNvPr id="2" name="TekstniOkvir 1">
          <a:extLst>
            <a:ext uri="{FF2B5EF4-FFF2-40B4-BE49-F238E27FC236}">
              <a16:creationId xmlns:a16="http://schemas.microsoft.com/office/drawing/2014/main" id="{2B3A02A8-C9F8-4A11-95E0-5C44268E14BE}"/>
            </a:ext>
          </a:extLst>
        </xdr:cNvPr>
        <xdr:cNvSpPr txBox="1"/>
      </xdr:nvSpPr>
      <xdr:spPr>
        <a:xfrm>
          <a:off x="10563225" y="97659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246</xdr:row>
      <xdr:rowOff>0</xdr:rowOff>
    </xdr:from>
    <xdr:ext cx="65" cy="172227"/>
    <xdr:sp macro="" textlink="">
      <xdr:nvSpPr>
        <xdr:cNvPr id="3" name="TekstniOkvir 2">
          <a:extLst>
            <a:ext uri="{FF2B5EF4-FFF2-40B4-BE49-F238E27FC236}">
              <a16:creationId xmlns:a16="http://schemas.microsoft.com/office/drawing/2014/main" id="{84F08319-FAC2-4CDC-86D4-1C934674507B}"/>
            </a:ext>
          </a:extLst>
        </xdr:cNvPr>
        <xdr:cNvSpPr txBox="1"/>
      </xdr:nvSpPr>
      <xdr:spPr>
        <a:xfrm>
          <a:off x="10563225" y="371846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 name="TekstniOkvir 2">
          <a:extLst>
            <a:ext uri="{FF2B5EF4-FFF2-40B4-BE49-F238E27FC236}">
              <a16:creationId xmlns:a16="http://schemas.microsoft.com/office/drawing/2014/main" id="{D3D1D87D-526D-49B8-91C4-4658037D9F80}"/>
            </a:ext>
          </a:extLst>
        </xdr:cNvPr>
        <xdr:cNvSpPr txBox="1"/>
      </xdr:nvSpPr>
      <xdr:spPr>
        <a:xfrm>
          <a:off x="5314950" y="512311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5" name="TekstniOkvir 3">
          <a:extLst>
            <a:ext uri="{FF2B5EF4-FFF2-40B4-BE49-F238E27FC236}">
              <a16:creationId xmlns:a16="http://schemas.microsoft.com/office/drawing/2014/main" id="{82D0BB91-6F1C-48E4-9F19-F306FD0E5C13}"/>
            </a:ext>
          </a:extLst>
        </xdr:cNvPr>
        <xdr:cNvSpPr txBox="1"/>
      </xdr:nvSpPr>
      <xdr:spPr>
        <a:xfrm>
          <a:off x="5314950" y="51516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6" name="TekstniOkvir 4">
          <a:extLst>
            <a:ext uri="{FF2B5EF4-FFF2-40B4-BE49-F238E27FC236}">
              <a16:creationId xmlns:a16="http://schemas.microsoft.com/office/drawing/2014/main" id="{9AB73A1B-527A-4D38-B304-6655B0C00457}"/>
            </a:ext>
          </a:extLst>
        </xdr:cNvPr>
        <xdr:cNvSpPr txBox="1"/>
      </xdr:nvSpPr>
      <xdr:spPr>
        <a:xfrm>
          <a:off x="5314950" y="51884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7" name="TekstniOkvir 5">
          <a:extLst>
            <a:ext uri="{FF2B5EF4-FFF2-40B4-BE49-F238E27FC236}">
              <a16:creationId xmlns:a16="http://schemas.microsoft.com/office/drawing/2014/main" id="{2C346475-747E-4924-B5F5-D55B13D41F60}"/>
            </a:ext>
          </a:extLst>
        </xdr:cNvPr>
        <xdr:cNvSpPr txBox="1"/>
      </xdr:nvSpPr>
      <xdr:spPr>
        <a:xfrm>
          <a:off x="5314950" y="52208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8" name="TekstniOkvir 6">
          <a:extLst>
            <a:ext uri="{FF2B5EF4-FFF2-40B4-BE49-F238E27FC236}">
              <a16:creationId xmlns:a16="http://schemas.microsoft.com/office/drawing/2014/main" id="{81E90E96-C2B3-4E9F-AA1B-F4D9FA6FA35B}"/>
            </a:ext>
          </a:extLst>
        </xdr:cNvPr>
        <xdr:cNvSpPr txBox="1"/>
      </xdr:nvSpPr>
      <xdr:spPr>
        <a:xfrm>
          <a:off x="5314950" y="525703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9" name="TekstniOkvir 7">
          <a:extLst>
            <a:ext uri="{FF2B5EF4-FFF2-40B4-BE49-F238E27FC236}">
              <a16:creationId xmlns:a16="http://schemas.microsoft.com/office/drawing/2014/main" id="{CE493AFE-B18B-4511-8B33-F2CB727F35C9}"/>
            </a:ext>
          </a:extLst>
        </xdr:cNvPr>
        <xdr:cNvSpPr txBox="1"/>
      </xdr:nvSpPr>
      <xdr:spPr>
        <a:xfrm>
          <a:off x="5314950" y="528370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0" name="TekstniOkvir 8">
          <a:extLst>
            <a:ext uri="{FF2B5EF4-FFF2-40B4-BE49-F238E27FC236}">
              <a16:creationId xmlns:a16="http://schemas.microsoft.com/office/drawing/2014/main" id="{21AAD509-C289-4B88-AA87-31F23C8676A7}"/>
            </a:ext>
          </a:extLst>
        </xdr:cNvPr>
        <xdr:cNvSpPr txBox="1"/>
      </xdr:nvSpPr>
      <xdr:spPr>
        <a:xfrm>
          <a:off x="5314950" y="538143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1" name="TekstniOkvir 9">
          <a:extLst>
            <a:ext uri="{FF2B5EF4-FFF2-40B4-BE49-F238E27FC236}">
              <a16:creationId xmlns:a16="http://schemas.microsoft.com/office/drawing/2014/main" id="{786543D2-9C07-4FA4-918B-01E8A951C387}"/>
            </a:ext>
          </a:extLst>
        </xdr:cNvPr>
        <xdr:cNvSpPr txBox="1"/>
      </xdr:nvSpPr>
      <xdr:spPr>
        <a:xfrm>
          <a:off x="5314950" y="54067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2" name="TekstniOkvir 10">
          <a:extLst>
            <a:ext uri="{FF2B5EF4-FFF2-40B4-BE49-F238E27FC236}">
              <a16:creationId xmlns:a16="http://schemas.microsoft.com/office/drawing/2014/main" id="{EE432A9A-A013-47A9-9791-6532A4F231A1}"/>
            </a:ext>
          </a:extLst>
        </xdr:cNvPr>
        <xdr:cNvSpPr txBox="1"/>
      </xdr:nvSpPr>
      <xdr:spPr>
        <a:xfrm>
          <a:off x="5314950" y="532047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3" name="TekstniOkvir 11">
          <a:extLst>
            <a:ext uri="{FF2B5EF4-FFF2-40B4-BE49-F238E27FC236}">
              <a16:creationId xmlns:a16="http://schemas.microsoft.com/office/drawing/2014/main" id="{B9F6701C-191E-46FB-B5FE-734CCEC8A850}"/>
            </a:ext>
          </a:extLst>
        </xdr:cNvPr>
        <xdr:cNvSpPr txBox="1"/>
      </xdr:nvSpPr>
      <xdr:spPr>
        <a:xfrm>
          <a:off x="5314950" y="535095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4" name="TekstniOkvir 12">
          <a:extLst>
            <a:ext uri="{FF2B5EF4-FFF2-40B4-BE49-F238E27FC236}">
              <a16:creationId xmlns:a16="http://schemas.microsoft.com/office/drawing/2014/main" id="{C11FB523-DA34-4BE3-85D4-84812E131859}"/>
            </a:ext>
          </a:extLst>
        </xdr:cNvPr>
        <xdr:cNvSpPr txBox="1"/>
      </xdr:nvSpPr>
      <xdr:spPr>
        <a:xfrm>
          <a:off x="5314950" y="54334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5" name="TekstniOkvir 13">
          <a:extLst>
            <a:ext uri="{FF2B5EF4-FFF2-40B4-BE49-F238E27FC236}">
              <a16:creationId xmlns:a16="http://schemas.microsoft.com/office/drawing/2014/main" id="{DA7DACC9-C262-4968-9340-6ACC4C7C0509}"/>
            </a:ext>
          </a:extLst>
        </xdr:cNvPr>
        <xdr:cNvSpPr txBox="1"/>
      </xdr:nvSpPr>
      <xdr:spPr>
        <a:xfrm>
          <a:off x="5314950" y="545982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6" name="TekstniOkvir 12">
          <a:extLst>
            <a:ext uri="{FF2B5EF4-FFF2-40B4-BE49-F238E27FC236}">
              <a16:creationId xmlns:a16="http://schemas.microsoft.com/office/drawing/2014/main" id="{FCB697C5-4E73-4C8E-898B-EC922BC71851}"/>
            </a:ext>
          </a:extLst>
        </xdr:cNvPr>
        <xdr:cNvSpPr txBox="1"/>
      </xdr:nvSpPr>
      <xdr:spPr>
        <a:xfrm>
          <a:off x="5314950" y="549792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7" name="TekstniOkvir 13">
          <a:extLst>
            <a:ext uri="{FF2B5EF4-FFF2-40B4-BE49-F238E27FC236}">
              <a16:creationId xmlns:a16="http://schemas.microsoft.com/office/drawing/2014/main" id="{4B236CED-ED2C-4F23-AA35-49681881B151}"/>
            </a:ext>
          </a:extLst>
        </xdr:cNvPr>
        <xdr:cNvSpPr txBox="1"/>
      </xdr:nvSpPr>
      <xdr:spPr>
        <a:xfrm>
          <a:off x="5314950" y="553421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8" name="TekstniOkvir 7">
          <a:extLst>
            <a:ext uri="{FF2B5EF4-FFF2-40B4-BE49-F238E27FC236}">
              <a16:creationId xmlns:a16="http://schemas.microsoft.com/office/drawing/2014/main" id="{20D22D36-A0F7-446F-8564-6A46B8357134}"/>
            </a:ext>
          </a:extLst>
        </xdr:cNvPr>
        <xdr:cNvSpPr txBox="1"/>
      </xdr:nvSpPr>
      <xdr:spPr>
        <a:xfrm>
          <a:off x="5314950" y="552450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19" name="TekstniOkvir 2">
          <a:extLst>
            <a:ext uri="{FF2B5EF4-FFF2-40B4-BE49-F238E27FC236}">
              <a16:creationId xmlns:a16="http://schemas.microsoft.com/office/drawing/2014/main" id="{C873C913-8976-47BB-8062-9C64C625462F}"/>
            </a:ext>
          </a:extLst>
        </xdr:cNvPr>
        <xdr:cNvSpPr txBox="1"/>
      </xdr:nvSpPr>
      <xdr:spPr>
        <a:xfrm>
          <a:off x="5314950" y="512311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0" name="TekstniOkvir 3">
          <a:extLst>
            <a:ext uri="{FF2B5EF4-FFF2-40B4-BE49-F238E27FC236}">
              <a16:creationId xmlns:a16="http://schemas.microsoft.com/office/drawing/2014/main" id="{C3FED140-C854-4373-9131-9A86FEF6D1D4}"/>
            </a:ext>
          </a:extLst>
        </xdr:cNvPr>
        <xdr:cNvSpPr txBox="1"/>
      </xdr:nvSpPr>
      <xdr:spPr>
        <a:xfrm>
          <a:off x="5314950" y="51516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1" name="TekstniOkvir 4">
          <a:extLst>
            <a:ext uri="{FF2B5EF4-FFF2-40B4-BE49-F238E27FC236}">
              <a16:creationId xmlns:a16="http://schemas.microsoft.com/office/drawing/2014/main" id="{BFA605C2-4826-461E-A58C-22EBC249FA04}"/>
            </a:ext>
          </a:extLst>
        </xdr:cNvPr>
        <xdr:cNvSpPr txBox="1"/>
      </xdr:nvSpPr>
      <xdr:spPr>
        <a:xfrm>
          <a:off x="5314950" y="51884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2" name="TekstniOkvir 5">
          <a:extLst>
            <a:ext uri="{FF2B5EF4-FFF2-40B4-BE49-F238E27FC236}">
              <a16:creationId xmlns:a16="http://schemas.microsoft.com/office/drawing/2014/main" id="{0B665FD3-A5BC-4F36-96BA-49EDB26E388C}"/>
            </a:ext>
          </a:extLst>
        </xdr:cNvPr>
        <xdr:cNvSpPr txBox="1"/>
      </xdr:nvSpPr>
      <xdr:spPr>
        <a:xfrm>
          <a:off x="5314950" y="52208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3" name="TekstniOkvir 6">
          <a:extLst>
            <a:ext uri="{FF2B5EF4-FFF2-40B4-BE49-F238E27FC236}">
              <a16:creationId xmlns:a16="http://schemas.microsoft.com/office/drawing/2014/main" id="{BBEA4CE9-7CDF-4996-99C7-A5D1EF77B673}"/>
            </a:ext>
          </a:extLst>
        </xdr:cNvPr>
        <xdr:cNvSpPr txBox="1"/>
      </xdr:nvSpPr>
      <xdr:spPr>
        <a:xfrm>
          <a:off x="5314950" y="525703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4" name="TekstniOkvir 7">
          <a:extLst>
            <a:ext uri="{FF2B5EF4-FFF2-40B4-BE49-F238E27FC236}">
              <a16:creationId xmlns:a16="http://schemas.microsoft.com/office/drawing/2014/main" id="{9C502DA9-7831-441B-B9F0-388FDE162A44}"/>
            </a:ext>
          </a:extLst>
        </xdr:cNvPr>
        <xdr:cNvSpPr txBox="1"/>
      </xdr:nvSpPr>
      <xdr:spPr>
        <a:xfrm>
          <a:off x="5314950" y="528370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5" name="TekstniOkvir 8">
          <a:extLst>
            <a:ext uri="{FF2B5EF4-FFF2-40B4-BE49-F238E27FC236}">
              <a16:creationId xmlns:a16="http://schemas.microsoft.com/office/drawing/2014/main" id="{63C8CF10-C747-400C-8EFC-EFA1B6BC43D6}"/>
            </a:ext>
          </a:extLst>
        </xdr:cNvPr>
        <xdr:cNvSpPr txBox="1"/>
      </xdr:nvSpPr>
      <xdr:spPr>
        <a:xfrm>
          <a:off x="5314950" y="538143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6" name="TekstniOkvir 9">
          <a:extLst>
            <a:ext uri="{FF2B5EF4-FFF2-40B4-BE49-F238E27FC236}">
              <a16:creationId xmlns:a16="http://schemas.microsoft.com/office/drawing/2014/main" id="{E0E00E78-FBDF-4E3F-B95E-95CFBEBFEE8F}"/>
            </a:ext>
          </a:extLst>
        </xdr:cNvPr>
        <xdr:cNvSpPr txBox="1"/>
      </xdr:nvSpPr>
      <xdr:spPr>
        <a:xfrm>
          <a:off x="5314950" y="540677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7" name="TekstniOkvir 10">
          <a:extLst>
            <a:ext uri="{FF2B5EF4-FFF2-40B4-BE49-F238E27FC236}">
              <a16:creationId xmlns:a16="http://schemas.microsoft.com/office/drawing/2014/main" id="{F3128230-23A5-4FC5-9D7D-DB998684FB82}"/>
            </a:ext>
          </a:extLst>
        </xdr:cNvPr>
        <xdr:cNvSpPr txBox="1"/>
      </xdr:nvSpPr>
      <xdr:spPr>
        <a:xfrm>
          <a:off x="5314950" y="532047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8" name="TekstniOkvir 11">
          <a:extLst>
            <a:ext uri="{FF2B5EF4-FFF2-40B4-BE49-F238E27FC236}">
              <a16:creationId xmlns:a16="http://schemas.microsoft.com/office/drawing/2014/main" id="{DC772B22-B9BE-4D5B-9080-6806DEBCAFE4}"/>
            </a:ext>
          </a:extLst>
        </xdr:cNvPr>
        <xdr:cNvSpPr txBox="1"/>
      </xdr:nvSpPr>
      <xdr:spPr>
        <a:xfrm>
          <a:off x="5314950" y="535095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29" name="TekstniOkvir 12">
          <a:extLst>
            <a:ext uri="{FF2B5EF4-FFF2-40B4-BE49-F238E27FC236}">
              <a16:creationId xmlns:a16="http://schemas.microsoft.com/office/drawing/2014/main" id="{404A0DFF-9A70-4FB7-BA7D-CF083BAD5073}"/>
            </a:ext>
          </a:extLst>
        </xdr:cNvPr>
        <xdr:cNvSpPr txBox="1"/>
      </xdr:nvSpPr>
      <xdr:spPr>
        <a:xfrm>
          <a:off x="5314950" y="5433441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0" name="TekstniOkvir 13">
          <a:extLst>
            <a:ext uri="{FF2B5EF4-FFF2-40B4-BE49-F238E27FC236}">
              <a16:creationId xmlns:a16="http://schemas.microsoft.com/office/drawing/2014/main" id="{3E437734-7772-4DA6-8470-93FE8840D0EF}"/>
            </a:ext>
          </a:extLst>
        </xdr:cNvPr>
        <xdr:cNvSpPr txBox="1"/>
      </xdr:nvSpPr>
      <xdr:spPr>
        <a:xfrm>
          <a:off x="5314950" y="545982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1" name="TekstniOkvir 12">
          <a:extLst>
            <a:ext uri="{FF2B5EF4-FFF2-40B4-BE49-F238E27FC236}">
              <a16:creationId xmlns:a16="http://schemas.microsoft.com/office/drawing/2014/main" id="{DF87B6A5-7B4F-4FC4-A076-27A6B552D129}"/>
            </a:ext>
          </a:extLst>
        </xdr:cNvPr>
        <xdr:cNvSpPr txBox="1"/>
      </xdr:nvSpPr>
      <xdr:spPr>
        <a:xfrm>
          <a:off x="5314950" y="549792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2" name="TekstniOkvir 13">
          <a:extLst>
            <a:ext uri="{FF2B5EF4-FFF2-40B4-BE49-F238E27FC236}">
              <a16:creationId xmlns:a16="http://schemas.microsoft.com/office/drawing/2014/main" id="{D43D7F7C-CF71-422E-B834-3E64945BE9B6}"/>
            </a:ext>
          </a:extLst>
        </xdr:cNvPr>
        <xdr:cNvSpPr txBox="1"/>
      </xdr:nvSpPr>
      <xdr:spPr>
        <a:xfrm>
          <a:off x="5314950" y="553421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3" name="TekstniOkvir 7">
          <a:extLst>
            <a:ext uri="{FF2B5EF4-FFF2-40B4-BE49-F238E27FC236}">
              <a16:creationId xmlns:a16="http://schemas.microsoft.com/office/drawing/2014/main" id="{E2E3010C-1088-4717-90BA-5749873159B1}"/>
            </a:ext>
          </a:extLst>
        </xdr:cNvPr>
        <xdr:cNvSpPr txBox="1"/>
      </xdr:nvSpPr>
      <xdr:spPr>
        <a:xfrm>
          <a:off x="5314950" y="552450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4" name="TekstniOkvir 2">
          <a:extLst>
            <a:ext uri="{FF2B5EF4-FFF2-40B4-BE49-F238E27FC236}">
              <a16:creationId xmlns:a16="http://schemas.microsoft.com/office/drawing/2014/main" id="{BF3B5090-1F08-4A8A-B933-406D70137922}"/>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5" name="TekstniOkvir 3">
          <a:extLst>
            <a:ext uri="{FF2B5EF4-FFF2-40B4-BE49-F238E27FC236}">
              <a16:creationId xmlns:a16="http://schemas.microsoft.com/office/drawing/2014/main" id="{BB63E141-3EC8-4512-B498-7D7F6136187B}"/>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6" name="TekstniOkvir 4">
          <a:extLst>
            <a:ext uri="{FF2B5EF4-FFF2-40B4-BE49-F238E27FC236}">
              <a16:creationId xmlns:a16="http://schemas.microsoft.com/office/drawing/2014/main" id="{8F27AC80-5090-4530-99E3-5B54F93C2487}"/>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7" name="TekstniOkvir 5">
          <a:extLst>
            <a:ext uri="{FF2B5EF4-FFF2-40B4-BE49-F238E27FC236}">
              <a16:creationId xmlns:a16="http://schemas.microsoft.com/office/drawing/2014/main" id="{C665E6B9-5D2E-4293-88CA-DD760CC206BB}"/>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8" name="TekstniOkvir 6">
          <a:extLst>
            <a:ext uri="{FF2B5EF4-FFF2-40B4-BE49-F238E27FC236}">
              <a16:creationId xmlns:a16="http://schemas.microsoft.com/office/drawing/2014/main" id="{B79B78C4-E7EB-4871-9396-88146C458F8B}"/>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39" name="TekstniOkvir 7">
          <a:extLst>
            <a:ext uri="{FF2B5EF4-FFF2-40B4-BE49-F238E27FC236}">
              <a16:creationId xmlns:a16="http://schemas.microsoft.com/office/drawing/2014/main" id="{479C0F2E-D2EA-43C2-A423-54019C0BD5E8}"/>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0" name="TekstniOkvir 8">
          <a:extLst>
            <a:ext uri="{FF2B5EF4-FFF2-40B4-BE49-F238E27FC236}">
              <a16:creationId xmlns:a16="http://schemas.microsoft.com/office/drawing/2014/main" id="{6D4415A2-98AC-43AD-B76A-5F4C8F26C5C0}"/>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1" name="TekstniOkvir 9">
          <a:extLst>
            <a:ext uri="{FF2B5EF4-FFF2-40B4-BE49-F238E27FC236}">
              <a16:creationId xmlns:a16="http://schemas.microsoft.com/office/drawing/2014/main" id="{678D3AA1-6A5B-4C7E-8E0B-AC40BCAD3E86}"/>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2" name="TekstniOkvir 10">
          <a:extLst>
            <a:ext uri="{FF2B5EF4-FFF2-40B4-BE49-F238E27FC236}">
              <a16:creationId xmlns:a16="http://schemas.microsoft.com/office/drawing/2014/main" id="{E18FB404-DE7D-47A6-9E9E-D37EA5C8290D}"/>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3" name="TekstniOkvir 11">
          <a:extLst>
            <a:ext uri="{FF2B5EF4-FFF2-40B4-BE49-F238E27FC236}">
              <a16:creationId xmlns:a16="http://schemas.microsoft.com/office/drawing/2014/main" id="{7AA0539F-597D-48DF-A0A1-BD403D873896}"/>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4" name="TekstniOkvir 12">
          <a:extLst>
            <a:ext uri="{FF2B5EF4-FFF2-40B4-BE49-F238E27FC236}">
              <a16:creationId xmlns:a16="http://schemas.microsoft.com/office/drawing/2014/main" id="{48BD5384-D3ED-486B-B79C-9255321DC71C}"/>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5" name="TekstniOkvir 13">
          <a:extLst>
            <a:ext uri="{FF2B5EF4-FFF2-40B4-BE49-F238E27FC236}">
              <a16:creationId xmlns:a16="http://schemas.microsoft.com/office/drawing/2014/main" id="{D669610C-D5B0-444F-AF93-9EC997A2B007}"/>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6" name="TekstniOkvir 12">
          <a:extLst>
            <a:ext uri="{FF2B5EF4-FFF2-40B4-BE49-F238E27FC236}">
              <a16:creationId xmlns:a16="http://schemas.microsoft.com/office/drawing/2014/main" id="{CEA09260-ABF8-4C87-B2A3-064837A29FFA}"/>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7" name="TekstniOkvir 13">
          <a:extLst>
            <a:ext uri="{FF2B5EF4-FFF2-40B4-BE49-F238E27FC236}">
              <a16:creationId xmlns:a16="http://schemas.microsoft.com/office/drawing/2014/main" id="{96ADE0FE-D871-4274-AC86-61D1168B36D5}"/>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246</xdr:row>
      <xdr:rowOff>0</xdr:rowOff>
    </xdr:from>
    <xdr:ext cx="65" cy="172227"/>
    <xdr:sp macro="" textlink="">
      <xdr:nvSpPr>
        <xdr:cNvPr id="48" name="TekstniOkvir 7">
          <a:extLst>
            <a:ext uri="{FF2B5EF4-FFF2-40B4-BE49-F238E27FC236}">
              <a16:creationId xmlns:a16="http://schemas.microsoft.com/office/drawing/2014/main" id="{1DD26473-C66A-4CBE-9D69-EC76D08E8C40}"/>
            </a:ext>
          </a:extLst>
        </xdr:cNvPr>
        <xdr:cNvSpPr txBox="1"/>
      </xdr:nvSpPr>
      <xdr:spPr>
        <a:xfrm>
          <a:off x="6600825" y="227237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21</xdr:row>
      <xdr:rowOff>0</xdr:rowOff>
    </xdr:from>
    <xdr:ext cx="65" cy="172227"/>
    <xdr:sp macro="" textlink="">
      <xdr:nvSpPr>
        <xdr:cNvPr id="2" name="TekstniOkvir 1">
          <a:extLst>
            <a:ext uri="{FF2B5EF4-FFF2-40B4-BE49-F238E27FC236}">
              <a16:creationId xmlns:a16="http://schemas.microsoft.com/office/drawing/2014/main" id="{4498C122-CC48-4364-BB9B-4B819B6D97B1}"/>
            </a:ext>
          </a:extLst>
        </xdr:cNvPr>
        <xdr:cNvSpPr txBox="1"/>
      </xdr:nvSpPr>
      <xdr:spPr>
        <a:xfrm>
          <a:off x="8382000" y="115728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103</xdr:row>
      <xdr:rowOff>0</xdr:rowOff>
    </xdr:from>
    <xdr:ext cx="65" cy="172227"/>
    <xdr:sp macro="" textlink="">
      <xdr:nvSpPr>
        <xdr:cNvPr id="3" name="TekstniOkvir 2">
          <a:extLst>
            <a:ext uri="{FF2B5EF4-FFF2-40B4-BE49-F238E27FC236}">
              <a16:creationId xmlns:a16="http://schemas.microsoft.com/office/drawing/2014/main" id="{5CCFDE19-FD66-4306-BBA1-E151D4073677}"/>
            </a:ext>
          </a:extLst>
        </xdr:cNvPr>
        <xdr:cNvSpPr txBox="1"/>
      </xdr:nvSpPr>
      <xdr:spPr>
        <a:xfrm>
          <a:off x="8382000"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 name="TekstniOkvir 2">
          <a:extLst>
            <a:ext uri="{FF2B5EF4-FFF2-40B4-BE49-F238E27FC236}">
              <a16:creationId xmlns:a16="http://schemas.microsoft.com/office/drawing/2014/main" id="{31A2984B-01BD-4D3C-B7CE-2990336A02A2}"/>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5" name="TekstniOkvir 3">
          <a:extLst>
            <a:ext uri="{FF2B5EF4-FFF2-40B4-BE49-F238E27FC236}">
              <a16:creationId xmlns:a16="http://schemas.microsoft.com/office/drawing/2014/main" id="{37A7022A-F5FC-48EB-83EF-E0FF9C218225}"/>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6" name="TekstniOkvir 4">
          <a:extLst>
            <a:ext uri="{FF2B5EF4-FFF2-40B4-BE49-F238E27FC236}">
              <a16:creationId xmlns:a16="http://schemas.microsoft.com/office/drawing/2014/main" id="{F970C118-DD05-4742-B7D5-251D3AB4254D}"/>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7" name="TekstniOkvir 5">
          <a:extLst>
            <a:ext uri="{FF2B5EF4-FFF2-40B4-BE49-F238E27FC236}">
              <a16:creationId xmlns:a16="http://schemas.microsoft.com/office/drawing/2014/main" id="{4AE172B4-A713-41F3-A8E9-56EA4F3CA6A6}"/>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8" name="TekstniOkvir 6">
          <a:extLst>
            <a:ext uri="{FF2B5EF4-FFF2-40B4-BE49-F238E27FC236}">
              <a16:creationId xmlns:a16="http://schemas.microsoft.com/office/drawing/2014/main" id="{329AD866-CDF4-4304-87B9-842CC27A0D32}"/>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9" name="TekstniOkvir 7">
          <a:extLst>
            <a:ext uri="{FF2B5EF4-FFF2-40B4-BE49-F238E27FC236}">
              <a16:creationId xmlns:a16="http://schemas.microsoft.com/office/drawing/2014/main" id="{31A8018A-CAA4-478C-8F07-96865D4595EF}"/>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0" name="TekstniOkvir 8">
          <a:extLst>
            <a:ext uri="{FF2B5EF4-FFF2-40B4-BE49-F238E27FC236}">
              <a16:creationId xmlns:a16="http://schemas.microsoft.com/office/drawing/2014/main" id="{DDC47D40-9A42-488C-B7F0-D19D4DF11D2F}"/>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1" name="TekstniOkvir 9">
          <a:extLst>
            <a:ext uri="{FF2B5EF4-FFF2-40B4-BE49-F238E27FC236}">
              <a16:creationId xmlns:a16="http://schemas.microsoft.com/office/drawing/2014/main" id="{A2C13A72-1DF4-4F2E-B285-DA5CB3F2EDFD}"/>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2" name="TekstniOkvir 10">
          <a:extLst>
            <a:ext uri="{FF2B5EF4-FFF2-40B4-BE49-F238E27FC236}">
              <a16:creationId xmlns:a16="http://schemas.microsoft.com/office/drawing/2014/main" id="{0DB1C498-47D2-4D9C-AE3F-6F33AF809263}"/>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3" name="TekstniOkvir 11">
          <a:extLst>
            <a:ext uri="{FF2B5EF4-FFF2-40B4-BE49-F238E27FC236}">
              <a16:creationId xmlns:a16="http://schemas.microsoft.com/office/drawing/2014/main" id="{F0FC91BA-59CC-46C8-A4C9-9560645BF8EB}"/>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4" name="TekstniOkvir 12">
          <a:extLst>
            <a:ext uri="{FF2B5EF4-FFF2-40B4-BE49-F238E27FC236}">
              <a16:creationId xmlns:a16="http://schemas.microsoft.com/office/drawing/2014/main" id="{43302552-9DC2-4572-B5C0-02381718FBB6}"/>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5" name="TekstniOkvir 13">
          <a:extLst>
            <a:ext uri="{FF2B5EF4-FFF2-40B4-BE49-F238E27FC236}">
              <a16:creationId xmlns:a16="http://schemas.microsoft.com/office/drawing/2014/main" id="{EE311871-791E-46D8-8855-12307CD71666}"/>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6" name="TekstniOkvir 12">
          <a:extLst>
            <a:ext uri="{FF2B5EF4-FFF2-40B4-BE49-F238E27FC236}">
              <a16:creationId xmlns:a16="http://schemas.microsoft.com/office/drawing/2014/main" id="{8239F60B-60CD-4336-A178-B044512176DA}"/>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7" name="TekstniOkvir 13">
          <a:extLst>
            <a:ext uri="{FF2B5EF4-FFF2-40B4-BE49-F238E27FC236}">
              <a16:creationId xmlns:a16="http://schemas.microsoft.com/office/drawing/2014/main" id="{3E904FFD-41C3-4E19-B4F9-76BF9CC808D2}"/>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8" name="TekstniOkvir 7">
          <a:extLst>
            <a:ext uri="{FF2B5EF4-FFF2-40B4-BE49-F238E27FC236}">
              <a16:creationId xmlns:a16="http://schemas.microsoft.com/office/drawing/2014/main" id="{DB931030-4DF9-4C2F-8ABA-76F79E477CA4}"/>
            </a:ext>
          </a:extLst>
        </xdr:cNvPr>
        <xdr:cNvSpPr txBox="1"/>
      </xdr:nvSpPr>
      <xdr:spPr>
        <a:xfrm>
          <a:off x="7053263" y="3111388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19" name="TekstniOkvir 2">
          <a:extLst>
            <a:ext uri="{FF2B5EF4-FFF2-40B4-BE49-F238E27FC236}">
              <a16:creationId xmlns:a16="http://schemas.microsoft.com/office/drawing/2014/main" id="{9AB26E3C-5CE2-4385-BA2D-F3B4ED16A712}"/>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0" name="TekstniOkvir 3">
          <a:extLst>
            <a:ext uri="{FF2B5EF4-FFF2-40B4-BE49-F238E27FC236}">
              <a16:creationId xmlns:a16="http://schemas.microsoft.com/office/drawing/2014/main" id="{4C2F76DC-8805-4325-834B-860C239C971E}"/>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1" name="TekstniOkvir 4">
          <a:extLst>
            <a:ext uri="{FF2B5EF4-FFF2-40B4-BE49-F238E27FC236}">
              <a16:creationId xmlns:a16="http://schemas.microsoft.com/office/drawing/2014/main" id="{AA164306-6644-4A0A-AD91-7E1A094C26DF}"/>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2" name="TekstniOkvir 5">
          <a:extLst>
            <a:ext uri="{FF2B5EF4-FFF2-40B4-BE49-F238E27FC236}">
              <a16:creationId xmlns:a16="http://schemas.microsoft.com/office/drawing/2014/main" id="{9846AA63-933B-4B2B-BB57-A147AC536F56}"/>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3" name="TekstniOkvir 6">
          <a:extLst>
            <a:ext uri="{FF2B5EF4-FFF2-40B4-BE49-F238E27FC236}">
              <a16:creationId xmlns:a16="http://schemas.microsoft.com/office/drawing/2014/main" id="{697FBB3C-D630-477F-A455-B5D81B38EC82}"/>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4" name="TekstniOkvir 7">
          <a:extLst>
            <a:ext uri="{FF2B5EF4-FFF2-40B4-BE49-F238E27FC236}">
              <a16:creationId xmlns:a16="http://schemas.microsoft.com/office/drawing/2014/main" id="{CEECC428-C4F3-4363-94B4-CE880E4B1412}"/>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5" name="TekstniOkvir 8">
          <a:extLst>
            <a:ext uri="{FF2B5EF4-FFF2-40B4-BE49-F238E27FC236}">
              <a16:creationId xmlns:a16="http://schemas.microsoft.com/office/drawing/2014/main" id="{A93D8BA7-C01E-45F9-9689-F1E2AC3AC72D}"/>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6" name="TekstniOkvir 9">
          <a:extLst>
            <a:ext uri="{FF2B5EF4-FFF2-40B4-BE49-F238E27FC236}">
              <a16:creationId xmlns:a16="http://schemas.microsoft.com/office/drawing/2014/main" id="{73DE4A1E-011E-4FDB-9882-E43C8523A38A}"/>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7" name="TekstniOkvir 10">
          <a:extLst>
            <a:ext uri="{FF2B5EF4-FFF2-40B4-BE49-F238E27FC236}">
              <a16:creationId xmlns:a16="http://schemas.microsoft.com/office/drawing/2014/main" id="{920D3D8D-0194-482B-BF52-33C2FB174CD7}"/>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8" name="TekstniOkvir 11">
          <a:extLst>
            <a:ext uri="{FF2B5EF4-FFF2-40B4-BE49-F238E27FC236}">
              <a16:creationId xmlns:a16="http://schemas.microsoft.com/office/drawing/2014/main" id="{FFAC6A4E-2D9C-4303-951B-7947DD9C9D61}"/>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29" name="TekstniOkvir 12">
          <a:extLst>
            <a:ext uri="{FF2B5EF4-FFF2-40B4-BE49-F238E27FC236}">
              <a16:creationId xmlns:a16="http://schemas.microsoft.com/office/drawing/2014/main" id="{D2F30967-29AE-44B4-B02F-F4A3415B4522}"/>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0" name="TekstniOkvir 13">
          <a:extLst>
            <a:ext uri="{FF2B5EF4-FFF2-40B4-BE49-F238E27FC236}">
              <a16:creationId xmlns:a16="http://schemas.microsoft.com/office/drawing/2014/main" id="{3C24BBEA-516B-4D87-B34B-7270995CB784}"/>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1" name="TekstniOkvir 12">
          <a:extLst>
            <a:ext uri="{FF2B5EF4-FFF2-40B4-BE49-F238E27FC236}">
              <a16:creationId xmlns:a16="http://schemas.microsoft.com/office/drawing/2014/main" id="{BA47DE83-0A8E-4098-B1E8-A3567D2A7654}"/>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2" name="TekstniOkvir 13">
          <a:extLst>
            <a:ext uri="{FF2B5EF4-FFF2-40B4-BE49-F238E27FC236}">
              <a16:creationId xmlns:a16="http://schemas.microsoft.com/office/drawing/2014/main" id="{E8B99F95-0CD7-4218-88C1-A6215009CF17}"/>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3" name="TekstniOkvir 7">
          <a:extLst>
            <a:ext uri="{FF2B5EF4-FFF2-40B4-BE49-F238E27FC236}">
              <a16:creationId xmlns:a16="http://schemas.microsoft.com/office/drawing/2014/main" id="{AA2AB873-9465-4BAC-AB63-B16500867220}"/>
            </a:ext>
          </a:extLst>
        </xdr:cNvPr>
        <xdr:cNvSpPr txBox="1"/>
      </xdr:nvSpPr>
      <xdr:spPr>
        <a:xfrm>
          <a:off x="7053263" y="2575607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4" name="TekstniOkvir 2">
          <a:extLst>
            <a:ext uri="{FF2B5EF4-FFF2-40B4-BE49-F238E27FC236}">
              <a16:creationId xmlns:a16="http://schemas.microsoft.com/office/drawing/2014/main" id="{ED154558-2BC1-41D2-AD40-715A9828C3D2}"/>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5" name="TekstniOkvir 3">
          <a:extLst>
            <a:ext uri="{FF2B5EF4-FFF2-40B4-BE49-F238E27FC236}">
              <a16:creationId xmlns:a16="http://schemas.microsoft.com/office/drawing/2014/main" id="{D37CBF26-0C7D-4558-925D-67CAC2FA5071}"/>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6" name="TekstniOkvir 4">
          <a:extLst>
            <a:ext uri="{FF2B5EF4-FFF2-40B4-BE49-F238E27FC236}">
              <a16:creationId xmlns:a16="http://schemas.microsoft.com/office/drawing/2014/main" id="{BEC242AB-3FA6-4B05-964D-F3A48564CA45}"/>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7" name="TekstniOkvir 5">
          <a:extLst>
            <a:ext uri="{FF2B5EF4-FFF2-40B4-BE49-F238E27FC236}">
              <a16:creationId xmlns:a16="http://schemas.microsoft.com/office/drawing/2014/main" id="{9E10BAC7-4A99-4E03-B310-67378C58555E}"/>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8" name="TekstniOkvir 6">
          <a:extLst>
            <a:ext uri="{FF2B5EF4-FFF2-40B4-BE49-F238E27FC236}">
              <a16:creationId xmlns:a16="http://schemas.microsoft.com/office/drawing/2014/main" id="{D5E1775E-54EC-4132-916B-DE5753DE4CED}"/>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39" name="TekstniOkvir 7">
          <a:extLst>
            <a:ext uri="{FF2B5EF4-FFF2-40B4-BE49-F238E27FC236}">
              <a16:creationId xmlns:a16="http://schemas.microsoft.com/office/drawing/2014/main" id="{D268FEE7-2E02-4753-9A15-1736B94C5AB8}"/>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0" name="TekstniOkvir 8">
          <a:extLst>
            <a:ext uri="{FF2B5EF4-FFF2-40B4-BE49-F238E27FC236}">
              <a16:creationId xmlns:a16="http://schemas.microsoft.com/office/drawing/2014/main" id="{AABF654D-A405-4F23-A8D5-A06D9BCE12EA}"/>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1" name="TekstniOkvir 9">
          <a:extLst>
            <a:ext uri="{FF2B5EF4-FFF2-40B4-BE49-F238E27FC236}">
              <a16:creationId xmlns:a16="http://schemas.microsoft.com/office/drawing/2014/main" id="{5759B7C4-1AC6-4AF9-AD8B-B62B9F1D5421}"/>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2" name="TekstniOkvir 10">
          <a:extLst>
            <a:ext uri="{FF2B5EF4-FFF2-40B4-BE49-F238E27FC236}">
              <a16:creationId xmlns:a16="http://schemas.microsoft.com/office/drawing/2014/main" id="{131745F2-0637-4276-BD42-59E08BE91C62}"/>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3" name="TekstniOkvir 11">
          <a:extLst>
            <a:ext uri="{FF2B5EF4-FFF2-40B4-BE49-F238E27FC236}">
              <a16:creationId xmlns:a16="http://schemas.microsoft.com/office/drawing/2014/main" id="{9DDA101B-BB74-41D9-BAFC-2C9739F28ACC}"/>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4" name="TekstniOkvir 12">
          <a:extLst>
            <a:ext uri="{FF2B5EF4-FFF2-40B4-BE49-F238E27FC236}">
              <a16:creationId xmlns:a16="http://schemas.microsoft.com/office/drawing/2014/main" id="{D005E5F9-5E88-4303-8E06-A67DF03AFA59}"/>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5" name="TekstniOkvir 13">
          <a:extLst>
            <a:ext uri="{FF2B5EF4-FFF2-40B4-BE49-F238E27FC236}">
              <a16:creationId xmlns:a16="http://schemas.microsoft.com/office/drawing/2014/main" id="{26017888-0F63-4651-8154-D591BE47CB3D}"/>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6" name="TekstniOkvir 12">
          <a:extLst>
            <a:ext uri="{FF2B5EF4-FFF2-40B4-BE49-F238E27FC236}">
              <a16:creationId xmlns:a16="http://schemas.microsoft.com/office/drawing/2014/main" id="{6ACD2EFA-3946-4BED-98B3-2E0DA237A826}"/>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7" name="TekstniOkvir 13">
          <a:extLst>
            <a:ext uri="{FF2B5EF4-FFF2-40B4-BE49-F238E27FC236}">
              <a16:creationId xmlns:a16="http://schemas.microsoft.com/office/drawing/2014/main" id="{A520AC3B-3405-4900-A4B9-AFA6DBB07838}"/>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103</xdr:row>
      <xdr:rowOff>0</xdr:rowOff>
    </xdr:from>
    <xdr:ext cx="65" cy="172227"/>
    <xdr:sp macro="" textlink="">
      <xdr:nvSpPr>
        <xdr:cNvPr id="48" name="TekstniOkvir 7">
          <a:extLst>
            <a:ext uri="{FF2B5EF4-FFF2-40B4-BE49-F238E27FC236}">
              <a16:creationId xmlns:a16="http://schemas.microsoft.com/office/drawing/2014/main" id="{8F17D392-9EF6-4B5C-A26C-8919E211863E}"/>
            </a:ext>
          </a:extLst>
        </xdr:cNvPr>
        <xdr:cNvSpPr txBox="1"/>
      </xdr:nvSpPr>
      <xdr:spPr>
        <a:xfrm>
          <a:off x="7053263" y="30477618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3</xdr:row>
      <xdr:rowOff>0</xdr:rowOff>
    </xdr:from>
    <xdr:ext cx="65" cy="172227"/>
    <xdr:sp macro="" textlink="">
      <xdr:nvSpPr>
        <xdr:cNvPr id="2" name="TekstniOkvir 1">
          <a:extLst>
            <a:ext uri="{FF2B5EF4-FFF2-40B4-BE49-F238E27FC236}">
              <a16:creationId xmlns:a16="http://schemas.microsoft.com/office/drawing/2014/main" id="{B734DEB6-2E13-4DF3-BB11-ACD04F9C5844}"/>
            </a:ext>
          </a:extLst>
        </xdr:cNvPr>
        <xdr:cNvSpPr txBox="1"/>
      </xdr:nvSpPr>
      <xdr:spPr>
        <a:xfrm>
          <a:off x="8382000" y="10363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92</xdr:row>
      <xdr:rowOff>0</xdr:rowOff>
    </xdr:from>
    <xdr:ext cx="65" cy="172227"/>
    <xdr:sp macro="" textlink="">
      <xdr:nvSpPr>
        <xdr:cNvPr id="3" name="TekstniOkvir 2">
          <a:extLst>
            <a:ext uri="{FF2B5EF4-FFF2-40B4-BE49-F238E27FC236}">
              <a16:creationId xmlns:a16="http://schemas.microsoft.com/office/drawing/2014/main" id="{F5B191EB-063E-4389-9C5B-A2C953AD12E9}"/>
            </a:ext>
          </a:extLst>
        </xdr:cNvPr>
        <xdr:cNvSpPr txBox="1"/>
      </xdr:nvSpPr>
      <xdr:spPr>
        <a:xfrm>
          <a:off x="8382000"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 name="TekstniOkvir 2">
          <a:extLst>
            <a:ext uri="{FF2B5EF4-FFF2-40B4-BE49-F238E27FC236}">
              <a16:creationId xmlns:a16="http://schemas.microsoft.com/office/drawing/2014/main" id="{733ABA4C-3B90-456A-864B-33499A0B04C2}"/>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5" name="TekstniOkvir 3">
          <a:extLst>
            <a:ext uri="{FF2B5EF4-FFF2-40B4-BE49-F238E27FC236}">
              <a16:creationId xmlns:a16="http://schemas.microsoft.com/office/drawing/2014/main" id="{E9D79A83-E485-465A-A47B-D66A668C33BD}"/>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6" name="TekstniOkvir 4">
          <a:extLst>
            <a:ext uri="{FF2B5EF4-FFF2-40B4-BE49-F238E27FC236}">
              <a16:creationId xmlns:a16="http://schemas.microsoft.com/office/drawing/2014/main" id="{973C97FB-493B-48FD-98C6-3BFC640DFDB9}"/>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7" name="TekstniOkvir 5">
          <a:extLst>
            <a:ext uri="{FF2B5EF4-FFF2-40B4-BE49-F238E27FC236}">
              <a16:creationId xmlns:a16="http://schemas.microsoft.com/office/drawing/2014/main" id="{A13EE824-C4EC-404F-8FC7-0B025F5FA4A3}"/>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8" name="TekstniOkvir 6">
          <a:extLst>
            <a:ext uri="{FF2B5EF4-FFF2-40B4-BE49-F238E27FC236}">
              <a16:creationId xmlns:a16="http://schemas.microsoft.com/office/drawing/2014/main" id="{1B6CA54F-C974-4E94-965C-D3128216B441}"/>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9" name="TekstniOkvir 7">
          <a:extLst>
            <a:ext uri="{FF2B5EF4-FFF2-40B4-BE49-F238E27FC236}">
              <a16:creationId xmlns:a16="http://schemas.microsoft.com/office/drawing/2014/main" id="{BFDAC0DE-5C31-41DF-9226-C17CAAA6E1F5}"/>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0" name="TekstniOkvir 8">
          <a:extLst>
            <a:ext uri="{FF2B5EF4-FFF2-40B4-BE49-F238E27FC236}">
              <a16:creationId xmlns:a16="http://schemas.microsoft.com/office/drawing/2014/main" id="{34CBA760-2774-4D1E-BCD8-6EF9067CEA8F}"/>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1" name="TekstniOkvir 9">
          <a:extLst>
            <a:ext uri="{FF2B5EF4-FFF2-40B4-BE49-F238E27FC236}">
              <a16:creationId xmlns:a16="http://schemas.microsoft.com/office/drawing/2014/main" id="{8D864E4F-F91E-4530-8617-AD42EDC9661A}"/>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2" name="TekstniOkvir 10">
          <a:extLst>
            <a:ext uri="{FF2B5EF4-FFF2-40B4-BE49-F238E27FC236}">
              <a16:creationId xmlns:a16="http://schemas.microsoft.com/office/drawing/2014/main" id="{8FBF1D02-5A03-4039-B827-B04DF16A935B}"/>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3" name="TekstniOkvir 11">
          <a:extLst>
            <a:ext uri="{FF2B5EF4-FFF2-40B4-BE49-F238E27FC236}">
              <a16:creationId xmlns:a16="http://schemas.microsoft.com/office/drawing/2014/main" id="{0CABDA68-F7C6-4EBB-99CB-6B96E2B4199B}"/>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4" name="TekstniOkvir 12">
          <a:extLst>
            <a:ext uri="{FF2B5EF4-FFF2-40B4-BE49-F238E27FC236}">
              <a16:creationId xmlns:a16="http://schemas.microsoft.com/office/drawing/2014/main" id="{56F84748-5BB1-443A-BD4B-267A2DA74F5D}"/>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5" name="TekstniOkvir 13">
          <a:extLst>
            <a:ext uri="{FF2B5EF4-FFF2-40B4-BE49-F238E27FC236}">
              <a16:creationId xmlns:a16="http://schemas.microsoft.com/office/drawing/2014/main" id="{2D366628-2486-428B-AA8A-FC0FA4BE4E2E}"/>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6" name="TekstniOkvir 12">
          <a:extLst>
            <a:ext uri="{FF2B5EF4-FFF2-40B4-BE49-F238E27FC236}">
              <a16:creationId xmlns:a16="http://schemas.microsoft.com/office/drawing/2014/main" id="{1E698BBF-6AB3-451D-993D-A4117610A30F}"/>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7" name="TekstniOkvir 13">
          <a:extLst>
            <a:ext uri="{FF2B5EF4-FFF2-40B4-BE49-F238E27FC236}">
              <a16:creationId xmlns:a16="http://schemas.microsoft.com/office/drawing/2014/main" id="{C696D709-0386-402E-9109-8F20724410C3}"/>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8" name="TekstniOkvir 7">
          <a:extLst>
            <a:ext uri="{FF2B5EF4-FFF2-40B4-BE49-F238E27FC236}">
              <a16:creationId xmlns:a16="http://schemas.microsoft.com/office/drawing/2014/main" id="{44A5B885-4E19-45FD-9D85-CF34753FE070}"/>
            </a:ext>
          </a:extLst>
        </xdr:cNvPr>
        <xdr:cNvSpPr txBox="1"/>
      </xdr:nvSpPr>
      <xdr:spPr>
        <a:xfrm>
          <a:off x="7053263" y="2057733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19" name="TekstniOkvir 2">
          <a:extLst>
            <a:ext uri="{FF2B5EF4-FFF2-40B4-BE49-F238E27FC236}">
              <a16:creationId xmlns:a16="http://schemas.microsoft.com/office/drawing/2014/main" id="{8E902F68-50CA-4605-BCFA-038BCFB78913}"/>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0" name="TekstniOkvir 3">
          <a:extLst>
            <a:ext uri="{FF2B5EF4-FFF2-40B4-BE49-F238E27FC236}">
              <a16:creationId xmlns:a16="http://schemas.microsoft.com/office/drawing/2014/main" id="{114B054F-76CA-4D5F-9CF0-73F99E489034}"/>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1" name="TekstniOkvir 4">
          <a:extLst>
            <a:ext uri="{FF2B5EF4-FFF2-40B4-BE49-F238E27FC236}">
              <a16:creationId xmlns:a16="http://schemas.microsoft.com/office/drawing/2014/main" id="{D6DBC298-7426-4256-9AD9-CAB84274AC0B}"/>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2" name="TekstniOkvir 5">
          <a:extLst>
            <a:ext uri="{FF2B5EF4-FFF2-40B4-BE49-F238E27FC236}">
              <a16:creationId xmlns:a16="http://schemas.microsoft.com/office/drawing/2014/main" id="{F011D1D1-810A-43B6-9C2C-78834A262940}"/>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3" name="TekstniOkvir 6">
          <a:extLst>
            <a:ext uri="{FF2B5EF4-FFF2-40B4-BE49-F238E27FC236}">
              <a16:creationId xmlns:a16="http://schemas.microsoft.com/office/drawing/2014/main" id="{2481948C-2554-433C-A529-55E5D2723690}"/>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4" name="TekstniOkvir 7">
          <a:extLst>
            <a:ext uri="{FF2B5EF4-FFF2-40B4-BE49-F238E27FC236}">
              <a16:creationId xmlns:a16="http://schemas.microsoft.com/office/drawing/2014/main" id="{FD930775-FAE0-42FA-AACD-0E5E76A9DB50}"/>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5" name="TekstniOkvir 8">
          <a:extLst>
            <a:ext uri="{FF2B5EF4-FFF2-40B4-BE49-F238E27FC236}">
              <a16:creationId xmlns:a16="http://schemas.microsoft.com/office/drawing/2014/main" id="{4DD63BD9-9CD1-4828-9E3F-95E4276ED455}"/>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6" name="TekstniOkvir 9">
          <a:extLst>
            <a:ext uri="{FF2B5EF4-FFF2-40B4-BE49-F238E27FC236}">
              <a16:creationId xmlns:a16="http://schemas.microsoft.com/office/drawing/2014/main" id="{78854B0B-F959-498B-B21E-8E9A5C7BDF53}"/>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7" name="TekstniOkvir 10">
          <a:extLst>
            <a:ext uri="{FF2B5EF4-FFF2-40B4-BE49-F238E27FC236}">
              <a16:creationId xmlns:a16="http://schemas.microsoft.com/office/drawing/2014/main" id="{4B9B88A3-0995-4865-9857-EEB46F33DC19}"/>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8" name="TekstniOkvir 11">
          <a:extLst>
            <a:ext uri="{FF2B5EF4-FFF2-40B4-BE49-F238E27FC236}">
              <a16:creationId xmlns:a16="http://schemas.microsoft.com/office/drawing/2014/main" id="{E01CE727-C960-44FD-A446-67F2C614BE1B}"/>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29" name="TekstniOkvir 12">
          <a:extLst>
            <a:ext uri="{FF2B5EF4-FFF2-40B4-BE49-F238E27FC236}">
              <a16:creationId xmlns:a16="http://schemas.microsoft.com/office/drawing/2014/main" id="{9790E891-26D4-4EC3-AFC1-2233A95C9983}"/>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0" name="TekstniOkvir 13">
          <a:extLst>
            <a:ext uri="{FF2B5EF4-FFF2-40B4-BE49-F238E27FC236}">
              <a16:creationId xmlns:a16="http://schemas.microsoft.com/office/drawing/2014/main" id="{FBD23862-E7A0-44B6-BC0D-B6064BFAB9F2}"/>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1" name="TekstniOkvir 12">
          <a:extLst>
            <a:ext uri="{FF2B5EF4-FFF2-40B4-BE49-F238E27FC236}">
              <a16:creationId xmlns:a16="http://schemas.microsoft.com/office/drawing/2014/main" id="{0A1A954A-FEF0-4373-BFA8-6B85E3BE23BE}"/>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2" name="TekstniOkvir 13">
          <a:extLst>
            <a:ext uri="{FF2B5EF4-FFF2-40B4-BE49-F238E27FC236}">
              <a16:creationId xmlns:a16="http://schemas.microsoft.com/office/drawing/2014/main" id="{70BD2A5C-C45D-4CA2-A5D2-C13F9798071D}"/>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3" name="TekstniOkvir 7">
          <a:extLst>
            <a:ext uri="{FF2B5EF4-FFF2-40B4-BE49-F238E27FC236}">
              <a16:creationId xmlns:a16="http://schemas.microsoft.com/office/drawing/2014/main" id="{E597A0EB-2593-4C8C-8B4E-EE9869157B4A}"/>
            </a:ext>
          </a:extLst>
        </xdr:cNvPr>
        <xdr:cNvSpPr txBox="1"/>
      </xdr:nvSpPr>
      <xdr:spPr>
        <a:xfrm>
          <a:off x="7053263" y="15219521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4" name="TekstniOkvir 2">
          <a:extLst>
            <a:ext uri="{FF2B5EF4-FFF2-40B4-BE49-F238E27FC236}">
              <a16:creationId xmlns:a16="http://schemas.microsoft.com/office/drawing/2014/main" id="{5F12AC0D-0289-41E5-AE43-3409DF285084}"/>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5" name="TekstniOkvir 3">
          <a:extLst>
            <a:ext uri="{FF2B5EF4-FFF2-40B4-BE49-F238E27FC236}">
              <a16:creationId xmlns:a16="http://schemas.microsoft.com/office/drawing/2014/main" id="{35C6DD14-1631-44EC-8123-D928417B8D94}"/>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6" name="TekstniOkvir 4">
          <a:extLst>
            <a:ext uri="{FF2B5EF4-FFF2-40B4-BE49-F238E27FC236}">
              <a16:creationId xmlns:a16="http://schemas.microsoft.com/office/drawing/2014/main" id="{DA223FB8-1E7F-431C-869B-B13D6DF6242F}"/>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7" name="TekstniOkvir 5">
          <a:extLst>
            <a:ext uri="{FF2B5EF4-FFF2-40B4-BE49-F238E27FC236}">
              <a16:creationId xmlns:a16="http://schemas.microsoft.com/office/drawing/2014/main" id="{85EC50C6-52D1-48A0-8370-48BBE168A886}"/>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8" name="TekstniOkvir 6">
          <a:extLst>
            <a:ext uri="{FF2B5EF4-FFF2-40B4-BE49-F238E27FC236}">
              <a16:creationId xmlns:a16="http://schemas.microsoft.com/office/drawing/2014/main" id="{906ECD97-6E64-4A9F-8C8D-D75B4C2A55DB}"/>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39" name="TekstniOkvir 7">
          <a:extLst>
            <a:ext uri="{FF2B5EF4-FFF2-40B4-BE49-F238E27FC236}">
              <a16:creationId xmlns:a16="http://schemas.microsoft.com/office/drawing/2014/main" id="{C8AFAD7A-51F3-45CF-9CA7-6518C6A8F366}"/>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0" name="TekstniOkvir 8">
          <a:extLst>
            <a:ext uri="{FF2B5EF4-FFF2-40B4-BE49-F238E27FC236}">
              <a16:creationId xmlns:a16="http://schemas.microsoft.com/office/drawing/2014/main" id="{FEB8D5BA-638F-443C-A277-D025DE8D3CDB}"/>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1" name="TekstniOkvir 9">
          <a:extLst>
            <a:ext uri="{FF2B5EF4-FFF2-40B4-BE49-F238E27FC236}">
              <a16:creationId xmlns:a16="http://schemas.microsoft.com/office/drawing/2014/main" id="{314EED74-FE73-4329-858D-3F9369618217}"/>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2" name="TekstniOkvir 10">
          <a:extLst>
            <a:ext uri="{FF2B5EF4-FFF2-40B4-BE49-F238E27FC236}">
              <a16:creationId xmlns:a16="http://schemas.microsoft.com/office/drawing/2014/main" id="{58E09787-4266-4A04-95B2-AF36893C3F12}"/>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3" name="TekstniOkvir 11">
          <a:extLst>
            <a:ext uri="{FF2B5EF4-FFF2-40B4-BE49-F238E27FC236}">
              <a16:creationId xmlns:a16="http://schemas.microsoft.com/office/drawing/2014/main" id="{A4410CB6-C0D4-4CFD-BC40-FAD360BD04B5}"/>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4" name="TekstniOkvir 12">
          <a:extLst>
            <a:ext uri="{FF2B5EF4-FFF2-40B4-BE49-F238E27FC236}">
              <a16:creationId xmlns:a16="http://schemas.microsoft.com/office/drawing/2014/main" id="{69105DDD-A0AC-4E08-9367-B35BB992BC0B}"/>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5" name="TekstniOkvir 13">
          <a:extLst>
            <a:ext uri="{FF2B5EF4-FFF2-40B4-BE49-F238E27FC236}">
              <a16:creationId xmlns:a16="http://schemas.microsoft.com/office/drawing/2014/main" id="{4A073B39-23E1-4B3B-AED4-F89A1B0C0C6E}"/>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6" name="TekstniOkvir 12">
          <a:extLst>
            <a:ext uri="{FF2B5EF4-FFF2-40B4-BE49-F238E27FC236}">
              <a16:creationId xmlns:a16="http://schemas.microsoft.com/office/drawing/2014/main" id="{A0F8C1CD-1C14-4595-9581-1BACE03D139D}"/>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7" name="TekstniOkvir 13">
          <a:extLst>
            <a:ext uri="{FF2B5EF4-FFF2-40B4-BE49-F238E27FC236}">
              <a16:creationId xmlns:a16="http://schemas.microsoft.com/office/drawing/2014/main" id="{22FE9720-2469-479B-B239-E99EC27916FE}"/>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92</xdr:row>
      <xdr:rowOff>0</xdr:rowOff>
    </xdr:from>
    <xdr:ext cx="65" cy="172227"/>
    <xdr:sp macro="" textlink="">
      <xdr:nvSpPr>
        <xdr:cNvPr id="48" name="TekstniOkvir 7">
          <a:extLst>
            <a:ext uri="{FF2B5EF4-FFF2-40B4-BE49-F238E27FC236}">
              <a16:creationId xmlns:a16="http://schemas.microsoft.com/office/drawing/2014/main" id="{3E489CEC-902D-4E66-BB4A-1E190DC9B23C}"/>
            </a:ext>
          </a:extLst>
        </xdr:cNvPr>
        <xdr:cNvSpPr txBox="1"/>
      </xdr:nvSpPr>
      <xdr:spPr>
        <a:xfrm>
          <a:off x="7053263" y="1994106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AB13B588-9720-47B9-A94F-B6F60ED609CB}"/>
            </a:ext>
          </a:extLst>
        </xdr:cNvPr>
        <xdr:cNvSpPr txBox="1"/>
      </xdr:nvSpPr>
      <xdr:spPr>
        <a:xfrm>
          <a:off x="8382000" y="647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43</xdr:row>
      <xdr:rowOff>0</xdr:rowOff>
    </xdr:from>
    <xdr:ext cx="65" cy="172227"/>
    <xdr:sp macro="" textlink="">
      <xdr:nvSpPr>
        <xdr:cNvPr id="3" name="TekstniOkvir 2">
          <a:extLst>
            <a:ext uri="{FF2B5EF4-FFF2-40B4-BE49-F238E27FC236}">
              <a16:creationId xmlns:a16="http://schemas.microsoft.com/office/drawing/2014/main" id="{CF953363-D6CC-40CC-9B40-285B7738AE1E}"/>
            </a:ext>
          </a:extLst>
        </xdr:cNvPr>
        <xdr:cNvSpPr txBox="1"/>
      </xdr:nvSpPr>
      <xdr:spPr>
        <a:xfrm>
          <a:off x="8382000"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 name="TekstniOkvir 2">
          <a:extLst>
            <a:ext uri="{FF2B5EF4-FFF2-40B4-BE49-F238E27FC236}">
              <a16:creationId xmlns:a16="http://schemas.microsoft.com/office/drawing/2014/main" id="{2757BAAE-65C3-4C12-8333-F7A8F427F2E8}"/>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5" name="TekstniOkvir 3">
          <a:extLst>
            <a:ext uri="{FF2B5EF4-FFF2-40B4-BE49-F238E27FC236}">
              <a16:creationId xmlns:a16="http://schemas.microsoft.com/office/drawing/2014/main" id="{C833CDC8-3799-43A3-9896-F08509963A7C}"/>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6" name="TekstniOkvir 4">
          <a:extLst>
            <a:ext uri="{FF2B5EF4-FFF2-40B4-BE49-F238E27FC236}">
              <a16:creationId xmlns:a16="http://schemas.microsoft.com/office/drawing/2014/main" id="{B9913827-95C5-46A5-854A-416D91C13042}"/>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7" name="TekstniOkvir 5">
          <a:extLst>
            <a:ext uri="{FF2B5EF4-FFF2-40B4-BE49-F238E27FC236}">
              <a16:creationId xmlns:a16="http://schemas.microsoft.com/office/drawing/2014/main" id="{9812F44C-8847-45FC-A500-F5414DFBDB65}"/>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8" name="TekstniOkvir 6">
          <a:extLst>
            <a:ext uri="{FF2B5EF4-FFF2-40B4-BE49-F238E27FC236}">
              <a16:creationId xmlns:a16="http://schemas.microsoft.com/office/drawing/2014/main" id="{57BD588F-FE5F-428E-9056-2A40D3F76852}"/>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9" name="TekstniOkvir 7">
          <a:extLst>
            <a:ext uri="{FF2B5EF4-FFF2-40B4-BE49-F238E27FC236}">
              <a16:creationId xmlns:a16="http://schemas.microsoft.com/office/drawing/2014/main" id="{CBD580A9-7E47-46E0-9392-3CE2818F4A19}"/>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0" name="TekstniOkvir 8">
          <a:extLst>
            <a:ext uri="{FF2B5EF4-FFF2-40B4-BE49-F238E27FC236}">
              <a16:creationId xmlns:a16="http://schemas.microsoft.com/office/drawing/2014/main" id="{39D1BAA4-A971-4403-BEA4-4E112B0811EE}"/>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1" name="TekstniOkvir 9">
          <a:extLst>
            <a:ext uri="{FF2B5EF4-FFF2-40B4-BE49-F238E27FC236}">
              <a16:creationId xmlns:a16="http://schemas.microsoft.com/office/drawing/2014/main" id="{B2006E7B-B352-48B8-AF6C-834EDCCEFD61}"/>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2" name="TekstniOkvir 10">
          <a:extLst>
            <a:ext uri="{FF2B5EF4-FFF2-40B4-BE49-F238E27FC236}">
              <a16:creationId xmlns:a16="http://schemas.microsoft.com/office/drawing/2014/main" id="{A408AD6F-B3BF-4E73-86DA-E176C485D3AE}"/>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3" name="TekstniOkvir 11">
          <a:extLst>
            <a:ext uri="{FF2B5EF4-FFF2-40B4-BE49-F238E27FC236}">
              <a16:creationId xmlns:a16="http://schemas.microsoft.com/office/drawing/2014/main" id="{3BC563F7-653E-4E2F-8283-352C37E0B2C5}"/>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4" name="TekstniOkvir 12">
          <a:extLst>
            <a:ext uri="{FF2B5EF4-FFF2-40B4-BE49-F238E27FC236}">
              <a16:creationId xmlns:a16="http://schemas.microsoft.com/office/drawing/2014/main" id="{6130F12C-EE6F-4DB1-B6FC-227C11D57711}"/>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5" name="TekstniOkvir 13">
          <a:extLst>
            <a:ext uri="{FF2B5EF4-FFF2-40B4-BE49-F238E27FC236}">
              <a16:creationId xmlns:a16="http://schemas.microsoft.com/office/drawing/2014/main" id="{25628830-E412-4C39-92B2-5BEE8DA013C3}"/>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6" name="TekstniOkvir 12">
          <a:extLst>
            <a:ext uri="{FF2B5EF4-FFF2-40B4-BE49-F238E27FC236}">
              <a16:creationId xmlns:a16="http://schemas.microsoft.com/office/drawing/2014/main" id="{4F2543CB-AEA7-4C82-B890-AE85317365E6}"/>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7" name="TekstniOkvir 13">
          <a:extLst>
            <a:ext uri="{FF2B5EF4-FFF2-40B4-BE49-F238E27FC236}">
              <a16:creationId xmlns:a16="http://schemas.microsoft.com/office/drawing/2014/main" id="{B4649045-8D35-46A8-B3C9-1E4AF670B1B8}"/>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8" name="TekstniOkvir 7">
          <a:extLst>
            <a:ext uri="{FF2B5EF4-FFF2-40B4-BE49-F238E27FC236}">
              <a16:creationId xmlns:a16="http://schemas.microsoft.com/office/drawing/2014/main" id="{32CE982A-2579-46E7-8165-9687F9735DDC}"/>
            </a:ext>
          </a:extLst>
        </xdr:cNvPr>
        <xdr:cNvSpPr txBox="1"/>
      </xdr:nvSpPr>
      <xdr:spPr>
        <a:xfrm>
          <a:off x="7053263" y="150856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19" name="TekstniOkvir 2">
          <a:extLst>
            <a:ext uri="{FF2B5EF4-FFF2-40B4-BE49-F238E27FC236}">
              <a16:creationId xmlns:a16="http://schemas.microsoft.com/office/drawing/2014/main" id="{5F973B04-1A05-4B63-97A5-E68D102CA136}"/>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0" name="TekstniOkvir 3">
          <a:extLst>
            <a:ext uri="{FF2B5EF4-FFF2-40B4-BE49-F238E27FC236}">
              <a16:creationId xmlns:a16="http://schemas.microsoft.com/office/drawing/2014/main" id="{1588608F-B334-4487-8D00-5322B9F5B6EC}"/>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1" name="TekstniOkvir 4">
          <a:extLst>
            <a:ext uri="{FF2B5EF4-FFF2-40B4-BE49-F238E27FC236}">
              <a16:creationId xmlns:a16="http://schemas.microsoft.com/office/drawing/2014/main" id="{6C44F46A-5A29-4AB3-8699-0EC369D4684E}"/>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2" name="TekstniOkvir 5">
          <a:extLst>
            <a:ext uri="{FF2B5EF4-FFF2-40B4-BE49-F238E27FC236}">
              <a16:creationId xmlns:a16="http://schemas.microsoft.com/office/drawing/2014/main" id="{1008B0D2-89E9-4744-9643-020169B4DEF1}"/>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3" name="TekstniOkvir 6">
          <a:extLst>
            <a:ext uri="{FF2B5EF4-FFF2-40B4-BE49-F238E27FC236}">
              <a16:creationId xmlns:a16="http://schemas.microsoft.com/office/drawing/2014/main" id="{45E610CB-5A93-488B-830E-8D1C6B3F709F}"/>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4" name="TekstniOkvir 7">
          <a:extLst>
            <a:ext uri="{FF2B5EF4-FFF2-40B4-BE49-F238E27FC236}">
              <a16:creationId xmlns:a16="http://schemas.microsoft.com/office/drawing/2014/main" id="{9DE240DF-6C99-41F3-BDE6-BCA330BC4987}"/>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5" name="TekstniOkvir 8">
          <a:extLst>
            <a:ext uri="{FF2B5EF4-FFF2-40B4-BE49-F238E27FC236}">
              <a16:creationId xmlns:a16="http://schemas.microsoft.com/office/drawing/2014/main" id="{42127B3E-3DAA-4F19-B26A-877A9EBA7EF1}"/>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6" name="TekstniOkvir 9">
          <a:extLst>
            <a:ext uri="{FF2B5EF4-FFF2-40B4-BE49-F238E27FC236}">
              <a16:creationId xmlns:a16="http://schemas.microsoft.com/office/drawing/2014/main" id="{CD04E098-E28B-4C31-AF2B-7CE999B1059E}"/>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7" name="TekstniOkvir 10">
          <a:extLst>
            <a:ext uri="{FF2B5EF4-FFF2-40B4-BE49-F238E27FC236}">
              <a16:creationId xmlns:a16="http://schemas.microsoft.com/office/drawing/2014/main" id="{BA64B885-5008-4E18-9B44-710F69032952}"/>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8" name="TekstniOkvir 11">
          <a:extLst>
            <a:ext uri="{FF2B5EF4-FFF2-40B4-BE49-F238E27FC236}">
              <a16:creationId xmlns:a16="http://schemas.microsoft.com/office/drawing/2014/main" id="{2D3016A5-050F-4AE5-944B-65104EB8CB70}"/>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29" name="TekstniOkvir 12">
          <a:extLst>
            <a:ext uri="{FF2B5EF4-FFF2-40B4-BE49-F238E27FC236}">
              <a16:creationId xmlns:a16="http://schemas.microsoft.com/office/drawing/2014/main" id="{567895CB-3611-4B75-BA69-605662B8A224}"/>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0" name="TekstniOkvir 13">
          <a:extLst>
            <a:ext uri="{FF2B5EF4-FFF2-40B4-BE49-F238E27FC236}">
              <a16:creationId xmlns:a16="http://schemas.microsoft.com/office/drawing/2014/main" id="{A0BE3A3E-A1BB-4975-8DF6-530735DD838C}"/>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1" name="TekstniOkvir 12">
          <a:extLst>
            <a:ext uri="{FF2B5EF4-FFF2-40B4-BE49-F238E27FC236}">
              <a16:creationId xmlns:a16="http://schemas.microsoft.com/office/drawing/2014/main" id="{4F2F7066-4F2E-4882-B913-F3AF89CE3C54}"/>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2" name="TekstniOkvir 13">
          <a:extLst>
            <a:ext uri="{FF2B5EF4-FFF2-40B4-BE49-F238E27FC236}">
              <a16:creationId xmlns:a16="http://schemas.microsoft.com/office/drawing/2014/main" id="{75E826E3-F56F-4253-96E1-140482B644CD}"/>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3" name="TekstniOkvir 7">
          <a:extLst>
            <a:ext uri="{FF2B5EF4-FFF2-40B4-BE49-F238E27FC236}">
              <a16:creationId xmlns:a16="http://schemas.microsoft.com/office/drawing/2014/main" id="{397E8A1F-551E-454D-895F-2D0DE8FDA835}"/>
            </a:ext>
          </a:extLst>
        </xdr:cNvPr>
        <xdr:cNvSpPr txBox="1"/>
      </xdr:nvSpPr>
      <xdr:spPr>
        <a:xfrm>
          <a:off x="7053263" y="97278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4" name="TekstniOkvir 2">
          <a:extLst>
            <a:ext uri="{FF2B5EF4-FFF2-40B4-BE49-F238E27FC236}">
              <a16:creationId xmlns:a16="http://schemas.microsoft.com/office/drawing/2014/main" id="{EE915AD4-4BB4-4876-B1B4-795971971290}"/>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5" name="TekstniOkvir 3">
          <a:extLst>
            <a:ext uri="{FF2B5EF4-FFF2-40B4-BE49-F238E27FC236}">
              <a16:creationId xmlns:a16="http://schemas.microsoft.com/office/drawing/2014/main" id="{6FF28B51-CC52-49EE-9199-2A761633E36E}"/>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6" name="TekstniOkvir 4">
          <a:extLst>
            <a:ext uri="{FF2B5EF4-FFF2-40B4-BE49-F238E27FC236}">
              <a16:creationId xmlns:a16="http://schemas.microsoft.com/office/drawing/2014/main" id="{B94994E0-4514-4B8E-8B64-6F5959030861}"/>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7" name="TekstniOkvir 5">
          <a:extLst>
            <a:ext uri="{FF2B5EF4-FFF2-40B4-BE49-F238E27FC236}">
              <a16:creationId xmlns:a16="http://schemas.microsoft.com/office/drawing/2014/main" id="{A84189E3-1747-41FC-BBB6-CCBF12FD9910}"/>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8" name="TekstniOkvir 6">
          <a:extLst>
            <a:ext uri="{FF2B5EF4-FFF2-40B4-BE49-F238E27FC236}">
              <a16:creationId xmlns:a16="http://schemas.microsoft.com/office/drawing/2014/main" id="{8896ADDB-CD19-4645-B26E-408205B5DEEA}"/>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39" name="TekstniOkvir 7">
          <a:extLst>
            <a:ext uri="{FF2B5EF4-FFF2-40B4-BE49-F238E27FC236}">
              <a16:creationId xmlns:a16="http://schemas.microsoft.com/office/drawing/2014/main" id="{4E286F33-3C8C-4352-A879-2DBAC186F36D}"/>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0" name="TekstniOkvir 8">
          <a:extLst>
            <a:ext uri="{FF2B5EF4-FFF2-40B4-BE49-F238E27FC236}">
              <a16:creationId xmlns:a16="http://schemas.microsoft.com/office/drawing/2014/main" id="{B20F369D-A57C-44BC-AE2D-A7F503724920}"/>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1" name="TekstniOkvir 9">
          <a:extLst>
            <a:ext uri="{FF2B5EF4-FFF2-40B4-BE49-F238E27FC236}">
              <a16:creationId xmlns:a16="http://schemas.microsoft.com/office/drawing/2014/main" id="{403850CE-9977-4634-9375-43417D892D32}"/>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2" name="TekstniOkvir 10">
          <a:extLst>
            <a:ext uri="{FF2B5EF4-FFF2-40B4-BE49-F238E27FC236}">
              <a16:creationId xmlns:a16="http://schemas.microsoft.com/office/drawing/2014/main" id="{5A9EC347-E662-4F2B-9881-3544E95AA36A}"/>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3" name="TekstniOkvir 11">
          <a:extLst>
            <a:ext uri="{FF2B5EF4-FFF2-40B4-BE49-F238E27FC236}">
              <a16:creationId xmlns:a16="http://schemas.microsoft.com/office/drawing/2014/main" id="{A3F9CFC8-E870-4A8A-97D9-A0953964DA02}"/>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4" name="TekstniOkvir 12">
          <a:extLst>
            <a:ext uri="{FF2B5EF4-FFF2-40B4-BE49-F238E27FC236}">
              <a16:creationId xmlns:a16="http://schemas.microsoft.com/office/drawing/2014/main" id="{F5B5E644-7167-4ABC-910A-0C633E4C91D4}"/>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5" name="TekstniOkvir 13">
          <a:extLst>
            <a:ext uri="{FF2B5EF4-FFF2-40B4-BE49-F238E27FC236}">
              <a16:creationId xmlns:a16="http://schemas.microsoft.com/office/drawing/2014/main" id="{3B2D2627-D899-49A0-89C0-0D0F98BD1723}"/>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6" name="TekstniOkvir 12">
          <a:extLst>
            <a:ext uri="{FF2B5EF4-FFF2-40B4-BE49-F238E27FC236}">
              <a16:creationId xmlns:a16="http://schemas.microsoft.com/office/drawing/2014/main" id="{6CB6E800-ECFD-4D2F-A053-10318C168628}"/>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7" name="TekstniOkvir 13">
          <a:extLst>
            <a:ext uri="{FF2B5EF4-FFF2-40B4-BE49-F238E27FC236}">
              <a16:creationId xmlns:a16="http://schemas.microsoft.com/office/drawing/2014/main" id="{44DD8275-7F41-4511-AF02-0AC37803FAA4}"/>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43</xdr:row>
      <xdr:rowOff>0</xdr:rowOff>
    </xdr:from>
    <xdr:ext cx="65" cy="172227"/>
    <xdr:sp macro="" textlink="">
      <xdr:nvSpPr>
        <xdr:cNvPr id="48" name="TekstniOkvir 7">
          <a:extLst>
            <a:ext uri="{FF2B5EF4-FFF2-40B4-BE49-F238E27FC236}">
              <a16:creationId xmlns:a16="http://schemas.microsoft.com/office/drawing/2014/main" id="{E80DC8D2-46FC-4D07-BB5E-65AE9C214993}"/>
            </a:ext>
          </a:extLst>
        </xdr:cNvPr>
        <xdr:cNvSpPr txBox="1"/>
      </xdr:nvSpPr>
      <xdr:spPr>
        <a:xfrm>
          <a:off x="7053263" y="144494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49A6CA5C-832F-4979-A0E3-ADDB2FBF636A}"/>
            </a:ext>
          </a:extLst>
        </xdr:cNvPr>
        <xdr:cNvSpPr txBox="1"/>
      </xdr:nvSpPr>
      <xdr:spPr>
        <a:xfrm>
          <a:off x="8382000"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7</xdr:row>
      <xdr:rowOff>0</xdr:rowOff>
    </xdr:from>
    <xdr:ext cx="65" cy="172227"/>
    <xdr:sp macro="" textlink="">
      <xdr:nvSpPr>
        <xdr:cNvPr id="3" name="TekstniOkvir 2">
          <a:extLst>
            <a:ext uri="{FF2B5EF4-FFF2-40B4-BE49-F238E27FC236}">
              <a16:creationId xmlns:a16="http://schemas.microsoft.com/office/drawing/2014/main" id="{6FB48F62-3FA3-4060-9A85-CB12C500C57A}"/>
            </a:ext>
          </a:extLst>
        </xdr:cNvPr>
        <xdr:cNvSpPr txBox="1"/>
      </xdr:nvSpPr>
      <xdr:spPr>
        <a:xfrm>
          <a:off x="8382000"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 name="TekstniOkvir 2">
          <a:extLst>
            <a:ext uri="{FF2B5EF4-FFF2-40B4-BE49-F238E27FC236}">
              <a16:creationId xmlns:a16="http://schemas.microsoft.com/office/drawing/2014/main" id="{FBEE5545-8876-4419-978C-328D2A8E5E99}"/>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5" name="TekstniOkvir 3">
          <a:extLst>
            <a:ext uri="{FF2B5EF4-FFF2-40B4-BE49-F238E27FC236}">
              <a16:creationId xmlns:a16="http://schemas.microsoft.com/office/drawing/2014/main" id="{A108AA11-CEEC-4636-A9B7-4946038F4589}"/>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6" name="TekstniOkvir 4">
          <a:extLst>
            <a:ext uri="{FF2B5EF4-FFF2-40B4-BE49-F238E27FC236}">
              <a16:creationId xmlns:a16="http://schemas.microsoft.com/office/drawing/2014/main" id="{939CFE6A-26A2-4866-B8BB-F18D096231E7}"/>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7" name="TekstniOkvir 5">
          <a:extLst>
            <a:ext uri="{FF2B5EF4-FFF2-40B4-BE49-F238E27FC236}">
              <a16:creationId xmlns:a16="http://schemas.microsoft.com/office/drawing/2014/main" id="{FC12F1C9-02DF-4EF1-863B-21EFCE89F467}"/>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8" name="TekstniOkvir 6">
          <a:extLst>
            <a:ext uri="{FF2B5EF4-FFF2-40B4-BE49-F238E27FC236}">
              <a16:creationId xmlns:a16="http://schemas.microsoft.com/office/drawing/2014/main" id="{A5E4C41D-CA51-4994-A76F-EBA2666955D6}"/>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9" name="TekstniOkvir 7">
          <a:extLst>
            <a:ext uri="{FF2B5EF4-FFF2-40B4-BE49-F238E27FC236}">
              <a16:creationId xmlns:a16="http://schemas.microsoft.com/office/drawing/2014/main" id="{A6095AE3-5020-49E4-8211-525B3BEFBDBA}"/>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0" name="TekstniOkvir 8">
          <a:extLst>
            <a:ext uri="{FF2B5EF4-FFF2-40B4-BE49-F238E27FC236}">
              <a16:creationId xmlns:a16="http://schemas.microsoft.com/office/drawing/2014/main" id="{EB351D44-D80A-4582-ADB5-6355A33188B8}"/>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1" name="TekstniOkvir 9">
          <a:extLst>
            <a:ext uri="{FF2B5EF4-FFF2-40B4-BE49-F238E27FC236}">
              <a16:creationId xmlns:a16="http://schemas.microsoft.com/office/drawing/2014/main" id="{EE752E26-AD21-43AE-8EC6-61971B71D79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2" name="TekstniOkvir 10">
          <a:extLst>
            <a:ext uri="{FF2B5EF4-FFF2-40B4-BE49-F238E27FC236}">
              <a16:creationId xmlns:a16="http://schemas.microsoft.com/office/drawing/2014/main" id="{9F4978B1-F6EC-4B1B-B543-815E1FE53F92}"/>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3" name="TekstniOkvir 11">
          <a:extLst>
            <a:ext uri="{FF2B5EF4-FFF2-40B4-BE49-F238E27FC236}">
              <a16:creationId xmlns:a16="http://schemas.microsoft.com/office/drawing/2014/main" id="{B5D73113-7AEB-4818-BA50-8BF7EC3FAF6E}"/>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4" name="TekstniOkvir 12">
          <a:extLst>
            <a:ext uri="{FF2B5EF4-FFF2-40B4-BE49-F238E27FC236}">
              <a16:creationId xmlns:a16="http://schemas.microsoft.com/office/drawing/2014/main" id="{4665C1C8-F178-43D5-B083-53F8DE64BC5E}"/>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5" name="TekstniOkvir 13">
          <a:extLst>
            <a:ext uri="{FF2B5EF4-FFF2-40B4-BE49-F238E27FC236}">
              <a16:creationId xmlns:a16="http://schemas.microsoft.com/office/drawing/2014/main" id="{E69F0DCB-3A08-4AD8-8C40-8A6B72F56B4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6" name="TekstniOkvir 12">
          <a:extLst>
            <a:ext uri="{FF2B5EF4-FFF2-40B4-BE49-F238E27FC236}">
              <a16:creationId xmlns:a16="http://schemas.microsoft.com/office/drawing/2014/main" id="{642C7431-B36F-468E-93B2-67779BDFB74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7" name="TekstniOkvir 13">
          <a:extLst>
            <a:ext uri="{FF2B5EF4-FFF2-40B4-BE49-F238E27FC236}">
              <a16:creationId xmlns:a16="http://schemas.microsoft.com/office/drawing/2014/main" id="{7466F173-BDF4-4AF1-89A0-2E3C765D2237}"/>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8" name="TekstniOkvir 7">
          <a:extLst>
            <a:ext uri="{FF2B5EF4-FFF2-40B4-BE49-F238E27FC236}">
              <a16:creationId xmlns:a16="http://schemas.microsoft.com/office/drawing/2014/main" id="{695FE31E-7E7F-4DEB-A60B-6FF3ADEE8475}"/>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19" name="TekstniOkvir 2">
          <a:extLst>
            <a:ext uri="{FF2B5EF4-FFF2-40B4-BE49-F238E27FC236}">
              <a16:creationId xmlns:a16="http://schemas.microsoft.com/office/drawing/2014/main" id="{1E0284FC-AD74-4B00-AF17-54A7295EFC99}"/>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0" name="TekstniOkvir 3">
          <a:extLst>
            <a:ext uri="{FF2B5EF4-FFF2-40B4-BE49-F238E27FC236}">
              <a16:creationId xmlns:a16="http://schemas.microsoft.com/office/drawing/2014/main" id="{6B168C31-2D49-4176-A9CE-A2ED44C607E6}"/>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1" name="TekstniOkvir 4">
          <a:extLst>
            <a:ext uri="{FF2B5EF4-FFF2-40B4-BE49-F238E27FC236}">
              <a16:creationId xmlns:a16="http://schemas.microsoft.com/office/drawing/2014/main" id="{5F76068F-8267-44F9-AE35-2C0641CA8A67}"/>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2" name="TekstniOkvir 5">
          <a:extLst>
            <a:ext uri="{FF2B5EF4-FFF2-40B4-BE49-F238E27FC236}">
              <a16:creationId xmlns:a16="http://schemas.microsoft.com/office/drawing/2014/main" id="{FA9B19BF-9A5F-4138-91B9-AA6341CD26F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3" name="TekstniOkvir 6">
          <a:extLst>
            <a:ext uri="{FF2B5EF4-FFF2-40B4-BE49-F238E27FC236}">
              <a16:creationId xmlns:a16="http://schemas.microsoft.com/office/drawing/2014/main" id="{4C39AAEA-DF68-41EF-A6F1-EB6F16ACB666}"/>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4" name="TekstniOkvir 7">
          <a:extLst>
            <a:ext uri="{FF2B5EF4-FFF2-40B4-BE49-F238E27FC236}">
              <a16:creationId xmlns:a16="http://schemas.microsoft.com/office/drawing/2014/main" id="{B9B330CD-7379-40C6-81D6-07DB82D3A76A}"/>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5" name="TekstniOkvir 8">
          <a:extLst>
            <a:ext uri="{FF2B5EF4-FFF2-40B4-BE49-F238E27FC236}">
              <a16:creationId xmlns:a16="http://schemas.microsoft.com/office/drawing/2014/main" id="{5435065C-E1B4-4444-BB58-9523AEF5179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6" name="TekstniOkvir 9">
          <a:extLst>
            <a:ext uri="{FF2B5EF4-FFF2-40B4-BE49-F238E27FC236}">
              <a16:creationId xmlns:a16="http://schemas.microsoft.com/office/drawing/2014/main" id="{9350F54C-481F-4855-95F3-875CECA35A57}"/>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7" name="TekstniOkvir 10">
          <a:extLst>
            <a:ext uri="{FF2B5EF4-FFF2-40B4-BE49-F238E27FC236}">
              <a16:creationId xmlns:a16="http://schemas.microsoft.com/office/drawing/2014/main" id="{4D5BEF64-61AB-40C0-A7A3-EA1D0F38218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8" name="TekstniOkvir 11">
          <a:extLst>
            <a:ext uri="{FF2B5EF4-FFF2-40B4-BE49-F238E27FC236}">
              <a16:creationId xmlns:a16="http://schemas.microsoft.com/office/drawing/2014/main" id="{F6446502-1D4C-40BF-B2E8-D3B93EBF3D29}"/>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29" name="TekstniOkvir 12">
          <a:extLst>
            <a:ext uri="{FF2B5EF4-FFF2-40B4-BE49-F238E27FC236}">
              <a16:creationId xmlns:a16="http://schemas.microsoft.com/office/drawing/2014/main" id="{9472E000-927B-4BC8-83BC-F8F1885B92BC}"/>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0" name="TekstniOkvir 13">
          <a:extLst>
            <a:ext uri="{FF2B5EF4-FFF2-40B4-BE49-F238E27FC236}">
              <a16:creationId xmlns:a16="http://schemas.microsoft.com/office/drawing/2014/main" id="{D7CEFD4B-1DDE-4D68-821D-6903F0DFE93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1" name="TekstniOkvir 12">
          <a:extLst>
            <a:ext uri="{FF2B5EF4-FFF2-40B4-BE49-F238E27FC236}">
              <a16:creationId xmlns:a16="http://schemas.microsoft.com/office/drawing/2014/main" id="{6FC27BB5-3D92-4465-AE20-C2E3E98F2AE8}"/>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2" name="TekstniOkvir 13">
          <a:extLst>
            <a:ext uri="{FF2B5EF4-FFF2-40B4-BE49-F238E27FC236}">
              <a16:creationId xmlns:a16="http://schemas.microsoft.com/office/drawing/2014/main" id="{0F96B2F8-6FDE-4A39-8807-EB9F665AA3FF}"/>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3" name="TekstniOkvir 7">
          <a:extLst>
            <a:ext uri="{FF2B5EF4-FFF2-40B4-BE49-F238E27FC236}">
              <a16:creationId xmlns:a16="http://schemas.microsoft.com/office/drawing/2014/main" id="{46F206BB-DD91-4AFA-ACF5-8819172AF4F8}"/>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4" name="TekstniOkvir 2">
          <a:extLst>
            <a:ext uri="{FF2B5EF4-FFF2-40B4-BE49-F238E27FC236}">
              <a16:creationId xmlns:a16="http://schemas.microsoft.com/office/drawing/2014/main" id="{1C9F9CDA-8C19-43CC-8D0B-24E8DD5C6C3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5" name="TekstniOkvir 3">
          <a:extLst>
            <a:ext uri="{FF2B5EF4-FFF2-40B4-BE49-F238E27FC236}">
              <a16:creationId xmlns:a16="http://schemas.microsoft.com/office/drawing/2014/main" id="{B030D7BE-A794-434E-9F6E-7337E54D126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6" name="TekstniOkvir 4">
          <a:extLst>
            <a:ext uri="{FF2B5EF4-FFF2-40B4-BE49-F238E27FC236}">
              <a16:creationId xmlns:a16="http://schemas.microsoft.com/office/drawing/2014/main" id="{99BBE09C-B9D4-4551-A951-7C175D0B70AC}"/>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7" name="TekstniOkvir 5">
          <a:extLst>
            <a:ext uri="{FF2B5EF4-FFF2-40B4-BE49-F238E27FC236}">
              <a16:creationId xmlns:a16="http://schemas.microsoft.com/office/drawing/2014/main" id="{323A255C-8E71-4397-9941-DA0FE88B1234}"/>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8" name="TekstniOkvir 6">
          <a:extLst>
            <a:ext uri="{FF2B5EF4-FFF2-40B4-BE49-F238E27FC236}">
              <a16:creationId xmlns:a16="http://schemas.microsoft.com/office/drawing/2014/main" id="{6C1044D7-1691-487C-A0F5-F49F09727DC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39" name="TekstniOkvir 7">
          <a:extLst>
            <a:ext uri="{FF2B5EF4-FFF2-40B4-BE49-F238E27FC236}">
              <a16:creationId xmlns:a16="http://schemas.microsoft.com/office/drawing/2014/main" id="{FFF54877-8FE8-4C82-8870-CB09CBD82F4E}"/>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0" name="TekstniOkvir 8">
          <a:extLst>
            <a:ext uri="{FF2B5EF4-FFF2-40B4-BE49-F238E27FC236}">
              <a16:creationId xmlns:a16="http://schemas.microsoft.com/office/drawing/2014/main" id="{3AAE09DC-8E04-47BC-90D8-E69B4B7351A9}"/>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1" name="TekstniOkvir 9">
          <a:extLst>
            <a:ext uri="{FF2B5EF4-FFF2-40B4-BE49-F238E27FC236}">
              <a16:creationId xmlns:a16="http://schemas.microsoft.com/office/drawing/2014/main" id="{13BBF240-D5EC-4337-ABB3-1B620694D26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2" name="TekstniOkvir 10">
          <a:extLst>
            <a:ext uri="{FF2B5EF4-FFF2-40B4-BE49-F238E27FC236}">
              <a16:creationId xmlns:a16="http://schemas.microsoft.com/office/drawing/2014/main" id="{A5D0F0F9-512D-4CB9-9DBF-6F9B1C24AF70}"/>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3" name="TekstniOkvir 11">
          <a:extLst>
            <a:ext uri="{FF2B5EF4-FFF2-40B4-BE49-F238E27FC236}">
              <a16:creationId xmlns:a16="http://schemas.microsoft.com/office/drawing/2014/main" id="{A9570385-E75C-4733-BE73-40FF7B256058}"/>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4" name="TekstniOkvir 12">
          <a:extLst>
            <a:ext uri="{FF2B5EF4-FFF2-40B4-BE49-F238E27FC236}">
              <a16:creationId xmlns:a16="http://schemas.microsoft.com/office/drawing/2014/main" id="{A630A080-8638-462D-9DDD-70C5CED7BACD}"/>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5" name="TekstniOkvir 13">
          <a:extLst>
            <a:ext uri="{FF2B5EF4-FFF2-40B4-BE49-F238E27FC236}">
              <a16:creationId xmlns:a16="http://schemas.microsoft.com/office/drawing/2014/main" id="{D30B0C47-9BAB-451F-9947-B096CD904A4B}"/>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6" name="TekstniOkvir 12">
          <a:extLst>
            <a:ext uri="{FF2B5EF4-FFF2-40B4-BE49-F238E27FC236}">
              <a16:creationId xmlns:a16="http://schemas.microsoft.com/office/drawing/2014/main" id="{15778A08-8A1C-44B2-9D82-8759FFF2F852}"/>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7" name="TekstniOkvir 13">
          <a:extLst>
            <a:ext uri="{FF2B5EF4-FFF2-40B4-BE49-F238E27FC236}">
              <a16:creationId xmlns:a16="http://schemas.microsoft.com/office/drawing/2014/main" id="{7BECCC5D-A2B6-4183-8DF9-DA26B26A3AFC}"/>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xdr:row>
      <xdr:rowOff>0</xdr:rowOff>
    </xdr:from>
    <xdr:ext cx="65" cy="172227"/>
    <xdr:sp macro="" textlink="">
      <xdr:nvSpPr>
        <xdr:cNvPr id="48" name="TekstniOkvir 7">
          <a:extLst>
            <a:ext uri="{FF2B5EF4-FFF2-40B4-BE49-F238E27FC236}">
              <a16:creationId xmlns:a16="http://schemas.microsoft.com/office/drawing/2014/main" id="{B306C508-CD7A-4C74-AD4A-8E15C7D51053}"/>
            </a:ext>
          </a:extLst>
        </xdr:cNvPr>
        <xdr:cNvSpPr txBox="1"/>
      </xdr:nvSpPr>
      <xdr:spPr>
        <a:xfrm>
          <a:off x="7053263" y="2299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A467F7FF-864A-45DB-BCC2-DCFA9431537A}"/>
            </a:ext>
          </a:extLst>
        </xdr:cNvPr>
        <xdr:cNvSpPr txBox="1"/>
      </xdr:nvSpPr>
      <xdr:spPr>
        <a:xfrm>
          <a:off x="8382000" y="647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71</xdr:row>
      <xdr:rowOff>0</xdr:rowOff>
    </xdr:from>
    <xdr:ext cx="65" cy="172227"/>
    <xdr:sp macro="" textlink="">
      <xdr:nvSpPr>
        <xdr:cNvPr id="3" name="TekstniOkvir 2">
          <a:extLst>
            <a:ext uri="{FF2B5EF4-FFF2-40B4-BE49-F238E27FC236}">
              <a16:creationId xmlns:a16="http://schemas.microsoft.com/office/drawing/2014/main" id="{AB1F447F-72DE-4215-B9F4-6893716276FB}"/>
            </a:ext>
          </a:extLst>
        </xdr:cNvPr>
        <xdr:cNvSpPr txBox="1"/>
      </xdr:nvSpPr>
      <xdr:spPr>
        <a:xfrm>
          <a:off x="8382000"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 name="TekstniOkvir 2">
          <a:extLst>
            <a:ext uri="{FF2B5EF4-FFF2-40B4-BE49-F238E27FC236}">
              <a16:creationId xmlns:a16="http://schemas.microsoft.com/office/drawing/2014/main" id="{8EBCB138-E231-407E-8A93-0D2FB2B630CD}"/>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5" name="TekstniOkvir 3">
          <a:extLst>
            <a:ext uri="{FF2B5EF4-FFF2-40B4-BE49-F238E27FC236}">
              <a16:creationId xmlns:a16="http://schemas.microsoft.com/office/drawing/2014/main" id="{42F6282B-A9C2-4E43-94AD-A9457292AF6C}"/>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6" name="TekstniOkvir 4">
          <a:extLst>
            <a:ext uri="{FF2B5EF4-FFF2-40B4-BE49-F238E27FC236}">
              <a16:creationId xmlns:a16="http://schemas.microsoft.com/office/drawing/2014/main" id="{EE9979E6-33FC-4295-8C51-0533F0F9C9E3}"/>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7" name="TekstniOkvir 5">
          <a:extLst>
            <a:ext uri="{FF2B5EF4-FFF2-40B4-BE49-F238E27FC236}">
              <a16:creationId xmlns:a16="http://schemas.microsoft.com/office/drawing/2014/main" id="{D5F24C5A-0E38-4049-B4F6-A7A5E590AE94}"/>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8" name="TekstniOkvir 6">
          <a:extLst>
            <a:ext uri="{FF2B5EF4-FFF2-40B4-BE49-F238E27FC236}">
              <a16:creationId xmlns:a16="http://schemas.microsoft.com/office/drawing/2014/main" id="{CAC806DE-DA51-4B76-93E5-FAFCC3D6461F}"/>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9" name="TekstniOkvir 7">
          <a:extLst>
            <a:ext uri="{FF2B5EF4-FFF2-40B4-BE49-F238E27FC236}">
              <a16:creationId xmlns:a16="http://schemas.microsoft.com/office/drawing/2014/main" id="{867C92D8-ED04-4280-A26B-94FFD9ED11FB}"/>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0" name="TekstniOkvir 8">
          <a:extLst>
            <a:ext uri="{FF2B5EF4-FFF2-40B4-BE49-F238E27FC236}">
              <a16:creationId xmlns:a16="http://schemas.microsoft.com/office/drawing/2014/main" id="{C07404CA-9855-4BD6-A105-7839582C966F}"/>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1" name="TekstniOkvir 9">
          <a:extLst>
            <a:ext uri="{FF2B5EF4-FFF2-40B4-BE49-F238E27FC236}">
              <a16:creationId xmlns:a16="http://schemas.microsoft.com/office/drawing/2014/main" id="{319A63FA-2A3B-40DF-A27C-38865803E73F}"/>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2" name="TekstniOkvir 10">
          <a:extLst>
            <a:ext uri="{FF2B5EF4-FFF2-40B4-BE49-F238E27FC236}">
              <a16:creationId xmlns:a16="http://schemas.microsoft.com/office/drawing/2014/main" id="{6410D28B-969C-4F2E-A2C0-9FBE9FB8A6FE}"/>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3" name="TekstniOkvir 11">
          <a:extLst>
            <a:ext uri="{FF2B5EF4-FFF2-40B4-BE49-F238E27FC236}">
              <a16:creationId xmlns:a16="http://schemas.microsoft.com/office/drawing/2014/main" id="{E9202FFE-E4F1-45D3-AEC8-7F39FA284B0D}"/>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4" name="TekstniOkvir 12">
          <a:extLst>
            <a:ext uri="{FF2B5EF4-FFF2-40B4-BE49-F238E27FC236}">
              <a16:creationId xmlns:a16="http://schemas.microsoft.com/office/drawing/2014/main" id="{15587399-6AB5-4D8A-BBED-89BC2CD5DF61}"/>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5" name="TekstniOkvir 13">
          <a:extLst>
            <a:ext uri="{FF2B5EF4-FFF2-40B4-BE49-F238E27FC236}">
              <a16:creationId xmlns:a16="http://schemas.microsoft.com/office/drawing/2014/main" id="{4CD53CAC-AD05-4B50-82B6-E7714A133AF9}"/>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6" name="TekstniOkvir 12">
          <a:extLst>
            <a:ext uri="{FF2B5EF4-FFF2-40B4-BE49-F238E27FC236}">
              <a16:creationId xmlns:a16="http://schemas.microsoft.com/office/drawing/2014/main" id="{7E8B8F4A-204F-441E-9AC5-9857FFC0B433}"/>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7" name="TekstniOkvir 13">
          <a:extLst>
            <a:ext uri="{FF2B5EF4-FFF2-40B4-BE49-F238E27FC236}">
              <a16:creationId xmlns:a16="http://schemas.microsoft.com/office/drawing/2014/main" id="{EAB1F173-5C94-4842-AE67-D930C1953F5B}"/>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8" name="TekstniOkvir 7">
          <a:extLst>
            <a:ext uri="{FF2B5EF4-FFF2-40B4-BE49-F238E27FC236}">
              <a16:creationId xmlns:a16="http://schemas.microsoft.com/office/drawing/2014/main" id="{2FD01372-1EED-46B5-A9C9-C391E56BC384}"/>
            </a:ext>
          </a:extLst>
        </xdr:cNvPr>
        <xdr:cNvSpPr txBox="1"/>
      </xdr:nvSpPr>
      <xdr:spPr>
        <a:xfrm>
          <a:off x="7053263" y="9604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19" name="TekstniOkvir 2">
          <a:extLst>
            <a:ext uri="{FF2B5EF4-FFF2-40B4-BE49-F238E27FC236}">
              <a16:creationId xmlns:a16="http://schemas.microsoft.com/office/drawing/2014/main" id="{04E84898-F28F-41A5-9EB3-A5D29468E432}"/>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0" name="TekstniOkvir 3">
          <a:extLst>
            <a:ext uri="{FF2B5EF4-FFF2-40B4-BE49-F238E27FC236}">
              <a16:creationId xmlns:a16="http://schemas.microsoft.com/office/drawing/2014/main" id="{A963304E-D81D-497C-8FC6-2BF761BA8D23}"/>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1" name="TekstniOkvir 4">
          <a:extLst>
            <a:ext uri="{FF2B5EF4-FFF2-40B4-BE49-F238E27FC236}">
              <a16:creationId xmlns:a16="http://schemas.microsoft.com/office/drawing/2014/main" id="{9B719674-BD1F-47A1-A683-DED9E7FADCB7}"/>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2" name="TekstniOkvir 5">
          <a:extLst>
            <a:ext uri="{FF2B5EF4-FFF2-40B4-BE49-F238E27FC236}">
              <a16:creationId xmlns:a16="http://schemas.microsoft.com/office/drawing/2014/main" id="{C6094FF4-9F7B-40D5-AC06-958AE84B2035}"/>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3" name="TekstniOkvir 6">
          <a:extLst>
            <a:ext uri="{FF2B5EF4-FFF2-40B4-BE49-F238E27FC236}">
              <a16:creationId xmlns:a16="http://schemas.microsoft.com/office/drawing/2014/main" id="{9DA8DF28-6F0A-4615-97D2-19BB2C5D434D}"/>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4" name="TekstniOkvir 7">
          <a:extLst>
            <a:ext uri="{FF2B5EF4-FFF2-40B4-BE49-F238E27FC236}">
              <a16:creationId xmlns:a16="http://schemas.microsoft.com/office/drawing/2014/main" id="{B3EE8A77-1BCF-466B-8C7C-98B93CC3114A}"/>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5" name="TekstniOkvir 8">
          <a:extLst>
            <a:ext uri="{FF2B5EF4-FFF2-40B4-BE49-F238E27FC236}">
              <a16:creationId xmlns:a16="http://schemas.microsoft.com/office/drawing/2014/main" id="{4F22F3DA-AA11-4A28-9AA9-AC7CC9DD5D6D}"/>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6" name="TekstniOkvir 9">
          <a:extLst>
            <a:ext uri="{FF2B5EF4-FFF2-40B4-BE49-F238E27FC236}">
              <a16:creationId xmlns:a16="http://schemas.microsoft.com/office/drawing/2014/main" id="{22E4D62F-CDEA-4D27-93FA-937E1492C5C3}"/>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7" name="TekstniOkvir 10">
          <a:extLst>
            <a:ext uri="{FF2B5EF4-FFF2-40B4-BE49-F238E27FC236}">
              <a16:creationId xmlns:a16="http://schemas.microsoft.com/office/drawing/2014/main" id="{B88FA7D4-C7A2-43B5-8768-C6DD9EB8C755}"/>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8" name="TekstniOkvir 11">
          <a:extLst>
            <a:ext uri="{FF2B5EF4-FFF2-40B4-BE49-F238E27FC236}">
              <a16:creationId xmlns:a16="http://schemas.microsoft.com/office/drawing/2014/main" id="{BF1F252F-BA2E-4B3B-BE7D-99DB0DBBD983}"/>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29" name="TekstniOkvir 12">
          <a:extLst>
            <a:ext uri="{FF2B5EF4-FFF2-40B4-BE49-F238E27FC236}">
              <a16:creationId xmlns:a16="http://schemas.microsoft.com/office/drawing/2014/main" id="{638B2614-0127-440B-9D81-22F37EDC43BB}"/>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0" name="TekstniOkvir 13">
          <a:extLst>
            <a:ext uri="{FF2B5EF4-FFF2-40B4-BE49-F238E27FC236}">
              <a16:creationId xmlns:a16="http://schemas.microsoft.com/office/drawing/2014/main" id="{11F62BF4-3300-4541-B1C2-E328C3ED4EDB}"/>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1" name="TekstniOkvir 12">
          <a:extLst>
            <a:ext uri="{FF2B5EF4-FFF2-40B4-BE49-F238E27FC236}">
              <a16:creationId xmlns:a16="http://schemas.microsoft.com/office/drawing/2014/main" id="{BAC821F2-492F-40BF-9B29-0BE2B350DF85}"/>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2" name="TekstniOkvir 13">
          <a:extLst>
            <a:ext uri="{FF2B5EF4-FFF2-40B4-BE49-F238E27FC236}">
              <a16:creationId xmlns:a16="http://schemas.microsoft.com/office/drawing/2014/main" id="{BF36CEB9-D2E2-47BF-9BD7-A7DDECDD3DED}"/>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3" name="TekstniOkvir 7">
          <a:extLst>
            <a:ext uri="{FF2B5EF4-FFF2-40B4-BE49-F238E27FC236}">
              <a16:creationId xmlns:a16="http://schemas.microsoft.com/office/drawing/2014/main" id="{640CB170-7D94-4BCA-B542-571A061B7E93}"/>
            </a:ext>
          </a:extLst>
        </xdr:cNvPr>
        <xdr:cNvSpPr txBox="1"/>
      </xdr:nvSpPr>
      <xdr:spPr>
        <a:xfrm>
          <a:off x="7053263" y="42462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4" name="TekstniOkvir 2">
          <a:extLst>
            <a:ext uri="{FF2B5EF4-FFF2-40B4-BE49-F238E27FC236}">
              <a16:creationId xmlns:a16="http://schemas.microsoft.com/office/drawing/2014/main" id="{85CFE6B3-930C-4B18-A5FF-6E642D816D39}"/>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5" name="TekstniOkvir 3">
          <a:extLst>
            <a:ext uri="{FF2B5EF4-FFF2-40B4-BE49-F238E27FC236}">
              <a16:creationId xmlns:a16="http://schemas.microsoft.com/office/drawing/2014/main" id="{10CC640B-8CA6-4115-B390-3613ABAD623D}"/>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6" name="TekstniOkvir 4">
          <a:extLst>
            <a:ext uri="{FF2B5EF4-FFF2-40B4-BE49-F238E27FC236}">
              <a16:creationId xmlns:a16="http://schemas.microsoft.com/office/drawing/2014/main" id="{36B0EAE9-7A12-4EE9-AB60-03CA6319B5D0}"/>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7" name="TekstniOkvir 5">
          <a:extLst>
            <a:ext uri="{FF2B5EF4-FFF2-40B4-BE49-F238E27FC236}">
              <a16:creationId xmlns:a16="http://schemas.microsoft.com/office/drawing/2014/main" id="{A7CB419D-76CD-4A3B-A76C-03302C9C4F73}"/>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8" name="TekstniOkvir 6">
          <a:extLst>
            <a:ext uri="{FF2B5EF4-FFF2-40B4-BE49-F238E27FC236}">
              <a16:creationId xmlns:a16="http://schemas.microsoft.com/office/drawing/2014/main" id="{44893BC0-8964-490A-9822-CEACF1C1CF59}"/>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39" name="TekstniOkvir 7">
          <a:extLst>
            <a:ext uri="{FF2B5EF4-FFF2-40B4-BE49-F238E27FC236}">
              <a16:creationId xmlns:a16="http://schemas.microsoft.com/office/drawing/2014/main" id="{11FD822B-3729-401D-AEB3-A3738F9A7D41}"/>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0" name="TekstniOkvir 8">
          <a:extLst>
            <a:ext uri="{FF2B5EF4-FFF2-40B4-BE49-F238E27FC236}">
              <a16:creationId xmlns:a16="http://schemas.microsoft.com/office/drawing/2014/main" id="{4CBC1CBC-C45E-4446-9D17-231D08804C5E}"/>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1" name="TekstniOkvir 9">
          <a:extLst>
            <a:ext uri="{FF2B5EF4-FFF2-40B4-BE49-F238E27FC236}">
              <a16:creationId xmlns:a16="http://schemas.microsoft.com/office/drawing/2014/main" id="{6308CBD8-0B3D-4AD2-952D-1B5F3F3B6575}"/>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2" name="TekstniOkvir 10">
          <a:extLst>
            <a:ext uri="{FF2B5EF4-FFF2-40B4-BE49-F238E27FC236}">
              <a16:creationId xmlns:a16="http://schemas.microsoft.com/office/drawing/2014/main" id="{BE80AB24-69AB-411A-AA48-6CFE73B3F46F}"/>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3" name="TekstniOkvir 11">
          <a:extLst>
            <a:ext uri="{FF2B5EF4-FFF2-40B4-BE49-F238E27FC236}">
              <a16:creationId xmlns:a16="http://schemas.microsoft.com/office/drawing/2014/main" id="{10671DB5-E593-4F32-BE69-E8E67D0FDF3F}"/>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4" name="TekstniOkvir 12">
          <a:extLst>
            <a:ext uri="{FF2B5EF4-FFF2-40B4-BE49-F238E27FC236}">
              <a16:creationId xmlns:a16="http://schemas.microsoft.com/office/drawing/2014/main" id="{33680619-A761-4CA0-AB5D-BF9475B63C7C}"/>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5" name="TekstniOkvir 13">
          <a:extLst>
            <a:ext uri="{FF2B5EF4-FFF2-40B4-BE49-F238E27FC236}">
              <a16:creationId xmlns:a16="http://schemas.microsoft.com/office/drawing/2014/main" id="{CEB16303-33DC-4EC4-8F3D-602F6A1BEFB4}"/>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6" name="TekstniOkvir 12">
          <a:extLst>
            <a:ext uri="{FF2B5EF4-FFF2-40B4-BE49-F238E27FC236}">
              <a16:creationId xmlns:a16="http://schemas.microsoft.com/office/drawing/2014/main" id="{7010A741-7E5A-45A8-8805-2FD135C5C64A}"/>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7" name="TekstniOkvir 13">
          <a:extLst>
            <a:ext uri="{FF2B5EF4-FFF2-40B4-BE49-F238E27FC236}">
              <a16:creationId xmlns:a16="http://schemas.microsoft.com/office/drawing/2014/main" id="{D5C43922-9882-4906-BA71-9DB56AE187F1}"/>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71</xdr:row>
      <xdr:rowOff>0</xdr:rowOff>
    </xdr:from>
    <xdr:ext cx="65" cy="172227"/>
    <xdr:sp macro="" textlink="">
      <xdr:nvSpPr>
        <xdr:cNvPr id="48" name="TekstniOkvir 7">
          <a:extLst>
            <a:ext uri="{FF2B5EF4-FFF2-40B4-BE49-F238E27FC236}">
              <a16:creationId xmlns:a16="http://schemas.microsoft.com/office/drawing/2014/main" id="{410F2FA2-108D-4AB1-969D-676FAE26F0DB}"/>
            </a:ext>
          </a:extLst>
        </xdr:cNvPr>
        <xdr:cNvSpPr txBox="1"/>
      </xdr:nvSpPr>
      <xdr:spPr>
        <a:xfrm>
          <a:off x="7053263" y="896778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BFCD4C39-CE81-40C0-9D80-193C09F3089F}"/>
            </a:ext>
          </a:extLst>
        </xdr:cNvPr>
        <xdr:cNvSpPr txBox="1"/>
      </xdr:nvSpPr>
      <xdr:spPr>
        <a:xfrm>
          <a:off x="8382000"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0</xdr:row>
      <xdr:rowOff>0</xdr:rowOff>
    </xdr:from>
    <xdr:ext cx="65" cy="172227"/>
    <xdr:sp macro="" textlink="">
      <xdr:nvSpPr>
        <xdr:cNvPr id="3" name="TekstniOkvir 2">
          <a:extLst>
            <a:ext uri="{FF2B5EF4-FFF2-40B4-BE49-F238E27FC236}">
              <a16:creationId xmlns:a16="http://schemas.microsoft.com/office/drawing/2014/main" id="{DAE8D00B-14E9-48CE-97FE-8E38FD75599B}"/>
            </a:ext>
          </a:extLst>
        </xdr:cNvPr>
        <xdr:cNvSpPr txBox="1"/>
      </xdr:nvSpPr>
      <xdr:spPr>
        <a:xfrm>
          <a:off x="8382000"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 name="TekstniOkvir 2">
          <a:extLst>
            <a:ext uri="{FF2B5EF4-FFF2-40B4-BE49-F238E27FC236}">
              <a16:creationId xmlns:a16="http://schemas.microsoft.com/office/drawing/2014/main" id="{7C43209A-4DAB-4894-B0A3-CD086AE969CF}"/>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5" name="TekstniOkvir 3">
          <a:extLst>
            <a:ext uri="{FF2B5EF4-FFF2-40B4-BE49-F238E27FC236}">
              <a16:creationId xmlns:a16="http://schemas.microsoft.com/office/drawing/2014/main" id="{9590BB57-0E54-4DD4-A9D2-FA4A89375DF6}"/>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6" name="TekstniOkvir 4">
          <a:extLst>
            <a:ext uri="{FF2B5EF4-FFF2-40B4-BE49-F238E27FC236}">
              <a16:creationId xmlns:a16="http://schemas.microsoft.com/office/drawing/2014/main" id="{27CC0C03-16F5-43F9-80FF-59E7C766A26D}"/>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7" name="TekstniOkvir 5">
          <a:extLst>
            <a:ext uri="{FF2B5EF4-FFF2-40B4-BE49-F238E27FC236}">
              <a16:creationId xmlns:a16="http://schemas.microsoft.com/office/drawing/2014/main" id="{FB537E67-F616-4BBB-AE98-AD133332B799}"/>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8" name="TekstniOkvir 6">
          <a:extLst>
            <a:ext uri="{FF2B5EF4-FFF2-40B4-BE49-F238E27FC236}">
              <a16:creationId xmlns:a16="http://schemas.microsoft.com/office/drawing/2014/main" id="{9044D4ED-4817-4C6E-907B-32774F8FE800}"/>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9" name="TekstniOkvir 7">
          <a:extLst>
            <a:ext uri="{FF2B5EF4-FFF2-40B4-BE49-F238E27FC236}">
              <a16:creationId xmlns:a16="http://schemas.microsoft.com/office/drawing/2014/main" id="{0EC935B1-0256-448D-80F4-4540B025FC6C}"/>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0" name="TekstniOkvir 8">
          <a:extLst>
            <a:ext uri="{FF2B5EF4-FFF2-40B4-BE49-F238E27FC236}">
              <a16:creationId xmlns:a16="http://schemas.microsoft.com/office/drawing/2014/main" id="{F693D26E-50D8-45F2-A12C-3FECB0B186D5}"/>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1" name="TekstniOkvir 9">
          <a:extLst>
            <a:ext uri="{FF2B5EF4-FFF2-40B4-BE49-F238E27FC236}">
              <a16:creationId xmlns:a16="http://schemas.microsoft.com/office/drawing/2014/main" id="{3AC353BF-0331-43B9-AFA7-66BD9A7D50A7}"/>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2" name="TekstniOkvir 10">
          <a:extLst>
            <a:ext uri="{FF2B5EF4-FFF2-40B4-BE49-F238E27FC236}">
              <a16:creationId xmlns:a16="http://schemas.microsoft.com/office/drawing/2014/main" id="{F9B64758-618C-425D-A1A4-EB9559381E04}"/>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3" name="TekstniOkvir 11">
          <a:extLst>
            <a:ext uri="{FF2B5EF4-FFF2-40B4-BE49-F238E27FC236}">
              <a16:creationId xmlns:a16="http://schemas.microsoft.com/office/drawing/2014/main" id="{B38E535E-B5DC-4F98-AC2C-F943A554CE72}"/>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4" name="TekstniOkvir 12">
          <a:extLst>
            <a:ext uri="{FF2B5EF4-FFF2-40B4-BE49-F238E27FC236}">
              <a16:creationId xmlns:a16="http://schemas.microsoft.com/office/drawing/2014/main" id="{95B34774-F92E-4E11-AE89-D75D5297C017}"/>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5" name="TekstniOkvir 13">
          <a:extLst>
            <a:ext uri="{FF2B5EF4-FFF2-40B4-BE49-F238E27FC236}">
              <a16:creationId xmlns:a16="http://schemas.microsoft.com/office/drawing/2014/main" id="{78D8982B-4231-4191-9EBA-6EF12A72A94F}"/>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6" name="TekstniOkvir 12">
          <a:extLst>
            <a:ext uri="{FF2B5EF4-FFF2-40B4-BE49-F238E27FC236}">
              <a16:creationId xmlns:a16="http://schemas.microsoft.com/office/drawing/2014/main" id="{E531195E-BC41-403B-9CEA-45E3DD02C150}"/>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7" name="TekstniOkvir 13">
          <a:extLst>
            <a:ext uri="{FF2B5EF4-FFF2-40B4-BE49-F238E27FC236}">
              <a16:creationId xmlns:a16="http://schemas.microsoft.com/office/drawing/2014/main" id="{CA35D94B-1FF5-4C4A-9268-F754E341B9A8}"/>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18" name="TekstniOkvir 7">
          <a:extLst>
            <a:ext uri="{FF2B5EF4-FFF2-40B4-BE49-F238E27FC236}">
              <a16:creationId xmlns:a16="http://schemas.microsoft.com/office/drawing/2014/main" id="{15E2ED30-665B-4A9D-B570-8D01251AC436}"/>
            </a:ext>
          </a:extLst>
        </xdr:cNvPr>
        <xdr:cNvSpPr txBox="1"/>
      </xdr:nvSpPr>
      <xdr:spPr>
        <a:xfrm>
          <a:off x="7053263" y="27651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19" name="TekstniOkvir 2">
          <a:extLst>
            <a:ext uri="{FF2B5EF4-FFF2-40B4-BE49-F238E27FC236}">
              <a16:creationId xmlns:a16="http://schemas.microsoft.com/office/drawing/2014/main" id="{5DF46DFC-67CA-4AF7-A712-157874455DC3}"/>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0" name="TekstniOkvir 3">
          <a:extLst>
            <a:ext uri="{FF2B5EF4-FFF2-40B4-BE49-F238E27FC236}">
              <a16:creationId xmlns:a16="http://schemas.microsoft.com/office/drawing/2014/main" id="{E4EB27A3-6378-48D9-AAD8-D5D289159775}"/>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1" name="TekstniOkvir 4">
          <a:extLst>
            <a:ext uri="{FF2B5EF4-FFF2-40B4-BE49-F238E27FC236}">
              <a16:creationId xmlns:a16="http://schemas.microsoft.com/office/drawing/2014/main" id="{0043819D-02DE-4440-9206-E876B499222D}"/>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2" name="TekstniOkvir 5">
          <a:extLst>
            <a:ext uri="{FF2B5EF4-FFF2-40B4-BE49-F238E27FC236}">
              <a16:creationId xmlns:a16="http://schemas.microsoft.com/office/drawing/2014/main" id="{9A47A410-FED7-4A5B-A8E2-93BF89DC7B65}"/>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3" name="TekstniOkvir 6">
          <a:extLst>
            <a:ext uri="{FF2B5EF4-FFF2-40B4-BE49-F238E27FC236}">
              <a16:creationId xmlns:a16="http://schemas.microsoft.com/office/drawing/2014/main" id="{72DA8FA1-248A-4A47-9ECF-773E70903C5E}"/>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4" name="TekstniOkvir 7">
          <a:extLst>
            <a:ext uri="{FF2B5EF4-FFF2-40B4-BE49-F238E27FC236}">
              <a16:creationId xmlns:a16="http://schemas.microsoft.com/office/drawing/2014/main" id="{2516A169-D7AA-408A-BFEE-DBDA0125AE82}"/>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5" name="TekstniOkvir 8">
          <a:extLst>
            <a:ext uri="{FF2B5EF4-FFF2-40B4-BE49-F238E27FC236}">
              <a16:creationId xmlns:a16="http://schemas.microsoft.com/office/drawing/2014/main" id="{7C423E9B-70B0-4A53-BCC6-6481E1ACC4FE}"/>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6" name="TekstniOkvir 9">
          <a:extLst>
            <a:ext uri="{FF2B5EF4-FFF2-40B4-BE49-F238E27FC236}">
              <a16:creationId xmlns:a16="http://schemas.microsoft.com/office/drawing/2014/main" id="{DB4B91ED-F164-4270-8A1D-20DD5E177D57}"/>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7" name="TekstniOkvir 10">
          <a:extLst>
            <a:ext uri="{FF2B5EF4-FFF2-40B4-BE49-F238E27FC236}">
              <a16:creationId xmlns:a16="http://schemas.microsoft.com/office/drawing/2014/main" id="{46282AEA-4B68-46DF-B74A-797F04357F1F}"/>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8" name="TekstniOkvir 11">
          <a:extLst>
            <a:ext uri="{FF2B5EF4-FFF2-40B4-BE49-F238E27FC236}">
              <a16:creationId xmlns:a16="http://schemas.microsoft.com/office/drawing/2014/main" id="{44160298-C6B5-49D9-8B8D-8EA700288EA9}"/>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9" name="TekstniOkvir 12">
          <a:extLst>
            <a:ext uri="{FF2B5EF4-FFF2-40B4-BE49-F238E27FC236}">
              <a16:creationId xmlns:a16="http://schemas.microsoft.com/office/drawing/2014/main" id="{5A3B202A-AF7C-483B-96CB-D992038917EB}"/>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0" name="TekstniOkvir 13">
          <a:extLst>
            <a:ext uri="{FF2B5EF4-FFF2-40B4-BE49-F238E27FC236}">
              <a16:creationId xmlns:a16="http://schemas.microsoft.com/office/drawing/2014/main" id="{357A4F98-57EF-4482-99FB-E12900CA2AE6}"/>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1" name="TekstniOkvir 12">
          <a:extLst>
            <a:ext uri="{FF2B5EF4-FFF2-40B4-BE49-F238E27FC236}">
              <a16:creationId xmlns:a16="http://schemas.microsoft.com/office/drawing/2014/main" id="{06F60198-DC29-402B-899B-1FC3CF7FFEDD}"/>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2" name="TekstniOkvir 13">
          <a:extLst>
            <a:ext uri="{FF2B5EF4-FFF2-40B4-BE49-F238E27FC236}">
              <a16:creationId xmlns:a16="http://schemas.microsoft.com/office/drawing/2014/main" id="{1EF43975-C526-407D-8879-D8CF05331C99}"/>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3" name="TekstniOkvir 7">
          <a:extLst>
            <a:ext uri="{FF2B5EF4-FFF2-40B4-BE49-F238E27FC236}">
              <a16:creationId xmlns:a16="http://schemas.microsoft.com/office/drawing/2014/main" id="{2AF3AF6F-1193-44AC-8AB8-19207D7338F9}"/>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4" name="TekstniOkvir 2">
          <a:extLst>
            <a:ext uri="{FF2B5EF4-FFF2-40B4-BE49-F238E27FC236}">
              <a16:creationId xmlns:a16="http://schemas.microsoft.com/office/drawing/2014/main" id="{16896FDF-1C65-4F60-9357-BB261A1711C9}"/>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5" name="TekstniOkvir 3">
          <a:extLst>
            <a:ext uri="{FF2B5EF4-FFF2-40B4-BE49-F238E27FC236}">
              <a16:creationId xmlns:a16="http://schemas.microsoft.com/office/drawing/2014/main" id="{363442E8-524A-4367-8089-B934FC4264FF}"/>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6" name="TekstniOkvir 4">
          <a:extLst>
            <a:ext uri="{FF2B5EF4-FFF2-40B4-BE49-F238E27FC236}">
              <a16:creationId xmlns:a16="http://schemas.microsoft.com/office/drawing/2014/main" id="{161330B3-224C-47C4-9115-88D41701DEE0}"/>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7" name="TekstniOkvir 5">
          <a:extLst>
            <a:ext uri="{FF2B5EF4-FFF2-40B4-BE49-F238E27FC236}">
              <a16:creationId xmlns:a16="http://schemas.microsoft.com/office/drawing/2014/main" id="{D351785D-163D-408E-B671-A2FE038B5862}"/>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8" name="TekstniOkvir 6">
          <a:extLst>
            <a:ext uri="{FF2B5EF4-FFF2-40B4-BE49-F238E27FC236}">
              <a16:creationId xmlns:a16="http://schemas.microsoft.com/office/drawing/2014/main" id="{AC09592D-1F13-462D-837F-67B9245B0533}"/>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39" name="TekstniOkvir 7">
          <a:extLst>
            <a:ext uri="{FF2B5EF4-FFF2-40B4-BE49-F238E27FC236}">
              <a16:creationId xmlns:a16="http://schemas.microsoft.com/office/drawing/2014/main" id="{E804D46C-5C5F-4BD2-BDF7-077201E55C5F}"/>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0" name="TekstniOkvir 8">
          <a:extLst>
            <a:ext uri="{FF2B5EF4-FFF2-40B4-BE49-F238E27FC236}">
              <a16:creationId xmlns:a16="http://schemas.microsoft.com/office/drawing/2014/main" id="{6AEA8B0F-739B-4817-8F52-921B766798DD}"/>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1" name="TekstniOkvir 9">
          <a:extLst>
            <a:ext uri="{FF2B5EF4-FFF2-40B4-BE49-F238E27FC236}">
              <a16:creationId xmlns:a16="http://schemas.microsoft.com/office/drawing/2014/main" id="{2A06ADEB-2638-413D-8320-319B383C37A3}"/>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2" name="TekstniOkvir 10">
          <a:extLst>
            <a:ext uri="{FF2B5EF4-FFF2-40B4-BE49-F238E27FC236}">
              <a16:creationId xmlns:a16="http://schemas.microsoft.com/office/drawing/2014/main" id="{166F9D14-CABB-48C9-A002-5A770E829E0A}"/>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3" name="TekstniOkvir 11">
          <a:extLst>
            <a:ext uri="{FF2B5EF4-FFF2-40B4-BE49-F238E27FC236}">
              <a16:creationId xmlns:a16="http://schemas.microsoft.com/office/drawing/2014/main" id="{D951EA87-8D4D-4E6D-94AB-10BCB7768490}"/>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4" name="TekstniOkvir 12">
          <a:extLst>
            <a:ext uri="{FF2B5EF4-FFF2-40B4-BE49-F238E27FC236}">
              <a16:creationId xmlns:a16="http://schemas.microsoft.com/office/drawing/2014/main" id="{DFF9FD80-E3FA-4EDA-B8A5-DA417D236D18}"/>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5" name="TekstniOkvir 13">
          <a:extLst>
            <a:ext uri="{FF2B5EF4-FFF2-40B4-BE49-F238E27FC236}">
              <a16:creationId xmlns:a16="http://schemas.microsoft.com/office/drawing/2014/main" id="{41330A3E-F3F7-4DC6-9D51-9FE4E0B98D53}"/>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6" name="TekstniOkvir 12">
          <a:extLst>
            <a:ext uri="{FF2B5EF4-FFF2-40B4-BE49-F238E27FC236}">
              <a16:creationId xmlns:a16="http://schemas.microsoft.com/office/drawing/2014/main" id="{7CA3CA67-7744-4B2F-AF35-4D94D7FC48E4}"/>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7" name="TekstniOkvir 13">
          <a:extLst>
            <a:ext uri="{FF2B5EF4-FFF2-40B4-BE49-F238E27FC236}">
              <a16:creationId xmlns:a16="http://schemas.microsoft.com/office/drawing/2014/main" id="{DB3138EF-1B80-4B91-97E2-8D7A3F100490}"/>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22</xdr:row>
      <xdr:rowOff>0</xdr:rowOff>
    </xdr:from>
    <xdr:ext cx="65" cy="172227"/>
    <xdr:sp macro="" textlink="">
      <xdr:nvSpPr>
        <xdr:cNvPr id="48" name="TekstniOkvir 7">
          <a:extLst>
            <a:ext uri="{FF2B5EF4-FFF2-40B4-BE49-F238E27FC236}">
              <a16:creationId xmlns:a16="http://schemas.microsoft.com/office/drawing/2014/main" id="{E3664B65-B9D3-497A-A42F-E944F83609C1}"/>
            </a:ext>
          </a:extLst>
        </xdr:cNvPr>
        <xdr:cNvSpPr txBox="1"/>
      </xdr:nvSpPr>
      <xdr:spPr>
        <a:xfrm>
          <a:off x="7053263" y="21288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FF775510-B673-4F8C-B457-2024FD3B2798}"/>
            </a:ext>
          </a:extLst>
        </xdr:cNvPr>
        <xdr:cNvSpPr txBox="1"/>
      </xdr:nvSpPr>
      <xdr:spPr>
        <a:xfrm>
          <a:off x="8382000"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1</xdr:row>
      <xdr:rowOff>0</xdr:rowOff>
    </xdr:from>
    <xdr:ext cx="65" cy="172227"/>
    <xdr:sp macro="" textlink="">
      <xdr:nvSpPr>
        <xdr:cNvPr id="3" name="TekstniOkvir 2">
          <a:extLst>
            <a:ext uri="{FF2B5EF4-FFF2-40B4-BE49-F238E27FC236}">
              <a16:creationId xmlns:a16="http://schemas.microsoft.com/office/drawing/2014/main" id="{2BDD6E12-D7EB-4AF8-8A2D-7CFFA4F3DD53}"/>
            </a:ext>
          </a:extLst>
        </xdr:cNvPr>
        <xdr:cNvSpPr txBox="1"/>
      </xdr:nvSpPr>
      <xdr:spPr>
        <a:xfrm>
          <a:off x="8382000"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 name="TekstniOkvir 2">
          <a:extLst>
            <a:ext uri="{FF2B5EF4-FFF2-40B4-BE49-F238E27FC236}">
              <a16:creationId xmlns:a16="http://schemas.microsoft.com/office/drawing/2014/main" id="{182AE1BB-1BAE-491D-AC51-48F94D7DAD71}"/>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5" name="TekstniOkvir 3">
          <a:extLst>
            <a:ext uri="{FF2B5EF4-FFF2-40B4-BE49-F238E27FC236}">
              <a16:creationId xmlns:a16="http://schemas.microsoft.com/office/drawing/2014/main" id="{42CB2223-433B-4889-9D1D-DCDA1258440E}"/>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6" name="TekstniOkvir 4">
          <a:extLst>
            <a:ext uri="{FF2B5EF4-FFF2-40B4-BE49-F238E27FC236}">
              <a16:creationId xmlns:a16="http://schemas.microsoft.com/office/drawing/2014/main" id="{054EC720-6C8A-4ADA-9026-027D817D58E0}"/>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7" name="TekstniOkvir 5">
          <a:extLst>
            <a:ext uri="{FF2B5EF4-FFF2-40B4-BE49-F238E27FC236}">
              <a16:creationId xmlns:a16="http://schemas.microsoft.com/office/drawing/2014/main" id="{69F3B876-71D1-46E3-AF11-2376B1D37823}"/>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8" name="TekstniOkvir 6">
          <a:extLst>
            <a:ext uri="{FF2B5EF4-FFF2-40B4-BE49-F238E27FC236}">
              <a16:creationId xmlns:a16="http://schemas.microsoft.com/office/drawing/2014/main" id="{F3DBC319-8C36-4B6B-A29F-B28A3A4AAEC1}"/>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9" name="TekstniOkvir 7">
          <a:extLst>
            <a:ext uri="{FF2B5EF4-FFF2-40B4-BE49-F238E27FC236}">
              <a16:creationId xmlns:a16="http://schemas.microsoft.com/office/drawing/2014/main" id="{C3EC4A1B-D5F4-4426-8E23-1B90C3DE00B9}"/>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0" name="TekstniOkvir 8">
          <a:extLst>
            <a:ext uri="{FF2B5EF4-FFF2-40B4-BE49-F238E27FC236}">
              <a16:creationId xmlns:a16="http://schemas.microsoft.com/office/drawing/2014/main" id="{5124B468-B2AD-4338-8D9A-5E4E21316ECA}"/>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1" name="TekstniOkvir 9">
          <a:extLst>
            <a:ext uri="{FF2B5EF4-FFF2-40B4-BE49-F238E27FC236}">
              <a16:creationId xmlns:a16="http://schemas.microsoft.com/office/drawing/2014/main" id="{CE3315D4-71AB-4B93-928D-3CD133961786}"/>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2" name="TekstniOkvir 10">
          <a:extLst>
            <a:ext uri="{FF2B5EF4-FFF2-40B4-BE49-F238E27FC236}">
              <a16:creationId xmlns:a16="http://schemas.microsoft.com/office/drawing/2014/main" id="{B4A3795F-399E-4541-BE91-34353C7CE0BD}"/>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3" name="TekstniOkvir 11">
          <a:extLst>
            <a:ext uri="{FF2B5EF4-FFF2-40B4-BE49-F238E27FC236}">
              <a16:creationId xmlns:a16="http://schemas.microsoft.com/office/drawing/2014/main" id="{96D36124-A9AA-4377-B600-469226155809}"/>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4" name="TekstniOkvir 12">
          <a:extLst>
            <a:ext uri="{FF2B5EF4-FFF2-40B4-BE49-F238E27FC236}">
              <a16:creationId xmlns:a16="http://schemas.microsoft.com/office/drawing/2014/main" id="{8F4A591E-C5F3-4827-8D47-389AF794196C}"/>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5" name="TekstniOkvir 13">
          <a:extLst>
            <a:ext uri="{FF2B5EF4-FFF2-40B4-BE49-F238E27FC236}">
              <a16:creationId xmlns:a16="http://schemas.microsoft.com/office/drawing/2014/main" id="{C81569F3-293B-4C7E-B62C-561931238DAB}"/>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6" name="TekstniOkvir 12">
          <a:extLst>
            <a:ext uri="{FF2B5EF4-FFF2-40B4-BE49-F238E27FC236}">
              <a16:creationId xmlns:a16="http://schemas.microsoft.com/office/drawing/2014/main" id="{40C56149-6DC5-4C06-AF8E-44F2B9F0CDA0}"/>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7" name="TekstniOkvir 13">
          <a:extLst>
            <a:ext uri="{FF2B5EF4-FFF2-40B4-BE49-F238E27FC236}">
              <a16:creationId xmlns:a16="http://schemas.microsoft.com/office/drawing/2014/main" id="{DFAB3B8C-2C8F-422A-A2ED-92E887BF2096}"/>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18" name="TekstniOkvir 7">
          <a:extLst>
            <a:ext uri="{FF2B5EF4-FFF2-40B4-BE49-F238E27FC236}">
              <a16:creationId xmlns:a16="http://schemas.microsoft.com/office/drawing/2014/main" id="{51DD3AC7-BE31-499E-AEB0-BF2277BCFFA5}"/>
            </a:ext>
          </a:extLst>
        </xdr:cNvPr>
        <xdr:cNvSpPr txBox="1"/>
      </xdr:nvSpPr>
      <xdr:spPr>
        <a:xfrm>
          <a:off x="7053263" y="42948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19" name="TekstniOkvir 2">
          <a:extLst>
            <a:ext uri="{FF2B5EF4-FFF2-40B4-BE49-F238E27FC236}">
              <a16:creationId xmlns:a16="http://schemas.microsoft.com/office/drawing/2014/main" id="{FDF41111-6612-4038-B116-AF17B7F4AF88}"/>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0" name="TekstniOkvir 3">
          <a:extLst>
            <a:ext uri="{FF2B5EF4-FFF2-40B4-BE49-F238E27FC236}">
              <a16:creationId xmlns:a16="http://schemas.microsoft.com/office/drawing/2014/main" id="{6AEB718A-FB5B-45C7-AECA-37D0C75C66CD}"/>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1" name="TekstniOkvir 4">
          <a:extLst>
            <a:ext uri="{FF2B5EF4-FFF2-40B4-BE49-F238E27FC236}">
              <a16:creationId xmlns:a16="http://schemas.microsoft.com/office/drawing/2014/main" id="{C3A5B3C0-7996-40C1-ADDC-5C3DD4E8FD77}"/>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2" name="TekstniOkvir 5">
          <a:extLst>
            <a:ext uri="{FF2B5EF4-FFF2-40B4-BE49-F238E27FC236}">
              <a16:creationId xmlns:a16="http://schemas.microsoft.com/office/drawing/2014/main" id="{ACCBC70B-405D-416E-BCEB-9AA791903E05}"/>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3" name="TekstniOkvir 6">
          <a:extLst>
            <a:ext uri="{FF2B5EF4-FFF2-40B4-BE49-F238E27FC236}">
              <a16:creationId xmlns:a16="http://schemas.microsoft.com/office/drawing/2014/main" id="{EC20E790-0CD9-41E7-979F-D6CFE6CAA330}"/>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4" name="TekstniOkvir 7">
          <a:extLst>
            <a:ext uri="{FF2B5EF4-FFF2-40B4-BE49-F238E27FC236}">
              <a16:creationId xmlns:a16="http://schemas.microsoft.com/office/drawing/2014/main" id="{4D38E2BF-0FE8-46B0-8FCC-52819004E9D5}"/>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5" name="TekstniOkvir 8">
          <a:extLst>
            <a:ext uri="{FF2B5EF4-FFF2-40B4-BE49-F238E27FC236}">
              <a16:creationId xmlns:a16="http://schemas.microsoft.com/office/drawing/2014/main" id="{BE4A7523-1D76-48A0-992A-D4A48A688F58}"/>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6" name="TekstniOkvir 9">
          <a:extLst>
            <a:ext uri="{FF2B5EF4-FFF2-40B4-BE49-F238E27FC236}">
              <a16:creationId xmlns:a16="http://schemas.microsoft.com/office/drawing/2014/main" id="{C9B6C10B-4BF3-4119-8472-126B5D2D9738}"/>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7" name="TekstniOkvir 10">
          <a:extLst>
            <a:ext uri="{FF2B5EF4-FFF2-40B4-BE49-F238E27FC236}">
              <a16:creationId xmlns:a16="http://schemas.microsoft.com/office/drawing/2014/main" id="{B5F98AFE-C412-43C2-B577-9EADB618F59B}"/>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8" name="TekstniOkvir 11">
          <a:extLst>
            <a:ext uri="{FF2B5EF4-FFF2-40B4-BE49-F238E27FC236}">
              <a16:creationId xmlns:a16="http://schemas.microsoft.com/office/drawing/2014/main" id="{4E7F0F58-AA35-44CC-B4AE-57CCD7259DEF}"/>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29" name="TekstniOkvir 12">
          <a:extLst>
            <a:ext uri="{FF2B5EF4-FFF2-40B4-BE49-F238E27FC236}">
              <a16:creationId xmlns:a16="http://schemas.microsoft.com/office/drawing/2014/main" id="{45FE7462-CAFA-46CB-8D5D-E3E7F49DCBAE}"/>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30" name="TekstniOkvir 13">
          <a:extLst>
            <a:ext uri="{FF2B5EF4-FFF2-40B4-BE49-F238E27FC236}">
              <a16:creationId xmlns:a16="http://schemas.microsoft.com/office/drawing/2014/main" id="{8179440B-9512-42ED-9D96-24D3900E9F2E}"/>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31" name="TekstniOkvir 12">
          <a:extLst>
            <a:ext uri="{FF2B5EF4-FFF2-40B4-BE49-F238E27FC236}">
              <a16:creationId xmlns:a16="http://schemas.microsoft.com/office/drawing/2014/main" id="{91299858-7BDB-495F-A900-60F0CFD79F42}"/>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32" name="TekstniOkvir 13">
          <a:extLst>
            <a:ext uri="{FF2B5EF4-FFF2-40B4-BE49-F238E27FC236}">
              <a16:creationId xmlns:a16="http://schemas.microsoft.com/office/drawing/2014/main" id="{F7A0E9C7-4A96-46D8-B120-6A5DFF1EEA13}"/>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1</xdr:row>
      <xdr:rowOff>0</xdr:rowOff>
    </xdr:from>
    <xdr:ext cx="65" cy="172227"/>
    <xdr:sp macro="" textlink="">
      <xdr:nvSpPr>
        <xdr:cNvPr id="33" name="TekstniOkvir 7">
          <a:extLst>
            <a:ext uri="{FF2B5EF4-FFF2-40B4-BE49-F238E27FC236}">
              <a16:creationId xmlns:a16="http://schemas.microsoft.com/office/drawing/2014/main" id="{BEB86E9B-2110-4CD9-9691-2604250DE1A3}"/>
            </a:ext>
          </a:extLst>
        </xdr:cNvPr>
        <xdr:cNvSpPr txBox="1"/>
      </xdr:nvSpPr>
      <xdr:spPr>
        <a:xfrm>
          <a:off x="7053263" y="152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4" name="TekstniOkvir 2">
          <a:extLst>
            <a:ext uri="{FF2B5EF4-FFF2-40B4-BE49-F238E27FC236}">
              <a16:creationId xmlns:a16="http://schemas.microsoft.com/office/drawing/2014/main" id="{9ACC7A94-F3A5-41A6-AE65-F064CD697384}"/>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5" name="TekstniOkvir 3">
          <a:extLst>
            <a:ext uri="{FF2B5EF4-FFF2-40B4-BE49-F238E27FC236}">
              <a16:creationId xmlns:a16="http://schemas.microsoft.com/office/drawing/2014/main" id="{34563E2D-A7C4-4479-9D84-356F02D2CC11}"/>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6" name="TekstniOkvir 4">
          <a:extLst>
            <a:ext uri="{FF2B5EF4-FFF2-40B4-BE49-F238E27FC236}">
              <a16:creationId xmlns:a16="http://schemas.microsoft.com/office/drawing/2014/main" id="{68649069-21B5-4B7D-9BBC-EDC76342802B}"/>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7" name="TekstniOkvir 5">
          <a:extLst>
            <a:ext uri="{FF2B5EF4-FFF2-40B4-BE49-F238E27FC236}">
              <a16:creationId xmlns:a16="http://schemas.microsoft.com/office/drawing/2014/main" id="{B6FA2C82-B3B7-4D75-997C-399D15C260D6}"/>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8" name="TekstniOkvir 6">
          <a:extLst>
            <a:ext uri="{FF2B5EF4-FFF2-40B4-BE49-F238E27FC236}">
              <a16:creationId xmlns:a16="http://schemas.microsoft.com/office/drawing/2014/main" id="{29111535-CD56-4AF3-B8C0-73EBC3FDC529}"/>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39" name="TekstniOkvir 7">
          <a:extLst>
            <a:ext uri="{FF2B5EF4-FFF2-40B4-BE49-F238E27FC236}">
              <a16:creationId xmlns:a16="http://schemas.microsoft.com/office/drawing/2014/main" id="{D28F3082-38F2-402B-8151-915D00159D6F}"/>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0" name="TekstniOkvir 8">
          <a:extLst>
            <a:ext uri="{FF2B5EF4-FFF2-40B4-BE49-F238E27FC236}">
              <a16:creationId xmlns:a16="http://schemas.microsoft.com/office/drawing/2014/main" id="{E4F010AD-154A-4CA0-A464-AE0B53932D35}"/>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1" name="TekstniOkvir 9">
          <a:extLst>
            <a:ext uri="{FF2B5EF4-FFF2-40B4-BE49-F238E27FC236}">
              <a16:creationId xmlns:a16="http://schemas.microsoft.com/office/drawing/2014/main" id="{F5B4A050-7D43-47D5-B79D-F75D2A47E11C}"/>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2" name="TekstniOkvir 10">
          <a:extLst>
            <a:ext uri="{FF2B5EF4-FFF2-40B4-BE49-F238E27FC236}">
              <a16:creationId xmlns:a16="http://schemas.microsoft.com/office/drawing/2014/main" id="{852B3E63-C601-4B12-B388-E3E8589FA325}"/>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3" name="TekstniOkvir 11">
          <a:extLst>
            <a:ext uri="{FF2B5EF4-FFF2-40B4-BE49-F238E27FC236}">
              <a16:creationId xmlns:a16="http://schemas.microsoft.com/office/drawing/2014/main" id="{BEA19A14-B494-4B6C-AF72-C54D5B1CD23C}"/>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4" name="TekstniOkvir 12">
          <a:extLst>
            <a:ext uri="{FF2B5EF4-FFF2-40B4-BE49-F238E27FC236}">
              <a16:creationId xmlns:a16="http://schemas.microsoft.com/office/drawing/2014/main" id="{579495EF-0CBE-404F-BCF8-A6E9CA8BC3D7}"/>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5" name="TekstniOkvir 13">
          <a:extLst>
            <a:ext uri="{FF2B5EF4-FFF2-40B4-BE49-F238E27FC236}">
              <a16:creationId xmlns:a16="http://schemas.microsoft.com/office/drawing/2014/main" id="{EAC25BAE-2206-4BDC-BF4C-E9FC9FAD2264}"/>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6" name="TekstniOkvir 12">
          <a:extLst>
            <a:ext uri="{FF2B5EF4-FFF2-40B4-BE49-F238E27FC236}">
              <a16:creationId xmlns:a16="http://schemas.microsoft.com/office/drawing/2014/main" id="{C50A3045-3657-4DF3-94F1-00BFF1074A10}"/>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7" name="TekstniOkvir 13">
          <a:extLst>
            <a:ext uri="{FF2B5EF4-FFF2-40B4-BE49-F238E27FC236}">
              <a16:creationId xmlns:a16="http://schemas.microsoft.com/office/drawing/2014/main" id="{885B521F-CE21-462C-A11A-83E2FBF8F8BC}"/>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30</xdr:row>
      <xdr:rowOff>0</xdr:rowOff>
    </xdr:from>
    <xdr:ext cx="65" cy="172227"/>
    <xdr:sp macro="" textlink="">
      <xdr:nvSpPr>
        <xdr:cNvPr id="48" name="TekstniOkvir 7">
          <a:extLst>
            <a:ext uri="{FF2B5EF4-FFF2-40B4-BE49-F238E27FC236}">
              <a16:creationId xmlns:a16="http://schemas.microsoft.com/office/drawing/2014/main" id="{8B08EAB0-ADDF-4BF7-80D2-FFFF2ED96171}"/>
            </a:ext>
          </a:extLst>
        </xdr:cNvPr>
        <xdr:cNvSpPr txBox="1"/>
      </xdr:nvSpPr>
      <xdr:spPr>
        <a:xfrm>
          <a:off x="7053263" y="36585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8</xdr:col>
      <xdr:colOff>0</xdr:colOff>
      <xdr:row>0</xdr:row>
      <xdr:rowOff>0</xdr:rowOff>
    </xdr:from>
    <xdr:ext cx="65" cy="172227"/>
    <xdr:sp macro="" textlink="">
      <xdr:nvSpPr>
        <xdr:cNvPr id="2" name="TekstniOkvir 1">
          <a:extLst>
            <a:ext uri="{FF2B5EF4-FFF2-40B4-BE49-F238E27FC236}">
              <a16:creationId xmlns:a16="http://schemas.microsoft.com/office/drawing/2014/main" id="{BEF349ED-FAB4-454B-99D8-9E8150DA936E}"/>
            </a:ext>
          </a:extLst>
        </xdr:cNvPr>
        <xdr:cNvSpPr txBox="1"/>
      </xdr:nvSpPr>
      <xdr:spPr>
        <a:xfrm>
          <a:off x="8382000"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8</xdr:col>
      <xdr:colOff>0</xdr:colOff>
      <xdr:row>0</xdr:row>
      <xdr:rowOff>0</xdr:rowOff>
    </xdr:from>
    <xdr:ext cx="65" cy="172227"/>
    <xdr:sp macro="" textlink="">
      <xdr:nvSpPr>
        <xdr:cNvPr id="3" name="TekstniOkvir 2">
          <a:extLst>
            <a:ext uri="{FF2B5EF4-FFF2-40B4-BE49-F238E27FC236}">
              <a16:creationId xmlns:a16="http://schemas.microsoft.com/office/drawing/2014/main" id="{5A6873DA-5FEB-40EB-ABBB-FD2BDEF76804}"/>
            </a:ext>
          </a:extLst>
        </xdr:cNvPr>
        <xdr:cNvSpPr txBox="1"/>
      </xdr:nvSpPr>
      <xdr:spPr>
        <a:xfrm>
          <a:off x="8382000"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4" name="TekstniOkvir 2">
          <a:extLst>
            <a:ext uri="{FF2B5EF4-FFF2-40B4-BE49-F238E27FC236}">
              <a16:creationId xmlns:a16="http://schemas.microsoft.com/office/drawing/2014/main" id="{E82657A9-CEBA-4F66-9627-1E184E46D3C7}"/>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5" name="TekstniOkvir 3">
          <a:extLst>
            <a:ext uri="{FF2B5EF4-FFF2-40B4-BE49-F238E27FC236}">
              <a16:creationId xmlns:a16="http://schemas.microsoft.com/office/drawing/2014/main" id="{342137E7-8F03-4041-9376-4123C2FC9362}"/>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6" name="TekstniOkvir 4">
          <a:extLst>
            <a:ext uri="{FF2B5EF4-FFF2-40B4-BE49-F238E27FC236}">
              <a16:creationId xmlns:a16="http://schemas.microsoft.com/office/drawing/2014/main" id="{5C531E3C-4F02-4118-8134-4047E90B2F26}"/>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7" name="TekstniOkvir 5">
          <a:extLst>
            <a:ext uri="{FF2B5EF4-FFF2-40B4-BE49-F238E27FC236}">
              <a16:creationId xmlns:a16="http://schemas.microsoft.com/office/drawing/2014/main" id="{AF03CA71-DE59-4C6B-BC58-E712A5FFCF90}"/>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8" name="TekstniOkvir 6">
          <a:extLst>
            <a:ext uri="{FF2B5EF4-FFF2-40B4-BE49-F238E27FC236}">
              <a16:creationId xmlns:a16="http://schemas.microsoft.com/office/drawing/2014/main" id="{0F6C8D92-E554-418A-A177-491FC2662EB9}"/>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9" name="TekstniOkvir 7">
          <a:extLst>
            <a:ext uri="{FF2B5EF4-FFF2-40B4-BE49-F238E27FC236}">
              <a16:creationId xmlns:a16="http://schemas.microsoft.com/office/drawing/2014/main" id="{7F968D0E-B347-473D-98C1-A8A5BE417641}"/>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0" name="TekstniOkvir 8">
          <a:extLst>
            <a:ext uri="{FF2B5EF4-FFF2-40B4-BE49-F238E27FC236}">
              <a16:creationId xmlns:a16="http://schemas.microsoft.com/office/drawing/2014/main" id="{E15D374A-6B80-4630-9FAB-E98737298F37}"/>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1" name="TekstniOkvir 9">
          <a:extLst>
            <a:ext uri="{FF2B5EF4-FFF2-40B4-BE49-F238E27FC236}">
              <a16:creationId xmlns:a16="http://schemas.microsoft.com/office/drawing/2014/main" id="{807542E1-DD71-4579-9F16-60CE5D7F054D}"/>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2" name="TekstniOkvir 10">
          <a:extLst>
            <a:ext uri="{FF2B5EF4-FFF2-40B4-BE49-F238E27FC236}">
              <a16:creationId xmlns:a16="http://schemas.microsoft.com/office/drawing/2014/main" id="{460917CB-2081-4EB5-B51A-633F638EF0C6}"/>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3" name="TekstniOkvir 11">
          <a:extLst>
            <a:ext uri="{FF2B5EF4-FFF2-40B4-BE49-F238E27FC236}">
              <a16:creationId xmlns:a16="http://schemas.microsoft.com/office/drawing/2014/main" id="{81FA6D09-0D58-4563-96A9-62F1D2D42475}"/>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4" name="TekstniOkvir 12">
          <a:extLst>
            <a:ext uri="{FF2B5EF4-FFF2-40B4-BE49-F238E27FC236}">
              <a16:creationId xmlns:a16="http://schemas.microsoft.com/office/drawing/2014/main" id="{EE31E191-B757-4D21-90B3-9720F0DE2D7A}"/>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5" name="TekstniOkvir 13">
          <a:extLst>
            <a:ext uri="{FF2B5EF4-FFF2-40B4-BE49-F238E27FC236}">
              <a16:creationId xmlns:a16="http://schemas.microsoft.com/office/drawing/2014/main" id="{E3C8D697-8203-4F49-9383-181B3C8A81AA}"/>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6" name="TekstniOkvir 12">
          <a:extLst>
            <a:ext uri="{FF2B5EF4-FFF2-40B4-BE49-F238E27FC236}">
              <a16:creationId xmlns:a16="http://schemas.microsoft.com/office/drawing/2014/main" id="{22F62F03-8EA1-4173-8CC7-7FC1E1DAB14C}"/>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7" name="TekstniOkvir 13">
          <a:extLst>
            <a:ext uri="{FF2B5EF4-FFF2-40B4-BE49-F238E27FC236}">
              <a16:creationId xmlns:a16="http://schemas.microsoft.com/office/drawing/2014/main" id="{67C878EC-2A8C-4DE1-8EBB-65B4145FA335}"/>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33</xdr:row>
      <xdr:rowOff>0</xdr:rowOff>
    </xdr:from>
    <xdr:ext cx="65" cy="172227"/>
    <xdr:sp macro="" textlink="">
      <xdr:nvSpPr>
        <xdr:cNvPr id="18" name="TekstniOkvir 7">
          <a:extLst>
            <a:ext uri="{FF2B5EF4-FFF2-40B4-BE49-F238E27FC236}">
              <a16:creationId xmlns:a16="http://schemas.microsoft.com/office/drawing/2014/main" id="{D5BA5EC5-6E67-46E2-9F81-F095EBCB1BFB}"/>
            </a:ext>
          </a:extLst>
        </xdr:cNvPr>
        <xdr:cNvSpPr txBox="1"/>
      </xdr:nvSpPr>
      <xdr:spPr>
        <a:xfrm>
          <a:off x="7053263" y="28013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19" name="TekstniOkvir 2">
          <a:extLst>
            <a:ext uri="{FF2B5EF4-FFF2-40B4-BE49-F238E27FC236}">
              <a16:creationId xmlns:a16="http://schemas.microsoft.com/office/drawing/2014/main" id="{A3978989-0DCF-40A3-81A9-40989C5363B6}"/>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0" name="TekstniOkvir 3">
          <a:extLst>
            <a:ext uri="{FF2B5EF4-FFF2-40B4-BE49-F238E27FC236}">
              <a16:creationId xmlns:a16="http://schemas.microsoft.com/office/drawing/2014/main" id="{6A511BD3-34C1-4441-A37C-4C15B4408524}"/>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1" name="TekstniOkvir 4">
          <a:extLst>
            <a:ext uri="{FF2B5EF4-FFF2-40B4-BE49-F238E27FC236}">
              <a16:creationId xmlns:a16="http://schemas.microsoft.com/office/drawing/2014/main" id="{DC4FEBDB-F7C2-4D8F-A21D-EB7DF0381FB3}"/>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2" name="TekstniOkvir 5">
          <a:extLst>
            <a:ext uri="{FF2B5EF4-FFF2-40B4-BE49-F238E27FC236}">
              <a16:creationId xmlns:a16="http://schemas.microsoft.com/office/drawing/2014/main" id="{924D3E11-D245-4CBD-BD39-18F3655C15E0}"/>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3" name="TekstniOkvir 6">
          <a:extLst>
            <a:ext uri="{FF2B5EF4-FFF2-40B4-BE49-F238E27FC236}">
              <a16:creationId xmlns:a16="http://schemas.microsoft.com/office/drawing/2014/main" id="{C6FD67FB-F91F-4AC0-AE80-9EC37213FE20}"/>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4" name="TekstniOkvir 7">
          <a:extLst>
            <a:ext uri="{FF2B5EF4-FFF2-40B4-BE49-F238E27FC236}">
              <a16:creationId xmlns:a16="http://schemas.microsoft.com/office/drawing/2014/main" id="{FCE54CE1-8B43-432C-9EA1-A314485597F7}"/>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5" name="TekstniOkvir 8">
          <a:extLst>
            <a:ext uri="{FF2B5EF4-FFF2-40B4-BE49-F238E27FC236}">
              <a16:creationId xmlns:a16="http://schemas.microsoft.com/office/drawing/2014/main" id="{38D16796-3D66-49E3-ACF5-BCD6D60736D6}"/>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6" name="TekstniOkvir 9">
          <a:extLst>
            <a:ext uri="{FF2B5EF4-FFF2-40B4-BE49-F238E27FC236}">
              <a16:creationId xmlns:a16="http://schemas.microsoft.com/office/drawing/2014/main" id="{55E8D2E5-B245-48CD-BA55-17A0C485934E}"/>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7" name="TekstniOkvir 10">
          <a:extLst>
            <a:ext uri="{FF2B5EF4-FFF2-40B4-BE49-F238E27FC236}">
              <a16:creationId xmlns:a16="http://schemas.microsoft.com/office/drawing/2014/main" id="{DD923313-6CF7-4D7D-B8C6-43C4ECDAD996}"/>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8" name="TekstniOkvir 11">
          <a:extLst>
            <a:ext uri="{FF2B5EF4-FFF2-40B4-BE49-F238E27FC236}">
              <a16:creationId xmlns:a16="http://schemas.microsoft.com/office/drawing/2014/main" id="{7DC4A1D1-113E-4156-8D2C-DEB1B57B7886}"/>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29" name="TekstniOkvir 12">
          <a:extLst>
            <a:ext uri="{FF2B5EF4-FFF2-40B4-BE49-F238E27FC236}">
              <a16:creationId xmlns:a16="http://schemas.microsoft.com/office/drawing/2014/main" id="{B017D5B7-724E-4580-8D0E-96B1ADC2CC9C}"/>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0" name="TekstniOkvir 13">
          <a:extLst>
            <a:ext uri="{FF2B5EF4-FFF2-40B4-BE49-F238E27FC236}">
              <a16:creationId xmlns:a16="http://schemas.microsoft.com/office/drawing/2014/main" id="{0D46592F-FDE9-4A6E-8A94-7956A2B019C4}"/>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1" name="TekstniOkvir 12">
          <a:extLst>
            <a:ext uri="{FF2B5EF4-FFF2-40B4-BE49-F238E27FC236}">
              <a16:creationId xmlns:a16="http://schemas.microsoft.com/office/drawing/2014/main" id="{D5C035C0-5D08-48EB-98AC-EABDE791172B}"/>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2" name="TekstniOkvir 13">
          <a:extLst>
            <a:ext uri="{FF2B5EF4-FFF2-40B4-BE49-F238E27FC236}">
              <a16:creationId xmlns:a16="http://schemas.microsoft.com/office/drawing/2014/main" id="{C5AB6924-527D-479F-8FE6-09B49487488A}"/>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0</xdr:row>
      <xdr:rowOff>0</xdr:rowOff>
    </xdr:from>
    <xdr:ext cx="65" cy="172227"/>
    <xdr:sp macro="" textlink="">
      <xdr:nvSpPr>
        <xdr:cNvPr id="33" name="TekstniOkvir 7">
          <a:extLst>
            <a:ext uri="{FF2B5EF4-FFF2-40B4-BE49-F238E27FC236}">
              <a16:creationId xmlns:a16="http://schemas.microsoft.com/office/drawing/2014/main" id="{20681D55-290C-47E5-899D-53D10D1D3B6C}"/>
            </a:ext>
          </a:extLst>
        </xdr:cNvPr>
        <xdr:cNvSpPr txBox="1"/>
      </xdr:nvSpPr>
      <xdr:spPr>
        <a:xfrm>
          <a:off x="7053263" y="26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4" name="TekstniOkvir 2">
          <a:extLst>
            <a:ext uri="{FF2B5EF4-FFF2-40B4-BE49-F238E27FC236}">
              <a16:creationId xmlns:a16="http://schemas.microsoft.com/office/drawing/2014/main" id="{2E12824D-ED42-46C5-9C19-92F431A5A964}"/>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5" name="TekstniOkvir 3">
          <a:extLst>
            <a:ext uri="{FF2B5EF4-FFF2-40B4-BE49-F238E27FC236}">
              <a16:creationId xmlns:a16="http://schemas.microsoft.com/office/drawing/2014/main" id="{4B7A4882-8EA1-4DEF-9EEE-441A2C5CB5B2}"/>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6" name="TekstniOkvir 4">
          <a:extLst>
            <a:ext uri="{FF2B5EF4-FFF2-40B4-BE49-F238E27FC236}">
              <a16:creationId xmlns:a16="http://schemas.microsoft.com/office/drawing/2014/main" id="{F8FBDFFB-8746-4FF4-B680-988C05C707C1}"/>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7" name="TekstniOkvir 5">
          <a:extLst>
            <a:ext uri="{FF2B5EF4-FFF2-40B4-BE49-F238E27FC236}">
              <a16:creationId xmlns:a16="http://schemas.microsoft.com/office/drawing/2014/main" id="{604F70E3-1949-48B1-8951-981524EA31E0}"/>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8" name="TekstniOkvir 6">
          <a:extLst>
            <a:ext uri="{FF2B5EF4-FFF2-40B4-BE49-F238E27FC236}">
              <a16:creationId xmlns:a16="http://schemas.microsoft.com/office/drawing/2014/main" id="{9A40F4D0-2504-4261-91E4-25862927EB45}"/>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39" name="TekstniOkvir 7">
          <a:extLst>
            <a:ext uri="{FF2B5EF4-FFF2-40B4-BE49-F238E27FC236}">
              <a16:creationId xmlns:a16="http://schemas.microsoft.com/office/drawing/2014/main" id="{8A5D4123-21B1-479F-807D-4F30CF0E0939}"/>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0" name="TekstniOkvir 8">
          <a:extLst>
            <a:ext uri="{FF2B5EF4-FFF2-40B4-BE49-F238E27FC236}">
              <a16:creationId xmlns:a16="http://schemas.microsoft.com/office/drawing/2014/main" id="{D2B94FCE-1604-449D-B23F-4AD58CF44B10}"/>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1" name="TekstniOkvir 9">
          <a:extLst>
            <a:ext uri="{FF2B5EF4-FFF2-40B4-BE49-F238E27FC236}">
              <a16:creationId xmlns:a16="http://schemas.microsoft.com/office/drawing/2014/main" id="{8530EF21-DD87-4903-BE5E-F1874BBD42D4}"/>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2" name="TekstniOkvir 10">
          <a:extLst>
            <a:ext uri="{FF2B5EF4-FFF2-40B4-BE49-F238E27FC236}">
              <a16:creationId xmlns:a16="http://schemas.microsoft.com/office/drawing/2014/main" id="{D1F356F2-FB01-4F85-95AA-04FB43CE299D}"/>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3" name="TekstniOkvir 11">
          <a:extLst>
            <a:ext uri="{FF2B5EF4-FFF2-40B4-BE49-F238E27FC236}">
              <a16:creationId xmlns:a16="http://schemas.microsoft.com/office/drawing/2014/main" id="{DA3E80F8-ED16-43D9-96C0-B9D836EE010C}"/>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4" name="TekstniOkvir 12">
          <a:extLst>
            <a:ext uri="{FF2B5EF4-FFF2-40B4-BE49-F238E27FC236}">
              <a16:creationId xmlns:a16="http://schemas.microsoft.com/office/drawing/2014/main" id="{BA2547FF-49FB-4E95-BF82-86D6FF871DA0}"/>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5" name="TekstniOkvir 13">
          <a:extLst>
            <a:ext uri="{FF2B5EF4-FFF2-40B4-BE49-F238E27FC236}">
              <a16:creationId xmlns:a16="http://schemas.microsoft.com/office/drawing/2014/main" id="{B14E486A-AEFC-4A20-9BD3-6ABD96EBE260}"/>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6" name="TekstniOkvir 12">
          <a:extLst>
            <a:ext uri="{FF2B5EF4-FFF2-40B4-BE49-F238E27FC236}">
              <a16:creationId xmlns:a16="http://schemas.microsoft.com/office/drawing/2014/main" id="{4694BF3D-DE61-4BB9-8F04-54D559062B47}"/>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7" name="TekstniOkvir 13">
          <a:extLst>
            <a:ext uri="{FF2B5EF4-FFF2-40B4-BE49-F238E27FC236}">
              <a16:creationId xmlns:a16="http://schemas.microsoft.com/office/drawing/2014/main" id="{FAF25217-42E6-466A-B3FC-7408A9219309}"/>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oneCellAnchor>
    <xdr:from>
      <xdr:col>6</xdr:col>
      <xdr:colOff>419100</xdr:colOff>
      <xdr:row>2</xdr:row>
      <xdr:rowOff>0</xdr:rowOff>
    </xdr:from>
    <xdr:ext cx="65" cy="172227"/>
    <xdr:sp macro="" textlink="">
      <xdr:nvSpPr>
        <xdr:cNvPr id="48" name="TekstniOkvir 7">
          <a:extLst>
            <a:ext uri="{FF2B5EF4-FFF2-40B4-BE49-F238E27FC236}">
              <a16:creationId xmlns:a16="http://schemas.microsoft.com/office/drawing/2014/main" id="{09152EAC-76AE-4DED-97B5-A8343A692665}"/>
            </a:ext>
          </a:extLst>
        </xdr:cNvPr>
        <xdr:cNvSpPr txBox="1"/>
      </xdr:nvSpPr>
      <xdr:spPr>
        <a:xfrm>
          <a:off x="7053263" y="21650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hr-HR"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250"/>
  <sheetViews>
    <sheetView view="pageBreakPreview" topLeftCell="A242" zoomScaleSheetLayoutView="100" workbookViewId="0">
      <selection activeCell="B37" sqref="B37:E37"/>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 customWidth="1"/>
    <col min="7" max="7" width="12.73046875" style="34" customWidth="1"/>
    <col min="8" max="8" width="11.73046875" bestFit="1" customWidth="1"/>
    <col min="9" max="9" width="19.1328125" customWidth="1"/>
  </cols>
  <sheetData>
    <row r="1" spans="1:7" ht="28.5" x14ac:dyDescent="0.45">
      <c r="A1" s="27" t="s">
        <v>53</v>
      </c>
      <c r="B1" s="28" t="s">
        <v>49</v>
      </c>
      <c r="C1" s="29" t="s">
        <v>52</v>
      </c>
      <c r="D1" s="29" t="s">
        <v>263</v>
      </c>
      <c r="E1" s="29" t="s">
        <v>72</v>
      </c>
      <c r="F1" s="29" t="s">
        <v>50</v>
      </c>
      <c r="G1" s="30" t="s">
        <v>51</v>
      </c>
    </row>
    <row r="2" spans="1:7" x14ac:dyDescent="0.45">
      <c r="A2" s="31"/>
      <c r="B2" s="32" t="s">
        <v>0</v>
      </c>
      <c r="D2" s="31"/>
      <c r="G2" s="33"/>
    </row>
    <row r="3" spans="1:7" x14ac:dyDescent="0.45">
      <c r="A3" s="31"/>
      <c r="B3" s="34"/>
      <c r="D3" s="31"/>
      <c r="G3" s="33"/>
    </row>
    <row r="4" spans="1:7" s="36" customFormat="1" ht="144.75" customHeight="1" x14ac:dyDescent="0.45">
      <c r="A4" s="2"/>
      <c r="B4" s="310" t="s">
        <v>90</v>
      </c>
      <c r="C4" s="310" t="s">
        <v>90</v>
      </c>
      <c r="D4" s="310" t="s">
        <v>90</v>
      </c>
      <c r="E4" s="310"/>
      <c r="F4" s="2"/>
      <c r="G4" s="35"/>
    </row>
    <row r="5" spans="1:7" s="36" customFormat="1" ht="50.25" customHeight="1" x14ac:dyDescent="0.45">
      <c r="A5" s="2"/>
      <c r="B5" s="310" t="s">
        <v>32</v>
      </c>
      <c r="C5" s="310" t="s">
        <v>32</v>
      </c>
      <c r="D5" s="310" t="s">
        <v>32</v>
      </c>
      <c r="E5" s="310"/>
      <c r="F5" s="2"/>
      <c r="G5" s="35"/>
    </row>
    <row r="6" spans="1:7" s="36" customFormat="1" ht="36" customHeight="1" x14ac:dyDescent="0.45">
      <c r="A6" s="2"/>
      <c r="B6" s="310" t="s">
        <v>233</v>
      </c>
      <c r="C6" s="310" t="s">
        <v>91</v>
      </c>
      <c r="D6" s="310" t="s">
        <v>91</v>
      </c>
      <c r="E6" s="310"/>
      <c r="F6" s="2"/>
      <c r="G6" s="35"/>
    </row>
    <row r="7" spans="1:7" s="36" customFormat="1" ht="66" customHeight="1" x14ac:dyDescent="0.45">
      <c r="A7" s="2"/>
      <c r="B7" s="304" t="s">
        <v>92</v>
      </c>
      <c r="C7" s="304" t="s">
        <v>92</v>
      </c>
      <c r="D7" s="304" t="s">
        <v>92</v>
      </c>
      <c r="E7" s="304"/>
      <c r="F7" s="2"/>
      <c r="G7" s="35"/>
    </row>
    <row r="8" spans="1:7" s="36" customFormat="1" ht="141" customHeight="1" x14ac:dyDescent="0.45">
      <c r="A8" s="2"/>
      <c r="B8" s="304" t="s">
        <v>234</v>
      </c>
      <c r="C8" s="304" t="s">
        <v>93</v>
      </c>
      <c r="D8" s="304" t="s">
        <v>93</v>
      </c>
      <c r="E8" s="304"/>
      <c r="F8" s="2"/>
      <c r="G8" s="35"/>
    </row>
    <row r="9" spans="1:7" s="36" customFormat="1" ht="108" customHeight="1" x14ac:dyDescent="0.45">
      <c r="A9" s="2"/>
      <c r="B9" s="309" t="s">
        <v>342</v>
      </c>
      <c r="C9" s="304" t="s">
        <v>94</v>
      </c>
      <c r="D9" s="304" t="s">
        <v>94</v>
      </c>
      <c r="E9" s="304"/>
      <c r="F9" s="2"/>
      <c r="G9" s="35"/>
    </row>
    <row r="10" spans="1:7" s="36" customFormat="1" ht="60.75" customHeight="1" x14ac:dyDescent="0.45">
      <c r="A10" s="2"/>
      <c r="B10" s="304" t="s">
        <v>95</v>
      </c>
      <c r="C10" s="304" t="s">
        <v>95</v>
      </c>
      <c r="D10" s="304" t="s">
        <v>95</v>
      </c>
      <c r="E10" s="304"/>
      <c r="F10" s="2"/>
      <c r="G10" s="35"/>
    </row>
    <row r="11" spans="1:7" s="36" customFormat="1" ht="15" customHeight="1" x14ac:dyDescent="0.45">
      <c r="A11" s="2"/>
      <c r="B11" s="304" t="s">
        <v>1</v>
      </c>
      <c r="C11" s="304" t="s">
        <v>1</v>
      </c>
      <c r="D11" s="304" t="s">
        <v>1</v>
      </c>
      <c r="E11" s="304"/>
      <c r="F11" s="2"/>
      <c r="G11" s="35"/>
    </row>
    <row r="12" spans="1:7" s="36" customFormat="1" x14ac:dyDescent="0.45">
      <c r="A12" s="2"/>
      <c r="B12" s="3"/>
      <c r="C12" s="2"/>
      <c r="D12" s="2"/>
      <c r="E12" s="2"/>
      <c r="F12" s="2"/>
      <c r="G12" s="35"/>
    </row>
    <row r="13" spans="1:7" x14ac:dyDescent="0.45">
      <c r="A13" s="37" t="s">
        <v>74</v>
      </c>
      <c r="B13" s="307" t="s">
        <v>223</v>
      </c>
      <c r="C13" s="307"/>
      <c r="D13" s="307"/>
      <c r="E13" s="307"/>
      <c r="F13" s="38"/>
      <c r="G13" s="39"/>
    </row>
    <row r="14" spans="1:7" ht="121.5" customHeight="1" x14ac:dyDescent="0.45">
      <c r="A14" s="40"/>
      <c r="B14" s="304" t="s">
        <v>222</v>
      </c>
      <c r="C14" s="304"/>
      <c r="D14" s="304"/>
      <c r="E14" s="304"/>
      <c r="F14" s="2"/>
      <c r="G14" s="35"/>
    </row>
    <row r="15" spans="1:7" ht="137.25" customHeight="1" x14ac:dyDescent="0.45">
      <c r="A15" s="40"/>
      <c r="B15" s="304" t="s">
        <v>261</v>
      </c>
      <c r="C15" s="304"/>
      <c r="D15" s="304"/>
      <c r="E15" s="304"/>
      <c r="F15" s="38"/>
      <c r="G15" s="39"/>
    </row>
    <row r="16" spans="1:7" ht="158.25" customHeight="1" x14ac:dyDescent="0.45">
      <c r="A16" s="40"/>
      <c r="B16" s="304" t="s">
        <v>262</v>
      </c>
      <c r="C16" s="304"/>
      <c r="D16" s="304"/>
      <c r="E16" s="304"/>
      <c r="F16" s="38"/>
      <c r="G16" s="39"/>
    </row>
    <row r="17" spans="1:7" ht="47.25" customHeight="1" x14ac:dyDescent="0.45">
      <c r="A17" s="40"/>
      <c r="B17" s="304" t="s">
        <v>224</v>
      </c>
      <c r="C17" s="304"/>
      <c r="D17" s="304"/>
      <c r="E17" s="304"/>
      <c r="F17" s="38"/>
      <c r="G17" s="39"/>
    </row>
    <row r="18" spans="1:7" ht="33" customHeight="1" x14ac:dyDescent="0.45">
      <c r="A18" s="40"/>
      <c r="B18" s="304" t="s">
        <v>221</v>
      </c>
      <c r="C18" s="304"/>
      <c r="D18" s="304"/>
      <c r="E18" s="304"/>
      <c r="F18" s="38"/>
      <c r="G18" s="39"/>
    </row>
    <row r="19" spans="1:7" s="36" customFormat="1" x14ac:dyDescent="0.45">
      <c r="A19" s="2"/>
      <c r="B19" s="304"/>
      <c r="C19" s="304"/>
      <c r="D19" s="304"/>
      <c r="E19" s="304"/>
      <c r="F19" s="2"/>
      <c r="G19" s="35"/>
    </row>
    <row r="20" spans="1:7" s="36" customFormat="1" x14ac:dyDescent="0.45">
      <c r="A20" s="41"/>
      <c r="B20" s="307" t="s">
        <v>34</v>
      </c>
      <c r="C20" s="307" t="s">
        <v>34</v>
      </c>
      <c r="D20" s="307" t="s">
        <v>34</v>
      </c>
      <c r="E20" s="307"/>
      <c r="F20" s="2"/>
      <c r="G20" s="35"/>
    </row>
    <row r="21" spans="1:7" s="36" customFormat="1" x14ac:dyDescent="0.45">
      <c r="A21" s="2"/>
      <c r="B21" s="304"/>
      <c r="C21" s="304"/>
      <c r="D21" s="304"/>
      <c r="E21" s="304"/>
      <c r="F21" s="2"/>
      <c r="G21" s="35"/>
    </row>
    <row r="22" spans="1:7" s="36" customFormat="1" ht="65.25" customHeight="1" x14ac:dyDescent="0.45">
      <c r="A22" s="2"/>
      <c r="B22" s="304" t="s">
        <v>180</v>
      </c>
      <c r="C22" s="304" t="s">
        <v>180</v>
      </c>
      <c r="D22" s="304" t="s">
        <v>180</v>
      </c>
      <c r="E22" s="304"/>
      <c r="F22" s="2"/>
      <c r="G22" s="35"/>
    </row>
    <row r="23" spans="1:7" s="36" customFormat="1" ht="93" customHeight="1" x14ac:dyDescent="0.45">
      <c r="A23" s="2"/>
      <c r="B23" s="304" t="s">
        <v>181</v>
      </c>
      <c r="C23" s="304" t="s">
        <v>181</v>
      </c>
      <c r="D23" s="304" t="s">
        <v>181</v>
      </c>
      <c r="E23" s="304"/>
      <c r="F23" s="2"/>
      <c r="G23" s="35"/>
    </row>
    <row r="24" spans="1:7" s="36" customFormat="1" x14ac:dyDescent="0.45">
      <c r="A24" s="2"/>
      <c r="B24" s="304"/>
      <c r="C24" s="304"/>
      <c r="D24" s="304"/>
      <c r="E24" s="304"/>
      <c r="F24" s="2"/>
      <c r="G24" s="35"/>
    </row>
    <row r="25" spans="1:7" s="36" customFormat="1" x14ac:dyDescent="0.45">
      <c r="A25" s="2"/>
      <c r="B25" s="304" t="s">
        <v>182</v>
      </c>
      <c r="C25" s="304" t="s">
        <v>182</v>
      </c>
      <c r="D25" s="304" t="s">
        <v>182</v>
      </c>
      <c r="E25" s="304"/>
      <c r="F25" s="2"/>
      <c r="G25" s="35"/>
    </row>
    <row r="26" spans="1:7" s="36" customFormat="1" x14ac:dyDescent="0.45">
      <c r="A26" s="2"/>
      <c r="B26" s="304"/>
      <c r="C26" s="304"/>
      <c r="D26" s="304"/>
      <c r="E26" s="304"/>
      <c r="F26" s="2"/>
      <c r="G26" s="35"/>
    </row>
    <row r="27" spans="1:7" s="36" customFormat="1" ht="51.75" customHeight="1" x14ac:dyDescent="0.45">
      <c r="A27" s="2"/>
      <c r="B27" s="304" t="s">
        <v>183</v>
      </c>
      <c r="C27" s="304" t="s">
        <v>183</v>
      </c>
      <c r="D27" s="304" t="s">
        <v>183</v>
      </c>
      <c r="E27" s="304"/>
      <c r="F27" s="2"/>
      <c r="G27" s="35"/>
    </row>
    <row r="28" spans="1:7" s="36" customFormat="1" x14ac:dyDescent="0.45">
      <c r="A28" s="2"/>
      <c r="B28" s="304" t="s">
        <v>184</v>
      </c>
      <c r="C28" s="304" t="s">
        <v>184</v>
      </c>
      <c r="D28" s="304" t="s">
        <v>184</v>
      </c>
      <c r="E28" s="304"/>
      <c r="F28" s="2"/>
      <c r="G28" s="35"/>
    </row>
    <row r="29" spans="1:7" s="36" customFormat="1" x14ac:dyDescent="0.45">
      <c r="A29" s="2"/>
      <c r="B29" s="304"/>
      <c r="C29" s="304"/>
      <c r="D29" s="304"/>
      <c r="E29" s="304"/>
      <c r="F29" s="2"/>
      <c r="G29" s="35"/>
    </row>
    <row r="30" spans="1:7" s="36" customFormat="1" x14ac:dyDescent="0.45">
      <c r="A30" s="2"/>
      <c r="B30" s="304" t="s">
        <v>185</v>
      </c>
      <c r="C30" s="304" t="s">
        <v>185</v>
      </c>
      <c r="D30" s="304" t="s">
        <v>185</v>
      </c>
      <c r="E30" s="304"/>
      <c r="F30" s="2"/>
      <c r="G30" s="35"/>
    </row>
    <row r="31" spans="1:7" s="36" customFormat="1" x14ac:dyDescent="0.45">
      <c r="A31" s="2"/>
      <c r="B31" s="304"/>
      <c r="C31" s="304"/>
      <c r="D31" s="304"/>
      <c r="E31" s="304"/>
      <c r="F31" s="2"/>
      <c r="G31" s="35"/>
    </row>
    <row r="32" spans="1:7" s="36" customFormat="1" ht="64.5" customHeight="1" x14ac:dyDescent="0.45">
      <c r="A32" s="2"/>
      <c r="B32" s="304" t="s">
        <v>225</v>
      </c>
      <c r="C32" s="304" t="s">
        <v>188</v>
      </c>
      <c r="D32" s="304" t="s">
        <v>188</v>
      </c>
      <c r="E32" s="304"/>
      <c r="F32" s="2"/>
      <c r="G32" s="35"/>
    </row>
    <row r="33" spans="1:7" s="36" customFormat="1" ht="32.25" customHeight="1" x14ac:dyDescent="0.45">
      <c r="A33" s="2"/>
      <c r="B33" s="304" t="s">
        <v>226</v>
      </c>
      <c r="C33" s="304" t="s">
        <v>189</v>
      </c>
      <c r="D33" s="304" t="s">
        <v>189</v>
      </c>
      <c r="E33" s="304"/>
      <c r="F33" s="2"/>
      <c r="G33" s="35"/>
    </row>
    <row r="34" spans="1:7" s="36" customFormat="1" ht="15.75" customHeight="1" x14ac:dyDescent="0.45">
      <c r="A34" s="2"/>
      <c r="B34" s="304" t="s">
        <v>227</v>
      </c>
      <c r="C34" s="304" t="s">
        <v>190</v>
      </c>
      <c r="D34" s="304" t="s">
        <v>190</v>
      </c>
      <c r="E34" s="304"/>
      <c r="F34" s="2"/>
      <c r="G34" s="35"/>
    </row>
    <row r="35" spans="1:7" s="36" customFormat="1" ht="31.5" customHeight="1" x14ac:dyDescent="0.45">
      <c r="A35" s="2"/>
      <c r="B35" s="304" t="s">
        <v>228</v>
      </c>
      <c r="C35" s="304" t="s">
        <v>191</v>
      </c>
      <c r="D35" s="304" t="s">
        <v>191</v>
      </c>
      <c r="E35" s="304"/>
      <c r="F35" s="2"/>
      <c r="G35" s="35"/>
    </row>
    <row r="36" spans="1:7" s="36" customFormat="1" ht="20.25" customHeight="1" x14ac:dyDescent="0.45">
      <c r="A36" s="2"/>
      <c r="B36" s="304" t="s">
        <v>229</v>
      </c>
      <c r="C36" s="304" t="s">
        <v>192</v>
      </c>
      <c r="D36" s="304" t="s">
        <v>192</v>
      </c>
      <c r="E36" s="304"/>
      <c r="F36" s="2"/>
      <c r="G36" s="35"/>
    </row>
    <row r="37" spans="1:7" s="36" customFormat="1" ht="48.75" customHeight="1" x14ac:dyDescent="0.45">
      <c r="A37" s="2"/>
      <c r="B37" s="304" t="s">
        <v>230</v>
      </c>
      <c r="C37" s="304" t="s">
        <v>193</v>
      </c>
      <c r="D37" s="304" t="s">
        <v>193</v>
      </c>
      <c r="E37" s="304"/>
      <c r="F37" s="2"/>
      <c r="G37" s="35"/>
    </row>
    <row r="38" spans="1:7" s="36" customFormat="1" ht="33" customHeight="1" x14ac:dyDescent="0.45">
      <c r="A38" s="2"/>
      <c r="B38" s="304" t="s">
        <v>231</v>
      </c>
      <c r="C38" s="304" t="s">
        <v>194</v>
      </c>
      <c r="D38" s="304" t="s">
        <v>194</v>
      </c>
      <c r="E38" s="304"/>
      <c r="F38" s="2"/>
      <c r="G38" s="35"/>
    </row>
    <row r="39" spans="1:7" s="36" customFormat="1" ht="33.75" customHeight="1" x14ac:dyDescent="0.45">
      <c r="A39" s="2"/>
      <c r="B39" s="304" t="s">
        <v>232</v>
      </c>
      <c r="C39" s="304" t="s">
        <v>195</v>
      </c>
      <c r="D39" s="304" t="s">
        <v>195</v>
      </c>
      <c r="E39" s="304"/>
      <c r="F39" s="2"/>
      <c r="G39" s="35"/>
    </row>
    <row r="40" spans="1:7" s="36" customFormat="1" ht="30.75" customHeight="1" x14ac:dyDescent="0.45">
      <c r="A40" s="2"/>
      <c r="B40" s="304" t="s">
        <v>196</v>
      </c>
      <c r="C40" s="304" t="s">
        <v>196</v>
      </c>
      <c r="D40" s="304" t="s">
        <v>196</v>
      </c>
      <c r="E40" s="304"/>
      <c r="F40" s="2"/>
      <c r="G40" s="35"/>
    </row>
    <row r="41" spans="1:7" s="36" customFormat="1" ht="31.5" customHeight="1" x14ac:dyDescent="0.45">
      <c r="A41" s="2"/>
      <c r="B41" s="304" t="s">
        <v>186</v>
      </c>
      <c r="C41" s="304" t="s">
        <v>186</v>
      </c>
      <c r="D41" s="304" t="s">
        <v>186</v>
      </c>
      <c r="E41" s="304"/>
      <c r="F41" s="2"/>
      <c r="G41" s="35"/>
    </row>
    <row r="42" spans="1:7" s="36" customFormat="1" ht="32.25" customHeight="1" x14ac:dyDescent="0.45">
      <c r="A42" s="2"/>
      <c r="B42" s="304" t="s">
        <v>187</v>
      </c>
      <c r="C42" s="304" t="s">
        <v>187</v>
      </c>
      <c r="D42" s="304" t="s">
        <v>187</v>
      </c>
      <c r="E42" s="304"/>
      <c r="F42" s="2"/>
      <c r="G42" s="35"/>
    </row>
    <row r="43" spans="1:7" s="36" customFormat="1" x14ac:dyDescent="0.45">
      <c r="A43" s="2"/>
      <c r="B43" s="304"/>
      <c r="C43" s="304"/>
      <c r="D43" s="304"/>
      <c r="E43" s="304"/>
      <c r="F43" s="2"/>
      <c r="G43" s="35"/>
    </row>
    <row r="44" spans="1:7" s="36" customFormat="1" x14ac:dyDescent="0.45">
      <c r="A44" s="2"/>
      <c r="B44" s="304" t="s">
        <v>197</v>
      </c>
      <c r="C44" s="304" t="s">
        <v>197</v>
      </c>
      <c r="D44" s="304" t="s">
        <v>197</v>
      </c>
      <c r="E44" s="304"/>
      <c r="F44" s="2"/>
      <c r="G44" s="35"/>
    </row>
    <row r="45" spans="1:7" s="36" customFormat="1" ht="17.25" customHeight="1" x14ac:dyDescent="0.45">
      <c r="A45" s="2"/>
      <c r="B45" s="304" t="s">
        <v>198</v>
      </c>
      <c r="C45" s="304" t="s">
        <v>198</v>
      </c>
      <c r="D45" s="304" t="s">
        <v>198</v>
      </c>
      <c r="E45" s="304"/>
      <c r="F45" s="2"/>
      <c r="G45" s="35"/>
    </row>
    <row r="46" spans="1:7" s="36" customFormat="1" ht="66.75" customHeight="1" x14ac:dyDescent="0.45">
      <c r="A46" s="2"/>
      <c r="B46" s="304" t="s">
        <v>199</v>
      </c>
      <c r="C46" s="304" t="s">
        <v>199</v>
      </c>
      <c r="D46" s="304" t="s">
        <v>199</v>
      </c>
      <c r="E46" s="304"/>
      <c r="F46" s="2"/>
      <c r="G46" s="35"/>
    </row>
    <row r="47" spans="1:7" s="36" customFormat="1" ht="20.25" customHeight="1" x14ac:dyDescent="0.45">
      <c r="A47" s="2"/>
      <c r="B47" s="304" t="s">
        <v>200</v>
      </c>
      <c r="C47" s="304" t="s">
        <v>200</v>
      </c>
      <c r="D47" s="304" t="s">
        <v>200</v>
      </c>
      <c r="E47" s="304"/>
      <c r="F47" s="2"/>
      <c r="G47" s="35"/>
    </row>
    <row r="48" spans="1:7" s="36" customFormat="1" ht="30.75" customHeight="1" x14ac:dyDescent="0.45">
      <c r="A48" s="2"/>
      <c r="B48" s="304" t="s">
        <v>201</v>
      </c>
      <c r="C48" s="304" t="s">
        <v>201</v>
      </c>
      <c r="D48" s="304" t="s">
        <v>201</v>
      </c>
      <c r="E48" s="304"/>
      <c r="F48" s="2"/>
      <c r="G48" s="35"/>
    </row>
    <row r="49" spans="1:8" s="36" customFormat="1" ht="45" customHeight="1" x14ac:dyDescent="0.45">
      <c r="A49" s="2"/>
      <c r="B49" s="304" t="s">
        <v>202</v>
      </c>
      <c r="C49" s="304" t="s">
        <v>202</v>
      </c>
      <c r="D49" s="304" t="s">
        <v>202</v>
      </c>
      <c r="E49" s="304"/>
      <c r="F49" s="2"/>
      <c r="G49" s="35"/>
    </row>
    <row r="50" spans="1:8" s="36" customFormat="1" x14ac:dyDescent="0.45">
      <c r="A50" s="2"/>
      <c r="B50" s="304"/>
      <c r="C50" s="304"/>
      <c r="D50" s="304"/>
      <c r="E50" s="304"/>
      <c r="F50" s="2"/>
      <c r="G50" s="35"/>
    </row>
    <row r="51" spans="1:8" s="36" customFormat="1" x14ac:dyDescent="0.45">
      <c r="A51" s="41"/>
      <c r="B51" s="307" t="s">
        <v>97</v>
      </c>
      <c r="C51" s="307" t="s">
        <v>97</v>
      </c>
      <c r="D51" s="307" t="s">
        <v>97</v>
      </c>
      <c r="E51" s="307"/>
      <c r="F51" s="2"/>
      <c r="G51" s="35"/>
    </row>
    <row r="52" spans="1:8" s="36" customFormat="1" x14ac:dyDescent="0.45">
      <c r="A52" s="2"/>
      <c r="B52" s="304"/>
      <c r="C52" s="304"/>
      <c r="D52" s="304"/>
      <c r="E52" s="304"/>
      <c r="F52" s="2"/>
      <c r="G52" s="35"/>
    </row>
    <row r="53" spans="1:8" s="36" customFormat="1" ht="62.25" customHeight="1" x14ac:dyDescent="0.45">
      <c r="A53" s="2"/>
      <c r="B53" s="304" t="s">
        <v>27</v>
      </c>
      <c r="C53" s="304" t="s">
        <v>27</v>
      </c>
      <c r="D53" s="304" t="s">
        <v>27</v>
      </c>
      <c r="E53" s="304"/>
      <c r="F53" s="2"/>
      <c r="G53" s="35"/>
    </row>
    <row r="54" spans="1:8" s="36" customFormat="1" ht="63" customHeight="1" x14ac:dyDescent="0.45">
      <c r="A54" s="2"/>
      <c r="B54" s="304" t="s">
        <v>28</v>
      </c>
      <c r="C54" s="304" t="s">
        <v>28</v>
      </c>
      <c r="D54" s="304" t="s">
        <v>28</v>
      </c>
      <c r="E54" s="304"/>
      <c r="F54" s="2"/>
      <c r="G54" s="35"/>
    </row>
    <row r="55" spans="1:8" s="36" customFormat="1" ht="31.5" customHeight="1" x14ac:dyDescent="0.45">
      <c r="A55" s="2"/>
      <c r="B55" s="304" t="s">
        <v>29</v>
      </c>
      <c r="C55" s="304" t="s">
        <v>29</v>
      </c>
      <c r="D55" s="304" t="s">
        <v>29</v>
      </c>
      <c r="E55" s="304"/>
      <c r="F55" s="2"/>
      <c r="G55" s="35"/>
    </row>
    <row r="56" spans="1:8" s="36" customFormat="1" ht="76.5" customHeight="1" x14ac:dyDescent="0.45">
      <c r="A56" s="2"/>
      <c r="B56" s="304" t="s">
        <v>30</v>
      </c>
      <c r="C56" s="304" t="s">
        <v>30</v>
      </c>
      <c r="D56" s="304" t="s">
        <v>30</v>
      </c>
      <c r="E56" s="304"/>
      <c r="F56" s="2"/>
      <c r="G56" s="35"/>
    </row>
    <row r="57" spans="1:8" s="36" customFormat="1" ht="138" customHeight="1" x14ac:dyDescent="0.45">
      <c r="A57" s="2"/>
      <c r="B57" s="304" t="s">
        <v>264</v>
      </c>
      <c r="C57" s="304" t="s">
        <v>98</v>
      </c>
      <c r="D57" s="304" t="s">
        <v>98</v>
      </c>
      <c r="E57" s="304"/>
      <c r="F57" s="2"/>
      <c r="G57" s="35"/>
    </row>
    <row r="58" spans="1:8" s="36" customFormat="1" ht="63" customHeight="1" x14ac:dyDescent="0.45">
      <c r="A58" s="2"/>
      <c r="B58" s="304" t="s">
        <v>281</v>
      </c>
      <c r="C58" s="304" t="s">
        <v>99</v>
      </c>
      <c r="D58" s="304" t="s">
        <v>99</v>
      </c>
      <c r="E58" s="304"/>
      <c r="F58" s="2"/>
      <c r="G58" s="35"/>
    </row>
    <row r="59" spans="1:8" s="43" customFormat="1" x14ac:dyDescent="0.45">
      <c r="A59" s="4"/>
      <c r="B59" s="5"/>
      <c r="C59" s="6"/>
      <c r="D59" s="6"/>
      <c r="E59" s="7"/>
      <c r="F59" s="8"/>
      <c r="G59" s="42"/>
      <c r="H59" s="4"/>
    </row>
    <row r="60" spans="1:8" s="43" customFormat="1" x14ac:dyDescent="0.45">
      <c r="A60" s="4"/>
      <c r="B60" s="5" t="s">
        <v>364</v>
      </c>
      <c r="C60" s="6"/>
      <c r="D60" s="6"/>
      <c r="E60" s="7"/>
      <c r="F60" s="8"/>
      <c r="G60" s="42"/>
      <c r="H60" s="4"/>
    </row>
    <row r="61" spans="1:8" s="43" customFormat="1" x14ac:dyDescent="0.45">
      <c r="A61" s="4"/>
      <c r="B61" s="5" t="s">
        <v>365</v>
      </c>
      <c r="C61" s="6"/>
      <c r="D61" s="6"/>
      <c r="E61" s="7"/>
      <c r="F61" s="8"/>
      <c r="G61" s="42"/>
      <c r="H61" s="4"/>
    </row>
    <row r="62" spans="1:8" s="43" customFormat="1" ht="28.5" x14ac:dyDescent="0.45">
      <c r="A62" s="4"/>
      <c r="B62" s="5" t="s">
        <v>366</v>
      </c>
      <c r="C62" s="6"/>
      <c r="D62" s="8"/>
      <c r="E62" s="7"/>
      <c r="F62" s="8"/>
      <c r="G62" s="42"/>
      <c r="H62" s="4"/>
    </row>
    <row r="63" spans="1:8" s="43" customFormat="1" ht="28.5" x14ac:dyDescent="0.45">
      <c r="A63" s="4"/>
      <c r="B63" s="5" t="s">
        <v>367</v>
      </c>
      <c r="C63" s="6"/>
      <c r="D63" s="6"/>
      <c r="E63" s="7"/>
      <c r="F63" s="8"/>
      <c r="G63" s="42"/>
      <c r="H63" s="4"/>
    </row>
    <row r="64" spans="1:8" s="43" customFormat="1" x14ac:dyDescent="0.45">
      <c r="A64" s="4"/>
      <c r="B64" s="5" t="s">
        <v>368</v>
      </c>
      <c r="C64" s="9"/>
      <c r="D64" s="9"/>
      <c r="E64" s="10"/>
      <c r="F64" s="21"/>
      <c r="G64" s="44"/>
      <c r="H64" s="4"/>
    </row>
    <row r="65" spans="1:8" s="43" customFormat="1" ht="28.5" x14ac:dyDescent="0.45">
      <c r="A65" s="4"/>
      <c r="B65" s="5" t="s">
        <v>369</v>
      </c>
      <c r="C65" s="6"/>
      <c r="D65" s="6"/>
      <c r="E65" s="7"/>
      <c r="F65" s="8"/>
      <c r="G65" s="42"/>
      <c r="H65" s="4"/>
    </row>
    <row r="66" spans="1:8" s="43" customFormat="1" ht="57" x14ac:dyDescent="0.45">
      <c r="A66" s="11"/>
      <c r="B66" s="12" t="s">
        <v>370</v>
      </c>
      <c r="C66" s="6"/>
      <c r="D66" s="6"/>
      <c r="E66" s="7"/>
      <c r="F66" s="8"/>
      <c r="G66" s="42"/>
      <c r="H66" s="45"/>
    </row>
    <row r="67" spans="1:8" s="43" customFormat="1" ht="57" x14ac:dyDescent="0.45">
      <c r="A67" s="11"/>
      <c r="B67" s="12" t="s">
        <v>371</v>
      </c>
      <c r="C67" s="6"/>
      <c r="D67" s="6"/>
      <c r="E67" s="7"/>
      <c r="F67" s="8"/>
      <c r="G67" s="42"/>
      <c r="H67" s="11"/>
    </row>
    <row r="68" spans="1:8" s="43" customFormat="1" ht="57" x14ac:dyDescent="0.45">
      <c r="A68" s="11"/>
      <c r="B68" s="12" t="s">
        <v>372</v>
      </c>
      <c r="C68" s="6"/>
      <c r="D68" s="6"/>
      <c r="E68" s="7"/>
      <c r="F68" s="8"/>
      <c r="G68" s="42"/>
      <c r="H68" s="11"/>
    </row>
    <row r="69" spans="1:8" s="43" customFormat="1" x14ac:dyDescent="0.45">
      <c r="A69" s="11"/>
      <c r="B69" s="5"/>
      <c r="C69" s="6"/>
      <c r="D69" s="6"/>
      <c r="E69" s="7"/>
      <c r="F69" s="8"/>
      <c r="G69" s="42"/>
      <c r="H69" s="11"/>
    </row>
    <row r="70" spans="1:8" s="43" customFormat="1" x14ac:dyDescent="0.45">
      <c r="A70" s="11"/>
      <c r="B70" s="5" t="s">
        <v>373</v>
      </c>
      <c r="C70" s="6"/>
      <c r="D70" s="6"/>
      <c r="E70" s="7"/>
      <c r="F70" s="8"/>
      <c r="G70" s="42"/>
      <c r="H70" s="46"/>
    </row>
    <row r="71" spans="1:8" s="43" customFormat="1" ht="28.5" x14ac:dyDescent="0.45">
      <c r="A71" s="13"/>
      <c r="B71" s="14" t="s">
        <v>374</v>
      </c>
      <c r="C71" s="15"/>
      <c r="D71" s="16"/>
      <c r="E71" s="17"/>
      <c r="F71" s="8"/>
      <c r="G71" s="42"/>
      <c r="H71" s="46"/>
    </row>
    <row r="72" spans="1:8" s="43" customFormat="1" x14ac:dyDescent="0.45">
      <c r="A72" s="18"/>
      <c r="B72" s="14" t="s">
        <v>375</v>
      </c>
      <c r="C72" s="15"/>
      <c r="D72" s="16"/>
      <c r="E72" s="17"/>
      <c r="F72" s="8"/>
      <c r="G72" s="42"/>
      <c r="H72" s="13"/>
    </row>
    <row r="73" spans="1:8" s="43" customFormat="1" ht="28.5" x14ac:dyDescent="0.45">
      <c r="A73" s="13"/>
      <c r="B73" s="14" t="s">
        <v>376</v>
      </c>
      <c r="C73" s="15"/>
      <c r="D73" s="16"/>
      <c r="E73" s="17"/>
      <c r="F73" s="8"/>
      <c r="G73" s="42"/>
      <c r="H73" s="37"/>
    </row>
    <row r="74" spans="1:8" s="43" customFormat="1" x14ac:dyDescent="0.45">
      <c r="A74" s="13"/>
      <c r="B74" s="14" t="s">
        <v>377</v>
      </c>
      <c r="C74" s="15"/>
      <c r="D74" s="16"/>
      <c r="E74" s="17"/>
      <c r="F74" s="8"/>
      <c r="G74" s="42"/>
      <c r="H74" s="13"/>
    </row>
    <row r="75" spans="1:8" s="43" customFormat="1" x14ac:dyDescent="0.45">
      <c r="A75" s="13"/>
      <c r="B75" s="14" t="s">
        <v>378</v>
      </c>
      <c r="C75" s="15"/>
      <c r="D75" s="16"/>
      <c r="E75" s="17"/>
      <c r="F75" s="8"/>
      <c r="G75" s="42"/>
      <c r="H75" s="13"/>
    </row>
    <row r="76" spans="1:8" s="43" customFormat="1" ht="28.5" x14ac:dyDescent="0.45">
      <c r="A76" s="13"/>
      <c r="B76" s="14" t="s">
        <v>379</v>
      </c>
      <c r="C76" s="15"/>
      <c r="D76" s="16"/>
      <c r="E76" s="17"/>
      <c r="F76" s="8"/>
      <c r="G76" s="42"/>
      <c r="H76" s="13"/>
    </row>
    <row r="77" spans="1:8" s="43" customFormat="1" ht="42.75" x14ac:dyDescent="0.45">
      <c r="A77" s="13"/>
      <c r="B77" s="14" t="s">
        <v>380</v>
      </c>
      <c r="C77" s="15"/>
      <c r="D77" s="16"/>
      <c r="E77" s="17"/>
      <c r="F77" s="8"/>
      <c r="G77" s="42"/>
      <c r="H77" s="13"/>
    </row>
    <row r="78" spans="1:8" s="43" customFormat="1" ht="57" x14ac:dyDescent="0.45">
      <c r="A78" s="13"/>
      <c r="B78" s="14" t="s">
        <v>381</v>
      </c>
      <c r="C78" s="15"/>
      <c r="D78" s="16"/>
      <c r="E78" s="17"/>
      <c r="F78" s="8"/>
      <c r="G78" s="42"/>
      <c r="H78" s="13"/>
    </row>
    <row r="79" spans="1:8" s="43" customFormat="1" ht="57" x14ac:dyDescent="0.45">
      <c r="A79" s="13"/>
      <c r="B79" s="14" t="s">
        <v>382</v>
      </c>
      <c r="C79" s="15"/>
      <c r="D79" s="16"/>
      <c r="E79" s="17"/>
      <c r="F79" s="8"/>
      <c r="G79" s="42"/>
      <c r="H79" s="13"/>
    </row>
    <row r="80" spans="1:8" s="43" customFormat="1" ht="42.75" x14ac:dyDescent="0.45">
      <c r="A80" s="13"/>
      <c r="B80" s="14" t="s">
        <v>383</v>
      </c>
      <c r="C80" s="15"/>
      <c r="D80" s="16"/>
      <c r="E80" s="17"/>
      <c r="F80" s="8"/>
      <c r="G80" s="42"/>
      <c r="H80" s="13"/>
    </row>
    <row r="81" spans="1:8" s="43" customFormat="1" ht="156.75" x14ac:dyDescent="0.45">
      <c r="A81" s="13"/>
      <c r="B81" s="14" t="s">
        <v>384</v>
      </c>
      <c r="C81" s="15"/>
      <c r="D81" s="16"/>
      <c r="E81" s="17"/>
      <c r="F81" s="8"/>
      <c r="G81" s="42"/>
      <c r="H81" s="13"/>
    </row>
    <row r="82" spans="1:8" s="43" customFormat="1" ht="42.75" x14ac:dyDescent="0.45">
      <c r="A82" s="13"/>
      <c r="B82" s="14" t="s">
        <v>385</v>
      </c>
      <c r="C82" s="15"/>
      <c r="D82" s="16"/>
      <c r="E82" s="17"/>
      <c r="F82" s="8"/>
      <c r="G82" s="42"/>
      <c r="H82" s="13"/>
    </row>
    <row r="83" spans="1:8" s="43" customFormat="1" ht="28.5" x14ac:dyDescent="0.45">
      <c r="A83" s="13"/>
      <c r="B83" s="14" t="s">
        <v>386</v>
      </c>
      <c r="C83" s="15"/>
      <c r="D83" s="16"/>
      <c r="E83" s="17"/>
      <c r="F83" s="8"/>
      <c r="G83" s="42"/>
      <c r="H83" s="13"/>
    </row>
    <row r="84" spans="1:8" s="43" customFormat="1" ht="57" x14ac:dyDescent="0.45">
      <c r="A84" s="13"/>
      <c r="B84" s="14" t="s">
        <v>387</v>
      </c>
      <c r="C84" s="15"/>
      <c r="D84" s="16"/>
      <c r="E84" s="17"/>
      <c r="F84" s="8"/>
      <c r="G84" s="42"/>
      <c r="H84" s="13"/>
    </row>
    <row r="85" spans="1:8" s="43" customFormat="1" ht="28.5" x14ac:dyDescent="0.45">
      <c r="A85" s="13"/>
      <c r="B85" s="14" t="s">
        <v>388</v>
      </c>
      <c r="C85" s="15"/>
      <c r="D85" s="16"/>
      <c r="E85" s="17"/>
      <c r="F85" s="8"/>
      <c r="G85" s="42"/>
      <c r="H85" s="13"/>
    </row>
    <row r="86" spans="1:8" s="43" customFormat="1" ht="114" x14ac:dyDescent="0.45">
      <c r="A86" s="13"/>
      <c r="B86" s="14" t="s">
        <v>389</v>
      </c>
      <c r="C86" s="15"/>
      <c r="D86" s="16"/>
      <c r="E86" s="17"/>
      <c r="F86" s="8"/>
      <c r="G86" s="42"/>
      <c r="H86" s="13"/>
    </row>
    <row r="87" spans="1:8" s="43" customFormat="1" ht="71.25" x14ac:dyDescent="0.45">
      <c r="A87" s="13"/>
      <c r="B87" s="14" t="s">
        <v>390</v>
      </c>
      <c r="C87" s="15"/>
      <c r="D87" s="16"/>
      <c r="E87" s="17"/>
      <c r="F87" s="8"/>
      <c r="G87" s="42"/>
      <c r="H87" s="13"/>
    </row>
    <row r="88" spans="1:8" s="43" customFormat="1" ht="42.75" x14ac:dyDescent="0.45">
      <c r="A88" s="19"/>
      <c r="B88" s="20" t="s">
        <v>391</v>
      </c>
      <c r="C88" s="21"/>
      <c r="D88" s="6"/>
      <c r="E88" s="7"/>
      <c r="F88" s="47"/>
      <c r="G88" s="48"/>
      <c r="H88" s="13"/>
    </row>
    <row r="89" spans="1:8" s="43" customFormat="1" ht="99.75" x14ac:dyDescent="0.45">
      <c r="A89" s="22"/>
      <c r="B89" s="23" t="s">
        <v>392</v>
      </c>
      <c r="C89" s="9"/>
      <c r="D89" s="9"/>
      <c r="E89" s="10"/>
      <c r="F89" s="8"/>
      <c r="G89" s="42"/>
      <c r="H89" s="49"/>
    </row>
    <row r="90" spans="1:8" s="43" customFormat="1" ht="42.75" x14ac:dyDescent="0.45">
      <c r="A90" s="24"/>
      <c r="B90" s="23" t="s">
        <v>393</v>
      </c>
      <c r="C90" s="9"/>
      <c r="D90" s="9"/>
      <c r="E90" s="25"/>
      <c r="F90" s="21"/>
      <c r="G90" s="44"/>
      <c r="H90" s="22"/>
    </row>
    <row r="91" spans="1:8" s="43" customFormat="1" ht="57" x14ac:dyDescent="0.45">
      <c r="A91" s="24"/>
      <c r="B91" s="23" t="s">
        <v>394</v>
      </c>
      <c r="C91" s="9"/>
      <c r="D91" s="9"/>
      <c r="E91" s="25"/>
      <c r="F91" s="21"/>
      <c r="G91" s="44"/>
      <c r="H91" s="24"/>
    </row>
    <row r="92" spans="1:8" s="43" customFormat="1" x14ac:dyDescent="0.45">
      <c r="A92" s="24"/>
      <c r="B92" s="23" t="s">
        <v>96</v>
      </c>
      <c r="C92" s="9"/>
      <c r="D92" s="9"/>
      <c r="E92" s="10"/>
      <c r="F92" s="21"/>
      <c r="G92" s="44"/>
      <c r="H92" s="24"/>
    </row>
    <row r="93" spans="1:8" s="43" customFormat="1" x14ac:dyDescent="0.45">
      <c r="A93" s="11"/>
      <c r="B93" s="26" t="s">
        <v>395</v>
      </c>
      <c r="C93" s="6"/>
      <c r="D93" s="6"/>
      <c r="E93" s="7"/>
      <c r="F93" s="8"/>
      <c r="G93" s="42"/>
      <c r="H93" s="24"/>
    </row>
    <row r="94" spans="1:8" s="43" customFormat="1" ht="28.5" x14ac:dyDescent="0.45">
      <c r="A94" s="11"/>
      <c r="B94" s="26" t="s">
        <v>396</v>
      </c>
      <c r="C94" s="6"/>
      <c r="D94" s="6"/>
      <c r="E94" s="7"/>
      <c r="F94" s="8"/>
      <c r="G94" s="42"/>
      <c r="H94" s="11"/>
    </row>
    <row r="95" spans="1:8" s="43" customFormat="1" x14ac:dyDescent="0.45">
      <c r="A95" s="11"/>
      <c r="B95" s="26" t="s">
        <v>397</v>
      </c>
      <c r="C95" s="6"/>
      <c r="D95" s="6"/>
      <c r="E95" s="7"/>
      <c r="F95" s="8"/>
      <c r="G95" s="42"/>
      <c r="H95" s="11"/>
    </row>
    <row r="96" spans="1:8" s="43" customFormat="1" x14ac:dyDescent="0.45">
      <c r="A96" s="24"/>
      <c r="B96" s="23" t="s">
        <v>398</v>
      </c>
      <c r="C96" s="9"/>
      <c r="D96" s="9"/>
      <c r="E96" s="25"/>
      <c r="F96" s="21"/>
      <c r="G96" s="44"/>
      <c r="H96" s="11"/>
    </row>
    <row r="97" spans="1:8" s="50" customFormat="1" ht="15.75" x14ac:dyDescent="0.5">
      <c r="A97" s="24"/>
      <c r="B97" s="23" t="s">
        <v>399</v>
      </c>
      <c r="C97" s="9"/>
      <c r="D97" s="9"/>
      <c r="E97" s="25"/>
      <c r="F97" s="21"/>
      <c r="G97" s="44"/>
      <c r="H97" s="24"/>
    </row>
    <row r="98" spans="1:8" s="50" customFormat="1" ht="15.75" x14ac:dyDescent="0.5">
      <c r="A98" s="11"/>
      <c r="B98" s="26" t="s">
        <v>400</v>
      </c>
      <c r="C98" s="6"/>
      <c r="D98" s="6"/>
      <c r="E98" s="7"/>
      <c r="F98" s="8"/>
      <c r="G98" s="42"/>
      <c r="H98" s="24"/>
    </row>
    <row r="99" spans="1:8" s="36" customFormat="1" x14ac:dyDescent="0.45">
      <c r="A99" s="2"/>
      <c r="B99" s="304" t="s">
        <v>2</v>
      </c>
      <c r="C99" s="304" t="s">
        <v>2</v>
      </c>
      <c r="D99" s="304" t="s">
        <v>2</v>
      </c>
      <c r="E99" s="304"/>
      <c r="F99" s="2"/>
      <c r="G99" s="35"/>
    </row>
    <row r="100" spans="1:8" s="36" customFormat="1" x14ac:dyDescent="0.45">
      <c r="A100" s="2"/>
      <c r="B100" s="304" t="s">
        <v>3</v>
      </c>
      <c r="C100" s="304" t="s">
        <v>3</v>
      </c>
      <c r="D100" s="304" t="s">
        <v>3</v>
      </c>
      <c r="E100" s="304"/>
      <c r="F100" s="2"/>
      <c r="G100" s="35"/>
    </row>
    <row r="101" spans="1:8" s="36" customFormat="1" x14ac:dyDescent="0.45">
      <c r="A101" s="2"/>
      <c r="B101" s="304" t="s">
        <v>4</v>
      </c>
      <c r="C101" s="304" t="s">
        <v>4</v>
      </c>
      <c r="D101" s="304" t="s">
        <v>4</v>
      </c>
      <c r="E101" s="304"/>
      <c r="F101" s="2"/>
      <c r="G101" s="35"/>
    </row>
    <row r="102" spans="1:8" s="36" customFormat="1" x14ac:dyDescent="0.45">
      <c r="A102" s="2"/>
      <c r="B102" s="304" t="s">
        <v>5</v>
      </c>
      <c r="C102" s="304" t="s">
        <v>5</v>
      </c>
      <c r="D102" s="304" t="s">
        <v>5</v>
      </c>
      <c r="E102" s="304"/>
      <c r="F102" s="2"/>
      <c r="G102" s="35"/>
    </row>
    <row r="103" spans="1:8" s="36" customFormat="1" x14ac:dyDescent="0.45">
      <c r="A103" s="2"/>
      <c r="B103" s="304" t="s">
        <v>6</v>
      </c>
      <c r="C103" s="304" t="s">
        <v>6</v>
      </c>
      <c r="D103" s="304" t="s">
        <v>6</v>
      </c>
      <c r="E103" s="304"/>
      <c r="F103" s="2"/>
      <c r="G103" s="35"/>
    </row>
    <row r="104" spans="1:8" s="36" customFormat="1" x14ac:dyDescent="0.45">
      <c r="A104" s="2"/>
      <c r="B104" s="304" t="s">
        <v>7</v>
      </c>
      <c r="C104" s="304" t="s">
        <v>7</v>
      </c>
      <c r="D104" s="304" t="s">
        <v>7</v>
      </c>
      <c r="E104" s="304"/>
      <c r="F104" s="2"/>
      <c r="G104" s="35"/>
    </row>
    <row r="105" spans="1:8" s="36" customFormat="1" x14ac:dyDescent="0.45">
      <c r="A105" s="2"/>
      <c r="B105" s="304" t="s">
        <v>8</v>
      </c>
      <c r="C105" s="304" t="s">
        <v>8</v>
      </c>
      <c r="D105" s="304" t="s">
        <v>8</v>
      </c>
      <c r="E105" s="304"/>
      <c r="F105" s="2"/>
      <c r="G105" s="35"/>
    </row>
    <row r="106" spans="1:8" s="36" customFormat="1" x14ac:dyDescent="0.45">
      <c r="A106" s="2"/>
      <c r="B106" s="304" t="s">
        <v>9</v>
      </c>
      <c r="C106" s="304" t="s">
        <v>9</v>
      </c>
      <c r="D106" s="304" t="s">
        <v>9</v>
      </c>
      <c r="E106" s="304"/>
      <c r="F106" s="2"/>
      <c r="G106" s="35"/>
    </row>
    <row r="107" spans="1:8" s="36" customFormat="1" x14ac:dyDescent="0.45">
      <c r="A107" s="2"/>
      <c r="B107" s="304" t="s">
        <v>14</v>
      </c>
      <c r="C107" s="304" t="s">
        <v>14</v>
      </c>
      <c r="D107" s="304" t="s">
        <v>14</v>
      </c>
      <c r="E107" s="304"/>
      <c r="F107" s="2"/>
      <c r="G107" s="35"/>
    </row>
    <row r="108" spans="1:8" s="36" customFormat="1" x14ac:dyDescent="0.45">
      <c r="A108" s="2"/>
      <c r="B108" s="304" t="s">
        <v>10</v>
      </c>
      <c r="C108" s="304" t="s">
        <v>10</v>
      </c>
      <c r="D108" s="304" t="s">
        <v>10</v>
      </c>
      <c r="E108" s="304"/>
      <c r="F108" s="2"/>
      <c r="G108" s="35"/>
    </row>
    <row r="109" spans="1:8" s="36" customFormat="1" x14ac:dyDescent="0.45">
      <c r="A109" s="2"/>
      <c r="B109" s="304" t="s">
        <v>11</v>
      </c>
      <c r="C109" s="304" t="s">
        <v>11</v>
      </c>
      <c r="D109" s="304" t="s">
        <v>11</v>
      </c>
      <c r="E109" s="304"/>
      <c r="F109" s="2"/>
      <c r="G109" s="35"/>
    </row>
    <row r="110" spans="1:8" s="36" customFormat="1" x14ac:dyDescent="0.45">
      <c r="A110" s="2"/>
      <c r="B110" s="304" t="s">
        <v>12</v>
      </c>
      <c r="C110" s="304" t="s">
        <v>12</v>
      </c>
      <c r="D110" s="304" t="s">
        <v>12</v>
      </c>
      <c r="E110" s="304"/>
      <c r="F110" s="2"/>
      <c r="G110" s="35"/>
    </row>
    <row r="111" spans="1:8" s="36" customFormat="1" x14ac:dyDescent="0.45">
      <c r="A111" s="2"/>
      <c r="B111" s="304" t="s">
        <v>13</v>
      </c>
      <c r="C111" s="304" t="s">
        <v>13</v>
      </c>
      <c r="D111" s="304" t="s">
        <v>13</v>
      </c>
      <c r="E111" s="304"/>
      <c r="F111" s="2"/>
      <c r="G111" s="35"/>
    </row>
    <row r="112" spans="1:8" s="36" customFormat="1" x14ac:dyDescent="0.45">
      <c r="A112" s="2"/>
      <c r="B112" s="304" t="s">
        <v>15</v>
      </c>
      <c r="C112" s="304" t="s">
        <v>15</v>
      </c>
      <c r="D112" s="304" t="s">
        <v>15</v>
      </c>
      <c r="E112" s="304"/>
      <c r="F112" s="2"/>
      <c r="G112" s="35"/>
    </row>
    <row r="113" spans="1:28" s="36" customFormat="1" x14ac:dyDescent="0.45">
      <c r="A113" s="2"/>
      <c r="B113" s="304" t="s">
        <v>16</v>
      </c>
      <c r="C113" s="304" t="s">
        <v>16</v>
      </c>
      <c r="D113" s="304" t="s">
        <v>16</v>
      </c>
      <c r="E113" s="304"/>
      <c r="F113" s="2"/>
      <c r="G113" s="35"/>
    </row>
    <row r="114" spans="1:28" s="36" customFormat="1" x14ac:dyDescent="0.45">
      <c r="A114" s="2"/>
      <c r="B114" s="304" t="s">
        <v>17</v>
      </c>
      <c r="C114" s="304" t="s">
        <v>17</v>
      </c>
      <c r="D114" s="304" t="s">
        <v>17</v>
      </c>
      <c r="E114" s="304"/>
      <c r="F114" s="2"/>
      <c r="G114" s="35"/>
    </row>
    <row r="115" spans="1:28" s="36" customFormat="1" x14ac:dyDescent="0.45">
      <c r="A115" s="2"/>
      <c r="B115" s="304" t="s">
        <v>18</v>
      </c>
      <c r="C115" s="304" t="s">
        <v>18</v>
      </c>
      <c r="D115" s="304" t="s">
        <v>18</v>
      </c>
      <c r="E115" s="304"/>
      <c r="F115" s="2"/>
      <c r="G115" s="35"/>
    </row>
    <row r="116" spans="1:28" s="36" customFormat="1" x14ac:dyDescent="0.45">
      <c r="A116" s="2"/>
      <c r="B116" s="304" t="s">
        <v>19</v>
      </c>
      <c r="C116" s="304" t="s">
        <v>19</v>
      </c>
      <c r="D116" s="304" t="s">
        <v>19</v>
      </c>
      <c r="E116" s="304"/>
      <c r="F116" s="2"/>
      <c r="G116" s="35"/>
    </row>
    <row r="117" spans="1:28" s="36" customFormat="1" x14ac:dyDescent="0.45">
      <c r="A117" s="2"/>
      <c r="B117" s="3"/>
      <c r="C117" s="2"/>
      <c r="D117" s="2"/>
      <c r="E117" s="2"/>
      <c r="F117" s="2"/>
      <c r="G117" s="33"/>
    </row>
    <row r="118" spans="1:28" s="36" customFormat="1" x14ac:dyDescent="0.45">
      <c r="A118" s="37"/>
      <c r="B118" s="307" t="s">
        <v>38</v>
      </c>
      <c r="C118" s="307" t="s">
        <v>35</v>
      </c>
      <c r="D118" s="307" t="s">
        <v>35</v>
      </c>
      <c r="E118" s="307"/>
      <c r="F118" s="2"/>
      <c r="G118" s="35"/>
    </row>
    <row r="119" spans="1:28" s="58" customFormat="1" ht="13.5" x14ac:dyDescent="0.35">
      <c r="A119" s="51"/>
      <c r="B119" s="52"/>
      <c r="C119" s="53"/>
      <c r="D119" s="54"/>
      <c r="E119" s="54"/>
      <c r="F119" s="55"/>
      <c r="G119" s="56"/>
      <c r="H119" s="57"/>
      <c r="I119" s="57"/>
      <c r="J119" s="57"/>
      <c r="K119" s="57"/>
      <c r="L119" s="57"/>
      <c r="M119" s="57"/>
      <c r="N119" s="57"/>
      <c r="O119" s="57"/>
      <c r="P119" s="57"/>
      <c r="Q119" s="57"/>
      <c r="R119" s="57"/>
      <c r="S119" s="57"/>
      <c r="T119" s="57"/>
      <c r="U119" s="57"/>
      <c r="V119" s="57"/>
      <c r="W119" s="57"/>
      <c r="X119" s="57"/>
      <c r="Y119" s="57"/>
      <c r="Z119" s="57"/>
      <c r="AA119" s="57"/>
      <c r="AB119" s="57"/>
    </row>
    <row r="120" spans="1:28" s="63" customFormat="1" ht="79.5" customHeight="1" x14ac:dyDescent="0.45">
      <c r="A120" s="59"/>
      <c r="B120" s="304" t="s">
        <v>213</v>
      </c>
      <c r="C120" s="304"/>
      <c r="D120" s="304"/>
      <c r="E120" s="304"/>
      <c r="F120" s="60"/>
      <c r="G120" s="61"/>
      <c r="H120" s="62"/>
      <c r="I120" s="62"/>
      <c r="J120" s="62"/>
      <c r="K120" s="62"/>
      <c r="L120" s="62"/>
      <c r="M120" s="62"/>
      <c r="N120" s="62"/>
      <c r="O120" s="62"/>
      <c r="P120" s="62"/>
      <c r="Q120" s="62"/>
      <c r="R120" s="62"/>
      <c r="S120" s="62"/>
      <c r="T120" s="62"/>
      <c r="U120" s="62"/>
      <c r="V120" s="62"/>
      <c r="W120" s="62"/>
      <c r="X120" s="62"/>
      <c r="Y120" s="62"/>
      <c r="Z120" s="62"/>
      <c r="AA120" s="62"/>
      <c r="AB120" s="62"/>
    </row>
    <row r="121" spans="1:28" s="63" customFormat="1" x14ac:dyDescent="0.45">
      <c r="A121" s="59"/>
      <c r="B121" s="304" t="s">
        <v>214</v>
      </c>
      <c r="C121" s="304"/>
      <c r="D121" s="304"/>
      <c r="E121" s="304"/>
      <c r="F121" s="60"/>
      <c r="G121" s="61"/>
      <c r="H121" s="62"/>
      <c r="I121" s="62"/>
      <c r="J121" s="62"/>
      <c r="K121" s="62"/>
      <c r="L121" s="62"/>
      <c r="M121" s="62"/>
      <c r="N121" s="62"/>
      <c r="O121" s="62"/>
      <c r="P121" s="62"/>
      <c r="Q121" s="62"/>
      <c r="R121" s="62"/>
      <c r="S121" s="62"/>
      <c r="T121" s="62"/>
      <c r="U121" s="62"/>
      <c r="V121" s="62"/>
      <c r="W121" s="62"/>
      <c r="X121" s="62"/>
      <c r="Y121" s="62"/>
      <c r="Z121" s="62"/>
      <c r="AA121" s="62"/>
      <c r="AB121" s="62"/>
    </row>
    <row r="122" spans="1:28" s="63" customFormat="1" x14ac:dyDescent="0.45">
      <c r="A122" s="59"/>
      <c r="B122" s="304" t="s">
        <v>215</v>
      </c>
      <c r="C122" s="304"/>
      <c r="D122" s="304"/>
      <c r="E122" s="304"/>
      <c r="F122" s="60"/>
      <c r="G122" s="61"/>
      <c r="H122" s="62"/>
      <c r="I122" s="62"/>
      <c r="J122" s="62"/>
      <c r="K122" s="62"/>
      <c r="L122" s="62"/>
      <c r="M122" s="62"/>
      <c r="N122" s="62"/>
      <c r="O122" s="62"/>
      <c r="P122" s="62"/>
      <c r="Q122" s="62"/>
      <c r="R122" s="62"/>
      <c r="S122" s="62"/>
      <c r="T122" s="62"/>
      <c r="U122" s="62"/>
      <c r="V122" s="62"/>
      <c r="W122" s="62"/>
      <c r="X122" s="62"/>
      <c r="Y122" s="62"/>
      <c r="Z122" s="62"/>
      <c r="AA122" s="62"/>
      <c r="AB122" s="62"/>
    </row>
    <row r="123" spans="1:28" s="63" customFormat="1" ht="45" customHeight="1" x14ac:dyDescent="0.45">
      <c r="A123" s="59"/>
      <c r="B123" s="304" t="s">
        <v>216</v>
      </c>
      <c r="C123" s="304"/>
      <c r="D123" s="304"/>
      <c r="E123" s="304"/>
      <c r="F123" s="60"/>
      <c r="G123" s="61"/>
      <c r="H123" s="62"/>
      <c r="I123" s="62"/>
      <c r="J123" s="62"/>
      <c r="K123" s="62"/>
      <c r="L123" s="62"/>
      <c r="M123" s="62"/>
      <c r="N123" s="62"/>
      <c r="O123" s="62"/>
      <c r="P123" s="62"/>
      <c r="Q123" s="62"/>
      <c r="R123" s="62"/>
      <c r="S123" s="62"/>
      <c r="T123" s="62"/>
      <c r="U123" s="62"/>
      <c r="V123" s="62"/>
      <c r="W123" s="62"/>
      <c r="X123" s="62"/>
      <c r="Y123" s="62"/>
      <c r="Z123" s="62"/>
      <c r="AA123" s="62"/>
      <c r="AB123" s="62"/>
    </row>
    <row r="124" spans="1:28" s="63" customFormat="1" x14ac:dyDescent="0.45">
      <c r="A124" s="59"/>
      <c r="B124" s="304" t="s">
        <v>217</v>
      </c>
      <c r="C124" s="304"/>
      <c r="D124" s="304"/>
      <c r="E124" s="304"/>
      <c r="F124" s="60"/>
      <c r="G124" s="61"/>
      <c r="H124" s="62"/>
      <c r="I124" s="62"/>
      <c r="J124" s="62"/>
      <c r="K124" s="62"/>
      <c r="L124" s="62"/>
      <c r="M124" s="62"/>
      <c r="N124" s="62"/>
      <c r="O124" s="62"/>
      <c r="P124" s="62"/>
      <c r="Q124" s="62"/>
      <c r="R124" s="62"/>
      <c r="S124" s="62"/>
      <c r="T124" s="62"/>
      <c r="U124" s="62"/>
      <c r="V124" s="62"/>
      <c r="W124" s="62"/>
      <c r="X124" s="62"/>
      <c r="Y124" s="62"/>
      <c r="Z124" s="62"/>
      <c r="AA124" s="62"/>
      <c r="AB124" s="62"/>
    </row>
    <row r="125" spans="1:28" s="66" customFormat="1" ht="94.5" customHeight="1" x14ac:dyDescent="0.35">
      <c r="A125" s="59"/>
      <c r="B125" s="304" t="s">
        <v>220</v>
      </c>
      <c r="C125" s="304"/>
      <c r="D125" s="304"/>
      <c r="E125" s="304"/>
      <c r="F125" s="64"/>
      <c r="G125" s="65"/>
      <c r="H125" s="57"/>
      <c r="I125" s="57"/>
      <c r="J125" s="57"/>
      <c r="K125" s="57"/>
      <c r="L125" s="57"/>
      <c r="M125" s="57"/>
      <c r="N125" s="57"/>
      <c r="O125" s="57"/>
      <c r="P125" s="57"/>
      <c r="Q125" s="57"/>
      <c r="R125" s="57"/>
      <c r="S125" s="57"/>
      <c r="T125" s="57"/>
      <c r="U125" s="57"/>
      <c r="V125" s="57"/>
      <c r="W125" s="57"/>
      <c r="X125" s="57"/>
      <c r="Y125" s="57"/>
      <c r="Z125" s="57"/>
      <c r="AA125" s="57"/>
      <c r="AB125" s="57"/>
    </row>
    <row r="126" spans="1:28" s="66" customFormat="1" ht="33" customHeight="1" x14ac:dyDescent="0.35">
      <c r="A126" s="59"/>
      <c r="B126" s="304" t="s">
        <v>218</v>
      </c>
      <c r="C126" s="304"/>
      <c r="D126" s="304"/>
      <c r="E126" s="304"/>
      <c r="F126" s="64"/>
      <c r="G126" s="65"/>
      <c r="H126" s="57"/>
      <c r="I126" s="57"/>
      <c r="J126" s="57"/>
      <c r="K126" s="57"/>
      <c r="L126" s="57"/>
      <c r="M126" s="57"/>
      <c r="N126" s="57"/>
      <c r="O126" s="57"/>
      <c r="P126" s="57"/>
      <c r="Q126" s="57"/>
      <c r="R126" s="57"/>
      <c r="S126" s="57"/>
      <c r="T126" s="57"/>
      <c r="U126" s="57"/>
      <c r="V126" s="57"/>
      <c r="W126" s="57"/>
      <c r="X126" s="57"/>
      <c r="Y126" s="57"/>
      <c r="Z126" s="57"/>
      <c r="AA126" s="57"/>
      <c r="AB126" s="57"/>
    </row>
    <row r="127" spans="1:28" s="66" customFormat="1" x14ac:dyDescent="0.35">
      <c r="A127" s="59"/>
      <c r="B127" s="304" t="s">
        <v>219</v>
      </c>
      <c r="C127" s="304"/>
      <c r="D127" s="304"/>
      <c r="E127" s="304"/>
      <c r="F127" s="64"/>
      <c r="G127" s="65"/>
      <c r="H127" s="57"/>
      <c r="I127" s="57"/>
      <c r="J127" s="57"/>
      <c r="K127" s="57"/>
      <c r="L127" s="57"/>
      <c r="M127" s="57"/>
      <c r="N127" s="57"/>
      <c r="O127" s="57"/>
      <c r="P127" s="57"/>
      <c r="Q127" s="57"/>
      <c r="R127" s="57"/>
      <c r="S127" s="57"/>
      <c r="T127" s="57"/>
      <c r="U127" s="57"/>
      <c r="V127" s="57"/>
      <c r="W127" s="57"/>
      <c r="X127" s="57"/>
      <c r="Y127" s="57"/>
      <c r="Z127" s="57"/>
      <c r="AA127" s="57"/>
      <c r="AB127" s="57"/>
    </row>
    <row r="128" spans="1:28" s="36" customFormat="1" x14ac:dyDescent="0.45">
      <c r="A128" s="2"/>
      <c r="B128" s="304"/>
      <c r="C128" s="304"/>
      <c r="D128" s="304"/>
      <c r="E128" s="304"/>
      <c r="F128" s="2"/>
      <c r="G128" s="35"/>
    </row>
    <row r="129" spans="1:7" s="36" customFormat="1" x14ac:dyDescent="0.45">
      <c r="A129" s="37"/>
      <c r="B129" s="307" t="s">
        <v>35</v>
      </c>
      <c r="C129" s="307" t="s">
        <v>35</v>
      </c>
      <c r="D129" s="307" t="s">
        <v>35</v>
      </c>
      <c r="E129" s="307"/>
      <c r="F129" s="2"/>
      <c r="G129" s="35"/>
    </row>
    <row r="130" spans="1:7" s="36" customFormat="1" x14ac:dyDescent="0.45">
      <c r="A130" s="2"/>
      <c r="B130" s="304"/>
      <c r="C130" s="304"/>
      <c r="D130" s="304"/>
      <c r="E130" s="304"/>
      <c r="F130" s="2"/>
      <c r="G130" s="35"/>
    </row>
    <row r="131" spans="1:7" s="36" customFormat="1" ht="47.25" customHeight="1" x14ac:dyDescent="0.45">
      <c r="A131" s="2"/>
      <c r="B131" s="304" t="s">
        <v>100</v>
      </c>
      <c r="C131" s="304" t="s">
        <v>100</v>
      </c>
      <c r="D131" s="304" t="s">
        <v>100</v>
      </c>
      <c r="E131" s="304"/>
      <c r="F131" s="2"/>
      <c r="G131" s="35"/>
    </row>
    <row r="132" spans="1:7" s="36" customFormat="1" x14ac:dyDescent="0.45">
      <c r="A132" s="2"/>
      <c r="B132" s="304" t="s">
        <v>101</v>
      </c>
      <c r="C132" s="304" t="s">
        <v>101</v>
      </c>
      <c r="D132" s="304" t="s">
        <v>101</v>
      </c>
      <c r="E132" s="304"/>
      <c r="F132" s="2"/>
      <c r="G132" s="35"/>
    </row>
    <row r="133" spans="1:7" s="36" customFormat="1" x14ac:dyDescent="0.45">
      <c r="A133" s="2"/>
      <c r="B133" s="304" t="s">
        <v>102</v>
      </c>
      <c r="C133" s="304" t="s">
        <v>102</v>
      </c>
      <c r="D133" s="304" t="s">
        <v>102</v>
      </c>
      <c r="E133" s="304"/>
      <c r="F133" s="2"/>
      <c r="G133" s="35"/>
    </row>
    <row r="134" spans="1:7" s="36" customFormat="1" x14ac:dyDescent="0.45">
      <c r="A134" s="2"/>
      <c r="B134" s="304" t="s">
        <v>103</v>
      </c>
      <c r="C134" s="304" t="s">
        <v>103</v>
      </c>
      <c r="D134" s="304" t="s">
        <v>103</v>
      </c>
      <c r="E134" s="304"/>
      <c r="F134" s="2"/>
      <c r="G134" s="35"/>
    </row>
    <row r="135" spans="1:7" s="36" customFormat="1" x14ac:dyDescent="0.45">
      <c r="A135" s="2"/>
      <c r="B135" s="304" t="s">
        <v>104</v>
      </c>
      <c r="C135" s="304" t="s">
        <v>104</v>
      </c>
      <c r="D135" s="304" t="s">
        <v>104</v>
      </c>
      <c r="E135" s="304"/>
      <c r="F135" s="2"/>
      <c r="G135" s="35"/>
    </row>
    <row r="136" spans="1:7" s="36" customFormat="1" x14ac:dyDescent="0.45">
      <c r="A136" s="2"/>
      <c r="B136" s="304" t="s">
        <v>105</v>
      </c>
      <c r="C136" s="304" t="s">
        <v>105</v>
      </c>
      <c r="D136" s="304" t="s">
        <v>105</v>
      </c>
      <c r="E136" s="304"/>
      <c r="F136" s="2"/>
      <c r="G136" s="35"/>
    </row>
    <row r="137" spans="1:7" s="36" customFormat="1" x14ac:dyDescent="0.45">
      <c r="A137" s="2"/>
      <c r="B137" s="304" t="s">
        <v>106</v>
      </c>
      <c r="C137" s="304" t="s">
        <v>106</v>
      </c>
      <c r="D137" s="304" t="s">
        <v>106</v>
      </c>
      <c r="E137" s="304"/>
      <c r="F137" s="2"/>
      <c r="G137" s="35"/>
    </row>
    <row r="138" spans="1:7" s="36" customFormat="1" ht="30.75" customHeight="1" x14ac:dyDescent="0.45">
      <c r="A138" s="2"/>
      <c r="B138" s="304" t="s">
        <v>107</v>
      </c>
      <c r="C138" s="304" t="s">
        <v>107</v>
      </c>
      <c r="D138" s="304" t="s">
        <v>107</v>
      </c>
      <c r="E138" s="304"/>
      <c r="F138" s="2"/>
      <c r="G138" s="35"/>
    </row>
    <row r="139" spans="1:7" s="36" customFormat="1" ht="174.4" customHeight="1" x14ac:dyDescent="0.45">
      <c r="A139" s="2"/>
      <c r="B139" s="304" t="s">
        <v>277</v>
      </c>
      <c r="C139" s="304" t="s">
        <v>108</v>
      </c>
      <c r="D139" s="304" t="s">
        <v>108</v>
      </c>
      <c r="E139" s="304"/>
      <c r="F139" s="2"/>
      <c r="G139" s="35"/>
    </row>
    <row r="140" spans="1:7" s="36" customFormat="1" x14ac:dyDescent="0.45">
      <c r="A140" s="67"/>
      <c r="B140" s="3" t="s">
        <v>109</v>
      </c>
      <c r="C140" s="67"/>
      <c r="D140" s="67"/>
      <c r="E140" s="67"/>
      <c r="F140" s="67"/>
      <c r="G140" s="33"/>
    </row>
    <row r="141" spans="1:7" s="36" customFormat="1" x14ac:dyDescent="0.45">
      <c r="A141" s="2"/>
      <c r="B141" s="308" t="s">
        <v>110</v>
      </c>
      <c r="C141" s="308" t="s">
        <v>110</v>
      </c>
      <c r="D141" s="308" t="s">
        <v>110</v>
      </c>
      <c r="E141" s="308"/>
      <c r="F141" s="2"/>
      <c r="G141" s="35"/>
    </row>
    <row r="142" spans="1:7" s="36" customFormat="1" ht="15" customHeight="1" x14ac:dyDescent="0.45">
      <c r="A142" s="2"/>
      <c r="B142" s="308" t="s">
        <v>276</v>
      </c>
      <c r="C142" s="308" t="s">
        <v>111</v>
      </c>
      <c r="D142" s="308" t="s">
        <v>111</v>
      </c>
      <c r="E142" s="308"/>
      <c r="F142" s="2"/>
      <c r="G142" s="35"/>
    </row>
    <row r="143" spans="1:7" s="36" customFormat="1" x14ac:dyDescent="0.45">
      <c r="A143" s="2"/>
      <c r="B143" s="308" t="s">
        <v>112</v>
      </c>
      <c r="C143" s="308" t="s">
        <v>112</v>
      </c>
      <c r="D143" s="308" t="s">
        <v>112</v>
      </c>
      <c r="E143" s="308"/>
      <c r="F143" s="2"/>
      <c r="G143" s="35"/>
    </row>
    <row r="144" spans="1:7" s="36" customFormat="1" x14ac:dyDescent="0.45">
      <c r="A144" s="2"/>
      <c r="B144" s="308" t="s">
        <v>113</v>
      </c>
      <c r="C144" s="308" t="s">
        <v>113</v>
      </c>
      <c r="D144" s="308" t="s">
        <v>113</v>
      </c>
      <c r="E144" s="308"/>
      <c r="F144" s="2"/>
      <c r="G144" s="35"/>
    </row>
    <row r="145" spans="1:7" s="36" customFormat="1" ht="32.25" customHeight="1" x14ac:dyDescent="0.45">
      <c r="A145" s="2"/>
      <c r="B145" s="308" t="s">
        <v>114</v>
      </c>
      <c r="C145" s="308" t="s">
        <v>114</v>
      </c>
      <c r="D145" s="308" t="s">
        <v>114</v>
      </c>
      <c r="E145" s="308"/>
      <c r="F145" s="2"/>
      <c r="G145" s="35"/>
    </row>
    <row r="146" spans="1:7" s="36" customFormat="1" ht="79.5" customHeight="1" x14ac:dyDescent="0.45">
      <c r="A146" s="2"/>
      <c r="B146" s="304" t="s">
        <v>115</v>
      </c>
      <c r="C146" s="304" t="s">
        <v>115</v>
      </c>
      <c r="D146" s="304" t="s">
        <v>115</v>
      </c>
      <c r="E146" s="304"/>
      <c r="F146" s="2"/>
      <c r="G146" s="35"/>
    </row>
    <row r="147" spans="1:7" s="36" customFormat="1" x14ac:dyDescent="0.45">
      <c r="A147" s="2"/>
      <c r="B147" s="304"/>
      <c r="C147" s="304"/>
      <c r="D147" s="304"/>
      <c r="E147" s="304"/>
      <c r="F147" s="2"/>
      <c r="G147" s="35"/>
    </row>
    <row r="148" spans="1:7" s="36" customFormat="1" x14ac:dyDescent="0.45">
      <c r="A148" s="68"/>
      <c r="B148" s="307" t="s">
        <v>67</v>
      </c>
      <c r="C148" s="307" t="s">
        <v>67</v>
      </c>
      <c r="D148" s="307" t="s">
        <v>67</v>
      </c>
      <c r="E148" s="307"/>
      <c r="F148" s="2"/>
      <c r="G148" s="35"/>
    </row>
    <row r="149" spans="1:7" s="36" customFormat="1" x14ac:dyDescent="0.45">
      <c r="A149" s="2"/>
      <c r="B149" s="304"/>
      <c r="C149" s="304"/>
      <c r="D149" s="304"/>
      <c r="E149" s="304"/>
      <c r="F149" s="2"/>
      <c r="G149" s="35"/>
    </row>
    <row r="150" spans="1:7" s="36" customFormat="1" ht="144.75" customHeight="1" x14ac:dyDescent="0.45">
      <c r="A150" s="2"/>
      <c r="B150" s="304" t="s">
        <v>275</v>
      </c>
      <c r="C150" s="304" t="s">
        <v>116</v>
      </c>
      <c r="D150" s="304" t="s">
        <v>116</v>
      </c>
      <c r="E150" s="304"/>
      <c r="F150" s="2"/>
      <c r="G150" s="35"/>
    </row>
    <row r="151" spans="1:7" s="36" customFormat="1" ht="46.5" customHeight="1" x14ac:dyDescent="0.45">
      <c r="A151" s="2"/>
      <c r="B151" s="304" t="s">
        <v>117</v>
      </c>
      <c r="C151" s="304" t="s">
        <v>117</v>
      </c>
      <c r="D151" s="304" t="s">
        <v>117</v>
      </c>
      <c r="E151" s="304"/>
      <c r="F151" s="2"/>
      <c r="G151" s="35"/>
    </row>
    <row r="152" spans="1:7" s="36" customFormat="1" ht="31.5" customHeight="1" x14ac:dyDescent="0.45">
      <c r="A152" s="2"/>
      <c r="B152" s="304" t="s">
        <v>118</v>
      </c>
      <c r="C152" s="304" t="s">
        <v>118</v>
      </c>
      <c r="D152" s="304" t="s">
        <v>118</v>
      </c>
      <c r="E152" s="304"/>
      <c r="F152" s="2"/>
      <c r="G152" s="35"/>
    </row>
    <row r="153" spans="1:7" s="36" customFormat="1" x14ac:dyDescent="0.45">
      <c r="A153" s="2"/>
      <c r="B153" s="304"/>
      <c r="C153" s="304"/>
      <c r="D153" s="304"/>
      <c r="E153" s="304"/>
      <c r="F153" s="2"/>
      <c r="G153" s="35"/>
    </row>
    <row r="154" spans="1:7" s="36" customFormat="1" x14ac:dyDescent="0.45">
      <c r="A154" s="2"/>
      <c r="B154" s="304" t="s">
        <v>119</v>
      </c>
      <c r="C154" s="304" t="s">
        <v>119</v>
      </c>
      <c r="D154" s="304" t="s">
        <v>119</v>
      </c>
      <c r="E154" s="304"/>
      <c r="F154" s="2"/>
      <c r="G154" s="35"/>
    </row>
    <row r="155" spans="1:7" s="36" customFormat="1" x14ac:dyDescent="0.45">
      <c r="A155" s="2"/>
      <c r="B155" s="304" t="s">
        <v>120</v>
      </c>
      <c r="C155" s="304" t="s">
        <v>120</v>
      </c>
      <c r="D155" s="304" t="s">
        <v>120</v>
      </c>
      <c r="E155" s="304"/>
      <c r="F155" s="2"/>
      <c r="G155" s="35"/>
    </row>
    <row r="156" spans="1:7" s="36" customFormat="1" x14ac:dyDescent="0.45">
      <c r="A156" s="2"/>
      <c r="B156" s="304" t="s">
        <v>121</v>
      </c>
      <c r="C156" s="304" t="s">
        <v>121</v>
      </c>
      <c r="D156" s="304" t="s">
        <v>121</v>
      </c>
      <c r="E156" s="304"/>
      <c r="F156" s="2"/>
      <c r="G156" s="35"/>
    </row>
    <row r="157" spans="1:7" s="36" customFormat="1" x14ac:dyDescent="0.45">
      <c r="A157" s="2"/>
      <c r="B157" s="304" t="s">
        <v>122</v>
      </c>
      <c r="C157" s="304" t="s">
        <v>122</v>
      </c>
      <c r="D157" s="304" t="s">
        <v>122</v>
      </c>
      <c r="E157" s="304"/>
      <c r="F157" s="2"/>
      <c r="G157" s="35"/>
    </row>
    <row r="158" spans="1:7" s="36" customFormat="1" ht="46.5" customHeight="1" x14ac:dyDescent="0.45">
      <c r="A158" s="2"/>
      <c r="B158" s="304" t="s">
        <v>269</v>
      </c>
      <c r="C158" s="304" t="s">
        <v>123</v>
      </c>
      <c r="D158" s="304" t="s">
        <v>123</v>
      </c>
      <c r="E158" s="304"/>
      <c r="F158" s="2"/>
      <c r="G158" s="35"/>
    </row>
    <row r="159" spans="1:7" s="36" customFormat="1" x14ac:dyDescent="0.45">
      <c r="A159" s="2"/>
      <c r="B159" s="304"/>
      <c r="C159" s="304"/>
      <c r="D159" s="304"/>
      <c r="E159" s="304"/>
      <c r="F159" s="2"/>
      <c r="G159" s="35"/>
    </row>
    <row r="160" spans="1:7" s="36" customFormat="1" x14ac:dyDescent="0.45">
      <c r="A160" s="37"/>
      <c r="B160" s="307" t="s">
        <v>55</v>
      </c>
      <c r="C160" s="307" t="s">
        <v>55</v>
      </c>
      <c r="D160" s="307" t="s">
        <v>55</v>
      </c>
      <c r="E160" s="307"/>
      <c r="F160" s="2"/>
      <c r="G160" s="35"/>
    </row>
    <row r="161" spans="1:7" s="36" customFormat="1" x14ac:dyDescent="0.45">
      <c r="A161" s="2"/>
      <c r="B161" s="304"/>
      <c r="C161" s="304"/>
      <c r="D161" s="304"/>
      <c r="E161" s="304"/>
      <c r="F161" s="2"/>
      <c r="G161" s="35"/>
    </row>
    <row r="162" spans="1:7" s="36" customFormat="1" ht="30.75" customHeight="1" x14ac:dyDescent="0.45">
      <c r="A162" s="2"/>
      <c r="B162" s="304" t="s">
        <v>137</v>
      </c>
      <c r="C162" s="304" t="s">
        <v>137</v>
      </c>
      <c r="D162" s="304" t="s">
        <v>137</v>
      </c>
      <c r="E162" s="304"/>
      <c r="F162" s="2"/>
      <c r="G162" s="35"/>
    </row>
    <row r="163" spans="1:7" s="36" customFormat="1" ht="30.75" customHeight="1" x14ac:dyDescent="0.45">
      <c r="A163" s="2"/>
      <c r="B163" s="304" t="s">
        <v>138</v>
      </c>
      <c r="C163" s="304" t="s">
        <v>138</v>
      </c>
      <c r="D163" s="304" t="s">
        <v>138</v>
      </c>
      <c r="E163" s="304"/>
      <c r="F163" s="2"/>
      <c r="G163" s="35"/>
    </row>
    <row r="164" spans="1:7" s="36" customFormat="1" ht="78.75" customHeight="1" x14ac:dyDescent="0.45">
      <c r="A164" s="2"/>
      <c r="B164" s="304" t="s">
        <v>139</v>
      </c>
      <c r="C164" s="304" t="s">
        <v>139</v>
      </c>
      <c r="D164" s="304" t="s">
        <v>139</v>
      </c>
      <c r="E164" s="304"/>
      <c r="F164" s="2"/>
      <c r="G164" s="35"/>
    </row>
    <row r="165" spans="1:7" s="36" customFormat="1" ht="15.75" customHeight="1" x14ac:dyDescent="0.45">
      <c r="A165" s="2"/>
      <c r="B165" s="304" t="s">
        <v>140</v>
      </c>
      <c r="C165" s="304" t="s">
        <v>140</v>
      </c>
      <c r="D165" s="304" t="s">
        <v>140</v>
      </c>
      <c r="E165" s="304"/>
      <c r="F165" s="2"/>
      <c r="G165" s="35"/>
    </row>
    <row r="166" spans="1:7" s="36" customFormat="1" x14ac:dyDescent="0.45">
      <c r="A166" s="2"/>
      <c r="B166" s="304" t="s">
        <v>119</v>
      </c>
      <c r="C166" s="304" t="s">
        <v>119</v>
      </c>
      <c r="D166" s="304" t="s">
        <v>119</v>
      </c>
      <c r="E166" s="304"/>
      <c r="F166" s="2"/>
      <c r="G166" s="35"/>
    </row>
    <row r="167" spans="1:7" s="36" customFormat="1" x14ac:dyDescent="0.45">
      <c r="A167" s="2"/>
      <c r="B167" s="304" t="s">
        <v>141</v>
      </c>
      <c r="C167" s="304" t="s">
        <v>141</v>
      </c>
      <c r="D167" s="304" t="s">
        <v>141</v>
      </c>
      <c r="E167" s="304"/>
      <c r="F167" s="2"/>
      <c r="G167" s="35"/>
    </row>
    <row r="168" spans="1:7" s="36" customFormat="1" x14ac:dyDescent="0.45">
      <c r="A168" s="2"/>
      <c r="B168" s="304" t="s">
        <v>142</v>
      </c>
      <c r="C168" s="304" t="s">
        <v>142</v>
      </c>
      <c r="D168" s="304" t="s">
        <v>142</v>
      </c>
      <c r="E168" s="304"/>
      <c r="F168" s="2"/>
      <c r="G168" s="35"/>
    </row>
    <row r="169" spans="1:7" s="36" customFormat="1" x14ac:dyDescent="0.45">
      <c r="A169" s="2"/>
      <c r="B169" s="304"/>
      <c r="C169" s="304"/>
      <c r="D169" s="304"/>
      <c r="E169" s="304"/>
      <c r="F169" s="2"/>
      <c r="G169" s="35"/>
    </row>
    <row r="170" spans="1:7" s="36" customFormat="1" x14ac:dyDescent="0.45">
      <c r="A170" s="41"/>
      <c r="B170" s="307" t="s">
        <v>62</v>
      </c>
      <c r="C170" s="307" t="s">
        <v>143</v>
      </c>
      <c r="D170" s="307" t="s">
        <v>143</v>
      </c>
      <c r="E170" s="307"/>
      <c r="F170" s="2"/>
      <c r="G170" s="35"/>
    </row>
    <row r="171" spans="1:7" s="36" customFormat="1" x14ac:dyDescent="0.45">
      <c r="A171" s="2"/>
      <c r="B171" s="304"/>
      <c r="C171" s="304"/>
      <c r="D171" s="304"/>
      <c r="E171" s="304"/>
      <c r="F171" s="2"/>
      <c r="G171" s="35"/>
    </row>
    <row r="172" spans="1:7" s="36" customFormat="1" ht="31.5" customHeight="1" x14ac:dyDescent="0.45">
      <c r="A172" s="2"/>
      <c r="B172" s="304" t="s">
        <v>144</v>
      </c>
      <c r="C172" s="304" t="s">
        <v>144</v>
      </c>
      <c r="D172" s="304" t="s">
        <v>144</v>
      </c>
      <c r="E172" s="304"/>
      <c r="F172" s="2"/>
      <c r="G172" s="35"/>
    </row>
    <row r="173" spans="1:7" s="36" customFormat="1" x14ac:dyDescent="0.45">
      <c r="A173" s="2"/>
      <c r="B173" s="304" t="s">
        <v>119</v>
      </c>
      <c r="C173" s="304" t="s">
        <v>119</v>
      </c>
      <c r="D173" s="304" t="s">
        <v>119</v>
      </c>
      <c r="E173" s="304"/>
      <c r="F173" s="2"/>
      <c r="G173" s="35"/>
    </row>
    <row r="174" spans="1:7" s="36" customFormat="1" x14ac:dyDescent="0.45">
      <c r="A174" s="2"/>
      <c r="B174" s="304" t="s">
        <v>145</v>
      </c>
      <c r="C174" s="304" t="s">
        <v>145</v>
      </c>
      <c r="D174" s="304" t="s">
        <v>145</v>
      </c>
      <c r="E174" s="304"/>
      <c r="F174" s="2"/>
      <c r="G174" s="35"/>
    </row>
    <row r="175" spans="1:7" s="36" customFormat="1" x14ac:dyDescent="0.45">
      <c r="A175" s="2"/>
      <c r="B175" s="304" t="s">
        <v>146</v>
      </c>
      <c r="C175" s="304" t="s">
        <v>146</v>
      </c>
      <c r="D175" s="304" t="s">
        <v>146</v>
      </c>
      <c r="E175" s="304"/>
      <c r="F175" s="2"/>
      <c r="G175" s="35"/>
    </row>
    <row r="176" spans="1:7" s="36" customFormat="1" x14ac:dyDescent="0.45">
      <c r="A176" s="2"/>
      <c r="B176" s="304" t="s">
        <v>147</v>
      </c>
      <c r="C176" s="304" t="s">
        <v>147</v>
      </c>
      <c r="D176" s="304" t="s">
        <v>147</v>
      </c>
      <c r="E176" s="304"/>
      <c r="F176" s="2"/>
      <c r="G176" s="35"/>
    </row>
    <row r="177" spans="1:7" s="36" customFormat="1" x14ac:dyDescent="0.45">
      <c r="A177" s="2"/>
      <c r="B177" s="304" t="s">
        <v>148</v>
      </c>
      <c r="C177" s="304" t="s">
        <v>148</v>
      </c>
      <c r="D177" s="304" t="s">
        <v>148</v>
      </c>
      <c r="E177" s="304"/>
      <c r="F177" s="2"/>
      <c r="G177" s="35"/>
    </row>
    <row r="178" spans="1:7" s="36" customFormat="1" x14ac:dyDescent="0.45">
      <c r="A178" s="2"/>
      <c r="B178" s="304" t="s">
        <v>149</v>
      </c>
      <c r="C178" s="304" t="s">
        <v>149</v>
      </c>
      <c r="D178" s="304" t="s">
        <v>149</v>
      </c>
      <c r="E178" s="304"/>
      <c r="F178" s="2"/>
      <c r="G178" s="35"/>
    </row>
    <row r="179" spans="1:7" s="36" customFormat="1" x14ac:dyDescent="0.45">
      <c r="A179" s="2"/>
      <c r="B179" s="304" t="s">
        <v>150</v>
      </c>
      <c r="C179" s="304" t="s">
        <v>150</v>
      </c>
      <c r="D179" s="304" t="s">
        <v>150</v>
      </c>
      <c r="E179" s="304"/>
      <c r="F179" s="2"/>
      <c r="G179" s="35"/>
    </row>
    <row r="180" spans="1:7" s="36" customFormat="1" x14ac:dyDescent="0.45">
      <c r="A180" s="2"/>
      <c r="B180" s="304" t="s">
        <v>151</v>
      </c>
      <c r="C180" s="304" t="s">
        <v>151</v>
      </c>
      <c r="D180" s="304" t="s">
        <v>151</v>
      </c>
      <c r="E180" s="304"/>
      <c r="F180" s="2"/>
      <c r="G180" s="35"/>
    </row>
    <row r="181" spans="1:7" s="36" customFormat="1" x14ac:dyDescent="0.45">
      <c r="A181" s="2"/>
      <c r="B181" s="304" t="s">
        <v>152</v>
      </c>
      <c r="C181" s="304" t="s">
        <v>152</v>
      </c>
      <c r="D181" s="304" t="s">
        <v>152</v>
      </c>
      <c r="E181" s="304"/>
      <c r="F181" s="2"/>
      <c r="G181" s="35"/>
    </row>
    <row r="182" spans="1:7" s="36" customFormat="1" x14ac:dyDescent="0.45">
      <c r="A182" s="2"/>
      <c r="B182" s="304" t="s">
        <v>153</v>
      </c>
      <c r="C182" s="304" t="s">
        <v>153</v>
      </c>
      <c r="D182" s="304" t="s">
        <v>153</v>
      </c>
      <c r="E182" s="304"/>
      <c r="F182" s="2"/>
      <c r="G182" s="35"/>
    </row>
    <row r="183" spans="1:7" s="36" customFormat="1" x14ac:dyDescent="0.45">
      <c r="A183" s="2"/>
      <c r="B183" s="304" t="s">
        <v>154</v>
      </c>
      <c r="C183" s="304" t="s">
        <v>154</v>
      </c>
      <c r="D183" s="304" t="s">
        <v>154</v>
      </c>
      <c r="E183" s="304"/>
      <c r="F183" s="2"/>
      <c r="G183" s="35"/>
    </row>
    <row r="184" spans="1:7" s="36" customFormat="1" ht="46.5" customHeight="1" x14ac:dyDescent="0.45">
      <c r="A184" s="2"/>
      <c r="B184" s="304" t="s">
        <v>271</v>
      </c>
      <c r="C184" s="304" t="s">
        <v>155</v>
      </c>
      <c r="D184" s="304" t="s">
        <v>155</v>
      </c>
      <c r="E184" s="304"/>
      <c r="F184" s="2"/>
      <c r="G184" s="35"/>
    </row>
    <row r="185" spans="1:7" s="36" customFormat="1" ht="47.25" customHeight="1" x14ac:dyDescent="0.45">
      <c r="A185" s="2"/>
      <c r="B185" s="304" t="s">
        <v>272</v>
      </c>
      <c r="C185" s="304" t="s">
        <v>156</v>
      </c>
      <c r="D185" s="304" t="s">
        <v>156</v>
      </c>
      <c r="E185" s="304"/>
      <c r="F185" s="2"/>
      <c r="G185" s="35"/>
    </row>
    <row r="186" spans="1:7" s="36" customFormat="1" ht="60" customHeight="1" x14ac:dyDescent="0.45">
      <c r="A186" s="2"/>
      <c r="B186" s="304" t="s">
        <v>157</v>
      </c>
      <c r="C186" s="304" t="s">
        <v>157</v>
      </c>
      <c r="D186" s="304" t="s">
        <v>157</v>
      </c>
      <c r="E186" s="304"/>
      <c r="F186" s="2"/>
      <c r="G186" s="35"/>
    </row>
    <row r="187" spans="1:7" s="36" customFormat="1" ht="78" customHeight="1" x14ac:dyDescent="0.45">
      <c r="A187" s="2"/>
      <c r="B187" s="304" t="s">
        <v>158</v>
      </c>
      <c r="C187" s="304" t="s">
        <v>158</v>
      </c>
      <c r="D187" s="304" t="s">
        <v>158</v>
      </c>
      <c r="E187" s="304"/>
      <c r="F187" s="2"/>
      <c r="G187" s="35"/>
    </row>
    <row r="188" spans="1:7" s="36" customFormat="1" ht="45" customHeight="1" x14ac:dyDescent="0.45">
      <c r="A188" s="2"/>
      <c r="B188" s="304" t="s">
        <v>273</v>
      </c>
      <c r="C188" s="304" t="s">
        <v>159</v>
      </c>
      <c r="D188" s="304" t="s">
        <v>159</v>
      </c>
      <c r="E188" s="304"/>
      <c r="F188" s="2"/>
      <c r="G188" s="35"/>
    </row>
    <row r="189" spans="1:7" s="36" customFormat="1" ht="30" customHeight="1" x14ac:dyDescent="0.45">
      <c r="A189" s="2"/>
      <c r="B189" s="304" t="s">
        <v>160</v>
      </c>
      <c r="C189" s="304" t="s">
        <v>160</v>
      </c>
      <c r="D189" s="304" t="s">
        <v>160</v>
      </c>
      <c r="E189" s="304"/>
      <c r="F189" s="2"/>
      <c r="G189" s="35"/>
    </row>
    <row r="190" spans="1:7" s="36" customFormat="1" ht="32.25" customHeight="1" x14ac:dyDescent="0.45">
      <c r="A190" s="2"/>
      <c r="B190" s="304" t="s">
        <v>161</v>
      </c>
      <c r="C190" s="304" t="s">
        <v>161</v>
      </c>
      <c r="D190" s="304" t="s">
        <v>161</v>
      </c>
      <c r="E190" s="304"/>
      <c r="F190" s="2"/>
      <c r="G190" s="35"/>
    </row>
    <row r="191" spans="1:7" s="36" customFormat="1" ht="63" customHeight="1" x14ac:dyDescent="0.45">
      <c r="A191" s="2"/>
      <c r="B191" s="304" t="s">
        <v>283</v>
      </c>
      <c r="C191" s="304" t="s">
        <v>162</v>
      </c>
      <c r="D191" s="304" t="s">
        <v>162</v>
      </c>
      <c r="E191" s="304"/>
      <c r="F191" s="2"/>
      <c r="G191" s="35"/>
    </row>
    <row r="192" spans="1:7" s="36" customFormat="1" ht="45.75" customHeight="1" x14ac:dyDescent="0.45">
      <c r="A192" s="2"/>
      <c r="B192" s="304" t="s">
        <v>163</v>
      </c>
      <c r="C192" s="304" t="s">
        <v>163</v>
      </c>
      <c r="D192" s="304" t="s">
        <v>163</v>
      </c>
      <c r="E192" s="304"/>
      <c r="F192" s="2"/>
      <c r="G192" s="35"/>
    </row>
    <row r="193" spans="1:7" s="36" customFormat="1" ht="93" customHeight="1" x14ac:dyDescent="0.45">
      <c r="A193" s="2"/>
      <c r="B193" s="304" t="s">
        <v>164</v>
      </c>
      <c r="C193" s="304" t="s">
        <v>164</v>
      </c>
      <c r="D193" s="304" t="s">
        <v>164</v>
      </c>
      <c r="E193" s="304"/>
      <c r="F193" s="2"/>
      <c r="G193" s="35"/>
    </row>
    <row r="194" spans="1:7" s="36" customFormat="1" x14ac:dyDescent="0.45">
      <c r="A194" s="68"/>
      <c r="B194" s="307" t="s">
        <v>58</v>
      </c>
      <c r="C194" s="307" t="s">
        <v>58</v>
      </c>
      <c r="D194" s="307" t="s">
        <v>58</v>
      </c>
      <c r="E194" s="307"/>
      <c r="F194" s="2"/>
      <c r="G194" s="35"/>
    </row>
    <row r="195" spans="1:7" s="36" customFormat="1" x14ac:dyDescent="0.45">
      <c r="A195" s="2"/>
      <c r="B195" s="304"/>
      <c r="C195" s="304"/>
      <c r="D195" s="304"/>
      <c r="E195" s="304"/>
      <c r="F195" s="2"/>
      <c r="G195" s="35"/>
    </row>
    <row r="196" spans="1:7" s="36" customFormat="1" ht="33.75" customHeight="1" x14ac:dyDescent="0.45">
      <c r="A196" s="2"/>
      <c r="B196" s="304" t="s">
        <v>124</v>
      </c>
      <c r="C196" s="304" t="s">
        <v>124</v>
      </c>
      <c r="D196" s="304" t="s">
        <v>124</v>
      </c>
      <c r="E196" s="304"/>
      <c r="F196" s="2"/>
      <c r="G196" s="35"/>
    </row>
    <row r="197" spans="1:7" s="36" customFormat="1" x14ac:dyDescent="0.45">
      <c r="A197" s="2"/>
      <c r="B197" s="304" t="s">
        <v>119</v>
      </c>
      <c r="C197" s="304" t="s">
        <v>119</v>
      </c>
      <c r="D197" s="304" t="s">
        <v>119</v>
      </c>
      <c r="E197" s="304"/>
      <c r="F197" s="2"/>
      <c r="G197" s="35"/>
    </row>
    <row r="198" spans="1:7" s="36" customFormat="1" x14ac:dyDescent="0.45">
      <c r="A198" s="2"/>
      <c r="B198" s="304" t="s">
        <v>125</v>
      </c>
      <c r="C198" s="304" t="s">
        <v>125</v>
      </c>
      <c r="D198" s="304" t="s">
        <v>125</v>
      </c>
      <c r="E198" s="304"/>
      <c r="F198" s="2"/>
      <c r="G198" s="35"/>
    </row>
    <row r="199" spans="1:7" s="36" customFormat="1" x14ac:dyDescent="0.45">
      <c r="A199" s="2"/>
      <c r="B199" s="304" t="s">
        <v>126</v>
      </c>
      <c r="C199" s="304" t="s">
        <v>126</v>
      </c>
      <c r="D199" s="304" t="s">
        <v>126</v>
      </c>
      <c r="E199" s="304"/>
      <c r="F199" s="2"/>
      <c r="G199" s="35"/>
    </row>
    <row r="200" spans="1:7" s="36" customFormat="1" ht="31.5" customHeight="1" x14ac:dyDescent="0.45">
      <c r="A200" s="2"/>
      <c r="B200" s="304" t="s">
        <v>127</v>
      </c>
      <c r="C200" s="304" t="s">
        <v>127</v>
      </c>
      <c r="D200" s="304" t="s">
        <v>127</v>
      </c>
      <c r="E200" s="304"/>
      <c r="F200" s="2"/>
      <c r="G200" s="35"/>
    </row>
    <row r="201" spans="1:7" s="36" customFormat="1" ht="32.25" customHeight="1" x14ac:dyDescent="0.45">
      <c r="A201" s="2"/>
      <c r="B201" s="304" t="s">
        <v>274</v>
      </c>
      <c r="C201" s="304"/>
      <c r="D201" s="304"/>
      <c r="E201" s="304"/>
      <c r="F201" s="2"/>
      <c r="G201" s="35"/>
    </row>
    <row r="202" spans="1:7" s="36" customFormat="1" ht="33" customHeight="1" x14ac:dyDescent="0.45">
      <c r="A202" s="2"/>
      <c r="B202" s="304" t="s">
        <v>128</v>
      </c>
      <c r="C202" s="304" t="s">
        <v>128</v>
      </c>
      <c r="D202" s="304" t="s">
        <v>128</v>
      </c>
      <c r="E202" s="304"/>
      <c r="F202" s="2"/>
      <c r="G202" s="35"/>
    </row>
    <row r="203" spans="1:7" s="36" customFormat="1" x14ac:dyDescent="0.45">
      <c r="A203" s="2"/>
      <c r="B203" s="304" t="s">
        <v>129</v>
      </c>
      <c r="C203" s="304" t="s">
        <v>129</v>
      </c>
      <c r="D203" s="304" t="s">
        <v>129</v>
      </c>
      <c r="E203" s="304"/>
      <c r="F203" s="2"/>
      <c r="G203" s="35"/>
    </row>
    <row r="204" spans="1:7" s="36" customFormat="1" x14ac:dyDescent="0.45">
      <c r="A204" s="2"/>
      <c r="B204" s="304" t="s">
        <v>130</v>
      </c>
      <c r="C204" s="304" t="s">
        <v>130</v>
      </c>
      <c r="D204" s="304" t="s">
        <v>130</v>
      </c>
      <c r="E204" s="304"/>
      <c r="F204" s="2"/>
      <c r="G204" s="35"/>
    </row>
    <row r="205" spans="1:7" s="36" customFormat="1" x14ac:dyDescent="0.45">
      <c r="A205" s="2"/>
      <c r="B205" s="304" t="s">
        <v>131</v>
      </c>
      <c r="C205" s="304" t="s">
        <v>131</v>
      </c>
      <c r="D205" s="304" t="s">
        <v>131</v>
      </c>
      <c r="E205" s="304"/>
      <c r="F205" s="2"/>
      <c r="G205" s="35"/>
    </row>
    <row r="206" spans="1:7" s="36" customFormat="1" x14ac:dyDescent="0.45">
      <c r="A206" s="2"/>
      <c r="B206" s="304" t="s">
        <v>132</v>
      </c>
      <c r="C206" s="304" t="s">
        <v>132</v>
      </c>
      <c r="D206" s="304" t="s">
        <v>132</v>
      </c>
      <c r="E206" s="304"/>
      <c r="F206" s="2"/>
      <c r="G206" s="35"/>
    </row>
    <row r="207" spans="1:7" s="36" customFormat="1" x14ac:dyDescent="0.45">
      <c r="A207" s="2"/>
      <c r="B207" s="304" t="s">
        <v>133</v>
      </c>
      <c r="C207" s="304" t="s">
        <v>133</v>
      </c>
      <c r="D207" s="304" t="s">
        <v>133</v>
      </c>
      <c r="E207" s="304"/>
      <c r="F207" s="2"/>
      <c r="G207" s="35"/>
    </row>
    <row r="208" spans="1:7" s="36" customFormat="1" x14ac:dyDescent="0.45">
      <c r="A208" s="2"/>
      <c r="B208" s="304" t="s">
        <v>134</v>
      </c>
      <c r="C208" s="304" t="s">
        <v>134</v>
      </c>
      <c r="D208" s="304" t="s">
        <v>134</v>
      </c>
      <c r="E208" s="304"/>
      <c r="F208" s="2"/>
      <c r="G208" s="35"/>
    </row>
    <row r="209" spans="1:7" s="36" customFormat="1" x14ac:dyDescent="0.45">
      <c r="A209" s="2"/>
      <c r="B209" s="304" t="s">
        <v>135</v>
      </c>
      <c r="C209" s="304" t="s">
        <v>135</v>
      </c>
      <c r="D209" s="304" t="s">
        <v>135</v>
      </c>
      <c r="E209" s="304"/>
      <c r="F209" s="2"/>
      <c r="G209" s="35"/>
    </row>
    <row r="210" spans="1:7" s="36" customFormat="1" ht="50.25" customHeight="1" x14ac:dyDescent="0.45">
      <c r="A210" s="2"/>
      <c r="B210" s="304" t="s">
        <v>269</v>
      </c>
      <c r="C210" s="304" t="s">
        <v>136</v>
      </c>
      <c r="D210" s="304" t="s">
        <v>136</v>
      </c>
      <c r="E210" s="304"/>
      <c r="F210" s="2"/>
      <c r="G210" s="35"/>
    </row>
    <row r="211" spans="1:7" s="36" customFormat="1" x14ac:dyDescent="0.45">
      <c r="A211" s="41"/>
      <c r="B211" s="307" t="s">
        <v>334</v>
      </c>
      <c r="C211" s="307" t="s">
        <v>165</v>
      </c>
      <c r="D211" s="307" t="s">
        <v>165</v>
      </c>
      <c r="E211" s="307"/>
      <c r="F211" s="2"/>
      <c r="G211" s="35"/>
    </row>
    <row r="212" spans="1:7" s="36" customFormat="1" x14ac:dyDescent="0.45">
      <c r="A212" s="2"/>
      <c r="B212" s="304"/>
      <c r="C212" s="304"/>
      <c r="D212" s="304"/>
      <c r="E212" s="304"/>
      <c r="F212" s="2"/>
      <c r="G212" s="35"/>
    </row>
    <row r="213" spans="1:7" s="36" customFormat="1" x14ac:dyDescent="0.45">
      <c r="A213" s="2"/>
      <c r="B213" s="304" t="s">
        <v>43</v>
      </c>
      <c r="C213" s="304" t="s">
        <v>43</v>
      </c>
      <c r="D213" s="304" t="s">
        <v>43</v>
      </c>
      <c r="E213" s="304"/>
      <c r="F213" s="2"/>
      <c r="G213" s="35"/>
    </row>
    <row r="214" spans="1:7" s="36" customFormat="1" ht="60" customHeight="1" x14ac:dyDescent="0.45">
      <c r="A214" s="2"/>
      <c r="B214" s="304" t="s">
        <v>166</v>
      </c>
      <c r="C214" s="304" t="s">
        <v>166</v>
      </c>
      <c r="D214" s="304" t="s">
        <v>166</v>
      </c>
      <c r="E214" s="304"/>
      <c r="F214" s="2"/>
      <c r="G214" s="35"/>
    </row>
    <row r="215" spans="1:7" s="36" customFormat="1" ht="75.75" customHeight="1" x14ac:dyDescent="0.45">
      <c r="A215" s="2"/>
      <c r="B215" s="304" t="s">
        <v>167</v>
      </c>
      <c r="C215" s="304" t="s">
        <v>167</v>
      </c>
      <c r="D215" s="304" t="s">
        <v>167</v>
      </c>
      <c r="E215" s="304"/>
      <c r="F215" s="2"/>
      <c r="G215" s="35"/>
    </row>
    <row r="216" spans="1:7" s="36" customFormat="1" ht="32.25" customHeight="1" x14ac:dyDescent="0.45">
      <c r="A216" s="2"/>
      <c r="B216" s="304" t="s">
        <v>270</v>
      </c>
      <c r="C216" s="304" t="s">
        <v>168</v>
      </c>
      <c r="D216" s="304" t="s">
        <v>168</v>
      </c>
      <c r="E216" s="304"/>
      <c r="F216" s="2"/>
      <c r="G216" s="35"/>
    </row>
    <row r="217" spans="1:7" s="36" customFormat="1" ht="108" customHeight="1" x14ac:dyDescent="0.45">
      <c r="A217" s="2"/>
      <c r="B217" s="304" t="s">
        <v>169</v>
      </c>
      <c r="C217" s="304" t="s">
        <v>169</v>
      </c>
      <c r="D217" s="304" t="s">
        <v>169</v>
      </c>
      <c r="E217" s="304"/>
      <c r="F217" s="2"/>
      <c r="G217" s="35"/>
    </row>
    <row r="218" spans="1:7" s="36" customFormat="1" ht="93" customHeight="1" x14ac:dyDescent="0.45">
      <c r="A218" s="2"/>
      <c r="B218" s="304" t="s">
        <v>170</v>
      </c>
      <c r="C218" s="304" t="s">
        <v>170</v>
      </c>
      <c r="D218" s="304" t="s">
        <v>170</v>
      </c>
      <c r="E218" s="304"/>
      <c r="F218" s="2"/>
      <c r="G218" s="35"/>
    </row>
    <row r="219" spans="1:7" s="36" customFormat="1" ht="31.5" customHeight="1" x14ac:dyDescent="0.45">
      <c r="A219" s="2"/>
      <c r="B219" s="304" t="s">
        <v>171</v>
      </c>
      <c r="C219" s="304" t="s">
        <v>171</v>
      </c>
      <c r="D219" s="304" t="s">
        <v>171</v>
      </c>
      <c r="E219" s="304"/>
      <c r="F219" s="2"/>
      <c r="G219" s="35"/>
    </row>
    <row r="220" spans="1:7" s="36" customFormat="1" ht="31.5" customHeight="1" x14ac:dyDescent="0.45">
      <c r="A220" s="2"/>
      <c r="B220" s="304" t="s">
        <v>172</v>
      </c>
      <c r="C220" s="304" t="s">
        <v>172</v>
      </c>
      <c r="D220" s="304" t="s">
        <v>172</v>
      </c>
      <c r="E220" s="304"/>
      <c r="F220" s="2"/>
      <c r="G220" s="35"/>
    </row>
    <row r="221" spans="1:7" s="36" customFormat="1" x14ac:dyDescent="0.45">
      <c r="A221" s="2"/>
      <c r="B221" s="304" t="s">
        <v>96</v>
      </c>
      <c r="C221" s="304" t="s">
        <v>96</v>
      </c>
      <c r="D221" s="304" t="s">
        <v>96</v>
      </c>
      <c r="E221" s="304"/>
      <c r="F221" s="2"/>
      <c r="G221" s="35"/>
    </row>
    <row r="222" spans="1:7" s="36" customFormat="1" x14ac:dyDescent="0.45">
      <c r="A222" s="2"/>
      <c r="B222" s="304" t="s">
        <v>173</v>
      </c>
      <c r="C222" s="304" t="s">
        <v>173</v>
      </c>
      <c r="D222" s="304" t="s">
        <v>173</v>
      </c>
      <c r="E222" s="304"/>
      <c r="F222" s="2"/>
      <c r="G222" s="35"/>
    </row>
    <row r="223" spans="1:7" s="36" customFormat="1" x14ac:dyDescent="0.45">
      <c r="A223" s="2"/>
      <c r="B223" s="304" t="s">
        <v>174</v>
      </c>
      <c r="C223" s="304" t="s">
        <v>174</v>
      </c>
      <c r="D223" s="304" t="s">
        <v>174</v>
      </c>
      <c r="E223" s="304"/>
      <c r="F223" s="2"/>
      <c r="G223" s="35"/>
    </row>
    <row r="224" spans="1:7" s="36" customFormat="1" x14ac:dyDescent="0.45">
      <c r="A224" s="2"/>
      <c r="B224" s="304" t="s">
        <v>175</v>
      </c>
      <c r="C224" s="304" t="s">
        <v>175</v>
      </c>
      <c r="D224" s="304" t="s">
        <v>175</v>
      </c>
      <c r="E224" s="304"/>
      <c r="F224" s="2"/>
      <c r="G224" s="35"/>
    </row>
    <row r="225" spans="1:8" s="36" customFormat="1" x14ac:dyDescent="0.45">
      <c r="A225" s="2"/>
      <c r="B225" s="304" t="s">
        <v>176</v>
      </c>
      <c r="C225" s="304" t="s">
        <v>176</v>
      </c>
      <c r="D225" s="304" t="s">
        <v>176</v>
      </c>
      <c r="E225" s="304"/>
      <c r="F225" s="2"/>
      <c r="G225" s="35"/>
    </row>
    <row r="226" spans="1:8" s="36" customFormat="1" x14ac:dyDescent="0.45">
      <c r="A226" s="2"/>
      <c r="B226" s="304" t="s">
        <v>177</v>
      </c>
      <c r="C226" s="304" t="s">
        <v>177</v>
      </c>
      <c r="D226" s="304" t="s">
        <v>177</v>
      </c>
      <c r="E226" s="304"/>
      <c r="F226" s="2"/>
      <c r="G226" s="35"/>
    </row>
    <row r="227" spans="1:8" s="36" customFormat="1" x14ac:dyDescent="0.45">
      <c r="A227" s="2"/>
      <c r="B227" s="304" t="s">
        <v>178</v>
      </c>
      <c r="C227" s="304" t="s">
        <v>178</v>
      </c>
      <c r="D227" s="304" t="s">
        <v>178</v>
      </c>
      <c r="E227" s="304"/>
      <c r="F227" s="2"/>
      <c r="G227" s="35"/>
    </row>
    <row r="228" spans="1:8" s="36" customFormat="1" x14ac:dyDescent="0.45">
      <c r="A228" s="2"/>
      <c r="B228" s="304" t="s">
        <v>179</v>
      </c>
      <c r="C228" s="304" t="s">
        <v>179</v>
      </c>
      <c r="D228" s="304" t="s">
        <v>179</v>
      </c>
      <c r="E228" s="304"/>
      <c r="F228" s="2"/>
      <c r="G228" s="35"/>
    </row>
    <row r="229" spans="1:8" s="73" customFormat="1" ht="42.75" x14ac:dyDescent="0.4">
      <c r="A229" s="69"/>
      <c r="B229" s="70" t="s">
        <v>306</v>
      </c>
      <c r="C229" s="70"/>
      <c r="D229" s="70"/>
      <c r="E229" s="70"/>
      <c r="F229" s="70"/>
      <c r="G229" s="71"/>
      <c r="H229" s="72"/>
    </row>
    <row r="230" spans="1:8" s="73" customFormat="1" ht="15.75" customHeight="1" x14ac:dyDescent="0.4">
      <c r="A230" s="69" t="s">
        <v>37</v>
      </c>
      <c r="B230" s="70" t="s">
        <v>307</v>
      </c>
      <c r="C230" s="70"/>
      <c r="D230" s="70"/>
      <c r="E230" s="306" t="s">
        <v>333</v>
      </c>
      <c r="F230" s="306"/>
      <c r="G230" s="306"/>
      <c r="H230" s="72"/>
    </row>
    <row r="231" spans="1:8" s="73" customFormat="1" ht="15" customHeight="1" x14ac:dyDescent="0.4">
      <c r="A231" s="74" t="s">
        <v>37</v>
      </c>
      <c r="B231" s="70" t="s">
        <v>308</v>
      </c>
      <c r="C231" s="70"/>
      <c r="D231" s="70"/>
      <c r="E231" s="306" t="s">
        <v>309</v>
      </c>
      <c r="F231" s="306"/>
      <c r="G231" s="306"/>
      <c r="H231" s="72"/>
    </row>
    <row r="232" spans="1:8" s="73" customFormat="1" ht="15" customHeight="1" x14ac:dyDescent="0.4">
      <c r="A232" s="74" t="s">
        <v>37</v>
      </c>
      <c r="B232" s="70" t="s">
        <v>310</v>
      </c>
      <c r="C232" s="70"/>
      <c r="D232" s="70"/>
      <c r="E232" s="306" t="s">
        <v>311</v>
      </c>
      <c r="F232" s="306"/>
      <c r="G232" s="306"/>
      <c r="H232" s="72"/>
    </row>
    <row r="233" spans="1:8" s="73" customFormat="1" ht="15" customHeight="1" x14ac:dyDescent="0.4">
      <c r="A233" s="74" t="s">
        <v>37</v>
      </c>
      <c r="B233" s="70" t="s">
        <v>312</v>
      </c>
      <c r="C233" s="70"/>
      <c r="D233" s="70"/>
      <c r="E233" s="306" t="s">
        <v>313</v>
      </c>
      <c r="F233" s="306"/>
      <c r="G233" s="306"/>
      <c r="H233" s="72"/>
    </row>
    <row r="234" spans="1:8" s="73" customFormat="1" ht="15" x14ac:dyDescent="0.4">
      <c r="A234" s="74" t="s">
        <v>37</v>
      </c>
      <c r="B234" s="70" t="s">
        <v>314</v>
      </c>
      <c r="C234" s="70"/>
      <c r="D234" s="70"/>
      <c r="E234" s="306" t="s">
        <v>315</v>
      </c>
      <c r="F234" s="306"/>
      <c r="G234" s="306"/>
      <c r="H234" s="72"/>
    </row>
    <row r="235" spans="1:8" s="73" customFormat="1" ht="15" x14ac:dyDescent="0.4">
      <c r="A235" s="74" t="s">
        <v>37</v>
      </c>
      <c r="B235" s="70" t="s">
        <v>316</v>
      </c>
      <c r="C235" s="70"/>
      <c r="D235" s="70"/>
      <c r="E235" s="306" t="s">
        <v>317</v>
      </c>
      <c r="F235" s="306"/>
      <c r="G235" s="306"/>
      <c r="H235" s="72"/>
    </row>
    <row r="236" spans="1:8" s="73" customFormat="1" ht="28.5" x14ac:dyDescent="0.4">
      <c r="A236" s="74" t="s">
        <v>37</v>
      </c>
      <c r="B236" s="70" t="s">
        <v>318</v>
      </c>
      <c r="C236" s="70"/>
      <c r="D236" s="70"/>
      <c r="E236" s="306" t="s">
        <v>317</v>
      </c>
      <c r="F236" s="306"/>
      <c r="G236" s="306"/>
      <c r="H236" s="72"/>
    </row>
    <row r="237" spans="1:8" s="73" customFormat="1" ht="28.5" x14ac:dyDescent="0.4">
      <c r="A237" s="74" t="s">
        <v>37</v>
      </c>
      <c r="B237" s="70" t="s">
        <v>319</v>
      </c>
      <c r="C237" s="70"/>
      <c r="D237" s="70"/>
      <c r="E237" s="306" t="s">
        <v>320</v>
      </c>
      <c r="F237" s="306"/>
      <c r="G237" s="306"/>
      <c r="H237" s="72"/>
    </row>
    <row r="238" spans="1:8" s="73" customFormat="1" ht="28.5" x14ac:dyDescent="0.4">
      <c r="A238" s="74" t="s">
        <v>37</v>
      </c>
      <c r="B238" s="70" t="s">
        <v>321</v>
      </c>
      <c r="C238" s="70"/>
      <c r="D238" s="70"/>
      <c r="E238" s="306" t="s">
        <v>322</v>
      </c>
      <c r="F238" s="306"/>
      <c r="G238" s="306"/>
      <c r="H238" s="72"/>
    </row>
    <row r="239" spans="1:8" s="73" customFormat="1" ht="28.5" x14ac:dyDescent="0.4">
      <c r="A239" s="74" t="s">
        <v>37</v>
      </c>
      <c r="B239" s="70" t="s">
        <v>323</v>
      </c>
      <c r="C239" s="70"/>
      <c r="D239" s="70"/>
      <c r="E239" s="306" t="s">
        <v>324</v>
      </c>
      <c r="F239" s="306"/>
      <c r="G239" s="306"/>
      <c r="H239" s="72"/>
    </row>
    <row r="240" spans="1:8" s="73" customFormat="1" ht="15" x14ac:dyDescent="0.4">
      <c r="A240" s="74" t="s">
        <v>37</v>
      </c>
      <c r="B240" s="70" t="s">
        <v>325</v>
      </c>
      <c r="C240" s="70"/>
      <c r="D240" s="70"/>
      <c r="E240" s="306" t="s">
        <v>326</v>
      </c>
      <c r="F240" s="306"/>
      <c r="G240" s="306"/>
      <c r="H240" s="72"/>
    </row>
    <row r="241" spans="1:8" s="73" customFormat="1" ht="28.5" x14ac:dyDescent="0.4">
      <c r="A241" s="74" t="s">
        <v>37</v>
      </c>
      <c r="B241" s="70" t="s">
        <v>327</v>
      </c>
      <c r="C241" s="70"/>
      <c r="D241" s="70"/>
      <c r="E241" s="306" t="s">
        <v>328</v>
      </c>
      <c r="F241" s="306"/>
      <c r="G241" s="306"/>
      <c r="H241" s="72"/>
    </row>
    <row r="242" spans="1:8" s="73" customFormat="1" ht="171" x14ac:dyDescent="0.4">
      <c r="A242" s="69"/>
      <c r="B242" s="70" t="s">
        <v>332</v>
      </c>
      <c r="C242" s="70"/>
      <c r="D242" s="70"/>
      <c r="E242" s="70"/>
      <c r="F242" s="70"/>
      <c r="G242" s="71"/>
      <c r="H242" s="72"/>
    </row>
    <row r="243" spans="1:8" s="73" customFormat="1" ht="15" x14ac:dyDescent="0.4">
      <c r="A243" s="69"/>
      <c r="B243" s="70" t="s">
        <v>329</v>
      </c>
      <c r="C243" s="70"/>
      <c r="D243" s="70"/>
      <c r="E243" s="70"/>
      <c r="F243" s="70"/>
      <c r="G243" s="71"/>
      <c r="H243" s="72"/>
    </row>
    <row r="244" spans="1:8" s="73" customFormat="1" ht="15" x14ac:dyDescent="0.4">
      <c r="A244" s="69" t="s">
        <v>37</v>
      </c>
      <c r="B244" s="70" t="s">
        <v>330</v>
      </c>
      <c r="C244" s="70"/>
      <c r="D244" s="70"/>
      <c r="E244" s="70"/>
      <c r="F244" s="70"/>
      <c r="G244" s="71"/>
      <c r="H244" s="72"/>
    </row>
    <row r="245" spans="1:8" s="73" customFormat="1" ht="15" x14ac:dyDescent="0.4">
      <c r="A245" s="74" t="s">
        <v>37</v>
      </c>
      <c r="B245" s="70" t="s">
        <v>331</v>
      </c>
      <c r="C245" s="70"/>
      <c r="D245" s="70"/>
      <c r="E245" s="70"/>
      <c r="F245" s="70"/>
      <c r="G245" s="71"/>
      <c r="H245" s="72"/>
    </row>
    <row r="246" spans="1:8" x14ac:dyDescent="0.45">
      <c r="A246" s="31"/>
      <c r="B246" s="305"/>
      <c r="C246" s="305"/>
      <c r="D246" s="305"/>
      <c r="E246" s="305"/>
      <c r="G246" s="33"/>
    </row>
    <row r="248" spans="1:8" ht="14.65" x14ac:dyDescent="0.5">
      <c r="A248" s="230"/>
      <c r="B248" s="231"/>
      <c r="C248" s="232"/>
    </row>
    <row r="249" spans="1:8" ht="14.65" x14ac:dyDescent="0.45">
      <c r="A249" s="230"/>
      <c r="B249" s="231"/>
      <c r="C249" s="164"/>
    </row>
    <row r="250" spans="1:8" ht="14.65" x14ac:dyDescent="0.45">
      <c r="A250" s="230"/>
      <c r="B250" s="231"/>
      <c r="C250" s="164"/>
    </row>
  </sheetData>
  <mergeCells count="194">
    <mergeCell ref="B20:E20"/>
    <mergeCell ref="B21:E21"/>
    <mergeCell ref="B201:E201"/>
    <mergeCell ref="B14:E14"/>
    <mergeCell ref="B15:E15"/>
    <mergeCell ref="B17:E17"/>
    <mergeCell ref="B18:E18"/>
    <mergeCell ref="B16:E16"/>
    <mergeCell ref="B38:E38"/>
    <mergeCell ref="B39:E39"/>
    <mergeCell ref="B30:E30"/>
    <mergeCell ref="B31:E31"/>
    <mergeCell ref="B32:E32"/>
    <mergeCell ref="B33:E33"/>
    <mergeCell ref="B34:E34"/>
    <mergeCell ref="B22:E22"/>
    <mergeCell ref="B23:E23"/>
    <mergeCell ref="B24:E24"/>
    <mergeCell ref="B35:E35"/>
    <mergeCell ref="B36:E36"/>
    <mergeCell ref="B37:E37"/>
    <mergeCell ref="B25:E25"/>
    <mergeCell ref="B26:E26"/>
    <mergeCell ref="B50:E50"/>
    <mergeCell ref="B13:E13"/>
    <mergeCell ref="B8:E8"/>
    <mergeCell ref="B9:E9"/>
    <mergeCell ref="B10:E10"/>
    <mergeCell ref="B11:E11"/>
    <mergeCell ref="B19:E19"/>
    <mergeCell ref="B4:E4"/>
    <mergeCell ref="B5:E5"/>
    <mergeCell ref="B6:E6"/>
    <mergeCell ref="B7:E7"/>
    <mergeCell ref="B51:E51"/>
    <mergeCell ref="B52:E52"/>
    <mergeCell ref="B53:E53"/>
    <mergeCell ref="B54:E54"/>
    <mergeCell ref="B27:E27"/>
    <mergeCell ref="B28:E28"/>
    <mergeCell ref="B45:E45"/>
    <mergeCell ref="B46:E46"/>
    <mergeCell ref="B47:E47"/>
    <mergeCell ref="B48:E48"/>
    <mergeCell ref="B49:E49"/>
    <mergeCell ref="B40:E40"/>
    <mergeCell ref="B41:E41"/>
    <mergeCell ref="B42:E42"/>
    <mergeCell ref="B43:E43"/>
    <mergeCell ref="B44:E44"/>
    <mergeCell ref="B29:E29"/>
    <mergeCell ref="B100:E100"/>
    <mergeCell ref="B101:E101"/>
    <mergeCell ref="B102:E102"/>
    <mergeCell ref="B103:E103"/>
    <mergeCell ref="B104:E104"/>
    <mergeCell ref="B55:E55"/>
    <mergeCell ref="B56:E56"/>
    <mergeCell ref="B57:E57"/>
    <mergeCell ref="B58:E58"/>
    <mergeCell ref="B99:E99"/>
    <mergeCell ref="B110:E110"/>
    <mergeCell ref="B111:E111"/>
    <mergeCell ref="B112:E112"/>
    <mergeCell ref="B113:E113"/>
    <mergeCell ref="B114:E114"/>
    <mergeCell ref="B126:E126"/>
    <mergeCell ref="B118:E118"/>
    <mergeCell ref="B105:E105"/>
    <mergeCell ref="B106:E106"/>
    <mergeCell ref="B107:E107"/>
    <mergeCell ref="B108:E108"/>
    <mergeCell ref="B109:E109"/>
    <mergeCell ref="B115:E115"/>
    <mergeCell ref="B116:E116"/>
    <mergeCell ref="B128:E128"/>
    <mergeCell ref="B129:E129"/>
    <mergeCell ref="B130:E130"/>
    <mergeCell ref="B127:E127"/>
    <mergeCell ref="B125:E125"/>
    <mergeCell ref="B120:E120"/>
    <mergeCell ref="B121:E121"/>
    <mergeCell ref="B122:E122"/>
    <mergeCell ref="B123:E123"/>
    <mergeCell ref="B124:E124"/>
    <mergeCell ref="B136:E136"/>
    <mergeCell ref="B137:E137"/>
    <mergeCell ref="B138:E138"/>
    <mergeCell ref="B139:E139"/>
    <mergeCell ref="B131:E131"/>
    <mergeCell ref="B132:E132"/>
    <mergeCell ref="B133:E133"/>
    <mergeCell ref="B134:E134"/>
    <mergeCell ref="B135:E135"/>
    <mergeCell ref="B146:E146"/>
    <mergeCell ref="B147:E147"/>
    <mergeCell ref="B148:E148"/>
    <mergeCell ref="B149:E149"/>
    <mergeCell ref="B150:E150"/>
    <mergeCell ref="B141:E141"/>
    <mergeCell ref="B142:E142"/>
    <mergeCell ref="B143:E143"/>
    <mergeCell ref="B144:E144"/>
    <mergeCell ref="B145:E145"/>
    <mergeCell ref="B156:E156"/>
    <mergeCell ref="B157:E157"/>
    <mergeCell ref="B158:E158"/>
    <mergeCell ref="B159:E159"/>
    <mergeCell ref="B194:E194"/>
    <mergeCell ref="B151:E151"/>
    <mergeCell ref="B152:E152"/>
    <mergeCell ref="B153:E153"/>
    <mergeCell ref="B154:E154"/>
    <mergeCell ref="B155:E155"/>
    <mergeCell ref="B162:E162"/>
    <mergeCell ref="B163:E163"/>
    <mergeCell ref="B164:E164"/>
    <mergeCell ref="B165:E165"/>
    <mergeCell ref="B166:E166"/>
    <mergeCell ref="B167:E167"/>
    <mergeCell ref="B168:E168"/>
    <mergeCell ref="B169:E169"/>
    <mergeCell ref="B170:E170"/>
    <mergeCell ref="B171:E171"/>
    <mergeCell ref="B182:E182"/>
    <mergeCell ref="B183:E183"/>
    <mergeCell ref="B184:E184"/>
    <mergeCell ref="B185:E185"/>
    <mergeCell ref="B160:E160"/>
    <mergeCell ref="B161:E161"/>
    <mergeCell ref="B205:E205"/>
    <mergeCell ref="B206:E206"/>
    <mergeCell ref="B207:E207"/>
    <mergeCell ref="B208:E208"/>
    <mergeCell ref="B209:E209"/>
    <mergeCell ref="B200:E200"/>
    <mergeCell ref="B202:E202"/>
    <mergeCell ref="B203:E203"/>
    <mergeCell ref="B204:E204"/>
    <mergeCell ref="B195:E195"/>
    <mergeCell ref="B196:E196"/>
    <mergeCell ref="B197:E197"/>
    <mergeCell ref="B198:E198"/>
    <mergeCell ref="B199:E199"/>
    <mergeCell ref="B172:E172"/>
    <mergeCell ref="B173:E173"/>
    <mergeCell ref="B174:E174"/>
    <mergeCell ref="B175:E175"/>
    <mergeCell ref="B176:E176"/>
    <mergeCell ref="B186:E186"/>
    <mergeCell ref="B177:E177"/>
    <mergeCell ref="B178:E178"/>
    <mergeCell ref="B179:E179"/>
    <mergeCell ref="B180:E180"/>
    <mergeCell ref="B181:E181"/>
    <mergeCell ref="B219:E219"/>
    <mergeCell ref="B211:E211"/>
    <mergeCell ref="B212:E212"/>
    <mergeCell ref="B213:E213"/>
    <mergeCell ref="B214:E214"/>
    <mergeCell ref="B187:E187"/>
    <mergeCell ref="B188:E188"/>
    <mergeCell ref="B189:E189"/>
    <mergeCell ref="B190:E190"/>
    <mergeCell ref="B191:E191"/>
    <mergeCell ref="B192:E192"/>
    <mergeCell ref="B193:E193"/>
    <mergeCell ref="B215:E215"/>
    <mergeCell ref="B216:E216"/>
    <mergeCell ref="B217:E217"/>
    <mergeCell ref="B218:E218"/>
    <mergeCell ref="B210:E210"/>
    <mergeCell ref="B225:E225"/>
    <mergeCell ref="B226:E226"/>
    <mergeCell ref="B227:E227"/>
    <mergeCell ref="B228:E228"/>
    <mergeCell ref="B246:E246"/>
    <mergeCell ref="B220:E220"/>
    <mergeCell ref="B221:E221"/>
    <mergeCell ref="B222:E222"/>
    <mergeCell ref="B223:E223"/>
    <mergeCell ref="B224:E224"/>
    <mergeCell ref="E230:G230"/>
    <mergeCell ref="E231:G231"/>
    <mergeCell ref="E232:G232"/>
    <mergeCell ref="E233:G233"/>
    <mergeCell ref="E234:G234"/>
    <mergeCell ref="E235:G235"/>
    <mergeCell ref="E236:G236"/>
    <mergeCell ref="E237:G237"/>
    <mergeCell ref="E238:G238"/>
    <mergeCell ref="E239:G239"/>
    <mergeCell ref="E240:G240"/>
    <mergeCell ref="E241:G241"/>
  </mergeCells>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rowBreaks count="2" manualBreakCount="2">
    <brk id="159" max="16383" man="1"/>
    <brk id="21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10E5-52D2-4F06-995F-F33ACBEC3B1F}">
  <sheetPr>
    <pageSetUpPr fitToPage="1"/>
  </sheetPr>
  <dimension ref="A1:H103"/>
  <sheetViews>
    <sheetView tabSelected="1" view="pageBreakPreview" topLeftCell="A6"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8" ht="21" x14ac:dyDescent="0.45">
      <c r="B1" s="76" t="s">
        <v>413</v>
      </c>
    </row>
    <row r="2" spans="1:8" ht="15" customHeight="1" x14ac:dyDescent="0.45">
      <c r="A2" s="77" t="s">
        <v>80</v>
      </c>
      <c r="B2" t="s">
        <v>81</v>
      </c>
      <c r="C2" s="38"/>
      <c r="D2" s="78"/>
      <c r="E2" s="38"/>
      <c r="F2" s="311"/>
      <c r="G2" s="312"/>
    </row>
    <row r="3" spans="1:8" ht="15" customHeight="1" x14ac:dyDescent="0.45">
      <c r="A3" s="77"/>
      <c r="B3"/>
      <c r="C3" s="38"/>
      <c r="D3" s="78"/>
      <c r="E3" s="38"/>
      <c r="F3" s="311"/>
      <c r="G3" s="312"/>
    </row>
    <row r="4" spans="1:8" x14ac:dyDescent="0.45">
      <c r="A4" s="75" t="s">
        <v>235</v>
      </c>
      <c r="B4" s="80" t="s">
        <v>208</v>
      </c>
    </row>
    <row r="5" spans="1:8" s="82" customFormat="1" ht="138.75" customHeight="1" x14ac:dyDescent="0.45">
      <c r="A5" s="81" t="s">
        <v>20</v>
      </c>
      <c r="B5" s="36" t="s">
        <v>336</v>
      </c>
      <c r="C5" s="38"/>
      <c r="D5" s="78"/>
      <c r="E5" s="38"/>
      <c r="F5" s="311"/>
      <c r="G5" s="312"/>
    </row>
    <row r="6" spans="1:8" s="82" customFormat="1" ht="96" customHeight="1" x14ac:dyDescent="0.45">
      <c r="A6" s="81"/>
      <c r="B6" s="36" t="s">
        <v>39</v>
      </c>
      <c r="C6" s="38"/>
      <c r="D6" s="78"/>
      <c r="E6" s="38"/>
      <c r="F6" s="311"/>
      <c r="G6" s="312"/>
    </row>
    <row r="7" spans="1:8" s="82" customFormat="1" ht="42.75" x14ac:dyDescent="0.45">
      <c r="A7" s="81"/>
      <c r="B7" s="36" t="s">
        <v>40</v>
      </c>
      <c r="C7" s="38"/>
      <c r="D7" s="78"/>
      <c r="E7" s="38"/>
      <c r="F7" s="311"/>
      <c r="G7" s="312"/>
    </row>
    <row r="8" spans="1:8" s="82" customFormat="1" x14ac:dyDescent="0.45">
      <c r="A8" s="81"/>
      <c r="B8" s="36"/>
      <c r="C8" s="38" t="s">
        <v>45</v>
      </c>
      <c r="D8" s="78" t="str">
        <f ca="1">_xlfn.FORMULATEXT(E8)</f>
        <v>=(19+2)*3</v>
      </c>
      <c r="E8" s="78">
        <f>(19+2)*3</f>
        <v>63</v>
      </c>
      <c r="F8" s="311"/>
      <c r="G8" s="320">
        <f>E8*F8</f>
        <v>0</v>
      </c>
      <c r="H8" s="83"/>
    </row>
    <row r="9" spans="1:8" s="87" customFormat="1" x14ac:dyDescent="0.45">
      <c r="A9" s="75"/>
      <c r="B9" s="80"/>
      <c r="C9" s="31"/>
      <c r="D9" s="84"/>
      <c r="E9" s="31"/>
      <c r="F9" s="313"/>
      <c r="G9" s="330"/>
      <c r="H9" s="86"/>
    </row>
    <row r="10" spans="1:8" s="82" customFormat="1" ht="71.25" x14ac:dyDescent="0.45">
      <c r="A10" s="81" t="s">
        <v>21</v>
      </c>
      <c r="B10" s="36" t="s">
        <v>341</v>
      </c>
      <c r="C10" s="38"/>
      <c r="D10" s="78"/>
      <c r="E10" s="38"/>
      <c r="F10" s="311"/>
      <c r="G10" s="312"/>
    </row>
    <row r="11" spans="1:8" s="82" customFormat="1" ht="85.5" x14ac:dyDescent="0.45">
      <c r="A11" s="81"/>
      <c r="B11" s="36" t="s">
        <v>209</v>
      </c>
      <c r="C11" s="38"/>
      <c r="D11" s="78"/>
      <c r="E11" s="38"/>
      <c r="F11" s="311"/>
      <c r="G11" s="312"/>
    </row>
    <row r="12" spans="1:8" s="82" customFormat="1" ht="57" x14ac:dyDescent="0.45">
      <c r="A12" s="81"/>
      <c r="B12" s="36" t="s">
        <v>210</v>
      </c>
      <c r="C12" s="38"/>
      <c r="D12" s="78"/>
      <c r="E12" s="38"/>
      <c r="F12" s="311"/>
      <c r="G12" s="312"/>
    </row>
    <row r="13" spans="1:8" s="82" customFormat="1" ht="34.5" customHeight="1" x14ac:dyDescent="0.45">
      <c r="A13" s="81"/>
      <c r="B13" s="36" t="s">
        <v>340</v>
      </c>
      <c r="C13" s="38"/>
      <c r="D13" s="78"/>
      <c r="E13" s="38"/>
      <c r="F13" s="311"/>
      <c r="G13" s="312"/>
    </row>
    <row r="14" spans="1:8" s="82" customFormat="1" ht="15" customHeight="1" x14ac:dyDescent="0.45">
      <c r="A14" s="81"/>
      <c r="B14" s="36" t="s">
        <v>284</v>
      </c>
      <c r="C14" s="38" t="s">
        <v>45</v>
      </c>
      <c r="D14" s="78" t="str">
        <f ca="1">_xlfn.FORMULATEXT(E14)</f>
        <v>=(19+1)*10</v>
      </c>
      <c r="E14" s="38">
        <f>(19+1)*10</f>
        <v>200</v>
      </c>
      <c r="F14" s="311"/>
      <c r="G14" s="320">
        <f>E14*F14</f>
        <v>0</v>
      </c>
    </row>
    <row r="15" spans="1:8" s="87" customFormat="1" ht="15" customHeight="1" x14ac:dyDescent="0.45">
      <c r="A15" s="75"/>
      <c r="B15" s="80"/>
      <c r="C15" s="31"/>
      <c r="D15" s="84"/>
      <c r="E15" s="31"/>
      <c r="F15" s="313"/>
      <c r="G15" s="330"/>
    </row>
    <row r="16" spans="1:8" s="82" customFormat="1" ht="46.5" customHeight="1" x14ac:dyDescent="0.45">
      <c r="A16" s="81" t="s">
        <v>22</v>
      </c>
      <c r="B16" s="36" t="s">
        <v>337</v>
      </c>
      <c r="C16" s="38" t="s">
        <v>45</v>
      </c>
      <c r="D16" s="78" t="str">
        <f ca="1">_xlfn.FORMULATEXT(E16)</f>
        <v>=1,2*1,8*8+1,6*1,8*8</v>
      </c>
      <c r="E16" s="38">
        <f>1.2*1.8*8+1.6*1.8*8</f>
        <v>40.320000000000007</v>
      </c>
      <c r="F16" s="311"/>
      <c r="G16" s="320">
        <f>E16*F16</f>
        <v>0</v>
      </c>
    </row>
    <row r="17" spans="1:7" s="87" customFormat="1" x14ac:dyDescent="0.45">
      <c r="A17" s="88"/>
      <c r="B17" s="70"/>
      <c r="C17" s="89"/>
      <c r="D17" s="90"/>
      <c r="E17" s="89"/>
      <c r="F17" s="331"/>
      <c r="G17" s="329"/>
    </row>
    <row r="18" spans="1:7" s="82" customFormat="1" ht="63" customHeight="1" x14ac:dyDescent="0.45">
      <c r="A18" s="91" t="s">
        <v>23</v>
      </c>
      <c r="B18" s="92" t="s">
        <v>204</v>
      </c>
      <c r="C18" s="93" t="s">
        <v>66</v>
      </c>
      <c r="D18" s="94" t="s">
        <v>37</v>
      </c>
      <c r="E18" s="95">
        <v>4</v>
      </c>
      <c r="F18" s="332"/>
      <c r="G18" s="312">
        <f>E18*F18</f>
        <v>0</v>
      </c>
    </row>
    <row r="19" spans="1:7" s="82" customFormat="1" x14ac:dyDescent="0.45">
      <c r="A19" s="81"/>
      <c r="B19" s="36"/>
      <c r="C19" s="38"/>
      <c r="D19" s="78"/>
      <c r="E19" s="38"/>
      <c r="F19" s="311"/>
      <c r="G19" s="312"/>
    </row>
    <row r="20" spans="1:7" s="82" customFormat="1" x14ac:dyDescent="0.45">
      <c r="A20" s="96" t="s">
        <v>235</v>
      </c>
      <c r="B20" s="97" t="s">
        <v>75</v>
      </c>
      <c r="C20" s="98"/>
      <c r="D20" s="99"/>
      <c r="E20" s="98"/>
      <c r="F20" s="333"/>
      <c r="G20" s="334">
        <f>SUM(G6:G19)</f>
        <v>0</v>
      </c>
    </row>
    <row r="21" spans="1:7" s="87" customFormat="1" x14ac:dyDescent="0.45">
      <c r="A21" s="75"/>
      <c r="B21" s="80"/>
      <c r="C21" s="31"/>
      <c r="D21" s="67"/>
      <c r="E21" s="31"/>
      <c r="F21" s="313"/>
      <c r="G21" s="312"/>
    </row>
    <row r="22" spans="1:7" s="82" customFormat="1" x14ac:dyDescent="0.45">
      <c r="A22" s="81" t="s">
        <v>236</v>
      </c>
      <c r="B22" s="101" t="s">
        <v>34</v>
      </c>
      <c r="C22" s="38"/>
      <c r="D22" s="78"/>
      <c r="E22" s="38"/>
      <c r="F22" s="311"/>
      <c r="G22" s="312"/>
    </row>
    <row r="23" spans="1:7" s="82" customFormat="1" ht="171" x14ac:dyDescent="0.45">
      <c r="A23" s="81" t="s">
        <v>20</v>
      </c>
      <c r="B23" s="101" t="s">
        <v>357</v>
      </c>
      <c r="C23" s="38" t="s">
        <v>47</v>
      </c>
      <c r="D23" s="78" t="s">
        <v>37</v>
      </c>
      <c r="E23" s="95">
        <v>3</v>
      </c>
      <c r="F23" s="311"/>
      <c r="G23" s="312">
        <f>E23*F23</f>
        <v>0</v>
      </c>
    </row>
    <row r="24" spans="1:7" s="87" customFormat="1" x14ac:dyDescent="0.45">
      <c r="A24" s="75"/>
      <c r="B24" s="101"/>
      <c r="C24" s="31"/>
      <c r="D24" s="67"/>
      <c r="E24" s="31"/>
      <c r="F24" s="313"/>
      <c r="G24" s="329"/>
    </row>
    <row r="25" spans="1:7" s="82" customFormat="1" ht="28.5" x14ac:dyDescent="0.45">
      <c r="A25" s="81" t="s">
        <v>21</v>
      </c>
      <c r="B25" s="101" t="s">
        <v>456</v>
      </c>
      <c r="C25" s="38" t="s">
        <v>47</v>
      </c>
      <c r="D25" s="78" t="s">
        <v>37</v>
      </c>
      <c r="E25" s="95">
        <v>5</v>
      </c>
      <c r="F25" s="311"/>
      <c r="G25" s="312">
        <f>E25*F25</f>
        <v>0</v>
      </c>
    </row>
    <row r="26" spans="1:7" s="82" customFormat="1" x14ac:dyDescent="0.45">
      <c r="A26" s="81"/>
      <c r="B26" s="101"/>
      <c r="C26" s="38"/>
      <c r="D26" s="78"/>
      <c r="E26" s="95"/>
      <c r="F26" s="311"/>
      <c r="G26" s="312"/>
    </row>
    <row r="27" spans="1:7" s="82" customFormat="1" ht="199.5" x14ac:dyDescent="0.45">
      <c r="A27" s="81" t="s">
        <v>22</v>
      </c>
      <c r="B27" s="101" t="s">
        <v>295</v>
      </c>
      <c r="C27" s="40"/>
      <c r="D27" s="78"/>
      <c r="E27" s="38"/>
      <c r="F27" s="311"/>
      <c r="G27" s="312"/>
    </row>
    <row r="28" spans="1:7" s="82" customFormat="1" x14ac:dyDescent="0.45">
      <c r="A28" s="81"/>
      <c r="B28" s="101" t="s">
        <v>256</v>
      </c>
      <c r="C28" s="38" t="s">
        <v>87</v>
      </c>
      <c r="D28" s="78" t="s">
        <v>37</v>
      </c>
      <c r="E28" s="95">
        <v>1</v>
      </c>
      <c r="F28" s="311"/>
      <c r="G28" s="312">
        <f>E28*F28</f>
        <v>0</v>
      </c>
    </row>
    <row r="29" spans="1:7" s="87" customFormat="1" x14ac:dyDescent="0.45">
      <c r="A29" s="75"/>
      <c r="B29" s="102"/>
      <c r="C29" s="31"/>
      <c r="D29" s="67"/>
      <c r="E29" s="31"/>
      <c r="F29" s="313"/>
      <c r="G29" s="329"/>
    </row>
    <row r="30" spans="1:7" s="82" customFormat="1" ht="91.5" customHeight="1" x14ac:dyDescent="0.45">
      <c r="A30" s="81" t="s">
        <v>23</v>
      </c>
      <c r="B30" s="101" t="s">
        <v>299</v>
      </c>
      <c r="C30" s="38"/>
      <c r="D30" s="103"/>
      <c r="E30" s="38"/>
      <c r="F30" s="311"/>
      <c r="G30" s="312"/>
    </row>
    <row r="31" spans="1:7" s="82" customFormat="1" x14ac:dyDescent="0.45">
      <c r="A31" s="81" t="s">
        <v>41</v>
      </c>
      <c r="B31" s="101" t="s">
        <v>447</v>
      </c>
      <c r="C31" s="38" t="s">
        <v>46</v>
      </c>
      <c r="D31" s="78" t="str">
        <f ca="1">_xlfn.FORMULATEXT(E31)</f>
        <v>=1,8*6+1,2*6</v>
      </c>
      <c r="E31" s="104">
        <f>1.8*6+1.2*6</f>
        <v>18</v>
      </c>
      <c r="F31" s="311"/>
      <c r="G31" s="312">
        <f>E31*F31</f>
        <v>0</v>
      </c>
    </row>
    <row r="32" spans="1:7" s="87" customFormat="1" x14ac:dyDescent="0.45">
      <c r="A32" s="75"/>
      <c r="B32"/>
      <c r="C32" s="31"/>
      <c r="D32" s="67"/>
      <c r="E32" s="31"/>
      <c r="F32" s="313"/>
      <c r="G32" s="329"/>
    </row>
    <row r="33" spans="1:7" s="107" customFormat="1" ht="42.75" x14ac:dyDescent="0.35">
      <c r="A33" s="81" t="s">
        <v>24</v>
      </c>
      <c r="B33" s="101" t="s">
        <v>298</v>
      </c>
      <c r="C33" s="105"/>
      <c r="D33" s="106"/>
      <c r="E33" s="106"/>
      <c r="F33" s="335"/>
      <c r="G33" s="336"/>
    </row>
    <row r="34" spans="1:7" s="107" customFormat="1" ht="42.75" x14ac:dyDescent="0.35">
      <c r="A34" s="108"/>
      <c r="B34" s="101" t="s">
        <v>351</v>
      </c>
      <c r="C34" s="105"/>
      <c r="D34" s="106"/>
      <c r="E34" s="106"/>
      <c r="F34" s="335"/>
      <c r="G34" s="336"/>
    </row>
    <row r="35" spans="1:7" s="43" customFormat="1" x14ac:dyDescent="0.45">
      <c r="A35" s="109"/>
      <c r="B35" s="101" t="s">
        <v>352</v>
      </c>
      <c r="C35" s="38"/>
      <c r="D35" s="78"/>
      <c r="E35" s="95"/>
      <c r="F35" s="311"/>
      <c r="G35" s="312"/>
    </row>
    <row r="36" spans="1:7" s="43" customFormat="1" x14ac:dyDescent="0.45">
      <c r="A36" s="109"/>
      <c r="B36" s="101" t="s">
        <v>294</v>
      </c>
      <c r="C36" s="38" t="s">
        <v>46</v>
      </c>
      <c r="D36" s="78" t="str">
        <f ca="1">_xlfn.FORMULATEXT(E36)</f>
        <v>=13*1</v>
      </c>
      <c r="E36" s="104">
        <f>13*1</f>
        <v>13</v>
      </c>
      <c r="F36" s="311"/>
      <c r="G36" s="312">
        <f>E36*F36</f>
        <v>0</v>
      </c>
    </row>
    <row r="37" spans="1:7" s="43" customFormat="1" x14ac:dyDescent="0.45">
      <c r="A37" s="109"/>
      <c r="B37" s="101"/>
      <c r="C37" s="38"/>
      <c r="D37" s="78"/>
      <c r="E37" s="104"/>
      <c r="F37" s="337"/>
      <c r="G37" s="312"/>
    </row>
    <row r="38" spans="1:7" s="110" customFormat="1" ht="57" x14ac:dyDescent="0.35">
      <c r="A38" s="81" t="s">
        <v>25</v>
      </c>
      <c r="B38" s="101" t="s">
        <v>296</v>
      </c>
      <c r="C38" s="105"/>
      <c r="D38" s="106"/>
      <c r="E38" s="104"/>
      <c r="F38" s="335"/>
      <c r="G38" s="336"/>
    </row>
    <row r="39" spans="1:7" s="110" customFormat="1" ht="99.75" x14ac:dyDescent="0.35">
      <c r="A39" s="108"/>
      <c r="B39" s="101" t="s">
        <v>353</v>
      </c>
      <c r="C39" s="105"/>
      <c r="D39" s="106"/>
      <c r="E39" s="104"/>
      <c r="F39" s="335"/>
      <c r="G39" s="336"/>
    </row>
    <row r="40" spans="1:7" s="43" customFormat="1" x14ac:dyDescent="0.45">
      <c r="A40" s="109" t="s">
        <v>37</v>
      </c>
      <c r="B40" s="101" t="s">
        <v>297</v>
      </c>
      <c r="C40" s="38" t="s">
        <v>46</v>
      </c>
      <c r="D40" s="78" t="str">
        <f ca="1">_xlfn.FORMULATEXT(E41)</f>
        <v>=19*1</v>
      </c>
      <c r="E40" s="104">
        <f>19*1</f>
        <v>19</v>
      </c>
      <c r="F40" s="311"/>
      <c r="G40" s="312">
        <f>E41*F40</f>
        <v>0</v>
      </c>
    </row>
    <row r="41" spans="1:7" s="43" customFormat="1" x14ac:dyDescent="0.45">
      <c r="A41" s="109" t="s">
        <v>37</v>
      </c>
      <c r="B41" s="101" t="s">
        <v>293</v>
      </c>
      <c r="C41" s="38" t="s">
        <v>46</v>
      </c>
      <c r="D41" s="78" t="str">
        <f ca="1">_xlfn.FORMULATEXT(E41)</f>
        <v>=19*1</v>
      </c>
      <c r="E41" s="104">
        <f>19*1</f>
        <v>19</v>
      </c>
      <c r="F41" s="311"/>
      <c r="G41" s="312">
        <f>E42*F41</f>
        <v>0</v>
      </c>
    </row>
    <row r="42" spans="1:7" s="43" customFormat="1" x14ac:dyDescent="0.45">
      <c r="A42" s="109"/>
      <c r="B42" s="101"/>
      <c r="C42" s="38"/>
      <c r="D42" s="78"/>
      <c r="E42" s="104"/>
      <c r="F42" s="311"/>
      <c r="G42" s="312"/>
    </row>
    <row r="43" spans="1:7" s="82" customFormat="1" ht="85.5" x14ac:dyDescent="0.45">
      <c r="A43" s="81" t="s">
        <v>26</v>
      </c>
      <c r="B43" s="101" t="s">
        <v>259</v>
      </c>
      <c r="C43" s="40"/>
      <c r="D43" s="78"/>
      <c r="E43" s="38"/>
      <c r="F43" s="311"/>
      <c r="G43" s="312"/>
    </row>
    <row r="44" spans="1:7" s="82" customFormat="1" ht="28.5" x14ac:dyDescent="0.45">
      <c r="A44" s="81"/>
      <c r="B44" s="101" t="s">
        <v>355</v>
      </c>
      <c r="C44" s="104" t="s">
        <v>46</v>
      </c>
      <c r="D44" s="78" t="str">
        <f ca="1">_xlfn.FORMULATEXT(E44)</f>
        <v>=19,4*1</v>
      </c>
      <c r="E44" s="104">
        <f>19.4*1</f>
        <v>19.399999999999999</v>
      </c>
      <c r="F44" s="338"/>
      <c r="G44" s="339">
        <f>E44*F44</f>
        <v>0</v>
      </c>
    </row>
    <row r="45" spans="1:7" s="87" customFormat="1" x14ac:dyDescent="0.45">
      <c r="A45" s="75"/>
      <c r="B45" s="102"/>
      <c r="C45" s="31"/>
      <c r="D45" s="67"/>
      <c r="E45" s="31"/>
      <c r="F45" s="313"/>
      <c r="G45" s="329"/>
    </row>
    <row r="46" spans="1:7" s="82" customFormat="1" ht="225" customHeight="1" x14ac:dyDescent="0.45">
      <c r="A46" s="81" t="s">
        <v>31</v>
      </c>
      <c r="B46" s="101" t="s">
        <v>302</v>
      </c>
      <c r="C46"/>
      <c r="D46" s="40"/>
      <c r="E46"/>
      <c r="F46" s="340"/>
      <c r="G46" s="340"/>
    </row>
    <row r="47" spans="1:7" s="50" customFormat="1" ht="43.15" x14ac:dyDescent="0.5">
      <c r="A47" s="88" t="s">
        <v>246</v>
      </c>
      <c r="B47" s="70" t="s">
        <v>423</v>
      </c>
      <c r="C47" s="89" t="s">
        <v>45</v>
      </c>
      <c r="D47" s="262" t="str">
        <f ca="1">_xlfn.FORMULATEXT(E47)</f>
        <v>=19,6*7,6-4*1,2*1,8*2+4*1,6*1,8</v>
      </c>
      <c r="E47" s="266">
        <f>19.6*7.6-4*1.2*1.8*2+4*1.6*1.8</f>
        <v>143.20000000000002</v>
      </c>
      <c r="F47" s="341"/>
      <c r="G47" s="342">
        <f t="shared" ref="G47:G58" si="0">E47*F47</f>
        <v>0</v>
      </c>
    </row>
    <row r="48" spans="1:7" s="50" customFormat="1" ht="15.75" x14ac:dyDescent="0.5">
      <c r="A48" s="88" t="s">
        <v>247</v>
      </c>
      <c r="B48" s="70" t="s">
        <v>424</v>
      </c>
      <c r="C48" s="89" t="s">
        <v>45</v>
      </c>
      <c r="D48" s="262" t="str">
        <f ca="1">_xlfn.FORMULATEXT(E48)</f>
        <v>=5*2,2*0,15</v>
      </c>
      <c r="E48" s="266">
        <f>5*2.2*0.15</f>
        <v>1.65</v>
      </c>
      <c r="F48" s="341"/>
      <c r="G48" s="342">
        <f t="shared" si="0"/>
        <v>0</v>
      </c>
    </row>
    <row r="49" spans="1:8" s="50" customFormat="1" ht="15.75" x14ac:dyDescent="0.5">
      <c r="A49" s="88"/>
      <c r="B49" s="70" t="s">
        <v>346</v>
      </c>
      <c r="C49" s="89" t="s">
        <v>87</v>
      </c>
      <c r="D49" s="262" t="s">
        <v>37</v>
      </c>
      <c r="E49" s="269">
        <v>1</v>
      </c>
      <c r="F49" s="341"/>
      <c r="G49" s="342">
        <f t="shared" si="0"/>
        <v>0</v>
      </c>
    </row>
    <row r="50" spans="1:8" s="50" customFormat="1" ht="15.75" x14ac:dyDescent="0.5">
      <c r="A50" s="88" t="s">
        <v>248</v>
      </c>
      <c r="B50" s="70" t="s">
        <v>425</v>
      </c>
      <c r="C50" s="89" t="s">
        <v>45</v>
      </c>
      <c r="D50" s="262" t="str">
        <f ca="1">_xlfn.FORMULATEXT(E50)</f>
        <v>=5*2,2*0,15</v>
      </c>
      <c r="E50" s="266">
        <f>5*2.2*0.15</f>
        <v>1.65</v>
      </c>
      <c r="F50" s="341"/>
      <c r="G50" s="342">
        <f t="shared" ref="G50:G51" si="1">E50*F50</f>
        <v>0</v>
      </c>
    </row>
    <row r="51" spans="1:8" s="50" customFormat="1" ht="15.75" x14ac:dyDescent="0.5">
      <c r="A51" s="88" t="s">
        <v>37</v>
      </c>
      <c r="B51" s="70" t="s">
        <v>345</v>
      </c>
      <c r="C51" s="89" t="s">
        <v>87</v>
      </c>
      <c r="D51" s="262" t="s">
        <v>37</v>
      </c>
      <c r="E51" s="269">
        <v>1</v>
      </c>
      <c r="F51" s="341"/>
      <c r="G51" s="342">
        <f t="shared" si="1"/>
        <v>0</v>
      </c>
    </row>
    <row r="52" spans="1:8" s="50" customFormat="1" ht="28.9" x14ac:dyDescent="0.5">
      <c r="A52" s="88" t="s">
        <v>249</v>
      </c>
      <c r="B52" s="70" t="s">
        <v>426</v>
      </c>
      <c r="C52" s="89" t="s">
        <v>45</v>
      </c>
      <c r="D52" s="262" t="str">
        <f ca="1">_xlfn.FORMULATEXT(E52)</f>
        <v>=((1,6+1,8*2)*4+(1,2+1,8*2)*4*2)*0,2</v>
      </c>
      <c r="E52" s="266">
        <f>((1.6+1.8*2)*4+(1.2+1.8*2)*4*2)*0.2</f>
        <v>11.840000000000002</v>
      </c>
      <c r="F52" s="341"/>
      <c r="G52" s="342">
        <f t="shared" si="0"/>
        <v>0</v>
      </c>
    </row>
    <row r="53" spans="1:8" s="50" customFormat="1" ht="15.75" x14ac:dyDescent="0.5">
      <c r="A53" s="88" t="s">
        <v>250</v>
      </c>
      <c r="B53" s="70" t="s">
        <v>427</v>
      </c>
      <c r="C53" s="89" t="s">
        <v>45</v>
      </c>
      <c r="D53" s="262" t="str">
        <f ca="1">_xlfn.FORMULATEXT(E53)</f>
        <v>=19,6*0,1*1</v>
      </c>
      <c r="E53" s="266">
        <f>19.6*0.1*1</f>
        <v>1.9600000000000002</v>
      </c>
      <c r="F53" s="341"/>
      <c r="G53" s="342">
        <f t="shared" si="0"/>
        <v>0</v>
      </c>
    </row>
    <row r="54" spans="1:8" s="50" customFormat="1" ht="15.75" x14ac:dyDescent="0.5">
      <c r="A54" s="88" t="s">
        <v>37</v>
      </c>
      <c r="B54" s="70" t="s">
        <v>344</v>
      </c>
      <c r="C54" s="89" t="s">
        <v>87</v>
      </c>
      <c r="D54" s="262" t="s">
        <v>37</v>
      </c>
      <c r="E54" s="269">
        <v>1</v>
      </c>
      <c r="F54" s="341"/>
      <c r="G54" s="342">
        <f t="shared" si="0"/>
        <v>0</v>
      </c>
    </row>
    <row r="55" spans="1:8" s="50" customFormat="1" ht="15.75" x14ac:dyDescent="0.5">
      <c r="A55" s="88" t="s">
        <v>251</v>
      </c>
      <c r="B55" s="70" t="s">
        <v>428</v>
      </c>
      <c r="C55" s="89" t="s">
        <v>45</v>
      </c>
      <c r="D55" s="262" t="str">
        <f ca="1">_xlfn.FORMULATEXT(E55)</f>
        <v>=5,4*0,3*4</v>
      </c>
      <c r="E55" s="266">
        <f>5.4*0.3*4</f>
        <v>6.48</v>
      </c>
      <c r="F55" s="341"/>
      <c r="G55" s="342">
        <f t="shared" si="0"/>
        <v>0</v>
      </c>
    </row>
    <row r="56" spans="1:8" s="50" customFormat="1" ht="15.75" x14ac:dyDescent="0.5">
      <c r="A56" s="88"/>
      <c r="B56" s="70" t="s">
        <v>429</v>
      </c>
      <c r="C56" s="89" t="s">
        <v>87</v>
      </c>
      <c r="D56" s="262" t="s">
        <v>37</v>
      </c>
      <c r="E56" s="269">
        <v>1</v>
      </c>
      <c r="F56" s="341"/>
      <c r="G56" s="342">
        <f t="shared" si="0"/>
        <v>0</v>
      </c>
    </row>
    <row r="57" spans="1:8" s="82" customFormat="1" x14ac:dyDescent="0.45">
      <c r="A57" s="81" t="s">
        <v>252</v>
      </c>
      <c r="B57" s="101" t="s">
        <v>430</v>
      </c>
      <c r="C57" s="38" t="s">
        <v>45</v>
      </c>
      <c r="D57" s="262" t="str">
        <f ca="1">_xlfn.FORMULATEXT(E57)</f>
        <v>=2,3*4*0,12</v>
      </c>
      <c r="E57" s="270">
        <f>2.3*4*0.12</f>
        <v>1.1039999999999999</v>
      </c>
      <c r="F57" s="343"/>
      <c r="G57" s="344">
        <f t="shared" si="0"/>
        <v>0</v>
      </c>
    </row>
    <row r="58" spans="1:8" s="82" customFormat="1" ht="28.5" x14ac:dyDescent="0.45">
      <c r="A58" s="81" t="s">
        <v>253</v>
      </c>
      <c r="B58" s="101" t="s">
        <v>431</v>
      </c>
      <c r="C58" s="38" t="s">
        <v>45</v>
      </c>
      <c r="D58" s="262" t="str">
        <f ca="1">_xlfn.FORMULATEXT(E58)</f>
        <v>=(7,7*2+0,3*4)*1-2*1*0,6</v>
      </c>
      <c r="E58" s="270">
        <f>(7.7*2+0.3*4)*1-2*1*0.6</f>
        <v>15.400000000000002</v>
      </c>
      <c r="F58" s="343"/>
      <c r="G58" s="344">
        <f t="shared" si="0"/>
        <v>0</v>
      </c>
    </row>
    <row r="59" spans="1:8" s="82" customFormat="1" x14ac:dyDescent="0.45">
      <c r="A59" s="81" t="s">
        <v>254</v>
      </c>
      <c r="B59" s="101" t="s">
        <v>444</v>
      </c>
      <c r="C59" s="38" t="s">
        <v>45</v>
      </c>
      <c r="D59" s="262" t="str">
        <f ca="1">_xlfn.FORMULATEXT(E59)</f>
        <v>=3,6*4-2,5*2,7</v>
      </c>
      <c r="E59" s="270">
        <f>3.6*4-2.5*2.7</f>
        <v>7.65</v>
      </c>
      <c r="F59" s="343"/>
      <c r="G59" s="344">
        <f t="shared" ref="G59" si="2">E59*F59</f>
        <v>0</v>
      </c>
    </row>
    <row r="60" spans="1:8" s="82" customFormat="1" x14ac:dyDescent="0.45">
      <c r="A60" s="81" t="s">
        <v>255</v>
      </c>
      <c r="B60" s="101" t="s">
        <v>457</v>
      </c>
      <c r="C60" s="38" t="s">
        <v>45</v>
      </c>
      <c r="D60" s="262" t="str">
        <f ca="1">_xlfn.FORMULATEXT(E60)</f>
        <v>=9,7*0,6*2</v>
      </c>
      <c r="E60" s="270">
        <f>9.7*0.6*2</f>
        <v>11.639999999999999</v>
      </c>
      <c r="F60" s="343"/>
      <c r="G60" s="344">
        <f t="shared" ref="G60:G61" si="3">E60*F60</f>
        <v>0</v>
      </c>
    </row>
    <row r="61" spans="1:8" s="50" customFormat="1" ht="15.75" x14ac:dyDescent="0.5">
      <c r="A61" s="88" t="s">
        <v>37</v>
      </c>
      <c r="B61" s="70" t="s">
        <v>474</v>
      </c>
      <c r="C61" s="266" t="s">
        <v>87</v>
      </c>
      <c r="D61" s="262" t="s">
        <v>37</v>
      </c>
      <c r="E61" s="269">
        <v>1</v>
      </c>
      <c r="F61" s="341"/>
      <c r="G61" s="342">
        <f t="shared" si="3"/>
        <v>0</v>
      </c>
    </row>
    <row r="62" spans="1:8" s="50" customFormat="1" ht="15.75" x14ac:dyDescent="0.5">
      <c r="A62" s="88"/>
      <c r="B62" s="70"/>
      <c r="C62" s="266"/>
      <c r="D62" s="262"/>
      <c r="E62" s="269"/>
      <c r="F62" s="341"/>
      <c r="G62" s="342"/>
    </row>
    <row r="63" spans="1:8" s="115" customFormat="1" ht="117.4" customHeight="1" x14ac:dyDescent="0.45">
      <c r="A63" s="91" t="s">
        <v>33</v>
      </c>
      <c r="B63" s="36" t="s">
        <v>356</v>
      </c>
      <c r="C63" s="40"/>
      <c r="D63" s="112"/>
      <c r="E63" s="113"/>
      <c r="F63" s="345"/>
      <c r="G63" s="346"/>
      <c r="H63" s="114"/>
    </row>
    <row r="64" spans="1:8" s="115" customFormat="1" ht="169.5" customHeight="1" x14ac:dyDescent="0.45">
      <c r="A64" s="116"/>
      <c r="B64" s="36" t="s">
        <v>266</v>
      </c>
      <c r="C64" s="40"/>
      <c r="D64" s="112"/>
      <c r="E64" s="113"/>
      <c r="F64" s="345"/>
      <c r="G64" s="346"/>
      <c r="H64" s="114"/>
    </row>
    <row r="65" spans="1:7" s="82" customFormat="1" x14ac:dyDescent="0.45">
      <c r="A65" s="91" t="s">
        <v>448</v>
      </c>
      <c r="B65" s="36" t="s">
        <v>437</v>
      </c>
      <c r="C65" s="38"/>
      <c r="D65" s="78"/>
      <c r="E65" s="38"/>
      <c r="F65" s="311"/>
      <c r="G65" s="312"/>
    </row>
    <row r="66" spans="1:7" s="117" customFormat="1" ht="15.75" x14ac:dyDescent="0.5">
      <c r="A66" s="91"/>
      <c r="B66" s="92" t="s">
        <v>434</v>
      </c>
      <c r="C66" s="93"/>
      <c r="D66" s="94"/>
      <c r="E66" s="93"/>
      <c r="F66" s="332"/>
      <c r="G66" s="312"/>
    </row>
    <row r="67" spans="1:7" s="117" customFormat="1" ht="15.75" x14ac:dyDescent="0.5">
      <c r="A67" s="91"/>
      <c r="B67" s="70" t="s">
        <v>432</v>
      </c>
      <c r="C67" s="93" t="s">
        <v>87</v>
      </c>
      <c r="D67" s="94" t="s">
        <v>37</v>
      </c>
      <c r="E67" s="95">
        <v>1</v>
      </c>
      <c r="F67" s="332"/>
      <c r="G67" s="312">
        <f>E67*F67</f>
        <v>0</v>
      </c>
    </row>
    <row r="68" spans="1:7" s="117" customFormat="1" ht="15.75" x14ac:dyDescent="0.5">
      <c r="A68" s="91"/>
      <c r="B68" s="118"/>
      <c r="C68" s="93" t="s">
        <v>46</v>
      </c>
      <c r="D68" s="78" t="str">
        <f ca="1">_xlfn.FORMULATEXT(E68)</f>
        <v>=19,1+0,2*4</v>
      </c>
      <c r="E68" s="89">
        <f>19.1+0.2*4</f>
        <v>19.900000000000002</v>
      </c>
      <c r="F68" s="332"/>
      <c r="G68" s="312">
        <f>E68*F68</f>
        <v>0</v>
      </c>
    </row>
    <row r="69" spans="1:7" s="82" customFormat="1" x14ac:dyDescent="0.45">
      <c r="A69" s="91" t="s">
        <v>449</v>
      </c>
      <c r="B69" s="36" t="s">
        <v>438</v>
      </c>
      <c r="C69" s="38"/>
      <c r="D69" s="78"/>
      <c r="E69" s="38"/>
      <c r="F69" s="311"/>
      <c r="G69" s="312"/>
    </row>
    <row r="70" spans="1:7" s="117" customFormat="1" ht="15.75" x14ac:dyDescent="0.5">
      <c r="A70" s="91"/>
      <c r="B70" s="92" t="s">
        <v>435</v>
      </c>
      <c r="C70" s="93"/>
      <c r="D70" s="94"/>
      <c r="E70" s="93"/>
      <c r="F70" s="332"/>
      <c r="G70" s="312"/>
    </row>
    <row r="71" spans="1:7" s="117" customFormat="1" ht="15.75" x14ac:dyDescent="0.5">
      <c r="A71" s="91"/>
      <c r="B71" s="70" t="s">
        <v>432</v>
      </c>
      <c r="C71" s="93" t="s">
        <v>87</v>
      </c>
      <c r="D71" s="94" t="s">
        <v>37</v>
      </c>
      <c r="E71" s="95">
        <v>1</v>
      </c>
      <c r="F71" s="332"/>
      <c r="G71" s="312">
        <f>E71*F71</f>
        <v>0</v>
      </c>
    </row>
    <row r="72" spans="1:7" s="117" customFormat="1" ht="15.75" x14ac:dyDescent="0.5">
      <c r="A72" s="91"/>
      <c r="B72" s="118"/>
      <c r="C72" s="93" t="s">
        <v>46</v>
      </c>
      <c r="D72" s="78" t="str">
        <f ca="1">_xlfn.FORMULATEXT(E72)</f>
        <v>=19,1+0,2*4</v>
      </c>
      <c r="E72" s="89">
        <f>19.1+0.2*4</f>
        <v>19.900000000000002</v>
      </c>
      <c r="F72" s="332"/>
      <c r="G72" s="312">
        <f>E72*F72</f>
        <v>0</v>
      </c>
    </row>
    <row r="73" spans="1:7" s="82" customFormat="1" x14ac:dyDescent="0.45">
      <c r="A73" s="91" t="s">
        <v>450</v>
      </c>
      <c r="B73" s="36" t="s">
        <v>303</v>
      </c>
      <c r="C73" s="38"/>
      <c r="D73" s="78"/>
      <c r="E73" s="38"/>
      <c r="F73" s="311"/>
      <c r="G73" s="312"/>
    </row>
    <row r="74" spans="1:7" s="117" customFormat="1" ht="15.75" x14ac:dyDescent="0.5">
      <c r="A74" s="91"/>
      <c r="B74" s="92" t="s">
        <v>433</v>
      </c>
      <c r="C74" s="93"/>
      <c r="D74" s="94"/>
      <c r="E74" s="93"/>
      <c r="F74" s="332"/>
      <c r="G74" s="312"/>
    </row>
    <row r="75" spans="1:7" s="117" customFormat="1" ht="15.75" x14ac:dyDescent="0.5">
      <c r="A75" s="91"/>
      <c r="B75" s="70" t="s">
        <v>212</v>
      </c>
      <c r="C75" s="93" t="s">
        <v>87</v>
      </c>
      <c r="D75" s="94" t="s">
        <v>37</v>
      </c>
      <c r="E75" s="95">
        <v>1</v>
      </c>
      <c r="F75" s="332"/>
      <c r="G75" s="312">
        <f>E75*F75</f>
        <v>0</v>
      </c>
    </row>
    <row r="76" spans="1:7" s="117" customFormat="1" ht="15.75" x14ac:dyDescent="0.5">
      <c r="A76" s="91"/>
      <c r="B76" s="118"/>
      <c r="C76" s="93" t="s">
        <v>46</v>
      </c>
      <c r="D76" s="78" t="str">
        <f ca="1">_xlfn.FORMULATEXT(E76)</f>
        <v>=5,8*2+5,3*4</v>
      </c>
      <c r="E76" s="89">
        <f>5.8*2+5.3*4</f>
        <v>32.799999999999997</v>
      </c>
      <c r="F76" s="332"/>
      <c r="G76" s="312">
        <f>E76*F76</f>
        <v>0</v>
      </c>
    </row>
    <row r="77" spans="1:7" s="82" customFormat="1" x14ac:dyDescent="0.45">
      <c r="A77" s="91" t="s">
        <v>451</v>
      </c>
      <c r="B77" s="36" t="s">
        <v>243</v>
      </c>
      <c r="C77" s="38"/>
      <c r="D77" s="78"/>
      <c r="E77" s="38"/>
      <c r="F77" s="311"/>
      <c r="G77" s="312"/>
    </row>
    <row r="78" spans="1:7" s="117" customFormat="1" ht="15.75" x14ac:dyDescent="0.5">
      <c r="A78" s="91"/>
      <c r="B78" s="92" t="s">
        <v>436</v>
      </c>
      <c r="C78" s="93"/>
      <c r="D78" s="94"/>
      <c r="E78" s="93"/>
      <c r="F78" s="332"/>
      <c r="G78" s="312"/>
    </row>
    <row r="79" spans="1:7" s="117" customFormat="1" ht="15.75" x14ac:dyDescent="0.5">
      <c r="A79" s="91"/>
      <c r="B79" s="92" t="s">
        <v>245</v>
      </c>
      <c r="C79" s="93" t="s">
        <v>87</v>
      </c>
      <c r="D79" s="94" t="s">
        <v>37</v>
      </c>
      <c r="E79" s="95">
        <v>1</v>
      </c>
      <c r="F79" s="332"/>
      <c r="G79" s="312">
        <f>E79*F79</f>
        <v>0</v>
      </c>
    </row>
    <row r="80" spans="1:7" s="117" customFormat="1" ht="15.75" x14ac:dyDescent="0.5">
      <c r="A80" s="91"/>
      <c r="B80" s="118"/>
      <c r="C80" s="93" t="s">
        <v>46</v>
      </c>
      <c r="D80" s="78" t="str">
        <f ca="1">_xlfn.FORMULATEXT(E80)</f>
        <v>=2,2*2+1,6*4</v>
      </c>
      <c r="E80" s="93">
        <f>2.2*2+1.6*4</f>
        <v>10.8</v>
      </c>
      <c r="F80" s="332"/>
      <c r="G80" s="312">
        <f>E80*F80</f>
        <v>0</v>
      </c>
    </row>
    <row r="81" spans="1:7" s="82" customFormat="1" x14ac:dyDescent="0.45">
      <c r="A81" s="91" t="s">
        <v>452</v>
      </c>
      <c r="B81" s="36" t="s">
        <v>304</v>
      </c>
      <c r="C81" s="38"/>
      <c r="D81" s="78"/>
      <c r="E81" s="38"/>
      <c r="F81" s="311"/>
      <c r="G81" s="312"/>
    </row>
    <row r="82" spans="1:7" s="117" customFormat="1" ht="15.75" x14ac:dyDescent="0.5">
      <c r="A82" s="91"/>
      <c r="B82" s="92" t="s">
        <v>439</v>
      </c>
      <c r="C82" s="93"/>
      <c r="D82" s="94"/>
      <c r="E82" s="93"/>
      <c r="F82" s="332"/>
      <c r="G82" s="312"/>
    </row>
    <row r="83" spans="1:7" s="117" customFormat="1" ht="15.75" x14ac:dyDescent="0.5">
      <c r="A83" s="91"/>
      <c r="B83" s="92" t="s">
        <v>441</v>
      </c>
      <c r="C83" s="93" t="s">
        <v>87</v>
      </c>
      <c r="D83" s="94" t="s">
        <v>37</v>
      </c>
      <c r="E83" s="95">
        <v>1</v>
      </c>
      <c r="F83" s="332"/>
      <c r="G83" s="312">
        <f>E83*F83</f>
        <v>0</v>
      </c>
    </row>
    <row r="84" spans="1:7" s="117" customFormat="1" ht="15.75" x14ac:dyDescent="0.5">
      <c r="A84" s="91"/>
      <c r="B84" s="118"/>
      <c r="C84" s="93" t="s">
        <v>46</v>
      </c>
      <c r="D84" s="78" t="str">
        <f ca="1">_xlfn.FORMULATEXT(E84)</f>
        <v>=5,8*2+5,3*4</v>
      </c>
      <c r="E84" s="89">
        <f>5.8*2+5.3*4</f>
        <v>32.799999999999997</v>
      </c>
      <c r="F84" s="332"/>
      <c r="G84" s="312">
        <f>E84*F84</f>
        <v>0</v>
      </c>
    </row>
    <row r="85" spans="1:7" s="50" customFormat="1" ht="15.75" x14ac:dyDescent="0.5">
      <c r="A85" s="88" t="s">
        <v>453</v>
      </c>
      <c r="B85" s="70" t="s">
        <v>305</v>
      </c>
      <c r="C85" s="89"/>
      <c r="D85" s="90"/>
      <c r="E85" s="89"/>
      <c r="F85" s="331"/>
      <c r="G85" s="330"/>
    </row>
    <row r="86" spans="1:7" s="50" customFormat="1" ht="15.75" x14ac:dyDescent="0.5">
      <c r="A86" s="88"/>
      <c r="B86" s="92" t="s">
        <v>440</v>
      </c>
      <c r="C86" s="89"/>
      <c r="D86" s="90"/>
      <c r="E86" s="89"/>
      <c r="F86" s="331"/>
      <c r="G86" s="329"/>
    </row>
    <row r="87" spans="1:7" s="50" customFormat="1" ht="15.75" x14ac:dyDescent="0.5">
      <c r="A87" s="88"/>
      <c r="B87" s="70" t="s">
        <v>244</v>
      </c>
      <c r="C87" s="89" t="s">
        <v>87</v>
      </c>
      <c r="D87" s="90" t="s">
        <v>37</v>
      </c>
      <c r="E87" s="111">
        <v>1</v>
      </c>
      <c r="F87" s="331"/>
      <c r="G87" s="329">
        <f>E87*F87</f>
        <v>0</v>
      </c>
    </row>
    <row r="88" spans="1:7" s="50" customFormat="1" ht="15.75" x14ac:dyDescent="0.5">
      <c r="A88" s="88"/>
      <c r="B88" s="119"/>
      <c r="C88" s="89" t="s">
        <v>46</v>
      </c>
      <c r="D88" s="78" t="str">
        <f ca="1">_xlfn.FORMULATEXT(E88)</f>
        <v>=2,2*2+1,6*4</v>
      </c>
      <c r="E88" s="93">
        <f>2.2*2+1.6*4</f>
        <v>10.8</v>
      </c>
      <c r="F88" s="331"/>
      <c r="G88" s="329">
        <f>E88*F88</f>
        <v>0</v>
      </c>
    </row>
    <row r="89" spans="1:7" s="50" customFormat="1" ht="15.75" x14ac:dyDescent="0.5">
      <c r="A89" s="88" t="s">
        <v>454</v>
      </c>
      <c r="B89" s="70" t="s">
        <v>442</v>
      </c>
      <c r="C89" s="89"/>
      <c r="D89" s="90"/>
      <c r="E89" s="89"/>
      <c r="F89" s="331"/>
      <c r="G89" s="330"/>
    </row>
    <row r="90" spans="1:7" s="50" customFormat="1" ht="15.75" x14ac:dyDescent="0.5">
      <c r="A90" s="88"/>
      <c r="B90" s="70" t="s">
        <v>443</v>
      </c>
      <c r="C90" s="89"/>
      <c r="D90" s="90"/>
      <c r="E90" s="89"/>
      <c r="F90" s="331"/>
      <c r="G90" s="329"/>
    </row>
    <row r="91" spans="1:7" s="50" customFormat="1" ht="15.75" x14ac:dyDescent="0.5">
      <c r="A91" s="88"/>
      <c r="B91" s="70" t="s">
        <v>212</v>
      </c>
      <c r="C91" s="89" t="s">
        <v>87</v>
      </c>
      <c r="D91" s="90" t="s">
        <v>37</v>
      </c>
      <c r="E91" s="111">
        <v>1</v>
      </c>
      <c r="F91" s="331"/>
      <c r="G91" s="329">
        <f>E91*F91</f>
        <v>0</v>
      </c>
    </row>
    <row r="92" spans="1:7" s="50" customFormat="1" ht="15.75" x14ac:dyDescent="0.5">
      <c r="A92" s="88"/>
      <c r="B92" s="119"/>
      <c r="C92" s="89" t="s">
        <v>46</v>
      </c>
      <c r="D92" s="78" t="str">
        <f ca="1">_xlfn.FORMULATEXT(E92)</f>
        <v>=19,1+0,2*4</v>
      </c>
      <c r="E92" s="89">
        <f>19.1+0.2*4</f>
        <v>19.900000000000002</v>
      </c>
      <c r="F92" s="331"/>
      <c r="G92" s="329">
        <f>E92*F92</f>
        <v>0</v>
      </c>
    </row>
    <row r="93" spans="1:7" s="117" customFormat="1" ht="15.75" x14ac:dyDescent="0.5">
      <c r="A93" s="184" t="s">
        <v>507</v>
      </c>
      <c r="B93" s="286" t="s">
        <v>508</v>
      </c>
      <c r="C93" s="287"/>
      <c r="D93" s="288"/>
      <c r="E93" s="287"/>
      <c r="F93" s="347"/>
      <c r="G93" s="348"/>
    </row>
    <row r="94" spans="1:7" s="117" customFormat="1" ht="15.75" x14ac:dyDescent="0.5">
      <c r="A94" s="184"/>
      <c r="B94" s="286" t="s">
        <v>509</v>
      </c>
      <c r="C94" s="287"/>
      <c r="D94" s="288"/>
      <c r="E94" s="287"/>
      <c r="F94" s="347"/>
      <c r="G94" s="349"/>
    </row>
    <row r="95" spans="1:7" s="117" customFormat="1" ht="15.75" x14ac:dyDescent="0.5">
      <c r="A95" s="184"/>
      <c r="B95" s="286" t="s">
        <v>244</v>
      </c>
      <c r="C95" s="287" t="s">
        <v>87</v>
      </c>
      <c r="D95" s="288" t="s">
        <v>37</v>
      </c>
      <c r="E95" s="289">
        <v>1</v>
      </c>
      <c r="F95" s="347"/>
      <c r="G95" s="349">
        <f>E95*F95</f>
        <v>0</v>
      </c>
    </row>
    <row r="96" spans="1:7" s="117" customFormat="1" ht="15.75" x14ac:dyDescent="0.5">
      <c r="A96" s="184"/>
      <c r="C96" s="287" t="s">
        <v>46</v>
      </c>
      <c r="D96" s="183" t="str">
        <f ca="1">_xlfn.FORMULATEXT(E96)</f>
        <v>=2,4*4</v>
      </c>
      <c r="E96" s="287">
        <f>2.4*4</f>
        <v>9.6</v>
      </c>
      <c r="F96" s="347"/>
      <c r="G96" s="349">
        <f>E96*F96</f>
        <v>0</v>
      </c>
    </row>
    <row r="97" spans="1:7" s="117" customFormat="1" ht="15.75" x14ac:dyDescent="0.5">
      <c r="A97" s="184"/>
      <c r="C97" s="287"/>
      <c r="D97" s="183"/>
      <c r="E97" s="287"/>
      <c r="F97" s="347"/>
      <c r="G97" s="349"/>
    </row>
    <row r="98" spans="1:7" s="82" customFormat="1" ht="47.65" customHeight="1" x14ac:dyDescent="0.45">
      <c r="A98" s="291" t="s">
        <v>54</v>
      </c>
      <c r="B98" s="292" t="s">
        <v>506</v>
      </c>
      <c r="C98" s="182" t="s">
        <v>45</v>
      </c>
      <c r="D98" s="183" t="s">
        <v>37</v>
      </c>
      <c r="E98" s="182">
        <f>0.5*1.8*4</f>
        <v>3.6</v>
      </c>
      <c r="F98" s="350"/>
      <c r="G98" s="349">
        <f>E98*F98</f>
        <v>0</v>
      </c>
    </row>
    <row r="99" spans="1:7" s="120" customFormat="1" ht="15.75" x14ac:dyDescent="0.5">
      <c r="A99" s="88"/>
      <c r="B99" s="70"/>
      <c r="C99" s="89"/>
      <c r="D99" s="90"/>
      <c r="E99" s="89"/>
      <c r="F99" s="331"/>
      <c r="G99" s="330"/>
    </row>
    <row r="100" spans="1:7" s="82" customFormat="1" ht="28.5" x14ac:dyDescent="0.45">
      <c r="A100" s="291" t="s">
        <v>455</v>
      </c>
      <c r="B100" s="292" t="s">
        <v>71</v>
      </c>
      <c r="C100" s="182" t="s">
        <v>68</v>
      </c>
      <c r="D100" s="183" t="s">
        <v>37</v>
      </c>
      <c r="E100" s="182">
        <v>150</v>
      </c>
      <c r="F100" s="350"/>
      <c r="G100" s="349">
        <f>E100*F100</f>
        <v>0</v>
      </c>
    </row>
    <row r="101" spans="1:7" s="87" customFormat="1" x14ac:dyDescent="0.45">
      <c r="A101" s="291"/>
      <c r="B101" s="292"/>
      <c r="C101" s="182"/>
      <c r="D101" s="183"/>
      <c r="E101" s="182"/>
      <c r="F101" s="350"/>
      <c r="G101" s="349"/>
    </row>
    <row r="102" spans="1:7" s="82" customFormat="1" ht="57" x14ac:dyDescent="0.45">
      <c r="A102" s="291" t="s">
        <v>477</v>
      </c>
      <c r="B102" s="292" t="s">
        <v>343</v>
      </c>
      <c r="C102" s="182" t="s">
        <v>48</v>
      </c>
      <c r="D102" s="303"/>
      <c r="E102" s="182">
        <f>14*14*0.05+1.4*10*0.1</f>
        <v>11.200000000000001</v>
      </c>
      <c r="F102" s="350"/>
      <c r="G102" s="349">
        <f>E102*F102</f>
        <v>0</v>
      </c>
    </row>
    <row r="103" spans="1:7" s="87" customFormat="1" x14ac:dyDescent="0.45">
      <c r="A103" s="121" t="s">
        <v>236</v>
      </c>
      <c r="B103" s="122" t="s">
        <v>36</v>
      </c>
      <c r="C103" s="123"/>
      <c r="D103" s="124"/>
      <c r="E103" s="123"/>
      <c r="F103" s="351"/>
      <c r="G103" s="352">
        <f>SUM(G23:G102)</f>
        <v>0</v>
      </c>
    </row>
  </sheetData>
  <sheetProtection algorithmName="SHA-512" hashValue="QBHq9RyXDJjG8G6vffOkq4/6U+jo8BC58Hc4INR0lnH72WV+WVaKSkM8KqjTmExk4sJwy7gUmKeEmMcRYWA5lg==" saltValue="SWo3bGMCSpNBRBmWhKc/Ng==" spinCount="100000" sheet="1" objects="1" scenarios="1"/>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rowBreaks count="3" manualBreakCount="3">
    <brk id="17" max="6" man="1"/>
    <brk id="28" max="6" man="1"/>
    <brk id="80"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4BE2-00E2-4EC9-B32F-09DE4F35D8CF}">
  <sheetPr>
    <pageSetUpPr fitToPage="1"/>
  </sheetPr>
  <dimension ref="A1:H92"/>
  <sheetViews>
    <sheetView view="pageBreakPreview" topLeftCell="A76"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8" ht="21" x14ac:dyDescent="0.45">
      <c r="B1" s="76" t="s">
        <v>413</v>
      </c>
    </row>
    <row r="2" spans="1:8" ht="15" customHeight="1" x14ac:dyDescent="0.45">
      <c r="A2" s="77" t="s">
        <v>80</v>
      </c>
      <c r="B2" t="s">
        <v>81</v>
      </c>
      <c r="C2" s="38"/>
      <c r="D2" s="78"/>
      <c r="E2" s="38"/>
      <c r="F2" s="311"/>
      <c r="G2" s="312"/>
    </row>
    <row r="3" spans="1:8" ht="15" customHeight="1" x14ac:dyDescent="0.45">
      <c r="A3" s="77"/>
      <c r="B3"/>
      <c r="C3" s="38"/>
      <c r="D3" s="78"/>
      <c r="E3" s="38"/>
      <c r="F3" s="311"/>
      <c r="G3" s="312"/>
    </row>
    <row r="4" spans="1:8" s="87" customFormat="1" x14ac:dyDescent="0.45">
      <c r="A4" s="125" t="s">
        <v>242</v>
      </c>
      <c r="B4" s="80" t="s">
        <v>59</v>
      </c>
      <c r="C4" s="31"/>
      <c r="D4" s="67"/>
      <c r="E4" s="31"/>
      <c r="F4" s="313"/>
      <c r="G4" s="329"/>
    </row>
    <row r="5" spans="1:8" s="82" customFormat="1" ht="185.25" x14ac:dyDescent="0.45">
      <c r="A5" s="126" t="s">
        <v>20</v>
      </c>
      <c r="B5" s="36" t="s">
        <v>285</v>
      </c>
      <c r="C5" s="38"/>
      <c r="D5" s="78"/>
      <c r="E5" s="38"/>
      <c r="F5" s="311"/>
      <c r="G5" s="312"/>
    </row>
    <row r="6" spans="1:8" s="82" customFormat="1" x14ac:dyDescent="0.45">
      <c r="A6" s="38" t="s">
        <v>41</v>
      </c>
      <c r="B6" s="127" t="s">
        <v>89</v>
      </c>
      <c r="C6" s="38" t="s">
        <v>45</v>
      </c>
      <c r="D6" s="78" t="str">
        <f ca="1">_xlfn.FORMULATEXT(E6)</f>
        <v>=19,6*12*0,1</v>
      </c>
      <c r="E6" s="38">
        <f>19.6*12*0.1</f>
        <v>23.520000000000003</v>
      </c>
      <c r="F6" s="311"/>
      <c r="G6" s="312">
        <f>E6*F6</f>
        <v>0</v>
      </c>
    </row>
    <row r="7" spans="1:8" s="82" customFormat="1" x14ac:dyDescent="0.45">
      <c r="A7" s="38" t="s">
        <v>42</v>
      </c>
      <c r="B7" s="127" t="s">
        <v>61</v>
      </c>
      <c r="C7" s="38" t="s">
        <v>46</v>
      </c>
      <c r="D7" s="78" t="str">
        <f ca="1">_xlfn.FORMULATEXT(E7)</f>
        <v>=19*0,3</v>
      </c>
      <c r="E7" s="38">
        <f>19*0.3</f>
        <v>5.7</v>
      </c>
      <c r="F7" s="311"/>
      <c r="G7" s="312">
        <f>E7*F7</f>
        <v>0</v>
      </c>
    </row>
    <row r="8" spans="1:8" s="82" customFormat="1" x14ac:dyDescent="0.45">
      <c r="A8" s="126"/>
      <c r="B8"/>
      <c r="C8" s="38"/>
      <c r="D8" s="78"/>
      <c r="E8" s="38"/>
      <c r="F8" s="311"/>
      <c r="G8" s="312"/>
    </row>
    <row r="9" spans="1:8" s="82" customFormat="1" ht="213.75" x14ac:dyDescent="0.45">
      <c r="A9" s="81" t="s">
        <v>21</v>
      </c>
      <c r="B9" s="92" t="s">
        <v>282</v>
      </c>
      <c r="C9" s="38"/>
      <c r="D9" s="78"/>
      <c r="E9" s="38"/>
      <c r="F9" s="311"/>
      <c r="G9" s="312"/>
    </row>
    <row r="10" spans="1:8" s="82" customFormat="1" ht="60.75" customHeight="1" x14ac:dyDescent="0.45">
      <c r="A10" s="81"/>
      <c r="B10"/>
      <c r="C10" s="128" t="s">
        <v>45</v>
      </c>
      <c r="D10" s="78" t="s">
        <v>339</v>
      </c>
      <c r="E10" s="94">
        <f>(19.6-2.4)*3</f>
        <v>51.600000000000009</v>
      </c>
      <c r="F10" s="353"/>
      <c r="G10" s="312">
        <f>E10*F10</f>
        <v>0</v>
      </c>
    </row>
    <row r="11" spans="1:8" s="117" customFormat="1" ht="15.75" x14ac:dyDescent="0.5">
      <c r="A11" s="91"/>
      <c r="B11" s="36" t="s">
        <v>335</v>
      </c>
      <c r="C11" s="93" t="s">
        <v>87</v>
      </c>
      <c r="D11" s="94" t="s">
        <v>37</v>
      </c>
      <c r="E11" s="95">
        <v>3</v>
      </c>
      <c r="F11" s="332"/>
      <c r="G11" s="312">
        <f>E11*F11</f>
        <v>0</v>
      </c>
    </row>
    <row r="12" spans="1:8" s="120" customFormat="1" ht="15.75" x14ac:dyDescent="0.5">
      <c r="A12" s="88"/>
      <c r="B12" s="80"/>
      <c r="C12" s="89"/>
      <c r="D12" s="90"/>
      <c r="E12" s="89"/>
      <c r="F12" s="331"/>
      <c r="G12" s="330"/>
    </row>
    <row r="13" spans="1:8" s="115" customFormat="1" x14ac:dyDescent="0.45">
      <c r="A13" s="91" t="s">
        <v>23</v>
      </c>
      <c r="B13" s="92" t="s">
        <v>257</v>
      </c>
      <c r="C13" s="129"/>
      <c r="D13" s="94"/>
      <c r="E13" s="93"/>
      <c r="F13" s="332"/>
      <c r="G13" s="320"/>
      <c r="H13" s="114"/>
    </row>
    <row r="14" spans="1:8" s="115" customFormat="1" ht="79.5" customHeight="1" x14ac:dyDescent="0.45">
      <c r="A14" s="91"/>
      <c r="B14" s="130" t="s">
        <v>258</v>
      </c>
      <c r="C14" s="131"/>
      <c r="D14" s="94"/>
      <c r="E14" s="94"/>
      <c r="F14" s="353"/>
      <c r="G14" s="354"/>
      <c r="H14" s="114"/>
    </row>
    <row r="15" spans="1:8" s="115" customFormat="1" ht="156.75" x14ac:dyDescent="0.45">
      <c r="A15" s="131"/>
      <c r="B15" s="130" t="s">
        <v>511</v>
      </c>
      <c r="C15" s="131"/>
      <c r="D15" s="94"/>
      <c r="E15" s="94"/>
      <c r="F15" s="353"/>
      <c r="G15" s="354"/>
      <c r="H15" s="114"/>
    </row>
    <row r="16" spans="1:8" s="115" customFormat="1" ht="57" x14ac:dyDescent="0.45">
      <c r="A16" s="131"/>
      <c r="B16" s="130" t="s">
        <v>300</v>
      </c>
      <c r="C16" s="131"/>
      <c r="D16" s="94"/>
      <c r="E16" s="94"/>
      <c r="F16" s="353"/>
      <c r="G16" s="354"/>
      <c r="H16" s="114"/>
    </row>
    <row r="17" spans="1:7" s="50" customFormat="1" ht="43.15" x14ac:dyDescent="0.5">
      <c r="A17" s="88" t="s">
        <v>466</v>
      </c>
      <c r="B17" s="70" t="s">
        <v>423</v>
      </c>
      <c r="C17" s="266" t="s">
        <v>45</v>
      </c>
      <c r="D17" s="262" t="str">
        <f ca="1">_xlfn.FORMULATEXT(E17)</f>
        <v>=19,6*7,6-4*1,2*1,8*2+4*1,6*1,8</v>
      </c>
      <c r="E17" s="266">
        <f>19.6*7.6-4*1.2*1.8*2+4*1.6*1.8</f>
        <v>143.20000000000002</v>
      </c>
      <c r="F17" s="341"/>
      <c r="G17" s="342">
        <f t="shared" ref="G17:G28" si="0">E17*F17</f>
        <v>0</v>
      </c>
    </row>
    <row r="18" spans="1:7" s="50" customFormat="1" ht="15.75" x14ac:dyDescent="0.5">
      <c r="A18" s="88" t="s">
        <v>467</v>
      </c>
      <c r="B18" s="70" t="s">
        <v>424</v>
      </c>
      <c r="C18" s="266" t="s">
        <v>45</v>
      </c>
      <c r="D18" s="262" t="str">
        <f ca="1">_xlfn.FORMULATEXT(E18)</f>
        <v>=5*2,2*0,15</v>
      </c>
      <c r="E18" s="266">
        <f>5*2.2*0.15</f>
        <v>1.65</v>
      </c>
      <c r="F18" s="341"/>
      <c r="G18" s="342">
        <f t="shared" si="0"/>
        <v>0</v>
      </c>
    </row>
    <row r="19" spans="1:7" s="50" customFormat="1" ht="15.75" x14ac:dyDescent="0.5">
      <c r="A19" s="88"/>
      <c r="B19" s="70" t="s">
        <v>346</v>
      </c>
      <c r="C19" s="266" t="s">
        <v>87</v>
      </c>
      <c r="D19" s="262" t="s">
        <v>37</v>
      </c>
      <c r="E19" s="269">
        <v>1</v>
      </c>
      <c r="F19" s="341"/>
      <c r="G19" s="342">
        <f t="shared" si="0"/>
        <v>0</v>
      </c>
    </row>
    <row r="20" spans="1:7" s="50" customFormat="1" ht="15.75" x14ac:dyDescent="0.5">
      <c r="A20" s="88" t="s">
        <v>468</v>
      </c>
      <c r="B20" s="70" t="s">
        <v>425</v>
      </c>
      <c r="C20" s="266" t="s">
        <v>45</v>
      </c>
      <c r="D20" s="262" t="str">
        <f ca="1">_xlfn.FORMULATEXT(E20)</f>
        <v>=5*2,2*0,15</v>
      </c>
      <c r="E20" s="266">
        <f>5*2.2*0.15</f>
        <v>1.65</v>
      </c>
      <c r="F20" s="341"/>
      <c r="G20" s="342">
        <f t="shared" si="0"/>
        <v>0</v>
      </c>
    </row>
    <row r="21" spans="1:7" s="50" customFormat="1" ht="15.75" x14ac:dyDescent="0.5">
      <c r="A21" s="88" t="s">
        <v>37</v>
      </c>
      <c r="B21" s="70" t="s">
        <v>345</v>
      </c>
      <c r="C21" s="266" t="s">
        <v>87</v>
      </c>
      <c r="D21" s="262" t="s">
        <v>37</v>
      </c>
      <c r="E21" s="269">
        <v>1</v>
      </c>
      <c r="F21" s="341"/>
      <c r="G21" s="342">
        <f t="shared" si="0"/>
        <v>0</v>
      </c>
    </row>
    <row r="22" spans="1:7" s="50" customFormat="1" ht="28.9" x14ac:dyDescent="0.5">
      <c r="A22" s="88" t="s">
        <v>469</v>
      </c>
      <c r="B22" s="70" t="s">
        <v>426</v>
      </c>
      <c r="C22" s="266" t="s">
        <v>45</v>
      </c>
      <c r="D22" s="262" t="str">
        <f ca="1">_xlfn.FORMULATEXT(E22)</f>
        <v>=((1,6+1,8*2)*4+(1,2+1,8*2)*4*2)*0,2</v>
      </c>
      <c r="E22" s="266">
        <f>((1.6+1.8*2)*4+(1.2+1.8*2)*4*2)*0.2</f>
        <v>11.840000000000002</v>
      </c>
      <c r="F22" s="341"/>
      <c r="G22" s="342">
        <f t="shared" si="0"/>
        <v>0</v>
      </c>
    </row>
    <row r="23" spans="1:7" s="50" customFormat="1" ht="15.75" x14ac:dyDescent="0.5">
      <c r="A23" s="88" t="s">
        <v>470</v>
      </c>
      <c r="B23" s="70" t="s">
        <v>427</v>
      </c>
      <c r="C23" s="266" t="s">
        <v>45</v>
      </c>
      <c r="D23" s="262" t="str">
        <f ca="1">_xlfn.FORMULATEXT(E23)</f>
        <v>=19,6*0,1*1</v>
      </c>
      <c r="E23" s="266">
        <f>19.6*0.1*1</f>
        <v>1.9600000000000002</v>
      </c>
      <c r="F23" s="341"/>
      <c r="G23" s="342">
        <f t="shared" si="0"/>
        <v>0</v>
      </c>
    </row>
    <row r="24" spans="1:7" s="50" customFormat="1" ht="15.75" x14ac:dyDescent="0.5">
      <c r="A24" s="88" t="s">
        <v>37</v>
      </c>
      <c r="B24" s="70" t="s">
        <v>344</v>
      </c>
      <c r="C24" s="266" t="s">
        <v>87</v>
      </c>
      <c r="D24" s="262" t="s">
        <v>37</v>
      </c>
      <c r="E24" s="269">
        <v>1</v>
      </c>
      <c r="F24" s="341"/>
      <c r="G24" s="342">
        <f t="shared" si="0"/>
        <v>0</v>
      </c>
    </row>
    <row r="25" spans="1:7" s="50" customFormat="1" ht="15.75" x14ac:dyDescent="0.5">
      <c r="A25" s="88" t="s">
        <v>471</v>
      </c>
      <c r="B25" s="70" t="s">
        <v>428</v>
      </c>
      <c r="C25" s="266" t="s">
        <v>45</v>
      </c>
      <c r="D25" s="262" t="str">
        <f ca="1">_xlfn.FORMULATEXT(E25)</f>
        <v>=5,4*0,3*4</v>
      </c>
      <c r="E25" s="266">
        <f>5.4*0.3*4</f>
        <v>6.48</v>
      </c>
      <c r="F25" s="341"/>
      <c r="G25" s="342">
        <f t="shared" si="0"/>
        <v>0</v>
      </c>
    </row>
    <row r="26" spans="1:7" s="50" customFormat="1" ht="15.75" x14ac:dyDescent="0.5">
      <c r="A26" s="88"/>
      <c r="B26" s="70" t="s">
        <v>429</v>
      </c>
      <c r="C26" s="266" t="s">
        <v>87</v>
      </c>
      <c r="D26" s="262" t="s">
        <v>37</v>
      </c>
      <c r="E26" s="269">
        <v>1</v>
      </c>
      <c r="F26" s="341"/>
      <c r="G26" s="342">
        <f t="shared" si="0"/>
        <v>0</v>
      </c>
    </row>
    <row r="27" spans="1:7" s="82" customFormat="1" x14ac:dyDescent="0.45">
      <c r="A27" s="81" t="s">
        <v>472</v>
      </c>
      <c r="B27" s="101" t="s">
        <v>430</v>
      </c>
      <c r="C27" s="263" t="s">
        <v>45</v>
      </c>
      <c r="D27" s="262" t="str">
        <f ca="1">_xlfn.FORMULATEXT(E27)</f>
        <v>=2,3*4*0,12</v>
      </c>
      <c r="E27" s="270">
        <f>2.3*4*0.12</f>
        <v>1.1039999999999999</v>
      </c>
      <c r="F27" s="343"/>
      <c r="G27" s="344">
        <f t="shared" si="0"/>
        <v>0</v>
      </c>
    </row>
    <row r="28" spans="1:7" s="82" customFormat="1" ht="28.5" x14ac:dyDescent="0.45">
      <c r="A28" s="81" t="s">
        <v>473</v>
      </c>
      <c r="B28" s="101" t="s">
        <v>431</v>
      </c>
      <c r="C28" s="263" t="s">
        <v>45</v>
      </c>
      <c r="D28" s="262" t="str">
        <f ca="1">_xlfn.FORMULATEXT(E28)</f>
        <v>=(7,7*2+0,3*4)*1-2*1*0,6</v>
      </c>
      <c r="E28" s="270">
        <f>(7.7*2+0.3*4)*1-2*1*0.6</f>
        <v>15.400000000000002</v>
      </c>
      <c r="F28" s="343"/>
      <c r="G28" s="344">
        <f t="shared" si="0"/>
        <v>0</v>
      </c>
    </row>
    <row r="29" spans="1:7" s="50" customFormat="1" ht="15.75" x14ac:dyDescent="0.5">
      <c r="A29" s="88"/>
      <c r="B29" s="70"/>
      <c r="C29" s="266"/>
      <c r="D29" s="262"/>
      <c r="E29" s="269"/>
      <c r="F29" s="341"/>
      <c r="G29" s="342"/>
    </row>
    <row r="30" spans="1:7" s="82" customFormat="1" ht="156.75" x14ac:dyDescent="0.45">
      <c r="A30" s="126" t="s">
        <v>24</v>
      </c>
      <c r="B30" s="36" t="s">
        <v>479</v>
      </c>
      <c r="C30" s="38"/>
      <c r="D30" s="78"/>
      <c r="E30" s="38"/>
      <c r="F30" s="311"/>
      <c r="G30" s="312"/>
    </row>
    <row r="31" spans="1:7" s="82" customFormat="1" x14ac:dyDescent="0.45">
      <c r="A31" s="91" t="s">
        <v>459</v>
      </c>
      <c r="B31" s="36" t="s">
        <v>437</v>
      </c>
      <c r="C31" s="38"/>
      <c r="D31" s="78"/>
      <c r="E31" s="38"/>
      <c r="F31" s="311"/>
      <c r="G31" s="312"/>
    </row>
    <row r="32" spans="1:7" s="117" customFormat="1" ht="15.75" x14ac:dyDescent="0.5">
      <c r="A32" s="91"/>
      <c r="B32" s="92" t="s">
        <v>434</v>
      </c>
      <c r="C32" s="93"/>
      <c r="D32" s="94"/>
      <c r="E32" s="93"/>
      <c r="F32" s="332"/>
      <c r="G32" s="312"/>
    </row>
    <row r="33" spans="1:7" s="117" customFormat="1" ht="15.75" x14ac:dyDescent="0.5">
      <c r="A33" s="91"/>
      <c r="B33" s="70" t="s">
        <v>432</v>
      </c>
      <c r="C33" s="93" t="s">
        <v>87</v>
      </c>
      <c r="D33" s="94" t="s">
        <v>37</v>
      </c>
      <c r="E33" s="95">
        <v>1</v>
      </c>
      <c r="F33" s="332"/>
      <c r="G33" s="312">
        <f>E33*F33</f>
        <v>0</v>
      </c>
    </row>
    <row r="34" spans="1:7" s="117" customFormat="1" ht="15.75" x14ac:dyDescent="0.5">
      <c r="A34" s="91"/>
      <c r="B34" s="118"/>
      <c r="C34" s="93" t="s">
        <v>46</v>
      </c>
      <c r="D34" s="78" t="str">
        <f ca="1">_xlfn.FORMULATEXT(E34)</f>
        <v>=19,1+0,2*4</v>
      </c>
      <c r="E34" s="89">
        <f>19.1+0.2*4</f>
        <v>19.900000000000002</v>
      </c>
      <c r="F34" s="332"/>
      <c r="G34" s="312">
        <f>E34*F34</f>
        <v>0</v>
      </c>
    </row>
    <row r="35" spans="1:7" s="82" customFormat="1" x14ac:dyDescent="0.45">
      <c r="A35" s="91" t="s">
        <v>460</v>
      </c>
      <c r="B35" s="36" t="s">
        <v>438</v>
      </c>
      <c r="C35" s="38"/>
      <c r="D35" s="78"/>
      <c r="E35" s="38"/>
      <c r="F35" s="311"/>
      <c r="G35" s="312"/>
    </row>
    <row r="36" spans="1:7" s="117" customFormat="1" ht="15.75" x14ac:dyDescent="0.5">
      <c r="A36" s="91"/>
      <c r="B36" s="92" t="s">
        <v>435</v>
      </c>
      <c r="C36" s="93"/>
      <c r="D36" s="94"/>
      <c r="E36" s="93"/>
      <c r="F36" s="332"/>
      <c r="G36" s="312"/>
    </row>
    <row r="37" spans="1:7" s="117" customFormat="1" ht="15.75" x14ac:dyDescent="0.5">
      <c r="A37" s="91"/>
      <c r="B37" s="70" t="s">
        <v>432</v>
      </c>
      <c r="C37" s="93" t="s">
        <v>87</v>
      </c>
      <c r="D37" s="94" t="s">
        <v>37</v>
      </c>
      <c r="E37" s="95">
        <v>1</v>
      </c>
      <c r="F37" s="332"/>
      <c r="G37" s="312">
        <f>E37*F37</f>
        <v>0</v>
      </c>
    </row>
    <row r="38" spans="1:7" s="117" customFormat="1" ht="15.75" x14ac:dyDescent="0.5">
      <c r="A38" s="91"/>
      <c r="B38" s="118"/>
      <c r="C38" s="93" t="s">
        <v>46</v>
      </c>
      <c r="D38" s="78" t="str">
        <f ca="1">_xlfn.FORMULATEXT(E38)</f>
        <v>=19,1+0,2*4</v>
      </c>
      <c r="E38" s="89">
        <f>19.1+0.2*4</f>
        <v>19.900000000000002</v>
      </c>
      <c r="F38" s="332"/>
      <c r="G38" s="312">
        <f>E38*F38</f>
        <v>0</v>
      </c>
    </row>
    <row r="39" spans="1:7" s="82" customFormat="1" x14ac:dyDescent="0.45">
      <c r="A39" s="91" t="s">
        <v>461</v>
      </c>
      <c r="B39" s="36" t="s">
        <v>303</v>
      </c>
      <c r="C39" s="38"/>
      <c r="D39" s="78"/>
      <c r="E39" s="38"/>
      <c r="F39" s="311"/>
      <c r="G39" s="312"/>
    </row>
    <row r="40" spans="1:7" s="117" customFormat="1" ht="15.75" x14ac:dyDescent="0.5">
      <c r="A40" s="91"/>
      <c r="B40" s="92" t="s">
        <v>433</v>
      </c>
      <c r="C40" s="93"/>
      <c r="D40" s="94"/>
      <c r="E40" s="93"/>
      <c r="F40" s="332"/>
      <c r="G40" s="312"/>
    </row>
    <row r="41" spans="1:7" s="117" customFormat="1" ht="15.75" x14ac:dyDescent="0.5">
      <c r="A41" s="91"/>
      <c r="B41" s="70" t="s">
        <v>212</v>
      </c>
      <c r="C41" s="93" t="s">
        <v>87</v>
      </c>
      <c r="D41" s="94" t="s">
        <v>37</v>
      </c>
      <c r="E41" s="95">
        <v>1</v>
      </c>
      <c r="F41" s="332"/>
      <c r="G41" s="312">
        <f>E41*F41</f>
        <v>0</v>
      </c>
    </row>
    <row r="42" spans="1:7" s="117" customFormat="1" ht="15.75" x14ac:dyDescent="0.5">
      <c r="A42" s="91"/>
      <c r="B42" s="118"/>
      <c r="C42" s="93" t="s">
        <v>46</v>
      </c>
      <c r="D42" s="78" t="str">
        <f ca="1">_xlfn.FORMULATEXT(E42)</f>
        <v>=5,8*2+5,3*4</v>
      </c>
      <c r="E42" s="89">
        <f>5.8*2+5.3*4</f>
        <v>32.799999999999997</v>
      </c>
      <c r="F42" s="332"/>
      <c r="G42" s="312">
        <f>E42*F42</f>
        <v>0</v>
      </c>
    </row>
    <row r="43" spans="1:7" s="82" customFormat="1" x14ac:dyDescent="0.45">
      <c r="A43" s="91" t="s">
        <v>462</v>
      </c>
      <c r="B43" s="36" t="s">
        <v>243</v>
      </c>
      <c r="C43" s="38"/>
      <c r="D43" s="78"/>
      <c r="E43" s="38"/>
      <c r="F43" s="311"/>
      <c r="G43" s="312"/>
    </row>
    <row r="44" spans="1:7" s="117" customFormat="1" ht="15.75" x14ac:dyDescent="0.5">
      <c r="A44" s="91"/>
      <c r="B44" s="92" t="s">
        <v>436</v>
      </c>
      <c r="C44" s="93"/>
      <c r="D44" s="94"/>
      <c r="E44" s="93"/>
      <c r="F44" s="332"/>
      <c r="G44" s="312"/>
    </row>
    <row r="45" spans="1:7" s="117" customFormat="1" ht="15.75" x14ac:dyDescent="0.5">
      <c r="A45" s="91"/>
      <c r="B45" s="92" t="s">
        <v>245</v>
      </c>
      <c r="C45" s="93" t="s">
        <v>87</v>
      </c>
      <c r="D45" s="94" t="s">
        <v>37</v>
      </c>
      <c r="E45" s="95">
        <v>1</v>
      </c>
      <c r="F45" s="332"/>
      <c r="G45" s="312">
        <f>E45*F45</f>
        <v>0</v>
      </c>
    </row>
    <row r="46" spans="1:7" s="117" customFormat="1" ht="15.75" x14ac:dyDescent="0.5">
      <c r="A46" s="91"/>
      <c r="B46" s="118"/>
      <c r="C46" s="93" t="s">
        <v>46</v>
      </c>
      <c r="D46" s="78" t="str">
        <f ca="1">_xlfn.FORMULATEXT(E46)</f>
        <v>=2,2*2+1,6*4</v>
      </c>
      <c r="E46" s="93">
        <f>2.2*2+1.6*4</f>
        <v>10.8</v>
      </c>
      <c r="F46" s="332"/>
      <c r="G46" s="312">
        <f>E46*F46</f>
        <v>0</v>
      </c>
    </row>
    <row r="47" spans="1:7" s="82" customFormat="1" x14ac:dyDescent="0.45">
      <c r="A47" s="91" t="s">
        <v>463</v>
      </c>
      <c r="B47" s="36" t="s">
        <v>304</v>
      </c>
      <c r="C47" s="38"/>
      <c r="D47" s="78"/>
      <c r="E47" s="38"/>
      <c r="F47" s="311"/>
      <c r="G47" s="312"/>
    </row>
    <row r="48" spans="1:7" s="117" customFormat="1" ht="15.75" x14ac:dyDescent="0.5">
      <c r="A48" s="91"/>
      <c r="B48" s="92" t="s">
        <v>439</v>
      </c>
      <c r="C48" s="93"/>
      <c r="D48" s="94"/>
      <c r="E48" s="93"/>
      <c r="F48" s="332"/>
      <c r="G48" s="312"/>
    </row>
    <row r="49" spans="1:7" s="117" customFormat="1" ht="15.75" x14ac:dyDescent="0.5">
      <c r="A49" s="91"/>
      <c r="B49" s="92" t="s">
        <v>441</v>
      </c>
      <c r="C49" s="93" t="s">
        <v>87</v>
      </c>
      <c r="D49" s="94" t="s">
        <v>37</v>
      </c>
      <c r="E49" s="95">
        <v>1</v>
      </c>
      <c r="F49" s="332"/>
      <c r="G49" s="312">
        <f>E49*F49</f>
        <v>0</v>
      </c>
    </row>
    <row r="50" spans="1:7" s="117" customFormat="1" ht="15.75" x14ac:dyDescent="0.5">
      <c r="A50" s="91"/>
      <c r="B50" s="118"/>
      <c r="C50" s="93" t="s">
        <v>46</v>
      </c>
      <c r="D50" s="78" t="str">
        <f ca="1">_xlfn.FORMULATEXT(E50)</f>
        <v>=5,8*2+5,3*4</v>
      </c>
      <c r="E50" s="89">
        <f>5.8*2+5.3*4</f>
        <v>32.799999999999997</v>
      </c>
      <c r="F50" s="332"/>
      <c r="G50" s="312">
        <f>E50*F50</f>
        <v>0</v>
      </c>
    </row>
    <row r="51" spans="1:7" s="50" customFormat="1" ht="15.75" x14ac:dyDescent="0.5">
      <c r="A51" s="88" t="s">
        <v>464</v>
      </c>
      <c r="B51" s="70" t="s">
        <v>305</v>
      </c>
      <c r="C51" s="89"/>
      <c r="D51" s="90"/>
      <c r="E51" s="89"/>
      <c r="F51" s="331"/>
      <c r="G51" s="330"/>
    </row>
    <row r="52" spans="1:7" s="50" customFormat="1" ht="15.75" x14ac:dyDescent="0.5">
      <c r="A52" s="88"/>
      <c r="B52" s="92" t="s">
        <v>440</v>
      </c>
      <c r="C52" s="89"/>
      <c r="D52" s="90"/>
      <c r="E52" s="89"/>
      <c r="F52" s="331"/>
      <c r="G52" s="329"/>
    </row>
    <row r="53" spans="1:7" s="50" customFormat="1" ht="15.75" x14ac:dyDescent="0.5">
      <c r="A53" s="88"/>
      <c r="B53" s="70" t="s">
        <v>244</v>
      </c>
      <c r="C53" s="89" t="s">
        <v>87</v>
      </c>
      <c r="D53" s="90" t="s">
        <v>37</v>
      </c>
      <c r="E53" s="111">
        <v>1</v>
      </c>
      <c r="F53" s="331"/>
      <c r="G53" s="329">
        <f>E53*F53</f>
        <v>0</v>
      </c>
    </row>
    <row r="54" spans="1:7" s="50" customFormat="1" ht="15.75" x14ac:dyDescent="0.5">
      <c r="A54" s="88"/>
      <c r="B54" s="119"/>
      <c r="C54" s="89" t="s">
        <v>46</v>
      </c>
      <c r="D54" s="78" t="str">
        <f ca="1">_xlfn.FORMULATEXT(E54)</f>
        <v>=2,2*2+1,6*4</v>
      </c>
      <c r="E54" s="93">
        <f>2.2*2+1.6*4</f>
        <v>10.8</v>
      </c>
      <c r="F54" s="331"/>
      <c r="G54" s="329">
        <f>E54*F54</f>
        <v>0</v>
      </c>
    </row>
    <row r="55" spans="1:7" s="50" customFormat="1" ht="15.75" x14ac:dyDescent="0.5">
      <c r="A55" s="88" t="s">
        <v>465</v>
      </c>
      <c r="B55" s="70" t="s">
        <v>442</v>
      </c>
      <c r="C55" s="89"/>
      <c r="D55" s="90"/>
      <c r="E55" s="89"/>
      <c r="F55" s="331"/>
      <c r="G55" s="330"/>
    </row>
    <row r="56" spans="1:7" s="50" customFormat="1" ht="15.75" x14ac:dyDescent="0.5">
      <c r="A56" s="88"/>
      <c r="B56" s="70" t="s">
        <v>443</v>
      </c>
      <c r="C56" s="89"/>
      <c r="D56" s="90"/>
      <c r="E56" s="89"/>
      <c r="F56" s="331"/>
      <c r="G56" s="329"/>
    </row>
    <row r="57" spans="1:7" s="50" customFormat="1" ht="15.75" x14ac:dyDescent="0.5">
      <c r="A57" s="88"/>
      <c r="B57" s="70" t="s">
        <v>212</v>
      </c>
      <c r="C57" s="89" t="s">
        <v>87</v>
      </c>
      <c r="D57" s="90" t="s">
        <v>37</v>
      </c>
      <c r="E57" s="111">
        <v>1</v>
      </c>
      <c r="F57" s="331"/>
      <c r="G57" s="329">
        <f>E57*F57</f>
        <v>0</v>
      </c>
    </row>
    <row r="58" spans="1:7" s="50" customFormat="1" ht="15.75" x14ac:dyDescent="0.5">
      <c r="A58" s="88"/>
      <c r="B58" s="119"/>
      <c r="C58" s="89" t="s">
        <v>46</v>
      </c>
      <c r="D58" s="78" t="str">
        <f ca="1">_xlfn.FORMULATEXT(E58)</f>
        <v>=19,1+0,2*4</v>
      </c>
      <c r="E58" s="89">
        <f>19.1+0.2*4</f>
        <v>19.900000000000002</v>
      </c>
      <c r="F58" s="331"/>
      <c r="G58" s="329">
        <f>E58*F58</f>
        <v>0</v>
      </c>
    </row>
    <row r="59" spans="1:7" s="50" customFormat="1" ht="15.75" x14ac:dyDescent="0.5">
      <c r="A59" s="184" t="s">
        <v>510</v>
      </c>
      <c r="B59" s="286" t="s">
        <v>508</v>
      </c>
      <c r="C59" s="287"/>
      <c r="D59" s="288"/>
      <c r="E59" s="287"/>
      <c r="F59" s="347"/>
      <c r="G59" s="348"/>
    </row>
    <row r="60" spans="1:7" s="50" customFormat="1" ht="15.75" x14ac:dyDescent="0.5">
      <c r="A60" s="184"/>
      <c r="B60" s="286" t="s">
        <v>509</v>
      </c>
      <c r="C60" s="287"/>
      <c r="D60" s="288"/>
      <c r="E60" s="287"/>
      <c r="F60" s="347"/>
      <c r="G60" s="349"/>
    </row>
    <row r="61" spans="1:7" s="50" customFormat="1" ht="15.75" x14ac:dyDescent="0.5">
      <c r="A61" s="184"/>
      <c r="B61" s="286" t="s">
        <v>244</v>
      </c>
      <c r="C61" s="287" t="s">
        <v>87</v>
      </c>
      <c r="D61" s="288" t="s">
        <v>37</v>
      </c>
      <c r="E61" s="289">
        <v>1</v>
      </c>
      <c r="F61" s="347"/>
      <c r="G61" s="349">
        <f>E61*F61</f>
        <v>0</v>
      </c>
    </row>
    <row r="62" spans="1:7" s="50" customFormat="1" ht="15.75" x14ac:dyDescent="0.5">
      <c r="A62" s="184"/>
      <c r="B62" s="117"/>
      <c r="C62" s="287" t="s">
        <v>46</v>
      </c>
      <c r="D62" s="183" t="str">
        <f ca="1">_xlfn.FORMULATEXT(E62)</f>
        <v>=2,4*4</v>
      </c>
      <c r="E62" s="287">
        <f>2.4*4</f>
        <v>9.6</v>
      </c>
      <c r="F62" s="347"/>
      <c r="G62" s="349">
        <f>E62*F62</f>
        <v>0</v>
      </c>
    </row>
    <row r="63" spans="1:7" s="50" customFormat="1" ht="57" x14ac:dyDescent="0.5">
      <c r="A63" s="184" t="s">
        <v>25</v>
      </c>
      <c r="B63" s="181" t="s">
        <v>500</v>
      </c>
      <c r="C63" s="290"/>
      <c r="D63" s="183"/>
      <c r="E63" s="290"/>
      <c r="F63" s="355"/>
      <c r="G63" s="356"/>
    </row>
    <row r="64" spans="1:7" s="87" customFormat="1" x14ac:dyDescent="0.45">
      <c r="A64" s="291" t="s">
        <v>498</v>
      </c>
      <c r="B64" s="292" t="s">
        <v>444</v>
      </c>
      <c r="C64" s="237" t="s">
        <v>45</v>
      </c>
      <c r="D64" s="236" t="str">
        <f ca="1">_xlfn.FORMULATEXT(E64)</f>
        <v>=3,6*4-2,5*2,7</v>
      </c>
      <c r="E64" s="293">
        <f>3.6*4-2.5*2.7</f>
        <v>7.65</v>
      </c>
      <c r="F64" s="357"/>
      <c r="G64" s="358">
        <f t="shared" ref="G64:G69" si="1">E64*F64</f>
        <v>0</v>
      </c>
    </row>
    <row r="65" spans="1:7" s="87" customFormat="1" x14ac:dyDescent="0.45">
      <c r="A65" s="291" t="s">
        <v>499</v>
      </c>
      <c r="B65" s="292" t="s">
        <v>457</v>
      </c>
      <c r="C65" s="237" t="s">
        <v>45</v>
      </c>
      <c r="D65" s="236" t="str">
        <f ca="1">_xlfn.FORMULATEXT(E65)</f>
        <v>=9,7*0,7*2</v>
      </c>
      <c r="E65" s="293">
        <f>9.7*0.7*2</f>
        <v>13.579999999999998</v>
      </c>
      <c r="F65" s="357"/>
      <c r="G65" s="358">
        <f t="shared" si="1"/>
        <v>0</v>
      </c>
    </row>
    <row r="66" spans="1:7" s="272" customFormat="1" ht="15.75" x14ac:dyDescent="0.5">
      <c r="A66" s="184" t="s">
        <v>37</v>
      </c>
      <c r="B66" s="286" t="s">
        <v>474</v>
      </c>
      <c r="C66" s="294" t="s">
        <v>87</v>
      </c>
      <c r="D66" s="236" t="s">
        <v>37</v>
      </c>
      <c r="E66" s="295">
        <v>1</v>
      </c>
      <c r="F66" s="359"/>
      <c r="G66" s="358">
        <f t="shared" si="1"/>
        <v>0</v>
      </c>
    </row>
    <row r="67" spans="1:7" s="82" customFormat="1" ht="28.5" x14ac:dyDescent="0.45">
      <c r="A67" s="291" t="s">
        <v>512</v>
      </c>
      <c r="B67" s="292" t="s">
        <v>513</v>
      </c>
      <c r="C67" s="237" t="s">
        <v>45</v>
      </c>
      <c r="D67" s="236" t="str">
        <f ca="1">_xlfn.FORMULATEXT(E67)</f>
        <v>=(7,7*2+0,3*4)*1-2*1*0,6</v>
      </c>
      <c r="E67" s="293">
        <f>(7.7*2+0.3*4)*1-2*1*0.6</f>
        <v>15.400000000000002</v>
      </c>
      <c r="F67" s="357"/>
      <c r="G67" s="358">
        <f t="shared" si="1"/>
        <v>0</v>
      </c>
    </row>
    <row r="68" spans="1:7" s="82" customFormat="1" x14ac:dyDescent="0.45">
      <c r="A68" s="291" t="s">
        <v>515</v>
      </c>
      <c r="B68" s="292" t="s">
        <v>514</v>
      </c>
      <c r="C68" s="237" t="s">
        <v>46</v>
      </c>
      <c r="D68" s="236" t="str">
        <f ca="1">_xlfn.FORMULATEXT(E68)</f>
        <v>=(1*2+0,6*2)*2</v>
      </c>
      <c r="E68" s="293">
        <f>(1*2+0.6*2)*2</f>
        <v>6.4</v>
      </c>
      <c r="F68" s="357"/>
      <c r="G68" s="358">
        <f t="shared" si="1"/>
        <v>0</v>
      </c>
    </row>
    <row r="69" spans="1:7" s="82" customFormat="1" x14ac:dyDescent="0.45">
      <c r="A69" s="291" t="s">
        <v>516</v>
      </c>
      <c r="B69" s="292" t="s">
        <v>517</v>
      </c>
      <c r="C69" s="237" t="s">
        <v>46</v>
      </c>
      <c r="D69" s="236" t="str">
        <f ca="1">_xlfn.FORMULATEXT(E69)</f>
        <v>=6*1+8+8</v>
      </c>
      <c r="E69" s="293">
        <f>6*1+8+8</f>
        <v>22</v>
      </c>
      <c r="F69" s="357"/>
      <c r="G69" s="358">
        <f t="shared" si="1"/>
        <v>0</v>
      </c>
    </row>
    <row r="70" spans="1:7" s="82" customFormat="1" x14ac:dyDescent="0.45">
      <c r="A70" s="291"/>
      <c r="B70" s="292"/>
      <c r="C70" s="237"/>
      <c r="D70" s="236"/>
      <c r="E70" s="293"/>
      <c r="F70" s="357"/>
      <c r="G70" s="358"/>
    </row>
    <row r="71" spans="1:7" s="82" customFormat="1" ht="94.5" customHeight="1" x14ac:dyDescent="0.45">
      <c r="A71" s="296" t="s">
        <v>26</v>
      </c>
      <c r="B71" s="181" t="s">
        <v>286</v>
      </c>
      <c r="C71" s="182"/>
      <c r="D71" s="183"/>
      <c r="E71" s="182"/>
      <c r="F71" s="350"/>
      <c r="G71" s="349"/>
    </row>
    <row r="72" spans="1:7" s="82" customFormat="1" x14ac:dyDescent="0.45">
      <c r="A72" s="296"/>
      <c r="C72" s="182" t="s">
        <v>45</v>
      </c>
      <c r="D72" s="183" t="str">
        <f ca="1">_xlfn.FORMULATEXT(E72)</f>
        <v>=19*12*0,1</v>
      </c>
      <c r="E72" s="182">
        <f>19*12*0.1</f>
        <v>22.8</v>
      </c>
      <c r="F72" s="350"/>
      <c r="G72" s="349">
        <f>E72*F72</f>
        <v>0</v>
      </c>
    </row>
    <row r="73" spans="1:7" s="82" customFormat="1" x14ac:dyDescent="0.45">
      <c r="A73" s="296"/>
      <c r="B73" s="181"/>
      <c r="C73" s="182"/>
      <c r="D73" s="183"/>
      <c r="E73" s="182"/>
      <c r="F73" s="350"/>
      <c r="G73" s="349"/>
    </row>
    <row r="74" spans="1:7" s="133" customFormat="1" ht="57" x14ac:dyDescent="0.5">
      <c r="A74" s="296" t="s">
        <v>31</v>
      </c>
      <c r="B74" s="196" t="s">
        <v>203</v>
      </c>
      <c r="C74" s="297"/>
      <c r="D74" s="297"/>
      <c r="E74" s="297"/>
      <c r="F74" s="360"/>
      <c r="G74" s="361"/>
    </row>
    <row r="75" spans="1:7" s="133" customFormat="1" ht="17.649999999999999" x14ac:dyDescent="0.5">
      <c r="A75" s="273"/>
      <c r="B75" s="80" t="s">
        <v>278</v>
      </c>
      <c r="C75" s="31" t="s">
        <v>45</v>
      </c>
      <c r="D75" s="78" t="str">
        <f ca="1">_xlfn.FORMULATEXT(E75)</f>
        <v>=6*3*0,5</v>
      </c>
      <c r="E75" s="264">
        <f>6*3*0.5</f>
        <v>9</v>
      </c>
      <c r="F75" s="313"/>
      <c r="G75" s="329">
        <f>E75*F75</f>
        <v>0</v>
      </c>
    </row>
    <row r="76" spans="1:7" s="82" customFormat="1" ht="28.5" x14ac:dyDescent="0.45">
      <c r="A76" s="291" t="s">
        <v>33</v>
      </c>
      <c r="B76" s="286" t="s">
        <v>86</v>
      </c>
      <c r="C76" s="182" t="s">
        <v>47</v>
      </c>
      <c r="D76" s="183" t="s">
        <v>37</v>
      </c>
      <c r="E76" s="289">
        <v>3</v>
      </c>
      <c r="F76" s="350"/>
      <c r="G76" s="349">
        <f>E76*F76</f>
        <v>0</v>
      </c>
    </row>
    <row r="77" spans="1:7" s="87" customFormat="1" x14ac:dyDescent="0.45">
      <c r="A77" s="291"/>
      <c r="B77" s="286"/>
      <c r="C77" s="182"/>
      <c r="D77" s="183"/>
      <c r="E77" s="182"/>
      <c r="F77" s="350"/>
      <c r="G77" s="349"/>
    </row>
    <row r="78" spans="1:7" s="82" customFormat="1" ht="42.75" x14ac:dyDescent="0.45">
      <c r="A78" s="296" t="s">
        <v>54</v>
      </c>
      <c r="B78" s="181" t="s">
        <v>279</v>
      </c>
      <c r="C78" s="182"/>
      <c r="D78" s="183"/>
      <c r="E78" s="182"/>
      <c r="F78" s="350"/>
      <c r="G78" s="349"/>
    </row>
    <row r="79" spans="1:7" s="82" customFormat="1" x14ac:dyDescent="0.45">
      <c r="A79" s="296" t="s">
        <v>37</v>
      </c>
      <c r="B79" s="181" t="s">
        <v>60</v>
      </c>
      <c r="C79" s="182" t="s">
        <v>45</v>
      </c>
      <c r="D79" s="183" t="str">
        <f ca="1">_xlfn.FORMULATEXT(E79)</f>
        <v>=19,6*12</v>
      </c>
      <c r="E79" s="182">
        <f>19.6*12</f>
        <v>235.20000000000002</v>
      </c>
      <c r="F79" s="350"/>
      <c r="G79" s="349">
        <f>E79*F79</f>
        <v>0</v>
      </c>
    </row>
    <row r="80" spans="1:7" s="82" customFormat="1" x14ac:dyDescent="0.45">
      <c r="A80" s="296"/>
      <c r="B80" s="181"/>
      <c r="C80" s="182"/>
      <c r="D80" s="183"/>
      <c r="E80" s="182"/>
      <c r="F80" s="350"/>
      <c r="G80" s="349"/>
    </row>
    <row r="81" spans="1:8" s="82" customFormat="1" ht="114" x14ac:dyDescent="0.45">
      <c r="A81" s="296" t="s">
        <v>455</v>
      </c>
      <c r="B81" s="181" t="s">
        <v>518</v>
      </c>
      <c r="C81" s="182" t="s">
        <v>45</v>
      </c>
      <c r="D81" s="183" t="str">
        <f ca="1">_xlfn.FORMULATEXT(E81)</f>
        <v>=3*0,12+3*0,3+2,6*0,17+2,6*0,5</v>
      </c>
      <c r="E81" s="182">
        <f>3*0.12+3*0.3+2.6*0.17+2.6*0.5</f>
        <v>3.0019999999999998</v>
      </c>
      <c r="F81" s="350"/>
      <c r="G81" s="349">
        <f>E81*F81</f>
        <v>0</v>
      </c>
    </row>
    <row r="82" spans="1:8" s="82" customFormat="1" x14ac:dyDescent="0.45">
      <c r="A82" s="271"/>
      <c r="B82" s="36"/>
      <c r="C82" s="38"/>
      <c r="D82" s="78"/>
      <c r="E82" s="38"/>
      <c r="F82" s="311"/>
      <c r="G82" s="312"/>
    </row>
    <row r="84" spans="1:8" x14ac:dyDescent="0.45">
      <c r="A84" s="137" t="s">
        <v>242</v>
      </c>
      <c r="B84" s="138" t="s">
        <v>70</v>
      </c>
      <c r="C84" s="100"/>
      <c r="D84" s="139"/>
      <c r="E84" s="100"/>
      <c r="F84" s="333"/>
      <c r="G84" s="334">
        <f>SUM(G5:G82)</f>
        <v>0</v>
      </c>
    </row>
    <row r="85" spans="1:8" s="87" customFormat="1" x14ac:dyDescent="0.45">
      <c r="A85" s="75"/>
      <c r="B85" s="102"/>
      <c r="C85" s="31"/>
      <c r="D85" s="67"/>
      <c r="E85" s="31"/>
      <c r="F85" s="313"/>
      <c r="G85" s="329"/>
    </row>
    <row r="86" spans="1:8" s="82" customFormat="1" x14ac:dyDescent="0.45">
      <c r="A86" s="81" t="s">
        <v>241</v>
      </c>
      <c r="B86" s="101" t="s">
        <v>38</v>
      </c>
      <c r="C86" s="38"/>
      <c r="D86" s="78"/>
      <c r="E86" s="38"/>
      <c r="F86" s="311"/>
      <c r="G86" s="312"/>
      <c r="H86" s="140"/>
    </row>
    <row r="87" spans="1:8" s="82" customFormat="1" ht="28.5" x14ac:dyDescent="0.45">
      <c r="A87" s="81" t="s">
        <v>20</v>
      </c>
      <c r="B87" s="101" t="s">
        <v>347</v>
      </c>
      <c r="C87" s="78" t="s">
        <v>87</v>
      </c>
      <c r="D87" s="78" t="s">
        <v>37</v>
      </c>
      <c r="E87" s="95">
        <v>1</v>
      </c>
      <c r="F87" s="362"/>
      <c r="G87" s="312">
        <f>E87*F87</f>
        <v>0</v>
      </c>
    </row>
    <row r="88" spans="1:8" s="82" customFormat="1" x14ac:dyDescent="0.45">
      <c r="A88" s="81"/>
      <c r="B88" s="101"/>
      <c r="C88" s="141"/>
      <c r="D88" s="78"/>
      <c r="E88" s="95"/>
      <c r="F88" s="363"/>
      <c r="G88" s="312"/>
    </row>
    <row r="89" spans="1:8" s="82" customFormat="1" x14ac:dyDescent="0.45">
      <c r="A89" s="126" t="s">
        <v>21</v>
      </c>
      <c r="B89" s="36" t="s">
        <v>44</v>
      </c>
      <c r="C89" s="38" t="s">
        <v>87</v>
      </c>
      <c r="D89" s="78" t="s">
        <v>37</v>
      </c>
      <c r="E89" s="95">
        <v>1</v>
      </c>
      <c r="F89" s="311"/>
      <c r="G89" s="312">
        <f>E89*F89</f>
        <v>0</v>
      </c>
      <c r="H89" s="142"/>
    </row>
    <row r="90" spans="1:8" s="82" customFormat="1" x14ac:dyDescent="0.45">
      <c r="A90" s="126"/>
      <c r="B90" s="36"/>
      <c r="C90" s="38"/>
      <c r="D90" s="78"/>
      <c r="E90" s="38"/>
      <c r="F90" s="311"/>
      <c r="G90" s="312"/>
      <c r="H90" s="142"/>
    </row>
    <row r="91" spans="1:8" s="82" customFormat="1" x14ac:dyDescent="0.45">
      <c r="A91" s="137" t="s">
        <v>241</v>
      </c>
      <c r="B91" s="138" t="s">
        <v>76</v>
      </c>
      <c r="C91" s="100"/>
      <c r="D91" s="139"/>
      <c r="E91" s="100"/>
      <c r="F91" s="333"/>
      <c r="G91" s="334">
        <f>SUM(G87:G90)</f>
        <v>0</v>
      </c>
    </row>
    <row r="92" spans="1:8" s="82" customFormat="1" x14ac:dyDescent="0.45">
      <c r="A92" s="81"/>
      <c r="B92" s="101"/>
      <c r="C92" s="38"/>
      <c r="D92" s="78"/>
      <c r="E92" s="38"/>
      <c r="F92" s="311"/>
      <c r="G92" s="312"/>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rowBreaks count="3" manualBreakCount="3">
    <brk id="12" max="6" man="1"/>
    <brk id="30" max="6" man="1"/>
    <brk id="84"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ED75-4B18-455D-AFC0-16281688F915}">
  <sheetPr>
    <pageSetUpPr fitToPage="1"/>
  </sheetPr>
  <dimension ref="A1:AZ102"/>
  <sheetViews>
    <sheetView view="pageBreakPreview" topLeftCell="A14"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8" s="82" customFormat="1" x14ac:dyDescent="0.45">
      <c r="A1" s="81" t="s">
        <v>240</v>
      </c>
      <c r="B1" s="101" t="s">
        <v>35</v>
      </c>
      <c r="C1" s="38"/>
      <c r="D1" s="78"/>
      <c r="E1" s="38"/>
      <c r="F1" s="311"/>
      <c r="G1" s="312"/>
      <c r="H1" s="140"/>
    </row>
    <row r="2" spans="1:8" s="82" customFormat="1" x14ac:dyDescent="0.45">
      <c r="A2" s="81"/>
      <c r="B2" s="101"/>
      <c r="C2" s="38"/>
      <c r="D2" s="78"/>
      <c r="E2" s="38"/>
      <c r="F2" s="311"/>
      <c r="G2" s="312"/>
      <c r="H2" s="140"/>
    </row>
    <row r="3" spans="1:8" s="82" customFormat="1" ht="28.5" x14ac:dyDescent="0.45">
      <c r="A3" s="126" t="s">
        <v>20</v>
      </c>
      <c r="B3" s="36" t="s">
        <v>348</v>
      </c>
      <c r="C3" s="40"/>
      <c r="D3" s="40"/>
      <c r="E3" s="40"/>
      <c r="F3" s="364"/>
      <c r="G3" s="365"/>
      <c r="H3" s="142"/>
    </row>
    <row r="4" spans="1:8" s="82" customFormat="1" ht="42.75" x14ac:dyDescent="0.45">
      <c r="A4" s="126"/>
      <c r="B4" s="36" t="s">
        <v>288</v>
      </c>
      <c r="C4" s="40"/>
      <c r="D4" s="40"/>
      <c r="E4" s="40"/>
      <c r="F4" s="364"/>
      <c r="G4" s="365"/>
      <c r="H4" s="142"/>
    </row>
    <row r="5" spans="1:8" s="82" customFormat="1" ht="28.5" x14ac:dyDescent="0.45">
      <c r="A5" s="126"/>
      <c r="B5" s="36" t="s">
        <v>289</v>
      </c>
      <c r="C5" s="40"/>
      <c r="D5" s="40"/>
      <c r="E5" s="40"/>
      <c r="F5" s="364"/>
      <c r="G5" s="365"/>
      <c r="H5" s="142"/>
    </row>
    <row r="6" spans="1:8" s="82" customFormat="1" x14ac:dyDescent="0.45">
      <c r="A6" s="126"/>
      <c r="B6" s="36" t="s">
        <v>294</v>
      </c>
      <c r="C6" s="40" t="s">
        <v>46</v>
      </c>
      <c r="D6" s="78" t="str">
        <f ca="1">_xlfn.FORMULATEXT(E6)</f>
        <v>=1*12</v>
      </c>
      <c r="E6" s="38">
        <f>1*12</f>
        <v>12</v>
      </c>
      <c r="F6" s="311"/>
      <c r="G6" s="312">
        <f>E6*F6</f>
        <v>0</v>
      </c>
      <c r="H6" s="142"/>
    </row>
    <row r="7" spans="1:8" s="82" customFormat="1" x14ac:dyDescent="0.45">
      <c r="A7" s="126"/>
      <c r="B7" s="36"/>
      <c r="C7" s="40"/>
      <c r="D7" s="40"/>
      <c r="E7" s="38"/>
      <c r="F7" s="311"/>
      <c r="G7" s="312"/>
      <c r="H7" s="142"/>
    </row>
    <row r="8" spans="1:8" s="82" customFormat="1" ht="85.5" x14ac:dyDescent="0.45">
      <c r="A8" s="126" t="s">
        <v>21</v>
      </c>
      <c r="B8" s="36" t="s">
        <v>349</v>
      </c>
      <c r="C8" s="40"/>
      <c r="D8" s="40"/>
      <c r="E8" s="38"/>
      <c r="F8" s="311"/>
      <c r="G8" s="365"/>
      <c r="H8" s="142"/>
    </row>
    <row r="9" spans="1:8" s="82" customFormat="1" ht="28.5" x14ac:dyDescent="0.45">
      <c r="A9" s="126"/>
      <c r="B9" s="36" t="s">
        <v>290</v>
      </c>
      <c r="C9" s="40"/>
      <c r="D9" s="40"/>
      <c r="E9" s="38"/>
      <c r="F9" s="311"/>
      <c r="G9" s="312"/>
      <c r="H9" s="142"/>
    </row>
    <row r="10" spans="1:8" s="82" customFormat="1" x14ac:dyDescent="0.45">
      <c r="A10" s="126"/>
      <c r="B10" s="36" t="s">
        <v>291</v>
      </c>
      <c r="C10" s="40"/>
      <c r="D10" s="40"/>
      <c r="E10" s="38"/>
      <c r="F10" s="311"/>
      <c r="G10" s="365"/>
      <c r="H10" s="142"/>
    </row>
    <row r="11" spans="1:8" s="82" customFormat="1" x14ac:dyDescent="0.45">
      <c r="A11" s="126" t="s">
        <v>37</v>
      </c>
      <c r="B11" s="36" t="s">
        <v>292</v>
      </c>
      <c r="C11" s="40" t="s">
        <v>46</v>
      </c>
      <c r="D11" s="78" t="str">
        <f ca="1">_xlfn.FORMULATEXT(E11)</f>
        <v>=19*1</v>
      </c>
      <c r="E11" s="38">
        <f>19*1</f>
        <v>19</v>
      </c>
      <c r="F11" s="311"/>
      <c r="G11" s="312">
        <f>E11*F11</f>
        <v>0</v>
      </c>
      <c r="H11" s="142"/>
    </row>
    <row r="12" spans="1:8" s="82" customFormat="1" x14ac:dyDescent="0.45">
      <c r="A12" s="126" t="s">
        <v>37</v>
      </c>
      <c r="B12" s="36" t="s">
        <v>293</v>
      </c>
      <c r="C12" s="40" t="s">
        <v>46</v>
      </c>
      <c r="D12" s="78" t="str">
        <f ca="1">_xlfn.FORMULATEXT(E12)</f>
        <v>=19*1</v>
      </c>
      <c r="E12" s="38">
        <f>19*1</f>
        <v>19</v>
      </c>
      <c r="F12" s="311"/>
      <c r="G12" s="312">
        <f>E12*F12</f>
        <v>0</v>
      </c>
      <c r="H12" s="142"/>
    </row>
    <row r="13" spans="1:8" s="82" customFormat="1" x14ac:dyDescent="0.45">
      <c r="A13" s="126"/>
      <c r="B13" s="36"/>
      <c r="C13" s="40"/>
      <c r="D13" s="103"/>
      <c r="E13" s="38"/>
      <c r="F13" s="364"/>
      <c r="G13" s="365"/>
      <c r="H13" s="142"/>
    </row>
    <row r="14" spans="1:8" s="82" customFormat="1" ht="128.25" x14ac:dyDescent="0.45">
      <c r="A14" s="126" t="s">
        <v>22</v>
      </c>
      <c r="B14" s="36" t="s">
        <v>350</v>
      </c>
      <c r="C14" s="40"/>
      <c r="D14" s="40"/>
      <c r="E14" s="40"/>
      <c r="F14" s="364"/>
      <c r="G14" s="365"/>
      <c r="H14" s="142"/>
    </row>
    <row r="15" spans="1:8" s="82" customFormat="1" x14ac:dyDescent="0.45">
      <c r="A15" s="144" t="s">
        <v>41</v>
      </c>
      <c r="B15" s="145" t="s">
        <v>287</v>
      </c>
      <c r="C15" s="38" t="s">
        <v>46</v>
      </c>
      <c r="D15" s="78" t="str">
        <f ca="1">_xlfn.FORMULATEXT(E15)</f>
        <v>=1,8*8+8*1,2</v>
      </c>
      <c r="E15" s="38">
        <f>1.8*8+8*1.2</f>
        <v>24</v>
      </c>
      <c r="F15" s="311"/>
      <c r="G15" s="312">
        <f>E15*F15</f>
        <v>0</v>
      </c>
      <c r="H15" s="142"/>
    </row>
    <row r="16" spans="1:8" s="82" customFormat="1" x14ac:dyDescent="0.45">
      <c r="A16" s="144" t="s">
        <v>42</v>
      </c>
      <c r="B16" s="145" t="s">
        <v>265</v>
      </c>
      <c r="C16" s="38" t="s">
        <v>45</v>
      </c>
      <c r="D16" s="78" t="str">
        <f ca="1">_xlfn.FORMULATEXT(E16)</f>
        <v>=1,8*8+8*1,2</v>
      </c>
      <c r="E16" s="38">
        <f>1.8*8+8*1.2</f>
        <v>24</v>
      </c>
      <c r="F16" s="311"/>
      <c r="G16" s="312">
        <f>E16*F16</f>
        <v>0</v>
      </c>
      <c r="H16" s="142"/>
    </row>
    <row r="17" spans="1:8" s="82" customFormat="1" x14ac:dyDescent="0.45">
      <c r="A17" s="144"/>
      <c r="B17" s="145"/>
      <c r="C17" s="38"/>
      <c r="D17" s="103"/>
      <c r="E17" s="38"/>
      <c r="F17" s="311"/>
      <c r="G17" s="312"/>
      <c r="H17" s="142"/>
    </row>
    <row r="18" spans="1:8" s="82" customFormat="1" ht="137.25" customHeight="1" x14ac:dyDescent="0.45">
      <c r="A18" s="126" t="s">
        <v>23</v>
      </c>
      <c r="B18" s="36" t="s">
        <v>338</v>
      </c>
      <c r="C18" s="40"/>
      <c r="D18" s="40"/>
      <c r="E18" s="40"/>
      <c r="F18" s="364"/>
      <c r="G18" s="365"/>
      <c r="H18" s="142"/>
    </row>
    <row r="19" spans="1:8" s="82" customFormat="1" ht="35.25" customHeight="1" x14ac:dyDescent="0.45">
      <c r="A19" s="144" t="s">
        <v>41</v>
      </c>
      <c r="B19" s="145" t="s">
        <v>287</v>
      </c>
      <c r="C19" s="38" t="s">
        <v>46</v>
      </c>
      <c r="D19" s="78" t="str">
        <f ca="1">_xlfn.FORMULATEXT(E19)</f>
        <v>=19*1</v>
      </c>
      <c r="E19" s="38">
        <f>19*1</f>
        <v>19</v>
      </c>
      <c r="F19" s="311"/>
      <c r="G19" s="312">
        <f>E19*F19</f>
        <v>0</v>
      </c>
      <c r="H19" s="142"/>
    </row>
    <row r="20" spans="1:8" s="82" customFormat="1" x14ac:dyDescent="0.45">
      <c r="A20" s="144" t="s">
        <v>42</v>
      </c>
      <c r="B20" s="145" t="s">
        <v>265</v>
      </c>
      <c r="C20" s="38" t="s">
        <v>45</v>
      </c>
      <c r="D20" s="78" t="str">
        <f ca="1">_xlfn.FORMULATEXT(E20)</f>
        <v>=19*1</v>
      </c>
      <c r="E20" s="38">
        <f>19*1</f>
        <v>19</v>
      </c>
      <c r="F20" s="311"/>
      <c r="G20" s="312">
        <f>E20*F20</f>
        <v>0</v>
      </c>
      <c r="H20" s="142"/>
    </row>
    <row r="21" spans="1:8" s="82" customFormat="1" x14ac:dyDescent="0.45">
      <c r="A21" s="144"/>
      <c r="B21" s="143"/>
      <c r="C21" s="38"/>
      <c r="D21" s="103"/>
      <c r="E21" s="78"/>
      <c r="F21" s="311"/>
      <c r="G21" s="312"/>
      <c r="H21" s="142"/>
    </row>
    <row r="22" spans="1:8" s="82" customFormat="1" x14ac:dyDescent="0.45">
      <c r="A22" s="281"/>
      <c r="B22" s="282"/>
      <c r="C22" s="283"/>
      <c r="D22" s="284"/>
      <c r="E22" s="285"/>
      <c r="F22" s="366"/>
      <c r="G22" s="367"/>
      <c r="H22" s="142"/>
    </row>
    <row r="23" spans="1:8" s="82" customFormat="1" ht="42.75" x14ac:dyDescent="0.45">
      <c r="A23" s="296" t="s">
        <v>24</v>
      </c>
      <c r="B23" s="181" t="s">
        <v>475</v>
      </c>
      <c r="C23" s="298" t="s">
        <v>476</v>
      </c>
      <c r="D23" s="298" t="s">
        <v>37</v>
      </c>
      <c r="E23" s="298">
        <v>1</v>
      </c>
      <c r="F23" s="368"/>
      <c r="G23" s="369"/>
      <c r="H23" s="142"/>
    </row>
    <row r="24" spans="1:8" s="87" customFormat="1" x14ac:dyDescent="0.45">
      <c r="A24" s="75"/>
      <c r="B24"/>
      <c r="C24" s="38"/>
      <c r="D24" s="78"/>
      <c r="E24" s="38"/>
      <c r="F24" s="311"/>
      <c r="G24" s="312"/>
      <c r="H24" s="146"/>
    </row>
    <row r="25" spans="1:8" s="82" customFormat="1" x14ac:dyDescent="0.45">
      <c r="A25" s="144"/>
      <c r="B25" s="143"/>
      <c r="C25" s="38"/>
      <c r="D25" s="103"/>
      <c r="E25" s="78"/>
      <c r="F25" s="311"/>
      <c r="G25" s="312"/>
      <c r="H25" s="142"/>
    </row>
    <row r="26" spans="1:8" s="82" customFormat="1" x14ac:dyDescent="0.45">
      <c r="A26" s="137" t="s">
        <v>240</v>
      </c>
      <c r="B26" s="138" t="s">
        <v>77</v>
      </c>
      <c r="C26" s="100"/>
      <c r="D26" s="139"/>
      <c r="E26" s="100"/>
      <c r="F26" s="333"/>
      <c r="G26" s="334">
        <f>SUM(G4:G25)</f>
        <v>0</v>
      </c>
    </row>
    <row r="27" spans="1:8" s="82" customFormat="1" x14ac:dyDescent="0.45">
      <c r="A27" s="147"/>
      <c r="B27" s="36"/>
      <c r="C27" s="38"/>
      <c r="D27" s="78"/>
      <c r="E27" s="38"/>
      <c r="F27" s="311"/>
      <c r="G27" s="312"/>
    </row>
    <row r="28" spans="1:8" s="87" customFormat="1" x14ac:dyDescent="0.45">
      <c r="A28" s="134"/>
      <c r="B28" s="80"/>
      <c r="C28" s="31"/>
      <c r="D28" s="67"/>
      <c r="E28" s="31"/>
      <c r="F28" s="313"/>
      <c r="G28" s="329"/>
    </row>
    <row r="29" spans="1:8" s="82" customFormat="1" x14ac:dyDescent="0.45">
      <c r="A29" s="148"/>
      <c r="B29" s="149"/>
      <c r="C29" s="128"/>
      <c r="D29" s="150"/>
      <c r="E29" s="128"/>
      <c r="F29" s="370"/>
      <c r="G29" s="371"/>
      <c r="H29" s="151"/>
    </row>
    <row r="30" spans="1:8" s="82" customFormat="1" x14ac:dyDescent="0.45">
      <c r="A30" s="148"/>
      <c r="B30" s="152"/>
      <c r="C30" s="128"/>
      <c r="D30" s="150"/>
      <c r="E30" s="95"/>
      <c r="F30" s="370"/>
      <c r="G30" s="371"/>
      <c r="H30" s="151"/>
    </row>
    <row r="31" spans="1:8" s="82" customFormat="1" x14ac:dyDescent="0.45">
      <c r="A31" s="147"/>
      <c r="B31" s="36"/>
      <c r="C31" s="38"/>
      <c r="D31" s="78"/>
      <c r="E31" s="95"/>
      <c r="F31" s="311"/>
      <c r="G31" s="312"/>
      <c r="H31" s="153"/>
    </row>
    <row r="32" spans="1:8" s="82" customFormat="1" ht="184.5" customHeight="1" x14ac:dyDescent="0.45">
      <c r="A32" s="147"/>
      <c r="B32" s="36"/>
      <c r="C32" s="38"/>
      <c r="D32" s="78"/>
      <c r="E32" s="95"/>
      <c r="F32" s="311"/>
      <c r="G32" s="312"/>
      <c r="H32" s="153"/>
    </row>
    <row r="33" spans="1:8" s="82" customFormat="1" x14ac:dyDescent="0.45">
      <c r="A33" s="147"/>
      <c r="B33" s="36"/>
      <c r="C33" s="38"/>
      <c r="D33" s="78"/>
      <c r="E33" s="38"/>
      <c r="F33" s="311"/>
      <c r="G33" s="312"/>
      <c r="H33" s="153"/>
    </row>
    <row r="34" spans="1:8" s="82" customFormat="1" x14ac:dyDescent="0.45">
      <c r="A34" s="147"/>
      <c r="B34" s="36"/>
      <c r="C34" s="38"/>
      <c r="D34" s="78"/>
      <c r="E34" s="38"/>
      <c r="F34" s="311"/>
      <c r="G34" s="312"/>
      <c r="H34" s="153"/>
    </row>
    <row r="35" spans="1:8" s="87" customFormat="1" x14ac:dyDescent="0.45">
      <c r="A35" s="134"/>
      <c r="B35" s="36"/>
      <c r="C35" s="31"/>
      <c r="D35" s="67"/>
      <c r="E35" s="31"/>
      <c r="F35" s="313"/>
      <c r="G35" s="329"/>
      <c r="H35" s="154"/>
    </row>
    <row r="36" spans="1:8" s="87" customFormat="1" x14ac:dyDescent="0.45">
      <c r="A36" s="136"/>
      <c r="B36" s="155"/>
      <c r="C36" s="89"/>
      <c r="D36" s="90"/>
      <c r="E36" s="89"/>
      <c r="F36" s="331"/>
      <c r="G36" s="330"/>
      <c r="H36" s="156"/>
    </row>
    <row r="37" spans="1:8" s="82" customFormat="1" x14ac:dyDescent="0.45">
      <c r="A37" s="91"/>
      <c r="B37" s="157"/>
      <c r="C37" s="93"/>
      <c r="D37" s="94"/>
      <c r="E37" s="93"/>
      <c r="F37" s="332"/>
      <c r="G37" s="320"/>
      <c r="H37" s="158"/>
    </row>
    <row r="38" spans="1:8" s="82" customFormat="1" x14ac:dyDescent="0.45">
      <c r="A38" s="91"/>
      <c r="B38" s="157"/>
      <c r="C38" s="93"/>
      <c r="D38" s="94"/>
      <c r="E38" s="95"/>
      <c r="F38" s="332"/>
      <c r="G38" s="320"/>
      <c r="H38" s="158"/>
    </row>
    <row r="39" spans="1:8" s="82" customFormat="1" x14ac:dyDescent="0.45">
      <c r="A39" s="91"/>
      <c r="B39" s="157"/>
      <c r="C39" s="93"/>
      <c r="D39" s="94"/>
      <c r="E39" s="95"/>
      <c r="F39" s="332"/>
      <c r="G39" s="320"/>
      <c r="H39" s="158"/>
    </row>
    <row r="40" spans="1:8" s="82" customFormat="1" x14ac:dyDescent="0.45">
      <c r="A40" s="91"/>
      <c r="B40" s="157"/>
      <c r="C40" s="93"/>
      <c r="D40" s="94"/>
      <c r="E40" s="95"/>
      <c r="F40" s="332"/>
      <c r="G40" s="320"/>
      <c r="H40" s="158"/>
    </row>
    <row r="41" spans="1:8" x14ac:dyDescent="0.45">
      <c r="A41" s="88"/>
      <c r="B41" s="159"/>
      <c r="C41" s="85"/>
      <c r="D41" s="160"/>
      <c r="E41" s="85"/>
      <c r="F41" s="330"/>
      <c r="G41" s="372"/>
    </row>
    <row r="42" spans="1:8" s="82" customFormat="1" x14ac:dyDescent="0.45">
      <c r="A42" s="91"/>
      <c r="B42" s="157"/>
      <c r="C42" s="93"/>
      <c r="D42" s="94"/>
      <c r="E42" s="95"/>
      <c r="F42" s="332"/>
      <c r="G42" s="320"/>
      <c r="H42" s="158"/>
    </row>
    <row r="43" spans="1:8" s="82" customFormat="1" x14ac:dyDescent="0.45">
      <c r="A43" s="161"/>
      <c r="B43" s="138"/>
      <c r="C43" s="100"/>
      <c r="D43" s="139"/>
      <c r="E43" s="100"/>
      <c r="F43" s="333"/>
      <c r="G43" s="334"/>
    </row>
    <row r="100" spans="1:52" s="67" customFormat="1" ht="14.65" x14ac:dyDescent="0.5">
      <c r="A100" s="230"/>
      <c r="B100" s="231"/>
      <c r="C100" s="232"/>
      <c r="E100" s="31"/>
      <c r="F100" s="313"/>
      <c r="G100" s="329"/>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s="67" customFormat="1" ht="14.65" x14ac:dyDescent="0.45">
      <c r="A101" s="230"/>
      <c r="B101" s="231"/>
      <c r="C101" s="164"/>
      <c r="E101" s="31"/>
      <c r="F101" s="313"/>
      <c r="G101" s="329"/>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s="67" customFormat="1" ht="14.65" x14ac:dyDescent="0.45">
      <c r="A102" s="230"/>
      <c r="B102" s="231"/>
      <c r="C102" s="164"/>
      <c r="E102" s="31"/>
      <c r="F102" s="313"/>
      <c r="G102" s="329"/>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rowBreaks count="1" manualBreakCount="1">
    <brk id="26" max="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4A86E-DA2A-4850-9488-CFDBF65DEE0C}">
  <sheetPr>
    <pageSetUpPr fitToPage="1"/>
  </sheetPr>
  <dimension ref="A1:AZ66"/>
  <sheetViews>
    <sheetView view="pageBreakPreview"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8" s="82" customFormat="1" x14ac:dyDescent="0.45">
      <c r="A1" s="147" t="s">
        <v>239</v>
      </c>
      <c r="B1" s="36" t="s">
        <v>67</v>
      </c>
      <c r="C1" s="38"/>
      <c r="D1" s="78"/>
      <c r="E1" s="38"/>
      <c r="F1" s="311"/>
      <c r="G1" s="312"/>
    </row>
    <row r="2" spans="1:8" s="87" customFormat="1" x14ac:dyDescent="0.45">
      <c r="A2" s="134"/>
      <c r="B2" s="80"/>
      <c r="C2" s="31"/>
      <c r="D2" s="67"/>
      <c r="E2" s="31"/>
      <c r="F2" s="313"/>
      <c r="G2" s="329"/>
    </row>
    <row r="3" spans="1:8" s="82" customFormat="1" ht="85.5" x14ac:dyDescent="0.45">
      <c r="A3" s="148" t="s">
        <v>20</v>
      </c>
      <c r="B3" s="149" t="s">
        <v>73</v>
      </c>
      <c r="C3" s="128"/>
      <c r="D3" s="150"/>
      <c r="E3" s="128"/>
      <c r="F3" s="370"/>
      <c r="G3" s="371"/>
      <c r="H3" s="151"/>
    </row>
    <row r="4" spans="1:8" s="82" customFormat="1" x14ac:dyDescent="0.45">
      <c r="A4" s="148"/>
      <c r="B4" s="152"/>
      <c r="C4" s="128" t="s">
        <v>66</v>
      </c>
      <c r="D4" s="150" t="s">
        <v>37</v>
      </c>
      <c r="E4" s="95">
        <v>6</v>
      </c>
      <c r="F4" s="370"/>
      <c r="G4" s="371">
        <f>E4*F4</f>
        <v>0</v>
      </c>
      <c r="H4" s="151"/>
    </row>
    <row r="5" spans="1:8" ht="132" customHeight="1" x14ac:dyDescent="0.45">
      <c r="A5" s="88" t="s">
        <v>21</v>
      </c>
      <c r="B5" s="159" t="s">
        <v>505</v>
      </c>
      <c r="C5" s="85" t="s">
        <v>47</v>
      </c>
      <c r="D5" s="160">
        <v>1</v>
      </c>
      <c r="E5" s="85"/>
      <c r="F5" s="330"/>
      <c r="G5" s="372"/>
    </row>
    <row r="6" spans="1:8" s="82" customFormat="1" x14ac:dyDescent="0.45">
      <c r="A6" s="91"/>
      <c r="B6" s="157"/>
      <c r="C6" s="93"/>
      <c r="D6" s="94"/>
      <c r="E6" s="95"/>
      <c r="F6" s="332"/>
      <c r="G6" s="320"/>
      <c r="H6" s="158"/>
    </row>
    <row r="7" spans="1:8" s="82" customFormat="1" x14ac:dyDescent="0.45">
      <c r="A7" s="161" t="s">
        <v>239</v>
      </c>
      <c r="B7" s="138" t="s">
        <v>211</v>
      </c>
      <c r="C7" s="100"/>
      <c r="D7" s="139"/>
      <c r="E7" s="100"/>
      <c r="F7" s="333"/>
      <c r="G7" s="334">
        <f>SUM(G3:G6)</f>
        <v>0</v>
      </c>
    </row>
    <row r="64" spans="1:52" s="67" customFormat="1" ht="14.65" x14ac:dyDescent="0.5">
      <c r="A64" s="230"/>
      <c r="B64" s="231"/>
      <c r="C64" s="232"/>
      <c r="E64" s="31"/>
      <c r="F64" s="313"/>
      <c r="G64" s="329"/>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s="67" customFormat="1" ht="14.65" x14ac:dyDescent="0.45">
      <c r="A65" s="230"/>
      <c r="B65" s="231"/>
      <c r="C65" s="164"/>
      <c r="E65" s="31"/>
      <c r="F65" s="313"/>
      <c r="G65" s="329"/>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row>
    <row r="66" spans="1:52" s="67" customFormat="1" ht="14.65" x14ac:dyDescent="0.45">
      <c r="A66" s="230"/>
      <c r="B66" s="231"/>
      <c r="C66" s="164"/>
      <c r="E66" s="31"/>
      <c r="F66" s="313"/>
      <c r="G66" s="329"/>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A9A0-B02E-44ED-9410-FB3044B434DD}">
  <sheetPr>
    <pageSetUpPr fitToPage="1"/>
  </sheetPr>
  <dimension ref="A1:AZ149"/>
  <sheetViews>
    <sheetView view="pageBreakPreview" topLeftCell="A43"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265" customWidth="1"/>
    <col min="5" max="5" width="8.73046875" style="264" customWidth="1"/>
    <col min="6" max="6" width="9.59765625" style="383" customWidth="1"/>
    <col min="7" max="7" width="12.73046875" style="342" customWidth="1"/>
    <col min="8" max="8" width="11.73046875" bestFit="1" customWidth="1"/>
    <col min="9" max="9" width="19.1328125" customWidth="1"/>
  </cols>
  <sheetData>
    <row r="1" spans="1:8" s="82" customFormat="1" x14ac:dyDescent="0.45">
      <c r="A1" s="162" t="s">
        <v>238</v>
      </c>
      <c r="B1" s="152" t="s">
        <v>55</v>
      </c>
      <c r="C1" s="128"/>
      <c r="D1" s="247"/>
      <c r="E1" s="248"/>
      <c r="F1" s="373"/>
      <c r="G1" s="374"/>
    </row>
    <row r="2" spans="1:8" s="82" customFormat="1" x14ac:dyDescent="0.45">
      <c r="A2" s="148" t="s">
        <v>20</v>
      </c>
      <c r="B2" s="165" t="s">
        <v>65</v>
      </c>
      <c r="C2" s="128"/>
      <c r="D2" s="247"/>
      <c r="E2" s="248"/>
      <c r="F2" s="373"/>
      <c r="G2" s="374"/>
    </row>
    <row r="3" spans="1:8" s="82" customFormat="1" x14ac:dyDescent="0.45">
      <c r="A3" s="148"/>
      <c r="B3" s="165" t="s">
        <v>56</v>
      </c>
      <c r="C3" s="128"/>
      <c r="D3" s="247"/>
      <c r="E3" s="248"/>
      <c r="F3" s="373"/>
      <c r="G3" s="374"/>
    </row>
    <row r="4" spans="1:8" s="82" customFormat="1" ht="28.5" x14ac:dyDescent="0.45">
      <c r="A4" s="148"/>
      <c r="B4" s="165" t="s">
        <v>57</v>
      </c>
      <c r="C4" s="128"/>
      <c r="D4" s="247"/>
      <c r="E4" s="248"/>
      <c r="F4" s="373"/>
      <c r="G4" s="374"/>
    </row>
    <row r="5" spans="1:8" s="82" customFormat="1" x14ac:dyDescent="0.45">
      <c r="A5" s="148"/>
      <c r="B5" s="165" t="s">
        <v>64</v>
      </c>
      <c r="C5" s="93" t="s">
        <v>45</v>
      </c>
      <c r="D5" s="249" t="str">
        <f ca="1">_xlfn.FORMULATEXT(E5)</f>
        <v>=2*1</v>
      </c>
      <c r="E5" s="250">
        <f>2*1</f>
        <v>2</v>
      </c>
      <c r="F5" s="375"/>
      <c r="G5" s="375">
        <f>E5*F5</f>
        <v>0</v>
      </c>
    </row>
    <row r="6" spans="1:8" s="82" customFormat="1" x14ac:dyDescent="0.45">
      <c r="A6" s="148"/>
      <c r="B6" s="165"/>
      <c r="C6" s="93"/>
      <c r="D6" s="249"/>
      <c r="E6" s="250"/>
      <c r="F6" s="375"/>
      <c r="G6" s="375"/>
    </row>
    <row r="7" spans="1:8" s="82" customFormat="1" x14ac:dyDescent="0.45">
      <c r="A7" s="148"/>
      <c r="B7" s="165"/>
      <c r="C7" s="93"/>
      <c r="D7" s="249"/>
      <c r="E7" s="250"/>
      <c r="F7" s="375"/>
      <c r="G7" s="375"/>
    </row>
    <row r="8" spans="1:8" s="168" customFormat="1" x14ac:dyDescent="0.45">
      <c r="A8" s="161" t="s">
        <v>238</v>
      </c>
      <c r="B8" s="166" t="s">
        <v>78</v>
      </c>
      <c r="C8" s="167"/>
      <c r="D8" s="251"/>
      <c r="E8" s="252"/>
      <c r="F8" s="376"/>
      <c r="G8" s="376">
        <f>SUM(G2:G7)</f>
        <v>0</v>
      </c>
    </row>
    <row r="9" spans="1:8" s="87" customFormat="1" x14ac:dyDescent="0.45">
      <c r="A9" s="163"/>
      <c r="B9" s="102"/>
      <c r="C9" s="31"/>
      <c r="D9" s="253"/>
      <c r="E9" s="254"/>
      <c r="F9" s="377"/>
      <c r="G9" s="377"/>
    </row>
    <row r="10" spans="1:8" s="82" customFormat="1" x14ac:dyDescent="0.45">
      <c r="A10" s="169" t="s">
        <v>237</v>
      </c>
      <c r="B10" s="92" t="s">
        <v>62</v>
      </c>
      <c r="C10" s="38"/>
      <c r="D10" s="249"/>
      <c r="E10" s="255"/>
      <c r="F10" s="378"/>
      <c r="G10" s="378"/>
      <c r="H10" s="170"/>
    </row>
    <row r="11" spans="1:8" s="82" customFormat="1" x14ac:dyDescent="0.45">
      <c r="A11" s="169"/>
      <c r="B11" s="92"/>
      <c r="C11" s="38"/>
      <c r="D11" s="249"/>
      <c r="E11" s="255"/>
      <c r="F11" s="378"/>
      <c r="G11" s="378"/>
      <c r="H11" s="170"/>
    </row>
    <row r="12" spans="1:8" s="82" customFormat="1" ht="93.4" customHeight="1" x14ac:dyDescent="0.45">
      <c r="A12" s="291" t="s">
        <v>20</v>
      </c>
      <c r="B12" s="181" t="s">
        <v>478</v>
      </c>
      <c r="C12" s="182"/>
      <c r="D12" s="299"/>
      <c r="E12" s="300"/>
      <c r="F12" s="379"/>
      <c r="G12" s="379"/>
    </row>
    <row r="13" spans="1:8" s="82" customFormat="1" x14ac:dyDescent="0.45">
      <c r="A13" s="180"/>
      <c r="B13" s="181" t="s">
        <v>63</v>
      </c>
      <c r="C13" s="301"/>
      <c r="D13" s="299"/>
      <c r="E13" s="299"/>
      <c r="F13" s="379"/>
      <c r="G13" s="379"/>
    </row>
    <row r="14" spans="1:8" s="82" customFormat="1" x14ac:dyDescent="0.45">
      <c r="A14" s="180"/>
      <c r="B14" s="181" t="s">
        <v>267</v>
      </c>
      <c r="C14" s="301"/>
      <c r="D14" s="299"/>
      <c r="E14" s="299"/>
      <c r="F14" s="379"/>
      <c r="G14" s="379"/>
    </row>
    <row r="15" spans="1:8" s="82" customFormat="1" x14ac:dyDescent="0.45">
      <c r="A15" s="302" t="s">
        <v>480</v>
      </c>
      <c r="B15" s="181" t="s">
        <v>437</v>
      </c>
      <c r="C15" s="182"/>
      <c r="D15" s="183"/>
      <c r="E15" s="182"/>
      <c r="F15" s="350"/>
      <c r="G15" s="349"/>
    </row>
    <row r="16" spans="1:8" s="117" customFormat="1" ht="15.75" x14ac:dyDescent="0.5">
      <c r="A16" s="184"/>
      <c r="B16" s="286" t="s">
        <v>434</v>
      </c>
      <c r="C16" s="287"/>
      <c r="D16" s="288"/>
      <c r="E16" s="287"/>
      <c r="F16" s="347"/>
      <c r="G16" s="349"/>
    </row>
    <row r="17" spans="1:7" s="117" customFormat="1" ht="15.75" x14ac:dyDescent="0.5">
      <c r="A17" s="184"/>
      <c r="B17" s="286" t="s">
        <v>432</v>
      </c>
      <c r="C17" s="287" t="s">
        <v>87</v>
      </c>
      <c r="D17" s="288" t="s">
        <v>37</v>
      </c>
      <c r="E17" s="289">
        <v>1</v>
      </c>
      <c r="F17" s="347"/>
      <c r="G17" s="349">
        <f>E17*F17</f>
        <v>0</v>
      </c>
    </row>
    <row r="18" spans="1:7" s="117" customFormat="1" ht="15.75" x14ac:dyDescent="0.5">
      <c r="A18" s="184"/>
      <c r="C18" s="287" t="s">
        <v>46</v>
      </c>
      <c r="D18" s="183" t="str">
        <f ca="1">_xlfn.FORMULATEXT(E18)</f>
        <v>=19,1+0,2*4</v>
      </c>
      <c r="E18" s="287">
        <f>19.1+0.2*4</f>
        <v>19.900000000000002</v>
      </c>
      <c r="F18" s="347"/>
      <c r="G18" s="349">
        <f>E18*F18</f>
        <v>0</v>
      </c>
    </row>
    <row r="19" spans="1:7" s="82" customFormat="1" x14ac:dyDescent="0.45">
      <c r="A19" s="184" t="s">
        <v>481</v>
      </c>
      <c r="B19" s="181" t="s">
        <v>438</v>
      </c>
      <c r="C19" s="182"/>
      <c r="D19" s="183"/>
      <c r="E19" s="182"/>
      <c r="F19" s="350"/>
      <c r="G19" s="349"/>
    </row>
    <row r="20" spans="1:7" s="117" customFormat="1" ht="15.75" x14ac:dyDescent="0.5">
      <c r="A20" s="184"/>
      <c r="B20" s="286" t="s">
        <v>435</v>
      </c>
      <c r="C20" s="287"/>
      <c r="D20" s="288"/>
      <c r="E20" s="287"/>
      <c r="F20" s="347"/>
      <c r="G20" s="349"/>
    </row>
    <row r="21" spans="1:7" s="117" customFormat="1" ht="15.75" x14ac:dyDescent="0.5">
      <c r="A21" s="184"/>
      <c r="B21" s="286" t="s">
        <v>432</v>
      </c>
      <c r="C21" s="287" t="s">
        <v>87</v>
      </c>
      <c r="D21" s="288" t="s">
        <v>37</v>
      </c>
      <c r="E21" s="289">
        <v>1</v>
      </c>
      <c r="F21" s="347"/>
      <c r="G21" s="349">
        <f>E21*F21</f>
        <v>0</v>
      </c>
    </row>
    <row r="22" spans="1:7" s="117" customFormat="1" ht="15.75" x14ac:dyDescent="0.5">
      <c r="A22" s="184"/>
      <c r="C22" s="287" t="s">
        <v>46</v>
      </c>
      <c r="D22" s="183" t="str">
        <f ca="1">_xlfn.FORMULATEXT(E22)</f>
        <v>=19,1+0,2*4</v>
      </c>
      <c r="E22" s="287">
        <f>19.1+0.2*4</f>
        <v>19.900000000000002</v>
      </c>
      <c r="F22" s="347"/>
      <c r="G22" s="349">
        <f>E22*F22</f>
        <v>0</v>
      </c>
    </row>
    <row r="23" spans="1:7" s="82" customFormat="1" x14ac:dyDescent="0.45">
      <c r="A23" s="184" t="s">
        <v>482</v>
      </c>
      <c r="B23" s="181" t="s">
        <v>303</v>
      </c>
      <c r="C23" s="182"/>
      <c r="D23" s="183"/>
      <c r="E23" s="182"/>
      <c r="F23" s="350"/>
      <c r="G23" s="349"/>
    </row>
    <row r="24" spans="1:7" s="117" customFormat="1" ht="15.75" x14ac:dyDescent="0.5">
      <c r="A24" s="184"/>
      <c r="B24" s="286" t="s">
        <v>433</v>
      </c>
      <c r="C24" s="287"/>
      <c r="D24" s="288"/>
      <c r="E24" s="287"/>
      <c r="F24" s="347"/>
      <c r="G24" s="349"/>
    </row>
    <row r="25" spans="1:7" s="117" customFormat="1" ht="15.75" x14ac:dyDescent="0.5">
      <c r="A25" s="184"/>
      <c r="B25" s="286" t="s">
        <v>212</v>
      </c>
      <c r="C25" s="287" t="s">
        <v>87</v>
      </c>
      <c r="D25" s="288" t="s">
        <v>37</v>
      </c>
      <c r="E25" s="289">
        <v>1</v>
      </c>
      <c r="F25" s="347"/>
      <c r="G25" s="349">
        <f>E25*F25</f>
        <v>0</v>
      </c>
    </row>
    <row r="26" spans="1:7" s="117" customFormat="1" ht="15.75" x14ac:dyDescent="0.5">
      <c r="A26" s="184"/>
      <c r="C26" s="287" t="s">
        <v>46</v>
      </c>
      <c r="D26" s="183" t="str">
        <f ca="1">_xlfn.FORMULATEXT(E26)</f>
        <v>=5,8*2+5,3*4</v>
      </c>
      <c r="E26" s="287">
        <f>5.8*2+5.3*4</f>
        <v>32.799999999999997</v>
      </c>
      <c r="F26" s="347"/>
      <c r="G26" s="349">
        <f>E26*F26</f>
        <v>0</v>
      </c>
    </row>
    <row r="27" spans="1:7" s="82" customFormat="1" x14ac:dyDescent="0.45">
      <c r="A27" s="302" t="s">
        <v>484</v>
      </c>
      <c r="B27" s="181" t="s">
        <v>243</v>
      </c>
      <c r="C27" s="182"/>
      <c r="D27" s="183"/>
      <c r="E27" s="182"/>
      <c r="F27" s="350"/>
      <c r="G27" s="349"/>
    </row>
    <row r="28" spans="1:7" s="117" customFormat="1" ht="15.75" x14ac:dyDescent="0.5">
      <c r="A28" s="184" t="s">
        <v>483</v>
      </c>
      <c r="B28" s="286" t="s">
        <v>436</v>
      </c>
      <c r="C28" s="287"/>
      <c r="D28" s="288"/>
      <c r="E28" s="287"/>
      <c r="F28" s="347"/>
      <c r="G28" s="349"/>
    </row>
    <row r="29" spans="1:7" s="117" customFormat="1" ht="15.75" x14ac:dyDescent="0.5">
      <c r="A29" s="184"/>
      <c r="B29" s="286" t="s">
        <v>245</v>
      </c>
      <c r="C29" s="287" t="s">
        <v>87</v>
      </c>
      <c r="D29" s="288" t="s">
        <v>37</v>
      </c>
      <c r="E29" s="289">
        <v>1</v>
      </c>
      <c r="F29" s="347"/>
      <c r="G29" s="349">
        <f>E29*F29</f>
        <v>0</v>
      </c>
    </row>
    <row r="30" spans="1:7" s="117" customFormat="1" ht="15.75" x14ac:dyDescent="0.5">
      <c r="A30" s="184"/>
      <c r="C30" s="287" t="s">
        <v>46</v>
      </c>
      <c r="D30" s="183" t="str">
        <f ca="1">_xlfn.FORMULATEXT(E30)</f>
        <v>=2,2*2+1,6*4</v>
      </c>
      <c r="E30" s="287">
        <f>2.2*2+1.6*4</f>
        <v>10.8</v>
      </c>
      <c r="F30" s="347"/>
      <c r="G30" s="349">
        <f>E30*F30</f>
        <v>0</v>
      </c>
    </row>
    <row r="31" spans="1:7" s="82" customFormat="1" x14ac:dyDescent="0.45">
      <c r="A31" s="184" t="s">
        <v>485</v>
      </c>
      <c r="B31" s="181" t="s">
        <v>304</v>
      </c>
      <c r="C31" s="182"/>
      <c r="D31" s="183"/>
      <c r="E31" s="182"/>
      <c r="F31" s="350"/>
      <c r="G31" s="349"/>
    </row>
    <row r="32" spans="1:7" s="117" customFormat="1" ht="15.75" x14ac:dyDescent="0.5">
      <c r="A32" s="184"/>
      <c r="B32" s="286" t="s">
        <v>439</v>
      </c>
      <c r="C32" s="287"/>
      <c r="D32" s="288"/>
      <c r="E32" s="287"/>
      <c r="F32" s="347"/>
      <c r="G32" s="349"/>
    </row>
    <row r="33" spans="1:7" s="117" customFormat="1" ht="15.75" x14ac:dyDescent="0.5">
      <c r="A33" s="184"/>
      <c r="B33" s="286" t="s">
        <v>441</v>
      </c>
      <c r="C33" s="287" t="s">
        <v>87</v>
      </c>
      <c r="D33" s="288" t="s">
        <v>37</v>
      </c>
      <c r="E33" s="289">
        <v>1</v>
      </c>
      <c r="F33" s="347"/>
      <c r="G33" s="349">
        <f>E33*F33</f>
        <v>0</v>
      </c>
    </row>
    <row r="34" spans="1:7" s="117" customFormat="1" ht="15.75" x14ac:dyDescent="0.5">
      <c r="A34" s="184"/>
      <c r="C34" s="287" t="s">
        <v>46</v>
      </c>
      <c r="D34" s="183" t="str">
        <f ca="1">_xlfn.FORMULATEXT(E34)</f>
        <v>=5,8*2+5,3*4</v>
      </c>
      <c r="E34" s="287">
        <f>5.8*2+5.3*4</f>
        <v>32.799999999999997</v>
      </c>
      <c r="F34" s="347"/>
      <c r="G34" s="349">
        <f>E34*F34</f>
        <v>0</v>
      </c>
    </row>
    <row r="35" spans="1:7" s="117" customFormat="1" ht="15.75" x14ac:dyDescent="0.5">
      <c r="A35" s="184" t="s">
        <v>486</v>
      </c>
      <c r="B35" s="286" t="s">
        <v>305</v>
      </c>
      <c r="C35" s="287"/>
      <c r="D35" s="288"/>
      <c r="E35" s="287"/>
      <c r="F35" s="347"/>
      <c r="G35" s="348"/>
    </row>
    <row r="36" spans="1:7" s="117" customFormat="1" ht="15.75" x14ac:dyDescent="0.5">
      <c r="A36" s="184"/>
      <c r="B36" s="286" t="s">
        <v>440</v>
      </c>
      <c r="C36" s="287"/>
      <c r="D36" s="288"/>
      <c r="E36" s="287"/>
      <c r="F36" s="347"/>
      <c r="G36" s="349"/>
    </row>
    <row r="37" spans="1:7" s="117" customFormat="1" ht="15.75" x14ac:dyDescent="0.5">
      <c r="A37" s="184"/>
      <c r="B37" s="286" t="s">
        <v>244</v>
      </c>
      <c r="C37" s="287" t="s">
        <v>87</v>
      </c>
      <c r="D37" s="288" t="s">
        <v>37</v>
      </c>
      <c r="E37" s="289">
        <v>1</v>
      </c>
      <c r="F37" s="347"/>
      <c r="G37" s="349">
        <f>E37*F37</f>
        <v>0</v>
      </c>
    </row>
    <row r="38" spans="1:7" s="117" customFormat="1" ht="15.75" x14ac:dyDescent="0.5">
      <c r="A38" s="184"/>
      <c r="C38" s="287" t="s">
        <v>46</v>
      </c>
      <c r="D38" s="183" t="str">
        <f ca="1">_xlfn.FORMULATEXT(E38)</f>
        <v>=2,2*2+1,6*4</v>
      </c>
      <c r="E38" s="287">
        <f>2.2*2+1.6*4</f>
        <v>10.8</v>
      </c>
      <c r="F38" s="347"/>
      <c r="G38" s="349">
        <f>E38*F38</f>
        <v>0</v>
      </c>
    </row>
    <row r="39" spans="1:7" s="117" customFormat="1" ht="15.75" x14ac:dyDescent="0.5">
      <c r="A39" s="184" t="s">
        <v>487</v>
      </c>
      <c r="B39" s="286" t="s">
        <v>442</v>
      </c>
      <c r="C39" s="287"/>
      <c r="D39" s="288"/>
      <c r="E39" s="287"/>
      <c r="F39" s="347"/>
      <c r="G39" s="348"/>
    </row>
    <row r="40" spans="1:7" s="117" customFormat="1" ht="15.75" x14ac:dyDescent="0.5">
      <c r="A40" s="184"/>
      <c r="B40" s="286" t="s">
        <v>443</v>
      </c>
      <c r="C40" s="287"/>
      <c r="D40" s="288"/>
      <c r="E40" s="287"/>
      <c r="F40" s="347"/>
      <c r="G40" s="349"/>
    </row>
    <row r="41" spans="1:7" s="117" customFormat="1" ht="15.75" x14ac:dyDescent="0.5">
      <c r="A41" s="184"/>
      <c r="B41" s="286" t="s">
        <v>212</v>
      </c>
      <c r="C41" s="287" t="s">
        <v>87</v>
      </c>
      <c r="D41" s="288" t="s">
        <v>37</v>
      </c>
      <c r="E41" s="289">
        <v>1</v>
      </c>
      <c r="F41" s="347"/>
      <c r="G41" s="349">
        <f>E41*F41</f>
        <v>0</v>
      </c>
    </row>
    <row r="42" spans="1:7" s="117" customFormat="1" ht="15.75" x14ac:dyDescent="0.5">
      <c r="A42" s="184"/>
      <c r="C42" s="287" t="s">
        <v>46</v>
      </c>
      <c r="D42" s="183" t="str">
        <f ca="1">_xlfn.FORMULATEXT(E42)</f>
        <v>=19,1+0,2*4</v>
      </c>
      <c r="E42" s="287">
        <f>19.1+0.2*4</f>
        <v>19.900000000000002</v>
      </c>
      <c r="F42" s="347"/>
      <c r="G42" s="349">
        <f>E42*F42</f>
        <v>0</v>
      </c>
    </row>
    <row r="43" spans="1:7" s="117" customFormat="1" ht="15.75" x14ac:dyDescent="0.5">
      <c r="A43" s="184" t="s">
        <v>488</v>
      </c>
      <c r="B43" s="286" t="s">
        <v>508</v>
      </c>
      <c r="C43" s="287"/>
      <c r="D43" s="288"/>
      <c r="E43" s="287"/>
      <c r="F43" s="347"/>
      <c r="G43" s="348"/>
    </row>
    <row r="44" spans="1:7" s="117" customFormat="1" ht="15.75" x14ac:dyDescent="0.5">
      <c r="A44" s="184"/>
      <c r="B44" s="286" t="s">
        <v>509</v>
      </c>
      <c r="C44" s="287"/>
      <c r="D44" s="288"/>
      <c r="E44" s="287"/>
      <c r="F44" s="347"/>
      <c r="G44" s="349"/>
    </row>
    <row r="45" spans="1:7" s="117" customFormat="1" ht="15.75" x14ac:dyDescent="0.5">
      <c r="A45" s="184"/>
      <c r="B45" s="286" t="s">
        <v>244</v>
      </c>
      <c r="C45" s="287" t="s">
        <v>87</v>
      </c>
      <c r="D45" s="288" t="s">
        <v>37</v>
      </c>
      <c r="E45" s="289">
        <v>1</v>
      </c>
      <c r="F45" s="347"/>
      <c r="G45" s="349">
        <f>E45*F45</f>
        <v>0</v>
      </c>
    </row>
    <row r="46" spans="1:7" s="117" customFormat="1" ht="43.15" x14ac:dyDescent="0.5">
      <c r="A46" s="184" t="s">
        <v>489</v>
      </c>
      <c r="B46" s="286" t="s">
        <v>423</v>
      </c>
      <c r="C46" s="294" t="s">
        <v>45</v>
      </c>
      <c r="D46" s="236" t="str">
        <f ca="1">_xlfn.FORMULATEXT(E46)</f>
        <v>=19,6*7,6-4*1,2*1,8*2+4*1,6*1,8</v>
      </c>
      <c r="E46" s="294">
        <f>19.6*7.6-4*1.2*1.8*2+4*1.6*1.8</f>
        <v>143.20000000000002</v>
      </c>
      <c r="F46" s="359"/>
      <c r="G46" s="358">
        <f t="shared" ref="G46:G62" si="0">E46*F46</f>
        <v>0</v>
      </c>
    </row>
    <row r="47" spans="1:7" s="117" customFormat="1" ht="15.75" x14ac:dyDescent="0.5">
      <c r="A47" s="184" t="s">
        <v>490</v>
      </c>
      <c r="B47" s="286" t="s">
        <v>424</v>
      </c>
      <c r="C47" s="294" t="s">
        <v>45</v>
      </c>
      <c r="D47" s="236" t="str">
        <f ca="1">_xlfn.FORMULATEXT(E47)</f>
        <v>=5*2,2*0,15</v>
      </c>
      <c r="E47" s="294">
        <f>5*2.2*0.15</f>
        <v>1.65</v>
      </c>
      <c r="F47" s="359"/>
      <c r="G47" s="358">
        <f t="shared" si="0"/>
        <v>0</v>
      </c>
    </row>
    <row r="48" spans="1:7" s="117" customFormat="1" ht="15.75" x14ac:dyDescent="0.5">
      <c r="A48" s="184"/>
      <c r="B48" s="286" t="s">
        <v>346</v>
      </c>
      <c r="C48" s="294" t="s">
        <v>87</v>
      </c>
      <c r="D48" s="236" t="s">
        <v>37</v>
      </c>
      <c r="E48" s="295">
        <v>1</v>
      </c>
      <c r="F48" s="359"/>
      <c r="G48" s="358">
        <f t="shared" si="0"/>
        <v>0</v>
      </c>
    </row>
    <row r="49" spans="1:8" s="117" customFormat="1" ht="15.75" x14ac:dyDescent="0.5">
      <c r="A49" s="184" t="s">
        <v>491</v>
      </c>
      <c r="B49" s="286" t="s">
        <v>425</v>
      </c>
      <c r="C49" s="294" t="s">
        <v>45</v>
      </c>
      <c r="D49" s="236" t="str">
        <f ca="1">_xlfn.FORMULATEXT(E49)</f>
        <v>=5*2,2*0,15</v>
      </c>
      <c r="E49" s="294">
        <f>5*2.2*0.15</f>
        <v>1.65</v>
      </c>
      <c r="F49" s="359"/>
      <c r="G49" s="358">
        <f t="shared" si="0"/>
        <v>0</v>
      </c>
    </row>
    <row r="50" spans="1:8" s="117" customFormat="1" ht="15.75" x14ac:dyDescent="0.5">
      <c r="A50" s="184" t="s">
        <v>37</v>
      </c>
      <c r="B50" s="286" t="s">
        <v>345</v>
      </c>
      <c r="C50" s="294" t="s">
        <v>87</v>
      </c>
      <c r="D50" s="236" t="s">
        <v>37</v>
      </c>
      <c r="E50" s="295">
        <v>1</v>
      </c>
      <c r="F50" s="359"/>
      <c r="G50" s="358">
        <f t="shared" si="0"/>
        <v>0</v>
      </c>
    </row>
    <row r="51" spans="1:8" s="117" customFormat="1" ht="28.9" x14ac:dyDescent="0.5">
      <c r="A51" s="184" t="s">
        <v>492</v>
      </c>
      <c r="B51" s="286" t="s">
        <v>426</v>
      </c>
      <c r="C51" s="294" t="s">
        <v>45</v>
      </c>
      <c r="D51" s="236" t="str">
        <f ca="1">_xlfn.FORMULATEXT(E51)</f>
        <v>=((1,6+1,8*2)*4+(1,2+1,8*2)*4*2)*0,2</v>
      </c>
      <c r="E51" s="294">
        <f>((1.6+1.8*2)*4+(1.2+1.8*2)*4*2)*0.2</f>
        <v>11.840000000000002</v>
      </c>
      <c r="F51" s="359"/>
      <c r="G51" s="358">
        <f t="shared" si="0"/>
        <v>0</v>
      </c>
    </row>
    <row r="52" spans="1:8" s="117" customFormat="1" ht="15.75" x14ac:dyDescent="0.5">
      <c r="A52" s="184" t="s">
        <v>493</v>
      </c>
      <c r="B52" s="286" t="s">
        <v>427</v>
      </c>
      <c r="C52" s="294" t="s">
        <v>45</v>
      </c>
      <c r="D52" s="236" t="str">
        <f ca="1">_xlfn.FORMULATEXT(E52)</f>
        <v>=19,6*0,1*1</v>
      </c>
      <c r="E52" s="294">
        <f>19.6*0.1*1</f>
        <v>1.9600000000000002</v>
      </c>
      <c r="F52" s="359"/>
      <c r="G52" s="358">
        <f t="shared" si="0"/>
        <v>0</v>
      </c>
    </row>
    <row r="53" spans="1:8" s="117" customFormat="1" ht="15.75" x14ac:dyDescent="0.5">
      <c r="A53" s="184" t="s">
        <v>37</v>
      </c>
      <c r="B53" s="286" t="s">
        <v>344</v>
      </c>
      <c r="C53" s="294" t="s">
        <v>87</v>
      </c>
      <c r="D53" s="236" t="s">
        <v>37</v>
      </c>
      <c r="E53" s="295">
        <v>1</v>
      </c>
      <c r="F53" s="359"/>
      <c r="G53" s="358">
        <f t="shared" si="0"/>
        <v>0</v>
      </c>
    </row>
    <row r="54" spans="1:8" s="117" customFormat="1" ht="15.75" x14ac:dyDescent="0.5">
      <c r="A54" s="184" t="s">
        <v>494</v>
      </c>
      <c r="B54" s="286" t="s">
        <v>428</v>
      </c>
      <c r="C54" s="294" t="s">
        <v>45</v>
      </c>
      <c r="D54" s="236" t="str">
        <f ca="1">_xlfn.FORMULATEXT(E54)</f>
        <v>=5,4*0,3*4</v>
      </c>
      <c r="E54" s="294">
        <f>5.4*0.3*4</f>
        <v>6.48</v>
      </c>
      <c r="F54" s="359"/>
      <c r="G54" s="358">
        <f t="shared" si="0"/>
        <v>0</v>
      </c>
    </row>
    <row r="55" spans="1:8" s="117" customFormat="1" ht="15.75" x14ac:dyDescent="0.5">
      <c r="A55" s="184"/>
      <c r="B55" s="286" t="s">
        <v>429</v>
      </c>
      <c r="C55" s="294" t="s">
        <v>87</v>
      </c>
      <c r="D55" s="236" t="s">
        <v>37</v>
      </c>
      <c r="E55" s="295">
        <v>1</v>
      </c>
      <c r="F55" s="359"/>
      <c r="G55" s="358">
        <f t="shared" si="0"/>
        <v>0</v>
      </c>
    </row>
    <row r="56" spans="1:8" s="82" customFormat="1" x14ac:dyDescent="0.45">
      <c r="A56" s="291" t="s">
        <v>495</v>
      </c>
      <c r="B56" s="292" t="s">
        <v>430</v>
      </c>
      <c r="C56" s="237" t="s">
        <v>45</v>
      </c>
      <c r="D56" s="236" t="str">
        <f ca="1">_xlfn.FORMULATEXT(E56)</f>
        <v>=2,3*4*0,12</v>
      </c>
      <c r="E56" s="293">
        <f>2.3*4*0.12</f>
        <v>1.1039999999999999</v>
      </c>
      <c r="F56" s="357"/>
      <c r="G56" s="358">
        <f t="shared" si="0"/>
        <v>0</v>
      </c>
    </row>
    <row r="57" spans="1:8" s="82" customFormat="1" ht="28.5" x14ac:dyDescent="0.45">
      <c r="A57" s="291" t="s">
        <v>496</v>
      </c>
      <c r="B57" s="292" t="s">
        <v>431</v>
      </c>
      <c r="C57" s="237" t="s">
        <v>45</v>
      </c>
      <c r="D57" s="236" t="str">
        <f ca="1">_xlfn.FORMULATEXT(E57)</f>
        <v>=(7,7*2+0,3*4)*1-2*1*0,6</v>
      </c>
      <c r="E57" s="293">
        <f>(7.7*2+0.3*4)*1-2*1*0.6</f>
        <v>15.400000000000002</v>
      </c>
      <c r="F57" s="357"/>
      <c r="G57" s="358">
        <f t="shared" si="0"/>
        <v>0</v>
      </c>
    </row>
    <row r="58" spans="1:8" s="82" customFormat="1" x14ac:dyDescent="0.45">
      <c r="A58" s="291" t="s">
        <v>497</v>
      </c>
      <c r="B58" s="292" t="s">
        <v>444</v>
      </c>
      <c r="C58" s="237" t="s">
        <v>45</v>
      </c>
      <c r="D58" s="236" t="str">
        <f ca="1">_xlfn.FORMULATEXT(E58)</f>
        <v>=3,6*4-2,5*2,7</v>
      </c>
      <c r="E58" s="293">
        <f>3.6*4-2.5*2.7</f>
        <v>7.65</v>
      </c>
      <c r="F58" s="357"/>
      <c r="G58" s="358">
        <f t="shared" si="0"/>
        <v>0</v>
      </c>
    </row>
    <row r="59" spans="1:8" s="82" customFormat="1" x14ac:dyDescent="0.45">
      <c r="A59" s="291" t="s">
        <v>519</v>
      </c>
      <c r="B59" s="292" t="s">
        <v>457</v>
      </c>
      <c r="C59" s="237" t="s">
        <v>45</v>
      </c>
      <c r="D59" s="236" t="str">
        <f ca="1">_xlfn.FORMULATEXT(E59)</f>
        <v>=9,7*0,7*2</v>
      </c>
      <c r="E59" s="293">
        <f>9.7*0.7*2</f>
        <v>13.579999999999998</v>
      </c>
      <c r="F59" s="357"/>
      <c r="G59" s="358">
        <f t="shared" si="0"/>
        <v>0</v>
      </c>
    </row>
    <row r="60" spans="1:8" s="117" customFormat="1" ht="15.75" x14ac:dyDescent="0.5">
      <c r="A60" s="184" t="s">
        <v>37</v>
      </c>
      <c r="B60" s="286" t="s">
        <v>474</v>
      </c>
      <c r="C60" s="294" t="s">
        <v>87</v>
      </c>
      <c r="D60" s="236" t="s">
        <v>37</v>
      </c>
      <c r="E60" s="295">
        <v>1</v>
      </c>
      <c r="F60" s="359"/>
      <c r="G60" s="358">
        <f t="shared" si="0"/>
        <v>0</v>
      </c>
    </row>
    <row r="61" spans="1:8" s="82" customFormat="1" x14ac:dyDescent="0.45">
      <c r="A61" s="291" t="s">
        <v>520</v>
      </c>
      <c r="B61" s="292" t="s">
        <v>522</v>
      </c>
      <c r="C61" s="237" t="s">
        <v>46</v>
      </c>
      <c r="D61" s="236" t="str">
        <f t="shared" ref="D61:D62" ca="1" si="1">_xlfn.FORMULATEXT(E61)</f>
        <v>=(1*2+0,6*2)*2</v>
      </c>
      <c r="E61" s="293">
        <f>(1*2+0.6*2)*2</f>
        <v>6.4</v>
      </c>
      <c r="F61" s="357"/>
      <c r="G61" s="358">
        <f t="shared" si="0"/>
        <v>0</v>
      </c>
    </row>
    <row r="62" spans="1:8" s="82" customFormat="1" x14ac:dyDescent="0.45">
      <c r="A62" s="291" t="s">
        <v>521</v>
      </c>
      <c r="B62" s="292" t="s">
        <v>523</v>
      </c>
      <c r="C62" s="237" t="s">
        <v>46</v>
      </c>
      <c r="D62" s="236" t="str">
        <f t="shared" ca="1" si="1"/>
        <v>=6*1+8+8</v>
      </c>
      <c r="E62" s="293">
        <f>6*1+8+8</f>
        <v>22</v>
      </c>
      <c r="F62" s="357"/>
      <c r="G62" s="358">
        <f t="shared" si="0"/>
        <v>0</v>
      </c>
    </row>
    <row r="63" spans="1:8" s="87" customFormat="1" x14ac:dyDescent="0.45">
      <c r="A63" s="88"/>
      <c r="B63" s="171"/>
      <c r="C63" s="89"/>
      <c r="D63" s="258"/>
      <c r="E63" s="259"/>
      <c r="F63" s="380"/>
      <c r="G63" s="381"/>
      <c r="H63" s="172"/>
    </row>
    <row r="64" spans="1:8" s="82" customFormat="1" ht="42.75" x14ac:dyDescent="0.45">
      <c r="A64" s="241" t="s">
        <v>21</v>
      </c>
      <c r="B64" s="36" t="s">
        <v>260</v>
      </c>
      <c r="C64" s="40"/>
      <c r="D64" s="256"/>
      <c r="E64" s="257"/>
      <c r="F64" s="344"/>
      <c r="G64" s="344"/>
    </row>
    <row r="65" spans="1:8" s="135" customFormat="1" ht="42.75" x14ac:dyDescent="0.4">
      <c r="A65" s="173"/>
      <c r="B65" s="36" t="s">
        <v>205</v>
      </c>
      <c r="C65" s="71"/>
      <c r="D65" s="260"/>
      <c r="E65" s="261"/>
      <c r="F65" s="382"/>
      <c r="G65" s="382"/>
    </row>
    <row r="66" spans="1:8" s="135" customFormat="1" ht="28.5" x14ac:dyDescent="0.4">
      <c r="A66" s="173"/>
      <c r="B66" s="36" t="s">
        <v>206</v>
      </c>
      <c r="C66" s="71"/>
      <c r="D66" s="260"/>
      <c r="E66" s="261"/>
      <c r="F66" s="382"/>
      <c r="G66" s="382"/>
    </row>
    <row r="67" spans="1:8" s="135" customFormat="1" ht="57" x14ac:dyDescent="0.45">
      <c r="A67" s="173"/>
      <c r="B67" s="36" t="s">
        <v>207</v>
      </c>
      <c r="C67" s="40" t="s">
        <v>45</v>
      </c>
      <c r="D67" s="256" t="str">
        <f ca="1">_xlfn.FORMULATEXT(E67)</f>
        <v>=(19,6-2,5)*3</v>
      </c>
      <c r="E67" s="257">
        <f>(19.6-2.5)*3</f>
        <v>51.300000000000004</v>
      </c>
      <c r="F67" s="342"/>
      <c r="G67" s="342">
        <f>E67*F67</f>
        <v>0</v>
      </c>
    </row>
    <row r="68" spans="1:8" s="82" customFormat="1" x14ac:dyDescent="0.45">
      <c r="A68" s="75"/>
      <c r="B68" s="36"/>
      <c r="C68" s="40"/>
      <c r="D68" s="262"/>
      <c r="E68" s="263"/>
      <c r="F68" s="383"/>
      <c r="G68" s="342"/>
    </row>
    <row r="69" spans="1:8" s="82" customFormat="1" x14ac:dyDescent="0.45">
      <c r="A69" s="174"/>
      <c r="B69" s="70"/>
      <c r="C69" s="31"/>
      <c r="D69" s="265"/>
      <c r="E69" s="264"/>
      <c r="F69" s="341"/>
      <c r="G69" s="380"/>
      <c r="H69" s="175"/>
    </row>
    <row r="70" spans="1:8" s="82" customFormat="1" x14ac:dyDescent="0.45">
      <c r="A70" s="246" t="s">
        <v>237</v>
      </c>
      <c r="B70" s="122" t="s">
        <v>79</v>
      </c>
      <c r="C70" s="123"/>
      <c r="D70" s="267"/>
      <c r="E70" s="268"/>
      <c r="F70" s="384"/>
      <c r="G70" s="385">
        <f>SUM(G12:G69)</f>
        <v>0</v>
      </c>
    </row>
    <row r="71" spans="1:8" s="82" customFormat="1" x14ac:dyDescent="0.45">
      <c r="A71" s="174"/>
      <c r="B71" s="102"/>
      <c r="C71" s="31"/>
      <c r="D71" s="265"/>
      <c r="E71" s="264"/>
      <c r="F71" s="383"/>
      <c r="G71" s="342"/>
    </row>
    <row r="147" spans="1:52" s="67" customFormat="1" ht="14.65" x14ac:dyDescent="0.5">
      <c r="A147" s="230"/>
      <c r="B147" s="231"/>
      <c r="C147" s="232"/>
      <c r="D147" s="265"/>
      <c r="E147" s="264"/>
      <c r="F147" s="383"/>
      <c r="G147" s="342"/>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s="67" customFormat="1" ht="14.65" x14ac:dyDescent="0.45">
      <c r="A148" s="230"/>
      <c r="B148" s="231"/>
      <c r="C148" s="164"/>
      <c r="D148" s="265"/>
      <c r="E148" s="264"/>
      <c r="F148" s="383"/>
      <c r="G148" s="342"/>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s="67" customFormat="1" ht="14.65" x14ac:dyDescent="0.45">
      <c r="A149" s="230"/>
      <c r="B149" s="231"/>
      <c r="C149" s="164"/>
      <c r="D149" s="265"/>
      <c r="E149" s="264"/>
      <c r="F149" s="383"/>
      <c r="G149" s="342"/>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DC3F-63A6-4A99-8F10-A6FFE2529B37}">
  <sheetPr>
    <pageSetUpPr fitToPage="1"/>
  </sheetPr>
  <dimension ref="A1:AZ130"/>
  <sheetViews>
    <sheetView view="pageBreakPreview" zoomScaleSheetLayoutView="100" workbookViewId="0">
      <selection activeCell="I11" sqref="I1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8" s="82" customFormat="1" ht="15" customHeight="1" x14ac:dyDescent="0.45">
      <c r="A1" s="204" t="s">
        <v>82</v>
      </c>
      <c r="B1" s="205" t="s">
        <v>88</v>
      </c>
      <c r="C1" s="38"/>
      <c r="D1" s="78"/>
      <c r="E1" s="38"/>
      <c r="F1" s="311"/>
      <c r="G1" s="312"/>
    </row>
    <row r="2" spans="1:8" s="82" customFormat="1" x14ac:dyDescent="0.45">
      <c r="A2" s="81" t="s">
        <v>235</v>
      </c>
      <c r="B2" s="36" t="s">
        <v>361</v>
      </c>
      <c r="C2" s="38"/>
      <c r="D2" s="78"/>
      <c r="E2" s="38"/>
      <c r="F2" s="311"/>
      <c r="G2" s="312"/>
    </row>
    <row r="3" spans="1:8" s="82" customFormat="1" ht="171" x14ac:dyDescent="0.45">
      <c r="A3" s="81" t="s">
        <v>20</v>
      </c>
      <c r="B3" s="36" t="s">
        <v>280</v>
      </c>
      <c r="C3" s="40"/>
      <c r="D3" s="78"/>
      <c r="E3" s="38"/>
      <c r="F3" s="311"/>
      <c r="G3" s="312"/>
    </row>
    <row r="4" spans="1:8" s="82" customFormat="1" x14ac:dyDescent="0.45">
      <c r="A4" s="81"/>
      <c r="B4" s="36" t="s">
        <v>84</v>
      </c>
      <c r="C4" s="38" t="s">
        <v>47</v>
      </c>
      <c r="D4" s="78" t="s">
        <v>37</v>
      </c>
      <c r="E4" s="206">
        <v>10</v>
      </c>
      <c r="F4" s="311"/>
      <c r="G4" s="312">
        <f>E4*F4</f>
        <v>0</v>
      </c>
    </row>
    <row r="5" spans="1:8" s="82" customFormat="1" x14ac:dyDescent="0.45">
      <c r="A5" s="81"/>
      <c r="B5" s="36" t="s">
        <v>85</v>
      </c>
      <c r="C5" s="38" t="s">
        <v>47</v>
      </c>
      <c r="D5" s="78" t="s">
        <v>37</v>
      </c>
      <c r="E5" s="206">
        <v>1</v>
      </c>
      <c r="F5" s="311"/>
      <c r="G5" s="312">
        <f>E5*F5</f>
        <v>0</v>
      </c>
    </row>
    <row r="6" spans="1:8" s="87" customFormat="1" x14ac:dyDescent="0.45">
      <c r="A6" s="75"/>
      <c r="B6" s="80"/>
      <c r="C6" s="31"/>
      <c r="D6" s="67"/>
      <c r="E6" s="31"/>
      <c r="F6" s="313"/>
      <c r="G6" s="329"/>
    </row>
    <row r="7" spans="1:8" s="82" customFormat="1" x14ac:dyDescent="0.45">
      <c r="A7" s="137" t="s">
        <v>235</v>
      </c>
      <c r="B7" s="138" t="s">
        <v>69</v>
      </c>
      <c r="C7" s="100"/>
      <c r="D7" s="139"/>
      <c r="E7" s="100"/>
      <c r="F7" s="333"/>
      <c r="G7" s="334">
        <f>SUM(G4:G6)</f>
        <v>0</v>
      </c>
    </row>
    <row r="8" spans="1:8" s="87" customFormat="1" x14ac:dyDescent="0.45">
      <c r="A8" s="75"/>
      <c r="B8" s="80"/>
      <c r="C8" s="31"/>
      <c r="D8" s="67"/>
      <c r="E8" s="31"/>
      <c r="F8" s="313"/>
      <c r="G8" s="329"/>
    </row>
    <row r="9" spans="1:8" s="82" customFormat="1" ht="28.5" x14ac:dyDescent="0.45">
      <c r="A9" s="81" t="s">
        <v>236</v>
      </c>
      <c r="B9" s="101" t="s">
        <v>358</v>
      </c>
      <c r="C9" s="38"/>
      <c r="D9" s="78"/>
      <c r="E9" s="38"/>
      <c r="F9" s="311"/>
      <c r="G9" s="312"/>
      <c r="H9" s="140"/>
    </row>
    <row r="10" spans="1:8" s="82" customFormat="1" x14ac:dyDescent="0.45">
      <c r="A10" s="126" t="s">
        <v>20</v>
      </c>
      <c r="B10" s="36" t="s">
        <v>354</v>
      </c>
      <c r="C10" s="38"/>
      <c r="D10" s="78"/>
      <c r="E10" s="38"/>
      <c r="F10" s="311"/>
      <c r="G10" s="312"/>
      <c r="H10" s="142"/>
    </row>
    <row r="11" spans="1:8" s="82" customFormat="1" ht="142.5" x14ac:dyDescent="0.45">
      <c r="A11" s="126"/>
      <c r="B11" s="36" t="s">
        <v>363</v>
      </c>
      <c r="C11" s="38"/>
      <c r="D11" s="78"/>
      <c r="E11" s="38"/>
      <c r="F11" s="311"/>
      <c r="G11" s="312"/>
      <c r="H11" s="142"/>
    </row>
    <row r="12" spans="1:8" s="82" customFormat="1" ht="42.75" x14ac:dyDescent="0.45">
      <c r="A12" s="81"/>
      <c r="B12" s="36" t="s">
        <v>362</v>
      </c>
      <c r="C12" s="38"/>
      <c r="D12" s="78"/>
      <c r="E12" s="38"/>
      <c r="F12" s="311"/>
      <c r="G12" s="312"/>
    </row>
    <row r="13" spans="1:8" s="82" customFormat="1" ht="63.4" customHeight="1" x14ac:dyDescent="0.45">
      <c r="A13" s="81"/>
      <c r="B13" s="36" t="s">
        <v>502</v>
      </c>
      <c r="C13" s="38"/>
      <c r="D13" s="78"/>
      <c r="E13" s="38"/>
      <c r="F13" s="311"/>
      <c r="G13" s="312"/>
    </row>
    <row r="14" spans="1:8" s="82" customFormat="1" x14ac:dyDescent="0.45">
      <c r="A14" s="126"/>
      <c r="B14" s="36"/>
      <c r="C14" s="38" t="s">
        <v>47</v>
      </c>
      <c r="D14" s="78" t="s">
        <v>37</v>
      </c>
      <c r="E14" s="79">
        <v>1</v>
      </c>
      <c r="F14" s="311"/>
      <c r="G14" s="312">
        <f>E14*F14</f>
        <v>0</v>
      </c>
      <c r="H14" s="142"/>
    </row>
    <row r="15" spans="1:8" s="115" customFormat="1" ht="66" customHeight="1" x14ac:dyDescent="0.45">
      <c r="A15" s="126" t="s">
        <v>21</v>
      </c>
      <c r="B15" s="92" t="s">
        <v>268</v>
      </c>
      <c r="C15" s="207" t="s">
        <v>47</v>
      </c>
      <c r="D15" s="94" t="s">
        <v>37</v>
      </c>
      <c r="E15" s="86">
        <v>2</v>
      </c>
      <c r="F15" s="311"/>
      <c r="G15" s="312">
        <f>E15*F15</f>
        <v>0</v>
      </c>
    </row>
    <row r="16" spans="1:8" s="115" customFormat="1" ht="42.75" x14ac:dyDescent="0.45">
      <c r="A16" s="296" t="s">
        <v>22</v>
      </c>
      <c r="B16" s="286" t="s">
        <v>504</v>
      </c>
      <c r="C16" s="115" t="s">
        <v>47</v>
      </c>
      <c r="D16" s="288" t="s">
        <v>37</v>
      </c>
      <c r="E16" s="83">
        <v>1</v>
      </c>
      <c r="F16" s="350"/>
      <c r="G16" s="349">
        <f>E16*F16</f>
        <v>0</v>
      </c>
    </row>
    <row r="17" spans="1:8" s="115" customFormat="1" x14ac:dyDescent="0.45">
      <c r="A17" s="296"/>
      <c r="B17" s="286"/>
      <c r="D17" s="288"/>
      <c r="E17" s="83"/>
      <c r="F17" s="350"/>
      <c r="G17" s="349"/>
    </row>
    <row r="18" spans="1:8" s="115" customFormat="1" ht="42.75" x14ac:dyDescent="0.45">
      <c r="A18" s="296" t="s">
        <v>23</v>
      </c>
      <c r="B18" s="286" t="s">
        <v>524</v>
      </c>
      <c r="C18" s="115" t="s">
        <v>47</v>
      </c>
      <c r="D18" s="288" t="s">
        <v>37</v>
      </c>
      <c r="E18" s="83">
        <v>1</v>
      </c>
      <c r="F18" s="350"/>
      <c r="G18" s="349">
        <f>E18*F18</f>
        <v>0</v>
      </c>
    </row>
    <row r="19" spans="1:8" s="115" customFormat="1" ht="15.75" customHeight="1" x14ac:dyDescent="0.45">
      <c r="A19" s="126"/>
      <c r="B19" s="92"/>
      <c r="C19" s="207"/>
      <c r="D19" s="94"/>
      <c r="E19" s="93"/>
      <c r="F19" s="311"/>
      <c r="G19" s="312"/>
    </row>
    <row r="20" spans="1:8" s="82" customFormat="1" ht="28.5" x14ac:dyDescent="0.45">
      <c r="A20" s="137" t="s">
        <v>301</v>
      </c>
      <c r="B20" s="138" t="s">
        <v>358</v>
      </c>
      <c r="C20" s="100"/>
      <c r="D20" s="139"/>
      <c r="E20" s="100"/>
      <c r="F20" s="333"/>
      <c r="G20" s="334">
        <f>SUM(G13:G16)</f>
        <v>0</v>
      </c>
      <c r="H20" s="142"/>
    </row>
    <row r="21" spans="1:8" s="87" customFormat="1" x14ac:dyDescent="0.45">
      <c r="A21" s="132"/>
      <c r="B21" s="80"/>
      <c r="C21" s="31"/>
      <c r="D21" s="67"/>
      <c r="E21" s="31"/>
      <c r="F21" s="313"/>
      <c r="G21" s="329"/>
      <c r="H21" s="208"/>
    </row>
    <row r="22" spans="1:8" s="87" customFormat="1" x14ac:dyDescent="0.45">
      <c r="A22" s="132"/>
      <c r="B22" s="80"/>
      <c r="C22" s="31"/>
      <c r="D22" s="67"/>
      <c r="E22" s="31"/>
      <c r="F22" s="313"/>
      <c r="G22" s="329"/>
      <c r="H22" s="208"/>
    </row>
    <row r="128" spans="1:52" s="67" customFormat="1" ht="14.65" x14ac:dyDescent="0.5">
      <c r="A128" s="230"/>
      <c r="B128" s="231"/>
      <c r="C128" s="232"/>
      <c r="E128" s="31"/>
      <c r="F128" s="313"/>
      <c r="G128" s="329"/>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s="67" customFormat="1" ht="14.65" x14ac:dyDescent="0.45">
      <c r="A129" s="230"/>
      <c r="B129" s="231"/>
      <c r="C129" s="164"/>
      <c r="E129" s="31"/>
      <c r="F129" s="313"/>
      <c r="G129" s="3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s="67" customFormat="1" ht="14.65" x14ac:dyDescent="0.45">
      <c r="A130" s="230"/>
      <c r="B130" s="231"/>
      <c r="C130" s="164"/>
      <c r="E130" s="31"/>
      <c r="F130" s="313"/>
      <c r="G130" s="329"/>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27D6-A23F-4B21-949E-4B44D0EE20F8}">
  <sheetPr>
    <pageSetUpPr fitToPage="1"/>
  </sheetPr>
  <dimension ref="A1:AZ94"/>
  <sheetViews>
    <sheetView view="pageBreakPreview" topLeftCell="A20" zoomScaleSheetLayoutView="100" workbookViewId="0">
      <selection activeCell="J21" sqref="J21"/>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7" ht="21" x14ac:dyDescent="0.45">
      <c r="A1" s="24"/>
      <c r="B1" s="176" t="s">
        <v>414</v>
      </c>
      <c r="C1" s="177"/>
      <c r="D1" s="178"/>
      <c r="E1" s="177"/>
      <c r="F1" s="315"/>
      <c r="G1" s="356"/>
    </row>
    <row r="2" spans="1:7" s="82" customFormat="1" x14ac:dyDescent="0.45">
      <c r="A2" s="180" t="s">
        <v>417</v>
      </c>
      <c r="B2" s="181" t="s">
        <v>67</v>
      </c>
      <c r="C2" s="182"/>
      <c r="D2" s="183"/>
      <c r="E2" s="182"/>
      <c r="F2" s="350"/>
      <c r="G2" s="349"/>
    </row>
    <row r="3" spans="1:7" s="187" customFormat="1" ht="15.75" x14ac:dyDescent="0.5">
      <c r="A3" s="184"/>
      <c r="B3" s="185" t="s">
        <v>401</v>
      </c>
      <c r="C3" s="186"/>
      <c r="D3" s="186"/>
      <c r="E3" s="186"/>
      <c r="F3" s="348"/>
      <c r="G3" s="386"/>
    </row>
    <row r="4" spans="1:7" s="187" customFormat="1" ht="71.25" x14ac:dyDescent="0.5">
      <c r="A4" s="184" t="s">
        <v>20</v>
      </c>
      <c r="B4" s="188" t="s">
        <v>402</v>
      </c>
      <c r="C4" s="186"/>
      <c r="D4" s="186"/>
      <c r="E4" s="186"/>
      <c r="F4" s="348"/>
      <c r="G4" s="386"/>
    </row>
    <row r="5" spans="1:7" s="189" customFormat="1" x14ac:dyDescent="0.45">
      <c r="A5" s="184"/>
      <c r="B5" s="185" t="s">
        <v>403</v>
      </c>
      <c r="C5" s="186"/>
      <c r="D5" s="186"/>
      <c r="E5" s="186"/>
      <c r="F5" s="348"/>
      <c r="G5" s="386"/>
    </row>
    <row r="6" spans="1:7" s="189" customFormat="1" x14ac:dyDescent="0.45">
      <c r="A6" s="184"/>
      <c r="B6" s="185" t="s">
        <v>404</v>
      </c>
      <c r="C6" s="186"/>
      <c r="D6" s="186"/>
      <c r="E6" s="186"/>
      <c r="F6" s="348"/>
      <c r="G6" s="386"/>
    </row>
    <row r="7" spans="1:7" s="189" customFormat="1" x14ac:dyDescent="0.45">
      <c r="A7" s="184"/>
      <c r="B7" s="185" t="s">
        <v>405</v>
      </c>
      <c r="C7" s="186"/>
      <c r="D7" s="186"/>
      <c r="E7" s="186"/>
      <c r="F7" s="348"/>
      <c r="G7" s="386"/>
    </row>
    <row r="8" spans="1:7" s="189" customFormat="1" ht="139.5" customHeight="1" x14ac:dyDescent="0.45">
      <c r="A8" s="184" t="s">
        <v>41</v>
      </c>
      <c r="B8" s="188" t="s">
        <v>406</v>
      </c>
      <c r="C8" s="186"/>
      <c r="D8" s="186"/>
      <c r="E8" s="186"/>
      <c r="F8" s="348"/>
      <c r="G8" s="386"/>
    </row>
    <row r="9" spans="1:7" s="189" customFormat="1" x14ac:dyDescent="0.45">
      <c r="A9" s="184"/>
      <c r="B9" s="185" t="s">
        <v>407</v>
      </c>
      <c r="C9" s="186"/>
      <c r="D9" s="186"/>
      <c r="E9" s="186"/>
      <c r="F9" s="348"/>
      <c r="G9" s="386"/>
    </row>
    <row r="10" spans="1:7" s="189" customFormat="1" x14ac:dyDescent="0.45">
      <c r="A10" s="184"/>
      <c r="B10" s="185" t="s">
        <v>445</v>
      </c>
      <c r="C10" s="186" t="s">
        <v>47</v>
      </c>
      <c r="D10" s="82"/>
      <c r="E10" s="190">
        <v>7</v>
      </c>
      <c r="F10" s="348"/>
      <c r="G10" s="349">
        <f>E10*F10</f>
        <v>0</v>
      </c>
    </row>
    <row r="11" spans="1:7" s="189" customFormat="1" x14ac:dyDescent="0.45">
      <c r="A11" s="184"/>
      <c r="B11" s="185" t="s">
        <v>446</v>
      </c>
      <c r="C11" s="186"/>
      <c r="D11" s="186"/>
      <c r="E11" s="186"/>
      <c r="F11" s="348"/>
      <c r="G11" s="386"/>
    </row>
    <row r="12" spans="1:7" s="189" customFormat="1" x14ac:dyDescent="0.45">
      <c r="A12" s="184"/>
      <c r="B12" s="185" t="s">
        <v>408</v>
      </c>
      <c r="C12" s="186" t="s">
        <v>47</v>
      </c>
      <c r="D12" s="82"/>
      <c r="E12" s="190">
        <v>6</v>
      </c>
      <c r="F12" s="348"/>
      <c r="G12" s="349">
        <f>E12*F12</f>
        <v>0</v>
      </c>
    </row>
    <row r="13" spans="1:7" s="189" customFormat="1" ht="77.25" customHeight="1" x14ac:dyDescent="0.45">
      <c r="A13" s="184" t="s">
        <v>42</v>
      </c>
      <c r="B13" s="188" t="s">
        <v>528</v>
      </c>
      <c r="C13" s="186"/>
      <c r="D13" s="186"/>
      <c r="E13" s="186"/>
      <c r="F13" s="348"/>
      <c r="G13" s="386"/>
    </row>
    <row r="14" spans="1:7" s="189" customFormat="1" x14ac:dyDescent="0.45">
      <c r="A14" s="184"/>
      <c r="B14" s="185" t="s">
        <v>526</v>
      </c>
      <c r="C14" s="186"/>
      <c r="D14" s="186"/>
      <c r="E14" s="186"/>
      <c r="F14" s="348"/>
      <c r="G14" s="386"/>
    </row>
    <row r="15" spans="1:7" s="189" customFormat="1" x14ac:dyDescent="0.45">
      <c r="A15" s="184"/>
      <c r="B15" s="185" t="s">
        <v>527</v>
      </c>
      <c r="C15" s="186" t="s">
        <v>47</v>
      </c>
      <c r="D15" s="82"/>
      <c r="E15" s="190">
        <v>2</v>
      </c>
      <c r="F15" s="348"/>
      <c r="G15" s="349">
        <f>E15*F15</f>
        <v>0</v>
      </c>
    </row>
    <row r="16" spans="1:7" s="82" customFormat="1" x14ac:dyDescent="0.45">
      <c r="A16" s="191" t="s">
        <v>417</v>
      </c>
      <c r="B16" s="192" t="s">
        <v>415</v>
      </c>
      <c r="C16" s="193"/>
      <c r="D16" s="194"/>
      <c r="E16" s="193"/>
      <c r="F16" s="387"/>
      <c r="G16" s="388">
        <f>SUM(G8:G12)</f>
        <v>0</v>
      </c>
    </row>
    <row r="17" spans="1:7" s="82" customFormat="1" x14ac:dyDescent="0.45">
      <c r="A17" s="180"/>
      <c r="B17" s="181"/>
      <c r="C17" s="182"/>
      <c r="D17" s="183"/>
      <c r="E17" s="182"/>
      <c r="F17" s="350"/>
      <c r="G17" s="349"/>
    </row>
    <row r="18" spans="1:7" s="189" customFormat="1" x14ac:dyDescent="0.45">
      <c r="A18" s="195" t="s">
        <v>418</v>
      </c>
      <c r="B18" s="196" t="s">
        <v>58</v>
      </c>
      <c r="C18" s="197"/>
      <c r="D18" s="197"/>
      <c r="E18" s="197"/>
      <c r="F18" s="389"/>
      <c r="G18" s="390"/>
    </row>
    <row r="19" spans="1:7" s="189" customFormat="1" ht="28.5" x14ac:dyDescent="0.45">
      <c r="A19" s="198" t="s">
        <v>20</v>
      </c>
      <c r="B19" s="196" t="s">
        <v>458</v>
      </c>
      <c r="C19" s="197"/>
      <c r="D19" s="197"/>
      <c r="E19" s="197"/>
      <c r="F19" s="389"/>
      <c r="G19" s="391"/>
    </row>
    <row r="20" spans="1:7" s="189" customFormat="1" ht="114" x14ac:dyDescent="0.45">
      <c r="A20" s="11"/>
      <c r="B20" s="196" t="s">
        <v>411</v>
      </c>
      <c r="C20" s="197"/>
      <c r="D20" s="197"/>
      <c r="E20" s="197"/>
      <c r="F20" s="389"/>
      <c r="G20" s="392"/>
    </row>
    <row r="21" spans="1:7" s="189" customFormat="1" ht="42.75" x14ac:dyDescent="0.45">
      <c r="A21" s="11"/>
      <c r="B21" s="196" t="s">
        <v>409</v>
      </c>
      <c r="C21" s="197"/>
      <c r="D21" s="197"/>
      <c r="E21" s="197"/>
      <c r="F21" s="389"/>
      <c r="G21" s="392"/>
    </row>
    <row r="22" spans="1:7" s="189" customFormat="1" x14ac:dyDescent="0.45">
      <c r="A22" s="11" t="s">
        <v>41</v>
      </c>
      <c r="B22" s="196" t="s">
        <v>412</v>
      </c>
      <c r="C22" s="199"/>
      <c r="D22" s="179"/>
      <c r="E22" s="197"/>
      <c r="F22" s="389"/>
      <c r="G22" s="392"/>
    </row>
    <row r="23" spans="1:7" s="189" customFormat="1" x14ac:dyDescent="0.45">
      <c r="A23" s="11"/>
      <c r="B23" s="196" t="s">
        <v>525</v>
      </c>
      <c r="C23" s="197" t="s">
        <v>47</v>
      </c>
      <c r="D23" s="82"/>
      <c r="E23" s="200">
        <v>2</v>
      </c>
      <c r="F23" s="393"/>
      <c r="G23" s="394">
        <f>E23*F23</f>
        <v>0</v>
      </c>
    </row>
    <row r="24" spans="1:7" s="189" customFormat="1" x14ac:dyDescent="0.45">
      <c r="A24" s="201" t="s">
        <v>418</v>
      </c>
      <c r="B24" s="202" t="s">
        <v>410</v>
      </c>
      <c r="C24" s="203"/>
      <c r="D24" s="203"/>
      <c r="E24" s="203"/>
      <c r="F24" s="356"/>
      <c r="G24" s="388">
        <f>SUM(G20:G23)</f>
        <v>0</v>
      </c>
    </row>
    <row r="25" spans="1:7" s="189" customFormat="1" x14ac:dyDescent="0.45">
      <c r="A25" s="274"/>
      <c r="B25" s="275"/>
      <c r="C25" s="203"/>
      <c r="D25" s="203"/>
      <c r="E25" s="203"/>
      <c r="F25" s="356"/>
      <c r="G25" s="388"/>
    </row>
    <row r="26" spans="1:7" s="189" customFormat="1" ht="28.5" x14ac:dyDescent="0.45">
      <c r="A26" s="276" t="s">
        <v>503</v>
      </c>
      <c r="B26" s="277" t="s">
        <v>358</v>
      </c>
      <c r="C26" s="278"/>
      <c r="D26" s="278"/>
      <c r="E26" s="278"/>
      <c r="F26" s="395"/>
      <c r="G26" s="394">
        <f>SUM(G21:G24)</f>
        <v>0</v>
      </c>
    </row>
    <row r="27" spans="1:7" s="189" customFormat="1" ht="139.5" customHeight="1" x14ac:dyDescent="0.45">
      <c r="A27" s="184" t="s">
        <v>20</v>
      </c>
      <c r="B27" s="188" t="s">
        <v>501</v>
      </c>
      <c r="C27" s="186"/>
      <c r="D27" s="186"/>
      <c r="E27" s="186"/>
      <c r="F27" s="348"/>
      <c r="G27" s="386"/>
    </row>
    <row r="28" spans="1:7" s="189" customFormat="1" x14ac:dyDescent="0.45">
      <c r="A28" s="184" t="s">
        <v>41</v>
      </c>
      <c r="B28" s="185" t="s">
        <v>445</v>
      </c>
      <c r="C28" s="186" t="s">
        <v>47</v>
      </c>
      <c r="D28" s="82"/>
      <c r="E28" s="190">
        <v>1</v>
      </c>
      <c r="F28" s="348"/>
      <c r="G28" s="349">
        <f>E28*F28</f>
        <v>0</v>
      </c>
    </row>
    <row r="29" spans="1:7" s="189" customFormat="1" x14ac:dyDescent="0.45">
      <c r="A29" s="184" t="s">
        <v>42</v>
      </c>
      <c r="B29" s="185" t="s">
        <v>408</v>
      </c>
      <c r="C29" s="186" t="s">
        <v>47</v>
      </c>
      <c r="D29" s="82"/>
      <c r="E29" s="190">
        <v>2</v>
      </c>
      <c r="F29" s="348"/>
      <c r="G29" s="349">
        <f>E29*F29</f>
        <v>0</v>
      </c>
    </row>
    <row r="30" spans="1:7" s="189" customFormat="1" x14ac:dyDescent="0.45">
      <c r="A30" s="184"/>
      <c r="B30" s="185"/>
      <c r="C30" s="186"/>
      <c r="D30" s="82"/>
      <c r="E30" s="190"/>
      <c r="F30" s="348"/>
      <c r="G30" s="349"/>
    </row>
    <row r="31" spans="1:7" ht="28.5" x14ac:dyDescent="0.45">
      <c r="A31" s="279" t="s">
        <v>503</v>
      </c>
      <c r="B31" s="280" t="s">
        <v>358</v>
      </c>
      <c r="C31" s="123"/>
      <c r="D31" s="124"/>
      <c r="E31" s="123"/>
      <c r="F31" s="351"/>
      <c r="G31" s="352"/>
    </row>
    <row r="92" spans="1:52" s="67" customFormat="1" ht="14.65" x14ac:dyDescent="0.5">
      <c r="A92" s="230"/>
      <c r="B92" s="231"/>
      <c r="C92" s="232"/>
      <c r="E92" s="31"/>
      <c r="F92" s="313"/>
      <c r="G92" s="329"/>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s="67" customFormat="1" ht="14.65" x14ac:dyDescent="0.45">
      <c r="A93" s="230"/>
      <c r="B93" s="231"/>
      <c r="C93" s="164"/>
      <c r="E93" s="31"/>
      <c r="F93" s="313"/>
      <c r="G93" s="329"/>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s="67" customFormat="1" ht="14.65" x14ac:dyDescent="0.45">
      <c r="A94" s="230"/>
      <c r="B94" s="231"/>
      <c r="C94" s="164"/>
      <c r="E94" s="31"/>
      <c r="F94" s="313"/>
      <c r="G94" s="329"/>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rowBreaks count="1" manualBreakCount="1">
    <brk id="2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38DF-A888-4973-BB91-2A6FB6D40686}">
  <sheetPr>
    <pageSetUpPr fitToPage="1"/>
  </sheetPr>
  <dimension ref="A1:AZ142"/>
  <sheetViews>
    <sheetView view="pageBreakPreview" zoomScaleSheetLayoutView="100" workbookViewId="0">
      <selection activeCell="I10" sqref="I10"/>
    </sheetView>
  </sheetViews>
  <sheetFormatPr defaultRowHeight="14.25" x14ac:dyDescent="0.45"/>
  <cols>
    <col min="1" max="1" width="5.73046875" style="75" customWidth="1"/>
    <col min="2" max="2" width="43.59765625" style="80" customWidth="1"/>
    <col min="3" max="3" width="7.59765625" style="31" customWidth="1"/>
    <col min="4" max="4" width="17.59765625" style="67" customWidth="1"/>
    <col min="5" max="5" width="8.73046875" style="31" customWidth="1"/>
    <col min="6" max="6" width="9.59765625" style="313" customWidth="1"/>
    <col min="7" max="7" width="12.73046875" style="329" customWidth="1"/>
    <col min="8" max="8" width="11.73046875" bestFit="1" customWidth="1"/>
    <col min="9" max="9" width="19.1328125" customWidth="1"/>
  </cols>
  <sheetData>
    <row r="1" spans="1:7" s="82" customFormat="1" x14ac:dyDescent="0.45">
      <c r="A1" s="81"/>
      <c r="B1" s="36"/>
      <c r="C1" s="78"/>
      <c r="D1" s="78"/>
      <c r="E1" s="206"/>
      <c r="F1" s="311"/>
      <c r="G1" s="312"/>
    </row>
    <row r="2" spans="1:7" x14ac:dyDescent="0.45">
      <c r="A2" s="132"/>
      <c r="B2"/>
      <c r="G2" s="314"/>
    </row>
    <row r="3" spans="1:7" s="1" customFormat="1" ht="15" customHeight="1" x14ac:dyDescent="0.65">
      <c r="A3" s="233"/>
      <c r="B3" s="234" t="s">
        <v>422</v>
      </c>
      <c r="C3" s="235"/>
      <c r="D3" s="236"/>
      <c r="E3" s="237"/>
      <c r="F3" s="315"/>
      <c r="G3" s="316"/>
    </row>
    <row r="4" spans="1:7" s="1" customFormat="1" ht="15" customHeight="1" x14ac:dyDescent="0.65">
      <c r="A4" s="233"/>
      <c r="B4" s="234"/>
      <c r="C4" s="235"/>
      <c r="D4" s="236"/>
      <c r="E4" s="237"/>
      <c r="F4" s="315"/>
      <c r="G4" s="316"/>
    </row>
    <row r="5" spans="1:7" s="1" customFormat="1" ht="15" customHeight="1" x14ac:dyDescent="0.65">
      <c r="A5" s="233"/>
      <c r="B5" s="234"/>
      <c r="C5" s="235"/>
      <c r="D5" s="236"/>
      <c r="E5" s="237"/>
      <c r="F5" s="315"/>
      <c r="G5" s="316"/>
    </row>
    <row r="6" spans="1:7" s="1" customFormat="1" ht="15" customHeight="1" x14ac:dyDescent="0.65">
      <c r="A6" s="233"/>
      <c r="B6" s="234"/>
      <c r="C6" s="235"/>
      <c r="D6" s="236"/>
      <c r="E6" s="237"/>
      <c r="F6" s="315"/>
      <c r="G6" s="316"/>
    </row>
    <row r="7" spans="1:7" s="82" customFormat="1" ht="21" x14ac:dyDescent="0.65">
      <c r="A7" s="18"/>
      <c r="B7" s="209" t="s">
        <v>413</v>
      </c>
      <c r="C7" s="210"/>
      <c r="D7" s="211"/>
      <c r="E7" s="210"/>
      <c r="F7" s="317"/>
      <c r="G7" s="312"/>
    </row>
    <row r="8" spans="1:7" s="82" customFormat="1" x14ac:dyDescent="0.45">
      <c r="A8" s="116" t="s">
        <v>80</v>
      </c>
      <c r="B8" s="212" t="s">
        <v>81</v>
      </c>
      <c r="C8" s="210"/>
      <c r="D8" s="211"/>
      <c r="E8" s="210"/>
      <c r="F8" s="317"/>
      <c r="G8" s="312"/>
    </row>
    <row r="9" spans="1:7" s="82" customFormat="1" x14ac:dyDescent="0.45">
      <c r="A9" s="242" t="s">
        <v>235</v>
      </c>
      <c r="B9" s="82" t="str">
        <f>'skela i rušenja'!B20</f>
        <v>SKELA I PRIPREMNI RADOVI -UKUPNO:</v>
      </c>
      <c r="C9" s="214"/>
      <c r="D9" s="211"/>
      <c r="E9" s="214"/>
      <c r="F9" s="318"/>
      <c r="G9" s="319">
        <f>'skela i rušenja'!G20</f>
        <v>0</v>
      </c>
    </row>
    <row r="10" spans="1:7" s="82" customFormat="1" x14ac:dyDescent="0.45">
      <c r="A10" s="242" t="s">
        <v>236</v>
      </c>
      <c r="B10" s="213" t="str">
        <f>'skela i rušenja'!B103</f>
        <v>RUŠENJA I DEMONTAŽE UKUPNO:</v>
      </c>
      <c r="C10" s="214"/>
      <c r="D10" s="211"/>
      <c r="E10" s="214"/>
      <c r="F10" s="318"/>
      <c r="G10" s="319">
        <f>'skela i rušenja'!G103</f>
        <v>0</v>
      </c>
    </row>
    <row r="11" spans="1:7" s="82" customFormat="1" x14ac:dyDescent="0.45">
      <c r="A11" s="243" t="s">
        <v>242</v>
      </c>
      <c r="B11" s="213" t="str">
        <f>zidarski!B84</f>
        <v>ZIDARSKO FASADERSKI RADOVI- UKUPNO</v>
      </c>
      <c r="C11" s="210"/>
      <c r="D11" s="211"/>
      <c r="E11" s="210"/>
      <c r="F11" s="317"/>
      <c r="G11" s="312">
        <f>zidarski!G84</f>
        <v>0</v>
      </c>
    </row>
    <row r="12" spans="1:7" s="82" customFormat="1" x14ac:dyDescent="0.45">
      <c r="A12" s="244" t="s">
        <v>241</v>
      </c>
      <c r="B12" s="213" t="str">
        <f>zidarski!B91</f>
        <v>RAZNI GRAĐEVINSKI RADOVI- UKUPNO</v>
      </c>
      <c r="C12" s="210"/>
      <c r="D12" s="211"/>
      <c r="E12" s="210"/>
      <c r="F12" s="317"/>
      <c r="G12" s="312">
        <f>zidarski!G91</f>
        <v>0</v>
      </c>
    </row>
    <row r="13" spans="1:7" s="82" customFormat="1" x14ac:dyDescent="0.45">
      <c r="A13" s="244" t="s">
        <v>240</v>
      </c>
      <c r="B13" s="213" t="str">
        <f>limarski!B26</f>
        <v>LIMARSKI RADOVI- UKUPNO</v>
      </c>
      <c r="C13" s="210"/>
      <c r="D13" s="211"/>
      <c r="E13" s="210"/>
      <c r="F13" s="317"/>
      <c r="G13" s="312">
        <f>limarski!G26</f>
        <v>0</v>
      </c>
    </row>
    <row r="14" spans="1:7" s="82" customFormat="1" x14ac:dyDescent="0.45">
      <c r="A14" s="244" t="s">
        <v>239</v>
      </c>
      <c r="B14" s="213" t="str">
        <f>stolarski!B7</f>
        <v>STOLARSKI RADOVI- UKUPNO</v>
      </c>
      <c r="C14" s="210"/>
      <c r="D14" s="211"/>
      <c r="E14" s="210"/>
      <c r="F14" s="317"/>
      <c r="G14" s="320">
        <f>stolarski!G7</f>
        <v>0</v>
      </c>
    </row>
    <row r="15" spans="1:7" s="82" customFormat="1" x14ac:dyDescent="0.45">
      <c r="A15" s="245" t="s">
        <v>238</v>
      </c>
      <c r="B15" s="82" t="str">
        <f>ličilački!B8</f>
        <v>STAKLARSKI RADOVI- UKUPNO</v>
      </c>
      <c r="C15" s="210"/>
      <c r="D15" s="211"/>
      <c r="E15" s="210"/>
      <c r="F15" s="317"/>
      <c r="G15" s="312">
        <f>ličilački!G8</f>
        <v>0</v>
      </c>
    </row>
    <row r="16" spans="1:7" s="82" customFormat="1" x14ac:dyDescent="0.45">
      <c r="A16" s="245" t="s">
        <v>237</v>
      </c>
      <c r="B16" s="213" t="str">
        <f>ličilački!B70</f>
        <v>LIČILAČKI RADOVI- UKUPNO</v>
      </c>
      <c r="C16" s="210"/>
      <c r="D16" s="211"/>
      <c r="E16" s="210"/>
      <c r="F16" s="317"/>
      <c r="G16" s="312">
        <f>ličilački!G70</f>
        <v>0</v>
      </c>
    </row>
    <row r="17" spans="1:7" s="82" customFormat="1" x14ac:dyDescent="0.45">
      <c r="A17" s="18"/>
      <c r="B17" s="213"/>
      <c r="C17" s="210"/>
      <c r="D17" s="211"/>
      <c r="E17" s="210"/>
      <c r="F17" s="317"/>
      <c r="G17" s="312"/>
    </row>
    <row r="18" spans="1:7" s="240" customFormat="1" x14ac:dyDescent="0.45">
      <c r="A18" s="116" t="s">
        <v>82</v>
      </c>
      <c r="B18" s="212" t="s">
        <v>83</v>
      </c>
      <c r="C18" s="238"/>
      <c r="D18" s="239"/>
      <c r="E18" s="238"/>
      <c r="F18" s="321"/>
      <c r="G18" s="322"/>
    </row>
    <row r="19" spans="1:7" s="82" customFormat="1" x14ac:dyDescent="0.45">
      <c r="A19" s="244" t="s">
        <v>235</v>
      </c>
      <c r="B19" s="219" t="str">
        <f>restauratorki!B7</f>
        <v>KONZERVATORSKA ISTRAŽIVANJA UKUPNO:</v>
      </c>
      <c r="C19" s="210"/>
      <c r="D19" s="211"/>
      <c r="E19" s="210"/>
      <c r="F19" s="317"/>
      <c r="G19" s="320">
        <f>restauratorki!G7</f>
        <v>0</v>
      </c>
    </row>
    <row r="20" spans="1:7" s="82" customFormat="1" ht="28.5" x14ac:dyDescent="0.45">
      <c r="A20" s="244" t="s">
        <v>236</v>
      </c>
      <c r="B20" s="213" t="str">
        <f>restauratorki!B20</f>
        <v>RESTAURATORSKI RADOVI NA DRVENIM I METALNIM ELEMENTIMA</v>
      </c>
      <c r="C20" s="210"/>
      <c r="D20" s="211"/>
      <c r="E20" s="210"/>
      <c r="F20" s="317"/>
      <c r="G20" s="320">
        <f>restauratorki!G20</f>
        <v>0</v>
      </c>
    </row>
    <row r="21" spans="1:7" s="82" customFormat="1" x14ac:dyDescent="0.45">
      <c r="A21" s="221" t="s">
        <v>82</v>
      </c>
      <c r="B21" s="222" t="s">
        <v>360</v>
      </c>
      <c r="C21" s="223"/>
      <c r="D21" s="224"/>
      <c r="E21" s="223"/>
      <c r="F21" s="323"/>
      <c r="G21" s="324">
        <f>SUM(G19:G20)</f>
        <v>0</v>
      </c>
    </row>
    <row r="22" spans="1:7" s="82" customFormat="1" x14ac:dyDescent="0.45">
      <c r="A22" s="88"/>
      <c r="B22" s="220"/>
      <c r="C22" s="89"/>
      <c r="D22" s="89"/>
      <c r="E22" s="89"/>
      <c r="F22" s="317"/>
      <c r="G22" s="320"/>
    </row>
    <row r="23" spans="1:7" s="82" customFormat="1" x14ac:dyDescent="0.45">
      <c r="A23" s="129" t="s">
        <v>80</v>
      </c>
      <c r="B23" s="225" t="s">
        <v>359</v>
      </c>
      <c r="C23" s="89"/>
      <c r="D23" s="210"/>
      <c r="E23" s="89"/>
      <c r="F23" s="317"/>
      <c r="G23" s="320">
        <f>G33</f>
        <v>0</v>
      </c>
    </row>
    <row r="24" spans="1:7" s="82" customFormat="1" x14ac:dyDescent="0.45">
      <c r="A24" s="226" t="s">
        <v>82</v>
      </c>
      <c r="B24" s="227" t="s">
        <v>83</v>
      </c>
      <c r="C24" s="228"/>
      <c r="D24" s="229"/>
      <c r="E24" s="228"/>
      <c r="F24" s="325"/>
      <c r="G24" s="326">
        <f>G21</f>
        <v>0</v>
      </c>
    </row>
    <row r="25" spans="1:7" s="82" customFormat="1" x14ac:dyDescent="0.45">
      <c r="A25" s="18"/>
      <c r="B25" s="213" t="s">
        <v>419</v>
      </c>
      <c r="C25" s="210"/>
      <c r="D25" s="211"/>
      <c r="E25" s="210"/>
      <c r="F25" s="317"/>
      <c r="G25" s="312">
        <f>SUM(G23:G24)</f>
        <v>0</v>
      </c>
    </row>
    <row r="26" spans="1:7" s="82" customFormat="1" x14ac:dyDescent="0.45">
      <c r="A26" s="18"/>
      <c r="B26" s="213" t="s">
        <v>420</v>
      </c>
      <c r="C26" s="210"/>
      <c r="D26" s="211"/>
      <c r="E26" s="210"/>
      <c r="F26" s="317"/>
      <c r="G26" s="312">
        <f>0.25*G25</f>
        <v>0</v>
      </c>
    </row>
    <row r="27" spans="1:7" s="82" customFormat="1" x14ac:dyDescent="0.45">
      <c r="A27" s="18"/>
      <c r="B27" s="213" t="s">
        <v>421</v>
      </c>
      <c r="C27" s="210"/>
      <c r="D27" s="211"/>
      <c r="E27" s="210"/>
      <c r="F27" s="317"/>
      <c r="G27" s="312">
        <f>G25+G26</f>
        <v>0</v>
      </c>
    </row>
    <row r="28" spans="1:7" s="82" customFormat="1" x14ac:dyDescent="0.45">
      <c r="A28" s="18"/>
      <c r="B28" s="213"/>
      <c r="C28" s="210"/>
      <c r="D28" s="211"/>
      <c r="E28" s="210"/>
      <c r="F28" s="317"/>
      <c r="G28" s="312"/>
    </row>
    <row r="29" spans="1:7" s="82" customFormat="1" ht="21" x14ac:dyDescent="0.65">
      <c r="A29" s="18"/>
      <c r="B29" s="209" t="s">
        <v>414</v>
      </c>
      <c r="C29" s="210"/>
      <c r="D29" s="211"/>
      <c r="E29" s="210"/>
      <c r="F29" s="317"/>
      <c r="G29" s="312"/>
    </row>
    <row r="30" spans="1:7" s="82" customFormat="1" x14ac:dyDescent="0.45">
      <c r="A30" s="244" t="s">
        <v>417</v>
      </c>
      <c r="B30" s="213" t="str">
        <f>'druga faza'!B16</f>
        <v>STOLARSKI RADOVI UKUPNO</v>
      </c>
      <c r="C30" s="210"/>
      <c r="D30" s="211"/>
      <c r="E30" s="210"/>
      <c r="F30" s="317"/>
      <c r="G30" s="320">
        <f>'druga faza'!G16</f>
        <v>0</v>
      </c>
    </row>
    <row r="31" spans="1:7" s="82" customFormat="1" x14ac:dyDescent="0.45">
      <c r="A31" s="245" t="s">
        <v>418</v>
      </c>
      <c r="B31" s="213" t="str">
        <f>'druga faza'!B24</f>
        <v>BRAVARSKI RADOVI- UKUPNO</v>
      </c>
      <c r="C31" s="210"/>
      <c r="D31" s="211"/>
      <c r="E31" s="210"/>
      <c r="F31" s="317"/>
      <c r="G31" s="320">
        <f>'druga faza'!G24</f>
        <v>0</v>
      </c>
    </row>
    <row r="32" spans="1:7" s="82" customFormat="1" ht="28.5" x14ac:dyDescent="0.45">
      <c r="A32" s="244" t="str">
        <f>'druga faza'!A31</f>
        <v>X</v>
      </c>
      <c r="B32" s="213" t="str">
        <f>'druga faza'!B26</f>
        <v>RESTAURATORSKI RADOVI NA DRVENIM I METALNIM ELEMENTIMA</v>
      </c>
      <c r="C32" s="210"/>
      <c r="D32" s="211"/>
      <c r="E32" s="210"/>
      <c r="F32" s="317"/>
      <c r="G32" s="320">
        <f>restauratorki!G13</f>
        <v>0</v>
      </c>
    </row>
    <row r="33" spans="1:7" s="82" customFormat="1" x14ac:dyDescent="0.45">
      <c r="A33" s="215" t="s">
        <v>80</v>
      </c>
      <c r="B33" s="216" t="s">
        <v>416</v>
      </c>
      <c r="C33" s="217"/>
      <c r="D33" s="218"/>
      <c r="E33" s="217"/>
      <c r="F33" s="327"/>
      <c r="G33" s="328">
        <f>SUM(G9:G15)</f>
        <v>0</v>
      </c>
    </row>
    <row r="140" spans="1:52" s="67" customFormat="1" ht="14.65" x14ac:dyDescent="0.5">
      <c r="A140" s="230"/>
      <c r="B140" s="231"/>
      <c r="C140" s="232"/>
      <c r="E140" s="31"/>
      <c r="F140" s="313"/>
      <c r="G140" s="329"/>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s="67" customFormat="1" ht="14.65" x14ac:dyDescent="0.45">
      <c r="A141" s="230"/>
      <c r="B141" s="231"/>
      <c r="C141" s="164"/>
      <c r="E141" s="31"/>
      <c r="F141" s="313"/>
      <c r="G141" s="329"/>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s="67" customFormat="1" ht="14.65" x14ac:dyDescent="0.45">
      <c r="A142" s="230"/>
      <c r="B142" s="231"/>
      <c r="C142" s="164"/>
      <c r="E142" s="31"/>
      <c r="F142" s="313"/>
      <c r="G142" s="329"/>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sheetData>
  <pageMargins left="0.70866141732283472" right="0.70866141732283472" top="0.94488188976377963" bottom="0.74803149606299213" header="0.31496062992125984" footer="0.31496062992125984"/>
  <pageSetup paperSize="9" scale="82" fitToHeight="0" orientation="portrait" r:id="rId1"/>
  <headerFooter>
    <oddHeader>&amp;CVišestambena zgrada Kušlanova 7, ZAGREB - Troškovnik sanacije uličnog pročelja</oddHeader>
    <oddFooter>&amp;C HIPERPROSTOR d.o.o. Kušlanova 2, Zagreb rujan 2024&amp;Rtroškovnik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9</vt:i4>
      </vt:variant>
      <vt:variant>
        <vt:lpstr>Imenovani rasponi</vt:lpstr>
      </vt:variant>
      <vt:variant>
        <vt:i4>10</vt:i4>
      </vt:variant>
    </vt:vector>
  </HeadingPairs>
  <TitlesOfParts>
    <vt:vector size="19" baseType="lpstr">
      <vt:lpstr>opći uvjeti</vt:lpstr>
      <vt:lpstr>skela i rušenja</vt:lpstr>
      <vt:lpstr>zidarski</vt:lpstr>
      <vt:lpstr>limarski</vt:lpstr>
      <vt:lpstr>stolarski</vt:lpstr>
      <vt:lpstr>ličilački</vt:lpstr>
      <vt:lpstr>restauratorki</vt:lpstr>
      <vt:lpstr>druga faza</vt:lpstr>
      <vt:lpstr>rekapitulacija</vt:lpstr>
      <vt:lpstr>'opći uvjeti'!Ispis_naslova</vt:lpstr>
      <vt:lpstr>'druga faza'!Podrucje_ispisa</vt:lpstr>
      <vt:lpstr>ličilački!Podrucje_ispisa</vt:lpstr>
      <vt:lpstr>limarski!Podrucje_ispisa</vt:lpstr>
      <vt:lpstr>'opći uvjeti'!Podrucje_ispisa</vt:lpstr>
      <vt:lpstr>rekapitulacija!Podrucje_ispisa</vt:lpstr>
      <vt:lpstr>restauratorki!Podrucje_ispisa</vt:lpstr>
      <vt:lpstr>'skela i rušenja'!Podrucje_ispisa</vt:lpstr>
      <vt:lpstr>stolarski!Podrucje_ispisa</vt:lpstr>
      <vt:lpstr>zidarski!Podrucje_ispisa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dc:creator>
  <cp:lastModifiedBy>Dalija Milonja</cp:lastModifiedBy>
  <cp:lastPrinted>2024-11-04T15:23:51Z</cp:lastPrinted>
  <dcterms:created xsi:type="dcterms:W3CDTF">2015-08-27T12:27:54Z</dcterms:created>
  <dcterms:modified xsi:type="dcterms:W3CDTF">2025-01-26T14:45:37Z</dcterms:modified>
</cp:coreProperties>
</file>