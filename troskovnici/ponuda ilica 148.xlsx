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T:\Željko lulić Lika grad\"/>
    </mc:Choice>
  </mc:AlternateContent>
  <xr:revisionPtr revIDLastSave="0" documentId="13_ncr:1_{38D8B791-AE12-4E83-BD68-15E6F337256B}" xr6:coauthVersionLast="47" xr6:coauthVersionMax="47" xr10:uidLastSave="{00000000-0000-0000-0000-000000000000}"/>
  <bookViews>
    <workbookView xWindow="38730" yWindow="1035" windowWidth="26280" windowHeight="20250" xr2:uid="{00000000-000D-0000-FFFF-FFFF00000000}"/>
  </bookViews>
  <sheets>
    <sheet name="Quotation" sheetId="1" r:id="rId1"/>
    <sheet name="Račun" sheetId="2" r:id="rId2"/>
  </sheets>
  <calcPr calcId="191029"/>
</workbook>
</file>

<file path=xl/calcChain.xml><?xml version="1.0" encoding="utf-8"?>
<calcChain xmlns="http://schemas.openxmlformats.org/spreadsheetml/2006/main">
  <c r="K23" i="1" l="1"/>
  <c r="K22" i="1"/>
  <c r="K17" i="1"/>
  <c r="K16" i="1"/>
  <c r="K15" i="1"/>
  <c r="F34" i="1"/>
  <c r="K21" i="1"/>
  <c r="K24" i="1" l="1"/>
  <c r="K14" i="1"/>
  <c r="K4" i="1"/>
  <c r="B28" i="1" l="1"/>
  <c r="B27" i="1"/>
  <c r="K13" i="1" l="1"/>
  <c r="K18" i="1" s="1"/>
  <c r="K27" i="1" l="1"/>
  <c r="K20" i="1"/>
  <c r="K28" i="1" l="1"/>
  <c r="K29" i="1" s="1"/>
  <c r="K30" i="1" s="1"/>
  <c r="K31" i="1" s="1"/>
  <c r="D32" i="2"/>
  <c r="I22" i="2"/>
  <c r="M24" i="2" l="1"/>
</calcChain>
</file>

<file path=xl/sharedStrings.xml><?xml version="1.0" encoding="utf-8"?>
<sst xmlns="http://schemas.openxmlformats.org/spreadsheetml/2006/main" count="105" uniqueCount="81">
  <si>
    <t>PONUDA</t>
  </si>
  <si>
    <t>UKUPNO</t>
  </si>
  <si>
    <t>CIJENA</t>
  </si>
  <si>
    <t>KOLIČINA</t>
  </si>
  <si>
    <t>Kupac:</t>
  </si>
  <si>
    <t>OIB:</t>
  </si>
  <si>
    <t>NAZIV ARTIKLA / USLUGE</t>
  </si>
  <si>
    <t>Rbr</t>
  </si>
  <si>
    <t>Jmj</t>
  </si>
  <si>
    <t>POPUST</t>
  </si>
  <si>
    <t>Način plaćanja:</t>
  </si>
  <si>
    <t>Transakcijski račun</t>
  </si>
  <si>
    <t>IBAN ZABA:</t>
  </si>
  <si>
    <t>00</t>
  </si>
  <si>
    <t>GRADILIŠTE:</t>
  </si>
  <si>
    <t>web: www.zbuka.hr | email: zbuka@zbuka.hr</t>
  </si>
  <si>
    <t>tel: 01/3457-691   fax: 01/3464-542</t>
  </si>
  <si>
    <t>Model:</t>
  </si>
  <si>
    <t>Poziv na broj:</t>
  </si>
  <si>
    <t>Datum:</t>
  </si>
  <si>
    <t xml:space="preserve">PREDMET: </t>
  </si>
  <si>
    <t>Plaćanje nakon izvršenih radova u roku od</t>
  </si>
  <si>
    <t>Ponudu sastavio/la:</t>
  </si>
  <si>
    <t>mob: 098/470-254 | 099/500-8881 | 099/623-8878</t>
  </si>
  <si>
    <r>
      <t>m</t>
    </r>
    <r>
      <rPr>
        <vertAlign val="superscript"/>
        <sz val="8"/>
        <rFont val="Arial"/>
        <family val="2"/>
        <scheme val="minor"/>
      </rPr>
      <t>2</t>
    </r>
  </si>
  <si>
    <t>HR1423600001101532118</t>
  </si>
  <si>
    <t>OIB: 53051615930 | Zagreb, Ilica 506, 10090</t>
  </si>
  <si>
    <t>Vrijeme:</t>
  </si>
  <si>
    <t>Datum izdavanja:</t>
  </si>
  <si>
    <t>Datum dospijeća:</t>
  </si>
  <si>
    <t xml:space="preserve">NA TEMELJU: </t>
  </si>
  <si>
    <t>20.12.2018.</t>
  </si>
  <si>
    <t>R - 1</t>
  </si>
  <si>
    <t>Radovi - fasaderski po ponudi Žbuka Obrt za graditeljstvo
Samo rad od 3.12. - 17.12.2018.</t>
  </si>
  <si>
    <t>Račun br.81/PJ1/1-2018</t>
  </si>
  <si>
    <t>Prijenos porezne obveze sukladno čl.75 st.3a) i čl. 78 st. 7 zakona o PDV-u.</t>
  </si>
  <si>
    <t>Narudžbenice br.28/2018</t>
  </si>
  <si>
    <t>F11277 SPG Podbrežje A6</t>
  </si>
  <si>
    <t>Tehnika d.d.</t>
  </si>
  <si>
    <t>Ulica grada Vukovara 274</t>
  </si>
  <si>
    <t>10000 Zagreb</t>
  </si>
  <si>
    <t>1.</t>
  </si>
  <si>
    <t>I.</t>
  </si>
  <si>
    <t>UKUPNO:</t>
  </si>
  <si>
    <t>FASADERSKI RADOVI</t>
  </si>
  <si>
    <t>II.</t>
  </si>
  <si>
    <t>REKAPITULACIJA</t>
  </si>
  <si>
    <t>PDV (25%)</t>
  </si>
  <si>
    <t>SVEUKUPNO:</t>
  </si>
  <si>
    <t xml:space="preserve">PRIPREMNI RADOVI </t>
  </si>
  <si>
    <t>m'</t>
  </si>
  <si>
    <t>02 - Ivan Čakarić</t>
  </si>
  <si>
    <t>kom</t>
  </si>
  <si>
    <t>2.</t>
  </si>
  <si>
    <t>Naručitelj:</t>
  </si>
  <si>
    <t xml:space="preserve">Napomena: </t>
  </si>
  <si>
    <t>a)</t>
  </si>
  <si>
    <t>b)</t>
  </si>
  <si>
    <t>Broj ponude:</t>
  </si>
  <si>
    <t>Opcija ponude 45 dana. Ponuda vrijedi do</t>
  </si>
  <si>
    <t>dana od primopredaje radova.</t>
  </si>
  <si>
    <r>
      <t>m</t>
    </r>
    <r>
      <rPr>
        <vertAlign val="superscript"/>
        <sz val="9"/>
        <rFont val="Arial"/>
        <family val="2"/>
        <charset val="238"/>
        <scheme val="major"/>
      </rPr>
      <t>2</t>
    </r>
  </si>
  <si>
    <r>
      <t>Dobava, postava, montaža i demontaža lakomontažne fasadne skele za vrijeme izvođenja fasaderskih radova. Cijelu skelu izvesti prema pravilima zaštite na radu. Obračun po m</t>
    </r>
    <r>
      <rPr>
        <vertAlign val="superscript"/>
        <sz val="9"/>
        <rFont val="Arial"/>
        <family val="2"/>
        <charset val="238"/>
        <scheme val="major"/>
      </rPr>
      <t>2</t>
    </r>
    <r>
      <rPr>
        <sz val="9"/>
        <rFont val="Arial"/>
        <family val="2"/>
        <charset val="238"/>
        <scheme val="major"/>
      </rPr>
      <t xml:space="preserve"> montirane površine skele uz fasadu.</t>
    </r>
  </si>
  <si>
    <t>Ponuda je okvirnog karaktera te ne odražava stvarno stanje buduće izvedbe. Obračun fasaderskih radova prema fasaderskim normama i prema stvarno izvedenih količinama. Cijene ovisne o tečaju EUR i ovisne su o povećanju cijena dobavljača. Prije ugovaranja potrebno napraviti pregled gradilišta, Naručitelj osigurava struju 220V i priključak vode te mjesto za manipulaciju materijala i parkirna mjesta za vozila i radnike. Prije izvedbe skelarskih radova potrebno omogućiti pristup od min 100cm okomito na pročelje podlogu za postavljanje skele i čvrstu podlogu. U cijeni najam za vrijeme izvođenja fasaderskih i ugovorenih radova. Svaki dodatni kalendarski dan na zahtjev Naručitelja se dodatno obračunava 0,1 € / m2 / dan. Potrebno RAL ugradnju prozora, instalacije (rasvjeta itd) te strojarske instalacije (klima uređaj) napraviti prije izvedbe fasade. Ograda balkona treba biti skraćena za debljinu fasade + 5cm za obradu zida te napraviti novi produljeni nosač stupa.</t>
  </si>
  <si>
    <t>LIKA GRAD j.d.o.o.</t>
  </si>
  <si>
    <t xml:space="preserve">Vivodinska 22, </t>
  </si>
  <si>
    <t>Grad i poštanski broj:  Zagreb, 10000</t>
  </si>
  <si>
    <t>Ponuda za energetsku obnovu dvorišnog pročelja Ilica 148</t>
  </si>
  <si>
    <t>Zagreb, Ilica 148</t>
  </si>
  <si>
    <t>28102024</t>
  </si>
  <si>
    <t>Otucanje stare trošne fasade do čiste cigle sa čišćenjem fuga, žbuka deponirana u dvorištu</t>
  </si>
  <si>
    <t>3.</t>
  </si>
  <si>
    <t>Pranje očišćene cigle pod pritiskom</t>
  </si>
  <si>
    <r>
      <t>Nabava, dobava materijala te izrada ETICS fasadnog sustava fasadne izolacijske ploče od kamene vune  λ ≤ 0,035 W/mK. Obrada vanjskih površina armirajućim slojem polimernog morta StarContactLight sa utisnutom alkalno-otpornom mrežicom 160g/m2 , tako da mrežica bude u vanjskoj trećini sloja koji ne smije biti tanji od 4-5 mm. Stavka uključuje i obradu svih uglova i špaleta plastičnim kutnim profilima kao zaštite od mehaničkog  oštećenja, te ugradnju okapnih profila iznad otvora  i po svim rubovima podgleda, balkona i sokla, ugradnja prozorskih priključnih APU profila, te zaštitu i čišćenje stolarije. Izrada strukturne zavšne žbuke SilikatTop -   granulacije 2,0 mm uz predhoodno nanošenje impregnacije, boje po izboru Investitora (HBW iznad 25). Obračun za kompletan rad i materijal do pune gotovosti po m</t>
    </r>
    <r>
      <rPr>
        <vertAlign val="superscript"/>
        <sz val="9"/>
        <rFont val="Arial"/>
        <family val="2"/>
        <charset val="238"/>
        <scheme val="major"/>
      </rPr>
      <t>2</t>
    </r>
    <r>
      <rPr>
        <sz val="9"/>
        <rFont val="Arial"/>
        <family val="2"/>
        <charset val="238"/>
        <scheme val="major"/>
      </rPr>
      <t xml:space="preserve"> izvedene fasade. </t>
    </r>
  </si>
  <si>
    <t xml:space="preserve">ETICS sustav -  MW 12 cm
</t>
  </si>
  <si>
    <t>4.</t>
  </si>
  <si>
    <t>Demontaža klima uređaja sa zamjenom nosača istih te nakon izvedbe fasade ponovna montaža. U slučaju starih klima jedinica (nije moguće punjnje freonom), zamjena potrebna uz nabavu novih vanjskih jedinica (nabavlja Naručitelj)</t>
  </si>
  <si>
    <t>Nakon izvedenih radova odvoz šute i smeća na gradski deponij sa iznosom na ulicu i utovarom</t>
  </si>
  <si>
    <r>
      <t>m</t>
    </r>
    <r>
      <rPr>
        <vertAlign val="superscript"/>
        <sz val="9"/>
        <rFont val="Arial"/>
        <family val="2"/>
        <charset val="238"/>
        <scheme val="major"/>
      </rPr>
      <t>3</t>
    </r>
  </si>
  <si>
    <t xml:space="preserve">ETICS sustav -  XPS 8 cm
</t>
  </si>
  <si>
    <t xml:space="preserve">Ugradnja Gutmann aluminijskik hlupčica u natur boji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</si>
</sst>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_k_n_-;\-* #,##0.00\ _k_n_-;_-* &quot;-&quot;??\ _k_n_-;_-@_-"/>
    <numFmt numFmtId="165" formatCode="_(* #,##0.00_);_(* \(#,##0.00\);_(* &quot;-&quot;??_);_(@_)"/>
    <numFmt numFmtId="166" formatCode="@\ \ "/>
    <numFmt numFmtId="167" formatCode="_-* #,##0.00\ [$kn-41A]_-;\-* #,##0.00\ [$kn-41A]_-;_-* &quot;-&quot;??\ [$kn-41A]_-;_-@_-"/>
    <numFmt numFmtId="168" formatCode="d\.m\.yyyy\.;@"/>
    <numFmt numFmtId="169" formatCode="[$-F400]h:mm:ss\ AM/PM"/>
    <numFmt numFmtId="170" formatCode="_-* #,##0.00\ [$€-1]_-;\-* #,##0.00\ [$€-1]_-;_-* &quot;-&quot;??\ [$€-1]_-;_-@_-"/>
    <numFmt numFmtId="171" formatCode="[$-41A]d\.\ mmmm\ yyyy\.;@"/>
  </numFmts>
  <fonts count="33">
    <font>
      <sz val="10"/>
      <name val="Arial"/>
    </font>
    <font>
      <b/>
      <sz val="10"/>
      <name val="Arial"/>
      <family val="2"/>
    </font>
    <font>
      <sz val="10"/>
      <name val="Arial"/>
      <family val="2"/>
      <scheme val="minor"/>
    </font>
    <font>
      <b/>
      <i/>
      <sz val="10"/>
      <name val="Arial"/>
      <family val="2"/>
      <scheme val="minor"/>
    </font>
    <font>
      <b/>
      <sz val="10"/>
      <name val="Arial"/>
      <family val="2"/>
      <scheme val="minor"/>
    </font>
    <font>
      <i/>
      <sz val="10"/>
      <name val="Arial"/>
      <family val="2"/>
      <scheme val="minor"/>
    </font>
    <font>
      <sz val="10"/>
      <name val="Futura PT"/>
      <family val="2"/>
    </font>
    <font>
      <b/>
      <sz val="9"/>
      <name val="Arial"/>
      <family val="2"/>
      <scheme val="minor"/>
    </font>
    <font>
      <sz val="9"/>
      <name val="Arial"/>
      <family val="2"/>
      <scheme val="minor"/>
    </font>
    <font>
      <sz val="9"/>
      <name val="Arial"/>
      <family val="2"/>
    </font>
    <font>
      <b/>
      <sz val="10"/>
      <name val="Futura PT"/>
      <family val="2"/>
    </font>
    <font>
      <i/>
      <sz val="8"/>
      <name val="Arial"/>
      <family val="2"/>
      <scheme val="minor"/>
    </font>
    <font>
      <sz val="8"/>
      <name val="Arial"/>
      <family val="2"/>
      <scheme val="minor"/>
    </font>
    <font>
      <vertAlign val="superscript"/>
      <sz val="8"/>
      <name val="Arial"/>
      <family val="2"/>
      <scheme val="minor"/>
    </font>
    <font>
      <b/>
      <sz val="8"/>
      <name val="Arial"/>
      <family val="2"/>
      <scheme val="minor"/>
    </font>
    <font>
      <b/>
      <sz val="8"/>
      <name val="Futura PT"/>
      <family val="2"/>
    </font>
    <font>
      <sz val="8"/>
      <name val="Futura PT"/>
      <family val="2"/>
    </font>
    <font>
      <sz val="11"/>
      <name val="Calibri"/>
      <family val="2"/>
    </font>
    <font>
      <sz val="18"/>
      <color theme="1" tint="0.249977111117893"/>
      <name val="Futura PT"/>
      <family val="2"/>
    </font>
    <font>
      <sz val="8"/>
      <name val="Arial"/>
      <family val="2"/>
      <charset val="238"/>
      <scheme val="major"/>
    </font>
    <font>
      <sz val="10"/>
      <name val="Arial"/>
      <family val="2"/>
      <charset val="238"/>
      <scheme val="major"/>
    </font>
    <font>
      <i/>
      <sz val="8"/>
      <name val="Arial"/>
      <family val="2"/>
      <charset val="238"/>
      <scheme val="major"/>
    </font>
    <font>
      <i/>
      <sz val="10"/>
      <name val="Arial"/>
      <family val="2"/>
      <charset val="238"/>
      <scheme val="major"/>
    </font>
    <font>
      <sz val="25"/>
      <color theme="1" tint="0.249977111117893"/>
      <name val="Arial"/>
      <family val="2"/>
      <charset val="238"/>
      <scheme val="major"/>
    </font>
    <font>
      <sz val="9"/>
      <name val="Arial"/>
      <family val="2"/>
      <charset val="238"/>
      <scheme val="major"/>
    </font>
    <font>
      <b/>
      <sz val="10"/>
      <name val="Arial"/>
      <family val="2"/>
      <charset val="238"/>
      <scheme val="major"/>
    </font>
    <font>
      <b/>
      <sz val="9"/>
      <name val="Arial"/>
      <family val="2"/>
      <charset val="238"/>
      <scheme val="major"/>
    </font>
    <font>
      <b/>
      <sz val="8"/>
      <name val="Arial"/>
      <family val="2"/>
      <charset val="238"/>
      <scheme val="major"/>
    </font>
    <font>
      <b/>
      <i/>
      <sz val="9"/>
      <name val="Arial"/>
      <family val="2"/>
      <charset val="238"/>
      <scheme val="major"/>
    </font>
    <font>
      <b/>
      <i/>
      <sz val="8"/>
      <name val="Arial"/>
      <family val="2"/>
      <charset val="238"/>
      <scheme val="major"/>
    </font>
    <font>
      <i/>
      <sz val="9"/>
      <name val="Arial"/>
      <family val="2"/>
      <charset val="238"/>
      <scheme val="major"/>
    </font>
    <font>
      <vertAlign val="superscript"/>
      <sz val="9"/>
      <name val="Arial"/>
      <family val="2"/>
      <charset val="238"/>
      <scheme val="major"/>
    </font>
    <font>
      <sz val="7"/>
      <name val="Arial"/>
      <family val="2"/>
      <charset val="23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horizontal="left" vertical="top" wrapText="1"/>
    </xf>
    <xf numFmtId="0" fontId="3" fillId="0" borderId="0" xfId="0" applyFont="1"/>
    <xf numFmtId="0" fontId="10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5" fillId="0" borderId="0" xfId="0" applyFont="1"/>
    <xf numFmtId="0" fontId="12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67" fontId="16" fillId="2" borderId="1" xfId="0" applyNumberFormat="1" applyFont="1" applyFill="1" applyBorder="1" applyAlignment="1">
      <alignment horizontal="right" vertical="center"/>
    </xf>
    <xf numFmtId="165" fontId="12" fillId="0" borderId="2" xfId="0" applyNumberFormat="1" applyFont="1" applyBorder="1" applyAlignment="1">
      <alignment horizontal="center" vertical="center" wrapText="1"/>
    </xf>
    <xf numFmtId="165" fontId="12" fillId="0" borderId="4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8" fillId="0" borderId="2" xfId="0" applyFont="1" applyBorder="1" applyAlignment="1">
      <alignment horizontal="left" vertical="top"/>
    </xf>
    <xf numFmtId="0" fontId="17" fillId="0" borderId="0" xfId="0" applyFont="1" applyAlignment="1">
      <alignment vertical="center"/>
    </xf>
    <xf numFmtId="168" fontId="2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166" fontId="10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169" fontId="2" fillId="0" borderId="0" xfId="0" applyNumberFormat="1" applyFont="1" applyAlignment="1">
      <alignment horizontal="left" vertical="center" shrinkToFit="1"/>
    </xf>
    <xf numFmtId="167" fontId="16" fillId="0" borderId="0" xfId="0" applyNumberFormat="1" applyFont="1" applyAlignment="1">
      <alignment horizontal="right" vertical="center"/>
    </xf>
    <xf numFmtId="0" fontId="16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center" vertical="center" wrapText="1"/>
    </xf>
    <xf numFmtId="165" fontId="12" fillId="0" borderId="10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shrinkToFit="1"/>
    </xf>
    <xf numFmtId="0" fontId="20" fillId="0" borderId="0" xfId="0" applyFont="1"/>
    <xf numFmtId="0" fontId="24" fillId="0" borderId="0" xfId="0" applyFont="1"/>
    <xf numFmtId="0" fontId="22" fillId="0" borderId="0" xfId="0" applyFont="1"/>
    <xf numFmtId="0" fontId="25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 shrinkToFit="1"/>
    </xf>
    <xf numFmtId="0" fontId="26" fillId="0" borderId="0" xfId="0" applyFont="1" applyAlignment="1">
      <alignment horizontal="left" vertical="center"/>
    </xf>
    <xf numFmtId="0" fontId="26" fillId="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vertical="center"/>
    </xf>
    <xf numFmtId="0" fontId="26" fillId="2" borderId="9" xfId="0" applyFont="1" applyFill="1" applyBorder="1" applyAlignment="1">
      <alignment horizontal="center" vertical="center"/>
    </xf>
    <xf numFmtId="165" fontId="26" fillId="2" borderId="10" xfId="0" applyNumberFormat="1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165" fontId="26" fillId="0" borderId="11" xfId="0" applyNumberFormat="1" applyFont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vertical="center"/>
    </xf>
    <xf numFmtId="170" fontId="26" fillId="2" borderId="12" xfId="0" applyNumberFormat="1" applyFont="1" applyFill="1" applyBorder="1" applyAlignment="1">
      <alignment horizontal="center" vertical="center"/>
    </xf>
    <xf numFmtId="165" fontId="26" fillId="0" borderId="0" xfId="0" applyNumberFormat="1" applyFont="1" applyAlignment="1">
      <alignment horizontal="center" vertical="center"/>
    </xf>
    <xf numFmtId="0" fontId="19" fillId="0" borderId="0" xfId="0" applyFont="1"/>
    <xf numFmtId="0" fontId="21" fillId="0" borderId="0" xfId="0" applyFont="1"/>
    <xf numFmtId="0" fontId="29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right"/>
    </xf>
    <xf numFmtId="168" fontId="24" fillId="0" borderId="0" xfId="0" applyNumberFormat="1" applyFont="1" applyAlignment="1">
      <alignment horizontal="left" vertical="center" shrinkToFit="1"/>
    </xf>
    <xf numFmtId="49" fontId="24" fillId="0" borderId="0" xfId="0" applyNumberFormat="1" applyFont="1" applyAlignment="1">
      <alignment horizontal="left" vertical="center"/>
    </xf>
    <xf numFmtId="0" fontId="30" fillId="0" borderId="0" xfId="0" applyFont="1"/>
    <xf numFmtId="0" fontId="30" fillId="0" borderId="0" xfId="0" applyFont="1" applyAlignment="1">
      <alignment horizontal="right"/>
    </xf>
    <xf numFmtId="0" fontId="24" fillId="0" borderId="2" xfId="0" applyFont="1" applyBorder="1" applyAlignment="1">
      <alignment horizontal="center" vertical="center" shrinkToFit="1"/>
    </xf>
    <xf numFmtId="0" fontId="24" fillId="0" borderId="8" xfId="0" applyFont="1" applyBorder="1" applyAlignment="1">
      <alignment horizontal="center" vertical="top" wrapText="1"/>
    </xf>
    <xf numFmtId="0" fontId="24" fillId="0" borderId="9" xfId="0" applyFont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 wrapText="1"/>
    </xf>
    <xf numFmtId="165" fontId="24" fillId="0" borderId="10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center" wrapText="1"/>
    </xf>
    <xf numFmtId="165" fontId="24" fillId="0" borderId="1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top" wrapText="1"/>
    </xf>
    <xf numFmtId="2" fontId="24" fillId="0" borderId="6" xfId="0" applyNumberFormat="1" applyFont="1" applyBorder="1" applyAlignment="1">
      <alignment horizontal="center" vertical="center" wrapText="1"/>
    </xf>
    <xf numFmtId="0" fontId="26" fillId="0" borderId="0" xfId="0" applyFont="1"/>
    <xf numFmtId="0" fontId="2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4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0" fontId="30" fillId="0" borderId="0" xfId="0" applyFont="1" applyAlignment="1">
      <alignment horizontal="right" vertical="center"/>
    </xf>
    <xf numFmtId="0" fontId="26" fillId="2" borderId="1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171" fontId="28" fillId="0" borderId="0" xfId="0" applyNumberFormat="1" applyFont="1" applyAlignment="1">
      <alignment horizontal="left"/>
    </xf>
    <xf numFmtId="0" fontId="27" fillId="0" borderId="0" xfId="0" applyFont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6" fillId="2" borderId="8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left" vertical="center"/>
    </xf>
    <xf numFmtId="0" fontId="26" fillId="2" borderId="12" xfId="0" applyFont="1" applyFill="1" applyBorder="1" applyAlignment="1">
      <alignment horizontal="left" vertical="center"/>
    </xf>
    <xf numFmtId="0" fontId="24" fillId="0" borderId="8" xfId="0" applyFont="1" applyBorder="1" applyAlignment="1">
      <alignment horizontal="left" vertical="top" wrapText="1"/>
    </xf>
    <xf numFmtId="0" fontId="24" fillId="0" borderId="9" xfId="0" applyFont="1" applyBorder="1" applyAlignment="1">
      <alignment horizontal="left" vertical="top" wrapText="1"/>
    </xf>
    <xf numFmtId="0" fontId="24" fillId="0" borderId="10" xfId="0" applyFont="1" applyBorder="1" applyAlignment="1">
      <alignment horizontal="left" vertical="top" wrapText="1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49" fontId="12" fillId="0" borderId="0" xfId="0" applyNumberFormat="1" applyFont="1" applyAlignment="1">
      <alignment horizontal="left"/>
    </xf>
    <xf numFmtId="0" fontId="14" fillId="0" borderId="0" xfId="0" applyFont="1"/>
    <xf numFmtId="0" fontId="4" fillId="0" borderId="0" xfId="0" applyFont="1" applyAlignment="1">
      <alignment horizontal="right" vertical="center"/>
    </xf>
    <xf numFmtId="166" fontId="10" fillId="0" borderId="0" xfId="0" applyNumberFormat="1" applyFont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9" fontId="12" fillId="0" borderId="3" xfId="0" applyNumberFormat="1" applyFont="1" applyBorder="1" applyAlignment="1">
      <alignment horizontal="center" vertical="center" wrapText="1"/>
    </xf>
    <xf numFmtId="9" fontId="12" fillId="0" borderId="5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9" fontId="12" fillId="0" borderId="8" xfId="0" applyNumberFormat="1" applyFont="1" applyBorder="1" applyAlignment="1">
      <alignment horizontal="center" vertical="center" wrapText="1"/>
    </xf>
    <xf numFmtId="9" fontId="12" fillId="0" borderId="10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6" fillId="0" borderId="2" xfId="0" applyFont="1" applyBorder="1" applyAlignment="1">
      <alignment horizontal="center" vertical="center" shrinkToFi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8" fillId="0" borderId="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EAEAE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cid:image003.png@01D2AA28.AA98CC80" TargetMode="External"/><Relationship Id="rId13" Type="http://schemas.openxmlformats.org/officeDocument/2006/relationships/image" Target="../media/image10.png"/><Relationship Id="rId3" Type="http://schemas.openxmlformats.org/officeDocument/2006/relationships/hyperlink" Target="https://www.facebook.com/zbuka.hr" TargetMode="External"/><Relationship Id="rId7" Type="http://schemas.openxmlformats.org/officeDocument/2006/relationships/image" Target="../media/image8.png"/><Relationship Id="rId12" Type="http://schemas.openxmlformats.org/officeDocument/2006/relationships/hyperlink" Target="https://hr.linkedin.com/in/%C5%BEbuka-%C4%8Dakari%C4%87-577bb1b3" TargetMode="External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hyperlink" Target="https://www.youtube.com/channel/UC9vVFJ0J7BXDCEHDnLYFVUA" TargetMode="External"/><Relationship Id="rId11" Type="http://schemas.openxmlformats.org/officeDocument/2006/relationships/image" Target="cid:image004.png@01D2AA28.AA98CC80" TargetMode="External"/><Relationship Id="rId5" Type="http://schemas.openxmlformats.org/officeDocument/2006/relationships/image" Target="cid:image002.png@01D2AA28.AA98CC80" TargetMode="External"/><Relationship Id="rId10" Type="http://schemas.openxmlformats.org/officeDocument/2006/relationships/image" Target="../media/image9.png"/><Relationship Id="rId4" Type="http://schemas.openxmlformats.org/officeDocument/2006/relationships/image" Target="../media/image7.png"/><Relationship Id="rId9" Type="http://schemas.openxmlformats.org/officeDocument/2006/relationships/hyperlink" Target="https://twitter.com/ZbukaCakaric" TargetMode="External"/><Relationship Id="rId14" Type="http://schemas.openxmlformats.org/officeDocument/2006/relationships/image" Target="cid:image005.png@01D2AA28.AA98CC80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580161</xdr:colOff>
      <xdr:row>32</xdr:row>
      <xdr:rowOff>129886</xdr:rowOff>
    </xdr:from>
    <xdr:to>
      <xdr:col>10</xdr:col>
      <xdr:colOff>144501</xdr:colOff>
      <xdr:row>35</xdr:row>
      <xdr:rowOff>72338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75" r="17036"/>
        <a:stretch/>
      </xdr:blipFill>
      <xdr:spPr>
        <a:xfrm>
          <a:off x="5334002" y="7801841"/>
          <a:ext cx="915158" cy="1293270"/>
        </a:xfrm>
        <a:prstGeom prst="rect">
          <a:avLst/>
        </a:prstGeom>
      </xdr:spPr>
    </xdr:pic>
    <xdr:clientData/>
  </xdr:twoCellAnchor>
  <xdr:oneCellAnchor>
    <xdr:from>
      <xdr:col>8</xdr:col>
      <xdr:colOff>274386</xdr:colOff>
      <xdr:row>32</xdr:row>
      <xdr:rowOff>640773</xdr:rowOff>
    </xdr:from>
    <xdr:ext cx="1552893" cy="469744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028227" y="8823614"/>
          <a:ext cx="1552893" cy="469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hr-HR" sz="1200" b="0">
              <a:latin typeface="Futura PT" panose="020B0902020204020203" pitchFamily="34" charset="0"/>
            </a:rPr>
            <a:t>vlasnik</a:t>
          </a:r>
        </a:p>
        <a:p>
          <a:r>
            <a:rPr lang="hr-HR" sz="1200" b="0">
              <a:latin typeface="Futura PT" panose="020B0902020204020203" pitchFamily="34" charset="0"/>
            </a:rPr>
            <a:t>VLADO ČAKARIĆ</a:t>
          </a:r>
        </a:p>
      </xdr:txBody>
    </xdr:sp>
    <xdr:clientData/>
  </xdr:oneCellAnchor>
  <xdr:twoCellAnchor editAs="oneCell">
    <xdr:from>
      <xdr:col>8</xdr:col>
      <xdr:colOff>476248</xdr:colOff>
      <xdr:row>32</xdr:row>
      <xdr:rowOff>251115</xdr:rowOff>
    </xdr:from>
    <xdr:to>
      <xdr:col>10</xdr:col>
      <xdr:colOff>843925</xdr:colOff>
      <xdr:row>35</xdr:row>
      <xdr:rowOff>17319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DE34CD-E5AD-4205-9825-151025869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0089" y="8433956"/>
          <a:ext cx="1718495" cy="11170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273843</xdr:colOff>
      <xdr:row>28</xdr:row>
      <xdr:rowOff>0</xdr:rowOff>
    </xdr:from>
    <xdr:to>
      <xdr:col>12</xdr:col>
      <xdr:colOff>851296</xdr:colOff>
      <xdr:row>36</xdr:row>
      <xdr:rowOff>3018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75" r="17036"/>
        <a:stretch/>
      </xdr:blipFill>
      <xdr:spPr>
        <a:xfrm>
          <a:off x="5807868" y="7755732"/>
          <a:ext cx="910828" cy="1294754"/>
        </a:xfrm>
        <a:prstGeom prst="rect">
          <a:avLst/>
        </a:prstGeom>
      </xdr:spPr>
    </xdr:pic>
    <xdr:clientData/>
  </xdr:twoCellAnchor>
  <xdr:oneCellAnchor>
    <xdr:from>
      <xdr:col>9</xdr:col>
      <xdr:colOff>482204</xdr:colOff>
      <xdr:row>31</xdr:row>
      <xdr:rowOff>77391</xdr:rowOff>
    </xdr:from>
    <xdr:ext cx="1552893" cy="30014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120146" y="7763333"/>
          <a:ext cx="1552893" cy="300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hr-HR" sz="1200" b="0">
              <a:latin typeface="Futura PT" panose="020B0902020204020203" pitchFamily="34" charset="0"/>
            </a:rPr>
            <a:t>VLADO ČAKARIĆ</a:t>
          </a:r>
        </a:p>
      </xdr:txBody>
    </xdr:sp>
    <xdr:clientData/>
  </xdr:oneCellAnchor>
  <xdr:twoCellAnchor editAs="oneCell">
    <xdr:from>
      <xdr:col>1</xdr:col>
      <xdr:colOff>258083</xdr:colOff>
      <xdr:row>0</xdr:row>
      <xdr:rowOff>0</xdr:rowOff>
    </xdr:from>
    <xdr:to>
      <xdr:col>6</xdr:col>
      <xdr:colOff>394138</xdr:colOff>
      <xdr:row>4</xdr:row>
      <xdr:rowOff>95530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033" y="0"/>
          <a:ext cx="1879130" cy="743230"/>
        </a:xfrm>
        <a:prstGeom prst="rect">
          <a:avLst/>
        </a:prstGeom>
      </xdr:spPr>
    </xdr:pic>
    <xdr:clientData/>
  </xdr:twoCellAnchor>
  <xdr:twoCellAnchor>
    <xdr:from>
      <xdr:col>12</xdr:col>
      <xdr:colOff>157775</xdr:colOff>
      <xdr:row>0</xdr:row>
      <xdr:rowOff>4732</xdr:rowOff>
    </xdr:from>
    <xdr:to>
      <xdr:col>12</xdr:col>
      <xdr:colOff>329043</xdr:colOff>
      <xdr:row>0</xdr:row>
      <xdr:rowOff>159336</xdr:rowOff>
    </xdr:to>
    <xdr:pic>
      <xdr:nvPicPr>
        <xdr:cNvPr id="5" name="Picture 5" descr="1490714935_facebook_circle_colo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5175" y="4732"/>
          <a:ext cx="171268" cy="154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351885</xdr:colOff>
      <xdr:row>0</xdr:row>
      <xdr:rowOff>6121</xdr:rowOff>
    </xdr:from>
    <xdr:to>
      <xdr:col>12</xdr:col>
      <xdr:colOff>508199</xdr:colOff>
      <xdr:row>0</xdr:row>
      <xdr:rowOff>161080</xdr:rowOff>
    </xdr:to>
    <xdr:pic>
      <xdr:nvPicPr>
        <xdr:cNvPr id="6" name="Picture 8" descr="1490715085_youtub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285" y="6121"/>
          <a:ext cx="156314" cy="154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521000</xdr:colOff>
      <xdr:row>0</xdr:row>
      <xdr:rowOff>1359</xdr:rowOff>
    </xdr:from>
    <xdr:to>
      <xdr:col>12</xdr:col>
      <xdr:colOff>721066</xdr:colOff>
      <xdr:row>1</xdr:row>
      <xdr:rowOff>2434</xdr:rowOff>
    </xdr:to>
    <xdr:pic>
      <xdr:nvPicPr>
        <xdr:cNvPr id="7" name="Picture 6" descr="1490715021_twitter_circle_color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8400" y="1359"/>
          <a:ext cx="200066" cy="16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730537</xdr:colOff>
      <xdr:row>0</xdr:row>
      <xdr:rowOff>3741</xdr:rowOff>
    </xdr:from>
    <xdr:to>
      <xdr:col>12</xdr:col>
      <xdr:colOff>912829</xdr:colOff>
      <xdr:row>1</xdr:row>
      <xdr:rowOff>4814</xdr:rowOff>
    </xdr:to>
    <xdr:pic>
      <xdr:nvPicPr>
        <xdr:cNvPr id="8" name="Picture 7" descr="1490715045_linkedin_circle_colo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7937" y="3741"/>
          <a:ext cx="182292" cy="162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showGridLines="0" tabSelected="1" view="pageLayout" topLeftCell="A19" zoomScale="110" zoomScaleNormal="160" zoomScalePageLayoutView="110" workbookViewId="0">
      <selection activeCell="J23" sqref="J23"/>
    </sheetView>
  </sheetViews>
  <sheetFormatPr defaultRowHeight="12.75"/>
  <cols>
    <col min="1" max="1" width="5.140625" style="45" customWidth="1"/>
    <col min="2" max="2" width="4.5703125" style="45" customWidth="1"/>
    <col min="3" max="3" width="2.7109375" style="45" customWidth="1"/>
    <col min="4" max="4" width="6.28515625" style="45" customWidth="1"/>
    <col min="5" max="5" width="11.5703125" style="45" customWidth="1"/>
    <col min="6" max="6" width="4.140625" style="45" customWidth="1"/>
    <col min="7" max="7" width="27.7109375" style="45" customWidth="1"/>
    <col min="8" max="8" width="5.7109375" style="45" customWidth="1"/>
    <col min="9" max="9" width="10.5703125" style="45" customWidth="1"/>
    <col min="10" max="10" width="8.7109375" style="45" customWidth="1"/>
    <col min="11" max="11" width="13.42578125" style="45" bestFit="1" customWidth="1"/>
    <col min="12" max="12" width="14.7109375" style="45" customWidth="1"/>
    <col min="13" max="16" width="9.28515625" style="45" customWidth="1"/>
    <col min="17" max="16384" width="9.140625" style="45"/>
  </cols>
  <sheetData>
    <row r="1" spans="1:16">
      <c r="J1" s="91" t="s">
        <v>0</v>
      </c>
      <c r="K1" s="91"/>
      <c r="M1" s="46"/>
    </row>
    <row r="2" spans="1:16">
      <c r="J2" s="91"/>
      <c r="K2" s="91"/>
      <c r="M2" s="46"/>
    </row>
    <row r="3" spans="1:16" ht="12.75" customHeight="1">
      <c r="A3" s="90" t="s">
        <v>54</v>
      </c>
      <c r="J3" s="91"/>
      <c r="K3" s="91"/>
    </row>
    <row r="4" spans="1:16">
      <c r="A4" s="92" t="s">
        <v>64</v>
      </c>
      <c r="B4" s="92"/>
      <c r="C4" s="92"/>
      <c r="D4" s="92"/>
      <c r="E4" s="92"/>
      <c r="F4" s="92"/>
      <c r="G4" s="92"/>
      <c r="H4" s="46"/>
      <c r="I4" s="73"/>
      <c r="J4" s="74" t="s">
        <v>19</v>
      </c>
      <c r="K4" s="75">
        <f ca="1">TODAY()</f>
        <v>45593</v>
      </c>
    </row>
    <row r="5" spans="1:16">
      <c r="A5" s="92" t="s">
        <v>65</v>
      </c>
      <c r="B5" s="92"/>
      <c r="C5" s="92"/>
      <c r="D5" s="92"/>
      <c r="E5" s="92"/>
      <c r="F5" s="92"/>
      <c r="G5" s="92"/>
      <c r="H5" s="46"/>
      <c r="I5" s="96" t="s">
        <v>58</v>
      </c>
      <c r="J5" s="96"/>
      <c r="K5" s="76" t="s">
        <v>69</v>
      </c>
    </row>
    <row r="6" spans="1:16">
      <c r="A6" s="92" t="s">
        <v>66</v>
      </c>
      <c r="B6" s="92"/>
      <c r="C6" s="92"/>
      <c r="D6" s="92"/>
      <c r="E6" s="92"/>
      <c r="F6" s="92"/>
      <c r="G6" s="92"/>
      <c r="H6" s="46"/>
      <c r="I6" s="77"/>
      <c r="J6" s="78"/>
      <c r="K6" s="46"/>
      <c r="N6" s="48"/>
    </row>
    <row r="7" spans="1:16" ht="12.75" customHeight="1">
      <c r="A7" s="73" t="s">
        <v>5</v>
      </c>
      <c r="B7" s="92">
        <v>25237837904</v>
      </c>
      <c r="C7" s="92"/>
      <c r="D7" s="92"/>
      <c r="E7" s="92"/>
      <c r="F7" s="92"/>
      <c r="G7" s="92"/>
      <c r="H7" s="46"/>
      <c r="I7" s="98" t="s">
        <v>22</v>
      </c>
      <c r="J7" s="98"/>
      <c r="K7" s="79" t="s">
        <v>51</v>
      </c>
    </row>
    <row r="8" spans="1:16" ht="12.75" customHeight="1">
      <c r="A8" s="49"/>
      <c r="B8" s="50"/>
      <c r="C8" s="50"/>
      <c r="D8" s="50"/>
      <c r="E8" s="50"/>
      <c r="F8" s="50"/>
      <c r="G8" s="50"/>
      <c r="I8" s="51"/>
      <c r="J8" s="51"/>
      <c r="K8" s="52"/>
    </row>
    <row r="9" spans="1:16" ht="12.75" customHeight="1">
      <c r="A9" s="93" t="s">
        <v>20</v>
      </c>
      <c r="B9" s="93"/>
      <c r="C9" s="93"/>
      <c r="D9" s="94" t="s">
        <v>67</v>
      </c>
      <c r="E9" s="94"/>
      <c r="F9" s="94"/>
      <c r="G9" s="94"/>
      <c r="H9" s="94"/>
      <c r="I9" s="94"/>
      <c r="J9" s="94"/>
      <c r="K9" s="46"/>
    </row>
    <row r="10" spans="1:16" ht="12.75" customHeight="1">
      <c r="A10" s="93" t="s">
        <v>14</v>
      </c>
      <c r="B10" s="93"/>
      <c r="C10" s="93"/>
      <c r="D10" s="95" t="s">
        <v>68</v>
      </c>
      <c r="E10" s="95"/>
      <c r="F10" s="95"/>
      <c r="G10" s="95"/>
      <c r="H10" s="95"/>
      <c r="I10" s="95"/>
      <c r="J10" s="95"/>
      <c r="K10" s="46"/>
    </row>
    <row r="11" spans="1:16" s="49" customFormat="1">
      <c r="A11" s="54" t="s">
        <v>7</v>
      </c>
      <c r="B11" s="99" t="s">
        <v>6</v>
      </c>
      <c r="C11" s="99"/>
      <c r="D11" s="99"/>
      <c r="E11" s="99"/>
      <c r="F11" s="99"/>
      <c r="G11" s="99"/>
      <c r="H11" s="54" t="s">
        <v>8</v>
      </c>
      <c r="I11" s="54" t="s">
        <v>3</v>
      </c>
      <c r="J11" s="54" t="s">
        <v>2</v>
      </c>
      <c r="K11" s="54" t="s">
        <v>1</v>
      </c>
      <c r="M11" s="45"/>
      <c r="N11" s="55"/>
      <c r="O11" s="56"/>
      <c r="P11" s="56"/>
    </row>
    <row r="12" spans="1:16" s="49" customFormat="1">
      <c r="A12" s="57" t="s">
        <v>42</v>
      </c>
      <c r="B12" s="104" t="s">
        <v>49</v>
      </c>
      <c r="C12" s="105"/>
      <c r="D12" s="105"/>
      <c r="E12" s="105"/>
      <c r="F12" s="105"/>
      <c r="G12" s="105"/>
      <c r="H12" s="105"/>
      <c r="I12" s="105"/>
      <c r="J12" s="105"/>
      <c r="K12" s="58"/>
      <c r="M12" s="45"/>
      <c r="N12" s="55"/>
      <c r="O12" s="56"/>
      <c r="P12" s="56"/>
    </row>
    <row r="13" spans="1:16" s="49" customFormat="1" ht="41.25" customHeight="1">
      <c r="A13" s="80" t="s">
        <v>41</v>
      </c>
      <c r="B13" s="107" t="s">
        <v>62</v>
      </c>
      <c r="C13" s="108"/>
      <c r="D13" s="108"/>
      <c r="E13" s="108"/>
      <c r="F13" s="108"/>
      <c r="G13" s="109"/>
      <c r="H13" s="81" t="s">
        <v>61</v>
      </c>
      <c r="I13" s="82">
        <v>350</v>
      </c>
      <c r="J13" s="82">
        <v>20</v>
      </c>
      <c r="K13" s="83">
        <f>J13*I13</f>
        <v>7000</v>
      </c>
      <c r="M13" s="45"/>
      <c r="N13" s="55"/>
      <c r="O13" s="56"/>
      <c r="P13" s="56"/>
    </row>
    <row r="14" spans="1:16" s="49" customFormat="1" ht="24" customHeight="1">
      <c r="A14" s="80" t="s">
        <v>53</v>
      </c>
      <c r="B14" s="107" t="s">
        <v>70</v>
      </c>
      <c r="C14" s="108"/>
      <c r="D14" s="108"/>
      <c r="E14" s="108"/>
      <c r="F14" s="108"/>
      <c r="G14" s="109"/>
      <c r="H14" s="81" t="s">
        <v>61</v>
      </c>
      <c r="I14" s="82">
        <v>300</v>
      </c>
      <c r="J14" s="82">
        <v>25</v>
      </c>
      <c r="K14" s="83">
        <f>J14*I14</f>
        <v>7500</v>
      </c>
      <c r="M14" s="45"/>
      <c r="N14" s="55"/>
      <c r="O14" s="56"/>
      <c r="P14" s="56"/>
    </row>
    <row r="15" spans="1:16" s="49" customFormat="1" ht="13.5">
      <c r="A15" s="80" t="s">
        <v>71</v>
      </c>
      <c r="B15" s="107" t="s">
        <v>72</v>
      </c>
      <c r="C15" s="108"/>
      <c r="D15" s="108"/>
      <c r="E15" s="108"/>
      <c r="F15" s="108"/>
      <c r="G15" s="109"/>
      <c r="H15" s="81" t="s">
        <v>61</v>
      </c>
      <c r="I15" s="82">
        <v>300</v>
      </c>
      <c r="J15" s="82">
        <v>5</v>
      </c>
      <c r="K15" s="83">
        <f>J15*I15</f>
        <v>1500</v>
      </c>
      <c r="M15" s="45"/>
      <c r="N15" s="55"/>
      <c r="O15" s="56"/>
      <c r="P15" s="56"/>
    </row>
    <row r="16" spans="1:16" s="49" customFormat="1" ht="50.25" customHeight="1">
      <c r="A16" s="80" t="s">
        <v>75</v>
      </c>
      <c r="B16" s="107" t="s">
        <v>76</v>
      </c>
      <c r="C16" s="108"/>
      <c r="D16" s="108"/>
      <c r="E16" s="108"/>
      <c r="F16" s="108"/>
      <c r="G16" s="109"/>
      <c r="H16" s="81" t="s">
        <v>52</v>
      </c>
      <c r="I16" s="82">
        <v>5</v>
      </c>
      <c r="J16" s="82">
        <v>400</v>
      </c>
      <c r="K16" s="83">
        <f>J16*I16</f>
        <v>2000</v>
      </c>
      <c r="M16" s="45"/>
      <c r="N16" s="55"/>
      <c r="O16" s="56"/>
      <c r="P16" s="56"/>
    </row>
    <row r="17" spans="1:16" s="49" customFormat="1" ht="24" customHeight="1">
      <c r="A17" s="80" t="s">
        <v>75</v>
      </c>
      <c r="B17" s="107" t="s">
        <v>77</v>
      </c>
      <c r="C17" s="108"/>
      <c r="D17" s="108"/>
      <c r="E17" s="108"/>
      <c r="F17" s="108"/>
      <c r="G17" s="109"/>
      <c r="H17" s="81" t="s">
        <v>78</v>
      </c>
      <c r="I17" s="82">
        <v>25</v>
      </c>
      <c r="J17" s="82">
        <v>250</v>
      </c>
      <c r="K17" s="83">
        <f>J17*I17</f>
        <v>6250</v>
      </c>
      <c r="M17" s="45"/>
      <c r="N17" s="55"/>
      <c r="O17" s="56"/>
      <c r="P17" s="56"/>
    </row>
    <row r="18" spans="1:16" s="49" customFormat="1">
      <c r="A18" s="57" t="s">
        <v>42</v>
      </c>
      <c r="B18" s="104" t="s">
        <v>49</v>
      </c>
      <c r="C18" s="105"/>
      <c r="D18" s="105"/>
      <c r="E18" s="105"/>
      <c r="F18" s="105"/>
      <c r="G18" s="105"/>
      <c r="H18" s="59"/>
      <c r="I18" s="59"/>
      <c r="J18" s="60" t="s">
        <v>43</v>
      </c>
      <c r="K18" s="61">
        <f>SUM(K13:K17)</f>
        <v>24250</v>
      </c>
    </row>
    <row r="19" spans="1:16" s="49" customFormat="1">
      <c r="A19" s="57" t="s">
        <v>45</v>
      </c>
      <c r="B19" s="104" t="s">
        <v>44</v>
      </c>
      <c r="C19" s="105"/>
      <c r="D19" s="105"/>
      <c r="E19" s="105"/>
      <c r="F19" s="105"/>
      <c r="G19" s="105"/>
      <c r="H19" s="105"/>
      <c r="I19" s="105"/>
      <c r="J19" s="105"/>
      <c r="K19" s="58"/>
    </row>
    <row r="20" spans="1:16" s="49" customFormat="1" ht="151.5" customHeight="1">
      <c r="A20" s="84" t="s">
        <v>41</v>
      </c>
      <c r="B20" s="103" t="s">
        <v>73</v>
      </c>
      <c r="C20" s="103"/>
      <c r="D20" s="103"/>
      <c r="E20" s="103"/>
      <c r="F20" s="103"/>
      <c r="G20" s="103"/>
      <c r="H20" s="85"/>
      <c r="I20" s="82"/>
      <c r="J20" s="86"/>
      <c r="K20" s="87">
        <f t="shared" ref="K20:K21" si="0">J20*I20</f>
        <v>0</v>
      </c>
    </row>
    <row r="21" spans="1:16" s="49" customFormat="1" ht="13.5">
      <c r="A21" s="88" t="s">
        <v>56</v>
      </c>
      <c r="B21" s="107" t="s">
        <v>74</v>
      </c>
      <c r="C21" s="108"/>
      <c r="D21" s="108"/>
      <c r="E21" s="108"/>
      <c r="F21" s="108"/>
      <c r="G21" s="109"/>
      <c r="H21" s="81" t="s">
        <v>61</v>
      </c>
      <c r="I21" s="89">
        <v>350</v>
      </c>
      <c r="J21" s="86">
        <v>82</v>
      </c>
      <c r="K21" s="87">
        <f t="shared" si="0"/>
        <v>28700</v>
      </c>
    </row>
    <row r="22" spans="1:16" s="49" customFormat="1" ht="13.5">
      <c r="A22" s="88" t="s">
        <v>56</v>
      </c>
      <c r="B22" s="107" t="s">
        <v>79</v>
      </c>
      <c r="C22" s="108"/>
      <c r="D22" s="108"/>
      <c r="E22" s="108"/>
      <c r="F22" s="108"/>
      <c r="G22" s="109"/>
      <c r="H22" s="81" t="s">
        <v>61</v>
      </c>
      <c r="I22" s="89">
        <v>12</v>
      </c>
      <c r="J22" s="86">
        <v>70</v>
      </c>
      <c r="K22" s="87">
        <f t="shared" ref="K22" si="1">J22*I22</f>
        <v>840</v>
      </c>
    </row>
    <row r="23" spans="1:16" s="49" customFormat="1">
      <c r="A23" s="88" t="s">
        <v>57</v>
      </c>
      <c r="B23" s="107" t="s">
        <v>80</v>
      </c>
      <c r="C23" s="108"/>
      <c r="D23" s="108"/>
      <c r="E23" s="108"/>
      <c r="F23" s="108"/>
      <c r="G23" s="109"/>
      <c r="H23" s="81" t="s">
        <v>50</v>
      </c>
      <c r="I23" s="89">
        <v>26</v>
      </c>
      <c r="J23" s="86">
        <v>70</v>
      </c>
      <c r="K23" s="87">
        <f t="shared" ref="K23" si="2">J23*I23</f>
        <v>1820</v>
      </c>
    </row>
    <row r="24" spans="1:16" s="49" customFormat="1">
      <c r="A24" s="57" t="s">
        <v>45</v>
      </c>
      <c r="B24" s="104" t="s">
        <v>44</v>
      </c>
      <c r="C24" s="105"/>
      <c r="D24" s="105"/>
      <c r="E24" s="105"/>
      <c r="F24" s="105"/>
      <c r="G24" s="105"/>
      <c r="H24" s="59"/>
      <c r="I24" s="59"/>
      <c r="J24" s="60" t="s">
        <v>43</v>
      </c>
      <c r="K24" s="61">
        <f>SUM(K20:K23)</f>
        <v>31360</v>
      </c>
    </row>
    <row r="25" spans="1:16" s="49" customForma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</row>
    <row r="26" spans="1:16" s="49" customFormat="1">
      <c r="A26" s="62"/>
      <c r="B26" s="93" t="s">
        <v>46</v>
      </c>
      <c r="C26" s="93"/>
      <c r="D26" s="93"/>
      <c r="E26" s="93"/>
      <c r="F26" s="93"/>
      <c r="G26" s="93"/>
      <c r="H26" s="63"/>
      <c r="I26" s="63"/>
      <c r="J26" s="64"/>
      <c r="K26" s="65"/>
    </row>
    <row r="27" spans="1:16" s="49" customFormat="1">
      <c r="A27" s="66" t="s">
        <v>42</v>
      </c>
      <c r="B27" s="106" t="str">
        <f>B12</f>
        <v xml:space="preserve">PRIPREMNI RADOVI </v>
      </c>
      <c r="C27" s="106"/>
      <c r="D27" s="106"/>
      <c r="E27" s="106"/>
      <c r="F27" s="106"/>
      <c r="G27" s="106"/>
      <c r="H27" s="67"/>
      <c r="I27" s="67"/>
      <c r="J27" s="66"/>
      <c r="K27" s="68">
        <f>K18</f>
        <v>24250</v>
      </c>
    </row>
    <row r="28" spans="1:16" s="49" customFormat="1">
      <c r="A28" s="66" t="s">
        <v>45</v>
      </c>
      <c r="B28" s="106" t="str">
        <f>B19</f>
        <v>FASADERSKI RADOVI</v>
      </c>
      <c r="C28" s="106"/>
      <c r="D28" s="106"/>
      <c r="E28" s="106"/>
      <c r="F28" s="106"/>
      <c r="G28" s="106"/>
      <c r="H28" s="67"/>
      <c r="I28" s="67"/>
      <c r="J28" s="66"/>
      <c r="K28" s="68">
        <f>K24</f>
        <v>31360</v>
      </c>
    </row>
    <row r="29" spans="1:16" s="49" customFormat="1">
      <c r="A29" s="66"/>
      <c r="B29" s="106" t="s">
        <v>43</v>
      </c>
      <c r="C29" s="106"/>
      <c r="D29" s="106"/>
      <c r="E29" s="106"/>
      <c r="F29" s="106"/>
      <c r="G29" s="106"/>
      <c r="H29" s="67"/>
      <c r="I29" s="67"/>
      <c r="J29" s="66"/>
      <c r="K29" s="68">
        <f>SUM(K27:K28)</f>
        <v>55610</v>
      </c>
    </row>
    <row r="30" spans="1:16" s="49" customFormat="1">
      <c r="A30" s="66"/>
      <c r="B30" s="106" t="s">
        <v>47</v>
      </c>
      <c r="C30" s="106"/>
      <c r="D30" s="106"/>
      <c r="E30" s="106"/>
      <c r="F30" s="106"/>
      <c r="G30" s="106"/>
      <c r="H30" s="67"/>
      <c r="I30" s="67"/>
      <c r="J30" s="66"/>
      <c r="K30" s="68">
        <f>K29*0.25</f>
        <v>13902.5</v>
      </c>
    </row>
    <row r="31" spans="1:16" s="49" customFormat="1">
      <c r="A31" s="66"/>
      <c r="B31" s="106" t="s">
        <v>48</v>
      </c>
      <c r="C31" s="106"/>
      <c r="D31" s="106"/>
      <c r="E31" s="106"/>
      <c r="F31" s="106"/>
      <c r="G31" s="106"/>
      <c r="H31" s="67"/>
      <c r="I31" s="67"/>
      <c r="J31" s="66"/>
      <c r="K31" s="68">
        <f>K30+K29</f>
        <v>69512.5</v>
      </c>
    </row>
    <row r="32" spans="1:16" s="49" customFormat="1" ht="14.25" customHeight="1">
      <c r="A32" s="64"/>
      <c r="B32" s="53"/>
      <c r="C32" s="53"/>
      <c r="D32" s="53"/>
      <c r="E32" s="53"/>
      <c r="F32" s="53"/>
      <c r="G32" s="53"/>
      <c r="H32" s="63"/>
      <c r="I32" s="63"/>
      <c r="J32" s="64"/>
      <c r="K32" s="69"/>
    </row>
    <row r="33" spans="1:11" ht="80.25" customHeight="1">
      <c r="A33" s="102" t="s">
        <v>55</v>
      </c>
      <c r="B33" s="102"/>
      <c r="C33" s="100" t="s">
        <v>63</v>
      </c>
      <c r="D33" s="100"/>
      <c r="E33" s="100"/>
      <c r="F33" s="100"/>
      <c r="G33" s="100"/>
      <c r="H33" s="100"/>
      <c r="I33" s="100"/>
      <c r="J33" s="100"/>
      <c r="K33" s="70"/>
    </row>
    <row r="34" spans="1:11">
      <c r="A34" s="97" t="s">
        <v>59</v>
      </c>
      <c r="B34" s="97"/>
      <c r="C34" s="97"/>
      <c r="D34" s="97"/>
      <c r="E34" s="97"/>
      <c r="F34" s="101">
        <f ca="1">TODAY()+45</f>
        <v>45638</v>
      </c>
      <c r="G34" s="101"/>
      <c r="H34" s="71"/>
      <c r="I34" s="70"/>
      <c r="J34" s="70"/>
    </row>
    <row r="35" spans="1:11">
      <c r="A35" s="97" t="s">
        <v>21</v>
      </c>
      <c r="B35" s="97"/>
      <c r="C35" s="97"/>
      <c r="D35" s="97"/>
      <c r="E35" s="97"/>
      <c r="F35" s="72">
        <v>30</v>
      </c>
      <c r="G35" s="71" t="s">
        <v>60</v>
      </c>
      <c r="H35" s="47"/>
    </row>
    <row r="36" spans="1:11">
      <c r="A36" s="97"/>
      <c r="B36" s="97"/>
      <c r="C36" s="97"/>
      <c r="D36" s="97"/>
      <c r="E36" s="97"/>
      <c r="F36" s="97"/>
      <c r="G36" s="97"/>
      <c r="H36" s="97"/>
    </row>
  </sheetData>
  <mergeCells count="37">
    <mergeCell ref="B26:G26"/>
    <mergeCell ref="B22:G22"/>
    <mergeCell ref="B29:G29"/>
    <mergeCell ref="B12:J12"/>
    <mergeCell ref="B18:G18"/>
    <mergeCell ref="B13:G13"/>
    <mergeCell ref="B19:J19"/>
    <mergeCell ref="B21:G21"/>
    <mergeCell ref="B14:G14"/>
    <mergeCell ref="B15:G15"/>
    <mergeCell ref="B16:G16"/>
    <mergeCell ref="B17:G17"/>
    <mergeCell ref="B23:G23"/>
    <mergeCell ref="A36:H36"/>
    <mergeCell ref="A5:G5"/>
    <mergeCell ref="A6:G6"/>
    <mergeCell ref="I7:J7"/>
    <mergeCell ref="B11:G11"/>
    <mergeCell ref="C33:J33"/>
    <mergeCell ref="A35:E35"/>
    <mergeCell ref="A34:E34"/>
    <mergeCell ref="F34:G34"/>
    <mergeCell ref="A33:B33"/>
    <mergeCell ref="B20:G20"/>
    <mergeCell ref="B24:G24"/>
    <mergeCell ref="B30:G30"/>
    <mergeCell ref="B31:G31"/>
    <mergeCell ref="B27:G27"/>
    <mergeCell ref="B28:G28"/>
    <mergeCell ref="J1:K3"/>
    <mergeCell ref="A4:G4"/>
    <mergeCell ref="A10:C10"/>
    <mergeCell ref="A9:C9"/>
    <mergeCell ref="B7:G7"/>
    <mergeCell ref="D9:J9"/>
    <mergeCell ref="D10:J10"/>
    <mergeCell ref="I5:J5"/>
  </mergeCells>
  <phoneticPr fontId="1" type="noConversion"/>
  <printOptions horizontalCentered="1"/>
  <pageMargins left="0.23622047244094491" right="0.23622047244094491" top="0.35433070866141736" bottom="0.35433070866141736" header="0.11811023622047245" footer="0.31496062992125984"/>
  <pageSetup orientation="portrait" horizontalDpi="4294967293" verticalDpi="300" r:id="rId1"/>
  <headerFooter scaleWithDoc="0">
    <oddHeader xml:space="preserve">&amp;L&amp;"Lato,Italic"&amp;8Žbuka obrt za graditeljstvo, vl. Vlado Čakarić
OIB: 53051615930 | Ilica 506 | Zagreb 10090
&amp;C&amp;"Lato,Italic"&amp;8www.zbuka.hr | zbuka@zbuka.hr 
 098/470-254 | 099/500-8881 &amp;G&amp;R&amp;"Lato,Italic"&amp;8ZABA: HR1423600001101532118 </oddHeader>
    <oddFooter>&amp;L&amp;"Arial,Italic"&amp;8&amp;P / &amp;N&amp;R&amp;G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6"/>
  <sheetViews>
    <sheetView showGridLines="0" view="pageLayout" topLeftCell="A19" zoomScale="110" zoomScaleNormal="160" zoomScalePageLayoutView="110" workbookViewId="0">
      <selection activeCell="M10" sqref="M10"/>
    </sheetView>
  </sheetViews>
  <sheetFormatPr defaultRowHeight="12.75"/>
  <cols>
    <col min="1" max="1" width="5.140625" style="1" customWidth="1"/>
    <col min="2" max="2" width="4.5703125" style="1" customWidth="1"/>
    <col min="3" max="3" width="2.7109375" style="1" customWidth="1"/>
    <col min="4" max="4" width="6.28515625" style="1" customWidth="1"/>
    <col min="5" max="5" width="8.85546875" style="1" customWidth="1"/>
    <col min="6" max="6" width="2.42578125" style="1" customWidth="1"/>
    <col min="7" max="7" width="19.85546875" style="1" customWidth="1"/>
    <col min="8" max="8" width="5.7109375" style="1" customWidth="1"/>
    <col min="9" max="9" width="10.5703125" style="1" customWidth="1"/>
    <col min="10" max="10" width="8.7109375" style="1" customWidth="1"/>
    <col min="11" max="11" width="4.140625" style="1" customWidth="1"/>
    <col min="12" max="12" width="4.7109375" style="1" customWidth="1"/>
    <col min="13" max="13" width="13.7109375" style="1" customWidth="1"/>
    <col min="14" max="14" width="14.7109375" style="1" customWidth="1"/>
    <col min="15" max="18" width="9.28515625" style="1" customWidth="1"/>
    <col min="19" max="16384" width="9.140625" style="1"/>
  </cols>
  <sheetData>
    <row r="1" spans="1:16" ht="12.75" customHeight="1">
      <c r="A1" s="10"/>
      <c r="M1" s="9"/>
      <c r="O1" s="7"/>
    </row>
    <row r="2" spans="1:16" ht="12.75" customHeight="1">
      <c r="A2" s="10"/>
      <c r="H2" s="133" t="s">
        <v>15</v>
      </c>
      <c r="I2" s="133"/>
      <c r="J2" s="133"/>
      <c r="K2" s="133"/>
      <c r="L2" s="133"/>
      <c r="M2" s="31"/>
      <c r="O2" s="7"/>
    </row>
    <row r="3" spans="1:16" ht="12.75" customHeight="1">
      <c r="A3" s="10"/>
      <c r="H3" s="133" t="s">
        <v>23</v>
      </c>
      <c r="I3" s="133"/>
      <c r="J3" s="133"/>
      <c r="K3" s="133"/>
      <c r="L3" s="133"/>
      <c r="M3" s="133"/>
      <c r="O3" s="7"/>
    </row>
    <row r="4" spans="1:16" ht="12.75" customHeight="1">
      <c r="A4" s="10"/>
      <c r="H4" s="133" t="s">
        <v>16</v>
      </c>
      <c r="I4" s="133"/>
      <c r="J4" s="133"/>
      <c r="K4" s="133"/>
      <c r="L4" s="133"/>
      <c r="M4" s="133"/>
      <c r="O4" s="7"/>
    </row>
    <row r="5" spans="1:16" ht="12.75" customHeight="1">
      <c r="H5" s="133" t="s">
        <v>26</v>
      </c>
      <c r="I5" s="133"/>
      <c r="J5" s="133"/>
      <c r="K5" s="133"/>
      <c r="L5" s="133"/>
      <c r="M5" s="133"/>
      <c r="O5" s="8"/>
    </row>
    <row r="6" spans="1:16" ht="12.7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8"/>
      <c r="L6" s="28"/>
      <c r="M6" s="28"/>
      <c r="O6" s="8"/>
    </row>
    <row r="7" spans="1:16" ht="12.75" customHeight="1">
      <c r="H7" s="135" t="s">
        <v>34</v>
      </c>
      <c r="I7" s="135"/>
      <c r="J7" s="135"/>
      <c r="K7" s="135"/>
      <c r="L7" s="135"/>
      <c r="M7" s="135"/>
      <c r="O7" s="8"/>
    </row>
    <row r="8" spans="1:16" ht="12.75" customHeight="1">
      <c r="H8" s="136"/>
      <c r="I8" s="136"/>
      <c r="J8" s="136"/>
      <c r="K8" s="136"/>
      <c r="L8" s="136"/>
      <c r="M8" s="136"/>
    </row>
    <row r="9" spans="1:16" ht="13.5" customHeight="1">
      <c r="A9" s="134" t="s">
        <v>4</v>
      </c>
      <c r="B9" s="134"/>
      <c r="C9" s="13"/>
      <c r="D9" s="13"/>
      <c r="E9" s="13"/>
      <c r="F9" s="13"/>
      <c r="G9" s="13"/>
      <c r="H9" s="136"/>
      <c r="I9" s="136"/>
      <c r="J9" s="136"/>
      <c r="K9" s="136"/>
      <c r="L9" s="136"/>
      <c r="M9" s="136"/>
    </row>
    <row r="10" spans="1:16" ht="13.5" customHeight="1">
      <c r="A10" s="13"/>
      <c r="B10" s="13"/>
      <c r="C10" s="13"/>
      <c r="D10" s="13"/>
      <c r="E10" s="13"/>
      <c r="F10" s="13"/>
      <c r="G10" s="13"/>
      <c r="H10" s="35"/>
      <c r="I10" s="35"/>
      <c r="J10" s="115" t="s">
        <v>28</v>
      </c>
      <c r="K10" s="115"/>
      <c r="L10" s="115"/>
      <c r="M10" s="30" t="s">
        <v>31</v>
      </c>
    </row>
    <row r="11" spans="1:16" ht="15">
      <c r="A11" s="132" t="s">
        <v>38</v>
      </c>
      <c r="B11" s="132"/>
      <c r="C11" s="132"/>
      <c r="D11" s="132"/>
      <c r="E11" s="132"/>
      <c r="F11" s="132"/>
      <c r="G11" s="132"/>
      <c r="I11" s="29"/>
      <c r="J11" s="115" t="s">
        <v>27</v>
      </c>
      <c r="K11" s="115"/>
      <c r="L11" s="115"/>
      <c r="M11" s="37">
        <v>0.63124999999999998</v>
      </c>
    </row>
    <row r="12" spans="1:16" ht="15">
      <c r="A12" s="132" t="s">
        <v>39</v>
      </c>
      <c r="B12" s="132"/>
      <c r="C12" s="132"/>
      <c r="D12" s="132"/>
      <c r="E12" s="132"/>
      <c r="F12" s="132"/>
      <c r="G12" s="132"/>
      <c r="I12" s="29"/>
      <c r="J12" s="115" t="s">
        <v>29</v>
      </c>
      <c r="K12" s="115"/>
      <c r="L12" s="115"/>
      <c r="M12" s="36">
        <v>43484</v>
      </c>
    </row>
    <row r="13" spans="1:16">
      <c r="A13" s="132" t="s">
        <v>40</v>
      </c>
      <c r="B13" s="132"/>
      <c r="C13" s="132"/>
      <c r="D13" s="132"/>
      <c r="E13" s="132"/>
      <c r="F13" s="132"/>
      <c r="G13" s="132"/>
      <c r="I13" s="14"/>
      <c r="J13" s="3"/>
      <c r="K13" s="15"/>
      <c r="L13" s="14"/>
      <c r="P13" s="2"/>
    </row>
    <row r="14" spans="1:16" ht="12.75" customHeight="1">
      <c r="A14" s="4" t="s">
        <v>5</v>
      </c>
      <c r="B14" s="132">
        <v>73037001250</v>
      </c>
      <c r="C14" s="132"/>
      <c r="D14" s="132"/>
      <c r="E14" s="132"/>
      <c r="F14" s="132"/>
      <c r="G14" s="132"/>
    </row>
    <row r="15" spans="1:16" ht="12.75" customHeight="1">
      <c r="A15" s="4"/>
      <c r="B15" s="32"/>
      <c r="C15" s="32"/>
      <c r="D15" s="32"/>
      <c r="E15" s="32"/>
      <c r="F15" s="32"/>
      <c r="G15" s="32"/>
    </row>
    <row r="16" spans="1:16">
      <c r="A16" s="2" t="s">
        <v>32</v>
      </c>
      <c r="I16" s="128"/>
      <c r="J16" s="128"/>
      <c r="K16" s="128"/>
      <c r="L16" s="129"/>
      <c r="M16" s="129"/>
    </row>
    <row r="17" spans="1:18">
      <c r="A17" s="2"/>
      <c r="I17" s="33"/>
      <c r="J17" s="33"/>
      <c r="K17" s="33"/>
      <c r="L17" s="44"/>
      <c r="M17" s="44"/>
    </row>
    <row r="18" spans="1:18">
      <c r="A18" s="130" t="s">
        <v>30</v>
      </c>
      <c r="B18" s="130"/>
      <c r="C18" s="130"/>
      <c r="D18" s="132" t="s">
        <v>36</v>
      </c>
      <c r="E18" s="132"/>
      <c r="F18" s="132"/>
      <c r="G18" s="132"/>
      <c r="H18" s="132"/>
    </row>
    <row r="19" spans="1:18">
      <c r="A19" s="130" t="s">
        <v>14</v>
      </c>
      <c r="B19" s="130"/>
      <c r="C19" s="130"/>
      <c r="D19" s="132" t="s">
        <v>37</v>
      </c>
      <c r="E19" s="132"/>
      <c r="F19" s="132"/>
      <c r="G19" s="132"/>
      <c r="H19" s="132"/>
    </row>
    <row r="21" spans="1:18" s="4" customFormat="1" ht="20.100000000000001" customHeight="1">
      <c r="A21" s="16" t="s">
        <v>7</v>
      </c>
      <c r="B21" s="122" t="s">
        <v>6</v>
      </c>
      <c r="C21" s="122"/>
      <c r="D21" s="122"/>
      <c r="E21" s="122"/>
      <c r="F21" s="122"/>
      <c r="G21" s="122"/>
      <c r="H21" s="16" t="s">
        <v>8</v>
      </c>
      <c r="I21" s="16" t="s">
        <v>3</v>
      </c>
      <c r="J21" s="16" t="s">
        <v>2</v>
      </c>
      <c r="K21" s="122" t="s">
        <v>9</v>
      </c>
      <c r="L21" s="122"/>
      <c r="M21" s="16" t="s">
        <v>1</v>
      </c>
      <c r="O21" s="1"/>
      <c r="P21" s="5"/>
      <c r="Q21" s="6"/>
      <c r="R21" s="6"/>
    </row>
    <row r="22" spans="1:18" s="4" customFormat="1" ht="24.75" customHeight="1">
      <c r="A22" s="39">
        <v>1</v>
      </c>
      <c r="B22" s="123" t="s">
        <v>33</v>
      </c>
      <c r="C22" s="124"/>
      <c r="D22" s="124"/>
      <c r="E22" s="124"/>
      <c r="F22" s="124"/>
      <c r="G22" s="125"/>
      <c r="H22" s="40" t="s">
        <v>24</v>
      </c>
      <c r="I22" s="41">
        <f>M22/220</f>
        <v>59.994136363636358</v>
      </c>
      <c r="J22" s="42">
        <v>220</v>
      </c>
      <c r="K22" s="126">
        <v>0</v>
      </c>
      <c r="L22" s="127"/>
      <c r="M22" s="43">
        <v>13198.71</v>
      </c>
    </row>
    <row r="23" spans="1:18" s="4" customFormat="1" ht="20.100000000000001" customHeight="1">
      <c r="A23" s="23"/>
      <c r="B23" s="117"/>
      <c r="C23" s="118"/>
      <c r="D23" s="118"/>
      <c r="E23" s="118"/>
      <c r="F23" s="118"/>
      <c r="G23" s="119"/>
      <c r="H23" s="21"/>
      <c r="I23" s="22"/>
      <c r="J23" s="25"/>
      <c r="K23" s="120"/>
      <c r="L23" s="121"/>
      <c r="M23" s="26"/>
    </row>
    <row r="24" spans="1:18" s="4" customFormat="1" ht="20.100000000000001" customHeight="1">
      <c r="J24" s="12"/>
      <c r="K24" s="116" t="s">
        <v>1</v>
      </c>
      <c r="L24" s="116"/>
      <c r="M24" s="24">
        <f>SUM(M22:M23)</f>
        <v>13198.71</v>
      </c>
    </row>
    <row r="25" spans="1:18" s="4" customFormat="1" ht="20.100000000000001" customHeight="1">
      <c r="J25" s="12"/>
      <c r="K25" s="34"/>
      <c r="L25" s="34"/>
      <c r="M25" s="38"/>
    </row>
    <row r="26" spans="1:18" s="4" customFormat="1" ht="20.100000000000001" customHeight="1">
      <c r="J26" s="12"/>
      <c r="K26" s="34"/>
      <c r="L26" s="34"/>
      <c r="M26" s="38"/>
    </row>
    <row r="27" spans="1:18" s="4" customFormat="1" ht="20.100000000000001" customHeight="1">
      <c r="A27" s="131" t="s">
        <v>35</v>
      </c>
      <c r="B27" s="131"/>
      <c r="C27" s="131"/>
      <c r="D27" s="131"/>
      <c r="E27" s="131"/>
      <c r="F27" s="131"/>
      <c r="G27" s="131"/>
      <c r="H27" s="131"/>
      <c r="I27" s="19"/>
      <c r="J27" s="18"/>
      <c r="K27" s="34"/>
      <c r="L27" s="34"/>
      <c r="M27" s="38"/>
    </row>
    <row r="28" spans="1:18">
      <c r="K28" s="19"/>
      <c r="L28" s="19"/>
      <c r="M28" s="19"/>
    </row>
    <row r="29" spans="1:18">
      <c r="A29" s="110" t="s">
        <v>10</v>
      </c>
      <c r="B29" s="110"/>
      <c r="C29" s="110"/>
      <c r="D29" s="111" t="s">
        <v>11</v>
      </c>
      <c r="E29" s="111"/>
      <c r="F29" s="111"/>
      <c r="G29" s="18"/>
      <c r="H29" s="19"/>
      <c r="I29" s="19"/>
      <c r="J29" s="19"/>
      <c r="K29" s="19"/>
      <c r="L29" s="19"/>
      <c r="M29" s="19"/>
    </row>
    <row r="30" spans="1:18">
      <c r="A30" s="110" t="s">
        <v>12</v>
      </c>
      <c r="B30" s="110"/>
      <c r="C30" s="110"/>
      <c r="D30" s="111" t="s">
        <v>25</v>
      </c>
      <c r="E30" s="111"/>
      <c r="F30" s="111"/>
      <c r="G30" s="111"/>
      <c r="H30" s="19"/>
      <c r="I30" s="19"/>
      <c r="J30" s="19"/>
      <c r="K30" s="19"/>
      <c r="L30" s="19"/>
      <c r="M30" s="19"/>
    </row>
    <row r="31" spans="1:18">
      <c r="A31" s="110" t="s">
        <v>17</v>
      </c>
      <c r="B31" s="110"/>
      <c r="C31" s="110"/>
      <c r="D31" s="113" t="s">
        <v>13</v>
      </c>
      <c r="E31" s="113"/>
      <c r="F31" s="113"/>
      <c r="G31" s="18"/>
      <c r="H31" s="19"/>
      <c r="I31" s="19"/>
      <c r="J31" s="19"/>
      <c r="K31" s="19"/>
      <c r="L31" s="19"/>
      <c r="M31" s="19"/>
    </row>
    <row r="32" spans="1:18">
      <c r="A32" s="114" t="s">
        <v>18</v>
      </c>
      <c r="B32" s="114"/>
      <c r="C32" s="114"/>
      <c r="D32" s="111" t="str">
        <f>H7</f>
        <v>Račun br.81/PJ1/1-2018</v>
      </c>
      <c r="E32" s="111"/>
      <c r="F32" s="111"/>
      <c r="G32" s="18"/>
      <c r="H32" s="19"/>
      <c r="I32" s="19"/>
      <c r="J32" s="19"/>
      <c r="K32" s="20"/>
      <c r="L32" s="19"/>
      <c r="M32" s="19"/>
    </row>
    <row r="33" spans="1:11">
      <c r="A33" s="110"/>
      <c r="B33" s="110"/>
      <c r="C33" s="110"/>
      <c r="D33" s="111"/>
      <c r="E33" s="111"/>
      <c r="F33" s="111"/>
      <c r="G33" s="19"/>
      <c r="H33" s="19"/>
      <c r="I33" s="19"/>
      <c r="J33" s="19"/>
      <c r="K33" s="11"/>
    </row>
    <row r="34" spans="1:11">
      <c r="H34" s="19"/>
      <c r="I34" s="19"/>
      <c r="J34" s="19"/>
    </row>
    <row r="35" spans="1:11">
      <c r="A35" s="111"/>
      <c r="B35" s="111"/>
      <c r="C35" s="111"/>
      <c r="D35" s="111"/>
      <c r="E35" s="111"/>
      <c r="F35" s="17"/>
      <c r="G35" s="19"/>
    </row>
    <row r="36" spans="1:11">
      <c r="A36" s="112"/>
      <c r="B36" s="112"/>
      <c r="C36" s="112"/>
      <c r="D36" s="112"/>
      <c r="E36" s="112"/>
      <c r="F36" s="112"/>
      <c r="G36" s="112"/>
      <c r="H36" s="112"/>
    </row>
  </sheetData>
  <mergeCells count="39">
    <mergeCell ref="H2:L2"/>
    <mergeCell ref="H3:M3"/>
    <mergeCell ref="H4:M4"/>
    <mergeCell ref="H5:M5"/>
    <mergeCell ref="A9:B9"/>
    <mergeCell ref="H7:M9"/>
    <mergeCell ref="D18:H18"/>
    <mergeCell ref="A19:C19"/>
    <mergeCell ref="D19:H19"/>
    <mergeCell ref="A11:G11"/>
    <mergeCell ref="A12:G12"/>
    <mergeCell ref="A13:G13"/>
    <mergeCell ref="B14:G14"/>
    <mergeCell ref="J10:L10"/>
    <mergeCell ref="J12:L12"/>
    <mergeCell ref="D30:G30"/>
    <mergeCell ref="J11:L11"/>
    <mergeCell ref="K24:L24"/>
    <mergeCell ref="D29:F29"/>
    <mergeCell ref="B23:G23"/>
    <mergeCell ref="K23:L23"/>
    <mergeCell ref="B21:G21"/>
    <mergeCell ref="K21:L21"/>
    <mergeCell ref="B22:G22"/>
    <mergeCell ref="K22:L22"/>
    <mergeCell ref="I16:K16"/>
    <mergeCell ref="L16:M16"/>
    <mergeCell ref="A18:C18"/>
    <mergeCell ref="A27:H27"/>
    <mergeCell ref="A29:C29"/>
    <mergeCell ref="A33:C33"/>
    <mergeCell ref="D33:F33"/>
    <mergeCell ref="A35:E35"/>
    <mergeCell ref="A36:H36"/>
    <mergeCell ref="A30:C30"/>
    <mergeCell ref="A31:C31"/>
    <mergeCell ref="D31:F31"/>
    <mergeCell ref="A32:C32"/>
    <mergeCell ref="D32:F32"/>
  </mergeCells>
  <printOptions horizontalCentered="1"/>
  <pageMargins left="0.5" right="0.5" top="0.5" bottom="0.5" header="0.5" footer="0.5"/>
  <pageSetup orientation="portrait" horizontalDpi="300" verticalDpi="300" r:id="rId1"/>
  <headerFooter scaleWithDoc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1CE7F365-367E-4C9D-A1A4-02A8F50BF9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Račun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 quotation without tax</dc:title>
  <dc:creator>Ivan Cakaric</dc:creator>
  <cp:lastModifiedBy>Ivan Cakaric</cp:lastModifiedBy>
  <cp:lastPrinted>2023-02-27T15:30:03Z</cp:lastPrinted>
  <dcterms:created xsi:type="dcterms:W3CDTF">2015-02-26T11:43:09Z</dcterms:created>
  <dcterms:modified xsi:type="dcterms:W3CDTF">2024-10-28T11:30:59Z</dcterms:modified>
  <cp:version/>
</cp:coreProperties>
</file>