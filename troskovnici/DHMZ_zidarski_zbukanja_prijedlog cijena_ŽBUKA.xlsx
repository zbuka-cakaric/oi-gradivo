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X:\DHMZ\"/>
    </mc:Choice>
  </mc:AlternateContent>
  <xr:revisionPtr revIDLastSave="0" documentId="13_ncr:1_{22DD9F22-250C-47A9-AF15-2A4BFF1F58A6}" xr6:coauthVersionLast="47" xr6:coauthVersionMax="47" xr10:uidLastSave="{00000000-0000-0000-0000-000000000000}"/>
  <bookViews>
    <workbookView xWindow="13005" yWindow="735" windowWidth="20610" windowHeight="19590" activeTab="2" xr2:uid="{6B8017A2-3765-4AC9-A71B-8505BCC7539A}"/>
  </bookViews>
  <sheets>
    <sheet name="Naslovnica" sheetId="1" r:id="rId1"/>
    <sheet name="Opći uvjeti uz troškovnik" sheetId="2" r:id="rId2"/>
    <sheet name="Zidarski radovi" sheetId="3" r:id="rId3"/>
    <sheet name="I. Rekapitulacija GO radova" sheetId="4" r:id="rId4"/>
  </sheets>
  <definedNames>
    <definedName name="__shared_10_0_0">NA()</definedName>
    <definedName name="__shared_10_0_1">IF((ISNUMBER(#REF!)),#REF!,"")</definedName>
    <definedName name="__shared_10_0_2">NA()</definedName>
    <definedName name="__shared_11_0_0">IF((ISNUMBER(#REF!)),#REF!,"")</definedName>
    <definedName name="__shared_11_0_1">NA()</definedName>
    <definedName name="__shared_11_0_2">NA()</definedName>
    <definedName name="__shared_11_0_3">NA()</definedName>
    <definedName name="__shared_12_0_0">IF((ISNUMBER(#REF!)),#REF!,"")</definedName>
    <definedName name="__shared_12_0_1">NA()</definedName>
    <definedName name="__shared_12_0_2">NA()</definedName>
    <definedName name="__shared_12_0_3">NA()</definedName>
    <definedName name="__shared_12_0_4">NA()</definedName>
    <definedName name="__shared_13_0_0">NA()</definedName>
    <definedName name="__shared_13_0_1">NA()</definedName>
    <definedName name="__shared_14_0_0">NA()</definedName>
    <definedName name="__shared_14_0_1">IF((ISNUMBER(#REF!)),#REF!,"")</definedName>
    <definedName name="__shared_15_0_0">NA()</definedName>
    <definedName name="__shared_15_0_1">IF((ISNUMBER(#REF!)),#REF!,"")</definedName>
    <definedName name="__shared_15_0_2">NA()</definedName>
    <definedName name="__shared_15_0_3">NA()</definedName>
    <definedName name="__shared_16_0_0">IF((ISNUMBER(#REF!)),#REF!,"")</definedName>
    <definedName name="__shared_16_0_1">NA()</definedName>
    <definedName name="__shared_17_0_0">NA()</definedName>
    <definedName name="__shared_17_0_1">IF((ISNUMBER(#REF!)),#REF!,"")</definedName>
    <definedName name="__shared_17_0_2">IF((ISNUMBER(#REF!)),#REF!,"")</definedName>
    <definedName name="__shared_17_0_3">NA()</definedName>
    <definedName name="__shared_17_0_4">NA()</definedName>
    <definedName name="__shared_18_0_0">IF((ISNUMBER(#REF!)),#REF!,"")</definedName>
    <definedName name="__shared_18_0_1">NA()</definedName>
    <definedName name="__shared_18_0_10">NA()</definedName>
    <definedName name="__shared_18_0_11">NA()</definedName>
    <definedName name="__shared_18_0_2">NA()</definedName>
    <definedName name="__shared_18_0_3">NA()</definedName>
    <definedName name="__shared_18_0_4">NA()</definedName>
    <definedName name="__shared_18_0_5">NA()</definedName>
    <definedName name="__shared_18_0_6">NA()</definedName>
    <definedName name="__shared_18_0_7">NA()</definedName>
    <definedName name="__shared_18_0_8">NA()</definedName>
    <definedName name="__shared_18_0_9">NA()</definedName>
    <definedName name="__shared_19_0_0">IF((ISNUMBER(#REF!)),#REF!,"")</definedName>
    <definedName name="__shared_19_0_1">NA()</definedName>
    <definedName name="__shared_19_0_10">NA()</definedName>
    <definedName name="__shared_19_0_11">NA()</definedName>
    <definedName name="__shared_19_0_2">NA()</definedName>
    <definedName name="__shared_19_0_3">NA()</definedName>
    <definedName name="__shared_19_0_4">NA()</definedName>
    <definedName name="__shared_19_0_5">NA()</definedName>
    <definedName name="__shared_19_0_6">NA()</definedName>
    <definedName name="__shared_19_0_7">NA()</definedName>
    <definedName name="__shared_19_0_8">NA()</definedName>
    <definedName name="__shared_19_0_9">NA()</definedName>
    <definedName name="__shared_2_0_0">IF((ISNUMBER(#REF!)),#REF!,"")</definedName>
    <definedName name="__shared_2_0_1">NA()</definedName>
    <definedName name="__shared_2_0_2">NA()</definedName>
    <definedName name="__shared_2_0_3">NA()</definedName>
    <definedName name="__shared_3_0_0">IF((ISNUMBER(#REF!)),#REF!,"")</definedName>
    <definedName name="__shared_3_0_1">NA()</definedName>
    <definedName name="__shared_3_0_2">NA()</definedName>
    <definedName name="__shared_3_0_3">IF((ISNUMBER(#REF!)),#REF!,"")</definedName>
    <definedName name="__shared_3_0_4">NA()</definedName>
    <definedName name="__shared_3_0_5">NA()</definedName>
    <definedName name="__shared_3_0_6">NA()</definedName>
    <definedName name="__shared_4_0_0">NA()</definedName>
    <definedName name="__shared_4_0_1">IF((ISNUMBER(#REF!)),#REF!,"")</definedName>
    <definedName name="__shared_4_0_10">NA()</definedName>
    <definedName name="__shared_4_0_11">NA()</definedName>
    <definedName name="__shared_4_0_12">NA()</definedName>
    <definedName name="__shared_4_0_13">NA()</definedName>
    <definedName name="__shared_4_0_14">NA()</definedName>
    <definedName name="__shared_4_0_2">NA()</definedName>
    <definedName name="__shared_4_0_3">NA()</definedName>
    <definedName name="__shared_4_0_4">IF((ISNUMBER(#REF!)),#REF!,"")</definedName>
    <definedName name="__shared_4_0_5">NA()</definedName>
    <definedName name="__shared_4_0_6">NA()</definedName>
    <definedName name="__shared_4_0_7">NA()</definedName>
    <definedName name="__shared_4_0_8">NA()</definedName>
    <definedName name="__shared_4_0_9">NA()</definedName>
    <definedName name="__shared_5_0_0">NA()</definedName>
    <definedName name="__shared_5_0_1">IF((ISNUMBER(#REF!)),#REF!,"")</definedName>
    <definedName name="__shared_5_0_2">NA()</definedName>
    <definedName name="__shared_5_0_3">IF((ISNUMBER(#REF!)),#REF!,"")</definedName>
    <definedName name="__shared_5_0_4">NA()</definedName>
    <definedName name="__shared_5_0_5">NA()</definedName>
    <definedName name="__shared_5_0_6">NA()</definedName>
    <definedName name="__shared_5_0_7">NA()</definedName>
    <definedName name="__shared_6_0_0">IF((ISNUMBER(#REF!)),#REF!,"")</definedName>
    <definedName name="__shared_6_0_1">NA()</definedName>
    <definedName name="__shared_6_0_2">NA()</definedName>
    <definedName name="__shared_7_0_0">NA()</definedName>
    <definedName name="__shared_7_0_1">IF((ISNUMBER(#REF!)),#REF!,"")</definedName>
    <definedName name="__shared_7_0_2">NA()</definedName>
    <definedName name="__shared_7_0_3">IF((ISNUMBER(#REF!)),#REF!,"")</definedName>
    <definedName name="__shared_7_0_4">NA()</definedName>
    <definedName name="__shared_7_0_5">IF((ISNUMBER(#REF!)),#REF!,"")</definedName>
    <definedName name="__shared_8_0_0">NA()</definedName>
    <definedName name="__shared_8_0_1">IF((ISNUMBER(#REF!)),#REF!,"")</definedName>
    <definedName name="__shared_8_0_2">NA()</definedName>
    <definedName name="__shared_9_0_0">NA()</definedName>
    <definedName name="_1Excel_BuiltIn_Print_Area_1" localSheetId="0">#REF!</definedName>
    <definedName name="_1Excel_BuiltIn_Print_Area_1">#REF!</definedName>
    <definedName name="_Hlk83023284" localSheetId="0">Naslovnica!$A$3</definedName>
    <definedName name="_Toc219790381_1">0</definedName>
    <definedName name="_Toc219790381_1_1">0</definedName>
    <definedName name="_Toc219790381_2">0</definedName>
    <definedName name="_Toc219790381_2_1">0</definedName>
    <definedName name="_Toc219790381_3">0</definedName>
    <definedName name="_Toc219790381_3_1">0</definedName>
    <definedName name="_Toc219790381_4">0</definedName>
    <definedName name="_Toc219790382_1">0</definedName>
    <definedName name="_Toc219790382_1_1">0</definedName>
    <definedName name="_Toc219790382_2">0</definedName>
    <definedName name="_Toc219790382_2_1">0</definedName>
    <definedName name="_Toc219790382_3">0</definedName>
    <definedName name="_Toc219790382_3_1">0</definedName>
    <definedName name="_Toc219790382_4">0</definedName>
    <definedName name="_Toc219790383_1">0</definedName>
    <definedName name="_Toc219790383_1_1">0</definedName>
    <definedName name="_Toc219790383_2">0</definedName>
    <definedName name="_Toc219790383_2_1">0</definedName>
    <definedName name="_Toc219790383_3">0</definedName>
    <definedName name="_Toc219790383_3_1">0</definedName>
    <definedName name="_Toc219790383_4">0</definedName>
    <definedName name="a">#REF!</definedName>
    <definedName name="AA">#REF!</definedName>
    <definedName name="AAAAAAAAA">#REF!</definedName>
    <definedName name="adsdasdads">#REF!</definedName>
    <definedName name="aluminijska">#REF!</definedName>
    <definedName name="asadasdsd">#REF!</definedName>
    <definedName name="ASD">#REF!</definedName>
    <definedName name="AVD">#REF!</definedName>
    <definedName name="b">#REF!</definedName>
    <definedName name="betonska">#REF!</definedName>
    <definedName name="BOD">#REF!</definedName>
    <definedName name="BODIC">#REF!</definedName>
    <definedName name="BODICA">#REF!</definedName>
    <definedName name="BROD">#REF!</definedName>
    <definedName name="Copy_of_DA669E372">#REF!</definedName>
    <definedName name="č">#REF!</definedName>
    <definedName name="d">#REF!</definedName>
    <definedName name="dadsasa">#REF!</definedName>
    <definedName name="DALEKOVOD">#REF!</definedName>
    <definedName name="DAS">#REF!</definedName>
    <definedName name="dd">#REF!</definedName>
    <definedName name="DFS">#REF!</definedName>
    <definedName name="DGF">#REF!</definedName>
    <definedName name="DSA">#REF!</definedName>
    <definedName name="DSAS">#REF!</definedName>
    <definedName name="EXCEG">#REF!</definedName>
    <definedName name="Excel_BuiltIn_Print_Area_1">#REF!</definedName>
    <definedName name="Excel_BuiltIn_Print_Area_1_1">#REF!</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7">#REF!</definedName>
    <definedName name="Excel_BuiltIn_Print_Area_7_1">#REF!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2">#REF!</definedName>
    <definedName name="Excel_BuiltIn_Print_Titles_3">#REF!</definedName>
    <definedName name="Excel_BuiltIn_Print_Titles_3_1">#REF!</definedName>
    <definedName name="Excel_BuiltIn_Print_Titles_4">#REF!</definedName>
    <definedName name="Excel_BuiltIn_Print_Titles_4_1">#REF!</definedName>
    <definedName name="Excel_BuiltIn_Print_Titles_5">#REF!</definedName>
    <definedName name="Excel_BuiltIn_Print_Titles_5_1">#REF!</definedName>
    <definedName name="Excel_BuiltIn_Print_Titles_6">#REF!</definedName>
    <definedName name="Excel_BuiltIn_Print_Titles_6_1">#REF!</definedName>
    <definedName name="Excel_BuiltIn_Print_Titles_7">#REF!</definedName>
    <definedName name="Excel_BuiltIn_Print_Titles_7_1">#REF!</definedName>
    <definedName name="Excel_BuiltIn_Print_Titles_8">#REF!</definedName>
    <definedName name="Excel_BuiltIn_Print_Titles_9">#REF!</definedName>
    <definedName name="GDF">#REF!</definedName>
    <definedName name="gradbena">#REF!</definedName>
    <definedName name="Gradec">#REF!</definedName>
    <definedName name="Gradjevina">#REF!</definedName>
    <definedName name="GRANIT">#REF!</definedName>
    <definedName name="GRANIT1">#REF!</definedName>
    <definedName name="HD">#REF!</definedName>
    <definedName name="HIDRA">#REF!</definedName>
    <definedName name="i">#REF!</definedName>
    <definedName name="ii">#REF!</definedName>
    <definedName name="instalacijska">#REF!</definedName>
    <definedName name="is">#REF!</definedName>
    <definedName name="jm">#REF!</definedName>
    <definedName name="k">#REF!</definedName>
    <definedName name="keramicarska">#REF!</definedName>
    <definedName name="kljucavnicarska">#REF!</definedName>
    <definedName name="krizanje">#REF!</definedName>
    <definedName name="krovskokleparska">#REF!</definedName>
    <definedName name="l">#REF!</definedName>
    <definedName name="m">#REF!</definedName>
    <definedName name="mavcnokartonska">#REF!</definedName>
    <definedName name="mizarska">#REF!</definedName>
    <definedName name="MMMMMMMM">#REF!</definedName>
    <definedName name="n">#REF!</definedName>
    <definedName name="nnm">#REF!</definedName>
    <definedName name="o">#REF!</definedName>
    <definedName name="obrtniska">#REF!</definedName>
    <definedName name="odvodnavanje">#REF!</definedName>
    <definedName name="OLE_LINK2">#REF!</definedName>
    <definedName name="penobetonerska">#REF!</definedName>
    <definedName name="po">#REF!</definedName>
    <definedName name="Ponudjac">#REF!</definedName>
    <definedName name="pop">#REF!</definedName>
    <definedName name="POPUST">#REF!</definedName>
    <definedName name="POPUST_2">#REF!</definedName>
    <definedName name="POSTO">#REF!</definedName>
    <definedName name="_xlnm.Print_Area" localSheetId="3">'I. Rekapitulacija GO radova'!$A$1:$C$28</definedName>
    <definedName name="_xlnm.Print_Area" localSheetId="0">Naslovnica!$A$1:$B$42</definedName>
    <definedName name="_xlnm.Print_Area" localSheetId="1">'Opći uvjeti uz troškovnik'!$A$1:$B$15</definedName>
    <definedName name="_xlnm.Print_Area" localSheetId="2">'Zidarski radovi'!$A$1:$F$328</definedName>
    <definedName name="rbr" localSheetId="0">#REF!</definedName>
    <definedName name="rbr">#REF!</definedName>
    <definedName name="s" localSheetId="0">#REF!</definedName>
    <definedName name="s">#REF!</definedName>
    <definedName name="sdada">#REF!</definedName>
    <definedName name="sdadsad">#REF!</definedName>
    <definedName name="se">#REF!</definedName>
    <definedName name="slikopleskarska">#REF!</definedName>
    <definedName name="ssdasdad">#REF!</definedName>
    <definedName name="st" localSheetId="0">#REF!</definedName>
    <definedName name="st">#REF!</definedName>
    <definedName name="SWIETELSKY">#REF!</definedName>
    <definedName name="tehnologija">#REF!</definedName>
    <definedName name="tesarska">#REF!</definedName>
    <definedName name="TZ">#REF!</definedName>
    <definedName name="yx" localSheetId="0">#REF!</definedName>
    <definedName name="yx">#REF!</definedName>
    <definedName name="z" localSheetId="0">#REF!</definedName>
    <definedName name="z">#REF!</definedName>
    <definedName name="zemeljska">#REF!</definedName>
    <definedName name="zidarska">#REF!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6" i="3" l="1"/>
  <c r="F325" i="3"/>
  <c r="F324" i="3"/>
  <c r="D319" i="3"/>
  <c r="F319" i="3" s="1"/>
  <c r="F310" i="3"/>
  <c r="F292" i="3"/>
  <c r="F276" i="3"/>
  <c r="F262" i="3"/>
  <c r="F261" i="3"/>
  <c r="F260" i="3"/>
  <c r="F251" i="3"/>
  <c r="D250" i="3"/>
  <c r="F250" i="3" s="1"/>
  <c r="D249" i="3"/>
  <c r="F249" i="3" s="1"/>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D188" i="3"/>
  <c r="F188" i="3" s="1"/>
  <c r="F187" i="3"/>
  <c r="F186" i="3"/>
  <c r="F181" i="3"/>
  <c r="F180" i="3"/>
  <c r="F177" i="3"/>
  <c r="F176" i="3"/>
  <c r="F165" i="3"/>
  <c r="F159" i="3"/>
  <c r="F152" i="3"/>
  <c r="F146" i="3"/>
  <c r="F133" i="3"/>
  <c r="F132" i="3"/>
  <c r="F125" i="3"/>
  <c r="F116" i="3"/>
  <c r="F115" i="3"/>
  <c r="F110" i="3"/>
  <c r="F104" i="3"/>
  <c r="F103" i="3"/>
  <c r="F102" i="3"/>
  <c r="F101" i="3"/>
  <c r="F100" i="3"/>
  <c r="D96" i="3"/>
  <c r="F96" i="3" s="1"/>
  <c r="F95" i="3"/>
  <c r="F88" i="3"/>
  <c r="F87" i="3"/>
  <c r="F81" i="3"/>
  <c r="A77" i="3"/>
  <c r="A83" i="3" s="1"/>
  <c r="F75" i="3"/>
  <c r="D66" i="3"/>
  <c r="F66" i="3" s="1"/>
  <c r="F55" i="3"/>
  <c r="F47" i="3"/>
  <c r="F46" i="3"/>
  <c r="F37" i="3"/>
  <c r="D29" i="3"/>
  <c r="F29" i="3" s="1"/>
  <c r="D28" i="3"/>
  <c r="F28" i="3" s="1"/>
  <c r="F27" i="3"/>
  <c r="F26" i="3"/>
  <c r="A24" i="3"/>
  <c r="A31" i="3" s="1"/>
  <c r="A39" i="3" s="1"/>
  <c r="D22" i="3"/>
  <c r="F22" i="3" s="1"/>
  <c r="D21" i="3"/>
  <c r="F21" i="3" s="1"/>
  <c r="F20" i="3"/>
  <c r="F19" i="3"/>
  <c r="F18" i="3"/>
  <c r="F17" i="3"/>
  <c r="F328" i="3" l="1"/>
  <c r="C11" i="4" s="1"/>
  <c r="C24" i="4" s="1"/>
  <c r="A49" i="3"/>
  <c r="A57" i="3" s="1"/>
  <c r="A90" i="3" s="1"/>
  <c r="A98" i="3" l="1"/>
  <c r="A106" i="3" s="1"/>
  <c r="A112" i="3" s="1"/>
  <c r="A118" i="3" s="1"/>
  <c r="A127" i="3" s="1"/>
  <c r="A135" i="3" s="1"/>
  <c r="A148" i="3" s="1"/>
  <c r="A154" i="3" s="1"/>
  <c r="A161" i="3" s="1"/>
  <c r="A191" i="3" s="1"/>
  <c r="A253" i="3" s="1"/>
  <c r="A264" i="3" l="1"/>
  <c r="A278" i="3" s="1"/>
  <c r="A294" i="3" l="1"/>
  <c r="A312" i="3" s="1"/>
  <c r="A321" i="3" s="1"/>
</calcChain>
</file>

<file path=xl/sharedStrings.xml><?xml version="1.0" encoding="utf-8"?>
<sst xmlns="http://schemas.openxmlformats.org/spreadsheetml/2006/main" count="497" uniqueCount="355">
  <si>
    <t>Investitor:</t>
  </si>
  <si>
    <t>Hrvatski povijesni muzej</t>
  </si>
  <si>
    <t>Ulica Antuna G.Matoša 9, Zagreb</t>
  </si>
  <si>
    <t>OIB:86757663498</t>
  </si>
  <si>
    <t>Naziv projekta:</t>
  </si>
  <si>
    <t>PROJEKT OBNOVE ZGRADE ZA CJELOVITU OBNOVU ZGRADE</t>
  </si>
  <si>
    <t>Građevina i lokacija građevine:</t>
  </si>
  <si>
    <t>Palača DHMZ</t>
  </si>
  <si>
    <t>k.č.br. 1561, k.o. Centar</t>
  </si>
  <si>
    <t>Grič 3, Zagreb</t>
  </si>
  <si>
    <t>Projektantski ured:</t>
  </si>
  <si>
    <t>Randić i suradnici d.o.o.</t>
  </si>
  <si>
    <t>Franje Brentinija 5, HR -51000 Rijeka</t>
  </si>
  <si>
    <t>OIB: 86757663498</t>
  </si>
  <si>
    <t>Zajednička oznaka projekta:</t>
  </si>
  <si>
    <t>CO_189-2022/2</t>
  </si>
  <si>
    <t xml:space="preserve">Oznaka mape:	</t>
  </si>
  <si>
    <t>CO_189-2022/2_A</t>
  </si>
  <si>
    <t xml:space="preserve">Redni broj mape:	</t>
  </si>
  <si>
    <t>Mapa 1 - TROŠKOVNIK</t>
  </si>
  <si>
    <t xml:space="preserve">Projekt obnove: 	</t>
  </si>
  <si>
    <t>Projekt obnove zgrade za cjelovitu obnovu zgrade 
2. izmjena i dopuna</t>
  </si>
  <si>
    <t>Projektant:
ovl.arh. mr.sc. Saša Randić, dipl.ing.arh.
br.ovl. A 449</t>
  </si>
  <si>
    <t xml:space="preserve">Glavni projektant:
ovl.arh. mr.sc. Saša Randić, dipl.ing.arh.
br.ovl. A 449 </t>
  </si>
  <si>
    <t>U Zagrebu, 06/2024.</t>
  </si>
  <si>
    <t>Direktor: Saša Randić</t>
  </si>
  <si>
    <t>OPĆI UVJETI</t>
  </si>
  <si>
    <t>Cijene upisane u ovaj troškovnik sadrže svu odštetu za pojedine radove i dobave u odnosnim stavkama troškovnika i to u potpuno dogotovljenom stanju, tj. sav rad, naknadu za alat, materijal, sve pripremne, sporedne i završne radove, horizontalne i vertikalne prijenose i prijevoze, postavu i skidanje potrebnih skela i razupora, sve sigurnosne mjere po odredbama HTZ mjera i slično.</t>
  </si>
  <si>
    <t>Pod unesenim cijenama podrazumijevaju se također i sva zakonska davanja, kao i pripomoć kod izvedbe obrtničkih radova (zaštita obrtničkih proizvoda: stolarije, bravarije, limarije, restauratorskih elemenata i slično), sva potrebna ispitivanja građevinskog i drugih ugrađenih materijala zbog podizanja kvalitete i čvrstoće pojedinih proizvoda.</t>
  </si>
  <si>
    <t>Sav materijal koji se upotrebljava mora odgovarati postojećim tehničkim propisima i normama.</t>
  </si>
  <si>
    <t>Ukoliko se upotrebljava materijal za koji ne postoji odgovarajući standard, njegovu kvalitetu treba dokazati atestima.</t>
  </si>
  <si>
    <t>Tijekom čitavog izvođenja potrebno je poštivati DNSH načela, odnosno  zahtjev da izvođenje ne uzrokuje značajnu štetu okolišnim ciljevima te da se negativni utjecaji na okoliš što više smanje.</t>
  </si>
  <si>
    <t>Davanjem ponude izvoditelj se obvezuje da će pravovremeno nabaviti sav materijal opisan u pojedinim stavkama troškovnika. U slučaju nemogućnosti nabave opisanog materijala tijekom izvođenja radova, za svaku će se izmjenu prikupiti ponude i u prisutnosti naručitelja i nadzornog inžinjera odabrati najpovoljnija.</t>
  </si>
  <si>
    <t>Pročelje građevine dekorirano je ukrasnim elementima (restauratorski, vučeni profili), za koje je, prije pregleda sa skele i ispitivanja postojećih materijala, teško dovoljno precizno definirati način i veličinu sanacionog zahvata, pa je prilikom uvođenja u posao obavezan detaljan pregled i utvrđivanje pravog stanja elemenata i načina sanacije.</t>
  </si>
  <si>
    <t>Ukoliko opis pojedine stavke dovodi izvoditelja u nedoumicu o načinu izvedbe ili kalkulacije cijena, treba pravovremeno tražiti objašnjenje od naručitelja i projektanta.</t>
  </si>
  <si>
    <t>Ako tijekom gradnje dođe do promjena, treba prije početka rada tražiti suglasnost nadzornog inžinjera, predstavnika Gradskog zavoda za zaštitu spomenika kulture i prirode, također treba ugovoriti jediničnu cijenu nove stavke na temelju elemenata datih u ponudi i sve to unijeti u građevinski dnevnik uz ovjeru nadzornog inžinjera. Sve više radnje do kojih dođe uslijed promjene načina ili opsega izvedbe, a nisu na spomenuti način utvrđene, upisane i ovjerene, neće se priznati u obračunu.</t>
  </si>
  <si>
    <t>Prije izrade ponude preporuka je da izvoditelj obiđe i pregleda građevinu zbog ocjene njezinog građevinskog stanja, radova obuhvaćenih troškovnikom, uvjeta organizacije gradilišta, načina i mogućnosti pristupa građevini, mogućnosti zauzimanja javne površine, postave skele, osiguranja ulaza u građevinu i sl.</t>
  </si>
  <si>
    <t>Prema tome, ponuđena cijena je konačna cijena za realizaciju pojedine troškovničke stavke i ne može se mijenjati.</t>
  </si>
  <si>
    <t>Prilikom davanja ponude izvoditelj je obvezan dostaviti detaljan dinamičko-financijski plan izvođenja radova i shemu organizacije gradilišta.</t>
  </si>
  <si>
    <t>stavka se ukida</t>
  </si>
  <si>
    <t>Bez obzira na vrstu pogodbe, izvoditelj je obvezan svakodnevno voditi građevinski dnevnik u dva primjerka, a također i građevinsku knjigu, koje će redovito kontrolirati i ovjeravati nadzorni inžinjer, kako bi se uvijek mogle ustanoviti stvarne količine izvedenih radova.</t>
  </si>
  <si>
    <t>Redni broj</t>
  </si>
  <si>
    <t>Opis stavke troškovnika</t>
  </si>
  <si>
    <t>Jedinica
mjere</t>
  </si>
  <si>
    <t>Količina</t>
  </si>
  <si>
    <t>Jedinična cijena</t>
  </si>
  <si>
    <t>Cijena</t>
  </si>
  <si>
    <t>VI.</t>
  </si>
  <si>
    <t>ZIDARSKI RADOVI</t>
  </si>
  <si>
    <t>Svi detalji izvedbe i ugradnje moraju biti odobreni od predstavnika GZZZSKIP</t>
  </si>
  <si>
    <t>Zidarsko-fasaderski radovi izvode se isključivo prema opisima stavaka troškovnika, kao i prema
važećim propisima za ovu vrstu radova. Kvaliteta svog upotrebljenog materijala mora odgovarati
propisima i važećim normama, što izvoditelj mora dokazati potrebnim atestima. Izvoditelj je dužan osigurati i zaštititi sve dijelove građevine na kojima se ne izvode radovi, radi sprečavanja oštećenja tokom izvedbe. Pojava svih oštećenja na dijelovima na kojima se ne izvode radovi ili koji su nastupili nepažnjom izvoditelja isti je dužan otkloniti o vlastitom trošku. Sav rad, sve komunikacije i sav transport vrši se isključivo s vanjske strane građevine, tj. preko skele.</t>
  </si>
  <si>
    <t>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t>
  </si>
  <si>
    <t>Kvalitetu žbuke izvoditelj je dužan dokazati pribavljanjem stručnih nalaza i mišljenja
ovlaštenog laboratorija.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predstavnik GZZZSKP i nadzorni inženjer investitora. Izrada uzoraka završne obrade uračunata je u jediničnu cijenu pojedine stavke i ne obračunava se posebno.</t>
  </si>
  <si>
    <t>Sve detalje izvedbe na pročelju potrebno je dogovoriti i na njih ishoditi suglasnost predstavnika GZZZSKP i nadzornog inžinjera, a prije pristupanja izvedbi radova. Obračun svih radova vršiti kako je to naznačeno u opisu stavaka.</t>
  </si>
  <si>
    <t>U jediničnu cijenu radova potrebno je obračunati:
- sve pripremne i završne radove,
- sav rad i materijal potreban za izvođenje pojedine stavke opisa,
- ispiranje i kvašenje površine zida,
- sav otežani rad na izvedbi profilacije,
- zaštita izvedenog dijela obrade pročelja,
- sav potrebni horizontalni i vertikalni transport, kao i transport do gradilišta,
- primjena svih mjera zaštite na radu,
- sve društvene obaveze</t>
  </si>
  <si>
    <t>Popis normativa za materijale koji se treba pridržavati:
- HRN B.C1. 030, B.C8.030 ili jednakovrijedno – građevinski gips
- HRN B.C1. 020, B.C8.042 ili jednakovrijedno – građevinsko vapno
- HRN B.C8.015, 022-026 ili jednakovrijedno – cement
- HRN B.C8.011 ili jednakovrijedno – portland cement
- HRN B.C8.030 ili jednakovrijedno – pijesak
- HRN U.M2.010., U.M2.012 ili jednakovrijedno - mortovi
- HRN U.F2.010 ili jednakovrijedno – tehnički normativi za izvođenje fasaderskih radova.</t>
  </si>
  <si>
    <t>Rezanje zidova s torkret oblogom i šlicanje  za razvod vertikalnih instalacija i naknadno zatvaranje</t>
  </si>
  <si>
    <t>Štemanja  i šlicanja za razvod instalacija u zidovaim ojačanim torkret oblogom, te zatvaranja, krpanja i gletanja šliceva nakon postave instalacija.
Krpanje izvesti u cementnom mortu (preko šliceva potrebno ugraditi žičano rabic pletivo u cijeni).</t>
  </si>
  <si>
    <t>Stavkom obuhvaćeno štemanje niša za postavljanje ugradbenih utičnica i drugih ugradbenih elemenata.</t>
  </si>
  <si>
    <t>Štemanja šlicevi 5x5cm</t>
  </si>
  <si>
    <t>m1</t>
  </si>
  <si>
    <t>Štemanja šlicevi 10x10cm</t>
  </si>
  <si>
    <t>Štemanja niša do 30x20 cm</t>
  </si>
  <si>
    <t>m2</t>
  </si>
  <si>
    <t xml:space="preserve">Štemanja niše za hidrantski ormatrić </t>
  </si>
  <si>
    <t>kom</t>
  </si>
  <si>
    <t>Zatvaranja šlicevi 5x5cm</t>
  </si>
  <si>
    <t>Zatvaranja šlicevi 10x10cm</t>
  </si>
  <si>
    <t>Šlicanje postojećih zidova i svodova od opeke za horizontalni i vertikalni razvod inastalacija i naknadno zatvaranje</t>
  </si>
  <si>
    <t>Štemanja  i šlicanja za razvod instalacija u postojećim zidovima od opeke, te zatvaranja, krpanja i gletanja šliceva nakon postave instalacija.
Krpanje izvesti u cementnom mortu (preko šliceva potrebno ugraditi žičano rabic pletivo u cijeni).</t>
  </si>
  <si>
    <t>Popravci ranije izvedenog žbukanja vapneno-cementnom žbukom</t>
  </si>
  <si>
    <t>Strojno i ručno žbukanje ploha zidova finom žbukom, debljina nanosa od 3-30 mm.</t>
  </si>
  <si>
    <t xml:space="preserve">Podloga mora biti čista, čvrsta, suha, bez vlage, bez prašine, nosiva i bez iscvjetavanja,
razdijelnih sredstava i onečišćenja svih vrsta. </t>
  </si>
  <si>
    <t>Nakon djelomičnog očvršćivanja zaravnati gleterom.</t>
  </si>
  <si>
    <t>Žbuka treba biti pripravna za izvedbu soboslikarskih radova ili oblaganje keramičkih pločicama.</t>
  </si>
  <si>
    <t>U cijeni stavke su sve potrebne predradnje koje je potrebno izvršiti na zidovima kao i sav potreban rad, materijal i radna skela.</t>
  </si>
  <si>
    <t>Obračun po m2 ožbukanog zida</t>
  </si>
  <si>
    <r>
      <rPr>
        <b/>
        <sz val="10"/>
        <rFont val="Arial"/>
        <family val="2"/>
      </rPr>
      <t>Žbukanje AB zidova</t>
    </r>
    <r>
      <rPr>
        <sz val="10"/>
        <rFont val="Arial"/>
        <family val="2"/>
      </rPr>
      <t>, greda, stropova, krakova i međupodesta AB stubišta vapneno-cementnom žbukom debljine 1cm</t>
    </r>
  </si>
  <si>
    <t>Stavka uključuje potpunu obradu svih špaleta otvora u koje se naknadno ne ugrađuju vrata.</t>
  </si>
  <si>
    <t>Obračun po m2 površine.</t>
  </si>
  <si>
    <t xml:space="preserve"> - zidovi</t>
  </si>
  <si>
    <t xml:space="preserve"> - podgledi stubišta</t>
  </si>
  <si>
    <r>
      <rPr>
        <b/>
        <sz val="10"/>
        <rFont val="Arial"/>
        <family val="2"/>
        <charset val="238"/>
      </rPr>
      <t xml:space="preserve">Žbukanje svodova od opeke </t>
    </r>
    <r>
      <rPr>
        <sz val="10"/>
        <rFont val="Arial"/>
        <family val="2"/>
        <charset val="238"/>
      </rPr>
      <t>vapneno-cementnom žbukom debljine 1cm</t>
    </r>
  </si>
  <si>
    <t>Dodatni sloj žbuke za dobivanje potpune ravnosti plohe</t>
  </si>
  <si>
    <t>Žbuka treba biti pripravna za izvedbu soboslikarskih radova.</t>
  </si>
  <si>
    <t>Obračun po m2 ožbukanog stropa</t>
  </si>
  <si>
    <t>Izrada slojeva plivajućeg poda međukatne konstrukcije</t>
  </si>
  <si>
    <t>Cijenom stavke obuhvaćeni su sljedeći slojevi odozdo prema gore:</t>
  </si>
  <si>
    <r>
      <t xml:space="preserve"> - ekspandirani polistiren EPS 100 λ ≤ 0,036 W/mK, 20kg/m3, </t>
    </r>
    <r>
      <rPr>
        <sz val="10"/>
        <rFont val="Arial"/>
        <family val="2"/>
      </rPr>
      <t>d=1cm</t>
    </r>
  </si>
  <si>
    <r>
      <rPr>
        <sz val="10"/>
        <rFont val="Arial"/>
        <family val="2"/>
      </rPr>
      <t xml:space="preserve"> -</t>
    </r>
    <r>
      <rPr>
        <b/>
        <sz val="10"/>
        <rFont val="Arial"/>
        <family val="2"/>
      </rPr>
      <t xml:space="preserve"> elastificirani ekspandirani polistiren (EPS – T)</t>
    </r>
    <r>
      <rPr>
        <sz val="10"/>
        <rFont val="Arial"/>
        <family val="2"/>
      </rPr>
      <t xml:space="preserve"> λ ≤ 0,042 W/mK, 12 kg/m3, d=1 cm</t>
    </r>
    <r>
      <rPr>
        <b/>
        <sz val="10"/>
        <rFont val="Arial"/>
        <family val="2"/>
      </rPr>
      <t>,</t>
    </r>
    <r>
      <rPr>
        <sz val="10"/>
        <rFont val="Arial"/>
        <family val="2"/>
      </rPr>
      <t xml:space="preserve"> ploče postavljene u pomaku za pola ploče u oba smjera u odnosu na sloj EPS ploča ispod</t>
    </r>
  </si>
  <si>
    <r>
      <rPr>
        <sz val="10"/>
        <rFont val="Arial"/>
        <family val="2"/>
      </rPr>
      <t xml:space="preserve"> -</t>
    </r>
    <r>
      <rPr>
        <b/>
        <sz val="10"/>
        <rFont val="Arial"/>
        <family val="2"/>
      </rPr>
      <t xml:space="preserve"> PE folija </t>
    </r>
    <r>
      <rPr>
        <sz val="10"/>
        <rFont val="Arial"/>
        <family val="2"/>
      </rPr>
      <t>(50 kg/m3) ∆Lw &gt; 20 dB s preklopima 20 cm debljine d=0,5 cm</t>
    </r>
  </si>
  <si>
    <r>
      <t xml:space="preserve"> - izrada </t>
    </r>
    <r>
      <rPr>
        <b/>
        <sz val="10"/>
        <rFont val="Arial"/>
        <family val="2"/>
      </rPr>
      <t>lagano armiranog cementnog estriha</t>
    </r>
    <r>
      <rPr>
        <sz val="10"/>
        <rFont val="Arial"/>
        <family val="2"/>
      </rPr>
      <t xml:space="preserve"> debljine maksimalno 4,5-5-6,5 cm: izvodi se cementnim mortom kvalitete M20 armiranim armaturnim mrežama Q131</t>
    </r>
    <r>
      <rPr>
        <sz val="10"/>
        <color rgb="FFFF0000"/>
        <rFont val="Arial"/>
        <family val="2"/>
        <charset val="238"/>
      </rPr>
      <t>(2,5 kg/m2 s uključenim preklopima)</t>
    </r>
    <r>
      <rPr>
        <sz val="10"/>
        <rFont val="Arial"/>
        <family val="2"/>
      </rPr>
      <t>, s ravnom zaribanom površinom koja je podloga  završnoj podnoj oblozi. Estrih dilatirati.</t>
    </r>
  </si>
  <si>
    <t xml:space="preserve">Cijenom stavke treba obuhvatiti i dodatak za nabavku i polaganje protuzvučnog vertikalnog sloja mekog polistirena širine 1cm, na spoju podova i zidova, u visini plivajućeg poda. </t>
  </si>
  <si>
    <t>U stavku je uključena armatura Q131.</t>
  </si>
  <si>
    <t>Obračun svih navedenih slojeva plivajućeg poda po m2 tlocrtne površine.</t>
  </si>
  <si>
    <t>Izrada  slojeva plivajućeg poda na tlu</t>
  </si>
  <si>
    <r>
      <t>-</t>
    </r>
    <r>
      <rPr>
        <b/>
        <sz val="10"/>
        <rFont val="Arial"/>
        <family val="2"/>
      </rPr>
      <t xml:space="preserve"> tvrde ploče od ekstrudiranog polistirena d=10 cm (XPS </t>
    </r>
    <r>
      <rPr>
        <sz val="10"/>
        <rFont val="Arial"/>
        <family val="2"/>
      </rPr>
      <t xml:space="preserve">30kg/m3, λ </t>
    </r>
    <r>
      <rPr>
        <sz val="10"/>
        <rFont val="Calibri"/>
        <family val="2"/>
      </rPr>
      <t>≤</t>
    </r>
    <r>
      <rPr>
        <sz val="10"/>
        <rFont val="Arial"/>
        <family val="2"/>
      </rPr>
      <t xml:space="preserve"> 0,036 W/mK, korištenje u skladu sa EN 13164:2012+A1:2015 ili jednakovrijedno)  na prethodno izvedenu betonsku podlogu i sloj hidroizolacije (posebno obračunato)
Ploče se lijepe dvokomponentnim ljepilom. Ljepilo se nanosi na ploče metodom potpunog pokrivnog prekrivanja i potom pročešljava (uzdužnim i poprečnim pokretima) zupčastim gleterom</t>
    </r>
    <r>
      <rPr>
        <sz val="10"/>
        <rFont val="Arial"/>
        <family val="2"/>
        <charset val="238"/>
      </rPr>
      <t>.</t>
    </r>
  </si>
  <si>
    <r>
      <t>-izrada</t>
    </r>
    <r>
      <rPr>
        <b/>
        <sz val="10"/>
        <rFont val="Arial"/>
        <family val="2"/>
      </rPr>
      <t xml:space="preserve"> lagano armiranog cementnog estriha </t>
    </r>
    <r>
      <rPr>
        <sz val="10"/>
        <rFont val="Arial"/>
        <family val="2"/>
      </rPr>
      <t>debljine 6-7,5 cm: izvodi se cementnim mortom kvalitete M20 armiranim armaturnim mrežama Q131</t>
    </r>
    <r>
      <rPr>
        <sz val="10"/>
        <color rgb="FFFF0000"/>
        <rFont val="Arial"/>
        <family val="2"/>
        <charset val="238"/>
      </rPr>
      <t>(2,5 kg/m2 s uključenim preklopima)</t>
    </r>
    <r>
      <rPr>
        <sz val="10"/>
        <rFont val="Arial"/>
        <family val="2"/>
      </rPr>
      <t>, s ravnom zaribanom površinom koja je podloga  završnoj podnoj oblozi. Estrih dilatirati.</t>
    </r>
  </si>
  <si>
    <t>Obračun svih navedenih slojeva po m2 tlocrtne površine.</t>
  </si>
  <si>
    <t>Zidanje obloge uz vodilicu požarne zavjese</t>
  </si>
  <si>
    <t xml:space="preserve">Dobava materijala i zidanje obloge oko požarne zavjese šupljom blok opekom debljine 10 cm u produžnom cementnom mortu MM-5, sve prema uputama  i tehnologiji proizvođača. </t>
  </si>
  <si>
    <t>U stavku uključena dobava materijala i obrada otvora te sav potreban rad, pribor, skela, sve do pune gotovosti otvora za ugradnju predviđene stolarije.</t>
  </si>
  <si>
    <t>Rad izvoditi u koordinaciji s ugradnjom požarne zavjese.</t>
  </si>
  <si>
    <t>Obračun po m2</t>
  </si>
  <si>
    <t>Zidanje i popravci pregradnih zidova</t>
  </si>
  <si>
    <t>Dobava materijala i zidanje pregradnih zidova šupljom blok opekom debljine 10 cm i 20 cm u produžnom cementnom mortu MM-5, sve prema uputama  i tehnologiji proizvođača. U zidovima potrebno izvesti prodore za instalacije. U stavku uključena izvedba nadvoja iznad vratiju.</t>
  </si>
  <si>
    <t>U cijenu uključena sav materijal, rad i pribor.</t>
  </si>
  <si>
    <t>Obračun po m2 zida.</t>
  </si>
  <si>
    <t>a) opeka d=10 cm</t>
  </si>
  <si>
    <t>c) nadvoji d=190cm</t>
  </si>
  <si>
    <t>Priprema postojećih vanjskih otvora različitih dimenzija za ugradnju dimenzijom unificiranih novih prozora.</t>
  </si>
  <si>
    <t>Zidanje i zidarska obrada postojećeg otvora - zapunjavanja, brušenja i poravnjavanja.</t>
  </si>
  <si>
    <t>Rad izvoditi u koordinaciji s ugradnjom stolarije.</t>
  </si>
  <si>
    <t>a) dozidavanje opekom</t>
  </si>
  <si>
    <t>b) zidarska obrada</t>
  </si>
  <si>
    <t>Zatvaranja otvora u zidovima i stropovima od opeke i betona</t>
  </si>
  <si>
    <t>Zatvaranja, krpanja i gletanja prethodno probijenih otvora i oko otvora u zidovima i stropovima od opeke i betona nakon postave instalacija.</t>
  </si>
  <si>
    <t>zatvaranje - rupa 10 x 10 cm</t>
  </si>
  <si>
    <t>zatvaranje - rupa 20 x 20 cm</t>
  </si>
  <si>
    <t>zatvaranje - rupa 30 x 30 cm</t>
  </si>
  <si>
    <t>zatvaranje - rupa 40 x 40 cm</t>
  </si>
  <si>
    <t>zatvaranje - rupa 50 x 50 cm</t>
  </si>
  <si>
    <t>Gruba žbuka neravnina špaleta i parapeta prozora</t>
  </si>
  <si>
    <t>Strojno i ručno žbukanje finom vapneno cementnom žbukom.</t>
  </si>
  <si>
    <t>Špalete se naknadno obrađuju tekućim plutom što je posebno obračunato.</t>
  </si>
  <si>
    <t>Popravak vanjskih i unutarnjih špaleta nakon ugradnje stolarije</t>
  </si>
  <si>
    <t>Zidarska obrada (zapunjavanja, brušenje i poravnjavanje) špaleta oko vanjske i ununtarnje stolarije. U stavku uključeno dobava materijala i obrada te sav potreban rad, pribor, do pune gotovosti.</t>
  </si>
  <si>
    <t>Obračun po komadu otvora</t>
  </si>
  <si>
    <t>a) prozor</t>
  </si>
  <si>
    <t>b) vrata</t>
  </si>
  <si>
    <r>
      <t>Priprema, obrada i zaštita postojećih svodova od opeke,</t>
    </r>
    <r>
      <rPr>
        <sz val="10"/>
        <rFont val="Arial"/>
        <family val="2"/>
        <charset val="238"/>
      </rPr>
      <t xml:space="preserve"> jedinična cijena uključuje:</t>
    </r>
  </si>
  <si>
    <t xml:space="preserve"> - Čišćenje i pranje površine vodom pod niskim tlakom kako bi se odstranila prašina, cementna skramica, ulje, masnoće, nepoznate tvari, hrđa, slabo prionjivi i svi kontaminirani dijelovi konstrukcije. Uklanjanje slaboveznog i trošnog materijala iz sljubnica. Potrebno je ukloniti cca 15 mm materijala iz sljubnica. Obračun po m2 očišćenog svoda, u cijenu uključen i odvoz i zbrinjavanje građevinskog otpada (šute). Sva potrebna podupiranja i radna skela uključeni u cijenu stavke.   </t>
  </si>
  <si>
    <t xml:space="preserve"> - Brušenje ostataka torkreta, rad vršiti pažljivo, kako se opeka ne bi oštetila.</t>
  </si>
  <si>
    <t xml:space="preserve"> - Sanacija manjih pukotina te svih dostupnih sljubnica fugiranjem u dubini 5cm.
Stavka obuhvaća ugrađivanje novog morta na bazi hidrauličnog vapna, visokokvalitetni lomljeni vapnenac, anorganske zemljane boje.
Mort se nanosi između elemenata ziđa lopaticom, lagano pritiskajući kako bi poboljšali prionjivost. Višak morta treba ukloniti odmah nakon ugradnje, te ako je potrebno očistiti sljubnice vlažnom spužvom ili četkom.</t>
  </si>
  <si>
    <r>
      <rPr>
        <sz val="10"/>
        <rFont val="Arial"/>
        <family val="2"/>
        <charset val="238"/>
      </rPr>
      <t xml:space="preserve"> - Dobava i nanošenje premaza od gašenog vapna te naknadnog transparentnog  hidrofobnog premaza - mikroemulzija na bazi silikonske smole.
Proizvod mora osiguravati djelotvornu zaštitu od agresivnih atmosferskih faktora koji prodiru u konstrukcije.
Premaz se smije nanositi isključivo na suhu površinu. Podloga mora biti čista, čvrsta, suha, bez prašine, nosiva, bez iscvjetavanja, razdijelnih sredstava, taloga i onečišćenja svih vrsta.
Izvođenje u svemu prema uputama proizvođača.</t>
    </r>
    <r>
      <rPr>
        <sz val="10"/>
        <color theme="0" tint="-0.34998626667073579"/>
        <rFont val="Arial"/>
        <family val="2"/>
        <charset val="238"/>
      </rPr>
      <t xml:space="preserve">                                                                                        </t>
    </r>
    <r>
      <rPr>
        <sz val="10"/>
        <color rgb="FF0070C0"/>
        <rFont val="Arial"/>
        <family val="2"/>
      </rPr>
      <t xml:space="preserve">                                                                                                               </t>
    </r>
  </si>
  <si>
    <t xml:space="preserve">Rad, materijal i pribor do pune estetske i funkcionalne gotovosti uključeni u jediničnu cijenu stavke.            </t>
  </si>
  <si>
    <t>Površine se iskazuju tlocrtnom projekcijom svodova, realna površina svodova je 5-10% veća, razliku u površini potrebno je uračunati u jediničnu cijenu stavaka.</t>
  </si>
  <si>
    <t xml:space="preserve">Obračun po m2 obrađene površine. </t>
  </si>
  <si>
    <t>Obzidavanje vanjskih zidova opekom NF</t>
  </si>
  <si>
    <t>Dobava materijala i obzidavanje ab/opečnog zida punom opekom NF debljine 12 cm, u produžnom mortu M-5, prema uputama  i tehnologiji proizvođača. 
Obzidavanje zidova u svemu prema projektu i pravilima struke za ugradnju opeke, zidanje, izvedbu diletacija i oblikovanje diletacijskih reški te sidrenje.
Opeka se postavlja na prethodno izvedenom sloju mineralne vune - obračunato u zasebnoj stavci troškovnika.
U jediničnu cijenu uključena izrada proračuna te dobava i postava potrebnih sidra i sve potrebne potkonstrukcije za pričvršćenje opeke u  nosivi dio zida.
U unutarnji nosivi AB zid se ugrađuju inox sidra za naknadnu ugradnju, koja povezuju slojeve elementa, tj. u statičkom smislu vanjski sloj opeke je obješen na unutarnji nosivi sloj.
Ugrađuje se min. 5 kom/m2 (na većim visinama 7kom/m2), (sidra dužine do 45cm). Pored otvora, dilatacija i u rubnom području potrebno je dodatno rasporediti sidra svakih 25 cm (4 kom/m²).</t>
  </si>
  <si>
    <t>Sve izvesti prema nacrtima, detaljima i proračunu sidrenja koji je obaveza izvođača. Proračun i radionički nacrt fasade sa dilatacijama se dostavlja nadležnom konzervatoru I nadzoru na ovjeru prije izvedbe.</t>
  </si>
  <si>
    <t>U cijeni stavke uključen sav osnovni i pomoćni materijal, transport i ugradnja te monolitizacija kao i sve potrebne predradnje koje je potrebno izvršiti na zidovima od opeke/betona.  Sva potrebna podupiranja i radna skela uključeni u cijenu stavke. Sve reške na spoju fasadnih elemenata, te elemenata i obodnih konstrukcija se brtve trajnoelastičnim poliuretanskim kitom, UV stabilnim što je uključeno u cijenu.</t>
  </si>
  <si>
    <t>Obračun po m2 bruto razvijene površine površine fasade vanjskog lica pročelja u punoj funkcionalnoj i estetskoj gotovosti.</t>
  </si>
  <si>
    <t>a/ opeka sa svim potrebnim sidrenjima</t>
  </si>
  <si>
    <t>b/ proračun sidrenja</t>
  </si>
  <si>
    <t>komplet</t>
  </si>
  <si>
    <r>
      <t>Dobava i montaža</t>
    </r>
    <r>
      <rPr>
        <b/>
        <sz val="10"/>
        <rFont val="Arial"/>
        <family val="2"/>
        <charset val="238"/>
      </rPr>
      <t xml:space="preserve"> dimnjaka</t>
    </r>
  </si>
  <si>
    <t>Dobava i ugradnja montažnog dimovodno-dozračnog sustava koji se sastoji od dimovodnih cijevi od profilne izostatičke tehničke keramike (visina 66cm i 33cm), plašteva od laganog betona (visina 33cm, gustoća 1150 kg/m3), te ostalih elemenata prema uputi proizvođača. U negrijanom dijelu dimnjak je potrebno dodatno izolirati - posebno obračunato, a odvod kondenzata spojiti na kanalizacijski sustav preko sifona pri ugradnji.</t>
  </si>
  <si>
    <t>Namjena: ložište na plinsko gorivo
Svojstva 1: HRN EN 13063-2: T200 P1 W2 O00 ili jednakovrijedno
Svojstva 2: HRN EN 13063-3: T200 P1 W2 O00 ili jednakovrijedno</t>
  </si>
  <si>
    <r>
      <rPr>
        <b/>
        <sz val="10"/>
        <color theme="1"/>
        <rFont val="Arial"/>
        <family val="2"/>
        <charset val="238"/>
      </rPr>
      <t>Dimenzije:</t>
    </r>
    <r>
      <rPr>
        <sz val="10"/>
        <color theme="1"/>
        <rFont val="Arial"/>
        <family val="2"/>
        <charset val="238"/>
      </rPr>
      <t xml:space="preserve"> dimovodni otvor Φ25cm, koncentrični dozračni otvor 38*38cm, vanjska mjera 48*48cm</t>
    </r>
  </si>
  <si>
    <r>
      <rPr>
        <b/>
        <sz val="10"/>
        <color rgb="FF000000"/>
        <rFont val="Arial"/>
        <family val="2"/>
        <charset val="238"/>
      </rPr>
      <t>Komplet se sastoji od:</t>
    </r>
    <r>
      <rPr>
        <sz val="10"/>
        <color rgb="FF000000"/>
        <rFont val="Arial"/>
        <family val="2"/>
        <charset val="238"/>
      </rPr>
      <t xml:space="preserve"> posuda za kondenzat, otvor za reviziju i čišćenje x2, priključak ložišta x5, završna ploča s dozračnom rešetkom i konusom - ukupna visina 17.6m</t>
    </r>
  </si>
  <si>
    <t xml:space="preserve">Uključena sva dobava materijala, rad, pomoćna sredstva, predradnje, transporti, utovari i istovari te sve drugo potrebno do gotovog proizvoda. Radovi će se izvodit prema odobrenom glavnom projektu, pridržavajući se i primjenjujući važeće propise i norme spomenute u tehničkom opisu dimnjaka. Za rad i primijenjene materijale, obavezno je pridržavati se pravila struke. Date mjere obvezno provjeriti na gradilištu. Nadvišenje dimnjaka i vatrootpornost &gt; 90 min prema normi HRN DIN 18160-1 ili jednakovrijedno. Potrebno se pridržavati tehničkih uputa proizvođača. </t>
  </si>
  <si>
    <t>Dimnjak u potpunosti izveden prema specifikaciji u Mapi VI Strojarski projekt Instalacije grijanja, hlađenja i ventilacije.</t>
  </si>
  <si>
    <t>Kompletnu izvedbu dimnjaka izvesti prema uputstvima proizvođača dimnjaka, sa svim montažnim pripadajućim dijelovima, a izvođač mora biti stručno osposobljena osoba.</t>
  </si>
  <si>
    <t>Uključena dobava i postava gornjeg pokrovnog dijela dimnjaka.</t>
  </si>
  <si>
    <t>Napomene:
1. Prije ugradnje napraviti detaljnu izmjeru na objektu
2. Dimnjak izvesti od strane ovlaštenog izvođača od strane proizvođača.
3. Visine priključaka predvidjeti prema nacrtu u sklopu strojarskog projekta - termotehničke instalacije i u dogovoru s izvođačem termotehničkih instalacija odnosno odabranih modela ložišta.</t>
  </si>
  <si>
    <t>U jediničnu cijenu uključen sav potreban rad, materijal i pribor, do puno estetske i funkcionalne gotovosti.</t>
  </si>
  <si>
    <t>Obračun po kompletu.</t>
  </si>
  <si>
    <t>Grubo čiščenje prostora.</t>
  </si>
  <si>
    <t>Stavka obuhvaća jednokratno čiščenje prostora nakon završetka građevinskih radova kao priprema za izvođenje finih obrtničkih radova.</t>
  </si>
  <si>
    <t>NAPOMENA:</t>
  </si>
  <si>
    <t>Višekratna čiščenje i odvoz otpadnog i viška materijala u tijeku izvođenja građevinskih radova ulaze u jedinične cijene pojedinog rada!</t>
  </si>
  <si>
    <t>Obračun po m2 bruto površine prostora koji se čisti.</t>
  </si>
  <si>
    <t xml:space="preserve">Završno čiščenje prostora </t>
  </si>
  <si>
    <t>Stavka obuhvaća završno fino čiščenje prostora nakon završetka svih radova a kao priprema za primopredaju objekta Investitoru.</t>
  </si>
  <si>
    <t>Stavka obuhvaća čiščenje i pranje podova, zidnog opločenja, vrata, prozora, sanitarnih uređaja.</t>
  </si>
  <si>
    <t>Obračun po m2 netto površine prostora koji se čisti.</t>
  </si>
  <si>
    <t>Popravak podnožja kovane ograde na ulazu u dvorište.</t>
  </si>
  <si>
    <t>Zid od kamenih blokova širine 60 cm, visine od 20-220 cm.</t>
  </si>
  <si>
    <t>Za konsolidiranje starog ziđa, posebno za injektiranje i popravke oslabljenog ziđa, injektiranje pukotina i oštećenja se radi s mortom za konsolidiranje. Mort za konsolidiranje je na bazi prirodnog hidrauličnog vapna NHL-a 5 prema EN 459-1 ili jednakovrijedno i visokokvalitetnog finog vapnenog pijeska.</t>
  </si>
  <si>
    <t>Stavka uključuje čišćenje blokova i zapunjavanje fuga u svemu prema uputama proizvođača.</t>
  </si>
  <si>
    <t>Obračun po m1 obrađenog zida.</t>
  </si>
  <si>
    <t>Ponovno zidanje demontiranog potpornog zida</t>
  </si>
  <si>
    <t>Stavka uključuje ponovno zidanje potpornog zida od postojećih kamenih blokova.</t>
  </si>
  <si>
    <t>Zid se treba vratiti u izvornu formu, u svemu prema ranije izrađenoj snimci postojećeg stanja.</t>
  </si>
  <si>
    <t>Stavka uključuje sve potrebne radove na restauraciji postojećih kamenih elemenata ili izradi istovjetnih elemenata.</t>
  </si>
  <si>
    <t>Svi radovi se moraju izvoditi po pravilima i uzusima konzervatorsko-restauratorske struke. Rad će pregledati i odobriti predstavnik GZZZSKIP.</t>
  </si>
  <si>
    <t xml:space="preserve">Stavka obuhvaća i sav rad, materijal i transport, odnosno sve pripremno-završne radove. Uključivo i sva potrebna pomagala pri radu (skele i sl.). </t>
  </si>
  <si>
    <t>Sidrenje postojeće kovane ograde uključeno u cijenu. Sidrenje izvesti prema uputama predstavnika GZZZSIP-a.</t>
  </si>
  <si>
    <t>a) restauracija postojećih kamenih elemenata i ugradnja</t>
  </si>
  <si>
    <t>Restauracija prethodno demontiranih kamenih elemenata ukoliko se nakon detaljnog pregleda od strane nadzora ustanovi mogućnost ponovnog korištenja.  
Potrebno je izvesti probne radove na temelju kojih će se zaključiti koja je metoda čišćenja adekvatna za kamene elemente (hidrodinamičko čišćenje, mehaničko čišćenje, kemijsko čišćenje…). Sve radove moraju izvoditi ovlaštene osobe.</t>
  </si>
  <si>
    <t>pokrovna kapa</t>
  </si>
  <si>
    <t>m'</t>
  </si>
  <si>
    <t>zidani zid</t>
  </si>
  <si>
    <t>m3</t>
  </si>
  <si>
    <t xml:space="preserve">b) izrada istovjetnih elemenata i ugradnja </t>
  </si>
  <si>
    <t>Izrada kamenih elemenata za potporni zid u dimenzijama i prema shemi postojećeg, u svemu prema uputama konzervatorskog odjela.
U cijenu su uključene sve izmjere, potrebno doštemavanje, ugradnja te završna obrada prema izvornim teksturnim karakteristikama blokova i zaštita kamenog materijala.</t>
  </si>
  <si>
    <t>c) Dobava materijala i betoniranje armirano-betonskog temelja potpornog zida, betonom C30/37. AB temelj dim= 70x50cm i 100x60cm.</t>
  </si>
  <si>
    <t>Razred agresivnog djelovanja okoliša XC2 (zaštitni sloj betona min.40 mm)</t>
  </si>
  <si>
    <t>U cijenu uključiti i armaturu.</t>
  </si>
  <si>
    <t>Obračun po m3 betona i m2 oplate.</t>
  </si>
  <si>
    <t>beton</t>
  </si>
  <si>
    <t>oplata</t>
  </si>
  <si>
    <t>armatura</t>
  </si>
  <si>
    <t>kg</t>
  </si>
  <si>
    <t xml:space="preserve">FASADERSKI RADOVI </t>
  </si>
  <si>
    <t>Linearne profilacije</t>
  </si>
  <si>
    <t>Linearni profili izvlače se u produžnoj žbuci, korištenjem kompleta šablona za grubu i finu žbuku.</t>
  </si>
  <si>
    <t>Sve potrebne grube i fine šablone uračunate u jediničnu cijenu stavke, bez obzira na broj pomoćnih šablona zbog duljine profilacije.</t>
  </si>
  <si>
    <t>Svi radovi se moraju izvoditi po pravilima i uzusima konzervatorsko-restauratorske struke. Šablone će pregledati i odobriti predstavnik GZZZSKIP.</t>
  </si>
  <si>
    <t>Cijena se iskazuje prema m' izvučenog profila.</t>
  </si>
  <si>
    <t>Svi koeficijenti (razvedenost, kutevi..) uračunati u jediničnu cijenu stavke.</t>
  </si>
  <si>
    <t>Prema nacrtima 04.1-04.8 ARHITEKTONSKA PLASTIKA</t>
  </si>
  <si>
    <t>- stavka oznake FA201</t>
  </si>
  <si>
    <t>- stavka oznake FA202</t>
  </si>
  <si>
    <t>- stavka oznake FA203</t>
  </si>
  <si>
    <t>- stavka oznake FA204</t>
  </si>
  <si>
    <t>- stavka oznake FA205</t>
  </si>
  <si>
    <t>- stavka oznake FA206</t>
  </si>
  <si>
    <t>- stavka oznake FA207</t>
  </si>
  <si>
    <t>- stavka oznake FA208</t>
  </si>
  <si>
    <t>- stavka oznake FA209</t>
  </si>
  <si>
    <t>- stavka oznake FA210</t>
  </si>
  <si>
    <t>- stavka oznake FA211</t>
  </si>
  <si>
    <t>- stavka oznake FA212</t>
  </si>
  <si>
    <t>- stavka oznake FA213</t>
  </si>
  <si>
    <t>- stavka oznake FA214</t>
  </si>
  <si>
    <t>- stavka oznake FA215</t>
  </si>
  <si>
    <t>- stavka oznake FA216</t>
  </si>
  <si>
    <t>- stavka oznake FA217</t>
  </si>
  <si>
    <t>- stavka oznake FA218</t>
  </si>
  <si>
    <t>- stavka oznake FA219</t>
  </si>
  <si>
    <t>- stavka oznake FA220</t>
  </si>
  <si>
    <t>- stavka oznake FA221</t>
  </si>
  <si>
    <t>- stavka oznake FA222</t>
  </si>
  <si>
    <t>- stavka oznake FA223</t>
  </si>
  <si>
    <t>- stavka oznake FA224</t>
  </si>
  <si>
    <t>- stavka oznake FA225</t>
  </si>
  <si>
    <t>- stavka oznake FA226</t>
  </si>
  <si>
    <t>- stavka oznake FA227</t>
  </si>
  <si>
    <t>- stavka oznake FA228</t>
  </si>
  <si>
    <t>- stavka oznake FA229</t>
  </si>
  <si>
    <t>- stavka oznake FA231</t>
  </si>
  <si>
    <t>- stavka oznake FA232</t>
  </si>
  <si>
    <t>- stavka oznake FA233</t>
  </si>
  <si>
    <t>- stavka oznake FA234</t>
  </si>
  <si>
    <t>- stavka oznake FA235</t>
  </si>
  <si>
    <t>- stavka oznake FA237</t>
  </si>
  <si>
    <t>- stavka oznake FA238</t>
  </si>
  <si>
    <t>- stavka oznake FA239</t>
  </si>
  <si>
    <t>- stavka oznake FA241</t>
  </si>
  <si>
    <t>- stavka oznake FA242</t>
  </si>
  <si>
    <t>- stavka oznake FA244</t>
  </si>
  <si>
    <t>- stavka oznake FA245</t>
  </si>
  <si>
    <t>- stavka oznake FA246</t>
  </si>
  <si>
    <t>- stavka oznake FA247</t>
  </si>
  <si>
    <t>- stavka oznake FA248</t>
  </si>
  <si>
    <t>- stavka oznake FA249</t>
  </si>
  <si>
    <t>- stavka oznake FA250</t>
  </si>
  <si>
    <t>- stavka oznake FA251</t>
  </si>
  <si>
    <t>- stavka oznake FA252</t>
  </si>
  <si>
    <t>- stavka oznake FA253</t>
  </si>
  <si>
    <t>- stavka oznake FA254</t>
  </si>
  <si>
    <t>- stavka oznake FA255</t>
  </si>
  <si>
    <t>- stavka oznake FA256</t>
  </si>
  <si>
    <t>- stavka oznake FA257</t>
  </si>
  <si>
    <t>- stavka oznake FA258</t>
  </si>
  <si>
    <t>Izrada profilacija na zapadnim zabatima s vijencem i stepenastim konzolama</t>
  </si>
  <si>
    <t xml:space="preserve">oznake FA236, FA240 i FA243 u tablici arhitektonske plastike </t>
  </si>
  <si>
    <t>Profilacije se izvode opekom i zidarskom obradom žbukanjem, prema nacrtu i ortofoto snimci, u svemu prema uputama i odobrenju predstavnika GZZSKIP-a.</t>
  </si>
  <si>
    <t>U jediničnu cijenu uključena dobava i postava potrebnih sidra, sve potrebne potkonstrukcije za pričvršćenje opeke u nosivi dio zida i proračun sidrenja.</t>
  </si>
  <si>
    <t>Potkonstrukcija od sidara od nehrđajućeg čelika za naknadnu ugradnju (min. 5 kom/m2), uz postavljanje 4 kom/m' dodatnih sidara na svim slobodnim rubovima. Sve izvesti prema nacrtima, detaljima i proračunu sidrenja.</t>
  </si>
  <si>
    <t>U stavku uključena dobava materijala te sav potreban rad i pribor do pune gotovosti.</t>
  </si>
  <si>
    <t>Ukupna površina stepenastih konzola= 33m2, konzole istaknute cca 26cm od topl.izoacije zabatnih zidova.</t>
  </si>
  <si>
    <t>- stavka oznake FA236</t>
  </si>
  <si>
    <t>- stavka oznake FA240</t>
  </si>
  <si>
    <t>- stavka oznake FA243</t>
  </si>
  <si>
    <t>Izrada završetka pojačanja konstrukcije CRM sustavom GFRP MREŽA, na pozicijama otvora</t>
  </si>
  <si>
    <t xml:space="preserve">Obrada pojasa širine cca 15 cm u zoni između postavljenog CRM sustava i otvora mortom za konsolidiranje na bazi hidrauličnog veziva i prirodnog hidrauličnog vapna. </t>
  </si>
  <si>
    <t>Sva potrebna priprema podloge za izvođenje radova uključena je u jediničnu cijenu stavke.</t>
  </si>
  <si>
    <t>Stavka se izvodi ovisno o pozicijama predviđenim projektom, NA NAČIN SA SE U ZIDOVE OBOSTRANO UGRAĐUJU "L-CONNECTORI", odnosno konektori u nivou svoda u svemu prema tehničkim uputama proizvođača, primjenom preformirane mreže sa armiranim vlaknima GFRP kompozitnih materijala (polimer ojačan staklenim vlaknima).</t>
  </si>
  <si>
    <t>Stavka obuhvaća izvođenje bušenja i umetanja, u broju od 4 / m2 do 6 / m2, izvedenih konektora u obliku slova "L" u kompozitnom materijalu ojačanom vlaknima GFRP (polimer ojačan staklenim vlaknima) s presjecima dimenzija 10×7mm i duljina koja je prikladna u odnosu na debljinu zida s relativnom distribucijskom mrežicom, za svaku priključnu točku; spajanje konektora pomoću kemijskog sidrenja učestalost pojačanja kutova u kompozitnom materijalu ojačanom vlaknima G.F.R.P. (s viškom od 10-15% u odnosu na ukupnu površinu koju treba ojačati); primjena uključuje i ugradnju. Žbuka se ugrađuje gleterom u dva koraka, a ukupna debljina žbuke je 3 i 3,5cm. Žbuka u potpunosti prekriva površinu ugrađene mrežice.</t>
  </si>
  <si>
    <t xml:space="preserve">Mreža prosječne debljine 3mm (za mrežicu T96AR), nominalnog presjeka jedne šipke unutar mreže od 10 mm2, mreža veličine okna 33x33 mm / 66x66 mm / 99x99 mm, vlačne čvrstoće šipke 3,5 kN, izduljenje pri slomu iznosi 1,5%, prosječne vlačne aksijalne čvrstoće šipke EA od 230 kN, reakcije na požar* A2 i kalorijske vrijednosti 7,99 MJ/kg. </t>
  </si>
  <si>
    <t>Mrežica se polaže u mort dok je još svjež, sa preklopom mrežice po dužini, odnosno učvršćivanjem preko konektora u svemu prema uputama i tehnologiji proizvođača.</t>
  </si>
  <si>
    <t>Uključivo sprezanje, ugranju konektora i završno zaribavanja žbuke gleterom.</t>
  </si>
  <si>
    <t>U jediničnu cijenu uključena dobava i ugradnja predgotovljenih kutnih elemenata CRM sustava na prozorske špalete u svrhu završetka CRM sustava</t>
  </si>
  <si>
    <t xml:space="preserve">Obavezna ugradnja materijala od istog proizvođača kao što je ugrađeno i u prethodnoj fazi </t>
  </si>
  <si>
    <t>U cijenu stavke je uključen sav materijal, rad i potrebna sredstva i pribor, te radne građevinske platforme i skela.</t>
  </si>
  <si>
    <t>U cijenu su uključeni rad i sav materijal.</t>
  </si>
  <si>
    <t>Obračun po m2 potpuno obrađene površine.</t>
  </si>
  <si>
    <t>Žbukanje pročelja zgrade vapnenom žbukom</t>
  </si>
  <si>
    <t>Žbuka se nanosi na prethodno izvedenim slojevima ojačanja zidova GFRP sustavom.</t>
  </si>
  <si>
    <t>Svi slojevi kojima se pročelje obrađuje, obavezno kompatibilni sa izvedenim sustavom ojačanja, u svemu prema uputama proizvođača.</t>
  </si>
  <si>
    <t>Podloga mora biti čista, čvrsta, suha, bez vlage, bez prašine, nosiva i bez iscvjetavanja,
razdijelnih sredstava i onečišćenja svih vrsta.</t>
  </si>
  <si>
    <t>Žbukanje se izvodi sljedećim slojevima:
 - univerzalna žbuka za renoviranje i izravnavanje (mikroarmirana žbuka)
- univerzalna masa za renoviranje i izravnavanje (u kombinaciji sa staklenom mrežicom P50 čini armirajući sloj)
 - univerzalna masa za renoviranje i gletanje (završni sloj prije boje)</t>
  </si>
  <si>
    <t>Mikroarmirana žbuka za renoviranje i izravnavanje, debljina nanosa 3-30 mm, žbuka granulacije 0-1mm, suhe gustoće materijala, 1.300 kg/m³, paropropusnosti 15-20, koeficijenta toplinske provodljivosti 0,49 W/mK, pH-vrijednosti 13, čvrstoće pri savijanju ≤ 1 N/mm², prionjivosti ≥ 0,2  N/mm², E-modula ≤ 3.500 N/mm², udjela vapna &gt; 95%</t>
  </si>
  <si>
    <t>Ukupna debljina sloja promjenjive debljine, ovisno o neravninama pojedinog pročelja. Ovim slojem potrebno ostvariti ujednačenu plohu za izvođenje završne obrade pročelja.</t>
  </si>
  <si>
    <t>Fina mineralna masa za renoviranje i izravnavanje, debljina nanosa 1-10 mm, masa granulacije 0-0,5mm, suhe gustoće materijala, 1.300 kg/m³, paropropusnosti 25, koeficijenta toplinske provodljivosti 0,49 W/mK, pH-vrijednosti 13, prionjivosti ≥ 0,2  N/mm², E-modula ≤ 3.500 N/mm², udjela vapna &gt; 95%</t>
  </si>
  <si>
    <t>Fina mineralna masa za gletanje, debljina nanosa 1-2 mm, granulacije 0-0,1mm, suhe gustoće materijala, 1.330 kg/m³, paropropusnosti 15, koeficijenta toplinske provodljivosti 0,30 W/mK, pH-vrijednosti 12, prionjivosti ≥ 0,08 N/mm², tlačna čvrstoća 4 N/mm², E-modula ≤ 3.300 N/mm², udjela vapna &gt; 95%</t>
  </si>
  <si>
    <t>Sve izvesti prema pravilima zanata te u dogovoru i prema uputama konzervatora. Obračun po razvijenoj površini plašta pročelja s odbitkom otvora. U stavku je uključeno i iscrtavanje mjesta za vijence, prozorske okvire, lezene, parapete, uklade, medaljone, te završno žbukanje. Izrada profilacija obračunata je u posebnim stavkama. U cijenu je uključena dobava materijala,  spravljanje, nanošenje i zaglađivanje žbuke, te svi pomoćni materijali, alati, radovi i transporti.</t>
  </si>
  <si>
    <t>U cijeni uključeno izvođenje žbuke na istacima istočnog pročelja. Istaci se obrađuju isključivo žbukom, potrebno odabrati odgovarajući proizvod.</t>
  </si>
  <si>
    <t>U cijeni stavke su sve potrebne predradnje koje je potrebno izvršiti na pročeljnim zidovima (čišćenje površina, premaz, impregnacija, umetanje pocinčane ili sintetičke antialkalne mreže kao nosača žbuke), kao i sav potreban rad, materijal i radna skela.</t>
  </si>
  <si>
    <t>Radove izvoditi prema uputstvu proizvođača i uvjetima GZZZSKIP.</t>
  </si>
  <si>
    <t>Obračun po m2 obrađene površine sa svim opisanim slojevima i predradnjama.</t>
  </si>
  <si>
    <r>
      <t xml:space="preserve">Žbuka se nanosi na </t>
    </r>
    <r>
      <rPr>
        <u/>
        <sz val="10"/>
        <rFont val="Arial"/>
        <family val="2"/>
        <charset val="238"/>
      </rPr>
      <t>novim zidovima i izoliranom dijelu dimnjaka, unutrašnjim stranama zabata</t>
    </r>
  </si>
  <si>
    <t>Svi slojevi kojima se pročelje obrađuju u svemu prema uputama proizvođača.</t>
  </si>
  <si>
    <r>
      <t>Žbuka se nanosi</t>
    </r>
    <r>
      <rPr>
        <u/>
        <sz val="10"/>
        <rFont val="Arial"/>
        <family val="2"/>
        <charset val="238"/>
      </rPr>
      <t xml:space="preserve"> u debljini od 4cm,</t>
    </r>
    <r>
      <rPr>
        <sz val="10"/>
        <rFont val="Arial"/>
        <family val="2"/>
        <charset val="238"/>
      </rPr>
      <t xml:space="preserve"> u svemu prema detalju D10 i D12.</t>
    </r>
  </si>
  <si>
    <r>
      <t>Na dijelu pročelja uz biforu žbuka se nanosi</t>
    </r>
    <r>
      <rPr>
        <u/>
        <sz val="10"/>
        <rFont val="Arial"/>
        <family val="2"/>
        <charset val="238"/>
      </rPr>
      <t xml:space="preserve"> u sloju od 1,0mm </t>
    </r>
    <r>
      <rPr>
        <sz val="10"/>
        <rFont val="Arial"/>
        <family val="2"/>
      </rPr>
      <t>na način da se vidi struktura zida od opeke ispod, u svemu prema projektu.</t>
    </r>
  </si>
  <si>
    <t>Spoj CRM fasade i žbuke novog zida obavezno armirati, što je uključeno u jediničnu cijenu ove stavke.</t>
  </si>
  <si>
    <t xml:space="preserve">Završna obrada žbuke pročelja zgrade </t>
  </si>
  <si>
    <t>Površinska žbuka se završno prebojava visokopokrivnom, paropropusnom, vodoodbojnom i na vremenske utjecaje otpornom bojom. Boja u tonu prema izvedbenom projektu.</t>
  </si>
  <si>
    <t>Visokopokrivna, paropropusna, vodoodbojna i na vremenske utjecaje otporna sol-silikatna boja, pH-vrijednosti 11,4, DN-vrijednosti ca. 0,05m, VOC sadržaja max. 0,1 g/L, vodoupojnosti &gt; 1 kg/m²24h, 
Na bazi kalijevog vodenog stakla i silicija.</t>
  </si>
  <si>
    <t>Za svaku boju određenu izvedbenim projektom potrebno je izraditi po tri uzorka završne žbuke, dimenzija 1x1 m. Boju potvrđuje nadležni konzervator GZZZSKIP.</t>
  </si>
  <si>
    <t>Obračun po m2 obrađene površine</t>
  </si>
  <si>
    <t>Zidarske pripomoći</t>
  </si>
  <si>
    <t>Stavka obuhvaća sve radove koje nije moguće normirati, a odnose se na sitne pripomoći, obrade detalja i sl., a iskazane su putem radnih sati kvalificiranog zidara i pomoćnog radnika.
Stvarni utrošak rada i materijala pravdati putem građevinskog dnevnika.</t>
  </si>
  <si>
    <t>Kompletan rad i materijal.</t>
  </si>
  <si>
    <t>a</t>
  </si>
  <si>
    <t>VKV ZIDAR</t>
  </si>
  <si>
    <t>sati</t>
  </si>
  <si>
    <t>b</t>
  </si>
  <si>
    <t>KV ZIDAR</t>
  </si>
  <si>
    <t>c</t>
  </si>
  <si>
    <t>NKV RADNIK</t>
  </si>
  <si>
    <t>ZIDARSKI RADOVI UKUPNO</t>
  </si>
  <si>
    <t>REKAPITULACIJA GRAĐEVINSKO-OBRTNIČKIH RADOVA</t>
  </si>
  <si>
    <t>Iznos radova</t>
  </si>
  <si>
    <t>I.</t>
  </si>
  <si>
    <t>PRIPREMNI RADOVI</t>
  </si>
  <si>
    <t>II.</t>
  </si>
  <si>
    <t>DEMONTAŽE I RUŠENJA</t>
  </si>
  <si>
    <t>III.</t>
  </si>
  <si>
    <t>ZEMLJANI RADOVI</t>
  </si>
  <si>
    <t>IV.</t>
  </si>
  <si>
    <t>BETONSKI RADOVI</t>
  </si>
  <si>
    <t>V.</t>
  </si>
  <si>
    <t>IZOLATERSKI RADOVI</t>
  </si>
  <si>
    <t>VII.</t>
  </si>
  <si>
    <t>ČELIČNE KONSTRUKCIJE</t>
  </si>
  <si>
    <t>VIII.</t>
  </si>
  <si>
    <t>PODOPOLAGAČKI RADOVI</t>
  </si>
  <si>
    <t>IX.</t>
  </si>
  <si>
    <t>KERAMIČARSKI RADOVI</t>
  </si>
  <si>
    <t>X.</t>
  </si>
  <si>
    <t>GK RADOVI</t>
  </si>
  <si>
    <t>XI.</t>
  </si>
  <si>
    <t>LIČILAČKI RADOVI</t>
  </si>
  <si>
    <t>XII.</t>
  </si>
  <si>
    <t>KROVOPOKRIVAČKI RADOVI</t>
  </si>
  <si>
    <t>XIII.</t>
  </si>
  <si>
    <t>LIMARSKI RADOVI</t>
  </si>
  <si>
    <t>XIV.</t>
  </si>
  <si>
    <t>STOLARSKI RADOVI</t>
  </si>
  <si>
    <t>XV.</t>
  </si>
  <si>
    <t>BRAVARSKI RADOVI</t>
  </si>
  <si>
    <t>XVI.</t>
  </si>
  <si>
    <t xml:space="preserve">RESTAURATORSKI RADOVI </t>
  </si>
  <si>
    <t>XVII.</t>
  </si>
  <si>
    <t>OPREMA I UGRADNJE</t>
  </si>
  <si>
    <t>XVIII.</t>
  </si>
  <si>
    <t>HORTIKULTURA</t>
  </si>
  <si>
    <t>GRAĐEVNINSKO-OBRTNIČKI RADOVI UKUPNO</t>
  </si>
  <si>
    <t>Nudimo Roefix PE 229 Sol Silikat u dva nanosa</t>
  </si>
  <si>
    <t>Nudimo mikroarmiranu žbuk Renoplus debljine do 40mm i finu  žbuku Renostar. Za sve debljine iznad 40mm cijena se povećava po m2 za 10mm = 25 €/m2</t>
  </si>
  <si>
    <t>Nudimo mikroarmiranu žbuku Renoplus debljine do 30mm i finu  žbuku Renostar. Za sve debljine iznad 30mm cijena se povećava po m2 za 10mm = 25 €/m2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</si>
</sst>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General_)"/>
    <numFmt numFmtId="166" formatCode="_-* #,##0\ _k_n_-;\-* #,##0\ _k_n_-;_-* &quot;-&quot;??\ _k_n_-;_-@_-"/>
    <numFmt numFmtId="167" formatCode="@\."/>
  </numFmts>
  <fonts count="45">
    <font>
      <sz val="12"/>
      <color theme="1"/>
      <name val="Calibri"/>
      <family val="2"/>
      <scheme val="minor"/>
    </font>
    <font>
      <sz val="12"/>
      <color theme="1"/>
      <name val="Calibri"/>
      <family val="2"/>
      <scheme val="minor"/>
    </font>
    <font>
      <sz val="10"/>
      <color rgb="FF000000"/>
      <name val="Angradir"/>
    </font>
    <font>
      <sz val="10"/>
      <color theme="1"/>
      <name val="Angradir"/>
    </font>
    <font>
      <b/>
      <sz val="10"/>
      <color theme="1"/>
      <name val="Angradir"/>
    </font>
    <font>
      <b/>
      <sz val="10"/>
      <color indexed="8"/>
      <name val="Angradir"/>
    </font>
    <font>
      <sz val="10"/>
      <name val="Angradir"/>
    </font>
    <font>
      <sz val="10"/>
      <color indexed="8"/>
      <name val="Angradir"/>
      <charset val="238"/>
    </font>
    <font>
      <sz val="10"/>
      <color indexed="8"/>
      <name val="Angradir"/>
    </font>
    <font>
      <b/>
      <sz val="10"/>
      <name val="Angradir"/>
    </font>
    <font>
      <sz val="10"/>
      <name val="Arial"/>
      <family val="2"/>
    </font>
    <font>
      <b/>
      <sz val="10"/>
      <name val="Arial"/>
      <family val="2"/>
    </font>
    <font>
      <sz val="10"/>
      <name val="Arial"/>
      <family val="2"/>
      <charset val="238"/>
    </font>
    <font>
      <strike/>
      <sz val="10"/>
      <color rgb="FFFF0000"/>
      <name val="Arial"/>
      <family val="2"/>
    </font>
    <font>
      <sz val="10"/>
      <color rgb="FFFF0000"/>
      <name val="Arial"/>
      <family val="2"/>
      <charset val="238"/>
    </font>
    <font>
      <b/>
      <sz val="10"/>
      <color indexed="8"/>
      <name val="Arial"/>
      <family val="2"/>
      <charset val="238"/>
    </font>
    <font>
      <sz val="10"/>
      <color rgb="FFFF0000"/>
      <name val="Arial"/>
      <family val="2"/>
    </font>
    <font>
      <sz val="10"/>
      <color indexed="8"/>
      <name val="Arial CE"/>
      <charset val="238"/>
    </font>
    <font>
      <b/>
      <sz val="10"/>
      <name val="Arial"/>
      <family val="2"/>
      <charset val="238"/>
    </font>
    <font>
      <sz val="10"/>
      <color rgb="FF0070C0"/>
      <name val="Arial"/>
      <family val="2"/>
    </font>
    <font>
      <sz val="10"/>
      <color theme="4"/>
      <name val="Arial"/>
      <family val="2"/>
    </font>
    <font>
      <sz val="10"/>
      <name val="Calibri"/>
      <family val="2"/>
    </font>
    <font>
      <sz val="10"/>
      <color indexed="8"/>
      <name val="Arial"/>
      <family val="2"/>
    </font>
    <font>
      <sz val="10"/>
      <color rgb="FF0070C0"/>
      <name val="Arial"/>
      <family val="2"/>
      <charset val="238"/>
    </font>
    <font>
      <sz val="10"/>
      <color theme="0" tint="-0.34998626667073579"/>
      <name val="Arial"/>
      <family val="2"/>
      <charset val="238"/>
    </font>
    <font>
      <sz val="10"/>
      <color indexed="48"/>
      <name val="Arial"/>
      <family val="2"/>
      <charset val="238"/>
    </font>
    <font>
      <sz val="10"/>
      <color theme="1"/>
      <name val="Arial"/>
      <family val="2"/>
      <charset val="238"/>
    </font>
    <font>
      <b/>
      <sz val="10"/>
      <color theme="1"/>
      <name val="Arial"/>
      <family val="2"/>
      <charset val="238"/>
    </font>
    <font>
      <sz val="10"/>
      <color rgb="FF000000"/>
      <name val="Arial"/>
      <family val="2"/>
      <charset val="238"/>
    </font>
    <font>
      <b/>
      <sz val="10"/>
      <color rgb="FF000000"/>
      <name val="Arial"/>
      <family val="2"/>
      <charset val="238"/>
    </font>
    <font>
      <strike/>
      <sz val="10"/>
      <name val="Arial"/>
      <family val="2"/>
    </font>
    <font>
      <b/>
      <strike/>
      <sz val="10"/>
      <name val="Arial"/>
      <family val="2"/>
    </font>
    <font>
      <b/>
      <sz val="10"/>
      <color rgb="FFFF0000"/>
      <name val="Arial"/>
      <family val="2"/>
      <charset val="238"/>
    </font>
    <font>
      <sz val="12"/>
      <name val="Helv"/>
    </font>
    <font>
      <sz val="10"/>
      <color rgb="FF000000"/>
      <name val="Arial"/>
      <family val="2"/>
    </font>
    <font>
      <u/>
      <sz val="10"/>
      <name val="Arial"/>
      <family val="2"/>
    </font>
    <font>
      <u/>
      <sz val="10"/>
      <name val="Arial"/>
      <family val="2"/>
      <charset val="238"/>
    </font>
    <font>
      <sz val="10"/>
      <color theme="0" tint="-0.249977111117893"/>
      <name val="Arial"/>
      <family val="2"/>
    </font>
    <font>
      <b/>
      <sz val="10"/>
      <color rgb="FF0070C0"/>
      <name val="Arial"/>
      <family val="2"/>
    </font>
    <font>
      <sz val="12"/>
      <color theme="1"/>
      <name val="Arial"/>
      <family val="2"/>
    </font>
    <font>
      <sz val="10"/>
      <color theme="1"/>
      <name val="Arial"/>
      <family val="2"/>
    </font>
    <font>
      <b/>
      <sz val="12"/>
      <color theme="1"/>
      <name val="Arial"/>
      <family val="2"/>
      <charset val="238"/>
    </font>
    <font>
      <b/>
      <sz val="12"/>
      <color theme="1"/>
      <name val="Arial"/>
      <family val="2"/>
    </font>
    <font>
      <sz val="12"/>
      <name val="Arial"/>
      <family val="2"/>
    </font>
    <font>
      <sz val="12"/>
      <color theme="1"/>
      <name val="Arial"/>
      <family val="2"/>
      <charset val="238"/>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0" fontId="17" fillId="0" borderId="0"/>
    <xf numFmtId="0" fontId="22" fillId="0" borderId="0" applyNumberFormat="0" applyFill="0" applyBorder="0" applyProtection="0"/>
    <xf numFmtId="166" fontId="33" fillId="0" borderId="0"/>
  </cellStyleXfs>
  <cellXfs count="217">
    <xf numFmtId="0" fontId="0" fillId="0" borderId="0" xfId="0"/>
    <xf numFmtId="49" fontId="2"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3" fillId="0" borderId="0" xfId="0" applyFont="1"/>
    <xf numFmtId="0" fontId="4" fillId="0" borderId="0" xfId="0" applyFont="1" applyAlignment="1">
      <alignment horizontal="justify" vertical="center"/>
    </xf>
    <xf numFmtId="1" fontId="5" fillId="0" borderId="0" xfId="0" applyNumberFormat="1" applyFont="1" applyAlignment="1">
      <alignment horizontal="center" vertical="center" wrapText="1"/>
    </xf>
    <xf numFmtId="0" fontId="3" fillId="0" borderId="0" xfId="0" applyFont="1" applyAlignment="1">
      <alignment horizontal="justify" vertical="center"/>
    </xf>
    <xf numFmtId="49" fontId="5" fillId="0" borderId="0" xfId="0" applyNumberFormat="1" applyFont="1" applyAlignment="1">
      <alignment horizontal="center" vertical="top" wrapText="1"/>
    </xf>
    <xf numFmtId="49" fontId="5" fillId="0" borderId="0" xfId="0" applyNumberFormat="1" applyFont="1" applyAlignment="1">
      <alignment horizontal="left" vertical="top" wrapText="1"/>
    </xf>
    <xf numFmtId="1" fontId="5" fillId="0" borderId="0" xfId="0" applyNumberFormat="1" applyFont="1" applyAlignment="1">
      <alignment horizontal="left" vertical="center" wrapText="1"/>
    </xf>
    <xf numFmtId="0" fontId="4" fillId="0" borderId="0" xfId="0" applyFont="1" applyAlignment="1">
      <alignment horizontal="left" vertical="center"/>
    </xf>
    <xf numFmtId="49" fontId="7" fillId="0" borderId="0" xfId="0" applyNumberFormat="1" applyFont="1" applyAlignment="1">
      <alignment horizontal="left" vertical="top" wrapText="1"/>
    </xf>
    <xf numFmtId="0" fontId="3" fillId="0" borderId="0" xfId="0" applyFont="1" applyAlignment="1">
      <alignment horizontal="left" vertical="center"/>
    </xf>
    <xf numFmtId="1" fontId="8" fillId="0" borderId="0" xfId="1" applyNumberFormat="1" applyFont="1" applyAlignment="1">
      <alignment horizontal="left" vertical="center" wrapText="1"/>
    </xf>
    <xf numFmtId="49" fontId="8" fillId="0" borderId="0" xfId="0" applyNumberFormat="1" applyFont="1" applyAlignment="1">
      <alignment horizontal="left" vertical="top" wrapText="1"/>
    </xf>
    <xf numFmtId="1" fontId="3" fillId="0" borderId="0" xfId="0" applyNumberFormat="1" applyFont="1" applyAlignment="1">
      <alignment horizontal="left"/>
    </xf>
    <xf numFmtId="1" fontId="8" fillId="0" borderId="0" xfId="0" applyNumberFormat="1" applyFont="1" applyAlignment="1">
      <alignment horizontal="left" vertical="center" wrapText="1"/>
    </xf>
    <xf numFmtId="49" fontId="8" fillId="0" borderId="0" xfId="0" applyNumberFormat="1" applyFont="1" applyAlignment="1">
      <alignment horizontal="right" vertical="top" wrapText="1"/>
    </xf>
    <xf numFmtId="1" fontId="6" fillId="0" borderId="0" xfId="0" applyNumberFormat="1" applyFont="1" applyAlignment="1">
      <alignment horizontal="right" vertical="center" wrapText="1"/>
    </xf>
    <xf numFmtId="1" fontId="6" fillId="0" borderId="0" xfId="0" applyNumberFormat="1" applyFont="1" applyAlignment="1">
      <alignment horizontal="center" vertical="center" wrapText="1"/>
    </xf>
    <xf numFmtId="1" fontId="9" fillId="0" borderId="0" xfId="0" applyNumberFormat="1" applyFont="1" applyAlignment="1">
      <alignment horizontal="center" vertical="center" wrapText="1"/>
    </xf>
    <xf numFmtId="49" fontId="8" fillId="0" borderId="1" xfId="0" applyNumberFormat="1" applyFont="1" applyBorder="1" applyAlignment="1">
      <alignment horizontal="left" vertical="center" wrapText="1"/>
    </xf>
    <xf numFmtId="1" fontId="8" fillId="0" borderId="2" xfId="0" applyNumberFormat="1" applyFont="1" applyBorder="1" applyAlignment="1">
      <alignment horizontal="left" vertical="center" wrapText="1"/>
    </xf>
    <xf numFmtId="49" fontId="6" fillId="0" borderId="0" xfId="0" applyNumberFormat="1" applyFont="1" applyAlignment="1">
      <alignment horizontal="left" vertical="top" wrapText="1"/>
    </xf>
    <xf numFmtId="49" fontId="8" fillId="0" borderId="0" xfId="0" applyNumberFormat="1" applyFont="1" applyAlignment="1">
      <alignment horizontal="center" wrapText="1"/>
    </xf>
    <xf numFmtId="1" fontId="8" fillId="0" borderId="0" xfId="0" applyNumberFormat="1" applyFont="1" applyAlignment="1">
      <alignment horizontal="center" wrapText="1"/>
    </xf>
    <xf numFmtId="49" fontId="5" fillId="0" borderId="0" xfId="0" applyNumberFormat="1" applyFont="1" applyAlignment="1">
      <alignment horizontal="right" wrapText="1"/>
    </xf>
    <xf numFmtId="1" fontId="3" fillId="0" borderId="0" xfId="0" applyNumberFormat="1" applyFont="1"/>
    <xf numFmtId="49" fontId="10" fillId="0" borderId="0" xfId="0" applyNumberFormat="1" applyFont="1" applyAlignment="1">
      <alignment horizontal="left" vertical="center" wrapText="1"/>
    </xf>
    <xf numFmtId="49" fontId="11" fillId="0" borderId="0" xfId="0" applyNumberFormat="1" applyFont="1" applyAlignment="1">
      <alignment horizontal="left" vertical="center" wrapText="1"/>
    </xf>
    <xf numFmtId="49" fontId="10" fillId="0" borderId="0" xfId="0" applyNumberFormat="1" applyFont="1" applyAlignment="1">
      <alignment horizontal="center" vertical="center" wrapText="1"/>
    </xf>
    <xf numFmtId="1" fontId="10" fillId="0" borderId="0" xfId="0" applyNumberFormat="1" applyFont="1" applyAlignment="1">
      <alignment horizontal="center" vertical="center" wrapText="1"/>
    </xf>
    <xf numFmtId="0" fontId="10" fillId="0" borderId="0" xfId="0" applyFont="1"/>
    <xf numFmtId="0" fontId="10" fillId="0" borderId="0" xfId="0" applyFont="1" applyAlignment="1">
      <alignment horizontal="left" vertical="center" wrapText="1"/>
    </xf>
    <xf numFmtId="164" fontId="10" fillId="0" borderId="0" xfId="1" applyNumberFormat="1" applyFont="1" applyFill="1" applyAlignment="1">
      <alignment horizontal="right" vertical="top"/>
    </xf>
    <xf numFmtId="0" fontId="10" fillId="0" borderId="0" xfId="0" applyFont="1" applyAlignment="1">
      <alignment horizontal="left" vertical="top" wrapText="1"/>
    </xf>
    <xf numFmtId="49" fontId="11" fillId="0" borderId="0" xfId="0" applyNumberFormat="1" applyFont="1" applyAlignment="1">
      <alignment horizontal="center" vertical="top" wrapText="1"/>
    </xf>
    <xf numFmtId="1" fontId="11" fillId="0" borderId="0" xfId="0" applyNumberFormat="1"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vertical="top" wrapText="1"/>
    </xf>
    <xf numFmtId="0" fontId="13" fillId="0" borderId="0" xfId="0" applyFont="1" applyAlignment="1">
      <alignment horizontal="left" vertical="top" wrapText="1"/>
    </xf>
    <xf numFmtId="49" fontId="14" fillId="0" borderId="0" xfId="0" applyNumberFormat="1" applyFont="1" applyAlignment="1">
      <alignment horizontal="center" vertical="top" wrapText="1"/>
    </xf>
    <xf numFmtId="49" fontId="10" fillId="0" borderId="0" xfId="0" applyNumberFormat="1" applyFont="1" applyAlignment="1">
      <alignment horizontal="left" vertical="top" wrapText="1"/>
    </xf>
    <xf numFmtId="49" fontId="10" fillId="0" borderId="0" xfId="0" applyNumberFormat="1" applyFont="1" applyAlignment="1">
      <alignment horizontal="right" vertical="top" wrapText="1"/>
    </xf>
    <xf numFmtId="1" fontId="10" fillId="0" borderId="0" xfId="1" applyNumberFormat="1" applyFont="1" applyFill="1" applyBorder="1" applyAlignment="1">
      <alignment horizontal="right" vertical="center" wrapText="1"/>
    </xf>
    <xf numFmtId="49" fontId="11" fillId="0" borderId="0" xfId="0" applyNumberFormat="1" applyFont="1" applyAlignment="1">
      <alignment horizontal="left" vertical="top" wrapText="1"/>
    </xf>
    <xf numFmtId="0" fontId="10" fillId="0" borderId="0" xfId="0" applyFont="1" applyAlignment="1">
      <alignment horizontal="right"/>
    </xf>
    <xf numFmtId="1" fontId="10" fillId="0" borderId="0" xfId="0" applyNumberFormat="1" applyFont="1" applyAlignment="1">
      <alignment horizontal="right"/>
    </xf>
    <xf numFmtId="1" fontId="10" fillId="0" borderId="0" xfId="0" applyNumberFormat="1" applyFont="1" applyAlignment="1">
      <alignment horizontal="right" vertical="center" wrapText="1"/>
    </xf>
    <xf numFmtId="49" fontId="10" fillId="0" borderId="0" xfId="0" applyNumberFormat="1" applyFont="1" applyAlignment="1">
      <alignment horizontal="center" wrapText="1"/>
    </xf>
    <xf numFmtId="1" fontId="10" fillId="0" borderId="0" xfId="0" applyNumberFormat="1" applyFont="1" applyAlignment="1">
      <alignment horizontal="center" wrapText="1"/>
    </xf>
    <xf numFmtId="165" fontId="11" fillId="0" borderId="0" xfId="0" applyNumberFormat="1" applyFont="1" applyAlignment="1">
      <alignment horizontal="justify" vertical="justify" wrapText="1"/>
    </xf>
    <xf numFmtId="1" fontId="10" fillId="0" borderId="0" xfId="0" applyNumberFormat="1" applyFont="1"/>
    <xf numFmtId="165" fontId="10" fillId="0" borderId="0" xfId="0" applyNumberFormat="1" applyFont="1" applyAlignment="1">
      <alignment horizontal="justify" vertical="center" wrapText="1"/>
    </xf>
    <xf numFmtId="165" fontId="10" fillId="0" borderId="0" xfId="0" applyNumberFormat="1" applyFont="1" applyAlignment="1">
      <alignment horizontal="justify" vertical="justify" wrapText="1"/>
    </xf>
    <xf numFmtId="165" fontId="11" fillId="0" borderId="0" xfId="0" applyNumberFormat="1" applyFont="1" applyAlignment="1">
      <alignment horizontal="justify" vertical="center" wrapText="1"/>
    </xf>
    <xf numFmtId="165" fontId="11" fillId="0" borderId="0" xfId="0" applyNumberFormat="1" applyFont="1" applyAlignment="1">
      <alignment horizontal="left" vertical="center" wrapText="1"/>
    </xf>
    <xf numFmtId="165" fontId="10" fillId="0" borderId="0" xfId="0" applyNumberFormat="1" applyFont="1" applyAlignment="1">
      <alignment horizontal="left" vertical="center" wrapText="1"/>
    </xf>
    <xf numFmtId="0" fontId="11" fillId="0" borderId="0" xfId="0" applyFont="1" applyAlignment="1">
      <alignment horizontal="left"/>
    </xf>
    <xf numFmtId="49" fontId="11" fillId="0" borderId="0" xfId="0" applyNumberFormat="1" applyFont="1" applyAlignment="1">
      <alignment horizontal="right" wrapText="1"/>
    </xf>
    <xf numFmtId="49" fontId="10" fillId="0" borderId="2" xfId="0" applyNumberFormat="1" applyFont="1" applyBorder="1" applyAlignment="1">
      <alignment horizontal="right" vertical="center" wrapText="1"/>
    </xf>
    <xf numFmtId="49" fontId="10" fillId="0" borderId="3" xfId="0" applyNumberFormat="1" applyFont="1" applyBorder="1" applyAlignment="1">
      <alignment horizontal="justify" vertical="center" wrapText="1"/>
    </xf>
    <xf numFmtId="49" fontId="10" fillId="0" borderId="3" xfId="0" applyNumberFormat="1" applyFont="1" applyBorder="1" applyAlignment="1">
      <alignment horizontal="right" vertical="center" wrapText="1"/>
    </xf>
    <xf numFmtId="49" fontId="10" fillId="0" borderId="2" xfId="0" applyNumberFormat="1" applyFont="1" applyBorder="1" applyAlignment="1">
      <alignment horizontal="justify" vertical="center" wrapText="1"/>
    </xf>
    <xf numFmtId="49" fontId="10" fillId="0" borderId="2" xfId="0" applyNumberFormat="1" applyFont="1" applyBorder="1" applyAlignment="1" applyProtection="1">
      <alignment horizontal="justify" vertical="center" wrapText="1"/>
      <protection locked="0"/>
    </xf>
    <xf numFmtId="0" fontId="10" fillId="0" borderId="0" xfId="0" applyFont="1" applyAlignment="1">
      <alignment horizontal="justify"/>
    </xf>
    <xf numFmtId="49" fontId="10" fillId="0" borderId="0" xfId="0" applyNumberFormat="1" applyFont="1" applyAlignment="1">
      <alignment horizontal="right" vertical="center" wrapText="1"/>
    </xf>
    <xf numFmtId="49" fontId="10" fillId="0" borderId="0" xfId="0" applyNumberFormat="1" applyFont="1" applyAlignment="1">
      <alignment horizontal="justify" vertical="center" wrapText="1"/>
    </xf>
    <xf numFmtId="49" fontId="10" fillId="0" borderId="0" xfId="0" applyNumberFormat="1" applyFont="1" applyAlignment="1" applyProtection="1">
      <alignment horizontal="justify" vertical="center" wrapText="1"/>
      <protection locked="0"/>
    </xf>
    <xf numFmtId="0" fontId="11" fillId="0" borderId="0" xfId="0" applyFont="1" applyAlignment="1">
      <alignment horizontal="right" vertical="top"/>
    </xf>
    <xf numFmtId="0" fontId="11" fillId="0" borderId="0" xfId="0" applyFont="1" applyAlignment="1">
      <alignment horizontal="justify" vertical="top" wrapText="1"/>
    </xf>
    <xf numFmtId="0" fontId="10" fillId="0" borderId="0" xfId="0" applyFont="1" applyAlignment="1" applyProtection="1">
      <alignment horizontal="justify"/>
      <protection locked="0"/>
    </xf>
    <xf numFmtId="0" fontId="10" fillId="0" borderId="0" xfId="0" applyFont="1" applyAlignment="1">
      <alignment horizontal="right" vertical="top"/>
    </xf>
    <xf numFmtId="49" fontId="10" fillId="0" borderId="0" xfId="0" applyNumberFormat="1" applyFont="1" applyAlignment="1">
      <alignment horizontal="justify" vertical="top" wrapText="1"/>
    </xf>
    <xf numFmtId="0" fontId="12" fillId="0" borderId="0" xfId="0" applyFont="1" applyAlignment="1">
      <alignment horizontal="left" vertical="top" wrapText="1"/>
    </xf>
    <xf numFmtId="0" fontId="10" fillId="0" borderId="0" xfId="0" applyFont="1" applyAlignment="1">
      <alignment horizontal="justify" vertical="top" wrapText="1"/>
    </xf>
    <xf numFmtId="0" fontId="15" fillId="0" borderId="0" xfId="0" applyFont="1" applyAlignment="1">
      <alignment vertical="top" wrapText="1"/>
    </xf>
    <xf numFmtId="4" fontId="10" fillId="0" borderId="0" xfId="0" applyNumberFormat="1" applyFont="1" applyAlignment="1">
      <alignment horizontal="justify"/>
    </xf>
    <xf numFmtId="4" fontId="10" fillId="0" borderId="0" xfId="0" applyNumberFormat="1" applyFont="1" applyAlignment="1" applyProtection="1">
      <alignment horizontal="justify"/>
      <protection locked="0"/>
    </xf>
    <xf numFmtId="0" fontId="10" fillId="0" borderId="0" xfId="0" applyFont="1" applyAlignment="1">
      <alignment horizontal="center"/>
    </xf>
    <xf numFmtId="4" fontId="10" fillId="0" borderId="0" xfId="0" applyNumberFormat="1" applyFont="1" applyAlignment="1">
      <alignment horizontal="center"/>
    </xf>
    <xf numFmtId="4" fontId="10" fillId="0" borderId="0" xfId="0" applyNumberFormat="1" applyFont="1" applyAlignment="1" applyProtection="1">
      <alignment horizontal="center" wrapText="1"/>
      <protection locked="0"/>
    </xf>
    <xf numFmtId="0" fontId="12" fillId="0" borderId="0" xfId="0" applyFont="1" applyAlignment="1">
      <alignment vertical="top" wrapText="1"/>
    </xf>
    <xf numFmtId="0" fontId="16" fillId="0" borderId="0" xfId="0" applyFont="1" applyAlignment="1">
      <alignment horizontal="justify"/>
    </xf>
    <xf numFmtId="0" fontId="12" fillId="0" borderId="0" xfId="0" applyFont="1"/>
    <xf numFmtId="4" fontId="10" fillId="0" borderId="0" xfId="2" applyNumberFormat="1" applyFont="1" applyAlignment="1">
      <alignment horizontal="center"/>
    </xf>
    <xf numFmtId="4" fontId="10" fillId="0" borderId="0" xfId="2" applyNumberFormat="1" applyFont="1" applyAlignment="1" applyProtection="1">
      <alignment horizontal="center"/>
      <protection locked="0"/>
    </xf>
    <xf numFmtId="4" fontId="10" fillId="0" borderId="0" xfId="0" applyNumberFormat="1" applyFont="1"/>
    <xf numFmtId="0" fontId="10" fillId="0" borderId="4" xfId="0" applyFont="1" applyBorder="1" applyAlignment="1">
      <alignment vertical="top" wrapText="1"/>
    </xf>
    <xf numFmtId="165" fontId="18" fillId="0" borderId="0" xfId="0" applyNumberFormat="1" applyFont="1" applyAlignment="1">
      <alignment horizontal="left" vertical="justify" wrapText="1"/>
    </xf>
    <xf numFmtId="0" fontId="10" fillId="0" borderId="0" xfId="0" applyFont="1" applyAlignment="1">
      <alignment wrapText="1"/>
    </xf>
    <xf numFmtId="0" fontId="10" fillId="0" borderId="0" xfId="0" applyFont="1" applyAlignment="1">
      <alignment horizontal="right" wrapText="1"/>
    </xf>
    <xf numFmtId="0" fontId="10" fillId="0" borderId="0" xfId="0" applyFont="1" applyAlignment="1">
      <alignment horizontal="justify" vertical="top"/>
    </xf>
    <xf numFmtId="4" fontId="10" fillId="0" borderId="0" xfId="0" applyNumberFormat="1" applyFont="1" applyAlignment="1">
      <alignment horizontal="right"/>
    </xf>
    <xf numFmtId="4" fontId="10" fillId="0" borderId="0" xfId="0" applyNumberFormat="1" applyFont="1" applyAlignment="1" applyProtection="1">
      <alignment horizontal="center"/>
      <protection locked="0"/>
    </xf>
    <xf numFmtId="165" fontId="12" fillId="0" borderId="0" xfId="0" applyNumberFormat="1" applyFont="1" applyAlignment="1">
      <alignment horizontal="left" vertical="justify" wrapText="1"/>
    </xf>
    <xf numFmtId="165" fontId="11" fillId="0" borderId="0" xfId="0" applyNumberFormat="1" applyFont="1" applyAlignment="1">
      <alignment vertical="top" wrapText="1"/>
    </xf>
    <xf numFmtId="165" fontId="11" fillId="0" borderId="0" xfId="0" applyNumberFormat="1" applyFont="1" applyAlignment="1">
      <alignment vertical="justify" wrapText="1"/>
    </xf>
    <xf numFmtId="165" fontId="10" fillId="0" borderId="0" xfId="0" applyNumberFormat="1" applyFont="1" applyAlignment="1">
      <alignment horizontal="left" vertical="top" wrapText="1"/>
    </xf>
    <xf numFmtId="4" fontId="19" fillId="0" borderId="0" xfId="0" applyNumberFormat="1" applyFont="1" applyAlignment="1">
      <alignment horizontal="justify"/>
    </xf>
    <xf numFmtId="0" fontId="12" fillId="0" borderId="0" xfId="0" applyFont="1" applyAlignment="1">
      <alignment horizontal="justify" vertical="top"/>
    </xf>
    <xf numFmtId="165" fontId="12" fillId="0" borderId="0" xfId="0" applyNumberFormat="1" applyFont="1" applyAlignment="1">
      <alignment horizontal="left" vertical="justify"/>
    </xf>
    <xf numFmtId="0" fontId="12" fillId="0" borderId="0" xfId="0" applyFont="1" applyAlignment="1">
      <alignment horizontal="right"/>
    </xf>
    <xf numFmtId="4" fontId="20" fillId="0" borderId="0" xfId="0" applyNumberFormat="1" applyFont="1" applyAlignment="1" applyProtection="1">
      <alignment horizontal="center"/>
      <protection locked="0"/>
    </xf>
    <xf numFmtId="4" fontId="12" fillId="0" borderId="0" xfId="0" applyNumberFormat="1" applyFont="1"/>
    <xf numFmtId="0" fontId="12" fillId="0" borderId="0" xfId="0" applyFont="1" applyAlignment="1">
      <alignment horizontal="right" vertical="top"/>
    </xf>
    <xf numFmtId="165" fontId="18" fillId="0" borderId="0" xfId="0" applyNumberFormat="1" applyFont="1" applyAlignment="1">
      <alignment vertical="top" wrapText="1"/>
    </xf>
    <xf numFmtId="165" fontId="12" fillId="0" borderId="0" xfId="0" applyNumberFormat="1" applyFont="1" applyAlignment="1">
      <alignment vertical="justify" wrapText="1"/>
    </xf>
    <xf numFmtId="165" fontId="12" fillId="0" borderId="0" xfId="0" quotePrefix="1" applyNumberFormat="1" applyFont="1" applyAlignment="1">
      <alignment horizontal="left" vertical="top" wrapText="1"/>
    </xf>
    <xf numFmtId="165" fontId="12" fillId="0" borderId="0" xfId="0" applyNumberFormat="1" applyFont="1" applyAlignment="1">
      <alignment horizontal="left" vertical="center" wrapText="1"/>
    </xf>
    <xf numFmtId="165" fontId="12" fillId="0" borderId="0" xfId="0" applyNumberFormat="1" applyFont="1" applyAlignment="1">
      <alignment horizontal="justify" vertical="justify" wrapText="1"/>
    </xf>
    <xf numFmtId="165" fontId="18" fillId="0" borderId="0" xfId="0" applyNumberFormat="1" applyFont="1" applyAlignment="1">
      <alignment horizontal="justify" vertical="justify" wrapText="1"/>
    </xf>
    <xf numFmtId="0" fontId="10" fillId="2" borderId="0" xfId="0" applyFont="1" applyFill="1" applyAlignment="1">
      <alignment horizontal="justify"/>
    </xf>
    <xf numFmtId="165" fontId="10" fillId="0" borderId="0" xfId="0" applyNumberFormat="1" applyFont="1" applyAlignment="1">
      <alignment vertical="top" wrapText="1"/>
    </xf>
    <xf numFmtId="0" fontId="16" fillId="0" borderId="0" xfId="0" applyFont="1" applyAlignment="1">
      <alignment horizontal="right" vertical="top"/>
    </xf>
    <xf numFmtId="4" fontId="12" fillId="0" borderId="0" xfId="0" applyNumberFormat="1" applyFont="1" applyAlignment="1">
      <alignment horizontal="right"/>
    </xf>
    <xf numFmtId="165" fontId="16" fillId="0" borderId="0" xfId="0" applyNumberFormat="1" applyFont="1" applyAlignment="1">
      <alignment horizontal="justify" vertical="justify" wrapText="1"/>
    </xf>
    <xf numFmtId="0" fontId="11" fillId="0" borderId="0" xfId="0" applyFont="1" applyAlignment="1">
      <alignment vertical="top" wrapText="1"/>
    </xf>
    <xf numFmtId="0" fontId="10" fillId="0" borderId="0" xfId="0" applyFont="1" applyAlignment="1">
      <alignment horizontal="justify" vertical="center" wrapText="1"/>
    </xf>
    <xf numFmtId="0" fontId="18" fillId="0" borderId="0" xfId="0" applyFont="1" applyAlignment="1">
      <alignment horizontal="left" vertical="top" wrapText="1"/>
    </xf>
    <xf numFmtId="1" fontId="10" fillId="0" borderId="0" xfId="0" applyNumberFormat="1" applyFont="1" applyAlignment="1">
      <alignment horizontal="right" vertical="top" wrapText="1"/>
    </xf>
    <xf numFmtId="0" fontId="18" fillId="0" borderId="0" xfId="0" applyFont="1" applyAlignment="1">
      <alignment horizontal="left" vertical="justify" wrapText="1"/>
    </xf>
    <xf numFmtId="0" fontId="11" fillId="0" borderId="0" xfId="0" applyFont="1" applyAlignment="1">
      <alignment horizontal="left" vertical="top" wrapText="1"/>
    </xf>
    <xf numFmtId="0" fontId="23" fillId="0" borderId="0" xfId="3" applyFont="1" applyFill="1" applyAlignment="1" applyProtection="1">
      <alignment vertical="top" wrapText="1"/>
    </xf>
    <xf numFmtId="0" fontId="10" fillId="0" borderId="0" xfId="3" applyFont="1" applyAlignment="1" applyProtection="1">
      <alignment vertical="top" wrapText="1"/>
    </xf>
    <xf numFmtId="0" fontId="12" fillId="0" borderId="0" xfId="0" applyFont="1" applyAlignment="1">
      <alignment horizontal="center" wrapText="1"/>
    </xf>
    <xf numFmtId="4" fontId="25" fillId="0" borderId="0" xfId="0" applyNumberFormat="1" applyFont="1" applyAlignment="1">
      <alignment horizontal="right" wrapText="1"/>
    </xf>
    <xf numFmtId="0" fontId="12" fillId="0" borderId="0" xfId="0" applyFont="1" applyAlignment="1">
      <alignment wrapText="1"/>
    </xf>
    <xf numFmtId="0" fontId="26" fillId="0" borderId="0" xfId="0" applyFont="1" applyAlignment="1">
      <alignment vertical="top" wrapText="1"/>
    </xf>
    <xf numFmtId="0" fontId="28" fillId="0" borderId="0" xfId="0" applyFont="1" applyAlignment="1">
      <alignment wrapText="1"/>
    </xf>
    <xf numFmtId="0" fontId="28" fillId="0" borderId="0" xfId="0" applyFont="1" applyAlignment="1">
      <alignment horizontal="left" vertical="top" wrapText="1"/>
    </xf>
    <xf numFmtId="165" fontId="10" fillId="0" borderId="0" xfId="0" applyNumberFormat="1" applyFont="1" applyAlignment="1">
      <alignment horizontal="left" vertical="justify" wrapText="1"/>
    </xf>
    <xf numFmtId="0" fontId="30" fillId="0" borderId="0" xfId="0" applyFont="1" applyAlignment="1">
      <alignment horizontal="right" vertical="top"/>
    </xf>
    <xf numFmtId="165" fontId="31" fillId="0" borderId="0" xfId="0" applyNumberFormat="1" applyFont="1" applyAlignment="1">
      <alignment horizontal="left" vertical="justify" wrapText="1"/>
    </xf>
    <xf numFmtId="0" fontId="30" fillId="0" borderId="0" xfId="0" applyFont="1" applyAlignment="1">
      <alignment horizontal="right"/>
    </xf>
    <xf numFmtId="4" fontId="30" fillId="0" borderId="0" xfId="0" applyNumberFormat="1" applyFont="1" applyAlignment="1">
      <alignment horizontal="justify"/>
    </xf>
    <xf numFmtId="4" fontId="30" fillId="0" borderId="0" xfId="0" applyNumberFormat="1" applyFont="1" applyAlignment="1" applyProtection="1">
      <alignment horizontal="justify"/>
      <protection locked="0"/>
    </xf>
    <xf numFmtId="0" fontId="30" fillId="0" borderId="0" xfId="0" applyFont="1" applyAlignment="1">
      <alignment horizontal="justify"/>
    </xf>
    <xf numFmtId="165" fontId="30" fillId="0" borderId="0" xfId="0" applyNumberFormat="1" applyFont="1" applyAlignment="1">
      <alignment horizontal="justify" vertical="justify" wrapText="1"/>
    </xf>
    <xf numFmtId="165" fontId="30" fillId="0" borderId="0" xfId="0" applyNumberFormat="1" applyFont="1" applyAlignment="1">
      <alignment vertical="top" wrapText="1"/>
    </xf>
    <xf numFmtId="4" fontId="30" fillId="0" borderId="0" xfId="0" applyNumberFormat="1" applyFont="1" applyAlignment="1">
      <alignment horizontal="right"/>
    </xf>
    <xf numFmtId="4" fontId="30" fillId="0" borderId="0" xfId="0" applyNumberFormat="1" applyFont="1" applyAlignment="1" applyProtection="1">
      <alignment horizontal="center"/>
      <protection locked="0"/>
    </xf>
    <xf numFmtId="4" fontId="30" fillId="0" borderId="0" xfId="0" applyNumberFormat="1" applyFont="1"/>
    <xf numFmtId="165" fontId="32" fillId="0" borderId="0" xfId="0" applyNumberFormat="1" applyFont="1" applyAlignment="1">
      <alignment horizontal="justify" vertical="justify" wrapText="1"/>
    </xf>
    <xf numFmtId="0" fontId="16" fillId="0" borderId="0" xfId="0" applyFont="1" applyAlignment="1">
      <alignment horizontal="right"/>
    </xf>
    <xf numFmtId="4" fontId="16" fillId="0" borderId="0" xfId="0" applyNumberFormat="1" applyFont="1" applyAlignment="1">
      <alignment horizontal="right"/>
    </xf>
    <xf numFmtId="4" fontId="16" fillId="0" borderId="0" xfId="0" applyNumberFormat="1" applyFont="1" applyAlignment="1" applyProtection="1">
      <alignment horizontal="center"/>
      <protection locked="0"/>
    </xf>
    <xf numFmtId="4" fontId="16" fillId="0" borderId="0" xfId="0" applyNumberFormat="1" applyFont="1"/>
    <xf numFmtId="165" fontId="16" fillId="0" borderId="0" xfId="0" applyNumberFormat="1" applyFont="1" applyAlignment="1">
      <alignment horizontal="justify" vertical="top" wrapText="1"/>
    </xf>
    <xf numFmtId="0" fontId="16" fillId="0" borderId="0" xfId="0" applyFont="1" applyAlignment="1">
      <alignment horizontal="left" vertical="top" wrapText="1"/>
    </xf>
    <xf numFmtId="0" fontId="16" fillId="0" borderId="0" xfId="0" applyFont="1" applyAlignment="1">
      <alignment vertical="center" wrapText="1"/>
    </xf>
    <xf numFmtId="0" fontId="16" fillId="0" borderId="0" xfId="0" applyFont="1" applyAlignment="1">
      <alignment vertical="center"/>
    </xf>
    <xf numFmtId="0" fontId="16" fillId="0" borderId="0" xfId="0" applyFont="1" applyAlignment="1">
      <alignment vertical="top"/>
    </xf>
    <xf numFmtId="165" fontId="16" fillId="0" borderId="0" xfId="4" applyNumberFormat="1" applyFont="1" applyAlignment="1">
      <alignment horizontal="left" vertical="top" wrapText="1"/>
    </xf>
    <xf numFmtId="4" fontId="16" fillId="0" borderId="0" xfId="0" applyNumberFormat="1" applyFont="1" applyProtection="1">
      <protection locked="0"/>
    </xf>
    <xf numFmtId="0" fontId="16" fillId="0" borderId="0" xfId="0" applyFont="1"/>
    <xf numFmtId="165" fontId="16" fillId="0" borderId="0" xfId="0" applyNumberFormat="1" applyFont="1" applyAlignment="1">
      <alignment horizontal="left" vertical="top" wrapText="1"/>
    </xf>
    <xf numFmtId="0" fontId="16" fillId="0" borderId="0" xfId="0" applyFont="1" applyAlignment="1">
      <alignment wrapText="1"/>
    </xf>
    <xf numFmtId="49" fontId="18" fillId="0" borderId="0" xfId="0" applyNumberFormat="1" applyFont="1" applyAlignment="1">
      <alignment vertical="top" wrapText="1"/>
    </xf>
    <xf numFmtId="4" fontId="10" fillId="0" borderId="0" xfId="0" applyNumberFormat="1" applyFont="1" applyProtection="1">
      <protection locked="0"/>
    </xf>
    <xf numFmtId="49" fontId="10" fillId="0" borderId="0" xfId="0" applyNumberFormat="1" applyFont="1" applyAlignment="1">
      <alignment vertical="top" wrapText="1"/>
    </xf>
    <xf numFmtId="49" fontId="10" fillId="0" borderId="0" xfId="0" quotePrefix="1" applyNumberFormat="1" applyFont="1" applyAlignment="1">
      <alignment wrapText="1"/>
    </xf>
    <xf numFmtId="49" fontId="10" fillId="0" borderId="0" xfId="0" applyNumberFormat="1" applyFont="1" applyAlignment="1">
      <alignment horizontal="left"/>
    </xf>
    <xf numFmtId="2" fontId="10" fillId="0" borderId="0" xfId="0" applyNumberFormat="1" applyFont="1" applyAlignment="1">
      <alignment horizontal="right"/>
    </xf>
    <xf numFmtId="2" fontId="10" fillId="0" borderId="0" xfId="0" applyNumberFormat="1" applyFont="1"/>
    <xf numFmtId="49" fontId="34" fillId="0" borderId="0" xfId="0" quotePrefix="1" applyNumberFormat="1" applyFont="1" applyAlignment="1">
      <alignment wrapText="1"/>
    </xf>
    <xf numFmtId="0" fontId="28" fillId="0" borderId="0" xfId="0" applyFont="1" applyAlignment="1">
      <alignment horizontal="right" vertical="top" wrapText="1"/>
    </xf>
    <xf numFmtId="4" fontId="34" fillId="0" borderId="0" xfId="0" applyNumberFormat="1" applyFont="1"/>
    <xf numFmtId="0" fontId="34" fillId="0" borderId="0" xfId="0" applyFont="1" applyProtection="1">
      <protection locked="0"/>
    </xf>
    <xf numFmtId="49" fontId="16" fillId="0" borderId="0" xfId="0" quotePrefix="1" applyNumberFormat="1" applyFont="1" applyAlignment="1">
      <alignment wrapText="1"/>
    </xf>
    <xf numFmtId="49" fontId="18" fillId="0" borderId="0" xfId="0" quotePrefix="1" applyNumberFormat="1" applyFont="1" applyAlignment="1">
      <alignment vertical="top" wrapText="1"/>
    </xf>
    <xf numFmtId="0" fontId="35" fillId="0" borderId="0" xfId="0" applyFont="1" applyAlignment="1">
      <alignment horizontal="left" vertical="top" wrapText="1"/>
    </xf>
    <xf numFmtId="9" fontId="19" fillId="0" borderId="0" xfId="0" applyNumberFormat="1" applyFont="1" applyAlignment="1">
      <alignment horizontal="left" vertical="top" wrapText="1"/>
    </xf>
    <xf numFmtId="0" fontId="19" fillId="0" borderId="0" xfId="0" applyFont="1" applyAlignment="1">
      <alignment horizontal="right"/>
    </xf>
    <xf numFmtId="4" fontId="19" fillId="0" borderId="0" xfId="0" applyNumberFormat="1" applyFont="1" applyAlignment="1" applyProtection="1">
      <alignment horizontal="justify"/>
      <protection locked="0"/>
    </xf>
    <xf numFmtId="1" fontId="19" fillId="0" borderId="0" xfId="0" applyNumberFormat="1" applyFont="1" applyAlignment="1">
      <alignment horizontal="right" vertical="top" wrapText="1"/>
    </xf>
    <xf numFmtId="4" fontId="34" fillId="0" borderId="0" xfId="0" applyNumberFormat="1" applyFont="1" applyAlignment="1">
      <alignment horizontal="right"/>
    </xf>
    <xf numFmtId="1" fontId="16" fillId="0" borderId="0" xfId="0" applyNumberFormat="1" applyFont="1" applyAlignment="1">
      <alignment horizontal="right" vertical="top" wrapText="1"/>
    </xf>
    <xf numFmtId="4" fontId="16" fillId="0" borderId="0" xfId="0" applyNumberFormat="1" applyFont="1" applyAlignment="1">
      <alignment horizontal="justify"/>
    </xf>
    <xf numFmtId="4" fontId="16" fillId="0" borderId="0" xfId="0" applyNumberFormat="1" applyFont="1" applyAlignment="1" applyProtection="1">
      <alignment horizontal="justify"/>
      <protection locked="0"/>
    </xf>
    <xf numFmtId="0" fontId="37" fillId="0" borderId="0" xfId="0" applyFont="1" applyAlignment="1">
      <alignment horizontal="justify" vertical="top"/>
    </xf>
    <xf numFmtId="0" fontId="11" fillId="0" borderId="0" xfId="0" applyFont="1" applyAlignment="1">
      <alignment horizontal="left" vertical="top"/>
    </xf>
    <xf numFmtId="167" fontId="11" fillId="0" borderId="0" xfId="0" applyNumberFormat="1" applyFont="1" applyAlignment="1">
      <alignment horizontal="right" vertical="top"/>
    </xf>
    <xf numFmtId="0" fontId="10" fillId="0" borderId="0" xfId="0" applyFont="1" applyAlignment="1">
      <alignment horizontal="justify" vertical="center"/>
    </xf>
    <xf numFmtId="0" fontId="11" fillId="0" borderId="1" xfId="0" applyFont="1" applyBorder="1" applyAlignment="1">
      <alignment horizontal="right" vertical="top"/>
    </xf>
    <xf numFmtId="0" fontId="11" fillId="0" borderId="5" xfId="0" applyFont="1" applyBorder="1" applyAlignment="1">
      <alignment horizontal="justify" vertical="top" wrapText="1"/>
    </xf>
    <xf numFmtId="0" fontId="11" fillId="0" borderId="5" xfId="0" applyFont="1" applyBorder="1" applyAlignment="1">
      <alignment horizontal="right"/>
    </xf>
    <xf numFmtId="4" fontId="38" fillId="0" borderId="5" xfId="0" applyNumberFormat="1" applyFont="1" applyBorder="1" applyAlignment="1">
      <alignment horizontal="justify"/>
    </xf>
    <xf numFmtId="4" fontId="11" fillId="0" borderId="5" xfId="0" applyNumberFormat="1" applyFont="1" applyBorder="1" applyAlignment="1" applyProtection="1">
      <alignment horizontal="justify"/>
      <protection locked="0"/>
    </xf>
    <xf numFmtId="4" fontId="11" fillId="0" borderId="3" xfId="0" applyNumberFormat="1" applyFont="1" applyBorder="1" applyAlignment="1">
      <alignment horizontal="right"/>
    </xf>
    <xf numFmtId="0" fontId="16" fillId="0" borderId="0" xfId="0" applyFont="1" applyAlignment="1">
      <alignment horizontal="justify" vertical="top" wrapText="1"/>
    </xf>
    <xf numFmtId="0" fontId="39" fillId="0" borderId="0" xfId="0" applyFont="1" applyAlignment="1">
      <alignment horizontal="left"/>
    </xf>
    <xf numFmtId="0" fontId="39" fillId="0" borderId="0" xfId="0" applyFont="1"/>
    <xf numFmtId="0" fontId="40" fillId="0" borderId="0" xfId="0" applyFont="1"/>
    <xf numFmtId="0" fontId="41" fillId="0" borderId="0" xfId="0" applyFont="1" applyAlignment="1">
      <alignment horizontal="left"/>
    </xf>
    <xf numFmtId="0" fontId="42" fillId="0" borderId="0" xfId="0" applyFont="1"/>
    <xf numFmtId="0" fontId="39" fillId="0" borderId="6" xfId="0" applyFont="1" applyBorder="1" applyAlignment="1">
      <alignment horizontal="left"/>
    </xf>
    <xf numFmtId="0" fontId="39" fillId="0" borderId="2" xfId="0" applyFont="1" applyBorder="1"/>
    <xf numFmtId="0" fontId="39" fillId="0" borderId="2" xfId="0" applyFont="1" applyBorder="1" applyAlignment="1">
      <alignment horizontal="right"/>
    </xf>
    <xf numFmtId="0" fontId="39" fillId="0" borderId="2" xfId="0" applyFont="1" applyBorder="1" applyAlignment="1">
      <alignment horizontal="left"/>
    </xf>
    <xf numFmtId="4" fontId="39" fillId="0" borderId="2" xfId="0" applyNumberFormat="1" applyFont="1" applyBorder="1" applyAlignment="1">
      <alignment horizontal="right"/>
    </xf>
    <xf numFmtId="4" fontId="39" fillId="0" borderId="2" xfId="0" applyNumberFormat="1" applyFont="1" applyBorder="1"/>
    <xf numFmtId="0" fontId="12" fillId="3" borderId="0" xfId="0" applyFont="1" applyFill="1"/>
    <xf numFmtId="0" fontId="10" fillId="3" borderId="0" xfId="0" applyFont="1" applyFill="1"/>
    <xf numFmtId="0" fontId="43" fillId="0" borderId="2" xfId="0" applyFont="1" applyBorder="1" applyAlignment="1">
      <alignment horizontal="left"/>
    </xf>
    <xf numFmtId="0" fontId="39" fillId="0" borderId="7" xfId="0" applyFont="1" applyBorder="1" applyAlignment="1">
      <alignment horizontal="left"/>
    </xf>
    <xf numFmtId="0" fontId="39" fillId="0" borderId="7" xfId="0" applyFont="1" applyBorder="1"/>
    <xf numFmtId="4" fontId="39" fillId="0" borderId="7" xfId="0" applyNumberFormat="1" applyFont="1" applyBorder="1"/>
    <xf numFmtId="0" fontId="44" fillId="0" borderId="7" xfId="0" applyFont="1" applyBorder="1" applyAlignment="1">
      <alignment horizontal="left"/>
    </xf>
    <xf numFmtId="0" fontId="44" fillId="0" borderId="7" xfId="0" applyFont="1" applyBorder="1"/>
    <xf numFmtId="4" fontId="44" fillId="0" borderId="7" xfId="0" applyNumberFormat="1" applyFont="1" applyBorder="1"/>
    <xf numFmtId="0" fontId="39" fillId="0" borderId="8" xfId="0" applyFont="1" applyBorder="1" applyAlignment="1">
      <alignment horizontal="left"/>
    </xf>
    <xf numFmtId="0" fontId="39" fillId="0" borderId="9" xfId="0" applyFont="1" applyBorder="1"/>
    <xf numFmtId="4" fontId="39" fillId="0" borderId="10" xfId="0" applyNumberFormat="1" applyFont="1" applyBorder="1" applyAlignment="1">
      <alignment horizontal="right"/>
    </xf>
    <xf numFmtId="0" fontId="40" fillId="0" borderId="0" xfId="0" applyFont="1" applyAlignment="1">
      <alignment horizontal="left"/>
    </xf>
    <xf numFmtId="0" fontId="40" fillId="0" borderId="0" xfId="0" applyFont="1" applyAlignment="1">
      <alignment horizontal="right"/>
    </xf>
    <xf numFmtId="0" fontId="6" fillId="0" borderId="0" xfId="0" applyFont="1" applyAlignment="1">
      <alignment horizontal="left"/>
    </xf>
  </cellXfs>
  <cellStyles count="5">
    <cellStyle name="Comma" xfId="1" builtinId="3"/>
    <cellStyle name="Normal" xfId="0" builtinId="0"/>
    <cellStyle name="Normal 157" xfId="4" xr:uid="{847500BB-9A1F-44AB-9038-62239DCE4299}"/>
    <cellStyle name="Normal 2" xfId="3" xr:uid="{971EBB2C-5FBD-4A43-97F3-2D62CE3514CD}"/>
    <cellStyle name="Obično 2" xfId="2" xr:uid="{2FEF0A7E-EA9E-40F6-B5F9-C03B9F9B8D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A0B8-9DC1-4053-B33F-FAE5CCB6D0A4}">
  <dimension ref="A1:F193"/>
  <sheetViews>
    <sheetView view="pageBreakPreview" topLeftCell="A21" zoomScaleNormal="100" zoomScaleSheetLayoutView="100" workbookViewId="0">
      <selection activeCell="H14" sqref="H14"/>
    </sheetView>
  </sheetViews>
  <sheetFormatPr defaultColWidth="11" defaultRowHeight="12.75"/>
  <cols>
    <col min="1" max="1" width="39.125" style="3" customWidth="1"/>
    <col min="2" max="2" width="39.125" style="27" customWidth="1"/>
    <col min="3" max="16384" width="11" style="3"/>
  </cols>
  <sheetData>
    <row r="1" spans="1:4">
      <c r="A1" s="1"/>
      <c r="B1" s="2"/>
      <c r="C1" s="1"/>
      <c r="D1" s="1"/>
    </row>
    <row r="2" spans="1:4">
      <c r="A2" s="1"/>
      <c r="B2" s="2"/>
      <c r="C2" s="1"/>
      <c r="D2" s="1"/>
    </row>
    <row r="3" spans="1:4">
      <c r="A3" s="4" t="s">
        <v>0</v>
      </c>
      <c r="B3" s="5"/>
    </row>
    <row r="4" spans="1:4">
      <c r="A4" s="6" t="s">
        <v>1</v>
      </c>
      <c r="B4" s="5"/>
    </row>
    <row r="5" spans="1:4">
      <c r="A5" s="6" t="s">
        <v>2</v>
      </c>
      <c r="B5" s="5"/>
    </row>
    <row r="6" spans="1:4">
      <c r="A6" s="6" t="s">
        <v>3</v>
      </c>
      <c r="B6" s="5"/>
    </row>
    <row r="7" spans="1:4">
      <c r="A7" s="7"/>
      <c r="B7" s="5"/>
    </row>
    <row r="8" spans="1:4">
      <c r="A8" s="8" t="s">
        <v>4</v>
      </c>
      <c r="B8" s="9"/>
    </row>
    <row r="9" spans="1:4" ht="13.5" customHeight="1">
      <c r="A9" s="216" t="s">
        <v>5</v>
      </c>
      <c r="B9" s="216"/>
    </row>
    <row r="10" spans="1:4">
      <c r="A10" s="8"/>
      <c r="B10" s="9"/>
    </row>
    <row r="11" spans="1:4">
      <c r="A11" s="10" t="s">
        <v>6</v>
      </c>
      <c r="B11" s="9"/>
    </row>
    <row r="12" spans="1:4">
      <c r="A12" s="8" t="s">
        <v>7</v>
      </c>
      <c r="B12" s="9"/>
    </row>
    <row r="13" spans="1:4">
      <c r="A13" s="11" t="s">
        <v>8</v>
      </c>
      <c r="B13" s="9"/>
    </row>
    <row r="14" spans="1:4">
      <c r="A14" s="12" t="s">
        <v>9</v>
      </c>
      <c r="B14" s="9"/>
    </row>
    <row r="15" spans="1:4">
      <c r="A15" s="12"/>
      <c r="B15" s="9"/>
    </row>
    <row r="16" spans="1:4">
      <c r="A16" s="10" t="s">
        <v>10</v>
      </c>
      <c r="B16" s="13"/>
    </row>
    <row r="17" spans="1:2">
      <c r="A17" s="14" t="s">
        <v>11</v>
      </c>
      <c r="B17" s="13"/>
    </row>
    <row r="18" spans="1:2">
      <c r="A18" s="12" t="s">
        <v>12</v>
      </c>
      <c r="B18" s="15"/>
    </row>
    <row r="19" spans="1:2">
      <c r="A19" s="14" t="s">
        <v>13</v>
      </c>
      <c r="B19" s="16"/>
    </row>
    <row r="20" spans="1:2">
      <c r="A20" s="17"/>
      <c r="B20" s="18"/>
    </row>
    <row r="21" spans="1:2">
      <c r="A21" s="17"/>
      <c r="B21" s="18"/>
    </row>
    <row r="22" spans="1:2">
      <c r="A22" s="8" t="s">
        <v>14</v>
      </c>
      <c r="B22" s="19" t="s">
        <v>15</v>
      </c>
    </row>
    <row r="23" spans="1:2">
      <c r="A23" s="8"/>
      <c r="B23" s="19"/>
    </row>
    <row r="24" spans="1:2">
      <c r="A24" s="8" t="s">
        <v>16</v>
      </c>
      <c r="B24" s="19" t="s">
        <v>17</v>
      </c>
    </row>
    <row r="25" spans="1:2">
      <c r="A25" s="8"/>
      <c r="B25" s="19"/>
    </row>
    <row r="26" spans="1:2">
      <c r="A26" s="8" t="s">
        <v>18</v>
      </c>
      <c r="B26" s="19" t="s">
        <v>19</v>
      </c>
    </row>
    <row r="27" spans="1:2">
      <c r="A27" s="8"/>
      <c r="B27" s="19"/>
    </row>
    <row r="28" spans="1:2" ht="25.5">
      <c r="A28" s="8" t="s">
        <v>20</v>
      </c>
      <c r="B28" s="19" t="s">
        <v>21</v>
      </c>
    </row>
    <row r="29" spans="1:2">
      <c r="A29" s="8"/>
      <c r="B29" s="19"/>
    </row>
    <row r="30" spans="1:2">
      <c r="A30" s="7"/>
      <c r="B30" s="20"/>
    </row>
    <row r="31" spans="1:2">
      <c r="A31" s="7"/>
      <c r="B31" s="5"/>
    </row>
    <row r="32" spans="1:2">
      <c r="A32" s="7"/>
      <c r="B32" s="5"/>
    </row>
    <row r="33" spans="1:2">
      <c r="A33" s="7"/>
      <c r="B33" s="5"/>
    </row>
    <row r="34" spans="1:2" ht="119.25" customHeight="1">
      <c r="A34" s="21" t="s">
        <v>22</v>
      </c>
      <c r="B34" s="22" t="s">
        <v>23</v>
      </c>
    </row>
    <row r="35" spans="1:2">
      <c r="A35" s="7"/>
      <c r="B35" s="5"/>
    </row>
    <row r="36" spans="1:2" ht="15.75">
      <c r="A36" s="7"/>
      <c r="B36"/>
    </row>
    <row r="37" spans="1:2">
      <c r="A37" s="7"/>
      <c r="B37" s="5"/>
    </row>
    <row r="38" spans="1:2">
      <c r="A38" s="23" t="s">
        <v>24</v>
      </c>
      <c r="B38" s="16" t="s">
        <v>25</v>
      </c>
    </row>
    <row r="39" spans="1:2">
      <c r="A39" s="7"/>
      <c r="B39" s="5"/>
    </row>
    <row r="40" spans="1:2">
      <c r="A40" s="7"/>
      <c r="B40" s="5"/>
    </row>
    <row r="41" spans="1:2">
      <c r="A41" s="7"/>
      <c r="B41" s="5"/>
    </row>
    <row r="42" spans="1:2">
      <c r="A42" s="7"/>
      <c r="B42" s="5"/>
    </row>
    <row r="43" spans="1:2">
      <c r="B43" s="5"/>
    </row>
    <row r="44" spans="1:2">
      <c r="A44" s="7"/>
      <c r="B44" s="5"/>
    </row>
    <row r="45" spans="1:2">
      <c r="A45" s="7"/>
      <c r="B45" s="5"/>
    </row>
    <row r="46" spans="1:2">
      <c r="A46" s="7"/>
      <c r="B46" s="5"/>
    </row>
    <row r="47" spans="1:2">
      <c r="A47" s="7"/>
      <c r="B47" s="5"/>
    </row>
    <row r="48" spans="1:2">
      <c r="A48" s="24"/>
      <c r="B48" s="25"/>
    </row>
    <row r="49" spans="1:2">
      <c r="A49" s="7"/>
      <c r="B49" s="5"/>
    </row>
    <row r="58" spans="1:2">
      <c r="A58" s="24"/>
      <c r="B58" s="25"/>
    </row>
    <row r="68" spans="1:2">
      <c r="A68" s="24"/>
      <c r="B68" s="25"/>
    </row>
    <row r="89" ht="29.1" customHeight="1"/>
    <row r="158" ht="13.5" customHeight="1"/>
    <row r="189" spans="1:6">
      <c r="A189" s="26"/>
    </row>
    <row r="190" spans="1:6">
      <c r="A190" s="26"/>
    </row>
    <row r="191" spans="1:6" s="27" customFormat="1">
      <c r="A191" s="26"/>
      <c r="C191" s="3"/>
      <c r="D191" s="3"/>
      <c r="E191" s="3"/>
      <c r="F191" s="3"/>
    </row>
    <row r="192" spans="1:6" s="27" customFormat="1">
      <c r="A192" s="26"/>
      <c r="C192" s="3"/>
      <c r="D192" s="3"/>
      <c r="E192" s="3"/>
      <c r="F192" s="3"/>
    </row>
    <row r="193" spans="1:6" s="27" customFormat="1">
      <c r="A193" s="26"/>
      <c r="C193" s="3"/>
      <c r="D193" s="3"/>
      <c r="E193" s="3"/>
      <c r="F193" s="3"/>
    </row>
  </sheetData>
  <mergeCells count="1">
    <mergeCell ref="A9:B9"/>
  </mergeCells>
  <pageMargins left="0.70866141732283472" right="0.70866141732283472" top="0.86614173228346458" bottom="0.74803149606299213" header="0.31496062992125984" footer="0.31496062992125984"/>
  <pageSetup paperSize="9" orientation="portrait" r:id="rId1"/>
  <headerFooter>
    <oddHeader xml:space="preserve">&amp;L&amp;"Agrandir,Regular"&amp;8Naziv projekta: Projekt za cjelovitu obnovu zgrade / Građevina: Palača DHMZ
Investitor: Hrvatski povijesni muzej, Ulica Antuna G.Matoša 9, Zagreb, OIB: 86757663498
Zajednička oznaka projekta: CO_189-2022/2&amp;"-,Regular"&amp;12
</oddHeader>
    <oddFooter>&amp;L&amp;"Agrandir,Regular"&amp;8Zagreb, 02/2024&amp;C&amp;"Agrandir,Regular"&amp;8&amp;A&amp;R&amp;"Agrandir,Regular"&amp;8&amp;P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6573-4290-4BD8-8C0D-73769269BACE}">
  <dimension ref="A2:H195"/>
  <sheetViews>
    <sheetView view="pageBreakPreview" topLeftCell="A7" zoomScale="106" zoomScaleNormal="100" zoomScaleSheetLayoutView="106" workbookViewId="0">
      <selection activeCell="H14" sqref="H14"/>
    </sheetView>
  </sheetViews>
  <sheetFormatPr defaultColWidth="11" defaultRowHeight="12.75"/>
  <cols>
    <col min="1" max="1" width="8.125" style="34" bestFit="1" customWidth="1"/>
    <col min="2" max="2" width="55.375" style="32" customWidth="1"/>
    <col min="3" max="3" width="11" style="32"/>
    <col min="4" max="4" width="11" style="52"/>
    <col min="5" max="16384" width="11" style="32"/>
  </cols>
  <sheetData>
    <row r="2" spans="1:6">
      <c r="A2" s="28"/>
      <c r="B2" s="29" t="s">
        <v>26</v>
      </c>
      <c r="C2" s="30"/>
      <c r="D2" s="31"/>
      <c r="E2" s="30"/>
      <c r="F2" s="30"/>
    </row>
    <row r="3" spans="1:6" ht="76.5">
      <c r="A3" s="28"/>
      <c r="B3" s="33" t="s">
        <v>27</v>
      </c>
      <c r="C3" s="30"/>
      <c r="D3" s="31"/>
      <c r="E3" s="30"/>
      <c r="F3" s="30"/>
    </row>
    <row r="4" spans="1:6" ht="63.75">
      <c r="B4" s="35" t="s">
        <v>28</v>
      </c>
      <c r="C4" s="36"/>
      <c r="D4" s="37"/>
    </row>
    <row r="5" spans="1:6" ht="25.5">
      <c r="B5" s="35" t="s">
        <v>29</v>
      </c>
      <c r="C5" s="36"/>
      <c r="D5" s="37"/>
    </row>
    <row r="6" spans="1:6" ht="25.5">
      <c r="B6" s="35" t="s">
        <v>30</v>
      </c>
      <c r="C6" s="36"/>
      <c r="D6" s="37"/>
    </row>
    <row r="7" spans="1:6" ht="38.25">
      <c r="B7" s="38" t="s">
        <v>31</v>
      </c>
      <c r="C7" s="36"/>
      <c r="D7" s="37"/>
    </row>
    <row r="8" spans="1:6" ht="63.75">
      <c r="B8" s="35" t="s">
        <v>32</v>
      </c>
      <c r="C8" s="36"/>
      <c r="D8" s="37"/>
    </row>
    <row r="9" spans="1:6" ht="63.75">
      <c r="B9" s="35" t="s">
        <v>33</v>
      </c>
      <c r="C9" s="36"/>
      <c r="D9" s="37"/>
    </row>
    <row r="10" spans="1:6" ht="38.25">
      <c r="B10" s="35" t="s">
        <v>34</v>
      </c>
      <c r="C10" s="36"/>
      <c r="D10" s="37"/>
    </row>
    <row r="11" spans="1:6" ht="89.25">
      <c r="B11" s="35" t="s">
        <v>35</v>
      </c>
      <c r="C11" s="36"/>
      <c r="D11" s="37"/>
    </row>
    <row r="12" spans="1:6" ht="63.75">
      <c r="B12" s="39" t="s">
        <v>36</v>
      </c>
      <c r="C12" s="36"/>
      <c r="D12" s="37"/>
    </row>
    <row r="13" spans="1:6" ht="25.5">
      <c r="B13" s="35" t="s">
        <v>37</v>
      </c>
      <c r="C13" s="36"/>
      <c r="D13" s="37"/>
    </row>
    <row r="14" spans="1:6" ht="25.5">
      <c r="B14" s="40" t="s">
        <v>38</v>
      </c>
      <c r="C14" s="41" t="s">
        <v>39</v>
      </c>
      <c r="D14" s="37"/>
    </row>
    <row r="15" spans="1:6" ht="51">
      <c r="B15" s="35" t="s">
        <v>40</v>
      </c>
      <c r="C15" s="36"/>
      <c r="D15" s="37"/>
    </row>
    <row r="16" spans="1:6">
      <c r="B16" s="42"/>
      <c r="C16" s="36"/>
      <c r="D16" s="37"/>
    </row>
    <row r="17" spans="2:4">
      <c r="B17" s="42"/>
      <c r="C17" s="43"/>
      <c r="D17" s="44"/>
    </row>
    <row r="18" spans="2:4">
      <c r="B18" s="42"/>
      <c r="C18" s="43"/>
      <c r="D18" s="44"/>
    </row>
    <row r="19" spans="2:4">
      <c r="B19" s="45"/>
      <c r="C19" s="46"/>
      <c r="D19" s="47"/>
    </row>
    <row r="20" spans="2:4">
      <c r="B20" s="42"/>
      <c r="C20" s="43"/>
      <c r="D20" s="48"/>
    </row>
    <row r="21" spans="2:4">
      <c r="B21" s="42"/>
      <c r="C21" s="43"/>
      <c r="D21" s="48"/>
    </row>
    <row r="22" spans="2:4">
      <c r="B22" s="42"/>
      <c r="C22" s="43"/>
      <c r="D22" s="48"/>
    </row>
    <row r="23" spans="2:4">
      <c r="B23" s="42"/>
      <c r="C23" s="36"/>
      <c r="D23" s="37"/>
    </row>
    <row r="24" spans="2:4">
      <c r="B24" s="45"/>
      <c r="C24" s="36"/>
      <c r="D24" s="37"/>
    </row>
    <row r="25" spans="2:4">
      <c r="B25" s="42"/>
      <c r="C25" s="36"/>
      <c r="D25" s="37"/>
    </row>
    <row r="26" spans="2:4">
      <c r="C26" s="36"/>
      <c r="D26" s="37"/>
    </row>
    <row r="27" spans="2:4">
      <c r="B27" s="42"/>
      <c r="C27" s="36"/>
      <c r="D27" s="37"/>
    </row>
    <row r="28" spans="2:4">
      <c r="B28" s="42"/>
      <c r="C28" s="36"/>
      <c r="D28" s="37"/>
    </row>
    <row r="29" spans="2:4">
      <c r="B29" s="42"/>
      <c r="C29" s="36"/>
      <c r="D29" s="37"/>
    </row>
    <row r="30" spans="2:4">
      <c r="B30" s="42"/>
      <c r="C30" s="36"/>
      <c r="D30" s="37"/>
    </row>
    <row r="31" spans="2:4">
      <c r="B31" s="42"/>
      <c r="C31" s="36"/>
      <c r="D31" s="37"/>
    </row>
    <row r="32" spans="2:4">
      <c r="B32" s="42"/>
      <c r="C32" s="36"/>
      <c r="D32" s="37"/>
    </row>
    <row r="33" spans="2:4">
      <c r="B33" s="42"/>
      <c r="C33" s="36"/>
      <c r="D33" s="37"/>
    </row>
    <row r="34" spans="2:4">
      <c r="B34" s="42"/>
      <c r="C34" s="36"/>
      <c r="D34" s="37"/>
    </row>
    <row r="35" spans="2:4">
      <c r="B35" s="42"/>
      <c r="C35" s="36"/>
      <c r="D35" s="37"/>
    </row>
    <row r="36" spans="2:4">
      <c r="B36" s="42"/>
      <c r="C36" s="30"/>
      <c r="D36" s="48"/>
    </row>
    <row r="37" spans="2:4">
      <c r="B37" s="42"/>
      <c r="C37" s="36"/>
      <c r="D37" s="37"/>
    </row>
    <row r="38" spans="2:4">
      <c r="B38" s="45"/>
      <c r="C38" s="36"/>
      <c r="D38" s="37"/>
    </row>
    <row r="39" spans="2:4">
      <c r="B39" s="42"/>
      <c r="C39" s="36"/>
      <c r="D39" s="37"/>
    </row>
    <row r="40" spans="2:4">
      <c r="B40" s="42"/>
      <c r="C40" s="36"/>
      <c r="D40" s="37"/>
    </row>
    <row r="41" spans="2:4">
      <c r="C41" s="36"/>
      <c r="D41" s="37"/>
    </row>
    <row r="42" spans="2:4">
      <c r="B42" s="42"/>
      <c r="C42" s="36"/>
      <c r="D42" s="37"/>
    </row>
    <row r="43" spans="2:4">
      <c r="B43" s="42"/>
      <c r="C43" s="36"/>
      <c r="D43" s="37"/>
    </row>
    <row r="44" spans="2:4">
      <c r="B44" s="42"/>
      <c r="C44" s="36"/>
      <c r="D44" s="37"/>
    </row>
    <row r="45" spans="2:4">
      <c r="B45" s="42"/>
      <c r="D45" s="37"/>
    </row>
    <row r="46" spans="2:4">
      <c r="B46" s="42"/>
      <c r="C46" s="36"/>
      <c r="D46" s="37"/>
    </row>
    <row r="47" spans="2:4">
      <c r="B47" s="42"/>
      <c r="C47" s="36"/>
      <c r="D47" s="37"/>
    </row>
    <row r="48" spans="2:4">
      <c r="B48" s="42"/>
      <c r="C48" s="36"/>
      <c r="D48" s="37"/>
    </row>
    <row r="49" spans="2:4">
      <c r="B49" s="42"/>
      <c r="C49" s="36"/>
      <c r="D49" s="37"/>
    </row>
    <row r="50" spans="2:4">
      <c r="B50" s="42"/>
      <c r="C50" s="49"/>
      <c r="D50" s="50"/>
    </row>
    <row r="51" spans="2:4">
      <c r="B51" s="42"/>
      <c r="C51" s="36"/>
      <c r="D51" s="37"/>
    </row>
    <row r="52" spans="2:4">
      <c r="B52" s="51"/>
    </row>
    <row r="53" spans="2:4">
      <c r="B53" s="53"/>
    </row>
    <row r="54" spans="2:4">
      <c r="B54" s="53"/>
    </row>
    <row r="56" spans="2:4">
      <c r="B56" s="53"/>
    </row>
    <row r="57" spans="2:4">
      <c r="B57" s="53"/>
    </row>
    <row r="58" spans="2:4">
      <c r="B58" s="54"/>
    </row>
    <row r="59" spans="2:4">
      <c r="B59" s="53"/>
    </row>
    <row r="60" spans="2:4">
      <c r="B60" s="53"/>
      <c r="C60" s="49"/>
      <c r="D60" s="50"/>
    </row>
    <row r="61" spans="2:4">
      <c r="B61" s="53"/>
    </row>
    <row r="62" spans="2:4">
      <c r="B62" s="55"/>
    </row>
    <row r="63" spans="2:4">
      <c r="B63" s="53"/>
    </row>
    <row r="64" spans="2:4">
      <c r="B64" s="53"/>
    </row>
    <row r="65" spans="2:4">
      <c r="B65" s="53"/>
    </row>
    <row r="66" spans="2:4">
      <c r="B66" s="53"/>
    </row>
    <row r="67" spans="2:4">
      <c r="B67" s="53"/>
    </row>
    <row r="68" spans="2:4">
      <c r="B68" s="54"/>
    </row>
    <row r="69" spans="2:4">
      <c r="B69" s="53"/>
    </row>
    <row r="70" spans="2:4">
      <c r="B70" s="53"/>
      <c r="C70" s="49"/>
      <c r="D70" s="50"/>
    </row>
    <row r="71" spans="2:4">
      <c r="B71" s="53"/>
    </row>
    <row r="72" spans="2:4">
      <c r="B72" s="56"/>
    </row>
    <row r="73" spans="2:4">
      <c r="B73" s="53"/>
    </row>
    <row r="74" spans="2:4">
      <c r="B74" s="53"/>
    </row>
    <row r="75" spans="2:4">
      <c r="B75" s="53"/>
    </row>
    <row r="76" spans="2:4">
      <c r="B76" s="53"/>
    </row>
    <row r="77" spans="2:4">
      <c r="B77" s="53"/>
    </row>
    <row r="78" spans="2:4">
      <c r="B78" s="53"/>
    </row>
    <row r="79" spans="2:4">
      <c r="B79" s="53"/>
    </row>
    <row r="80" spans="2:4">
      <c r="B80" s="53"/>
    </row>
    <row r="81" spans="2:2">
      <c r="B81" s="55"/>
    </row>
    <row r="82" spans="2:2">
      <c r="B82" s="53"/>
    </row>
    <row r="83" spans="2:2">
      <c r="B83" s="53"/>
    </row>
    <row r="84" spans="2:2">
      <c r="B84" s="53"/>
    </row>
    <row r="85" spans="2:2">
      <c r="B85" s="53"/>
    </row>
    <row r="86" spans="2:2">
      <c r="B86" s="54"/>
    </row>
    <row r="87" spans="2:2">
      <c r="B87" s="53"/>
    </row>
    <row r="88" spans="2:2">
      <c r="B88" s="53"/>
    </row>
    <row r="89" spans="2:2">
      <c r="B89" s="53"/>
    </row>
    <row r="90" spans="2:2">
      <c r="B90" s="51"/>
    </row>
    <row r="91" spans="2:2" ht="29.1" customHeight="1">
      <c r="B91" s="54"/>
    </row>
    <row r="92" spans="2:2">
      <c r="B92" s="54"/>
    </row>
    <row r="94" spans="2:2">
      <c r="B94" s="53"/>
    </row>
    <row r="95" spans="2:2">
      <c r="B95" s="54"/>
    </row>
    <row r="96" spans="2:2">
      <c r="B96" s="53"/>
    </row>
    <row r="97" spans="2:2">
      <c r="B97" s="53"/>
    </row>
    <row r="98" spans="2:2">
      <c r="B98" s="54"/>
    </row>
    <row r="100" spans="2:2">
      <c r="B100" s="55"/>
    </row>
    <row r="101" spans="2:2">
      <c r="B101" s="53"/>
    </row>
    <row r="102" spans="2:2">
      <c r="B102" s="53"/>
    </row>
    <row r="104" spans="2:2">
      <c r="B104" s="53"/>
    </row>
    <row r="105" spans="2:2">
      <c r="B105" s="53"/>
    </row>
    <row r="106" spans="2:2">
      <c r="B106" s="54"/>
    </row>
    <row r="107" spans="2:2">
      <c r="B107" s="53"/>
    </row>
    <row r="108" spans="2:2">
      <c r="B108" s="53"/>
    </row>
    <row r="109" spans="2:2">
      <c r="B109" s="53"/>
    </row>
    <row r="110" spans="2:2">
      <c r="B110" s="55"/>
    </row>
    <row r="111" spans="2:2">
      <c r="B111" s="53"/>
    </row>
    <row r="112" spans="2:2">
      <c r="B112" s="53"/>
    </row>
    <row r="114" spans="2:2">
      <c r="B114" s="53"/>
    </row>
    <row r="115" spans="2:2">
      <c r="B115" s="54"/>
    </row>
    <row r="116" spans="2:2">
      <c r="B116" s="53"/>
    </row>
    <row r="117" spans="2:2">
      <c r="B117" s="53"/>
    </row>
    <row r="119" spans="2:2">
      <c r="B119" s="55"/>
    </row>
    <row r="120" spans="2:2">
      <c r="B120" s="53"/>
    </row>
    <row r="121" spans="2:2">
      <c r="B121" s="53"/>
    </row>
    <row r="122" spans="2:2">
      <c r="B122" s="53"/>
    </row>
    <row r="123" spans="2:2">
      <c r="B123" s="53"/>
    </row>
    <row r="124" spans="2:2">
      <c r="B124" s="54"/>
    </row>
    <row r="125" spans="2:2">
      <c r="B125" s="53"/>
    </row>
    <row r="126" spans="2:2">
      <c r="B126" s="53"/>
    </row>
    <row r="128" spans="2:2">
      <c r="B128" s="55"/>
    </row>
    <row r="129" spans="2:2">
      <c r="B129" s="53"/>
    </row>
    <row r="130" spans="2:2">
      <c r="B130" s="53"/>
    </row>
    <row r="132" spans="2:2">
      <c r="B132" s="53"/>
    </row>
    <row r="133" spans="2:2">
      <c r="B133" s="53"/>
    </row>
    <row r="134" spans="2:2">
      <c r="B134" s="54"/>
    </row>
    <row r="135" spans="2:2">
      <c r="B135" s="53"/>
    </row>
    <row r="136" spans="2:2">
      <c r="B136" s="53"/>
    </row>
    <row r="138" spans="2:2">
      <c r="B138" s="55"/>
    </row>
    <row r="139" spans="2:2">
      <c r="B139" s="53"/>
    </row>
    <row r="140" spans="2:2">
      <c r="B140" s="53"/>
    </row>
    <row r="141" spans="2:2">
      <c r="B141" s="53"/>
    </row>
    <row r="142" spans="2:2">
      <c r="B142" s="54"/>
    </row>
    <row r="143" spans="2:2">
      <c r="B143" s="53"/>
    </row>
    <row r="144" spans="2:2">
      <c r="B144" s="53"/>
    </row>
    <row r="146" spans="2:2">
      <c r="B146" s="55"/>
    </row>
    <row r="147" spans="2:2">
      <c r="B147" s="53"/>
    </row>
    <row r="148" spans="2:2">
      <c r="B148" s="53"/>
    </row>
    <row r="149" spans="2:2">
      <c r="B149" s="53"/>
    </row>
    <row r="150" spans="2:2">
      <c r="B150" s="54"/>
    </row>
    <row r="151" spans="2:2">
      <c r="B151" s="53"/>
    </row>
    <row r="152" spans="2:2">
      <c r="B152" s="53"/>
    </row>
    <row r="154" spans="2:2">
      <c r="B154" s="55"/>
    </row>
    <row r="155" spans="2:2">
      <c r="B155" s="53"/>
    </row>
    <row r="156" spans="2:2">
      <c r="B156" s="53"/>
    </row>
    <row r="157" spans="2:2">
      <c r="B157" s="57"/>
    </row>
    <row r="158" spans="2:2">
      <c r="B158" s="53"/>
    </row>
    <row r="159" spans="2:2">
      <c r="B159" s="55"/>
    </row>
    <row r="160" spans="2:2" ht="13.5" customHeight="1">
      <c r="B160" s="55"/>
    </row>
    <row r="161" spans="2:2">
      <c r="B161" s="53"/>
    </row>
    <row r="162" spans="2:2">
      <c r="B162" s="57"/>
    </row>
    <row r="163" spans="2:2">
      <c r="B163" s="53"/>
    </row>
    <row r="164" spans="2:2">
      <c r="B164" s="53"/>
    </row>
    <row r="165" spans="2:2">
      <c r="B165" s="55"/>
    </row>
    <row r="166" spans="2:2">
      <c r="B166" s="53"/>
    </row>
    <row r="167" spans="2:2">
      <c r="B167" s="53"/>
    </row>
    <row r="168" spans="2:2">
      <c r="B168" s="53"/>
    </row>
    <row r="169" spans="2:2">
      <c r="B169" s="55"/>
    </row>
    <row r="170" spans="2:2">
      <c r="B170" s="53"/>
    </row>
    <row r="171" spans="2:2">
      <c r="B171" s="53"/>
    </row>
    <row r="172" spans="2:2">
      <c r="B172" s="53"/>
    </row>
    <row r="173" spans="2:2">
      <c r="B173" s="53"/>
    </row>
    <row r="174" spans="2:2">
      <c r="B174" s="53"/>
    </row>
    <row r="175" spans="2:2">
      <c r="B175" s="53"/>
    </row>
    <row r="176" spans="2:2">
      <c r="B176" s="53"/>
    </row>
    <row r="177" spans="2:3">
      <c r="B177" s="53"/>
    </row>
    <row r="178" spans="2:3">
      <c r="B178" s="53"/>
    </row>
    <row r="180" spans="2:3">
      <c r="B180" s="55"/>
    </row>
    <row r="181" spans="2:3">
      <c r="B181" s="53"/>
    </row>
    <row r="182" spans="2:3">
      <c r="B182" s="53"/>
    </row>
    <row r="183" spans="2:3">
      <c r="B183" s="53"/>
    </row>
    <row r="184" spans="2:3">
      <c r="B184" s="53"/>
    </row>
    <row r="185" spans="2:3">
      <c r="B185" s="54"/>
    </row>
    <row r="186" spans="2:3">
      <c r="B186" s="53"/>
    </row>
    <row r="187" spans="2:3">
      <c r="B187" s="53"/>
    </row>
    <row r="189" spans="2:3">
      <c r="B189" s="53"/>
    </row>
    <row r="191" spans="2:3">
      <c r="B191" s="58"/>
      <c r="C191" s="59"/>
    </row>
    <row r="192" spans="2:3">
      <c r="B192" s="58"/>
      <c r="C192" s="59"/>
    </row>
    <row r="193" spans="1:8" s="52" customFormat="1">
      <c r="A193" s="34"/>
      <c r="B193" s="58"/>
      <c r="C193" s="59"/>
      <c r="E193" s="32"/>
      <c r="F193" s="32"/>
      <c r="G193" s="32"/>
      <c r="H193" s="32"/>
    </row>
    <row r="194" spans="1:8" s="52" customFormat="1">
      <c r="A194" s="34"/>
      <c r="B194" s="58"/>
      <c r="C194" s="59"/>
      <c r="E194" s="32"/>
      <c r="F194" s="32"/>
      <c r="G194" s="32"/>
      <c r="H194" s="32"/>
    </row>
    <row r="195" spans="1:8" s="52" customFormat="1">
      <c r="A195" s="34"/>
      <c r="B195" s="58"/>
      <c r="C195" s="59"/>
      <c r="E195" s="32"/>
      <c r="F195" s="32"/>
      <c r="G195" s="32"/>
      <c r="H195" s="32"/>
    </row>
  </sheetData>
  <pageMargins left="0.70866141732283472" right="0.70866141732283472" top="0.86614173228346458" bottom="0.74803149606299213" header="0.31496062992125984" footer="0.31496062992125984"/>
  <pageSetup paperSize="9" orientation="portrait" r:id="rId1"/>
  <headerFooter>
    <oddHeader xml:space="preserve">&amp;L&amp;"Agrandir,Regular"&amp;8Naziv projekta: Projekt za cjelovitu obnovu zgrade / Građevina: Palača DHMZ
Investitor: Hrvatski povijesni muzej, Ulica Antuna G.Matoša 9, Zagreb, OIB: 86757663498
Zajednička oznaka projekta: CO_189-2022/2&amp;"-,Regular"&amp;12
</oddHeader>
    <oddFooter>&amp;L&amp;"Agrandir,Regular"&amp;8Zagreb, 05/2024&amp;C&amp;"Agrandir,Regular"&amp;8&amp;A&amp;R&amp;"Agrandir,Regular"&amp;8&amp;P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8F7C-FC9F-417F-BC97-25770D77995D}">
  <dimension ref="A1:F332"/>
  <sheetViews>
    <sheetView tabSelected="1" view="pageBreakPreview" topLeftCell="A310" zoomScaleNormal="100" zoomScaleSheetLayoutView="100" workbookViewId="0">
      <selection activeCell="B320" sqref="B320"/>
    </sheetView>
  </sheetViews>
  <sheetFormatPr defaultColWidth="10.875" defaultRowHeight="12.75"/>
  <cols>
    <col min="1" max="1" width="7.375" style="72" bestFit="1" customWidth="1"/>
    <col min="2" max="2" width="36.5" style="75" customWidth="1"/>
    <col min="3" max="3" width="8.125" style="46" customWidth="1"/>
    <col min="4" max="4" width="9.125" style="65" customWidth="1"/>
    <col min="5" max="5" width="8.375" style="71" bestFit="1" customWidth="1"/>
    <col min="6" max="6" width="12.5" style="65" customWidth="1"/>
    <col min="7" max="16384" width="10.875" style="65"/>
  </cols>
  <sheetData>
    <row r="1" spans="1:6" ht="25.5">
      <c r="A1" s="60" t="s">
        <v>41</v>
      </c>
      <c r="B1" s="61" t="s">
        <v>42</v>
      </c>
      <c r="C1" s="62" t="s">
        <v>43</v>
      </c>
      <c r="D1" s="63" t="s">
        <v>44</v>
      </c>
      <c r="E1" s="64" t="s">
        <v>45</v>
      </c>
      <c r="F1" s="63" t="s">
        <v>46</v>
      </c>
    </row>
    <row r="2" spans="1:6">
      <c r="A2" s="66"/>
      <c r="B2" s="67"/>
      <c r="C2" s="66"/>
      <c r="D2" s="67"/>
      <c r="E2" s="68"/>
      <c r="F2" s="67"/>
    </row>
    <row r="3" spans="1:6">
      <c r="A3" s="69" t="s">
        <v>47</v>
      </c>
      <c r="B3" s="70" t="s">
        <v>48</v>
      </c>
    </row>
    <row r="5" spans="1:6">
      <c r="B5" s="73" t="s">
        <v>26</v>
      </c>
    </row>
    <row r="6" spans="1:6" ht="25.5">
      <c r="B6" s="74" t="s">
        <v>49</v>
      </c>
    </row>
    <row r="7" spans="1:6" ht="181.5" customHeight="1">
      <c r="B7" s="35" t="s">
        <v>50</v>
      </c>
    </row>
    <row r="8" spans="1:6" ht="108" customHeight="1">
      <c r="B8" s="35" t="s">
        <v>51</v>
      </c>
    </row>
    <row r="9" spans="1:6" ht="188.25" customHeight="1">
      <c r="B9" s="39" t="s">
        <v>52</v>
      </c>
    </row>
    <row r="10" spans="1:6" ht="77.25" customHeight="1">
      <c r="B10" s="35" t="s">
        <v>53</v>
      </c>
    </row>
    <row r="11" spans="1:6" ht="157.5" customHeight="1">
      <c r="B11" s="35" t="s">
        <v>54</v>
      </c>
    </row>
    <row r="12" spans="1:6" ht="202.5" customHeight="1">
      <c r="B12" s="35" t="s">
        <v>55</v>
      </c>
    </row>
    <row r="13" spans="1:6" ht="13.5" customHeight="1"/>
    <row r="14" spans="1:6" ht="38.25" hidden="1">
      <c r="A14" s="72">
        <v>1</v>
      </c>
      <c r="B14" s="76" t="s">
        <v>56</v>
      </c>
      <c r="D14" s="77"/>
      <c r="E14" s="78"/>
      <c r="F14" s="77"/>
    </row>
    <row r="15" spans="1:6" ht="78" hidden="1" customHeight="1">
      <c r="B15" s="39" t="s">
        <v>57</v>
      </c>
      <c r="C15" s="79"/>
      <c r="D15" s="80"/>
      <c r="E15" s="81"/>
      <c r="F15" s="77"/>
    </row>
    <row r="16" spans="1:6" ht="38.25" hidden="1">
      <c r="B16" s="82" t="s">
        <v>58</v>
      </c>
      <c r="C16" s="79"/>
      <c r="D16" s="80"/>
      <c r="E16" s="81"/>
      <c r="F16" s="77"/>
    </row>
    <row r="17" spans="1:6" hidden="1">
      <c r="B17" s="84" t="s">
        <v>59</v>
      </c>
      <c r="C17" s="79" t="s">
        <v>60</v>
      </c>
      <c r="D17" s="85">
        <v>180</v>
      </c>
      <c r="E17" s="86"/>
      <c r="F17" s="87">
        <f t="shared" ref="F17:F22" si="0">ROUND(D17*E17,2)</f>
        <v>0</v>
      </c>
    </row>
    <row r="18" spans="1:6" hidden="1">
      <c r="A18" s="32"/>
      <c r="B18" s="84" t="s">
        <v>61</v>
      </c>
      <c r="C18" s="79" t="s">
        <v>60</v>
      </c>
      <c r="D18" s="85">
        <v>120</v>
      </c>
      <c r="E18" s="86"/>
      <c r="F18" s="87">
        <f t="shared" si="0"/>
        <v>0</v>
      </c>
    </row>
    <row r="19" spans="1:6" hidden="1">
      <c r="A19" s="32"/>
      <c r="B19" s="32" t="s">
        <v>62</v>
      </c>
      <c r="C19" s="79" t="s">
        <v>63</v>
      </c>
      <c r="D19" s="85">
        <v>10</v>
      </c>
      <c r="E19" s="86"/>
      <c r="F19" s="87">
        <f t="shared" si="0"/>
        <v>0</v>
      </c>
    </row>
    <row r="20" spans="1:6" hidden="1">
      <c r="A20" s="32"/>
      <c r="B20" s="32" t="s">
        <v>64</v>
      </c>
      <c r="C20" s="79" t="s">
        <v>65</v>
      </c>
      <c r="D20" s="85">
        <v>1</v>
      </c>
      <c r="E20" s="86"/>
      <c r="F20" s="87">
        <f t="shared" si="0"/>
        <v>0</v>
      </c>
    </row>
    <row r="21" spans="1:6" hidden="1">
      <c r="A21" s="32"/>
      <c r="B21" s="84" t="s">
        <v>66</v>
      </c>
      <c r="C21" s="79" t="s">
        <v>60</v>
      </c>
      <c r="D21" s="85">
        <f>D17</f>
        <v>180</v>
      </c>
      <c r="E21" s="86"/>
      <c r="F21" s="87">
        <f t="shared" si="0"/>
        <v>0</v>
      </c>
    </row>
    <row r="22" spans="1:6" hidden="1">
      <c r="B22" s="84" t="s">
        <v>67</v>
      </c>
      <c r="C22" s="79" t="s">
        <v>60</v>
      </c>
      <c r="D22" s="85">
        <f>D18</f>
        <v>120</v>
      </c>
      <c r="E22" s="86"/>
      <c r="F22" s="87">
        <f t="shared" si="0"/>
        <v>0</v>
      </c>
    </row>
    <row r="23" spans="1:6" hidden="1">
      <c r="B23" s="54"/>
      <c r="D23" s="77"/>
      <c r="E23" s="78"/>
      <c r="F23" s="77"/>
    </row>
    <row r="24" spans="1:6" ht="38.25" hidden="1">
      <c r="A24" s="72">
        <f>MAX(A5:A23)+1</f>
        <v>2</v>
      </c>
      <c r="B24" s="76" t="s">
        <v>68</v>
      </c>
      <c r="D24" s="77"/>
      <c r="E24" s="78"/>
      <c r="F24" s="77"/>
    </row>
    <row r="25" spans="1:6" ht="89.25" hidden="1">
      <c r="B25" s="88" t="s">
        <v>69</v>
      </c>
      <c r="D25" s="77"/>
      <c r="E25" s="78"/>
      <c r="F25" s="77"/>
    </row>
    <row r="26" spans="1:6" hidden="1">
      <c r="B26" s="84" t="s">
        <v>59</v>
      </c>
      <c r="C26" s="79" t="s">
        <v>60</v>
      </c>
      <c r="D26" s="85">
        <v>70</v>
      </c>
      <c r="E26" s="86"/>
      <c r="F26" s="87">
        <f>ROUND(D26*E26,2)</f>
        <v>0</v>
      </c>
    </row>
    <row r="27" spans="1:6" hidden="1">
      <c r="B27" s="84" t="s">
        <v>61</v>
      </c>
      <c r="C27" s="79" t="s">
        <v>60</v>
      </c>
      <c r="D27" s="85">
        <v>30</v>
      </c>
      <c r="E27" s="86"/>
      <c r="F27" s="87">
        <f>ROUND(D27*E27,2)</f>
        <v>0</v>
      </c>
    </row>
    <row r="28" spans="1:6" hidden="1">
      <c r="B28" s="84" t="s">
        <v>66</v>
      </c>
      <c r="C28" s="79" t="s">
        <v>60</v>
      </c>
      <c r="D28" s="85">
        <f>D26</f>
        <v>70</v>
      </c>
      <c r="E28" s="86"/>
      <c r="F28" s="87">
        <f>ROUND(D28*E28,2)</f>
        <v>0</v>
      </c>
    </row>
    <row r="29" spans="1:6" hidden="1">
      <c r="B29" s="84" t="s">
        <v>67</v>
      </c>
      <c r="C29" s="79" t="s">
        <v>60</v>
      </c>
      <c r="D29" s="85">
        <f>D27</f>
        <v>30</v>
      </c>
      <c r="E29" s="86"/>
      <c r="F29" s="87">
        <f>ROUND(D29*E29,2)</f>
        <v>0</v>
      </c>
    </row>
    <row r="30" spans="1:6">
      <c r="B30" s="54"/>
      <c r="D30" s="77"/>
      <c r="E30" s="78"/>
      <c r="F30" s="77"/>
    </row>
    <row r="31" spans="1:6" ht="25.5">
      <c r="A31" s="72">
        <f>MAX(A12:A30)+1</f>
        <v>3</v>
      </c>
      <c r="B31" s="89" t="s">
        <v>70</v>
      </c>
      <c r="D31" s="77"/>
      <c r="E31" s="78"/>
      <c r="F31" s="77"/>
    </row>
    <row r="32" spans="1:6" ht="25.5">
      <c r="B32" s="35" t="s">
        <v>71</v>
      </c>
      <c r="D32" s="77"/>
      <c r="E32" s="78"/>
      <c r="F32" s="77"/>
    </row>
    <row r="33" spans="1:6" ht="38.25">
      <c r="B33" s="90" t="s">
        <v>72</v>
      </c>
      <c r="D33" s="77"/>
      <c r="E33" s="78"/>
      <c r="F33" s="77"/>
    </row>
    <row r="34" spans="1:6" ht="25.5">
      <c r="B34" s="35" t="s">
        <v>73</v>
      </c>
      <c r="D34" s="77"/>
      <c r="E34" s="78"/>
      <c r="F34" s="77"/>
    </row>
    <row r="35" spans="1:6" ht="38.25">
      <c r="B35" s="35" t="s">
        <v>74</v>
      </c>
      <c r="D35" s="77"/>
      <c r="E35" s="78"/>
      <c r="F35" s="77"/>
    </row>
    <row r="36" spans="1:6" ht="38.25">
      <c r="B36" s="35" t="s">
        <v>75</v>
      </c>
      <c r="D36" s="77"/>
      <c r="E36" s="78"/>
      <c r="F36" s="77"/>
    </row>
    <row r="37" spans="1:6">
      <c r="B37" s="35" t="s">
        <v>76</v>
      </c>
      <c r="C37" s="46" t="s">
        <v>63</v>
      </c>
      <c r="D37" s="85">
        <v>100</v>
      </c>
      <c r="E37" s="86"/>
      <c r="F37" s="87">
        <f>ROUND(D37*E37,2)</f>
        <v>0</v>
      </c>
    </row>
    <row r="38" spans="1:6">
      <c r="B38" s="116"/>
      <c r="D38" s="77"/>
      <c r="E38" s="78"/>
      <c r="F38" s="77"/>
    </row>
    <row r="39" spans="1:6" ht="38.25">
      <c r="A39" s="72">
        <f>MAX(A23:A38)+1</f>
        <v>4</v>
      </c>
      <c r="B39" s="35" t="s">
        <v>77</v>
      </c>
      <c r="C39" s="91"/>
      <c r="D39" s="77"/>
      <c r="E39" s="78"/>
      <c r="F39" s="77"/>
    </row>
    <row r="40" spans="1:6" ht="25.5">
      <c r="B40" s="39" t="s">
        <v>78</v>
      </c>
      <c r="C40" s="91"/>
      <c r="D40" s="77"/>
      <c r="E40" s="78"/>
      <c r="F40" s="77"/>
    </row>
    <row r="41" spans="1:6" ht="38.25">
      <c r="B41" s="90" t="s">
        <v>72</v>
      </c>
      <c r="C41" s="91"/>
      <c r="D41" s="77"/>
      <c r="E41" s="78"/>
      <c r="F41" s="77"/>
    </row>
    <row r="42" spans="1:6" ht="25.5">
      <c r="A42" s="92"/>
      <c r="B42" s="35" t="s">
        <v>73</v>
      </c>
      <c r="C42" s="91"/>
      <c r="D42" s="77"/>
      <c r="E42" s="78"/>
      <c r="F42" s="77"/>
    </row>
    <row r="43" spans="1:6" ht="38.25">
      <c r="A43" s="92"/>
      <c r="B43" s="35" t="s">
        <v>74</v>
      </c>
      <c r="C43" s="91"/>
      <c r="D43" s="77"/>
      <c r="E43" s="78"/>
      <c r="F43" s="77"/>
    </row>
    <row r="44" spans="1:6" ht="38.25">
      <c r="A44" s="92"/>
      <c r="B44" s="35" t="s">
        <v>75</v>
      </c>
      <c r="C44" s="91"/>
      <c r="D44" s="77"/>
      <c r="E44" s="78"/>
      <c r="F44" s="77"/>
    </row>
    <row r="45" spans="1:6">
      <c r="A45" s="92"/>
      <c r="B45" s="39" t="s">
        <v>79</v>
      </c>
      <c r="C45" s="91"/>
      <c r="D45" s="77"/>
      <c r="E45" s="78"/>
      <c r="F45" s="77"/>
    </row>
    <row r="46" spans="1:6">
      <c r="A46" s="92"/>
      <c r="B46" s="35" t="s">
        <v>80</v>
      </c>
      <c r="C46" s="46" t="s">
        <v>63</v>
      </c>
      <c r="D46" s="93">
        <v>3500</v>
      </c>
      <c r="E46" s="94"/>
      <c r="F46" s="87">
        <f>ROUND(D46*E46,2)</f>
        <v>0</v>
      </c>
    </row>
    <row r="47" spans="1:6">
      <c r="A47" s="92"/>
      <c r="B47" s="35" t="s">
        <v>81</v>
      </c>
      <c r="C47" s="46" t="s">
        <v>63</v>
      </c>
      <c r="D47" s="93">
        <v>94</v>
      </c>
      <c r="E47" s="94"/>
      <c r="F47" s="87">
        <f>ROUND(D47*E47,2)</f>
        <v>0</v>
      </c>
    </row>
    <row r="48" spans="1:6">
      <c r="B48" s="116"/>
      <c r="D48" s="77"/>
      <c r="E48" s="78"/>
      <c r="F48" s="77"/>
    </row>
    <row r="49" spans="1:6" ht="25.5">
      <c r="A49" s="72">
        <f>MAX(A33:A48)+1</f>
        <v>5</v>
      </c>
      <c r="B49" s="95" t="s">
        <v>82</v>
      </c>
      <c r="D49" s="77"/>
      <c r="E49" s="78"/>
      <c r="F49" s="77"/>
    </row>
    <row r="50" spans="1:6" ht="25.5">
      <c r="B50" s="54" t="s">
        <v>83</v>
      </c>
      <c r="D50" s="77"/>
      <c r="E50" s="78"/>
      <c r="F50" s="77"/>
    </row>
    <row r="51" spans="1:6" ht="38.25">
      <c r="B51" s="90" t="s">
        <v>72</v>
      </c>
      <c r="D51" s="77"/>
      <c r="E51" s="78"/>
      <c r="F51" s="77"/>
    </row>
    <row r="52" spans="1:6" ht="25.5">
      <c r="B52" s="35" t="s">
        <v>73</v>
      </c>
      <c r="D52" s="77"/>
      <c r="E52" s="78"/>
      <c r="F52" s="77"/>
    </row>
    <row r="53" spans="1:6" ht="25.5">
      <c r="B53" s="35" t="s">
        <v>84</v>
      </c>
      <c r="D53" s="77"/>
      <c r="E53" s="78"/>
      <c r="F53" s="77"/>
    </row>
    <row r="54" spans="1:6" ht="38.25">
      <c r="B54" s="35" t="s">
        <v>75</v>
      </c>
      <c r="D54" s="77"/>
      <c r="E54" s="78"/>
      <c r="F54" s="77"/>
    </row>
    <row r="55" spans="1:6">
      <c r="B55" s="35" t="s">
        <v>85</v>
      </c>
      <c r="C55" s="46" t="s">
        <v>63</v>
      </c>
      <c r="D55" s="85">
        <v>352</v>
      </c>
      <c r="E55" s="78"/>
      <c r="F55" s="87">
        <f>ROUND(D55*E55,2)</f>
        <v>0</v>
      </c>
    </row>
    <row r="56" spans="1:6">
      <c r="B56" s="116"/>
      <c r="D56" s="77"/>
      <c r="E56" s="78"/>
      <c r="F56" s="77"/>
    </row>
    <row r="57" spans="1:6" ht="25.5" hidden="1">
      <c r="A57" s="72">
        <f>MAX(A39:A56)+1</f>
        <v>6</v>
      </c>
      <c r="B57" s="96" t="s">
        <v>86</v>
      </c>
      <c r="D57" s="77"/>
      <c r="E57" s="78"/>
      <c r="F57" s="77"/>
    </row>
    <row r="58" spans="1:6" ht="25.5" hidden="1">
      <c r="A58" s="92"/>
      <c r="B58" s="54" t="s">
        <v>87</v>
      </c>
      <c r="D58" s="77"/>
      <c r="E58" s="78"/>
      <c r="F58" s="77"/>
    </row>
    <row r="59" spans="1:6" ht="25.5" hidden="1">
      <c r="A59" s="92"/>
      <c r="B59" s="96" t="s">
        <v>88</v>
      </c>
      <c r="D59" s="77"/>
      <c r="E59" s="78"/>
      <c r="F59" s="77"/>
    </row>
    <row r="60" spans="1:6" ht="51.75" hidden="1" customHeight="1">
      <c r="A60" s="92"/>
      <c r="B60" s="96" t="s">
        <v>89</v>
      </c>
      <c r="D60" s="77"/>
      <c r="E60" s="78"/>
      <c r="F60" s="77"/>
    </row>
    <row r="61" spans="1:6" ht="25.5" hidden="1">
      <c r="A61" s="92"/>
      <c r="B61" s="97" t="s">
        <v>90</v>
      </c>
      <c r="D61" s="77"/>
      <c r="E61" s="78"/>
      <c r="F61" s="77"/>
    </row>
    <row r="62" spans="1:6" ht="89.25" hidden="1">
      <c r="A62" s="92"/>
      <c r="B62" s="98" t="s">
        <v>91</v>
      </c>
      <c r="D62" s="99"/>
      <c r="E62" s="78"/>
      <c r="F62" s="77"/>
    </row>
    <row r="63" spans="1:6" ht="51" hidden="1">
      <c r="A63" s="92"/>
      <c r="B63" s="57" t="s">
        <v>92</v>
      </c>
      <c r="D63" s="99"/>
      <c r="E63" s="78"/>
      <c r="F63" s="77"/>
    </row>
    <row r="64" spans="1:6" hidden="1">
      <c r="A64" s="92"/>
      <c r="B64" s="53" t="s">
        <v>93</v>
      </c>
      <c r="D64" s="99"/>
      <c r="E64" s="78"/>
      <c r="F64" s="77"/>
    </row>
    <row r="65" spans="1:6" hidden="1">
      <c r="A65" s="92"/>
      <c r="B65" s="53"/>
      <c r="D65" s="99"/>
      <c r="E65" s="78"/>
      <c r="F65" s="77"/>
    </row>
    <row r="66" spans="1:6" ht="25.5" hidden="1">
      <c r="A66" s="100"/>
      <c r="B66" s="101" t="s">
        <v>94</v>
      </c>
      <c r="C66" s="102" t="s">
        <v>63</v>
      </c>
      <c r="D66" s="93">
        <f>1802+22.5</f>
        <v>1824.5</v>
      </c>
      <c r="E66" s="103"/>
      <c r="F66" s="104">
        <f>ROUND(D66*E66,2)</f>
        <v>0</v>
      </c>
    </row>
    <row r="67" spans="1:6" hidden="1">
      <c r="A67" s="100"/>
      <c r="B67" s="101"/>
      <c r="C67" s="102"/>
      <c r="D67" s="93"/>
      <c r="E67" s="103"/>
      <c r="F67" s="104"/>
    </row>
    <row r="68" spans="1:6" hidden="1">
      <c r="A68" s="105">
        <v>7</v>
      </c>
      <c r="B68" s="106" t="s">
        <v>95</v>
      </c>
      <c r="C68" s="102"/>
      <c r="D68" s="77"/>
      <c r="E68" s="78"/>
      <c r="F68" s="77"/>
    </row>
    <row r="69" spans="1:6" ht="25.5" hidden="1">
      <c r="A69" s="105"/>
      <c r="B69" s="107" t="s">
        <v>87</v>
      </c>
      <c r="C69" s="102"/>
      <c r="D69" s="77"/>
      <c r="E69" s="78"/>
      <c r="F69" s="77"/>
    </row>
    <row r="70" spans="1:6" ht="114.75" hidden="1" customHeight="1">
      <c r="A70" s="105"/>
      <c r="B70" s="108" t="s">
        <v>96</v>
      </c>
      <c r="C70" s="102"/>
      <c r="D70" s="77"/>
      <c r="E70" s="78"/>
      <c r="F70" s="77"/>
    </row>
    <row r="71" spans="1:6" ht="25.5" hidden="1">
      <c r="A71" s="105"/>
      <c r="B71" s="89" t="s">
        <v>90</v>
      </c>
      <c r="C71" s="102"/>
      <c r="D71" s="77"/>
      <c r="E71" s="78"/>
      <c r="F71" s="77"/>
    </row>
    <row r="72" spans="1:6" ht="76.5" hidden="1">
      <c r="A72" s="105"/>
      <c r="B72" s="108" t="s">
        <v>97</v>
      </c>
      <c r="C72" s="102"/>
      <c r="D72" s="77"/>
      <c r="E72" s="78"/>
      <c r="F72" s="77"/>
    </row>
    <row r="73" spans="1:6" ht="51" hidden="1">
      <c r="A73" s="105"/>
      <c r="B73" s="109" t="s">
        <v>92</v>
      </c>
      <c r="C73" s="102"/>
      <c r="D73" s="77"/>
      <c r="E73" s="78"/>
      <c r="F73" s="77"/>
    </row>
    <row r="74" spans="1:6" hidden="1">
      <c r="A74" s="105"/>
      <c r="B74" s="109" t="s">
        <v>93</v>
      </c>
      <c r="C74" s="102"/>
      <c r="D74" s="77"/>
      <c r="E74" s="78"/>
      <c r="F74" s="77"/>
    </row>
    <row r="75" spans="1:6" ht="25.5" hidden="1">
      <c r="A75" s="100"/>
      <c r="B75" s="109" t="s">
        <v>98</v>
      </c>
      <c r="C75" s="102" t="s">
        <v>63</v>
      </c>
      <c r="D75" s="93">
        <v>560</v>
      </c>
      <c r="E75" s="94"/>
      <c r="F75" s="87">
        <f>ROUND(D75*E75,2)</f>
        <v>0</v>
      </c>
    </row>
    <row r="76" spans="1:6">
      <c r="A76" s="100"/>
      <c r="B76" s="110"/>
      <c r="C76" s="102"/>
      <c r="D76" s="93"/>
      <c r="E76" s="94"/>
      <c r="F76" s="87"/>
    </row>
    <row r="77" spans="1:6" s="112" customFormat="1" hidden="1">
      <c r="A77" s="72">
        <f>A68+1</f>
        <v>8</v>
      </c>
      <c r="B77" s="111" t="s">
        <v>99</v>
      </c>
      <c r="C77" s="46"/>
      <c r="D77" s="93"/>
      <c r="E77" s="94"/>
      <c r="F77" s="87"/>
    </row>
    <row r="78" spans="1:6" s="112" customFormat="1" ht="51" hidden="1">
      <c r="A78" s="72"/>
      <c r="B78" s="39" t="s">
        <v>100</v>
      </c>
      <c r="C78" s="46"/>
      <c r="D78" s="93"/>
      <c r="E78" s="94"/>
      <c r="F78" s="87"/>
    </row>
    <row r="79" spans="1:6" s="112" customFormat="1" ht="51" hidden="1">
      <c r="A79" s="72"/>
      <c r="B79" s="113" t="s">
        <v>101</v>
      </c>
      <c r="C79" s="46"/>
      <c r="D79" s="93"/>
      <c r="E79" s="94"/>
      <c r="F79" s="87"/>
    </row>
    <row r="80" spans="1:6" s="112" customFormat="1" ht="25.5" hidden="1">
      <c r="A80" s="72"/>
      <c r="B80" s="113" t="s">
        <v>102</v>
      </c>
      <c r="C80" s="46"/>
      <c r="D80" s="93"/>
      <c r="E80" s="94"/>
      <c r="F80" s="87"/>
    </row>
    <row r="81" spans="1:6" hidden="1">
      <c r="B81" s="35" t="s">
        <v>103</v>
      </c>
      <c r="C81" s="46" t="s">
        <v>63</v>
      </c>
      <c r="D81" s="93">
        <v>10</v>
      </c>
      <c r="E81" s="94"/>
      <c r="F81" s="87">
        <f>ROUND(D81*E81,2)</f>
        <v>0</v>
      </c>
    </row>
    <row r="82" spans="1:6" hidden="1">
      <c r="B82" s="54"/>
      <c r="D82" s="77"/>
      <c r="E82" s="78"/>
      <c r="F82" s="77"/>
    </row>
    <row r="83" spans="1:6" hidden="1">
      <c r="A83" s="72">
        <f>A77+1</f>
        <v>9</v>
      </c>
      <c r="B83" s="111" t="s">
        <v>104</v>
      </c>
      <c r="D83" s="77"/>
      <c r="E83" s="78"/>
      <c r="F83" s="77"/>
    </row>
    <row r="84" spans="1:6" ht="76.5" hidden="1">
      <c r="B84" s="39" t="s">
        <v>105</v>
      </c>
      <c r="D84" s="77"/>
      <c r="E84" s="78"/>
      <c r="F84" s="77"/>
    </row>
    <row r="85" spans="1:6" hidden="1">
      <c r="B85" s="35" t="s">
        <v>106</v>
      </c>
      <c r="D85" s="77"/>
      <c r="E85" s="78"/>
      <c r="F85" s="77"/>
    </row>
    <row r="86" spans="1:6" hidden="1">
      <c r="B86" s="35" t="s">
        <v>107</v>
      </c>
      <c r="D86" s="77"/>
      <c r="E86" s="78"/>
      <c r="F86" s="77"/>
    </row>
    <row r="87" spans="1:6" hidden="1">
      <c r="B87" s="75" t="s">
        <v>108</v>
      </c>
      <c r="C87" s="91" t="s">
        <v>63</v>
      </c>
      <c r="D87" s="93">
        <v>40</v>
      </c>
      <c r="E87" s="94"/>
      <c r="F87" s="87">
        <f>ROUND(D87*E87,2)</f>
        <v>0</v>
      </c>
    </row>
    <row r="88" spans="1:6" hidden="1">
      <c r="B88" s="75" t="s">
        <v>109</v>
      </c>
      <c r="C88" s="91" t="s">
        <v>65</v>
      </c>
      <c r="D88" s="93">
        <v>8</v>
      </c>
      <c r="E88" s="94"/>
      <c r="F88" s="87">
        <f>ROUND(D88*E88,2)</f>
        <v>0</v>
      </c>
    </row>
    <row r="89" spans="1:6" hidden="1">
      <c r="B89" s="54"/>
      <c r="D89" s="77"/>
      <c r="E89" s="78"/>
      <c r="F89" s="77"/>
    </row>
    <row r="90" spans="1:6" ht="38.25" hidden="1">
      <c r="A90" s="72">
        <f>MAX(A57:A89)+1</f>
        <v>10</v>
      </c>
      <c r="B90" s="89" t="s">
        <v>110</v>
      </c>
      <c r="D90" s="77"/>
      <c r="E90" s="78"/>
      <c r="F90" s="77"/>
    </row>
    <row r="91" spans="1:6" ht="25.5" hidden="1">
      <c r="A91" s="114"/>
      <c r="B91" s="98" t="s">
        <v>111</v>
      </c>
      <c r="D91" s="77"/>
      <c r="E91" s="78"/>
      <c r="F91" s="77"/>
    </row>
    <row r="92" spans="1:6" ht="51" hidden="1">
      <c r="A92" s="114"/>
      <c r="B92" s="113" t="s">
        <v>101</v>
      </c>
      <c r="D92" s="77"/>
      <c r="E92" s="78"/>
      <c r="F92" s="77"/>
    </row>
    <row r="93" spans="1:6" hidden="1">
      <c r="A93" s="114"/>
      <c r="B93" s="113" t="s">
        <v>112</v>
      </c>
      <c r="D93" s="77"/>
      <c r="E93" s="78"/>
      <c r="F93" s="77"/>
    </row>
    <row r="94" spans="1:6" hidden="1">
      <c r="A94" s="114"/>
      <c r="B94" s="74" t="s">
        <v>103</v>
      </c>
      <c r="D94" s="77"/>
      <c r="E94" s="78"/>
      <c r="F94" s="77"/>
    </row>
    <row r="95" spans="1:6" hidden="1">
      <c r="A95" s="114"/>
      <c r="B95" s="113" t="s">
        <v>113</v>
      </c>
      <c r="C95" s="46" t="s">
        <v>63</v>
      </c>
      <c r="D95" s="115">
        <v>20</v>
      </c>
      <c r="E95" s="78"/>
      <c r="F95" s="104">
        <f>ROUND(D95*E95,2)</f>
        <v>0</v>
      </c>
    </row>
    <row r="96" spans="1:6" hidden="1">
      <c r="A96" s="114"/>
      <c r="B96" s="35" t="s">
        <v>114</v>
      </c>
      <c r="C96" s="46" t="s">
        <v>63</v>
      </c>
      <c r="D96" s="93">
        <f>750/2</f>
        <v>375</v>
      </c>
      <c r="E96" s="78"/>
      <c r="F96" s="87">
        <f>ROUND(D96*E96,2)</f>
        <v>0</v>
      </c>
    </row>
    <row r="97" spans="1:6" hidden="1">
      <c r="A97" s="114"/>
      <c r="B97" s="116"/>
      <c r="D97" s="77"/>
      <c r="E97" s="78"/>
      <c r="F97" s="77"/>
    </row>
    <row r="98" spans="1:6" ht="25.5" hidden="1">
      <c r="A98" s="72">
        <f>MAX(A65:A97)+1</f>
        <v>11</v>
      </c>
      <c r="B98" s="117" t="s">
        <v>115</v>
      </c>
      <c r="D98" s="77"/>
      <c r="E98" s="78"/>
      <c r="F98" s="77"/>
    </row>
    <row r="99" spans="1:6" ht="51" hidden="1">
      <c r="B99" s="39" t="s">
        <v>116</v>
      </c>
      <c r="D99" s="77"/>
      <c r="E99" s="78"/>
      <c r="F99" s="77"/>
    </row>
    <row r="100" spans="1:6" hidden="1">
      <c r="B100" s="118" t="s">
        <v>117</v>
      </c>
      <c r="C100" s="79" t="s">
        <v>65</v>
      </c>
      <c r="D100" s="85">
        <v>30</v>
      </c>
      <c r="E100" s="86"/>
      <c r="F100" s="87">
        <f>ROUND(D100*E100,2)</f>
        <v>0</v>
      </c>
    </row>
    <row r="101" spans="1:6" hidden="1">
      <c r="B101" s="118" t="s">
        <v>118</v>
      </c>
      <c r="C101" s="79" t="s">
        <v>65</v>
      </c>
      <c r="D101" s="85">
        <v>30</v>
      </c>
      <c r="E101" s="86"/>
      <c r="F101" s="87">
        <f t="shared" ref="F101:F104" si="1">ROUND(D101*E101,2)</f>
        <v>0</v>
      </c>
    </row>
    <row r="102" spans="1:6" hidden="1">
      <c r="B102" s="118" t="s">
        <v>119</v>
      </c>
      <c r="C102" s="79" t="s">
        <v>65</v>
      </c>
      <c r="D102" s="85">
        <v>30</v>
      </c>
      <c r="E102" s="86"/>
      <c r="F102" s="87">
        <f t="shared" si="1"/>
        <v>0</v>
      </c>
    </row>
    <row r="103" spans="1:6" hidden="1">
      <c r="B103" s="118" t="s">
        <v>120</v>
      </c>
      <c r="C103" s="79" t="s">
        <v>65</v>
      </c>
      <c r="D103" s="85">
        <v>30</v>
      </c>
      <c r="E103" s="86"/>
      <c r="F103" s="87">
        <f t="shared" si="1"/>
        <v>0</v>
      </c>
    </row>
    <row r="104" spans="1:6" hidden="1">
      <c r="B104" s="118" t="s">
        <v>121</v>
      </c>
      <c r="C104" s="79" t="s">
        <v>65</v>
      </c>
      <c r="D104" s="85">
        <v>15</v>
      </c>
      <c r="E104" s="86"/>
      <c r="F104" s="87">
        <f t="shared" si="1"/>
        <v>0</v>
      </c>
    </row>
    <row r="105" spans="1:6">
      <c r="A105" s="114"/>
      <c r="B105" s="116"/>
      <c r="D105" s="77"/>
      <c r="E105" s="78"/>
      <c r="F105" s="77"/>
    </row>
    <row r="106" spans="1:6" ht="25.5">
      <c r="A106" s="72">
        <f>MAX(A86:A98)+1</f>
        <v>12</v>
      </c>
      <c r="B106" s="119" t="s">
        <v>122</v>
      </c>
      <c r="C106" s="79"/>
      <c r="D106" s="85"/>
      <c r="E106" s="86"/>
      <c r="F106" s="87"/>
    </row>
    <row r="107" spans="1:6" ht="25.5">
      <c r="A107" s="120"/>
      <c r="B107" s="35" t="s">
        <v>123</v>
      </c>
      <c r="C107" s="79"/>
      <c r="D107" s="85"/>
      <c r="E107" s="86"/>
      <c r="F107" s="87"/>
    </row>
    <row r="108" spans="1:6" ht="38.25">
      <c r="A108" s="120"/>
      <c r="B108" s="35" t="s">
        <v>75</v>
      </c>
      <c r="C108" s="79"/>
      <c r="D108" s="85"/>
      <c r="E108" s="86"/>
      <c r="F108" s="87"/>
    </row>
    <row r="109" spans="1:6" ht="25.5">
      <c r="A109" s="120"/>
      <c r="B109" s="35" t="s">
        <v>124</v>
      </c>
      <c r="C109" s="79"/>
      <c r="D109" s="85"/>
      <c r="E109" s="86"/>
      <c r="F109" s="87"/>
    </row>
    <row r="110" spans="1:6">
      <c r="A110" s="120"/>
      <c r="B110" s="35" t="s">
        <v>103</v>
      </c>
      <c r="C110" s="46" t="s">
        <v>63</v>
      </c>
      <c r="D110" s="93">
        <v>513</v>
      </c>
      <c r="E110" s="78">
        <v>0</v>
      </c>
      <c r="F110" s="87">
        <f>ROUND(D110*E110,2)</f>
        <v>0</v>
      </c>
    </row>
    <row r="111" spans="1:6">
      <c r="A111" s="114"/>
      <c r="B111" s="116"/>
      <c r="D111" s="77"/>
      <c r="E111" s="78"/>
      <c r="F111" s="77"/>
    </row>
    <row r="112" spans="1:6" ht="25.5">
      <c r="A112" s="72">
        <f>MAX(A106:A111)+1</f>
        <v>13</v>
      </c>
      <c r="B112" s="121" t="s">
        <v>125</v>
      </c>
      <c r="D112" s="77"/>
      <c r="E112" s="78"/>
      <c r="F112" s="77"/>
    </row>
    <row r="113" spans="1:6" ht="63.75">
      <c r="A113" s="114"/>
      <c r="B113" s="98" t="s">
        <v>126</v>
      </c>
      <c r="D113" s="77"/>
      <c r="E113" s="78"/>
      <c r="F113" s="77"/>
    </row>
    <row r="114" spans="1:6">
      <c r="A114" s="114"/>
      <c r="B114" s="35" t="s">
        <v>127</v>
      </c>
      <c r="D114" s="77"/>
      <c r="E114" s="78"/>
      <c r="F114" s="77"/>
    </row>
    <row r="115" spans="1:6">
      <c r="A115" s="114"/>
      <c r="B115" s="35" t="s">
        <v>128</v>
      </c>
      <c r="C115" s="46" t="s">
        <v>65</v>
      </c>
      <c r="D115" s="93">
        <v>135</v>
      </c>
      <c r="E115" s="78">
        <v>0</v>
      </c>
      <c r="F115" s="87">
        <f>ROUND(D115*E115,2)</f>
        <v>0</v>
      </c>
    </row>
    <row r="116" spans="1:6">
      <c r="A116" s="114"/>
      <c r="B116" s="35" t="s">
        <v>129</v>
      </c>
      <c r="C116" s="46" t="s">
        <v>65</v>
      </c>
      <c r="D116" s="93">
        <v>69</v>
      </c>
      <c r="E116" s="78">
        <v>0</v>
      </c>
      <c r="F116" s="87">
        <f>ROUND(D116*E116,2)</f>
        <v>0</v>
      </c>
    </row>
    <row r="117" spans="1:6">
      <c r="B117" s="54"/>
      <c r="D117" s="77"/>
      <c r="E117" s="78"/>
      <c r="F117" s="77"/>
    </row>
    <row r="118" spans="1:6" ht="25.5" hidden="1" customHeight="1">
      <c r="A118" s="72">
        <f>MAX(A112:A117)+1</f>
        <v>14</v>
      </c>
      <c r="B118" s="122" t="s">
        <v>130</v>
      </c>
      <c r="D118" s="77"/>
      <c r="E118" s="78"/>
      <c r="F118" s="87"/>
    </row>
    <row r="119" spans="1:6" ht="140.25" hidden="1">
      <c r="B119" s="39" t="s">
        <v>131</v>
      </c>
      <c r="D119" s="77"/>
      <c r="E119" s="78"/>
      <c r="F119" s="87"/>
    </row>
    <row r="120" spans="1:6" ht="25.5" hidden="1">
      <c r="B120" s="39" t="s">
        <v>132</v>
      </c>
      <c r="D120" s="77"/>
      <c r="E120" s="78"/>
      <c r="F120" s="87"/>
    </row>
    <row r="121" spans="1:6" ht="129" hidden="1" customHeight="1">
      <c r="B121" s="35" t="s">
        <v>133</v>
      </c>
      <c r="D121" s="77"/>
      <c r="E121" s="78"/>
      <c r="F121" s="87"/>
    </row>
    <row r="122" spans="1:6" ht="141" hidden="1" customHeight="1">
      <c r="B122" s="123" t="s">
        <v>134</v>
      </c>
      <c r="D122" s="77"/>
      <c r="E122" s="78"/>
      <c r="F122" s="87"/>
    </row>
    <row r="123" spans="1:6" ht="38.25" hidden="1">
      <c r="B123" s="124" t="s">
        <v>135</v>
      </c>
      <c r="D123" s="77"/>
      <c r="E123" s="78"/>
      <c r="F123" s="87"/>
    </row>
    <row r="124" spans="1:6" ht="51" hidden="1">
      <c r="B124" s="35" t="s">
        <v>136</v>
      </c>
      <c r="D124" s="93"/>
      <c r="E124" s="94"/>
      <c r="F124" s="87"/>
    </row>
    <row r="125" spans="1:6" hidden="1">
      <c r="B125" s="35" t="s">
        <v>137</v>
      </c>
      <c r="C125" s="46" t="s">
        <v>63</v>
      </c>
      <c r="D125" s="93">
        <v>127</v>
      </c>
      <c r="E125" s="94"/>
      <c r="F125" s="87">
        <f>ROUND(D125*E125,2)</f>
        <v>0</v>
      </c>
    </row>
    <row r="126" spans="1:6">
      <c r="B126" s="35"/>
      <c r="D126" s="77"/>
      <c r="E126" s="78"/>
      <c r="F126" s="87"/>
    </row>
    <row r="127" spans="1:6" hidden="1">
      <c r="A127" s="72">
        <f>MAX(A117:A126)+1</f>
        <v>15</v>
      </c>
      <c r="B127" s="122" t="s">
        <v>138</v>
      </c>
      <c r="D127" s="77"/>
      <c r="E127" s="78"/>
      <c r="F127" s="77"/>
    </row>
    <row r="128" spans="1:6" ht="306" hidden="1">
      <c r="B128" s="74" t="s">
        <v>139</v>
      </c>
      <c r="D128" s="77"/>
      <c r="E128" s="78"/>
      <c r="F128" s="77"/>
    </row>
    <row r="129" spans="1:6" ht="63.75" hidden="1">
      <c r="B129" s="74" t="s">
        <v>140</v>
      </c>
      <c r="D129" s="77"/>
      <c r="E129" s="78"/>
      <c r="F129" s="77"/>
    </row>
    <row r="130" spans="1:6" ht="114.75" hidden="1">
      <c r="B130" s="74" t="s">
        <v>141</v>
      </c>
      <c r="D130" s="77"/>
      <c r="E130" s="78"/>
      <c r="F130" s="77"/>
    </row>
    <row r="131" spans="1:6" ht="38.25" hidden="1">
      <c r="B131" s="74" t="s">
        <v>142</v>
      </c>
      <c r="D131" s="77"/>
      <c r="E131" s="78"/>
      <c r="F131" s="77"/>
    </row>
    <row r="132" spans="1:6" hidden="1">
      <c r="B132" s="35" t="s">
        <v>143</v>
      </c>
      <c r="C132" s="46" t="s">
        <v>63</v>
      </c>
      <c r="D132" s="93">
        <v>970</v>
      </c>
      <c r="E132" s="94"/>
      <c r="F132" s="87">
        <f>ROUND(D132*E132,2)</f>
        <v>0</v>
      </c>
    </row>
    <row r="133" spans="1:6" hidden="1">
      <c r="B133" s="35" t="s">
        <v>144</v>
      </c>
      <c r="C133" s="46" t="s">
        <v>145</v>
      </c>
      <c r="D133" s="93">
        <v>1</v>
      </c>
      <c r="E133" s="78"/>
      <c r="F133" s="87">
        <f>ROUND(D133*E133,2)</f>
        <v>0</v>
      </c>
    </row>
    <row r="134" spans="1:6">
      <c r="B134" s="35"/>
      <c r="D134" s="77"/>
      <c r="E134" s="78"/>
      <c r="F134" s="87"/>
    </row>
    <row r="135" spans="1:6" hidden="1">
      <c r="A135" s="72">
        <f>MAX(A125:A134)+1</f>
        <v>16</v>
      </c>
      <c r="B135" s="74" t="s">
        <v>146</v>
      </c>
      <c r="C135" s="125"/>
      <c r="D135" s="126"/>
      <c r="E135" s="78"/>
      <c r="F135" s="87"/>
    </row>
    <row r="136" spans="1:6" ht="127.5" hidden="1">
      <c r="B136" s="74" t="s">
        <v>147</v>
      </c>
      <c r="C136" s="125"/>
      <c r="D136" s="126"/>
      <c r="E136" s="78"/>
      <c r="F136" s="87"/>
    </row>
    <row r="137" spans="1:6" ht="63.75" hidden="1">
      <c r="B137" s="127" t="s">
        <v>148</v>
      </c>
      <c r="C137" s="125"/>
      <c r="D137" s="126"/>
      <c r="E137" s="78"/>
      <c r="F137" s="87"/>
    </row>
    <row r="138" spans="1:6" ht="27.75" hidden="1" customHeight="1">
      <c r="B138" s="128" t="s">
        <v>149</v>
      </c>
      <c r="C138" s="125"/>
      <c r="D138" s="126"/>
      <c r="E138" s="78"/>
      <c r="F138" s="87"/>
    </row>
    <row r="139" spans="1:6" ht="51" hidden="1">
      <c r="B139" s="129" t="s">
        <v>150</v>
      </c>
      <c r="C139" s="125"/>
      <c r="D139" s="126"/>
      <c r="E139" s="78"/>
      <c r="F139" s="87"/>
    </row>
    <row r="140" spans="1:6" ht="156" hidden="1" customHeight="1">
      <c r="B140" s="130" t="s">
        <v>151</v>
      </c>
      <c r="C140" s="125"/>
      <c r="D140" s="126"/>
      <c r="E140" s="78"/>
      <c r="F140" s="87"/>
    </row>
    <row r="141" spans="1:6" ht="38.25" hidden="1">
      <c r="B141" s="74" t="s">
        <v>152</v>
      </c>
      <c r="C141" s="125"/>
      <c r="D141" s="126"/>
      <c r="E141" s="78"/>
      <c r="F141" s="87"/>
    </row>
    <row r="142" spans="1:6" ht="51" hidden="1">
      <c r="B142" s="74" t="s">
        <v>153</v>
      </c>
      <c r="C142" s="125"/>
      <c r="D142" s="126"/>
      <c r="E142" s="78"/>
      <c r="F142" s="87"/>
    </row>
    <row r="143" spans="1:6" ht="25.5" hidden="1">
      <c r="B143" s="74" t="s">
        <v>154</v>
      </c>
      <c r="C143" s="125"/>
      <c r="D143" s="126"/>
      <c r="E143" s="78"/>
      <c r="F143" s="87"/>
    </row>
    <row r="144" spans="1:6" ht="127.5" hidden="1">
      <c r="B144" s="130" t="s">
        <v>155</v>
      </c>
      <c r="C144" s="125"/>
      <c r="D144" s="126"/>
      <c r="E144" s="78"/>
      <c r="F144" s="87"/>
    </row>
    <row r="145" spans="1:6" ht="38.25" hidden="1">
      <c r="B145" s="74" t="s">
        <v>156</v>
      </c>
      <c r="C145" s="125"/>
      <c r="D145" s="126"/>
      <c r="E145" s="78"/>
      <c r="F145" s="87"/>
    </row>
    <row r="146" spans="1:6" hidden="1">
      <c r="B146" s="74" t="s">
        <v>157</v>
      </c>
      <c r="C146" s="46" t="s">
        <v>145</v>
      </c>
      <c r="D146" s="93">
        <v>2</v>
      </c>
      <c r="E146" s="78"/>
      <c r="F146" s="87">
        <f>ROUND(D146*E146,2)</f>
        <v>0</v>
      </c>
    </row>
    <row r="147" spans="1:6" hidden="1">
      <c r="B147" s="74"/>
      <c r="C147" s="125"/>
      <c r="D147" s="126"/>
      <c r="E147" s="78"/>
      <c r="F147" s="87"/>
    </row>
    <row r="148" spans="1:6" hidden="1">
      <c r="A148" s="72">
        <f>MAX(A135:A147)+1</f>
        <v>17</v>
      </c>
      <c r="B148" s="51" t="s">
        <v>158</v>
      </c>
      <c r="D148" s="77"/>
      <c r="E148" s="78"/>
      <c r="F148" s="77"/>
    </row>
    <row r="149" spans="1:6" ht="38.25" hidden="1">
      <c r="B149" s="131" t="s">
        <v>159</v>
      </c>
      <c r="D149" s="77"/>
      <c r="E149" s="78"/>
      <c r="F149" s="77"/>
    </row>
    <row r="150" spans="1:6" hidden="1">
      <c r="B150" s="54" t="s">
        <v>160</v>
      </c>
      <c r="D150" s="77"/>
      <c r="E150" s="78"/>
      <c r="F150" s="77"/>
    </row>
    <row r="151" spans="1:6" ht="38.25" hidden="1">
      <c r="B151" s="131" t="s">
        <v>161</v>
      </c>
      <c r="D151" s="77"/>
      <c r="E151" s="78"/>
      <c r="F151" s="77"/>
    </row>
    <row r="152" spans="1:6" ht="25.5" hidden="1">
      <c r="B152" s="54" t="s">
        <v>162</v>
      </c>
      <c r="C152" s="46" t="s">
        <v>63</v>
      </c>
      <c r="D152" s="93">
        <v>3100</v>
      </c>
      <c r="E152" s="94"/>
      <c r="F152" s="87">
        <f>ROUND(D152*E152,2)</f>
        <v>0</v>
      </c>
    </row>
    <row r="153" spans="1:6" hidden="1">
      <c r="B153" s="35"/>
      <c r="D153" s="77"/>
      <c r="E153" s="78"/>
      <c r="F153" s="87"/>
    </row>
    <row r="154" spans="1:6" hidden="1">
      <c r="A154" s="72">
        <f>MAX(A148:A153)+1</f>
        <v>18</v>
      </c>
      <c r="B154" s="51" t="s">
        <v>163</v>
      </c>
      <c r="D154" s="77"/>
      <c r="E154" s="78"/>
      <c r="F154" s="77"/>
    </row>
    <row r="155" spans="1:6" ht="38.25" hidden="1">
      <c r="B155" s="131" t="s">
        <v>164</v>
      </c>
      <c r="D155" s="77"/>
      <c r="E155" s="78"/>
      <c r="F155" s="77"/>
    </row>
    <row r="156" spans="1:6" ht="26.25" hidden="1" customHeight="1">
      <c r="B156" s="98" t="s">
        <v>165</v>
      </c>
      <c r="D156" s="77"/>
      <c r="E156" s="78"/>
      <c r="F156" s="77"/>
    </row>
    <row r="157" spans="1:6" hidden="1">
      <c r="B157" s="131" t="s">
        <v>160</v>
      </c>
      <c r="D157" s="77"/>
      <c r="E157" s="78"/>
      <c r="F157" s="77"/>
    </row>
    <row r="158" spans="1:6" ht="38.25" hidden="1">
      <c r="B158" s="131" t="s">
        <v>161</v>
      </c>
      <c r="D158" s="77"/>
      <c r="E158" s="78"/>
      <c r="F158" s="77"/>
    </row>
    <row r="159" spans="1:6" ht="25.5" hidden="1">
      <c r="B159" s="131" t="s">
        <v>166</v>
      </c>
      <c r="C159" s="46" t="s">
        <v>63</v>
      </c>
      <c r="D159" s="93">
        <v>3100</v>
      </c>
      <c r="E159" s="94"/>
      <c r="F159" s="87">
        <f>ROUND(D159*E159,2)</f>
        <v>0</v>
      </c>
    </row>
    <row r="160" spans="1:6" hidden="1">
      <c r="B160" s="54"/>
      <c r="D160" s="77"/>
      <c r="E160" s="78"/>
      <c r="F160" s="77"/>
    </row>
    <row r="161" spans="1:6" s="137" customFormat="1" ht="25.5" hidden="1">
      <c r="A161" s="132">
        <f>MAX(A151:A160)+1</f>
        <v>19</v>
      </c>
      <c r="B161" s="133" t="s">
        <v>167</v>
      </c>
      <c r="C161" s="134"/>
      <c r="D161" s="135"/>
      <c r="E161" s="136"/>
      <c r="F161" s="135"/>
    </row>
    <row r="162" spans="1:6" s="137" customFormat="1" ht="25.5" hidden="1">
      <c r="A162" s="132"/>
      <c r="B162" s="138" t="s">
        <v>168</v>
      </c>
      <c r="C162" s="134"/>
      <c r="D162" s="135"/>
      <c r="E162" s="136"/>
      <c r="F162" s="135"/>
    </row>
    <row r="163" spans="1:6" s="137" customFormat="1" ht="91.5" hidden="1" customHeight="1">
      <c r="A163" s="132"/>
      <c r="B163" s="139" t="s">
        <v>169</v>
      </c>
      <c r="C163" s="134"/>
      <c r="D163" s="135"/>
      <c r="E163" s="136"/>
      <c r="F163" s="135"/>
    </row>
    <row r="164" spans="1:6" s="137" customFormat="1" ht="29.25" hidden="1" customHeight="1">
      <c r="A164" s="132"/>
      <c r="B164" s="139" t="s">
        <v>170</v>
      </c>
      <c r="C164" s="134"/>
      <c r="D164" s="135"/>
      <c r="E164" s="136"/>
      <c r="F164" s="135"/>
    </row>
    <row r="165" spans="1:6" s="137" customFormat="1" hidden="1">
      <c r="A165" s="132"/>
      <c r="B165" s="138" t="s">
        <v>171</v>
      </c>
      <c r="C165" s="134" t="s">
        <v>60</v>
      </c>
      <c r="D165" s="140">
        <v>33</v>
      </c>
      <c r="E165" s="141"/>
      <c r="F165" s="142">
        <f>ROUND(D165*E165,2)</f>
        <v>0</v>
      </c>
    </row>
    <row r="166" spans="1:6" s="137" customFormat="1" hidden="1">
      <c r="A166" s="132"/>
      <c r="B166" s="138"/>
      <c r="C166" s="134"/>
      <c r="D166" s="140"/>
      <c r="E166" s="141"/>
      <c r="F166" s="142"/>
    </row>
    <row r="167" spans="1:6" s="83" customFormat="1" ht="25.5" hidden="1">
      <c r="A167" s="114">
        <v>19</v>
      </c>
      <c r="B167" s="143" t="s">
        <v>172</v>
      </c>
      <c r="C167" s="144"/>
      <c r="D167" s="145"/>
      <c r="E167" s="146"/>
      <c r="F167" s="147"/>
    </row>
    <row r="168" spans="1:6" s="83" customFormat="1" ht="25.5" hidden="1">
      <c r="A168" s="114"/>
      <c r="B168" s="116" t="s">
        <v>173</v>
      </c>
      <c r="C168" s="144"/>
      <c r="D168" s="145"/>
      <c r="E168" s="146"/>
      <c r="F168" s="147"/>
    </row>
    <row r="169" spans="1:6" s="83" customFormat="1" ht="25.5" hidden="1">
      <c r="A169" s="114"/>
      <c r="B169" s="116" t="s">
        <v>174</v>
      </c>
      <c r="C169" s="144"/>
      <c r="D169" s="145"/>
      <c r="E169" s="146"/>
      <c r="F169" s="147"/>
    </row>
    <row r="170" spans="1:6" s="83" customFormat="1" ht="38.25" hidden="1">
      <c r="A170" s="114"/>
      <c r="B170" s="116" t="s">
        <v>175</v>
      </c>
      <c r="C170" s="144"/>
      <c r="D170" s="145"/>
      <c r="E170" s="146"/>
      <c r="F170" s="147"/>
    </row>
    <row r="171" spans="1:6" s="83" customFormat="1" ht="51" hidden="1">
      <c r="A171" s="114"/>
      <c r="B171" s="148" t="s">
        <v>176</v>
      </c>
      <c r="C171" s="144"/>
      <c r="D171" s="145"/>
      <c r="E171" s="146"/>
      <c r="F171" s="147"/>
    </row>
    <row r="172" spans="1:6" s="83" customFormat="1" ht="51" hidden="1">
      <c r="A172" s="114"/>
      <c r="B172" s="149" t="s">
        <v>177</v>
      </c>
      <c r="C172" s="144"/>
      <c r="D172" s="145"/>
      <c r="E172" s="146"/>
      <c r="F172" s="147"/>
    </row>
    <row r="173" spans="1:6" s="83" customFormat="1" ht="38.25" hidden="1">
      <c r="A173" s="114"/>
      <c r="B173" s="149" t="s">
        <v>178</v>
      </c>
      <c r="C173" s="144"/>
      <c r="D173" s="145"/>
      <c r="E173" s="146"/>
      <c r="F173" s="147"/>
    </row>
    <row r="174" spans="1:6" s="83" customFormat="1" ht="25.5" hidden="1">
      <c r="A174" s="114"/>
      <c r="B174" s="148" t="s">
        <v>179</v>
      </c>
      <c r="C174" s="144"/>
      <c r="D174" s="145"/>
      <c r="E174" s="146"/>
      <c r="F174" s="147"/>
    </row>
    <row r="175" spans="1:6" s="83" customFormat="1" ht="127.5" hidden="1">
      <c r="A175" s="114"/>
      <c r="B175" s="148" t="s">
        <v>180</v>
      </c>
      <c r="C175" s="144"/>
      <c r="D175" s="145"/>
      <c r="E175" s="146"/>
      <c r="F175" s="147"/>
    </row>
    <row r="176" spans="1:6" s="83" customFormat="1" hidden="1">
      <c r="A176" s="114"/>
      <c r="B176" s="148" t="s">
        <v>181</v>
      </c>
      <c r="C176" s="145" t="s">
        <v>182</v>
      </c>
      <c r="D176" s="144">
        <v>18.899999999999999</v>
      </c>
      <c r="E176" s="146"/>
      <c r="F176" s="147">
        <f>ROUND(D176*E176,2)</f>
        <v>0</v>
      </c>
    </row>
    <row r="177" spans="1:6" s="83" customFormat="1" hidden="1">
      <c r="A177" s="114"/>
      <c r="B177" s="148" t="s">
        <v>183</v>
      </c>
      <c r="C177" s="145" t="s">
        <v>184</v>
      </c>
      <c r="D177" s="144">
        <v>28</v>
      </c>
      <c r="E177" s="146"/>
      <c r="F177" s="147">
        <f>ROUND(D177*E177,2)</f>
        <v>0</v>
      </c>
    </row>
    <row r="178" spans="1:6" s="83" customFormat="1" hidden="1">
      <c r="A178" s="114"/>
      <c r="B178" s="148" t="s">
        <v>185</v>
      </c>
      <c r="C178" s="145"/>
      <c r="D178" s="145"/>
      <c r="E178" s="146"/>
      <c r="F178" s="147"/>
    </row>
    <row r="179" spans="1:6" s="83" customFormat="1" ht="89.25" hidden="1">
      <c r="A179" s="114"/>
      <c r="B179" s="148" t="s">
        <v>186</v>
      </c>
      <c r="C179" s="145"/>
      <c r="D179" s="145"/>
      <c r="E179" s="146"/>
      <c r="F179" s="147"/>
    </row>
    <row r="180" spans="1:6" s="83" customFormat="1" hidden="1">
      <c r="A180" s="114"/>
      <c r="B180" s="150" t="s">
        <v>181</v>
      </c>
      <c r="C180" s="145" t="s">
        <v>182</v>
      </c>
      <c r="D180" s="144">
        <v>8.1</v>
      </c>
      <c r="E180" s="146"/>
      <c r="F180" s="147">
        <f>ROUND(D180*E180,2)</f>
        <v>0</v>
      </c>
    </row>
    <row r="181" spans="1:6" s="83" customFormat="1" hidden="1">
      <c r="A181" s="114"/>
      <c r="B181" s="151" t="s">
        <v>183</v>
      </c>
      <c r="C181" s="145" t="s">
        <v>184</v>
      </c>
      <c r="D181" s="144">
        <v>12</v>
      </c>
      <c r="E181" s="146"/>
      <c r="F181" s="147">
        <f>ROUND(D181*E181,2)</f>
        <v>0</v>
      </c>
    </row>
    <row r="182" spans="1:6" s="155" customFormat="1" ht="38.25" hidden="1">
      <c r="A182" s="152"/>
      <c r="B182" s="153" t="s">
        <v>187</v>
      </c>
      <c r="C182" s="144"/>
      <c r="D182" s="145"/>
      <c r="E182" s="154"/>
      <c r="F182" s="147"/>
    </row>
    <row r="183" spans="1:6" s="155" customFormat="1" ht="25.5" hidden="1">
      <c r="A183" s="152"/>
      <c r="B183" s="156" t="s">
        <v>188</v>
      </c>
      <c r="C183" s="144"/>
      <c r="D183" s="145"/>
      <c r="E183" s="154"/>
      <c r="F183" s="147"/>
    </row>
    <row r="184" spans="1:6" s="155" customFormat="1" hidden="1">
      <c r="A184" s="152"/>
      <c r="B184" s="153" t="s">
        <v>189</v>
      </c>
      <c r="C184" s="144"/>
      <c r="D184" s="145"/>
      <c r="E184" s="154"/>
      <c r="F184" s="147"/>
    </row>
    <row r="185" spans="1:6" s="155" customFormat="1" hidden="1">
      <c r="A185" s="152"/>
      <c r="B185" s="157" t="s">
        <v>190</v>
      </c>
      <c r="C185" s="144"/>
      <c r="D185" s="145"/>
      <c r="E185" s="154"/>
      <c r="F185" s="147"/>
    </row>
    <row r="186" spans="1:6" s="155" customFormat="1" hidden="1">
      <c r="A186" s="152"/>
      <c r="B186" s="157" t="s">
        <v>191</v>
      </c>
      <c r="C186" s="144" t="s">
        <v>184</v>
      </c>
      <c r="D186" s="145">
        <v>980</v>
      </c>
      <c r="E186" s="154"/>
      <c r="F186" s="147">
        <f>ROUND(D186*E186,2)</f>
        <v>0</v>
      </c>
    </row>
    <row r="187" spans="1:6" s="155" customFormat="1" hidden="1">
      <c r="A187" s="152"/>
      <c r="B187" s="157" t="s">
        <v>192</v>
      </c>
      <c r="C187" s="144" t="s">
        <v>63</v>
      </c>
      <c r="D187" s="145">
        <v>1630</v>
      </c>
      <c r="E187" s="154"/>
      <c r="F187" s="147">
        <f>ROUND(D187*E187,2)</f>
        <v>0</v>
      </c>
    </row>
    <row r="188" spans="1:6" s="155" customFormat="1" hidden="1">
      <c r="A188" s="152"/>
      <c r="B188" s="157" t="s">
        <v>193</v>
      </c>
      <c r="C188" s="144" t="s">
        <v>194</v>
      </c>
      <c r="D188" s="145">
        <f>D186*90</f>
        <v>88200</v>
      </c>
      <c r="E188" s="154"/>
      <c r="F188" s="147">
        <f>ROUND(D188*E188,2)</f>
        <v>0</v>
      </c>
    </row>
    <row r="189" spans="1:6" s="83" customFormat="1" hidden="1">
      <c r="A189" s="114"/>
      <c r="B189" s="151"/>
      <c r="C189" s="145"/>
      <c r="D189" s="147"/>
      <c r="E189" s="146"/>
      <c r="F189" s="147"/>
    </row>
    <row r="190" spans="1:6" hidden="1">
      <c r="B190" s="111" t="s">
        <v>195</v>
      </c>
      <c r="F190" s="77"/>
    </row>
    <row r="191" spans="1:6" s="32" customFormat="1" hidden="1">
      <c r="A191" s="72">
        <f>MAX(A158:A190)+1</f>
        <v>20</v>
      </c>
      <c r="B191" s="158" t="s">
        <v>196</v>
      </c>
      <c r="C191" s="46"/>
      <c r="D191" s="87"/>
      <c r="E191" s="159"/>
      <c r="F191" s="87"/>
    </row>
    <row r="192" spans="1:6" s="32" customFormat="1" ht="38.25" hidden="1">
      <c r="A192" s="72"/>
      <c r="B192" s="160" t="s">
        <v>197</v>
      </c>
      <c r="C192" s="46"/>
      <c r="D192" s="87"/>
      <c r="E192" s="159"/>
      <c r="F192" s="87"/>
    </row>
    <row r="193" spans="1:6" s="32" customFormat="1" ht="38.25" hidden="1">
      <c r="A193" s="120"/>
      <c r="B193" s="160" t="s">
        <v>198</v>
      </c>
      <c r="C193" s="46"/>
      <c r="D193" s="87"/>
      <c r="E193" s="159"/>
      <c r="F193" s="87"/>
    </row>
    <row r="194" spans="1:6" s="32" customFormat="1" ht="51" hidden="1">
      <c r="A194" s="46"/>
      <c r="B194" s="42" t="s">
        <v>199</v>
      </c>
      <c r="C194" s="46"/>
      <c r="D194" s="87"/>
      <c r="E194" s="159"/>
      <c r="F194" s="87"/>
    </row>
    <row r="195" spans="1:6" s="32" customFormat="1" hidden="1">
      <c r="A195" s="46"/>
      <c r="B195" s="28" t="s">
        <v>200</v>
      </c>
      <c r="C195" s="46"/>
      <c r="D195" s="87"/>
      <c r="E195" s="159"/>
      <c r="F195" s="87"/>
    </row>
    <row r="196" spans="1:6" s="32" customFormat="1" ht="25.5" hidden="1">
      <c r="A196" s="46"/>
      <c r="B196" s="35" t="s">
        <v>201</v>
      </c>
      <c r="C196" s="46"/>
      <c r="D196" s="87"/>
      <c r="E196" s="159"/>
      <c r="F196" s="87"/>
    </row>
    <row r="197" spans="1:6" s="32" customFormat="1" ht="25.5" hidden="1">
      <c r="A197" s="46"/>
      <c r="B197" s="160" t="s">
        <v>202</v>
      </c>
      <c r="C197" s="91"/>
      <c r="D197" s="87"/>
      <c r="E197" s="159"/>
      <c r="F197" s="87"/>
    </row>
    <row r="198" spans="1:6" hidden="1">
      <c r="A198" s="34"/>
      <c r="B198" s="161" t="s">
        <v>203</v>
      </c>
      <c r="C198" s="46" t="s">
        <v>182</v>
      </c>
      <c r="D198" s="87">
        <v>264</v>
      </c>
      <c r="E198" s="159"/>
      <c r="F198" s="104">
        <f t="shared" ref="F198:F251" si="2">ROUND(D198*E198,2)</f>
        <v>0</v>
      </c>
    </row>
    <row r="199" spans="1:6" hidden="1">
      <c r="A199" s="91"/>
      <c r="B199" s="162" t="s">
        <v>204</v>
      </c>
      <c r="C199" s="46" t="s">
        <v>182</v>
      </c>
      <c r="D199" s="87">
        <v>61.55</v>
      </c>
      <c r="E199" s="159"/>
      <c r="F199" s="104">
        <f t="shared" si="2"/>
        <v>0</v>
      </c>
    </row>
    <row r="200" spans="1:6" hidden="1">
      <c r="A200" s="91"/>
      <c r="B200" s="162" t="s">
        <v>205</v>
      </c>
      <c r="C200" s="46" t="s">
        <v>182</v>
      </c>
      <c r="D200" s="87">
        <v>99</v>
      </c>
      <c r="E200" s="159"/>
      <c r="F200" s="104">
        <f t="shared" si="2"/>
        <v>0</v>
      </c>
    </row>
    <row r="201" spans="1:6" hidden="1">
      <c r="A201" s="91"/>
      <c r="B201" s="161" t="s">
        <v>206</v>
      </c>
      <c r="C201" s="46" t="s">
        <v>182</v>
      </c>
      <c r="D201" s="87">
        <v>33.6</v>
      </c>
      <c r="E201" s="159"/>
      <c r="F201" s="104">
        <f t="shared" si="2"/>
        <v>0</v>
      </c>
    </row>
    <row r="202" spans="1:6" hidden="1">
      <c r="A202" s="91"/>
      <c r="B202" s="162" t="s">
        <v>207</v>
      </c>
      <c r="C202" s="46" t="s">
        <v>182</v>
      </c>
      <c r="D202" s="87">
        <v>67.2</v>
      </c>
      <c r="E202" s="159"/>
      <c r="F202" s="104">
        <f t="shared" si="2"/>
        <v>0</v>
      </c>
    </row>
    <row r="203" spans="1:6" hidden="1">
      <c r="A203" s="91"/>
      <c r="B203" s="162" t="s">
        <v>208</v>
      </c>
      <c r="C203" s="46" t="s">
        <v>182</v>
      </c>
      <c r="D203" s="87">
        <v>18.399999999999999</v>
      </c>
      <c r="E203" s="159"/>
      <c r="F203" s="104">
        <f t="shared" si="2"/>
        <v>0</v>
      </c>
    </row>
    <row r="204" spans="1:6" hidden="1">
      <c r="A204" s="91"/>
      <c r="B204" s="161" t="s">
        <v>209</v>
      </c>
      <c r="C204" s="46" t="s">
        <v>182</v>
      </c>
      <c r="D204" s="87">
        <v>18</v>
      </c>
      <c r="E204" s="159"/>
      <c r="F204" s="104">
        <f t="shared" si="2"/>
        <v>0</v>
      </c>
    </row>
    <row r="205" spans="1:6" hidden="1">
      <c r="A205" s="91"/>
      <c r="B205" s="162" t="s">
        <v>210</v>
      </c>
      <c r="C205" s="46" t="s">
        <v>182</v>
      </c>
      <c r="D205" s="87">
        <v>19.760000000000002</v>
      </c>
      <c r="E205" s="159"/>
      <c r="F205" s="104">
        <f t="shared" si="2"/>
        <v>0</v>
      </c>
    </row>
    <row r="206" spans="1:6" hidden="1">
      <c r="A206" s="91"/>
      <c r="B206" s="162" t="s">
        <v>211</v>
      </c>
      <c r="C206" s="46" t="s">
        <v>182</v>
      </c>
      <c r="D206" s="87">
        <v>23.38</v>
      </c>
      <c r="E206" s="159"/>
      <c r="F206" s="104">
        <f t="shared" si="2"/>
        <v>0</v>
      </c>
    </row>
    <row r="207" spans="1:6" hidden="1">
      <c r="A207" s="91"/>
      <c r="B207" s="161" t="s">
        <v>212</v>
      </c>
      <c r="C207" s="46" t="s">
        <v>182</v>
      </c>
      <c r="D207" s="87">
        <v>16.72</v>
      </c>
      <c r="E207" s="159"/>
      <c r="F207" s="104">
        <f t="shared" si="2"/>
        <v>0</v>
      </c>
    </row>
    <row r="208" spans="1:6" hidden="1">
      <c r="A208" s="91"/>
      <c r="B208" s="162" t="s">
        <v>213</v>
      </c>
      <c r="C208" s="46" t="s">
        <v>182</v>
      </c>
      <c r="D208" s="87">
        <v>31.76</v>
      </c>
      <c r="E208" s="159"/>
      <c r="F208" s="104">
        <f t="shared" si="2"/>
        <v>0</v>
      </c>
    </row>
    <row r="209" spans="1:6" hidden="1">
      <c r="A209" s="91"/>
      <c r="B209" s="162" t="s">
        <v>214</v>
      </c>
      <c r="C209" s="46" t="s">
        <v>182</v>
      </c>
      <c r="D209" s="87">
        <v>8</v>
      </c>
      <c r="E209" s="159"/>
      <c r="F209" s="104">
        <f t="shared" si="2"/>
        <v>0</v>
      </c>
    </row>
    <row r="210" spans="1:6" hidden="1">
      <c r="A210" s="91"/>
      <c r="B210" s="161" t="s">
        <v>215</v>
      </c>
      <c r="C210" s="46" t="s">
        <v>182</v>
      </c>
      <c r="D210" s="87">
        <v>12.6</v>
      </c>
      <c r="E210" s="159"/>
      <c r="F210" s="104">
        <f t="shared" si="2"/>
        <v>0</v>
      </c>
    </row>
    <row r="211" spans="1:6" hidden="1">
      <c r="A211" s="91"/>
      <c r="B211" s="162" t="s">
        <v>216</v>
      </c>
      <c r="C211" s="46" t="s">
        <v>182</v>
      </c>
      <c r="D211" s="87">
        <v>2.1</v>
      </c>
      <c r="E211" s="159"/>
      <c r="F211" s="104">
        <f t="shared" si="2"/>
        <v>0</v>
      </c>
    </row>
    <row r="212" spans="1:6" hidden="1">
      <c r="A212" s="91"/>
      <c r="B212" s="162" t="s">
        <v>217</v>
      </c>
      <c r="C212" s="46" t="s">
        <v>182</v>
      </c>
      <c r="D212" s="87">
        <v>6.16</v>
      </c>
      <c r="E212" s="159"/>
      <c r="F212" s="104">
        <f t="shared" si="2"/>
        <v>0</v>
      </c>
    </row>
    <row r="213" spans="1:6" hidden="1">
      <c r="A213" s="91"/>
      <c r="B213" s="161" t="s">
        <v>218</v>
      </c>
      <c r="C213" s="46" t="s">
        <v>182</v>
      </c>
      <c r="D213" s="87">
        <v>36</v>
      </c>
      <c r="E213" s="159"/>
      <c r="F213" s="104">
        <f t="shared" si="2"/>
        <v>0</v>
      </c>
    </row>
    <row r="214" spans="1:6" hidden="1">
      <c r="A214" s="91"/>
      <c r="B214" s="162" t="s">
        <v>219</v>
      </c>
      <c r="C214" s="46" t="s">
        <v>182</v>
      </c>
      <c r="D214" s="87">
        <v>13.24</v>
      </c>
      <c r="E214" s="159"/>
      <c r="F214" s="104">
        <f t="shared" si="2"/>
        <v>0</v>
      </c>
    </row>
    <row r="215" spans="1:6" hidden="1">
      <c r="A215" s="91"/>
      <c r="B215" s="162" t="s">
        <v>220</v>
      </c>
      <c r="C215" s="46" t="s">
        <v>182</v>
      </c>
      <c r="D215" s="87">
        <v>19.02</v>
      </c>
      <c r="E215" s="159"/>
      <c r="F215" s="104">
        <f t="shared" si="2"/>
        <v>0</v>
      </c>
    </row>
    <row r="216" spans="1:6" hidden="1">
      <c r="A216" s="91"/>
      <c r="B216" s="161" t="s">
        <v>221</v>
      </c>
      <c r="C216" s="46" t="s">
        <v>182</v>
      </c>
      <c r="D216" s="87">
        <v>10</v>
      </c>
      <c r="E216" s="159"/>
      <c r="F216" s="104">
        <f t="shared" si="2"/>
        <v>0</v>
      </c>
    </row>
    <row r="217" spans="1:6" hidden="1">
      <c r="A217" s="91"/>
      <c r="B217" s="162" t="s">
        <v>222</v>
      </c>
      <c r="C217" s="46" t="s">
        <v>182</v>
      </c>
      <c r="D217" s="87">
        <v>175</v>
      </c>
      <c r="E217" s="159"/>
      <c r="F217" s="104">
        <f t="shared" si="2"/>
        <v>0</v>
      </c>
    </row>
    <row r="218" spans="1:6" hidden="1">
      <c r="A218" s="91"/>
      <c r="B218" s="162" t="s">
        <v>223</v>
      </c>
      <c r="C218" s="46" t="s">
        <v>182</v>
      </c>
      <c r="D218" s="87">
        <v>14</v>
      </c>
      <c r="E218" s="159"/>
      <c r="F218" s="104">
        <f t="shared" si="2"/>
        <v>0</v>
      </c>
    </row>
    <row r="219" spans="1:6" hidden="1">
      <c r="A219" s="91"/>
      <c r="B219" s="161" t="s">
        <v>224</v>
      </c>
      <c r="C219" s="46" t="s">
        <v>182</v>
      </c>
      <c r="D219" s="87">
        <v>29.1</v>
      </c>
      <c r="E219" s="159"/>
      <c r="F219" s="104">
        <f t="shared" si="2"/>
        <v>0</v>
      </c>
    </row>
    <row r="220" spans="1:6" hidden="1">
      <c r="A220" s="91"/>
      <c r="B220" s="162" t="s">
        <v>225</v>
      </c>
      <c r="C220" s="46" t="s">
        <v>182</v>
      </c>
      <c r="D220" s="87">
        <v>29.1</v>
      </c>
      <c r="E220" s="159"/>
      <c r="F220" s="104">
        <f t="shared" si="2"/>
        <v>0</v>
      </c>
    </row>
    <row r="221" spans="1:6" hidden="1">
      <c r="A221" s="91"/>
      <c r="B221" s="162" t="s">
        <v>226</v>
      </c>
      <c r="C221" s="46" t="s">
        <v>182</v>
      </c>
      <c r="D221" s="87">
        <v>128</v>
      </c>
      <c r="E221" s="159"/>
      <c r="F221" s="104">
        <f t="shared" si="2"/>
        <v>0</v>
      </c>
    </row>
    <row r="222" spans="1:6" hidden="1">
      <c r="A222" s="91"/>
      <c r="B222" s="161" t="s">
        <v>227</v>
      </c>
      <c r="C222" s="46" t="s">
        <v>182</v>
      </c>
      <c r="D222" s="87">
        <v>3.3</v>
      </c>
      <c r="E222" s="159"/>
      <c r="F222" s="104">
        <f t="shared" si="2"/>
        <v>0</v>
      </c>
    </row>
    <row r="223" spans="1:6" hidden="1">
      <c r="A223" s="91"/>
      <c r="B223" s="162" t="s">
        <v>228</v>
      </c>
      <c r="C223" s="46" t="s">
        <v>182</v>
      </c>
      <c r="D223" s="87">
        <v>45.5</v>
      </c>
      <c r="E223" s="159"/>
      <c r="F223" s="104">
        <f t="shared" si="2"/>
        <v>0</v>
      </c>
    </row>
    <row r="224" spans="1:6" hidden="1">
      <c r="A224" s="91"/>
      <c r="B224" s="162" t="s">
        <v>229</v>
      </c>
      <c r="C224" s="46" t="s">
        <v>182</v>
      </c>
      <c r="D224" s="87">
        <v>51</v>
      </c>
      <c r="E224" s="159"/>
      <c r="F224" s="104">
        <f t="shared" si="2"/>
        <v>0</v>
      </c>
    </row>
    <row r="225" spans="2:6" hidden="1">
      <c r="B225" s="161" t="s">
        <v>230</v>
      </c>
      <c r="C225" s="46" t="s">
        <v>182</v>
      </c>
      <c r="D225" s="87">
        <v>11.5</v>
      </c>
      <c r="E225" s="159"/>
      <c r="F225" s="104">
        <f t="shared" si="2"/>
        <v>0</v>
      </c>
    </row>
    <row r="226" spans="2:6" hidden="1">
      <c r="B226" s="161" t="s">
        <v>231</v>
      </c>
      <c r="C226" s="46" t="s">
        <v>182</v>
      </c>
      <c r="D226" s="163">
        <v>25.94</v>
      </c>
      <c r="E226" s="159"/>
      <c r="F226" s="104">
        <f t="shared" si="2"/>
        <v>0</v>
      </c>
    </row>
    <row r="227" spans="2:6" hidden="1">
      <c r="B227" s="161" t="s">
        <v>232</v>
      </c>
      <c r="C227" s="46" t="s">
        <v>182</v>
      </c>
      <c r="D227" s="163">
        <v>60</v>
      </c>
      <c r="E227" s="159"/>
      <c r="F227" s="104">
        <f t="shared" si="2"/>
        <v>0</v>
      </c>
    </row>
    <row r="228" spans="2:6" hidden="1">
      <c r="B228" s="161" t="s">
        <v>233</v>
      </c>
      <c r="C228" s="46" t="s">
        <v>182</v>
      </c>
      <c r="D228" s="163">
        <v>10.8</v>
      </c>
      <c r="E228" s="159"/>
      <c r="F228" s="104">
        <f t="shared" si="2"/>
        <v>0</v>
      </c>
    </row>
    <row r="229" spans="2:6" hidden="1">
      <c r="B229" s="161" t="s">
        <v>234</v>
      </c>
      <c r="C229" s="46" t="s">
        <v>182</v>
      </c>
      <c r="D229" s="164">
        <v>7.68</v>
      </c>
      <c r="E229" s="159"/>
      <c r="F229" s="104">
        <f t="shared" si="2"/>
        <v>0</v>
      </c>
    </row>
    <row r="230" spans="2:6" hidden="1">
      <c r="B230" s="161" t="s">
        <v>235</v>
      </c>
      <c r="C230" s="46" t="s">
        <v>182</v>
      </c>
      <c r="D230" s="164">
        <v>8.5</v>
      </c>
      <c r="E230" s="159"/>
      <c r="F230" s="104">
        <f t="shared" si="2"/>
        <v>0</v>
      </c>
    </row>
    <row r="231" spans="2:6" hidden="1">
      <c r="B231" s="161" t="s">
        <v>236</v>
      </c>
      <c r="C231" s="46" t="s">
        <v>182</v>
      </c>
      <c r="D231" s="164">
        <v>6.75</v>
      </c>
      <c r="E231" s="159"/>
      <c r="F231" s="104">
        <f t="shared" si="2"/>
        <v>0</v>
      </c>
    </row>
    <row r="232" spans="2:6" hidden="1">
      <c r="B232" s="161" t="s">
        <v>237</v>
      </c>
      <c r="C232" s="46" t="s">
        <v>182</v>
      </c>
      <c r="D232" s="164">
        <v>4</v>
      </c>
      <c r="E232" s="159"/>
      <c r="F232" s="104">
        <f t="shared" si="2"/>
        <v>0</v>
      </c>
    </row>
    <row r="233" spans="2:6" hidden="1">
      <c r="B233" s="161" t="s">
        <v>238</v>
      </c>
      <c r="C233" s="46" t="s">
        <v>182</v>
      </c>
      <c r="D233" s="164">
        <v>276.64999999999998</v>
      </c>
      <c r="E233" s="159"/>
      <c r="F233" s="104">
        <f t="shared" si="2"/>
        <v>0</v>
      </c>
    </row>
    <row r="234" spans="2:6" hidden="1">
      <c r="B234" s="161" t="s">
        <v>239</v>
      </c>
      <c r="C234" s="46" t="s">
        <v>182</v>
      </c>
      <c r="D234" s="164">
        <v>54.4</v>
      </c>
      <c r="E234" s="159"/>
      <c r="F234" s="104">
        <f t="shared" si="2"/>
        <v>0</v>
      </c>
    </row>
    <row r="235" spans="2:6" hidden="1">
      <c r="B235" s="161" t="s">
        <v>240</v>
      </c>
      <c r="C235" s="46" t="s">
        <v>182</v>
      </c>
      <c r="D235" s="164">
        <v>30.9</v>
      </c>
      <c r="E235" s="159"/>
      <c r="F235" s="104">
        <f t="shared" si="2"/>
        <v>0</v>
      </c>
    </row>
    <row r="236" spans="2:6" hidden="1">
      <c r="B236" s="161" t="s">
        <v>241</v>
      </c>
      <c r="C236" s="46" t="s">
        <v>182</v>
      </c>
      <c r="D236" s="164">
        <v>13.5</v>
      </c>
      <c r="E236" s="159"/>
      <c r="F236" s="104">
        <f t="shared" si="2"/>
        <v>0</v>
      </c>
    </row>
    <row r="237" spans="2:6" hidden="1">
      <c r="B237" s="161" t="s">
        <v>242</v>
      </c>
      <c r="C237" s="46" t="s">
        <v>182</v>
      </c>
      <c r="D237" s="164">
        <v>7</v>
      </c>
      <c r="E237" s="159"/>
      <c r="F237" s="104">
        <f t="shared" si="2"/>
        <v>0</v>
      </c>
    </row>
    <row r="238" spans="2:6" hidden="1">
      <c r="B238" s="161" t="s">
        <v>243</v>
      </c>
      <c r="C238" s="46" t="s">
        <v>182</v>
      </c>
      <c r="D238" s="164">
        <v>8.4</v>
      </c>
      <c r="E238" s="159"/>
      <c r="F238" s="104">
        <f t="shared" si="2"/>
        <v>0</v>
      </c>
    </row>
    <row r="239" spans="2:6" hidden="1">
      <c r="B239" s="161" t="s">
        <v>244</v>
      </c>
      <c r="C239" s="46" t="s">
        <v>182</v>
      </c>
      <c r="D239" s="164">
        <v>4.2</v>
      </c>
      <c r="E239" s="159"/>
      <c r="F239" s="104">
        <f t="shared" si="2"/>
        <v>0</v>
      </c>
    </row>
    <row r="240" spans="2:6" hidden="1">
      <c r="B240" s="161" t="s">
        <v>245</v>
      </c>
      <c r="C240" s="46" t="s">
        <v>182</v>
      </c>
      <c r="D240" s="164">
        <v>6.5</v>
      </c>
      <c r="E240" s="159"/>
      <c r="F240" s="104">
        <f t="shared" si="2"/>
        <v>0</v>
      </c>
    </row>
    <row r="241" spans="1:6" hidden="1">
      <c r="B241" s="161" t="s">
        <v>246</v>
      </c>
      <c r="C241" s="46" t="s">
        <v>182</v>
      </c>
      <c r="D241" s="164">
        <v>5</v>
      </c>
      <c r="E241" s="159"/>
      <c r="F241" s="104">
        <f t="shared" si="2"/>
        <v>0</v>
      </c>
    </row>
    <row r="242" spans="1:6" hidden="1">
      <c r="B242" s="161" t="s">
        <v>247</v>
      </c>
      <c r="C242" s="46" t="s">
        <v>182</v>
      </c>
      <c r="D242" s="164">
        <v>5.5</v>
      </c>
      <c r="E242" s="159"/>
      <c r="F242" s="104">
        <f t="shared" si="2"/>
        <v>0</v>
      </c>
    </row>
    <row r="243" spans="1:6" hidden="1">
      <c r="B243" s="161" t="s">
        <v>248</v>
      </c>
      <c r="C243" s="46" t="s">
        <v>182</v>
      </c>
      <c r="D243" s="164">
        <v>2.5</v>
      </c>
      <c r="E243" s="159"/>
      <c r="F243" s="104">
        <f t="shared" si="2"/>
        <v>0</v>
      </c>
    </row>
    <row r="244" spans="1:6" hidden="1">
      <c r="B244" s="161" t="s">
        <v>249</v>
      </c>
      <c r="C244" s="46" t="s">
        <v>182</v>
      </c>
      <c r="D244" s="164">
        <v>4.75</v>
      </c>
      <c r="E244" s="159"/>
      <c r="F244" s="104">
        <f t="shared" si="2"/>
        <v>0</v>
      </c>
    </row>
    <row r="245" spans="1:6" hidden="1">
      <c r="B245" s="161" t="s">
        <v>250</v>
      </c>
      <c r="C245" s="46" t="s">
        <v>182</v>
      </c>
      <c r="D245" s="164">
        <v>11.5</v>
      </c>
      <c r="E245" s="159"/>
      <c r="F245" s="104">
        <f t="shared" si="2"/>
        <v>0</v>
      </c>
    </row>
    <row r="246" spans="1:6" hidden="1">
      <c r="B246" s="161" t="s">
        <v>251</v>
      </c>
      <c r="C246" s="46" t="s">
        <v>182</v>
      </c>
      <c r="D246" s="164">
        <v>5.5</v>
      </c>
      <c r="E246" s="159"/>
      <c r="F246" s="104">
        <f t="shared" si="2"/>
        <v>0</v>
      </c>
    </row>
    <row r="247" spans="1:6" hidden="1">
      <c r="B247" s="161" t="s">
        <v>252</v>
      </c>
      <c r="C247" s="46" t="s">
        <v>182</v>
      </c>
      <c r="D247" s="164">
        <v>4.75</v>
      </c>
      <c r="E247" s="159"/>
      <c r="F247" s="104">
        <f t="shared" si="2"/>
        <v>0</v>
      </c>
    </row>
    <row r="248" spans="1:6" hidden="1">
      <c r="B248" s="162" t="s">
        <v>253</v>
      </c>
      <c r="C248" s="46" t="s">
        <v>182</v>
      </c>
      <c r="D248" s="164">
        <v>18.2</v>
      </c>
      <c r="E248" s="159"/>
      <c r="F248" s="104">
        <f t="shared" si="2"/>
        <v>0</v>
      </c>
    </row>
    <row r="249" spans="1:6" hidden="1">
      <c r="B249" s="165" t="s">
        <v>254</v>
      </c>
      <c r="C249" s="166" t="s">
        <v>182</v>
      </c>
      <c r="D249" s="167">
        <f>0.77*8</f>
        <v>6.16</v>
      </c>
      <c r="E249" s="168"/>
      <c r="F249" s="167">
        <f t="shared" si="2"/>
        <v>0</v>
      </c>
    </row>
    <row r="250" spans="1:6" hidden="1">
      <c r="B250" s="165" t="s">
        <v>255</v>
      </c>
      <c r="C250" s="166" t="s">
        <v>182</v>
      </c>
      <c r="D250" s="167">
        <f>0.8*8</f>
        <v>6.4</v>
      </c>
      <c r="E250" s="168"/>
      <c r="F250" s="167">
        <f t="shared" si="2"/>
        <v>0</v>
      </c>
    </row>
    <row r="251" spans="1:6" hidden="1">
      <c r="B251" s="165" t="s">
        <v>256</v>
      </c>
      <c r="C251" s="166" t="s">
        <v>182</v>
      </c>
      <c r="D251" s="167">
        <v>20</v>
      </c>
      <c r="E251" s="168"/>
      <c r="F251" s="167">
        <f t="shared" si="2"/>
        <v>0</v>
      </c>
    </row>
    <row r="252" spans="1:6" hidden="1">
      <c r="B252" s="169"/>
      <c r="C252" s="91"/>
      <c r="D252" s="87"/>
      <c r="E252" s="159"/>
      <c r="F252" s="104"/>
    </row>
    <row r="253" spans="1:6" ht="25.5" hidden="1">
      <c r="A253" s="72">
        <f>MAX(A191:A252)+1</f>
        <v>21</v>
      </c>
      <c r="B253" s="170" t="s">
        <v>257</v>
      </c>
      <c r="C253" s="91"/>
      <c r="D253" s="87"/>
      <c r="E253" s="159"/>
      <c r="F253" s="104"/>
    </row>
    <row r="254" spans="1:6" ht="25.5" hidden="1">
      <c r="B254" s="161" t="s">
        <v>258</v>
      </c>
      <c r="C254" s="91"/>
      <c r="D254" s="87"/>
      <c r="E254" s="159"/>
      <c r="F254" s="104"/>
    </row>
    <row r="255" spans="1:6" ht="51" hidden="1">
      <c r="B255" s="98" t="s">
        <v>259</v>
      </c>
      <c r="C255" s="91"/>
      <c r="D255" s="87"/>
      <c r="E255" s="159"/>
      <c r="F255" s="104"/>
    </row>
    <row r="256" spans="1:6" ht="51" hidden="1">
      <c r="B256" s="35" t="s">
        <v>260</v>
      </c>
      <c r="C256" s="91"/>
      <c r="D256" s="87"/>
      <c r="E256" s="159"/>
      <c r="F256" s="104"/>
    </row>
    <row r="257" spans="1:6" ht="63.75" hidden="1">
      <c r="B257" s="35" t="s">
        <v>261</v>
      </c>
      <c r="C257" s="91"/>
      <c r="D257" s="87"/>
      <c r="E257" s="159"/>
      <c r="F257" s="104"/>
    </row>
    <row r="258" spans="1:6" ht="25.5" hidden="1">
      <c r="B258" s="113" t="s">
        <v>262</v>
      </c>
      <c r="C258" s="91"/>
      <c r="D258" s="87"/>
      <c r="E258" s="159"/>
      <c r="F258" s="104"/>
    </row>
    <row r="259" spans="1:6" ht="38.25" hidden="1">
      <c r="B259" s="35" t="s">
        <v>263</v>
      </c>
      <c r="C259" s="166"/>
      <c r="D259" s="167"/>
      <c r="E259" s="168"/>
      <c r="F259" s="167"/>
    </row>
    <row r="260" spans="1:6" hidden="1">
      <c r="B260" s="161" t="s">
        <v>264</v>
      </c>
      <c r="C260" s="46" t="s">
        <v>182</v>
      </c>
      <c r="D260" s="164">
        <v>12.8</v>
      </c>
      <c r="E260" s="159"/>
      <c r="F260" s="104">
        <f>ROUND(D260*E260,2)</f>
        <v>0</v>
      </c>
    </row>
    <row r="261" spans="1:6" hidden="1">
      <c r="B261" s="161" t="s">
        <v>265</v>
      </c>
      <c r="C261" s="46" t="s">
        <v>182</v>
      </c>
      <c r="D261" s="164">
        <v>27.76</v>
      </c>
      <c r="E261" s="159"/>
      <c r="F261" s="104">
        <f>ROUND(D261*E261,2)</f>
        <v>0</v>
      </c>
    </row>
    <row r="262" spans="1:6" hidden="1">
      <c r="B262" s="161" t="s">
        <v>266</v>
      </c>
      <c r="C262" s="46" t="s">
        <v>182</v>
      </c>
      <c r="D262" s="164">
        <v>16.5</v>
      </c>
      <c r="E262" s="159"/>
      <c r="F262" s="104">
        <f>ROUND(D262*E262,2)</f>
        <v>0</v>
      </c>
    </row>
    <row r="263" spans="1:6" hidden="1">
      <c r="B263" s="169"/>
      <c r="C263" s="91"/>
      <c r="D263" s="87"/>
      <c r="E263" s="159"/>
      <c r="F263" s="104"/>
    </row>
    <row r="264" spans="1:6" ht="41.25" hidden="1" customHeight="1">
      <c r="A264" s="72">
        <f>MAX(A202:A263)+1</f>
        <v>22</v>
      </c>
      <c r="B264" s="117" t="s">
        <v>267</v>
      </c>
      <c r="C264" s="91"/>
      <c r="D264" s="87"/>
      <c r="E264" s="159"/>
      <c r="F264" s="104"/>
    </row>
    <row r="265" spans="1:6" ht="51" hidden="1">
      <c r="B265" s="98" t="s">
        <v>268</v>
      </c>
      <c r="C265" s="91"/>
      <c r="D265" s="87"/>
      <c r="E265" s="159"/>
      <c r="F265" s="104"/>
    </row>
    <row r="266" spans="1:6" ht="25.5" hidden="1">
      <c r="B266" s="98" t="s">
        <v>269</v>
      </c>
      <c r="C266" s="91"/>
      <c r="D266" s="87"/>
      <c r="E266" s="159"/>
      <c r="F266" s="104"/>
    </row>
    <row r="267" spans="1:6" ht="127.5" hidden="1" customHeight="1">
      <c r="B267" s="35" t="s">
        <v>270</v>
      </c>
      <c r="C267" s="91"/>
      <c r="D267" s="87"/>
      <c r="E267" s="159"/>
      <c r="F267" s="104"/>
    </row>
    <row r="268" spans="1:6" ht="240" hidden="1" customHeight="1">
      <c r="B268" s="35" t="s">
        <v>271</v>
      </c>
      <c r="C268" s="91"/>
      <c r="D268" s="87"/>
      <c r="E268" s="159"/>
      <c r="F268" s="104"/>
    </row>
    <row r="269" spans="1:6" ht="118.5" hidden="1" customHeight="1">
      <c r="B269" s="35" t="s">
        <v>272</v>
      </c>
      <c r="C269" s="91"/>
      <c r="D269" s="87"/>
      <c r="E269" s="159"/>
      <c r="F269" s="104"/>
    </row>
    <row r="270" spans="1:6" ht="60" hidden="1" customHeight="1">
      <c r="B270" s="35" t="s">
        <v>273</v>
      </c>
      <c r="C270" s="91"/>
      <c r="D270" s="87"/>
      <c r="E270" s="159"/>
      <c r="F270" s="104"/>
    </row>
    <row r="271" spans="1:6" ht="25.5" hidden="1">
      <c r="B271" s="35" t="s">
        <v>274</v>
      </c>
      <c r="C271" s="91"/>
      <c r="D271" s="87"/>
      <c r="E271" s="159"/>
      <c r="F271" s="104"/>
    </row>
    <row r="272" spans="1:6" ht="51" hidden="1">
      <c r="B272" s="171" t="s">
        <v>275</v>
      </c>
      <c r="C272" s="91"/>
      <c r="D272" s="87"/>
      <c r="E272" s="159"/>
      <c r="F272" s="104"/>
    </row>
    <row r="273" spans="1:6" ht="38.25" hidden="1">
      <c r="B273" s="171" t="s">
        <v>276</v>
      </c>
      <c r="C273" s="91"/>
      <c r="D273" s="87"/>
      <c r="E273" s="159"/>
      <c r="F273" s="104"/>
    </row>
    <row r="274" spans="1:6" ht="38.25" hidden="1">
      <c r="B274" s="35" t="s">
        <v>277</v>
      </c>
      <c r="C274" s="91"/>
      <c r="D274" s="87"/>
      <c r="E274" s="159"/>
      <c r="F274" s="104"/>
    </row>
    <row r="275" spans="1:6" hidden="1">
      <c r="B275" s="75" t="s">
        <v>278</v>
      </c>
      <c r="C275" s="91"/>
      <c r="D275" s="87"/>
      <c r="E275" s="159"/>
      <c r="F275" s="104"/>
    </row>
    <row r="276" spans="1:6" hidden="1">
      <c r="B276" s="35" t="s">
        <v>279</v>
      </c>
      <c r="C276" s="91" t="s">
        <v>63</v>
      </c>
      <c r="D276" s="87">
        <v>72</v>
      </c>
      <c r="E276" s="159"/>
      <c r="F276" s="167">
        <f>ROUND(D276*E276,2)</f>
        <v>0</v>
      </c>
    </row>
    <row r="277" spans="1:6">
      <c r="B277" s="172"/>
      <c r="C277" s="91"/>
      <c r="D277" s="87"/>
      <c r="E277" s="159"/>
      <c r="F277" s="104"/>
    </row>
    <row r="278" spans="1:6" ht="25.5">
      <c r="A278" s="72">
        <f>MAX(A202:A264)+1</f>
        <v>23</v>
      </c>
      <c r="B278" s="119" t="s">
        <v>280</v>
      </c>
      <c r="C278" s="173"/>
      <c r="D278" s="99"/>
      <c r="E278" s="174"/>
      <c r="F278" s="99"/>
    </row>
    <row r="279" spans="1:6" ht="25.5">
      <c r="A279" s="120"/>
      <c r="B279" s="74" t="s">
        <v>281</v>
      </c>
      <c r="C279" s="173"/>
      <c r="D279" s="99"/>
      <c r="E279" s="174"/>
      <c r="F279" s="99"/>
    </row>
    <row r="280" spans="1:6" ht="38.25">
      <c r="A280" s="120"/>
      <c r="B280" s="74" t="s">
        <v>282</v>
      </c>
      <c r="C280" s="173"/>
      <c r="D280" s="99"/>
      <c r="E280" s="174"/>
      <c r="F280" s="99"/>
    </row>
    <row r="281" spans="1:6" ht="38.25">
      <c r="A281" s="120"/>
      <c r="B281" s="74" t="s">
        <v>283</v>
      </c>
      <c r="C281" s="173"/>
      <c r="D281" s="99"/>
      <c r="E281" s="174"/>
      <c r="F281" s="99"/>
    </row>
    <row r="282" spans="1:6" ht="116.25" customHeight="1">
      <c r="A282" s="120"/>
      <c r="B282" s="74" t="s">
        <v>284</v>
      </c>
      <c r="C282" s="173"/>
      <c r="D282" s="99"/>
      <c r="E282" s="174"/>
      <c r="F282" s="99"/>
    </row>
    <row r="283" spans="1:6" ht="126" customHeight="1">
      <c r="A283" s="120"/>
      <c r="B283" s="74" t="s">
        <v>285</v>
      </c>
      <c r="C283" s="173"/>
      <c r="D283" s="99"/>
      <c r="E283" s="174"/>
      <c r="F283" s="99"/>
    </row>
    <row r="284" spans="1:6" ht="60.75" customHeight="1">
      <c r="A284" s="120"/>
      <c r="B284" s="74" t="s">
        <v>286</v>
      </c>
      <c r="C284" s="173"/>
      <c r="D284" s="99"/>
      <c r="E284" s="174"/>
      <c r="F284" s="99"/>
    </row>
    <row r="285" spans="1:6" ht="98.25" customHeight="1">
      <c r="A285" s="120"/>
      <c r="B285" s="74" t="s">
        <v>287</v>
      </c>
      <c r="C285" s="173"/>
      <c r="D285" s="99"/>
      <c r="E285" s="174"/>
      <c r="F285" s="99"/>
    </row>
    <row r="286" spans="1:6" ht="115.5" customHeight="1">
      <c r="A286" s="120"/>
      <c r="B286" s="74" t="s">
        <v>288</v>
      </c>
      <c r="C286" s="173"/>
      <c r="D286" s="99"/>
      <c r="E286" s="174"/>
      <c r="F286" s="99"/>
    </row>
    <row r="287" spans="1:6" ht="166.5" customHeight="1">
      <c r="A287" s="175"/>
      <c r="B287" s="39" t="s">
        <v>289</v>
      </c>
      <c r="C287" s="173"/>
      <c r="D287" s="99"/>
      <c r="E287" s="174"/>
      <c r="F287" s="99"/>
    </row>
    <row r="288" spans="1:6" ht="60" customHeight="1">
      <c r="A288" s="175"/>
      <c r="B288" s="35" t="s">
        <v>290</v>
      </c>
      <c r="C288" s="173"/>
      <c r="D288" s="99"/>
      <c r="E288" s="174"/>
      <c r="F288" s="99"/>
    </row>
    <row r="289" spans="1:6" ht="107.25" customHeight="1">
      <c r="A289" s="175"/>
      <c r="B289" s="35" t="s">
        <v>291</v>
      </c>
      <c r="C289" s="173"/>
      <c r="D289" s="99"/>
      <c r="E289" s="174"/>
      <c r="F289" s="99"/>
    </row>
    <row r="290" spans="1:6" ht="25.5">
      <c r="A290" s="175"/>
      <c r="B290" s="35" t="s">
        <v>292</v>
      </c>
      <c r="C290" s="173"/>
      <c r="D290" s="99"/>
      <c r="E290" s="174"/>
      <c r="F290" s="99"/>
    </row>
    <row r="291" spans="1:6" ht="25.5">
      <c r="A291" s="175"/>
      <c r="B291" s="35" t="s">
        <v>201</v>
      </c>
      <c r="C291" s="173"/>
      <c r="D291" s="99"/>
      <c r="E291" s="174"/>
      <c r="F291" s="99"/>
    </row>
    <row r="292" spans="1:6" ht="25.5">
      <c r="A292" s="175"/>
      <c r="B292" s="35" t="s">
        <v>293</v>
      </c>
      <c r="C292" s="46" t="s">
        <v>63</v>
      </c>
      <c r="D292" s="176">
        <v>1900</v>
      </c>
      <c r="E292" s="103">
        <v>88</v>
      </c>
      <c r="F292" s="104">
        <f>ROUND(D292*E292,2)</f>
        <v>167200</v>
      </c>
    </row>
    <row r="293" spans="1:6" ht="51">
      <c r="A293" s="175"/>
      <c r="B293" s="149" t="s">
        <v>354</v>
      </c>
      <c r="D293" s="176"/>
      <c r="E293" s="103"/>
      <c r="F293" s="104"/>
    </row>
    <row r="294" spans="1:6" ht="25.5">
      <c r="A294" s="72">
        <f>MAX(A214:A293)+1</f>
        <v>24</v>
      </c>
      <c r="B294" s="119" t="s">
        <v>280</v>
      </c>
      <c r="C294" s="173"/>
      <c r="D294" s="99"/>
      <c r="E294" s="174"/>
      <c r="F294" s="99"/>
    </row>
    <row r="295" spans="1:6" s="83" customFormat="1" ht="25.5">
      <c r="A295" s="177"/>
      <c r="B295" s="74" t="s">
        <v>294</v>
      </c>
      <c r="C295" s="144"/>
      <c r="D295" s="178"/>
      <c r="E295" s="179"/>
      <c r="F295" s="178"/>
    </row>
    <row r="296" spans="1:6" ht="25.5">
      <c r="A296" s="120"/>
      <c r="B296" s="74" t="s">
        <v>295</v>
      </c>
      <c r="C296" s="173"/>
      <c r="D296" s="99"/>
      <c r="E296" s="174"/>
      <c r="F296" s="99"/>
    </row>
    <row r="297" spans="1:6" ht="25.5">
      <c r="A297" s="120"/>
      <c r="B297" s="74" t="s">
        <v>296</v>
      </c>
      <c r="C297" s="173"/>
      <c r="D297" s="99"/>
      <c r="E297" s="174"/>
      <c r="F297" s="99"/>
    </row>
    <row r="298" spans="1:6" ht="38.25">
      <c r="A298" s="120"/>
      <c r="B298" s="35" t="s">
        <v>297</v>
      </c>
      <c r="C298" s="173"/>
      <c r="D298" s="99"/>
      <c r="E298" s="174"/>
      <c r="F298" s="99"/>
    </row>
    <row r="299" spans="1:6" ht="38.25">
      <c r="A299" s="120"/>
      <c r="B299" s="74" t="s">
        <v>283</v>
      </c>
      <c r="C299" s="173"/>
      <c r="D299" s="99"/>
      <c r="E299" s="174"/>
      <c r="F299" s="99"/>
    </row>
    <row r="300" spans="1:6" ht="108" customHeight="1">
      <c r="A300" s="120"/>
      <c r="B300" s="74" t="s">
        <v>284</v>
      </c>
      <c r="C300" s="173"/>
      <c r="D300" s="99"/>
      <c r="E300" s="174"/>
      <c r="F300" s="99"/>
    </row>
    <row r="301" spans="1:6" ht="120" customHeight="1">
      <c r="A301" s="120"/>
      <c r="B301" s="74" t="s">
        <v>285</v>
      </c>
      <c r="C301" s="173"/>
      <c r="D301" s="99"/>
      <c r="E301" s="174"/>
      <c r="F301" s="99"/>
    </row>
    <row r="302" spans="1:6" ht="105.75" customHeight="1">
      <c r="A302" s="120"/>
      <c r="B302" s="74" t="s">
        <v>287</v>
      </c>
      <c r="C302" s="173"/>
      <c r="D302" s="99"/>
      <c r="E302" s="174"/>
      <c r="F302" s="99"/>
    </row>
    <row r="303" spans="1:6" ht="111.75" customHeight="1">
      <c r="A303" s="120"/>
      <c r="B303" s="74" t="s">
        <v>288</v>
      </c>
      <c r="C303" s="173"/>
      <c r="D303" s="99"/>
      <c r="E303" s="174"/>
      <c r="F303" s="99"/>
    </row>
    <row r="304" spans="1:6" ht="159" customHeight="1">
      <c r="A304" s="175"/>
      <c r="B304" s="39" t="s">
        <v>289</v>
      </c>
      <c r="C304" s="173"/>
      <c r="D304" s="99"/>
      <c r="E304" s="174"/>
      <c r="F304" s="99"/>
    </row>
    <row r="305" spans="1:6" ht="63" customHeight="1">
      <c r="A305" s="175"/>
      <c r="B305" s="35" t="s">
        <v>290</v>
      </c>
      <c r="C305" s="173"/>
      <c r="D305" s="99"/>
      <c r="E305" s="174"/>
      <c r="F305" s="99"/>
    </row>
    <row r="306" spans="1:6" ht="76.5">
      <c r="A306" s="175"/>
      <c r="B306" s="35" t="s">
        <v>291</v>
      </c>
      <c r="C306" s="173"/>
      <c r="D306" s="99"/>
      <c r="E306" s="174"/>
      <c r="F306" s="99"/>
    </row>
    <row r="307" spans="1:6" ht="25.5">
      <c r="A307" s="175"/>
      <c r="B307" s="35" t="s">
        <v>292</v>
      </c>
      <c r="C307" s="173"/>
      <c r="D307" s="99"/>
      <c r="E307" s="174"/>
      <c r="F307" s="99"/>
    </row>
    <row r="308" spans="1:6" ht="38.25">
      <c r="A308" s="175"/>
      <c r="B308" s="171" t="s">
        <v>298</v>
      </c>
      <c r="C308" s="173"/>
      <c r="D308" s="99"/>
      <c r="E308" s="174"/>
      <c r="F308" s="99"/>
    </row>
    <row r="309" spans="1:6" ht="25.5">
      <c r="A309" s="175"/>
      <c r="B309" s="35" t="s">
        <v>201</v>
      </c>
      <c r="C309" s="173"/>
      <c r="D309" s="99"/>
      <c r="E309" s="174"/>
      <c r="F309" s="99"/>
    </row>
    <row r="310" spans="1:6" ht="25.5">
      <c r="A310" s="175"/>
      <c r="B310" s="35" t="s">
        <v>293</v>
      </c>
      <c r="C310" s="46" t="s">
        <v>63</v>
      </c>
      <c r="D310" s="176">
        <v>990</v>
      </c>
      <c r="E310" s="103">
        <v>78</v>
      </c>
      <c r="F310" s="104">
        <f>ROUND(D310*E310,2)</f>
        <v>77220</v>
      </c>
    </row>
    <row r="311" spans="1:6" s="83" customFormat="1" ht="51">
      <c r="A311" s="177"/>
      <c r="B311" s="149" t="s">
        <v>353</v>
      </c>
      <c r="C311" s="144"/>
      <c r="D311" s="145"/>
      <c r="E311" s="146"/>
      <c r="F311" s="147"/>
    </row>
    <row r="312" spans="1:6">
      <c r="A312" s="72">
        <f>MAX(A232:A311)+1</f>
        <v>25</v>
      </c>
      <c r="B312" s="70" t="s">
        <v>299</v>
      </c>
      <c r="D312" s="99"/>
      <c r="E312" s="78"/>
      <c r="F312" s="77"/>
    </row>
    <row r="313" spans="1:6" ht="78" customHeight="1">
      <c r="A313" s="92"/>
      <c r="B313" s="35" t="s">
        <v>300</v>
      </c>
      <c r="D313" s="99"/>
      <c r="E313" s="78"/>
      <c r="F313" s="77"/>
    </row>
    <row r="314" spans="1:6" ht="90" customHeight="1">
      <c r="A314" s="92"/>
      <c r="B314" s="35" t="s">
        <v>301</v>
      </c>
      <c r="D314" s="99"/>
      <c r="E314" s="78"/>
      <c r="F314" s="77"/>
    </row>
    <row r="315" spans="1:6" ht="69.75" customHeight="1">
      <c r="A315" s="92"/>
      <c r="B315" s="35" t="s">
        <v>302</v>
      </c>
      <c r="D315" s="99"/>
      <c r="E315" s="78"/>
      <c r="F315" s="77"/>
    </row>
    <row r="316" spans="1:6" ht="99.75" customHeight="1">
      <c r="A316" s="92"/>
      <c r="B316" s="35" t="s">
        <v>291</v>
      </c>
      <c r="D316" s="99"/>
      <c r="E316" s="78"/>
      <c r="F316" s="77"/>
    </row>
    <row r="317" spans="1:6" ht="25.5">
      <c r="A317" s="92"/>
      <c r="B317" s="35" t="s">
        <v>292</v>
      </c>
      <c r="D317" s="99"/>
      <c r="E317" s="78"/>
      <c r="F317" s="77"/>
    </row>
    <row r="318" spans="1:6" ht="25.5">
      <c r="A318" s="92"/>
      <c r="B318" s="35" t="s">
        <v>201</v>
      </c>
      <c r="D318" s="99"/>
      <c r="E318" s="78"/>
      <c r="F318" s="77"/>
    </row>
    <row r="319" spans="1:6">
      <c r="A319" s="180"/>
      <c r="B319" s="35" t="s">
        <v>303</v>
      </c>
      <c r="C319" s="46" t="s">
        <v>63</v>
      </c>
      <c r="D319" s="93">
        <f>D292+D310</f>
        <v>2890</v>
      </c>
      <c r="E319" s="94">
        <v>20</v>
      </c>
      <c r="F319" s="87">
        <f>ROUND(D319*E319,2)</f>
        <v>57800</v>
      </c>
    </row>
    <row r="320" spans="1:6">
      <c r="A320" s="180"/>
      <c r="B320" s="149" t="s">
        <v>352</v>
      </c>
      <c r="D320" s="93"/>
      <c r="E320" s="94"/>
      <c r="F320" s="87"/>
    </row>
    <row r="321" spans="1:6">
      <c r="A321" s="120">
        <f>A312+1</f>
        <v>26</v>
      </c>
      <c r="B321" s="181" t="s">
        <v>304</v>
      </c>
      <c r="C321" s="93"/>
      <c r="D321" s="77"/>
      <c r="E321" s="78"/>
      <c r="F321" s="77"/>
    </row>
    <row r="322" spans="1:6" ht="104.25" customHeight="1">
      <c r="A322" s="46"/>
      <c r="B322" s="75" t="s">
        <v>305</v>
      </c>
      <c r="C322" s="93"/>
      <c r="D322" s="77"/>
      <c r="E322" s="78"/>
      <c r="F322" s="77"/>
    </row>
    <row r="323" spans="1:6">
      <c r="A323" s="46"/>
      <c r="B323" s="75" t="s">
        <v>306</v>
      </c>
      <c r="C323" s="93"/>
      <c r="D323" s="77"/>
      <c r="E323" s="78"/>
      <c r="F323" s="77"/>
    </row>
    <row r="324" spans="1:6">
      <c r="A324" s="182" t="s">
        <v>307</v>
      </c>
      <c r="B324" s="183" t="s">
        <v>308</v>
      </c>
      <c r="C324" s="93" t="s">
        <v>309</v>
      </c>
      <c r="D324" s="93">
        <v>30</v>
      </c>
      <c r="E324" s="159"/>
      <c r="F324" s="87">
        <f t="shared" ref="F324:F326" si="3">ROUND(D324*E324,2)</f>
        <v>0</v>
      </c>
    </row>
    <row r="325" spans="1:6">
      <c r="A325" s="182" t="s">
        <v>310</v>
      </c>
      <c r="B325" s="183" t="s">
        <v>311</v>
      </c>
      <c r="C325" s="93" t="s">
        <v>309</v>
      </c>
      <c r="D325" s="93">
        <v>30</v>
      </c>
      <c r="E325" s="159"/>
      <c r="F325" s="87">
        <f t="shared" si="3"/>
        <v>0</v>
      </c>
    </row>
    <row r="326" spans="1:6">
      <c r="A326" s="182" t="s">
        <v>312</v>
      </c>
      <c r="B326" s="183" t="s">
        <v>313</v>
      </c>
      <c r="C326" s="93" t="s">
        <v>309</v>
      </c>
      <c r="D326" s="93">
        <v>30</v>
      </c>
      <c r="E326" s="159"/>
      <c r="F326" s="87">
        <f t="shared" si="3"/>
        <v>0</v>
      </c>
    </row>
    <row r="327" spans="1:6">
      <c r="B327" s="54"/>
      <c r="D327" s="77"/>
      <c r="E327" s="78"/>
      <c r="F327" s="77"/>
    </row>
    <row r="328" spans="1:6">
      <c r="A328" s="184" t="s">
        <v>47</v>
      </c>
      <c r="B328" s="185" t="s">
        <v>314</v>
      </c>
      <c r="C328" s="186"/>
      <c r="D328" s="187"/>
      <c r="E328" s="188"/>
      <c r="F328" s="189">
        <f>SUM(F2:F327)</f>
        <v>302220</v>
      </c>
    </row>
    <row r="330" spans="1:6">
      <c r="B330" s="190"/>
    </row>
    <row r="332" spans="1:6">
      <c r="B332" s="190"/>
    </row>
  </sheetData>
  <protectedRanges>
    <protectedRange password="C758" sqref="B275 B270:B273" name="Range1_1_1"/>
  </protectedRanges>
  <pageMargins left="0.70866141732283472" right="0.70866141732283472" top="0.98425196850393704" bottom="0.74803149606299213" header="0.31496062992125984" footer="0.31496062992125984"/>
  <pageSetup paperSize="9" scale="56" orientation="portrait" r:id="rId1"/>
  <headerFooter>
    <oddHeader xml:space="preserve">&amp;L&amp;"Agrandir,Regular"&amp;8Naziv projekta: Projekt za cjelovitu obnovu zgrade / Građevina: Palača DHMZ
Investitor: Hrvatski povijesni muzej, Ulica Antuna G.Matoša 9, Zagreb, OIB: 86757663498
Zajednička oznaka projekta: CO_189-2022/2&amp;"-,Regular"&amp;12
</oddHeader>
    <oddFooter>&amp;L&amp;"Agrandir,Regular"&amp;8Zagreb, 06/2024&amp;C&amp;"Agrandir,Regular"&amp;8&amp;A&amp;R&amp;"Agrandir,Regular"&amp;8&amp;P</oddFooter>
  </headerFooter>
  <rowBreaks count="1" manualBreakCount="1">
    <brk id="3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1455-1E36-481F-B9C6-DD45E9915461}">
  <dimension ref="A1:E328"/>
  <sheetViews>
    <sheetView view="pageBreakPreview" zoomScale="80" zoomScaleNormal="100" zoomScaleSheetLayoutView="80" workbookViewId="0">
      <selection activeCell="C12" sqref="C12:C23"/>
    </sheetView>
  </sheetViews>
  <sheetFormatPr defaultColWidth="10.875" defaultRowHeight="12.75"/>
  <cols>
    <col min="1" max="1" width="5.5" style="214" bestFit="1" customWidth="1"/>
    <col min="2" max="2" width="46.375" style="193" customWidth="1"/>
    <col min="3" max="3" width="19.625" style="193" customWidth="1"/>
    <col min="4" max="4" width="10.875" style="193"/>
    <col min="5" max="5" width="12.5" style="193" customWidth="1"/>
    <col min="6" max="16384" width="10.875" style="193"/>
  </cols>
  <sheetData>
    <row r="1" spans="1:5" ht="15">
      <c r="A1" s="191"/>
      <c r="B1" s="192"/>
      <c r="C1" s="192"/>
    </row>
    <row r="2" spans="1:5" ht="15.75">
      <c r="A2" s="194"/>
      <c r="B2" s="195" t="s">
        <v>315</v>
      </c>
      <c r="C2" s="192"/>
    </row>
    <row r="3" spans="1:5" ht="15">
      <c r="A3" s="191"/>
      <c r="B3" s="192"/>
      <c r="C3" s="192"/>
    </row>
    <row r="4" spans="1:5" ht="15">
      <c r="A4" s="191"/>
      <c r="B4" s="192"/>
      <c r="C4" s="192"/>
      <c r="D4" s="32"/>
      <c r="E4" s="32"/>
    </row>
    <row r="5" spans="1:5" ht="15">
      <c r="A5" s="196"/>
      <c r="B5" s="197"/>
      <c r="C5" s="198" t="s">
        <v>316</v>
      </c>
      <c r="D5" s="32"/>
      <c r="E5" s="32"/>
    </row>
    <row r="6" spans="1:5" ht="15">
      <c r="A6" s="199" t="s">
        <v>317</v>
      </c>
      <c r="B6" s="197" t="s">
        <v>318</v>
      </c>
      <c r="C6" s="200"/>
      <c r="D6" s="32"/>
      <c r="E6" s="32"/>
    </row>
    <row r="7" spans="1:5" ht="15">
      <c r="A7" s="199" t="s">
        <v>319</v>
      </c>
      <c r="B7" s="197" t="s">
        <v>320</v>
      </c>
      <c r="C7" s="201"/>
      <c r="D7" s="32"/>
      <c r="E7" s="32"/>
    </row>
    <row r="8" spans="1:5" ht="15">
      <c r="A8" s="199" t="s">
        <v>321</v>
      </c>
      <c r="B8" s="197" t="s">
        <v>322</v>
      </c>
      <c r="C8" s="201"/>
      <c r="D8" s="32"/>
      <c r="E8" s="32"/>
    </row>
    <row r="9" spans="1:5" ht="15">
      <c r="A9" s="199" t="s">
        <v>323</v>
      </c>
      <c r="B9" s="197" t="s">
        <v>324</v>
      </c>
      <c r="C9" s="201"/>
      <c r="D9" s="32"/>
      <c r="E9" s="32"/>
    </row>
    <row r="10" spans="1:5" ht="15">
      <c r="A10" s="199" t="s">
        <v>325</v>
      </c>
      <c r="B10" s="197" t="s">
        <v>326</v>
      </c>
      <c r="C10" s="201"/>
      <c r="D10" s="32"/>
      <c r="E10" s="32"/>
    </row>
    <row r="11" spans="1:5" ht="15">
      <c r="A11" s="199" t="s">
        <v>47</v>
      </c>
      <c r="B11" s="197" t="s">
        <v>48</v>
      </c>
      <c r="C11" s="201">
        <f>'Zidarski radovi'!F328</f>
        <v>302220</v>
      </c>
      <c r="D11" s="32"/>
      <c r="E11" s="32"/>
    </row>
    <row r="12" spans="1:5" ht="15">
      <c r="A12" s="199" t="s">
        <v>327</v>
      </c>
      <c r="B12" s="197" t="s">
        <v>328</v>
      </c>
      <c r="C12" s="201"/>
      <c r="D12" s="32"/>
      <c r="E12" s="32"/>
    </row>
    <row r="13" spans="1:5" ht="15">
      <c r="A13" s="199" t="s">
        <v>329</v>
      </c>
      <c r="B13" s="197" t="s">
        <v>330</v>
      </c>
      <c r="C13" s="200"/>
      <c r="D13" s="32"/>
      <c r="E13" s="32"/>
    </row>
    <row r="14" spans="1:5" ht="15">
      <c r="A14" s="199" t="s">
        <v>331</v>
      </c>
      <c r="B14" s="197" t="s">
        <v>332</v>
      </c>
      <c r="C14" s="201"/>
      <c r="D14" s="32"/>
      <c r="E14" s="32"/>
    </row>
    <row r="15" spans="1:5" ht="15">
      <c r="A15" s="199" t="s">
        <v>333</v>
      </c>
      <c r="B15" s="197" t="s">
        <v>334</v>
      </c>
      <c r="C15" s="201"/>
      <c r="D15" s="202"/>
      <c r="E15" s="32"/>
    </row>
    <row r="16" spans="1:5" ht="15">
      <c r="A16" s="199" t="s">
        <v>335</v>
      </c>
      <c r="B16" s="197" t="s">
        <v>336</v>
      </c>
      <c r="C16" s="201"/>
      <c r="D16" s="203"/>
      <c r="E16" s="32"/>
    </row>
    <row r="17" spans="1:5" ht="15">
      <c r="A17" s="199" t="s">
        <v>337</v>
      </c>
      <c r="B17" s="197" t="s">
        <v>338</v>
      </c>
      <c r="C17" s="201"/>
      <c r="D17" s="203"/>
      <c r="E17" s="32"/>
    </row>
    <row r="18" spans="1:5" ht="15">
      <c r="A18" s="204" t="s">
        <v>339</v>
      </c>
      <c r="B18" s="197" t="s">
        <v>340</v>
      </c>
      <c r="C18" s="201"/>
      <c r="D18" s="203"/>
      <c r="E18" s="32"/>
    </row>
    <row r="19" spans="1:5" ht="15">
      <c r="A19" s="199" t="s">
        <v>341</v>
      </c>
      <c r="B19" s="197" t="s">
        <v>342</v>
      </c>
      <c r="C19" s="201"/>
      <c r="D19" s="203"/>
      <c r="E19" s="32"/>
    </row>
    <row r="20" spans="1:5" ht="15">
      <c r="A20" s="199" t="s">
        <v>343</v>
      </c>
      <c r="B20" s="197" t="s">
        <v>344</v>
      </c>
      <c r="C20" s="201"/>
      <c r="D20" s="203"/>
      <c r="E20" s="32"/>
    </row>
    <row r="21" spans="1:5" ht="15">
      <c r="A21" s="199" t="s">
        <v>345</v>
      </c>
      <c r="B21" s="197" t="s">
        <v>346</v>
      </c>
      <c r="C21" s="201"/>
      <c r="D21" s="203"/>
      <c r="E21" s="32"/>
    </row>
    <row r="22" spans="1:5" ht="15">
      <c r="A22" s="205" t="s">
        <v>347</v>
      </c>
      <c r="B22" s="206" t="s">
        <v>348</v>
      </c>
      <c r="C22" s="207"/>
      <c r="D22" s="203"/>
      <c r="E22" s="32"/>
    </row>
    <row r="23" spans="1:5" ht="15.75" thickBot="1">
      <c r="A23" s="208" t="s">
        <v>349</v>
      </c>
      <c r="B23" s="209" t="s">
        <v>350</v>
      </c>
      <c r="C23" s="210"/>
      <c r="D23" s="202"/>
      <c r="E23" s="84"/>
    </row>
    <row r="24" spans="1:5" ht="15.75" thickBot="1">
      <c r="A24" s="211"/>
      <c r="B24" s="212" t="s">
        <v>351</v>
      </c>
      <c r="C24" s="213">
        <f>SUM(C6:C23)</f>
        <v>302220</v>
      </c>
      <c r="D24" s="32"/>
      <c r="E24" s="32"/>
    </row>
    <row r="25" spans="1:5">
      <c r="D25" s="32"/>
      <c r="E25" s="32"/>
    </row>
    <row r="26" spans="1:5">
      <c r="A26" s="215"/>
      <c r="D26" s="32"/>
      <c r="E26" s="32"/>
    </row>
    <row r="27" spans="1:5">
      <c r="D27" s="32"/>
      <c r="E27" s="32"/>
    </row>
    <row r="28" spans="1:5">
      <c r="D28" s="32"/>
      <c r="E28" s="32"/>
    </row>
    <row r="29" spans="1:5">
      <c r="D29" s="32"/>
      <c r="E29" s="32"/>
    </row>
    <row r="30" spans="1:5">
      <c r="D30" s="32"/>
      <c r="E30" s="32"/>
    </row>
    <row r="31" spans="1:5">
      <c r="D31" s="32"/>
      <c r="E31" s="32"/>
    </row>
    <row r="32" spans="1:5">
      <c r="D32" s="32"/>
      <c r="E32" s="32"/>
    </row>
    <row r="33" spans="4:5">
      <c r="D33" s="32"/>
      <c r="E33" s="32"/>
    </row>
    <row r="34" spans="4:5">
      <c r="D34" s="32"/>
      <c r="E34" s="32"/>
    </row>
    <row r="35" spans="4:5">
      <c r="D35" s="32"/>
      <c r="E35" s="32"/>
    </row>
    <row r="36" spans="4:5">
      <c r="D36" s="32"/>
      <c r="E36" s="32"/>
    </row>
    <row r="37" spans="4:5">
      <c r="D37" s="32"/>
      <c r="E37" s="32"/>
    </row>
    <row r="38" spans="4:5">
      <c r="D38" s="32"/>
      <c r="E38" s="32"/>
    </row>
    <row r="39" spans="4:5">
      <c r="D39" s="32"/>
      <c r="E39" s="32"/>
    </row>
    <row r="40" spans="4:5">
      <c r="D40" s="32"/>
      <c r="E40" s="32"/>
    </row>
    <row r="41" spans="4:5">
      <c r="D41" s="32"/>
      <c r="E41" s="32"/>
    </row>
    <row r="42" spans="4:5">
      <c r="D42" s="32"/>
      <c r="E42" s="32"/>
    </row>
    <row r="43" spans="4:5">
      <c r="D43" s="32"/>
      <c r="E43" s="32"/>
    </row>
    <row r="44" spans="4:5">
      <c r="D44" s="32"/>
      <c r="E44" s="32"/>
    </row>
    <row r="45" spans="4:5">
      <c r="D45" s="32"/>
      <c r="E45" s="32"/>
    </row>
    <row r="46" spans="4:5">
      <c r="D46" s="32"/>
      <c r="E46" s="32"/>
    </row>
    <row r="47" spans="4:5">
      <c r="D47" s="32"/>
      <c r="E47" s="32"/>
    </row>
    <row r="48" spans="4:5">
      <c r="D48" s="32"/>
      <c r="E48" s="32"/>
    </row>
    <row r="49" spans="4:5">
      <c r="D49" s="32"/>
      <c r="E49" s="32"/>
    </row>
    <row r="50" spans="4:5">
      <c r="D50" s="32"/>
      <c r="E50" s="32"/>
    </row>
    <row r="51" spans="4:5">
      <c r="D51" s="32"/>
      <c r="E51" s="32"/>
    </row>
    <row r="52" spans="4:5">
      <c r="D52" s="32"/>
      <c r="E52" s="32"/>
    </row>
    <row r="53" spans="4:5">
      <c r="D53" s="32"/>
      <c r="E53" s="32"/>
    </row>
    <row r="54" spans="4:5">
      <c r="D54" s="32"/>
      <c r="E54" s="32"/>
    </row>
    <row r="55" spans="4:5">
      <c r="D55" s="32"/>
      <c r="E55" s="32"/>
    </row>
    <row r="56" spans="4:5">
      <c r="D56" s="32"/>
      <c r="E56" s="32"/>
    </row>
    <row r="57" spans="4:5">
      <c r="D57" s="32"/>
      <c r="E57" s="32"/>
    </row>
    <row r="58" spans="4:5">
      <c r="D58" s="32"/>
      <c r="E58" s="32"/>
    </row>
    <row r="59" spans="4:5">
      <c r="D59" s="32"/>
      <c r="E59" s="32"/>
    </row>
    <row r="60" spans="4:5">
      <c r="D60" s="32"/>
      <c r="E60" s="32"/>
    </row>
    <row r="61" spans="4:5">
      <c r="D61" s="32"/>
      <c r="E61" s="32"/>
    </row>
    <row r="62" spans="4:5">
      <c r="D62" s="32"/>
      <c r="E62" s="32"/>
    </row>
    <row r="63" spans="4:5">
      <c r="D63" s="32"/>
      <c r="E63" s="32"/>
    </row>
    <row r="64" spans="4:5">
      <c r="D64" s="32"/>
      <c r="E64" s="32"/>
    </row>
    <row r="65" spans="4:5">
      <c r="D65" s="32"/>
      <c r="E65" s="32"/>
    </row>
    <row r="66" spans="4:5">
      <c r="D66" s="32"/>
      <c r="E66" s="32"/>
    </row>
    <row r="67" spans="4:5">
      <c r="D67" s="32"/>
      <c r="E67" s="32"/>
    </row>
    <row r="68" spans="4:5">
      <c r="D68" s="32"/>
      <c r="E68" s="32"/>
    </row>
    <row r="69" spans="4:5">
      <c r="D69" s="32"/>
      <c r="E69" s="32"/>
    </row>
    <row r="70" spans="4:5">
      <c r="D70" s="32"/>
      <c r="E70" s="32"/>
    </row>
    <row r="71" spans="4:5">
      <c r="D71" s="32"/>
      <c r="E71" s="32"/>
    </row>
    <row r="72" spans="4:5">
      <c r="D72" s="32"/>
      <c r="E72" s="32"/>
    </row>
    <row r="73" spans="4:5">
      <c r="D73" s="32"/>
      <c r="E73" s="32"/>
    </row>
    <row r="74" spans="4:5">
      <c r="D74" s="32"/>
      <c r="E74" s="32"/>
    </row>
    <row r="75" spans="4:5">
      <c r="D75" s="32"/>
      <c r="E75" s="32"/>
    </row>
    <row r="76" spans="4:5">
      <c r="D76" s="32"/>
      <c r="E76" s="32"/>
    </row>
    <row r="77" spans="4:5">
      <c r="D77" s="32"/>
      <c r="E77" s="32"/>
    </row>
    <row r="78" spans="4:5">
      <c r="D78" s="32"/>
      <c r="E78" s="32"/>
    </row>
    <row r="79" spans="4:5">
      <c r="D79" s="32"/>
      <c r="E79" s="32"/>
    </row>
    <row r="80" spans="4:5">
      <c r="D80" s="32"/>
      <c r="E80" s="32"/>
    </row>
    <row r="81" spans="4:5">
      <c r="D81" s="32"/>
      <c r="E81" s="32"/>
    </row>
    <row r="82" spans="4:5">
      <c r="D82" s="32"/>
      <c r="E82" s="32"/>
    </row>
    <row r="83" spans="4:5">
      <c r="D83" s="32"/>
      <c r="E83" s="32"/>
    </row>
    <row r="84" spans="4:5">
      <c r="D84" s="32"/>
      <c r="E84" s="32"/>
    </row>
    <row r="85" spans="4:5">
      <c r="D85" s="32"/>
      <c r="E85" s="32"/>
    </row>
    <row r="86" spans="4:5">
      <c r="D86" s="32"/>
      <c r="E86" s="32"/>
    </row>
    <row r="87" spans="4:5">
      <c r="D87" s="32"/>
      <c r="E87" s="32"/>
    </row>
    <row r="88" spans="4:5">
      <c r="D88" s="32"/>
      <c r="E88" s="32"/>
    </row>
    <row r="89" spans="4:5">
      <c r="D89" s="32"/>
      <c r="E89" s="32"/>
    </row>
    <row r="90" spans="4:5">
      <c r="D90" s="32"/>
      <c r="E90" s="32"/>
    </row>
    <row r="91" spans="4:5">
      <c r="D91" s="32"/>
      <c r="E91" s="32"/>
    </row>
    <row r="92" spans="4:5">
      <c r="D92" s="32"/>
      <c r="E92" s="32"/>
    </row>
    <row r="93" spans="4:5">
      <c r="D93" s="32"/>
      <c r="E93" s="32"/>
    </row>
    <row r="94" spans="4:5">
      <c r="D94" s="32"/>
      <c r="E94" s="32"/>
    </row>
    <row r="95" spans="4:5">
      <c r="D95" s="32"/>
      <c r="E95" s="32"/>
    </row>
    <row r="96" spans="4:5">
      <c r="D96" s="32"/>
      <c r="E96" s="32"/>
    </row>
    <row r="97" spans="4:5">
      <c r="D97" s="32"/>
      <c r="E97" s="32"/>
    </row>
    <row r="98" spans="4:5">
      <c r="D98" s="32"/>
      <c r="E98" s="32"/>
    </row>
    <row r="99" spans="4:5">
      <c r="D99" s="32"/>
      <c r="E99" s="32"/>
    </row>
    <row r="100" spans="4:5">
      <c r="D100" s="32"/>
      <c r="E100" s="32"/>
    </row>
    <row r="101" spans="4:5">
      <c r="D101" s="32"/>
      <c r="E101" s="32"/>
    </row>
    <row r="102" spans="4:5">
      <c r="D102" s="32"/>
      <c r="E102" s="32"/>
    </row>
    <row r="103" spans="4:5">
      <c r="D103" s="32"/>
      <c r="E103" s="32"/>
    </row>
    <row r="104" spans="4:5">
      <c r="D104" s="32"/>
      <c r="E104" s="32"/>
    </row>
    <row r="105" spans="4:5">
      <c r="D105" s="32"/>
      <c r="E105" s="32"/>
    </row>
    <row r="106" spans="4:5">
      <c r="D106" s="32"/>
      <c r="E106" s="32"/>
    </row>
    <row r="107" spans="4:5">
      <c r="D107" s="32"/>
      <c r="E107" s="32"/>
    </row>
    <row r="108" spans="4:5">
      <c r="D108" s="32"/>
      <c r="E108" s="32"/>
    </row>
    <row r="109" spans="4:5">
      <c r="D109" s="32"/>
      <c r="E109" s="32"/>
    </row>
    <row r="110" spans="4:5">
      <c r="D110" s="32"/>
      <c r="E110" s="32"/>
    </row>
    <row r="111" spans="4:5">
      <c r="D111" s="32"/>
      <c r="E111" s="32"/>
    </row>
    <row r="112" spans="4:5">
      <c r="D112" s="32"/>
      <c r="E112" s="32"/>
    </row>
    <row r="113" spans="4:5">
      <c r="D113" s="32"/>
      <c r="E113" s="32"/>
    </row>
    <row r="114" spans="4:5">
      <c r="D114" s="32"/>
      <c r="E114" s="32"/>
    </row>
    <row r="115" spans="4:5">
      <c r="D115" s="32"/>
      <c r="E115" s="32"/>
    </row>
    <row r="116" spans="4:5">
      <c r="D116" s="32"/>
      <c r="E116" s="32"/>
    </row>
    <row r="117" spans="4:5">
      <c r="D117" s="32"/>
      <c r="E117" s="32"/>
    </row>
    <row r="118" spans="4:5">
      <c r="D118" s="32"/>
      <c r="E118" s="32"/>
    </row>
    <row r="119" spans="4:5">
      <c r="D119" s="32"/>
      <c r="E119" s="32"/>
    </row>
    <row r="120" spans="4:5">
      <c r="D120" s="32"/>
      <c r="E120" s="32"/>
    </row>
    <row r="121" spans="4:5">
      <c r="D121" s="32"/>
      <c r="E121" s="32"/>
    </row>
    <row r="122" spans="4:5">
      <c r="D122" s="32"/>
      <c r="E122" s="32"/>
    </row>
    <row r="123" spans="4:5">
      <c r="D123" s="32"/>
      <c r="E123" s="32"/>
    </row>
    <row r="124" spans="4:5">
      <c r="D124" s="32"/>
      <c r="E124" s="32"/>
    </row>
    <row r="125" spans="4:5">
      <c r="D125" s="32"/>
      <c r="E125" s="32"/>
    </row>
    <row r="126" spans="4:5">
      <c r="D126" s="32"/>
      <c r="E126" s="32"/>
    </row>
    <row r="127" spans="4:5">
      <c r="D127" s="32"/>
      <c r="E127" s="32"/>
    </row>
    <row r="128" spans="4:5">
      <c r="D128" s="32"/>
      <c r="E128" s="32"/>
    </row>
    <row r="129" spans="4:5">
      <c r="D129" s="32"/>
      <c r="E129" s="32"/>
    </row>
    <row r="130" spans="4:5">
      <c r="D130" s="32"/>
      <c r="E130" s="32"/>
    </row>
    <row r="131" spans="4:5">
      <c r="D131" s="32"/>
      <c r="E131" s="32"/>
    </row>
    <row r="132" spans="4:5">
      <c r="D132" s="32"/>
      <c r="E132" s="32"/>
    </row>
    <row r="133" spans="4:5">
      <c r="D133" s="32"/>
      <c r="E133" s="32"/>
    </row>
    <row r="134" spans="4:5">
      <c r="D134" s="32"/>
      <c r="E134" s="32"/>
    </row>
    <row r="135" spans="4:5">
      <c r="D135" s="32"/>
      <c r="E135" s="32"/>
    </row>
    <row r="136" spans="4:5">
      <c r="D136" s="32"/>
      <c r="E136" s="32"/>
    </row>
    <row r="137" spans="4:5">
      <c r="D137" s="32"/>
      <c r="E137" s="32"/>
    </row>
    <row r="138" spans="4:5">
      <c r="D138" s="32"/>
      <c r="E138" s="32"/>
    </row>
    <row r="139" spans="4:5">
      <c r="D139" s="32"/>
      <c r="E139" s="32"/>
    </row>
    <row r="140" spans="4:5">
      <c r="D140" s="32"/>
      <c r="E140" s="32"/>
    </row>
    <row r="141" spans="4:5">
      <c r="D141" s="32"/>
      <c r="E141" s="32"/>
    </row>
    <row r="142" spans="4:5">
      <c r="D142" s="32"/>
      <c r="E142" s="32"/>
    </row>
    <row r="143" spans="4:5">
      <c r="D143" s="32"/>
      <c r="E143" s="32"/>
    </row>
    <row r="144" spans="4:5">
      <c r="D144" s="32"/>
      <c r="E144" s="32"/>
    </row>
    <row r="145" spans="4:5">
      <c r="D145" s="32"/>
      <c r="E145" s="32"/>
    </row>
    <row r="146" spans="4:5">
      <c r="D146" s="32"/>
      <c r="E146" s="32"/>
    </row>
    <row r="147" spans="4:5">
      <c r="D147" s="32"/>
      <c r="E147" s="32"/>
    </row>
    <row r="148" spans="4:5">
      <c r="D148" s="32"/>
      <c r="E148" s="32"/>
    </row>
    <row r="149" spans="4:5">
      <c r="D149" s="32"/>
      <c r="E149" s="32"/>
    </row>
    <row r="150" spans="4:5">
      <c r="D150" s="32"/>
      <c r="E150" s="32"/>
    </row>
    <row r="151" spans="4:5">
      <c r="D151" s="32"/>
      <c r="E151" s="32"/>
    </row>
    <row r="152" spans="4:5">
      <c r="D152" s="32"/>
      <c r="E152" s="32"/>
    </row>
    <row r="153" spans="4:5">
      <c r="D153" s="32"/>
      <c r="E153" s="32"/>
    </row>
    <row r="154" spans="4:5">
      <c r="D154" s="32"/>
      <c r="E154" s="32"/>
    </row>
    <row r="155" spans="4:5">
      <c r="D155" s="32"/>
      <c r="E155" s="32"/>
    </row>
    <row r="156" spans="4:5">
      <c r="D156" s="32"/>
      <c r="E156" s="32"/>
    </row>
    <row r="157" spans="4:5">
      <c r="D157" s="32"/>
      <c r="E157" s="32"/>
    </row>
    <row r="158" spans="4:5">
      <c r="D158" s="32"/>
      <c r="E158" s="32"/>
    </row>
    <row r="159" spans="4:5">
      <c r="D159" s="32"/>
      <c r="E159" s="32"/>
    </row>
    <row r="160" spans="4:5">
      <c r="D160" s="32"/>
      <c r="E160" s="32"/>
    </row>
    <row r="161" spans="4:5">
      <c r="D161" s="32"/>
      <c r="E161" s="32"/>
    </row>
    <row r="162" spans="4:5">
      <c r="D162" s="32"/>
      <c r="E162" s="32"/>
    </row>
    <row r="163" spans="4:5">
      <c r="D163" s="32"/>
      <c r="E163" s="32"/>
    </row>
    <row r="164" spans="4:5">
      <c r="D164" s="32"/>
      <c r="E164" s="32"/>
    </row>
    <row r="165" spans="4:5">
      <c r="D165" s="32"/>
      <c r="E165" s="32"/>
    </row>
    <row r="166" spans="4:5">
      <c r="D166" s="32"/>
      <c r="E166" s="32"/>
    </row>
    <row r="167" spans="4:5">
      <c r="D167" s="32"/>
      <c r="E167" s="32"/>
    </row>
    <row r="168" spans="4:5">
      <c r="D168" s="32"/>
      <c r="E168" s="32"/>
    </row>
    <row r="169" spans="4:5">
      <c r="D169" s="32"/>
      <c r="E169" s="32"/>
    </row>
    <row r="170" spans="4:5">
      <c r="D170" s="32"/>
      <c r="E170" s="32"/>
    </row>
    <row r="171" spans="4:5">
      <c r="D171" s="32"/>
      <c r="E171" s="32"/>
    </row>
    <row r="172" spans="4:5">
      <c r="D172" s="32"/>
      <c r="E172" s="32"/>
    </row>
    <row r="173" spans="4:5">
      <c r="D173" s="32"/>
      <c r="E173" s="32"/>
    </row>
    <row r="174" spans="4:5">
      <c r="D174" s="32"/>
      <c r="E174" s="32"/>
    </row>
    <row r="175" spans="4:5">
      <c r="D175" s="32"/>
      <c r="E175" s="32"/>
    </row>
    <row r="176" spans="4:5">
      <c r="D176" s="32"/>
      <c r="E176" s="32"/>
    </row>
    <row r="177" spans="4:5">
      <c r="D177" s="32"/>
      <c r="E177" s="32"/>
    </row>
    <row r="178" spans="4:5">
      <c r="D178" s="32"/>
      <c r="E178" s="32"/>
    </row>
    <row r="179" spans="4:5">
      <c r="D179" s="32"/>
      <c r="E179" s="32"/>
    </row>
    <row r="180" spans="4:5">
      <c r="D180" s="32"/>
      <c r="E180" s="32"/>
    </row>
    <row r="181" spans="4:5">
      <c r="D181" s="32"/>
      <c r="E181" s="32"/>
    </row>
    <row r="182" spans="4:5">
      <c r="D182" s="32"/>
      <c r="E182" s="32"/>
    </row>
    <row r="183" spans="4:5">
      <c r="D183" s="32"/>
      <c r="E183" s="32"/>
    </row>
    <row r="184" spans="4:5">
      <c r="D184" s="32"/>
      <c r="E184" s="32"/>
    </row>
    <row r="185" spans="4:5">
      <c r="D185" s="32"/>
      <c r="E185" s="32"/>
    </row>
    <row r="186" spans="4:5">
      <c r="D186" s="32"/>
      <c r="E186" s="32"/>
    </row>
    <row r="187" spans="4:5">
      <c r="D187" s="32"/>
      <c r="E187" s="32"/>
    </row>
    <row r="188" spans="4:5">
      <c r="D188" s="32"/>
      <c r="E188" s="32"/>
    </row>
    <row r="189" spans="4:5">
      <c r="D189" s="32"/>
      <c r="E189" s="32"/>
    </row>
    <row r="190" spans="4:5">
      <c r="D190" s="32"/>
      <c r="E190" s="32"/>
    </row>
    <row r="191" spans="4:5">
      <c r="D191" s="32"/>
      <c r="E191" s="32"/>
    </row>
    <row r="192" spans="4:5">
      <c r="D192" s="32"/>
      <c r="E192" s="32"/>
    </row>
    <row r="193" spans="4:5">
      <c r="D193" s="32"/>
      <c r="E193" s="32"/>
    </row>
    <row r="194" spans="4:5">
      <c r="D194" s="32"/>
      <c r="E194" s="32"/>
    </row>
    <row r="195" spans="4:5">
      <c r="D195" s="32"/>
      <c r="E195" s="32"/>
    </row>
    <row r="196" spans="4:5">
      <c r="D196" s="32"/>
      <c r="E196" s="32"/>
    </row>
    <row r="197" spans="4:5">
      <c r="D197" s="32"/>
      <c r="E197" s="32"/>
    </row>
    <row r="198" spans="4:5">
      <c r="D198" s="32"/>
      <c r="E198" s="32"/>
    </row>
    <row r="199" spans="4:5">
      <c r="D199" s="32"/>
      <c r="E199" s="32"/>
    </row>
    <row r="200" spans="4:5">
      <c r="D200" s="32"/>
      <c r="E200" s="32"/>
    </row>
    <row r="201" spans="4:5">
      <c r="D201" s="32"/>
      <c r="E201" s="32"/>
    </row>
    <row r="202" spans="4:5">
      <c r="D202" s="32"/>
      <c r="E202" s="32"/>
    </row>
    <row r="203" spans="4:5">
      <c r="D203" s="32"/>
      <c r="E203" s="32"/>
    </row>
    <row r="204" spans="4:5">
      <c r="D204" s="32"/>
      <c r="E204" s="32"/>
    </row>
    <row r="205" spans="4:5">
      <c r="D205" s="32"/>
      <c r="E205" s="32"/>
    </row>
    <row r="206" spans="4:5">
      <c r="D206" s="32"/>
      <c r="E206" s="32"/>
    </row>
    <row r="207" spans="4:5">
      <c r="D207" s="32"/>
      <c r="E207" s="32"/>
    </row>
    <row r="208" spans="4:5">
      <c r="D208" s="32"/>
      <c r="E208" s="32"/>
    </row>
    <row r="209" spans="4:5">
      <c r="D209" s="32"/>
      <c r="E209" s="32"/>
    </row>
    <row r="210" spans="4:5">
      <c r="D210" s="32"/>
      <c r="E210" s="32"/>
    </row>
    <row r="211" spans="4:5">
      <c r="D211" s="32"/>
      <c r="E211" s="32"/>
    </row>
    <row r="212" spans="4:5">
      <c r="D212" s="32"/>
      <c r="E212" s="32"/>
    </row>
    <row r="213" spans="4:5">
      <c r="D213" s="32"/>
      <c r="E213" s="32"/>
    </row>
    <row r="214" spans="4:5">
      <c r="D214" s="32"/>
      <c r="E214" s="32"/>
    </row>
    <row r="215" spans="4:5">
      <c r="D215" s="32"/>
      <c r="E215" s="32"/>
    </row>
    <row r="216" spans="4:5">
      <c r="D216" s="32"/>
      <c r="E216" s="32"/>
    </row>
    <row r="217" spans="4:5">
      <c r="D217" s="32"/>
      <c r="E217" s="32"/>
    </row>
    <row r="218" spans="4:5">
      <c r="D218" s="32"/>
      <c r="E218" s="32"/>
    </row>
    <row r="219" spans="4:5">
      <c r="D219" s="32"/>
      <c r="E219" s="32"/>
    </row>
    <row r="220" spans="4:5">
      <c r="D220" s="32"/>
      <c r="E220" s="32"/>
    </row>
    <row r="221" spans="4:5">
      <c r="D221" s="32"/>
      <c r="E221" s="32"/>
    </row>
    <row r="222" spans="4:5">
      <c r="D222" s="32"/>
      <c r="E222" s="32"/>
    </row>
    <row r="223" spans="4:5">
      <c r="D223" s="32"/>
      <c r="E223" s="32"/>
    </row>
    <row r="224" spans="4:5">
      <c r="D224" s="32"/>
      <c r="E224" s="32"/>
    </row>
    <row r="225" spans="4:5">
      <c r="D225" s="32"/>
      <c r="E225" s="32"/>
    </row>
    <row r="226" spans="4:5">
      <c r="D226" s="32"/>
      <c r="E226" s="32"/>
    </row>
    <row r="227" spans="4:5">
      <c r="D227" s="32"/>
      <c r="E227" s="32"/>
    </row>
    <row r="228" spans="4:5">
      <c r="D228" s="32"/>
      <c r="E228" s="32"/>
    </row>
    <row r="229" spans="4:5">
      <c r="D229" s="32"/>
      <c r="E229" s="32"/>
    </row>
    <row r="230" spans="4:5">
      <c r="D230" s="32"/>
      <c r="E230" s="32"/>
    </row>
    <row r="231" spans="4:5">
      <c r="D231" s="32"/>
      <c r="E231" s="32"/>
    </row>
    <row r="232" spans="4:5">
      <c r="D232" s="32"/>
      <c r="E232" s="32"/>
    </row>
    <row r="233" spans="4:5">
      <c r="D233" s="32"/>
      <c r="E233" s="32"/>
    </row>
    <row r="234" spans="4:5">
      <c r="D234" s="32"/>
      <c r="E234" s="32"/>
    </row>
    <row r="235" spans="4:5">
      <c r="D235" s="32"/>
      <c r="E235" s="32"/>
    </row>
    <row r="236" spans="4:5">
      <c r="D236" s="32"/>
      <c r="E236" s="32"/>
    </row>
    <row r="237" spans="4:5">
      <c r="D237" s="32"/>
      <c r="E237" s="32"/>
    </row>
    <row r="238" spans="4:5">
      <c r="D238" s="32"/>
      <c r="E238" s="32"/>
    </row>
    <row r="239" spans="4:5">
      <c r="D239" s="32"/>
      <c r="E239" s="32"/>
    </row>
    <row r="240" spans="4:5">
      <c r="D240" s="32"/>
      <c r="E240" s="32"/>
    </row>
    <row r="241" spans="4:5">
      <c r="D241" s="32"/>
      <c r="E241" s="32"/>
    </row>
    <row r="242" spans="4:5">
      <c r="D242" s="32"/>
      <c r="E242" s="32"/>
    </row>
    <row r="243" spans="4:5">
      <c r="D243" s="32"/>
      <c r="E243" s="32"/>
    </row>
    <row r="244" spans="4:5">
      <c r="D244" s="32"/>
      <c r="E244" s="32"/>
    </row>
    <row r="245" spans="4:5">
      <c r="D245" s="32"/>
      <c r="E245" s="32"/>
    </row>
    <row r="246" spans="4:5">
      <c r="D246" s="32"/>
      <c r="E246" s="32"/>
    </row>
    <row r="247" spans="4:5">
      <c r="D247" s="32"/>
      <c r="E247" s="32"/>
    </row>
    <row r="248" spans="4:5">
      <c r="D248" s="32"/>
      <c r="E248" s="32"/>
    </row>
    <row r="249" spans="4:5">
      <c r="D249" s="32"/>
      <c r="E249" s="32"/>
    </row>
    <row r="250" spans="4:5">
      <c r="D250" s="32"/>
      <c r="E250" s="32"/>
    </row>
    <row r="251" spans="4:5">
      <c r="D251" s="32"/>
      <c r="E251" s="32"/>
    </row>
    <row r="252" spans="4:5">
      <c r="D252" s="32"/>
      <c r="E252" s="32"/>
    </row>
    <row r="253" spans="4:5">
      <c r="D253" s="32"/>
      <c r="E253" s="32"/>
    </row>
    <row r="254" spans="4:5">
      <c r="D254" s="32"/>
      <c r="E254" s="32"/>
    </row>
    <row r="255" spans="4:5">
      <c r="D255" s="32"/>
      <c r="E255" s="32"/>
    </row>
    <row r="256" spans="4:5">
      <c r="D256" s="32"/>
      <c r="E256" s="32"/>
    </row>
    <row r="257" spans="4:5">
      <c r="D257" s="32"/>
      <c r="E257" s="32"/>
    </row>
    <row r="258" spans="4:5">
      <c r="D258" s="32"/>
      <c r="E258" s="32"/>
    </row>
    <row r="259" spans="4:5">
      <c r="D259" s="32"/>
      <c r="E259" s="32"/>
    </row>
    <row r="260" spans="4:5">
      <c r="D260" s="32"/>
      <c r="E260" s="32"/>
    </row>
    <row r="261" spans="4:5">
      <c r="D261" s="32"/>
      <c r="E261" s="32"/>
    </row>
    <row r="262" spans="4:5">
      <c r="D262" s="32"/>
      <c r="E262" s="32"/>
    </row>
    <row r="263" spans="4:5">
      <c r="D263" s="32"/>
      <c r="E263" s="32"/>
    </row>
    <row r="264" spans="4:5">
      <c r="D264" s="32"/>
      <c r="E264" s="32"/>
    </row>
    <row r="265" spans="4:5">
      <c r="D265" s="32"/>
      <c r="E265" s="32"/>
    </row>
    <row r="266" spans="4:5">
      <c r="D266" s="32"/>
      <c r="E266" s="32"/>
    </row>
    <row r="267" spans="4:5">
      <c r="D267" s="32"/>
      <c r="E267" s="32"/>
    </row>
    <row r="268" spans="4:5">
      <c r="D268" s="32"/>
      <c r="E268" s="32"/>
    </row>
    <row r="269" spans="4:5">
      <c r="D269" s="32"/>
      <c r="E269" s="32"/>
    </row>
    <row r="270" spans="4:5">
      <c r="D270" s="32"/>
      <c r="E270" s="32"/>
    </row>
    <row r="271" spans="4:5">
      <c r="D271" s="32"/>
      <c r="E271" s="32"/>
    </row>
    <row r="272" spans="4:5">
      <c r="D272" s="32"/>
      <c r="E272" s="32"/>
    </row>
    <row r="273" spans="4:5">
      <c r="D273" s="32"/>
      <c r="E273" s="32"/>
    </row>
    <row r="274" spans="4:5">
      <c r="D274" s="32"/>
      <c r="E274" s="32"/>
    </row>
    <row r="275" spans="4:5">
      <c r="D275" s="32"/>
      <c r="E275" s="32"/>
    </row>
    <row r="276" spans="4:5">
      <c r="D276" s="32"/>
      <c r="E276" s="32"/>
    </row>
    <row r="277" spans="4:5">
      <c r="D277" s="32"/>
      <c r="E277" s="32"/>
    </row>
    <row r="278" spans="4:5">
      <c r="D278" s="32"/>
      <c r="E278" s="32"/>
    </row>
    <row r="279" spans="4:5">
      <c r="D279" s="32"/>
      <c r="E279" s="32"/>
    </row>
    <row r="280" spans="4:5">
      <c r="D280" s="32"/>
      <c r="E280" s="32"/>
    </row>
    <row r="281" spans="4:5">
      <c r="D281" s="32"/>
      <c r="E281" s="32"/>
    </row>
    <row r="282" spans="4:5">
      <c r="D282" s="32"/>
      <c r="E282" s="32"/>
    </row>
    <row r="283" spans="4:5">
      <c r="D283" s="32"/>
      <c r="E283" s="32"/>
    </row>
    <row r="284" spans="4:5">
      <c r="D284" s="32"/>
      <c r="E284" s="32"/>
    </row>
    <row r="285" spans="4:5">
      <c r="D285" s="32"/>
      <c r="E285" s="32"/>
    </row>
    <row r="286" spans="4:5">
      <c r="D286" s="32"/>
      <c r="E286" s="32"/>
    </row>
    <row r="287" spans="4:5">
      <c r="D287" s="32"/>
      <c r="E287" s="32"/>
    </row>
    <row r="288" spans="4:5">
      <c r="D288" s="32"/>
      <c r="E288" s="32"/>
    </row>
    <row r="289" spans="4:5">
      <c r="D289" s="32"/>
      <c r="E289" s="32"/>
    </row>
    <row r="290" spans="4:5">
      <c r="D290" s="32"/>
      <c r="E290" s="32"/>
    </row>
    <row r="291" spans="4:5">
      <c r="D291" s="32"/>
      <c r="E291" s="32"/>
    </row>
    <row r="292" spans="4:5">
      <c r="D292" s="32"/>
      <c r="E292" s="32"/>
    </row>
    <row r="293" spans="4:5">
      <c r="D293" s="32"/>
      <c r="E293" s="32"/>
    </row>
    <row r="294" spans="4:5">
      <c r="D294" s="32"/>
      <c r="E294" s="32"/>
    </row>
    <row r="295" spans="4:5">
      <c r="D295" s="32"/>
      <c r="E295" s="32"/>
    </row>
    <row r="296" spans="4:5">
      <c r="D296" s="32"/>
      <c r="E296" s="32"/>
    </row>
    <row r="297" spans="4:5">
      <c r="D297" s="32"/>
      <c r="E297" s="32"/>
    </row>
    <row r="298" spans="4:5">
      <c r="D298" s="32"/>
      <c r="E298" s="32"/>
    </row>
    <row r="299" spans="4:5">
      <c r="D299" s="32"/>
      <c r="E299" s="32"/>
    </row>
    <row r="300" spans="4:5">
      <c r="D300" s="32"/>
      <c r="E300" s="32"/>
    </row>
    <row r="301" spans="4:5">
      <c r="D301" s="32"/>
      <c r="E301" s="32"/>
    </row>
    <row r="302" spans="4:5">
      <c r="D302" s="32"/>
      <c r="E302" s="32"/>
    </row>
    <row r="303" spans="4:5">
      <c r="D303" s="32"/>
      <c r="E303" s="32"/>
    </row>
    <row r="304" spans="4:5">
      <c r="D304" s="32"/>
      <c r="E304" s="32"/>
    </row>
    <row r="305" spans="4:5">
      <c r="D305" s="32"/>
      <c r="E305" s="32"/>
    </row>
    <row r="306" spans="4:5">
      <c r="D306" s="32"/>
      <c r="E306" s="32"/>
    </row>
    <row r="307" spans="4:5">
      <c r="D307" s="32"/>
      <c r="E307" s="32"/>
    </row>
    <row r="308" spans="4:5">
      <c r="D308" s="32"/>
      <c r="E308" s="32"/>
    </row>
    <row r="309" spans="4:5">
      <c r="D309" s="32"/>
      <c r="E309" s="32"/>
    </row>
    <row r="310" spans="4:5">
      <c r="D310" s="32"/>
      <c r="E310" s="32"/>
    </row>
    <row r="311" spans="4:5">
      <c r="D311" s="32"/>
      <c r="E311" s="32"/>
    </row>
    <row r="312" spans="4:5">
      <c r="D312" s="32"/>
      <c r="E312" s="32"/>
    </row>
    <row r="313" spans="4:5">
      <c r="D313" s="32"/>
      <c r="E313" s="32"/>
    </row>
    <row r="314" spans="4:5">
      <c r="D314" s="32"/>
      <c r="E314" s="32"/>
    </row>
    <row r="315" spans="4:5">
      <c r="D315" s="32"/>
      <c r="E315" s="32"/>
    </row>
    <row r="316" spans="4:5">
      <c r="D316" s="32"/>
      <c r="E316" s="32"/>
    </row>
    <row r="317" spans="4:5">
      <c r="D317" s="32"/>
      <c r="E317" s="32"/>
    </row>
    <row r="318" spans="4:5">
      <c r="D318" s="32"/>
      <c r="E318" s="32"/>
    </row>
    <row r="319" spans="4:5">
      <c r="D319" s="32"/>
      <c r="E319" s="32"/>
    </row>
    <row r="320" spans="4:5">
      <c r="D320" s="32"/>
      <c r="E320" s="32"/>
    </row>
    <row r="321" spans="4:5">
      <c r="D321" s="32"/>
      <c r="E321" s="32"/>
    </row>
    <row r="322" spans="4:5">
      <c r="D322" s="32"/>
      <c r="E322" s="32"/>
    </row>
    <row r="323" spans="4:5">
      <c r="D323" s="32"/>
      <c r="E323" s="32"/>
    </row>
    <row r="324" spans="4:5">
      <c r="D324" s="32"/>
      <c r="E324" s="32"/>
    </row>
    <row r="325" spans="4:5">
      <c r="D325" s="32"/>
      <c r="E325" s="32"/>
    </row>
    <row r="326" spans="4:5">
      <c r="D326" s="32"/>
      <c r="E326" s="32"/>
    </row>
    <row r="327" spans="4:5">
      <c r="D327" s="32"/>
      <c r="E327" s="32"/>
    </row>
    <row r="328" spans="4:5">
      <c r="D328" s="32"/>
      <c r="E328" s="32"/>
    </row>
  </sheetData>
  <pageMargins left="0.70866141732283472" right="0.70866141732283472" top="0.98425196850393704" bottom="0.74803149606299213" header="0.31496062992125984" footer="0.31496062992125984"/>
  <pageSetup paperSize="9" orientation="portrait" r:id="rId1"/>
  <headerFooter>
    <oddHeader xml:space="preserve">&amp;L&amp;"Agrandir,Regular"&amp;8Naziv projekta: Projekt za cjelovitu obnovu zgrade / Građevina: Palača DHMZ
Investitor: Hrvatski povijesni muzej, Ulica Antuna G.Matoša 9, Zagreb, OIB: 86757663498
Zajednička oznaka projekta: CO_189-2022/2&amp;"-,Regular"&amp;12
</oddHeader>
    <oddFooter>&amp;L&amp;"Agrandir,Regular"&amp;8Zagreb, 06/2024&amp;C&amp;"Agrandir,Regular"&amp;8&amp;A&amp;R&amp;"Agrandir,Regular"&amp;8&amp;P</oddFooter>
  </headerFooter>
  <rowBreaks count="1" manualBreakCount="1">
    <brk id="33" max="16383" man="1"/>
  </rowBreaks>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Naslovnica</vt:lpstr>
      <vt:lpstr>Opći uvjeti uz troškovnik</vt:lpstr>
      <vt:lpstr>Zidarski radovi</vt:lpstr>
      <vt:lpstr>I. Rekapitulacija GO radova</vt:lpstr>
      <vt:lpstr>Naslovnica!_Hlk83023284</vt:lpstr>
      <vt:lpstr>'I. Rekapitulacija GO radova'!Print_Area</vt:lpstr>
      <vt:lpstr>Naslovnica!Print_Area</vt:lpstr>
      <vt:lpstr>'Opći uvjeti uz troškovnik'!Print_Area</vt:lpstr>
      <vt:lpstr>'Zidarski radovi'!Print_Area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Branimir Brizar</dc:creator>
  <cp:lastModifiedBy>Ivan Cakaric</cp:lastModifiedBy>
  <cp:lastPrinted>2025-01-28T09:17:36Z</cp:lastPrinted>
  <dcterms:created xsi:type="dcterms:W3CDTF">2025-01-28T08:55:24Z</dcterms:created>
  <dcterms:modified xsi:type="dcterms:W3CDTF">2025-04-30T18:50:07Z</dcterms:modified>
</cp:coreProperties>
</file>