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Q:\RIM\TROŠKOVNICI\"/>
    </mc:Choice>
  </mc:AlternateContent>
  <xr:revisionPtr revIDLastSave="0" documentId="8_{E84C9E1C-EA71-43EC-A723-215FDBD5751A}" xr6:coauthVersionLast="47" xr6:coauthVersionMax="47" xr10:uidLastSave="{00000000-0000-0000-0000-000000000000}"/>
  <bookViews>
    <workbookView xWindow="34560" yWindow="510" windowWidth="23400" windowHeight="19665" activeTab="1" xr2:uid="{7D97955A-624F-4B61-8642-88EA0B6B24F4}"/>
  </bookViews>
  <sheets>
    <sheet name="OPĆI UVJETI" sheetId="4" r:id="rId1"/>
    <sheet name="TROSKOVNIK" sheetId="1" r:id="rId2"/>
  </sheets>
  <definedNames>
    <definedName name="_xlnm.Print_Area" localSheetId="0">'OPĆI UVJETI'!$A$1:$B$1045</definedName>
    <definedName name="_xlnm.Print_Area" localSheetId="1">TROSKOVNIK!$A$1:$G$306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0" i="1" l="1"/>
  <c r="F252" i="1"/>
  <c r="F213" i="1" l="1"/>
  <c r="F212" i="1"/>
  <c r="F211" i="1"/>
  <c r="F210" i="1"/>
  <c r="F209" i="1"/>
  <c r="F208" i="1"/>
  <c r="F207" i="1"/>
  <c r="F206" i="1"/>
  <c r="F205" i="1"/>
  <c r="F204" i="1"/>
  <c r="F203" i="1"/>
  <c r="F202" i="1"/>
  <c r="F201" i="1"/>
  <c r="F200" i="1"/>
  <c r="F199" i="1"/>
  <c r="F198" i="1"/>
  <c r="F193" i="1"/>
  <c r="F192" i="1"/>
  <c r="F191" i="1"/>
  <c r="F189" i="1"/>
  <c r="F188" i="1"/>
  <c r="F181" i="1" l="1"/>
  <c r="F180" i="1"/>
  <c r="F179" i="1"/>
  <c r="F177" i="1"/>
  <c r="F178" i="1" l="1"/>
  <c r="F153" i="1"/>
  <c r="F152" i="1"/>
  <c r="F151" i="1" l="1"/>
  <c r="F150" i="1"/>
  <c r="F149" i="1"/>
  <c r="F148" i="1"/>
  <c r="F146" i="1"/>
  <c r="F145" i="1"/>
  <c r="F144" i="1"/>
  <c r="F143" i="1"/>
  <c r="F142" i="1"/>
  <c r="F141" i="1"/>
  <c r="F140" i="1"/>
  <c r="F139" i="1"/>
  <c r="F138" i="1"/>
  <c r="F137" i="1"/>
  <c r="F128" i="1"/>
  <c r="F125" i="1"/>
  <c r="F121" i="1"/>
  <c r="F109" i="1"/>
  <c r="F108" i="1"/>
  <c r="F106" i="1"/>
  <c r="F107" i="1"/>
  <c r="F104" i="1"/>
  <c r="F103" i="1"/>
  <c r="F99" i="1"/>
  <c r="F96" i="1"/>
  <c r="F93" i="1"/>
  <c r="F90" i="1"/>
  <c r="F70" i="1"/>
  <c r="F69" i="1"/>
  <c r="F67" i="1"/>
  <c r="F66" i="1"/>
  <c r="F41" i="1"/>
  <c r="F40" i="1"/>
  <c r="F82" i="1"/>
  <c r="F81" i="1"/>
  <c r="F154" i="1" l="1"/>
  <c r="F64" i="1"/>
  <c r="F63" i="1"/>
  <c r="F61" i="1"/>
  <c r="F60" i="1"/>
  <c r="F55" i="1"/>
  <c r="F54" i="1"/>
  <c r="F53" i="1"/>
  <c r="F84" i="1"/>
  <c r="F276" i="1" l="1"/>
  <c r="F282" i="1"/>
  <c r="F281" i="1"/>
  <c r="F277" i="1"/>
  <c r="F272" i="1"/>
  <c r="F271" i="1"/>
  <c r="F263" i="1"/>
  <c r="F259" i="1"/>
  <c r="F258" i="1"/>
  <c r="F249" i="1"/>
  <c r="F248" i="1"/>
  <c r="F246" i="1"/>
  <c r="F243" i="1"/>
  <c r="F242" i="1"/>
  <c r="F238" i="1"/>
  <c r="F237" i="1"/>
  <c r="F236" i="1"/>
  <c r="F235" i="1"/>
  <c r="F233" i="1"/>
  <c r="F232" i="1"/>
  <c r="F227" i="1"/>
  <c r="F226" i="1"/>
  <c r="F225" i="1"/>
  <c r="F221" i="1"/>
  <c r="F222" i="1" s="1"/>
  <c r="F217" i="1"/>
  <c r="F218" i="1" s="1"/>
  <c r="F197" i="1"/>
  <c r="F214" i="1" s="1"/>
  <c r="F187" i="1"/>
  <c r="F194" i="1" s="1"/>
  <c r="F176" i="1"/>
  <c r="F175" i="1"/>
  <c r="F171" i="1"/>
  <c r="F170" i="1"/>
  <c r="F169" i="1"/>
  <c r="F168" i="1"/>
  <c r="F163" i="1"/>
  <c r="F161" i="1"/>
  <c r="F160" i="1"/>
  <c r="F159" i="1"/>
  <c r="F158" i="1"/>
  <c r="F132" i="1"/>
  <c r="F131" i="1"/>
  <c r="F120" i="1"/>
  <c r="F117" i="1"/>
  <c r="F112" i="1"/>
  <c r="F111" i="1"/>
  <c r="F89" i="1"/>
  <c r="F85" i="1"/>
  <c r="F86" i="1" s="1"/>
  <c r="F79" i="1"/>
  <c r="F78" i="1"/>
  <c r="F76" i="1"/>
  <c r="F75" i="1"/>
  <c r="F73" i="1"/>
  <c r="F72" i="1"/>
  <c r="F58" i="1"/>
  <c r="F57" i="1"/>
  <c r="F51" i="1"/>
  <c r="F50" i="1"/>
  <c r="F49" i="1"/>
  <c r="F47" i="1"/>
  <c r="F46" i="1"/>
  <c r="F44" i="1"/>
  <c r="F43" i="1"/>
  <c r="F38" i="1"/>
  <c r="F37" i="1"/>
  <c r="F36" i="1"/>
  <c r="F34" i="1"/>
  <c r="F27" i="1"/>
  <c r="F26" i="1"/>
  <c r="F25" i="1"/>
  <c r="F24" i="1"/>
  <c r="F23" i="1"/>
  <c r="F22" i="1"/>
  <c r="F21" i="1"/>
  <c r="F20" i="1"/>
  <c r="F18" i="1"/>
  <c r="F17" i="1"/>
  <c r="F16" i="1"/>
  <c r="F9" i="1"/>
  <c r="F8" i="1"/>
  <c r="F10" i="1"/>
  <c r="F7" i="1"/>
  <c r="F273" i="1" l="1"/>
  <c r="F304" i="1" s="1"/>
  <c r="F283" i="1"/>
  <c r="F305" i="1" s="1"/>
  <c r="F255" i="1"/>
  <c r="F302" i="1" s="1"/>
  <c r="F228" i="1"/>
  <c r="F239" i="1"/>
  <c r="F301" i="1" s="1"/>
  <c r="F260" i="1"/>
  <c r="F303" i="1" s="1"/>
  <c r="F182" i="1"/>
  <c r="F295" i="1" s="1"/>
  <c r="F164" i="1"/>
  <c r="F293" i="1" s="1"/>
  <c r="F172" i="1"/>
  <c r="F294" i="1" s="1"/>
  <c r="F113" i="1"/>
  <c r="F290" i="1" s="1"/>
  <c r="F133" i="1"/>
  <c r="F291" i="1" s="1"/>
  <c r="F289" i="1"/>
  <c r="F11" i="1"/>
  <c r="F287" i="1" s="1"/>
  <c r="F28" i="1"/>
  <c r="F288" i="1" s="1"/>
  <c r="F296" i="1"/>
  <c r="F297" i="1"/>
  <c r="F292" i="1"/>
  <c r="F300" i="1"/>
  <c r="F298" i="1"/>
  <c r="F299" i="1"/>
  <c r="F306" i="1" l="1"/>
</calcChain>
</file>

<file path=xl/sharedStrings.xml><?xml version="1.0" encoding="utf-8"?>
<sst xmlns="http://schemas.openxmlformats.org/spreadsheetml/2006/main" count="1710" uniqueCount="1332">
  <si>
    <t>PRIPREMNI RADOVI</t>
  </si>
  <si>
    <t>ZEMLJANI RADOVI</t>
  </si>
  <si>
    <t>AB RADOVI</t>
  </si>
  <si>
    <t>01.</t>
  </si>
  <si>
    <t>02.</t>
  </si>
  <si>
    <t>01.01.</t>
  </si>
  <si>
    <t>GEODETSKO ISKOLČENJE: Geodetsko iskolčenje parcele, objekta, postavljanje fiksnih geodetskih točaka te kompletno geodetsko praćenje izgradnje objekta uključujuči izradu geodetskog elaborata za izvedene radove i instalacije sa upisom u katastar. Rad obuhvaća iskolčenje prema projektu dostavljenom od strane Investitora i projektanta, odnosno sva geodetska mjerenja kojima se podaci sa projekta prenose na teren, profiliranje, obnavljanje i održavanje iskolčenih oznaka na terenu za sve vrijeme građenja, odnosno do predaje radova Investitoru. Izvođač je dužan postaviti fiksne geodetske točke na pozicije koje nisu ugrožene prilikom izvođenja zemljanih radova, a u dogovoru sa nadzornim inženjerom i glavnim izvođačem radova. Sve geodetske točke za vrijeme izvođenja radova izvođač je dužan čuvati. U slučaju oštećenja iste je dužan obnoviti. Geodetske radove obavlja ovlaštena pravna osoba (ovlašteni geodet). Predmet troškovnika instalacija: iskolčenje trase instalacija prije početka radova sa označavanjem svih važnih točaka na terenu; izrada geodetskog snimka, visinskog i položajnog svih instalacija uključujući cijevi (kota ulaza, izlaza, pad i promjer cijevi, okna (kota dna, kota poklopca) i drugih elemenata, te izrada kartiranog plana od strane ovlaštenog geodeta. Obračun u paušalnom iznosu sve do pune gotovosti.</t>
  </si>
  <si>
    <t>paušal</t>
  </si>
  <si>
    <t>NASLOV STAVKE I OPIS</t>
  </si>
  <si>
    <t>J.M.</t>
  </si>
  <si>
    <t>KOL.</t>
  </si>
  <si>
    <t>J.C.</t>
  </si>
  <si>
    <t>IZNOS</t>
  </si>
  <si>
    <t>NAPOMENA PONUDITELJA</t>
  </si>
  <si>
    <t>01.02.</t>
  </si>
  <si>
    <t xml:space="preserve">ČIŠĆENJE TERENA: Čišćenje terena od grmlja i niskog raslinja i stabala te odvoz i deponiranje materijala. U cijenu uključiti potrebne sve radnje i predradnje za osiguranja pri svakoj poziciji rada i kontinuirani odvoz na gradsku deponiju  s uključenim vađenjem panjeva. Ukalkulirati sve potrebne elemente do potpune izvršenosti posla, uključujući deponiranje građevinskog otpada sukladno Zakonu o otpadu i uvjetima deponije. </t>
  </si>
  <si>
    <t>m2</t>
  </si>
  <si>
    <t>02.01.</t>
  </si>
  <si>
    <t>POVRŠINSKI ISKOP HUMUSA: Površinski iskop humusa u debljini sloja od 20cm, utovar i odvoz sa svim potrebnim davanjima do zbrinjavanja. Obračun po m3.</t>
  </si>
  <si>
    <t>m3</t>
  </si>
  <si>
    <t>02.02.</t>
  </si>
  <si>
    <t>02.03.</t>
  </si>
  <si>
    <t>PLANIRANJE DNA ISKOPA: Planiranje dna iskopa unutar objekta s točnošću +/- 3cm. Obračun po m2.</t>
  </si>
  <si>
    <t>02.04.</t>
  </si>
  <si>
    <t>Nasip prema projektnoj dokumentaciji - nasip ispod temeljnih ploča (predviđena debljina nasipa 40 cm)</t>
  </si>
  <si>
    <t>Nasip prema projektnoj dokumentaciji - zasipavanje oko podrumskih zidova (prema naputku nadzornog inženjera, eventualno koristiti materijal iz iskopa)</t>
  </si>
  <si>
    <t>Dodatni nasip ukoliko će biti potrebna zamjena tla na pojedinim pozicijama.</t>
  </si>
  <si>
    <t>02.05.</t>
  </si>
  <si>
    <t>ZATRPAVANJE MATERIJALOM IZ ISKOPA (GRUBA PROCJENA). Materijal iz iskopa s kojim će vršiti nasipavanja treba selektirati. Nasipavanje oko temelja s kamenim materijalom iz iskopa maksimalnog promjera 20 cm. Količina u troškovniku je procijenjena. Izvoditi u skladu s nalogom nadzornog inženjera, projektanta konstrukcije i geomehaničara. U jediničnu cijenu uključiti dopremu materijala sa gradilišne deponije, razastiranje, planiranje s točnošću +/- 2 cm i nabijanje uz optimalnu vlažnost. Obračun po m3 stvarno izvedenog zatrpavanja u zbijenom stanju sve do pune gotovosti.</t>
  </si>
  <si>
    <t>02.06.</t>
  </si>
  <si>
    <t>UTOVAR I ODVOZ MATERIJALA IZ ISKOPA: Utovar i odvoz materijala iz iskopa na odlagalište uključivo sve troškove zbrinjavanja kao građevinskog otpada. Za odvezenu količinu osigurati prateći list!. U cijenu uključeni svi troškovi zbrinjavanja Obračun po m3 stvarno odvezenog materijala iz iskopa u sraslom stanju.</t>
  </si>
  <si>
    <t>02.07.</t>
  </si>
  <si>
    <t>DRENAŽA: Izvedba drenaže po obodu objekta: izvedba betonske posteljice širine 40 cm i debljine 5-10 cm. Na istu se polažu drenažne cijevi od tunelskog presjeka od tvrde plastike. U stavku uključena dobava i ugradnja betona i drenažnih cijevi. Izvedba drenažnog sloja drobljenim kamenim materijalom granulacije 32 mm. Kameni  materijal se polaže na geotekstil (koji se postavlja na betonsku posteljicu), Nakon postave kamenog materijala na način da vrh drenažne cijevi bude 15 cm iznad vrha cijevi, geotekstil se postavlja preko drenažnog materijala. U stavku uključen podložni beton, drenažne cijevi, geotekstil i drenažni materijal. Obračun prema m'.</t>
  </si>
  <si>
    <t>02.08.</t>
  </si>
  <si>
    <t>m'</t>
  </si>
  <si>
    <t>PODLOŽNI SLOJ BETONA: Dobava i ugradnja podložnog sloja betona ispod temeljne ploče, betonom C16/20 sa zrnom agregata 0-16, debljine d ≥ 7 cm. Betonirati podložni sloj paralelno s iskopom, odnosno nakon zbijanja nasipnog materijala, na projektiranu kotu. Prije betoniranja temeljno tlo treba pregledati ekspert - geomehničar. Podloga se izvodi šire od temeljne ploče sa prepustom 20 - 30 cm. Obračun po m2 izvedene površine.</t>
  </si>
  <si>
    <t>03.</t>
  </si>
  <si>
    <t>04.</t>
  </si>
  <si>
    <t>Izrada jednostrane oplate temeljne ploče visine 40 cm. Obračun u m2 izvedene oplate.</t>
  </si>
  <si>
    <t>Betoniranje arm bet. temeljne ploče deb. 40 cm, betonom C25/30 sa zrnom agregata 0-16, s potrebnom obodnom oplatom (zaštitni sloj c=25 mm; razred izloženosti XC1). Prilikom betoniranja ploče sve eventualne padove izvesti prema postavljenim slivnicima u podu. Prilikom ugradnje beton vibrirati, a zatim beton pravilno njegovati. Gornja površina fino zaglađena u izvedbi. Radne i konstruktivne reške (prekidi zbog betonaže) uključeni u cijenu. Obračun po m3.</t>
  </si>
  <si>
    <t>Betoniranje armirano betonskih stropnih ploča betonom C25/30, sa zrnom agregata 0-16  (zaštitni sloj c=25 mm; razred izloženosti XC1). Prilikom ugradnje beton vibrirati, a zatim beton pravilno njegovati. Gornja površina fino zaglađena u izvedbi. Obračun po m3 ugrađenog betona.</t>
  </si>
  <si>
    <t>Oplata AB ploča. U cijeni je zatvaranje rupa na mjestima spojnica oplate, odnosno prodori prema planovima oplate. U jediničnu cijenu uključene potrebne radne skele i ograde prilikom betoniranja. Obračun po m2 izvedene oplate.</t>
  </si>
  <si>
    <t xml:space="preserve">Betoniranje AB zidova betonom C25/30 sa zrnom agregata 0 -16 (zaštitni sloj c=30 mm; razred izloženosti XC1) u dvostranoj oplati. Debljine zidova 20cm. Prilikom ugradnje beton vibrirati, a zatim beton pravilno njegovati. Uključivo izvedbu kutija za prodore i otvore u zidovima u cijeni izvedbe oplate. Obračun po m3. </t>
  </si>
  <si>
    <t xml:space="preserve">Dvostrana oplata zidova (d=20cm). Otvori i prodori za prolaz instalacija i vrata posebno se ne obračunavaju. U jediničnu cijenu uključene potrebne radne skele i ograde prilikom betoniranja. Obračun po m2 izvedene oplate. </t>
  </si>
  <si>
    <t>Betoniranje AB greda, betonom C25/30, sa zrnom agregata 0 - 16 (zaštitni sloj c=30 mm; razred izloženosti XC1). Prilikom ugradnje beton vibrirati, a zatim beton pravilno njegovati.</t>
  </si>
  <si>
    <t xml:space="preserve">Oplata greda s potrebnim radnim skelama i ogradama u cijeni oplate. Obračun po m2. </t>
  </si>
  <si>
    <t xml:space="preserve">Dvostrana oplata zidova (d=20cm). Zid je promjenjive visine, te se neće posebno obračunavaju rad na postizanju traženog oblika. U jediničnu cijenu uključene potrebne radne skele i ograde prilikom betoniranja. Obračun po m2 izvedene oplate. </t>
  </si>
  <si>
    <t>AB STUBIŠTA</t>
  </si>
  <si>
    <t>Betoniranje armirano betonskih stubišta betonom C25/30 sa zrnom agregata 0-16 (zaštitni sloj c=30 mm; razred izloženosti XC1). Prilikom ugradnje beton vibrirati, a zatim beton pravilno njegovati. Obračun po m3 ugrađenog betona.</t>
  </si>
  <si>
    <t xml:space="preserve">Oplata AB stubišta. U cijeni je zatvaranje rupa na mjestima spojnica oplate, odnosno prodori prema planovima oplate. U jediničnu cijenu uključene potrebne radne skele i ograde prilikom betoniranja. Obračun po m2 izvedene oplate. </t>
  </si>
  <si>
    <t>ARMIRAČKI RADOVI</t>
  </si>
  <si>
    <t>Rebrasta armatura - šipke RA kvaliete B 500 B. Dobava, ispravljanje, sječenje, savijanje i postavljanje rebraste armature  na poziciju ugradnje, svi profili šipke, s transportom od armiračnice do gradilišta i konačnom ugradnjom, u svemu prema nacrtima armature. Količina navedena troškovnikom je procijenjena, točna će količina biti definirana izradom nacrta armature u fazi izrade izvedbene dokumentacije. U cijenu stavke uključeni distanceri, podmetači, pocinčana žica za vezivanje te ostalo potrebno za kompletnu izvedbu stavke. Obračun prema stvarno ugrađenim količinama (netto).</t>
  </si>
  <si>
    <t>Mrežasta armatura - mreže MAR kvalitete B 500 B. Dobava, postavljanje, siječenje, savijanje i postavljanje mrežaste armature  na poziciju ugradnje,s transportom na gradilište i konačnom ugradnjom, u svemu prema nacrtima armature. Količina navedena troškovnikom je procijenjena, točna će količina biti definirana izradom nacrta armature u fazi izrade izvedbene dokumentacije. U cijenu stavke uključeni distanceri, podmetači, pocinčana žica za vezivanje te ostalo potrebno za kompletnu izvedbu stavke. Obračun prema stvarno ugrađenim količinama (netto).</t>
  </si>
  <si>
    <t>05.</t>
  </si>
  <si>
    <t>kg</t>
  </si>
  <si>
    <t>ZIDARSKI RADOVI</t>
  </si>
  <si>
    <t>06.</t>
  </si>
  <si>
    <t>07.</t>
  </si>
  <si>
    <t>PARNA BRANA: Dobava i postava parne brane na bazi destiliranog bitumena sa plastomernim polimerima (APP) Sika® Bituseal T-230 PA HR (-5°C), težine 3.0 kg/m2. Ojačana je mrežicom od staklenih vlakana sa uzdužnim pletivom  i kaširana sa aluminijskom  folijom debljine 0,035mm. Traka se ugrađuje punoplošnim ljepljenjem na podlogu postupkom varenja sa otvorenim plamenom iz propan plamenika, sa bočnim preklopom 100mm, i čeonim preklopom 150mm. Preklopi na podlogu pripremljenu sa temeljnim premazom na bazi bitumena tipa kao Sika® Igolflex® P –01, uz potrošnju oko 300g/m2. Traka se uzdiže na vertikalne istake u debljini toplinske izolacije. Obračun po m2 ugrađenog materijala.</t>
  </si>
  <si>
    <t>ŽBUKANJE GIPS-VAPNENA ŽBUKA: Žbukanje armiranobetonskih stropova i zidova i zidanih zidova. Žbukanje se izvodi unutarnjom gipsvapnenom žbukom GV-10. Stavka se izvodi isključivo prema nalogu nadzornog inženjera. Obračun po m2.</t>
  </si>
  <si>
    <t>stropovi</t>
  </si>
  <si>
    <t>zidovi</t>
  </si>
  <si>
    <t>ŽBUKANJE CEMENTNA ŽBUKA: Žbukanje armiranobetonskih stropova i zidova i zidanih zidova. Žbukanje se izvodi unutarnjom cementnom žbukom VC-50. Stavka se izvodi isključivo prema nalogu nadzornog inženjera. Obračun po m2.</t>
  </si>
  <si>
    <t>UTORI U AB PLOČAMA I ZIDOVIMA: Izvođenje utora za polaganja instalacija u ab zidovima  i pločama. Dimenzije presjeka utora do cca 10x5 cm. Pod troškovničkom stavkom se smatra jedino naknadno traženo izvođenje utora po prethodnom zahtjevu i upisu nadzornog inženjera u građevinski dnevnik. Ostalo se neće uzeti u obzir pošto je ugradnja cijevi za vođenje instalacija i sl. predviđena u fazi izvođenja AB ili zidarskih radova. Količina je predpostavljena.Obračun po m1 stvarno izvedenih šliceva sve do pune gotovosti, uz prethodno odobrenje nadzornog inženjera.</t>
  </si>
  <si>
    <t>ZIDARSKA OBRADA ŠLICEVA: Zidarska obrada otvora i utora (šliceva) u podovima i zidovima nakon položenih instalacija. U stavku uključeno bandažiranje spojeva i sve druge radnje da predmetni utor bude spreman za soboslikarske radove. Pod troškovničkom stavkom se smatra jedino naknadno traženo izvođenje utora i njegovo krpanje po prethodnom zahtjevu i upisu nadzornog inženjera u građevinski dnevnik. Ostalo se neće uzeti u obzir pošto je ugradnja cijevi za vođenje instalacija i sl. predviđena u fazi izvođenja AB ili zidatskih radova. Količina je predpostavljena. Obračun po m1 stvarno izvedene zidarske obrade sve do pune fotovosti, uz prethodno odobrenje nadzornog inženjera.</t>
  </si>
  <si>
    <t>ZIDARSKA PRIPOMOĆ: Zidarska pripomoć kod instalaterskih, obrtničkih, i raznih nepredviđenih radova. Obračun po upisu nadzornog inženjera u građevinski dnevnik. Pod troškovničkom stavkom se smatra jedino naknadno traženo angažiranje radne snage,a nakon završetka svih radova,a sve  po prethodnom upisu nadzornog inženjera u građevinski dnevnik. Ostalo se neće uzeti u obzir pošto je isto predviđeno u fazi izvođenja  radova.Količina je predpostavljena.Obračun po satu, uz prethodno odobrenje nadzornog inženjera.Stavkom su obuhvaćeni i popravci cementnim mortom M10. U cijenu stavke uračunata i potrebna radna skela.</t>
  </si>
  <si>
    <t>KV radnik</t>
  </si>
  <si>
    <t>h</t>
  </si>
  <si>
    <t>NKV radnik</t>
  </si>
  <si>
    <t>IZOLATERSKI RADOVI</t>
  </si>
  <si>
    <t>05.01.</t>
  </si>
  <si>
    <t>04.08.</t>
  </si>
  <si>
    <t>04.07.</t>
  </si>
  <si>
    <t>04.06.</t>
  </si>
  <si>
    <t>04.05.</t>
  </si>
  <si>
    <t>04.04.</t>
  </si>
  <si>
    <t>04.03.</t>
  </si>
  <si>
    <t>04.02.</t>
  </si>
  <si>
    <t>04.01.</t>
  </si>
  <si>
    <t>03.13.</t>
  </si>
  <si>
    <t>03.12.</t>
  </si>
  <si>
    <t>03.11.</t>
  </si>
  <si>
    <t>03.10.</t>
  </si>
  <si>
    <t>03.09.</t>
  </si>
  <si>
    <t>03.08.</t>
  </si>
  <si>
    <t>03.07.</t>
  </si>
  <si>
    <t>03.06.</t>
  </si>
  <si>
    <t>03.05.</t>
  </si>
  <si>
    <t>03.04.</t>
  </si>
  <si>
    <t>03.03.</t>
  </si>
  <si>
    <t>03.02.</t>
  </si>
  <si>
    <t>03.01.</t>
  </si>
  <si>
    <t>05.02.</t>
  </si>
  <si>
    <t>02.09.</t>
  </si>
  <si>
    <t>UGRADNJA GEOTEKSTILA: Dobava i ugradnja na dnu iskopa netkanog geotekstila čime dolazi do odvajanja slojeva materijala bitno različitih karakteristika pri čemu se osigurava minimalna vodopropusnost kao i mehanizam filtriranja kojim se ograničava ispiranje sitnozrnatog materijala pri prolazu vode iz temeljnog tla u sloj od zrnatog kamenog materijala. Predviđa se upotreba netkanog geotekstila od polipropilena (PP) čvrstoće na vlak MD/CMD ≥ 20 kN/m' prema HRN EN ISO 10319, izduženja pri slomu MD/CMD ≥ 55% prema HRN EN ISO 10319, sile proboja (CBR) Fp ≥ 3,50 kN prema HRN EN ISO 12236, djelotvorne veličine otvora O90= 0,1-0,2 mm, vodopropusnosti okomito na ravninu ≥ 1x10-3 m/s i vodopropusnosti u ravnini &gt;5,0*10-7 m2/s. Minimalni preklop geotekstila iznosi 50,0 cm. Obračun po m2.</t>
  </si>
  <si>
    <t>UGRADNJA NASIPNOG MATERIJALA: dobava  kamenog sortirano nasipnog materijala granulacije 0-32,  koeficijent nejednolikost U=d60/d40&gt;4, te ugradnja i zbijanje u slojevima u slojevima debljine 15 cm. Nasipni materijal se ugrađuje strojno u slojevima debljine 15 cm te valja vibracijskim sredstvima za zbijanje do potrebnog modula stišljivosti, a minimalno Ms=40 MPa, ispod AB elemenata sukladno građevinskom projektu konstrukcije.Obračun po m3 u sraslom stanju.</t>
  </si>
  <si>
    <t>08.</t>
  </si>
  <si>
    <t>05.03.</t>
  </si>
  <si>
    <t>09.</t>
  </si>
  <si>
    <t>GIPSKARTONSKI RADOVI</t>
  </si>
  <si>
    <t>06.01.</t>
  </si>
  <si>
    <t>10.</t>
  </si>
  <si>
    <t>06.02.</t>
  </si>
  <si>
    <t>06.03.</t>
  </si>
  <si>
    <t>GK OBLOGA ZIDA - SUHO: Dobava i montaža zidne obloge u suhim prostorima tipa Knauf W626 s dvostrukom oblogom iz Knauf gips-kartonskih ploča tipa A 13. Ukupna debljina zidne obloge 7,5 cm. Izrada potkonstrukcije od tipskih Knauf UW/CW 50 profila iz pocinčanog lima debljine 0,6 mm. Spoj obodne konstrukcije sa Knauf profilima se izvodi sa brtvenim kitom. Međusobni osni razmaci okomitih CW profila maksimalno 62,5 cm. Obrada spojeva impregniranim Uniflott-om. Izrada prema smjernicama i uputama proizvođača. Kvaliteta završne obrade spojeva i površine prvog sloja prema kvaliteti Q1, a kvaliteta završne obrade drugog sloja prema kvaliteti obrade površine Q2 za bojanje, a Q1 za pločice. Uključiti ispunu zidnog međuprostora sa slojem izolacijskog materijala debljine 5 cm. Obračun po m2 izvedene obloge.</t>
  </si>
  <si>
    <t>06.04.</t>
  </si>
  <si>
    <t>06.05.</t>
  </si>
  <si>
    <t>11.</t>
  </si>
  <si>
    <t>OBLOGA UGRADBENIH VODOKOTLIĆA: Dobava materijala i izrada obloge ugradbenih vodokotlića. Jednostruka obloga od GK impregniranih ploča H213 debljine 12,5 mm, v=1,30 m na metalnoj podkonstrukciji d=50 mm. Obrada spojeva ploča u kvaliteti Q2 - Uniflott imregnirani. Prije postave keramike površinu iz GK ploča potrebno je premazati s Knauf Tiefengrung premazom. Svi spojevi kada kao završnu oblogu postavljamo impregniranu ploču obrada tih ploča se izvodi s Uniflott impregnirajućim sredstvom. Obračun po m2.</t>
  </si>
  <si>
    <t>06.06.</t>
  </si>
  <si>
    <t>06.07.</t>
  </si>
  <si>
    <t>GK OJAČANJA: Izrada ojačanja ploha gipskartonskih zidova na mjestima predviđenim za ovješenje bojlera, kuhinjskih elemenata i sl. Ojačanje se izvodi postavljanjem komada OSB ploče debljine 12 mm, za kuhinjske elemente na visinu 1,40 m - 2,40 m od gotovog poda, a za bojler 1,40 - 2,00 m. Obračun po m1.</t>
  </si>
  <si>
    <t>06.08.</t>
  </si>
  <si>
    <t>06.09.</t>
  </si>
  <si>
    <t>kom</t>
  </si>
  <si>
    <t>06.10.</t>
  </si>
  <si>
    <t>UA PROFIL ZA UGRADNJU UMIVAONIKA U GK PREGRADE: Dobava i postava UA profila na mjestima umivaonika sa UA75 profilima. Isti se postavljaju u utične kutnike koji su pričvrščeni za međukatnu konstrukciju. Visina ugradnje do 3,20 m. Pri izradi držati se smjernica proizvođača.</t>
  </si>
  <si>
    <t>06.11.</t>
  </si>
  <si>
    <t>UA PROFIL ZA UGRADNJU WC ŠKOLJKE U GK PREGRADE: Dobava i postava UA profila na mjestima WC školjke sa UA75 profilima. Isti se postavljaju u utične kutnike koji su pričvrščeni za međukatnu konstrukciju. Visina ugradnje do 3,20 m. Pri izradi držati se smjernica proizvođača.</t>
  </si>
  <si>
    <t>06.12.</t>
  </si>
  <si>
    <t>07.01.</t>
  </si>
  <si>
    <t>Kuhinja</t>
  </si>
  <si>
    <t>Kupaonica</t>
  </si>
  <si>
    <t>Terasa</t>
  </si>
  <si>
    <t>KERAMIČKE PLOČICE - POD: Dobava i ugradnja keramike koristeći bijelo deformafilno ljepilo, koje se sastoji od visoko-otpornih cemenata, odabanih silicij/kvarcnih mineralnih punila i posebnih dodataka. Ljepilo SikaCeram-220 Large. Karakteristike ljepila: klasa C2TE (EN12004); gustoća: ~1.60 kg/l; početna čvrstoća prionjivosti: min. 1.4 MPa (EN 1348); čvrstoća prionjivosti nakon djelovanja termperature: min. 1,0 MPa (EN 1348). Fugiranje izvesti cementnom masom, klase CG2 (EN 13888). Masa za fugiranje  SikaCeram Cleangrout. Na radnim reškama ugraditi trajnoelastično poliuretansko brtvilo na neutralnoj bazi. Boja prema odgabiru projektanta. Svi proizvodi u sustavu istog proizvođača materijala.  Radove izvesti prema uputama proizvođača materijala. U jediničnu cijenu uključen transport keramike do mjesta ugradnje, ugradnja i vezni materijal. Obračun po m2 površine. Jedinična cijena sadrži i sva potrebna izrezivanja, brušenja, fugiranja i čišćenja do gotovog opločenja.</t>
  </si>
  <si>
    <t>07.02.</t>
  </si>
  <si>
    <t>PODOPOLAGAČKI RADOVI</t>
  </si>
  <si>
    <t>08.01.</t>
  </si>
  <si>
    <t>12.</t>
  </si>
  <si>
    <t>PARKET: Površina mora biti neoštećena, čista, suha, tvrda i slobodna od zagađenja kao što su nafta, masnoća, premazi itd. Sav prašnati, rastresit i trošan materijal mora se u potpunosti ukloniti sa svih površina prije nanošenja proizvoda postupkom dijamantnog strojnog brušenja i usisavanja. Podloga treba biti bez ikakve vlage, ugljikovodičnih mrlja. Brušenjem je potrebno eliminirati cementno mlijeko na površini cementne košuljice ili mase za izravnavanje. Dopuštene su granične vrijednosti neravnina gotove podloge mjerene na razmaku od 2m - 4 mm prema DIN 18202, 2 mm - 2m. Tolerancija mora biti manja od 2 mm na 20 cm za betonske/drvene podloge. Dopuštena vlaga prema CM metodi je ≤ 2 % za beton, Rh 30% - 50%. Ukoliko postoji dilatacijski razmak, potrebno je košuljicu i masu za izravnavanje prekinuti sa obje strane, a spoj se tretira ugradnim ili pokrivnim profilima. Ukoliko postoji izolacijski razmak na krajevima, potrebno je popunjavanje praznina mekim materijalima (npr. stiropor) i skraćivanje materijala. Eventualne pukotine i radne dilatacije u estrihu potrebno je dodatno otvoriti i poprečno zasjeći svakih 20 – 30 cm. U pukotine se ubacuju valovite spojnice i zatim se saniraju (zatvaraju) s dvokomponentnom epoksidnom smolom kao Sikafloor 156 i kvarcnim pijeskom.</t>
  </si>
  <si>
    <t>Nanošenje disperzijskog predpremaza tipa kao Schonox KH  razrijeđen s vodom u omjeru 1:1 do 1:3 u potrošnji 0,10 lit/m2. Izrada izravnavajuće mase Schonox ZM tlačne čvrstoće 35 N/mm² (28 dana), u debljini min. 3 mm, potrošnja 1,5 kg/m²/mm.  Izravnavajuću masu Schonox ZM potrebno je nakon sušenja prebrusiti sa brusnim papirom granulacije K 40 i zatim usisati brusnu prašinu.Dopuštene su granične vrijednosti neravnina gotove podloge prema DIN 18202 mjerena na razmaku od 2m – 7mm, 0.20m – 2mm, a dozvoljena vlažnost estriha prema DIN 18560 je 2% CM. Na ovako pripremljenu podlogu ljepi se gotovi troslojni parket.</t>
  </si>
  <si>
    <t>Nabava i ugradnja parketa prema specifikaciji. Punoplošno lijepljenje  podne obloge iz stavke 3. STP ljepilom bez emisije štetnih tvari u okolinu tipa kao Sikabond AT-80 ili jednakovrijedan, utrošak cca 1,00-1,20 kg/m², lijepljenje prema uputama proizvođača. Obračun po m2.</t>
  </si>
  <si>
    <t>08.02.</t>
  </si>
  <si>
    <t>KAMENARSKI RADOVI</t>
  </si>
  <si>
    <t>03.14.</t>
  </si>
  <si>
    <t>09.01.</t>
  </si>
  <si>
    <t>13.</t>
  </si>
  <si>
    <t>BRAVARSKI RADOVI</t>
  </si>
  <si>
    <t>10.01.</t>
  </si>
  <si>
    <t>10.02.</t>
  </si>
  <si>
    <t>10.03.</t>
  </si>
  <si>
    <t>09.02.</t>
  </si>
  <si>
    <t>09.03.</t>
  </si>
  <si>
    <t>10.04.</t>
  </si>
  <si>
    <t>10.05.</t>
  </si>
  <si>
    <t>10.06.</t>
  </si>
  <si>
    <t>ALUMINIJSKI RADOVI</t>
  </si>
  <si>
    <t>11.01.</t>
  </si>
  <si>
    <t>11.02.</t>
  </si>
  <si>
    <t>11.03.</t>
  </si>
  <si>
    <t>11.04.</t>
  </si>
  <si>
    <t>11.05.</t>
  </si>
  <si>
    <t>11.06.</t>
  </si>
  <si>
    <t>11.07.</t>
  </si>
  <si>
    <t>11.08.</t>
  </si>
  <si>
    <t>11.09.</t>
  </si>
  <si>
    <t>PVC RADOVI</t>
  </si>
  <si>
    <t>12.01.</t>
  </si>
  <si>
    <t>STAKLARSKI RADOVI</t>
  </si>
  <si>
    <t>13.01.</t>
  </si>
  <si>
    <t>10.07.</t>
  </si>
  <si>
    <t>15.</t>
  </si>
  <si>
    <t>STOLARSKI RADOVI</t>
  </si>
  <si>
    <t>15.01.</t>
  </si>
  <si>
    <t>15.02.</t>
  </si>
  <si>
    <t>15.03.</t>
  </si>
  <si>
    <t>16.</t>
  </si>
  <si>
    <t>SOBOSLIKARSKO-LIČILAČKI RADOVI</t>
  </si>
  <si>
    <t>16.01.</t>
  </si>
  <si>
    <t>AB i žbukani zidovi</t>
  </si>
  <si>
    <t>AB stropovi</t>
  </si>
  <si>
    <t>16.02.</t>
  </si>
  <si>
    <t>GK stropovi</t>
  </si>
  <si>
    <t>GK zidovi i obloge</t>
  </si>
  <si>
    <t>17.</t>
  </si>
  <si>
    <t>FASADERSKI RADOVI</t>
  </si>
  <si>
    <t>17.01.</t>
  </si>
  <si>
    <t>17.02.</t>
  </si>
  <si>
    <t>17.03.</t>
  </si>
  <si>
    <t>17.04.</t>
  </si>
  <si>
    <t>17.05.</t>
  </si>
  <si>
    <t>18.</t>
  </si>
  <si>
    <t>LIMARSKI RADOVI</t>
  </si>
  <si>
    <t>18.01.</t>
  </si>
  <si>
    <t>OPŠAV KROVNOG VIJENCA: Dobava materijala, izrada i ugradnja (montaža) opšava od lima ravnog nadozida krovnog vijenca. Opšavni lim s okapnicom preko ruba fasadne obloge i okapnicom prema unutarnjoj strani vijenca od pocinčanog plasificiranog lima debljine 0,7mm. Limovi profiliranog oblika i boje prema odabiru investitora. Spojeve izvesti standardnim preklopima - vodonepropusno, sva potrebna potkonstrukcija, učvršćenja, kitanja i slično. Sve prema pravilima struke, nacrtu i uputi projektanta. Kompletno izvesti uz sav potreban rad i materijal do finalne gotovosti. Razvijena širina 95cm</t>
  </si>
  <si>
    <t>18.02.</t>
  </si>
  <si>
    <t>OPŠAV DIMNJAKA I VENTILACIJE: Dobava materijala, izrada i ugradnja (montaža) opšava od lima na mjestu prodora krovne plohe (dimnjaci, ventilacija). Opšavni lim s okapnicom preko ruba fasadne obloge i okapnicom prema unutarnjoj strani vijenca od pocinčanog plasificiranog lima debljine 0,7mm. Limovi profiliranog oblika i boje prema odabiru investitora. Spojeve izvesti standardnim preklopima - vodonepropusno, sva potrebna potkonstrukcija, učvršćenja, kitanja i slično. Sve prema pravilima struke, nacrtu i uputi projektanta. Kompletno izvesti uz sav potreban rad i materijal do finalne gotovosti. Razvijena širina 35cm</t>
  </si>
  <si>
    <t>05.06.</t>
  </si>
  <si>
    <t xml:space="preserve">AB ZIDOVI d=20cm: Betoniranje armiranobetonskih zidova debljine 20cm u dvostranoj oplati. </t>
  </si>
  <si>
    <t>OPLATA TEMELJA ZIDOVA OKOLIŠA: Oplata temeljnih ploča  zidova okoliša. U jediničnu cijenu uključene potrebne radne skele i ograde prilikom betoniranja. . Obračun po m2 izvedene oplate</t>
  </si>
  <si>
    <t>BETON ZIDOVI OKOLIŠA: Betoniranje AB  zidova okoliša betonom C25/30 u dvostranoj glatkoj oplati (zaštitni sloj c=50 mm; razred izloženosti XC2). Obračun po m3</t>
  </si>
  <si>
    <t>OPLATA ZIDOVA OKOLIŠA: Oplata  zidova okoliša. Izvedba u glatkoj oplati. U jediničnu cijenu uključene potrebne radne skele i ograde prilikom betoniranja. Obračun po m2 izvedene oplate</t>
  </si>
  <si>
    <t>LOCIRANJE I OBILJEŽAVANJE INSTALACIJA. Prije početka izvedbe radova potrebno je locirati i obilježiti instalacije na području građevne jame. U stavku uključena izvedba probnih šliceva na poziciji pretpostavljene trase kanalizacijske cijevi. Obilježavanje instalacija je potrebno kako bi se izbjeglo njihovo oštećenje prilikom izvedbe mjera osiguranja građevne jame. Stavka obuhvaća sva potrebna sredstva, materijal i rad. Obračun po kompletu.</t>
  </si>
  <si>
    <t>01.03.</t>
  </si>
  <si>
    <t>01.04.</t>
  </si>
  <si>
    <t>19.</t>
  </si>
  <si>
    <t>RAVNI KROVOVI</t>
  </si>
  <si>
    <t>19.01.</t>
  </si>
  <si>
    <t xml:space="preserve">KROV RK1: </t>
  </si>
  <si>
    <t>HIDROIZOLACIJA (krov i zid atike): Dobava i postava sintetičke membrane na bazi termoplastičnog poliolefina, FPO, armirana staklenim pletivom, bež boje, UV stabilna, prema EN 13956 tipa kao Sarnafil TG 66-18. Karakteristike: efektivna debljina: min.1.8 mm (-5%/+10%) (HRN EN 1849-2); masa po jedinici površine: min. 1.8 kg/m² (-5%/+10%) (HRN EN 1849-2); posmična otpornost spojeva: ≥500 N/50 mm (HRN EN 12317-2); otpornost na prolaz vodene pare: min. μ=150.000 (HRN EN 1931); vlačna čvrstoća uzdužna/poprečna: min. 9 N/mm² / 7 N/mm² (HRN EN 12311-2); izduženje pri slomu: min. 550% (HRN EN 12311-2); otpornost na udarce, meka podloga: min. 1250 mm (HRN EN 12691); otpornost na statičke opterećenja: min. 20kg (HRN EN 12730); pregibljivost pri sniskim temperaturama: ≥ -45°C (HRN EN 495-5). Membrane se slobodno polažu, između dva sloja geotekstila min. 300 g/m2, te obodno mehanički fiksiraju za podlogu. Spojevi se obrađuju vrućim zrakom sa širinom vara od min. 3 cm, preklop 8 cm, u skladu s propisanom tehnologijom od strane proizvođača membrane. Obodno (holker, istaka, parapet) membrana se završava na profil specijalnog kaširanog lima tipa kao Sika TPO lim (debljine min. 1,7 mm), uključena brtvljenje sa namjenskim poliuretanskim brtvilom. Svi proizvodi trebaju biti kompatibilni, te uključeni u jediničnu cijenu do pune gotovosti stavke. Dokaz kompatibilnosti dostaviti nadzornom inženjeru / projektantu. Obračun po m2.</t>
  </si>
  <si>
    <t>Dobava i ugradnja elastificiranog ekspandiranog polistirena EPS 200, d=5cm. Ugradnja dvije ploče debljine 2+3 cm. Proizvod sukladno normi HRN EN 13163, toplinska provodljivost λ ≤ 0,035 W/mK. Obračun po m2.</t>
  </si>
  <si>
    <t>TOPLINSKA IZOLACIJA  zid atike: dobava i ugradnja ekstrudiranog polistirena XPS300 u pločama (30 kg/m³) debljine 3 cm (GRIJANI PROSTORI), ploče s rubnim preklopima s λ ≤ 0,036 W/mK. Obračun po m2.</t>
  </si>
  <si>
    <t>19.02.</t>
  </si>
  <si>
    <t xml:space="preserve">POD PARKIRALIŠTA: Dobava i ugradnje dekorativnog sustava poda koji se sastoji od temeljnog epoksidnog premaza u boji, transparentne epoksidne smole punjene sa finim obojanim prahom i završnog poliuretanskog laka, tip kao Sikafloor DecoDur ES-22 Granite. Karakteristike poda: tlačna čvrstoća: min. 76 MPa (EN-196-1 ili jednakovrijedan), ponašanje u požaru: Bfl-s1 (EN 13501-1 ili jednakovrijedan), protukliznost: R10 (DIN 51130 ili jednakovrijedan). Boja / efekt po odabiru projektanta. Uključena izrada holkera sa tiksotropnim epoksidnim mortom. Radove izvesti prema uputama proizvođača materijala. Obračun po m2 površinu. </t>
  </si>
  <si>
    <t>04.09.</t>
  </si>
  <si>
    <t>GK OBLOGA ZIDA - MOKRO, d = 12,5cm: Dobava i montaža zidne obloge mokrih prostora tipa Knauf W623 s dvostrukom oblogom iz gips-kartonskih impregniranih ploča tipa H2 13. Pri izradi držati se smjernica i uputa proizvođača. Obrada spojeva impregniranim Uniflott-om. Izrada prema smjernicama i uputama proizvođača. Kvaliteta završne obrade spojeva i površine prvog sloja prema kvaliteti Q1, a kvaliteta završne obrade drugog sloja prema kvaliteti obrade površine Q2 za bojanje, a Q1 za pločice.Obračun po m2 izvedene obloge.</t>
  </si>
  <si>
    <t>KERAMIČKE PLOČICE - ZID: Dobava i ugradnja keramike koristeći bijelo deformafilno ljepilo, koje se sastoji od visoko-otpornih cemenata, odabanih silicij/kvarcnih mineralnih punila i posebnih dodataka. Ljepilo tipa SikaCeram-220 Large. Karakteristike ljepila: klasa C2TE (EN12004); gustoća: ~1.60 kg/l; početna čvrstoća prionjivosti: min. 1.4 MPa (EN 1348); čvrstoća prionjivosti nakon djelovanja termperature: min. 1,0 MPa (EN 1348). Fugiranje izvesti cementnom masom, klase CG2 (EN 13888 ). Masa za fugiranje SikaCeram Cleangrout. Na radnim reškama ugraditi trajnoelastično poliuretansko brtvilo na neutralnoj bazi. Boja prema odgabiru projektanta. Svi proizvodi u sustavu istog proizvođača materijala.  Radove izvesti prema uputama proizvođača materijala. U jediničnu cijenu uključen transport keramike do mjesta ugradnje, ugradnja i vezni materijal. Obračun po m2 površine. Jedinična cijena sadrži i sva potrebna izrezivanja, brušenja, fugiranja i čišćenja do gotovog opločenja.</t>
  </si>
  <si>
    <t>Kupaonica - u punoj visini</t>
  </si>
  <si>
    <t>04.10.</t>
  </si>
  <si>
    <t>17.06.</t>
  </si>
  <si>
    <t xml:space="preserve">SKELA: Dobava, montaža i demontaža cijevne fasadne skele za izvedbu svih fasaderskih i ostalih radova. Skela je visine do 11,0m. Skela mora biti izvedena u skladu sa Zakonom o zaštiti na radu, statičkom proračunu i projektu skele sa svim potrebnim ukrutama, vezanjem uz građevinu, zaštitnim ogradama, vertikalnim ljestvama i prilazima, podovima te uzemljenjem na temeljni uzemljivač. Jediničnom cijenom nuditi kompletan rad i materijal, montažu, demontažu te odvoz skele po dovršenom radu. Obračun skele po m2 postavljene skele. </t>
  </si>
  <si>
    <t>MATERIJAL</t>
  </si>
  <si>
    <t>RAD</t>
  </si>
  <si>
    <t>UREĐENJE GRADILIŠTA</t>
  </si>
  <si>
    <t>OGRAĐIVANJE GRADILIŠTA: Ograđivanje  gradilišta privremenom ogradom. Potrebno je osigurati gradilište postavljanjem privremene čelične ograde i gradilišne table. Stavka obuhvaća dobavu, dopremu i ugradnju materijala za postavljanje ograde, izvedbu ograde, održavanje za vrijeme izvedbe radova te uklanjanje po završetku radova. Obračun po m' postavljene ograde.</t>
  </si>
  <si>
    <t>Dodatak za vodonepropusni beton. Specijalna svojstva betona postižu se dodavanjem superplastifikatora na bazi polikarboksilata tipa kao Sika ViscoCrete 5 NPL prema EN 934-2 i specijalnim dodatkom za zaptivanje pora na bazi amino alkohola tipa kao Sika WT-200 P ili jednakovrijednim. Beton se izvodi u glatku oplatu sa specijalnim trakama za brtvljenje na prekidima betoniranja i dilatacijama, prodorima cijevi i servisnim prolazima. Sastav betona izvesti prema uputama proizvođača materijala. Obračun po m³ betona.</t>
  </si>
  <si>
    <t>HIDROIZOLACIJSKA VODENA BRTVA: Dobava i ugradnja vodene brtve na bazi PVC-R, širine 24cm, na prekidu betoniranja. Karakteristike materijala: Shore-A tvrdoća : min. 83 ± 5 (DIN 53505 ili jednakovrijedan), vlačna čvrstoća :   ≥8 MPa (EN ISO 527-2 ili jednakovrijedan), izduženje pri slomu: min. 250% (EN ISO 527-2 ili jednakovrijedan). Traka se ugrađuje u oplatu i pričvršćuje za armaturu sa specijalnim kopčama i/ili žicom. Radove izvesti prema uputama proizvođača materijala. Obračun po m1 spoja. Referenca proizvoda: tip kao Sika vodena brtva tip A-24 R</t>
  </si>
  <si>
    <t>Zid</t>
  </si>
  <si>
    <t>Pod</t>
  </si>
  <si>
    <t>05.04.</t>
  </si>
  <si>
    <t>06.13.</t>
  </si>
  <si>
    <t>SPUŠTENI STROP: Dobava i montaža spuštenog stropa tipa Knauf D112 s jednostrukom oblogom od gips-kartonskih ploča debljine 12,5mm i dvostrukom potkonstrukcijom. Ispuna od mineralne vune TW debljine 10cm.  Na međukatnu konstrukciju postavlja se potkonstrukcija na ovjesu (razred nosivosti premaDIN 18168 dio 2) rastera 75/100. Potkonstrukcija se sastoji od tipskih Knauf CD/UD profila iz pocinčanog lima debljine 0,6mm nosivi CD profili i montažni CD profili postavljeni na rasteru 50/100cm. Visina ovjesa prema projektu (cca 10cm). Obrada spojeva Uniflott-om. Pri izradi držati se smjernica i uputa proizvođača. Kvaliteta završne obrade spojeva i kvaliteta završne obrade prema kvaliteti obrade površine Q2.</t>
  </si>
  <si>
    <t>ZAŠTITA POKOSA ISKOPA: Postavljanje PVC folije na otvorene stranice iskopa. Iskopi izvedeni u nagibu 1V:1H i manje, se moraju štititi PVC folijom radi zaštite od djelovanja oborina. Stavka obuhvaća sva potrebna sredstva, materijal i rad. Obračun za zaštitu pokosa do zatrpavanja podrumskih zidova.</t>
  </si>
  <si>
    <t>20.</t>
  </si>
  <si>
    <t>OKOLIŠ</t>
  </si>
  <si>
    <t>20.01</t>
  </si>
  <si>
    <t>20.02</t>
  </si>
  <si>
    <t>20.03</t>
  </si>
  <si>
    <t>KERAMIČARSKI RADOVI</t>
  </si>
  <si>
    <t xml:space="preserve">AB TEMELJ OKOLIŠ </t>
  </si>
  <si>
    <t>BETON TEMELJA ZIDOVA OKOLIŠA: Betoniranje AB temeljnih traka zidova okoliša betonom C25/30 u dvostranoj oplati (zaštitni sloj c=50 mm; razred izloženosti XC2). Obračun po m3</t>
  </si>
  <si>
    <t>ZID OKOLIŠ - bojanje na zaglađenom betonu.</t>
  </si>
  <si>
    <t>19.03.</t>
  </si>
  <si>
    <t>Mineralna vuna, d = 14cm: Dobava i ugradnja certificiranog tankoslojnog kontaktnog sustava fasade (ETICS) na osnovi fasadnih ploča kamene vune toplinske provodljivosti ʎ=0,035 W/mK, dimenzija 120x40cm homogene gustoće 100Kg/m3, tlačne čvrstoće pri 10% stišljivosti CS(10)30kPa, čvrstoće na raslojavanje jednake ili veće od TR10kPa, deklarirane na dugotrajnu vodoupojnost WL(P) te deklarirane paropropusnosti MU1, karakteristika kao Knauf Insulation FKD-S THERMAL ili jednako vrijedne, debljine 10 cm određene fizikalnim proračunom. U cijenu je potrebno uračunati dobavu materijala te izradu fasade prema uputama proizvođača. Postupak izvođenja:  Postavljanje perforiranog «sockel-profila» jednake širine kao debljina ploče od kamene vune. Pričvršćenje izvesti nerđajućim pričvrsnicama na razmaku svakih 40 do 60 cm. Nanošenje polimerno-cementnog morta za lijepljenje trakasto po rubovima i točkasto po sredini ploča. Ploče se nakon očvrslog morta za lijepljenje (nakon 3 dana) dodatno mehanički učvršćuju certificiranim pričvrsnicama kao EJOT tip H1 eco ili jednakovrijedne (za Ytong zidove koristiti adekvatne pričvrsnice), 6-8kom/m2 sidrenjem u porasti beton (Ytong) 6,5cm kroz očvrsli mort za lijepljenje.Izvođač treba izraditi i dostaviti statički proračun pričvrsnica. Na uglove građevine postavljaju se PVC kutni profili sa staklenom mrežicom kao i oko otvora s tim da je na dijagonalama otvora potrebno kao dodatno ojačanje postaviti staklenu mrežicu dimenzija 20x40 (30x50) cm. Na rubove greda, ploča i sl. postavlja se okapni PVC kutni profil. Na dilatacijama se postavlja dilatacioni V profila. Sve navedeno uključeno je u jediničnu cijenu. Obračun po m2 stvarno izvedenog fasadnog sustava do pune gotovosti. Kamena vuna je debljine 14 cm.</t>
  </si>
  <si>
    <t xml:space="preserve">Silikonska žbuka: Zapuniti sljubnice kamene vune do širine 3mm PU nisko-ekspandirajućom pjenom, preko 3mm istovrsnim izrescima od kamene vune. Tkaninu od staklenog vlakna StoGlasfasergewebe 110cm, položiti u masu za armiranje kao StoLevell Uni, premazati po cijeloj površini i zagladiti. Nakon očvršćenja dodatno nanijeti izravnavajući sloj kao StoLevell Uni. Nakon 7 dana na ovako pripremljenu podlogu nanijeti premaz pigmentiranim međupremazom kao StoPutz Grund. Nanijeti gladilicom završni sloj silikonske žbuke kao StoSilco K1,5 zaribane strukture TON 16004 i TON 16290.Obračun po m2 stavrno izvedenog završnog sloja fasade. </t>
  </si>
  <si>
    <t>Suhi prostori</t>
  </si>
  <si>
    <t>Mokri prostori</t>
  </si>
  <si>
    <t>BRUŠENJE I GLETANJE ŽBUKANIH ZIDOVA I STROPOVA i GK ZIDOVA: Višestruko gletanje i ravnanje armiranobetonskih stropova I ožbukanih zidanih zidova u potrebnom broju slojeva dok se ne postigne potpuna ravnoća tretirane površine spremno za bojanje. Gletanje Teranil Extra ili jednakovrijedan. Stavka uključuje potrebnu impregnaciju skelu, te sav potreban rad i materijal. Obračun u m².</t>
  </si>
  <si>
    <t>BOJANJE ZIDOVA (GLETANI AB ZIDOVI, GK ZIDOVI): Dobava i ugradba potrebnih materijala te završno dvostruko bojanje pripremljenih zidova. Cijena stavke uključuje dobavu i postavu komponenti prema uputama proizvođača. Redoslijed izvođenja: Prema zahtjevima iz projekta prije izvedbe bojanja podloga se gleta i obrađuje u traženu kvalitetu obrade površine što je obračunato u drugoj stavci. Gletanu, pobrušenu i očišćenu nosivu površinu je zatim potrebno premazati vodorazrjedivim nepigmentiranim sredstvom za grundiranje na akrilnoj bazi, velike moći prodiranja u podlogu i učvršćivanja, bez otapala, za unutarnje i vanjske radove, posebno za porozne podloge koje jako upijaju, kao Capasol LF ili jednakovrijedan proizvod. U slučaju izmjena ili odstupanja od vrste i stanja podloge potrebno je provjeriti i prilagoditi izvedbu sa drugim temeljnim premazom što je obaveza izvođača i obračunato je u stavci. Nakon odgovarajućeg sušenja površinu zidova premazati sa vodorazrjedivom unutarnjom, difuzivnom (sd &lt; 0,1 m ili bolje), mat bojom, neškodljivom za okoliš, klase 1 otiranja na mokro  prema DIN EN 13 300 normama, pokrivne moći klase 1,, kao Caparol Indeko-plus. Boja se nanosi u dvije ruke što je obračunato u stavci.</t>
  </si>
  <si>
    <t>BETONSKI OPLOČNIK:</t>
  </si>
  <si>
    <t>RUBNJAK: Dobava gotovih glatkih pješačkih rubnjaka 8/20 cm C 40/50, završni sloj od  nehabajućeg materijala izrazito visoke čvrstoće koji je postojan na atmosferske prilike u boji prema odabiru projektanta, te razvoz rubnjaka po gradilištu,</t>
  </si>
  <si>
    <t xml:space="preserve">OPLOČNJAK: Betonski opločnjaci: Nabava i ugradnja opločnika, podložnog pijeska u sloju od 12cm i pijeska za zapunjavanje reški. Betonski opločnici I. klase, točnih dimenzija, ravnih i oštrih bridova, te jednolične teksture, u boji po odabiru projektanta Postava istih vrši se na sloj pijeska. Po izvedbi opločenja, reške zapuniti suhim kvarcnim pijeskom nulte granulacije, na način, da se pijesak metlom razastire po opločenoj površini dok se ne zapune reške; postupak ponovti 3x.
Obračun po m2 kompletno izvedenog opločenja prema opisu.
Opločnici dimenzija po izboru projektanta. </t>
  </si>
  <si>
    <t>BATUDA: Dobava i ugradnja drobljenog kamenog materijala granulacije 0/32 mm. Materijal zbijati u slojevima od 30 cm. Izvesti u ravnosti +- 2cm. Na pripremljenu površinu polažu se opločnici.</t>
  </si>
  <si>
    <t>GEOTEKSTIL: Dobava i ugradnja razdjelnog sloja geotekstila (300 gr/m²), na mjestima gdje to odredi nadzorni inženjer, ukoliko se za to ukaže potreba tijekom izvedbe radova.</t>
  </si>
  <si>
    <t>Dobava i postava MDF SOKLA, lakirano u boji po izboru projektanta. Obračun po m'.</t>
  </si>
  <si>
    <t>ŽIČANA OGRADA DVORIŠTA: Dobava materijala, izrada i ugradnja čelične ograde kao Nyloflor 3D. Paneli su visine 180 cm. Paneli su izrađeni od pocinčane žice promjera 5 mm, na koju se nanosi sloj ljepila tvoreći tako savršenu vezu između žice i završnog sloja poliestera (min. 100 mikrona). Obračun po m', uključujući potrebne temelje prema uputama proizvođača ograde.</t>
  </si>
  <si>
    <t>NAPOMENE: Sve mjere potrebno je dodatno provjeriti na licu mjesta. Visine temeljnih traka potrebno je prilagoditi na licu mjesta visini postojećih temelja. Ne opterećivati konstrukciju opterećenjima većim od projektom predviđenih! Obavezno je konstantno podupiranje nosive konstrukcije u fazi uklanjanja i izvedbe novih elemenata sve do faze potpunog očvršćenja novih konstruktivnih elemenata. Sve dimenzije dodatno provjeriti u arhitektonskom projektu, za sva moguća neslaganja kontaktirati projektante. Sve nosive elemente izvoditi prema detaljnom planu pozicija i armaturnim nacrtima iz izvedbenog projekta. Sva rušenja postojećih elemenata konstrukcije izvoditi prema projektu rušenja, o svim nepredviđenim situacijama potrebno je kontaktirati projektanta konstrukcije. Za sve nove pozicije, nove elemente ili bilo kakva neslaganja stvarnog stanja na terenu u odnosu na snimku postojećeg stanja konstrukcije po kojoj je izrađen ovaj glavni projekt, potrebno je obavjestiti projektanta konstrukcije kako bi dao  projektno rješenje. Obavezno u fazi građenja postići rasterećenje podupiranjem svih nosivih elemenata koji se režu i nadomještaju sve do faze potpunog očvršćenja novog betona. Sve nove grede, ploče i visokostjene nosače držati poduprte do faze potpunog očvršćenja betona</t>
  </si>
  <si>
    <t>Napomena: sve zemljane radove potrebno je izvršiti pažljivo na način da se ne oštete obodni konstruktivni elementi koji se zadržavaju. U stavkama zemljanih radova je potrebno uključiti sve propisane uvjete izvođenja radova, mjere zaštite i podupiranja obodnih konstruktivnih elemenata sukladno projektu konstrukcije i nacrtima rušenja.</t>
  </si>
  <si>
    <t>Sve jedinične cijene trebaju uključivati horizontalni i vertikalni prijevoz, utovar, prijevoz kamionom te istovar na gradsku deponiju sa pristojbama.</t>
  </si>
  <si>
    <t>Napomena: sve ab radove potrebno je izvršiti pažljivo na način da se ne oštete obodni konstruktivni elementi koji se zadržavaju. U stavkama ab radova je potrebno uključiti sve propisane uvjete izvođenja radova, mjere zaštite i podupiranja obodnih konstruktivnih elemenata sukladno projektu konstrukcije i nacrtima rušenja.</t>
  </si>
  <si>
    <t xml:space="preserve">Otvori i prodori za prolaz instalacija uključeni u jediničnu cijenu oplate. Rad na visini uključen u cijenu stavke. </t>
  </si>
  <si>
    <t>Izrada radioničke dokumentacije čelične konstrukcije u obvezi izvođača, a ovjeravaju je Glavna projektantica i projektant konstrukcije. Radionička dokumentacija uključena u jediničnu cijenu i ne obračunava se dodatno.</t>
  </si>
  <si>
    <t xml:space="preserve">Izvoditelj bravarskih radova dužan je izraditi radionički nacrt i po potrebi statički račun, predočiti uzorke te ishoditi suglasnost projektanta za sve stavke troškovnika. Antikorozivna zaštita uključena u jediničnu cijenu svih stavki. </t>
  </si>
  <si>
    <t>0,00</t>
  </si>
  <si>
    <t>RAVNI KROVOVI UKUPNO</t>
  </si>
  <si>
    <t>FASADERSKI RADOVI UKUPNO</t>
  </si>
  <si>
    <t>LIMARSKI RADOVI UKUPNO</t>
  </si>
  <si>
    <t>OKOLIŠ UKUPNO</t>
  </si>
  <si>
    <t>STOLARSKI RADOVI UKUPNO</t>
  </si>
  <si>
    <t>SOBOSLIKARSKO-LIČILAČKI RADOVI UKUPNO</t>
  </si>
  <si>
    <t>STAKLARSKI RADOVI UKUPNO</t>
  </si>
  <si>
    <t>PVC RADOVI UKUPNO</t>
  </si>
  <si>
    <t>ALUMINIJSKI RADOVI UKUPNO</t>
  </si>
  <si>
    <t>PENJAČICE ZA PRISTUP KROVU: Dobava i ugradnja zidnih penjalica za pristup krovu. Stavka se sastoji od tipskih čeličnih penjalica promjera 15mm, na rasteru svakih 25cm. Stavka uključuje kompletan materijal i rad do finalne gotovosti. Obračun po komadu.</t>
  </si>
  <si>
    <t>KERAMIČARSKI RADOVI UKUPNO</t>
  </si>
  <si>
    <t>PODOPOLAGAČKI RADOVI UKUPNO</t>
  </si>
  <si>
    <t>KAMENARSKI RADOVI UKUPNO</t>
  </si>
  <si>
    <t>BRAVARSKI RADOVI UKUPNO</t>
  </si>
  <si>
    <t>GIPSKARTONSKI RADOVI UKUPNO</t>
  </si>
  <si>
    <t>IZOLATERSKI RADOVI UKUPNO</t>
  </si>
  <si>
    <t>AB RADOVI UKUPNO</t>
  </si>
  <si>
    <t>PRIPREMNI RADOVI UKUPNO</t>
  </si>
  <si>
    <t>REKAPITULACIJA</t>
  </si>
  <si>
    <t>SVEUKUPNO</t>
  </si>
  <si>
    <t xml:space="preserve">U cijeni stavke uključiti komplet sav potreban rad i materijal prema opisu u troškovniku, kao i sve dodatne radove i materijale potrebne da se izradi kompletna stavka kao oblikovna i funkcionalna cjelina. Svi spojni limovi, opšavi, ekspandirajuće trake, PP laminati, PP gips ploče priključka i dr., koji se ugrađuju, sastavni su dio predmetnih stavki. </t>
  </si>
  <si>
    <t>Ugradnju PP stavki izvesti prema smjernicama dobavljača sistema i u skladu s važećim normama i propisima u RH (HRN EN 13501-1-2, Pravilnik o otpornosti na požar i drugim zahtjevima koje građevine moraju zadovoljiti u slučaju požara, NN 29/13, i dr.). Vanjska vrata ugraditi dodatrno u skladu sa smjernicama RAL.</t>
  </si>
  <si>
    <t>UGRADNJA</t>
  </si>
  <si>
    <t xml:space="preserve">Izvoditelj radova obavezan je prije početka procesa površinske zaštite profila podnijeti projektantima na uvid i odobrenje uzorke čeličnih PP profila plastificirane prema njihovom izboru. Čelične profile protupožarnih stavki zaštititi u skladu s HRN EN 12944, završna obrada prema izboru projektanta. Preporuka je koristiti sistem Duplex - temeljna obrada vrućim cinčanjem, završna prema izboru projektanta.
</t>
  </si>
  <si>
    <t>POVRŠINSKA ZAŠTITA</t>
  </si>
  <si>
    <t xml:space="preserve">U skladu s važećim Izvještajima o razredbi otpornosti na požar.
</t>
  </si>
  <si>
    <t>TIPOVI OSTAKLJENJA</t>
  </si>
  <si>
    <t xml:space="preserve">Tražene karakteristike protupožarnog sistema EI2 30-C:
- tražena vatrootpornost, 30 min, HRN EN 13501-2:   
- max. dim. krila:           1400x2500 mm (230 kg)
- debljina protupožarnog panela 60 mm.    
- materijal za brtvljenje,  HRN EN 13501-1, B2
- mineralna vuna, HRN EN 13501-1, A1
- mehanička trajnost,     HRN EN 14600 (HRN EN 1191):klasa 5 (200000 cikl.) 
- ugradnja hidrauličkog zatvarača, HRN EN 1154.                                                                                 </t>
  </si>
  <si>
    <t xml:space="preserve">Izrada, dobava i ugradnja punih protupožarnih vrata, klasa EI2 30, u sistemu čeličnih profila s prekidom toplinskog mosta, ili jednakovrijedno. Min. vidljiva širina dovratnika iznosi 25 mm, ugradbena dubina 60 mm. Krilo je poravnato sa štokom u zatvorenom položaju, dubina krila iznosi 54 mm; fuga na spoju 5 mm.
Protupožarnost prema HRN EN 13501-2, obuhvaća zaštitu od plamena i prolaza topline u roku od min. 30 min. Sistem je ispitan u skladu s normom  HRN EN 1634 (otvarajući elementi).
Profili ove serije su čelični profili s prekinutim toplinskim mostom. Prekid toplinskog mosta osiguran je poliamidnim izolatorom, koji dijeli profil na unutarnji i vanjski pojas.
U vanjski i unutarnji pojas profila se ugrađuju tzv. promatect-H ulošci, odnosno ulošci na bazi gipsa, odgovarajuće debljine koji ispunjavaju unutrašnjost profila i ometaju prolaz topline. Brtvljenje između krila i štoka osigurano je pomoću 2 protupožarne trostrane brtve u klasi teškozapaljivosti B2, u skladu s HRN EN 13501-1. Vrata visine krila iznad 2500 mm sadrže tzv. bimetalnu zaporku, koja služi za dodatno zabravljivanje krila u slučaju požara.
Krilo je "sakriveno", tj. na profil krila se točkastim zavarivanjem i/ili ljepljenjem obostrano učvršćuje č. lim debljine 2.5-3 mm. Ispuna je mineralna vuna negorivosti A1 (HRN EN 13501-1), min. 110 kg/m3.
U seriju Janisol II moguća je ugradnja različitih vrsta antipanik okova (HRN EN 1125 i 1179), elektro-brave, kao i automatskog upravljanja. 
Klasa C podrazumijeva ugradnju hidrauličkog zatvarača u skladu s HRN EN 1154.
</t>
  </si>
  <si>
    <t>PUNA PP VRATA I FIKSNE STIJENE, EI2 30-C</t>
  </si>
  <si>
    <t xml:space="preserve">Tražene karakteristike protupožarnog sistema EI2 30-C:
- tražena vatrootpornost, 30 min, HRN EN 13501-2:   
- max. dim. krila:           1400x3000 mm (230 kg)
- preporučena visina stijene sa vratima i nadsvjetlom:  4000 mm
- debljina protupožarnog stakla /panela do 45 mm.    
- materijal za brtvljenje,  HRN EN 13501-1  
- mehanička trajnost,     HRN EN 14600 (HRN EN 1191):klasa 5 (200000 cikl.) 
- ugradnja hidrauličkog zatvarača, HRN EN 1154.                                                                                 </t>
  </si>
  <si>
    <t xml:space="preserve">Izrada, dobava i ugradnja ostakljenih protupožarnih vrata i fiksnih stijena, klasa EI2 30, u sistemu čeličnih profila s prekidom toplinskog mosta, ili jednakovrijedno. Odlikuje se elegantnom optikom, min. vidljive širine dovratnika 25 mm, ugradbene dubine 60 mm. Krilo je poravnato sa štokom u zatvorenom položaju, fuga 5 mm.
Protupožarnost prema HRN EN 13501-2, obuhvaća zaštitu od plamena i prolaza topline u roku od min. 30 min. Sistem je ispitan u skladu s normom HRN EN 1364 (fiksni elementi) i HRN EN 1634 (otvarajući elementi).
Profili ove serije su čelični profili s prekinutim toplinskim mostom. Prekid toplinskog mosta osiguran je poliamidnim izolatorom, koji dijeli profil na unutarnji i vanjski pojas.
U vanjski i unutarnji pojas profila se ugrađuju tzv. promatect-H ulošci, odnosno ulošci na bazi gipsa, odgovarajuće debljine koji ispunjavaju unutrašnjost profila i ometaju prolaz topline. Protupožarno jednostruko staklo je višeslojno, u klasi EI30. U prostor između stakla i profila ugrađuje se ekspandirajući laminat koji u slučaju požara nabubri i zabrtvi taj dio konstrukcije. Brtvljenje između krila i štoka osigurano je pomoću 2 protupožarne trostrane brtve u klasi teškozapaljivosti B2, u skladu s HRN EN 13501-1. Vrata visine krila iznad 2500 mm sadrže tzv. bimetalnu zaporku, koja služi za dodatno zabravljivanje krila u slučaju požara.
U seriju Janisol II moguća je ugradnja različitih vrsta antipanik okova (HRN EN 1125 i 1179), elektro-brave, kao i automatskog upravljanja. 
Klasa C podrazumijeva ugradnju hidrauličkog zatvarača u skladu s HRN EN 1154.
</t>
  </si>
  <si>
    <t>OSTAKLJENA PP VRATA I FIKSNE STIJENE, EI2 30-C</t>
  </si>
  <si>
    <t xml:space="preserve">KRITERIJI JEDNAKOVRIJEDNOSTI ČELIČNIH SISTEMA ZA IZRADU PROTUPOŽARNIH STAVKI </t>
  </si>
  <si>
    <t xml:space="preserve">Potrebna dokumentacija koju će izvođač radova priložiti u cilju dokazivanja svojstava dijelova sistema i gotovih stavki određenih projektom i ovim troškovnikom (osim potrebnih karakteristika svakog sistema posebno):
-  Izjava o svojstvima, u skladu sa Zakonom o građevinskim proizvodima 
   (NN 76/13, 30/14) i klasifikacijskom normom HRN EN 14351-1 (prozori i vrata)
-  Izvještaj o razredbi otpornosti na požar, HRN EN 13501-2
- prema potrebi:
  Proračune koeficijenta prolaza topline profila Uf i ukupnog koeficijenta 
  prolaza topline Ucw, u skladu s EN ISO 10077-2
  Statički proračuni profila i stakla </t>
  </si>
  <si>
    <t>Izrada, dobava i ugradnja stavki s otpornošću na požar i dim u sistemu čeličnih profila s prekidom toplinskog mosta, ili jednakovrijedno. Materijal čelika je u kvaliteti HRN EN 10025-2:2007, S235JR; toplo valjani proizvodi od konstrukcijskih čelika; HRN EN 10346:2009; čelični plosnati proizvodi s prevlakom nanesenom kontinuiranim vrućim uranjanjem. 
Smjer otvaranja mora biti u skladu s HRN EN 12519. Sastavni dio podloga za izradu, dobavu i ugradnju bravarskih stavki čine sheme iz projekta te izvedbeni i radionički nacrti, izrađeni od strane izvođača radova, ovjereni od strane glavnog projektanta. Radionički nacrti moraju sadržavati i detalje spojeva stavki vanjske bravarije na nosivu konstrukciju objekta i njezinu ovojnicu. Prema potrebi, od strane statičara provjeriti dimenzije profila stavki i debljine stakla.
Opšave i izolacijske radove na priključcima stavki na nosivu konstrukciju uključiti u troškove.
Stavke u svemu izraditi u skladu s važećim Pravilnikom o otpornosti na požar i drugim zahtjevima koje građevine moraju zadovoljiti u slučaju požara, NN 29/13; Izvještajem o razredbi otpornosti na požar; izuzetno u skladu s Proširenom primjenom rezultata ispitivanja, HRN EN 15269-5</t>
  </si>
  <si>
    <t>PP BRAVARIJA OPĆI UVJETI</t>
  </si>
  <si>
    <t xml:space="preserve">1.4   Ugraditi fasadu u predviđenom roku i prema pravilima struke. </t>
  </si>
  <si>
    <t>1.3 Koordinirati svoje aktivnosti sa sa ostalim sudionicima u projektu a prema 
 terminskom planu.</t>
  </si>
  <si>
    <t xml:space="preserve">Tehnički propisi - kontrola kvalitete, zahtjevi, ispitivanja, sukladnost, toplinska zaštita:
Zakon o gradnji (NN RH br. 153/13)
Zakon o građevnim proizvodima, NN 76/13 i 30/14
Tehnički propis o racionalnoj uporabi energije i toplinskoj zaštiti u zgradama, NN 110/08, 97/14, 128/15
Tehnički propis za prozore i vrata, NN 69/06
Zakon o zaštiti na radu (NN  RH br. 71/14, 118/14)
Zakon o normizaciji (NN RH  br. 80/13)
Tehnički propisi za održavanje čeličnih konstrukcija za vrijeme eksploatacije, SL 6/65
Tehnički propisi za pregled i ispitivanja nosivih čeličnih konstrukcija, SL 6/65
Tehnički propis za čelične konstrukcije, NN 112/08, 125/10, 73/12, 136/12
Pravilnik o otpornosti na požar i drugim zahtjevima koje građevine moraju zadovoljiti u slučaju požara, NN 29/13
</t>
  </si>
  <si>
    <t xml:space="preserve">HRN EN 13830:2008             Ovješene fasade - norma za proizvod
HRN EN 12152:2002             Ovješene fasade - propusnost zraka, zahtjevi i razredba
HRN EN 12153:2000             Ovješene fasade - propusnost zraka, metoda ispitivanja
HRN EN 12154:1999             Ovješene fasade - vodonepropusnost
HRN EN 12155:2000             Ovješene fasade - vodonepropusnost – lab. ispitivanje pod statičkim tlakom
HRN EN 13116:2001             Ovješene fasade - otpornost na opterećenje vjetrom - zahtjevi za svojstva
HRN EN 12179:2008             Ovješene fasade - otpornost na opterećenje vjetrom – Metoda ispitivanja
HRN EN 14019:2008             Ovješene fasade - otpornost na mehanički udar, izvedbena svojstva
HRN EN ISO 10848-2:2008    Ovješene fasade - lab. mjerenje bočnog prijenosa zračnog i udarnog zvuka
HRN EN 13947:2008             Ovješene fasade - toplinske značajke ovješenih fasada- proračun koeficijenta
                                           prolaska topline
</t>
  </si>
  <si>
    <t>HRN EN 1125:2003     Građevni okovi - dijelovi izlaza za nuždu s pritisnom šipkom - zahtjevi i ispitne 
                                  metode
HRN EN 1670:2008     Građevni okovi - otpornost na koroziju
HRN EN ISO 10077-1  Toplinske značajke prozora, vrata i zaslona - proračun koeficijenta prolaza topline - 
                                 1.dio: pojednostavljena metoda
HRN EN ISO 10077-2  Toplinske značajke prozora, vrata i zaslona - proračun koeficijenta prolaza topline -                                     
                                  2.dio: numerička metoda za okvire
HRN EN 1522/1523      Prozori, vrata i zasloni – Otpornost na pucanj-zahtjevi i razredba/metoda ispitivanja
HRN EN 1627:2012      Vrata za pješake, prozori, ovješene fasade, rešetke i kapci - otpornost na provalu -
                                 razredba i zahtjevi 
HRN EN 14024:2008   Metalni profili s prekinutim toplinskim mostom, mehanička svojstva, razredba i
                                 zahtjevi 
HRN EN 12400:2008   Prozori i vrata, mehanička trajnost - zahtjevi i razredba
HRN EN 16034:2014   Pješačka vrata, industrijska, komercijalana i garažna vrata i prozori - Norma za 
                                 proizvod, izvedbene značajke - Značajke u odnosu na otp. na požar i/ili kontrolu dima.
HRN EN 13501-2:2010 Razredba građevnih proizvoda i građevnih elemenata prema ponašanju u požaru -- 2. 
                                 dio: Razredba prema rezultatima ispitivanja ...
HRN EN 1634-1:2008 Ispitivanje otp. na požar i kontrolu dima vrata, roleta i prozora koji se mogu otvarati
HRN EN 1634-3:2008 Ispitivanje otpornosti vrata i sklopova za zatvaranje otvora na požar -- 3. dio: 
                                Protudimna vrata i zatvarači
HRN EN 1364-1:2015 Ispitivanja otpornosti na požar nenosivih elemenata -- 1. dio: Zidovi</t>
  </si>
  <si>
    <t>HRN EN 410:1998       Staklo u graditeljstvu - određivanje svjetlosnih i sunčanih značajka ostakljenja
HRN EN 947:1998       Zaokretna i okretna vrata - određivanje otpornosti na vertikalno opterećenje
HRN EN 948:1999       Zaokretna i okretna vrata - određivanje otpornosti na statičku torziju
HRN EN 949:1998       Prozori i ovješene fasade vrata, rebrenice i zasloni - određivanje otpornosti na udar  
                                 mekoga i teškoga tijela
HRN EN 950:1999       Određivanje otpornosti na udar tvrdim tijelom
HRN EN 1026:2000     Prozori i vrata - propusnost zraka, metoda ispitivanja
HRN EN 1027:2000     Prozori i vrata - metoda ispitivanja
HRN EN 1121:2000     Ponašanje između dva različita klimatska uvjeta - metoda ispitivanja
HRN EN 1191:2000     Prozori i vrata - otpornost na uzastopno otvaranje i zatvaranje - metoda ispitivanja
HRN EN 12046-1:2003 Sile otvaranja i zatvaranja - ispitne metode - 1.dio: prozori
HRN EN 12046-2:2000 Sile otvaranja i zatvaranja - metoda ispitivanja - 1.dio: vrata 
HRN EN 12211:2000   Prozori i vrata - Otpornost na opterećenje vjetrom - metoda ispitivanja
HRN EN ISO 140-3     Akustika - mjerenje razine zvuka u zgradama i elem. zgrada - 3.dio: lab. mjerenja
HRN EN ISO 717-1     Akustika - određivanje razine zvuka u zgradama
HRN EN ISO 12657  Termička svojstva prozora i vrata - lab. ispitivanjeprolaza topline pomoću vruće kutije
                                  1. dio: gotovi prozori i vrata; 2.dio: krovni prozori</t>
  </si>
  <si>
    <t xml:space="preserve">
HRN EN 14351-1:2006 prozori i vrata - norma za proizvod, izvedbene značajke; 1.dio: prozori i vanjska
                                  pješačka vrata bez otpornosti na požar
HRN EN 12207:2001    Prozori i vrata – Propusnost zraka, razredba
HRN EN 12208:2001    Prozori i vrata – Vodonepropusnost, razredba
HRN EN 12210:2001    Prozori i vrata – Otpornost na opterećenje vjetrom – Razredba
HRN EN 12211:2001    Prozori i vrata – Otpornost na opterećenje vjetrom – Metoda ispitivanja
HRN EN 1192: 2001     Vrata - razredba zahtjeva čvrstoče
HRN EN 1529:2001      Vratna krila - visina, širina, debljina i pravokunost - razredba dopuštenih odstupanja
HRN EN 1530:2001      Vratna krila - opća i lokalna ravnost - razredba dopuštenih odstupanja
HRN EN 12217:2005    Vrata - sile otvaranja i zatvaranja - zahtjevi i razredba
HRN EN 12219:2001    Vrata - klimatski utjecaji - zahtjevi i razredba
HRN EN 13115:2001    Prozori - razredba mehaničkih svojstava - vertikalno opterećenje, torzija, sile
                                  otvaranja i zatvaranja
HRN EN 179:2001       Građevni okovi - dijelovi izlaza za nuždu s kvakom ili pritisnom pločom - zahtjevi i
                                  metode ispitivanja
</t>
  </si>
  <si>
    <t>HRN EN 12206:      Boje i lakovi - prekrivni materijali za aluminij i alu legure za arhitektonske potrebe  
HRN EN ISO 2808: Boje i lakovi- određivanje debljine filma
HRN EN ISO 8501: Priprema čeličnih podloga prije nanošenja boja i srodnih proizvoda - vizualna
                             procjena čistoče površine - 1.dio: Stupnjevi hrđanja i stupnjevi pripreme
                             nezaštićenih čeličnih površina nakon potpunog uklanjanja prethodnih prevlaka; 2.
                             dio: Stupnjevi pripreme prethodno zaštićenih čeličnih površina nakon
                             mjestimičnog uklanjanja prethodnih prevlaka
HRN EN 8503:        Priprema čeličnih podloga prije nanošenja boja i srodnih proizvoda - 1.dio:
                             specifikacije i definicije ISO komparatora profila površine; 2.dio: Metoda
                             stupnjevanja profila površine čelika čišćenog mlazom abraziva
HRN EN 12944-1:   Boje i lakovi - Zaštita od korozije čeličnih konstrukcija zaštitnim sustavom boja -  
                                     opći uvod</t>
  </si>
  <si>
    <t>HRN EN 13479:      Opća norma za dodatni i potrošni materijal za zavarivanje čelika - dodatni materijali i 
                             praškovi za zavarivanje taljenjem
HRN EN ISO 2560: Dodatni i potrošni materijal za ručno elektrolučno zavarivanje nelegiranih i
                             sitnozrnatih čelika - razredba
HRN EN 439:          Dodatni i potrošni materijali - zaštitni plinovi za REL i rezanje
HRN EN 440:          Dodatni materijali za zavarivanje čelika - žice za elektrolučno zavarivanje taljivom      
                             elektrodom u zaštitnoj atmosferi plinova
HRN EN 1670:        Građevni okovi - otpornost na koroziju - zahtjevi i ispitne metode</t>
  </si>
  <si>
    <t xml:space="preserve">HRN EN 573:           Aluminij i alu legure - kem. sastav i oblici gnječenih proizvoda: EN AW 6060
HRN EN 755:           Aluminij i alu legure - istisnute šipke, cijevi i profili - dopuštena odstupanja mjera i
                              oblika
HRN EN 12020:       Aluminij i alu legure - istisnuti precizni profili od legura EN AW 6060 - dopuštena
                              odstupanja mjera i oblika
HRN EN 485:           Aluminij i alu legure - limovi, trake i ploče
HRN EN 1090:         Komponente čeličnih i aluminijskih konstrukcija: 1. dio - opći uvjeti isporuke
HRN EN 1090:         Izvedba čeličnih i aluminijskih konstrukcija: 2. dio -Tehnički zahtjevi za čelične
                              konstrukcije
HRN EN 10025;       Čelična legura: S235JR (sirovi profil)
HRN EN 10346;       Čelična legura: S 250 GD (valjani profili iz vruće pocinčanih  traka);
HRN EN 10149:       čelična legura:  S 260 NC (vučeni i normalizirani profili, elektrogalvanizirani)
HRN EN 10088        Legure inox profila - 1.4307 (AISI 304), 1.4401 (AISI 316), 1.4404 (316L)
HRN EN 10020:       Definicije i razredba vrsta čelika
HRN EN 10021:       Opći tehnički uvjeti isporuke za čelik i čelične proizvode
HRN EN 10027:       Sustavi označavanja za čelike; 1. dio nazivi čelika; 2. dio brojčani sustav
HRN EN 10025:       Toplo valjani proizvodi od konstrukcijskih čelika; 1. dio - Opći tehnički uvjeti isporuke;
                              2. dio - Tehnički uvjeti isporuke za nelegirane čelike
HRN EN 10210-1:    Toplo oblikovani šuplji profili od nelegiranih i sitnozrnatih čelika; 1.dio: Tehnički uvjeti
                              isporuke
</t>
  </si>
  <si>
    <t>1.2  Izvođač se obavezuje izraditi i ugraditi aluminijsku/čeličnu fasadu i ostale otvore do potpune gotovosti, u već provjerenim i certifiranim sustavima, te se od njega očekuju visoka kvaliteta izvedbe. Prije početka radova izvođač je dužan izvršiti pripremne radnje propisane Zakonom o gradnji (NN br.153/13) i Zakonom zaštite na radu (NN 71/14...154/14).
Sva tehnička rješenja koja izvođač predlaže i primjenjuje moraju biti usklađena s HRN-ma i propisi
ma te usvojenim EN (kada je zakonom utvrđena njihova obvezna primjena).
Popis hrvatskih propisa i normi za izvođenje:</t>
  </si>
  <si>
    <t xml:space="preserve">1.1  Projektiranje/konstruiranje, izrada i ugradba svih dijelova koji čine integralnu, 
       sigurnu i vodonepropusnu ovojnicu prema nacrtima i ovom opisu.
</t>
  </si>
  <si>
    <t xml:space="preserve">Izvođač bravarskih stavki na objektu ima slijedeće obveze:
</t>
  </si>
  <si>
    <t xml:space="preserve"> ALUMINIJSKA I ČELIČNA  BRAVARIJA</t>
  </si>
  <si>
    <t>Ovi opći uvjeti mijenjaju se ili nadopunjuju pojedinim stavkama troškovnika</t>
  </si>
  <si>
    <t>zatvaranje prostorija i zaštita izvedenih radova do primopredaje.</t>
  </si>
  <si>
    <t>čišćenje prostorija nakon radova,</t>
  </si>
  <si>
    <t>poduzimanja mjera po HTZ i drugim postojećim propisima,</t>
  </si>
  <si>
    <t>čišćenje podloga od manjih nečistoća,</t>
  </si>
  <si>
    <t>davanje uzoraka,</t>
  </si>
  <si>
    <t>korištenje alata i opreme, te isporuka pomoćnih  materijala i pogonskog goriva,</t>
  </si>
  <si>
    <t>dovođenje struje, plina i vode od priključaka na gradilištu do mjesta korištenja,</t>
  </si>
  <si>
    <t>izmjere potrebne za izvedbu i obračun,</t>
  </si>
  <si>
    <t>transportne troškove, uskladištenje, te donos na mjesto ugradbe,</t>
  </si>
  <si>
    <t>sav rad, uključivo struganje sa kvašenjem,</t>
  </si>
  <si>
    <t>sav materijal, uključivo vezni,</t>
  </si>
  <si>
    <t>Jedinična cijena treba sadržavati:</t>
  </si>
  <si>
    <t>Obračun se vrši prema postojećim normama za izvođenje završnih radova u građ. TU-IV.</t>
  </si>
  <si>
    <t>Ako nije u troškovniku drugačije naznačeno, prijelaz iz prostorije u prostoriju istog nivoa učiniti kontinuirano bez prekida i praga.</t>
  </si>
  <si>
    <t>Prije polaganja parketa izvođač je dužan ispitati ispravnost podloge na koju se trebaju polagati parketi. Za svaku neispravnost  treba upozoriti odmah pismeno izvođača građevinskih radova i zatražiti popravak. Ako izvođač položi parket na neispravnu podlogu, skidanje i ponovno polaganje parketa ide na račun izvođača parketarskih radova.</t>
  </si>
  <si>
    <t>Ako koja stavka nije izvođaču jasna, mora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t>
  </si>
  <si>
    <t>Sav materijal (ljepila, lakovi, bitumeni za parket i ostalo), koji nisu obuhvaćeni standardima moraju imati ateste od za to ovlaštenih ustanova.</t>
  </si>
  <si>
    <t>HRN D.D5.025   (bijeli i crni bor).</t>
  </si>
  <si>
    <t>HRN D.D5.024   (jasen),</t>
  </si>
  <si>
    <t>HRN D.D5.023  (bukva),</t>
  </si>
  <si>
    <t>HRN D.D5.021, 022  (hrast),</t>
  </si>
  <si>
    <t>lamelni parket u pločama</t>
  </si>
  <si>
    <t>HRN D.D5.042    (jasen)</t>
  </si>
  <si>
    <t>HRN D.D5.041   (bukva),</t>
  </si>
  <si>
    <t>parket 
HRN D.D5.020,  043  (hrast),</t>
  </si>
  <si>
    <t>Sav materijal za izradu parketarskih radova mora zadovoljavati odgovarajuće propise i standarde:</t>
  </si>
  <si>
    <t>Parketi se polažu u prostorijama gdje je to projektom predviđeno. Izvođenje parketarskih radova mora biti u skladu sa standardima HRN U.F2.016.</t>
  </si>
  <si>
    <t xml:space="preserve">uspostavljanje i napuštanje gradilišta.  </t>
  </si>
  <si>
    <t>provjetravanje prostorija radi sušenja,</t>
  </si>
  <si>
    <t>skidanje i ponovno postavljanje vrata, prozora i sl. radi premazivanja,</t>
  </si>
  <si>
    <t>sve predradnje, popravljanje malih neravnina, fino čišćenje, kitanje rupica od čavala i sl, izrada probnih premaza itd.</t>
  </si>
  <si>
    <t>isporuka pogonskog materijala,</t>
  </si>
  <si>
    <t>zaštita gotovih podova,vrata, prozora i sl,</t>
  </si>
  <si>
    <t>uklanjanje svih otpadaka nakon izvedenih radova,</t>
  </si>
  <si>
    <t>osvjetljavanje, grijanje i čišćenje prostorija za boravak i sanitarije radnika,</t>
  </si>
  <si>
    <t>korištenje mehanizacije i alata,</t>
  </si>
  <si>
    <t>dovođenje vode, plina i struje od priključka na gradilištu do mjesta potrošnje,</t>
  </si>
  <si>
    <t>poduzimanje mjera po HTZ i drugim postojećim propisima,</t>
  </si>
  <si>
    <t>sav rad, uključivo pomoćni,</t>
  </si>
  <si>
    <t>sav materijal uključivo doprema na gradilište, uskladištenje, te donos na mjesto ugradbe,</t>
  </si>
  <si>
    <t>Obračun podopolagačkih radova vrši se po metru kvadratnom, uključujući sav materijal, rad, pribor za izvođenje i skelu, ako u opisu stavke nije drugačije navedeno.</t>
  </si>
  <si>
    <t>Eventualne izmjene materijala, te način izvedbe tokom gradnje moraju se izvršiti isključivo pismenim dogovorom s projektantom i nadzornim inženjerom.</t>
  </si>
  <si>
    <t>Izvođač je dužan prije početka radova provjeriti na licu mjesta uvjete za izvođenje: ispravnost mjera podloga i otvora ravninu podloge, kvaliteta podloge te o nepravilnostima izvijestiti Nadzornog inženjera i Investitora. Naknadno pozivanje na kvalitetu podloge neće se uvažavati. Evenatualne neravnine mogu biti najviše 1 cm/m2 za podno oblaganje. Sve podloge za polaganje podnih obloga potrebno je fino izravnati sa masom za izravnanje.</t>
  </si>
  <si>
    <t>Izvoditelj je dužan do primopredaje radova zaštititi postavljene podove od oštećenja i onečišćenja.</t>
  </si>
  <si>
    <t>Prije nabave podnih obloga na gradilište, potrebno je da izvoditelj radova predoči projektantu uzorke zbog odabiranja, te da provjeri sve potrebne količine.</t>
  </si>
  <si>
    <t>Jedinična cijena sadrži sav potreban materijal i pribor, sav potreban rad, transport do gradilišta i na gradilištu, kao i sva sredstva zaštite na radu radnika na gradilištu.</t>
  </si>
  <si>
    <t>Obračun izvršenih radova izvršiti će se prema jedinici mjera u troškovniku, važećim normama, tehničkim uvjetima za pojedine vrste podova i izmjeri na licu mjesta.</t>
  </si>
  <si>
    <t>Radovi na polaganju podova mogu se izvoditi nakon što su provjereni svi potrebni uvjeti, kao što su kvaliteta podloge, vlažnost, temperatura u prostorijama, kao i svi ostali uvjeti koje traži izvoditelj pojedinih vrsta radova.</t>
  </si>
  <si>
    <t>Ukoliko neka od podnih obloga nema standard proizvoditelj je dužan certifikatom potvrditi slijedeće karakteristike: dimenzije, dimenzionalnu stabilnost, postojanost prema svijetlu, zapaljivost, klizavost, provodljivost (električnai sl.), ujednačnost površina.</t>
  </si>
  <si>
    <t>Za izradu ponude i izvođenje podova ponuditelj je dužan primjeniti relevantne propise i norme važeće u Republici Hrvatskoj, kao i međunarodno priznate norme za područja koja nisu pokrivena normama u Republici Hrvatskoj ili garantiraju viši nivo kvalitete od HRN.</t>
  </si>
  <si>
    <t>Sav pomoćni materijal (ljepila, mase za izravnanje, premazni profili trake za varenje, paste za zavarivanje) koji nije obuhvaćen standardima mora imati ateste od za to ovlaštenih ustanova.</t>
  </si>
  <si>
    <t>Materijali za podopolagačke radove u pogledu kakvoće moraju odgovarati svim važećim standardima i pojedinačnim standardima i normama za svaki ugrađeni materijal koji je sastavni dio podova.</t>
  </si>
  <si>
    <t>Zakon o zaštiti na radu (NN 59/69, 94/96, 114/03 i 86/08)</t>
  </si>
  <si>
    <t>Posebna uputstva proizvođača</t>
  </si>
  <si>
    <t>Tehnički uvjeti za izvođenje podopolagačkih radova</t>
  </si>
  <si>
    <t>Pravilnik o tehničkim normativima za projektiranje i izvođenje radova u građevinarstvu, (Sl. br.: 21/90),</t>
  </si>
  <si>
    <t>Pravilnik o tehničkim mjerama i uvjetima za izvedbu zgrada, (Sl. br.: 17/70),</t>
  </si>
  <si>
    <t>Pri izvedbi podopolagačkih radova izvođač je dužan pridržavati se svih uvjeta i opisa u troškovniku, kao i važećih propisa i to posebno:</t>
  </si>
  <si>
    <t>U jediničnu cijenu svake stavke obvezno uključiti sve mjere osiguranja prolaznika, radnika i okolnih građevina za vrijeme trajanja radova, svu potrebnu skelu, sva potrebna premještanja postojećih instalacija i dovođenje istih u prvobitno stanje po završetku radova, sve transporte materijala preostalog od rušenja, deponiranje na gradilišnoj deponiji, utovar i odvoz na gradsku deponiju koju odredi investitor, odnosno sortiranje i deponiranje na mjesto koje odredi investitor za eventualnu ponovnu ugradbu, sve dobave, prijevoze do gradilišta, horizontalne i vertikalne transporte na gradilištu, sav potreban rad, osnovni i pomoćni materijal i  pomoćne  radnje: izradu radioničke dokumentacije,  sva  ispitivanja  i  nabavu  atestne dokumentacije  na  hrvatskom  jeziku, a sve do potpune funkcionalne gotovosti svake pojedine stavke i troškovnika u cjelini - ako opisom stavke nije drugačije određeno.</t>
  </si>
  <si>
    <t>Prije  počatka radova, izvođač je dužan pregledati  kompletnu dokumentaciju, te sve  nejasnoće ili eventualne  neispravnosti raspraviti  s  nadzornim  inženjerom  i  projektantom.</t>
  </si>
  <si>
    <t>Prije dostavljanja ponude, ponuđač je dužan provjeriti točne količine svih stavki troškovnika.</t>
  </si>
  <si>
    <t>- zaštita gotovih podova, vrata, prozora i sl.</t>
  </si>
  <si>
    <t xml:space="preserve">- zaštitu okolnih konstrukcija od prljanja. </t>
  </si>
  <si>
    <t>- troškove atesta,</t>
  </si>
  <si>
    <t>-  troškove zaštite na radu,</t>
  </si>
  <si>
    <t>- svu štetu kao i troškove popravka kao posljedica nepažnje u toku izvedbe,</t>
  </si>
  <si>
    <t>- čišćenje nakon završetka radova,</t>
  </si>
  <si>
    <t>- svu potrebnu radnu skelu  i poduzimanje potrebnih mjera po Pravilniku ZNR</t>
  </si>
  <si>
    <t xml:space="preserve">- sve horizontalne i vertikalne transporte </t>
  </si>
  <si>
    <t>- troškove radne snage za kompletan rad opisan u troškovniku,</t>
  </si>
  <si>
    <t>- izmjere potrebne za izvedbu i obračun,</t>
  </si>
  <si>
    <t xml:space="preserve">- H42kutne lajsne i silikon,akril za fuge,kutne spojeve,spojeve oko stolarije </t>
  </si>
  <si>
    <t>- sav materijal, dobavu i dopremu alata, mehanizaciju i uskladištenje</t>
  </si>
  <si>
    <t>Jedinična cijena sadrži:</t>
  </si>
  <si>
    <t>Obračun se vrši po Normama za soboslikarske i ličilačke radove, osnovna jedinica je m2.</t>
  </si>
  <si>
    <t>Kod ličenja postojećih konstrukcija treba skinuti rðu i stari nalič  četkanjem, pjeskarenjem ili DESOL premazom, četkati i oprati podlogu, dva puta zaštititi temeljnim premazom RAPIDUR i završno ličiti    2 X LUXALOM ako nije drugačije stavkom predviđeno.</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</si>
  <si>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</si>
  <si>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Ličenje metalnih površina:</t>
  </si>
  <si>
    <t>Završno ličenje u dva sloja.</t>
  </si>
  <si>
    <t>Predličenje TEMELJOM BIJELIM za vanjsku stolariju u dva sloja ili za unutarnju u jednom sloju, odnosno predličenje u drugoj boji prema odabiru projektanta.</t>
  </si>
  <si>
    <t xml:space="preserve">Zaglađivanje površina, saniranje rešaka na spojevima i popravak neravnina KITOM ZA LOPATICE </t>
  </si>
  <si>
    <t xml:space="preserve">Impregnacija površine FUGNICIDNOM IMPREGNACIJOM BEZBOJNOM </t>
  </si>
  <si>
    <t>Ličenje drvenih površina:</t>
  </si>
  <si>
    <t>u dva sloja ili tri sloja, ovisno o boji i pokrivanju.</t>
  </si>
  <si>
    <t>Završno ličenje bojom:</t>
  </si>
  <si>
    <t>- Gipskartonske ploče i produžna žbuka koju treba  zagladiti - impregniranu podlogu zagladiti glet masom u dva sloja</t>
  </si>
  <si>
    <t>Međusloj:</t>
  </si>
  <si>
    <t>B/ Impregnacija za gipskartonske ploče, gipsvapnene žbuke, beton i YTONG blokovi</t>
  </si>
  <si>
    <t xml:space="preserve">A/ Impregnacija za vapnene i produžne žbuke </t>
  </si>
  <si>
    <t>Impregnacija:</t>
  </si>
  <si>
    <t>Čišćenje površine od prašine i eventualno potrebni popravci na podlozi.</t>
  </si>
  <si>
    <t>Priprema podloge:</t>
  </si>
  <si>
    <t>U jediničnoj cijeni kod bojenja i ličenja na novom zidu i stropu uključeno je prema uputama prizvođača boje :</t>
  </si>
  <si>
    <t>Dok radovi traju, izvođač je dužan zaštititi od oštećenja ili prljanja sve ostale građevinske dijelove i opremu (podove, stakla, vrata I sl.).</t>
  </si>
  <si>
    <t>Zidove i stropove treba  bojati, kad su potpuno suhi, a prije bojanja treba zakrpati sve eventualne rupe, pukotine ili krhotine, a podlogu pripremiti prema tehnologiji proizvođača boja i lakova.</t>
  </si>
  <si>
    <t xml:space="preserve">U jediničnoj cijeni pojedinih stavaka obračunata je i upotreba svih skela bez obzira na visinu i drugih pomagala kod rada. </t>
  </si>
  <si>
    <t>U jediničnu cijenu svake vrste radova treba uključiti: osnovni i pomoćni materijal, rastur materijala, transport do gradilišta i na gradilištu, trošak za izradu ili oštećenje skele i ostalih pomoćnih konstrukcija, trošak održavanja kvalitete izvedenog rada i zaštite dopremljenog materijala na gradilište, uklanjanja nečistoća ili šteta prouzrokovanih vlastitim radom, kao i trošak otpreme materijala. Jedinična cijena prema tome treba obuhvatiti sve troškove za izvedbu jedinice vrste rada prema opisu u troškovniku.</t>
  </si>
  <si>
    <t>Probni premazi moraju se po želji investitora izvesti za sve premaze.</t>
  </si>
  <si>
    <t>Osnovni premazi moraju se tako odabrati da su podesni za slijedeće premaze koji se predviđaju.</t>
  </si>
  <si>
    <t>Sve podloge moraju biti očišćene od prašine i ostalih prljavština. Bojiti je dozvoljeno samo suhu i pripremljenu podlogu.</t>
  </si>
  <si>
    <t>O ispravnosti izvedenih površina mjerodavna je izjava nadzornog inženjera.</t>
  </si>
  <si>
    <t>Investitor ima pravo na kontrolu kvalitete materijala kojim se radovi izvode. Ustanovi li da taj materijal ne odgovara propisanoj kvaliteti izvođač radova dužan je odstraniti lošu izvedbu i na vlastiti trošak izvesti radove sa kvalitetnim materijalom.</t>
  </si>
  <si>
    <t>Materijal za izvedbu soboslikarskih radova treba biti prvorazredan. Na oličenim površinama ne smiju se poznati tragovi četke ili valjka, ne smije biti mrlja, a ton boje treba biti ujednačen.</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</si>
  <si>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 nije dobar radi loše podloge, neće se uzimati u obzir. Na neuredne podloge ne može se izvoditi rad dok se podloge ne urede. Predviđa se da se svi stropovi i zidovi koji budu bojeni prethodno obrade gletaju masom i potpuno zaglade, a zatim da ih se boji disperzivnom ili perivom bojom za zidove .</t>
  </si>
  <si>
    <t>Od primjenjenih se materijala traži da imaju prionjivost za podlogu, po mogućnosti da penetriraju u podlogu, da se njima jednostavno radi, da dobro "pokrivaju", da su im boje stalne, da su otporni na utjecaj sredine kojima su izloženi, da se ne brišu sa ploha na koje su naneseni, da su bezopasni za okolinu, da se premazi njima mogu obnavljati bez posebnih prethodnika i sl.</t>
  </si>
  <si>
    <t>Izvedeni rad i upotrebljeni materijal mora u svemu (vrsti, boji i kvaliteti) biti jednak uzorku, što ga odabere projektant od najmanje 5 uzoraka, koje proizvođač izrađuje bez naplate. Materijal za izvedbu soboslikarsko-ličilačkih radova je naveden u stavkama troškovnika.</t>
  </si>
  <si>
    <t>Ukoliko opis neke od vrste dovodi do sumnje u način izvedbe, izvođač treba pravovremeno tražiti objašnjenje od projektanta.</t>
  </si>
  <si>
    <t>Pravilnik o tehničkim mjerama i uvjetima za završne radove u građevinarstvu Sl. list br. 49/70.</t>
  </si>
  <si>
    <t>Tehnički uvjeti za izvođenje ličilačkih radova HRN U.F2.012/78</t>
  </si>
  <si>
    <t>Tehnički uvjeti za izvođenje soboslikarskih -ličilačkih radova HRN U.F.2.015.</t>
  </si>
  <si>
    <t>Pravilnik o tehničkim mjerama i uvjetima za završne radove u građevinarstvu,</t>
  </si>
  <si>
    <t xml:space="preserve">Sve radove treba izvoditi po izvedbenim nacrtima, opisima radova u troškovniku, te uputama projektanta i nadzornog inženjera. Sav upotrebljeni materijal treba zadovoljavati postojeće uzance i propise, a posebno: </t>
  </si>
  <si>
    <t>OPĆI UVJETI SOBOSLIKARSKI RADOVI</t>
  </si>
  <si>
    <t>popravak štete učinjene na svojim ili tuđim radovima pri radu iz nepažnje.</t>
  </si>
  <si>
    <t>čišćenje prostorija po završenom radu s uklanjanjem šute i svih  otpadaka</t>
  </si>
  <si>
    <t>transportne troškove</t>
  </si>
  <si>
    <t>sve dilatacijske,alu kutne i završne lajsne su također uračunati u jediničnu cijenu</t>
  </si>
  <si>
    <t>sav potreban rad</t>
  </si>
  <si>
    <t>sav potreban materijal; kamene ploče, ljepilo, metalne sponke i td.</t>
  </si>
  <si>
    <t>kontrola i uzimanje mjera na objektu</t>
  </si>
  <si>
    <t>donošenje uzoraka na uvid</t>
  </si>
  <si>
    <t>Jedinična cijena mora sadržavati:</t>
  </si>
  <si>
    <t>Kod izvedbe zidnog i podnog opločenja u jediničnu cijenu pojedine stavke ukalkulirati i brtvljenje silikonskim kitom sudara keramičkog opločenja s dovratnicima, oblogom  druge vrste i sl.</t>
  </si>
  <si>
    <t>Količine iskazane ovim troškovnikom su projektantske pa postotak zbog loma i sl. treba ukalkulirati u jed. cijenu.</t>
  </si>
  <si>
    <t>Navedene količine u opisu radova nisu obavezne, već ih projektant može naknadno smanjiti ili povećati. Obračun će se vršiti prema stvarno izvedenim radovima i količinama. Opločenja podova i oblaganje zidova obračunat će se po m² razvijene površine opločenja, dok će se izvođenje sokla, klupčica i sl. obračunati po m²</t>
  </si>
  <si>
    <t>Sve kamene ploče trebaju biti I klase, iste boje, te posve ravne i ne smiju imati pukotine na površini. Ploče koje su okrhnute ili nepravilno brušene neće se preuzeti, a ukoliko ih izvođač ugradi morati će ih na vlastiti trošak izmjeniti.</t>
  </si>
  <si>
    <t>Plohe gotovog poda ili zida moraju biti potpuno ravne, kontrola libelom u svim smjerovima.</t>
  </si>
  <si>
    <t>Kod polaganja kamenih ploča na pod ljepljenjem prethodno treba provjeriti ravninu poda. Kod odstupanja veæih od 0,5 cm potrebno je izvesti sloj za izravnanje posebnom masom za izravnanje, a što će se utvrditi pregledom i upisom u građevinski dnevnik od strane nadzornog inženjera. Nakon završenog polaganja ploča izvršiti fugiranje masom za fugiranje u boji po izboru projektanta, ukoliko su ploče položene s otvorenom reškom.</t>
  </si>
  <si>
    <t>Kamene ploče treba brusiti nakon rezanja i polagati ih reška na rešku, sa ili bez otvorene reške. Ako se u pojedinoj stavci traži otvorena reška treba je izvesti uredno i u širini koja se u stavci traži.</t>
  </si>
  <si>
    <t>Ljepilo mora odgovarati važećem standardu HRN U.F2.011.</t>
  </si>
  <si>
    <t>Prije polaganja kamena potrebno je pripremiti podlogu, tj. očistiti od prašine i masnoća. Ukoliko se kamen polaže ljepljenjem treba prema uputstvu proizvođača ljepila pripremiti smjesu, a zatim je nanositi na podlogu prvo ravnom, onda nazubljenom lopaticom kako bi se dobila točna optimalna debljina sloja ljepila. Kamenu ploču utisnuti u ljepilo.</t>
  </si>
  <si>
    <t>Izvođač kamenarskih radova koji izvodi opločenje na gotovu betonsku podlogu ili gotovi zid, mora prije početka radova podlogu pregledati i sve primjedbe saopćiti nadzornom inženjeru kako bi se eventualni nedostaci mogli na vrijeme odstraniti. Nikakav naknadni prigovor neće se uzeti u obzir, već će izvođač kamenarskih radova sve popravke morati izvršiti o svom trošku.</t>
  </si>
  <si>
    <t>Prije početka radova izvođač je dužan donijeti uzorke kamena na odobrenje projektantu.</t>
  </si>
  <si>
    <t>Zabranjen je rad koji ne odgovara propisima i pravilima dobrog zanata, te je izvođač dužan bez prigovora i odštete odstraniti sve što bi bilo neispravno izvedeno.</t>
  </si>
  <si>
    <t>Kamenarske radove izvesti iz najboljeg materijala, solidno i precizno, a kod izvedbe treba se u potpunosti pridržavati troškovnika, nacrta i pravila dobrog zanata.</t>
  </si>
  <si>
    <t>Opločnje kamenom vršiti tamo gdje je to po projektu predviđeno, a prema opisu stavke izvršiti polaganje u pijesku, cementnom mortu, ljepljenjem, pomoću metalnih sponki ili na neki drugi način. Izvoditelj se mora pridržavati važećih propisa i standarda te tehničkih uvjeta za izvođenje kamenorezačkih radova.</t>
  </si>
  <si>
    <t>KAMENOREZAČKI RADOVI</t>
  </si>
  <si>
    <t>Ovi opći uvjeti se mijenjaju ili dopunjuju opisom pojedine stavke troškovnika.</t>
  </si>
  <si>
    <t>keramičku obradu raznih kutija i sl. elektr. instalacije na površinama koje se obrađuju.</t>
  </si>
  <si>
    <t>popravak štete učinjene nepažnjom pri radu na svojim ili tuđim radovima,</t>
  </si>
  <si>
    <t>popravak manjih oštećenja i nečistoća na podlozi,</t>
  </si>
  <si>
    <t>odvoz otpadaka i šute nakon izvedenih radova,</t>
  </si>
  <si>
    <t>čišćenje izrađenih površina,</t>
  </si>
  <si>
    <t>zaštitu izvedenih radova,</t>
  </si>
  <si>
    <t>davanje traženih uzoraka,</t>
  </si>
  <si>
    <t>dovođenje struje, vode i plina od priključka na gradilištu do mjesta korištenja,</t>
  </si>
  <si>
    <t>transportne troškove materijala,</t>
  </si>
  <si>
    <t>sve protuklizne lajsne na stepenicama i lajsne na spojevima sa drugim vrstom opločenja</t>
  </si>
  <si>
    <t>sav potreban rad uključivo alat i mašine,</t>
  </si>
  <si>
    <t>sav potreban materijal uključivo vezni,</t>
  </si>
  <si>
    <t>uzimanje mjera na gradnji,</t>
  </si>
  <si>
    <t>Obračun izvedenih keramičarskih radova se vrši po m2 izvedene keramike,bez dodatka prilikom izvedbe stepenica ili slično.</t>
  </si>
  <si>
    <t>Kod izvedbe zidnog i podnog opločenja u jediničnu cijenu pojedine stavke ukalkulirati i brtvljenje silikonskim kitom sudara keramičkog opločenja s dovratnicima, oblogom  druge vrste,sanitarijama i sl.</t>
  </si>
  <si>
    <t>Način izvedbe i ugradbe, preuzimanje i priprema podloge , te način obračuna u svemu prema postojećim normama za izvođenje završnih radova u građevinarstvu TU-IX.</t>
  </si>
  <si>
    <t>Ako koja stavka nije izvođaču jasna, mora prije predaje ponude tražiti objašnjenje od projektanta. Eventualne izmjene materijala, te način izvedbe tokom gradnje mora se izvršiti isključivo pismenim putem dogovorom s projektantom i nadzornim organom. Sve više radnje koje neće biti na taj način utvrđene, neće se priznati u obračun.</t>
  </si>
  <si>
    <t>Sav vezni materijal, ljepila, zaptivni materijal i pomoćna sredstva HRN U.F2.011.</t>
  </si>
  <si>
    <t>cement  HRN B.C1.010  - 015</t>
  </si>
  <si>
    <t>glazirane zidne pločice HRN B.D1.300, 301 i HRN B.D8.460, 052</t>
  </si>
  <si>
    <t>glazirane podne pločice  HRN B.D1.305, 306 i HRN B.D8.460, 052</t>
  </si>
  <si>
    <t>fasadne keramičke pločice HRN B.D8.050</t>
  </si>
  <si>
    <t>fasadne i podne pločice vučene i prešane HRN B.D1.335.334</t>
  </si>
  <si>
    <t>neglazirane podne pločice  HRN B.D1.310,  320,  322</t>
  </si>
  <si>
    <t>Pločice</t>
  </si>
  <si>
    <t>Materijali za izradu moraju zadovoljavati odgovarajuće propise i standarde:</t>
  </si>
  <si>
    <t>Sva opločenja zidova, podova i sl. izvesti tamo gdje je to po projektu predviđeno. Izvedba mora zadovoljiti propise HRN U.F2.011.</t>
  </si>
  <si>
    <t>OPĆI UVJETI KERAMIČERSKI RADOVI</t>
  </si>
  <si>
    <t>troškove atesta.</t>
  </si>
  <si>
    <t>troškove zaštite na radu,</t>
  </si>
  <si>
    <t>svu štetu kao i troškove popravka kao posljedica nepažnje u toku izvedbe,</t>
  </si>
  <si>
    <r>
      <t xml:space="preserve">čišćenje nakon završetka radova, </t>
    </r>
    <r>
      <rPr>
        <i/>
        <u/>
        <sz val="10"/>
        <rFont val="Arial"/>
        <family val="2"/>
        <charset val="238"/>
      </rPr>
      <t>uključivo odvoz otpadnog materijala na gradsku deponiju</t>
    </r>
  </si>
  <si>
    <t>potrebnu radnu skelu (izuzima se fasadna skela),</t>
  </si>
  <si>
    <t>sve horizontalne I vertikalne transporte do mjesta montaže,</t>
  </si>
  <si>
    <t>dvokratni osnovni premaz prema uvjetima antikorozivne zaštite u radioni, te kompletnu zaštitu sa završnom obradom ličenjem, ako je to u stavci određeno, plastificiranjem ili eloksiranjem</t>
  </si>
  <si>
    <t>troškove radne snage za kompletan rad opisan u troškovniku i općim uvjetima,</t>
  </si>
  <si>
    <t>izrada radioničkih nacrta i detalja,</t>
  </si>
  <si>
    <t>uzimanje potrebnih izmjera na objektu,</t>
  </si>
  <si>
    <t>sav materijal, dobavu, izradu i dopremu alata, mehanizaciju i uskladištenje</t>
  </si>
  <si>
    <t>Nadzorni inženjer upisom u dnevnik dozvoljava  početak radova.</t>
  </si>
  <si>
    <t>Obračun izvedenih radova vrši se prema “Prosječnim normama u građevinarstvu”.</t>
  </si>
  <si>
    <t>Obračun</t>
  </si>
  <si>
    <t>Za sve radove predviđene troškovnikom izvoditelj je dužan pribaviti ateste od odgovarajućih instituta, za kvalitetu materijala, površinske obrade, ispravnost po izvoditelju predloženih detalja kao i antikorozivne zaštite.</t>
  </si>
  <si>
    <t>Atesti</t>
  </si>
  <si>
    <t>Staklar je dužan svaki otvor na prozorskom krilu, na vratima, stijeni, ogradi  i sl. izmjerom kontrolirati, pa tek nakon toga izvršiti ostakljenje onom vrstom i debljinom stakla kako je u opisu troškovnika navedeno.</t>
  </si>
  <si>
    <t>Gotova izrađena prozorska i vratna krila, pregradne stijene, ograde i sl. ustakljuju se prema troškovniku određenim staklom, za svaku pojedinu stavku.</t>
  </si>
  <si>
    <t>Izvedba</t>
  </si>
  <si>
    <t>Kvaliteta stakla koja se ugrađuje određuje se na temelju vrste stakla, veličine stakla i pogrešaka nastalih u njemu prilikom proizvodnje. Treba uopće ne ugrađivati staklo bilo koje vrste sa pogreškama.</t>
  </si>
  <si>
    <t>Svo staklo koje se ugrađuje u aluminijske ili željezne elemente mora odgovarati važećim standardima.</t>
  </si>
  <si>
    <t>Materijal</t>
  </si>
  <si>
    <t>Prije početka ostakljenja mora stolarija, bravarija ili ostali dijelovi koji se zastakljuju biti ugrađena a pokretna krila moraju biti postavljena na mjesto i propisno okovana. Svi dijelovi koji se ostakljuju moraju biti sposobni za ostakljivanje i svi žljebovi očišćeni od morta, betona i drugih otpadaka. Svi staklarski radovi izvode se u prozorska ili vratna krila, kao i u ostakljene stijene, ograde stubišta i sl., tako da staklo leži u čistom utoru okvira slobodno, a ne da dodiruje okvir.</t>
  </si>
  <si>
    <t>ugrađivanje stakla u fasadne elemente DIN 18056</t>
  </si>
  <si>
    <t>Tehnički uvjeti za izvođenje staklorezačkih radova HRN U.F2.025</t>
  </si>
  <si>
    <t>sigurnosno staklo HRN B.E3.701</t>
  </si>
  <si>
    <t>ravno staklo vučeno HRN  B.E1.011</t>
  </si>
  <si>
    <t>- Tehnički uvjeti za izvođenje staklorezačkih radova</t>
  </si>
  <si>
    <t>- Pravilnik o zaštiti na radu u građevinarstvu</t>
  </si>
  <si>
    <t>- Pravilnik o tehničkim mjerama i uvjetima za završne radove u građevinarstvu</t>
  </si>
  <si>
    <t>Prilikom  izvedbe staklorezačkih radova imaju se u potpunosti primjenjivati postojeći propisi:</t>
  </si>
  <si>
    <t>Čišćenje fasade iz razloga koji nisu neposredno povezani s izvođačem radova, odnosno montažom, obračunavaju se posebno, a plačanje se izračunava paušalno, prema stvarno utrošenom vremenu i materijalu (evidentirano upisom u građevnu knjigu i ovjereno od strane nadzornog inžinjera).</t>
  </si>
  <si>
    <t>Na zahtjev voditelja gradnje svaki izvođač dužan je prije preuzimanja objekta očistiti elemente svojih radova izvana i iznutra. Potrebno je držati se pismenih uputa A5 »čišćenje aluminija u graditeljstvu«, koje izdaje Aluminiumzentrale, Könihsallee 30, 40212 Düsseldorf.</t>
  </si>
  <si>
    <t>ZVRŠNO ČIŠĆENJE PROZORA I FASADE</t>
  </si>
  <si>
    <t>Podatke o zadovoljavanju dopuštenih progiba nosivih profila se moraju na zahtjev priložiti u provjerljivom obliku.</t>
  </si>
  <si>
    <t>Računski dokazi moraju biti provjereni od strane ovlaštenog inžinjera za visoke gradnje ili graditeljstvo.</t>
  </si>
  <si>
    <t>Na zahtjev, moraju se građevinsko-fizikalne karakteristike upotrijebljenih aluminijskih sistema dokazati potvrdom odgovornih institucija.</t>
  </si>
  <si>
    <t>POTVRDE I ATESTI</t>
  </si>
  <si>
    <t>Za postizanje kvalitete se moraju poštivati pismene upute o izradi i montaži, koje izdaje proizvođač aluminijskih sistema. Na zahtjev se moraju priložiti investitoru.</t>
  </si>
  <si>
    <t>Izvođač radova odgovara za kvalitetu proizvodnje i izradu konstrukcije elemenata prema pravilima struke.</t>
  </si>
  <si>
    <t>POSTIZANJE KVALITETE</t>
  </si>
  <si>
    <t>Ukoliko su u popisu radova propisane zaštitne folije, mora biti omogućeno nesmetano odstranjivanje bez oštećenja profilacije i završne obrade le-teh.</t>
  </si>
  <si>
    <t>ZAŠTITA POVRŠINA</t>
  </si>
  <si>
    <t>Potrebno je zadovoljiti važeće propise o zaštiti od udara groma.</t>
  </si>
  <si>
    <t>ZAŠTITA OD UDARA GROMA</t>
  </si>
  <si>
    <t>Ukoliko je u opisu radova predviđena ugradnja i montaža ventilacijskih rešetki, prozorskih klupčica, priključnih, stupovnih i drugih obloga, sjenila i sl, potrebno je prethotno uključiti u konačnu cijenu sve potrebne radove, kao što su bušenja, sidrenja, pomoćne konstrukcije, proširenja okvira itd.</t>
  </si>
  <si>
    <t xml:space="preserve">Dobavu i ugradnju može se izvoditi tek nakon odobrenja nadzornog organa, te je stoga potrebno radove uskladiti s cijelim tokom gradnje. </t>
  </si>
  <si>
    <t>Sve obrade za dobivanje konačnog proizvoda i priključci na građevinsku konstrukciju moraju biti uračunati u konačnu cijenu i izvedeni u skladu s važečim propisima.</t>
  </si>
  <si>
    <t>Priključci moraju ispunjavati građevinsko-fizikalne zahtjeve. To se odnosi na izvedbu toplinske izolacije, hidroizolacije, zvučne izolacije i parne brane.</t>
  </si>
  <si>
    <t>Montaža aluminijskih elemenata se vrši prema mjerama uzetim na licu mjesta.</t>
  </si>
  <si>
    <t>Aluminijski elementi moraju biti na svakoj strani najmanje dvaput spojeni sa slijepim okvirom. Maksimalna udaljenost između sidrenih mjesta iznosi 800 mm. Maksimalna udaljenost od vanjskih uglova iznosi 150-200 mm. Promjene veličine elemenata prouzročene uslijed temperaturnih oscilacija, kao i deformacija građevinske konstrukcije, moraju se preuizimati preko konstruktivnih (dilatacijskih) fuga. U takvim primjerima potrebno je ugraditi posebne dilatacijske elemente konstrukcije.</t>
  </si>
  <si>
    <t>UGRADNJA ELEMENATA</t>
  </si>
  <si>
    <t>Građevinsko-fizikalni konstrukcijski zahtjevi moraju također biti ispunjeni i u primjeru slijepih okvira. To uključuje izvedbu toplinske izolacije, hidroizolacije, zvučne izolacije i parne brane.</t>
  </si>
  <si>
    <t>Montaža slijepih okvira mora u svakom katu biti posebno izvedena po prethodno uzetim mjerama na licu mjesta. Mjere mora uzimati izvođač radova.</t>
  </si>
  <si>
    <t>Slijepi okviri moraju biti izvedeni i montirani tako, da ih nakon montaže radnici ne mogu oštetiti. To ne vrijedi za opterećenja nastala uslijed prometa na gradilištu.</t>
  </si>
  <si>
    <t>Sidrenje slijepih okvira mora biti izvedeno tako, da se opterećenja prenose na građevinsku konstrukciju, a posebno sile prouzročene pantovima, ležajevima, prečkama i stupovima. Pomaci građevinske konstrukcije se ne smiju prenositi na slijepe okvire. Maksimalna udaljenost između sidrenih mjesta iznosi 800 mm. Maksimalna udaljenost od vanjskih uglova iznosi 150 do 200 mm.</t>
  </si>
  <si>
    <t>SLIJEPI OKVIRI</t>
  </si>
  <si>
    <t>Priključci na građevinsku konstrukciju moraju biti izvedeni od najmanje 2 mm debele ALU pločevine. Pločevina mora biti mehanički obrađena prije završne površinske obrade.</t>
  </si>
  <si>
    <t>Ukoliko u popisu radova nije posebno navedeno, potrebno je nuditi sve funkcionalno potrebne priključke, pričvrsna sredstva i materijale, podkonstrukcije i pomoćne izolacijske i brtvene materijale.</t>
  </si>
  <si>
    <t>PLOČEVINE</t>
  </si>
  <si>
    <t>- kvalitetni sistemski originalni okovi moraju biti montirani prema uputi proizvođača okova odnosno profilacije. Potrebno je osigurati nesmetan rad okova, čime se omogućava redovito podmazivanje nesmetan rad okova.</t>
  </si>
  <si>
    <t>- točnost mjera pri montaži i ugradnji krila</t>
  </si>
  <si>
    <t>- brtvljenje profila, kao i utori predviđeni za postavljanje brtve unutar profila</t>
  </si>
  <si>
    <t xml:space="preserve">- dimenzioniranje i raspodjela otjecanja vode </t>
  </si>
  <si>
    <t>- točnost mjera pri ugradnji i precizno ljepljenje brtvi, uglova brtvi i spojnih brtvi</t>
  </si>
  <si>
    <t xml:space="preserve">- mjere komora između okvira štoka i krila moraju poštivati dozv. tolerancije </t>
  </si>
  <si>
    <t>- točnost i urednost kutnih i drugih spojeva</t>
  </si>
  <si>
    <t>Pri izradi se osobito moraju poštivati:</t>
  </si>
  <si>
    <t>Rezanje aluminijskih profila mora biti izvedeno tako da je zadovljena točnost kutova nakon sastavljanja. Pri strojnoj obradi, moraju se pažljivo pobrusiti rubovi narezanih profila. Profile, kod kojih dođe do deformacija uslijed unutarnjih naprezanja, nije dozvoljeno upotrebljavati pri izradi fasade.</t>
  </si>
  <si>
    <t>IZRADA</t>
  </si>
  <si>
    <t>Kod posebnih konstrukcija moguće je odobrenje proizvodnje (ako je zahtjevano) samo nakon što su izvršena propisana testiranja i po priloženom dokazu o kvaliteti materijala.</t>
  </si>
  <si>
    <t>ODOBRENJE PROIZVODNJE ELEMENATA</t>
  </si>
  <si>
    <t>Ovjere arhitekta (projektanta) se odnose samo na usklađenost svih elemenata sa predloženim arhitektonskim zahtjevima. Odgovornost za tehničku pravilnost, čvrstoću, brtve itd. pak nakon odobrenja izvedbenih detalja, u cjelosti preuzima izvođač radova.</t>
  </si>
  <si>
    <t>Na zahtjev se moraju predati ovjereni statički proračuni.</t>
  </si>
  <si>
    <t>Pri oblikovanju cijene mora se poštovati projektiranje i predaja izvedbenih detalja u svije kopije.</t>
  </si>
  <si>
    <t>IZVEDBENA DOKUMENTACIJA</t>
  </si>
  <si>
    <t>MONTAŽA I IZVEDBA</t>
  </si>
  <si>
    <t>U opsegu radova izvođača bravarskih radova ulazi dobava i postavljanje vanjskih brtvi za ustakljenje. U fasadnim sistemima sa stupovima i prečkama i kod strešnih konstrukcija najprije se postavljaju unutarnje brtve za ustakljenje, a zatim slijedi montaža pritisnih profila i na kraju montaža aluminijskih pokrovnih letvi.</t>
  </si>
  <si>
    <t>Brtvljenja stakla i drugih ispuna izvode se kvalitetnim sistemskim brtvama iz APTK (EPDM) materijala ili vulkaniziranim (prefabriciranim) brtvenim okvirima.</t>
  </si>
  <si>
    <t>IZVEDBA USTAKLJENJA</t>
  </si>
  <si>
    <t>sloj cinka iznosi 50-85 μm, ovisno o tome da li je materijal obrađen cinkom na neki drugi način.</t>
  </si>
  <si>
    <t>Vruće cinčanje:</t>
  </si>
  <si>
    <t>POVRŠINE ČELIKA</t>
  </si>
  <si>
    <t>Kalkulacijsku osnovu predstavljaju tonovi boja određeni u popisu radova. Uzorci boja moraju se prema zahtjevu priložiti projektantu i voditelju gradnje, a prije proizvodlje elemenata.</t>
  </si>
  <si>
    <t>Pri bojanju aluminijskih površina potrebno je poštivati važeće propise o kvaliteti. Debljina nanosa iznosi 65 ±15 μm za glavne vidljive površine. Za bočne (nevidljive) površine dostatan je prekrivajući nanos.</t>
  </si>
  <si>
    <t>PRAŠNO BOJANJE</t>
  </si>
  <si>
    <t>POVRŠINSKE OBRADE ALUMINIJA</t>
  </si>
  <si>
    <t>Posebno se moraju poštivati moguće klasifikacije za elemente građevine, njihove sastavne materijale i sidrene elemente. Protupožarni uvjeti propisani su u pojedinim pozicijama popisa radova.</t>
  </si>
  <si>
    <t>Potrebno je pridržavati se protupožarnih propisa koji su na snazi.</t>
  </si>
  <si>
    <t>PROTUPOŽARNA ZAŠTITA</t>
  </si>
  <si>
    <t>Ugibi i utori profilacije u koje lako prodiru oborinske vode i u kojima lako dolazi do pojave kondenzata, moraju imati osiguran neometan odvod vode iz konstrukcije na van. Poštivati se prije svega moraju upute proizvođača profilacije. Otvori za odvod vode na vanjskoj strani moraju biti zaštićeni sa za to predviđenom pokrovnom kapom.</t>
  </si>
  <si>
    <t>Svi priključci na građevinsku konstrukciju moraju biti iznutra paro- i vodotjesni, izvana pak parno i vodo propusni. Mosebno je potrebno paziti na pravilno mjesto ugradnje.</t>
  </si>
  <si>
    <t>Za sprečavanje rošenja na staklu, profilima i panelima uslijed neodgovorajućih građevinsko-fizikalnih uvjeta potrebno je prije svega paziti na vrstu i raspored elemenata grijanja i klimatizacije.</t>
  </si>
  <si>
    <t>ZAŠTITA OD KIŠE I KONDENZNE VLAGE</t>
  </si>
  <si>
    <t>Spojevi među ugrađenim elementom i građevinskom konstrukcijom moraju biti zvučno izolirani prema zahtjevima u popisu radova.</t>
  </si>
  <si>
    <t>Faktor prigušenja zvuka Rw, koji je zahtjevan u popisu radova, mora biti dokazan A-testom po DIN 4109 autorizirane institucije.</t>
  </si>
  <si>
    <t>ZAŠTITA OD BUKE</t>
  </si>
  <si>
    <t>Propusnost fuga i zaštita od nanosa kiše mora odgovarati zahtjevima po DIN 18055.</t>
  </si>
  <si>
    <t>PROPUSNOST FUGA</t>
  </si>
  <si>
    <t>Koeficijent toplinske prohodnosti k(u) odabranog elementa (okvir uključivo sa staklom) ne smije prelaziti razinu od 1.6 W/m²K osim ako u popisu radova nije drugačije zahtjevano. K-faktor mora biti po potrebi dokazan A-testom po DIN 4108 autorizirane institucije.</t>
  </si>
  <si>
    <t>Za sprečavanje stvaranja kondenzata mora biti prekinuta topla i hladna zona u svima detaljnim točkama aluminijske konstrukcije.</t>
  </si>
  <si>
    <t>Pri gradnji konstrukcije na smije doći do stvaranja toplinskih mostova. Prekid između unutarnje (dobne) klime i vanjske klime mora biti izveden na »toploj« strani.</t>
  </si>
  <si>
    <t>TOPLINSKA IZOLACIJA</t>
  </si>
  <si>
    <t>Prostor između slijepih okvira i građevinske konstrukcije mora biti zapunjen izolacijskim materijalima, koji su otporni na habanje.</t>
  </si>
  <si>
    <t>Dozvoljena je upotreba samo negorivih izolacijskih materijala, koji su otporni na vremenske uvjete, temperaturne oscilacije, vlagu i plijesanj. Za učinkovitu zaštitu mora biti spriječen prodor vlage u izolaciju.</t>
  </si>
  <si>
    <t>IZOLACIJSKI MATERIJALI</t>
  </si>
  <si>
    <t>Najmanje širine površine ljepljenja folije određuje proizvođač. Ljepiti se mora cijela predviđena površina, a dodatno mora biti izvedena i mehanička zaštita.</t>
  </si>
  <si>
    <t>Pri ljepljenju brtvene folije potrebno je najprije očistiti površinu na koju se ljepi. Treba voditi računa da pri ljepljenju ne dođe do prodora zraka između dvije folije.</t>
  </si>
  <si>
    <t>Spojevi brtvenih i izolacijskih folija moraju se preklapati prema uputama prizvođača.</t>
  </si>
  <si>
    <t>Priključci na građevinsku konstrukciju moraju biti stručno brtvljeni pomoću zadovoljivo dimenzionirane brtvene folije iz Butil-kaučuka ili APTK (međunarodno EPDM = Etilen.Propilen-Termopolimer).</t>
  </si>
  <si>
    <t>BRTVENE FOLIJE (PARNE BRANE)</t>
  </si>
  <si>
    <t>Pri odabiru ispune (brtvenog materijal) potrebno je pridržavati se zahtjeva o izolacijskoj zaštiti, zaštiti od vlage, zaštiti od kiše, protupožarnoj zaštiti i dilatacijama. Ukoliko je brtvljenje sa građevinskom konstrukcijom izvedena elastičnim materijalima, moraju biti poštivane sve upute proizvođača. Izvedba brtve mora se obavljati samo pri za to predviđenim vremenskim uvjetima ovisno o odabiru materijala. Pri odabiru širine fuge potrebno je pridržavati se dopuštenih ekstremnih deformacija brtvenog materijala.</t>
  </si>
  <si>
    <t>Ispuna između slijepih okvira i građevinske konstrukcije, kako i između aluminijskih okvira i slijepih okvira, mora ispunjavati građevinsko-fizikalne zahtjeve.</t>
  </si>
  <si>
    <t>BRTVLJENJE PRIKLJUČKA NA GRAĐEVINSKU KONSTRUKCIJU</t>
  </si>
  <si>
    <t xml:space="preserve">U području konstrukcijski planiranih fuga, mora se voditi računa o nesmetanim pomacima aluminijske konstrukcije, da pri tome ne bi došlo do stvaranja zvuka. </t>
  </si>
  <si>
    <t>Aluminijska konstrukcija uključivo sa veznim elementima mora preuzimati sve vanjske utjecaje i prenositi ih na građevinsku konstrukciju. Prozorski i fasadni elementi nisu predviđeni za prenošenje sila, koje se javljaju u samoj nosivoj konstrukciji zgrade.</t>
  </si>
  <si>
    <t>Deformacije aluminijskih elemenata, koje nastaju uslijed vanjskih utjecaja i temperaturnih oscilacija, moraju biti točno izmjerene. Na osnovi tih podataka se moraju konstruirati detalji dilatacija i priključaka koji moraju biti zrako- i vodo-tjesni</t>
  </si>
  <si>
    <t>DILATACIJE</t>
  </si>
  <si>
    <t>GRAĐEVINSKO-FIZIKALNI UVJETI</t>
  </si>
  <si>
    <t xml:space="preserve"> </t>
  </si>
  <si>
    <t xml:space="preserve">Zaokretni i otklopni okovi moraju biti opremljeni zaštitom od nepravilnog upravljanja i škarama s dodatnom bremzom. </t>
  </si>
  <si>
    <t>Okovi moraju biti nastavljivi, omogućiti ugradnju dodatnih elemenata, kao recimo srednjih trnova, dodatne škare, mogućnost otvaranja po vertikalnoj osi itd.</t>
  </si>
  <si>
    <t>Pojedini dijelovi okova moraju se dimenzionirati ovisno o predviđenim opterečenjima. Unutarnji dijelovi moraju biti vijcima pričvršćeni na profilaciju.</t>
  </si>
  <si>
    <t>Upotrijebiti samo kvalitetne originalne sistemske okove. Konstrukcija okova ne smije biti vidljiva izvana, već svi elementi moraju biti montiranu u konstrukciju, osim ako je u popisu radova drugačije predviđeno. Unutarnji dijelovi za upravljanje mehanizmom moraju biti izvedene iz anodiziranog aluminija.</t>
  </si>
  <si>
    <t>OKOVI</t>
  </si>
  <si>
    <t xml:space="preserve">Upotrijebiti se moraju originalna sistemska brtvila. Za prozorska krila dopuštena je izvedba samo sa srednjim brtvilom. Pričvršćenje u okvir izvedeno je u području termičkog prekida profilacije. Brtve moraju biti lako zamjenjive, uglovni spojevi brtvi moraju biti vulkanizirani. U krilima koja nisu površinski poravnata, mora osim srednje brtve, funkciju brtvljenja vršiti još i unutarnja brtva. Kombinirana okna moraju na sastavnom spoju biti opremljena srednjom brtvom, koja je prilagođena konturi spoja. </t>
  </si>
  <si>
    <t>Tvrdoća, dimenzije i profiliranost brtvila moraju odgovarati različitim namjenama. Osnovu za određivanje tvrdoće predstavlja standard DIN 7863.</t>
  </si>
  <si>
    <t>Materijal za brtvene profile: APTK, međunarodno EPDM = Etilen-Propilen-Terpolimer.</t>
  </si>
  <si>
    <t>BRTVENI PROFILI</t>
  </si>
  <si>
    <t>Za ljepljenje se mora upotrijebiti dvokomponentno ljepilo za metale. Spojevi moraju ispunjavati zahtjeve o trajnoj čvrstoći i krutosti duž cijelog presjeka profila.</t>
  </si>
  <si>
    <t>Uglovni spojevi moraju u poprečnom presjeku odgovarati unutarnjim konturama profila. Svi spojevi moraju biti mehanički pričvršćeni i zapunjeni ljepilom. Pri spojevima pod 45°mora biti precizno izvedeno ljepljenje uglovnog spojnika i mjesta pričvršćenja profila. Kod T-spojeva i križnih spojeva mora se spriječiti prodor vode u konstrukciju.</t>
  </si>
  <si>
    <t>SPOJEVI PROFILA</t>
  </si>
  <si>
    <t>Za sprečavanje lokalne korozije na spojevima između dva različita metala mora se postaviti distancer od neutralnog materijala (iznimka su suha područja, ukoliko je upotrijebljen nehrđajuči čelik).</t>
  </si>
  <si>
    <t>Spojni elementi, kao vijci, zakovice, matice itd. moraju biti na spojevima s aluminijem od nehrđajučeg čelika (najmanje kvalitete A4 s reduciranom količinom Cu). Za sve ostale spojeve i male dijelove od čelika mora se upotrijebiti vruće cinčani materijal. Svi vijčani spojevi moraju biti osigurani od nepredviđenog popuštanja.</t>
  </si>
  <si>
    <t>Svi spojevi i pričvrsna sredstva moraju biti konstruirani tako, da su tolerancije usklađene s građevinskom konstrukcijom.</t>
  </si>
  <si>
    <t>SPOJEVI I PRIČVRSNA SREDSTVA</t>
  </si>
  <si>
    <t>Računski progim fasadnih stupića i prečki, kao i prozorskih profila s višeslojnim izolacijskim staklom ne smije biti veći od L/300 raspona stakla između dva uporišta. Progib najudaljenijeg ruba stakla ne smije prelaziti 8 mm.</t>
  </si>
  <si>
    <t>Konstrukcija mora zadovoljiti statičkim zahtjevima. Dimenzije i debljinu materijala mora izabrati ponuđač (ukoliko nije drugačije zahtjevano). Prema potrebi mora se priložiti dokumentacija o nosivosti materijala. Djelujuća opterećenja moraju se sigurnosno prenostiti na građevinsku konstrukciju. Za preuzimanje opterećenja potrebno je zadovoljiti važeće standarde.</t>
  </si>
  <si>
    <t>STATIČKI ZAHTJEVI</t>
  </si>
  <si>
    <t>Poštivati se moraju minimalne i maksimalne dimenzije ustakljenja i maksimalne težine elemenata. Sve podatke izdaje proizvođač aluminijskih sistema.</t>
  </si>
  <si>
    <t>VELIČINA ELEMENATA</t>
  </si>
  <si>
    <t>Odvod vode iz unutarnje komore i utora u profilu mora biti izveden tako, da je kondenzirana vlaga izvedena van. Odvod vode iz unutarnje komore mora biti izveden u njenom najdubljem dijelu. Tlačno rasterećenje utora za staklo mora biti u skladu s uputama proizvođača izolacijskoga stakla.</t>
  </si>
  <si>
    <t>(ozračivanje profila)</t>
  </si>
  <si>
    <t>ODVOD VODE + TLAČNA RASTEREĆENJA</t>
  </si>
  <si>
    <t>Profili moraju prenositi opterećenja. Na fasadama unutarnji i vanjski profili moraju međusobno biti čvrsto povezani. Pri izboru profilacije moraju se poštivati momenti otpornosti, koje izdaje proizvođač sistema.</t>
  </si>
  <si>
    <t>ODABIR PROFILACIJE</t>
  </si>
  <si>
    <t>ZAHTJEVANE KONSTRUKCIJSKE KARAKTERISTIKE</t>
  </si>
  <si>
    <t>Čelični elementi za sidrenja, ojačanja i slijepe okvire moraju biti od nehrđajučeg čelika ili vruće pocinčani. Potrebno je izbjegavati naknadne obrade. Pocinčana površina mora biti detaljno provjerena prije transporta na gradilište, kao i prije montaže aluminijskih elemenata. Oštećeni elementi (npr. pri varenju) se moraju očistiti, razmastiti i dvapu premazati kvalitetnim zaštitnim (antikorozivnim) premazom.</t>
  </si>
  <si>
    <t>ČELIK</t>
  </si>
  <si>
    <t>Različiti materijali i oblici dobave (profili, pločevine odnosno pantovi i okovi) moraju biti međusobno usklađeni ovisno o oblikovnim zahtjevima. Kod pločevina se mora poštivati utjecaj smjera valjanja.</t>
  </si>
  <si>
    <t>Odstupanja od tih zahtjeva moraju biti pismeno utemeljena.</t>
  </si>
  <si>
    <t>Uporabljeni moraju biti ekstrudirani profili s legurom AlMGSiO,5 čvrstoće F22 kg/mm², eloksacijske kvelitete. Za anodizirane aluminijske pločevine eloksacijske kvalitete mora biti uporabljena legura AlMg1 – polutvrdo, za prašno bojane aluminijske pločevine legura AlMg1 ili Al99,5 normalne kvalitete.</t>
  </si>
  <si>
    <t>ALUMINIJ</t>
  </si>
  <si>
    <t>ZAHTJEVANI MATERIJALI</t>
  </si>
  <si>
    <t>Proizvođać odnosno dobavitelj profilacije, mora po zahtjevu investitora priložiti ISO-9000 certifikacijsku dokumentaciju.</t>
  </si>
  <si>
    <t>Ponuđeni profilacijski sistem mora odgovarati propisima i uputama o izradi, koje izdaje proizvođač profilacijskog sistema.</t>
  </si>
  <si>
    <t>Poštivati se moraju podaci o formalnim mjerama profilacije (dubina i pogledna širina) i tipovima konstrukcije na pojedinim pozicijama. U ponudi je ako je to navedeno, moguće nuditi alternative. Jednakovrijednost s navedenim konstruktivnim sistemom mora biti dokazana atestima, detaljnom dokumentacijom i primjerima s izradom uzoraka.</t>
  </si>
  <si>
    <t>PODACI O PROFILACIJSKOM SISTEMU</t>
  </si>
  <si>
    <t xml:space="preserve">Dodatni ugovori o standardima i propisma u vezi s požarnim uvjetima, radnim uvjetima, namjeni prostora, skladišnim površinama, režijskim stavkama, montažnim skelama, priključku struje, vode i sanitarijama, čišćenjem gradilišta, zaštiti ugrađenih elemenata od oštećenja, vremenskim rokovima, itd., se moraju pismeno potvrditi. </t>
  </si>
  <si>
    <t>PREVENTIVNI UVJETI INVESTITORA</t>
  </si>
  <si>
    <t>Točne mjere uzima izvođač na licu mjesta. Ako je potrebno pristupiti izradi elemenata i pripremi za montažu prije mogućnosti uzimanja mjera na gradilištu, potreban je pismeni dogovor s investitorom.</t>
  </si>
  <si>
    <t>Dimenzije, navedene u popisu radova, su građevinske (ugradbene) dimenzije. Promjene dimenzija navedenih metalnih konstrukcija do +/- 50 mm od ukupne dimenzije ne utječu na promjene jedinične cijene. Veća odstupanja obračunaju se prema ukupnim površinskim dimenzijama.</t>
  </si>
  <si>
    <t>DIMENZIJE ELEMENATA</t>
  </si>
  <si>
    <t xml:space="preserve">Dokumentacija, predviđena za aluminijske konstrukcije na objektu, je obvezna prvenstveno zbog vizualno-arhitektonskog izgleda objekta. </t>
  </si>
  <si>
    <t>FORME I OBLICI</t>
  </si>
  <si>
    <t>U popisu radova, potrebno je provjeriti da li su sve pozicije potpune, prema pravilima struke i da li su točno predviđene za opisanu namjenu. Eventualne izmjene i dopune pozicija moraju se ovjeriti od strane projektanta i investitora.</t>
  </si>
  <si>
    <t>Nejasnoće se moraju uskladiti s projektantom prije predaje ponude.</t>
  </si>
  <si>
    <t>3. Tehnička dokumentacija</t>
  </si>
  <si>
    <t>2. Tehnički opis</t>
  </si>
  <si>
    <t>1. Popis radova</t>
  </si>
  <si>
    <t>Ako se u ponudi pojave nejasnoće, mora se poštivati slijedeći redoslijed:</t>
  </si>
  <si>
    <t>NAPOMENE</t>
  </si>
  <si>
    <t>Predmet ovog troškovnika su bravarski radovi, koji uključuju izradu, transport i montažu aluminijskih elemenata i ako je u stavci opisano, ustakljenje konstrukcije, umetanje sendvič panela, izolacija ili drugih ispuna.</t>
  </si>
  <si>
    <t>VRSTE RADOVA</t>
  </si>
  <si>
    <t>Tehnički propisi o djelovanju vjetra na nosive konstrukcije  - Sl.list 41/64</t>
  </si>
  <si>
    <t>Tehnički uvjeti za izvođenje staklorezačkih radova – HRN U.F2.025</t>
  </si>
  <si>
    <t>Tehnički uvijeti za projektiranje i građenje zgrada – akustika - HRN U.J6.201</t>
  </si>
  <si>
    <t>Toplinska tehnika - HRN U.J5.001</t>
  </si>
  <si>
    <t>Kvaliteta materijala i izvedba temelji se na slijedećim važećim propisima:</t>
  </si>
  <si>
    <t>Svi radovi moraju se izvoditi prema podacima iz projektne dokumentacije i u skladu s važećim propisima i standardima. Zbog toga se potrebno pridržavati općih uvjeta staklarskih radova (pri izradi izo-stakla i staklenih elemenata), kao i točnih uputa za ugradnju profila, koje izdaje proizvođač konstrukcije.</t>
  </si>
  <si>
    <t>U nastavku su opisani tehnički uvjeti za izradu metalnih i aluminijskih konstrukcija.</t>
  </si>
  <si>
    <t>OPĆI UVJETI ALUMINIJSKI  I BRAVARSKI RADOVI</t>
  </si>
  <si>
    <t>Prije izrade stavaka stolarije sve mjere treba obavezno prekontrolirati na objektu.</t>
  </si>
  <si>
    <t>VELIČINE</t>
  </si>
  <si>
    <t>svi željezni dijelovi koji se ugrađuju na stolarskim elementima moraju prethodno biti anitikorozivno zaštićeni ili pocinčani, a sva nova vezna sredstva (čavli, vijci, moždanici i sl.) za elemente koji se liče su prema propisima HRN-i.</t>
  </si>
  <si>
    <t>U jediničnu cijenu stavki kliznih vrata koja klize u zid od gipskartonskih ploča izvođač je dužan ukalkulirati kompletan materijal,pomoćni materijal i rad.uključivo i metalnu kazetu do potpunog dovršetka posla.Naknadni traženi troškovi neće biti uzeti u obzir.</t>
  </si>
  <si>
    <t>sve željezne, aluminijske i gumene profile pojedinog stolarskog elementa,</t>
  </si>
  <si>
    <t>standardni okov od bijelog metala dimenzioniran prema veličini otvora, za besprijekornu upotrebu pojedinog stolarskog elementa, bez obzira da li je u pojedinim stavkama shema posebno sve iskazano,</t>
  </si>
  <si>
    <t>Izvođač radova obavezan je dobaviti, montirati, te u cijenu ukalkulirati:</t>
  </si>
  <si>
    <t>OKIVANJE</t>
  </si>
  <si>
    <t>U jediničnu cijenu stavki izvođač je dužan ukalkulirati obradu oko stolarskih elemenata,te investitoru predati gotov proizvod</t>
  </si>
  <si>
    <t>U cijenu ulazi gotov finalni ugrađeni proizvod, s ličenjem i ostakljenjem, komplet sa svim opšavima i okovom.</t>
  </si>
  <si>
    <t>Dovratnici su izrađeni od jelovog masiva ili materijala po izboru projektanta , ličeni uljenom bojom po izboru projektanta.</t>
  </si>
  <si>
    <t>Svi dovratnici prije mokre ugradbe moraju biti zaštićeni ljepenkom ili PVC folijom prema zidu i to sa svih ugradbenih strana.KOD IZRADE KUPAONSKIH VRATA OBAVEZNO UZETI U OBZIR ZAŠTITU VRATA I DOVRATNIKA OD VODE isto potrebno dodatno impregnirati epoxy smolama i nakon ugradnje zabrtviti te samim time onemogučiti doticaje sa vodom.</t>
  </si>
  <si>
    <t>Sva stolarija kod dostave mora biti zaštićena, dok se finalno obrađeni proizvodi zaštićuju i nakon ugradbe od nenamjernog oštećenja, a što je sadržano u jediničnoj cijeni.</t>
  </si>
  <si>
    <t>Svi stolarski elementi isporučuju se na gradilištu kao gotov finalni proizvod, osim onog dijela stolarije koji se liči na gradilištu.</t>
  </si>
  <si>
    <t>Prije pristupa izradi stolarije izvođač je obavezan prekontrolirati količine i zidarske veličine otvora na gradilištu. Radioničke nacrte izrađuje izvođač stolarskih radova, te dostavlja na usaglašavanje projektantu. Izvođač je dužan s rukovodiocem gradilišta definirati redoslijed izrade i isporuke stolarskih elemenata.</t>
  </si>
  <si>
    <t>IZVEDBA I OBRADA</t>
  </si>
  <si>
    <t>Svi stolarski elementi koji se ugrađuju po ovim uvjetima izvode se od jelovine (završna obrada ličenjem) ili hrastovine . Drvo ne smije imati pogreške koje potječu od kukaca, kao što su bušotine i crvotočine. Drvo treba biti ravno rašteno s pravilnim godovima, bez pukotina, smolastih kvrga i smoljnjača, te mehaničkih oštečenja. Drvo mora biti odležano i suho, za prozore i vrata koje se liče može sadržavati 13 - 15 % vlage.</t>
  </si>
  <si>
    <t>Kvaliteta materijala za izradu unutrašnjih vrata, dovratnika i krila od obrađenih dasaka, šper ploča, lesonit ploča, iverice i panela prema HRN D.E1.011 i HRN D.E1.012</t>
  </si>
  <si>
    <t>Sav upotrebljeni materijal za stolarske elemente koji se liče trebaju biti najbolje kvalitete koja postoji na domaćem tržištu, a treba odgovarati propisima HRN-i.</t>
  </si>
  <si>
    <t>Stolarski</t>
  </si>
  <si>
    <t>MATERIJALI</t>
  </si>
  <si>
    <t>troškove zaštite na radu.</t>
  </si>
  <si>
    <t>čišćenje prostorija i okoliša nakon završetka radova, svu štetu i troškove poravka kao posljedicu nepažnje u toku izvedbe,</t>
  </si>
  <si>
    <t>okov prvoklasan za fukcionalnu upotrebu,</t>
  </si>
  <si>
    <t>završna obrada kako je u pojedinoj stavci označeno,</t>
  </si>
  <si>
    <t>ostakljenje, vrsta stakla, naznačena u pojedinoj stavci, s kitanjem silikonskim kitom,</t>
  </si>
  <si>
    <t xml:space="preserve">eventualno potrebnu radnu skelu s postavom i skidanjem (izuzima se fasadna skela),ukalkulirana u jediničnu cijenu
</t>
  </si>
  <si>
    <t>sve horizontalne i vertikalne transporte do mjesta ugradnje,</t>
  </si>
  <si>
    <t>kompletna  montaža i ugradba na gradilištu,</t>
  </si>
  <si>
    <t xml:space="preserve">izrada u radionici s dostavom na gradilište i svim potrebnim materijalom i prvoklasnom  izvedbom,
</t>
  </si>
  <si>
    <t>Ponuđač nudi gotov stolarski element:</t>
  </si>
  <si>
    <t>Ponuđač je dužan nuditi solidan i ispravan rad, na temelju shema i troškovnika, pa se neće uzeti u obzir naknadno pozivanje na eventualno nerazumjevanje ili manjkavosti opisa ili nacrta. Davanjem ponude ponuđač usvaja u cjelosti ove uvjete.</t>
  </si>
  <si>
    <t>OPĆI UVJETI STOLARSKI RADOVI</t>
  </si>
  <si>
    <t>·         troškovi zaštite na radu i troškovi atesta</t>
  </si>
  <si>
    <t>·         popravci štete na vlastitom ili drugim radovima učinjeni iz nepažnje</t>
  </si>
  <si>
    <r>
      <t>·         čišćenje po završenom radu</t>
    </r>
    <r>
      <rPr>
        <i/>
        <u/>
        <sz val="10"/>
        <rFont val="Arial"/>
        <family val="2"/>
        <charset val="238"/>
      </rPr>
      <t xml:space="preserve"> uključivo odvoz viška materijala na gradsku deponiju</t>
    </r>
  </si>
  <si>
    <t>·         sve revizije treba ukalkulirati u jediničnu cijenu stropa ili zida,ne obračunavaju se zasebno</t>
  </si>
  <si>
    <t>·         potrebna radna skela</t>
  </si>
  <si>
    <t>·         sav rad opisan u stavci</t>
  </si>
  <si>
    <t>·         sav materijal, dobava i uskladištenje, te unutarnji transporti</t>
  </si>
  <si>
    <t>U jediničnoj cijeni sadržano je:</t>
  </si>
  <si>
    <t>Kod obračuna radova GK radova, špalete,niše,završetci zidova ili slično obračunavaju se po m2 i jedinčnoj cijeni sustava iz troškovničke stavke</t>
  </si>
  <si>
    <t xml:space="preserve">Kod polaganja spuštenog stropa potrebno se držati svih uputa proizvođača, naročito glede uskladištenja ploča i uvjeta temperature i vlažnosti zraka prostora u kojima će se izvoditi spušteni strop.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Montirani strop je potrebno očistiti od eventualnih nečistoća koje su nastale pri izvedbi, ali pri tome treba postupiti po uputstvu proizvođača suhim postupkom ili sa što manje vlage. Ako je pri montaži došlo do manjih oštećenja ploča, moguće ih je posebnim kitom otkloniti, ukoliko su ona veća, potrebno je zamjeniti cijelu ploču, što će upisom u građevinski dnevnik odrediti nadzorni inženjer.
</t>
  </si>
  <si>
    <t>Za učvrščenje tereta na GK konstrukcije treba primjeniti specijalna pričvrsna sredstva te se pridržavati uputa o max opterećenju.
Kod obračuna izvedenih radova obračunava se samo stvarno izvedena površina,dok se otvori odbijaju u potpunosti.Izradu otvora ukalkulirati u jediničnu cijenu stavke.</t>
  </si>
  <si>
    <t xml:space="preserve">Ako je pri montaži došlo do manjih oštećenja ploča, moguće ih je posebnim kitom otkloniti, ukoliko su ona veća, potrebno je zamjeniti cijelu ploču, što će upisom u građevinski dnevnik odrediti nadzorni inženjer.
</t>
  </si>
  <si>
    <r>
      <t>Kod izvedbe konstrukcija od GK  ploča potrebno se držati svih uputa proizvođača, naročito glede uskladištenja ploča i uvjeta temperature i vlažnosti zraka prostora u kojima će se izvoditi spušteni strop ili pregrada (temperatura od 11 do 35</t>
    </r>
    <r>
      <rPr>
        <i/>
        <vertAlign val="superscript"/>
        <sz val="10"/>
        <rFont val="Arial"/>
        <family val="2"/>
        <charset val="238"/>
      </rPr>
      <t>o</t>
    </r>
    <r>
      <rPr>
        <i/>
        <sz val="10"/>
        <rFont val="Arial"/>
        <family val="2"/>
        <charset val="238"/>
      </rPr>
      <t xml:space="preserve"> C i relativna vlažnost do 70 %). Ploče treba svakako zaštititi od kondenzne vlage. Prije izvedbe stropa ploče moraju biti na mjestu ugradnje najmanje 24 sata ranije, da bi se prilagodile mikroklimatskim uvjetima prostora. S polaganjem se može započeti tek kad su završeni svi radovi žbukanja, estriha i sl. te su dovoljno suhi, nakon ugradnje prozora, montaže grijanja i svih instalacija koje dolaze unutar stropa. Ljeti je potrebno osigurati prozračivanje, a zimi za montažu treba biti uključeno grijanje. Ako se nakon montaže iz nekih razloga grijanje treba isključiti, već montirane ploče treba  skinuti i propisno uskladištiti do punog puštanja objekta u funkciju. Montirani strop ili pregradu je potrebno očistiti od eventualnih nečistoća koje su nastale pri izvedbi, ali pri tome treba postupiti po uputstvu proizvođača suhim postupkom ili sa što manje vlage. </t>
    </r>
  </si>
  <si>
    <r>
      <rPr>
        <b/>
        <i/>
        <sz val="10"/>
        <rFont val="Arial"/>
        <family val="2"/>
        <charset val="238"/>
      </rPr>
      <t xml:space="preserve">Obrada spojeva ploča u kvaliteti K2 - Knauf Uniflott ili Fugenfüller + bandažna traka, a kao završni treći sloj F1-Readyfix,cijelom površinom </t>
    </r>
    <r>
      <rPr>
        <i/>
        <sz val="10"/>
        <rFont val="Arial"/>
        <family val="2"/>
        <charset val="238"/>
      </rPr>
      <t xml:space="preserve">U jediničnu cijenu stavke  je uključena izrada otvora za vrata s time da je s obzirom na visinu zida potrebna primjena UA čeličnih profila sa pripadajučim utičnim kutnicima,Također je uključeno u jediničnu cijenu izrezivanje svih potrebnih otvora za instalacije,rasvjetna tijela, utičnice,prekidače i sl.,izrada dilatacija sukladno uputama proizvođača,te dobava i montaža svih potrebnih revizija.Obračun se vrši po m2 izvedenog stropa ili zida,gore navedene revizije i otvori se ne naplaćuju posebno već su ukalkulirane u jediničnu cijenu.
</t>
    </r>
  </si>
  <si>
    <t xml:space="preserve">Strop mora biti potpuno ravan i ne smiju se vidjeti spojevi ploča. Spoj sa zidom ili s vertikalnim plohama stropa mora biti zapunjen masom za reške.
</t>
  </si>
  <si>
    <t xml:space="preserve">Spojevi ploča ( bez bandažiranja ili s bandažiranjem ) se moraju se obraditi specijalnim zapunjačem prema preporuci proizvođača. Kod dvostrukog oblaganja stropa potrebno je obraditi i spojeve prvog  sloja ploča. Završno kompletnu površinu treba pregletati specijalnom glet masom.
</t>
  </si>
  <si>
    <t xml:space="preserve">Na podkonstrukciju se posebnim samoreznim vijcima u poprečnom smjeru pričvrščuju gipskartonske ploče standardnih dimenzija od 200-300/125 cm. 
</t>
  </si>
  <si>
    <t xml:space="preserve">Spoj sa zidom izvesti UD profilima. Učvrščenje izvesti pogodnim sredstvima ovisno o materijalu zida.
</t>
  </si>
  <si>
    <t xml:space="preserve">Kod duljina većih od 10,0 m i znatno suženih stropnih površina potrebno je izvesti dilatacijske spojeve što ulazi u jediničnu cijenu.
</t>
  </si>
  <si>
    <t xml:space="preserve">Podkonstrukcija je izrađena od CD 60/27 profila, tipa D 112, od pocinčanog lima debljine 0,7 mm i posebnih vješača koji se vijcima s tiplima pričvršćuju o stropnu konstrukciju ( anker fix element ili nonius ovjesni element ). Nosivi profili su na razmaku od 75 -100 cm, ovješeni na maksimalnom razmaku od 60 - 90 cm. Na nosive profile dolaze montažni na maksimalnom razmaku od 40-62,5 cm.
</t>
  </si>
  <si>
    <t xml:space="preserve">Spušteni stropovi od gipskartonskih ploča sistema tip kao KNAUF sastoje se od metalne potkonstrukcije - nosivih i montažnih profila i ploča. 
</t>
  </si>
  <si>
    <t>Spušteni stropovi od gipskartonskih ploča</t>
  </si>
  <si>
    <t xml:space="preserve">Na potkonstrukciju se obostrano pričvršćuju gipskartonske ploče prema opisu u stavci pomoću tzv. vijaka za brzu ugradnju. Spojevi ploča se nakon montaže zapune ispunjačem rešaka i zaglade lopaticom. Spojevi rezanih rubova gipsane ploče obrađuju se uz primjenu papirnate bandažne trake. Vidljive glave vijaka također pregletati. Kod višeslojnog oblaganja spojevi donjih slojeva KNAUF ploča se samo zapunjavaju a spojevi gornjeg sloja se završno obrađuju gletanjem. Nakon obrade spojeva završno čitavu površinu pregletati smjesom za izravnanje što ulazi u stavku.Kod otvora vrata dovratnik izvesti od UA profila kada je visina veća od 2,80 m ili vratno krilo teže od 25 kg , a sve prema uputama proizvođača. Stavkom mora biti definirana ugradnja UA profila van standardnih uputa.
Učvršćenje ploča na potkonstrukciju izvoditi originalnim pripadajućim vijcima za brzu montažu i odgovarajuću vrstu ploče uz obvezno upuštanje glave vijka za cca 2 mm u odnosu na ravninu vidljive plohe obloge zida ili stropa.
Učvrsna sredstva za bočne masivne građevne elemente su tipli s vijcima, a za one građevne elemente koji nisu masivni učvrsna sredstva se određuju prema vrsti podloge.
U području spojeva pregradnih zidova s bočnim građevnim elementima na profile je potrebno nanijeti Knauf brtveni kit ili PE brtvenu traku. Kod očekivanih progiba međukatnih konstrukcija od &gt;10mm, potrebno je izvesti klizne spojeve.
Ukoliko se ploče polažu direktno na plohu koja se oblaže - bez potkonstrukcije - za lijepljenje se smije upotrijebiti samo originalno pripadajuće ljepilo izabranog dobavljača osnovnog materijala uz odgovarajuću impregnaciju površine. 
Fuge između ploča ispunjavaju se također pripadajućim ispunjačem i ojačavaju perforiranom papirnatom trakom za spojnice, a izložene ivice ojačavaju se aluminijskim perforiranim Al profilima. Kod uglova i ivica hodnika i prostora opterećenih velikom frekvencijom prolaza tj. mogućnosti oštećenja potrebno je koristiti Knauf Ultrabull ili Ultrakorner. Kod impregniranih gips-kartonskih ploča treba koristiti impregnirani Uniflott.
Ovješenje tereta na Knauf spuštene stropove-pojedini tereti koji se učvršćuju neposredno za gipsanu ploču ne smiju biti teži od 0.06 kg po rasponu ploče i dužnom metru. Teži predmeti, smatraju se dodatnim teretom i ako nisu uključeni u proračun jediničnih težina spuštenih stropova, trebaju se učvrstiti na međukatnu osnovnu konstrukciju.
Izvođenje ove vrsti radova podrazumijeva angažiranje stručne radne snage i pripadajućeg originalnog alata. 
Jedinična cijena obuhvaća nabavu materijala sa uključenim transportom do gradilišta, skladištenje materijala i manipulaciju materijala na gradilištu, radnu skelu, izvođenje radova, popravku loše izvedenih radova i čišćenje prostora nakon završetka ove vrsti radova kao i nadoknadu svih šteta nastalih izvođenjem gips-kartonskih radova na izvršenim radovima ostalih izvođača. 
Prekidi rada (vrijeme čekanja) koji su posljedica instalacijskih radova ukalkulirani su u jedinične cijene.
Isto tako potrebno je pripraviti HRN ateste za ponuđeni i ugrađeni materijal, a prema Zakonu o gradnji i uzancama za ovu vrstu poslova.
</t>
  </si>
  <si>
    <t xml:space="preserve">Montažni zidovi sistema tip kao KNAUF se izvode od podkonstrukcije - nosivih CW profila od pocinčanog lima debljine 0,6 mm presjeka 75/100 mm na maksimalnom razmaku  41,7 - 62,5 cm ( ako stavkom nije drugačije naznačeno ) s donjim i gornjim UW-profilom. Između profila se umeće mineralna vuna. Kod spoja sa zidom, stropom ili podom na profile se nanosi brtvena masa. Sve rubne profile na spojevima s podom, stropom i sa zidovima treba učvrstiti odgovarajućim učvrsnim elementima.Sve radove izvoditi sukladno uputama proizvođača i sukladno zadanim sustavima.Ukoliko pojedini dio sustava nije specificiran a nužan je za izvedbu isti se mora izvesti sukladno pravilima struke i bez dodatne naknade.Na manjkavost pojedine stavke proizvođač je dužan upozoriti prilikom ugovaranja,a dodatne naknade se neće uvažiti.
</t>
  </si>
  <si>
    <t>Montažni zidovi od gipskartonskih ploča</t>
  </si>
  <si>
    <t xml:space="preserve">Svi materijali za spuštene stropove ili pregradne stijene i obloge moraju biti prvoklasni, moraju odgovarati važećim standardima i moraju posjedovati ateste a svi radovi moraju se izvoditi prema uputama proizvođača elemenata od kojih se radovi izvode.
</t>
  </si>
  <si>
    <t>OPĆI UVJETI GIPSKARTONSKI RADOVI</t>
  </si>
  <si>
    <r>
      <rPr>
        <b/>
        <i/>
        <sz val="10"/>
        <rFont val="Arial"/>
        <family val="2"/>
        <charset val="238"/>
      </rPr>
      <t>NAPOMENA</t>
    </r>
    <r>
      <rPr>
        <i/>
        <sz val="10"/>
        <rFont val="Arial"/>
        <family val="2"/>
        <charset val="238"/>
      </rPr>
      <t xml:space="preserve"> :  Izvedba svih radova strogo prema uputama proizvođača upotrebljenih materijala, uključivo sve potrebne predradnje, grundiranja podloge i sl. Jediničnim cijenama stavki obuhvatiti sve tipske i ostale profile potrebne za izvedbu (rubovi špaleta uz fasadne otvore ("slijepi okviri"), sokl, uglovi, vodilice, dilatacijski profili, okapnice i sl). Izvedba na način da su profili maksimalno skriveni (nevidljiva izvedba).
</t>
    </r>
  </si>
  <si>
    <t>Otvori kod fasaderskih radova odbijaju se u potpunosti bez dodatka za izradu i obradu oko otvora</t>
  </si>
  <si>
    <t>Obračun fasaderskih radova vrši se po m2 izvedenenog fasadnog sustava, špalete, niše i podgledi se također vrše po m2 stvarno izvedene fasade bez uvečavanja za otvore, ili slično</t>
  </si>
  <si>
    <t>Zaštitne ograde ukalkulirane u jedinične cije stavki</t>
  </si>
  <si>
    <r>
      <t>Nosive skele obračunavaju se po m</t>
    </r>
    <r>
      <rPr>
        <i/>
        <vertAlign val="superscript"/>
        <sz val="10"/>
        <rFont val="Arial"/>
        <family val="2"/>
        <charset val="238"/>
      </rPr>
      <t>3</t>
    </r>
    <r>
      <rPr>
        <i/>
        <sz val="10"/>
        <rFont val="Arial"/>
        <family val="2"/>
        <charset val="238"/>
      </rPr>
      <t xml:space="preserve"> zapremnine skele, mjereno po vanjskim konturama skele.</t>
    </r>
  </si>
  <si>
    <r>
      <t>Fasadne skele obračunavaju se po m</t>
    </r>
    <r>
      <rPr>
        <i/>
        <vertAlign val="superscript"/>
        <sz val="10"/>
        <rFont val="Arial"/>
        <family val="2"/>
        <charset val="238"/>
      </rPr>
      <t>2</t>
    </r>
    <r>
      <rPr>
        <i/>
        <sz val="10"/>
        <rFont val="Arial"/>
        <family val="2"/>
        <charset val="238"/>
      </rPr>
      <t xml:space="preserve"> vertikalne projekcije skele mjereno po vanjskom rubu</t>
    </r>
  </si>
  <si>
    <r>
      <t>Zaštitne oplate na skelama obračunavaju se po m</t>
    </r>
    <r>
      <rPr>
        <i/>
        <vertAlign val="superscript"/>
        <sz val="10"/>
        <rFont val="Arial"/>
        <family val="2"/>
        <charset val="238"/>
      </rPr>
      <t>2</t>
    </r>
    <r>
      <rPr>
        <i/>
        <sz val="10"/>
        <rFont val="Arial"/>
        <family val="2"/>
        <charset val="238"/>
      </rPr>
      <t xml:space="preserve">  razvijene površine oplate.</t>
    </r>
  </si>
  <si>
    <r>
      <t>Prilaz na skele (trepne) obračunava se po m</t>
    </r>
    <r>
      <rPr>
        <i/>
        <vertAlign val="superscript"/>
        <sz val="10"/>
        <rFont val="Arial"/>
        <family val="2"/>
        <charset val="238"/>
      </rPr>
      <t>2</t>
    </r>
    <r>
      <rPr>
        <i/>
        <sz val="10"/>
        <rFont val="Arial"/>
        <family val="2"/>
        <charset val="238"/>
      </rPr>
      <t xml:space="preserve"> mjereno po visini.</t>
    </r>
  </si>
  <si>
    <r>
      <t>Lake pokretne, lake nepokretne i konzolne skele obračunavaju se po m</t>
    </r>
    <r>
      <rPr>
        <i/>
        <vertAlign val="superscript"/>
        <sz val="10"/>
        <rFont val="Arial"/>
        <family val="2"/>
        <charset val="238"/>
      </rPr>
      <t>2</t>
    </r>
    <r>
      <rPr>
        <i/>
        <sz val="10"/>
        <rFont val="Arial"/>
        <family val="2"/>
        <charset val="238"/>
      </rPr>
      <t xml:space="preserve"> horizontalne projekcije skele.</t>
    </r>
  </si>
  <si>
    <t>NAČIN OBRAČUNA</t>
  </si>
  <si>
    <t xml:space="preserve">Izvedba svih pripremnih i pomoćnih radova na izradi skele kao: primjena odredaba važećih propisa zaštite na radu, uzimanje mjera na gradilištu, pregled prije ugradbe.
</t>
  </si>
  <si>
    <t xml:space="preserve">Prijenos svega potrebnog materijala (drvene građe, željeznih bešavnih cijevi, spojnih sredstava) od deponija do mjesta izrade skele, skidanje skele sa spuštanjem materijala. Čišćenje materijala, vađenje čavala, prijenos na deponiju i sortiranje.
</t>
  </si>
  <si>
    <t xml:space="preserve">Izrada skela prema opisu i pojedinim stavkama s izradom radnih podova, zaštitnih ograda (ako u pojedinim stavkama nije drugačije određeno), sidrenjem, podupiranjem i ukrućenjem skele.
</t>
  </si>
  <si>
    <t>OPIS RADA</t>
  </si>
  <si>
    <t xml:space="preserve">Pod nosivim skelama podrazumjevaju se skele izrađene sa svrhom da podnesu opterećenja oplate kod betonskih i armirano-betonskih radova, zidanih svodova i sličnih konstrukcija ili radi pridržavanja teških elemenata kod montaže i slično.
</t>
  </si>
  <si>
    <t xml:space="preserve">Izvedba lakih pokretnih skela  uključena je u standardnoj izvedbi ostalih građevinskih radova i ne obračunavaju se posebno. Pod lakim i pokretnim skelama, kao i nepokretnim, te fasadnim konzolnim skelama podrazumjevaju se skele izrađene sa svrhom da podnesu manja opterećenja radnika, alata i manjih količina materijala kod ugradbe i montaže.
</t>
  </si>
  <si>
    <t xml:space="preserve">Odgovorna osoba dužna je prije upotrebe, jednom mjesečno u toku upotrebe i nakon dužeg prekida rada izvršiti pregled skele.
</t>
  </si>
  <si>
    <t xml:space="preserve">Skele moraju biti izvedene tako da se mogu skinuti lako, bez potresa i oštećenja konstrukcije koju podupiru ili uz koju su izvedene.
</t>
  </si>
  <si>
    <t xml:space="preserve">Materijal za izradu skela mora biti potpuno ispravan. Odgovorna osoba dužna je izvršiti pregled materijala prije ugradbe. Skele moraju biti izvedene po mjerama i na način označen u statičkom računu i crtežima za skele. Izvedene skele moraju biti sposobne podnijeti  predviđeno opterećenje, moraju biti stabilne, otporne i ukrućene da se ne bi izvile, povile, prevrnule ili popustile u ma kom pravcu. IZVOĐAČ JE O SVOME TROŠKU DUŽAN NAPRAVITI PROJEKT SKELE SA STATIČKIM PRORAČUNOM, isto ukalkulirati u jediničnu cijenu
</t>
  </si>
  <si>
    <t>OPĆI UVJETI FASADERSKI RADOVI</t>
  </si>
  <si>
    <t>Ovi opći uvjeti mijenjaju se ili nadopunjuju opisom pojedine stavke troškovnika.</t>
  </si>
  <si>
    <t>dobava i polaganje podložne ljepenke.</t>
  </si>
  <si>
    <t>čišćenje i miniziranje željeznih dijelova,</t>
  </si>
  <si>
    <t>dobava i ugradba pakni odnosno ugradba limarije upucavanjem,</t>
  </si>
  <si>
    <t>ugradba u ziđe i slično, obujmica, slivnika i sl.</t>
  </si>
  <si>
    <t>označavanje mjesta za štemanje,</t>
  </si>
  <si>
    <t xml:space="preserve">korištenje skele  te kuke, užadi, ljestvi, </t>
  </si>
  <si>
    <t>zaštita izvedenih radova do primopredaje,</t>
  </si>
  <si>
    <t>transport materijala na gradilište, uskladištenje te doprema na mjesto ugradbe,</t>
  </si>
  <si>
    <t>dovođenje plina, struje i vode od priključaka na gradilištu do mjesta upotrebe,</t>
  </si>
  <si>
    <t>sav rad na gradnji u radionici,</t>
  </si>
  <si>
    <t>sav materijal, uključivo pomoćni,</t>
  </si>
  <si>
    <t>uzimanje mjera na gradnji za izvedbu i obračun,</t>
  </si>
  <si>
    <t xml:space="preserve">Ispod svih opšava treba položiti sloj krovne ljepenke. Izvođač je prije izrade limarije dužan uzeti sve izmjere u naravi, a također je dužan prije početka montaže ispitati sve dijelove, gdje se imaju izvesti limarski radovi, te na eventualnu neispravnost istih upozoriti nadzornog organa, jer će se u protivnom naknadni popravci izvršiti na račun limarskih radova. Način izvedbe i ugradbe, te obračun u svemu prema postojećim normama za izvođenje završnih radova u građevinarstvu TU-XVII.
</t>
  </si>
  <si>
    <t xml:space="preserve">Ako je opis koje stavke izvođaču nejasan, treba pravovremeno prije predaje ponude tražiti objašnjenje od projektanta. Eventualne izmjene materijala, te način izvedbe tokom gradnje moraju se izvršiti isključivo pismenim dogovorom s projektantom i nadzornim inženjerom. Sve više radnje koje neće biti na taj način utvrđene neće se priznati u obračun.
</t>
  </si>
  <si>
    <t xml:space="preserve">Svi ostali materijali, koji nisu obuhvaćeni standardima, moraju imati ateste od za to ovlaštenih organizacija.
</t>
  </si>
  <si>
    <t xml:space="preserve">                                                           HRN C.C4.060 - 062,  120,  150</t>
  </si>
  <si>
    <t>limovi od aluminija ili aluminijskih legura HRN C.C4.020,  025,  030,  050,  051,</t>
  </si>
  <si>
    <t>bakreni lim HRN C.D4.500,  020</t>
  </si>
  <si>
    <t>olovni lim HRN C.E4.040</t>
  </si>
  <si>
    <t>pocinčani lim HRN C.B4.081, HRN C.E4.020</t>
  </si>
  <si>
    <t>čelični lim HRN C.B4.011,  017,  030,  110,  113</t>
  </si>
  <si>
    <t xml:space="preserve">Sve limarske radove izvesti točno prema opisu u troškovniku, tamo gdje je to projektom predviđeno. Materijali moraju zadovoljavati odgovarajuće propise i standarde:
</t>
  </si>
  <si>
    <t>OPĆI UVJETI LIMARSKI RADOVI</t>
  </si>
  <si>
    <t>Ugradbu treba vršiti tako, da se ne čini šteta na ostalom dijelu objekta.</t>
  </si>
  <si>
    <t>čišćenje objekta tokom gradnje i po završetku gradnje.</t>
  </si>
  <si>
    <t>sva potrebna bušenja i dubljenja kod raznih ugradbi,</t>
  </si>
  <si>
    <t>svu potrebnu skelu,</t>
  </si>
  <si>
    <t>izrada i postava drvenih podmetača potrebnih za ugradbu,</t>
  </si>
  <si>
    <t>sva potrebna bušenja i dubljenja,</t>
  </si>
  <si>
    <t xml:space="preserve">sav rad i transport, sav materijal (uključujući sav pomoćni materijal za ugradbe kao mort, ljepenka, skobe itd.),
</t>
  </si>
  <si>
    <t>Jedinična cijena za razne graditeljske radove treba sačinjavati:</t>
  </si>
  <si>
    <t>poduzimanje mjera po HTZ i drugim postojećim propisima.</t>
  </si>
  <si>
    <t xml:space="preserve">čišćenje prostorija po završenom radu sa odnosom šute, </t>
  </si>
  <si>
    <t xml:space="preserve">kvašenje i pačokiranje površine, gdje je to po gornjem opisu potrebno, izrada uzoraka od fasadne žbuke,
</t>
  </si>
  <si>
    <t>svu potrebnu skelu, bez obzira na vrstu i visinu,</t>
  </si>
  <si>
    <t>sav potreban rad uključujući prenose, alat i mašine, sav poteban materijal,</t>
  </si>
  <si>
    <t>Jedinična cijena kod žbukanja odnosno obrade fasade treba sadržavati:</t>
  </si>
  <si>
    <t>čišćenje prostorija i zidnih površina po završetku zidanja, žbuke sa odvozom otpada,</t>
  </si>
  <si>
    <t>zaštita zidova od utjecaja vrućine, hladnoće, atmosferskih nepogoda,</t>
  </si>
  <si>
    <t>potrebna oplata za zidarske svodove,</t>
  </si>
  <si>
    <t>svu potrebnu skelu, bez obzira na visinu i vrstu sa prolazima,</t>
  </si>
  <si>
    <t>sav rad, uključivo prijenos, alat i mašine,</t>
  </si>
  <si>
    <t>Jedinična cijena zidarskih radova mora sadržavati:</t>
  </si>
  <si>
    <t>Obračun za zidarske radove vrši se prema GN 301.</t>
  </si>
  <si>
    <t xml:space="preserve">U cijenu treba uračunati svu zidarsku pripomoć obrtnicima, instalaterima, nošenje izuzetno teških predmeta, pripomoć kod raznih ugradbi, te materijal za ugradbu. NAKNADNI TROŠKOVI NEĆE SE UVAŽITI.
</t>
  </si>
  <si>
    <t xml:space="preserve">Kod stavaka, gdje je uz ugradbu označena i dobava, istu treba uključiti, a također i eventualnu izradu pojedinih elemenata, koji se izvode na gradilištu i ugrađuju montažno.
</t>
  </si>
  <si>
    <t xml:space="preserve">Sve ugradbe izvesti točno po propisima i na mjestu označenom po projektu, a u vezi opisa pojedine stavke. Kod ugradbe doprozornika uključena je ugradba prozorskih klupčica, kutija za eslinger rolete, kutija za opruge kod eslingera, kutija za flos roletu i sl., dakle sve što ide uz doprozornik. Ovo se analogno odnosi i na druge ugradbe. 
</t>
  </si>
  <si>
    <t>Razni graditeljski radovi</t>
  </si>
  <si>
    <t xml:space="preserve">Žbukanje zidova u pogodno vrijeme i kad su zidovi  i stropovi potpuno suhi. Po velikoj zimi i vrućini treba izbjegavati žbukanje, jer tada može doći do smrzavanja odnosno pucanja uslijed sušenja. Prije žbukanja treba plohe dobro očistiti i navlažiti. Spojnice moraju biti udubljene cca 2 cm od plohe zida. 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(tipskih metalnih uglovnih profila), doprozornika i dovratnika. Svi uglovi  i sudari moraju biti oštro i ravno odrezani i pod ravnim kutem izvedeni, i ojačani tipskim kutnim metalnim profilima.
OBRAČUN SE VRŠI PO m2 STVARNO OŽBUKANE I IZVEDENE POVRŠINE BEZ DODATKA NA OBRADU OKO OTVORA,ŠPALETA, SKUČENOST PROSTORA I SL. isto je nužno ukalkulirati u jediničnu cijenu </t>
  </si>
  <si>
    <t>Žbukanje</t>
  </si>
  <si>
    <t xml:space="preserve">Kod izrade dimnjaka i  ventilacionih kanala treba se pridržavati uputstva i prospekata proizvođača montažnih elemenata u pogledu nosivosti, zidanja i termičkih vrijednosti.
</t>
  </si>
  <si>
    <t xml:space="preserve">Kod zidova debljine do 12 cm iznad vrata uključiti u jediničnu cijenu zida izradu i montažu armirano betonskih montažnih nadvoja. Pri obračunu količine svi otvori se odbijaju po zidarskim mjerama, uključujući armirano betonske nadvoje kod punog zida. Svježe zidove treba zaštititi od utjecaja visoke i niske temperature i atmosferskih nepogoda. Površine kod koji se samo naknadno obrađuju reške (fugiraju) treba pažljivo zidati  sa čistim licem i oštrobridom opekom.
</t>
  </si>
  <si>
    <t xml:space="preserve">Zidati treba u pravilnom vezu, u potpuno horizontalnim redovima debljine 1 cm ispunjenim mortom. Mort mora odgovarati točno omjerima po količinama materijala označenim u poziciji  N 301,1 prosječnih normi, a čvrstoća i kvaliteta mora odgovarati propisima HRN-i. Pijesak mora biti čist bez organskih primjesa. Cement za produžen i cementni mort mora odgovarati propisima HRN-i. Vapno treba biti dobro gašeno i odležano. Ukoliko se radi s hidratiziranim vapnom obavezno se držati upute proizvođača. Pri zidanju ostaviti sve otvore za kanale, instalacije i sl., a prema projektu.
</t>
  </si>
  <si>
    <t>Zidovi</t>
  </si>
  <si>
    <t>Norme za zidarski cement
HRN EN 413-1:2004 Zidarski cement – 1. dio: Sastav, specifikacije i kriteriji sukladnosti (EN 413-1:2004),
HRN EN 197-2:2004 Cement – 2. dio: Vrednovanje sukladnosti
HRN CR 14245:2004 Vodič za primjenu EN 197-2 »Vrednovanje sukladnosti«
HRN EN 13279-1:2006 Veziva i žbuke na osnovi gipsa – 1. dio: Definicije i zahtjevi (EN 13279-1:2005)</t>
  </si>
  <si>
    <t>Norme za građevno vapno
HRN EN 459-1:2004 Građevno vapno – 1. dio: Definicije, specifikacije i kriteriji sukladnosti (EN 459-1:2001 + AC:2002)
HRN EN 459-3:2004 Građevno vapno – 3. dio: Vrednovanje sukladnosti (EN 459-3:2001 + AC:2002)</t>
  </si>
  <si>
    <t>Norme za mort
HRN EN 998-2:2003 Specifikacije morta za ziđe – 2. dio: Mort za ziđe (EN 998-2:2003)
HRN CEN/TR 15225:2006 Smjernice za tvorničku kontrolu proizvodnje za označavanje oznakom CE (potvrđivanje sukladnosti 2+) za projektirane mortove (CEN/TR 15225:2005)
HRN EN 13501-1:2002 Razredba građevnih proizvoda i građevnih elemenata prema ponašanju u požaru – 1. dio: Razredba prema rezultatima ispitivanja reakcije na požar (EN 13501-1:2002)</t>
  </si>
  <si>
    <t>Norme za zidne elemente
HRN EN 771-1:2005 Specifikacije za zidne elemente – 1. dio: Opečni zidni elementi (EN 771-1:2003+A1:2005)
HRN EN 771-2:2005 Specifikacije za zidne elemente – 2. dio: Vapnenosilikatni zidni elementi (EN 771-2:2003+A1:2005)
HRN EN 771-3:2005 Specifikacije za zidne elemente – 3. dio: Betonski zidni elementi (gusti i lagani agregat) (EN 771-3:2003+A1:2005)
HRN EN 771-4:2004 Specifikacije za zidne elemente – 4. dio: Zidni elementi od porastoga betona (EN 771-4:2003)
HRN EN 771-4/A1:2005 Specifikacije za zidne elemente – 4. dio: Zidni elementi od porastoga betona (EN 771-4:2003/A1:2005)
HRN EN 771-5:2005 Specifikacije za zidne elemente – 5. dio: Zidni elementi od umjetnoga kamena (EN 771-5:2003+A1:2005)
HRN EN 771-6:2006 Specifikacije za zidne elemente – 6. dio: Zidni elementi od prirodnoga kamena (EN 771-6:2005)
HRN EN 12859:2002 Gipsani blokovi – Definicije, zahtjevi i ispitne metode (EN 12859:2001)</t>
  </si>
  <si>
    <t>Tehnička svojstva zidnog elementa moraju ispunjavati opće i posebne zahtjeve bitne za krajnju namjenu zidnog elementa i moraju biti specificirana prema normama niza HRN EN 771, normama na koje taj niz upućuje i odredbama ovoga Priloga.</t>
  </si>
  <si>
    <t>Specificirana svojstva, dokazivanje uporabljivosti, potvrđivanje sukladnosti, označavanje građevnih proizvoda, ispitivanje građevnih proizvoda, posebnosti pri projektiranju i građenju građevina koje sadrže zidanu konstrukciju te potrebni kontrolni postupci kao i drugi zahtjevi koje moraju ispunjavati građevni proizvodi određeni su u prilozima Tehničkog propisa za zidane konstrukcije.</t>
  </si>
  <si>
    <t>Mort, beton, armatura, zidni elementi od prirodnog kamena i predgotovljeno ziđe izrađeni na gradilištu za potrebe toga gradilišta, smiju se ugraditi u zidanu konstrukciju ako je za njih dokazana uporabljivost u skladu s projektom zidane konstrukcije i ovim Propisom.</t>
  </si>
  <si>
    <t>Građevni proizvod proizveden u proizvodnom pogonu (tvornici) izvan gradilišta smije se ugraditi u zidanu konstrukciju ako ispunjava zahtjeve propisane ovim Propisom i ako je za njega izdana isprava o sukladnosti u skladu s odredbama posebnog propisa.</t>
  </si>
  <si>
    <t xml:space="preserve">Zidarske radove izvesti u svemu prema projektu, Tehničkom propisu za zidane konstrukcije i troškovniku. Ako koja stavka nije izvođaču jasna, mora prije ponude tražiti objašnjenje od projektanta. Eventualne izmjene materijala, te način izvedbe tokom gradnje mora se izvršiti isključivo pismenim dogovorom s projektantom i nadzornim organom. Sve više radnje koje neće biti na taj način utvrđene, neće se priznati u obračun. Ukoliko se traži stavkom troškovnika materijal koji nije obuhvaćen propisima, ima se u svemu izvesti prema uputama proizviđača, te garancijom i atestima od za to ovlaštenih ustanova (IGH ili sl.).
</t>
  </si>
  <si>
    <t>OPĆI UVJETI ZIDARSKI RADOVI</t>
  </si>
  <si>
    <t>Ovi uvjeti mijenjaju se ili dopunjuju pojedinim stavkama troškovnika.</t>
  </si>
  <si>
    <r>
      <t>Obračun radova vrši se po m</t>
    </r>
    <r>
      <rPr>
        <i/>
        <vertAlign val="superscript"/>
        <sz val="10"/>
        <rFont val="Arial"/>
        <family val="2"/>
        <charset val="238"/>
      </rPr>
      <t>2</t>
    </r>
    <r>
      <rPr>
        <i/>
        <sz val="10"/>
        <rFont val="Arial"/>
        <family val="2"/>
        <charset val="238"/>
      </rPr>
      <t xml:space="preserve"> površine.</t>
    </r>
  </si>
  <si>
    <t xml:space="preserve">Termoizolacija se izvodi od materijala koji imaju osobine da slabo provode toplinu (proračunom je određena vrijednost toplinske izolacije). Izvode se prema opisu troškovnika, kvalitetno i prema HRN-a, te tehničkim propisima  za toplinsku i zvučnu izolaciju. 
</t>
  </si>
  <si>
    <t>c) TERMOIZOLACIJA</t>
  </si>
  <si>
    <t xml:space="preserve">Parna brana je visoko vrijedni izolacioni sloj koji se postavlja ispod toplinske izolacije. 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suhu vremenu. Za parnu branu primjenjuju se metalne (aluminijske) folije, a kao sredstvo za ljepljenje bitumen i bitumenska masa u vrućem stanju. 
</t>
  </si>
  <si>
    <t>b) PARNA BRANA</t>
  </si>
  <si>
    <t xml:space="preserve">Za atestirane detalje proizvođača nije potrebna suglasnost projektanta. Ovo se ne odnosi na posebne detalje koji su projektom već definirani. Primopredaja radova prema investoru će se izvršiti isključivo nakon pregleda izvedenih radova od strane izvođača, investitora i predstavnika proizvođača hidroizolacija.
</t>
  </si>
  <si>
    <t xml:space="preserve">Prije montaže na gradilištu, izvođač je dužan izgraditi razradu detalja izrade (ugradbe) pridržavajući se pravila dobrog zanata i uvažavajući klimatske uvjete, te dati ih na ovjeru projektantu i nadzoru.
</t>
  </si>
  <si>
    <t xml:space="preserve">Obračun po m2 uključivo sve tipske prefabricirane komade izolacije (spojevi uglova, bridovi, špicevi, tipski završni profili,kaširane limove) i spajanje na vertikalnu izolaciju opšava zidova.U jediničnu cijenu ukalkulirati izradu dilatacija i brtvljenje oko prodora instalacija,cijevi i sl. na mjestima gdje je to potrebno.OBRAČUN ISKLJUČIVO PO TLOCRTNOJ POVRŠINI  IZVEDENE HIDROIZOLACIJE  </t>
  </si>
  <si>
    <t xml:space="preserve">JEDINIČNA CIJENA
Dodatno, u jediničnu cijenu svake stavke treba biti ukalkulirano:
. uzimanje mjera na licu mjesta, krojenje i rezanje materijala
. izrada detalja izvedbe (ugradbe) i adekvatne radioničke dokumentacije pridržavajući se uputa proizvođača sustava i uvažavajući klimatske uvjete, te dostava na ovjeru projektantu i nadzoru u dva primjerka.
. izvedba svih opisanih slojeva hidroizolacije, toplinske izolacije kao i završnih slojeva ukoliko je tako specificirano.
. svi preklopi materijala i eventualni otpadni materijal za izvedbu u skladu s pravilima struke
. upotreba prefabriciranih elemenata za složene spojeve (uglove, bridove, vodolovna grla, prodore i slično) u svemu u skladu s odabranim sustavom izolacije.
. sav materijal i rad potreban za sva brtvljenja na mjestima spojeva i završetaka hidroizolacija, svi tipski završni profili
. kod izvođenja radova treba se pridržavati smjernica o primjeni propisanoj od strane proizvođača materijala. Kvaliteta ugrađene hidroizolacije dokazuje se ispitivanjem vodenom probom u trajanju najmanje 48 sati, a predaje upisom u građevinski dnevnik.
</t>
  </si>
  <si>
    <t>Obračun se vrši prema postojećim normama GN 301,5.</t>
  </si>
  <si>
    <t xml:space="preserve">Ukoliko se naknadno ustanovi tj. pojavi vlaga zbog nesolidne izvedbe, ne dozvoljava se krpanje, već se mora ponovno izvesti izolacija cijele površine na trošak izvođača. Izvođač mora u tom slučaju o svom trošku izvesti i popravak pojedinih građevinskih i obrtničkih radova, koji se prilikom ponovne izvedbe oštete ili moraju demontirati.
</t>
  </si>
  <si>
    <t xml:space="preserve">Ukoliko je opis neke stavke izvođaču nejasan, treba pravovremeno, prije predaje ponude, tražiti objašnjenje od provoditelja natječaja. Eventualne izmjene materijala, te način izvedbe tijekom gradnje moraju se ishoditi isključivo pismenim dogovorom s projektantom i nadzornom službom. Sve ostale radnje, koje neće biti na taj način utvrđene, neće se priznati u obračunu.
Ukoliko se stavkom troškovnika traži materijal koji nije obuhvaćen propisima, treba se u svemu izvesti prema uputama proizvođača, te garancijom i atestima za to ovlaštenih ustanova (IGH, Cemtra, ZIK, sl.).
Prije početka radova izvođač mora ustanoviti kvalitetu podloge na koju se izvodi izolacija i ako nije pogodna za rad mora o tome, na osnovu relevantnih dokaza, pismeno izvjestiti nadzornog inženjera kako bi se podloga na vrijeme popravila i pripremila za izvođenje izolacije.
Podloga za hidroizolaciju mora biti:
- homogena,
- suha i čvrsta,
- ravna i bez šupljina na površini
- bez ulja i masti, prašine, rastresitih ili nevezanih čestica
- izvedena u projektiranim padovima.
Onečišćene podloge (zemlja, ulje i sl.) čistiti mehanički i vodom te sredstvima koja propisuje i dozvoljava proizvođač izolacijskog sustava.
</t>
  </si>
  <si>
    <t>HRN A.3.026, 027 bitumenizirana juta</t>
  </si>
  <si>
    <t>HRN U.M³.232, 221, 226 ljepenka</t>
  </si>
  <si>
    <t>HRN U.M³.224, 244 vrući premaz</t>
  </si>
  <si>
    <t xml:space="preserve">HRN U.M³.240 hladni premaz </t>
  </si>
  <si>
    <t>HRN  EN ISO 527-1</t>
  </si>
  <si>
    <t>HRN EN 13956</t>
  </si>
  <si>
    <t xml:space="preserve">Poliesterom pojacana, višeslojna sinteticka krovna membrana bazirana na polivinil kloridu (PVC);TPO
</t>
  </si>
  <si>
    <t>Sintetičke hidroizolacije</t>
  </si>
  <si>
    <t>HRN EN ISO 1716:2002</t>
  </si>
  <si>
    <t>HRN EN ISO 1182:2002</t>
  </si>
  <si>
    <t>HRN EN 13984:2005/A1:2008</t>
  </si>
  <si>
    <t>HRN EN 13984:2005</t>
  </si>
  <si>
    <t>HRN EN 13969:2005/A1:2008</t>
  </si>
  <si>
    <t>HRN EN 13969:2005</t>
  </si>
  <si>
    <t>HRN EN 13967:2005/A1:2008</t>
  </si>
  <si>
    <t>HRN EN 13967:2005</t>
  </si>
  <si>
    <t>HRN EN 13956:2005/Ispr.1:2008</t>
  </si>
  <si>
    <t>HRN EN 13956:2005</t>
  </si>
  <si>
    <t>HRN EN 13859-2:2008</t>
  </si>
  <si>
    <t>HRN EN 13859-1:2008</t>
  </si>
  <si>
    <t>HRN EN 13707:2005/A1:2008</t>
  </si>
  <si>
    <t>HRN EN 13707:2005</t>
  </si>
  <si>
    <t>Tehnički propis o građevnim proizvodima -savitljive hidroizolacijske trake</t>
  </si>
  <si>
    <t>HRN EN 13924:2007</t>
  </si>
  <si>
    <t>HRN EN 13305:2009</t>
  </si>
  <si>
    <t>HRN EN 12591:2009</t>
  </si>
  <si>
    <t>Tehnički propis o građevnim proizvodima -bitumen i bitumenska veziva</t>
  </si>
  <si>
    <t xml:space="preserve">Sav materijal za izolaciju treba biti prvorazredne kvalitete, te odgovarati postojećim propisima i standardima HRN-i.
</t>
  </si>
  <si>
    <t xml:space="preserve">Kod višeslojnih izolacijskih sustava krovova posebnu pažnju obratiti na dinamiku izvođenja radova u skladu s vremenskim uvjetima. 
Sloj toplinske izolacije između parne brane i hidroizolacije mora biti apsolutno suh u svim fazama izvedbe. 
Ukoliko tijekom izvedbe slojeva krova ili pri ispitivanju vodonepropusnosti dođe do vlaženja slojeva toplinske izolacije ispod hidroizolacije, neovisno o uzroku vlaženja potrebno je podignuti sloj hidroizolacije te prosušiti sve podložne slojeve, kao i betonsku konstrukciju ispod parne brane do postotka vlažnosti propisanog od strane proizvođača sustava. 
Sve ploče toplinske izolacije na kojima se tada utvrde oštećenja nastala kao posljedica utjecaja vlage potrebno je odstraniti i u cjelosti zamjeniti neoštećenim suhim pločama.
</t>
  </si>
  <si>
    <t xml:space="preserve">Ukoliko se tijekom ispitivanja vodonepropusnosti ("vodene probe") ili naknadno ustanovi tj. pojavi voda i/ili vlaga zbog nesolidne izvedbe, potrebno je detaljno pregledati površinu cijelog krova te ustanoviti oštećenja hidroizolacije i eventualno slojeva toplinske izolacije i parne brane, i popraviti ih u skladu s uputama izolacijskog sustava na trošak izvođača. 
Izvođač mora, u tom slučaju, o svom trošku izvesti popravak pojedinih građevinskih i obrtničkih radova, koji se prilikom ponovne izvedbe oštete ili moraju demontirati.
</t>
  </si>
  <si>
    <t xml:space="preserve">Onečišćene podloge (zemlja, ulje i sl.) čistiti mehanički i vodom te  sredstvima koja propisuje i dozvoljava proizvođač premaza. Broj i način nanošenja premaza prema uputstvu proizvođača. 
</t>
  </si>
  <si>
    <t xml:space="preserve">Hidroizolacije na bazi penetrirajućih premaza (silikatne osnove) se nanose neposredno nakon vezanja betona, odnosno nakon skidanja oplate. Vlažnost i kiselost betonske podloge treba izvođač provjeriti i uskladiti recepturu premaza sa kvalitetom podloge.
</t>
  </si>
  <si>
    <t xml:space="preserve">U slučaju požara gasiti pijeskom ili pjenom. Gašenje vodom je opasno zbog prskanja vrelog bitumena.
</t>
  </si>
  <si>
    <t xml:space="preserve">Posebnu pažnju obratiti na zaštitu od požara kod rada sa vrućim bitumenskim premazima i varenim ljepenkama zbog velike zapaljivosti bitumena. 
</t>
  </si>
  <si>
    <t xml:space="preserve">Izolacija treba prilegnuti na podlogu ravno cijelom površinom, bez nabora i mjehura. </t>
  </si>
  <si>
    <t xml:space="preserve">Spoj horizontalne i vertikalne izolacije izvoditi sa bubrećim kitovima, nakon izvedbe oba premaza.
</t>
  </si>
  <si>
    <t xml:space="preserve">Podloga za hidroizolaciju mora biti suha i čvrsta, ravna i bez šupljina na površini, te očišćena od prašine i raznih nečistoća. Svi spojevi izvedeni su potrebnim preklopima min. 10 cm, pažljivo izvesti savijanje, jer će sve manjkavosti i štete nastale lošom izvedbom izolacije snositi izvođač.
</t>
  </si>
  <si>
    <t xml:space="preserve">Izolacionu ljepenku i ostale vrste izolacionih traka i ploča treba rezati ravno i pravokutno. Zaderani i krpani komadi isključeni su od ugradbe. Svi preklopi moraju biti najmanje 10 cm široki i ljepljeni bitumenom - hladnom bitumenskom masom ili vrućom bitumenskom izolacionom masom.  Kod polaganja dvaju ili više slojeva izolacionih traka ili ploča preklopi ne smiju ležati jedan na drugom, već moraju biti pomaknuti.
</t>
  </si>
  <si>
    <t xml:space="preserve">Hidroizolacije na bazi bitumena izvode se kao premazi i kao premazi sa izolacionim trakama (ljepenkama).
</t>
  </si>
  <si>
    <t xml:space="preserve">Sve hidroizolaterske radove treba izvesti solidno i stručno prema važećim propisima i pravilima dobrog zanata. 
</t>
  </si>
  <si>
    <t xml:space="preserve">IZVEDBA
Pažljivo izvesti savijanje traka i preklope prema uputama proizvođača, uz upotrebu tipskih prefabriciranih elemenata za složene spojeve (uglove, bridove, vodolovna grla, prodore i slično), jer će sve manjkavosti i štete nastale lošom izvedbom izolacije snositi izvođač.
Podloga mora biti očišćena od prašine, mora biti ravna i potpuno suha. Max. vlažnost podloge je 4% površinski. Parna brana se može polagati samo po suhom vremenu. Za parnu branu primjenjuju se folije kompatibilne s odabranim izolacijskim sustavom, a u skladu s uputama proizvođača sustava.
Slojevi izolacije polažu se samo na posve suhu i očišćenu podlogu kod temperature koju definira proizvođač i materijal odabrenog izolacijskog sistema. Izolacijske trake moraju prilegnuti na podlogu ravno cijelom površinom, bez nabora i mjehura. 
Posebnu pažnju obratiti na zaštitu od požara kod rada s vrućim bitumenskim premazima i varenim ljepenkama zbog velike zapaljivosti bitumena.
U slučaju požara gasiti pijeskom ili pjenom. Gašenje vodom je opasno zbog prskanja vrelog bitumena.
</t>
  </si>
  <si>
    <t xml:space="preserve">Ovi radovi obuhvaćaju hidroizolaciju i toplinsku izolaciju podova, zidova i krova. Ostale izolacije obuhvaćene su u pokrivačkim, limarskim i drugim zanatskim radovima.
</t>
  </si>
  <si>
    <t>a) HIDROIZOLACIJE</t>
  </si>
  <si>
    <t>OPĆI UVJETI IZOLATERSKI RADOVI</t>
  </si>
  <si>
    <t>dvokratni osnovni premaz prema uvjetima antikorozivne zaštite u radioni, te kompletnu zaštitu sa završnom obradom ličenjem, ako je to u stavci određeno, plastificiranjem ili eloksiranjem aluminijskih profila,</t>
  </si>
  <si>
    <t>troškove radne snage za kompletan rad opisan u troškovniku,</t>
  </si>
  <si>
    <t>U cijeni stavke je uključen sav spojni materijal, varovi i obrada varova.</t>
  </si>
  <si>
    <t>OBRAČUN PO KG UGRAČENOG ČELIKA BEZ DODATKA NA ZAVAR I SPOJNI PRIBOR, ISTO JE POTREBNO UKALKULIRATI U JEDINIČNU CIJENU PRILIKOM NUĐENJA</t>
  </si>
  <si>
    <t xml:space="preserve">Za sve radove predviđene troškovnikom izvoditelj je dužan pribaviti ateste od odgovarajućih instituta, za kvalitetu materijala, površinske obrade, ispravnost po izvoditelju predloženih detalja kao i antikorozivne zaštite.
</t>
  </si>
  <si>
    <t xml:space="preserve">Svi tehnički i fizikalni zahtjevi trebaju biti ispunjeni prema propisima ili prema posebnim traženjima projektanta. Konstrukcija mora biti dimenzionirana tako da sigurno prihvaća opterećenja i funkcije elemenata. Sve nosive dijelove statički provjeriti. Prije početka izrade obavezno se moraju uskladiti mjere i količine na objektu.
</t>
  </si>
  <si>
    <t xml:space="preserve">Kod prozorski i sl. profila specijalni umeci od tvrdog PVC materijala moraju osigurati  kvalitetu i čisti sastav dvaju profila. Sva vanjska bravarija mora biti brtvena protiv prodora kiše i prašine.
</t>
  </si>
  <si>
    <t xml:space="preserve">Željezni dijelovi spajaju se varenjem. Kod spajanja vijcima svaki sastav mora biti tako konstruktivno riješen da na vanjskim površinama nema vidljivih vijaka.Spojevi se ne obračunavaju posebno,već su ukalkulirani u jediničnu cijenu.
</t>
  </si>
  <si>
    <t xml:space="preserve">Sav okov treba biti kvalitetne izvedbe i sa detaljima bravarije predočen nadzornom inženjeru i projektantu na odobrenje a sadržan je u cijeni. 
</t>
  </si>
  <si>
    <t xml:space="preserve">Svi definitivno izrađeni izvedbeni nacrti i detalji, predočeni uzorci okova odnosno predočeni prospekti tipiziranih elemenata moraju biti potpisani od strane projektanta i investitora.
</t>
  </si>
  <si>
    <t xml:space="preserve">Izvoditelj je obavezan po sklapanju ugovora a prije početka proizvodnje, dostaviti naručitelju izvedbene i radioničke nacrte i detalje, da zajedno s projektantom i investitorom izvrši pregled istih i njihovo usklađivanje sa ostalim građevinskim i građevinsko-obrtničkim  i instalaterskim radovima.
</t>
  </si>
  <si>
    <t>Izrada</t>
  </si>
  <si>
    <t xml:space="preserve">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 Sva bravarija mora prije otpreme na gradilište biti pjeskarena i ličena pravim temeljnim slojem, ili pocinčana ukoliko je tako u stavci definirano.
</t>
  </si>
  <si>
    <t>Površinska obrada</t>
  </si>
  <si>
    <t>ispitivanje vratiju prema standardnom razvoju požara   HRN U.J1.160</t>
  </si>
  <si>
    <t>okov za vrata I prozore                                             HRN M.K3.032</t>
  </si>
  <si>
    <t>profili od aluminija                                                    HRN C.C3.020</t>
  </si>
  <si>
    <t>rebrasti limovi od aluminija                                        HRN C.C4.060</t>
  </si>
  <si>
    <t>čelični limovi                                                            HRN C.B4.110, 111, 112</t>
  </si>
  <si>
    <t>profilno željezo                                                         HRN C.B0.500</t>
  </si>
  <si>
    <t>okruglo željezo                                                         HRN C.G6.020</t>
  </si>
  <si>
    <t>plosno željezo                                                          HRN C.B4.025</t>
  </si>
  <si>
    <t>kvadratno željezo                                                      HRN C.B4.024</t>
  </si>
  <si>
    <t>Sav materijal koji se upotrebljava za izradu bravarskih radova mora odgovarati važećim standardima.</t>
  </si>
  <si>
    <t xml:space="preserve">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
</t>
  </si>
  <si>
    <t xml:space="preserve">Ako je pojedinom stavkom traženo, izvođač treba ponuditi kompletnu cijenu proizvoda, tj. kompletnu izvedbu bravarije, ličenje, ustakljenje te drvene ili druge ispune ako je isto u dotičnoj poziciji traženo. 
</t>
  </si>
  <si>
    <t xml:space="preserve">Prije početka izrade obavezno se moraju uskladiti mjere i količine na objektu s onima u projektima.
</t>
  </si>
  <si>
    <t xml:space="preserve">Izvođač je dužan uzeti na gradilištu sve mjere otvora u koje se treba ugraditi bravarija te nakon toga pristupiti izradi iste.
</t>
  </si>
  <si>
    <t xml:space="preserve">Vlastita konstruktivna rješenja i posebnost načina ugradnje, opšavni profili i predloženi okov prije ugovaranja ponuđač će usuglasiti sa zahtjevima projektanta.
</t>
  </si>
  <si>
    <t xml:space="preserve">Svi bravarski radovi i čelične konstrukcije moraju se izvesti prema nacrtima, opisu troškovnika i uputama projektanta ili nadzornog inženjera.
</t>
  </si>
  <si>
    <t>Bravarski radovi</t>
  </si>
  <si>
    <t xml:space="preserve">Svi radovi moraju biti izrađeni u skladu sa zahtjevima važećih standarda i u skladu sa uzancama zanata u građevinarstvu, te prema Pravilniku o tehničkim mjerama i uvjetima za završne radove u zgradarstvu, Službeni list 49/70 i prema podacima iz projekta.
</t>
  </si>
  <si>
    <t>OPĆI UVJETI ČELIČNE KONSTRUKCIJE / BRAVARSKI RADOVI</t>
  </si>
  <si>
    <t>čišćenje nakon završetka radova,</t>
  </si>
  <si>
    <t>sve horizontalne i vertikalne transporte do mjesta,</t>
  </si>
  <si>
    <t>troškove radne snage za kompletan rad, opisan u troškovniku,</t>
  </si>
  <si>
    <t>sav materijal, uključujući i pomoćni ,alat i uskladištenje,</t>
  </si>
  <si>
    <t>doprema na gradilište gotove armature iz centralnog savijališta,</t>
  </si>
  <si>
    <t>dopremu betonskog željeza na savijalište,</t>
  </si>
  <si>
    <t>Jedinična cijena treba obuhvatiti:</t>
  </si>
  <si>
    <t>Jedinična cijena armature je fiksa za svo vrijeme trajanja projekta i nemože se mijenjati neovisno dali je isto naknadno naručeno.Obračun isključivo po kg ugrađene neto armature</t>
  </si>
  <si>
    <t xml:space="preserve">Obračun ugrađene armature  se vrši  po grupama(mreže,šipke) u kg .Obračun se vrši prema neto ugrađenoj armaturi,otpad prilikom izrade armature se ne obračunava,već treba biti ukalkuliran u jediničnu cijenu.Ukoliko se izvrši preračunavanje na objektu se može uz suglasnost statičara izvršiti i zamjena vrsta čelika i profila ovisno o mogućnostima dobave.
</t>
  </si>
  <si>
    <t>OBRAČUN</t>
  </si>
  <si>
    <t xml:space="preserve">Ugrađivati se mora armatura po profilima iz statičkog računa, odnosno nacrta savijanja. Ukoliko je onemogućena nabava određenih profila, zamjena se vrši uz odobrenje statičara. Postavljenu armaturu prije betoniranja dužan je osim rukovodioca radilišta i nadzornog organa pregledati statičar, te o tome izvršiti upis u građevinski dnevnik. Mjerodavni podatak za marku betona koji treba upotrijebiti na pojedinim dijelovima konstrukcije uzima se iz statičkog računa i nacrta savijanja armature. 
</t>
  </si>
  <si>
    <t xml:space="preserve">Prilikom transportiranja armature sa centralnog savijališta na gradilište, armatura mora biti vezana i označena po stavkama i pozicijama iz nacrta savijanja armature. Armatura mora biti na gradilištu pregledno deponirana. Prije polaganja, armatura mora biti očišćena od rđe i nečistoće. Žica, plastični ili drugi ulošci koji se polažu radi održavanja razmaka, kao i sav drugi pomoćni materijal, uključeni su u jediničnu cijenu.
</t>
  </si>
  <si>
    <t xml:space="preserve">Pregled armature i varova sa eventualnim čišćenjem armature i sortiranjem. Sječenje armature na radilištu, transport do gradilišta, te horizontalni i vertikalni transport do mjesta ugradnje ili sječenje armature u centralnom savijalištu. Postavljanje armature točno prema armaturnim nacrtima s podmetanjem podložaka kako bi se osigurala potrebna udaljenost između armature i oplate. Pregled armature od strane izvođača i nadzornog organa prije početka betoniranja.
</t>
  </si>
  <si>
    <t>MREŽASTA ARMATURA</t>
  </si>
  <si>
    <t xml:space="preserve">Pregled armature prije savijanja i siječenja sa čišćenjem i sortiranjem. Sječenje, ravnanje i savijanje armature na gradilištu sa horizontalnim transportom do mjesta savijanja, te horizontalnim i vertikalnim transportom do mjesta vezanja i ugradnje, ili savijanja u centralnom savijalištu, transport do radilišta, te horizontalni i vertikalni transport već gotovog savijenog čelika do mjesta vezanja i ugradnje. Postavljanje i vezanje armature točno prema armaturnim nacrtima, s podmetanjem podložaka, kako bi se osigurala potrebna udaljenost između armature i oplate. Pregled armature od strane izvođača i nadzornog organa prije početka betoniranja.
</t>
  </si>
  <si>
    <t>Svaka stavka armiračkih radova sadrži:</t>
  </si>
  <si>
    <t xml:space="preserve">Sve vrste čelika moraju imati kompaktnu homogenu strukturu. Ne smiju imati nikakvih nedostataka, mjehura, pukotina ili vanjskih oštećenja. Prilikom isporuke betonskog čelika isporučilac je dužan dostaviti ateste koji garantiraju vlačnu čvrstoću i varivost čelika. Na gradilištu odgovorna osoba mora obratiti naročitu pažnju na evantualne pukotine, jača vanjska oštećenja, slojeve rđe, prljavštine i čvrstoću, te dati nalog da se takav betonski čelik odstrani ili očisti.
</t>
  </si>
  <si>
    <t>Armatura izrađena prema projektu betonske konstrukcije, smije se ugraditi u betonsku konstrukciju ako je sukladnost čelika, zavara, mehaničkih spojeva, spojki, cijevi za natege i morta za injektiranje potvrđena ili ispitana na način određen Tehničkim propisom za betonske konstrukcije.</t>
  </si>
  <si>
    <t>Armatura proizvedena prema tehničkoj specifikaciji označava se na otpremnici i na ambalaži prema odredbama te specifikacije. Oznaka mora obvezno sadržavati upućivanje na tu specifikaciju, a u skladu s posebnim propisom.</t>
  </si>
  <si>
    <t>Potvrđivanje sukladnosti čelika za armiranje provodi se prema sustavu ocjenjivanja sukladnosti 1+ te primjerenim postupcima i kriterijima ocjenjivanja sukladnosti norme HRN EN 10080, za sva svojstva čelika za armiranje određena normama niza HRN 1130, koja svojstva se odnose na ispunjavanje bitnog zahtjeva mehaničke otpornosti i stabilnosti građevine te otpornosti na požar, te odredbama ovoga Priloga i posebnog propisa.</t>
  </si>
  <si>
    <t>Dokazivanje uporabljivosti armature izrađene prema projektu betonske konstrukcije provodi se prema tom projektu te odredbama ovoga Priloga, i uključuje zahtjeve za:
a) izvođačevom kontrolom izrade i ispitivanja armature, te
b) nadzorom proizvodnog pogona i nadzorom izvođačeve kontrole izrade armature, na način primjeren postizanju tehničkih svojstava betonske konstrukcije u skladu s ovim Propisom.</t>
  </si>
  <si>
    <t>Tehnička svojstva armature moraju ispunjavati opće i posebne zahtjeve bitne za krajnju namjenu i ovisno o vrsti čelika moraju biti specificirana prema normama navedenim u točki B.7. Tehničkog propisa za betonske konstrukcije i normama na koje te norme upućuju.</t>
  </si>
  <si>
    <t>OPĆI UVJETI ARMIRAČKI RADOVI</t>
  </si>
  <si>
    <t>eventualni statički obračun za skele i druge pomoćne konstrukcije.Program i plan oplate i podupiranja</t>
  </si>
  <si>
    <t>sva potrebna ispitivanja i atesti,</t>
  </si>
  <si>
    <t>zaštita izvedenih radova,</t>
  </si>
  <si>
    <t>U cijenu uključiti izvedbu svih prodora za prolaz instalacija kroz ploču - prema oplatnom planu i projektu gdje je vidljiva trasa instalacija</t>
  </si>
  <si>
    <t>uklanjanje svih ostataka i čišćenje,</t>
  </si>
  <si>
    <t>poravak štete na svojim i tuđim radovima,</t>
  </si>
  <si>
    <t>zaštita na radu,</t>
  </si>
  <si>
    <t>sav rad,i sva podupiranja</t>
  </si>
  <si>
    <t>dobava materijala, te unutarnji transport do mjesta ugradbe,</t>
  </si>
  <si>
    <t>sav materijal, uključujući pomoćni i vezni (čel.papuče, vijci itd.),</t>
  </si>
  <si>
    <t>uzimanje mjera za izvođenje i obračune,</t>
  </si>
  <si>
    <t>Obračun i detaljan opis radova prema tehničkim uvjetima za tesarske radove(DIN norme). Ovi uvjeti se mijenjaju ili dopunjuju pojedinim stavkama troškovnika.</t>
  </si>
  <si>
    <t>Oplata vijenaca obračunava se po m2 vijenca mjereno po vanjskom rubu.</t>
  </si>
  <si>
    <t>Oplata serklaža obračunava se po m² stvarno izvedene površine oplate, mjerena svaka strana posebno.</t>
  </si>
  <si>
    <t>Oplata temelja i nadtemeljnih zidova, zidova, stupova, šahtova, kanala, zidova balkonskih ograda, greda, stepeništa, obračunava se po m² razvijene površine izvedene konstrukcije. Otvori se odbijaju u potpunosti,te se računaju špalete,niše oko otvora u m2 po jed.cijeni iz troškovničke stavke.</t>
  </si>
  <si>
    <t>NAČIN OBRAČUNA:</t>
  </si>
  <si>
    <t>čišćenje radnog mjesta i prijenos otpadaka na deponiju.</t>
  </si>
  <si>
    <t>odabiranje građe na deponiju,</t>
  </si>
  <si>
    <t>postavljanje, premještanje i skidanje pomoćnih pokretnih skela potrebnih za izradu oplate,</t>
  </si>
  <si>
    <t>radova po odredbama važećih propisa zaštite na radu,</t>
  </si>
  <si>
    <t>Izvedba svih pripremnih i pomoćnih radova kao:</t>
  </si>
  <si>
    <t>Čišćenje oplate i vađenje čavala, prijenos na deponiju i sortiranje.</t>
  </si>
  <si>
    <t>Skidanje oplate,</t>
  </si>
  <si>
    <t>Postava oplate na mjestu ugradbe sa podupiranjem i vezivanjem oplate,</t>
  </si>
  <si>
    <t>Ili izrada oplate na gradilištu i horizontalni i vertikalni prijenos od deponija do mjesta ugradbe, iIi izrada oplate na mjestu ugradbe i horizontalni i vertikalni prijenos od deponija do mjesta ugradbe,</t>
  </si>
  <si>
    <t xml:space="preserve">Izvedba oplate u radionici i prijevoz oplate iz radionice do deponija na gradilištu i horizontalni  i vertikalni  prijenos od deponija do mjesta ugradbe.
</t>
  </si>
  <si>
    <t xml:space="preserve">Izrađena oplata s podupiranjem, prije betoniranja mora biti od strane izvođača statički kontrolirana. Prije nego što se počne ugrađivati beton moraju se provjeriti dimenzije oplate i kakvoća njihove izvedbe, kao i čistoća i vlažnost oplate. Rezultati ispitivanja nivelete oplate, kao i zapisnik o prijemu tih konstrukcija, čuvaju se u evidenciji koja se prilikom primopredaje izgrađene građevine ustupa korisniku  te građevine. Premjeravanje i obračun izvršenih radova vršit će se prema "DIN normama".
</t>
  </si>
  <si>
    <t xml:space="preserve">Oplate moraju biti tako izvedene da se mogu skidati lako i bez oštećenja konstrukcija, sa svim njenim elementima, kao i slaganje i sortiranje građe na određenim mjestima. Također je uključeno i čišćenje dasaka, gredica, potpora i drugog, vađenje čavala, siječenje vezne žice, vađenje klanfi i zavrtanja, kao i čišćenje tih elemenata od eventualnih ostataka stvrdnutog betona.
</t>
  </si>
  <si>
    <t xml:space="preserve">Kod nastavljanja betoniranja po visini, prilikom postavljanja oplate za tu konstrukciju treba izvesti zaštitu površina betona već gotovih konstrukcija, od procjeđivanja cementnog mlijeka. Neposredno prije početka ugrađivanja betona oplata se mora očistiti.
</t>
  </si>
  <si>
    <t xml:space="preserve">Izvođač je dužan koristiti glatku oplatu za izradu betonskih elemenata (dio završnih betonskih površina se vrlo malo obrađuje).
</t>
  </si>
  <si>
    <t>Kad su u betonskim zidovima i drugim konstrukcijama predviđeni otvori i udubine za prolaz vodovodne i kanalizacione cijevi, cijevi centralnog loženja i slično, kao i dimovodne i ventilacione kanale i otvore, treba još prije betoniranja izvesti i postaviti cijevi većeg profila od prolazeće cijevi da se iste mogu provući kroz zid ili konstrukciju i propisno zabrtviti.</t>
  </si>
  <si>
    <t xml:space="preserve">Nadvišenja oplate ovise o građevini, njenoj namjeni i estetskom izgledu. Za manje noseće elemente, čija je slobodna dužina veća od 6,0 m¢, oplata se obično postavlja tako da se nakon  njezina opterećenja ostane nadvišenje veličine L/1000,  gdje je L - raspon elemenata. 
</t>
  </si>
  <si>
    <t xml:space="preserve">Za stupove kod kojih se površina neće naknadno obrađivati oplata se izvodi od glatkih šperploča s malom upotrebom, jer površina betona mora biti glatka i ravna. Okrugli stupovi izvode se u čeličnoj oplati. 
</t>
  </si>
  <si>
    <t xml:space="preserve">Za oplatu se ne smiju koristiti takvi  premazi koji se ne bi mogli oprati s gotovog betona ili bi nakon pranja ostale mrlje na tim površinama. Oplatu za betonske konstrukcije, čije će površine ostati vidljive, potrebno je izvesti u glatkoj  "Blažuj" blanjanoj ili profiliranoj oplati, a prema nacrtu.  Ako se u projektu traži blanjana oplata, onda treba koristiti daske istih širina, osim ako nije drugačije predviđeno s vidljivom strukturom drveta, a slaganje dasaka prema projektu ili uputama projektanta.
</t>
  </si>
  <si>
    <t xml:space="preserve">Oplate moraju biti stabilne, otporne i dovoljno poduprte da se ne bi izvijale ili propustile u bilo kojem pravcu. Moraju biti izrađene točno po mjerama označenim u crtežima plana oplate za pojedine dijelove konstrukcije koji će se betonirati sa svim potrebnim podupiračima. Unutarnje površine oplate moraju biti ravne, bilo da su horizontalne, vertikalne ili napregnute, prema tome kako je to u crtežima planova oplate predviđeno. Nastavci pojedinih dasaka ne smiju izlaziti iz ravnine, tako da nakon njihovog skidanja vidljive površine betona budu ravne i s oštrim rubovima, te da se osigura dobro brtvljenje i sprečavanje deformacije.
</t>
  </si>
  <si>
    <t xml:space="preserve">Za izradu oplate koristiti daske, gredice i letve od jelove rezane građe prema HRN D.C1.041. Korištenje građe dozvoljeno je više puta osim na onim dijelovima konstrukcije gdje se izričito traži glatka oplata. Sav materijal potreban za izradu oplate treba pravovremeno dostaviti na gradilište u dovoljnoj količini.
</t>
  </si>
  <si>
    <t xml:space="preserve">Oplata kao i razna razupiranja, moraju imati takvu sigurnost i krutost da bez slijegavanja i štetnih deformacija mogu primiti opterećenja i utjecaje koji nastaju za vrijeme izvedbe radova.
</t>
  </si>
  <si>
    <t xml:space="preserve">Oplate moraju biti izvedene točno po mjerama označenim u crtežima za konstrukcije koje će se betonirati. Izvedene oplate moraju biti sposobne da podnesu predviđeno opterećenje, moraju biti stabilne, otporne, ukrućene i dovoljno poduprte da se ne bi izvile, ili popustile u ma kom pravcu. Unutrašnja površina oplate mora biti čista i ravna. Oplate moraju biti izvedene tako da se mogu skidati lako, bez potresa i oštećenja konstrukcije. Za oplate greda, ploča, sitnorebričastih stropova, stubišta, likova, kupola, svodova sa visinom podupiranja iznad 8m,  primjeniti nosive skele koje se posebno neobračunavaju,već su uračunate u jediničnu cijenu.
</t>
  </si>
  <si>
    <t>OPLATE</t>
  </si>
  <si>
    <t>OPĆI UVJETI TESARSKI RADOVI</t>
  </si>
  <si>
    <t>Ukoliko postoji mogučnost postave mobilne betonare na samome gradilištu, svaki trošak atestiranja,certificiranja, montaže i demontaže ili sl.svaki trošak snosi isključivo izvođač.</t>
  </si>
  <si>
    <t xml:space="preserve">U obračunu betonskih i armiranobetonskih radova ulazi nabava komponenata i spravljanje betona, transport, ugradba, zaštita i njega ugrađenog betona, sve pripremne i međufaze rada potrebne za korektno dovršenje stavke prema pravilima struke i važećim propisima bez obzira da li je sve to napomenuto u pojedinoj stavci, sav potreban spojni i pričvrsni materijal, uredno izvedeni međusobni spojevi pojedinih stavaka unutar ove grupe radova ili raznovrsnih grupa radova te izvedba u skladu s izvedbenim nacrtima, planovima oplate i dodatnoj uputi projektanata. 
</t>
  </si>
  <si>
    <t>* troškove atesta
* sve troškove oko redovitog ili izvanrednog ispitivanja kvalitete betona.</t>
  </si>
  <si>
    <t>* troškove zaštite na radu</t>
  </si>
  <si>
    <t>* svu štetu kao i troškove popravka kao posljedica nepažnje u toku izvedbe</t>
  </si>
  <si>
    <t>* čišćenje nakon završetka svih radova</t>
  </si>
  <si>
    <t>* njegu ugrađenog betona</t>
  </si>
  <si>
    <t>* ispitivanje materijala sa predočenjem atesta</t>
  </si>
  <si>
    <t>* uzimanje potrebnih uzoraka</t>
  </si>
  <si>
    <t>* potrebnu oplatu i radnu skelu ( izuzev fasadne skele )</t>
  </si>
  <si>
    <t xml:space="preserve">* ugradba u konstrukciju sa svim potrebnim horizontalnim i vertikalnim transportima </t>
  </si>
  <si>
    <t>* dostava na gradilište</t>
  </si>
  <si>
    <t>* izvedba betonske mase u betonari</t>
  </si>
  <si>
    <t>* uzimanje izmjera na objektu</t>
  </si>
  <si>
    <t>U jediničnu cijenu izvođač treba ukalkulirati dobavu i ugradnju i brtvljenje juvidur cijevi ,betonskim čepova sa REPOXAL ljepilom na mjestima gdje postoji opasnost od prodora vode</t>
  </si>
  <si>
    <t>U jediničnu cijenu izvođač treba ukalkulirati dobavu i ugradnju vodonepropusnih traka i brtvi na spojevima ploča-zid, na spojevima kod prekida betoniranja segmenta,brtve oko cijevi bazena i na mjestima gdje postoji opasnost od prodora vode</t>
  </si>
  <si>
    <t xml:space="preserve">U cijenu stavke uključena je izrada ušteda na mjestima prodora instalacijskih cijevi, dimnjaka i slično, u svemu prema izvedbenom projektu i planu oplate,projektu instalacija . Ukoliko isto nije prikazano u izvedbenim projektima izvođač je dužan isto ukalkulirati u jediničnu cijenu 
</t>
  </si>
  <si>
    <r>
      <t>Obračun se vrši po m</t>
    </r>
    <r>
      <rPr>
        <i/>
        <vertAlign val="superscript"/>
        <sz val="10"/>
        <rFont val="Arial"/>
        <family val="2"/>
        <charset val="238"/>
      </rPr>
      <t>2</t>
    </r>
    <r>
      <rPr>
        <i/>
        <sz val="10"/>
        <rFont val="Arial"/>
        <family val="2"/>
        <charset val="238"/>
      </rPr>
      <t>,  m¢,  m</t>
    </r>
    <r>
      <rPr>
        <i/>
        <vertAlign val="superscript"/>
        <sz val="10"/>
        <rFont val="Arial"/>
        <family val="2"/>
        <charset val="238"/>
      </rPr>
      <t>3</t>
    </r>
    <r>
      <rPr>
        <i/>
        <sz val="10"/>
        <rFont val="Arial"/>
        <family val="2"/>
        <charset val="238"/>
      </rPr>
      <t xml:space="preserve">,  ili po komadu  tj. prema stavkama troškovnika. Stropne ploče se računaju unutar zidova, stupovi i zidovi se obračunavaju do greda, nadvoja, serklaža ili u punoj visini tj. do gornjeg ruba ploče, ako kontinuirano prelazi zidove. Sve dijelove betonske konstrukcije obračunati prema GN 400.
</t>
    </r>
  </si>
  <si>
    <t>Obračun:</t>
  </si>
  <si>
    <t>Ako je zbog uvjeta korištenja betonske konstrukcije potrebno projektom betonske konstrukcije odrediti kriterije vodonepropusnosti betona, tada vodonepropusnost treba specificirati prema normi HRN 1128, a vodonepropusnost ispitivati prema HRN EN 12390-8. Ispitivanje treba provoditi u početnim ispitivanjima i kasnije jedno ispitivanje za količinu do 500 m3, dva ispitivanja za količinu do 2000 m3, a (najviše) tri ispitivanja za količinu preko 2000 m3 proizvedenog betona tijekom 6 mjeseci.</t>
  </si>
  <si>
    <t>Tehnička svojstva betona trebaju odgovarati uvjetima izloženosti konstruktivnih elemenata specificirani u projektu konstrukcije.</t>
  </si>
  <si>
    <t xml:space="preserve">Armatura mora ostati u određenom položaju i za vrijeme betoniranja i mora biti obuhvaćena betonom u čitavoj dužini i opsegu. 
</t>
  </si>
  <si>
    <t xml:space="preserve">Naročitu pažnju posvetiti ugradbi betona koji se neće naknadno obrađivati, jer površina tih konstrukcija mora biti poptpuno gkatka i ravna.Minimalna klasa betona SB2 ukoliko nije drukcije traženo, površina spremna za soboslikarsku obradu bez dodatne zidarske obrade,brušenja,dersovanja i sl.
</t>
  </si>
  <si>
    <t xml:space="preserve">Kod izvođenja betonskih radova treba voditi računa o tome kakve su atmosferske prilike tj. ako je temperatura visoka prije betoniranja politi podlogu, odnosno tlo i eventualnu oplatu kako ne bi došlo do upijanja vode iz betona. S ugradnjom betona može se započeti tek kada je armatura definitivno postavljena i učvršćena,aoplata očišćena od prljavština. Komprimiranje betona vrši se pervibratorima - pri tome paziti da ne dođe do stvaranja sagregacionih gnijezda. Zaštita betonske konstrukcije vrši se polijevanjem vodom ili prekrivanjem jutenim platnom, a zavisno od trenutne temperature. 
</t>
  </si>
  <si>
    <t xml:space="preserve">Izrada projekta betona (obveza izvođača), sva potrebna ispitivanja betona i dokumentacija vezana na betonske i armirano-betonske radove potrebna za tehnički pregled građevine.
</t>
  </si>
  <si>
    <t>Kontrola proizvodnje betona:
HRN EN 206-1:2006 Beton -- 1. dio: Specifikacije, svojstva, proizvodnja i sukladnost (uključuje amandmane A1:2004 i A2:2005) (EN 206-1:2000+A1:2004+A2:2005)
HRN 1128:2007 Beton – Smjernice za primjenu norme HRN EN 206-1
PRILOG B</t>
  </si>
  <si>
    <t>Svojstva očvrsnulog betona moraju biti specificirana u projektu betonske konstrukcije ovisno o uvjetima njezine uporabe.
Svojstva svježeg betona specificira izvođač betonskih radova. Određena svojstva svježeg betona, kada je to potrebno ovisno o uvjetima izvedbe i uporabe betonske konstrukcije, specificiraju se u projektu betonske konstrukcije.</t>
  </si>
  <si>
    <t>Betoni do uključivo razreda tlačne čvrstoće C16/20 namijenjeni izradi nearmiranih elemenata na gradilištu za potrebe tog gradilišta, za koje je specificiran samo razred tlačne čvrstoće, mogu se pri uporabi najvećeg zrna frakcije agregata 32 mm smatrati normiranim betonom zadanog sastava i proizvoditi s cementom tipa CEM I ili CEM II, razreda tlačne čvrstoće cementa 32,5 i najmanje količine cementa prema normi HRN 1128.</t>
  </si>
  <si>
    <t>Betoni zadanog sastava umjesto razredom tlačne čvrstoće u otpremnici trebaju biti označeni tipom i količinom cementa u m3 ugrađenog betona, te podacima o ostalim svojstvima kada su ta svojstva uvjetovana projektom betonske konstrukcije.</t>
  </si>
  <si>
    <t>Projektirani beton i beton normiranog zadanog sastava treba na otpremnici biti označen prema normi HRN EN 206-1, pri čemu oznaka mora obvezno sadržavati poziv na te norme i razred tlačne čvrstoće, te podatke o ostalim svojstvima (kao što su: granične vrijednosti sastava ili razred otpornosti prema razredima izloženosti, najveće nazivno zrno agregata, gustoća, konzistencija i dr.) kada su ta svojstva uvjetovana projektom betonske konstrukcije. Po potrebi, u otpremnicu se na gradilištu upisuju dodatni podaci prema normi HRN 1128.</t>
  </si>
  <si>
    <t>Podatke o dokazivanju uporabljivosti i postignutim svojstvima građevnog proizvoda izvođač zapisuje u skladu s posebnim propisom o vođenju građevinskog dnevnika.</t>
  </si>
  <si>
    <t>Građenje građevina koje sadrže betonsku konstrukciju mora biti takvo da betonska konstrukcija ima tehnička svojstva i da ispunjava druge zahtjeve propisane ovim Propisom u skladu s tehničkim rješenjem građevine i uvjetima za građenje danim projektom te da se osigura očuvanje tih svojstava i uporabljivost građevine tijekom njezinog trajanja.
Pri izvođenju betonske konstrukcije izvođač je dužan pridržavati se projekta betonske konstrukcije i tehničkih uputa za ugradnju i uporabu građevnih proizvoda te odredaba Tehničkog propisa za betonske konstrukcije.</t>
  </si>
  <si>
    <t>Specificirana svojstva, dokazivanje uporabljivosti, potvrđivanje sukladnosti te označavanje građevnih proizvoda, ispitivanje građevnih proizvoda, posebnosti pri projektiranju i građenju te potrebni kontrolni postupci kao i drugi zahtjevi koje moraju ispunjavati građevni proizvodi određeni su u prilozima Tehničkog propisa za betonske konstrukcije.</t>
  </si>
  <si>
    <t>Beton, armatura i predgotovljeni betonski element proizvedeni ili izrađeni na gradilištu za to gradilište, smiju se ugraditi u betonsku konstrukciju ako je za njih dokazana uporabljivost u skladu s projektom i s Tehničkim propisom za betonske konstrukcije.</t>
  </si>
  <si>
    <t>Koristit će se projektirani beton razreda tlačne čvrstoće prema statičkom proračunu.</t>
  </si>
  <si>
    <t>HRN U.M1.012 ispitivanje na pritisak.</t>
  </si>
  <si>
    <t xml:space="preserve">HRN U.M1.011 ispitivanje na savijanje </t>
  </si>
  <si>
    <t>HRN U.M1.010 ispitivanje na zatezanje</t>
  </si>
  <si>
    <t>Beton mora odgovarati:</t>
  </si>
  <si>
    <t>Voda koja se koristi prilikom pripreme betona mora odgovarati HRN U.M1.O14.</t>
  </si>
  <si>
    <t>HRN U.M8.030 određivanje otpornosti protiv drobljenja agregata za beton.</t>
  </si>
  <si>
    <t>HRN U.M8.020 ispitivanje granulacije agregata za beton</t>
  </si>
  <si>
    <t>HRN B.B8.044 definicija oblika i izgleda površine</t>
  </si>
  <si>
    <t>HRN B.B8.039 ispitivanje pijeska u građevne svrhe</t>
  </si>
  <si>
    <t>HRN B.B8.037 određivanje trošnih zrna u agregatu</t>
  </si>
  <si>
    <t xml:space="preserve">HRN B.B8.034 određivanje količine agregata koji prolazi kroz sito 0,09 </t>
  </si>
  <si>
    <t>HRN B.V8.013 ispitivanje pod utjecajem atmosfelirija</t>
  </si>
  <si>
    <t>HRN B.B8.012 ispitivanje čvrstoće na pritisak</t>
  </si>
  <si>
    <t>HRN B.0.001 uzimanje uzoraka agregata</t>
  </si>
  <si>
    <t>Kameni agregat u pogledu kvalitete mora odgovarati hrvatskim normama:</t>
  </si>
  <si>
    <t xml:space="preserve">Prilikom isporuke cementa isporučilac je dužan dostaviti i ateste. Cement o kojem nema atesta potrebno je ispitati prilikom svake veće isporuke. Kod centralne pripreme betona cement se ispituje po određenom sistemu od strane ovlaštenog instituta.
</t>
  </si>
  <si>
    <t>HRN B.C8.024 određivanje specifične površine portland cementa.</t>
  </si>
  <si>
    <t xml:space="preserve">HRN B.C8.023 ispitivanje fizikalno kemijskih osobina </t>
  </si>
  <si>
    <t>HRN B.C8.021 aluminatni cement, uzorci i ispitivanja</t>
  </si>
  <si>
    <t>HRN B.C8.020 cementi, uzimanje uzoraka i ispitivanje</t>
  </si>
  <si>
    <t>HRN B.C1.018 pucolani, kvalitet i ispitivanje</t>
  </si>
  <si>
    <t>HRN B.C1.012 cement i način  pakovanja i isporuke</t>
  </si>
  <si>
    <t>HRN B.C1.010 kvalifikacija i kvalitet portlad cementa</t>
  </si>
  <si>
    <t>Cement u pogledu kvalitete mora odgovarati hrvatskim normama:</t>
  </si>
  <si>
    <t>Izvođač radova je dužan prije početka radova izraditi program kontrole kvalitete upotrebljavanih materijala.
Budući da svi transporti - vanjski i unutarnji, horizontalni i vertikalni trebaju biti uključeni u jedinične cijene, izvođač je prije davanja ponude dužan proučiti tekstualni i grafički dio projektne dokumentacije, kao i stanje na terenu, te procijeniti sve parametre u svezi s transportima i predvidjeti primjerenu tehnologiju. Izvođač je dužan izraditi Plan podupiranja kojim će se detaljno specificirati tehnologija izvedbe oplate, odnosno podupiranje iste.</t>
  </si>
  <si>
    <t xml:space="preserve">Kod izvedbe betonskih i armirano-betonskih radova treba se u svemu pridržavati postojećih propisa, standarda i "Tehničkog propisa za betonske konstrukcije", te statičkog računa. Prije početka izvedbe betonskih radova treba pregledati i zapisnički konstatirati podatke o agregatu, cementu i vodi, odnosno o faktorima koji će utjecati na kvalitetu radova i ugrađenog betona. </t>
  </si>
  <si>
    <t>OPĆI UVJETI BETONSKI I ARMIRANOBETONSKI RADOVI</t>
  </si>
  <si>
    <t>Ovi uvjeti se mijenjaju ili nadopunjuju pojedinim stavkama troškovnika.</t>
  </si>
  <si>
    <t xml:space="preserve">Jedinične cijene iz ponudbenog troškovnika formirane su sa svim troškovima pripremno završnih radova, održavanjem prometnica čistima, izradom nanosne skele, visinskim snimanjem postojećeg terena, uklanjanjem svih podzemnih građevina i potrebnim demontažama. Iskop terena neovisan je o kategoriji zemljišta. </t>
  </si>
  <si>
    <t>Za sve stavke obuhvaćene troškovnikom zemljanih radova u jediničnu cijenu potrebno je uračunati sve horizontalne i vertikalne transporte, te utovar u vozilo, dok je odvoz suvišne zemlje od širokog iskopa i ostalih iskopa na deponiju izvođača obuhvaćen posebnom stavkom.</t>
  </si>
  <si>
    <t>Obračun materijala u nasipu uzima se prema volumenu izrađenog nasipa.</t>
  </si>
  <si>
    <r>
      <t>Obračun iskopanog materijala kod iskopa ili otkopa uzima se po m</t>
    </r>
    <r>
      <rPr>
        <i/>
        <vertAlign val="superscript"/>
        <sz val="10"/>
        <rFont val="Arial"/>
        <family val="2"/>
        <charset val="238"/>
      </rPr>
      <t>3</t>
    </r>
    <r>
      <rPr>
        <i/>
        <sz val="10"/>
        <rFont val="Arial"/>
        <family val="2"/>
        <charset val="238"/>
      </rPr>
      <t xml:space="preserve"> u sraslom stanju, tj. prema volumenu u kojem se nalazilo prije kopanja i prema dimenzijama iz projekta.</t>
    </r>
  </si>
  <si>
    <r>
      <t>Obračun radova kod čišćenja terena obračunava se po m</t>
    </r>
    <r>
      <rPr>
        <i/>
        <vertAlign val="superscript"/>
        <sz val="10"/>
        <rFont val="Arial"/>
        <family val="2"/>
        <charset val="238"/>
      </rPr>
      <t>2</t>
    </r>
    <r>
      <rPr>
        <i/>
        <sz val="10"/>
        <rFont val="Arial"/>
        <family val="2"/>
        <charset val="238"/>
      </rPr>
      <t>, odnosno komadima kada je riječ o stablima, dok se odstranjivanje ostalih prepreka obično uzima paušalno.</t>
    </r>
  </si>
  <si>
    <t>OBRAČUN  RADOVA:</t>
  </si>
  <si>
    <t xml:space="preserve">Crpljenje površinske ili procjedne vode </t>
  </si>
  <si>
    <t>Sva potrebna nabijanja površina</t>
  </si>
  <si>
    <t>Sva potrebna planiranja i niveliranje</t>
  </si>
  <si>
    <t>Postava potrebne ograde i mostova za prebacivanje</t>
  </si>
  <si>
    <t>Potrebne razupore, podupore (osiguranje od urušavanja)</t>
  </si>
  <si>
    <t>Sav rad za iskop (ručni ili mehanički)</t>
  </si>
  <si>
    <t>Jedinične cijene za pojedine stavke trebaju sadržavati:</t>
  </si>
  <si>
    <t xml:space="preserve">Količine iskopa, transporta i nasipa zemlje obračunavaju se prema sraslom stanju tla. Ukoliko troškovničkom stavkom nije drugačije navedeno odvoz zemlje uključuje transport na gradsku planirku.
</t>
  </si>
  <si>
    <t>Zatrpavanje do kote temelje može se eventualno izvesti i drobljenim šljunkom granulacije 0/32 u slojevima do 30 cm, zbijenost prema uvjetima projekta konstrukcije, odnosno prema specifikaciji projektanta konstrukcije.</t>
  </si>
  <si>
    <t xml:space="preserve">Ukoliko je izvođač otkopao ispod projektom predviđene temeljne ravnine obavezan je bez naknade popuniti tako nastale šupljine betonom C 12/15, do projektirane kote.
</t>
  </si>
  <si>
    <t xml:space="preserve">Ako se iskopane jame oštete, odrone ili zatrpaju nepažnjom ili uslijed nedovoljnog podupiranja, izvođač ih dovodi u ispravno stanje, bez posebne naknade.
</t>
  </si>
  <si>
    <t xml:space="preserve">Potrebna građa za podupiranje mora biti pripremljena na gradilištu prije početka iskopa. </t>
  </si>
  <si>
    <t xml:space="preserve">Podupiranja, razupiranja i zaštita iskopa od oborinskih voda prekrivanjem PVC folijama i izvedbom površinske odvodnje kanalima i muljnim crpkama, obuhvaćena su jediničnim cijenama, a izvode se prema geomehaničkom elaboratu i projektu zaštite građevinske jame. 
</t>
  </si>
  <si>
    <t xml:space="preserve">Iskopani materijale odvozi na privremenu deponiju određenu od strane izvođača, te će se naknadno koristiti prilikom nasipavanja ispod temeljne ploče objekta, za zatrpavanje zidova objekta, a razlika će biti udeponirana na deponij po izboru izvođača.
</t>
  </si>
  <si>
    <t xml:space="preserve">Ukoliko izvođač prilikom iskopa zemlje naiđe na bilo kakve predmete, objekte ili instalacije, dužan je na tom mjestu obustaviti radove  i o tome obavijestiti investitora i nadzornog inžinjera.Naknadni troškovi se neće priznati.Predviđeno u pripremnim radovima.
</t>
  </si>
  <si>
    <t xml:space="preserve">Primanje iskopa vrši se u prisustvu nadzornog inžinjera. Iskop na određenu dubinu završiti neposredno prije početka izvedbe temelja, da se ležajna ploha temelja ne bi raskvasila. Dno iskopa odnosno temelja mora se nalaziti na nosivom tlu bez obzira na projektiranu dubinu temeljenja. Eventualno potrebni dodatni iskopi platiti će se prema stvarnim količinama. IZVOĐAČ JE DUŽAN OSIGURATI  PREGLED ISKOPA OD STRANE OVLAŠTENOG GEOMEHANIČARA,
</t>
  </si>
  <si>
    <t xml:space="preserve">Planiranje dna širokog iskopa i iskopa za temelje izvesti sa točnošću od ±3 cm, što je uključeno u jediničnu cijenu.
</t>
  </si>
  <si>
    <t>Ukoliko se prilikom iskopa pojave podzemni vodotoci ili se razina vode podigne iznad utvrđenih visina prema podacima u geomehaničkom izvještaju, crpljenje vode kod takvih izvanrednih stanja dužan je izvesti izvoditelj o svom trošku kao i sve dodatne mjere zaštite i prevencija da se spriječi pojava vode.</t>
  </si>
  <si>
    <t xml:space="preserve">Dužnost je izvođača da utvrdi pravi sastav tla, odnosno njegovu kategoriju i ukoliko odstupa od Geotehničkog elaborata i/ili projekta konstrukcije, obavijesti projektanta i nadzornog inženjera. 
</t>
  </si>
  <si>
    <t xml:space="preserve">Prije početka zemljanih radova, teren treba očistiti od šiblja i korova ili stabala do 10 cm promjera (ukoliko to smeta postavljanju objekta ili organizaciji gradilišta). Ovi radovi kao i radovi oko razmjeravanja terena i obilježavanja zgrade uračunati su u jedinične cijene. 
</t>
  </si>
  <si>
    <t>Prije početka radova geodetski snimiti teren i u prisutnosti nadzornog inženjera odrediti relativnu visinsku kotu ±00, iskolčiti zgradu (objekt) te provjeriti da li trase postojećih instalacionih vodova na gradilištu i u blizini kolidiraju sa iskopom ili radnim prostorom potrebne mehanizacije.</t>
  </si>
  <si>
    <t>OPĆI UVJETI ZEMLJANI RADOVI</t>
  </si>
  <si>
    <r>
      <rPr>
        <b/>
        <i/>
        <u/>
        <sz val="10"/>
        <rFont val="Arial"/>
        <family val="2"/>
        <charset val="238"/>
      </rPr>
      <t>Napomena</t>
    </r>
    <r>
      <rPr>
        <b/>
        <i/>
        <sz val="10"/>
        <rFont val="Arial"/>
        <family val="2"/>
        <charset val="238"/>
      </rPr>
      <t xml:space="preserve">:    
Izvođač radova prije formiranja ponude dužan je pregledati i upoznati se sa cjelokupnom postojećom tehničkom dokumentacijom, pregledati lokaciju i upoznati se sa stvarnim stanjem na istoj, kako bi bio što bolje informiran o predmetu ponude. Naknadni troškovi neće se uvažiti.
</t>
    </r>
  </si>
  <si>
    <t xml:space="preserve">Jedinična cijena obuhvaća:
- sve poslove do potpune gotovosti pojedine stavke troškovnika
- sav rad na rušenju i demontaži
- potrebna poduhvatanja i podupiranja, te osiguranje konstruktivnih dijelova
- sve pokretne i lake skele s propisnom ogradom i zaštitom od prašine
- utovar, transport i istovar na privremenu deponiju koju određuje investitor
- utovar i transport i do  deponije po izboru izvođača uključujući sve komunalne ili slične takse, odnosno troškove
- sortiranje materijala tj. odvajanje šute i drugog otpada predviđenog za odvoz na konačnu deponiju od elemenata i opreme koji bi se mogli nakon čišćenja i sortiranja (koje također ulazi u cijenu), biti korisni investitoru, te mu se trebaju predočiti prije konačne dispozicije.
- prostor za privremeno spremanje demontiranih elemenata
- sva zaštitna sredstva, pomoćne skele i podupore potrebne prilikom rušenja
- pomoćni alati uređaji i strojevi potrebni za postupak pažljivog rušenja građevine
- svi prenosi i prijevozi po gradilištu
- radovi na zaštiti okoliša od zagađenja (polijevanje šute vodom prije transporta, čišćenje radnih površina i održavanje čistoće kod izvođenja radova)
- čišćenje prostora u tijeku radova i nakon završetka svih radova, te otpremu vlastitog otpada i viška materijala     
Sve radove treba izvesti uz obveznu primjenu važećih propisa zaštite na radu za ovu vrstu radova.
</t>
  </si>
  <si>
    <t xml:space="preserve">Zbrinjavanje otpadnog materijala 
Ukoliko se kod rušenja ustanovi da je neki materijal štetan za okoliš (razne hidroizolacije, kemijske supsatnce i sl.) iste teba izdvojiti od ostalog otpada i na adekvatan način zbrinuti prema važećim propisima. 
Zbrinjavanje tog otpada provodi izvođač.Zbrinjavanje i odvoz otpada izvođač je dužan ukalkulirati u jediničnu cijenu stavki.
Izvođač rušenja mora sve građevinske elemente usitniti na veličine i težine prikladne za utovar i odvoz kamionima. Porušeni materijal treba sukcesivno odvoziti kako bi se omogućio nesmetan tok rušenja. 
O zbrijavanju demontirane bravarije,čeličnih konstrukcija i sl. treba odlučiti Investitor, tj. da li će biti naknadno korištena ili prodana kao staro željezo.
</t>
  </si>
  <si>
    <t xml:space="preserve">Kod rušenja treba paziti da uporabljeni alat nema nepovoljan utjecaj na kostrukciju (udarci, vibracije). Nadzorni inženjer dužan je upozoriti izvoditelja u slučaju uporabe nedozvoljenih alata i zabraniti mu daljnji rad na toj Poziciji, sve dok izvoditelj ne prilagodi alat stanju konstrukcije.    
Demontaže i rušenja će se izvesti ručnim i mehaničkim sredstvima na način da se posljedice rada štetno ne odraze na okruženje.  Izvođač mora u toku razgradnje primjenjivati adekvatne mjere i radove kako bi se okoliš zaštitio od prekomjerne prašine koja se nužno stvara prilikom rada na rušenju pojedinih elemenata građevine. Prije početka rušenja konstruktivnih elemenata izvršiti demontažu svih instalacija, opreme i bravarije. Porušeni materijal treba sukcesivno odvoziti ili reciklirati. Prije početka radova mora se ugrožena zona ograditi ogradom visine min. 2.0 m.
</t>
  </si>
  <si>
    <t xml:space="preserve">Prije početka radova demontaža i rušenja potrebno je isključiti  sve instalacije unutar zone obuhvata gdje se radovi obavljaju:  vodu, struju, kanalizaciju od strane ovlaštenih službi, te izvesti vanjske priključke potrebnih instalacija, u skladu s pravilima gradskih komunalnih poduzeća i uz njihovu suglasnost.
Isključenje instalacija evidentira se građevinskim dnevnikom.    
U slučaju nepredviđenih nalaza (razne instalacije, stanje konstrukcije ili elemenata koje ne odgovara predviđenom i projektiranom stanju i sl. ) izvoditelj je dužan odmah na toj Poz.iciji obustaviti radove i o tome obavijestiti nadzornog inženjera. Ukoliko se nakon potrebnih istražnih radnji bude tražio poseban režim rada od strane izvođača na toj Poziciji (nemogućnost izvođenja radova po predviđenim normativima i u nuđenim uvjetima)dodatni troškovi rada se neće uvažiti, pošto su isti radovi predviđeni u pripremnim radovima.
</t>
  </si>
  <si>
    <t xml:space="preserve">Prije početka radova, treba izvesti zaštitu postojećih konstrukcija koji se tijekom radova ne demontiraju ili ruše, i isto uračunati u jediničnu cijenu rada, iako isto nije posebice navedeno u opisu stavke. Zaštita treba biti takva, da je potpuno funkcionalna i zaštićuje duži vremenski period, od početka radova sve do završetka izgradnje. Tijekom radova, izvoditelj je dužan zaštitu održavati u uporabnom stanju i po potrebi obnavljati ili popravljati.    
Ukoliko ipak greškom izvoditelja zbog nekvalitetno izvedene zaštite, neopreza ili prerano skinute zaštite dođe do oštećenja ili uništenja konstrukcije ili dijelova građevine, izvoditelj je dužan štetu na svoj trošak sanirati i nadoknaditi investitoru sve troškove u svezi s istim. Radove na popravku ili obnovi treba izvoditelj u takvom slučaju naručiti kod poduzeća specijaliziranog i dokazanog na odgovarajućim poslovima, koji su predmet radova. Takvo specijalizirano poduzeće mora prethodno odobriti investitor.
UKOLIKO PRILIKOM RUŠENJA AB KONSTRUKCIJE POSTOJI POTREBA ZA DIJAMANTNIM REZANJEM ISTO UKALKULIRATI U JEDINIČNU CIJENU STAVKE. NAKNADNO POZIVANJE NA MANJKAVAST STAVKE NEĆE SE UZETI U OBZIR
</t>
  </si>
  <si>
    <t xml:space="preserve">Radove izvesti prema slijedećim zakonima i pravilnicima:    
1.  Zakon o zaštiti okoliša  (NN 80/13)
2.  Zakon o zaštiti od buke (NN 30/09, 55/13, 153/13)
3.  Zakon o otpadu (NN 178/04, 153/05, 111/06, 60/08, 87/09)
4.  Pravilnik o sadržaju plana zaštite od požara i tehnoloških eksplozija (NN 35/94, 55/94)
5.  Zakon o zaštiti na radu (NN 59/96, 114/03, 86/08, 75/09 i 143/12)
6.  Pravilnik o zaštiti na radu u graditeljstvu (Sl. List 42/68, 45/68, te NN 18/83 i 59/96)
7.  Pravilnik o zaštiti na pri utovaru i istovaru tereta (NN 49/86)
8. Pravilnik o zaštiti na radu pri ručnom prenošenju tereta (42/05)
9.  Pravilnik o zaštiti na radu pri korištenju električne energije (NN 9/87) 
10.  Pravilnik o izradi procjene opasnosti (NN 48/97, 114/02, 126/03, 144/09)
</t>
  </si>
  <si>
    <t xml:space="preserve">Ovim troškovnikom obuhvaćeno je rušenje odnosno uklanjanje postojeće opreme i elemenata soba i apartmana. Radovima na rušenju i demontažama mora se prići s velikim oprezom, sa svim potrebnim osiguranjima objekta i mjerama zaštite okoliša i štetnog utjecaja na objekt. Sve radove treba izvesti uz obveznu primjenu važećih propisa zaštite na radu za ovu vrstu radova.  Za tu vrstu radova potrebno je imati odgovarajuću strukturu radne snage  za osiguranje podupiranja, izradu zaštitnih ograda, te stalnu kontrolu na mjestima gdje se rušenje i demontaža obavlja.
</t>
  </si>
  <si>
    <t>OPĆI UVJETI RUŠENJE NENOSIVE I NOSIVE KONSTRUKCIJE</t>
  </si>
  <si>
    <t xml:space="preserve">Izvođač mora postavit zahtjeve kod nadležnih organa za uređenje i uklanjanje postrojenja bez Sudjelovanja nalogodavca. Struja, koju uzimaju druge tvrtke, zaračunat će se njima direktno.
</t>
  </si>
  <si>
    <t>Posebni zahtjevi za korištenje</t>
  </si>
  <si>
    <t xml:space="preserve">Kod micanja uređenja gradilišta treba paziti:
- Investitora treba informirati o namjeravanom micanju uređenja gradilišta ili bitnih dijelova istog
- Dijelove, koji više nisu potrebni, treba brzo maknuti
- Nakon skidanja uređenja gradilišta treba teren, koji je za isto bio korišten odnosno korištene građevinske uređaje i građevine vratiti u prvobitno stanje, ako nije drugačije utanačeno.
</t>
  </si>
  <si>
    <t xml:space="preserve">Postojeći graničnici (kamenje) i oznake izmjera moraju se osigurati s početkom radova u sklopu uređenja gradilišta do pospremanja uređenja gradilišta. Prije početka radova mora se izvođač informirati o prolazu vodova, kablove itd. (nadzemno i podzemno). Potrebna premještanja mora izvođač pravodobno zatražiti. U slučaju dvojbe dat će izvođač nalogodavcu uputu, po potrebi će se provesti utvrđivanje.
</t>
  </si>
  <si>
    <t xml:space="preserve">Na zahtjev treba prije uređenja gradilišta napraviti plan uređenja gradilišta i predočiti Investitoru na odobrenje. Pri tom treba uzeti u obzir da se ne sprečavaju eventualni radovi izmjere, posebice iskolčavanja i provjere granica ulica, puteva i građevine. U nacrtu uređenja treba uzeti u obzir i skladištenje zemljane mase. Površine, skladišne površine, slobodne površine i slično, koje će se koristiti za uređenje gradilišta, trebaju se umetnuti u nacrt uređenja gradilišta s podatkom svrhe korištenja. Uređenje gradilišta na tratini ili humusu nije dopušteno. Prije uređenja gradilišta treba izvođač utvrditi stanje učvršćenja pločnika i kolnika, koji graniče s građevinskom parcelom kao i susjedne površine gradilišta, u prisustvu vlasnika. O tome treba voditi zapisnik i obje ga strane moraju potvrditi. Uređenje gradilišta treba izvršiti tako da se vodovi napajanja i odvođenja za građevinske mjere mogu položiti pravodobno i bez smetnji.
</t>
  </si>
  <si>
    <t>Opći podaci o izvedbi</t>
  </si>
  <si>
    <t xml:space="preserve">U Posebnim tehničkim ugovornim uvjetima utvrdit će se kako će pojedini izvođači koristiti dijelove uređenja gradilišta u odnosu na građevinski pothvat. Građevinske puteve koristit će svi sudionici izgradnje besplatno.
</t>
  </si>
  <si>
    <t>Spoj s drugim cjelinama</t>
  </si>
  <si>
    <t>Investitor može se zahtijevati dokaz o urednom zbrinjavanju otpada.</t>
  </si>
  <si>
    <t xml:space="preserve">Vlastiti preostali materijal i materijal od rušenja treba izvođač besplatno ukloniti. Moraju se poštivati odnosni propisi o zbrinjavanju posebnog otpada. Ukopavanje ili spaljivanje na gradilištu je zabranjeno. Zbrinjavanje otpada, mase od rušenja ili građevinskog otpada obuhvaća ponovno iskorištavanje sukladno propisima odnosno potrebnim mjerama skupljanja, transporta, obrade i skladištenja prema propisima i nalozima organa.
</t>
  </si>
  <si>
    <t>Odstranjivanje otpada</t>
  </si>
  <si>
    <t xml:space="preserve">Predočenje nacrta uređenja gradilišta plaćeno je u cijenama. To važi i za slučaj da je za razne faze izgradnje potrebno više nacrta. U cijenu treba uračunati i pristojbe u svezi s uređenjem gradilišta.
</t>
  </si>
  <si>
    <t>Ograničenje troškova</t>
  </si>
  <si>
    <t xml:space="preserve">Investitor stavlja, sukladno projektnoj dokumentaciji , glavnom izvođaču radova bez naknade privremeno na raspolaganje teren za uređenje gradilišta u potrebnom obimu ili shodno lokalnim uvjetima.
</t>
  </si>
  <si>
    <t>Prethodne odredbe i odobrenje gradnje</t>
  </si>
  <si>
    <t>POSEBNI NAPUTCI ZA UREĐENJE GRADILIŠTA</t>
  </si>
  <si>
    <t xml:space="preserve">Čišćenje terena
Kontrolu kakvoće obavljati u svemu prema važećoj normi HRN U.E1.010.
Radove izvoditi uz primjenu higijensko-tehničkih zaštitnih mjera, bez nanošenja štete susjednim objektima, posjedima uz trasu i imovini uopće. Rušenjem stabala ne smiju se oštetiti stabla koja nisu predviđena za rušenje.
</t>
  </si>
  <si>
    <t xml:space="preserve">Tehnička zaštita
Svi elementi tehničke zaštite, prema važećim propisima ukalkulirani su u cijenu, tj. obuhvaćeni faktorom gradilišta. Radi kontrole provođenja tehničke zaštite, izvođač je dužan pravovremeno prijaviti početak radova nadležnoj inspekciji rada, a o provođenju zaštite treba izraditi poseban elaborat koji mora ovjeriti kod inspekcije rada te jedan primjerak dostaviti naručitelju.
</t>
  </si>
  <si>
    <t xml:space="preserve">Osiguranje građevine
Prije početka izvođenja radova izvođač je dužan osigurati objekt kod OZ-a i prijaviti ga nadležnoj građevinskoj inspekciji i inspekciji zaštite na radu te o tome dati Naručitelju pismeni dokaz.
</t>
  </si>
  <si>
    <t xml:space="preserve">Organizacija gradilišta
Organizaciju gradilišta sa shemom transporta i energetskih priključaka treba dati na uvid i odobrenje naručitelju.
</t>
  </si>
  <si>
    <r>
      <t xml:space="preserve">Dinamika izvođenja radova
Izvođač je prije početka gradnje dužan investitoru predati </t>
    </r>
    <r>
      <rPr>
        <i/>
        <u/>
        <sz val="10"/>
        <rFont val="Arial"/>
        <family val="2"/>
        <charset val="238"/>
      </rPr>
      <t>PLAN DINAMIKE IZVOĐENJA RADOVA PO AKTIVNOSTIMA,KOMPLETNO SA RESURSIMA RADNE SNAGE I MEHANIZACIJE,TE FINANCIJSKOM STRUKTUROM TROŠKOVA RADOVA IZ DINAMIČKOG PLANA</t>
    </r>
    <r>
      <rPr>
        <i/>
        <sz val="10"/>
        <rFont val="Arial"/>
        <family val="2"/>
        <charset val="238"/>
      </rPr>
      <t xml:space="preserve"> s prijedlogom roka završetka radova.Izradu istoga ukalkulirati u troškove prilikom ugovaranja u jediničnu cijenu.Naknadni troškovi za izradu istoga se neće uvažiti.
</t>
    </r>
  </si>
  <si>
    <t xml:space="preserve">Osiguranje gradilišta pogonskom energijom i vodom
Izvođač je dužan osigurati pogonsku energiju i vodu za potrebe gradilišta u dogovoru s naručiteljem.
</t>
  </si>
  <si>
    <t xml:space="preserve">Zaštita okoliša
Potrebno spriječiti bilo kakvu mogućnost zagađenja gradilišta i prometnica predviđenih za transport.
Predviđena mehanizacija za izvođenje mora biti u besprijekornom stanju, a ne smiju se primjenjivati pomoćni materijali kojima se može onečistiti okoliš (voda, tlo, flora i fauna).
</t>
  </si>
  <si>
    <t xml:space="preserve">Iskolčenje
Izvođač radova dužan je za vrijeme građenja stalno održavati i osigurati sve repere i poligonske točke.
Iskolčenje objekata treba neprestano nadzirati i po potrebi obnavljati.
Izvođač je sve vrijeme građenja dužan obnavljati izvedeno iskolčenje i sve oznake na terenu, bez obzira na uzroke štete.Geodetskom kontrolom utvrđuje se visinski i položajno početno stanje ili stanje izvedenog posla.
Točnost mjerenja mora biti u skladu s geodetskim normama za pojedine vrste mjerenja i u skladu sa zahtjevima za kakvoću pojedinih radova prema ovim ili posebnim tehničkim uvjetima.
</t>
  </si>
  <si>
    <t xml:space="preserve">Primopredaja gradilišta
Investitor predaje izvođaču građevinskih radova zemljište na kojem se izvodi građevina. Prilikom primopredaje potrebno je u građevinski dnevnik upisati sve elemente važne za primopredaju (popis dokumentacije, važne točke na gradilištu, posebne uvjete koji utječu na način gradnje i sl.)
</t>
  </si>
  <si>
    <t xml:space="preserve">Osim toga, izvođač je obvezan pridržavati se uputa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propisima.U slučaju da opis pojedine stavke nije dovoljno jasan, mjerodavna je samo uputa i tumačenje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i dati garanciju na izvedene radove, dužan je o tome obavijestiti projektanta s obrazloženjem i dokumentacijom. Konačnu odluku donosi projektant u suglasnosti s nadzornim inženjerom, nakon proučenog prijedloga izvođača.
</t>
  </si>
  <si>
    <t xml:space="preserve">Radove treba izvesti točno prema opisu troškovnika, a u stavkama gdje nije objašnjen način rada i posebne osobine finalnog produkta, izvođač je dužan pridržavati se uobičajenog načina rada, uvažavajući odredbe važećih standarda, uz obvezu izvedbe kvalitetnog proizvoda.
</t>
  </si>
  <si>
    <t xml:space="preserve">Prije početka gradnje potrebno je predvidjeti i planirati sve aktivnosti koje su potrebne da se građevina izgradi u skladu sa važećim zakonima i propisima, u ugovorenom roku i uz poštivanje ugovorenih ekonomsko-financijskih uvjeta.Zbog opsežnosti radova, dužine gradnje, sudjelovanja velikog broja izvršitelja te zbog drugih specifičnosti građevine, priprema gradnje je zahtjevan i odgovoran posao. U tom smislu, potrebno je prethodno izraditi projekt organizacije građenja (POG).
</t>
  </si>
  <si>
    <t xml:space="preserve">OPĆI NAPUTCI </t>
  </si>
  <si>
    <t>OPĆI UVJETI PRIPREMNI RADOVI</t>
  </si>
  <si>
    <t>Sve stavke troškovnika ukoliko ima nekih nejasnoća, izvođač će pojasniti s projektantom prije ulaska u posao, jer se nakon početka radova neće tolerirati nikakve nejasnoće opisa stavki i tražiti će se besprijekorno izvršenje istih u smislu kakvim ih je projektant zamislio i definirao. Prije narudžbe materijala po stavkama, izvođač je dužan prekontrolirati iste i uzeti stvarne mjere na licu mjesta kako ne bi došlo do štete uslijed krivih podataka po pitanju količine radova i produženja roka zbog naknadnih narudžbi istih.</t>
  </si>
  <si>
    <t>U jedinične cijene stavki imaju biti uračunati svi radovi i potrebni materijali (eventualno nespecificirani posebno u samom troškovniku), a koji su (prema uzancama struke i pravilima dobrog zanata) potrebni za potpuno dovršenje građevine, tj. dovođenje u stanje "potpuno spremno za uporabu". Svi takovi radovi imaju biti uračunati u jedinične cijene, tj. neće se posebno plaćati.</t>
  </si>
  <si>
    <t>OSTALO</t>
  </si>
  <si>
    <t xml:space="preserve">Sva odstupanja stvarno izvedenih količina u odnosu na količine predviđene projektantskim troškovima (+ ili -) obračunati će se prema stvarno izvršenim radovima što će se sporazumno riješiti između predstavnika izvođača i nadzornog inženjera odnosno investitora.
</t>
  </si>
  <si>
    <t xml:space="preserve">Za naknadne radove čiji se opisi ili slični nalaze u ugovornom troškovniku primjenjivati će se ugovorne jedinične cijene.
</t>
  </si>
  <si>
    <t>Za naknadne radove čiji opisi se ne nalaze u troškovniku, a koji se imaju izvesti po nalogu nadzornog inženjera, obračun se vrši po stvarnim troškovima rada i materijala,s tim da je izvođač dužan dati na odobrenje nadzornom inženjeru detaljnu analizu troškova materijala i rada.Prije početka izvođač je dužan investitoru predati brutto satnice svojih radnika po djelatnostima.
U slučaju da izvođač neke radove izvede materijalom kvalitetnijim od predviđenog, a da za to nije prethodno ishodio odobrenje investitora, nema pravo nadoknade za povećanje troškova izvedbe.</t>
  </si>
  <si>
    <t>NAKNADNI RADOVI</t>
  </si>
  <si>
    <t>Izvođač je dužan posjedovati ili ishodovati sve zakonom i troškovnikom predviđene ateste i ispitivanja za sve ugrađene materijale i izvedene radove o svom trošku (bez naknadnog obračunavanja investitoru), a u svemu prema Zakonima i tehničkim propisima. Izvoditelj je dužan sve ateste dostavljati investitoru tijekom izvođenja.</t>
  </si>
  <si>
    <t>ATESTI ZA IZVEDENE RADOVE</t>
  </si>
  <si>
    <t xml:space="preserve">Sve navedeno važi za obrtničke i instalaterske radove </t>
  </si>
  <si>
    <t xml:space="preserve">uređenje gradilišta po završetku rada, sa otklanjanjem svih otpadaka, šute, ostataka građevnog materijala, inventara, pomoćnih objekata itd.
</t>
  </si>
  <si>
    <t>uskladištenje materijala i elemenata za obrtničke i instalaterske radove do njihove ugradbe,</t>
  </si>
  <si>
    <t xml:space="preserve">barake za smještaj radnika i kancelarije gradilišta, </t>
  </si>
  <si>
    <t>ispitivanja dimnjaka u svrhu dobivanja potvrde od dimnjačara o ispravnosti,</t>
  </si>
  <si>
    <t xml:space="preserve">sva ispitivanja materijala, </t>
  </si>
  <si>
    <t xml:space="preserve">nalaganje temelja prije iskopa, </t>
  </si>
  <si>
    <t xml:space="preserve">najamne troškove za posuđenu mehanizaciju, koju izvođač sam ne posjeduje, a potrebna mu je pri izvođenju rada,
</t>
  </si>
  <si>
    <t>kompletnu režiju gradilišta, uključujući dizalice, mostove, sitnu mehanizaciju i slično,</t>
  </si>
  <si>
    <t xml:space="preserve">Jediničnom cijenom treba obuhvatiti i slijedeće radove, koji se neće zasebno platiti, kao naknadni rad, i to:
</t>
  </si>
  <si>
    <t>FAKTORI</t>
  </si>
  <si>
    <t xml:space="preserve">Ukoliko je ugovoreni termin izvršenja objekta uključen i zimski odnosno ljetni period, to se neće posebno izvođaču priznavati na ime naknade za rad pri niskoj temperaturi, zaštita konstrukcija od hladnoće i vrućine, te atmosferskih nepogoda, sve mora biti uključeno u jedinični cijenu. Za vrijeme zime objekat se mora zaštititi. Svi eventualni smrznuti dijelovi moraju se ukloniti i izvesti ponovo bez bilo kakve naplate. Ukoliko je temperatura niža od temperature pri kojoj je dozvoljen dotični rad, a investitor ipak traži da se radi, izvođač si ima pravo zaračunati naknadu po važećoj normi ali u tom slučaju izvođač snosi punu odgovornost za ispravnost i kvalitetu rada. To isto vrijedi i za zaštitu radova tokom ljeta od prebrzog sušenja uslijed visoke temperature.
</t>
  </si>
  <si>
    <t>ZIMSKI I LJETNI RAD</t>
  </si>
  <si>
    <t xml:space="preserve">Ukoliko nije u pojedinoj stavci dat način obračuna radova, treba se u svemu pridržavati prosječnih normi u građevinarstvu.
</t>
  </si>
  <si>
    <t>IZMJERE</t>
  </si>
  <si>
    <t xml:space="preserve">Kod izrade oplate predviđeno je svo podupiranje bez obzira na visinu, uklještenje, te postava i skidanje iste. U cijenu ulazi kvašenje oplate prije betoniranja, kao i mazanje limenih kalupa. Po završetku betoniranja, sva se oplata nakon određenog vremena mora očistiti i sortirati.Izvođač je dužan o svome trošku napraviti projekt podupiranja sa razrađenom tehnologijom sukladno proizvođaču oplate.
</t>
  </si>
  <si>
    <t>OPLATA</t>
  </si>
  <si>
    <t xml:space="preserve">Sve lake, pokretne, pomoćne  skele,  bez obzira na visinu, ulaze u jediničnu cijenu dotičnog rada, osim fasadne skele za obradu fasade, koja se obračunava kao posebna stavka. Skela mora biti na vrijeme postavljena kako ne bi nastao zastoj u radu. Pod pojmom skela podrazumijeva se i prilaz istoj, te ograda. Kod zemljanih radova u jediničnu cijenu ulaze razupore, te mostovi za prebacivanje iskopa većih dubina. Ujedno su tu uključeni i prilazi, te mostovi za betoniranje konstrukcije i slično.
</t>
  </si>
  <si>
    <t>SKELE</t>
  </si>
  <si>
    <t xml:space="preserve">U kalkulaciji rada treba uključiti sav rad, kako glavni, tako i pomoćni, te sav unutarnji transport. Ujedno treba uključiti sav rad oko zaštite gotovih konstrukcija i dijelova objekta od štetnog utjecaja vrućine, hladnoće i slično.
</t>
  </si>
  <si>
    <t>Pod tim nazivom se podrazumjeva samo cijena materijala tj. dobavna cijena i to kako glavnog materijala, tako i pomoćnog, veznog i slično. U tu cijenu uključena je i cijena transportnih troškova bez obzira na prijevozno sredstvo sa svim prijenosima, utovarima i istovarima, te uskladištenje i čuvanje na gradilištu od uništenja (prebacivanje, zaštita i slično). Tu je uključeno i davanje potrebnih uzoraka kod izvjesnih vrsta materijala.
Pod cijenom materijala podrazumijeva se dobavna cijena svih materijala koji sudjeluju u radnom procesu, to jest cijena glavnih i pomoćnih materijala potrebnih za ugradnju do kompletne funkcionalnosti i gotovosti. 
U cijenu je uključena i cijena transportnih troškova bez obzira na prijevozno sredstvo, sa svim prijenosima, utovarima i istovarima, te podizanjima na mjesto ugradbe, kao i cijena čuvanja, zaštite i skladištenja materijala do ugradnje. Prema Zakonu o gradnji NN 153/13,  potrebno je uzimanje uzoraka - probnih kocki - za beton, te ugradnja samo onih materijala koji imaju važeće ateste. Svu dokumentaciju o dokazu kvalitete materijala prikuplja izvođač radova i po završetku predaje Investitoru.
U cijenu je također uključeno i davanje potrebnih uzoraka kod nekih materijala (prema zahtjevu naručitelja)</t>
  </si>
  <si>
    <t>Jedinična cijena sadrži sve nabrojeno kod opisa pojedine grupe radova, te se na taj način vrši i obračun istih. Jedinične cijene primjenjivati će se na izvedene količine bez obzira u kojem postotku iste odstupaju od količine u troškovniku.</t>
  </si>
  <si>
    <t>Cijene ponuđene troškovnikom uključuju sve građevinske strojeve, radnike, kontrolu kvalitete, materijala i rada (sve ateste), montažu, osiguranje, dobit, poreze i davanja, te potrebne radnje, troškove organizacije i mjere koje nalažu Zakon o prostornom uređenju i Zakon o gradnji, Zakon o zaštiti na radu i Zakon o zaštiti od požara, zajedno sa svim rizicima, odgovornostima i obvezama navedenim ili nagovještenim ugovorom.</t>
  </si>
  <si>
    <t>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 Ponuda obuhvaća sve radove koji su neophodni za izvedbu određenih radova, uključujući i čišćenje nakon obavljanja istih.</t>
  </si>
  <si>
    <t>U jediničnu cijenu uključena je nadoknada za sav potreban rad i materijal potreban za izvođenje svake pojedine stavke (gotovost stavke je do njezine pune funkcije), ako u stavci troškovnika nije drugačije rečeno. Jedinična cijena uključuje i izvođenje svih pomoćnih i pripremnih radnji, kao i sve potrebne pomoćne utovare, pretovare i transporte, te odvoz materijala na javnu, registriranu deponiju ili deponiranje materijala na mjesto koje odredi investitor.</t>
  </si>
  <si>
    <t>JEDINIČNA CIJENA</t>
  </si>
  <si>
    <t xml:space="preserve">- Izvođač je dužan po završetku radova gradilište kompletno očistiti, skinuti i odvesti sve nasipe, betonske podloge, temelje strojeva, radnih i pomoćnih prostorija i drugo do zdrave zemlje da se može pristupiti hortikulturnom uređenju.
</t>
  </si>
  <si>
    <t>- Na gradilištu moraju biti poduzete sve HTZ mjere prema postojećim propisima.</t>
  </si>
  <si>
    <t xml:space="preserve">- Izvođač je dužan bez posebne naplate osigurati investitoru i projektantu potrebnu pomoć kod obilaska gradilišta i nadzora, uzimanju uzoraka i sl., potrebnim pomagalima i ljudima,
</t>
  </si>
  <si>
    <t xml:space="preserve">- Izvođač je dužan uz shemu organizacije gradilišta dostaviti i spisak sve mehanizacije i opreme koja će biti na raspolaganju gradilišta, te satnice za rad i upotrebu svakog stroja,
</t>
  </si>
  <si>
    <t xml:space="preserve">- Sve otpadne matreijele  (šuta, lomovi, mort, ambalaža i sl.) treba odmah odvesti. Troškove treba ukalkulirati u režiju i faktor. Ukoliko se isti neće izvršavati  investitor ima pravo čišćenja i odvoz otpada povjeriti drugome, a na teret izvođača radova,
</t>
  </si>
  <si>
    <t>- Gradilište mora biti po noći dobro osvijetljeno,</t>
  </si>
  <si>
    <t xml:space="preserve">- Na gradilištu mora postojati permanentna čuvarska služba za cijelo vrijeme trajanja gradnje također uračunata u faktor,
</t>
  </si>
  <si>
    <t xml:space="preserve">- Izvođač je dužan svu površinsku vodu u granicama gradilišta na svim nižim nivoima redovito odstranjivati odnosno nasipavati,
</t>
  </si>
  <si>
    <t xml:space="preserve"> - U kalkulacije izvođač mora prema ponuđenim radovima uračunati eventualne zaštite za zimski period građenja, kišu ili sl.
</t>
  </si>
  <si>
    <t xml:space="preserve">- Sve materijale izvođač mora redovito i pravovremeno dobaviti da ne dođe do bilo kakvog zastoja gradnje,
</t>
  </si>
  <si>
    <t>- Izvođač je dužan gradilište sa svim prostorijama i cijelim inventarom redovito održavati i čistiti,</t>
  </si>
  <si>
    <t xml:space="preserve">- postaviti potreban broj urednih skladišta, pomoćnih radnih prostorija, nadstrešnica, odrediti i urediti prometne i parkirne površine za radne i teretne automobile, opremu, građevinske strojeve  i sl., te opremu i objekte za rastresiti i habasti građevinski materijal,
</t>
  </si>
  <si>
    <r>
      <t>-postaviti natpisnu ploču  prema propisima.I</t>
    </r>
    <r>
      <rPr>
        <b/>
        <i/>
        <sz val="10"/>
        <rFont val="Arial"/>
        <family val="2"/>
        <charset val="238"/>
      </rPr>
      <t>STU JE POTREBNO UKALKULIRATI U JEDINIČNU CIJENU,ODNOSNO FAKTOR GRADILIŠTA ,NE OBRAČUNAVA SE ZASEBNO</t>
    </r>
  </si>
  <si>
    <r>
      <t>gradilište osigurati ogradom ili drugim posebnim elementima za sigurnost ljudi i zaštitu prometa i objektata,</t>
    </r>
    <r>
      <rPr>
        <b/>
        <i/>
        <sz val="10"/>
        <rFont val="Arial"/>
        <family val="2"/>
        <charset val="238"/>
      </rPr>
      <t>ISTU JE POTREBNO UKALKULIRATI U JEDINIČNU CIJENU,ODNOSNO FAKTOR GRADILIŠTA ,NE OBRAČUNAVA SE ZASEBNO</t>
    </r>
  </si>
  <si>
    <t>- prostorije za svoje kancelarije,</t>
  </si>
  <si>
    <t xml:space="preserve">Uređenje gradilišta dužan je izvođač izvesti prema shemi organizacije gradilišta koju je obavezan dostaviti uz ponudu. U organizaciji gradilišta izvođač je dužan uz ostalo posebno predvidjeti:
</t>
  </si>
  <si>
    <t xml:space="preserve">Izvođač i njegovi kooperanti dužni su svaki dio investiciono tehničke dokumentacije pregledati, te dati primjedbe na eventualne tehničke  probleme koji bi mogli prouzročiti slabiji kvalitet, postojanost ugrađenih elemenata ili druge štete. U protivnom biti će dužan ovakve štete sanirati o svom trošku. Naročitu pažnju kod toga treba posvetiti usaglašavanju građevinskih i instalaterskih nacrta. Ako ustanovi neke razlike u mjerama, nedostatke ili pogreške u podlogama, dužan je pravovremeno obavijestiti nadzornog inženjera i odgovornog projektanta, te zatražiti rješenja.
</t>
  </si>
  <si>
    <t>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t>
  </si>
  <si>
    <t xml:space="preserve">OPĆI  UVJETI ZA IZVOĐENJE GRAĐEVINSKIH RADOVA, PRIPREMNIH RADOVA,                                        UREĐENJE  GRADILIŠTA  I POMOĆNIH  RADOVA
</t>
  </si>
  <si>
    <t xml:space="preserve">Stavka radova ispod najnižeg poda, odnosno svi radovi na koje utječe priroda terena gradilišta, obračunavaju se po stvarno izvedenim količinama i jediničnim cijenama troškovnika. Fasadna skela obračunata je u fasaderskim radovima, a sve ostale skele, pomoćne skele i slično ukalkulirane su u  cijenu  pojedinih stavki.
</t>
  </si>
  <si>
    <t xml:space="preserve">Svi radovi moraju biti izvedeni solidno prema opisu, izvedbenim i armaturnim nacrtima i statičkom proračunu. Sve se ovo odnosi i na radove obrtnika. Zbog toga je potrebno da izvođač  ugovara radove s obrtnicima u smislu ovih općih uvjeta.
</t>
  </si>
  <si>
    <t xml:space="preserve">Prethodno provoditi ispitivanje ugrađenog materijala, vodovodne instalacije, odnosno sve u vezi s dobavljanjem potrebnih atesta (nalaza).
</t>
  </si>
  <si>
    <t xml:space="preserve">Izvesti krpanje žbuke, popravak obojenih ploha, te sve popravke, oštećenja koja su nastala tokom gradnje, a trebaju se obaviti u garantnom roku.
</t>
  </si>
  <si>
    <t xml:space="preserve">Provoditi čišćenje gradilišta od blata i odvođenje oborinske vode. Završni radovi, kao uklanjanje ograda i baraka te poravnanje terena.
</t>
  </si>
  <si>
    <t xml:space="preserve">Kod radova za vrijeme ljetnih vrućina, zimi i kišnih dana treba osigurati konstrukcije od štetnih atmosferskih utjecaja, a u slučaju da dođe do oštećenja uslijed prokišnjavanja ili smrzavanja, izvođač će izvršiti popravke o svom trošku.
</t>
  </si>
  <si>
    <t xml:space="preserve">Pomoć obrtnicima i instalaterima, kojima treba osigurati prostoriju za smještaj alata i pohranu materijala, ustupanje radne snage za dubljenje, probijanje i bušenje, te popravak žbuke nakon završenih keramičarskih, kamenorezačkih, kamenarskih, parketarskih, stolarskih i bravarskih, a prije soboslikarsko-ličilačkih radova. Izvođač građevinskih radova dužan je obrtnicima i instalaterima dati potrebne skele za radove na visini većoj od dva metra.
</t>
  </si>
  <si>
    <t xml:space="preserve">Skele, podupore i razupore treba također predvidjeti u cjelini. Skele moraju biti u skladu s propisima HTZ. Iskopane rovove treba u načelu podupirati ako su dubine preko jednog metra. Osim toga, treba ukalkulirati sve potrebne zaštitne ograde, te rampe i mostove za prijevoz  materijala po gradnji.
</t>
  </si>
  <si>
    <t xml:space="preserve">Rad obuhvaća osim opisanog u troškovniku, još  i prijenose, prijevoz, dizanje, utovar i istovar materijala unutar gradilišta, pripremanje morta i betona, zaštićivanje konstrukcije od štetnih atmosferskih utjecaja, sve pomoćne radove kao: skupljanje rasutog materijala, održavanje čistoće gradilišta.
</t>
  </si>
  <si>
    <t xml:space="preserve">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ateste predočiti nadzornom inženjeru.
</t>
  </si>
  <si>
    <t xml:space="preserve">Tolerancije mjera izvedenih radova određene su uzancama zanata, odnosno prema odluci projektanta i nadzorne službe. Sva odstupanja od dogovorenih tolerantnih mjera dužan je izvođač otkloniti o svom trošku. To vrijedi za sve vrste radova, kao što su građevinski, obrtnički i montažerski, opremanje i ostali radovi.
</t>
  </si>
  <si>
    <t xml:space="preserve">Za sve radove treba primjenjivati tehničke propise, građ. norme, a upotrebljeni materijal, koji izvođač dobavlja i ugrađuje, mora odgovarati standardima (HRN). Izvedba radova treba biti prema nacrtima, općim uvjetima i opisu radova, detaljima i prema pravilima zanata. Eventualna odstupanja treba prethodno dogovoriti s nadzornim inženjerom i projektantom za svaki pojedini slučaj.
</t>
  </si>
  <si>
    <t>UVJETI  IZGRADNJE</t>
  </si>
  <si>
    <t xml:space="preserve">Obračun količina radova vrši se na način opisan u svakoj poziciji ovog troškovnika, predviđen za taj rad u prosječnim građevinskim i obrtničkim normama.
</t>
  </si>
  <si>
    <t xml:space="preserve">Po završetku svih radova na objektu izvođač je dužan ukloniti privremene objekte, očistiti gradilište i sva ostala prekopavanja dovesti u prvobitno stanje, te o svom trošku odgovarajućim sredstvima čišćenja, pranja i sl. dovede cijelu predmetnu građevinu sa instalacijama u potpuno čisto i ispravno stanje i u tom ih stanju odražavati do predaje na korištenje.
</t>
  </si>
  <si>
    <t>H/ PRIVREMENA REGULACIJA PROMETA, Organiziranje privremene regulacije prometa ako za to postoji potreba.</t>
  </si>
  <si>
    <t>G/ sve higijensko-tehničke zaštitne mjere za sve zaposlene radnike.</t>
  </si>
  <si>
    <t>F/ osiguranje neometanog prolaza i prometa,</t>
  </si>
  <si>
    <t>E/ čišćenje i održavanje objekta koji je u gradnji i gradilišta za sve vrijeme gradnje,ČIŠĆENJE OKOLNIH PROMETNICA Održavanje okolnih prometnica i čišćenje tokom izvedbe radova u dužini cca 500 m oko hotelskog kompleksa</t>
  </si>
  <si>
    <t xml:space="preserve">D/ sve potrebne pokretne i nepokretne radne, transportne i pomoćne skele, sa izradom, postavljanjem, skidanjem i odvozom. Isto važi i za privremene pomoćne objekte.
</t>
  </si>
  <si>
    <t>C/ troškovi i takse privremenih priključaka potrebnih instalacija,</t>
  </si>
  <si>
    <t>B/ sav rad, alat, materijal, amortizacija i svi ostali troškovi koji se odnose na ovaj objekt,</t>
  </si>
  <si>
    <t>A/ potpuno dovršenje sa svim predradnjama, transportom i ostalim radnim operacijama,</t>
  </si>
  <si>
    <t>Jediničnom cijenom za svaki rad predviđen ovim troškovnikom obuhvaćeno je:</t>
  </si>
  <si>
    <t xml:space="preserve">Opći uvjeti na početku pojedinih grupa radova odnose se na sve stavke radova te grupe, osim ako u opisu stavke nije drugačije opisano. Ukoliko materijal u pojedinim stavkama nije naznačen ili nije dovoljno jasno preciziran u pogledu kvalitete, izvođač je dužan upotrijebiti prvoklasni materijal.
</t>
  </si>
  <si>
    <t xml:space="preserve">Sve štete učinjene prigodom rada na vlastitim ili tuđim radovima trebaju se ukloniti na račun počinitelja. Svi nekvalitetni radovi trebaju se otkloniti i zamijeniti ispravnima, bez bilo kakve odštete od strane investitora.
</t>
  </si>
  <si>
    <t xml:space="preserve">Rušenje, dubljenje i bušenje armirano-betonske i čelične konstrukcije smije se obavljati samo uz suglasnost građevnog nadzornog inženjera. Jedinične cijene primjenjivat će se na izvedene količine bez obzira u kojem postotku odstupaju od količina u troškovniku.
</t>
  </si>
  <si>
    <t xml:space="preserve">U cijenu svih radova je uključena zaštita prethodno izvedenih radova od eventualnih oštećenja na novim radovima.
</t>
  </si>
  <si>
    <t xml:space="preserve">Sva rušenja i odvoz nastale šute i otpada je uključen u cijenu svake stavke ovog troškovnika. 
</t>
  </si>
  <si>
    <t xml:space="preserve">Sav transport je uključen u cijenu stavki. </t>
  </si>
  <si>
    <t xml:space="preserve">U cijenu koštanja treba uključiti izradu radioničkih nacrta za sve elemente koji nisu standardne proizvodnje, prvorazrednu izvedbu, dopremu, ugradnju, montažu i razmještaj.Svi radovi moraju biti kvalitetno izvedeni. Sve nedostatke uočene u tijeku ili nakon radova izvoditelj je dužan ispraviti o svom trošku.Prije izvođenja svakog rada mora se obaviti točno razmjeravanje i obilježavanje na zidu, stropu ili podu, te tek onda započeti s radovima.
</t>
  </si>
  <si>
    <t xml:space="preserve">Izvoditelj je obvezan putem dnevnika registrirati sve izmjene i eventualna odstupanja od projekta, a po dovršetku gradnje obvezan je predati investitoru projekt izvedenog stanja objekta, koji se sastoji od arhitektonsko-građevnog projekta, te svih projekata u kojima je došlo do izmjene.Sav materijal koji se upotrebljava mora odgovarati Hrvatskim standardima i propisanoj kvaliteti. Za sve elemente koji se ugrađuju potrebna je izmjera na objektu. Po donošenju materijala na gradilište, uz poziv izvoditelja, pregled materijala obavit će nadzorni inženjer i njegovo stanje konstatirati u građevinskom dnevniku (odgovara li predmetni materijal standardima i projektu). Ukoliko izvoditelj upotrijebi neodgovarajući materijal, a to se utvrdi naknadno, na zahtjev nadzornog inženjera mora ga ukloniti s građevine i postaviti drugi koji odgovara propisima i projektu. Izvoditelj građevinsko-obrtničkih radova dužan je izdati ateste za sve upotrijebljene materijale i opremu.
</t>
  </si>
  <si>
    <t xml:space="preserve">Sve odredbe ovih uvjeta, koje se dostavljaju u digitalnom obliku, smatraju se sastavnim dijelom opisa svake pojedine stavke ovog troškovnika.Investitor je dužan tijekom građenja osigurati stručni nadzor izvedbe za građevinu u cijelosti i u pojedinim segmentima.Ponuda mora biti izrađena na temelju datih podloga, kompletna i usuglašena s projektom.Svi građevinsko-obrtnički radovi se moraju u potpunosti izvesti prema projektu: nacrtima i detaljima, tehničkom opisu, troškovniku, te važećim propisima i pravilima struke, te pismenim naređenjima, ali sve u okviru ponuđene cijene.Za sve promjene i odstupanja od projekta mora se pribaviti pismena suglasnost projektanta. Eventualne izmjene materijala ili načina izvedbe tijekom gradnje moraju se izvršiti isključivo pismenim dogovorom s projektantom i nadzornim inženjerom. Svi vantroškovnički radovi koji se neće utvrditi na gore opisani način, neće se moći priznati u obračunu.Izvoditelj je dužan prije početka radova proučiti projektnu dokumentaciju na licu mjesta, te izvršiti provjere svih mjera na licu mjesta: kote izvedenog stanja i mjesta nove ugradnje, te u slučaju odstupanja treba pravovremeno obavijestiti i konzultirati projektanta. Ako opis neke stavke dovodi izvoditelja u sumnju o načinu izvedbe, treba pravovremeno tražiti objašnjenje od projektanta. Sva kontrola se vrši bez posebne naplate.
</t>
  </si>
  <si>
    <t>OPĆI UVJETI</t>
  </si>
  <si>
    <t>NAPOMENA: SVE KOLIČINE U TROŠKOVNIKU SU DOBIVENE PUTEM 3D MODELA I POKAZUJU STVARNU NETO KOLIČINU POJEDINIH STAVKI. U OBRAČUNU KOLIČINA ISTE SU UMANJENE ZA OTVORE TE SE ONI NEĆE POSEBNO PRIZNAVATI. TO SE ODNOSI I NA OTVORE MANJE OD 3 m2. NAVEDENO VRIJEDI ZA SVE RADOVE U OVOM TROŠKOVNIKU!</t>
  </si>
  <si>
    <t>TROŠKOVNIK GRAĐEVINSKO OBRTNIČKIH RADOVA</t>
  </si>
  <si>
    <t>Dobava i ugradnja potrebnog materijala za izvedbu plivajućeg cementnog estriha debljine 6 cm armiranog PP vlaknima s dodatkom za podno grijanje (tip kao Sika Estriplast). Uz zidove je potrebno položiti trake od EPS-a kako bi spriječili prijenos zvuka (vibracija) i topline na bočne građevne dijelove. Ukoliko su podne plohe veće od 30 m2, te ovisno o geometriji poda, a prema uputi proizvođača potrebno je izvesti dilatacije. Napomena: Svi slojevi i karakteristike materijala moraju biti usklađeni sa elaboratom građevinske fizike.Obračun po m2. UI jediničnu cijenu uključiti glazuru, rubne trake od EPS-a i PE foliju ispod glazure.</t>
  </si>
  <si>
    <r>
      <t>STROJNI ŠIROKI ISKOP: Strojni široki iskop materijala u sraslome stanju bez obzira na kategoriju (</t>
    </r>
    <r>
      <rPr>
        <sz val="8"/>
        <rFont val="Arial"/>
        <family val="2"/>
      </rPr>
      <t>očekivani materijal prema geotehničkom elaboratu: materijal C kategorije (glina i šljunak)</t>
    </r>
    <r>
      <rPr>
        <sz val="8"/>
        <color rgb="FF000000"/>
        <rFont val="Arial"/>
        <family val="2"/>
      </rPr>
      <t>. Iskope izvoditi kampadno uz odobrenje nadzornog inženjera. Obračun po m3 u sraslom stanju prema projektu ili izmjenama koje odobrava nadzorni inženjer. Veće količine iskopanih materijala od projektiranih ili neodobrenih od nadzornog inženjera ne priznaju se.</t>
    </r>
  </si>
  <si>
    <t>TEMELJNA PLOČA d=40cm: Betoniranje temeljne ploče debljine 40cm u vodonepropusnom betonu u oplati u taktovima betoniranja prema projektu betona i tehnologiji ugradnje betona uz odobrenje projektanta konstrukcije. Gornja ploha potpuno izravnata i zaglađena. U jediničnu cijenu uključen sav potreban materijal za dnevne i konstruktivne prekide.</t>
  </si>
  <si>
    <t xml:space="preserve">PODNA PLOČA d=15cm: Betoniranje temeljne ploče debljine 15cm u vodonepropusnim betonu u oplati u taktovima betoniranja prema projektu betona i tehnologiji ugradnje betona uz odobrenje projektanta konstrukcije. Gornja ploha potpuno izravnata i zaglađena. U jedničnu cijenu uključen sav potreban materijal za dnevne i konstruktivne prekide. </t>
  </si>
  <si>
    <t>Betoniranje arm bet. podne ploče deb. 15 cm, betonom C25/30 sa zrnom agregata 0-16, s potrebnom obodnom oplatom (zaštitni sloj c=25 mm; razred izloženosti XC1). Prilikom betoniranja ploče sve eventualne padove izvesti prema postavljenim slivnicima u podu. Prilikom ugradnje beton vibrirati, a zatim beton pravilno njegovati. Gornja površina fino zaglađena u izvedbi. Radne i konstruktivne reške (prekidi zbog betonaže) uključeni u cijenu. Obračun po m3.</t>
  </si>
  <si>
    <t>Izrada jednostrane oplate podne ploče visine 15 cm. Obračun u m2 izvedene oplate.</t>
  </si>
  <si>
    <t xml:space="preserve">AB MEĐUKATNA PLOČA d=25cm: </t>
  </si>
  <si>
    <t xml:space="preserve">AB ZIDOVI d=40cm: Betoniranje armiranobetonskih zidova debljine 40cm u dvostranoj oplati u vodonepropusnom betonu. </t>
  </si>
  <si>
    <t xml:space="preserve">Betoniranje AB zidova vodonepropusnim betonom C25/30 sa zrnom agregata 0 -16 (zaštitni sloj c=30 mm; razred izloženosti XC1) u dvostranoj oplati. Debljine zidova 40cm. Prilikom ugradnje beton vibrirati, a zatim beton pravilno njegovati. Uključivo izvedbu kutija za prodore i otvore u zidovima u cijeni izvedbe oplate. Obračun po m3. </t>
  </si>
  <si>
    <t xml:space="preserve">Dvostrana oplata zidova (d=40cm). Otvori i prodori za prolaz instalacija i vrata posebno se ne obračunavaju. U jediničnu cijenu uključene potrebne radne skele i ograde prilikom betoniranja. Obračun po m2 izvedene oplate. </t>
  </si>
  <si>
    <t xml:space="preserve">AB ZIDOVI d=25cm: Betoniranje armiranobetonskih zidova debljine 25cm u dvostranoj oplati u vodonepropusnom betonu. </t>
  </si>
  <si>
    <t xml:space="preserve">Betoniranje AB zidova vodonepropusnim betonom C25/30 sa zrnom agregata 0 -16 (zaštitni sloj c=30 mm; razred izloženosti XC1) u dvostranoj oplati. Debljine zidova 25cm. Prilikom ugradnje beton vibrirati, a zatim beton pravilno njegovati. Uključivo izvedbu kutija za prodore i otvore u zidovima u cijeni izvedbe oplate. Obračun po m3. </t>
  </si>
  <si>
    <t xml:space="preserve">Dvostrana oplata zidova (d=25cm). Otvori i prodori za prolaz instalacija i vrata posebno se ne obračunavaju. U jediničnu cijenu uključene potrebne radne skele i ograde prilikom betoniranja. Obračun po m2 izvedene oplate. </t>
  </si>
  <si>
    <t xml:space="preserve">AB ZIDOVI d=16cm: Betoniranje armiranobetonskih zidova debljine 16cm u dvostranoj oplati. </t>
  </si>
  <si>
    <t xml:space="preserve">Betoniranje AB zidova betonom C25/30 sa zrnom agregata 0 -16 (zaštitni sloj c=30 mm; razred izloženosti XC1) u dvostranoj oplati. Debljine zidova 16cm. Prilikom ugradnje beton vibrirati, a zatim beton pravilno njegovati. Uključivo izvedbu kutija za prodore i otvore u zidovima u cijeni izvedbe oplate. Obračun po m3. </t>
  </si>
  <si>
    <t xml:space="preserve">Dvostrana oplata zidova (d=16cm). Otvori i prodori za prolaz instalacija i vrata posebno se ne obračunavaju. U jediničnu cijenu uključene potrebne radne skele i ograde prilikom betoniranja. Obračun po m2 izvedene oplate. </t>
  </si>
  <si>
    <t xml:space="preserve">AB ZIDOVI d=25cm: Betoniranje armiranobetonskih zidova debljine 25cm u dvostranoj oplati. </t>
  </si>
  <si>
    <t xml:space="preserve">Betoniranje AB zidova betonom C25/30 sa zrnom agregata 0 -16 (zaštitni sloj c=30 mm; razred izloženosti XC1) u dvostranoj oplati. Debljine zidova 25cm. Prilikom ugradnje beton vibrirati, a zatim beton pravilno njegovati. Uključivo izvedbu kutija za prodore i otvore u zidovima u cijeni izvedbe oplate. Obračun po m3. </t>
  </si>
  <si>
    <t>AB GREDE</t>
  </si>
  <si>
    <t>AB ZIDOVI ATIKE d=20cm</t>
  </si>
  <si>
    <t>AB STUBIŠTA NA TERENU</t>
  </si>
  <si>
    <t>Betoniranje armirano betonskih vanjskih stubišta betonom C25/30 sa zrnom agregata 0-16 (zaštitni sloj c=30 mm; razred izloženosti XC1). Prilikom ugradnje beton vibrirati, a zatim beton pravilno njegovati. Obračun po m3 ugrađenog betona.</t>
  </si>
  <si>
    <t>AB ZID OKOLIŠ - DVORIŠNI ZID</t>
  </si>
  <si>
    <t>AB ZID OKOLIŠ - POTPORNI ZID</t>
  </si>
  <si>
    <t>03.15.</t>
  </si>
  <si>
    <t>03.16.</t>
  </si>
  <si>
    <t>03.17.</t>
  </si>
  <si>
    <t>PREGRADNA BLOK OPEKA: Zidanje pregradnih opečnih zidova poroziranom blok opekom debljine 20 cm. Za zidanje zidova upotrebljava se produženi cementni mort. U cijenu je uključen sav rad i materijal, pomoćna sredstva, oplata, pomoćni materijali, poluopeke za zidarski vez, završna obrada špaleta otvora, kao i poklonih ploha prozorskih parapeta te potrebna skela.</t>
  </si>
  <si>
    <t xml:space="preserve">GLAZURA POD PNT2, PNT2a, </t>
  </si>
  <si>
    <t>Dobava i ugradnja elastificiranog ekspandiranog polistirena EPS 200, d=4cm. Ugradnja dvije ploče debljine 2+2 cm. Proizvod sukladno normi HRN EN 13163, toplinska provodljivost λ ≤ 0,035 W/mK. Obračun po m2.</t>
  </si>
  <si>
    <t>GLAZURA POD PNT3</t>
  </si>
  <si>
    <t>Dobava i ugradnja elastificiranog ekspandiranog polistirena EPS 200, d=6cm. Ugradnja dvije ploče debljine 3+3 cm. Proizvod sukladno normi HRN EN 13163, toplinska provodljivost λ ≤ 0,035 W/mK. Obračun po m2.</t>
  </si>
  <si>
    <t>GLAZURA POD MK2, MK2a, MK2b, MK3, MK3a</t>
  </si>
  <si>
    <t>Dobava i ugradnja potrebnog materijala za izvedbu plivajućeg cementnog estriha debljine 5 cm armiranog PP vlaknima s dodatkom za podno grijanje (tip kao Sika Estriplast). Uz zidove je potrebno položiti trake od EPS-a kako bi spriječili prijenos zvuka (vibracija) i topline na bočne građevne dijelove. Ukoliko su podne plohe veće od 30 m2, te ovisno o geometriji poda, a prema uputi proizvođača potrebno je izvesti dilatacije. Napomena: Svi slojevi i karakteristike materijala moraju biti usklađeni sa elaboratom građevinske fizike.Obračun po m2. UI jediničnu cijenu uključiti glazuru, rubne trake od EPS-a i PE foliju ispod glazure.</t>
  </si>
  <si>
    <t>GLAZURA POD TER1, TER1a</t>
  </si>
  <si>
    <t>Dobava i ugradnja potrebnog materijala za izvedbu plivajućeg cementnog estriha u padu debljine 5-8 cm armiranog PP vlaknima. Uz zidove je potrebno položiti trake od EPS-a kako bi spriječili prijenos zvuka (vibracija) i topline na bočne građevne dijelove. Ukoliko su podne plohe veće od 30 m2, te ovisno o geometriji poda, a prema uputi proizvođača potrebno je izvesti dilatacije. Napomena: Svi slojevi i karakteristike materijala moraju biti usklađeni sa elaboratom građevinske fizike.Obračun po m2. UI jediničnu cijenu uključiti glazuru, rubne trake od EPS-a i PE foliju ispod glazure.</t>
  </si>
  <si>
    <t>Dobava i ugradnja ekstrudiranog polistirena XPS300 u pločama (30 kg/m³) ukupne debljine 16 cm (dvije ploče 8+8cm s preklopom), ploče s rubnim preklopima s λ ≤ 0,036 W/mK. Obračun po m2.</t>
  </si>
  <si>
    <t xml:space="preserve">HIDROIZOLACIJA ISPOD TEMELJNIH PLOČA, SLOJEVI PNT1, PNT2, TER1, TER2: </t>
  </si>
  <si>
    <t>Stavka uključuje dobavu i postavu hidroizolacijske membrane na bazi destiliranog bitumena sa plastomernim polimerima (APP), tipa kao SIKA BITUSEAL T-240 PG, min. 4.00 kg / m2 (min. 1300 kg/m³), armirana poliesterskim netkanim pletivom, debljine 3.0mm, obostrano zašticena polietilensklom (PE) folijom za jednostavniju ugradnju, prema EN 13969 i DIN 18195-6. Fleksibilnost pri niskim temperaturama: ≤ - 10°C (EN 1109 ili jednakovrijedan). Membrane se ugrađuju u 2 sloja (bočni preklopi; 100mm, čeoni preklopi: 150mm) na podlogu pripremljenu sa temeljnim bitumenskim premazom tipa kao SIKA IGOLFLEX P01. Bitumenska traka se zadiže na vertikalnu površinu maks. 6.0 cm što je uključeno u jediničnu cijenu. Obračun po m2 površine.</t>
  </si>
  <si>
    <t>Dobava i ugradnja ekstrudiranog polistirena XPS300 u pločama (30 kg/m³) debljine 10 cm (GRIJANI PROSTORI), ploče s rubnim preklopima s λ ≤ 0,036 W/mK. Obračun po m2.</t>
  </si>
  <si>
    <t>HIDROIZOLACIJA ZID U TLU</t>
  </si>
  <si>
    <t>Dobava i postava vertikalne hidroizolacijske membrane na bazi destiliranog bitumen sa plastomernim polimerima (APP) tipa kao Sika® Sika® BituSeal T-240 PG (-10°C) ili jednakovrijedne, 4.00 kg / m2, armirana poliesterskim netkanim pletivom, obostrano zašticena polietilensklom (PE) folijom za jednostavniju ugradnju, prema EN 13969 i DIN 18195-6. Membrane se ugrađuju u 2 sloja (bočni preklopi; 100mm, čeoni preklopi: 150mm) na podlogu pripremljenu sa temeljnim bitumenskim premazom na bazi otapala tipa kao Sika® Igolflex® P-01 S ili jednakovrijedan. Obračun po m2 obrađene površine.</t>
  </si>
  <si>
    <t xml:space="preserve">Dobava i ugradnja zaštitnog sloja od čepaste membrane. Materijal membrane HDPE, otpornost na tlačnu silu 320 kN/m2. Čepovi usmjereni prema zidu. Pričvršćenje i ugradnja prema uputi proizvođača. Obračun po m2. </t>
  </si>
  <si>
    <t>HIDROIZOLACIJA  TERASE</t>
  </si>
  <si>
    <r>
      <t xml:space="preserve">Dobava i postava horizontalne hidroizolacije balkona ispod estriha. Izvodi se iz jednokomponentene elastomerne bitumenske tekuće membrane na vodenoj bazi, sve prema EN 1504-2 ili jednakovrijedna, EN 14891 ili jednakovrijedna, te EN 15814  ili jednakovrijedna. Karakteristike: gustoća min 1,50 kg/lit (EN 2811-1 ili jednakovrijedna); sadržaja VOC manje od 2g/l (EN 11890-2 ili jednakovrijedna); vlačna uzdužna čvrstoća armiranog sustava: min. 660 N (EN 12311-2 ili jednakovrijedna); poprečna vlačna čvrstoća armiranog sustava: min. 650 N (EN 12311-2 ili jednakovrijedna); izduljenje pri slomu armiranog sustava uzdužno: min. 48% (EN 12311-2 ili jednakovrijedna); izduljenje pri slomu armiranog sustava poprečno: min. 50% (EN 12311-2 ili jednakovrijedna); vlačna čvrstoća prionjivosti : min. 2,5 MPa( En 1542 ili jednakovrijedna), na beton min: 1,5 N/mm2 (EN 14891 ili jednakovrijedna); premošćenje pukotina: min. 3,5 mm pri 20 </t>
    </r>
    <r>
      <rPr>
        <sz val="8"/>
        <color indexed="8"/>
        <rFont val="Calibri"/>
        <family val="2"/>
        <charset val="238"/>
      </rPr>
      <t>°C / min. 1,5 mm pri -5 °C  (EN 14891 ili jednakovrijedna) i klasa CB2 (EN 15812 ili jednakovrijedna); paropropusnost :klasa II (EN 7783 ili jednakovrijedna); vodonepropusnost : min. 500 kPa (EN 14891 ili jednakovrijedna). Tekuća membrana se ugrađuje četkom, valjkom , gleterom ili strojno na podlogu (cementna, opeka, pločice, metal, drvo...) i sa svim dodatnim elementima istog sustava specificiranim od strane proizvođača materijala. Uključena obrada svih prodora uključujući cjevi, gromobran, pilote i sl.). Radove izvesti prema uputama proizvođača materijala. Svi proizvodi u sustavu trebaju biti kompatibilni. Obračun po m2 površine.</t>
    </r>
  </si>
  <si>
    <t xml:space="preserve">Dobava i ugradnje dvokomponentnog polimer-cementnog premaza prema HRN EN 14891:2012-klasa CM02P ili jednakovrijednog, ukupne debljine oko 3mm. Sve spojeve zidova i ploča izvesti sa dodatnim ojačanjem koristeći elastičnu vodonepropusnu traku na bazi termoplastičnog elastomera sa poliesterskim tkanjem na rubu ili jednakovrijedne koja se utapa u polimer-cementni mort. Karakteristike hidroizolacijskog premaza: klasa: min. CM02P (EN 14891 ili jednakovrijedan) specifična gustoća: 1,80 kg/L, maksimalno zrno agregata: Dmax: 0,5 mm, prionjivost nakon uronjenosti u kloriranu vodu: ~ 0,9 MPa, prionjivost nakon termičke izloženosti: ~ 1,8 MPa, izduženje pri slomu: ~ 31,0% (ISO 37 ili jednakovrijedan), statičko premoštenje pukotina: min. 1,25 mm (EN 1062-7  ili jednakovrijedan), paropropusnost: ~ 1,00 m(  (EN ISO 7783 ili jednakovrijedan), kapilarno upijanje: maks. ~0,005 kg m-2 h-0,5 (EN 1062-3 ili jednakovrijedan)                        </t>
  </si>
  <si>
    <t>05.05.</t>
  </si>
  <si>
    <t>HIDROIZOLACIJA  STEPENIŠTA NA TERENU</t>
  </si>
  <si>
    <t>HIDROIZOLACIJA  KUPAONICA i WC-a: Dobava i postava jednokomponentnog elastičnog hidroizolacijskog premaza na bazi akrila Sikalastic -200 W, premaz se izvodi u  dva sloja ( 0,6 kg/m2 po sloju) vunenim valjkom s dlakom srednje dužine. Ukupna suha debljine barem 0,5 mm. Za upojne podloge prvi sloj se izvodi u svojstvu primer-a: Sikalastic 200 W razrijeđenog s vodom u omjeru 1:1 volumno (potrošnja od 130-300 g/m2 u ovisnosti o vrsti podloge). Sve spojeve zidova i ploča izvesti sa dodatnim ojačanjem SikaSeal Tape F (termoplastična elastomerna traka ojačana PP mrežicom za veće pomake). Traka se ugrađuje u svježe nanijet prvi sloj i potpuno prekriva drugim slojem nakon što je prvi stvrdnuo.</t>
  </si>
  <si>
    <t>GK ZID PZ1 - SUHO/SUHO, d=12,5: Knauf pregradni zid W112 ukupne debljine 12,5 cm, visine do 3,0 m, debljina izolacije 6 cm. Dobava materijala i izrada pregradnog zida tip Knauf W112 ukupne debljine 12,5 cm. Potkonstrukcija iz Knauf tipskih čeličnih pocinčanih profila UW i CW 75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A13 - debljine 12,5 mm. Obrada spojeva ploča u kvaliteti Q2 - Knauf Uniflott ili Fugenfüller + bandažna traka  (obavezno zapunjavanje spojeva prvog sloja ploča). Uključiti ispunu zidnog međuprostora sa slojem izolacijskog materijala debljine 6 cm. Zvučna zaštita min Rw=52 dB.Obračun po m2.</t>
  </si>
  <si>
    <t>GK ZID PZ1a - SUHO/MOKRO, d=12,5: Knauf pregradni zid W112 ukupne debljine 12,5 cm, visine do 3,0 m, debljina izolacije 6 cm. Dobava materijala i izrada pregradnog zida tip Knauf W112 ukupne debljine 12,5 cm. Potkonstrukcija iz Knauf tipskih čeličnih pocinčanih profila UW i CW 75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A13 i H2 13 - debljine 12,5 mm. Obrada spojeva ploča u kvaliteti Q2 - Knauf Uniflott ili Fugenfüller + bandažna traka  (obavezno zapunjavanje spojeva prvog sloja ploča). Uključiti ispunu zidnog međuprostora sa slojem izolacijskog materijala debljine 6 cm. Zvučna zaštita min Rw=52 dB.Obračun po m2.</t>
  </si>
  <si>
    <t>GK ZID PZ1b - MOKRO/MOKRO, d=12,5: Knauf pregradni zid W112 ukupne debljine 12,5 cm, visine do 3,0 m, debljina izolacije 6 cm. Dobava materijala i izrada pregradnog zida tip Knauf W112 ukupne debljine 12,5 cm. Potkonstrukcija iz Knauf tipskih čeličnih pocinčanih profila UW i CW 75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H2 13 - debljine 12,5 mm. Obrada spojeva ploča u kvaliteti Q2 - Knauf Uniflott ili Fugenfüller + bandažna traka  (obavezno zapunjavanje spojeva prvog sloja ploča). Uključiti ispunu zidnog međuprostora sa slojem izolacijskog materijala debljine 6 cm. Zvučna zaštita min Rw=52 dB.Obračun po m2.</t>
  </si>
  <si>
    <t>GK ZID PZ2 - SUHO/MOKRO, d=10: Knauf pregradni zid W112 ukupne debljine 10 cm, visine do 3,0 m, debljina izolacije 5 cm. Dobava materijala i izrada pregradnog zida tip Knauf W112 ukupne debljine 10 cm. Potkonstrukcija iz Knauf tipskih čeličnih pocinčanih profila UW i CW 50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A13 i H2 13 - debljine 12,5 mm. Obrada spojeva ploča u kvaliteti Q2 - Knauf Uniflott ili Fugenfüller + bandažna traka  (obavezno zapunjavanje spojeva prvog sloja ploča). Uključiti ispunu zidnog međuprostora sa slojem izolacijskog materijala debljine 5 cm. Zvučna zaštita min Rw=48 dB.Obračun po m2.</t>
  </si>
  <si>
    <t>GK ZID PZ3 - SUHO/SUHO, d=10, bez mineralne vune: Knauf pregradni zid W112 ukupne debljine 10 cm, visine do 3,0 m. Dobava materijala i izrada pregradnog zida tip Knauf W112 ukupne debljine 10 cm. Potkonstrukcija iz Knauf tipskih čeličnih pocinčanih profila UW i CW 50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A13 i H2 13 - debljine 12,5 mm. Obrada spojeva ploča u kvaliteti Q2 - Knauf Uniflott ili Fugenfüller + bandažna traka  (obavezno zapunjavanje spojeva prvog sloja ploča). Obračun po m2.</t>
  </si>
  <si>
    <t>GK ZID PZ4 - SUHO/SUHO, d=10: Knauf pregradni zid W112 ukupne debljine 10 cm, visine do 3,0 m, debljina izolacije 5 cm. Dobava materijala i izrada pregradnog zida tip Knauf W112 ukupne debljine 10 cm. Potkonstrukcija iz Knauf tipskih čeličnih pocinčanih profila UW i CW 50 (debljina lima 0,6 mm). Vertikalni CW profili postavljaju se na međusobnom osnom razmaku od 62,5 cm, u području dodira čeličnih profila s masivnim zidom, stropom ili podom na profile je potrebno nanijeti Knauf PE brtvenu traku ili brtveni kit (dva reda materijala). Obostrano dvostruka obloga iz Knauf  gipskartonskih ploča A13 - debljine 12,5 mm. Obrada spojeva ploča u kvaliteti Q2 - Knauf Uniflott ili Fugenfüller + bandažna traka  (obavezno zapunjavanje spojeva prvog sloja ploča). Uključiti ispunu zidnog međuprostora sa slojem izolacijskog materijala debljine 5 cm. Zvučna zaštita min Rw=48 dB.Obračun po m2.</t>
  </si>
  <si>
    <t>OBLOGA KNAUF CLT PLOČAMA: Dobava i postava sustava s lamelama od kamene vune jednostrano obrađenih završnim silikatnim dekorativnim premazom te estetski obrađenih rubova, kao  Knauf Insulation lamela CLT-C1 Thermal, λ=0,037 W/mK, oznaka po HRN EN 13162: MW-EN 13162-T5-DS(TH)-TR40-WS-WL(P)-MU1 debljine 10 cm. Na prethodno očišćenu te tretiranu pretpremazom (emulzijom za bolju prionjivost) podlogu, izvodi se sustav ugradnjom toplinsko izolacijskih lamela posebnim utisnim nosačem, punoplošnim nanosom PC morta posebnim gleterom na neobrađenu stranu lamela te aplikacija istih o horizontalnu podlogu podgleda, a bez potrebe dodatne završne obrade podgledne površine ili je moguće kompresorsko bojanje željenom nijanskom boje. Debljina ljepila iznosi do 5,00 mm.U cijenu uključen kompletan radi i materijal, a sve izvesti u skladu s preporukama proizvođača.OBLOGA KNAUF CLT PLOČAMA: Dobava i postava sustava s lamelama od kamene vune jednostrano obrađenih završnim silikatnim dekorativnim premazom te estetski obrađenih rubova, kao  Knauf Insulation lamela CLT-C1 Thermal, λ=0,037 W/mK, oznaka po HRN EN 13162: MW-EN 13162-T5-DS(TH)-TR40-WS-WL(P)-MU1 debljine 10 cm. Na prethodno očišćenu te tretiranu pretpremazom (emulzijom za bolju prionjivost) podlogu, izvodi se sustav ugradnjom toplinsko izolacijskih lamela posebnim utisnim nosačem, punoplošnim nanosom PC morta posebnim gleterom na neobrađenu stranu lamela te aplikacija istih o horizontalnu podlogu podgleda, a bez potrebe dodatne završne obrade podgledne površine ili je moguće kompresorsko bojanje željenom nijanskom boje. Debljina ljepila iznosi do 5,00 mm.U cijenu uključen kompletan radi i materijal, a sve izvesti u skladu s preporukama proizvođača.</t>
  </si>
  <si>
    <t>06.15.</t>
  </si>
  <si>
    <t>06.14.</t>
  </si>
  <si>
    <t>UA PROFIL ZA UGRADNJU VRATA U GK PREGRADE: Dobava i postava UA profila na mjestima vrata sa UA75 profilima. Isti se postavljaju u utične kutnike koji su pričvrščeni za međukatnu konstrukciju. Visina ugradnje do 3,20 m. Pri izradi držati se smjernica proizvođača.</t>
  </si>
  <si>
    <t>Stubište</t>
  </si>
  <si>
    <t>KAMENA ZID OGRADE TERASE: Dobava i ugradnja kamenih klupčica terase, tip kamena - GRANIT. Debljina klupčice 3cm, širine 51cm (ili prema arhitektonskom nacrtu). Uzorak kamena dostaviti projektantu na odobrenje. Obračun po ml ugrađene klupčice.</t>
  </si>
  <si>
    <t>ČELIČNA OGRADA UNUTARNJEG AB STUBIŠTA: Dobava, izrada i ugradnja pocinčane čelične ograde stubišta, dimenzije prema shemi, čn okvir 40/40/3mm, rukohvat drvo prema izboru projektanta, ispuna isteg/čn šipke metal. U stavku ograde uračunati sav brtveni i pričvrsni materijal.  Sve prema shemama i nacrtima. Izmjera na licu mjesta.</t>
  </si>
  <si>
    <t>KAMENI PRAG: Dobava, dostava i postava kamenih pragova vrata dijelu debljine 3cm, postavljeni u građevinskom ljepilu, tip kamena - GRANIT. Širina 45cm. Iz koliko komada se radi prag te vrsta i boja kamena - uzorak dostaviti projektantu na odobrenje. Izrada u svemu prema detalju praga. Obračun po ml ugrađenog kamena.</t>
  </si>
  <si>
    <t>KAMENA PROZORSKA KLUPČICA - VANJSKA STRANA PROZORA: Dobava i ugradnja kamenih klupčica prozora, tip kamena - GRANIT. Debljina klupčice 3cm, širine 18cm (ili prema arhitektonskom nacrtu). Uzorak kamena dostaviti projektantu na odobrenje. Obračun po ml ugrađene klupčice.</t>
  </si>
  <si>
    <t>KAMENA PROZORSKA KLUPČICA - UNUTARNJA STRANA PROZORA: Dobava i ugradnja kamenih klupčica prozora, tip kamena - GRANIT. Debljina klupčice 3cm, širine 20cm (ili prema arhitektonskom nacrtu). Uzorak kamena dostaviti projektantu na odobrenje. Obračun po ml ugrađene klupčice.</t>
  </si>
  <si>
    <t xml:space="preserve">KAMEN STEPENIŠTE: Dobava I ugradnja kamenih podnih obloga. Debljina kamena 3cm, shema polaganja prema arhitektonskom nacrtu. Vrsta kamena prema odbiru projektanta. Obračun po m2. </t>
  </si>
  <si>
    <t>09.04.</t>
  </si>
  <si>
    <t>09.05.</t>
  </si>
  <si>
    <t>09.06.</t>
  </si>
  <si>
    <t xml:space="preserve">KAMEN STEPENIŠTE: Dobava I ugradnja kamenih čeonih obloga. Debljina kamena 2cm, shema polaganja prema arhitektonskom nacrtu. Vrsta kamena prema odbiru projektanta. Obračun po m2. </t>
  </si>
  <si>
    <t>09.07.</t>
  </si>
  <si>
    <t>KAMENA NAZIDNICA OKOLIŠA: Dobava i ugradnja kamenih klupčica terase, tip kamena - GRANIT. Debljina klupčice 3cm, širine 29cm (ili prema arhitektonskom nacrtu). Uzorak kamena dostaviti projektantu na odobrenje. Obračun po ml ugrađene klupčice.</t>
  </si>
  <si>
    <t>RUKOHVAT STUBIŠTA: Dobava, izrada i ugradnja ograde stubišta koja se sastoji od ČN rukohvata flach 50/10mm i ČN šipki 30/10mm sve plastificirano u antracit boju, dimenzija prema shemi. U stavku ograde uračunati sav brtveni i pričvrsni materijal.  Sve prema shemama i nacrtima. Izmjera na licu mjesta.</t>
  </si>
  <si>
    <t>ČELIČNA OGRADA FRANCUSKOG PROZORA: Dobava, izrada i ugradnja pocinčane čelične ograde, visine 130cm, bočno učvršćena na prethodno izvedenu fasadu (stavka uključuje svu potrebnu zaštitu fasade prilikom ugradnje ograde), čn rukohvat/okvir 40/40/3mm ispuna isteg metal. U stavku ograde uračunati sav brtveni i pričvrsni materijal.  Sve prema shemama i nacrtima. Izmjera na licu mjesta.</t>
  </si>
  <si>
    <t>ČELIČNA OGRADA TERASE OKOLIŠ: Dobava, izrada i ugradnja pocinčane čelične ograde, visine 100cm, odmaknuta od poda cca 10cm, čn rukohvat/okvir 40/40/3mm ispuna isteg metal. U stavku ograde uračunati sav brtveni i pričvrsni materijal. Sve prema shemama i nacrtima. Izmjera na licu mjesta.</t>
  </si>
  <si>
    <t>ČELIČNA REŠETKASTA MREŽA: Dobava, izrada i ugradnja pocinčane čelične rešetke, dimenzije cca 265x280cm, potrebna izrada statičkog proračuna za dimenzioniranje visine profila. U stavku rešetke uračunati sav brtveni i pričvrsni materijal. Sve prema shemama i nacrtima. Izmjera na licu mjesta.</t>
  </si>
  <si>
    <t>Dobava I ugradnja sekcijskih garažnih vrata, tipa kao Hormann, Ral 7016. Građevinska dimenzija otvora vrata 745/210cm. Dizajn prema odabiru investitora. U stavku uračunati sav brtveni I pričvrsni materijal, okove, vodilice, roloe, daljinske upravljače (min. 3 kom) i sve radnje i predradnje do potpune gotovosti. Sve prema shemama i nacrtima. Izmjera na licu mjesta. Obračun po komadu.</t>
  </si>
  <si>
    <t xml:space="preserve">Dobava, izrada i ugradnja vanjskih ALU ulaznih vrata, RAL 7016, ostakljenog 3 izo staklom 4/12/4/12/4mm ili po zahtjevu izvođača te dobava i ugradnja vertikalnog slijepog profila. Građevinska dimenzija otvora prozora 110x215cm. U ≤ 1,00 W/m2K.  U stavku prozora uračunati sav brtveni i pričvrsni materijal, okovi,  kamenog praga debljine 3 cm. Također, u stavku uračunati sav brtveni i pričvrsni materijal, pante, kromiranu vanjsku dršku, elektro bravu, unutarnju kvaku, ugrađen mehanizam za samozatvaranje. Sve prema shemama i nacrtima. Izmjera na licu mjesta.
</t>
  </si>
  <si>
    <t>STAVKA 2: Dobava, izrada i ugradnja vanjskog ALU zaokretno-otklopnog prozora, RAL 7016, ostakljenog 3 izo staklom 4/12/4/12/4mm. Građevinska dimenzija otvora prozora 140x135+25cm. U ≤ 1,00 W/m2K.  U stavku prozora uračunati sav brtveni i pričvrsni materijal, okovi, panti, kvake do potpune gotovosti, ventus ručka, kao i ugradnju električne rolete uključene u cijenu stavke. Sve prema shemama i nacrtima. Izmjera na licu mjesta.</t>
  </si>
  <si>
    <t>STAVKA 3: Dobava, izrada i ugradnja vanjskog ALU zaokretno-otklopnog prozora, RAL 7016, ostakljenog 3 izo staklom 4/12/4/12/4mm. Građevinska dimenzija otvora prozora 300x165+25cm. U ≤ 1,00 W/m2K.  U stavku prozora uračunati sav brtveni i pričvrsni materijal, okovi, panti, kvake do potpune gotovosti, ventus ručka, kao i ugradnju električne rolete uključene u cijenu stavke. Sve prema shemama i nacrtima. Izmjera na licu mjesta.</t>
  </si>
  <si>
    <t>STAVKA 4: Dobava, izrada i ugradnja vanjskog ALU zaokretno-otklopnog prozora, RAL 7016, ostakljenog 3 izo staklom 4/12/4/12/4mm. Građevinska dimenzija otvora prozora 160x105+25cm. U ≤ 1,00 W/m2K.  U stavku prozora uračunati sav brtveni i pričvrsni materijal, okovi, panti, kvake do potpune gotovosti, ventus ručka, kao i ugradnju električne rolete uključene u cijenu stavke. Sve prema shemama i nacrtima. Izmjera na licu mjesta.</t>
  </si>
  <si>
    <t>STAVKA 5: Dobava, izrada i ugradnja vanjskog ALU zaokretno-otklopnog prozora, RAL 7016, ostakljenog 3 izo staklom 4/12/4/12/4mm. Građevinska dimenzija otvora prozora 60x105+25cm. U ≤ 1,00 W/m2K.  U stavku prozora uračunati sav brtveni i pričvrsni materijal, okovi, panti, kvake do potpune gotovosti, ventus ručka, kao i ugradnju električne rolete uključene u cijenu stavke. Sve prema shemama i nacrtima. Izmjera na licu mjesta.</t>
  </si>
  <si>
    <t>STAVKA 1a: Dobava, izrada i ugradnja vanjskog ALU zaokretno-otklopnog prozora, RAL 7016, ostakljenog 3 izo staklom 4/12/4/12/4mm. Građevinska dimenzija otvora prozora 160x165+25cm. U ≤ 1,00 W/m2K.  U stavku prozora uračunati sav brtveni i pričvrsni materijal, okovi, panti, kvake do potpune gotovosti, ventus ručka, kao i ugradnju električne rolete uključene u cijenu stavke. Sve prema shemama i nacrtima. Izmjera na licu mjesta.</t>
  </si>
  <si>
    <t>STAVKA 2a: Dobava, izrada i ugradnja vanjskog ALU zaokretno-otklopnog prozora, RAL 7016, ostakljenog 3 izo staklom 4/12/4/12/4mm. Građevinska dimenzija otvora prozora 140x165+25cm. U ≤ 1,00 W/m2K.  U stavku prozora uračunati sav brtveni i pričvrsni materijal, okovi, panti, kvake do potpune gotovosti, ventus ručka, kao i ugradnju električne rolete uključene u cijenu stavke. Sve prema shemama i nacrtima. Izmjera na licu mjesta.</t>
  </si>
  <si>
    <t>11.10.</t>
  </si>
  <si>
    <t>11.11.</t>
  </si>
  <si>
    <t>11.12.</t>
  </si>
  <si>
    <t>STAVKA 8: Dobava, izrada i ugradnja vanjskog ALU zaokretno-otklopnog prozora, RAL 7016, ostakljenog 3 izo staklom 4/12/4/12/4mm. Građevinska dimenzija otvora prozora 230x120+25cm. U ≤ 1,00 W/m2K.  U stavku prozora uračunati sav brtveni i pričvrsni materijal, okovi, panti, kvake do potpune gotovosti, ventus ručka, kao i ugradnju električne rolete uključene u cijenu stavke. Sve prema shemama i nacrtima. Izmjera na licu mjesta.</t>
  </si>
  <si>
    <t>11.13.</t>
  </si>
  <si>
    <t>STAVKA 9: Dobava, izrada i ugradnja vanjske ALU stijene koja se sastoji od 2 fiksna polja i 2 zaokretno-otklopnog krila, RAL 7016, ostakljenog 3 izo staklom 4/12/4/12/4mm. Građevinska dimenzija otvora stijene 300x225+25cm. U ≤ 1,00 W/m2K.  U stavku prozora uračunati sav brtveni i pričvrsni materijal, okovi, panti, kvake do potpune gotovosti, ventus ručka, kao i ugradnju električne rolete uključene u cijenu stavke. Sve prema shemama i nacrtima. Izmjera na licu mjesta.</t>
  </si>
  <si>
    <t>STAVKA 7: Dobava, izrada i ugradnja vanjske ALU stijene koja se sastoji od 2 fiksna polja i 4 zaokretno-otklopnog krila, RAL 7016, ostakljenog 3 izo staklom 4/12/4/12/4mm. Građevinska dimenzija otvora stijene 140x225+25cm. U ≤ 1,00 W/m2K.  U stavku prozora uračunati sav brtveni i pričvrsni materijal, okovi, panti, kvake do potpune gotovosti, ventus ručka, kao i ugradnju električne rolete uključene u cijenu stavke. Sve prema shemama i nacrtima. Izmjera na licu mjesta.</t>
  </si>
  <si>
    <t>STAVKA 6: Dobava, izrada i ugradnja vanjske ALU stijene koja se sastoji od 2 fiksna polja i zaokretno-otklopnog krila, RAL 7016, ostakljenog 3 izo staklom 4/12/4/12/4mm. Građevinska dimenzija otvora stijene 140x225+25cm. U ≤ 1,00 W/m2K.  U stavku prozora uračunati sav brtveni i pričvrsni materijal, okovi, panti, kvake do potpune gotovosti, ventus ručka, kao i ugradnju električne rolete uključene u cijenu stavke. Sve prema shemama i nacrtima. Izmjera na licu mjesta.</t>
  </si>
  <si>
    <t>STAVKA 1: Dobava, izrada i ugradnja vanjske ALU stijene koja se sastoji od 2 fiksna polja i zaokretno-otklopnog krila, RAL 7016, ostakljenog 3 izo staklom 4/12/4/12/4mm. Građevinska dimenzija otvora stijene 160x225+25cm. U ≤ 1,00 W/m2K.  U stavku prozora uračunati sav brtveni i pričvrsni materijal, okovi, panti, kvake do potpune gotovosti, ventus ručka, kao i ugradnju električne rolete uključene u cijenu stavke. Sve prema shemama i nacrtima. Izmjera na licu mjesta.</t>
  </si>
  <si>
    <t>11.14.</t>
  </si>
  <si>
    <t>STAVKA 10: Dobava, izrada i ugradnja vanjskog ALU zaokretno-otklopnog prozora, RAL 7016, ostakljenog 3 izo staklom 4/12/4/12/4mm. Građevinska dimenzija otvora prozora 160x165+25cm. U ≤ 1,00 W/m2K.  U stavku prozora uračunati sav brtveni i pričvrsni materijal, okovi, panti, kvake do potpune gotovosti, ventus ručka, kao i ugradnju električne rolete uključene u cijenu stavke. Sve prema shemama i nacrtima. Izmjera na licu mjesta.</t>
  </si>
  <si>
    <t>11.15.</t>
  </si>
  <si>
    <t>STAVKA 11: Dobava, izrada i ugradnja vanjskog ALU zaokretno-otklopnog prozora, RAL 7016, ostakljenog 3 izo staklom 4/12/4/12/4mm. Građevinska dimenzija otvora prozora 225x165+25cm. U ≤ 1,00 W/m2K.  U stavku prozora uračunati sav brtveni i pričvrsni materijal, okovi, panti, kvake do potpune gotovosti, ventus ručka, kao i ugradnju električne rolete uključene u cijenu stavke. Sve prema shemama i nacrtima. Izmjera na licu mjesta.</t>
  </si>
  <si>
    <t>11.16.</t>
  </si>
  <si>
    <t>STAVKA 12: Dobava, izrada i ugradnja vanjske ALU stijene koja se sastoji od 2 fiksna polja i 2 zaokretno-otklopnog krila, RAL 7016, ostakljenog 3 izo staklom 4/12/4/12/4mm. Građevinska dimenzija otvora stijene 210x225+25cm. U ≤ 1,00 W/m2K.  U stavku prozora uračunati sav brtveni i pričvrsni materijal, okovi, panti, kvake do potpune gotovosti, ventus ručka, kao i ugradnju električne rolete uključene u cijenu stavke. Sve prema shemama i nacrtima. Izmjera na licu mjesta.</t>
  </si>
  <si>
    <t>11.17.</t>
  </si>
  <si>
    <t>STAVKA 13: Dobava, izrada i ugradnja vanjskog ALU zaokretno-otklopnog prozora, RAL 7016, ostakljenog 3 izo staklom 4/12/4/12/4mm. Građevinska dimenzija otvora prozora 80x120+25cm. U ≤ 1,00 W/m2K.  U stavku prozora uračunati sav brtveni i pričvrsni materijal, okovi, panti, kvake do potpune gotovosti, ventus ručka, kao i ugradnju električne rolete uključene u cijenu stavke. Sve prema shemama i nacrtima. Izmjera na licu mjesta.</t>
  </si>
  <si>
    <t>STAVKA 11: Dobava, izrada i ugradnja vanjskih PVC vrata, RAL 7016, ostakljenim 3 izo staklom 4/12/4/12/4mm. Građevinska dimenzija otvora stijene 80x210cm. U ≤ 1,00 W/m2K. U stavku prozora uračunati sav brtveni i pričvrsni materijal, okovi, panti, kvake do potpune gotovosti, rolete, ograda od pocinčanog čelika, bojanog u boju stolarije, roleta na elektromotor. Sve prema shemama i nacrtima. Izmjera na licu mjesta.</t>
  </si>
  <si>
    <t>STAKLENA NADSTREŠNICA - ULAZ U ZGRADU: Dobava, izrada i ugradnja staklene nadstrešnice nad ulazom, prozirno lamistal kaljeno staklo, 8+8mm, dimenzija cca 185-211x140cm, ovješene na čelične inox sajle (dimenzije prema odabiru dobavljača)usidrene u betonski zid. U stavku nadstrešnice uračunati sav brtveni i pričvrsni materijal. Sve prema shemama i nacrtima. Izmjera na licu mjesta.</t>
  </si>
  <si>
    <t>UNUTARNJA DRVENA VRATA 90/215 - STAVKA 1: Dobava, izrada i ugradnja unutarnjih jednokrilnih drvenih zaokretnih vrata, debljine 40mm, sače, bijela MDF mat, građevinski otvor 90x215cm, sveobuhvatni dovratnik. U stavku vrata uračunati sav brtveni i pričvrsni materijal, kvake i brave. Sve prema shemama i nacrtima. Izmjera na licu mjesta.</t>
  </si>
  <si>
    <t>UNUTARNJA DRVENA VRATA 80/215 - STAVKA 1: Dobava, izrada i ugradnja unutarnjih jednokrilnih drvenih zaokretnih vrata, debljine 40mm, sače, bijela MDF mat, građevinski otvor 80x215cm, sveobuhvatni dovratnik. U stavku vrata uračunati sav brtveni i pričvrsni materijal, kvake i brave. Sve prema shemama i nacrtima. Izmjera na licu mjesta.</t>
  </si>
  <si>
    <t xml:space="preserve">UNUTARNJA DRVENA VRATA 80/215 - STAVKA 2: Dobava, izrada i ugradnja unutarnjih jednokrilnih drvenih zaokretnih vrata, konstrukcije od medijapana, debljine cca 40mm, sa izvedenim primerom kao podlogom za završnu obradu po želji investitora , građevinski otvor 80x215cm (od gotovog poda). U stavku vrata uračunati sav brtveni i pričvrsni materijal, pante, ventilacijsku rešetku, kvake i brave. Sve prema shemama i nacrtima. Izmjera na licu mjesta.
</t>
  </si>
  <si>
    <t>FASADNI ZID, sloj VZ2, VZ3, VZ4, VZ5</t>
  </si>
  <si>
    <t>Dobava i ugradnja sustava ventilirane fasade sa završnom oblogom od TRESPA® METEON fasadnih ploča. Trespa ploče su visoko prešani laminati, na bazi termostvrdnjavajućih smola, homogeno ojačani drvenim vlaknima sa dekorativnom površinom od pigmentiranih smola, stvrdnutih pomoću elektronskog snopa (EBC postupak). Vanjska obloga fasade pričvršćuje se na nosivi zid u sustavu ETEM sistemi VARIO (sakriveno-lijepljeno) izvodi se u svemu prema preporukama proizvođača TRESPA ploča kao i preporukama proizvođača sustava lijepljenja (tremco illbruck) i proizvođača sustava potkonstrukcija (Etem). Aluminijska potkonstrukcija sastoji se od zidnih nosača (sa termostop pološcima, pričvrščenim u nosivu konstrukciju, te lineranih L profila dim 40/60 mm, koji se postavljaju u polju, i T profila dim 110/60 koji se postavljaju na vertikalnim spojevima ploča. Horizontalne fuge u pravilu ostaju otvorene, ako projektant nije detaljem predvidio drugačije rješenje. max. duljina linearnih alu profila je 3,00 m. Standardna širina fuge Trespa ploča je 8 mm. Ploča može biti slobodno prepuštena preko profila najviše 10 x debljina ploče. Za maksimalne dimenzije ploča obzirom na sustav pričvršćenja, konzultirati tehničku dokumentaciju. Dubina ventilirane fasade je 250 mm. Predviđena toplinske  izolacija je od  polutvrdih ploča od  kamene mineralne vune debljine 12 cm,  specifične mase 50 kg/m2 kaširane crnim, tip ROCKWOOL Airrock ND FB1 staklenim voalom. Klasa zapaljivosti A1. Koeficijent toplinske provodljivosti  λD=0,035 W/mK. Ploče mineralne vune  pričvršćuju se  u nosivu konstrukciju sa  4-6 PVC tipli po m2. U donjoj zoni ventilirane fasade, podgledima, te gornjim horizontalnim špaletama ugrađuju se perforirane mrežice od pocinčanog, bojanog lima, debljine 0,60 mm.</t>
  </si>
  <si>
    <t>FASADNI ZID, sloj VZ1 - HPL</t>
  </si>
  <si>
    <t xml:space="preserve">FASADNI ZID SOKL: Dobava i ugradnja materijala za izvedbu povezanog sustava za vanjsku toplinsku izolaciju na osnovi XPS ploča za fasade debljine 14cm. Sve radove izvesti u potpunosti prema uputama proizvođača. Završni sloj izvodi se sa silikonskom žbukom u sloju debljine 1,5mm (Caparol silikon ili slično). Za sve ugrađene materijale potrebno je priložiti ateste. U cijenu uključen rad, materijal i potrebne radnje i predradnje, kao i čišćenje građevine. Obračun po m2 prema GI normi za fasaderske radove. </t>
  </si>
  <si>
    <t>PODGLED</t>
  </si>
  <si>
    <t>FASADNI ZID, sloj VZ2, VZ3, VZ4, VZ5 - UNUTARNJA STRANA TERASA</t>
  </si>
  <si>
    <t>XPS: Dobava i ugradnja ekstrudiranog polistirena XPS300 u pločama (30 kg/m³) debljine 10 cm, ploče s rubnim preklopima s λ ≤ 0,036 W/mK. Obračun po m2.</t>
  </si>
  <si>
    <t>ČELIČNA OGRADA TERASE: Dobava, izrada i ugradnja čn vanjske ograde, ukupne dužine 33,0m, ukupne visine 50cm. Čelične profile plastificirati ili lakirat u RAL prema odabiru investitora. Ograda se sastoji od čn. flach okvira profila dim. 40/10mm koji služi ujedno kao rukohvat te ispunu od čn. flach profila 40/2mm, međusobni razmak 12cm, dio ograde je ispuna od istegnutog plastificiranog lima - antracit RAL 7016, postavlja se na čeličnu podkonstrukciju (detaljno pogledat 3D vizualizaciju).  Učvršćivanje ograde pomoću vijaka u podnu konstrukciji.U stavku uračunati sav brtveni i pričvrsni materijal, brtvila, vijke i sve do potpune gotovnosti. Izmjera na licu mjesta.</t>
  </si>
  <si>
    <t>TOPLINSKA IZOLACIJA: dobava i ugradnja ekstrudiranog polistirena XPS300 u pločama (30 kg/m³) debljine 16 cm, ploče s rubnim preklopima s λ ≤ 0,036 W/mK. Obračun po m2.</t>
  </si>
  <si>
    <t xml:space="preserve">BETON ZA PAD: Dobava i postava betona za pad d=5-11cm. Stavka uključuje sve potrebne radnje i predradnje (postava rubne trake, zaštitne folije i slično). Zaštitnu foliju, odnosno parnu branu postaviti iz zid u visini betona za pad. Površinu lagano zbiti i izravnati u traženom nagibu. Ako je potrebno (uz suglasnost nadzornog inženjera) površinu obraditi "helikopterom" što je uključeno u cijenu stavke. Izvesti prema uputama proizvođača. Površine veće od 25m2 potrebno je odijeliti dilatacijama. Obračun po m2 površine. </t>
  </si>
  <si>
    <t>GEOTEKSTIL: Dobava i ugradnja razdjelnog sloja geotekstila (300 gr/m²), na mjestima gdje to odredi nadzorni inženjer, ukoliko se za to ukaže potreba tijekom izvedbe radova. Izvedba u dva sloja ili prema uputama nadzornog inženjera. Obračun za dva sloja po m2 površine.</t>
  </si>
  <si>
    <t>SIGURNOSNI PRELJEV: Dobava i montaža sigurnosnog zidnog atik slivnika iz PVC. U stavku ulazi dobava i montaža slivnika, izrada spoja hidroizolacije i po potrebi sitni građevinski radovi. Obračun po komplet ugrađenom krovnog slivnika u funkcionalnom stanju sa svim potrebnim spojnim i izolacijskim i brtvenim materijalom i radom.</t>
  </si>
  <si>
    <t xml:space="preserve">ŠLJUNAK: Dobava i nasipavanje šljunka granulacije 16-32mm na ravnom krovu u debljini sloja 5cm. </t>
  </si>
  <si>
    <t>STAMBENA ZGRADA S1</t>
  </si>
  <si>
    <t>1500</t>
  </si>
  <si>
    <t>1000</t>
  </si>
  <si>
    <t>100</t>
  </si>
  <si>
    <t>5</t>
  </si>
  <si>
    <t>2</t>
  </si>
  <si>
    <t>14</t>
  </si>
  <si>
    <t>30</t>
  </si>
  <si>
    <t>40</t>
  </si>
  <si>
    <t>6</t>
  </si>
  <si>
    <t>10</t>
  </si>
  <si>
    <t>20</t>
  </si>
  <si>
    <t>150</t>
  </si>
  <si>
    <t>25</t>
  </si>
  <si>
    <t>170</t>
  </si>
  <si>
    <t>35</t>
  </si>
  <si>
    <t>0</t>
  </si>
  <si>
    <t>1,9</t>
  </si>
  <si>
    <t>250</t>
  </si>
  <si>
    <t>15</t>
  </si>
  <si>
    <t>50</t>
  </si>
  <si>
    <t>45</t>
  </si>
  <si>
    <t>65</t>
  </si>
  <si>
    <t>60</t>
  </si>
  <si>
    <t>180</t>
  </si>
  <si>
    <t>400</t>
  </si>
  <si>
    <t>120</t>
  </si>
  <si>
    <t>800</t>
  </si>
  <si>
    <t>1800</t>
  </si>
  <si>
    <t>1700</t>
  </si>
  <si>
    <t>1600</t>
  </si>
  <si>
    <t>1200</t>
  </si>
  <si>
    <t>1400</t>
  </si>
  <si>
    <t>2400</t>
  </si>
  <si>
    <t>500</t>
  </si>
  <si>
    <t>430</t>
  </si>
  <si>
    <t>7</t>
  </si>
  <si>
    <t>4</t>
  </si>
  <si>
    <t>64</t>
  </si>
  <si>
    <t>240</t>
  </si>
  <si>
    <t>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</si>
</sst>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k_n_-;\-* #,##0.00\ _k_n_-;_-* &quot;-&quot;??\ _k_n_-;_-@_-"/>
    <numFmt numFmtId="165" formatCode="_-* #,##0.00\ _k_n_-;\-* #,##0.00\ _k_n_-;_-* \-??\ _k_n_-;_-@_-"/>
    <numFmt numFmtId="166" formatCode="_-* #,##0.00&quot; kn&quot;_-;\-* #,##0.00&quot; kn&quot;_-;_-* \-??&quot; kn&quot;_-;_-@_-"/>
    <numFmt numFmtId="167" formatCode="_(&quot;kn &quot;* #,##0.00_);_(&quot;kn &quot;* \(#,##0.00\);_(&quot;kn &quot;* \-??_);_(@_)"/>
    <numFmt numFmtId="168" formatCode="#,##0.00\ &quot;kn&quot;"/>
  </numFmts>
  <fonts count="44" x14ac:knownFonts="1">
    <font>
      <sz val="11"/>
      <color theme="1"/>
      <name val="Calibri"/>
      <family val="2"/>
      <charset val="238"/>
      <scheme val="minor"/>
    </font>
    <font>
      <b/>
      <sz val="11"/>
      <color theme="1"/>
      <name val="Calibri"/>
      <family val="2"/>
      <charset val="238"/>
      <scheme val="minor"/>
    </font>
    <font>
      <sz val="8"/>
      <color rgb="FF000000"/>
      <name val="Arial"/>
      <family val="2"/>
    </font>
    <font>
      <b/>
      <sz val="8"/>
      <color rgb="FF000000"/>
      <name val="Arial"/>
      <family val="2"/>
      <charset val="238"/>
    </font>
    <font>
      <b/>
      <sz val="8"/>
      <color rgb="FF000000"/>
      <name val="Arial"/>
      <family val="2"/>
    </font>
    <font>
      <sz val="8"/>
      <name val="Arial"/>
      <family val="2"/>
    </font>
    <font>
      <sz val="10"/>
      <name val="Arial"/>
      <family val="2"/>
    </font>
    <font>
      <sz val="10"/>
      <name val="Arial"/>
      <family val="2"/>
      <charset val="238"/>
    </font>
    <font>
      <sz val="11"/>
      <color indexed="8"/>
      <name val="Calibri"/>
      <family val="2"/>
      <charset val="238"/>
    </font>
    <font>
      <sz val="9"/>
      <color indexed="8"/>
      <name val="Tahoma"/>
      <family val="2"/>
      <charset val="238"/>
    </font>
    <font>
      <sz val="11"/>
      <color indexed="17"/>
      <name val="Calibri"/>
      <family val="2"/>
      <charset val="238"/>
    </font>
    <font>
      <u/>
      <sz val="11"/>
      <color indexed="12"/>
      <name val="Calibri"/>
      <family val="2"/>
      <charset val="238"/>
    </font>
    <font>
      <u/>
      <sz val="10"/>
      <color indexed="12"/>
      <name val="Arial"/>
      <family val="2"/>
      <charset val="238"/>
    </font>
    <font>
      <b/>
      <sz val="11"/>
      <color indexed="63"/>
      <name val="Calibri"/>
      <family val="2"/>
      <charset val="238"/>
    </font>
    <font>
      <sz val="10"/>
      <name val="Times New Roman CE"/>
      <family val="1"/>
      <charset val="238"/>
    </font>
    <font>
      <sz val="12"/>
      <name val="Times New Roman CE"/>
      <family val="1"/>
      <charset val="238"/>
    </font>
    <font>
      <b/>
      <sz val="18"/>
      <color indexed="56"/>
      <name val="Cambria"/>
      <family val="2"/>
      <charset val="238"/>
    </font>
    <font>
      <sz val="12"/>
      <name val="Arial"/>
      <family val="2"/>
      <charset val="238"/>
    </font>
    <font>
      <sz val="10"/>
      <name val="Arial CE"/>
      <family val="2"/>
      <charset val="238"/>
    </font>
    <font>
      <sz val="10"/>
      <color indexed="8"/>
      <name val="Arial CE"/>
      <family val="2"/>
      <charset val="238"/>
    </font>
    <font>
      <sz val="11"/>
      <color indexed="10"/>
      <name val="Calibri"/>
      <family val="2"/>
      <charset val="238"/>
    </font>
    <font>
      <sz val="11"/>
      <color rgb="FF000000"/>
      <name val="Calibri"/>
      <family val="2"/>
      <charset val="238"/>
    </font>
    <font>
      <sz val="8"/>
      <color indexed="8"/>
      <name val="Calibri"/>
      <family val="2"/>
      <charset val="238"/>
    </font>
    <font>
      <sz val="10"/>
      <color rgb="FF000000"/>
      <name val="Arial"/>
      <family val="2"/>
    </font>
    <font>
      <sz val="11"/>
      <color theme="1"/>
      <name val="Calibri"/>
      <family val="2"/>
      <charset val="238"/>
      <scheme val="minor"/>
    </font>
    <font>
      <sz val="11"/>
      <color theme="1"/>
      <name val="Calibri"/>
      <family val="2"/>
      <scheme val="minor"/>
    </font>
    <font>
      <i/>
      <sz val="10"/>
      <name val="Arial"/>
      <family val="2"/>
      <charset val="238"/>
    </font>
    <font>
      <b/>
      <i/>
      <sz val="10"/>
      <name val="Arial"/>
      <family val="2"/>
      <charset val="238"/>
    </font>
    <font>
      <i/>
      <sz val="10"/>
      <color theme="1"/>
      <name val="Calibri"/>
      <family val="2"/>
      <scheme val="minor"/>
    </font>
    <font>
      <b/>
      <sz val="10"/>
      <name val="Arial"/>
      <family val="2"/>
      <charset val="238"/>
    </font>
    <font>
      <b/>
      <sz val="12"/>
      <name val="Arial"/>
      <family val="2"/>
      <charset val="238"/>
    </font>
    <font>
      <b/>
      <sz val="16"/>
      <name val="Arial"/>
      <family val="2"/>
      <charset val="238"/>
    </font>
    <font>
      <i/>
      <sz val="10"/>
      <color theme="1"/>
      <name val="Arial"/>
      <family val="2"/>
      <charset val="238"/>
    </font>
    <font>
      <i/>
      <sz val="10"/>
      <color indexed="8"/>
      <name val="Arial"/>
      <family val="2"/>
      <charset val="238"/>
    </font>
    <font>
      <b/>
      <i/>
      <sz val="10"/>
      <color indexed="8"/>
      <name val="Arial"/>
      <family val="2"/>
      <charset val="238"/>
    </font>
    <font>
      <sz val="10"/>
      <name val="Arial CE"/>
      <charset val="238"/>
    </font>
    <font>
      <i/>
      <u/>
      <sz val="10"/>
      <name val="Arial"/>
      <family val="2"/>
      <charset val="238"/>
    </font>
    <font>
      <i/>
      <sz val="10"/>
      <name val="Arial"/>
      <family val="2"/>
    </font>
    <font>
      <i/>
      <vertAlign val="superscript"/>
      <sz val="10"/>
      <name val="Arial"/>
      <family val="2"/>
      <charset val="238"/>
    </font>
    <font>
      <b/>
      <i/>
      <sz val="10"/>
      <name val="Arial"/>
      <family val="2"/>
    </font>
    <font>
      <b/>
      <i/>
      <u/>
      <sz val="10"/>
      <name val="Arial"/>
      <family val="2"/>
      <charset val="238"/>
    </font>
    <font>
      <b/>
      <i/>
      <sz val="10"/>
      <color theme="1"/>
      <name val="Arial"/>
      <family val="2"/>
      <charset val="238"/>
    </font>
    <font>
      <b/>
      <sz val="8"/>
      <name val="Arial"/>
      <family val="2"/>
      <charset val="238"/>
    </font>
    <font>
      <sz val="11"/>
      <name val="Calibri"/>
      <family val="2"/>
      <scheme val="minor"/>
    </font>
  </fonts>
  <fills count="12">
    <fill>
      <patternFill patternType="none"/>
    </fill>
    <fill>
      <patternFill patternType="gray125"/>
    </fill>
    <fill>
      <patternFill patternType="solid">
        <fgColor indexed="44"/>
        <bgColor indexed="31"/>
      </patternFill>
    </fill>
    <fill>
      <patternFill patternType="solid">
        <fgColor indexed="26"/>
        <bgColor indexed="9"/>
      </patternFill>
    </fill>
    <fill>
      <patternFill patternType="solid">
        <fgColor indexed="42"/>
        <bgColor indexed="27"/>
      </patternFill>
    </fill>
    <fill>
      <patternFill patternType="solid">
        <fgColor indexed="22"/>
        <bgColor indexed="31"/>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s>
  <borders count="17">
    <border>
      <left/>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dotted">
        <color rgb="FF000000"/>
      </right>
      <top/>
      <bottom style="dotted">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hair">
        <color auto="1"/>
      </left>
      <right style="hair">
        <color auto="1"/>
      </right>
      <top style="hair">
        <color auto="1"/>
      </top>
      <bottom style="hair">
        <color auto="1"/>
      </bottom>
      <diagonal/>
    </border>
    <border>
      <left style="dotted">
        <color auto="1"/>
      </left>
      <right style="dotted">
        <color auto="1"/>
      </right>
      <top style="dotted">
        <color auto="1"/>
      </top>
      <bottom style="dotted">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4">
    <xf numFmtId="0" fontId="0" fillId="0" borderId="0"/>
    <xf numFmtId="0" fontId="6" fillId="0" borderId="0"/>
    <xf numFmtId="0" fontId="8" fillId="2" borderId="0" applyNumberFormat="0" applyBorder="0" applyAlignment="0" applyProtection="0"/>
    <xf numFmtId="0" fontId="7" fillId="3" borderId="1" applyNumberFormat="0" applyAlignment="0" applyProtection="0"/>
    <xf numFmtId="0" fontId="7" fillId="3" borderId="1" applyNumberFormat="0" applyAlignment="0" applyProtection="0"/>
    <xf numFmtId="164" fontId="7" fillId="0" borderId="0" applyFont="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166" fontId="7" fillId="0" borderId="0" applyFill="0" applyBorder="0" applyAlignment="0" applyProtection="0"/>
    <xf numFmtId="167" fontId="7" fillId="0" borderId="0" applyFill="0" applyBorder="0" applyAlignment="0" applyProtection="0"/>
    <xf numFmtId="0" fontId="9" fillId="0" borderId="0">
      <alignment horizontal="left" wrapText="1" indent="1"/>
    </xf>
    <xf numFmtId="0" fontId="10" fillId="4" borderId="0" applyNumberFormat="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5" borderId="2" applyNumberFormat="0" applyAlignment="0" applyProtection="0"/>
    <xf numFmtId="0" fontId="14" fillId="0" borderId="0">
      <alignment horizontal="right" vertical="top"/>
    </xf>
    <xf numFmtId="0" fontId="15" fillId="0" borderId="0">
      <alignment horizontal="justify" vertical="top" wrapText="1"/>
    </xf>
    <xf numFmtId="0" fontId="14" fillId="0" borderId="0">
      <alignment horizontal="left"/>
    </xf>
    <xf numFmtId="4" fontId="15" fillId="0" borderId="0">
      <alignment horizontal="right"/>
    </xf>
    <xf numFmtId="0" fontId="15" fillId="0" borderId="0">
      <alignment horizontal="right"/>
    </xf>
    <xf numFmtId="4" fontId="15" fillId="0" borderId="0">
      <alignment horizontal="right" wrapText="1"/>
    </xf>
    <xf numFmtId="0" fontId="15" fillId="0" borderId="0">
      <alignment horizontal="right"/>
    </xf>
    <xf numFmtId="4" fontId="15" fillId="0" borderId="0">
      <alignment horizontal="right"/>
    </xf>
    <xf numFmtId="0" fontId="16" fillId="0" borderId="0" applyNumberFormat="0" applyFill="0" applyBorder="0" applyAlignment="0" applyProtection="0"/>
    <xf numFmtId="0" fontId="17" fillId="0" borderId="0"/>
    <xf numFmtId="0" fontId="7" fillId="0" borderId="0"/>
    <xf numFmtId="0" fontId="7" fillId="0" borderId="0"/>
    <xf numFmtId="0" fontId="18"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18" fillId="0" borderId="0"/>
    <xf numFmtId="0" fontId="7" fillId="0" borderId="0"/>
    <xf numFmtId="0" fontId="7" fillId="0" borderId="0"/>
    <xf numFmtId="0" fontId="7" fillId="0" borderId="0"/>
    <xf numFmtId="0" fontId="8" fillId="0" borderId="0"/>
    <xf numFmtId="0" fontId="7" fillId="0" borderId="0"/>
    <xf numFmtId="0" fontId="7" fillId="0" borderId="0"/>
    <xf numFmtId="0" fontId="8" fillId="0" borderId="0"/>
    <xf numFmtId="0" fontId="8" fillId="0" borderId="0"/>
    <xf numFmtId="0" fontId="8" fillId="0" borderId="0"/>
    <xf numFmtId="0" fontId="7" fillId="0" borderId="0"/>
    <xf numFmtId="0" fontId="7" fillId="0" borderId="0"/>
    <xf numFmtId="0" fontId="7" fillId="0" borderId="0"/>
    <xf numFmtId="0" fontId="18" fillId="0" borderId="0"/>
    <xf numFmtId="9" fontId="7" fillId="0" borderId="0" applyFill="0" applyBorder="0" applyAlignment="0" applyProtection="0"/>
    <xf numFmtId="9" fontId="7" fillId="0" borderId="0" applyFill="0" applyBorder="0" applyAlignment="0" applyProtection="0"/>
    <xf numFmtId="0" fontId="19" fillId="0" borderId="0"/>
    <xf numFmtId="0" fontId="7" fillId="0" borderId="0" applyBorder="0"/>
    <xf numFmtId="0" fontId="7" fillId="0" borderId="0"/>
    <xf numFmtId="0" fontId="20" fillId="0" borderId="0" applyNumberFormat="0" applyFill="0" applyBorder="0" applyAlignment="0" applyProtection="0"/>
    <xf numFmtId="165" fontId="7" fillId="0" borderId="0" applyFill="0" applyBorder="0" applyAlignment="0" applyProtection="0"/>
    <xf numFmtId="0" fontId="25" fillId="0" borderId="0"/>
    <xf numFmtId="0" fontId="35" fillId="0" borderId="0"/>
    <xf numFmtId="0" fontId="24" fillId="0" borderId="0"/>
    <xf numFmtId="0" fontId="24" fillId="0" borderId="0"/>
  </cellStyleXfs>
  <cellXfs count="127">
    <xf numFmtId="0" fontId="0" fillId="0" borderId="0" xfId="0"/>
    <xf numFmtId="49" fontId="2" fillId="0" borderId="0" xfId="0" applyNumberFormat="1" applyFont="1" applyAlignment="1">
      <alignment horizontal="right" vertical="top" wrapText="1" readingOrder="1"/>
    </xf>
    <xf numFmtId="2" fontId="2" fillId="0" borderId="0" xfId="0" applyNumberFormat="1" applyFont="1" applyAlignment="1">
      <alignment horizontal="right" vertical="top" wrapText="1" readingOrder="1"/>
    </xf>
    <xf numFmtId="49" fontId="4" fillId="0" borderId="0" xfId="0" applyNumberFormat="1" applyFont="1" applyAlignment="1">
      <alignment horizontal="right" vertical="top" wrapText="1" readingOrder="1"/>
    </xf>
    <xf numFmtId="2" fontId="4" fillId="0" borderId="0" xfId="0" applyNumberFormat="1" applyFont="1" applyAlignment="1">
      <alignment horizontal="right" vertical="top" wrapText="1" readingOrder="1"/>
    </xf>
    <xf numFmtId="49" fontId="2" fillId="0" borderId="0" xfId="0" applyNumberFormat="1" applyFont="1" applyAlignment="1">
      <alignment horizontal="left" vertical="top" wrapText="1" readingOrder="1"/>
    </xf>
    <xf numFmtId="0" fontId="2" fillId="0" borderId="0" xfId="0" applyFont="1" applyAlignment="1">
      <alignment horizontal="left" vertical="top" wrapText="1" readingOrder="1"/>
    </xf>
    <xf numFmtId="49" fontId="3" fillId="0" borderId="0" xfId="0" applyNumberFormat="1" applyFont="1" applyAlignment="1">
      <alignment horizontal="left" vertical="top" wrapText="1" readingOrder="1"/>
    </xf>
    <xf numFmtId="0" fontId="1" fillId="0" borderId="0" xfId="0" applyFont="1" applyAlignment="1">
      <alignment horizontal="left" vertical="top" wrapText="1" readingOrder="1"/>
    </xf>
    <xf numFmtId="49" fontId="5" fillId="0" borderId="0" xfId="0" applyNumberFormat="1" applyFont="1" applyAlignment="1">
      <alignment horizontal="right" vertical="top" wrapText="1" readingOrder="1"/>
    </xf>
    <xf numFmtId="0" fontId="5" fillId="0" borderId="0" xfId="0" applyFont="1" applyAlignment="1">
      <alignment horizontal="left" vertical="top" wrapText="1" readingOrder="1"/>
    </xf>
    <xf numFmtId="2" fontId="5" fillId="0" borderId="0" xfId="0" applyNumberFormat="1" applyFont="1" applyAlignment="1">
      <alignment horizontal="right" vertical="top" wrapText="1" readingOrder="1"/>
    </xf>
    <xf numFmtId="0" fontId="2" fillId="0" borderId="3" xfId="0" applyFont="1" applyBorder="1" applyAlignment="1">
      <alignment horizontal="left" vertical="top" wrapText="1" readingOrder="1"/>
    </xf>
    <xf numFmtId="49" fontId="2" fillId="0" borderId="7" xfId="0" applyNumberFormat="1" applyFont="1" applyBorder="1" applyAlignment="1">
      <alignment horizontal="right" vertical="top" wrapText="1" readingOrder="1"/>
    </xf>
    <xf numFmtId="2" fontId="2" fillId="0" borderId="8" xfId="0" applyNumberFormat="1" applyFont="1" applyBorder="1" applyAlignment="1">
      <alignment horizontal="right" vertical="top" wrapText="1" readingOrder="1"/>
    </xf>
    <xf numFmtId="49" fontId="4" fillId="7" borderId="4" xfId="0" applyNumberFormat="1" applyFont="1" applyFill="1" applyBorder="1" applyAlignment="1">
      <alignment horizontal="right" vertical="top" wrapText="1" readingOrder="1"/>
    </xf>
    <xf numFmtId="49" fontId="4" fillId="7" borderId="5" xfId="0" applyNumberFormat="1" applyFont="1" applyFill="1" applyBorder="1" applyAlignment="1">
      <alignment horizontal="left" vertical="top" wrapText="1" readingOrder="1"/>
    </xf>
    <xf numFmtId="49" fontId="4" fillId="7" borderId="5" xfId="0" applyNumberFormat="1" applyFont="1" applyFill="1" applyBorder="1" applyAlignment="1">
      <alignment horizontal="right" vertical="top" wrapText="1" readingOrder="1"/>
    </xf>
    <xf numFmtId="2" fontId="4" fillId="7" borderId="5" xfId="0" applyNumberFormat="1" applyFont="1" applyFill="1" applyBorder="1" applyAlignment="1">
      <alignment horizontal="right" vertical="top" wrapText="1" readingOrder="1"/>
    </xf>
    <xf numFmtId="49" fontId="4" fillId="7" borderId="6" xfId="0" applyNumberFormat="1" applyFont="1" applyFill="1" applyBorder="1" applyAlignment="1">
      <alignment horizontal="right" vertical="top" wrapText="1" readingOrder="1"/>
    </xf>
    <xf numFmtId="49" fontId="4" fillId="6" borderId="4" xfId="0" applyNumberFormat="1" applyFont="1" applyFill="1" applyBorder="1" applyAlignment="1">
      <alignment horizontal="right" vertical="top" wrapText="1" readingOrder="1"/>
    </xf>
    <xf numFmtId="2" fontId="4" fillId="6" borderId="6" xfId="0" applyNumberFormat="1" applyFont="1" applyFill="1" applyBorder="1" applyAlignment="1">
      <alignment horizontal="right" vertical="top" wrapText="1" readingOrder="1"/>
    </xf>
    <xf numFmtId="49" fontId="4" fillId="0" borderId="7" xfId="0" applyNumberFormat="1" applyFont="1" applyBorder="1" applyAlignment="1">
      <alignment horizontal="right" vertical="top" wrapText="1" readingOrder="1"/>
    </xf>
    <xf numFmtId="49" fontId="4" fillId="0" borderId="8" xfId="0" applyNumberFormat="1" applyFont="1" applyBorder="1" applyAlignment="1">
      <alignment horizontal="right" vertical="top" wrapText="1" readingOrder="1"/>
    </xf>
    <xf numFmtId="49" fontId="2" fillId="0" borderId="8" xfId="0" applyNumberFormat="1" applyFont="1" applyBorder="1" applyAlignment="1">
      <alignment horizontal="right" vertical="top" wrapText="1" readingOrder="1"/>
    </xf>
    <xf numFmtId="49" fontId="4" fillId="6" borderId="5" xfId="0" applyNumberFormat="1" applyFont="1" applyFill="1" applyBorder="1" applyAlignment="1">
      <alignment horizontal="left" vertical="top" wrapText="1" readingOrder="1"/>
    </xf>
    <xf numFmtId="49" fontId="2" fillId="6" borderId="5" xfId="0" applyNumberFormat="1" applyFont="1" applyFill="1" applyBorder="1" applyAlignment="1">
      <alignment horizontal="right" vertical="top" wrapText="1" readingOrder="1"/>
    </xf>
    <xf numFmtId="2" fontId="2" fillId="6" borderId="5" xfId="0" applyNumberFormat="1" applyFont="1" applyFill="1" applyBorder="1" applyAlignment="1">
      <alignment horizontal="right" vertical="top" wrapText="1" readingOrder="1"/>
    </xf>
    <xf numFmtId="49" fontId="2" fillId="7" borderId="5" xfId="0" applyNumberFormat="1" applyFont="1" applyFill="1" applyBorder="1" applyAlignment="1">
      <alignment horizontal="right" vertical="top" wrapText="1" readingOrder="1"/>
    </xf>
    <xf numFmtId="2" fontId="2" fillId="7" borderId="5" xfId="0" applyNumberFormat="1" applyFont="1" applyFill="1" applyBorder="1" applyAlignment="1">
      <alignment horizontal="right" vertical="top" wrapText="1" readingOrder="1"/>
    </xf>
    <xf numFmtId="49" fontId="2" fillId="7" borderId="6" xfId="0" applyNumberFormat="1" applyFont="1" applyFill="1" applyBorder="1" applyAlignment="1">
      <alignment horizontal="right" vertical="top" wrapText="1" readingOrder="1"/>
    </xf>
    <xf numFmtId="49" fontId="5" fillId="0" borderId="7" xfId="0" applyNumberFormat="1" applyFont="1" applyBorder="1" applyAlignment="1">
      <alignment horizontal="right" vertical="top" wrapText="1" readingOrder="1"/>
    </xf>
    <xf numFmtId="49" fontId="5" fillId="0" borderId="8" xfId="0" applyNumberFormat="1" applyFont="1" applyBorder="1" applyAlignment="1">
      <alignment horizontal="right" vertical="top" wrapText="1" readingOrder="1"/>
    </xf>
    <xf numFmtId="49" fontId="4" fillId="6" borderId="5" xfId="0" applyNumberFormat="1" applyFont="1" applyFill="1" applyBorder="1" applyAlignment="1">
      <alignment horizontal="right" vertical="top" wrapText="1" readingOrder="1"/>
    </xf>
    <xf numFmtId="2" fontId="4" fillId="6" borderId="5" xfId="0" applyNumberFormat="1" applyFont="1" applyFill="1" applyBorder="1" applyAlignment="1">
      <alignment horizontal="right" vertical="top" wrapText="1" readingOrder="1"/>
    </xf>
    <xf numFmtId="49" fontId="2" fillId="6" borderId="4" xfId="0" applyNumberFormat="1" applyFont="1" applyFill="1" applyBorder="1" applyAlignment="1">
      <alignment horizontal="right" vertical="top" wrapText="1" readingOrder="1"/>
    </xf>
    <xf numFmtId="49" fontId="2" fillId="7" borderId="4" xfId="0" applyNumberFormat="1" applyFont="1" applyFill="1" applyBorder="1" applyAlignment="1">
      <alignment horizontal="right" vertical="top" wrapText="1" readingOrder="1"/>
    </xf>
    <xf numFmtId="49" fontId="23" fillId="0" borderId="0" xfId="0" applyNumberFormat="1" applyFont="1" applyAlignment="1">
      <alignment horizontal="center" vertical="top" wrapText="1" readingOrder="1"/>
    </xf>
    <xf numFmtId="2" fontId="23" fillId="0" borderId="0" xfId="0" applyNumberFormat="1" applyFont="1" applyAlignment="1">
      <alignment horizontal="center" vertical="top" wrapText="1" readingOrder="1"/>
    </xf>
    <xf numFmtId="0" fontId="25" fillId="0" borderId="0" xfId="70"/>
    <xf numFmtId="0" fontId="7" fillId="0" borderId="9" xfId="70" applyFont="1" applyBorder="1" applyAlignment="1">
      <alignment horizontal="left" vertical="top" wrapText="1"/>
    </xf>
    <xf numFmtId="2" fontId="26" fillId="0" borderId="0" xfId="37" applyNumberFormat="1" applyFont="1" applyAlignment="1" applyProtection="1">
      <alignment vertical="top" wrapText="1" shrinkToFit="1" readingOrder="1"/>
      <protection locked="0"/>
    </xf>
    <xf numFmtId="0" fontId="26" fillId="0" borderId="9" xfId="37" applyFont="1" applyBorder="1" applyAlignment="1" applyProtection="1">
      <alignment vertical="top" wrapText="1" shrinkToFit="1" readingOrder="1"/>
      <protection locked="0"/>
    </xf>
    <xf numFmtId="0" fontId="27" fillId="0" borderId="0" xfId="37" applyFont="1"/>
    <xf numFmtId="0" fontId="27" fillId="0" borderId="9" xfId="37" applyFont="1" applyBorder="1"/>
    <xf numFmtId="0" fontId="26" fillId="0" borderId="0" xfId="37" applyFont="1" applyAlignment="1" applyProtection="1">
      <alignment vertical="top" wrapText="1"/>
      <protection locked="0"/>
    </xf>
    <xf numFmtId="0" fontId="26" fillId="0" borderId="9" xfId="37" applyFont="1" applyBorder="1" applyAlignment="1" applyProtection="1">
      <alignment vertical="top" wrapText="1"/>
      <protection locked="0"/>
    </xf>
    <xf numFmtId="0" fontId="26" fillId="0" borderId="0" xfId="37" applyFont="1" applyAlignment="1">
      <alignment vertical="top" wrapText="1"/>
    </xf>
    <xf numFmtId="0" fontId="26" fillId="0" borderId="9" xfId="37" applyFont="1" applyBorder="1" applyAlignment="1">
      <alignment vertical="top" wrapText="1"/>
    </xf>
    <xf numFmtId="0" fontId="26" fillId="0" borderId="0" xfId="37" applyFont="1" applyAlignment="1">
      <alignment horizontal="left" vertical="top" wrapText="1"/>
    </xf>
    <xf numFmtId="0" fontId="27" fillId="0" borderId="0" xfId="37" applyFont="1" applyAlignment="1">
      <alignment vertical="top" wrapText="1"/>
    </xf>
    <xf numFmtId="0" fontId="27" fillId="0" borderId="9" xfId="37" applyFont="1" applyBorder="1" applyAlignment="1">
      <alignment vertical="top" wrapText="1"/>
    </xf>
    <xf numFmtId="0" fontId="27" fillId="0" borderId="0" xfId="70" applyFont="1" applyAlignment="1">
      <alignment vertical="center" wrapText="1"/>
    </xf>
    <xf numFmtId="0" fontId="28" fillId="0" borderId="0" xfId="70" applyFont="1"/>
    <xf numFmtId="0" fontId="27" fillId="0" borderId="9" xfId="70" applyFont="1" applyBorder="1" applyAlignment="1">
      <alignment vertical="center" wrapText="1"/>
    </xf>
    <xf numFmtId="0" fontId="26" fillId="0" borderId="9" xfId="37" applyFont="1" applyBorder="1" applyAlignment="1">
      <alignment horizontal="left" vertical="top" wrapText="1"/>
    </xf>
    <xf numFmtId="0" fontId="26" fillId="0" borderId="0" xfId="70" applyFont="1" applyAlignment="1">
      <alignment vertical="top" wrapText="1"/>
    </xf>
    <xf numFmtId="0" fontId="26" fillId="0" borderId="9" xfId="70" applyFont="1" applyBorder="1" applyAlignment="1">
      <alignment vertical="top" wrapText="1"/>
    </xf>
    <xf numFmtId="0" fontId="26" fillId="0" borderId="0" xfId="37" applyFont="1"/>
    <xf numFmtId="0" fontId="26" fillId="0" borderId="9" xfId="37" applyFont="1" applyBorder="1"/>
    <xf numFmtId="0" fontId="27" fillId="0" borderId="0" xfId="70" applyFont="1"/>
    <xf numFmtId="0" fontId="27" fillId="0" borderId="0" xfId="70" applyFont="1" applyAlignment="1">
      <alignment horizontal="left"/>
    </xf>
    <xf numFmtId="0" fontId="27" fillId="0" borderId="9" xfId="70" applyFont="1" applyBorder="1" applyAlignment="1">
      <alignment horizontal="left"/>
    </xf>
    <xf numFmtId="0" fontId="26" fillId="0" borderId="9" xfId="70" applyFont="1" applyBorder="1" applyAlignment="1">
      <alignment horizontal="left" vertical="top" wrapText="1"/>
    </xf>
    <xf numFmtId="0" fontId="25" fillId="0" borderId="0" xfId="70" applyProtection="1">
      <protection locked="0"/>
    </xf>
    <xf numFmtId="168" fontId="25" fillId="0" borderId="0" xfId="70" applyNumberFormat="1" applyProtection="1">
      <protection locked="0"/>
    </xf>
    <xf numFmtId="0" fontId="29" fillId="0" borderId="0" xfId="70" applyFont="1" applyProtection="1">
      <protection locked="0"/>
    </xf>
    <xf numFmtId="4" fontId="29" fillId="0" borderId="0" xfId="70" applyNumberFormat="1" applyFont="1" applyProtection="1">
      <protection locked="0"/>
    </xf>
    <xf numFmtId="2" fontId="26" fillId="0" borderId="0" xfId="70" applyNumberFormat="1" applyFont="1" applyAlignment="1" applyProtection="1">
      <alignment vertical="top" wrapText="1" shrinkToFit="1" readingOrder="1"/>
      <protection locked="0"/>
    </xf>
    <xf numFmtId="0" fontId="26" fillId="0" borderId="9" xfId="70" applyFont="1" applyBorder="1" applyAlignment="1" applyProtection="1">
      <alignment vertical="top" wrapText="1" shrinkToFit="1" readingOrder="1"/>
      <protection locked="0"/>
    </xf>
    <xf numFmtId="0" fontId="7" fillId="0" borderId="0" xfId="70" applyFont="1"/>
    <xf numFmtId="168" fontId="7" fillId="0" borderId="0" xfId="70" applyNumberFormat="1" applyFont="1"/>
    <xf numFmtId="4" fontId="7" fillId="0" borderId="0" xfId="70" applyNumberFormat="1" applyFont="1"/>
    <xf numFmtId="0" fontId="26" fillId="0" borderId="0" xfId="70" applyFont="1"/>
    <xf numFmtId="0" fontId="26" fillId="0" borderId="9" xfId="70" applyFont="1" applyBorder="1" applyAlignment="1">
      <alignment wrapText="1"/>
    </xf>
    <xf numFmtId="0" fontId="30" fillId="0" borderId="0" xfId="70" applyFont="1" applyAlignment="1">
      <alignment vertical="top" wrapText="1"/>
    </xf>
    <xf numFmtId="0" fontId="27" fillId="0" borderId="0" xfId="70" applyFont="1" applyAlignment="1">
      <alignment vertical="top" wrapText="1"/>
    </xf>
    <xf numFmtId="2" fontId="7" fillId="0" borderId="0" xfId="70" applyNumberFormat="1" applyFont="1" applyAlignment="1" applyProtection="1">
      <alignment vertical="top" wrapText="1" shrinkToFit="1" readingOrder="1"/>
      <protection locked="0"/>
    </xf>
    <xf numFmtId="0" fontId="7" fillId="0" borderId="0" xfId="70" applyFont="1" applyAlignment="1" applyProtection="1">
      <alignment vertical="top" wrapText="1"/>
      <protection locked="0"/>
    </xf>
    <xf numFmtId="0" fontId="26" fillId="0" borderId="0" xfId="70" applyFont="1" applyAlignment="1" applyProtection="1">
      <alignment vertical="top" wrapText="1"/>
      <protection locked="0"/>
    </xf>
    <xf numFmtId="0" fontId="26" fillId="0" borderId="9" xfId="70" applyFont="1" applyBorder="1" applyAlignment="1" applyProtection="1">
      <alignment vertical="top" wrapText="1"/>
      <protection locked="0"/>
    </xf>
    <xf numFmtId="0" fontId="25" fillId="0" borderId="0" xfId="70" applyAlignment="1" applyProtection="1">
      <alignment wrapText="1"/>
      <protection locked="0"/>
    </xf>
    <xf numFmtId="168" fontId="25" fillId="0" borderId="0" xfId="70" applyNumberFormat="1"/>
    <xf numFmtId="0" fontId="29" fillId="0" borderId="0" xfId="70" applyFont="1"/>
    <xf numFmtId="4" fontId="29" fillId="0" borderId="0" xfId="70" applyNumberFormat="1" applyFont="1"/>
    <xf numFmtId="0" fontId="26" fillId="0" borderId="9" xfId="70" applyFont="1" applyBorder="1"/>
    <xf numFmtId="168" fontId="29" fillId="0" borderId="0" xfId="70" applyNumberFormat="1" applyFont="1" applyProtection="1">
      <protection locked="0"/>
    </xf>
    <xf numFmtId="0" fontId="27" fillId="0" borderId="0" xfId="70" applyFont="1" applyProtection="1">
      <protection locked="0"/>
    </xf>
    <xf numFmtId="49" fontId="27" fillId="0" borderId="0" xfId="70" applyNumberFormat="1" applyFont="1" applyProtection="1">
      <protection locked="0"/>
    </xf>
    <xf numFmtId="0" fontId="27" fillId="8" borderId="9" xfId="70" applyFont="1" applyFill="1" applyBorder="1" applyAlignment="1" applyProtection="1">
      <alignment horizontal="left"/>
      <protection locked="0"/>
    </xf>
    <xf numFmtId="49" fontId="30" fillId="0" borderId="0" xfId="70" applyNumberFormat="1" applyFont="1" applyProtection="1">
      <protection locked="0"/>
    </xf>
    <xf numFmtId="0" fontId="31" fillId="0" borderId="9" xfId="70" applyFont="1" applyBorder="1" applyAlignment="1" applyProtection="1">
      <alignment horizontal="center"/>
      <protection locked="0"/>
    </xf>
    <xf numFmtId="0" fontId="32" fillId="0" borderId="9" xfId="70" applyFont="1" applyBorder="1" applyAlignment="1">
      <alignment horizontal="left" vertical="top" wrapText="1"/>
    </xf>
    <xf numFmtId="0" fontId="33" fillId="0" borderId="9" xfId="70" applyFont="1" applyBorder="1" applyAlignment="1">
      <alignment horizontal="left" vertical="top" wrapText="1"/>
    </xf>
    <xf numFmtId="0" fontId="34" fillId="8" borderId="9" xfId="70" applyFont="1" applyFill="1" applyBorder="1" applyAlignment="1">
      <alignment horizontal="left" vertical="top" wrapText="1"/>
    </xf>
    <xf numFmtId="0" fontId="26" fillId="0" borderId="9" xfId="71" applyFont="1" applyBorder="1" applyAlignment="1">
      <alignment horizontal="left" vertical="top" wrapText="1"/>
    </xf>
    <xf numFmtId="0" fontId="27" fillId="0" borderId="9" xfId="70" applyFont="1" applyBorder="1" applyAlignment="1">
      <alignment horizontal="left" vertical="top" wrapText="1"/>
    </xf>
    <xf numFmtId="0" fontId="27" fillId="8" borderId="9" xfId="70" applyFont="1" applyFill="1" applyBorder="1" applyAlignment="1">
      <alignment horizontal="left" vertical="top" wrapText="1"/>
    </xf>
    <xf numFmtId="0" fontId="27" fillId="9" borderId="9" xfId="70" applyFont="1" applyFill="1" applyBorder="1" applyAlignment="1">
      <alignment horizontal="left" vertical="top" wrapText="1"/>
    </xf>
    <xf numFmtId="0" fontId="36" fillId="0" borderId="9" xfId="70" applyFont="1" applyBorder="1" applyAlignment="1">
      <alignment horizontal="left" vertical="top" wrapText="1"/>
    </xf>
    <xf numFmtId="0" fontId="37" fillId="0" borderId="9" xfId="70" applyFont="1" applyBorder="1" applyAlignment="1">
      <alignment horizontal="left" vertical="top" wrapText="1"/>
    </xf>
    <xf numFmtId="0" fontId="39" fillId="8" borderId="9" xfId="70" applyFont="1" applyFill="1" applyBorder="1" applyAlignment="1">
      <alignment horizontal="left" vertical="top" wrapText="1"/>
    </xf>
    <xf numFmtId="0" fontId="39" fillId="0" borderId="9" xfId="70" applyFont="1" applyBorder="1" applyAlignment="1">
      <alignment horizontal="left" vertical="top" wrapText="1"/>
    </xf>
    <xf numFmtId="0" fontId="40" fillId="0" borderId="9" xfId="70" applyFont="1" applyBorder="1" applyAlignment="1">
      <alignment horizontal="left" vertical="top" wrapText="1"/>
    </xf>
    <xf numFmtId="0" fontId="41" fillId="0" borderId="9" xfId="70" applyFont="1" applyBorder="1" applyAlignment="1">
      <alignment horizontal="left" vertical="top" wrapText="1"/>
    </xf>
    <xf numFmtId="0" fontId="41" fillId="8" borderId="9" xfId="70" applyFont="1" applyFill="1" applyBorder="1" applyAlignment="1">
      <alignment horizontal="left" vertical="top" wrapText="1"/>
    </xf>
    <xf numFmtId="0" fontId="26" fillId="0" borderId="9" xfId="33" applyFont="1" applyBorder="1" applyAlignment="1">
      <alignment horizontal="justify" vertical="top"/>
    </xf>
    <xf numFmtId="0" fontId="26" fillId="9" borderId="9" xfId="70" applyFont="1" applyFill="1" applyBorder="1" applyAlignment="1">
      <alignment horizontal="left" vertical="top" wrapText="1"/>
    </xf>
    <xf numFmtId="0" fontId="27" fillId="0" borderId="9" xfId="72" applyFont="1" applyBorder="1" applyAlignment="1">
      <alignment horizontal="left" vertical="top" wrapText="1"/>
    </xf>
    <xf numFmtId="0" fontId="26" fillId="0" borderId="9" xfId="72" applyFont="1" applyBorder="1" applyAlignment="1">
      <alignment horizontal="left" vertical="top" wrapText="1"/>
    </xf>
    <xf numFmtId="0" fontId="27" fillId="8" borderId="9" xfId="70" applyFont="1" applyFill="1" applyBorder="1" applyAlignment="1">
      <alignment vertical="top" wrapText="1"/>
    </xf>
    <xf numFmtId="0" fontId="34" fillId="0" borderId="9" xfId="70" applyFont="1" applyBorder="1" applyAlignment="1">
      <alignment horizontal="left" vertical="top" wrapText="1"/>
    </xf>
    <xf numFmtId="0" fontId="42" fillId="10" borderId="10" xfId="73" applyFont="1" applyFill="1" applyBorder="1" applyAlignment="1">
      <alignment horizontal="left" vertical="top" wrapText="1"/>
    </xf>
    <xf numFmtId="0" fontId="43" fillId="0" borderId="0" xfId="0" applyFont="1" applyAlignment="1">
      <alignment vertical="center" wrapText="1"/>
    </xf>
    <xf numFmtId="2" fontId="26" fillId="0" borderId="0" xfId="70" applyNumberFormat="1" applyFont="1" applyAlignment="1" applyProtection="1">
      <alignment horizontal="justify" vertical="top" wrapText="1" shrinkToFit="1" readingOrder="1"/>
      <protection locked="0"/>
    </xf>
    <xf numFmtId="2" fontId="26" fillId="0" borderId="0" xfId="70" applyNumberFormat="1" applyFont="1" applyAlignment="1" applyProtection="1">
      <alignment vertical="top" wrapText="1" shrinkToFit="1" readingOrder="1"/>
      <protection locked="0"/>
    </xf>
    <xf numFmtId="49" fontId="2" fillId="0" borderId="0" xfId="0" applyNumberFormat="1" applyFont="1" applyAlignment="1">
      <alignment horizontal="left" vertical="top" wrapText="1" readingOrder="1"/>
    </xf>
    <xf numFmtId="49" fontId="4" fillId="6" borderId="5" xfId="0" applyNumberFormat="1" applyFont="1" applyFill="1" applyBorder="1" applyAlignment="1">
      <alignment horizontal="left" vertical="top" wrapText="1" readingOrder="1"/>
    </xf>
    <xf numFmtId="49" fontId="4" fillId="7" borderId="5" xfId="0" applyNumberFormat="1" applyFont="1" applyFill="1" applyBorder="1" applyAlignment="1">
      <alignment horizontal="left" vertical="top" wrapText="1" readingOrder="1"/>
    </xf>
    <xf numFmtId="49" fontId="4" fillId="7" borderId="6" xfId="0" applyNumberFormat="1" applyFont="1" applyFill="1" applyBorder="1" applyAlignment="1">
      <alignment horizontal="left" vertical="top" wrapText="1" readingOrder="1"/>
    </xf>
    <xf numFmtId="0" fontId="30" fillId="11" borderId="11" xfId="0" applyFont="1" applyFill="1" applyBorder="1" applyAlignment="1">
      <alignment horizontal="center" vertical="center" wrapText="1"/>
    </xf>
    <xf numFmtId="0" fontId="30" fillId="11" borderId="12" xfId="0" applyFont="1" applyFill="1" applyBorder="1" applyAlignment="1">
      <alignment horizontal="center" vertical="center" wrapText="1"/>
    </xf>
    <xf numFmtId="0" fontId="30" fillId="11" borderId="13" xfId="0" applyFont="1" applyFill="1" applyBorder="1" applyAlignment="1">
      <alignment horizontal="center" vertical="center" wrapText="1"/>
    </xf>
    <xf numFmtId="0" fontId="30" fillId="11" borderId="14" xfId="0" applyFont="1" applyFill="1" applyBorder="1" applyAlignment="1">
      <alignment horizontal="center" vertical="center" wrapText="1"/>
    </xf>
    <xf numFmtId="0" fontId="30" fillId="11" borderId="15" xfId="0" applyFont="1" applyFill="1" applyBorder="1" applyAlignment="1">
      <alignment horizontal="center" vertical="center" wrapText="1"/>
    </xf>
    <xf numFmtId="0" fontId="30" fillId="11" borderId="16" xfId="0" applyFont="1" applyFill="1" applyBorder="1" applyAlignment="1">
      <alignment horizontal="center" vertical="center" wrapText="1"/>
    </xf>
    <xf numFmtId="0" fontId="0" fillId="6" borderId="5" xfId="0" applyFill="1" applyBorder="1" applyAlignment="1">
      <alignment vertical="top" wrapText="1" readingOrder="1"/>
    </xf>
  </cellXfs>
  <cellStyles count="74">
    <cellStyle name="40% - Naglasak1" xfId="2" xr:uid="{150EC71B-396C-4A26-B21A-B225BB16BCE6}"/>
    <cellStyle name="Bilješka 2" xfId="4" xr:uid="{3130CFA4-9C06-4111-AD78-A9CE585348FC}"/>
    <cellStyle name="Bilješka 3" xfId="3" xr:uid="{4E8909B4-6E2B-42F7-9F77-14C95584AC96}"/>
    <cellStyle name="Comma 2" xfId="5" xr:uid="{A7568587-806A-4055-BCBC-1BF1043AF903}"/>
    <cellStyle name="Comma 2 2" xfId="6" xr:uid="{07234B27-B93E-47B5-ADFF-1214C2BC7BBC}"/>
    <cellStyle name="Comma 2 3" xfId="7" xr:uid="{D22DB5C3-18CE-49A5-AD93-31FF5518B9E3}"/>
    <cellStyle name="Comma 2 4" xfId="8" xr:uid="{151BC05A-788A-44D1-8770-2FBF18359AF0}"/>
    <cellStyle name="Comma 3" xfId="9" xr:uid="{CFCAB47B-85AF-4FAE-AE86-F9F093D976B5}"/>
    <cellStyle name="Comma 4" xfId="10" xr:uid="{E7809AD7-1C19-4739-B71B-B35C42FD54CD}"/>
    <cellStyle name="Comma 5" xfId="11" xr:uid="{FB62A687-5AC3-4D98-9605-ED91E97045F4}"/>
    <cellStyle name="Comma 6" xfId="12" xr:uid="{93B87432-9D56-44A9-A40B-8E93E272687E}"/>
    <cellStyle name="Comma 6 2" xfId="13" xr:uid="{D7694DDA-EF69-4F2F-941E-9EC6EF7FD27D}"/>
    <cellStyle name="Comma 7" xfId="14" xr:uid="{57560EB2-BCC0-4079-8C00-F4CAE357FE73}"/>
    <cellStyle name="Currency 2" xfId="15" xr:uid="{33209ADD-B093-42FC-AAB5-341E871D8B0F}"/>
    <cellStyle name="Currency 3" xfId="16" xr:uid="{B9AA98B5-E20A-4A56-AD8C-A09AE64085A4}"/>
    <cellStyle name="Default_Uvuceni" xfId="17" xr:uid="{C37BEDC0-5352-4069-8AE4-E72771365E1A}"/>
    <cellStyle name="Dobro 2" xfId="18" xr:uid="{42ABEA9B-D082-4DF5-9690-4356BD171BC0}"/>
    <cellStyle name="Hiperveza 2" xfId="19" xr:uid="{71B1C4A4-3C95-494D-BE40-33B177F9763F}"/>
    <cellStyle name="Hyperlink 2" xfId="20" xr:uid="{3782FEAF-1283-462B-9232-1FAA8120444A}"/>
    <cellStyle name="Hyperlink 2 2" xfId="21" xr:uid="{55E4D75D-782B-4D80-8FF7-C3730FD8B18F}"/>
    <cellStyle name="Izlaz 2" xfId="22" xr:uid="{FC033092-7FC7-40B3-8A2E-DD8BC96DEA0F}"/>
    <cellStyle name="kolona A" xfId="23" xr:uid="{FDEF9480-11C2-4DBE-92B5-10E43B1E7413}"/>
    <cellStyle name="kolona B" xfId="24" xr:uid="{5147809E-041F-447D-A727-CFAEA9E9BE5E}"/>
    <cellStyle name="kolona C" xfId="25" xr:uid="{EF521A28-4D82-4CD9-B213-6B713AA2ABAF}"/>
    <cellStyle name="kolona D" xfId="26" xr:uid="{71210170-C9B2-4A0A-BB07-D36F7A13F7A7}"/>
    <cellStyle name="kolona E" xfId="27" xr:uid="{8F84F6CB-68C2-4561-A1F4-A2323E305F3D}"/>
    <cellStyle name="kolona F" xfId="28" xr:uid="{EF34109A-7F49-46E1-811F-CF896F09F4F1}"/>
    <cellStyle name="kolona G" xfId="29" xr:uid="{F174D9F8-4809-4C35-B3E3-F425FB745434}"/>
    <cellStyle name="kolona H" xfId="30" xr:uid="{F54F4A65-3274-4F46-9290-2121040F428A}"/>
    <cellStyle name="Naslov 5" xfId="31" xr:uid="{EC3C9DA9-3A8E-4AFD-B929-0738D31DAC3B}"/>
    <cellStyle name="Normal" xfId="0" builtinId="0"/>
    <cellStyle name="Normal 10" xfId="32" xr:uid="{A0D606DC-805B-4ED6-99A2-114422E615D0}"/>
    <cellStyle name="Normal 10 2" xfId="33" xr:uid="{2619A5DD-8BC7-4FF2-A403-DC9395EE9ABA}"/>
    <cellStyle name="Normal 11" xfId="34" xr:uid="{D719119C-612D-4669-8A6F-E4CF898A5691}"/>
    <cellStyle name="Normal 12" xfId="35" xr:uid="{6C2F25B2-11B2-4B63-A729-86BA9730A782}"/>
    <cellStyle name="Normal 13" xfId="36" xr:uid="{DECB1760-B069-4CDC-9B86-D2CE878B3B64}"/>
    <cellStyle name="Normal 19" xfId="72" xr:uid="{FC4A336A-A2F3-4D56-9B27-04AB4ADB9EFC}"/>
    <cellStyle name="Normal 2" xfId="37" xr:uid="{E45C92D2-4968-44F0-A9DD-5F482569C982}"/>
    <cellStyle name="Normal 2 2" xfId="38" xr:uid="{D5F8BBCB-0472-421A-BD38-FBAAF7871A8C}"/>
    <cellStyle name="Normal 2 2 2" xfId="39" xr:uid="{20C4A5AF-7FD0-4A42-9387-311BC1280E9A}"/>
    <cellStyle name="Normal 2 2 3" xfId="40" xr:uid="{6E23E152-BA78-4454-A632-82F08A1B27C4}"/>
    <cellStyle name="Normal 2 2 4" xfId="41" xr:uid="{9457A18F-0F0B-4CF1-9132-412DDA9EE93E}"/>
    <cellStyle name="Normal 2 2 5" xfId="42" xr:uid="{0F1AD59D-EFD0-4B2C-AE18-0EB33043DB74}"/>
    <cellStyle name="Normal 2 3" xfId="43" xr:uid="{E577FC06-1D16-4E72-A59A-D258FC79BE95}"/>
    <cellStyle name="Normal 2 4" xfId="44" xr:uid="{32FD4E95-FBE2-489E-9D7C-68B3028AD019}"/>
    <cellStyle name="Normal 2 5" xfId="45" xr:uid="{A37A057C-44AC-48F2-87EC-03B687C65015}"/>
    <cellStyle name="Normal 2 5 2" xfId="46" xr:uid="{CC163316-940C-427D-B87F-834A39E3CE41}"/>
    <cellStyle name="Normal 2 5 3" xfId="47" xr:uid="{E80172A5-3C71-470F-A33A-89FBFD3CEC83}"/>
    <cellStyle name="Normal 3" xfId="48" xr:uid="{4E62820B-852B-4C66-B3C3-33C84C040B1A}"/>
    <cellStyle name="Normal 3 2" xfId="49" xr:uid="{B8F443C5-7957-423D-A316-C31E9C56AC71}"/>
    <cellStyle name="Normal 4" xfId="50" xr:uid="{CD280298-F2C7-4BF8-85DA-B74EAD020989}"/>
    <cellStyle name="Normal 5" xfId="51" xr:uid="{26D03863-6BE3-40F4-9E21-05CC49DCD286}"/>
    <cellStyle name="Normal 6" xfId="52" xr:uid="{D094AF75-F05F-430F-B64B-228E972A3DBC}"/>
    <cellStyle name="Normal 6 2" xfId="53" xr:uid="{10C5F3AF-08CB-4D0A-B682-560CEF6FE95D}"/>
    <cellStyle name="Normal 7" xfId="54" xr:uid="{AA872F1E-853A-490A-9DB4-B3ACC4319E0F}"/>
    <cellStyle name="Normal 8" xfId="55" xr:uid="{2B37FD24-CDB8-4C04-95AC-14464612D391}"/>
    <cellStyle name="Normal 9" xfId="56" xr:uid="{A5B9316D-8303-458E-8E98-A6EA2B51DDB0}"/>
    <cellStyle name="Normal_TROŠKOVNIK - KAM - ŽUTO" xfId="71" xr:uid="{823F02C4-6EFD-4048-BA99-23F73E1CD6EF}"/>
    <cellStyle name="Normalno 2" xfId="57" xr:uid="{6E7688FE-F958-4E04-91B4-B1A2724EB9F4}"/>
    <cellStyle name="Normalno 3" xfId="58" xr:uid="{49B89485-1D9D-40C4-82A5-75265F65E516}"/>
    <cellStyle name="Normalno 4" xfId="59" xr:uid="{E29C332B-F4C4-45FD-B8A0-95C737447FAA}"/>
    <cellStyle name="Normalno 5" xfId="1" xr:uid="{1DD8FD7E-C776-4AEE-859C-FA5AAEECCCEF}"/>
    <cellStyle name="Normalno 6" xfId="70" xr:uid="{FBD17417-5E99-4FCC-AC64-F5BB360E385B}"/>
    <cellStyle name="Normalno 8" xfId="73" xr:uid="{0F929D0E-4CD5-44A2-8034-6E45C287398B}"/>
    <cellStyle name="Obično 2" xfId="60" xr:uid="{2EEAB473-E4CE-42D2-80FE-FE974373E7C7}"/>
    <cellStyle name="Obično 3" xfId="61" xr:uid="{0F872BA2-2EEE-470E-9280-671D1B6B9436}"/>
    <cellStyle name="Obično_List1" xfId="62" xr:uid="{6E9A7DE9-7DFD-4D7F-A55F-D21678413926}"/>
    <cellStyle name="Percent 2" xfId="63" xr:uid="{6748BF8A-D3EC-49C8-8F96-BF9BAC5B1DA8}"/>
    <cellStyle name="Percent 2 2" xfId="64" xr:uid="{CAA00E29-A815-46A3-A7ED-22C1854D42F9}"/>
    <cellStyle name="Standard" xfId="65" xr:uid="{BF37BFFF-A12F-42B8-A84A-E303D834D430}"/>
    <cellStyle name="Stil 1" xfId="66" xr:uid="{322ED27C-D5AC-4142-8D33-786CF8FD532E}"/>
    <cellStyle name="Style 1" xfId="67" xr:uid="{B90E5FE2-CB74-4CBF-9B68-B2D2A82A1919}"/>
    <cellStyle name="Tekst upozorenja 2" xfId="68" xr:uid="{74211394-DE18-4BD9-978E-DAD797298C27}"/>
    <cellStyle name="Zarez 2" xfId="69" xr:uid="{9E76DF62-FD29-4D2E-BD99-FC199603E1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B79C-E5D0-42ED-BCD2-C5567354F628}">
  <dimension ref="A2:I1045"/>
  <sheetViews>
    <sheetView view="pageBreakPreview" topLeftCell="A16" zoomScale="85" zoomScaleNormal="55" zoomScaleSheetLayoutView="85" zoomScalePageLayoutView="40" workbookViewId="0">
      <selection activeCell="G4" sqref="G4"/>
    </sheetView>
  </sheetViews>
  <sheetFormatPr defaultRowHeight="15" x14ac:dyDescent="0.25"/>
  <cols>
    <col min="1" max="1" width="102.85546875" style="40" customWidth="1"/>
    <col min="2" max="2" width="0.140625" style="39" customWidth="1"/>
    <col min="3" max="5" width="9.140625" style="39" customWidth="1"/>
    <col min="6" max="255" width="9.140625" style="39"/>
    <col min="256" max="256" width="102.85546875" style="39" customWidth="1"/>
    <col min="257" max="511" width="9.140625" style="39"/>
    <col min="512" max="512" width="102.85546875" style="39" customWidth="1"/>
    <col min="513" max="767" width="9.140625" style="39"/>
    <col min="768" max="768" width="102.85546875" style="39" customWidth="1"/>
    <col min="769" max="1023" width="9.140625" style="39"/>
    <col min="1024" max="1024" width="102.85546875" style="39" customWidth="1"/>
    <col min="1025" max="1279" width="9.140625" style="39"/>
    <col min="1280" max="1280" width="102.85546875" style="39" customWidth="1"/>
    <col min="1281" max="1535" width="9.140625" style="39"/>
    <col min="1536" max="1536" width="102.85546875" style="39" customWidth="1"/>
    <col min="1537" max="1791" width="9.140625" style="39"/>
    <col min="1792" max="1792" width="102.85546875" style="39" customWidth="1"/>
    <col min="1793" max="2047" width="9.140625" style="39"/>
    <col min="2048" max="2048" width="102.85546875" style="39" customWidth="1"/>
    <col min="2049" max="2303" width="9.140625" style="39"/>
    <col min="2304" max="2304" width="102.85546875" style="39" customWidth="1"/>
    <col min="2305" max="2559" width="9.140625" style="39"/>
    <col min="2560" max="2560" width="102.85546875" style="39" customWidth="1"/>
    <col min="2561" max="2815" width="9.140625" style="39"/>
    <col min="2816" max="2816" width="102.85546875" style="39" customWidth="1"/>
    <col min="2817" max="3071" width="9.140625" style="39"/>
    <col min="3072" max="3072" width="102.85546875" style="39" customWidth="1"/>
    <col min="3073" max="3327" width="9.140625" style="39"/>
    <col min="3328" max="3328" width="102.85546875" style="39" customWidth="1"/>
    <col min="3329" max="3583" width="9.140625" style="39"/>
    <col min="3584" max="3584" width="102.85546875" style="39" customWidth="1"/>
    <col min="3585" max="3839" width="9.140625" style="39"/>
    <col min="3840" max="3840" width="102.85546875" style="39" customWidth="1"/>
    <col min="3841" max="4095" width="9.140625" style="39"/>
    <col min="4096" max="4096" width="102.85546875" style="39" customWidth="1"/>
    <col min="4097" max="4351" width="9.140625" style="39"/>
    <col min="4352" max="4352" width="102.85546875" style="39" customWidth="1"/>
    <col min="4353" max="4607" width="9.140625" style="39"/>
    <col min="4608" max="4608" width="102.85546875" style="39" customWidth="1"/>
    <col min="4609" max="4863" width="9.140625" style="39"/>
    <col min="4864" max="4864" width="102.85546875" style="39" customWidth="1"/>
    <col min="4865" max="5119" width="9.140625" style="39"/>
    <col min="5120" max="5120" width="102.85546875" style="39" customWidth="1"/>
    <col min="5121" max="5375" width="9.140625" style="39"/>
    <col min="5376" max="5376" width="102.85546875" style="39" customWidth="1"/>
    <col min="5377" max="5631" width="9.140625" style="39"/>
    <col min="5632" max="5632" width="102.85546875" style="39" customWidth="1"/>
    <col min="5633" max="5887" width="9.140625" style="39"/>
    <col min="5888" max="5888" width="102.85546875" style="39" customWidth="1"/>
    <col min="5889" max="6143" width="9.140625" style="39"/>
    <col min="6144" max="6144" width="102.85546875" style="39" customWidth="1"/>
    <col min="6145" max="6399" width="9.140625" style="39"/>
    <col min="6400" max="6400" width="102.85546875" style="39" customWidth="1"/>
    <col min="6401" max="6655" width="9.140625" style="39"/>
    <col min="6656" max="6656" width="102.85546875" style="39" customWidth="1"/>
    <col min="6657" max="6911" width="9.140625" style="39"/>
    <col min="6912" max="6912" width="102.85546875" style="39" customWidth="1"/>
    <col min="6913" max="7167" width="9.140625" style="39"/>
    <col min="7168" max="7168" width="102.85546875" style="39" customWidth="1"/>
    <col min="7169" max="7423" width="9.140625" style="39"/>
    <col min="7424" max="7424" width="102.85546875" style="39" customWidth="1"/>
    <col min="7425" max="7679" width="9.140625" style="39"/>
    <col min="7680" max="7680" width="102.85546875" style="39" customWidth="1"/>
    <col min="7681" max="7935" width="9.140625" style="39"/>
    <col min="7936" max="7936" width="102.85546875" style="39" customWidth="1"/>
    <col min="7937" max="8191" width="9.140625" style="39"/>
    <col min="8192" max="8192" width="102.85546875" style="39" customWidth="1"/>
    <col min="8193" max="8447" width="9.140625" style="39"/>
    <col min="8448" max="8448" width="102.85546875" style="39" customWidth="1"/>
    <col min="8449" max="8703" width="9.140625" style="39"/>
    <col min="8704" max="8704" width="102.85546875" style="39" customWidth="1"/>
    <col min="8705" max="8959" width="9.140625" style="39"/>
    <col min="8960" max="8960" width="102.85546875" style="39" customWidth="1"/>
    <col min="8961" max="9215" width="9.140625" style="39"/>
    <col min="9216" max="9216" width="102.85546875" style="39" customWidth="1"/>
    <col min="9217" max="9471" width="9.140625" style="39"/>
    <col min="9472" max="9472" width="102.85546875" style="39" customWidth="1"/>
    <col min="9473" max="9727" width="9.140625" style="39"/>
    <col min="9728" max="9728" width="102.85546875" style="39" customWidth="1"/>
    <col min="9729" max="9983" width="9.140625" style="39"/>
    <col min="9984" max="9984" width="102.85546875" style="39" customWidth="1"/>
    <col min="9985" max="10239" width="9.140625" style="39"/>
    <col min="10240" max="10240" width="102.85546875" style="39" customWidth="1"/>
    <col min="10241" max="10495" width="9.140625" style="39"/>
    <col min="10496" max="10496" width="102.85546875" style="39" customWidth="1"/>
    <col min="10497" max="10751" width="9.140625" style="39"/>
    <col min="10752" max="10752" width="102.85546875" style="39" customWidth="1"/>
    <col min="10753" max="11007" width="9.140625" style="39"/>
    <col min="11008" max="11008" width="102.85546875" style="39" customWidth="1"/>
    <col min="11009" max="11263" width="9.140625" style="39"/>
    <col min="11264" max="11264" width="102.85546875" style="39" customWidth="1"/>
    <col min="11265" max="11519" width="9.140625" style="39"/>
    <col min="11520" max="11520" width="102.85546875" style="39" customWidth="1"/>
    <col min="11521" max="11775" width="9.140625" style="39"/>
    <col min="11776" max="11776" width="102.85546875" style="39" customWidth="1"/>
    <col min="11777" max="12031" width="9.140625" style="39"/>
    <col min="12032" max="12032" width="102.85546875" style="39" customWidth="1"/>
    <col min="12033" max="12287" width="9.140625" style="39"/>
    <col min="12288" max="12288" width="102.85546875" style="39" customWidth="1"/>
    <col min="12289" max="12543" width="9.140625" style="39"/>
    <col min="12544" max="12544" width="102.85546875" style="39" customWidth="1"/>
    <col min="12545" max="12799" width="9.140625" style="39"/>
    <col min="12800" max="12800" width="102.85546875" style="39" customWidth="1"/>
    <col min="12801" max="13055" width="9.140625" style="39"/>
    <col min="13056" max="13056" width="102.85546875" style="39" customWidth="1"/>
    <col min="13057" max="13311" width="9.140625" style="39"/>
    <col min="13312" max="13312" width="102.85546875" style="39" customWidth="1"/>
    <col min="13313" max="13567" width="9.140625" style="39"/>
    <col min="13568" max="13568" width="102.85546875" style="39" customWidth="1"/>
    <col min="13569" max="13823" width="9.140625" style="39"/>
    <col min="13824" max="13824" width="102.85546875" style="39" customWidth="1"/>
    <col min="13825" max="14079" width="9.140625" style="39"/>
    <col min="14080" max="14080" width="102.85546875" style="39" customWidth="1"/>
    <col min="14081" max="14335" width="9.140625" style="39"/>
    <col min="14336" max="14336" width="102.85546875" style="39" customWidth="1"/>
    <col min="14337" max="14591" width="9.140625" style="39"/>
    <col min="14592" max="14592" width="102.85546875" style="39" customWidth="1"/>
    <col min="14593" max="14847" width="9.140625" style="39"/>
    <col min="14848" max="14848" width="102.85546875" style="39" customWidth="1"/>
    <col min="14849" max="15103" width="9.140625" style="39"/>
    <col min="15104" max="15104" width="102.85546875" style="39" customWidth="1"/>
    <col min="15105" max="15359" width="9.140625" style="39"/>
    <col min="15360" max="15360" width="102.85546875" style="39" customWidth="1"/>
    <col min="15361" max="15615" width="9.140625" style="39"/>
    <col min="15616" max="15616" width="102.85546875" style="39" customWidth="1"/>
    <col min="15617" max="15871" width="9.140625" style="39"/>
    <col min="15872" max="15872" width="102.85546875" style="39" customWidth="1"/>
    <col min="15873" max="16127" width="9.140625" style="39"/>
    <col min="16128" max="16128" width="102.85546875" style="39" customWidth="1"/>
    <col min="16129" max="16384" width="9.140625" style="39"/>
  </cols>
  <sheetData>
    <row r="2" spans="1:1" x14ac:dyDescent="0.25">
      <c r="A2" s="94" t="s">
        <v>1169</v>
      </c>
    </row>
    <row r="3" spans="1:1" x14ac:dyDescent="0.25">
      <c r="A3" s="111"/>
    </row>
    <row r="4" spans="1:1" ht="190.9" customHeight="1" x14ac:dyDescent="0.25">
      <c r="A4" s="100" t="s">
        <v>1168</v>
      </c>
    </row>
    <row r="5" spans="1:1" ht="127.5" x14ac:dyDescent="0.25">
      <c r="A5" s="93" t="s">
        <v>1167</v>
      </c>
    </row>
    <row r="6" spans="1:1" ht="63.75" x14ac:dyDescent="0.25">
      <c r="A6" s="93" t="s">
        <v>1166</v>
      </c>
    </row>
    <row r="7" spans="1:1" x14ac:dyDescent="0.25">
      <c r="A7" s="93"/>
    </row>
    <row r="8" spans="1:1" x14ac:dyDescent="0.25">
      <c r="A8" s="111" t="s">
        <v>1165</v>
      </c>
    </row>
    <row r="9" spans="1:1" ht="25.5" x14ac:dyDescent="0.25">
      <c r="A9" s="111" t="s">
        <v>1164</v>
      </c>
    </row>
    <row r="10" spans="1:1" ht="38.25" x14ac:dyDescent="0.25">
      <c r="A10" s="111" t="s">
        <v>1163</v>
      </c>
    </row>
    <row r="11" spans="1:1" x14ac:dyDescent="0.25">
      <c r="A11" s="111"/>
    </row>
    <row r="12" spans="1:1" ht="51" x14ac:dyDescent="0.25">
      <c r="A12" s="93" t="s">
        <v>1162</v>
      </c>
    </row>
    <row r="13" spans="1:1" x14ac:dyDescent="0.25">
      <c r="A13" s="93"/>
    </row>
    <row r="14" spans="1:1" ht="38.25" x14ac:dyDescent="0.25">
      <c r="A14" s="93" t="s">
        <v>1161</v>
      </c>
    </row>
    <row r="15" spans="1:1" ht="51" x14ac:dyDescent="0.25">
      <c r="A15" s="93" t="s">
        <v>1160</v>
      </c>
    </row>
    <row r="16" spans="1:1" x14ac:dyDescent="0.25">
      <c r="A16" s="93"/>
    </row>
    <row r="17" spans="1:1" x14ac:dyDescent="0.25">
      <c r="A17" s="93" t="s">
        <v>1159</v>
      </c>
    </row>
    <row r="18" spans="1:1" x14ac:dyDescent="0.25">
      <c r="A18" s="93" t="s">
        <v>1158</v>
      </c>
    </row>
    <row r="19" spans="1:1" x14ac:dyDescent="0.25">
      <c r="A19" s="93" t="s">
        <v>1157</v>
      </c>
    </row>
    <row r="20" spans="1:1" x14ac:dyDescent="0.25">
      <c r="A20" s="93" t="s">
        <v>1156</v>
      </c>
    </row>
    <row r="21" spans="1:1" ht="38.25" x14ac:dyDescent="0.25">
      <c r="A21" s="93" t="s">
        <v>1155</v>
      </c>
    </row>
    <row r="22" spans="1:1" ht="38.25" x14ac:dyDescent="0.25">
      <c r="A22" s="93" t="s">
        <v>1154</v>
      </c>
    </row>
    <row r="23" spans="1:1" x14ac:dyDescent="0.25">
      <c r="A23" s="93" t="s">
        <v>1153</v>
      </c>
    </row>
    <row r="24" spans="1:1" x14ac:dyDescent="0.25">
      <c r="A24" s="93" t="s">
        <v>1152</v>
      </c>
    </row>
    <row r="25" spans="1:1" x14ac:dyDescent="0.25">
      <c r="A25" s="93" t="s">
        <v>1151</v>
      </c>
    </row>
    <row r="26" spans="1:1" x14ac:dyDescent="0.25">
      <c r="A26" s="93"/>
    </row>
    <row r="27" spans="1:1" ht="63.75" x14ac:dyDescent="0.25">
      <c r="A27" s="93" t="s">
        <v>1150</v>
      </c>
    </row>
    <row r="28" spans="1:1" x14ac:dyDescent="0.25">
      <c r="A28" s="93"/>
    </row>
    <row r="29" spans="1:1" ht="38.25" x14ac:dyDescent="0.25">
      <c r="A29" s="93" t="s">
        <v>1149</v>
      </c>
    </row>
    <row r="30" spans="1:1" x14ac:dyDescent="0.25">
      <c r="A30" s="97" t="s">
        <v>1148</v>
      </c>
    </row>
    <row r="31" spans="1:1" ht="63.75" x14ac:dyDescent="0.25">
      <c r="A31" s="63" t="s">
        <v>1147</v>
      </c>
    </row>
    <row r="32" spans="1:1" ht="51" x14ac:dyDescent="0.25">
      <c r="A32" s="63" t="s">
        <v>1146</v>
      </c>
    </row>
    <row r="33" spans="1:1" ht="63.75" x14ac:dyDescent="0.25">
      <c r="A33" s="63" t="s">
        <v>1145</v>
      </c>
    </row>
    <row r="34" spans="1:1" ht="51" x14ac:dyDescent="0.25">
      <c r="A34" s="63" t="s">
        <v>1144</v>
      </c>
    </row>
    <row r="35" spans="1:1" ht="51" x14ac:dyDescent="0.25">
      <c r="A35" s="63" t="s">
        <v>1143</v>
      </c>
    </row>
    <row r="36" spans="1:1" ht="63.75" x14ac:dyDescent="0.25">
      <c r="A36" s="63" t="s">
        <v>1142</v>
      </c>
    </row>
    <row r="37" spans="1:1" ht="38.25" x14ac:dyDescent="0.25">
      <c r="A37" s="63" t="s">
        <v>1141</v>
      </c>
    </row>
    <row r="38" spans="1:1" ht="38.25" x14ac:dyDescent="0.25">
      <c r="A38" s="63" t="s">
        <v>1140</v>
      </c>
    </row>
    <row r="39" spans="1:1" ht="38.25" x14ac:dyDescent="0.25">
      <c r="A39" s="63" t="s">
        <v>1139</v>
      </c>
    </row>
    <row r="40" spans="1:1" ht="38.25" x14ac:dyDescent="0.25">
      <c r="A40" s="63" t="s">
        <v>1138</v>
      </c>
    </row>
    <row r="41" spans="1:1" ht="51" x14ac:dyDescent="0.25">
      <c r="A41" s="63" t="s">
        <v>1137</v>
      </c>
    </row>
    <row r="42" spans="1:1" ht="51" x14ac:dyDescent="0.25">
      <c r="A42" s="63" t="s">
        <v>1136</v>
      </c>
    </row>
    <row r="43" spans="1:1" x14ac:dyDescent="0.25">
      <c r="A43" s="63"/>
    </row>
    <row r="44" spans="1:1" ht="38.25" x14ac:dyDescent="0.25">
      <c r="A44" s="110" t="s">
        <v>1135</v>
      </c>
    </row>
    <row r="45" spans="1:1" x14ac:dyDescent="0.25">
      <c r="A45" s="63"/>
    </row>
    <row r="46" spans="1:1" x14ac:dyDescent="0.25">
      <c r="A46" s="96" t="s">
        <v>0</v>
      </c>
    </row>
    <row r="47" spans="1:1" ht="51" x14ac:dyDescent="0.25">
      <c r="A47" s="63" t="s">
        <v>1134</v>
      </c>
    </row>
    <row r="48" spans="1:1" ht="76.5" x14ac:dyDescent="0.25">
      <c r="A48" s="63" t="s">
        <v>1133</v>
      </c>
    </row>
    <row r="49" spans="1:1" x14ac:dyDescent="0.25">
      <c r="A49" s="96" t="s">
        <v>213</v>
      </c>
    </row>
    <row r="50" spans="1:1" ht="38.25" x14ac:dyDescent="0.25">
      <c r="A50" s="63" t="s">
        <v>1132</v>
      </c>
    </row>
    <row r="51" spans="1:1" x14ac:dyDescent="0.25">
      <c r="A51" s="63" t="s">
        <v>1131</v>
      </c>
    </row>
    <row r="52" spans="1:1" ht="38.25" x14ac:dyDescent="0.25">
      <c r="A52" s="63" t="s">
        <v>1130</v>
      </c>
    </row>
    <row r="53" spans="1:1" ht="25.5" x14ac:dyDescent="0.25">
      <c r="A53" s="63" t="s">
        <v>1129</v>
      </c>
    </row>
    <row r="54" spans="1:1" ht="51" x14ac:dyDescent="0.25">
      <c r="A54" s="63" t="s">
        <v>1128</v>
      </c>
    </row>
    <row r="55" spans="1:1" x14ac:dyDescent="0.25">
      <c r="A55" s="63" t="s">
        <v>1127</v>
      </c>
    </row>
    <row r="56" spans="1:1" ht="25.5" x14ac:dyDescent="0.25">
      <c r="A56" s="63" t="s">
        <v>1126</v>
      </c>
    </row>
    <row r="57" spans="1:1" ht="38.25" x14ac:dyDescent="0.25">
      <c r="A57" s="63" t="s">
        <v>1125</v>
      </c>
    </row>
    <row r="58" spans="1:1" ht="38.25" x14ac:dyDescent="0.25">
      <c r="A58" s="63" t="s">
        <v>1124</v>
      </c>
    </row>
    <row r="59" spans="1:1" ht="38.25" x14ac:dyDescent="0.25">
      <c r="A59" s="63" t="s">
        <v>1123</v>
      </c>
    </row>
    <row r="60" spans="1:1" x14ac:dyDescent="0.25">
      <c r="A60" s="63" t="s">
        <v>1122</v>
      </c>
    </row>
    <row r="61" spans="1:1" ht="51" x14ac:dyDescent="0.25">
      <c r="A61" s="63" t="s">
        <v>1121</v>
      </c>
    </row>
    <row r="62" spans="1:1" ht="38.25" x14ac:dyDescent="0.25">
      <c r="A62" s="63" t="s">
        <v>1120</v>
      </c>
    </row>
    <row r="63" spans="1:1" ht="38.25" x14ac:dyDescent="0.25">
      <c r="A63" s="63" t="s">
        <v>1119</v>
      </c>
    </row>
    <row r="64" spans="1:1" x14ac:dyDescent="0.25">
      <c r="A64" s="63" t="s">
        <v>1118</v>
      </c>
    </row>
    <row r="65" spans="1:1" ht="38.25" x14ac:dyDescent="0.25">
      <c r="A65" s="63" t="s">
        <v>1117</v>
      </c>
    </row>
    <row r="66" spans="1:1" x14ac:dyDescent="0.25">
      <c r="A66" s="96" t="s">
        <v>1116</v>
      </c>
    </row>
    <row r="67" spans="1:1" ht="51" x14ac:dyDescent="0.25">
      <c r="A67" s="63" t="s">
        <v>1115</v>
      </c>
    </row>
    <row r="68" spans="1:1" ht="76.5" x14ac:dyDescent="0.25">
      <c r="A68" s="63" t="s">
        <v>1114</v>
      </c>
    </row>
    <row r="69" spans="1:1" ht="51" x14ac:dyDescent="0.25">
      <c r="A69" s="63" t="s">
        <v>1113</v>
      </c>
    </row>
    <row r="70" spans="1:1" ht="25.5" x14ac:dyDescent="0.25">
      <c r="A70" s="63" t="s">
        <v>1112</v>
      </c>
    </row>
    <row r="71" spans="1:1" x14ac:dyDescent="0.25">
      <c r="A71" s="96"/>
    </row>
    <row r="72" spans="1:1" x14ac:dyDescent="0.25">
      <c r="A72" s="96" t="s">
        <v>211</v>
      </c>
    </row>
    <row r="73" spans="1:1" ht="153" x14ac:dyDescent="0.25">
      <c r="A73" s="63" t="s">
        <v>1111</v>
      </c>
    </row>
    <row r="74" spans="1:1" x14ac:dyDescent="0.25">
      <c r="A74" s="63"/>
    </row>
    <row r="75" spans="1:1" x14ac:dyDescent="0.25">
      <c r="A75" s="96" t="s">
        <v>212</v>
      </c>
    </row>
    <row r="76" spans="1:1" ht="38.25" x14ac:dyDescent="0.25">
      <c r="A76" s="63" t="s">
        <v>1110</v>
      </c>
    </row>
    <row r="77" spans="1:1" x14ac:dyDescent="0.25">
      <c r="A77" s="96" t="s">
        <v>1109</v>
      </c>
    </row>
    <row r="78" spans="1:1" ht="76.5" x14ac:dyDescent="0.25">
      <c r="A78" s="63" t="s">
        <v>1108</v>
      </c>
    </row>
    <row r="79" spans="1:1" x14ac:dyDescent="0.25">
      <c r="A79" s="96" t="s">
        <v>1107</v>
      </c>
    </row>
    <row r="80" spans="1:1" ht="63.75" x14ac:dyDescent="0.25">
      <c r="A80" s="63" t="s">
        <v>1106</v>
      </c>
    </row>
    <row r="81" spans="1:1" x14ac:dyDescent="0.25">
      <c r="A81" s="96" t="s">
        <v>1105</v>
      </c>
    </row>
    <row r="82" spans="1:1" ht="38.25" x14ac:dyDescent="0.25">
      <c r="A82" s="63" t="s">
        <v>1104</v>
      </c>
    </row>
    <row r="83" spans="1:1" x14ac:dyDescent="0.25">
      <c r="A83" s="96" t="s">
        <v>1103</v>
      </c>
    </row>
    <row r="84" spans="1:1" ht="102" x14ac:dyDescent="0.25">
      <c r="A84" s="63" t="s">
        <v>1102</v>
      </c>
    </row>
    <row r="85" spans="1:1" x14ac:dyDescent="0.25">
      <c r="A85" s="96" t="s">
        <v>1101</v>
      </c>
    </row>
    <row r="86" spans="1:1" ht="25.5" x14ac:dyDescent="0.25">
      <c r="A86" s="107" t="s">
        <v>1100</v>
      </c>
    </row>
    <row r="87" spans="1:1" x14ac:dyDescent="0.25">
      <c r="A87" s="63" t="s">
        <v>1099</v>
      </c>
    </row>
    <row r="88" spans="1:1" ht="25.5" x14ac:dyDescent="0.25">
      <c r="A88" s="63" t="s">
        <v>1098</v>
      </c>
    </row>
    <row r="89" spans="1:1" x14ac:dyDescent="0.25">
      <c r="A89" s="63" t="s">
        <v>1097</v>
      </c>
    </row>
    <row r="90" spans="1:1" x14ac:dyDescent="0.25">
      <c r="A90" s="63" t="s">
        <v>1096</v>
      </c>
    </row>
    <row r="91" spans="1:1" x14ac:dyDescent="0.25">
      <c r="A91" s="63" t="s">
        <v>1095</v>
      </c>
    </row>
    <row r="92" spans="1:1" x14ac:dyDescent="0.25">
      <c r="A92" s="63" t="s">
        <v>1094</v>
      </c>
    </row>
    <row r="93" spans="1:1" x14ac:dyDescent="0.25">
      <c r="A93" s="63" t="s">
        <v>1093</v>
      </c>
    </row>
    <row r="94" spans="1:1" ht="38.25" x14ac:dyDescent="0.25">
      <c r="A94" s="63" t="s">
        <v>1092</v>
      </c>
    </row>
    <row r="95" spans="1:1" x14ac:dyDescent="0.25">
      <c r="A95" s="63" t="s">
        <v>1091</v>
      </c>
    </row>
    <row r="96" spans="1:1" x14ac:dyDescent="0.25">
      <c r="A96" s="96" t="s">
        <v>1090</v>
      </c>
    </row>
    <row r="97" spans="1:1" ht="38.25" x14ac:dyDescent="0.25">
      <c r="A97" s="63" t="s">
        <v>1089</v>
      </c>
    </row>
    <row r="98" spans="1:1" x14ac:dyDescent="0.25">
      <c r="A98" s="96" t="s">
        <v>1088</v>
      </c>
    </row>
    <row r="99" spans="1:1" ht="76.5" x14ac:dyDescent="0.25">
      <c r="A99" s="63" t="s">
        <v>1087</v>
      </c>
    </row>
    <row r="100" spans="1:1" ht="25.5" x14ac:dyDescent="0.25">
      <c r="A100" s="63" t="s">
        <v>1086</v>
      </c>
    </row>
    <row r="101" spans="1:1" ht="51" x14ac:dyDescent="0.25">
      <c r="A101" s="63" t="s">
        <v>1085</v>
      </c>
    </row>
    <row r="102" spans="1:1" x14ac:dyDescent="0.25">
      <c r="A102" s="96" t="s">
        <v>1084</v>
      </c>
    </row>
    <row r="103" spans="1:1" ht="51" x14ac:dyDescent="0.25">
      <c r="A103" s="63" t="s">
        <v>1083</v>
      </c>
    </row>
    <row r="104" spans="1:1" ht="63.75" x14ac:dyDescent="0.25">
      <c r="A104" s="63" t="s">
        <v>1082</v>
      </c>
    </row>
    <row r="105" spans="1:1" x14ac:dyDescent="0.25">
      <c r="A105" s="63"/>
    </row>
    <row r="106" spans="1:1" x14ac:dyDescent="0.25">
      <c r="A106" s="105" t="s">
        <v>1081</v>
      </c>
    </row>
    <row r="107" spans="1:1" x14ac:dyDescent="0.25">
      <c r="A107" s="63"/>
    </row>
    <row r="108" spans="1:1" x14ac:dyDescent="0.25">
      <c r="A108" s="96" t="s">
        <v>1080</v>
      </c>
    </row>
    <row r="109" spans="1:1" ht="76.5" x14ac:dyDescent="0.25">
      <c r="A109" s="63" t="s">
        <v>1079</v>
      </c>
    </row>
    <row r="110" spans="1:1" ht="51" x14ac:dyDescent="0.25">
      <c r="A110" s="63" t="s">
        <v>1078</v>
      </c>
    </row>
    <row r="111" spans="1:1" ht="153" x14ac:dyDescent="0.25">
      <c r="A111" s="63" t="s">
        <v>1077</v>
      </c>
    </row>
    <row r="112" spans="1:1" ht="63.75" x14ac:dyDescent="0.25">
      <c r="A112" s="109" t="s">
        <v>1076</v>
      </c>
    </row>
    <row r="113" spans="1:1" ht="102" x14ac:dyDescent="0.25">
      <c r="A113" s="109" t="s">
        <v>1075</v>
      </c>
    </row>
    <row r="114" spans="1:1" ht="63.75" x14ac:dyDescent="0.25">
      <c r="A114" s="109" t="s">
        <v>1074</v>
      </c>
    </row>
    <row r="115" spans="1:1" ht="38.25" x14ac:dyDescent="0.25">
      <c r="A115" s="109" t="s">
        <v>1073</v>
      </c>
    </row>
    <row r="116" spans="1:1" ht="76.5" x14ac:dyDescent="0.25">
      <c r="A116" s="109" t="s">
        <v>1072</v>
      </c>
    </row>
    <row r="117" spans="1:1" ht="38.25" x14ac:dyDescent="0.25">
      <c r="A117" s="109" t="s">
        <v>1071</v>
      </c>
    </row>
    <row r="118" spans="1:1" ht="51" x14ac:dyDescent="0.25">
      <c r="A118" s="109" t="s">
        <v>1070</v>
      </c>
    </row>
    <row r="119" spans="1:1" ht="76.5" x14ac:dyDescent="0.25">
      <c r="A119" s="109" t="s">
        <v>1069</v>
      </c>
    </row>
    <row r="120" spans="1:1" ht="63.75" x14ac:dyDescent="0.25">
      <c r="A120" s="109" t="s">
        <v>1068</v>
      </c>
    </row>
    <row r="121" spans="1:1" x14ac:dyDescent="0.25">
      <c r="A121" s="96" t="s">
        <v>1067</v>
      </c>
    </row>
    <row r="122" spans="1:1" x14ac:dyDescent="0.25">
      <c r="A122" s="96" t="s">
        <v>1066</v>
      </c>
    </row>
    <row r="123" spans="1:1" ht="38.25" x14ac:dyDescent="0.25">
      <c r="A123" s="63" t="s">
        <v>1065</v>
      </c>
    </row>
    <row r="124" spans="1:1" x14ac:dyDescent="0.25">
      <c r="A124" s="96" t="s">
        <v>1064</v>
      </c>
    </row>
    <row r="125" spans="1:1" ht="38.25" x14ac:dyDescent="0.25">
      <c r="A125" s="63" t="s">
        <v>1063</v>
      </c>
    </row>
    <row r="126" spans="1:1" x14ac:dyDescent="0.25">
      <c r="A126" s="96" t="s">
        <v>1062</v>
      </c>
    </row>
    <row r="127" spans="1:1" ht="63.75" x14ac:dyDescent="0.25">
      <c r="A127" s="63" t="s">
        <v>1061</v>
      </c>
    </row>
    <row r="128" spans="1:1" x14ac:dyDescent="0.25">
      <c r="A128" s="63" t="s">
        <v>1060</v>
      </c>
    </row>
    <row r="129" spans="1:1" x14ac:dyDescent="0.25">
      <c r="A129" s="96" t="s">
        <v>1059</v>
      </c>
    </row>
    <row r="130" spans="1:1" ht="38.25" x14ac:dyDescent="0.25">
      <c r="A130" s="63" t="s">
        <v>1058</v>
      </c>
    </row>
    <row r="131" spans="1:1" x14ac:dyDescent="0.25">
      <c r="A131" s="96" t="s">
        <v>1057</v>
      </c>
    </row>
    <row r="132" spans="1:1" ht="114.75" x14ac:dyDescent="0.25">
      <c r="A132" s="63" t="s">
        <v>1056</v>
      </c>
    </row>
    <row r="133" spans="1:1" ht="63.75" x14ac:dyDescent="0.25">
      <c r="A133" s="63" t="s">
        <v>1055</v>
      </c>
    </row>
    <row r="134" spans="1:1" ht="76.5" x14ac:dyDescent="0.25">
      <c r="A134" s="63" t="s">
        <v>1054</v>
      </c>
    </row>
    <row r="135" spans="1:1" x14ac:dyDescent="0.25">
      <c r="A135" s="96" t="s">
        <v>1053</v>
      </c>
    </row>
    <row r="136" spans="1:1" ht="38.25" x14ac:dyDescent="0.25">
      <c r="A136" s="63" t="s">
        <v>1052</v>
      </c>
    </row>
    <row r="137" spans="1:1" x14ac:dyDescent="0.25">
      <c r="A137" s="63"/>
    </row>
    <row r="138" spans="1:1" x14ac:dyDescent="0.25">
      <c r="A138" s="97" t="s">
        <v>1051</v>
      </c>
    </row>
    <row r="139" spans="1:1" x14ac:dyDescent="0.25">
      <c r="A139" s="98"/>
    </row>
    <row r="140" spans="1:1" ht="76.5" x14ac:dyDescent="0.25">
      <c r="A140" s="109" t="s">
        <v>1050</v>
      </c>
    </row>
    <row r="141" spans="1:1" ht="153" x14ac:dyDescent="0.25">
      <c r="A141" s="109" t="s">
        <v>1049</v>
      </c>
    </row>
    <row r="142" spans="1:1" ht="165.75" x14ac:dyDescent="0.25">
      <c r="A142" s="109" t="s">
        <v>1048</v>
      </c>
    </row>
    <row r="143" spans="1:1" ht="127.5" x14ac:dyDescent="0.25">
      <c r="A143" s="109" t="s">
        <v>1047</v>
      </c>
    </row>
    <row r="144" spans="1:1" ht="127.5" x14ac:dyDescent="0.25">
      <c r="A144" s="109" t="s">
        <v>1046</v>
      </c>
    </row>
    <row r="145" spans="1:1" ht="140.25" x14ac:dyDescent="0.25">
      <c r="A145" s="109" t="s">
        <v>1045</v>
      </c>
    </row>
    <row r="146" spans="1:1" ht="242.25" x14ac:dyDescent="0.25">
      <c r="A146" s="109" t="s">
        <v>1044</v>
      </c>
    </row>
    <row r="147" spans="1:1" ht="63.75" x14ac:dyDescent="0.25">
      <c r="A147" s="108" t="s">
        <v>1043</v>
      </c>
    </row>
    <row r="148" spans="1:1" x14ac:dyDescent="0.25">
      <c r="A148" s="108"/>
    </row>
    <row r="149" spans="1:1" x14ac:dyDescent="0.25">
      <c r="A149" s="97" t="s">
        <v>1042</v>
      </c>
    </row>
    <row r="150" spans="1:1" x14ac:dyDescent="0.25">
      <c r="A150" s="96"/>
    </row>
    <row r="151" spans="1:1" ht="38.25" x14ac:dyDescent="0.25">
      <c r="A151" s="63" t="s">
        <v>1041</v>
      </c>
    </row>
    <row r="152" spans="1:1" ht="51" x14ac:dyDescent="0.25">
      <c r="A152" s="63" t="s">
        <v>1040</v>
      </c>
    </row>
    <row r="153" spans="1:1" ht="38.25" x14ac:dyDescent="0.25">
      <c r="A153" s="63" t="s">
        <v>1039</v>
      </c>
    </row>
    <row r="154" spans="1:1" ht="38.25" x14ac:dyDescent="0.25">
      <c r="A154" s="63" t="s">
        <v>1038</v>
      </c>
    </row>
    <row r="155" spans="1:1" ht="25.5" x14ac:dyDescent="0.25">
      <c r="A155" s="63" t="s">
        <v>1037</v>
      </c>
    </row>
    <row r="156" spans="1:1" ht="76.5" x14ac:dyDescent="0.25">
      <c r="A156" s="63" t="s">
        <v>1036</v>
      </c>
    </row>
    <row r="157" spans="1:1" ht="51" x14ac:dyDescent="0.25">
      <c r="A157" s="63" t="s">
        <v>1035</v>
      </c>
    </row>
    <row r="158" spans="1:1" ht="51" x14ac:dyDescent="0.25">
      <c r="A158" s="63" t="s">
        <v>1034</v>
      </c>
    </row>
    <row r="159" spans="1:1" ht="51" x14ac:dyDescent="0.25">
      <c r="A159" s="63" t="s">
        <v>1033</v>
      </c>
    </row>
    <row r="160" spans="1:1" x14ac:dyDescent="0.25">
      <c r="A160" s="63" t="s">
        <v>1032</v>
      </c>
    </row>
    <row r="161" spans="1:1" ht="38.25" x14ac:dyDescent="0.25">
      <c r="A161" s="63" t="s">
        <v>1031</v>
      </c>
    </row>
    <row r="162" spans="1:1" ht="38.25" x14ac:dyDescent="0.25">
      <c r="A162" s="63" t="s">
        <v>1030</v>
      </c>
    </row>
    <row r="163" spans="1:1" ht="25.5" x14ac:dyDescent="0.25">
      <c r="A163" s="107" t="s">
        <v>1029</v>
      </c>
    </row>
    <row r="164" spans="1:1" ht="38.25" x14ac:dyDescent="0.25">
      <c r="A164" s="63" t="s">
        <v>1028</v>
      </c>
    </row>
    <row r="165" spans="1:1" x14ac:dyDescent="0.25">
      <c r="A165" s="106" t="s">
        <v>1027</v>
      </c>
    </row>
    <row r="166" spans="1:1" x14ac:dyDescent="0.25">
      <c r="A166" s="106" t="s">
        <v>1026</v>
      </c>
    </row>
    <row r="167" spans="1:1" x14ac:dyDescent="0.25">
      <c r="A167" s="106" t="s">
        <v>1025</v>
      </c>
    </row>
    <row r="168" spans="1:1" x14ac:dyDescent="0.25">
      <c r="A168" s="106" t="s">
        <v>1024</v>
      </c>
    </row>
    <row r="169" spans="1:1" x14ac:dyDescent="0.25">
      <c r="A169" s="106" t="s">
        <v>1023</v>
      </c>
    </row>
    <row r="170" spans="1:1" x14ac:dyDescent="0.25">
      <c r="A170" s="106" t="s">
        <v>1022</v>
      </c>
    </row>
    <row r="171" spans="1:1" x14ac:dyDescent="0.25">
      <c r="A171" s="106" t="s">
        <v>1021</v>
      </c>
    </row>
    <row r="172" spans="1:1" x14ac:dyDescent="0.25">
      <c r="A172" s="106"/>
    </row>
    <row r="173" spans="1:1" x14ac:dyDescent="0.25">
      <c r="A173" s="106" t="s">
        <v>1020</v>
      </c>
    </row>
    <row r="174" spans="1:1" ht="27" x14ac:dyDescent="0.25">
      <c r="A174" s="106" t="s">
        <v>1019</v>
      </c>
    </row>
    <row r="175" spans="1:1" ht="27" x14ac:dyDescent="0.25">
      <c r="A175" s="106" t="s">
        <v>1018</v>
      </c>
    </row>
    <row r="176" spans="1:1" x14ac:dyDescent="0.25">
      <c r="A176" s="106" t="s">
        <v>1017</v>
      </c>
    </row>
    <row r="177" spans="1:1" ht="38.25" x14ac:dyDescent="0.25">
      <c r="A177" s="106" t="s">
        <v>1016</v>
      </c>
    </row>
    <row r="178" spans="1:1" ht="38.25" x14ac:dyDescent="0.25">
      <c r="A178" s="106" t="s">
        <v>1015</v>
      </c>
    </row>
    <row r="179" spans="1:1" x14ac:dyDescent="0.25">
      <c r="A179" s="106" t="s">
        <v>1014</v>
      </c>
    </row>
    <row r="180" spans="1:1" x14ac:dyDescent="0.25">
      <c r="A180" s="63"/>
    </row>
    <row r="181" spans="1:1" x14ac:dyDescent="0.25">
      <c r="A181" s="97" t="s">
        <v>1013</v>
      </c>
    </row>
    <row r="182" spans="1:1" x14ac:dyDescent="0.25">
      <c r="A182" s="96"/>
    </row>
    <row r="183" spans="1:1" ht="51" x14ac:dyDescent="0.25">
      <c r="A183" s="63" t="s">
        <v>1012</v>
      </c>
    </row>
    <row r="184" spans="1:1" ht="63.75" x14ac:dyDescent="0.25">
      <c r="A184" s="63" t="s">
        <v>1011</v>
      </c>
    </row>
    <row r="185" spans="1:1" x14ac:dyDescent="0.25">
      <c r="A185" s="63"/>
    </row>
    <row r="186" spans="1:1" x14ac:dyDescent="0.25">
      <c r="A186" s="63" t="s">
        <v>1010</v>
      </c>
    </row>
    <row r="187" spans="1:1" x14ac:dyDescent="0.25">
      <c r="A187" s="63" t="s">
        <v>1009</v>
      </c>
    </row>
    <row r="188" spans="1:1" x14ac:dyDescent="0.25">
      <c r="A188" s="63" t="s">
        <v>1008</v>
      </c>
    </row>
    <row r="189" spans="1:1" x14ac:dyDescent="0.25">
      <c r="A189" s="63" t="s">
        <v>1007</v>
      </c>
    </row>
    <row r="190" spans="1:1" x14ac:dyDescent="0.25">
      <c r="A190" s="63" t="s">
        <v>1006</v>
      </c>
    </row>
    <row r="191" spans="1:1" x14ac:dyDescent="0.25">
      <c r="A191" s="63" t="s">
        <v>1005</v>
      </c>
    </row>
    <row r="192" spans="1:1" x14ac:dyDescent="0.25">
      <c r="A192" s="63" t="s">
        <v>1004</v>
      </c>
    </row>
    <row r="193" spans="1:1" x14ac:dyDescent="0.25">
      <c r="A193" s="63" t="s">
        <v>1003</v>
      </c>
    </row>
    <row r="194" spans="1:1" ht="51" x14ac:dyDescent="0.25">
      <c r="A194" s="63" t="s">
        <v>1002</v>
      </c>
    </row>
    <row r="195" spans="1:1" x14ac:dyDescent="0.25">
      <c r="A195" s="63" t="s">
        <v>1001</v>
      </c>
    </row>
    <row r="196" spans="1:1" x14ac:dyDescent="0.25">
      <c r="A196" s="63" t="s">
        <v>1000</v>
      </c>
    </row>
    <row r="197" spans="1:1" x14ac:dyDescent="0.25">
      <c r="A197" s="63" t="s">
        <v>999</v>
      </c>
    </row>
    <row r="198" spans="1:1" x14ac:dyDescent="0.25">
      <c r="A198" s="63" t="s">
        <v>998</v>
      </c>
    </row>
    <row r="199" spans="1:1" x14ac:dyDescent="0.25">
      <c r="A199" s="63" t="s">
        <v>997</v>
      </c>
    </row>
    <row r="200" spans="1:1" x14ac:dyDescent="0.25">
      <c r="A200" s="63" t="s">
        <v>996</v>
      </c>
    </row>
    <row r="201" spans="1:1" x14ac:dyDescent="0.25">
      <c r="A201" s="63" t="s">
        <v>995</v>
      </c>
    </row>
    <row r="202" spans="1:1" x14ac:dyDescent="0.25">
      <c r="A202" s="63" t="s">
        <v>994</v>
      </c>
    </row>
    <row r="203" spans="1:1" x14ac:dyDescent="0.25">
      <c r="A203" s="63" t="s">
        <v>993</v>
      </c>
    </row>
    <row r="204" spans="1:1" x14ac:dyDescent="0.25">
      <c r="A204" s="63" t="s">
        <v>992</v>
      </c>
    </row>
    <row r="205" spans="1:1" x14ac:dyDescent="0.25">
      <c r="A205" s="63" t="s">
        <v>991</v>
      </c>
    </row>
    <row r="206" spans="1:1" x14ac:dyDescent="0.25">
      <c r="A206" s="63" t="s">
        <v>990</v>
      </c>
    </row>
    <row r="207" spans="1:1" x14ac:dyDescent="0.25">
      <c r="A207" s="63" t="s">
        <v>989</v>
      </c>
    </row>
    <row r="208" spans="1:1" x14ac:dyDescent="0.25">
      <c r="A208" s="63" t="s">
        <v>988</v>
      </c>
    </row>
    <row r="209" spans="1:1" x14ac:dyDescent="0.25">
      <c r="A209" s="63" t="s">
        <v>987</v>
      </c>
    </row>
    <row r="210" spans="1:1" x14ac:dyDescent="0.25">
      <c r="A210" s="63" t="s">
        <v>986</v>
      </c>
    </row>
    <row r="211" spans="1:1" ht="38.25" x14ac:dyDescent="0.25">
      <c r="A211" s="63" t="s">
        <v>985</v>
      </c>
    </row>
    <row r="212" spans="1:1" ht="38.25" x14ac:dyDescent="0.25">
      <c r="A212" s="63" t="s">
        <v>984</v>
      </c>
    </row>
    <row r="213" spans="1:1" ht="63.75" x14ac:dyDescent="0.25">
      <c r="A213" s="63" t="s">
        <v>983</v>
      </c>
    </row>
    <row r="214" spans="1:1" ht="25.5" x14ac:dyDescent="0.25">
      <c r="A214" s="63" t="s">
        <v>982</v>
      </c>
    </row>
    <row r="215" spans="1:1" ht="63.75" x14ac:dyDescent="0.25">
      <c r="A215" s="63" t="s">
        <v>981</v>
      </c>
    </row>
    <row r="216" spans="1:1" ht="38.25" x14ac:dyDescent="0.25">
      <c r="A216" s="63" t="s">
        <v>980</v>
      </c>
    </row>
    <row r="217" spans="1:1" ht="51" x14ac:dyDescent="0.25">
      <c r="A217" s="63" t="s">
        <v>979</v>
      </c>
    </row>
    <row r="218" spans="1:1" ht="51" x14ac:dyDescent="0.25">
      <c r="A218" s="63" t="s">
        <v>978</v>
      </c>
    </row>
    <row r="219" spans="1:1" ht="63.75" x14ac:dyDescent="0.25">
      <c r="A219" s="63" t="s">
        <v>977</v>
      </c>
    </row>
    <row r="220" spans="1:1" ht="38.25" x14ac:dyDescent="0.25">
      <c r="A220" s="63" t="s">
        <v>976</v>
      </c>
    </row>
    <row r="221" spans="1:1" ht="89.25" x14ac:dyDescent="0.25">
      <c r="A221" s="63" t="s">
        <v>975</v>
      </c>
    </row>
    <row r="222" spans="1:1" ht="51" x14ac:dyDescent="0.25">
      <c r="A222" s="63" t="s">
        <v>974</v>
      </c>
    </row>
    <row r="223" spans="1:1" ht="38.25" x14ac:dyDescent="0.25">
      <c r="A223" s="63" t="s">
        <v>973</v>
      </c>
    </row>
    <row r="224" spans="1:1" ht="25.5" x14ac:dyDescent="0.25">
      <c r="A224" s="63" t="s">
        <v>972</v>
      </c>
    </row>
    <row r="225" spans="1:1" ht="63.75" x14ac:dyDescent="0.25">
      <c r="A225" s="63" t="s">
        <v>971</v>
      </c>
    </row>
    <row r="226" spans="1:1" x14ac:dyDescent="0.25">
      <c r="A226" s="63" t="s">
        <v>970</v>
      </c>
    </row>
    <row r="227" spans="1:1" ht="52.5" x14ac:dyDescent="0.25">
      <c r="A227" s="63" t="s">
        <v>969</v>
      </c>
    </row>
    <row r="228" spans="1:1" ht="51" x14ac:dyDescent="0.25">
      <c r="A228" s="63" t="s">
        <v>968</v>
      </c>
    </row>
    <row r="229" spans="1:1" ht="38.25" x14ac:dyDescent="0.25">
      <c r="A229" s="63" t="s">
        <v>967</v>
      </c>
    </row>
    <row r="230" spans="1:1" ht="25.5" x14ac:dyDescent="0.25">
      <c r="A230" s="63" t="s">
        <v>966</v>
      </c>
    </row>
    <row r="231" spans="1:1" x14ac:dyDescent="0.25">
      <c r="A231" s="63" t="s">
        <v>317</v>
      </c>
    </row>
    <row r="232" spans="1:1" x14ac:dyDescent="0.25">
      <c r="A232" s="95" t="s">
        <v>965</v>
      </c>
    </row>
    <row r="233" spans="1:1" x14ac:dyDescent="0.25">
      <c r="A233" s="95" t="s">
        <v>964</v>
      </c>
    </row>
    <row r="234" spans="1:1" x14ac:dyDescent="0.25">
      <c r="A234" s="95" t="s">
        <v>963</v>
      </c>
    </row>
    <row r="235" spans="1:1" x14ac:dyDescent="0.25">
      <c r="A235" s="95" t="s">
        <v>962</v>
      </c>
    </row>
    <row r="236" spans="1:1" x14ac:dyDescent="0.25">
      <c r="A236" s="95" t="s">
        <v>961</v>
      </c>
    </row>
    <row r="237" spans="1:1" x14ac:dyDescent="0.25">
      <c r="A237" s="95" t="s">
        <v>960</v>
      </c>
    </row>
    <row r="238" spans="1:1" x14ac:dyDescent="0.25">
      <c r="A238" s="95" t="s">
        <v>959</v>
      </c>
    </row>
    <row r="239" spans="1:1" x14ac:dyDescent="0.25">
      <c r="A239" s="95" t="s">
        <v>958</v>
      </c>
    </row>
    <row r="240" spans="1:1" x14ac:dyDescent="0.25">
      <c r="A240" s="95" t="s">
        <v>957</v>
      </c>
    </row>
    <row r="241" spans="1:1" x14ac:dyDescent="0.25">
      <c r="A241" s="95" t="s">
        <v>956</v>
      </c>
    </row>
    <row r="242" spans="1:1" x14ac:dyDescent="0.25">
      <c r="A242" s="95" t="s">
        <v>955</v>
      </c>
    </row>
    <row r="243" spans="1:1" ht="25.5" x14ac:dyDescent="0.25">
      <c r="A243" s="95" t="s">
        <v>954</v>
      </c>
    </row>
    <row r="244" spans="1:1" ht="76.5" x14ac:dyDescent="0.25">
      <c r="A244" s="95" t="s">
        <v>953</v>
      </c>
    </row>
    <row r="245" spans="1:1" ht="25.5" x14ac:dyDescent="0.25">
      <c r="A245" s="95" t="s">
        <v>952</v>
      </c>
    </row>
    <row r="246" spans="1:1" x14ac:dyDescent="0.25">
      <c r="A246" s="95"/>
    </row>
    <row r="247" spans="1:1" x14ac:dyDescent="0.25">
      <c r="A247" s="105" t="s">
        <v>951</v>
      </c>
    </row>
    <row r="248" spans="1:1" x14ac:dyDescent="0.25">
      <c r="A248" s="104"/>
    </row>
    <row r="249" spans="1:1" x14ac:dyDescent="0.25">
      <c r="A249" s="96" t="s">
        <v>950</v>
      </c>
    </row>
    <row r="250" spans="1:1" ht="89.25" x14ac:dyDescent="0.25">
      <c r="A250" s="63" t="s">
        <v>949</v>
      </c>
    </row>
    <row r="251" spans="1:1" ht="38.25" x14ac:dyDescent="0.25">
      <c r="A251" s="63" t="s">
        <v>948</v>
      </c>
    </row>
    <row r="252" spans="1:1" ht="51" x14ac:dyDescent="0.25">
      <c r="A252" s="63" t="s">
        <v>947</v>
      </c>
    </row>
    <row r="253" spans="1:1" x14ac:dyDescent="0.25">
      <c r="A253" s="63" t="s">
        <v>727</v>
      </c>
    </row>
    <row r="254" spans="1:1" ht="89.25" x14ac:dyDescent="0.25">
      <c r="A254" s="63" t="s">
        <v>946</v>
      </c>
    </row>
    <row r="255" spans="1:1" ht="76.5" x14ac:dyDescent="0.25">
      <c r="A255" s="63" t="s">
        <v>945</v>
      </c>
    </row>
    <row r="256" spans="1:1" ht="38.25" x14ac:dyDescent="0.25">
      <c r="A256" s="63" t="s">
        <v>944</v>
      </c>
    </row>
    <row r="257" spans="1:1" ht="51" x14ac:dyDescent="0.25">
      <c r="A257" s="63" t="s">
        <v>943</v>
      </c>
    </row>
    <row r="258" spans="1:1" ht="38.25" x14ac:dyDescent="0.25">
      <c r="A258" s="63" t="s">
        <v>942</v>
      </c>
    </row>
    <row r="259" spans="1:1" ht="38.25" x14ac:dyDescent="0.25">
      <c r="A259" s="63" t="s">
        <v>941</v>
      </c>
    </row>
    <row r="260" spans="1:1" ht="51" x14ac:dyDescent="0.25">
      <c r="A260" s="63" t="s">
        <v>940</v>
      </c>
    </row>
    <row r="261" spans="1:1" ht="63.75" x14ac:dyDescent="0.25">
      <c r="A261" s="63" t="s">
        <v>939</v>
      </c>
    </row>
    <row r="262" spans="1:1" ht="76.5" x14ac:dyDescent="0.25">
      <c r="A262" s="63" t="s">
        <v>938</v>
      </c>
    </row>
    <row r="263" spans="1:1" ht="38.25" x14ac:dyDescent="0.25">
      <c r="A263" s="63" t="s">
        <v>937</v>
      </c>
    </row>
    <row r="264" spans="1:1" ht="25.5" x14ac:dyDescent="0.25">
      <c r="A264" s="63" t="s">
        <v>936</v>
      </c>
    </row>
    <row r="265" spans="1:1" x14ac:dyDescent="0.25">
      <c r="A265" s="63" t="s">
        <v>935</v>
      </c>
    </row>
    <row r="266" spans="1:1" x14ac:dyDescent="0.25">
      <c r="A266" s="63" t="s">
        <v>934</v>
      </c>
    </row>
    <row r="267" spans="1:1" x14ac:dyDescent="0.25">
      <c r="A267" s="63" t="s">
        <v>933</v>
      </c>
    </row>
    <row r="268" spans="1:1" x14ac:dyDescent="0.25">
      <c r="A268" s="63"/>
    </row>
    <row r="269" spans="1:1" x14ac:dyDescent="0.25">
      <c r="A269" s="63" t="s">
        <v>932</v>
      </c>
    </row>
    <row r="270" spans="1:1" x14ac:dyDescent="0.25">
      <c r="A270" s="63" t="s">
        <v>931</v>
      </c>
    </row>
    <row r="271" spans="1:1" x14ac:dyDescent="0.25">
      <c r="A271" s="63" t="s">
        <v>456</v>
      </c>
    </row>
    <row r="272" spans="1:1" x14ac:dyDescent="0.25">
      <c r="A272" s="63" t="s">
        <v>930</v>
      </c>
    </row>
    <row r="273" spans="1:1" x14ac:dyDescent="0.25">
      <c r="A273" s="63" t="s">
        <v>929</v>
      </c>
    </row>
    <row r="274" spans="1:1" x14ac:dyDescent="0.25">
      <c r="A274" s="63" t="s">
        <v>928</v>
      </c>
    </row>
    <row r="275" spans="1:1" x14ac:dyDescent="0.25">
      <c r="A275" s="63"/>
    </row>
    <row r="276" spans="1:1" x14ac:dyDescent="0.25">
      <c r="A276" s="63" t="s">
        <v>927</v>
      </c>
    </row>
    <row r="277" spans="1:1" ht="38.25" x14ac:dyDescent="0.25">
      <c r="A277" s="63" t="s">
        <v>926</v>
      </c>
    </row>
    <row r="278" spans="1:1" x14ac:dyDescent="0.25">
      <c r="A278" s="63" t="s">
        <v>925</v>
      </c>
    </row>
    <row r="279" spans="1:1" x14ac:dyDescent="0.25">
      <c r="A279" s="63" t="s">
        <v>924</v>
      </c>
    </row>
    <row r="280" spans="1:1" ht="25.5" x14ac:dyDescent="0.25">
      <c r="A280" s="63" t="s">
        <v>923</v>
      </c>
    </row>
    <row r="281" spans="1:1" x14ac:dyDescent="0.25">
      <c r="A281" s="63"/>
    </row>
    <row r="282" spans="1:1" x14ac:dyDescent="0.25">
      <c r="A282" s="63" t="s">
        <v>317</v>
      </c>
    </row>
    <row r="283" spans="1:1" x14ac:dyDescent="0.25">
      <c r="A283" s="63" t="s">
        <v>922</v>
      </c>
    </row>
    <row r="284" spans="1:1" x14ac:dyDescent="0.25">
      <c r="A284" s="63" t="s">
        <v>921</v>
      </c>
    </row>
    <row r="285" spans="1:1" x14ac:dyDescent="0.25">
      <c r="A285" s="63" t="s">
        <v>920</v>
      </c>
    </row>
    <row r="286" spans="1:1" x14ac:dyDescent="0.25">
      <c r="A286" s="63" t="s">
        <v>919</v>
      </c>
    </row>
    <row r="287" spans="1:1" x14ac:dyDescent="0.25">
      <c r="A287" s="63" t="s">
        <v>918</v>
      </c>
    </row>
    <row r="288" spans="1:1" x14ac:dyDescent="0.25">
      <c r="A288" s="63" t="s">
        <v>917</v>
      </c>
    </row>
    <row r="289" spans="1:1" x14ac:dyDescent="0.25">
      <c r="A289" s="63" t="s">
        <v>916</v>
      </c>
    </row>
    <row r="290" spans="1:1" ht="25.5" x14ac:dyDescent="0.25">
      <c r="A290" s="63" t="s">
        <v>915</v>
      </c>
    </row>
    <row r="291" spans="1:1" x14ac:dyDescent="0.25">
      <c r="A291" s="63" t="s">
        <v>914</v>
      </c>
    </row>
    <row r="292" spans="1:1" x14ac:dyDescent="0.25">
      <c r="A292" s="63" t="s">
        <v>913</v>
      </c>
    </row>
    <row r="293" spans="1:1" x14ac:dyDescent="0.25">
      <c r="A293" s="63" t="s">
        <v>912</v>
      </c>
    </row>
    <row r="294" spans="1:1" x14ac:dyDescent="0.25">
      <c r="A294" s="63"/>
    </row>
    <row r="295" spans="1:1" x14ac:dyDescent="0.25">
      <c r="A295" s="105" t="s">
        <v>911</v>
      </c>
    </row>
    <row r="296" spans="1:1" x14ac:dyDescent="0.25">
      <c r="A296" s="104"/>
    </row>
    <row r="297" spans="1:1" ht="38.25" x14ac:dyDescent="0.25">
      <c r="A297" s="63" t="s">
        <v>910</v>
      </c>
    </row>
    <row r="298" spans="1:1" ht="63.75" x14ac:dyDescent="0.25">
      <c r="A298" s="63" t="s">
        <v>909</v>
      </c>
    </row>
    <row r="299" spans="1:1" ht="63.75" x14ac:dyDescent="0.25">
      <c r="A299" s="63" t="s">
        <v>909</v>
      </c>
    </row>
    <row r="300" spans="1:1" ht="51" x14ac:dyDescent="0.25">
      <c r="A300" s="63" t="s">
        <v>908</v>
      </c>
    </row>
    <row r="301" spans="1:1" ht="25.5" x14ac:dyDescent="0.25">
      <c r="A301" s="63" t="s">
        <v>907</v>
      </c>
    </row>
    <row r="302" spans="1:1" ht="38.25" x14ac:dyDescent="0.25">
      <c r="A302" s="63" t="s">
        <v>906</v>
      </c>
    </row>
    <row r="303" spans="1:1" ht="76.5" x14ac:dyDescent="0.25">
      <c r="A303" s="63" t="s">
        <v>905</v>
      </c>
    </row>
    <row r="304" spans="1:1" x14ac:dyDescent="0.25">
      <c r="A304" s="63" t="s">
        <v>211</v>
      </c>
    </row>
    <row r="305" spans="1:1" x14ac:dyDescent="0.25">
      <c r="A305" s="63" t="s">
        <v>904</v>
      </c>
    </row>
    <row r="306" spans="1:1" ht="89.25" x14ac:dyDescent="0.25">
      <c r="A306" s="63" t="s">
        <v>903</v>
      </c>
    </row>
    <row r="307" spans="1:1" x14ac:dyDescent="0.25">
      <c r="A307" s="63" t="s">
        <v>902</v>
      </c>
    </row>
    <row r="308" spans="1:1" ht="76.5" x14ac:dyDescent="0.25">
      <c r="A308" s="63" t="s">
        <v>901</v>
      </c>
    </row>
    <row r="309" spans="1:1" ht="63.75" x14ac:dyDescent="0.25">
      <c r="A309" s="63" t="s">
        <v>900</v>
      </c>
    </row>
    <row r="310" spans="1:1" ht="76.5" x14ac:dyDescent="0.25">
      <c r="A310" s="63" t="s">
        <v>899</v>
      </c>
    </row>
    <row r="311" spans="1:1" x14ac:dyDescent="0.25">
      <c r="A311" s="63" t="s">
        <v>898</v>
      </c>
    </row>
    <row r="312" spans="1:1" ht="63.75" x14ac:dyDescent="0.25">
      <c r="A312" s="63" t="s">
        <v>897</v>
      </c>
    </row>
    <row r="313" spans="1:1" ht="25.5" x14ac:dyDescent="0.25">
      <c r="A313" s="63" t="s">
        <v>896</v>
      </c>
    </row>
    <row r="314" spans="1:1" x14ac:dyDescent="0.25">
      <c r="A314" s="63" t="s">
        <v>895</v>
      </c>
    </row>
    <row r="315" spans="1:1" x14ac:dyDescent="0.25">
      <c r="A315" s="63" t="s">
        <v>894</v>
      </c>
    </row>
    <row r="316" spans="1:1" x14ac:dyDescent="0.25">
      <c r="A316" s="63" t="s">
        <v>893</v>
      </c>
    </row>
    <row r="317" spans="1:1" x14ac:dyDescent="0.25">
      <c r="A317" s="63" t="s">
        <v>892</v>
      </c>
    </row>
    <row r="318" spans="1:1" x14ac:dyDescent="0.25">
      <c r="A318" s="63" t="s">
        <v>481</v>
      </c>
    </row>
    <row r="319" spans="1:1" x14ac:dyDescent="0.25">
      <c r="A319" s="63" t="s">
        <v>891</v>
      </c>
    </row>
    <row r="320" spans="1:1" x14ac:dyDescent="0.25">
      <c r="A320" s="63" t="s">
        <v>890</v>
      </c>
    </row>
    <row r="321" spans="1:1" x14ac:dyDescent="0.25">
      <c r="A321" s="63" t="s">
        <v>476</v>
      </c>
    </row>
    <row r="322" spans="1:1" x14ac:dyDescent="0.25">
      <c r="A322" s="63" t="s">
        <v>889</v>
      </c>
    </row>
    <row r="323" spans="1:1" x14ac:dyDescent="0.25">
      <c r="A323" s="63" t="s">
        <v>474</v>
      </c>
    </row>
    <row r="324" spans="1:1" x14ac:dyDescent="0.25">
      <c r="A324" s="63" t="s">
        <v>473</v>
      </c>
    </row>
    <row r="325" spans="1:1" x14ac:dyDescent="0.25">
      <c r="A325" s="63" t="s">
        <v>472</v>
      </c>
    </row>
    <row r="326" spans="1:1" x14ac:dyDescent="0.25">
      <c r="A326" s="92"/>
    </row>
    <row r="327" spans="1:1" x14ac:dyDescent="0.25">
      <c r="A327" s="105" t="s">
        <v>888</v>
      </c>
    </row>
    <row r="328" spans="1:1" x14ac:dyDescent="0.25">
      <c r="A328" s="104"/>
    </row>
    <row r="329" spans="1:1" ht="51" x14ac:dyDescent="0.25">
      <c r="A329" s="63" t="s">
        <v>887</v>
      </c>
    </row>
    <row r="330" spans="1:1" x14ac:dyDescent="0.25">
      <c r="A330" s="99" t="s">
        <v>886</v>
      </c>
    </row>
    <row r="331" spans="1:1" ht="38.25" x14ac:dyDescent="0.25">
      <c r="A331" s="63" t="s">
        <v>885</v>
      </c>
    </row>
    <row r="332" spans="1:1" ht="38.25" x14ac:dyDescent="0.25">
      <c r="A332" s="63" t="s">
        <v>884</v>
      </c>
    </row>
    <row r="333" spans="1:1" ht="38.25" x14ac:dyDescent="0.25">
      <c r="A333" s="63" t="s">
        <v>883</v>
      </c>
    </row>
    <row r="334" spans="1:1" ht="25.5" x14ac:dyDescent="0.25">
      <c r="A334" s="63" t="s">
        <v>882</v>
      </c>
    </row>
    <row r="335" spans="1:1" ht="38.25" x14ac:dyDescent="0.25">
      <c r="A335" s="63" t="s">
        <v>881</v>
      </c>
    </row>
    <row r="336" spans="1:1" ht="51" x14ac:dyDescent="0.25">
      <c r="A336" s="63" t="s">
        <v>880</v>
      </c>
    </row>
    <row r="337" spans="1:1" x14ac:dyDescent="0.25">
      <c r="A337" s="99" t="s">
        <v>493</v>
      </c>
    </row>
    <row r="338" spans="1:1" x14ac:dyDescent="0.25">
      <c r="A338" s="63" t="s">
        <v>879</v>
      </c>
    </row>
    <row r="339" spans="1:1" x14ac:dyDescent="0.25">
      <c r="A339" s="63" t="s">
        <v>878</v>
      </c>
    </row>
    <row r="340" spans="1:1" x14ac:dyDescent="0.25">
      <c r="A340" s="63" t="s">
        <v>877</v>
      </c>
    </row>
    <row r="341" spans="1:1" x14ac:dyDescent="0.25">
      <c r="A341" s="63" t="s">
        <v>876</v>
      </c>
    </row>
    <row r="342" spans="1:1" x14ac:dyDescent="0.25">
      <c r="A342" s="63" t="s">
        <v>875</v>
      </c>
    </row>
    <row r="343" spans="1:1" x14ac:dyDescent="0.25">
      <c r="A343" s="63" t="s">
        <v>874</v>
      </c>
    </row>
    <row r="344" spans="1:1" x14ac:dyDescent="0.25">
      <c r="A344" s="63" t="s">
        <v>873</v>
      </c>
    </row>
    <row r="345" spans="1:1" x14ac:dyDescent="0.25">
      <c r="A345" s="63" t="s">
        <v>872</v>
      </c>
    </row>
    <row r="346" spans="1:1" x14ac:dyDescent="0.25">
      <c r="A346" s="63" t="s">
        <v>871</v>
      </c>
    </row>
    <row r="347" spans="1:1" x14ac:dyDescent="0.25">
      <c r="A347" s="63" t="s">
        <v>870</v>
      </c>
    </row>
    <row r="348" spans="1:1" x14ac:dyDescent="0.25">
      <c r="A348" s="99" t="s">
        <v>869</v>
      </c>
    </row>
    <row r="349" spans="1:1" ht="76.5" x14ac:dyDescent="0.25">
      <c r="A349" s="63" t="s">
        <v>868</v>
      </c>
    </row>
    <row r="350" spans="1:1" x14ac:dyDescent="0.25">
      <c r="A350" s="99" t="s">
        <v>867</v>
      </c>
    </row>
    <row r="351" spans="1:1" ht="51" x14ac:dyDescent="0.25">
      <c r="A351" s="99" t="s">
        <v>866</v>
      </c>
    </row>
    <row r="352" spans="1:1" ht="38.25" x14ac:dyDescent="0.25">
      <c r="A352" s="63" t="s">
        <v>865</v>
      </c>
    </row>
    <row r="353" spans="1:1" ht="38.25" x14ac:dyDescent="0.25">
      <c r="A353" s="63" t="s">
        <v>864</v>
      </c>
    </row>
    <row r="354" spans="1:1" ht="38.25" x14ac:dyDescent="0.25">
      <c r="A354" s="63" t="s">
        <v>863</v>
      </c>
    </row>
    <row r="355" spans="1:1" ht="38.25" x14ac:dyDescent="0.25">
      <c r="A355" s="63" t="s">
        <v>862</v>
      </c>
    </row>
    <row r="356" spans="1:1" ht="51" x14ac:dyDescent="0.25">
      <c r="A356" s="63" t="s">
        <v>861</v>
      </c>
    </row>
    <row r="357" spans="1:1" x14ac:dyDescent="0.25">
      <c r="A357" s="99" t="s">
        <v>487</v>
      </c>
    </row>
    <row r="358" spans="1:1" ht="38.25" x14ac:dyDescent="0.25">
      <c r="A358" s="63" t="s">
        <v>860</v>
      </c>
    </row>
    <row r="359" spans="1:1" x14ac:dyDescent="0.25">
      <c r="A359" s="99" t="s">
        <v>485</v>
      </c>
    </row>
    <row r="360" spans="1:1" x14ac:dyDescent="0.25">
      <c r="A360" s="63" t="s">
        <v>484</v>
      </c>
    </row>
    <row r="361" spans="1:1" x14ac:dyDescent="0.25">
      <c r="A361" s="63" t="s">
        <v>483</v>
      </c>
    </row>
    <row r="362" spans="1:1" ht="25.5" x14ac:dyDescent="0.25">
      <c r="A362" s="63" t="s">
        <v>859</v>
      </c>
    </row>
    <row r="363" spans="1:1" x14ac:dyDescent="0.25">
      <c r="A363" s="103" t="s">
        <v>317</v>
      </c>
    </row>
    <row r="364" spans="1:1" x14ac:dyDescent="0.25">
      <c r="A364" s="63" t="s">
        <v>482</v>
      </c>
    </row>
    <row r="365" spans="1:1" x14ac:dyDescent="0.25">
      <c r="A365" s="63" t="s">
        <v>858</v>
      </c>
    </row>
    <row r="366" spans="1:1" x14ac:dyDescent="0.25">
      <c r="A366" s="63" t="s">
        <v>481</v>
      </c>
    </row>
    <row r="367" spans="1:1" x14ac:dyDescent="0.25">
      <c r="A367" s="99" t="s">
        <v>480</v>
      </c>
    </row>
    <row r="368" spans="1:1" x14ac:dyDescent="0.25">
      <c r="A368" s="63" t="s">
        <v>857</v>
      </c>
    </row>
    <row r="369" spans="1:1" ht="25.5" x14ac:dyDescent="0.25">
      <c r="A369" s="63" t="s">
        <v>856</v>
      </c>
    </row>
    <row r="370" spans="1:1" x14ac:dyDescent="0.25">
      <c r="A370" s="63" t="s">
        <v>477</v>
      </c>
    </row>
    <row r="371" spans="1:1" x14ac:dyDescent="0.25">
      <c r="A371" s="63" t="s">
        <v>476</v>
      </c>
    </row>
    <row r="372" spans="1:1" x14ac:dyDescent="0.25">
      <c r="A372" s="63" t="s">
        <v>475</v>
      </c>
    </row>
    <row r="373" spans="1:1" x14ac:dyDescent="0.25">
      <c r="A373" s="63" t="s">
        <v>474</v>
      </c>
    </row>
    <row r="374" spans="1:1" x14ac:dyDescent="0.25">
      <c r="A374" s="63" t="s">
        <v>473</v>
      </c>
    </row>
    <row r="375" spans="1:1" x14ac:dyDescent="0.25">
      <c r="A375" s="63" t="s">
        <v>472</v>
      </c>
    </row>
    <row r="376" spans="1:1" x14ac:dyDescent="0.25">
      <c r="A376" s="92"/>
    </row>
    <row r="377" spans="1:1" x14ac:dyDescent="0.25">
      <c r="A377" s="97" t="s">
        <v>855</v>
      </c>
    </row>
    <row r="378" spans="1:1" x14ac:dyDescent="0.25">
      <c r="A378" s="96"/>
    </row>
    <row r="379" spans="1:1" x14ac:dyDescent="0.25">
      <c r="A379" s="102" t="s">
        <v>854</v>
      </c>
    </row>
    <row r="380" spans="1:1" ht="38.25" x14ac:dyDescent="0.25">
      <c r="A380" s="63" t="s">
        <v>853</v>
      </c>
    </row>
    <row r="381" spans="1:1" ht="178.5" x14ac:dyDescent="0.25">
      <c r="A381" s="63" t="s">
        <v>852</v>
      </c>
    </row>
    <row r="382" spans="1:1" ht="25.5" x14ac:dyDescent="0.25">
      <c r="A382" s="63" t="s">
        <v>851</v>
      </c>
    </row>
    <row r="383" spans="1:1" ht="25.5" x14ac:dyDescent="0.25">
      <c r="A383" s="63" t="s">
        <v>850</v>
      </c>
    </row>
    <row r="384" spans="1:1" ht="63.75" x14ac:dyDescent="0.25">
      <c r="A384" s="63" t="s">
        <v>849</v>
      </c>
    </row>
    <row r="385" spans="1:1" ht="51" x14ac:dyDescent="0.25">
      <c r="A385" s="63" t="s">
        <v>848</v>
      </c>
    </row>
    <row r="386" spans="1:1" ht="25.5" x14ac:dyDescent="0.25">
      <c r="A386" s="63" t="s">
        <v>847</v>
      </c>
    </row>
    <row r="387" spans="1:1" x14ac:dyDescent="0.25">
      <c r="A387" s="96" t="s">
        <v>846</v>
      </c>
    </row>
    <row r="388" spans="1:1" ht="38.25" x14ac:dyDescent="0.25">
      <c r="A388" s="63" t="s">
        <v>845</v>
      </c>
    </row>
    <row r="389" spans="1:1" ht="25.5" x14ac:dyDescent="0.25">
      <c r="A389" s="63" t="s">
        <v>844</v>
      </c>
    </row>
    <row r="390" spans="1:1" ht="51" x14ac:dyDescent="0.25">
      <c r="A390" s="63" t="s">
        <v>843</v>
      </c>
    </row>
    <row r="391" spans="1:1" ht="38.25" x14ac:dyDescent="0.25">
      <c r="A391" s="63" t="s">
        <v>842</v>
      </c>
    </row>
    <row r="392" spans="1:1" ht="89.25" x14ac:dyDescent="0.25">
      <c r="A392" s="63" t="s">
        <v>841</v>
      </c>
    </row>
    <row r="393" spans="1:1" ht="127.5" x14ac:dyDescent="0.25">
      <c r="A393" s="63" t="s">
        <v>840</v>
      </c>
    </row>
    <row r="394" spans="1:1" ht="25.5" x14ac:dyDescent="0.25">
      <c r="A394" s="63" t="s">
        <v>839</v>
      </c>
    </row>
    <row r="395" spans="1:1" x14ac:dyDescent="0.25">
      <c r="A395" s="63" t="s">
        <v>838</v>
      </c>
    </row>
    <row r="396" spans="1:1" x14ac:dyDescent="0.25">
      <c r="A396" s="63" t="s">
        <v>837</v>
      </c>
    </row>
    <row r="397" spans="1:1" x14ac:dyDescent="0.25">
      <c r="A397" s="63" t="s">
        <v>836</v>
      </c>
    </row>
    <row r="398" spans="1:1" x14ac:dyDescent="0.25">
      <c r="A398" s="63" t="s">
        <v>835</v>
      </c>
    </row>
    <row r="399" spans="1:1" x14ac:dyDescent="0.25">
      <c r="A399" s="63" t="s">
        <v>834</v>
      </c>
    </row>
    <row r="400" spans="1:1" x14ac:dyDescent="0.25">
      <c r="A400" s="63" t="s">
        <v>833</v>
      </c>
    </row>
    <row r="401" spans="1:1" x14ac:dyDescent="0.25">
      <c r="A401" s="63" t="s">
        <v>832</v>
      </c>
    </row>
    <row r="402" spans="1:1" x14ac:dyDescent="0.25">
      <c r="A402" s="63" t="s">
        <v>831</v>
      </c>
    </row>
    <row r="403" spans="1:1" x14ac:dyDescent="0.25">
      <c r="A403" s="63" t="s">
        <v>830</v>
      </c>
    </row>
    <row r="404" spans="1:1" x14ac:dyDescent="0.25">
      <c r="A404" s="63" t="s">
        <v>829</v>
      </c>
    </row>
    <row r="405" spans="1:1" x14ac:dyDescent="0.25">
      <c r="A405" s="63" t="s">
        <v>828</v>
      </c>
    </row>
    <row r="406" spans="1:1" x14ac:dyDescent="0.25">
      <c r="A406" s="63" t="s">
        <v>827</v>
      </c>
    </row>
    <row r="407" spans="1:1" x14ac:dyDescent="0.25">
      <c r="A407" s="63" t="s">
        <v>826</v>
      </c>
    </row>
    <row r="408" spans="1:1" x14ac:dyDescent="0.25">
      <c r="A408" s="63" t="s">
        <v>825</v>
      </c>
    </row>
    <row r="409" spans="1:1" x14ac:dyDescent="0.25">
      <c r="A409" s="63" t="s">
        <v>824</v>
      </c>
    </row>
    <row r="410" spans="1:1" x14ac:dyDescent="0.25">
      <c r="A410" s="63" t="s">
        <v>823</v>
      </c>
    </row>
    <row r="411" spans="1:1" x14ac:dyDescent="0.25">
      <c r="A411" s="63" t="s">
        <v>822</v>
      </c>
    </row>
    <row r="412" spans="1:1" x14ac:dyDescent="0.25">
      <c r="A412" s="63" t="s">
        <v>821</v>
      </c>
    </row>
    <row r="413" spans="1:1" x14ac:dyDescent="0.25">
      <c r="A413" s="63" t="s">
        <v>820</v>
      </c>
    </row>
    <row r="414" spans="1:1" x14ac:dyDescent="0.25">
      <c r="A414" s="63" t="s">
        <v>819</v>
      </c>
    </row>
    <row r="415" spans="1:1" ht="25.5" x14ac:dyDescent="0.25">
      <c r="A415" s="63" t="s">
        <v>818</v>
      </c>
    </row>
    <row r="416" spans="1:1" x14ac:dyDescent="0.25">
      <c r="A416" s="63" t="s">
        <v>817</v>
      </c>
    </row>
    <row r="417" spans="1:1" x14ac:dyDescent="0.25">
      <c r="A417" s="63" t="s">
        <v>816</v>
      </c>
    </row>
    <row r="418" spans="1:1" x14ac:dyDescent="0.25">
      <c r="A418" s="63" t="s">
        <v>815</v>
      </c>
    </row>
    <row r="419" spans="1:1" x14ac:dyDescent="0.25">
      <c r="A419" s="63" t="s">
        <v>814</v>
      </c>
    </row>
    <row r="420" spans="1:1" x14ac:dyDescent="0.25">
      <c r="A420" s="63" t="s">
        <v>813</v>
      </c>
    </row>
    <row r="421" spans="1:1" x14ac:dyDescent="0.25">
      <c r="A421" s="63" t="s">
        <v>812</v>
      </c>
    </row>
    <row r="422" spans="1:1" x14ac:dyDescent="0.25">
      <c r="A422" s="63"/>
    </row>
    <row r="423" spans="1:1" ht="229.5" x14ac:dyDescent="0.25">
      <c r="A423" s="63" t="s">
        <v>811</v>
      </c>
    </row>
    <row r="424" spans="1:1" ht="51" x14ac:dyDescent="0.25">
      <c r="A424" s="63" t="s">
        <v>810</v>
      </c>
    </row>
    <row r="425" spans="1:1" x14ac:dyDescent="0.25">
      <c r="A425" s="63" t="s">
        <v>809</v>
      </c>
    </row>
    <row r="426" spans="1:1" ht="178.5" x14ac:dyDescent="0.25">
      <c r="A426" s="63" t="s">
        <v>808</v>
      </c>
    </row>
    <row r="427" spans="1:1" ht="51" x14ac:dyDescent="0.25">
      <c r="A427" s="63" t="s">
        <v>807</v>
      </c>
    </row>
    <row r="428" spans="1:1" x14ac:dyDescent="0.25">
      <c r="A428" s="63" t="s">
        <v>734</v>
      </c>
    </row>
    <row r="429" spans="1:1" ht="38.25" x14ac:dyDescent="0.25">
      <c r="A429" s="63" t="s">
        <v>806</v>
      </c>
    </row>
    <row r="430" spans="1:1" ht="51" x14ac:dyDescent="0.25">
      <c r="A430" s="63" t="s">
        <v>805</v>
      </c>
    </row>
    <row r="431" spans="1:1" x14ac:dyDescent="0.25">
      <c r="A431" s="63"/>
    </row>
    <row r="432" spans="1:1" x14ac:dyDescent="0.25">
      <c r="A432" s="102" t="s">
        <v>804</v>
      </c>
    </row>
    <row r="433" spans="1:1" ht="76.5" x14ac:dyDescent="0.25">
      <c r="A433" s="63" t="s">
        <v>803</v>
      </c>
    </row>
    <row r="434" spans="1:1" x14ac:dyDescent="0.25">
      <c r="A434" s="63"/>
    </row>
    <row r="435" spans="1:1" x14ac:dyDescent="0.25">
      <c r="A435" s="102" t="s">
        <v>802</v>
      </c>
    </row>
    <row r="436" spans="1:1" ht="51" x14ac:dyDescent="0.25">
      <c r="A436" s="63" t="s">
        <v>801</v>
      </c>
    </row>
    <row r="437" spans="1:1" x14ac:dyDescent="0.25">
      <c r="A437" s="63" t="s">
        <v>800</v>
      </c>
    </row>
    <row r="438" spans="1:1" x14ac:dyDescent="0.25">
      <c r="A438" s="63"/>
    </row>
    <row r="439" spans="1:1" x14ac:dyDescent="0.25">
      <c r="A439" s="63" t="s">
        <v>799</v>
      </c>
    </row>
    <row r="440" spans="1:1" x14ac:dyDescent="0.25">
      <c r="A440" s="92"/>
    </row>
    <row r="441" spans="1:1" x14ac:dyDescent="0.25">
      <c r="A441" s="97" t="s">
        <v>798</v>
      </c>
    </row>
    <row r="442" spans="1:1" x14ac:dyDescent="0.25">
      <c r="A442" s="92"/>
    </row>
    <row r="443" spans="1:1" ht="89.25" x14ac:dyDescent="0.25">
      <c r="A443" s="63" t="s">
        <v>797</v>
      </c>
    </row>
    <row r="444" spans="1:1" x14ac:dyDescent="0.25">
      <c r="A444" s="63"/>
    </row>
    <row r="445" spans="1:1" ht="38.25" x14ac:dyDescent="0.25">
      <c r="A445" s="63" t="s">
        <v>796</v>
      </c>
    </row>
    <row r="446" spans="1:1" ht="38.25" x14ac:dyDescent="0.25">
      <c r="A446" s="63" t="s">
        <v>795</v>
      </c>
    </row>
    <row r="447" spans="1:1" ht="51" x14ac:dyDescent="0.25">
      <c r="A447" s="63" t="s">
        <v>794</v>
      </c>
    </row>
    <row r="448" spans="1:1" ht="38.25" x14ac:dyDescent="0.25">
      <c r="A448" s="63" t="s">
        <v>793</v>
      </c>
    </row>
    <row r="449" spans="1:1" ht="165.75" x14ac:dyDescent="0.25">
      <c r="A449" s="63" t="s">
        <v>792</v>
      </c>
    </row>
    <row r="450" spans="1:1" ht="76.5" x14ac:dyDescent="0.25">
      <c r="A450" s="63" t="s">
        <v>791</v>
      </c>
    </row>
    <row r="451" spans="1:1" ht="38.25" x14ac:dyDescent="0.25">
      <c r="A451" s="63" t="s">
        <v>790</v>
      </c>
    </row>
    <row r="452" spans="1:1" ht="63.75" x14ac:dyDescent="0.25">
      <c r="A452" s="63" t="s">
        <v>789</v>
      </c>
    </row>
    <row r="453" spans="1:1" x14ac:dyDescent="0.25">
      <c r="A453" s="63"/>
    </row>
    <row r="454" spans="1:1" x14ac:dyDescent="0.25">
      <c r="A454" s="63" t="s">
        <v>788</v>
      </c>
    </row>
    <row r="455" spans="1:1" ht="89.25" x14ac:dyDescent="0.25">
      <c r="A455" s="63" t="s">
        <v>787</v>
      </c>
    </row>
    <row r="456" spans="1:1" ht="76.5" x14ac:dyDescent="0.25">
      <c r="A456" s="63" t="s">
        <v>786</v>
      </c>
    </row>
    <row r="457" spans="1:1" ht="38.25" x14ac:dyDescent="0.25">
      <c r="A457" s="63" t="s">
        <v>785</v>
      </c>
    </row>
    <row r="458" spans="1:1" x14ac:dyDescent="0.25">
      <c r="A458" s="63"/>
    </row>
    <row r="459" spans="1:1" x14ac:dyDescent="0.25">
      <c r="A459" s="63" t="s">
        <v>784</v>
      </c>
    </row>
    <row r="460" spans="1:1" ht="114.75" x14ac:dyDescent="0.25">
      <c r="A460" s="63" t="s">
        <v>783</v>
      </c>
    </row>
    <row r="461" spans="1:1" x14ac:dyDescent="0.25">
      <c r="A461" s="63"/>
    </row>
    <row r="462" spans="1:1" x14ac:dyDescent="0.25">
      <c r="A462" s="63" t="s">
        <v>782</v>
      </c>
    </row>
    <row r="463" spans="1:1" ht="51" x14ac:dyDescent="0.25">
      <c r="A463" s="63" t="s">
        <v>781</v>
      </c>
    </row>
    <row r="464" spans="1:1" ht="38.25" x14ac:dyDescent="0.25">
      <c r="A464" s="63" t="s">
        <v>780</v>
      </c>
    </row>
    <row r="465" spans="1:1" ht="38.25" x14ac:dyDescent="0.25">
      <c r="A465" s="63" t="s">
        <v>779</v>
      </c>
    </row>
    <row r="466" spans="1:1" x14ac:dyDescent="0.25">
      <c r="A466" s="63"/>
    </row>
    <row r="467" spans="1:1" x14ac:dyDescent="0.25">
      <c r="A467" s="63" t="s">
        <v>778</v>
      </c>
    </row>
    <row r="468" spans="1:1" x14ac:dyDescent="0.25">
      <c r="A468" s="63"/>
    </row>
    <row r="469" spans="1:1" x14ac:dyDescent="0.25">
      <c r="A469" s="63" t="s">
        <v>777</v>
      </c>
    </row>
    <row r="470" spans="1:1" x14ac:dyDescent="0.25">
      <c r="A470" s="63"/>
    </row>
    <row r="471" spans="1:1" x14ac:dyDescent="0.25">
      <c r="A471" s="63" t="s">
        <v>776</v>
      </c>
    </row>
    <row r="472" spans="1:1" x14ac:dyDescent="0.25">
      <c r="A472" s="63" t="s">
        <v>316</v>
      </c>
    </row>
    <row r="473" spans="1:1" x14ac:dyDescent="0.25">
      <c r="A473" s="63" t="s">
        <v>775</v>
      </c>
    </row>
    <row r="474" spans="1:1" x14ac:dyDescent="0.25">
      <c r="A474" s="63" t="s">
        <v>452</v>
      </c>
    </row>
    <row r="475" spans="1:1" x14ac:dyDescent="0.25">
      <c r="A475" s="63" t="s">
        <v>774</v>
      </c>
    </row>
    <row r="476" spans="1:1" x14ac:dyDescent="0.25">
      <c r="A476" s="63" t="s">
        <v>773</v>
      </c>
    </row>
    <row r="477" spans="1:1" x14ac:dyDescent="0.25">
      <c r="A477" s="63" t="s">
        <v>772</v>
      </c>
    </row>
    <row r="478" spans="1:1" x14ac:dyDescent="0.25">
      <c r="A478" s="63" t="s">
        <v>766</v>
      </c>
    </row>
    <row r="479" spans="1:1" x14ac:dyDescent="0.25">
      <c r="A479" s="63"/>
    </row>
    <row r="480" spans="1:1" x14ac:dyDescent="0.25">
      <c r="A480" s="63" t="s">
        <v>771</v>
      </c>
    </row>
    <row r="481" spans="1:1" x14ac:dyDescent="0.25">
      <c r="A481" s="63"/>
    </row>
    <row r="482" spans="1:1" x14ac:dyDescent="0.25">
      <c r="A482" s="63" t="s">
        <v>770</v>
      </c>
    </row>
    <row r="483" spans="1:1" x14ac:dyDescent="0.25">
      <c r="A483" s="63" t="s">
        <v>769</v>
      </c>
    </row>
    <row r="484" spans="1:1" ht="25.5" x14ac:dyDescent="0.25">
      <c r="A484" s="63" t="s">
        <v>768</v>
      </c>
    </row>
    <row r="485" spans="1:1" x14ac:dyDescent="0.25">
      <c r="A485" s="63" t="s">
        <v>767</v>
      </c>
    </row>
    <row r="486" spans="1:1" x14ac:dyDescent="0.25">
      <c r="A486" s="63" t="s">
        <v>766</v>
      </c>
    </row>
    <row r="487" spans="1:1" x14ac:dyDescent="0.25">
      <c r="A487" s="63"/>
    </row>
    <row r="488" spans="1:1" x14ac:dyDescent="0.25">
      <c r="A488" s="63" t="s">
        <v>765</v>
      </c>
    </row>
    <row r="489" spans="1:1" x14ac:dyDescent="0.25">
      <c r="A489" s="63"/>
    </row>
    <row r="490" spans="1:1" ht="25.5" x14ac:dyDescent="0.25">
      <c r="A490" s="63" t="s">
        <v>764</v>
      </c>
    </row>
    <row r="491" spans="1:1" x14ac:dyDescent="0.25">
      <c r="A491" s="63" t="s">
        <v>763</v>
      </c>
    </row>
    <row r="492" spans="1:1" x14ac:dyDescent="0.25">
      <c r="A492" s="63" t="s">
        <v>762</v>
      </c>
    </row>
    <row r="493" spans="1:1" x14ac:dyDescent="0.25">
      <c r="A493" s="63" t="s">
        <v>761</v>
      </c>
    </row>
    <row r="494" spans="1:1" x14ac:dyDescent="0.25">
      <c r="A494" s="63" t="s">
        <v>760</v>
      </c>
    </row>
    <row r="495" spans="1:1" x14ac:dyDescent="0.25">
      <c r="A495" s="63" t="s">
        <v>759</v>
      </c>
    </row>
    <row r="496" spans="1:1" x14ac:dyDescent="0.25">
      <c r="A496" s="63"/>
    </row>
    <row r="497" spans="1:1" x14ac:dyDescent="0.25">
      <c r="A497" s="63" t="s">
        <v>758</v>
      </c>
    </row>
    <row r="498" spans="1:1" x14ac:dyDescent="0.25">
      <c r="A498" s="63" t="s">
        <v>443</v>
      </c>
    </row>
    <row r="499" spans="1:1" x14ac:dyDescent="0.25">
      <c r="A499" s="92"/>
    </row>
    <row r="500" spans="1:1" x14ac:dyDescent="0.25">
      <c r="A500" s="101" t="s">
        <v>757</v>
      </c>
    </row>
    <row r="501" spans="1:1" x14ac:dyDescent="0.25">
      <c r="A501" s="96"/>
    </row>
    <row r="502" spans="1:1" ht="38.25" x14ac:dyDescent="0.25">
      <c r="A502" s="63" t="s">
        <v>756</v>
      </c>
    </row>
    <row r="503" spans="1:1" x14ac:dyDescent="0.25">
      <c r="A503" s="63"/>
    </row>
    <row r="504" spans="1:1" x14ac:dyDescent="0.25">
      <c r="A504" s="63" t="s">
        <v>755</v>
      </c>
    </row>
    <row r="505" spans="1:1" x14ac:dyDescent="0.25">
      <c r="A505" s="63" t="s">
        <v>754</v>
      </c>
    </row>
    <row r="506" spans="1:1" x14ac:dyDescent="0.25">
      <c r="A506" s="63" t="s">
        <v>753</v>
      </c>
    </row>
    <row r="507" spans="1:1" x14ac:dyDescent="0.25">
      <c r="A507" s="63" t="s">
        <v>752</v>
      </c>
    </row>
    <row r="508" spans="1:1" x14ac:dyDescent="0.25">
      <c r="A508" s="63" t="s">
        <v>751</v>
      </c>
    </row>
    <row r="509" spans="1:1" x14ac:dyDescent="0.25">
      <c r="A509" s="63" t="s">
        <v>750</v>
      </c>
    </row>
    <row r="510" spans="1:1" x14ac:dyDescent="0.25">
      <c r="A510" s="63"/>
    </row>
    <row r="511" spans="1:1" ht="25.5" x14ac:dyDescent="0.25">
      <c r="A511" s="63" t="s">
        <v>749</v>
      </c>
    </row>
    <row r="512" spans="1:1" ht="51" x14ac:dyDescent="0.25">
      <c r="A512" s="63" t="s">
        <v>748</v>
      </c>
    </row>
    <row r="513" spans="1:1" ht="76.5" x14ac:dyDescent="0.25">
      <c r="A513" s="63" t="s">
        <v>747</v>
      </c>
    </row>
    <row r="514" spans="1:1" x14ac:dyDescent="0.25">
      <c r="A514" s="63" t="s">
        <v>317</v>
      </c>
    </row>
    <row r="515" spans="1:1" x14ac:dyDescent="0.25">
      <c r="A515" s="63" t="s">
        <v>746</v>
      </c>
    </row>
    <row r="516" spans="1:1" x14ac:dyDescent="0.25">
      <c r="A516" s="63" t="s">
        <v>745</v>
      </c>
    </row>
    <row r="517" spans="1:1" x14ac:dyDescent="0.25">
      <c r="A517" s="63" t="s">
        <v>744</v>
      </c>
    </row>
    <row r="518" spans="1:1" x14ac:dyDescent="0.25">
      <c r="A518" s="63" t="s">
        <v>343</v>
      </c>
    </row>
    <row r="519" spans="1:1" x14ac:dyDescent="0.25">
      <c r="A519" s="63" t="s">
        <v>743</v>
      </c>
    </row>
    <row r="520" spans="1:1" x14ac:dyDescent="0.25">
      <c r="A520" s="63" t="s">
        <v>742</v>
      </c>
    </row>
    <row r="521" spans="1:1" x14ac:dyDescent="0.25">
      <c r="A521" s="63" t="s">
        <v>741</v>
      </c>
    </row>
    <row r="522" spans="1:1" x14ac:dyDescent="0.25">
      <c r="A522" s="63" t="s">
        <v>740</v>
      </c>
    </row>
    <row r="523" spans="1:1" x14ac:dyDescent="0.25">
      <c r="A523" s="63" t="s">
        <v>739</v>
      </c>
    </row>
    <row r="524" spans="1:1" x14ac:dyDescent="0.25">
      <c r="A524" s="63" t="s">
        <v>738</v>
      </c>
    </row>
    <row r="525" spans="1:1" x14ac:dyDescent="0.25">
      <c r="A525" s="63" t="s">
        <v>737</v>
      </c>
    </row>
    <row r="526" spans="1:1" x14ac:dyDescent="0.25">
      <c r="A526" s="63" t="s">
        <v>736</v>
      </c>
    </row>
    <row r="527" spans="1:1" x14ac:dyDescent="0.25">
      <c r="A527" s="63" t="s">
        <v>735</v>
      </c>
    </row>
    <row r="528" spans="1:1" x14ac:dyDescent="0.25">
      <c r="A528" s="63"/>
    </row>
    <row r="529" spans="1:1" x14ac:dyDescent="0.25">
      <c r="A529" s="63" t="s">
        <v>734</v>
      </c>
    </row>
    <row r="530" spans="1:1" x14ac:dyDescent="0.25">
      <c r="A530" s="92"/>
    </row>
    <row r="531" spans="1:1" x14ac:dyDescent="0.25">
      <c r="A531" s="97" t="s">
        <v>733</v>
      </c>
    </row>
    <row r="532" spans="1:1" x14ac:dyDescent="0.25">
      <c r="A532" s="96"/>
    </row>
    <row r="533" spans="1:1" ht="76.5" x14ac:dyDescent="0.25">
      <c r="A533" s="63" t="s">
        <v>732</v>
      </c>
    </row>
    <row r="534" spans="1:1" ht="38.25" x14ac:dyDescent="0.25">
      <c r="A534" s="63" t="s">
        <v>731</v>
      </c>
    </row>
    <row r="535" spans="1:1" ht="38.25" x14ac:dyDescent="0.25">
      <c r="A535" s="63" t="s">
        <v>730</v>
      </c>
    </row>
    <row r="536" spans="1:1" ht="63.75" x14ac:dyDescent="0.25">
      <c r="A536" s="63" t="s">
        <v>729</v>
      </c>
    </row>
    <row r="537" spans="1:1" ht="51" x14ac:dyDescent="0.25">
      <c r="A537" s="63" t="s">
        <v>728</v>
      </c>
    </row>
    <row r="538" spans="1:1" x14ac:dyDescent="0.25">
      <c r="A538" s="63"/>
    </row>
    <row r="539" spans="1:1" x14ac:dyDescent="0.25">
      <c r="A539" s="63" t="s">
        <v>727</v>
      </c>
    </row>
    <row r="540" spans="1:1" ht="38.25" x14ac:dyDescent="0.25">
      <c r="A540" s="63" t="s">
        <v>726</v>
      </c>
    </row>
    <row r="541" spans="1:1" ht="51" x14ac:dyDescent="0.25">
      <c r="A541" s="63" t="s">
        <v>725</v>
      </c>
    </row>
    <row r="542" spans="1:1" ht="38.25" x14ac:dyDescent="0.25">
      <c r="A542" s="63" t="s">
        <v>724</v>
      </c>
    </row>
    <row r="543" spans="1:1" x14ac:dyDescent="0.25">
      <c r="A543" s="63"/>
    </row>
    <row r="544" spans="1:1" x14ac:dyDescent="0.25">
      <c r="A544" s="63" t="s">
        <v>723</v>
      </c>
    </row>
    <row r="545" spans="1:1" x14ac:dyDescent="0.25">
      <c r="A545" s="63"/>
    </row>
    <row r="546" spans="1:1" x14ac:dyDescent="0.25">
      <c r="A546" s="63" t="s">
        <v>722</v>
      </c>
    </row>
    <row r="547" spans="1:1" x14ac:dyDescent="0.25">
      <c r="A547" s="63" t="s">
        <v>721</v>
      </c>
    </row>
    <row r="548" spans="1:1" x14ac:dyDescent="0.25">
      <c r="A548" s="63" t="s">
        <v>720</v>
      </c>
    </row>
    <row r="549" spans="1:1" x14ac:dyDescent="0.25">
      <c r="A549" s="63" t="s">
        <v>719</v>
      </c>
    </row>
    <row r="550" spans="1:1" x14ac:dyDescent="0.25">
      <c r="A550" s="63" t="s">
        <v>718</v>
      </c>
    </row>
    <row r="551" spans="1:1" x14ac:dyDescent="0.25">
      <c r="A551" s="63" t="s">
        <v>717</v>
      </c>
    </row>
    <row r="552" spans="1:1" ht="25.5" x14ac:dyDescent="0.25">
      <c r="A552" s="63" t="s">
        <v>716</v>
      </c>
    </row>
    <row r="553" spans="1:1" x14ac:dyDescent="0.25">
      <c r="A553" s="63" t="s">
        <v>715</v>
      </c>
    </row>
    <row r="554" spans="1:1" ht="63.75" x14ac:dyDescent="0.25">
      <c r="A554" s="63" t="s">
        <v>714</v>
      </c>
    </row>
    <row r="555" spans="1:1" x14ac:dyDescent="0.25">
      <c r="A555" s="63"/>
    </row>
    <row r="556" spans="1:1" x14ac:dyDescent="0.25">
      <c r="A556" s="97" t="s">
        <v>713</v>
      </c>
    </row>
    <row r="557" spans="1:1" x14ac:dyDescent="0.25">
      <c r="A557" s="96"/>
    </row>
    <row r="558" spans="1:1" ht="51" x14ac:dyDescent="0.25">
      <c r="A558" s="63" t="s">
        <v>712</v>
      </c>
    </row>
    <row r="559" spans="1:1" x14ac:dyDescent="0.25">
      <c r="A559" s="99" t="s">
        <v>711</v>
      </c>
    </row>
    <row r="560" spans="1:1" ht="114.75" x14ac:dyDescent="0.25">
      <c r="A560" s="63" t="s">
        <v>710</v>
      </c>
    </row>
    <row r="561" spans="1:1" ht="395.25" x14ac:dyDescent="0.25">
      <c r="A561" s="63" t="s">
        <v>709</v>
      </c>
    </row>
    <row r="562" spans="1:1" x14ac:dyDescent="0.25">
      <c r="A562" s="99" t="s">
        <v>708</v>
      </c>
    </row>
    <row r="563" spans="1:1" ht="38.25" x14ac:dyDescent="0.25">
      <c r="A563" s="63" t="s">
        <v>707</v>
      </c>
    </row>
    <row r="564" spans="1:1" ht="63.75" x14ac:dyDescent="0.25">
      <c r="A564" s="63" t="s">
        <v>706</v>
      </c>
    </row>
    <row r="565" spans="1:1" ht="38.25" x14ac:dyDescent="0.25">
      <c r="A565" s="63" t="s">
        <v>705</v>
      </c>
    </row>
    <row r="566" spans="1:1" ht="25.5" x14ac:dyDescent="0.25">
      <c r="A566" s="63" t="s">
        <v>704</v>
      </c>
    </row>
    <row r="567" spans="1:1" ht="38.25" x14ac:dyDescent="0.25">
      <c r="A567" s="63" t="s">
        <v>703</v>
      </c>
    </row>
    <row r="568" spans="1:1" ht="51" x14ac:dyDescent="0.25">
      <c r="A568" s="63" t="s">
        <v>702</v>
      </c>
    </row>
    <row r="569" spans="1:1" ht="38.25" x14ac:dyDescent="0.25">
      <c r="A569" s="63" t="s">
        <v>701</v>
      </c>
    </row>
    <row r="570" spans="1:1" ht="89.25" x14ac:dyDescent="0.25">
      <c r="A570" s="63" t="s">
        <v>700</v>
      </c>
    </row>
    <row r="571" spans="1:1" ht="129" x14ac:dyDescent="0.25">
      <c r="A571" s="63" t="s">
        <v>699</v>
      </c>
    </row>
    <row r="572" spans="1:1" ht="38.25" x14ac:dyDescent="0.25">
      <c r="A572" s="63" t="s">
        <v>698</v>
      </c>
    </row>
    <row r="573" spans="1:1" ht="51" x14ac:dyDescent="0.25">
      <c r="A573" s="63" t="s">
        <v>697</v>
      </c>
    </row>
    <row r="574" spans="1:1" ht="127.5" x14ac:dyDescent="0.25">
      <c r="A574" s="63" t="s">
        <v>696</v>
      </c>
    </row>
    <row r="575" spans="1:1" ht="25.5" x14ac:dyDescent="0.25">
      <c r="A575" s="63" t="s">
        <v>695</v>
      </c>
    </row>
    <row r="576" spans="1:1" x14ac:dyDescent="0.25">
      <c r="A576" s="63" t="s">
        <v>694</v>
      </c>
    </row>
    <row r="577" spans="1:1" x14ac:dyDescent="0.25">
      <c r="A577" s="63" t="s">
        <v>693</v>
      </c>
    </row>
    <row r="578" spans="1:1" x14ac:dyDescent="0.25">
      <c r="A578" s="63" t="s">
        <v>692</v>
      </c>
    </row>
    <row r="579" spans="1:1" x14ac:dyDescent="0.25">
      <c r="A579" s="63" t="s">
        <v>691</v>
      </c>
    </row>
    <row r="580" spans="1:1" x14ac:dyDescent="0.25">
      <c r="A580" s="63" t="s">
        <v>690</v>
      </c>
    </row>
    <row r="581" spans="1:1" x14ac:dyDescent="0.25">
      <c r="A581" s="63" t="s">
        <v>689</v>
      </c>
    </row>
    <row r="582" spans="1:1" x14ac:dyDescent="0.25">
      <c r="A582" s="63" t="s">
        <v>688</v>
      </c>
    </row>
    <row r="583" spans="1:1" x14ac:dyDescent="0.25">
      <c r="A583" s="63" t="s">
        <v>687</v>
      </c>
    </row>
    <row r="584" spans="1:1" x14ac:dyDescent="0.25">
      <c r="A584" s="92"/>
    </row>
    <row r="585" spans="1:1" x14ac:dyDescent="0.25">
      <c r="A585" s="97" t="s">
        <v>686</v>
      </c>
    </row>
    <row r="586" spans="1:1" x14ac:dyDescent="0.25">
      <c r="A586" s="96"/>
    </row>
    <row r="587" spans="1:1" ht="38.25" x14ac:dyDescent="0.25">
      <c r="A587" s="63" t="s">
        <v>685</v>
      </c>
    </row>
    <row r="588" spans="1:1" x14ac:dyDescent="0.25">
      <c r="A588" s="63" t="s">
        <v>684</v>
      </c>
    </row>
    <row r="589" spans="1:1" ht="25.5" x14ac:dyDescent="0.25">
      <c r="A589" s="63" t="s">
        <v>683</v>
      </c>
    </row>
    <row r="590" spans="1:1" x14ac:dyDescent="0.25">
      <c r="A590" s="63" t="s">
        <v>682</v>
      </c>
    </row>
    <row r="591" spans="1:1" x14ac:dyDescent="0.25">
      <c r="A591" s="63" t="s">
        <v>681</v>
      </c>
    </row>
    <row r="592" spans="1:1" ht="25.5" x14ac:dyDescent="0.25">
      <c r="A592" s="63" t="s">
        <v>680</v>
      </c>
    </row>
    <row r="593" spans="1:1" x14ac:dyDescent="0.25">
      <c r="A593" s="63" t="s">
        <v>679</v>
      </c>
    </row>
    <row r="594" spans="1:1" x14ac:dyDescent="0.25">
      <c r="A594" s="63" t="s">
        <v>678</v>
      </c>
    </row>
    <row r="595" spans="1:1" x14ac:dyDescent="0.25">
      <c r="A595" s="63" t="s">
        <v>677</v>
      </c>
    </row>
    <row r="596" spans="1:1" ht="25.5" x14ac:dyDescent="0.25">
      <c r="A596" s="63" t="s">
        <v>676</v>
      </c>
    </row>
    <row r="597" spans="1:1" x14ac:dyDescent="0.25">
      <c r="A597" s="63" t="s">
        <v>675</v>
      </c>
    </row>
    <row r="598" spans="1:1" x14ac:dyDescent="0.25">
      <c r="A598" s="63" t="s">
        <v>674</v>
      </c>
    </row>
    <row r="599" spans="1:1" x14ac:dyDescent="0.25">
      <c r="A599" s="63" t="s">
        <v>673</v>
      </c>
    </row>
    <row r="600" spans="1:1" ht="25.5" x14ac:dyDescent="0.25">
      <c r="A600" s="63" t="s">
        <v>672</v>
      </c>
    </row>
    <row r="601" spans="1:1" ht="25.5" x14ac:dyDescent="0.25">
      <c r="A601" s="63" t="s">
        <v>671</v>
      </c>
    </row>
    <row r="602" spans="1:1" ht="51" x14ac:dyDescent="0.25">
      <c r="A602" s="63" t="s">
        <v>670</v>
      </c>
    </row>
    <row r="603" spans="1:1" x14ac:dyDescent="0.25">
      <c r="A603" s="63" t="s">
        <v>669</v>
      </c>
    </row>
    <row r="604" spans="1:1" ht="38.25" x14ac:dyDescent="0.25">
      <c r="A604" s="63" t="s">
        <v>668</v>
      </c>
    </row>
    <row r="605" spans="1:1" ht="25.5" x14ac:dyDescent="0.25">
      <c r="A605" s="63" t="s">
        <v>667</v>
      </c>
    </row>
    <row r="606" spans="1:1" ht="25.5" x14ac:dyDescent="0.25">
      <c r="A606" s="63" t="s">
        <v>666</v>
      </c>
    </row>
    <row r="607" spans="1:1" ht="51" x14ac:dyDescent="0.25">
      <c r="A607" s="63" t="s">
        <v>665</v>
      </c>
    </row>
    <row r="608" spans="1:1" ht="25.5" x14ac:dyDescent="0.25">
      <c r="A608" s="63" t="s">
        <v>664</v>
      </c>
    </row>
    <row r="609" spans="1:1" x14ac:dyDescent="0.25">
      <c r="A609" s="63" t="s">
        <v>663</v>
      </c>
    </row>
    <row r="610" spans="1:1" ht="25.5" x14ac:dyDescent="0.25">
      <c r="A610" s="63" t="s">
        <v>662</v>
      </c>
    </row>
    <row r="611" spans="1:1" x14ac:dyDescent="0.25">
      <c r="A611" s="63" t="s">
        <v>661</v>
      </c>
    </row>
    <row r="612" spans="1:1" x14ac:dyDescent="0.25">
      <c r="A612" s="63" t="s">
        <v>660</v>
      </c>
    </row>
    <row r="613" spans="1:1" ht="25.5" x14ac:dyDescent="0.25">
      <c r="A613" s="63" t="s">
        <v>659</v>
      </c>
    </row>
    <row r="614" spans="1:1" x14ac:dyDescent="0.25">
      <c r="A614" s="63" t="s">
        <v>658</v>
      </c>
    </row>
    <row r="615" spans="1:1" ht="38.25" x14ac:dyDescent="0.25">
      <c r="A615" s="63" t="s">
        <v>657</v>
      </c>
    </row>
    <row r="616" spans="1:1" ht="25.5" x14ac:dyDescent="0.25">
      <c r="A616" s="63" t="s">
        <v>656</v>
      </c>
    </row>
    <row r="617" spans="1:1" x14ac:dyDescent="0.25">
      <c r="A617" s="63" t="s">
        <v>655</v>
      </c>
    </row>
    <row r="618" spans="1:1" x14ac:dyDescent="0.25">
      <c r="A618" s="63" t="s">
        <v>654</v>
      </c>
    </row>
    <row r="619" spans="1:1" x14ac:dyDescent="0.25">
      <c r="A619" s="92"/>
    </row>
    <row r="620" spans="1:1" x14ac:dyDescent="0.25">
      <c r="A620" s="97" t="s">
        <v>653</v>
      </c>
    </row>
    <row r="621" spans="1:1" x14ac:dyDescent="0.25">
      <c r="A621" s="96"/>
    </row>
    <row r="622" spans="1:1" x14ac:dyDescent="0.25">
      <c r="A622" s="63" t="s">
        <v>652</v>
      </c>
    </row>
    <row r="623" spans="1:1" ht="38.25" x14ac:dyDescent="0.25">
      <c r="A623" s="63" t="s">
        <v>651</v>
      </c>
    </row>
    <row r="624" spans="1:1" x14ac:dyDescent="0.25">
      <c r="A624" s="63" t="s">
        <v>650</v>
      </c>
    </row>
    <row r="625" spans="1:1" x14ac:dyDescent="0.25">
      <c r="A625" s="63" t="s">
        <v>649</v>
      </c>
    </row>
    <row r="626" spans="1:1" x14ac:dyDescent="0.25">
      <c r="A626" s="63" t="s">
        <v>648</v>
      </c>
    </row>
    <row r="627" spans="1:1" x14ac:dyDescent="0.25">
      <c r="A627" s="63" t="s">
        <v>647</v>
      </c>
    </row>
    <row r="628" spans="1:1" x14ac:dyDescent="0.25">
      <c r="A628" s="63" t="s">
        <v>646</v>
      </c>
    </row>
    <row r="629" spans="1:1" x14ac:dyDescent="0.25">
      <c r="A629" s="100" t="s">
        <v>645</v>
      </c>
    </row>
    <row r="630" spans="1:1" ht="25.5" x14ac:dyDescent="0.25">
      <c r="A630" s="63" t="s">
        <v>644</v>
      </c>
    </row>
    <row r="631" spans="1:1" x14ac:dyDescent="0.25">
      <c r="A631" s="63" t="s">
        <v>643</v>
      </c>
    </row>
    <row r="632" spans="1:1" x14ac:dyDescent="0.25">
      <c r="A632" s="63" t="s">
        <v>642</v>
      </c>
    </row>
    <row r="633" spans="1:1" x14ac:dyDescent="0.25">
      <c r="A633" s="63" t="s">
        <v>641</v>
      </c>
    </row>
    <row r="634" spans="1:1" x14ac:dyDescent="0.25">
      <c r="A634" s="63" t="s">
        <v>640</v>
      </c>
    </row>
    <row r="635" spans="1:1" x14ac:dyDescent="0.25">
      <c r="A635" s="63" t="s">
        <v>639</v>
      </c>
    </row>
    <row r="636" spans="1:1" x14ac:dyDescent="0.25">
      <c r="A636" s="63" t="s">
        <v>638</v>
      </c>
    </row>
    <row r="637" spans="1:1" ht="25.5" x14ac:dyDescent="0.25">
      <c r="A637" s="63" t="s">
        <v>637</v>
      </c>
    </row>
    <row r="638" spans="1:1" x14ac:dyDescent="0.25">
      <c r="A638" s="96" t="s">
        <v>636</v>
      </c>
    </row>
    <row r="639" spans="1:1" ht="25.5" x14ac:dyDescent="0.25">
      <c r="A639" s="63" t="s">
        <v>635</v>
      </c>
    </row>
    <row r="640" spans="1:1" x14ac:dyDescent="0.25">
      <c r="A640" s="63" t="s">
        <v>634</v>
      </c>
    </row>
    <row r="641" spans="1:1" ht="38.25" x14ac:dyDescent="0.25">
      <c r="A641" s="63" t="s">
        <v>633</v>
      </c>
    </row>
    <row r="642" spans="1:1" ht="25.5" x14ac:dyDescent="0.25">
      <c r="A642" s="63" t="s">
        <v>632</v>
      </c>
    </row>
    <row r="643" spans="1:1" x14ac:dyDescent="0.25">
      <c r="A643" s="63" t="s">
        <v>631</v>
      </c>
    </row>
    <row r="644" spans="1:1" ht="38.25" x14ac:dyDescent="0.25">
      <c r="A644" s="63" t="s">
        <v>630</v>
      </c>
    </row>
    <row r="645" spans="1:1" x14ac:dyDescent="0.25">
      <c r="A645" s="63" t="s">
        <v>629</v>
      </c>
    </row>
    <row r="646" spans="1:1" ht="38.25" x14ac:dyDescent="0.25">
      <c r="A646" s="63" t="s">
        <v>628</v>
      </c>
    </row>
    <row r="647" spans="1:1" ht="25.5" x14ac:dyDescent="0.25">
      <c r="A647" s="63" t="s">
        <v>627</v>
      </c>
    </row>
    <row r="648" spans="1:1" x14ac:dyDescent="0.25">
      <c r="A648" s="63" t="s">
        <v>626</v>
      </c>
    </row>
    <row r="649" spans="1:1" x14ac:dyDescent="0.25">
      <c r="A649" s="96" t="s">
        <v>625</v>
      </c>
    </row>
    <row r="650" spans="1:1" x14ac:dyDescent="0.25">
      <c r="A650" s="96" t="s">
        <v>624</v>
      </c>
    </row>
    <row r="651" spans="1:1" ht="38.25" x14ac:dyDescent="0.25">
      <c r="A651" s="63" t="s">
        <v>623</v>
      </c>
    </row>
    <row r="652" spans="1:1" x14ac:dyDescent="0.25">
      <c r="A652" s="63" t="s">
        <v>622</v>
      </c>
    </row>
    <row r="653" spans="1:1" ht="25.5" x14ac:dyDescent="0.25">
      <c r="A653" s="63" t="s">
        <v>621</v>
      </c>
    </row>
    <row r="654" spans="1:1" x14ac:dyDescent="0.25">
      <c r="A654" s="96" t="s">
        <v>620</v>
      </c>
    </row>
    <row r="655" spans="1:1" ht="51" x14ac:dyDescent="0.25">
      <c r="A655" s="63" t="s">
        <v>619</v>
      </c>
    </row>
    <row r="656" spans="1:1" x14ac:dyDescent="0.25">
      <c r="A656" s="63"/>
    </row>
    <row r="657" spans="1:1" x14ac:dyDescent="0.25">
      <c r="A657" s="96" t="s">
        <v>618</v>
      </c>
    </row>
    <row r="658" spans="1:1" x14ac:dyDescent="0.25">
      <c r="A658" s="96"/>
    </row>
    <row r="659" spans="1:1" x14ac:dyDescent="0.25">
      <c r="A659" s="96" t="s">
        <v>617</v>
      </c>
    </row>
    <row r="660" spans="1:1" ht="25.5" x14ac:dyDescent="0.25">
      <c r="A660" s="63" t="s">
        <v>616</v>
      </c>
    </row>
    <row r="661" spans="1:1" x14ac:dyDescent="0.25">
      <c r="A661" s="96" t="s">
        <v>615</v>
      </c>
    </row>
    <row r="662" spans="1:1" x14ac:dyDescent="0.25">
      <c r="A662" s="63" t="s">
        <v>614</v>
      </c>
    </row>
    <row r="663" spans="1:1" ht="38.25" x14ac:dyDescent="0.25">
      <c r="A663" s="63" t="s">
        <v>613</v>
      </c>
    </row>
    <row r="664" spans="1:1" x14ac:dyDescent="0.25">
      <c r="A664" s="96" t="s">
        <v>612</v>
      </c>
    </row>
    <row r="665" spans="1:1" ht="25.5" x14ac:dyDescent="0.25">
      <c r="A665" s="63" t="s">
        <v>611</v>
      </c>
    </row>
    <row r="666" spans="1:1" x14ac:dyDescent="0.25">
      <c r="A666" s="96" t="s">
        <v>610</v>
      </c>
    </row>
    <row r="667" spans="1:1" ht="51" x14ac:dyDescent="0.25">
      <c r="A667" s="63" t="s">
        <v>609</v>
      </c>
    </row>
    <row r="668" spans="1:1" ht="25.5" x14ac:dyDescent="0.25">
      <c r="A668" s="63" t="s">
        <v>608</v>
      </c>
    </row>
    <row r="669" spans="1:1" x14ac:dyDescent="0.25">
      <c r="A669" s="96" t="s">
        <v>607</v>
      </c>
    </row>
    <row r="670" spans="1:1" ht="25.5" x14ac:dyDescent="0.25">
      <c r="A670" s="63" t="s">
        <v>606</v>
      </c>
    </row>
    <row r="671" spans="1:1" ht="38.25" x14ac:dyDescent="0.25">
      <c r="A671" s="63" t="s">
        <v>605</v>
      </c>
    </row>
    <row r="672" spans="1:1" ht="25.5" x14ac:dyDescent="0.25">
      <c r="A672" s="63" t="s">
        <v>604</v>
      </c>
    </row>
    <row r="673" spans="1:1" x14ac:dyDescent="0.25">
      <c r="A673" s="96" t="s">
        <v>603</v>
      </c>
    </row>
    <row r="674" spans="1:1" ht="38.25" x14ac:dyDescent="0.25">
      <c r="A674" s="63" t="s">
        <v>602</v>
      </c>
    </row>
    <row r="675" spans="1:1" ht="25.5" x14ac:dyDescent="0.25">
      <c r="A675" s="63" t="s">
        <v>601</v>
      </c>
    </row>
    <row r="676" spans="1:1" x14ac:dyDescent="0.25">
      <c r="A676" s="96" t="s">
        <v>600</v>
      </c>
    </row>
    <row r="677" spans="1:1" x14ac:dyDescent="0.25">
      <c r="A677" s="63" t="s">
        <v>599</v>
      </c>
    </row>
    <row r="678" spans="1:1" ht="25.5" x14ac:dyDescent="0.25">
      <c r="A678" s="63" t="s">
        <v>598</v>
      </c>
    </row>
    <row r="679" spans="1:1" ht="63.75" x14ac:dyDescent="0.25">
      <c r="A679" s="63" t="s">
        <v>597</v>
      </c>
    </row>
    <row r="680" spans="1:1" x14ac:dyDescent="0.25">
      <c r="A680" s="96" t="s">
        <v>596</v>
      </c>
    </row>
    <row r="681" spans="1:1" ht="38.25" x14ac:dyDescent="0.25">
      <c r="A681" s="63" t="s">
        <v>595</v>
      </c>
    </row>
    <row r="682" spans="1:1" ht="25.5" x14ac:dyDescent="0.25">
      <c r="A682" s="63" t="s">
        <v>594</v>
      </c>
    </row>
    <row r="683" spans="1:1" ht="25.5" x14ac:dyDescent="0.25">
      <c r="A683" s="63" t="s">
        <v>593</v>
      </c>
    </row>
    <row r="684" spans="1:1" x14ac:dyDescent="0.25">
      <c r="A684" s="63" t="s">
        <v>592</v>
      </c>
    </row>
    <row r="685" spans="1:1" x14ac:dyDescent="0.25">
      <c r="A685" s="63" t="s">
        <v>591</v>
      </c>
    </row>
    <row r="686" spans="1:1" x14ac:dyDescent="0.25">
      <c r="A686" s="96" t="s">
        <v>590</v>
      </c>
    </row>
    <row r="687" spans="1:1" x14ac:dyDescent="0.25">
      <c r="A687" s="96"/>
    </row>
    <row r="688" spans="1:1" x14ac:dyDescent="0.25">
      <c r="A688" s="96" t="s">
        <v>589</v>
      </c>
    </row>
    <row r="689" spans="1:1" ht="38.25" x14ac:dyDescent="0.25">
      <c r="A689" s="63" t="s">
        <v>588</v>
      </c>
    </row>
    <row r="690" spans="1:1" ht="38.25" x14ac:dyDescent="0.25">
      <c r="A690" s="63" t="s">
        <v>587</v>
      </c>
    </row>
    <row r="691" spans="1:1" ht="25.5" x14ac:dyDescent="0.25">
      <c r="A691" s="63" t="s">
        <v>586</v>
      </c>
    </row>
    <row r="692" spans="1:1" x14ac:dyDescent="0.25">
      <c r="A692" s="96" t="s">
        <v>585</v>
      </c>
    </row>
    <row r="693" spans="1:1" ht="25.5" x14ac:dyDescent="0.25">
      <c r="A693" s="63" t="s">
        <v>584</v>
      </c>
    </row>
    <row r="694" spans="1:1" ht="63.75" x14ac:dyDescent="0.25">
      <c r="A694" s="63" t="s">
        <v>583</v>
      </c>
    </row>
    <row r="695" spans="1:1" x14ac:dyDescent="0.25">
      <c r="A695" s="96" t="s">
        <v>582</v>
      </c>
    </row>
    <row r="696" spans="1:1" ht="25.5" x14ac:dyDescent="0.25">
      <c r="A696" s="63" t="s">
        <v>581</v>
      </c>
    </row>
    <row r="697" spans="1:1" x14ac:dyDescent="0.25">
      <c r="A697" s="63" t="s">
        <v>580</v>
      </c>
    </row>
    <row r="698" spans="1:1" ht="25.5" x14ac:dyDescent="0.25">
      <c r="A698" s="63" t="s">
        <v>579</v>
      </c>
    </row>
    <row r="699" spans="1:1" ht="25.5" x14ac:dyDescent="0.25">
      <c r="A699" s="63" t="s">
        <v>578</v>
      </c>
    </row>
    <row r="700" spans="1:1" x14ac:dyDescent="0.25">
      <c r="A700" s="96" t="s">
        <v>577</v>
      </c>
    </row>
    <row r="701" spans="1:1" ht="25.5" x14ac:dyDescent="0.25">
      <c r="A701" s="63" t="s">
        <v>576</v>
      </c>
    </row>
    <row r="702" spans="1:1" ht="25.5" x14ac:dyDescent="0.25">
      <c r="A702" s="63" t="s">
        <v>575</v>
      </c>
    </row>
    <row r="703" spans="1:1" x14ac:dyDescent="0.25">
      <c r="A703" s="96" t="s">
        <v>574</v>
      </c>
    </row>
    <row r="704" spans="1:1" ht="25.5" x14ac:dyDescent="0.25">
      <c r="A704" s="63" t="s">
        <v>573</v>
      </c>
    </row>
    <row r="705" spans="1:1" ht="25.5" x14ac:dyDescent="0.25">
      <c r="A705" s="63" t="s">
        <v>572</v>
      </c>
    </row>
    <row r="706" spans="1:1" ht="38.25" x14ac:dyDescent="0.25">
      <c r="A706" s="63" t="s">
        <v>571</v>
      </c>
    </row>
    <row r="707" spans="1:1" x14ac:dyDescent="0.25">
      <c r="A707" s="96" t="s">
        <v>570</v>
      </c>
    </row>
    <row r="708" spans="1:1" x14ac:dyDescent="0.25">
      <c r="A708" s="63" t="s">
        <v>569</v>
      </c>
    </row>
    <row r="709" spans="1:1" x14ac:dyDescent="0.25">
      <c r="A709" s="96" t="s">
        <v>568</v>
      </c>
    </row>
    <row r="710" spans="1:1" ht="25.5" x14ac:dyDescent="0.25">
      <c r="A710" s="63" t="s">
        <v>567</v>
      </c>
    </row>
    <row r="711" spans="1:1" ht="25.5" x14ac:dyDescent="0.25">
      <c r="A711" s="63" t="s">
        <v>566</v>
      </c>
    </row>
    <row r="712" spans="1:1" x14ac:dyDescent="0.25">
      <c r="A712" s="96" t="s">
        <v>565</v>
      </c>
    </row>
    <row r="713" spans="1:1" ht="25.5" x14ac:dyDescent="0.25">
      <c r="A713" s="63" t="s">
        <v>564</v>
      </c>
    </row>
    <row r="714" spans="1:1" ht="25.5" x14ac:dyDescent="0.25">
      <c r="A714" s="63" t="s">
        <v>563</v>
      </c>
    </row>
    <row r="715" spans="1:1" ht="38.25" x14ac:dyDescent="0.25">
      <c r="A715" s="63" t="s">
        <v>562</v>
      </c>
    </row>
    <row r="716" spans="1:1" x14ac:dyDescent="0.25">
      <c r="A716" s="96" t="s">
        <v>561</v>
      </c>
    </row>
    <row r="717" spans="1:1" x14ac:dyDescent="0.25">
      <c r="A717" s="63" t="s">
        <v>560</v>
      </c>
    </row>
    <row r="718" spans="1:1" ht="25.5" x14ac:dyDescent="0.25">
      <c r="A718" s="63" t="s">
        <v>559</v>
      </c>
    </row>
    <row r="719" spans="1:1" x14ac:dyDescent="0.25">
      <c r="A719" s="63"/>
    </row>
    <row r="720" spans="1:1" x14ac:dyDescent="0.25">
      <c r="A720" s="96" t="s">
        <v>558</v>
      </c>
    </row>
    <row r="721" spans="1:1" x14ac:dyDescent="0.25">
      <c r="A721" s="96"/>
    </row>
    <row r="722" spans="1:1" x14ac:dyDescent="0.25">
      <c r="A722" s="96" t="s">
        <v>557</v>
      </c>
    </row>
    <row r="723" spans="1:1" ht="25.5" x14ac:dyDescent="0.25">
      <c r="A723" s="63" t="s">
        <v>556</v>
      </c>
    </row>
    <row r="724" spans="1:1" ht="25.5" x14ac:dyDescent="0.25">
      <c r="A724" s="63" t="s">
        <v>555</v>
      </c>
    </row>
    <row r="725" spans="1:1" x14ac:dyDescent="0.25">
      <c r="A725" s="96" t="s">
        <v>554</v>
      </c>
    </row>
    <row r="726" spans="1:1" x14ac:dyDescent="0.25">
      <c r="A726" s="63" t="s">
        <v>553</v>
      </c>
    </row>
    <row r="727" spans="1:1" x14ac:dyDescent="0.25">
      <c r="A727" s="63" t="s">
        <v>552</v>
      </c>
    </row>
    <row r="728" spans="1:1" x14ac:dyDescent="0.25">
      <c r="A728" s="96" t="s">
        <v>551</v>
      </c>
    </row>
    <row r="729" spans="1:1" ht="25.5" x14ac:dyDescent="0.25">
      <c r="A729" s="63" t="s">
        <v>550</v>
      </c>
    </row>
    <row r="730" spans="1:1" ht="38.25" x14ac:dyDescent="0.25">
      <c r="A730" s="63" t="s">
        <v>549</v>
      </c>
    </row>
    <row r="731" spans="1:1" x14ac:dyDescent="0.25">
      <c r="A731" s="63"/>
    </row>
    <row r="732" spans="1:1" x14ac:dyDescent="0.25">
      <c r="A732" s="96" t="s">
        <v>548</v>
      </c>
    </row>
    <row r="733" spans="1:1" x14ac:dyDescent="0.25">
      <c r="A733" s="96" t="s">
        <v>547</v>
      </c>
    </row>
    <row r="734" spans="1:1" x14ac:dyDescent="0.25">
      <c r="A734" s="63" t="s">
        <v>546</v>
      </c>
    </row>
    <row r="735" spans="1:1" x14ac:dyDescent="0.25">
      <c r="A735" s="63" t="s">
        <v>545</v>
      </c>
    </row>
    <row r="736" spans="1:1" ht="38.25" x14ac:dyDescent="0.25">
      <c r="A736" s="63" t="s">
        <v>544</v>
      </c>
    </row>
    <row r="737" spans="1:1" x14ac:dyDescent="0.25">
      <c r="A737" s="96" t="s">
        <v>543</v>
      </c>
    </row>
    <row r="738" spans="1:1" ht="25.5" x14ac:dyDescent="0.25">
      <c r="A738" s="63" t="s">
        <v>542</v>
      </c>
    </row>
    <row r="739" spans="1:1" x14ac:dyDescent="0.25">
      <c r="A739" s="96" t="s">
        <v>541</v>
      </c>
    </row>
    <row r="740" spans="1:1" ht="38.25" x14ac:dyDescent="0.25">
      <c r="A740" s="63" t="s">
        <v>540</v>
      </c>
    </row>
    <row r="741" spans="1:1" x14ac:dyDescent="0.25">
      <c r="A741" s="63" t="s">
        <v>539</v>
      </c>
    </row>
    <row r="742" spans="1:1" x14ac:dyDescent="0.25">
      <c r="A742" s="63" t="s">
        <v>538</v>
      </c>
    </row>
    <row r="743" spans="1:1" x14ac:dyDescent="0.25">
      <c r="A743" s="63" t="s">
        <v>537</v>
      </c>
    </row>
    <row r="744" spans="1:1" x14ac:dyDescent="0.25">
      <c r="A744" s="63" t="s">
        <v>536</v>
      </c>
    </row>
    <row r="745" spans="1:1" x14ac:dyDescent="0.25">
      <c r="A745" s="63" t="s">
        <v>535</v>
      </c>
    </row>
    <row r="746" spans="1:1" x14ac:dyDescent="0.25">
      <c r="A746" s="63" t="s">
        <v>534</v>
      </c>
    </row>
    <row r="747" spans="1:1" x14ac:dyDescent="0.25">
      <c r="A747" s="63" t="s">
        <v>533</v>
      </c>
    </row>
    <row r="748" spans="1:1" ht="25.5" x14ac:dyDescent="0.25">
      <c r="A748" s="63" t="s">
        <v>532</v>
      </c>
    </row>
    <row r="749" spans="1:1" x14ac:dyDescent="0.25">
      <c r="A749" s="96" t="s">
        <v>531</v>
      </c>
    </row>
    <row r="750" spans="1:1" ht="25.5" x14ac:dyDescent="0.25">
      <c r="A750" s="63" t="s">
        <v>530</v>
      </c>
    </row>
    <row r="751" spans="1:1" ht="25.5" x14ac:dyDescent="0.25">
      <c r="A751" s="63" t="s">
        <v>529</v>
      </c>
    </row>
    <row r="752" spans="1:1" x14ac:dyDescent="0.25">
      <c r="A752" s="96" t="s">
        <v>528</v>
      </c>
    </row>
    <row r="753" spans="1:1" ht="51" x14ac:dyDescent="0.25">
      <c r="A753" s="63" t="s">
        <v>527</v>
      </c>
    </row>
    <row r="754" spans="1:1" ht="25.5" x14ac:dyDescent="0.25">
      <c r="A754" s="63" t="s">
        <v>526</v>
      </c>
    </row>
    <row r="755" spans="1:1" ht="25.5" x14ac:dyDescent="0.25">
      <c r="A755" s="63" t="s">
        <v>525</v>
      </c>
    </row>
    <row r="756" spans="1:1" ht="25.5" x14ac:dyDescent="0.25">
      <c r="A756" s="63" t="s">
        <v>524</v>
      </c>
    </row>
    <row r="757" spans="1:1" x14ac:dyDescent="0.25">
      <c r="A757" s="96" t="s">
        <v>523</v>
      </c>
    </row>
    <row r="758" spans="1:1" ht="63.75" x14ac:dyDescent="0.25">
      <c r="A758" s="63" t="s">
        <v>522</v>
      </c>
    </row>
    <row r="759" spans="1:1" x14ac:dyDescent="0.25">
      <c r="A759" s="63" t="s">
        <v>521</v>
      </c>
    </row>
    <row r="760" spans="1:1" ht="25.5" x14ac:dyDescent="0.25">
      <c r="A760" s="63" t="s">
        <v>520</v>
      </c>
    </row>
    <row r="761" spans="1:1" ht="25.5" x14ac:dyDescent="0.25">
      <c r="A761" s="63" t="s">
        <v>519</v>
      </c>
    </row>
    <row r="762" spans="1:1" ht="25.5" x14ac:dyDescent="0.25">
      <c r="A762" s="63" t="s">
        <v>518</v>
      </c>
    </row>
    <row r="763" spans="1:1" ht="38.25" x14ac:dyDescent="0.25">
      <c r="A763" s="63" t="s">
        <v>517</v>
      </c>
    </row>
    <row r="764" spans="1:1" x14ac:dyDescent="0.25">
      <c r="A764" s="96" t="s">
        <v>516</v>
      </c>
    </row>
    <row r="765" spans="1:1" x14ac:dyDescent="0.25">
      <c r="A765" s="63" t="s">
        <v>515</v>
      </c>
    </row>
    <row r="766" spans="1:1" x14ac:dyDescent="0.25">
      <c r="A766" s="96" t="s">
        <v>514</v>
      </c>
    </row>
    <row r="767" spans="1:1" ht="25.5" x14ac:dyDescent="0.25">
      <c r="A767" s="63" t="s">
        <v>513</v>
      </c>
    </row>
    <row r="768" spans="1:1" x14ac:dyDescent="0.25">
      <c r="A768" s="96" t="s">
        <v>512</v>
      </c>
    </row>
    <row r="769" spans="1:1" x14ac:dyDescent="0.25">
      <c r="A769" s="63" t="s">
        <v>511</v>
      </c>
    </row>
    <row r="770" spans="1:1" ht="25.5" x14ac:dyDescent="0.25">
      <c r="A770" s="63" t="s">
        <v>510</v>
      </c>
    </row>
    <row r="771" spans="1:1" x14ac:dyDescent="0.25">
      <c r="A771" s="96" t="s">
        <v>509</v>
      </c>
    </row>
    <row r="772" spans="1:1" ht="25.5" x14ac:dyDescent="0.25">
      <c r="A772" s="63" t="s">
        <v>508</v>
      </c>
    </row>
    <row r="773" spans="1:1" x14ac:dyDescent="0.25">
      <c r="A773" s="63" t="s">
        <v>507</v>
      </c>
    </row>
    <row r="774" spans="1:1" x14ac:dyDescent="0.25">
      <c r="A774" s="63" t="s">
        <v>506</v>
      </c>
    </row>
    <row r="775" spans="1:1" x14ac:dyDescent="0.25">
      <c r="A775" s="96" t="s">
        <v>505</v>
      </c>
    </row>
    <row r="776" spans="1:1" ht="38.25" x14ac:dyDescent="0.25">
      <c r="A776" s="63" t="s">
        <v>504</v>
      </c>
    </row>
    <row r="777" spans="1:1" ht="38.25" x14ac:dyDescent="0.25">
      <c r="A777" s="63" t="s">
        <v>503</v>
      </c>
    </row>
    <row r="778" spans="1:1" x14ac:dyDescent="0.25">
      <c r="A778" s="96" t="s">
        <v>158</v>
      </c>
    </row>
    <row r="779" spans="1:1" x14ac:dyDescent="0.25">
      <c r="A779" s="63" t="s">
        <v>502</v>
      </c>
    </row>
    <row r="780" spans="1:1" x14ac:dyDescent="0.25">
      <c r="A780" s="63" t="s">
        <v>501</v>
      </c>
    </row>
    <row r="781" spans="1:1" x14ac:dyDescent="0.25">
      <c r="A781" s="63" t="s">
        <v>500</v>
      </c>
    </row>
    <row r="782" spans="1:1" x14ac:dyDescent="0.25">
      <c r="A782" s="63" t="s">
        <v>499</v>
      </c>
    </row>
    <row r="783" spans="1:1" x14ac:dyDescent="0.25">
      <c r="A783" s="63" t="s">
        <v>498</v>
      </c>
    </row>
    <row r="784" spans="1:1" x14ac:dyDescent="0.25">
      <c r="A784" s="63" t="s">
        <v>497</v>
      </c>
    </row>
    <row r="785" spans="1:1" x14ac:dyDescent="0.25">
      <c r="A785" s="63" t="s">
        <v>496</v>
      </c>
    </row>
    <row r="786" spans="1:1" x14ac:dyDescent="0.25">
      <c r="A786" s="63" t="s">
        <v>495</v>
      </c>
    </row>
    <row r="787" spans="1:1" x14ac:dyDescent="0.25">
      <c r="A787" s="63"/>
    </row>
    <row r="788" spans="1:1" ht="63.75" x14ac:dyDescent="0.25">
      <c r="A788" s="63" t="s">
        <v>494</v>
      </c>
    </row>
    <row r="789" spans="1:1" x14ac:dyDescent="0.25">
      <c r="A789" s="99" t="s">
        <v>493</v>
      </c>
    </row>
    <row r="790" spans="1:1" x14ac:dyDescent="0.25">
      <c r="A790" s="63" t="s">
        <v>492</v>
      </c>
    </row>
    <row r="791" spans="1:1" ht="25.5" x14ac:dyDescent="0.25">
      <c r="A791" s="63" t="s">
        <v>491</v>
      </c>
    </row>
    <row r="792" spans="1:1" x14ac:dyDescent="0.25">
      <c r="A792" s="99" t="s">
        <v>490</v>
      </c>
    </row>
    <row r="793" spans="1:1" ht="25.5" x14ac:dyDescent="0.25">
      <c r="A793" s="63" t="s">
        <v>489</v>
      </c>
    </row>
    <row r="794" spans="1:1" ht="25.5" x14ac:dyDescent="0.25">
      <c r="A794" s="63" t="s">
        <v>488</v>
      </c>
    </row>
    <row r="795" spans="1:1" x14ac:dyDescent="0.25">
      <c r="A795" s="99" t="s">
        <v>487</v>
      </c>
    </row>
    <row r="796" spans="1:1" ht="25.5" x14ac:dyDescent="0.25">
      <c r="A796" s="63" t="s">
        <v>486</v>
      </c>
    </row>
    <row r="797" spans="1:1" x14ac:dyDescent="0.25">
      <c r="A797" s="63"/>
    </row>
    <row r="798" spans="1:1" x14ac:dyDescent="0.25">
      <c r="A798" s="99" t="s">
        <v>485</v>
      </c>
    </row>
    <row r="799" spans="1:1" x14ac:dyDescent="0.25">
      <c r="A799" s="63" t="s">
        <v>484</v>
      </c>
    </row>
    <row r="800" spans="1:1" x14ac:dyDescent="0.25">
      <c r="A800" s="63" t="s">
        <v>483</v>
      </c>
    </row>
    <row r="801" spans="1:1" x14ac:dyDescent="0.25">
      <c r="A801" s="63"/>
    </row>
    <row r="802" spans="1:1" x14ac:dyDescent="0.25">
      <c r="A802" s="99" t="s">
        <v>317</v>
      </c>
    </row>
    <row r="803" spans="1:1" x14ac:dyDescent="0.25">
      <c r="A803" s="63" t="s">
        <v>482</v>
      </c>
    </row>
    <row r="804" spans="1:1" x14ac:dyDescent="0.25">
      <c r="A804" s="99" t="s">
        <v>481</v>
      </c>
    </row>
    <row r="805" spans="1:1" x14ac:dyDescent="0.25">
      <c r="A805" s="99" t="s">
        <v>480</v>
      </c>
    </row>
    <row r="806" spans="1:1" x14ac:dyDescent="0.25">
      <c r="A806" s="63" t="s">
        <v>479</v>
      </c>
    </row>
    <row r="807" spans="1:1" ht="25.5" x14ac:dyDescent="0.25">
      <c r="A807" s="63" t="s">
        <v>478</v>
      </c>
    </row>
    <row r="808" spans="1:1" x14ac:dyDescent="0.25">
      <c r="A808" s="63" t="s">
        <v>477</v>
      </c>
    </row>
    <row r="809" spans="1:1" x14ac:dyDescent="0.25">
      <c r="A809" s="63" t="s">
        <v>476</v>
      </c>
    </row>
    <row r="810" spans="1:1" x14ac:dyDescent="0.25">
      <c r="A810" s="63" t="s">
        <v>475</v>
      </c>
    </row>
    <row r="811" spans="1:1" x14ac:dyDescent="0.25">
      <c r="A811" s="63" t="s">
        <v>474</v>
      </c>
    </row>
    <row r="812" spans="1:1" x14ac:dyDescent="0.25">
      <c r="A812" s="63" t="s">
        <v>473</v>
      </c>
    </row>
    <row r="813" spans="1:1" x14ac:dyDescent="0.25">
      <c r="A813" s="63" t="s">
        <v>472</v>
      </c>
    </row>
    <row r="814" spans="1:1" x14ac:dyDescent="0.25">
      <c r="A814" s="92"/>
    </row>
    <row r="815" spans="1:1" x14ac:dyDescent="0.25">
      <c r="A815" s="97" t="s">
        <v>471</v>
      </c>
    </row>
    <row r="816" spans="1:1" x14ac:dyDescent="0.25">
      <c r="A816" s="98"/>
    </row>
    <row r="817" spans="1:1" x14ac:dyDescent="0.25">
      <c r="A817" s="96" t="s">
        <v>228</v>
      </c>
    </row>
    <row r="818" spans="1:1" ht="25.5" x14ac:dyDescent="0.25">
      <c r="A818" s="63" t="s">
        <v>470</v>
      </c>
    </row>
    <row r="819" spans="1:1" x14ac:dyDescent="0.25">
      <c r="A819" s="63" t="s">
        <v>469</v>
      </c>
    </row>
    <row r="820" spans="1:1" x14ac:dyDescent="0.25">
      <c r="A820" s="63" t="s">
        <v>468</v>
      </c>
    </row>
    <row r="821" spans="1:1" x14ac:dyDescent="0.25">
      <c r="A821" s="63" t="s">
        <v>467</v>
      </c>
    </row>
    <row r="822" spans="1:1" x14ac:dyDescent="0.25">
      <c r="A822" s="63" t="s">
        <v>466</v>
      </c>
    </row>
    <row r="823" spans="1:1" x14ac:dyDescent="0.25">
      <c r="A823" s="63" t="s">
        <v>465</v>
      </c>
    </row>
    <row r="824" spans="1:1" x14ac:dyDescent="0.25">
      <c r="A824" s="63" t="s">
        <v>464</v>
      </c>
    </row>
    <row r="825" spans="1:1" x14ac:dyDescent="0.25">
      <c r="A825" s="63" t="s">
        <v>463</v>
      </c>
    </row>
    <row r="826" spans="1:1" x14ac:dyDescent="0.25">
      <c r="A826" s="63" t="s">
        <v>462</v>
      </c>
    </row>
    <row r="827" spans="1:1" x14ac:dyDescent="0.25">
      <c r="A827" s="63" t="s">
        <v>461</v>
      </c>
    </row>
    <row r="828" spans="1:1" ht="38.25" x14ac:dyDescent="0.25">
      <c r="A828" s="63" t="s">
        <v>460</v>
      </c>
    </row>
    <row r="829" spans="1:1" ht="25.5" x14ac:dyDescent="0.25">
      <c r="A829" s="63" t="s">
        <v>459</v>
      </c>
    </row>
    <row r="830" spans="1:1" x14ac:dyDescent="0.25">
      <c r="A830" s="63" t="s">
        <v>429</v>
      </c>
    </row>
    <row r="831" spans="1:1" ht="25.5" x14ac:dyDescent="0.25">
      <c r="A831" s="96" t="s">
        <v>458</v>
      </c>
    </row>
    <row r="832" spans="1:1" ht="25.5" x14ac:dyDescent="0.25">
      <c r="A832" s="96" t="s">
        <v>457</v>
      </c>
    </row>
    <row r="833" spans="1:1" x14ac:dyDescent="0.25">
      <c r="A833" s="63"/>
    </row>
    <row r="834" spans="1:1" x14ac:dyDescent="0.25">
      <c r="A834" s="63" t="s">
        <v>317</v>
      </c>
    </row>
    <row r="835" spans="1:1" x14ac:dyDescent="0.25">
      <c r="A835" s="63" t="s">
        <v>456</v>
      </c>
    </row>
    <row r="836" spans="1:1" x14ac:dyDescent="0.25">
      <c r="A836" s="63" t="s">
        <v>455</v>
      </c>
    </row>
    <row r="837" spans="1:1" x14ac:dyDescent="0.25">
      <c r="A837" s="63" t="s">
        <v>454</v>
      </c>
    </row>
    <row r="838" spans="1:1" x14ac:dyDescent="0.25">
      <c r="A838" s="63" t="s">
        <v>422</v>
      </c>
    </row>
    <row r="839" spans="1:1" x14ac:dyDescent="0.25">
      <c r="A839" s="63" t="s">
        <v>453</v>
      </c>
    </row>
    <row r="840" spans="1:1" x14ac:dyDescent="0.25">
      <c r="A840" s="63" t="s">
        <v>452</v>
      </c>
    </row>
    <row r="841" spans="1:1" x14ac:dyDescent="0.25">
      <c r="A841" s="63" t="s">
        <v>451</v>
      </c>
    </row>
    <row r="842" spans="1:1" x14ac:dyDescent="0.25">
      <c r="A842" s="63" t="s">
        <v>450</v>
      </c>
    </row>
    <row r="843" spans="1:1" x14ac:dyDescent="0.25">
      <c r="A843" s="63" t="s">
        <v>449</v>
      </c>
    </row>
    <row r="844" spans="1:1" x14ac:dyDescent="0.25">
      <c r="A844" s="63" t="s">
        <v>448</v>
      </c>
    </row>
    <row r="845" spans="1:1" x14ac:dyDescent="0.25">
      <c r="A845" s="63" t="s">
        <v>447</v>
      </c>
    </row>
    <row r="846" spans="1:1" x14ac:dyDescent="0.25">
      <c r="A846" s="63" t="s">
        <v>446</v>
      </c>
    </row>
    <row r="847" spans="1:1" x14ac:dyDescent="0.25">
      <c r="A847" s="63" t="s">
        <v>343</v>
      </c>
    </row>
    <row r="848" spans="1:1" x14ac:dyDescent="0.25">
      <c r="A848" s="63" t="s">
        <v>445</v>
      </c>
    </row>
    <row r="849" spans="1:1" x14ac:dyDescent="0.25">
      <c r="A849" s="63" t="s">
        <v>444</v>
      </c>
    </row>
    <row r="850" spans="1:1" x14ac:dyDescent="0.25">
      <c r="A850" s="63" t="s">
        <v>443</v>
      </c>
    </row>
    <row r="851" spans="1:1" x14ac:dyDescent="0.25">
      <c r="A851" s="63"/>
    </row>
    <row r="852" spans="1:1" x14ac:dyDescent="0.25">
      <c r="A852" s="97" t="s">
        <v>442</v>
      </c>
    </row>
    <row r="853" spans="1:1" x14ac:dyDescent="0.25">
      <c r="A853" s="96"/>
    </row>
    <row r="854" spans="1:1" ht="38.25" x14ac:dyDescent="0.25">
      <c r="A854" s="63" t="s">
        <v>441</v>
      </c>
    </row>
    <row r="855" spans="1:1" ht="25.5" x14ac:dyDescent="0.25">
      <c r="A855" s="63" t="s">
        <v>440</v>
      </c>
    </row>
    <row r="856" spans="1:1" ht="25.5" x14ac:dyDescent="0.25">
      <c r="A856" s="63" t="s">
        <v>439</v>
      </c>
    </row>
    <row r="857" spans="1:1" x14ac:dyDescent="0.25">
      <c r="A857" s="63" t="s">
        <v>438</v>
      </c>
    </row>
    <row r="858" spans="1:1" ht="51" x14ac:dyDescent="0.25">
      <c r="A858" s="63" t="s">
        <v>437</v>
      </c>
    </row>
    <row r="859" spans="1:1" ht="38.25" x14ac:dyDescent="0.25">
      <c r="A859" s="63" t="s">
        <v>436</v>
      </c>
    </row>
    <row r="860" spans="1:1" x14ac:dyDescent="0.25">
      <c r="A860" s="63" t="s">
        <v>435</v>
      </c>
    </row>
    <row r="861" spans="1:1" ht="25.5" x14ac:dyDescent="0.25">
      <c r="A861" s="63" t="s">
        <v>434</v>
      </c>
    </row>
    <row r="862" spans="1:1" ht="51" x14ac:dyDescent="0.25">
      <c r="A862" s="63" t="s">
        <v>433</v>
      </c>
    </row>
    <row r="863" spans="1:1" x14ac:dyDescent="0.25">
      <c r="A863" s="63" t="s">
        <v>432</v>
      </c>
    </row>
    <row r="864" spans="1:1" ht="25.5" x14ac:dyDescent="0.25">
      <c r="A864" s="63" t="s">
        <v>431</v>
      </c>
    </row>
    <row r="865" spans="1:1" ht="38.25" x14ac:dyDescent="0.25">
      <c r="A865" s="63" t="s">
        <v>430</v>
      </c>
    </row>
    <row r="866" spans="1:1" x14ac:dyDescent="0.25">
      <c r="A866" s="63" t="s">
        <v>429</v>
      </c>
    </row>
    <row r="867" spans="1:1" ht="25.5" x14ac:dyDescent="0.25">
      <c r="A867" s="63" t="s">
        <v>428</v>
      </c>
    </row>
    <row r="868" spans="1:1" x14ac:dyDescent="0.25">
      <c r="A868" s="63"/>
    </row>
    <row r="869" spans="1:1" x14ac:dyDescent="0.25">
      <c r="A869" s="63" t="s">
        <v>427</v>
      </c>
    </row>
    <row r="870" spans="1:1" x14ac:dyDescent="0.25">
      <c r="A870" s="63" t="s">
        <v>426</v>
      </c>
    </row>
    <row r="871" spans="1:1" x14ac:dyDescent="0.25">
      <c r="A871" s="63" t="s">
        <v>425</v>
      </c>
    </row>
    <row r="872" spans="1:1" x14ac:dyDescent="0.25">
      <c r="A872" s="63" t="s">
        <v>424</v>
      </c>
    </row>
    <row r="873" spans="1:1" x14ac:dyDescent="0.25">
      <c r="A873" s="63" t="s">
        <v>423</v>
      </c>
    </row>
    <row r="874" spans="1:1" x14ac:dyDescent="0.25">
      <c r="A874" s="63" t="s">
        <v>422</v>
      </c>
    </row>
    <row r="875" spans="1:1" x14ac:dyDescent="0.25">
      <c r="A875" s="63" t="s">
        <v>421</v>
      </c>
    </row>
    <row r="876" spans="1:1" x14ac:dyDescent="0.25">
      <c r="A876" s="63" t="s">
        <v>420</v>
      </c>
    </row>
    <row r="877" spans="1:1" x14ac:dyDescent="0.25">
      <c r="A877" s="63" t="s">
        <v>419</v>
      </c>
    </row>
    <row r="878" spans="1:1" x14ac:dyDescent="0.25">
      <c r="A878" s="92"/>
    </row>
    <row r="879" spans="1:1" x14ac:dyDescent="0.25">
      <c r="A879" s="97" t="s">
        <v>418</v>
      </c>
    </row>
    <row r="880" spans="1:1" x14ac:dyDescent="0.25">
      <c r="A880" s="96"/>
    </row>
    <row r="881" spans="1:1" ht="25.5" x14ac:dyDescent="0.25">
      <c r="A881" s="63" t="s">
        <v>417</v>
      </c>
    </row>
    <row r="882" spans="1:1" x14ac:dyDescent="0.25">
      <c r="A882" s="63" t="s">
        <v>416</v>
      </c>
    </row>
    <row r="883" spans="1:1" x14ac:dyDescent="0.25">
      <c r="A883" s="63" t="s">
        <v>415</v>
      </c>
    </row>
    <row r="884" spans="1:1" x14ac:dyDescent="0.25">
      <c r="A884" s="95" t="s">
        <v>414</v>
      </c>
    </row>
    <row r="885" spans="1:1" x14ac:dyDescent="0.25">
      <c r="A885" s="95" t="s">
        <v>413</v>
      </c>
    </row>
    <row r="886" spans="1:1" x14ac:dyDescent="0.25">
      <c r="A886" s="63"/>
    </row>
    <row r="887" spans="1:1" ht="25.5" x14ac:dyDescent="0.25">
      <c r="A887" s="63" t="s">
        <v>412</v>
      </c>
    </row>
    <row r="888" spans="1:1" ht="38.25" x14ac:dyDescent="0.25">
      <c r="A888" s="63" t="s">
        <v>411</v>
      </c>
    </row>
    <row r="889" spans="1:1" ht="51" x14ac:dyDescent="0.25">
      <c r="A889" s="63" t="s">
        <v>410</v>
      </c>
    </row>
    <row r="890" spans="1:1" ht="76.5" x14ac:dyDescent="0.25">
      <c r="A890" s="63" t="s">
        <v>409</v>
      </c>
    </row>
    <row r="891" spans="1:1" ht="25.5" x14ac:dyDescent="0.25">
      <c r="A891" s="95" t="s">
        <v>408</v>
      </c>
    </row>
    <row r="892" spans="1:1" ht="38.25" x14ac:dyDescent="0.25">
      <c r="A892" s="95" t="s">
        <v>407</v>
      </c>
    </row>
    <row r="893" spans="1:1" x14ac:dyDescent="0.25">
      <c r="A893" s="95" t="s">
        <v>406</v>
      </c>
    </row>
    <row r="894" spans="1:1" x14ac:dyDescent="0.25">
      <c r="A894" s="95" t="s">
        <v>405</v>
      </c>
    </row>
    <row r="895" spans="1:1" x14ac:dyDescent="0.25">
      <c r="A895" s="95" t="s">
        <v>404</v>
      </c>
    </row>
    <row r="896" spans="1:1" x14ac:dyDescent="0.25">
      <c r="A896" s="95" t="s">
        <v>403</v>
      </c>
    </row>
    <row r="897" spans="1:1" ht="63.75" x14ac:dyDescent="0.25">
      <c r="A897" s="63" t="s">
        <v>402</v>
      </c>
    </row>
    <row r="898" spans="1:1" ht="25.5" x14ac:dyDescent="0.25">
      <c r="A898" s="95" t="s">
        <v>401</v>
      </c>
    </row>
    <row r="899" spans="1:1" ht="25.5" x14ac:dyDescent="0.25">
      <c r="A899" s="95" t="s">
        <v>400</v>
      </c>
    </row>
    <row r="900" spans="1:1" ht="25.5" x14ac:dyDescent="0.25">
      <c r="A900" s="95" t="s">
        <v>399</v>
      </c>
    </row>
    <row r="901" spans="1:1" x14ac:dyDescent="0.25">
      <c r="A901" s="95" t="s">
        <v>398</v>
      </c>
    </row>
    <row r="902" spans="1:1" x14ac:dyDescent="0.25">
      <c r="A902" s="95" t="s">
        <v>397</v>
      </c>
    </row>
    <row r="903" spans="1:1" x14ac:dyDescent="0.25">
      <c r="A903" s="95" t="s">
        <v>396</v>
      </c>
    </row>
    <row r="904" spans="1:1" x14ac:dyDescent="0.25">
      <c r="A904" s="95" t="s">
        <v>395</v>
      </c>
    </row>
    <row r="905" spans="1:1" x14ac:dyDescent="0.25">
      <c r="A905" s="95" t="s">
        <v>394</v>
      </c>
    </row>
    <row r="906" spans="1:1" x14ac:dyDescent="0.25">
      <c r="A906" s="95" t="s">
        <v>393</v>
      </c>
    </row>
    <row r="907" spans="1:1" x14ac:dyDescent="0.25">
      <c r="A907" s="95" t="s">
        <v>392</v>
      </c>
    </row>
    <row r="908" spans="1:1" x14ac:dyDescent="0.25">
      <c r="A908" s="95" t="s">
        <v>391</v>
      </c>
    </row>
    <row r="909" spans="1:1" x14ac:dyDescent="0.25">
      <c r="A909" s="95" t="s">
        <v>390</v>
      </c>
    </row>
    <row r="910" spans="1:1" x14ac:dyDescent="0.25">
      <c r="A910" s="95" t="s">
        <v>389</v>
      </c>
    </row>
    <row r="911" spans="1:1" x14ac:dyDescent="0.25">
      <c r="A911" s="95" t="s">
        <v>388</v>
      </c>
    </row>
    <row r="912" spans="1:1" x14ac:dyDescent="0.25">
      <c r="A912" s="95" t="s">
        <v>387</v>
      </c>
    </row>
    <row r="913" spans="1:1" x14ac:dyDescent="0.25">
      <c r="A913" s="95" t="s">
        <v>386</v>
      </c>
    </row>
    <row r="914" spans="1:1" ht="25.5" x14ac:dyDescent="0.25">
      <c r="A914" s="95" t="s">
        <v>385</v>
      </c>
    </row>
    <row r="915" spans="1:1" x14ac:dyDescent="0.25">
      <c r="A915" s="95" t="s">
        <v>384</v>
      </c>
    </row>
    <row r="916" spans="1:1" x14ac:dyDescent="0.25">
      <c r="A916" s="95" t="s">
        <v>383</v>
      </c>
    </row>
    <row r="917" spans="1:1" ht="38.25" x14ac:dyDescent="0.25">
      <c r="A917" s="95" t="s">
        <v>382</v>
      </c>
    </row>
    <row r="918" spans="1:1" ht="38.25" x14ac:dyDescent="0.25">
      <c r="A918" s="95" t="s">
        <v>381</v>
      </c>
    </row>
    <row r="919" spans="1:1" x14ac:dyDescent="0.25">
      <c r="A919" s="95" t="s">
        <v>380</v>
      </c>
    </row>
    <row r="920" spans="1:1" x14ac:dyDescent="0.25">
      <c r="A920" s="95" t="s">
        <v>379</v>
      </c>
    </row>
    <row r="921" spans="1:1" x14ac:dyDescent="0.25">
      <c r="A921" s="95" t="s">
        <v>378</v>
      </c>
    </row>
    <row r="922" spans="1:1" x14ac:dyDescent="0.25">
      <c r="A922" s="95" t="s">
        <v>377</v>
      </c>
    </row>
    <row r="923" spans="1:1" x14ac:dyDescent="0.25">
      <c r="A923" s="95" t="s">
        <v>376</v>
      </c>
    </row>
    <row r="924" spans="1:1" x14ac:dyDescent="0.25">
      <c r="A924" s="95" t="s">
        <v>375</v>
      </c>
    </row>
    <row r="925" spans="1:1" x14ac:dyDescent="0.25">
      <c r="A925" s="95" t="s">
        <v>374</v>
      </c>
    </row>
    <row r="926" spans="1:1" x14ac:dyDescent="0.25">
      <c r="A926" s="95" t="s">
        <v>373</v>
      </c>
    </row>
    <row r="927" spans="1:1" x14ac:dyDescent="0.25">
      <c r="A927" s="95" t="s">
        <v>372</v>
      </c>
    </row>
    <row r="928" spans="1:1" x14ac:dyDescent="0.25">
      <c r="A928" s="95" t="s">
        <v>371</v>
      </c>
    </row>
    <row r="929" spans="1:1" x14ac:dyDescent="0.25">
      <c r="A929" s="95" t="s">
        <v>370</v>
      </c>
    </row>
    <row r="930" spans="1:1" x14ac:dyDescent="0.25">
      <c r="A930" s="95" t="s">
        <v>369</v>
      </c>
    </row>
    <row r="931" spans="1:1" x14ac:dyDescent="0.25">
      <c r="A931" s="95" t="s">
        <v>368</v>
      </c>
    </row>
    <row r="932" spans="1:1" x14ac:dyDescent="0.25">
      <c r="A932" s="95" t="s">
        <v>367</v>
      </c>
    </row>
    <row r="933" spans="1:1" x14ac:dyDescent="0.25">
      <c r="A933" s="95"/>
    </row>
    <row r="934" spans="1:1" x14ac:dyDescent="0.25">
      <c r="A934" s="94" t="s">
        <v>126</v>
      </c>
    </row>
    <row r="935" spans="1:1" x14ac:dyDescent="0.25">
      <c r="A935" s="63"/>
    </row>
    <row r="936" spans="1:1" x14ac:dyDescent="0.25">
      <c r="A936" s="93" t="s">
        <v>366</v>
      </c>
    </row>
    <row r="937" spans="1:1" ht="25.5" x14ac:dyDescent="0.25">
      <c r="A937" s="93" t="s">
        <v>365</v>
      </c>
    </row>
    <row r="938" spans="1:1" ht="102" x14ac:dyDescent="0.25">
      <c r="A938" s="93" t="s">
        <v>364</v>
      </c>
    </row>
    <row r="939" spans="1:1" ht="25.5" x14ac:dyDescent="0.25">
      <c r="A939" s="93" t="s">
        <v>363</v>
      </c>
    </row>
    <row r="940" spans="1:1" x14ac:dyDescent="0.25">
      <c r="A940" s="93" t="s">
        <v>362</v>
      </c>
    </row>
    <row r="941" spans="1:1" x14ac:dyDescent="0.25">
      <c r="A941" s="93" t="s">
        <v>361</v>
      </c>
    </row>
    <row r="942" spans="1:1" x14ac:dyDescent="0.25">
      <c r="A942" s="93" t="s">
        <v>360</v>
      </c>
    </row>
    <row r="943" spans="1:1" x14ac:dyDescent="0.25">
      <c r="A943" s="93" t="s">
        <v>359</v>
      </c>
    </row>
    <row r="944" spans="1:1" x14ac:dyDescent="0.25">
      <c r="A944" s="93" t="s">
        <v>358</v>
      </c>
    </row>
    <row r="945" spans="1:1" ht="25.5" x14ac:dyDescent="0.25">
      <c r="A945" s="93" t="s">
        <v>357</v>
      </c>
    </row>
    <row r="946" spans="1:1" ht="25.5" x14ac:dyDescent="0.25">
      <c r="A946" s="93" t="s">
        <v>356</v>
      </c>
    </row>
    <row r="947" spans="1:1" ht="38.25" x14ac:dyDescent="0.25">
      <c r="A947" s="93" t="s">
        <v>355</v>
      </c>
    </row>
    <row r="948" spans="1:1" ht="38.25" x14ac:dyDescent="0.25">
      <c r="A948" s="93" t="s">
        <v>354</v>
      </c>
    </row>
    <row r="949" spans="1:1" ht="25.5" x14ac:dyDescent="0.25">
      <c r="A949" s="93" t="s">
        <v>353</v>
      </c>
    </row>
    <row r="950" spans="1:1" ht="25.5" x14ac:dyDescent="0.25">
      <c r="A950" s="93" t="s">
        <v>352</v>
      </c>
    </row>
    <row r="951" spans="1:1" ht="25.5" x14ac:dyDescent="0.25">
      <c r="A951" s="93" t="s">
        <v>351</v>
      </c>
    </row>
    <row r="952" spans="1:1" ht="25.5" x14ac:dyDescent="0.25">
      <c r="A952" s="93" t="s">
        <v>350</v>
      </c>
    </row>
    <row r="953" spans="1:1" x14ac:dyDescent="0.25">
      <c r="A953" s="93" t="s">
        <v>349</v>
      </c>
    </row>
    <row r="954" spans="1:1" ht="51" x14ac:dyDescent="0.25">
      <c r="A954" s="93" t="s">
        <v>348</v>
      </c>
    </row>
    <row r="955" spans="1:1" ht="25.5" x14ac:dyDescent="0.25">
      <c r="A955" s="93" t="s">
        <v>347</v>
      </c>
    </row>
    <row r="956" spans="1:1" ht="25.5" x14ac:dyDescent="0.25">
      <c r="A956" s="93" t="s">
        <v>346</v>
      </c>
    </row>
    <row r="957" spans="1:1" x14ac:dyDescent="0.25">
      <c r="A957" s="93" t="s">
        <v>317</v>
      </c>
    </row>
    <row r="958" spans="1:1" x14ac:dyDescent="0.25">
      <c r="A958" s="93" t="s">
        <v>345</v>
      </c>
    </row>
    <row r="959" spans="1:1" x14ac:dyDescent="0.25">
      <c r="A959" s="93" t="s">
        <v>344</v>
      </c>
    </row>
    <row r="960" spans="1:1" x14ac:dyDescent="0.25">
      <c r="A960" s="93" t="s">
        <v>313</v>
      </c>
    </row>
    <row r="961" spans="1:1" x14ac:dyDescent="0.25">
      <c r="A961" s="93" t="s">
        <v>343</v>
      </c>
    </row>
    <row r="962" spans="1:1" x14ac:dyDescent="0.25">
      <c r="A962" s="93" t="s">
        <v>342</v>
      </c>
    </row>
    <row r="963" spans="1:1" x14ac:dyDescent="0.25">
      <c r="A963" s="93" t="s">
        <v>341</v>
      </c>
    </row>
    <row r="964" spans="1:1" x14ac:dyDescent="0.25">
      <c r="A964" s="93" t="s">
        <v>340</v>
      </c>
    </row>
    <row r="965" spans="1:1" x14ac:dyDescent="0.25">
      <c r="A965" s="93" t="s">
        <v>339</v>
      </c>
    </row>
    <row r="966" spans="1:1" x14ac:dyDescent="0.25">
      <c r="A966" s="93" t="s">
        <v>338</v>
      </c>
    </row>
    <row r="967" spans="1:1" x14ac:dyDescent="0.25">
      <c r="A967" s="93" t="s">
        <v>337</v>
      </c>
    </row>
    <row r="968" spans="1:1" x14ac:dyDescent="0.25">
      <c r="A968" s="93" t="s">
        <v>336</v>
      </c>
    </row>
    <row r="969" spans="1:1" x14ac:dyDescent="0.25">
      <c r="A969" s="93" t="s">
        <v>335</v>
      </c>
    </row>
    <row r="970" spans="1:1" x14ac:dyDescent="0.25">
      <c r="A970" s="93" t="s">
        <v>334</v>
      </c>
    </row>
    <row r="971" spans="1:1" x14ac:dyDescent="0.25">
      <c r="A971" s="93" t="s">
        <v>333</v>
      </c>
    </row>
    <row r="972" spans="1:1" x14ac:dyDescent="0.25">
      <c r="A972" s="92"/>
    </row>
    <row r="973" spans="1:1" ht="25.5" x14ac:dyDescent="0.25">
      <c r="A973" s="63" t="s">
        <v>332</v>
      </c>
    </row>
    <row r="975" spans="1:1" x14ac:dyDescent="0.25">
      <c r="A975" s="40" t="s">
        <v>331</v>
      </c>
    </row>
    <row r="976" spans="1:1" x14ac:dyDescent="0.25">
      <c r="A976" s="63"/>
    </row>
    <row r="977" spans="1:1" ht="25.5" x14ac:dyDescent="0.25">
      <c r="A977" s="63" t="s">
        <v>330</v>
      </c>
    </row>
    <row r="978" spans="1:1" x14ac:dyDescent="0.25">
      <c r="A978" s="63" t="s">
        <v>329</v>
      </c>
    </row>
    <row r="979" spans="1:1" x14ac:dyDescent="0.25">
      <c r="A979" s="63" t="s">
        <v>328</v>
      </c>
    </row>
    <row r="980" spans="1:1" x14ac:dyDescent="0.25">
      <c r="A980" s="63"/>
    </row>
    <row r="981" spans="1:1" x14ac:dyDescent="0.25">
      <c r="A981" s="63" t="s">
        <v>327</v>
      </c>
    </row>
    <row r="982" spans="1:1" x14ac:dyDescent="0.25">
      <c r="A982" s="63" t="s">
        <v>326</v>
      </c>
    </row>
    <row r="983" spans="1:1" x14ac:dyDescent="0.25">
      <c r="A983" s="63" t="s">
        <v>325</v>
      </c>
    </row>
    <row r="984" spans="1:1" x14ac:dyDescent="0.25">
      <c r="A984" s="63" t="s">
        <v>324</v>
      </c>
    </row>
    <row r="985" spans="1:1" x14ac:dyDescent="0.25">
      <c r="A985" s="63" t="s">
        <v>323</v>
      </c>
    </row>
    <row r="986" spans="1:1" x14ac:dyDescent="0.25">
      <c r="A986" s="63"/>
    </row>
    <row r="987" spans="1:1" ht="25.5" x14ac:dyDescent="0.25">
      <c r="A987" s="63" t="s">
        <v>322</v>
      </c>
    </row>
    <row r="988" spans="1:1" ht="38.25" x14ac:dyDescent="0.25">
      <c r="A988" s="63" t="s">
        <v>321</v>
      </c>
    </row>
    <row r="990" spans="1:1" ht="38.25" x14ac:dyDescent="0.25">
      <c r="A990" s="63" t="s">
        <v>320</v>
      </c>
    </row>
    <row r="991" spans="1:1" ht="25.5" x14ac:dyDescent="0.25">
      <c r="A991" s="63" t="s">
        <v>319</v>
      </c>
    </row>
    <row r="993" spans="1:1" x14ac:dyDescent="0.25">
      <c r="A993" s="63" t="s">
        <v>318</v>
      </c>
    </row>
    <row r="995" spans="1:1" x14ac:dyDescent="0.25">
      <c r="A995" s="63" t="s">
        <v>317</v>
      </c>
    </row>
    <row r="996" spans="1:1" x14ac:dyDescent="0.25">
      <c r="A996" s="63" t="s">
        <v>316</v>
      </c>
    </row>
    <row r="997" spans="1:1" x14ac:dyDescent="0.25">
      <c r="A997" s="63" t="s">
        <v>315</v>
      </c>
    </row>
    <row r="998" spans="1:1" x14ac:dyDescent="0.25">
      <c r="A998" s="63" t="s">
        <v>314</v>
      </c>
    </row>
    <row r="999" spans="1:1" x14ac:dyDescent="0.25">
      <c r="A999" s="63" t="s">
        <v>313</v>
      </c>
    </row>
    <row r="1000" spans="1:1" x14ac:dyDescent="0.25">
      <c r="A1000" s="63" t="s">
        <v>312</v>
      </c>
    </row>
    <row r="1001" spans="1:1" x14ac:dyDescent="0.25">
      <c r="A1001" s="63" t="s">
        <v>311</v>
      </c>
    </row>
    <row r="1002" spans="1:1" x14ac:dyDescent="0.25">
      <c r="A1002" s="63" t="s">
        <v>310</v>
      </c>
    </row>
    <row r="1003" spans="1:1" x14ac:dyDescent="0.25">
      <c r="A1003" s="63" t="s">
        <v>309</v>
      </c>
    </row>
    <row r="1004" spans="1:1" x14ac:dyDescent="0.25">
      <c r="A1004" s="63" t="s">
        <v>308</v>
      </c>
    </row>
    <row r="1005" spans="1:1" x14ac:dyDescent="0.25">
      <c r="A1005" s="63" t="s">
        <v>307</v>
      </c>
    </row>
    <row r="1006" spans="1:1" x14ac:dyDescent="0.25">
      <c r="A1006" s="63" t="s">
        <v>306</v>
      </c>
    </row>
    <row r="1007" spans="1:1" x14ac:dyDescent="0.25">
      <c r="A1007" s="63"/>
    </row>
    <row r="1008" spans="1:1" x14ac:dyDescent="0.25">
      <c r="A1008" s="63" t="s">
        <v>305</v>
      </c>
    </row>
    <row r="1009" spans="1:9" x14ac:dyDescent="0.25">
      <c r="A1009" s="92"/>
    </row>
    <row r="1010" spans="1:9" s="66" customFormat="1" ht="20.25" x14ac:dyDescent="0.3">
      <c r="A1010" s="91"/>
      <c r="B1010" s="90"/>
      <c r="G1010" s="67"/>
      <c r="I1010" s="86"/>
    </row>
    <row r="1011" spans="1:9" s="66" customFormat="1" ht="12.75" x14ac:dyDescent="0.2">
      <c r="A1011" s="89" t="s">
        <v>304</v>
      </c>
      <c r="B1011" s="88"/>
      <c r="C1011" s="87"/>
      <c r="D1011" s="87"/>
      <c r="E1011" s="87"/>
      <c r="G1011" s="67"/>
      <c r="I1011" s="86"/>
    </row>
    <row r="1012" spans="1:9" s="70" customFormat="1" ht="12.75" x14ac:dyDescent="0.2">
      <c r="A1012" s="85"/>
      <c r="B1012" s="73"/>
      <c r="C1012" s="73"/>
      <c r="D1012" s="73"/>
      <c r="E1012" s="73"/>
      <c r="G1012" s="72"/>
      <c r="I1012" s="71"/>
    </row>
    <row r="1013" spans="1:9" s="64" customFormat="1" x14ac:dyDescent="0.25">
      <c r="A1013" s="114" t="s">
        <v>303</v>
      </c>
      <c r="B1013" s="114"/>
      <c r="C1013" s="114"/>
      <c r="D1013" s="114"/>
      <c r="E1013" s="114"/>
      <c r="G1013" s="67"/>
      <c r="H1013" s="66"/>
      <c r="I1013" s="65"/>
    </row>
    <row r="1014" spans="1:9" x14ac:dyDescent="0.25">
      <c r="A1014" s="115" t="s">
        <v>302</v>
      </c>
      <c r="B1014" s="115"/>
      <c r="C1014" s="115"/>
      <c r="D1014" s="115"/>
      <c r="E1014" s="115"/>
      <c r="G1014" s="84"/>
      <c r="H1014" s="83"/>
      <c r="I1014" s="82"/>
    </row>
    <row r="1015" spans="1:9" s="81" customFormat="1" ht="102" x14ac:dyDescent="0.25">
      <c r="A1015" s="80" t="s">
        <v>301</v>
      </c>
      <c r="B1015" s="79"/>
      <c r="C1015" s="79"/>
      <c r="D1015" s="79"/>
      <c r="E1015" s="79"/>
      <c r="F1015" s="78"/>
      <c r="G1015" s="78"/>
      <c r="H1015" s="78"/>
      <c r="I1015" s="78"/>
    </row>
    <row r="1016" spans="1:9" s="64" customFormat="1" ht="293.25" x14ac:dyDescent="0.25">
      <c r="A1016" s="69" t="s">
        <v>300</v>
      </c>
      <c r="B1016" s="68"/>
      <c r="C1016" s="68"/>
      <c r="D1016" s="68"/>
      <c r="E1016" s="68"/>
      <c r="F1016" s="77"/>
      <c r="G1016" s="77"/>
      <c r="H1016" s="77"/>
      <c r="I1016" s="77"/>
    </row>
    <row r="1017" spans="1:9" ht="102" x14ac:dyDescent="0.25">
      <c r="A1017" s="69" t="s">
        <v>299</v>
      </c>
      <c r="B1017" s="68"/>
      <c r="C1017" s="68"/>
      <c r="D1017" s="68"/>
      <c r="E1017" s="68"/>
      <c r="F1017" s="77"/>
      <c r="G1017" s="77"/>
      <c r="H1017" s="77"/>
      <c r="I1017" s="77"/>
    </row>
    <row r="1018" spans="1:9" s="64" customFormat="1" ht="153" x14ac:dyDescent="0.25">
      <c r="A1018" s="80" t="s">
        <v>298</v>
      </c>
      <c r="B1018" s="79"/>
      <c r="C1018" s="79"/>
      <c r="D1018" s="79"/>
      <c r="E1018" s="79"/>
      <c r="F1018" s="78"/>
      <c r="G1018" s="78"/>
      <c r="H1018" s="78"/>
      <c r="I1018" s="78"/>
    </row>
    <row r="1019" spans="1:9" s="64" customFormat="1" ht="216.75" x14ac:dyDescent="0.25">
      <c r="A1019" s="69" t="s">
        <v>297</v>
      </c>
      <c r="B1019" s="68"/>
      <c r="C1019" s="68"/>
      <c r="D1019" s="68"/>
      <c r="E1019" s="68"/>
      <c r="F1019" s="77"/>
      <c r="G1019" s="77"/>
      <c r="H1019" s="77"/>
      <c r="I1019" s="77"/>
    </row>
    <row r="1020" spans="1:9" ht="216.75" x14ac:dyDescent="0.25">
      <c r="A1020" s="69" t="s">
        <v>296</v>
      </c>
      <c r="B1020" s="68"/>
      <c r="C1020" s="68"/>
      <c r="D1020" s="68"/>
      <c r="E1020" s="68"/>
      <c r="F1020" s="77"/>
      <c r="G1020" s="77"/>
      <c r="H1020" s="77"/>
      <c r="I1020" s="77"/>
    </row>
    <row r="1021" spans="1:9" ht="267.75" x14ac:dyDescent="0.25">
      <c r="A1021" s="69" t="s">
        <v>295</v>
      </c>
      <c r="B1021" s="68"/>
      <c r="C1021" s="68"/>
      <c r="D1021" s="68"/>
      <c r="E1021" s="68"/>
      <c r="F1021" s="77"/>
      <c r="G1021" s="77"/>
      <c r="H1021" s="77"/>
      <c r="I1021" s="77"/>
    </row>
    <row r="1022" spans="1:9" ht="165.75" x14ac:dyDescent="0.25">
      <c r="A1022" s="69" t="s">
        <v>294</v>
      </c>
      <c r="B1022" s="68"/>
      <c r="C1022" s="68"/>
      <c r="D1022" s="68"/>
      <c r="E1022" s="68"/>
      <c r="F1022" s="77"/>
      <c r="G1022" s="77"/>
      <c r="H1022" s="77"/>
      <c r="I1022" s="77"/>
    </row>
    <row r="1023" spans="1:9" ht="229.5" x14ac:dyDescent="0.25">
      <c r="A1023" s="57" t="s">
        <v>293</v>
      </c>
      <c r="B1023" s="76"/>
      <c r="C1023" s="76"/>
      <c r="D1023" s="76"/>
      <c r="E1023" s="76"/>
      <c r="F1023" s="75"/>
      <c r="G1023" s="75"/>
      <c r="H1023" s="75"/>
      <c r="I1023" s="75"/>
    </row>
    <row r="1024" spans="1:9" s="70" customFormat="1" ht="25.5" x14ac:dyDescent="0.2">
      <c r="A1024" s="74" t="s">
        <v>292</v>
      </c>
      <c r="B1024" s="73"/>
      <c r="C1024" s="73"/>
      <c r="D1024" s="73"/>
      <c r="E1024" s="73"/>
      <c r="G1024" s="72"/>
      <c r="I1024" s="71"/>
    </row>
    <row r="1025" spans="1:9" s="64" customFormat="1" x14ac:dyDescent="0.25">
      <c r="A1025" s="69" t="s">
        <v>291</v>
      </c>
      <c r="B1025" s="68"/>
      <c r="C1025" s="68"/>
      <c r="D1025" s="68"/>
      <c r="E1025" s="68"/>
      <c r="G1025" s="67"/>
      <c r="H1025" s="66"/>
      <c r="I1025" s="65"/>
    </row>
    <row r="1026" spans="1:9" x14ac:dyDescent="0.25">
      <c r="A1026" s="63"/>
      <c r="B1026" s="53"/>
      <c r="C1026" s="53"/>
      <c r="D1026" s="53"/>
      <c r="E1026" s="53"/>
    </row>
    <row r="1027" spans="1:9" x14ac:dyDescent="0.25">
      <c r="A1027" s="62" t="s">
        <v>290</v>
      </c>
      <c r="B1027" s="61"/>
      <c r="C1027" s="61"/>
      <c r="D1027" s="61"/>
      <c r="E1027" s="60"/>
    </row>
    <row r="1028" spans="1:9" x14ac:dyDescent="0.25">
      <c r="A1028" s="59"/>
      <c r="B1028" s="58"/>
      <c r="C1028" s="58"/>
      <c r="D1028" s="58"/>
      <c r="E1028" s="58"/>
    </row>
    <row r="1029" spans="1:9" ht="165.75" x14ac:dyDescent="0.25">
      <c r="A1029" s="48" t="s">
        <v>289</v>
      </c>
      <c r="B1029" s="47"/>
      <c r="C1029" s="47"/>
      <c r="D1029" s="47"/>
      <c r="E1029" s="47"/>
    </row>
    <row r="1030" spans="1:9" ht="114.75" x14ac:dyDescent="0.25">
      <c r="A1030" s="57" t="s">
        <v>288</v>
      </c>
      <c r="B1030" s="56"/>
      <c r="C1030" s="56"/>
      <c r="D1030" s="56"/>
      <c r="E1030" s="56"/>
    </row>
    <row r="1031" spans="1:9" x14ac:dyDescent="0.25">
      <c r="A1031" s="55"/>
      <c r="B1031" s="49"/>
      <c r="C1031" s="49"/>
      <c r="D1031" s="49"/>
      <c r="E1031" s="49"/>
    </row>
    <row r="1032" spans="1:9" x14ac:dyDescent="0.25">
      <c r="A1032" s="54" t="s">
        <v>287</v>
      </c>
      <c r="B1032" s="53"/>
      <c r="C1032" s="52"/>
      <c r="D1032" s="52"/>
      <c r="E1032" s="52"/>
    </row>
    <row r="1033" spans="1:9" x14ac:dyDescent="0.25">
      <c r="A1033" s="48" t="s">
        <v>286</v>
      </c>
      <c r="B1033" s="47"/>
      <c r="C1033" s="47"/>
      <c r="D1033" s="47"/>
      <c r="E1033" s="47"/>
    </row>
    <row r="1034" spans="1:9" ht="216.75" x14ac:dyDescent="0.25">
      <c r="A1034" s="48" t="s">
        <v>285</v>
      </c>
      <c r="B1034" s="47"/>
      <c r="C1034" s="47"/>
      <c r="D1034" s="47"/>
      <c r="E1034" s="47"/>
    </row>
    <row r="1035" spans="1:9" ht="102" x14ac:dyDescent="0.25">
      <c r="A1035" s="48" t="s">
        <v>284</v>
      </c>
      <c r="B1035" s="47"/>
      <c r="C1035" s="47"/>
      <c r="D1035" s="47"/>
      <c r="E1035" s="47"/>
    </row>
    <row r="1036" spans="1:9" x14ac:dyDescent="0.25">
      <c r="A1036" s="48" t="s">
        <v>283</v>
      </c>
      <c r="B1036" s="47"/>
      <c r="C1036" s="47"/>
      <c r="D1036" s="47"/>
      <c r="E1036" s="47"/>
    </row>
    <row r="1037" spans="1:9" ht="216.75" x14ac:dyDescent="0.25">
      <c r="A1037" s="48" t="s">
        <v>282</v>
      </c>
      <c r="B1037" s="47"/>
      <c r="C1037" s="47"/>
      <c r="D1037" s="47"/>
      <c r="E1037" s="47"/>
    </row>
    <row r="1038" spans="1:9" ht="102" x14ac:dyDescent="0.25">
      <c r="A1038" s="48" t="s">
        <v>281</v>
      </c>
      <c r="B1038" s="47"/>
      <c r="C1038" s="47"/>
      <c r="D1038" s="47"/>
      <c r="E1038" s="47"/>
    </row>
    <row r="1039" spans="1:9" x14ac:dyDescent="0.25">
      <c r="A1039" s="51" t="s">
        <v>280</v>
      </c>
      <c r="B1039" s="50"/>
      <c r="C1039" s="50"/>
      <c r="D1039" s="49"/>
      <c r="E1039" s="49"/>
    </row>
    <row r="1040" spans="1:9" ht="63.75" x14ac:dyDescent="0.25">
      <c r="A1040" s="48" t="s">
        <v>279</v>
      </c>
      <c r="B1040" s="47"/>
      <c r="C1040" s="47"/>
      <c r="D1040" s="47"/>
      <c r="E1040" s="47"/>
    </row>
    <row r="1041" spans="1:5" x14ac:dyDescent="0.25">
      <c r="A1041" s="44" t="s">
        <v>278</v>
      </c>
      <c r="B1041" s="43"/>
      <c r="C1041" s="43"/>
      <c r="D1041" s="43"/>
      <c r="E1041" s="43"/>
    </row>
    <row r="1042" spans="1:5" ht="63.75" x14ac:dyDescent="0.25">
      <c r="A1042" s="46" t="s">
        <v>277</v>
      </c>
      <c r="B1042" s="45"/>
      <c r="C1042" s="45"/>
      <c r="D1042" s="45"/>
      <c r="E1042" s="45"/>
    </row>
    <row r="1043" spans="1:5" x14ac:dyDescent="0.25">
      <c r="A1043" s="44" t="s">
        <v>276</v>
      </c>
      <c r="B1043" s="43"/>
      <c r="C1043" s="43"/>
      <c r="D1043" s="43"/>
      <c r="E1043" s="43"/>
    </row>
    <row r="1044" spans="1:5" ht="38.25" x14ac:dyDescent="0.25">
      <c r="A1044" s="42" t="s">
        <v>275</v>
      </c>
      <c r="B1044" s="41"/>
      <c r="C1044" s="41"/>
      <c r="D1044" s="41"/>
      <c r="E1044" s="41"/>
    </row>
    <row r="1045" spans="1:5" ht="38.25" x14ac:dyDescent="0.25">
      <c r="A1045" s="42" t="s">
        <v>274</v>
      </c>
      <c r="B1045" s="41"/>
      <c r="C1045" s="41"/>
      <c r="D1045" s="41"/>
      <c r="E1045" s="41"/>
    </row>
  </sheetData>
  <mergeCells count="2">
    <mergeCell ref="A1013:E1013"/>
    <mergeCell ref="A1014:E1014"/>
  </mergeCells>
  <pageMargins left="0.78740157480314965" right="0.39370078740157483" top="1.3779527559055118" bottom="1.1417322834645669" header="0.31496062992125984" footer="0.31496062992125984"/>
  <pageSetup paperSize="9" scale="82" fitToHeight="0" orientation="portrait" verticalDpi="300" r:id="rId1"/>
  <rowBreaks count="45" manualBreakCount="45">
    <brk id="14" max="1" man="1"/>
    <brk id="34" max="1" man="1"/>
    <brk id="49" max="1" man="1"/>
    <brk id="70" max="1" man="1"/>
    <brk id="94" max="1" man="1"/>
    <brk id="111" max="1" man="1"/>
    <brk id="125" max="1" man="1"/>
    <brk id="141" max="1" man="1"/>
    <brk id="145" max="16383" man="1"/>
    <brk id="157" max="1" man="1"/>
    <brk id="185" max="1" man="1"/>
    <brk id="216" max="16383" man="1"/>
    <brk id="233" max="1" man="1"/>
    <brk id="255" max="1" man="1"/>
    <brk id="281" max="1" man="1"/>
    <brk id="306" max="1" man="1"/>
    <brk id="332" max="1" man="1"/>
    <brk id="356" max="1" man="1"/>
    <brk id="383" max="1" man="1"/>
    <brk id="405" max="1" man="1"/>
    <brk id="426" max="1" man="1"/>
    <brk id="447" max="1" man="1"/>
    <brk id="457" max="1" man="1"/>
    <brk id="486" max="1" man="1"/>
    <brk id="517" max="1" man="1"/>
    <brk id="543" max="1" man="1"/>
    <brk id="560" max="16383" man="1"/>
    <brk id="569" max="1" man="1"/>
    <brk id="591" max="1" man="1"/>
    <brk id="619" max="1" man="1"/>
    <brk id="653" max="1" man="1"/>
    <brk id="679" max="1" man="1"/>
    <brk id="708" max="1" man="1"/>
    <brk id="744" max="1" man="1"/>
    <brk id="774" max="1" man="1"/>
    <brk id="814" max="1" man="1"/>
    <brk id="850" max="1" man="1"/>
    <brk id="885" max="1" man="1"/>
    <brk id="915" max="1" man="1"/>
    <brk id="948" max="1" man="1"/>
    <brk id="987" max="1" man="1"/>
    <brk id="1015" max="1" man="1"/>
    <brk id="1018" max="16383" man="1"/>
    <brk id="1021" max="16383" man="1"/>
    <brk id="102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4D74B-529A-4545-98D6-6A5787D6FAB2}">
  <sheetPr>
    <pageSetUpPr fitToPage="1"/>
  </sheetPr>
  <dimension ref="A1:G306"/>
  <sheetViews>
    <sheetView tabSelected="1" view="pageBreakPreview" topLeftCell="A270" zoomScale="115" zoomScaleNormal="70" zoomScaleSheetLayoutView="115" workbookViewId="0">
      <selection activeCell="F154" sqref="F154"/>
    </sheetView>
  </sheetViews>
  <sheetFormatPr defaultRowHeight="11.25" x14ac:dyDescent="0.25"/>
  <cols>
    <col min="1" max="1" width="9.140625" style="1"/>
    <col min="2" max="2" width="98.85546875" style="5" customWidth="1"/>
    <col min="3" max="3" width="9.140625" style="1"/>
    <col min="4" max="4" width="9.140625" style="2"/>
    <col min="5" max="5" width="12.28515625" style="1" bestFit="1" customWidth="1"/>
    <col min="6" max="6" width="12" style="1" bestFit="1" customWidth="1"/>
    <col min="7" max="7" width="27.28515625" style="1" customWidth="1"/>
    <col min="8" max="16384" width="9.140625" style="1"/>
  </cols>
  <sheetData>
    <row r="1" spans="1:7" s="113" customFormat="1" ht="15.75" x14ac:dyDescent="0.25">
      <c r="A1" s="120" t="s">
        <v>1291</v>
      </c>
      <c r="B1" s="121"/>
      <c r="C1" s="121"/>
      <c r="D1" s="121"/>
      <c r="E1" s="121"/>
      <c r="F1" s="121"/>
      <c r="G1" s="122"/>
    </row>
    <row r="2" spans="1:7" s="113" customFormat="1" ht="16.5" thickBot="1" x14ac:dyDescent="0.3">
      <c r="A2" s="123" t="s">
        <v>1171</v>
      </c>
      <c r="B2" s="124"/>
      <c r="C2" s="124"/>
      <c r="D2" s="124"/>
      <c r="E2" s="124"/>
      <c r="F2" s="124"/>
      <c r="G2" s="125"/>
    </row>
    <row r="3" spans="1:7" ht="56.25" x14ac:dyDescent="0.25">
      <c r="A3" s="7"/>
      <c r="B3" s="112" t="s">
        <v>1170</v>
      </c>
      <c r="C3" s="8"/>
      <c r="D3" s="8"/>
      <c r="E3" s="8"/>
      <c r="F3" s="8"/>
      <c r="G3" s="8"/>
    </row>
    <row r="4" spans="1:7" ht="15" x14ac:dyDescent="0.25">
      <c r="A4" s="7"/>
      <c r="B4" s="8"/>
      <c r="C4" s="8"/>
      <c r="D4" s="8"/>
      <c r="E4" s="8"/>
      <c r="F4" s="8"/>
      <c r="G4" s="8"/>
    </row>
    <row r="5" spans="1:7" s="37" customFormat="1" ht="13.5" thickBot="1" x14ac:dyDescent="0.3">
      <c r="B5" s="37" t="s">
        <v>8</v>
      </c>
      <c r="C5" s="37" t="s">
        <v>9</v>
      </c>
      <c r="D5" s="38" t="s">
        <v>10</v>
      </c>
      <c r="E5" s="37" t="s">
        <v>11</v>
      </c>
      <c r="F5" s="37" t="s">
        <v>12</v>
      </c>
      <c r="G5" s="37" t="s">
        <v>13</v>
      </c>
    </row>
    <row r="6" spans="1:7" s="3" customFormat="1" ht="12" thickBot="1" x14ac:dyDescent="0.3">
      <c r="A6" s="15" t="s">
        <v>3</v>
      </c>
      <c r="B6" s="16" t="s">
        <v>0</v>
      </c>
      <c r="C6" s="17"/>
      <c r="D6" s="18"/>
      <c r="E6" s="17"/>
      <c r="F6" s="19"/>
    </row>
    <row r="7" spans="1:7" ht="123.75" x14ac:dyDescent="0.25">
      <c r="A7" s="13" t="s">
        <v>5</v>
      </c>
      <c r="B7" s="5" t="s">
        <v>6</v>
      </c>
      <c r="C7" s="1" t="s">
        <v>7</v>
      </c>
      <c r="D7" s="2">
        <v>1</v>
      </c>
      <c r="E7" s="1" t="s">
        <v>1292</v>
      </c>
      <c r="F7" s="14">
        <f>SUM(D7*E7)</f>
        <v>1500</v>
      </c>
    </row>
    <row r="8" spans="1:7" ht="45" x14ac:dyDescent="0.25">
      <c r="A8" s="13" t="s">
        <v>14</v>
      </c>
      <c r="B8" s="5" t="s">
        <v>192</v>
      </c>
      <c r="C8" s="1" t="s">
        <v>7</v>
      </c>
      <c r="D8" s="2">
        <v>1</v>
      </c>
      <c r="E8" s="1" t="s">
        <v>1293</v>
      </c>
      <c r="F8" s="14">
        <f t="shared" ref="F8:F10" si="0">SUM(D8*E8)</f>
        <v>1000</v>
      </c>
    </row>
    <row r="9" spans="1:7" ht="33.75" x14ac:dyDescent="0.25">
      <c r="A9" s="13" t="s">
        <v>193</v>
      </c>
      <c r="B9" s="5" t="s">
        <v>214</v>
      </c>
      <c r="C9" s="1" t="s">
        <v>34</v>
      </c>
      <c r="D9" s="2">
        <v>18</v>
      </c>
      <c r="E9" s="1" t="s">
        <v>1294</v>
      </c>
      <c r="F9" s="14">
        <f>SUM(D9*E9)</f>
        <v>1800</v>
      </c>
    </row>
    <row r="10" spans="1:7" ht="45.75" thickBot="1" x14ac:dyDescent="0.3">
      <c r="A10" s="13" t="s">
        <v>194</v>
      </c>
      <c r="B10" s="6" t="s">
        <v>15</v>
      </c>
      <c r="C10" s="1" t="s">
        <v>16</v>
      </c>
      <c r="D10" s="2">
        <v>640</v>
      </c>
      <c r="E10" s="1" t="s">
        <v>1296</v>
      </c>
      <c r="F10" s="14">
        <f t="shared" si="0"/>
        <v>1280</v>
      </c>
    </row>
    <row r="11" spans="1:7" ht="12" thickBot="1" x14ac:dyDescent="0.3">
      <c r="A11" s="20" t="s">
        <v>3</v>
      </c>
      <c r="B11" s="117" t="s">
        <v>271</v>
      </c>
      <c r="C11" s="117"/>
      <c r="D11" s="117"/>
      <c r="E11" s="117"/>
      <c r="F11" s="21">
        <f>SUM(F7:F10)</f>
        <v>5580</v>
      </c>
    </row>
    <row r="12" spans="1:7" ht="12" thickBot="1" x14ac:dyDescent="0.3"/>
    <row r="13" spans="1:7" s="3" customFormat="1" ht="12" thickBot="1" x14ac:dyDescent="0.3">
      <c r="A13" s="15" t="s">
        <v>4</v>
      </c>
      <c r="B13" s="16" t="s">
        <v>1</v>
      </c>
      <c r="C13" s="17"/>
      <c r="D13" s="18"/>
      <c r="E13" s="17"/>
      <c r="F13" s="19"/>
    </row>
    <row r="14" spans="1:7" s="3" customFormat="1" ht="33.75" x14ac:dyDescent="0.25">
      <c r="A14" s="22"/>
      <c r="B14" s="6" t="s">
        <v>247</v>
      </c>
      <c r="D14" s="4"/>
      <c r="F14" s="23"/>
    </row>
    <row r="15" spans="1:7" s="3" customFormat="1" ht="22.5" x14ac:dyDescent="0.25">
      <c r="A15" s="22"/>
      <c r="B15" s="6" t="s">
        <v>248</v>
      </c>
      <c r="D15" s="4"/>
      <c r="F15" s="23"/>
    </row>
    <row r="16" spans="1:7" ht="22.5" x14ac:dyDescent="0.25">
      <c r="A16" s="13" t="s">
        <v>17</v>
      </c>
      <c r="B16" s="5" t="s">
        <v>18</v>
      </c>
      <c r="C16" s="1" t="s">
        <v>19</v>
      </c>
      <c r="D16" s="2">
        <v>106.35</v>
      </c>
      <c r="E16" s="1" t="s">
        <v>1297</v>
      </c>
      <c r="F16" s="14">
        <f t="shared" ref="F16:F18" si="1">SUM(D16*E16)</f>
        <v>1488.8999999999999</v>
      </c>
    </row>
    <row r="17" spans="1:6" ht="45" x14ac:dyDescent="0.25">
      <c r="A17" s="13" t="s">
        <v>20</v>
      </c>
      <c r="B17" s="5" t="s">
        <v>1173</v>
      </c>
      <c r="C17" s="1" t="s">
        <v>19</v>
      </c>
      <c r="D17" s="2">
        <v>1935</v>
      </c>
      <c r="E17" s="1" t="s">
        <v>1297</v>
      </c>
      <c r="F17" s="14">
        <f t="shared" si="1"/>
        <v>27090</v>
      </c>
    </row>
    <row r="18" spans="1:6" x14ac:dyDescent="0.25">
      <c r="A18" s="13" t="s">
        <v>21</v>
      </c>
      <c r="B18" s="5" t="s">
        <v>22</v>
      </c>
      <c r="C18" s="1" t="s">
        <v>16</v>
      </c>
      <c r="D18" s="2">
        <v>163</v>
      </c>
      <c r="E18" s="1" t="s">
        <v>1295</v>
      </c>
      <c r="F18" s="14">
        <f t="shared" si="1"/>
        <v>815</v>
      </c>
    </row>
    <row r="19" spans="1:6" ht="45" x14ac:dyDescent="0.25">
      <c r="A19" s="13" t="s">
        <v>23</v>
      </c>
      <c r="B19" s="5" t="s">
        <v>95</v>
      </c>
      <c r="F19" s="24"/>
    </row>
    <row r="20" spans="1:6" x14ac:dyDescent="0.25">
      <c r="A20" s="13"/>
      <c r="B20" s="5" t="s">
        <v>24</v>
      </c>
      <c r="C20" s="1" t="s">
        <v>19</v>
      </c>
      <c r="D20" s="2">
        <v>58.35</v>
      </c>
      <c r="E20" s="1" t="s">
        <v>1298</v>
      </c>
      <c r="F20" s="14">
        <f t="shared" ref="F20:F27" si="2">SUM(D20*E20)</f>
        <v>1750.5</v>
      </c>
    </row>
    <row r="21" spans="1:6" ht="22.5" x14ac:dyDescent="0.25">
      <c r="A21" s="13"/>
      <c r="B21" s="5" t="s">
        <v>25</v>
      </c>
      <c r="C21" s="1" t="s">
        <v>19</v>
      </c>
      <c r="D21" s="2">
        <v>257</v>
      </c>
      <c r="E21" s="1" t="s">
        <v>1298</v>
      </c>
      <c r="F21" s="14">
        <f t="shared" si="2"/>
        <v>7710</v>
      </c>
    </row>
    <row r="22" spans="1:6" x14ac:dyDescent="0.25">
      <c r="A22" s="13"/>
      <c r="B22" s="6" t="s">
        <v>26</v>
      </c>
      <c r="C22" s="1" t="s">
        <v>19</v>
      </c>
      <c r="D22" s="2">
        <v>35</v>
      </c>
      <c r="E22" s="1" t="s">
        <v>1298</v>
      </c>
      <c r="F22" s="14">
        <f t="shared" si="2"/>
        <v>1050</v>
      </c>
    </row>
    <row r="23" spans="1:6" ht="67.5" x14ac:dyDescent="0.25">
      <c r="A23" s="13" t="s">
        <v>27</v>
      </c>
      <c r="B23" s="6" t="s">
        <v>94</v>
      </c>
      <c r="C23" s="1" t="s">
        <v>16</v>
      </c>
      <c r="D23" s="2">
        <v>163</v>
      </c>
      <c r="E23" s="1" t="s">
        <v>1300</v>
      </c>
      <c r="F23" s="14">
        <f t="shared" si="2"/>
        <v>978</v>
      </c>
    </row>
    <row r="24" spans="1:6" ht="56.25" x14ac:dyDescent="0.25">
      <c r="A24" s="13" t="s">
        <v>29</v>
      </c>
      <c r="B24" s="6" t="s">
        <v>28</v>
      </c>
      <c r="C24" s="1" t="s">
        <v>19</v>
      </c>
      <c r="D24" s="2">
        <v>100</v>
      </c>
      <c r="E24" s="1" t="s">
        <v>1301</v>
      </c>
      <c r="F24" s="14">
        <f t="shared" si="2"/>
        <v>1000</v>
      </c>
    </row>
    <row r="25" spans="1:6" ht="33.75" x14ac:dyDescent="0.25">
      <c r="A25" s="13" t="s">
        <v>31</v>
      </c>
      <c r="B25" s="6" t="s">
        <v>30</v>
      </c>
      <c r="C25" s="1" t="s">
        <v>19</v>
      </c>
      <c r="D25" s="2">
        <v>1941.35</v>
      </c>
      <c r="E25" s="1" t="s">
        <v>253</v>
      </c>
      <c r="F25" s="14">
        <f t="shared" si="2"/>
        <v>0</v>
      </c>
    </row>
    <row r="26" spans="1:6" ht="33.75" x14ac:dyDescent="0.25">
      <c r="A26" s="13" t="s">
        <v>33</v>
      </c>
      <c r="B26" s="6" t="s">
        <v>222</v>
      </c>
      <c r="C26" s="1" t="s">
        <v>7</v>
      </c>
      <c r="D26" s="2">
        <v>1</v>
      </c>
      <c r="E26" s="1" t="s">
        <v>1293</v>
      </c>
      <c r="F26" s="14">
        <f t="shared" si="2"/>
        <v>1000</v>
      </c>
    </row>
    <row r="27" spans="1:6" ht="57" thickBot="1" x14ac:dyDescent="0.3">
      <c r="A27" s="13" t="s">
        <v>93</v>
      </c>
      <c r="B27" s="6" t="s">
        <v>32</v>
      </c>
      <c r="C27" s="1" t="s">
        <v>34</v>
      </c>
      <c r="D27" s="2">
        <v>52</v>
      </c>
      <c r="E27" s="1" t="s">
        <v>1298</v>
      </c>
      <c r="F27" s="14">
        <f t="shared" si="2"/>
        <v>1560</v>
      </c>
    </row>
    <row r="28" spans="1:6" ht="12" thickBot="1" x14ac:dyDescent="0.3">
      <c r="A28" s="20" t="s">
        <v>4</v>
      </c>
      <c r="B28" s="117" t="s">
        <v>1</v>
      </c>
      <c r="C28" s="117"/>
      <c r="D28" s="117"/>
      <c r="E28" s="117"/>
      <c r="F28" s="21">
        <f>SUM(F16:F27)</f>
        <v>44442.400000000001</v>
      </c>
    </row>
    <row r="29" spans="1:6" ht="12" thickBot="1" x14ac:dyDescent="0.3"/>
    <row r="30" spans="1:6" s="3" customFormat="1" ht="12" thickBot="1" x14ac:dyDescent="0.3">
      <c r="A30" s="15" t="s">
        <v>36</v>
      </c>
      <c r="B30" s="16" t="s">
        <v>2</v>
      </c>
      <c r="C30" s="17"/>
      <c r="D30" s="18"/>
      <c r="E30" s="17"/>
      <c r="F30" s="19"/>
    </row>
    <row r="31" spans="1:6" s="3" customFormat="1" ht="33.75" x14ac:dyDescent="0.25">
      <c r="A31" s="22"/>
      <c r="B31" s="6" t="s">
        <v>249</v>
      </c>
      <c r="D31" s="4"/>
      <c r="F31" s="23"/>
    </row>
    <row r="32" spans="1:6" s="3" customFormat="1" x14ac:dyDescent="0.25">
      <c r="A32" s="22"/>
      <c r="B32" s="6" t="s">
        <v>250</v>
      </c>
      <c r="D32" s="4"/>
      <c r="F32" s="23"/>
    </row>
    <row r="33" spans="1:6" s="3" customFormat="1" ht="112.5" x14ac:dyDescent="0.25">
      <c r="A33" s="22"/>
      <c r="B33" s="6" t="s">
        <v>246</v>
      </c>
      <c r="D33" s="4"/>
      <c r="F33" s="23"/>
    </row>
    <row r="34" spans="1:6" ht="45" x14ac:dyDescent="0.25">
      <c r="A34" s="13" t="s">
        <v>91</v>
      </c>
      <c r="B34" s="5" t="s">
        <v>35</v>
      </c>
      <c r="C34" s="1" t="s">
        <v>16</v>
      </c>
      <c r="D34" s="2">
        <v>145.79</v>
      </c>
      <c r="E34" s="1" t="s">
        <v>1302</v>
      </c>
      <c r="F34" s="14">
        <f>SUM(D34*E34)</f>
        <v>2915.7999999999997</v>
      </c>
    </row>
    <row r="35" spans="1:6" ht="33.75" x14ac:dyDescent="0.25">
      <c r="A35" s="13" t="s">
        <v>90</v>
      </c>
      <c r="B35" s="5" t="s">
        <v>1174</v>
      </c>
      <c r="F35" s="24"/>
    </row>
    <row r="36" spans="1:6" ht="45" x14ac:dyDescent="0.25">
      <c r="A36" s="13"/>
      <c r="B36" s="6" t="s">
        <v>39</v>
      </c>
      <c r="C36" s="1" t="s">
        <v>19</v>
      </c>
      <c r="D36" s="2">
        <v>65.540000000000006</v>
      </c>
      <c r="E36" s="1" t="s">
        <v>1303</v>
      </c>
      <c r="F36" s="14">
        <f>SUM(D36*E36)</f>
        <v>9831.0000000000018</v>
      </c>
    </row>
    <row r="37" spans="1:6" x14ac:dyDescent="0.25">
      <c r="A37" s="13"/>
      <c r="B37" s="6" t="s">
        <v>38</v>
      </c>
      <c r="C37" s="1" t="s">
        <v>16</v>
      </c>
      <c r="D37" s="2">
        <v>50.16</v>
      </c>
      <c r="E37" s="1" t="s">
        <v>1304</v>
      </c>
      <c r="F37" s="14">
        <f t="shared" ref="F37:F38" si="3">SUM(D37*E37)</f>
        <v>1254</v>
      </c>
    </row>
    <row r="38" spans="1:6" ht="45" x14ac:dyDescent="0.25">
      <c r="A38" s="13"/>
      <c r="B38" s="6" t="s">
        <v>215</v>
      </c>
      <c r="C38" s="1" t="s">
        <v>19</v>
      </c>
      <c r="D38" s="2">
        <v>65.540000000000006</v>
      </c>
      <c r="E38" s="1" t="s">
        <v>1295</v>
      </c>
      <c r="F38" s="14">
        <f t="shared" si="3"/>
        <v>327.70000000000005</v>
      </c>
    </row>
    <row r="39" spans="1:6" x14ac:dyDescent="0.25">
      <c r="A39" s="13" t="s">
        <v>89</v>
      </c>
      <c r="B39" s="5" t="s">
        <v>229</v>
      </c>
      <c r="F39" s="24"/>
    </row>
    <row r="40" spans="1:6" ht="22.5" x14ac:dyDescent="0.25">
      <c r="A40" s="13"/>
      <c r="B40" s="5" t="s">
        <v>230</v>
      </c>
      <c r="C40" s="1" t="s">
        <v>19</v>
      </c>
      <c r="D40" s="2">
        <v>49.72</v>
      </c>
      <c r="E40" s="1" t="s">
        <v>1303</v>
      </c>
      <c r="F40" s="14">
        <f t="shared" ref="F40:F41" si="4">SUM(D40*E40)</f>
        <v>7458</v>
      </c>
    </row>
    <row r="41" spans="1:6" ht="22.5" x14ac:dyDescent="0.25">
      <c r="A41" s="13"/>
      <c r="B41" s="5" t="s">
        <v>189</v>
      </c>
      <c r="C41" s="1" t="s">
        <v>16</v>
      </c>
      <c r="D41" s="2">
        <v>62.47</v>
      </c>
      <c r="E41" s="1" t="s">
        <v>1304</v>
      </c>
      <c r="F41" s="14">
        <f t="shared" si="4"/>
        <v>1561.75</v>
      </c>
    </row>
    <row r="42" spans="1:6" ht="33.75" x14ac:dyDescent="0.25">
      <c r="A42" s="13" t="s">
        <v>88</v>
      </c>
      <c r="B42" s="5" t="s">
        <v>1175</v>
      </c>
      <c r="F42" s="24"/>
    </row>
    <row r="43" spans="1:6" ht="45" x14ac:dyDescent="0.25">
      <c r="A43" s="13"/>
      <c r="B43" s="6" t="s">
        <v>1176</v>
      </c>
      <c r="C43" s="1" t="s">
        <v>19</v>
      </c>
      <c r="D43" s="2">
        <v>8.49</v>
      </c>
      <c r="E43" s="1" t="s">
        <v>1303</v>
      </c>
      <c r="F43" s="14">
        <f t="shared" ref="F43:F44" si="5">SUM(D43*E43)</f>
        <v>1273.5</v>
      </c>
    </row>
    <row r="44" spans="1:6" x14ac:dyDescent="0.25">
      <c r="A44" s="13"/>
      <c r="B44" s="6" t="s">
        <v>1177</v>
      </c>
      <c r="C44" s="1" t="s">
        <v>16</v>
      </c>
      <c r="D44" s="2">
        <v>12.15</v>
      </c>
      <c r="E44" s="1" t="s">
        <v>1304</v>
      </c>
      <c r="F44" s="14">
        <f t="shared" si="5"/>
        <v>303.75</v>
      </c>
    </row>
    <row r="45" spans="1:6" x14ac:dyDescent="0.25">
      <c r="A45" s="13" t="s">
        <v>87</v>
      </c>
      <c r="B45" s="5" t="s">
        <v>1178</v>
      </c>
      <c r="F45" s="24"/>
    </row>
    <row r="46" spans="1:6" ht="33.75" x14ac:dyDescent="0.25">
      <c r="A46" s="13"/>
      <c r="B46" s="5" t="s">
        <v>40</v>
      </c>
      <c r="C46" s="1" t="s">
        <v>19</v>
      </c>
      <c r="D46" s="2">
        <v>102.93</v>
      </c>
      <c r="E46" s="1" t="s">
        <v>1303</v>
      </c>
      <c r="F46" s="14">
        <f t="shared" ref="F46:F47" si="6">SUM(D46*E46)</f>
        <v>15439.500000000002</v>
      </c>
    </row>
    <row r="47" spans="1:6" ht="22.5" x14ac:dyDescent="0.25">
      <c r="A47" s="13"/>
      <c r="B47" s="5" t="s">
        <v>41</v>
      </c>
      <c r="C47" s="1" t="s">
        <v>16</v>
      </c>
      <c r="D47" s="2">
        <v>471.03</v>
      </c>
      <c r="E47" s="1" t="s">
        <v>1304</v>
      </c>
      <c r="F47" s="14">
        <f t="shared" si="6"/>
        <v>11775.75</v>
      </c>
    </row>
    <row r="48" spans="1:6" x14ac:dyDescent="0.25">
      <c r="A48" s="13" t="s">
        <v>86</v>
      </c>
      <c r="B48" s="5" t="s">
        <v>1179</v>
      </c>
      <c r="F48" s="24"/>
    </row>
    <row r="49" spans="1:6" ht="33.75" x14ac:dyDescent="0.25">
      <c r="A49" s="13"/>
      <c r="B49" s="6" t="s">
        <v>1180</v>
      </c>
      <c r="C49" s="1" t="s">
        <v>19</v>
      </c>
      <c r="D49" s="2">
        <v>16.420000000000002</v>
      </c>
      <c r="E49" s="1" t="s">
        <v>1303</v>
      </c>
      <c r="F49" s="14">
        <f t="shared" ref="F49:F51" si="7">SUM(D49*E49)</f>
        <v>2463.0000000000005</v>
      </c>
    </row>
    <row r="50" spans="1:6" ht="22.5" x14ac:dyDescent="0.25">
      <c r="A50" s="13"/>
      <c r="B50" s="6" t="s">
        <v>1181</v>
      </c>
      <c r="C50" s="1" t="s">
        <v>16</v>
      </c>
      <c r="D50" s="2">
        <v>82.06</v>
      </c>
      <c r="E50" s="1" t="s">
        <v>1304</v>
      </c>
      <c r="F50" s="14">
        <f t="shared" si="7"/>
        <v>2051.5</v>
      </c>
    </row>
    <row r="51" spans="1:6" ht="45" x14ac:dyDescent="0.25">
      <c r="A51" s="13"/>
      <c r="B51" s="6" t="s">
        <v>215</v>
      </c>
      <c r="C51" s="1" t="s">
        <v>19</v>
      </c>
      <c r="D51" s="2">
        <v>16.420000000000002</v>
      </c>
      <c r="E51" s="1" t="s">
        <v>1295</v>
      </c>
      <c r="F51" s="14">
        <f t="shared" si="7"/>
        <v>82.100000000000009</v>
      </c>
    </row>
    <row r="52" spans="1:6" x14ac:dyDescent="0.25">
      <c r="A52" s="13" t="s">
        <v>85</v>
      </c>
      <c r="B52" s="5" t="s">
        <v>1182</v>
      </c>
      <c r="F52" s="24"/>
    </row>
    <row r="53" spans="1:6" ht="33.75" x14ac:dyDescent="0.25">
      <c r="A53" s="13"/>
      <c r="B53" s="6" t="s">
        <v>1183</v>
      </c>
      <c r="C53" s="1" t="s">
        <v>19</v>
      </c>
      <c r="D53" s="2">
        <v>13.84</v>
      </c>
      <c r="E53" s="1" t="s">
        <v>1303</v>
      </c>
      <c r="F53" s="14">
        <f t="shared" ref="F53:F55" si="8">SUM(D53*E53)</f>
        <v>2076</v>
      </c>
    </row>
    <row r="54" spans="1:6" ht="22.5" x14ac:dyDescent="0.25">
      <c r="A54" s="13"/>
      <c r="B54" s="6" t="s">
        <v>1184</v>
      </c>
      <c r="C54" s="1" t="s">
        <v>16</v>
      </c>
      <c r="D54" s="2">
        <v>110.72</v>
      </c>
      <c r="E54" s="1" t="s">
        <v>1304</v>
      </c>
      <c r="F54" s="14">
        <f t="shared" si="8"/>
        <v>2768</v>
      </c>
    </row>
    <row r="55" spans="1:6" ht="45" x14ac:dyDescent="0.25">
      <c r="A55" s="13"/>
      <c r="B55" s="6" t="s">
        <v>215</v>
      </c>
      <c r="C55" s="1" t="s">
        <v>19</v>
      </c>
      <c r="D55" s="2">
        <v>13.84</v>
      </c>
      <c r="E55" s="1" t="s">
        <v>1295</v>
      </c>
      <c r="F55" s="14">
        <f t="shared" si="8"/>
        <v>69.2</v>
      </c>
    </row>
    <row r="56" spans="1:6" x14ac:dyDescent="0.25">
      <c r="A56" s="13" t="s">
        <v>84</v>
      </c>
      <c r="B56" s="5" t="s">
        <v>1185</v>
      </c>
      <c r="F56" s="24"/>
    </row>
    <row r="57" spans="1:6" ht="33.75" x14ac:dyDescent="0.25">
      <c r="A57" s="13"/>
      <c r="B57" s="6" t="s">
        <v>1186</v>
      </c>
      <c r="C57" s="1" t="s">
        <v>19</v>
      </c>
      <c r="D57" s="2">
        <v>1.2</v>
      </c>
      <c r="E57" s="1" t="s">
        <v>1303</v>
      </c>
      <c r="F57" s="14">
        <f t="shared" ref="F57:F58" si="9">SUM(D57*E57)</f>
        <v>180</v>
      </c>
    </row>
    <row r="58" spans="1:6" ht="22.5" x14ac:dyDescent="0.25">
      <c r="A58" s="13"/>
      <c r="B58" s="6" t="s">
        <v>1187</v>
      </c>
      <c r="C58" s="1" t="s">
        <v>16</v>
      </c>
      <c r="D58" s="2">
        <v>15.12</v>
      </c>
      <c r="E58" s="1" t="s">
        <v>1304</v>
      </c>
      <c r="F58" s="14">
        <f t="shared" si="9"/>
        <v>378</v>
      </c>
    </row>
    <row r="59" spans="1:6" x14ac:dyDescent="0.25">
      <c r="A59" s="13" t="s">
        <v>83</v>
      </c>
      <c r="B59" s="5" t="s">
        <v>188</v>
      </c>
      <c r="F59" s="24"/>
    </row>
    <row r="60" spans="1:6" ht="33.75" x14ac:dyDescent="0.25">
      <c r="A60" s="13"/>
      <c r="B60" s="6" t="s">
        <v>42</v>
      </c>
      <c r="C60" s="1" t="s">
        <v>19</v>
      </c>
      <c r="D60" s="2">
        <v>26.65</v>
      </c>
      <c r="E60" s="1" t="s">
        <v>1303</v>
      </c>
      <c r="F60" s="14">
        <f t="shared" ref="F60:F61" si="10">SUM(D60*E60)</f>
        <v>3997.5</v>
      </c>
    </row>
    <row r="61" spans="1:6" ht="22.5" x14ac:dyDescent="0.25">
      <c r="A61" s="13"/>
      <c r="B61" s="6" t="s">
        <v>43</v>
      </c>
      <c r="C61" s="1" t="s">
        <v>16</v>
      </c>
      <c r="D61" s="2">
        <v>266.45</v>
      </c>
      <c r="E61" s="1" t="s">
        <v>1304</v>
      </c>
      <c r="F61" s="14">
        <f t="shared" si="10"/>
        <v>6661.25</v>
      </c>
    </row>
    <row r="62" spans="1:6" x14ac:dyDescent="0.25">
      <c r="A62" s="13" t="s">
        <v>82</v>
      </c>
      <c r="B62" s="5" t="s">
        <v>1188</v>
      </c>
      <c r="F62" s="24"/>
    </row>
    <row r="63" spans="1:6" ht="33.75" x14ac:dyDescent="0.25">
      <c r="A63" s="13"/>
      <c r="B63" s="6" t="s">
        <v>1189</v>
      </c>
      <c r="C63" s="1" t="s">
        <v>19</v>
      </c>
      <c r="D63" s="2">
        <v>50.28</v>
      </c>
      <c r="E63" s="1" t="s">
        <v>1303</v>
      </c>
      <c r="F63" s="14">
        <f t="shared" ref="F63:F64" si="11">SUM(D63*E63)</f>
        <v>7542</v>
      </c>
    </row>
    <row r="64" spans="1:6" ht="22.5" x14ac:dyDescent="0.25">
      <c r="A64" s="13"/>
      <c r="B64" s="6" t="s">
        <v>1184</v>
      </c>
      <c r="C64" s="1" t="s">
        <v>16</v>
      </c>
      <c r="D64" s="2">
        <v>402.25</v>
      </c>
      <c r="E64" s="1" t="s">
        <v>1304</v>
      </c>
      <c r="F64" s="14">
        <f t="shared" si="11"/>
        <v>10056.25</v>
      </c>
    </row>
    <row r="65" spans="1:6" x14ac:dyDescent="0.25">
      <c r="A65" s="13" t="s">
        <v>81</v>
      </c>
      <c r="B65" s="5" t="s">
        <v>1194</v>
      </c>
      <c r="F65" s="24"/>
    </row>
    <row r="66" spans="1:6" ht="22.5" x14ac:dyDescent="0.25">
      <c r="A66" s="13"/>
      <c r="B66" s="5" t="s">
        <v>190</v>
      </c>
      <c r="C66" s="1" t="s">
        <v>19</v>
      </c>
      <c r="D66" s="2">
        <v>4.6100000000000003</v>
      </c>
      <c r="E66" s="1" t="s">
        <v>1303</v>
      </c>
      <c r="F66" s="14">
        <f t="shared" ref="F66:F67" si="12">SUM(D66*E66)</f>
        <v>691.5</v>
      </c>
    </row>
    <row r="67" spans="1:6" ht="22.5" x14ac:dyDescent="0.25">
      <c r="A67" s="13"/>
      <c r="B67" s="5" t="s">
        <v>191</v>
      </c>
      <c r="C67" s="1" t="s">
        <v>16</v>
      </c>
      <c r="D67" s="2">
        <v>46.38</v>
      </c>
      <c r="E67" s="1" t="s">
        <v>1304</v>
      </c>
      <c r="F67" s="14">
        <f t="shared" si="12"/>
        <v>1159.5</v>
      </c>
    </row>
    <row r="68" spans="1:6" x14ac:dyDescent="0.25">
      <c r="A68" s="13" t="s">
        <v>80</v>
      </c>
      <c r="B68" s="5" t="s">
        <v>1195</v>
      </c>
      <c r="F68" s="24"/>
    </row>
    <row r="69" spans="1:6" ht="22.5" x14ac:dyDescent="0.25">
      <c r="A69" s="13"/>
      <c r="B69" s="5" t="s">
        <v>190</v>
      </c>
      <c r="C69" s="1" t="s">
        <v>19</v>
      </c>
      <c r="D69" s="2">
        <v>101.91</v>
      </c>
      <c r="E69" s="1" t="s">
        <v>1303</v>
      </c>
      <c r="F69" s="14">
        <f t="shared" ref="F69:F70" si="13">SUM(D69*E69)</f>
        <v>15286.5</v>
      </c>
    </row>
    <row r="70" spans="1:6" ht="22.5" x14ac:dyDescent="0.25">
      <c r="A70" s="13"/>
      <c r="B70" s="5" t="s">
        <v>191</v>
      </c>
      <c r="C70" s="1" t="s">
        <v>16</v>
      </c>
      <c r="D70" s="2">
        <v>857.11</v>
      </c>
      <c r="E70" s="1" t="s">
        <v>1304</v>
      </c>
      <c r="F70" s="14">
        <f t="shared" si="13"/>
        <v>21427.75</v>
      </c>
    </row>
    <row r="71" spans="1:6" x14ac:dyDescent="0.25">
      <c r="A71" s="13" t="s">
        <v>79</v>
      </c>
      <c r="B71" s="5" t="s">
        <v>1190</v>
      </c>
      <c r="F71" s="24"/>
    </row>
    <row r="72" spans="1:6" ht="22.5" x14ac:dyDescent="0.25">
      <c r="A72" s="13"/>
      <c r="B72" s="6" t="s">
        <v>44</v>
      </c>
      <c r="C72" s="1" t="s">
        <v>19</v>
      </c>
      <c r="D72" s="2">
        <v>2.15</v>
      </c>
      <c r="E72" s="1" t="s">
        <v>1303</v>
      </c>
      <c r="F72" s="14">
        <f t="shared" ref="F72:F73" si="14">SUM(D72*E72)</f>
        <v>322.5</v>
      </c>
    </row>
    <row r="73" spans="1:6" x14ac:dyDescent="0.25">
      <c r="A73" s="13"/>
      <c r="B73" s="6" t="s">
        <v>45</v>
      </c>
      <c r="C73" s="1" t="s">
        <v>16</v>
      </c>
      <c r="D73" s="2">
        <v>25.45</v>
      </c>
      <c r="E73" s="1" t="s">
        <v>1304</v>
      </c>
      <c r="F73" s="14">
        <f t="shared" si="14"/>
        <v>636.25</v>
      </c>
    </row>
    <row r="74" spans="1:6" x14ac:dyDescent="0.25">
      <c r="A74" s="13" t="s">
        <v>134</v>
      </c>
      <c r="B74" s="5" t="s">
        <v>1191</v>
      </c>
      <c r="F74" s="24"/>
    </row>
    <row r="75" spans="1:6" ht="33.75" x14ac:dyDescent="0.25">
      <c r="A75" s="13"/>
      <c r="B75" s="6" t="s">
        <v>42</v>
      </c>
      <c r="C75" s="1" t="s">
        <v>19</v>
      </c>
      <c r="D75" s="2">
        <v>11.09</v>
      </c>
      <c r="E75" s="1" t="s">
        <v>1303</v>
      </c>
      <c r="F75" s="14">
        <f t="shared" ref="F75:F76" si="15">SUM(D75*E75)</f>
        <v>1663.5</v>
      </c>
    </row>
    <row r="76" spans="1:6" ht="22.5" x14ac:dyDescent="0.25">
      <c r="A76" s="13"/>
      <c r="B76" s="6" t="s">
        <v>46</v>
      </c>
      <c r="C76" s="1" t="s">
        <v>16</v>
      </c>
      <c r="D76" s="2">
        <v>110.96</v>
      </c>
      <c r="E76" s="1" t="s">
        <v>1304</v>
      </c>
      <c r="F76" s="14">
        <f t="shared" si="15"/>
        <v>2774</v>
      </c>
    </row>
    <row r="77" spans="1:6" x14ac:dyDescent="0.25">
      <c r="A77" s="13" t="s">
        <v>1196</v>
      </c>
      <c r="B77" s="5" t="s">
        <v>47</v>
      </c>
      <c r="F77" s="24"/>
    </row>
    <row r="78" spans="1:6" ht="22.5" x14ac:dyDescent="0.25">
      <c r="A78" s="13"/>
      <c r="B78" s="6" t="s">
        <v>48</v>
      </c>
      <c r="C78" s="1" t="s">
        <v>19</v>
      </c>
      <c r="D78" s="2">
        <v>3.15</v>
      </c>
      <c r="E78" s="1" t="s">
        <v>1305</v>
      </c>
      <c r="F78" s="14">
        <f t="shared" ref="F78:F79" si="16">SUM(D78*E78)</f>
        <v>535.5</v>
      </c>
    </row>
    <row r="79" spans="1:6" ht="22.5" x14ac:dyDescent="0.25">
      <c r="A79" s="13"/>
      <c r="B79" s="6" t="s">
        <v>49</v>
      </c>
      <c r="C79" s="1" t="s">
        <v>16</v>
      </c>
      <c r="D79" s="2">
        <v>32.89</v>
      </c>
      <c r="E79" s="1" t="s">
        <v>1306</v>
      </c>
      <c r="F79" s="14">
        <f t="shared" si="16"/>
        <v>1151.1500000000001</v>
      </c>
    </row>
    <row r="80" spans="1:6" x14ac:dyDescent="0.25">
      <c r="A80" s="13" t="s">
        <v>1197</v>
      </c>
      <c r="B80" s="5" t="s">
        <v>1192</v>
      </c>
      <c r="F80" s="24"/>
    </row>
    <row r="81" spans="1:6" ht="22.5" x14ac:dyDescent="0.25">
      <c r="A81" s="13"/>
      <c r="B81" s="6" t="s">
        <v>1193</v>
      </c>
      <c r="C81" s="1" t="s">
        <v>19</v>
      </c>
      <c r="D81" s="2">
        <v>4.5</v>
      </c>
      <c r="E81" s="1" t="s">
        <v>1303</v>
      </c>
      <c r="F81" s="14">
        <f t="shared" ref="F81:F82" si="17">SUM(D81*E81)</f>
        <v>675</v>
      </c>
    </row>
    <row r="82" spans="1:6" ht="22.5" x14ac:dyDescent="0.25">
      <c r="A82" s="13"/>
      <c r="B82" s="6" t="s">
        <v>49</v>
      </c>
      <c r="C82" s="1" t="s">
        <v>16</v>
      </c>
      <c r="D82" s="2">
        <v>74</v>
      </c>
      <c r="E82" s="1" t="s">
        <v>1304</v>
      </c>
      <c r="F82" s="14">
        <f t="shared" si="17"/>
        <v>1850</v>
      </c>
    </row>
    <row r="83" spans="1:6" x14ac:dyDescent="0.25">
      <c r="A83" s="13" t="s">
        <v>1198</v>
      </c>
      <c r="B83" s="5" t="s">
        <v>50</v>
      </c>
      <c r="F83" s="24"/>
    </row>
    <row r="84" spans="1:6" ht="56.25" x14ac:dyDescent="0.25">
      <c r="A84" s="13"/>
      <c r="B84" s="6" t="s">
        <v>51</v>
      </c>
      <c r="C84" s="1" t="s">
        <v>54</v>
      </c>
      <c r="D84" s="2">
        <v>36000</v>
      </c>
      <c r="E84" s="1" t="s">
        <v>1308</v>
      </c>
      <c r="F84" s="14">
        <f>SUM(D84*E84)</f>
        <v>68400</v>
      </c>
    </row>
    <row r="85" spans="1:6" ht="57" thickBot="1" x14ac:dyDescent="0.3">
      <c r="A85" s="13"/>
      <c r="B85" s="6" t="s">
        <v>52</v>
      </c>
      <c r="C85" s="1" t="s">
        <v>54</v>
      </c>
      <c r="D85" s="2">
        <v>0</v>
      </c>
      <c r="E85" s="1" t="s">
        <v>1307</v>
      </c>
      <c r="F85" s="14">
        <f t="shared" ref="F85" si="18">SUM(D85*E85)</f>
        <v>0</v>
      </c>
    </row>
    <row r="86" spans="1:6" ht="12" thickBot="1" x14ac:dyDescent="0.3">
      <c r="A86" s="20" t="s">
        <v>36</v>
      </c>
      <c r="B86" s="117" t="s">
        <v>270</v>
      </c>
      <c r="C86" s="117"/>
      <c r="D86" s="117"/>
      <c r="E86" s="117"/>
      <c r="F86" s="21">
        <f>SUM(F34:F85)</f>
        <v>207038.69999999998</v>
      </c>
    </row>
    <row r="87" spans="1:6" ht="12" thickBot="1" x14ac:dyDescent="0.3"/>
    <row r="88" spans="1:6" s="3" customFormat="1" ht="12" thickBot="1" x14ac:dyDescent="0.3">
      <c r="A88" s="15" t="s">
        <v>37</v>
      </c>
      <c r="B88" s="16" t="s">
        <v>55</v>
      </c>
      <c r="C88" s="17"/>
      <c r="D88" s="18"/>
      <c r="E88" s="17"/>
      <c r="F88" s="19"/>
    </row>
    <row r="89" spans="1:6" ht="33.75" x14ac:dyDescent="0.25">
      <c r="A89" s="13" t="s">
        <v>78</v>
      </c>
      <c r="B89" s="5" t="s">
        <v>1199</v>
      </c>
      <c r="C89" s="1" t="s">
        <v>19</v>
      </c>
      <c r="D89" s="2">
        <v>6.05</v>
      </c>
      <c r="E89" s="1" t="s">
        <v>1309</v>
      </c>
      <c r="F89" s="14">
        <f t="shared" ref="F89:F90" si="19">SUM(D89*E89)</f>
        <v>1512.5</v>
      </c>
    </row>
    <row r="90" spans="1:6" x14ac:dyDescent="0.25">
      <c r="A90" s="13" t="s">
        <v>77</v>
      </c>
      <c r="B90" s="6" t="s">
        <v>1200</v>
      </c>
      <c r="C90" s="1" t="s">
        <v>16</v>
      </c>
      <c r="D90" s="2">
        <v>35.35</v>
      </c>
      <c r="E90" s="1" t="s">
        <v>253</v>
      </c>
      <c r="F90" s="14">
        <f t="shared" si="19"/>
        <v>0</v>
      </c>
    </row>
    <row r="91" spans="1:6" ht="56.25" x14ac:dyDescent="0.25">
      <c r="A91" s="13"/>
      <c r="B91" s="6" t="s">
        <v>1172</v>
      </c>
      <c r="F91" s="14"/>
    </row>
    <row r="92" spans="1:6" ht="22.5" x14ac:dyDescent="0.25">
      <c r="A92" s="13"/>
      <c r="B92" s="6" t="s">
        <v>1201</v>
      </c>
      <c r="F92" s="14"/>
    </row>
    <row r="93" spans="1:6" x14ac:dyDescent="0.25">
      <c r="A93" s="13" t="s">
        <v>76</v>
      </c>
      <c r="B93" s="6" t="s">
        <v>1202</v>
      </c>
      <c r="C93" s="1" t="s">
        <v>16</v>
      </c>
      <c r="D93" s="2">
        <v>14.72</v>
      </c>
      <c r="E93" s="1" t="s">
        <v>1304</v>
      </c>
      <c r="F93" s="14">
        <f t="shared" ref="F93" si="20">SUM(D93*E93)</f>
        <v>368</v>
      </c>
    </row>
    <row r="94" spans="1:6" ht="56.25" x14ac:dyDescent="0.25">
      <c r="A94" s="13"/>
      <c r="B94" s="6" t="s">
        <v>1172</v>
      </c>
      <c r="F94" s="14"/>
    </row>
    <row r="95" spans="1:6" ht="22.5" x14ac:dyDescent="0.25">
      <c r="A95" s="13"/>
      <c r="B95" s="6" t="s">
        <v>1203</v>
      </c>
      <c r="F95" s="14"/>
    </row>
    <row r="96" spans="1:6" x14ac:dyDescent="0.25">
      <c r="A96" s="13" t="s">
        <v>75</v>
      </c>
      <c r="B96" s="6" t="s">
        <v>1204</v>
      </c>
      <c r="C96" s="1" t="s">
        <v>16</v>
      </c>
      <c r="D96" s="2">
        <v>233.51</v>
      </c>
      <c r="E96" s="1" t="s">
        <v>1304</v>
      </c>
      <c r="F96" s="14">
        <f t="shared" ref="F96" si="21">SUM(D96*E96)</f>
        <v>5837.75</v>
      </c>
    </row>
    <row r="97" spans="1:6" ht="56.25" x14ac:dyDescent="0.25">
      <c r="A97" s="13"/>
      <c r="B97" s="6" t="s">
        <v>1205</v>
      </c>
      <c r="F97" s="14"/>
    </row>
    <row r="98" spans="1:6" ht="22.5" x14ac:dyDescent="0.25">
      <c r="A98" s="13"/>
      <c r="B98" s="6" t="s">
        <v>200</v>
      </c>
      <c r="F98" s="14"/>
    </row>
    <row r="99" spans="1:6" x14ac:dyDescent="0.25">
      <c r="A99" s="13" t="s">
        <v>74</v>
      </c>
      <c r="B99" s="6" t="s">
        <v>1206</v>
      </c>
      <c r="C99" s="1" t="s">
        <v>16</v>
      </c>
      <c r="D99" s="2">
        <v>66.77</v>
      </c>
      <c r="E99" s="1" t="s">
        <v>1304</v>
      </c>
      <c r="F99" s="14">
        <f>SUM(D99*E99)</f>
        <v>1669.25</v>
      </c>
    </row>
    <row r="100" spans="1:6" ht="22.5" x14ac:dyDescent="0.25">
      <c r="A100" s="13"/>
      <c r="B100" s="6" t="s">
        <v>1208</v>
      </c>
      <c r="F100" s="14"/>
    </row>
    <row r="101" spans="1:6" ht="56.25" x14ac:dyDescent="0.25">
      <c r="A101" s="13"/>
      <c r="B101" s="6" t="s">
        <v>1207</v>
      </c>
      <c r="F101" s="14"/>
    </row>
    <row r="102" spans="1:6" ht="22.5" x14ac:dyDescent="0.25">
      <c r="A102" s="13" t="s">
        <v>73</v>
      </c>
      <c r="B102" s="5" t="s">
        <v>59</v>
      </c>
      <c r="F102" s="24"/>
    </row>
    <row r="103" spans="1:6" x14ac:dyDescent="0.25">
      <c r="A103" s="13"/>
      <c r="B103" s="5" t="s">
        <v>60</v>
      </c>
      <c r="C103" s="1" t="s">
        <v>16</v>
      </c>
      <c r="D103" s="2">
        <v>274.48</v>
      </c>
      <c r="E103" s="1" t="s">
        <v>1302</v>
      </c>
      <c r="F103" s="14">
        <f t="shared" ref="F103:F104" si="22">SUM(D103*E103)</f>
        <v>5489.6</v>
      </c>
    </row>
    <row r="104" spans="1:6" x14ac:dyDescent="0.25">
      <c r="A104" s="13"/>
      <c r="B104" s="5" t="s">
        <v>61</v>
      </c>
      <c r="C104" s="1" t="s">
        <v>16</v>
      </c>
      <c r="D104" s="2">
        <v>318.02999999999997</v>
      </c>
      <c r="E104" s="1" t="s">
        <v>1302</v>
      </c>
      <c r="F104" s="14">
        <f t="shared" si="22"/>
        <v>6360.5999999999995</v>
      </c>
    </row>
    <row r="105" spans="1:6" ht="22.5" x14ac:dyDescent="0.25">
      <c r="A105" s="13" t="s">
        <v>72</v>
      </c>
      <c r="B105" s="5" t="s">
        <v>62</v>
      </c>
      <c r="F105" s="24"/>
    </row>
    <row r="106" spans="1:6" x14ac:dyDescent="0.25">
      <c r="A106" s="13"/>
      <c r="B106" s="5" t="s">
        <v>60</v>
      </c>
      <c r="C106" s="1" t="s">
        <v>16</v>
      </c>
      <c r="D106" s="2">
        <v>23.78</v>
      </c>
      <c r="E106" s="1" t="s">
        <v>1302</v>
      </c>
      <c r="F106" s="14">
        <f t="shared" ref="F106" si="23">SUM(D106*E106)</f>
        <v>475.6</v>
      </c>
    </row>
    <row r="107" spans="1:6" x14ac:dyDescent="0.25">
      <c r="A107" s="13"/>
      <c r="B107" s="5" t="s">
        <v>61</v>
      </c>
      <c r="C107" s="1" t="s">
        <v>16</v>
      </c>
      <c r="D107" s="2">
        <v>114.55</v>
      </c>
      <c r="E107" s="1" t="s">
        <v>1302</v>
      </c>
      <c r="F107" s="14">
        <f t="shared" ref="F107:F109" si="24">SUM(D107*E107)</f>
        <v>2291</v>
      </c>
    </row>
    <row r="108" spans="1:6" ht="56.25" x14ac:dyDescent="0.25">
      <c r="A108" s="13" t="s">
        <v>71</v>
      </c>
      <c r="B108" s="5" t="s">
        <v>63</v>
      </c>
      <c r="C108" s="1" t="s">
        <v>34</v>
      </c>
      <c r="D108" s="2">
        <v>75</v>
      </c>
      <c r="E108" s="1" t="s">
        <v>1310</v>
      </c>
      <c r="F108" s="14">
        <f t="shared" si="24"/>
        <v>1125</v>
      </c>
    </row>
    <row r="109" spans="1:6" ht="67.5" x14ac:dyDescent="0.25">
      <c r="A109" s="13" t="s">
        <v>204</v>
      </c>
      <c r="B109" s="5" t="s">
        <v>64</v>
      </c>
      <c r="C109" s="1" t="s">
        <v>34</v>
      </c>
      <c r="D109" s="2">
        <v>75</v>
      </c>
      <c r="E109" s="1" t="s">
        <v>1310</v>
      </c>
      <c r="F109" s="14">
        <f t="shared" si="24"/>
        <v>1125</v>
      </c>
    </row>
    <row r="110" spans="1:6" ht="56.25" x14ac:dyDescent="0.25">
      <c r="A110" s="13" t="s">
        <v>208</v>
      </c>
      <c r="B110" s="5" t="s">
        <v>65</v>
      </c>
      <c r="F110" s="24"/>
    </row>
    <row r="111" spans="1:6" x14ac:dyDescent="0.25">
      <c r="A111" s="13"/>
      <c r="B111" s="5" t="s">
        <v>66</v>
      </c>
      <c r="C111" s="1" t="s">
        <v>67</v>
      </c>
      <c r="D111" s="2">
        <v>50</v>
      </c>
      <c r="E111" s="1" t="s">
        <v>253</v>
      </c>
      <c r="F111" s="14">
        <f t="shared" ref="F111:F112" si="25">SUM(D111*E111)</f>
        <v>0</v>
      </c>
    </row>
    <row r="112" spans="1:6" ht="12" thickBot="1" x14ac:dyDescent="0.3">
      <c r="A112" s="13"/>
      <c r="B112" s="5" t="s">
        <v>68</v>
      </c>
      <c r="C112" s="1" t="s">
        <v>67</v>
      </c>
      <c r="D112" s="2">
        <v>50</v>
      </c>
      <c r="E112" s="1" t="s">
        <v>253</v>
      </c>
      <c r="F112" s="14">
        <f t="shared" si="25"/>
        <v>0</v>
      </c>
    </row>
    <row r="113" spans="1:6" ht="12" thickBot="1" x14ac:dyDescent="0.3">
      <c r="A113" s="20" t="s">
        <v>37</v>
      </c>
      <c r="B113" s="25" t="s">
        <v>55</v>
      </c>
      <c r="C113" s="26"/>
      <c r="D113" s="27"/>
      <c r="E113" s="26"/>
      <c r="F113" s="21">
        <f>SUM(F89:F112)</f>
        <v>26254.3</v>
      </c>
    </row>
    <row r="115" spans="1:6" ht="12" thickBot="1" x14ac:dyDescent="0.3"/>
    <row r="116" spans="1:6" s="3" customFormat="1" ht="12" thickBot="1" x14ac:dyDescent="0.3">
      <c r="A116" s="15" t="s">
        <v>53</v>
      </c>
      <c r="B116" s="16" t="s">
        <v>69</v>
      </c>
      <c r="C116" s="17"/>
      <c r="D116" s="18"/>
      <c r="E116" s="17"/>
      <c r="F116" s="19"/>
    </row>
    <row r="117" spans="1:6" x14ac:dyDescent="0.25">
      <c r="A117" s="13" t="s">
        <v>70</v>
      </c>
      <c r="B117" s="5" t="s">
        <v>1209</v>
      </c>
      <c r="C117" s="1" t="s">
        <v>16</v>
      </c>
      <c r="D117" s="2">
        <v>120.48</v>
      </c>
      <c r="E117" s="1" t="s">
        <v>1304</v>
      </c>
      <c r="F117" s="14">
        <f t="shared" ref="F117:F121" si="26">SUM(D117*E117)</f>
        <v>3012</v>
      </c>
    </row>
    <row r="118" spans="1:6" ht="67.5" x14ac:dyDescent="0.25">
      <c r="A118" s="13"/>
      <c r="B118" s="5" t="s">
        <v>1210</v>
      </c>
      <c r="F118" s="14"/>
    </row>
    <row r="119" spans="1:6" ht="22.5" x14ac:dyDescent="0.25">
      <c r="A119" s="13"/>
      <c r="B119" s="6" t="s">
        <v>1211</v>
      </c>
      <c r="F119" s="14"/>
    </row>
    <row r="120" spans="1:6" ht="56.25" x14ac:dyDescent="0.25">
      <c r="A120" s="13" t="s">
        <v>92</v>
      </c>
      <c r="B120" s="5" t="s">
        <v>216</v>
      </c>
      <c r="C120" s="1" t="s">
        <v>34</v>
      </c>
      <c r="D120" s="2">
        <v>35</v>
      </c>
      <c r="E120" s="1" t="s">
        <v>1304</v>
      </c>
      <c r="F120" s="14">
        <f t="shared" si="26"/>
        <v>875</v>
      </c>
    </row>
    <row r="121" spans="1:6" x14ac:dyDescent="0.25">
      <c r="A121" s="13" t="s">
        <v>97</v>
      </c>
      <c r="B121" s="5" t="s">
        <v>1212</v>
      </c>
      <c r="C121" s="1" t="s">
        <v>16</v>
      </c>
      <c r="D121" s="2">
        <v>165.81</v>
      </c>
      <c r="E121" s="1" t="s">
        <v>1304</v>
      </c>
      <c r="F121" s="14">
        <f t="shared" si="26"/>
        <v>4145.25</v>
      </c>
    </row>
    <row r="122" spans="1:6" ht="56.25" x14ac:dyDescent="0.25">
      <c r="A122" s="13"/>
      <c r="B122" s="5" t="s">
        <v>1213</v>
      </c>
      <c r="F122" s="14"/>
    </row>
    <row r="123" spans="1:6" ht="22.5" x14ac:dyDescent="0.25">
      <c r="A123" s="13"/>
      <c r="B123" s="6" t="s">
        <v>1211</v>
      </c>
      <c r="F123" s="14"/>
    </row>
    <row r="124" spans="1:6" ht="22.5" x14ac:dyDescent="0.25">
      <c r="A124" s="13"/>
      <c r="B124" s="6" t="s">
        <v>1214</v>
      </c>
      <c r="F124" s="14"/>
    </row>
    <row r="125" spans="1:6" x14ac:dyDescent="0.25">
      <c r="A125" s="13" t="s">
        <v>219</v>
      </c>
      <c r="B125" s="6" t="s">
        <v>1215</v>
      </c>
      <c r="C125" s="1" t="s">
        <v>16</v>
      </c>
      <c r="D125" s="2">
        <v>66.75</v>
      </c>
      <c r="E125" s="1" t="s">
        <v>1304</v>
      </c>
      <c r="F125" s="14">
        <f t="shared" ref="F125" si="27">SUM(D125*E125)</f>
        <v>1668.75</v>
      </c>
    </row>
    <row r="126" spans="1:6" ht="135" x14ac:dyDescent="0.25">
      <c r="A126" s="13"/>
      <c r="B126" s="6" t="s">
        <v>1216</v>
      </c>
      <c r="F126" s="14"/>
    </row>
    <row r="127" spans="1:6" ht="78.75" x14ac:dyDescent="0.25">
      <c r="A127" s="13"/>
      <c r="B127" s="6" t="s">
        <v>1217</v>
      </c>
      <c r="F127" s="14"/>
    </row>
    <row r="128" spans="1:6" x14ac:dyDescent="0.25">
      <c r="A128" s="13" t="s">
        <v>1218</v>
      </c>
      <c r="B128" s="6" t="s">
        <v>1219</v>
      </c>
      <c r="C128" s="1" t="s">
        <v>16</v>
      </c>
      <c r="D128" s="2">
        <v>37.950000000000003</v>
      </c>
      <c r="E128" s="1" t="s">
        <v>1311</v>
      </c>
      <c r="F128" s="14">
        <f t="shared" ref="F128" si="28">SUM(D128*E128)</f>
        <v>1897.5000000000002</v>
      </c>
    </row>
    <row r="129" spans="1:6" ht="78.75" x14ac:dyDescent="0.25">
      <c r="A129" s="13"/>
      <c r="B129" s="6" t="s">
        <v>1217</v>
      </c>
      <c r="F129" s="14"/>
    </row>
    <row r="130" spans="1:6" ht="67.5" x14ac:dyDescent="0.25">
      <c r="A130" s="13" t="s">
        <v>187</v>
      </c>
      <c r="B130" s="6" t="s">
        <v>1220</v>
      </c>
      <c r="F130" s="24"/>
    </row>
    <row r="131" spans="1:6" x14ac:dyDescent="0.25">
      <c r="A131" s="13"/>
      <c r="B131" s="6" t="s">
        <v>217</v>
      </c>
      <c r="C131" s="1" t="s">
        <v>16</v>
      </c>
      <c r="D131" s="2">
        <v>35.56</v>
      </c>
      <c r="E131" s="1" t="s">
        <v>1304</v>
      </c>
      <c r="F131" s="14">
        <f t="shared" ref="F131:F132" si="29">SUM(D131*E131)</f>
        <v>889</v>
      </c>
    </row>
    <row r="132" spans="1:6" ht="12" thickBot="1" x14ac:dyDescent="0.3">
      <c r="A132" s="13"/>
      <c r="B132" s="5" t="s">
        <v>218</v>
      </c>
      <c r="C132" s="1" t="s">
        <v>16</v>
      </c>
      <c r="D132" s="2">
        <v>22.65</v>
      </c>
      <c r="E132" s="1" t="s">
        <v>1304</v>
      </c>
      <c r="F132" s="14">
        <f t="shared" si="29"/>
        <v>566.25</v>
      </c>
    </row>
    <row r="133" spans="1:6" ht="12" thickBot="1" x14ac:dyDescent="0.3">
      <c r="A133" s="20" t="s">
        <v>53</v>
      </c>
      <c r="B133" s="117" t="s">
        <v>269</v>
      </c>
      <c r="C133" s="117"/>
      <c r="D133" s="117"/>
      <c r="E133" s="117"/>
      <c r="F133" s="21">
        <f>SUM(F117:F132)</f>
        <v>13053.75</v>
      </c>
    </row>
    <row r="135" spans="1:6" ht="12" thickBot="1" x14ac:dyDescent="0.3"/>
    <row r="136" spans="1:6" s="3" customFormat="1" ht="12" thickBot="1" x14ac:dyDescent="0.3">
      <c r="A136" s="15" t="s">
        <v>56</v>
      </c>
      <c r="B136" s="16" t="s">
        <v>99</v>
      </c>
      <c r="C136" s="17"/>
      <c r="D136" s="18"/>
      <c r="E136" s="17"/>
      <c r="F136" s="19"/>
    </row>
    <row r="137" spans="1:6" ht="78.75" x14ac:dyDescent="0.25">
      <c r="A137" s="13" t="s">
        <v>100</v>
      </c>
      <c r="B137" s="5" t="s">
        <v>1221</v>
      </c>
      <c r="C137" s="1" t="s">
        <v>16</v>
      </c>
      <c r="D137" s="2">
        <v>84.83</v>
      </c>
      <c r="E137" s="1" t="s">
        <v>1312</v>
      </c>
      <c r="F137" s="14">
        <f t="shared" ref="F137" si="30">SUM(D137*E137)</f>
        <v>3817.35</v>
      </c>
    </row>
    <row r="138" spans="1:6" ht="78.75" x14ac:dyDescent="0.25">
      <c r="A138" s="13" t="s">
        <v>102</v>
      </c>
      <c r="B138" s="5" t="s">
        <v>1222</v>
      </c>
      <c r="C138" s="1" t="s">
        <v>16</v>
      </c>
      <c r="D138" s="2">
        <v>16.260000000000002</v>
      </c>
      <c r="E138" s="1" t="s">
        <v>1312</v>
      </c>
      <c r="F138" s="14">
        <f t="shared" ref="F138" si="31">SUM(D138*E138)</f>
        <v>731.7</v>
      </c>
    </row>
    <row r="139" spans="1:6" ht="78.75" x14ac:dyDescent="0.25">
      <c r="A139" s="13" t="s">
        <v>103</v>
      </c>
      <c r="B139" s="5" t="s">
        <v>1223</v>
      </c>
      <c r="C139" s="1" t="s">
        <v>16</v>
      </c>
      <c r="D139" s="2">
        <v>4.1500000000000004</v>
      </c>
      <c r="E139" s="1" t="s">
        <v>1312</v>
      </c>
      <c r="F139" s="14">
        <f t="shared" ref="F139" si="32">SUM(D139*E139)</f>
        <v>186.75000000000003</v>
      </c>
    </row>
    <row r="140" spans="1:6" ht="78.75" x14ac:dyDescent="0.25">
      <c r="A140" s="13" t="s">
        <v>105</v>
      </c>
      <c r="B140" s="5" t="s">
        <v>1224</v>
      </c>
      <c r="C140" s="1" t="s">
        <v>16</v>
      </c>
      <c r="D140" s="2">
        <v>64.37</v>
      </c>
      <c r="E140" s="1" t="s">
        <v>1312</v>
      </c>
      <c r="F140" s="14">
        <f t="shared" ref="F140" si="33">SUM(D140*E140)</f>
        <v>2896.65</v>
      </c>
    </row>
    <row r="141" spans="1:6" ht="67.5" x14ac:dyDescent="0.25">
      <c r="A141" s="13" t="s">
        <v>106</v>
      </c>
      <c r="B141" s="5" t="s">
        <v>1225</v>
      </c>
      <c r="C141" s="1" t="s">
        <v>16</v>
      </c>
      <c r="D141" s="2">
        <v>24.79</v>
      </c>
      <c r="E141" s="1" t="s">
        <v>1312</v>
      </c>
      <c r="F141" s="14">
        <f t="shared" ref="F141" si="34">SUM(D141*E141)</f>
        <v>1115.55</v>
      </c>
    </row>
    <row r="142" spans="1:6" ht="78.75" x14ac:dyDescent="0.25">
      <c r="A142" s="13" t="s">
        <v>109</v>
      </c>
      <c r="B142" s="5" t="s">
        <v>1226</v>
      </c>
      <c r="C142" s="1" t="s">
        <v>16</v>
      </c>
      <c r="D142" s="2">
        <v>47.88</v>
      </c>
      <c r="E142" s="1" t="s">
        <v>1312</v>
      </c>
      <c r="F142" s="14">
        <f t="shared" ref="F142:F143" si="35">SUM(D142*E142)</f>
        <v>2154.6</v>
      </c>
    </row>
    <row r="143" spans="1:6" ht="78.75" x14ac:dyDescent="0.25">
      <c r="A143" s="13" t="s">
        <v>110</v>
      </c>
      <c r="B143" s="5" t="s">
        <v>104</v>
      </c>
      <c r="C143" s="1" t="s">
        <v>16</v>
      </c>
      <c r="D143" s="2">
        <v>69.3</v>
      </c>
      <c r="E143" s="1" t="s">
        <v>1312</v>
      </c>
      <c r="F143" s="14">
        <f t="shared" si="35"/>
        <v>3118.5</v>
      </c>
    </row>
    <row r="144" spans="1:6" ht="45" x14ac:dyDescent="0.25">
      <c r="A144" s="13" t="s">
        <v>112</v>
      </c>
      <c r="B144" s="5" t="s">
        <v>205</v>
      </c>
      <c r="C144" s="1" t="s">
        <v>16</v>
      </c>
      <c r="D144" s="2">
        <v>29.32</v>
      </c>
      <c r="E144" s="1" t="s">
        <v>1312</v>
      </c>
      <c r="F144" s="14">
        <f t="shared" ref="F144" si="36">SUM(D144*E144)</f>
        <v>1319.4</v>
      </c>
    </row>
    <row r="145" spans="1:6" ht="45" x14ac:dyDescent="0.25">
      <c r="A145" s="13" t="s">
        <v>113</v>
      </c>
      <c r="B145" s="5" t="s">
        <v>108</v>
      </c>
      <c r="C145" s="1" t="s">
        <v>16</v>
      </c>
      <c r="D145" s="2">
        <v>12</v>
      </c>
      <c r="E145" s="1" t="s">
        <v>1312</v>
      </c>
      <c r="F145" s="14">
        <f t="shared" ref="F145:F146" si="37">SUM(D145*E145)</f>
        <v>540</v>
      </c>
    </row>
    <row r="146" spans="1:6" ht="33.75" x14ac:dyDescent="0.25">
      <c r="A146" s="13" t="s">
        <v>115</v>
      </c>
      <c r="B146" s="5" t="s">
        <v>111</v>
      </c>
      <c r="C146" s="1" t="s">
        <v>34</v>
      </c>
      <c r="D146" s="2">
        <v>15</v>
      </c>
      <c r="E146" s="1" t="s">
        <v>1312</v>
      </c>
      <c r="F146" s="14">
        <f t="shared" si="37"/>
        <v>675</v>
      </c>
    </row>
    <row r="147" spans="1:6" ht="67.5" x14ac:dyDescent="0.25">
      <c r="A147" s="13" t="s">
        <v>117</v>
      </c>
      <c r="B147" s="5" t="s">
        <v>221</v>
      </c>
      <c r="F147" s="24"/>
    </row>
    <row r="148" spans="1:6" x14ac:dyDescent="0.25">
      <c r="A148" s="13"/>
      <c r="B148" s="5" t="s">
        <v>235</v>
      </c>
      <c r="C148" s="1" t="s">
        <v>16</v>
      </c>
      <c r="D148" s="2">
        <v>59.23</v>
      </c>
      <c r="E148" s="1" t="s">
        <v>1306</v>
      </c>
      <c r="F148" s="14">
        <f t="shared" ref="F148:F151" si="38">SUM(D148*E148)</f>
        <v>2073.0499999999997</v>
      </c>
    </row>
    <row r="149" spans="1:6" x14ac:dyDescent="0.25">
      <c r="A149" s="13"/>
      <c r="B149" s="5" t="s">
        <v>236</v>
      </c>
      <c r="C149" s="1" t="s">
        <v>16</v>
      </c>
      <c r="D149" s="2">
        <v>7.15</v>
      </c>
      <c r="E149" s="1" t="s">
        <v>1306</v>
      </c>
      <c r="F149" s="14">
        <f t="shared" si="38"/>
        <v>250.25</v>
      </c>
    </row>
    <row r="150" spans="1:6" ht="33.75" x14ac:dyDescent="0.25">
      <c r="A150" s="13" t="s">
        <v>119</v>
      </c>
      <c r="B150" s="5" t="s">
        <v>116</v>
      </c>
      <c r="C150" s="1" t="s">
        <v>114</v>
      </c>
      <c r="D150" s="2">
        <v>4</v>
      </c>
      <c r="E150" s="1" t="s">
        <v>253</v>
      </c>
      <c r="F150" s="14">
        <f t="shared" si="38"/>
        <v>0</v>
      </c>
    </row>
    <row r="151" spans="1:6" ht="33.75" x14ac:dyDescent="0.25">
      <c r="A151" s="13" t="s">
        <v>220</v>
      </c>
      <c r="B151" s="5" t="s">
        <v>118</v>
      </c>
      <c r="C151" s="1" t="s">
        <v>114</v>
      </c>
      <c r="D151" s="2">
        <v>10</v>
      </c>
      <c r="E151" s="1" t="s">
        <v>1294</v>
      </c>
      <c r="F151" s="14">
        <f t="shared" si="38"/>
        <v>1000</v>
      </c>
    </row>
    <row r="152" spans="1:6" ht="22.5" x14ac:dyDescent="0.25">
      <c r="A152" s="13" t="s">
        <v>1229</v>
      </c>
      <c r="B152" s="5" t="s">
        <v>1230</v>
      </c>
      <c r="C152" s="1" t="s">
        <v>114</v>
      </c>
      <c r="D152" s="2">
        <v>32</v>
      </c>
      <c r="F152" s="14">
        <f t="shared" ref="F152:F153" si="39">SUM(D152*E152)</f>
        <v>0</v>
      </c>
    </row>
    <row r="153" spans="1:6" ht="158.25" thickBot="1" x14ac:dyDescent="0.3">
      <c r="A153" s="13" t="s">
        <v>1228</v>
      </c>
      <c r="B153" s="5" t="s">
        <v>1227</v>
      </c>
      <c r="C153" s="1" t="s">
        <v>16</v>
      </c>
      <c r="D153" s="2">
        <v>63.03</v>
      </c>
      <c r="E153" s="1" t="s">
        <v>1302</v>
      </c>
      <c r="F153" s="14">
        <f t="shared" si="39"/>
        <v>1260.5999999999999</v>
      </c>
    </row>
    <row r="154" spans="1:6" ht="12" thickBot="1" x14ac:dyDescent="0.3">
      <c r="A154" s="20" t="s">
        <v>56</v>
      </c>
      <c r="B154" s="25" t="s">
        <v>268</v>
      </c>
      <c r="C154" s="26"/>
      <c r="D154" s="27"/>
      <c r="E154" s="26"/>
      <c r="F154" s="21">
        <f>SUM(F137:F153)</f>
        <v>21139.399999999998</v>
      </c>
    </row>
    <row r="155" spans="1:6" ht="12" thickBot="1" x14ac:dyDescent="0.3"/>
    <row r="156" spans="1:6" s="3" customFormat="1" ht="12" thickBot="1" x14ac:dyDescent="0.3">
      <c r="A156" s="15" t="s">
        <v>57</v>
      </c>
      <c r="B156" s="16" t="s">
        <v>228</v>
      </c>
      <c r="C156" s="17"/>
      <c r="D156" s="18"/>
      <c r="E156" s="17"/>
      <c r="F156" s="19"/>
    </row>
    <row r="157" spans="1:6" ht="90" x14ac:dyDescent="0.25">
      <c r="A157" s="13" t="s">
        <v>120</v>
      </c>
      <c r="B157" s="5" t="s">
        <v>124</v>
      </c>
      <c r="F157" s="24"/>
    </row>
    <row r="158" spans="1:6" x14ac:dyDescent="0.25">
      <c r="A158" s="13"/>
      <c r="B158" s="5" t="s">
        <v>121</v>
      </c>
      <c r="C158" s="1" t="s">
        <v>16</v>
      </c>
      <c r="D158" s="2">
        <v>19.739999999999998</v>
      </c>
      <c r="E158" s="1" t="s">
        <v>1313</v>
      </c>
      <c r="F158" s="14">
        <f t="shared" ref="F158:F161" si="40">SUM(D158*E158)</f>
        <v>1283.0999999999999</v>
      </c>
    </row>
    <row r="159" spans="1:6" x14ac:dyDescent="0.25">
      <c r="A159" s="13"/>
      <c r="B159" s="5" t="s">
        <v>122</v>
      </c>
      <c r="C159" s="1" t="s">
        <v>16</v>
      </c>
      <c r="D159" s="2">
        <v>24.92</v>
      </c>
      <c r="E159" s="1" t="s">
        <v>1313</v>
      </c>
      <c r="F159" s="14">
        <f t="shared" si="40"/>
        <v>1619.8000000000002</v>
      </c>
    </row>
    <row r="160" spans="1:6" x14ac:dyDescent="0.25">
      <c r="A160" s="13"/>
      <c r="B160" s="5" t="s">
        <v>1231</v>
      </c>
      <c r="C160" s="1" t="s">
        <v>16</v>
      </c>
      <c r="D160" s="2">
        <v>44.04</v>
      </c>
      <c r="E160" s="1" t="s">
        <v>1313</v>
      </c>
      <c r="F160" s="14">
        <f t="shared" si="40"/>
        <v>2862.6</v>
      </c>
    </row>
    <row r="161" spans="1:6" x14ac:dyDescent="0.25">
      <c r="A161" s="13"/>
      <c r="B161" s="5" t="s">
        <v>123</v>
      </c>
      <c r="C161" s="1" t="s">
        <v>16</v>
      </c>
      <c r="D161" s="2">
        <v>67.56</v>
      </c>
      <c r="E161" s="1" t="s">
        <v>1313</v>
      </c>
      <c r="F161" s="14">
        <f t="shared" si="40"/>
        <v>4391.4000000000005</v>
      </c>
    </row>
    <row r="162" spans="1:6" ht="90" x14ac:dyDescent="0.25">
      <c r="A162" s="13" t="s">
        <v>125</v>
      </c>
      <c r="B162" s="5" t="s">
        <v>206</v>
      </c>
      <c r="F162" s="24"/>
    </row>
    <row r="163" spans="1:6" ht="12" thickBot="1" x14ac:dyDescent="0.3">
      <c r="A163" s="13"/>
      <c r="B163" s="5" t="s">
        <v>207</v>
      </c>
      <c r="C163" s="1" t="s">
        <v>16</v>
      </c>
      <c r="D163" s="2">
        <v>126</v>
      </c>
      <c r="E163" s="1" t="s">
        <v>1313</v>
      </c>
      <c r="F163" s="14">
        <f t="shared" ref="F163" si="41">SUM(D163*E163)</f>
        <v>8190</v>
      </c>
    </row>
    <row r="164" spans="1:6" ht="12" thickBot="1" x14ac:dyDescent="0.3">
      <c r="A164" s="20" t="s">
        <v>57</v>
      </c>
      <c r="B164" s="117" t="s">
        <v>264</v>
      </c>
      <c r="C164" s="117"/>
      <c r="D164" s="117"/>
      <c r="E164" s="117"/>
      <c r="F164" s="21">
        <f>SUM(F158:F163)</f>
        <v>18346.900000000001</v>
      </c>
    </row>
    <row r="165" spans="1:6" ht="12" thickBot="1" x14ac:dyDescent="0.3"/>
    <row r="166" spans="1:6" s="3" customFormat="1" ht="12" thickBot="1" x14ac:dyDescent="0.3">
      <c r="A166" s="15" t="s">
        <v>96</v>
      </c>
      <c r="B166" s="16" t="s">
        <v>126</v>
      </c>
      <c r="C166" s="17"/>
      <c r="D166" s="18"/>
      <c r="E166" s="17"/>
      <c r="F166" s="19"/>
    </row>
    <row r="167" spans="1:6" ht="112.5" x14ac:dyDescent="0.25">
      <c r="A167" s="13" t="s">
        <v>127</v>
      </c>
      <c r="B167" s="5" t="s">
        <v>129</v>
      </c>
      <c r="F167" s="24"/>
    </row>
    <row r="168" spans="1:6" ht="56.25" x14ac:dyDescent="0.25">
      <c r="A168" s="13"/>
      <c r="B168" s="5" t="s">
        <v>130</v>
      </c>
      <c r="C168" s="1" t="s">
        <v>16</v>
      </c>
      <c r="D168" s="2">
        <v>206.53</v>
      </c>
      <c r="E168" s="1" t="s">
        <v>1314</v>
      </c>
      <c r="F168" s="14">
        <f t="shared" ref="F168:F171" si="42">SUM(D168*E168)</f>
        <v>12391.8</v>
      </c>
    </row>
    <row r="169" spans="1:6" ht="22.5" x14ac:dyDescent="0.25">
      <c r="A169" s="13"/>
      <c r="B169" s="5" t="s">
        <v>131</v>
      </c>
      <c r="C169" s="1" t="s">
        <v>16</v>
      </c>
      <c r="D169" s="2">
        <v>206.53</v>
      </c>
      <c r="E169" s="1" t="s">
        <v>253</v>
      </c>
      <c r="F169" s="14">
        <f t="shared" si="42"/>
        <v>0</v>
      </c>
    </row>
    <row r="170" spans="1:6" x14ac:dyDescent="0.25">
      <c r="A170" s="13"/>
      <c r="B170" s="5" t="s">
        <v>244</v>
      </c>
      <c r="C170" s="1" t="s">
        <v>34</v>
      </c>
      <c r="D170" s="2">
        <v>250.97</v>
      </c>
      <c r="E170" s="1" t="s">
        <v>1301</v>
      </c>
      <c r="F170" s="14">
        <f t="shared" si="42"/>
        <v>2509.6999999999998</v>
      </c>
    </row>
    <row r="171" spans="1:6" ht="57" thickBot="1" x14ac:dyDescent="0.3">
      <c r="A171" s="13" t="s">
        <v>132</v>
      </c>
      <c r="B171" s="5" t="s">
        <v>203</v>
      </c>
      <c r="C171" s="1" t="s">
        <v>16</v>
      </c>
      <c r="D171" s="2">
        <v>64.94</v>
      </c>
      <c r="E171" s="1" t="s">
        <v>1299</v>
      </c>
      <c r="F171" s="14">
        <f t="shared" si="42"/>
        <v>2597.6</v>
      </c>
    </row>
    <row r="172" spans="1:6" ht="12" thickBot="1" x14ac:dyDescent="0.3">
      <c r="A172" s="20" t="s">
        <v>96</v>
      </c>
      <c r="B172" s="117" t="s">
        <v>265</v>
      </c>
      <c r="C172" s="117"/>
      <c r="D172" s="117"/>
      <c r="E172" s="117"/>
      <c r="F172" s="21">
        <f>SUM(F168:F171)</f>
        <v>17499.099999999999</v>
      </c>
    </row>
    <row r="173" spans="1:6" ht="12" thickBot="1" x14ac:dyDescent="0.3"/>
    <row r="174" spans="1:6" s="3" customFormat="1" ht="12" thickBot="1" x14ac:dyDescent="0.3">
      <c r="A174" s="15" t="s">
        <v>98</v>
      </c>
      <c r="B174" s="16" t="s">
        <v>133</v>
      </c>
      <c r="C174" s="17"/>
      <c r="D174" s="18"/>
      <c r="E174" s="17"/>
      <c r="F174" s="19"/>
    </row>
    <row r="175" spans="1:6" ht="33.75" x14ac:dyDescent="0.25">
      <c r="A175" s="13" t="s">
        <v>135</v>
      </c>
      <c r="B175" s="5" t="s">
        <v>1234</v>
      </c>
      <c r="C175" s="1" t="s">
        <v>34</v>
      </c>
      <c r="D175" s="2">
        <v>15.35</v>
      </c>
      <c r="E175" s="1" t="s">
        <v>1314</v>
      </c>
      <c r="F175" s="14">
        <f t="shared" ref="F175:F176" si="43">SUM(D175*E175)</f>
        <v>921</v>
      </c>
    </row>
    <row r="176" spans="1:6" ht="33.75" x14ac:dyDescent="0.25">
      <c r="A176" s="13" t="s">
        <v>141</v>
      </c>
      <c r="B176" s="5" t="s">
        <v>1236</v>
      </c>
      <c r="C176" s="1" t="s">
        <v>34</v>
      </c>
      <c r="D176" s="2">
        <v>25.35</v>
      </c>
      <c r="E176" s="1" t="s">
        <v>1314</v>
      </c>
      <c r="F176" s="14">
        <f t="shared" si="43"/>
        <v>1521</v>
      </c>
    </row>
    <row r="177" spans="1:6" ht="33.75" x14ac:dyDescent="0.25">
      <c r="A177" s="13" t="s">
        <v>142</v>
      </c>
      <c r="B177" s="5" t="s">
        <v>1235</v>
      </c>
      <c r="C177" s="1" t="s">
        <v>34</v>
      </c>
      <c r="D177" s="2">
        <v>27.35</v>
      </c>
      <c r="E177" s="1" t="s">
        <v>1314</v>
      </c>
      <c r="F177" s="14">
        <f t="shared" ref="F177" si="44">SUM(D177*E177)</f>
        <v>1641</v>
      </c>
    </row>
    <row r="178" spans="1:6" ht="22.5" x14ac:dyDescent="0.25">
      <c r="A178" s="13" t="s">
        <v>1238</v>
      </c>
      <c r="B178" s="5" t="s">
        <v>1232</v>
      </c>
      <c r="C178" s="1" t="s">
        <v>34</v>
      </c>
      <c r="D178" s="2">
        <v>34.65</v>
      </c>
      <c r="E178" s="1" t="s">
        <v>1314</v>
      </c>
      <c r="F178" s="14">
        <f t="shared" ref="F178" si="45">SUM(D178*E178)</f>
        <v>2079</v>
      </c>
    </row>
    <row r="179" spans="1:6" ht="22.5" x14ac:dyDescent="0.25">
      <c r="A179" s="13" t="s">
        <v>1239</v>
      </c>
      <c r="B179" s="5" t="s">
        <v>1237</v>
      </c>
      <c r="C179" s="1" t="s">
        <v>114</v>
      </c>
      <c r="D179" s="2">
        <v>40</v>
      </c>
      <c r="E179" s="1" t="s">
        <v>1311</v>
      </c>
      <c r="F179" s="14">
        <f t="shared" ref="F179" si="46">SUM(D179*E179)</f>
        <v>2000</v>
      </c>
    </row>
    <row r="180" spans="1:6" ht="22.5" x14ac:dyDescent="0.25">
      <c r="A180" s="13" t="s">
        <v>1240</v>
      </c>
      <c r="B180" s="5" t="s">
        <v>1241</v>
      </c>
      <c r="C180" s="1" t="s">
        <v>114</v>
      </c>
      <c r="D180" s="2">
        <v>44</v>
      </c>
      <c r="E180" s="1" t="s">
        <v>1311</v>
      </c>
      <c r="F180" s="14">
        <f t="shared" ref="F180:F181" si="47">SUM(D180*E180)</f>
        <v>2200</v>
      </c>
    </row>
    <row r="181" spans="1:6" ht="23.25" thickBot="1" x14ac:dyDescent="0.3">
      <c r="A181" s="13" t="s">
        <v>1242</v>
      </c>
      <c r="B181" s="5" t="s">
        <v>1243</v>
      </c>
      <c r="C181" s="1" t="s">
        <v>34</v>
      </c>
      <c r="D181" s="2">
        <v>226.68</v>
      </c>
      <c r="E181" s="1" t="s">
        <v>1310</v>
      </c>
      <c r="F181" s="14">
        <f t="shared" si="47"/>
        <v>3400.2000000000003</v>
      </c>
    </row>
    <row r="182" spans="1:6" ht="12" thickBot="1" x14ac:dyDescent="0.3">
      <c r="A182" s="20" t="s">
        <v>98</v>
      </c>
      <c r="B182" s="117" t="s">
        <v>266</v>
      </c>
      <c r="C182" s="117"/>
      <c r="D182" s="117"/>
      <c r="E182" s="117"/>
      <c r="F182" s="21">
        <f>SUM(F175:F181)</f>
        <v>13762.2</v>
      </c>
    </row>
    <row r="183" spans="1:6" ht="12" thickBot="1" x14ac:dyDescent="0.3"/>
    <row r="184" spans="1:6" ht="12" thickBot="1" x14ac:dyDescent="0.3">
      <c r="A184" s="15" t="s">
        <v>101</v>
      </c>
      <c r="B184" s="16" t="s">
        <v>137</v>
      </c>
      <c r="C184" s="28"/>
      <c r="D184" s="29"/>
      <c r="E184" s="28"/>
      <c r="F184" s="30"/>
    </row>
    <row r="185" spans="1:6" ht="22.5" x14ac:dyDescent="0.25">
      <c r="A185" s="22"/>
      <c r="B185" s="5" t="s">
        <v>251</v>
      </c>
      <c r="F185" s="24"/>
    </row>
    <row r="186" spans="1:6" ht="22.5" x14ac:dyDescent="0.25">
      <c r="A186" s="22"/>
      <c r="B186" s="5" t="s">
        <v>252</v>
      </c>
      <c r="F186" s="24"/>
    </row>
    <row r="187" spans="1:6" ht="33.75" x14ac:dyDescent="0.25">
      <c r="A187" s="13" t="s">
        <v>138</v>
      </c>
      <c r="B187" s="5" t="s">
        <v>1233</v>
      </c>
      <c r="C187" s="1" t="s">
        <v>34</v>
      </c>
      <c r="D187" s="2">
        <v>6</v>
      </c>
      <c r="E187" s="1" t="s">
        <v>1315</v>
      </c>
      <c r="F187" s="14">
        <f t="shared" ref="F187" si="48">SUM(D187*E187)</f>
        <v>1080</v>
      </c>
    </row>
    <row r="188" spans="1:6" ht="33.75" x14ac:dyDescent="0.25">
      <c r="A188" s="13" t="s">
        <v>139</v>
      </c>
      <c r="B188" s="5" t="s">
        <v>1244</v>
      </c>
      <c r="C188" s="1" t="s">
        <v>34</v>
      </c>
      <c r="D188" s="2">
        <v>9</v>
      </c>
      <c r="E188" s="1" t="s">
        <v>1302</v>
      </c>
      <c r="F188" s="14">
        <f t="shared" ref="F188" si="49">SUM(D188*E188)</f>
        <v>180</v>
      </c>
    </row>
    <row r="189" spans="1:6" ht="33.75" x14ac:dyDescent="0.25">
      <c r="A189" s="13" t="s">
        <v>140</v>
      </c>
      <c r="B189" s="5" t="s">
        <v>1245</v>
      </c>
      <c r="C189" s="1" t="s">
        <v>34</v>
      </c>
      <c r="D189" s="2">
        <v>8.5</v>
      </c>
      <c r="E189" s="1" t="s">
        <v>1315</v>
      </c>
      <c r="F189" s="14">
        <f t="shared" ref="F189" si="50">SUM(D189*E189)</f>
        <v>1530</v>
      </c>
    </row>
    <row r="190" spans="1:6" ht="56.25" x14ac:dyDescent="0.25">
      <c r="A190" s="13" t="s">
        <v>143</v>
      </c>
      <c r="B190" s="5" t="s">
        <v>1285</v>
      </c>
      <c r="C190" s="1" t="s">
        <v>34</v>
      </c>
      <c r="D190" s="2">
        <v>33</v>
      </c>
      <c r="E190" s="1" t="s">
        <v>1315</v>
      </c>
      <c r="F190" s="14">
        <f t="shared" ref="F190" si="51">SUM(D190*E190)</f>
        <v>5940</v>
      </c>
    </row>
    <row r="191" spans="1:6" ht="33.75" x14ac:dyDescent="0.25">
      <c r="A191" s="13" t="s">
        <v>144</v>
      </c>
      <c r="B191" s="5" t="s">
        <v>1246</v>
      </c>
      <c r="C191" s="1" t="s">
        <v>34</v>
      </c>
      <c r="D191" s="2">
        <v>8.1</v>
      </c>
      <c r="E191" s="1" t="s">
        <v>1315</v>
      </c>
      <c r="F191" s="14">
        <f t="shared" ref="F191:F193" si="52">SUM(D191*E191)</f>
        <v>1458</v>
      </c>
    </row>
    <row r="192" spans="1:6" ht="33.75" x14ac:dyDescent="0.25">
      <c r="A192" s="13" t="s">
        <v>145</v>
      </c>
      <c r="B192" s="5" t="s">
        <v>1247</v>
      </c>
      <c r="C192" s="1" t="s">
        <v>114</v>
      </c>
      <c r="D192" s="2">
        <v>4</v>
      </c>
      <c r="E192" s="1" t="s">
        <v>1316</v>
      </c>
      <c r="F192" s="14">
        <f t="shared" si="52"/>
        <v>1600</v>
      </c>
    </row>
    <row r="193" spans="1:6" ht="23.25" thickBot="1" x14ac:dyDescent="0.3">
      <c r="A193" s="13" t="s">
        <v>160</v>
      </c>
      <c r="B193" s="5" t="s">
        <v>263</v>
      </c>
      <c r="C193" s="1" t="s">
        <v>114</v>
      </c>
      <c r="D193" s="2">
        <v>8</v>
      </c>
      <c r="E193" s="1" t="s">
        <v>1317</v>
      </c>
      <c r="F193" s="14">
        <f t="shared" si="52"/>
        <v>960</v>
      </c>
    </row>
    <row r="194" spans="1:6" ht="12" thickBot="1" x14ac:dyDescent="0.3">
      <c r="A194" s="20" t="s">
        <v>101</v>
      </c>
      <c r="B194" s="117" t="s">
        <v>267</v>
      </c>
      <c r="C194" s="117"/>
      <c r="D194" s="117"/>
      <c r="E194" s="117"/>
      <c r="F194" s="21">
        <f>SUM(F187:F193)</f>
        <v>12748</v>
      </c>
    </row>
    <row r="195" spans="1:6" ht="12" thickBot="1" x14ac:dyDescent="0.3"/>
    <row r="196" spans="1:6" ht="12" thickBot="1" x14ac:dyDescent="0.3">
      <c r="A196" s="15" t="s">
        <v>107</v>
      </c>
      <c r="B196" s="16" t="s">
        <v>146</v>
      </c>
      <c r="C196" s="28"/>
      <c r="D196" s="29"/>
      <c r="E196" s="28"/>
      <c r="F196" s="30"/>
    </row>
    <row r="197" spans="1:6" ht="41.25" customHeight="1" x14ac:dyDescent="0.25">
      <c r="A197" s="13" t="s">
        <v>147</v>
      </c>
      <c r="B197" s="5" t="s">
        <v>1248</v>
      </c>
      <c r="C197" s="1" t="s">
        <v>114</v>
      </c>
      <c r="D197" s="2">
        <v>1</v>
      </c>
      <c r="E197" s="1" t="s">
        <v>1324</v>
      </c>
      <c r="F197" s="14">
        <f t="shared" ref="F197" si="53">SUM(D197*E197)</f>
        <v>2400</v>
      </c>
    </row>
    <row r="198" spans="1:6" ht="67.5" x14ac:dyDescent="0.25">
      <c r="A198" s="13" t="s">
        <v>148</v>
      </c>
      <c r="B198" s="5" t="s">
        <v>1249</v>
      </c>
      <c r="C198" s="1" t="s">
        <v>114</v>
      </c>
      <c r="D198" s="2">
        <v>1</v>
      </c>
      <c r="E198" s="1" t="s">
        <v>1293</v>
      </c>
      <c r="F198" s="14">
        <f t="shared" ref="F198" si="54">SUM(D198*E198)</f>
        <v>1000</v>
      </c>
    </row>
    <row r="199" spans="1:6" ht="45" x14ac:dyDescent="0.25">
      <c r="A199" s="13" t="s">
        <v>149</v>
      </c>
      <c r="B199" s="5" t="s">
        <v>1264</v>
      </c>
      <c r="C199" s="1" t="s">
        <v>114</v>
      </c>
      <c r="D199" s="2">
        <v>2</v>
      </c>
      <c r="E199" s="1" t="s">
        <v>1292</v>
      </c>
      <c r="F199" s="14">
        <f t="shared" ref="F199" si="55">SUM(D199*E199)</f>
        <v>3000</v>
      </c>
    </row>
    <row r="200" spans="1:6" ht="45" x14ac:dyDescent="0.25">
      <c r="A200" s="13" t="s">
        <v>150</v>
      </c>
      <c r="B200" s="5" t="s">
        <v>1250</v>
      </c>
      <c r="C200" s="1" t="s">
        <v>114</v>
      </c>
      <c r="D200" s="2">
        <v>2</v>
      </c>
      <c r="E200" s="1" t="s">
        <v>1293</v>
      </c>
      <c r="F200" s="14">
        <f t="shared" ref="F200" si="56">SUM(D200*E200)</f>
        <v>2000</v>
      </c>
    </row>
    <row r="201" spans="1:6" ht="45" x14ac:dyDescent="0.25">
      <c r="A201" s="13" t="s">
        <v>151</v>
      </c>
      <c r="B201" s="5" t="s">
        <v>1251</v>
      </c>
      <c r="C201" s="1" t="s">
        <v>114</v>
      </c>
      <c r="D201" s="2">
        <v>1</v>
      </c>
      <c r="E201" s="1" t="s">
        <v>1323</v>
      </c>
      <c r="F201" s="14">
        <f t="shared" ref="F201" si="57">SUM(D201*E201)</f>
        <v>1400</v>
      </c>
    </row>
    <row r="202" spans="1:6" ht="45" x14ac:dyDescent="0.25">
      <c r="A202" s="13" t="s">
        <v>152</v>
      </c>
      <c r="B202" s="5" t="s">
        <v>1252</v>
      </c>
      <c r="C202" s="1" t="s">
        <v>114</v>
      </c>
      <c r="D202" s="2">
        <v>2</v>
      </c>
      <c r="E202" s="1" t="s">
        <v>1318</v>
      </c>
      <c r="F202" s="14">
        <f t="shared" ref="F202" si="58">SUM(D202*E202)</f>
        <v>1600</v>
      </c>
    </row>
    <row r="203" spans="1:6" ht="45" x14ac:dyDescent="0.25">
      <c r="A203" s="13" t="s">
        <v>153</v>
      </c>
      <c r="B203" s="5" t="s">
        <v>1253</v>
      </c>
      <c r="C203" s="1" t="s">
        <v>114</v>
      </c>
      <c r="D203" s="2">
        <v>10</v>
      </c>
      <c r="E203" s="1" t="s">
        <v>1318</v>
      </c>
      <c r="F203" s="14">
        <f t="shared" ref="F203" si="59">SUM(D203*E203)</f>
        <v>8000</v>
      </c>
    </row>
    <row r="204" spans="1:6" ht="45" x14ac:dyDescent="0.25">
      <c r="A204" s="13" t="s">
        <v>154</v>
      </c>
      <c r="B204" s="5" t="s">
        <v>1263</v>
      </c>
      <c r="C204" s="1" t="s">
        <v>114</v>
      </c>
      <c r="D204" s="2">
        <v>2</v>
      </c>
      <c r="E204" s="1" t="s">
        <v>1293</v>
      </c>
      <c r="F204" s="14">
        <f t="shared" ref="F204:F206" si="60">SUM(D204*E204)</f>
        <v>2000</v>
      </c>
    </row>
    <row r="205" spans="1:6" ht="45" x14ac:dyDescent="0.25">
      <c r="A205" s="13" t="s">
        <v>155</v>
      </c>
      <c r="B205" s="5" t="s">
        <v>1254</v>
      </c>
      <c r="C205" s="1" t="s">
        <v>114</v>
      </c>
      <c r="D205" s="2">
        <v>2</v>
      </c>
      <c r="E205" s="1" t="s">
        <v>1293</v>
      </c>
      <c r="F205" s="14">
        <f t="shared" si="60"/>
        <v>2000</v>
      </c>
    </row>
    <row r="206" spans="1:6" ht="45" x14ac:dyDescent="0.25">
      <c r="A206" s="13" t="s">
        <v>1256</v>
      </c>
      <c r="B206" s="5" t="s">
        <v>1255</v>
      </c>
      <c r="C206" s="1" t="s">
        <v>114</v>
      </c>
      <c r="D206" s="2">
        <v>1</v>
      </c>
      <c r="E206" s="1" t="s">
        <v>1322</v>
      </c>
      <c r="F206" s="14">
        <f t="shared" si="60"/>
        <v>1200</v>
      </c>
    </row>
    <row r="207" spans="1:6" ht="45" x14ac:dyDescent="0.25">
      <c r="A207" s="13" t="s">
        <v>1257</v>
      </c>
      <c r="B207" s="5" t="s">
        <v>1262</v>
      </c>
      <c r="C207" s="1" t="s">
        <v>114</v>
      </c>
      <c r="D207" s="2">
        <v>1</v>
      </c>
      <c r="E207" s="1" t="s">
        <v>1323</v>
      </c>
      <c r="F207" s="14">
        <f t="shared" ref="F207:F208" si="61">SUM(D207*E207)</f>
        <v>1400</v>
      </c>
    </row>
    <row r="208" spans="1:6" ht="45" x14ac:dyDescent="0.25">
      <c r="A208" s="13" t="s">
        <v>1258</v>
      </c>
      <c r="B208" s="5" t="s">
        <v>1259</v>
      </c>
      <c r="C208" s="1" t="s">
        <v>114</v>
      </c>
      <c r="D208" s="2">
        <v>1</v>
      </c>
      <c r="E208" s="1" t="s">
        <v>1322</v>
      </c>
      <c r="F208" s="14">
        <f t="shared" si="61"/>
        <v>1200</v>
      </c>
    </row>
    <row r="209" spans="1:6" ht="45" x14ac:dyDescent="0.25">
      <c r="A209" s="13" t="s">
        <v>1260</v>
      </c>
      <c r="B209" s="5" t="s">
        <v>1261</v>
      </c>
      <c r="C209" s="1" t="s">
        <v>114</v>
      </c>
      <c r="D209" s="2">
        <v>1</v>
      </c>
      <c r="E209" s="1" t="s">
        <v>1319</v>
      </c>
      <c r="F209" s="14">
        <f t="shared" ref="F209" si="62">SUM(D209*E209)</f>
        <v>1800</v>
      </c>
    </row>
    <row r="210" spans="1:6" ht="45" x14ac:dyDescent="0.25">
      <c r="A210" s="13" t="s">
        <v>1265</v>
      </c>
      <c r="B210" s="5" t="s">
        <v>1266</v>
      </c>
      <c r="C210" s="1" t="s">
        <v>114</v>
      </c>
      <c r="D210" s="2">
        <v>1</v>
      </c>
      <c r="E210" s="1" t="s">
        <v>1322</v>
      </c>
      <c r="F210" s="14">
        <f t="shared" ref="F210" si="63">SUM(D210*E210)</f>
        <v>1200</v>
      </c>
    </row>
    <row r="211" spans="1:6" ht="45" x14ac:dyDescent="0.25">
      <c r="A211" s="13" t="s">
        <v>1267</v>
      </c>
      <c r="B211" s="5" t="s">
        <v>1268</v>
      </c>
      <c r="C211" s="1" t="s">
        <v>114</v>
      </c>
      <c r="D211" s="2">
        <v>1</v>
      </c>
      <c r="E211" s="1" t="s">
        <v>1320</v>
      </c>
      <c r="F211" s="14">
        <f t="shared" ref="F211:F212" si="64">SUM(D211*E211)</f>
        <v>1700</v>
      </c>
    </row>
    <row r="212" spans="1:6" ht="45" x14ac:dyDescent="0.25">
      <c r="A212" s="13" t="s">
        <v>1269</v>
      </c>
      <c r="B212" s="5" t="s">
        <v>1270</v>
      </c>
      <c r="C212" s="1" t="s">
        <v>114</v>
      </c>
      <c r="D212" s="2">
        <v>1</v>
      </c>
      <c r="E212" s="1" t="s">
        <v>1321</v>
      </c>
      <c r="F212" s="14">
        <f t="shared" si="64"/>
        <v>1600</v>
      </c>
    </row>
    <row r="213" spans="1:6" ht="45.75" thickBot="1" x14ac:dyDescent="0.3">
      <c r="A213" s="13" t="s">
        <v>1271</v>
      </c>
      <c r="B213" s="5" t="s">
        <v>1272</v>
      </c>
      <c r="C213" s="1" t="s">
        <v>114</v>
      </c>
      <c r="D213" s="2">
        <v>1</v>
      </c>
      <c r="E213" s="1" t="s">
        <v>1318</v>
      </c>
      <c r="F213" s="14">
        <f t="shared" ref="F213" si="65">SUM(D213*E213)</f>
        <v>800</v>
      </c>
    </row>
    <row r="214" spans="1:6" ht="12" thickBot="1" x14ac:dyDescent="0.3">
      <c r="A214" s="20" t="s">
        <v>107</v>
      </c>
      <c r="B214" s="117" t="s">
        <v>262</v>
      </c>
      <c r="C214" s="117"/>
      <c r="D214" s="117"/>
      <c r="E214" s="117"/>
      <c r="F214" s="21">
        <f>SUM(F197:F213)</f>
        <v>34300</v>
      </c>
    </row>
    <row r="215" spans="1:6" ht="12" thickBot="1" x14ac:dyDescent="0.3"/>
    <row r="216" spans="1:6" ht="12" thickBot="1" x14ac:dyDescent="0.3">
      <c r="A216" s="15" t="s">
        <v>128</v>
      </c>
      <c r="B216" s="16" t="s">
        <v>156</v>
      </c>
      <c r="C216" s="28"/>
      <c r="D216" s="29"/>
      <c r="E216" s="28"/>
      <c r="F216" s="30"/>
    </row>
    <row r="217" spans="1:6" ht="45.75" thickBot="1" x14ac:dyDescent="0.3">
      <c r="A217" s="13" t="s">
        <v>157</v>
      </c>
      <c r="B217" s="5" t="s">
        <v>1273</v>
      </c>
      <c r="C217" s="1" t="s">
        <v>114</v>
      </c>
      <c r="D217" s="2">
        <v>3</v>
      </c>
      <c r="E217" s="1" t="s">
        <v>1325</v>
      </c>
      <c r="F217" s="14">
        <f t="shared" ref="F217" si="66">SUM(D217*E217)</f>
        <v>1500</v>
      </c>
    </row>
    <row r="218" spans="1:6" ht="12" thickBot="1" x14ac:dyDescent="0.3">
      <c r="A218" s="20" t="s">
        <v>128</v>
      </c>
      <c r="B218" s="117" t="s">
        <v>261</v>
      </c>
      <c r="C218" s="117"/>
      <c r="D218" s="117"/>
      <c r="E218" s="117"/>
      <c r="F218" s="21">
        <f>SUM(F217:F217)</f>
        <v>1500</v>
      </c>
    </row>
    <row r="219" spans="1:6" ht="12" thickBot="1" x14ac:dyDescent="0.3"/>
    <row r="220" spans="1:6" ht="12" thickBot="1" x14ac:dyDescent="0.3">
      <c r="A220" s="15" t="s">
        <v>136</v>
      </c>
      <c r="B220" s="16" t="s">
        <v>158</v>
      </c>
      <c r="C220" s="28"/>
      <c r="D220" s="29"/>
      <c r="E220" s="28"/>
      <c r="F220" s="30"/>
    </row>
    <row r="221" spans="1:6" ht="34.5" thickBot="1" x14ac:dyDescent="0.3">
      <c r="A221" s="13" t="s">
        <v>159</v>
      </c>
      <c r="B221" s="5" t="s">
        <v>1274</v>
      </c>
      <c r="C221" s="1" t="s">
        <v>114</v>
      </c>
      <c r="D221" s="2">
        <v>1</v>
      </c>
      <c r="E221" s="1" t="s">
        <v>1322</v>
      </c>
      <c r="F221" s="14">
        <f t="shared" ref="F221" si="67">SUM(D221*E221)</f>
        <v>1200</v>
      </c>
    </row>
    <row r="222" spans="1:6" ht="12" thickBot="1" x14ac:dyDescent="0.3">
      <c r="A222" s="20" t="s">
        <v>136</v>
      </c>
      <c r="B222" s="117" t="s">
        <v>260</v>
      </c>
      <c r="C222" s="117"/>
      <c r="D222" s="117"/>
      <c r="E222" s="117"/>
      <c r="F222" s="21">
        <f>SUM(F221:F221)</f>
        <v>1200</v>
      </c>
    </row>
    <row r="223" spans="1:6" ht="12" thickBot="1" x14ac:dyDescent="0.3"/>
    <row r="224" spans="1:6" ht="12" thickBot="1" x14ac:dyDescent="0.3">
      <c r="A224" s="15" t="s">
        <v>161</v>
      </c>
      <c r="B224" s="16" t="s">
        <v>162</v>
      </c>
      <c r="C224" s="28"/>
      <c r="D224" s="29"/>
      <c r="E224" s="28"/>
      <c r="F224" s="30"/>
    </row>
    <row r="225" spans="1:6" ht="33.75" x14ac:dyDescent="0.25">
      <c r="A225" s="13" t="s">
        <v>163</v>
      </c>
      <c r="B225" s="5" t="s">
        <v>1276</v>
      </c>
      <c r="C225" s="1" t="s">
        <v>114</v>
      </c>
      <c r="D225" s="2">
        <v>4</v>
      </c>
      <c r="E225" s="1" t="s">
        <v>1326</v>
      </c>
      <c r="F225" s="14">
        <f t="shared" ref="F225:F227" si="68">SUM(D225*E225)</f>
        <v>1720</v>
      </c>
    </row>
    <row r="226" spans="1:6" ht="67.5" x14ac:dyDescent="0.25">
      <c r="A226" s="13" t="s">
        <v>164</v>
      </c>
      <c r="B226" s="5" t="s">
        <v>1277</v>
      </c>
      <c r="C226" s="1" t="s">
        <v>114</v>
      </c>
      <c r="D226" s="2">
        <v>5</v>
      </c>
      <c r="E226" s="1" t="s">
        <v>1326</v>
      </c>
      <c r="F226" s="14">
        <f t="shared" si="68"/>
        <v>2150</v>
      </c>
    </row>
    <row r="227" spans="1:6" ht="34.5" thickBot="1" x14ac:dyDescent="0.3">
      <c r="A227" s="13" t="s">
        <v>165</v>
      </c>
      <c r="B227" s="5" t="s">
        <v>1275</v>
      </c>
      <c r="C227" s="1" t="s">
        <v>114</v>
      </c>
      <c r="D227" s="2">
        <v>7</v>
      </c>
      <c r="E227" s="1" t="s">
        <v>1326</v>
      </c>
      <c r="F227" s="14">
        <f t="shared" si="68"/>
        <v>3010</v>
      </c>
    </row>
    <row r="228" spans="1:6" ht="12" thickBot="1" x14ac:dyDescent="0.3">
      <c r="A228" s="20" t="s">
        <v>161</v>
      </c>
      <c r="B228" s="117" t="s">
        <v>258</v>
      </c>
      <c r="C228" s="117"/>
      <c r="D228" s="117"/>
      <c r="E228" s="117"/>
      <c r="F228" s="21">
        <f>SUM(F225:F227)</f>
        <v>6880</v>
      </c>
    </row>
    <row r="229" spans="1:6" ht="12" thickBot="1" x14ac:dyDescent="0.3"/>
    <row r="230" spans="1:6" ht="12" thickBot="1" x14ac:dyDescent="0.3">
      <c r="A230" s="15" t="s">
        <v>166</v>
      </c>
      <c r="B230" s="16" t="s">
        <v>167</v>
      </c>
      <c r="C230" s="28"/>
      <c r="D230" s="29"/>
      <c r="E230" s="28"/>
      <c r="F230" s="30"/>
    </row>
    <row r="231" spans="1:6" ht="33.75" x14ac:dyDescent="0.25">
      <c r="A231" s="13" t="s">
        <v>168</v>
      </c>
      <c r="B231" s="5" t="s">
        <v>237</v>
      </c>
      <c r="F231" s="24"/>
    </row>
    <row r="232" spans="1:6" x14ac:dyDescent="0.25">
      <c r="A232" s="13"/>
      <c r="B232" s="5" t="s">
        <v>169</v>
      </c>
      <c r="C232" s="1" t="s">
        <v>16</v>
      </c>
      <c r="D232" s="2">
        <v>459.71</v>
      </c>
      <c r="E232" s="1" t="s">
        <v>1327</v>
      </c>
      <c r="F232" s="14">
        <f t="shared" ref="F232:F233" si="69">SUM(D232*E232)</f>
        <v>3217.97</v>
      </c>
    </row>
    <row r="233" spans="1:6" x14ac:dyDescent="0.25">
      <c r="A233" s="13"/>
      <c r="B233" s="5" t="s">
        <v>170</v>
      </c>
      <c r="C233" s="1" t="s">
        <v>16</v>
      </c>
      <c r="D233" s="2">
        <v>392.12</v>
      </c>
      <c r="E233" s="1" t="s">
        <v>1327</v>
      </c>
      <c r="F233" s="14">
        <f t="shared" si="69"/>
        <v>2744.84</v>
      </c>
    </row>
    <row r="234" spans="1:6" ht="112.5" x14ac:dyDescent="0.25">
      <c r="A234" s="13" t="s">
        <v>171</v>
      </c>
      <c r="B234" s="12" t="s">
        <v>238</v>
      </c>
      <c r="F234" s="24"/>
    </row>
    <row r="235" spans="1:6" x14ac:dyDescent="0.25">
      <c r="A235" s="13"/>
      <c r="B235" s="5" t="s">
        <v>169</v>
      </c>
      <c r="C235" s="1" t="s">
        <v>16</v>
      </c>
      <c r="D235" s="2">
        <v>459.71</v>
      </c>
      <c r="E235" s="1" t="s">
        <v>1328</v>
      </c>
      <c r="F235" s="14">
        <f t="shared" ref="F235:F238" si="70">SUM(D235*E235)</f>
        <v>1838.84</v>
      </c>
    </row>
    <row r="236" spans="1:6" x14ac:dyDescent="0.25">
      <c r="A236" s="13"/>
      <c r="B236" s="5" t="s">
        <v>170</v>
      </c>
      <c r="C236" s="1" t="s">
        <v>16</v>
      </c>
      <c r="D236" s="2">
        <v>392.12</v>
      </c>
      <c r="E236" s="1" t="s">
        <v>1328</v>
      </c>
      <c r="F236" s="14">
        <f t="shared" si="70"/>
        <v>1568.48</v>
      </c>
    </row>
    <row r="237" spans="1:6" x14ac:dyDescent="0.25">
      <c r="A237" s="13"/>
      <c r="B237" s="5" t="s">
        <v>173</v>
      </c>
      <c r="C237" s="1" t="s">
        <v>16</v>
      </c>
      <c r="D237" s="2">
        <v>539.28</v>
      </c>
      <c r="E237" s="1" t="s">
        <v>1328</v>
      </c>
      <c r="F237" s="14">
        <f t="shared" si="70"/>
        <v>2157.12</v>
      </c>
    </row>
    <row r="238" spans="1:6" ht="12" thickBot="1" x14ac:dyDescent="0.3">
      <c r="A238" s="13"/>
      <c r="B238" s="5" t="s">
        <v>172</v>
      </c>
      <c r="C238" s="1" t="s">
        <v>16</v>
      </c>
      <c r="D238" s="2">
        <v>56.41</v>
      </c>
      <c r="E238" s="1" t="s">
        <v>1328</v>
      </c>
      <c r="F238" s="14">
        <f t="shared" si="70"/>
        <v>225.64</v>
      </c>
    </row>
    <row r="239" spans="1:6" ht="15.75" thickBot="1" x14ac:dyDescent="0.3">
      <c r="A239" s="20" t="s">
        <v>166</v>
      </c>
      <c r="B239" s="117" t="s">
        <v>259</v>
      </c>
      <c r="C239" s="126"/>
      <c r="D239" s="126"/>
      <c r="E239" s="126"/>
      <c r="F239" s="21">
        <f>SUM(F232:F238)</f>
        <v>11752.89</v>
      </c>
    </row>
    <row r="240" spans="1:6" ht="12" thickBot="1" x14ac:dyDescent="0.3"/>
    <row r="241" spans="1:6" ht="12" thickBot="1" x14ac:dyDescent="0.3">
      <c r="A241" s="15" t="s">
        <v>174</v>
      </c>
      <c r="B241" s="16" t="s">
        <v>175</v>
      </c>
      <c r="C241" s="28"/>
      <c r="D241" s="29"/>
      <c r="E241" s="28"/>
      <c r="F241" s="30"/>
    </row>
    <row r="242" spans="1:6" ht="45" x14ac:dyDescent="0.25">
      <c r="A242" s="13" t="s">
        <v>176</v>
      </c>
      <c r="B242" s="5" t="s">
        <v>210</v>
      </c>
      <c r="C242" s="1" t="s">
        <v>16</v>
      </c>
      <c r="D242" s="2">
        <v>480</v>
      </c>
      <c r="E242" s="1" t="s">
        <v>1327</v>
      </c>
      <c r="F242" s="14">
        <f t="shared" ref="F242:F243" si="71">SUM(D242*E242)</f>
        <v>3360</v>
      </c>
    </row>
    <row r="243" spans="1:6" x14ac:dyDescent="0.25">
      <c r="A243" s="13" t="s">
        <v>177</v>
      </c>
      <c r="B243" s="5" t="s">
        <v>1278</v>
      </c>
      <c r="C243" s="1" t="s">
        <v>16</v>
      </c>
      <c r="D243" s="2">
        <v>396.04</v>
      </c>
      <c r="E243" s="1" t="s">
        <v>1329</v>
      </c>
      <c r="F243" s="14">
        <f t="shared" si="71"/>
        <v>25346.560000000001</v>
      </c>
    </row>
    <row r="244" spans="1:6" ht="157.5" x14ac:dyDescent="0.25">
      <c r="A244" s="13"/>
      <c r="B244" s="5" t="s">
        <v>233</v>
      </c>
      <c r="F244" s="24"/>
    </row>
    <row r="245" spans="1:6" ht="56.25" x14ac:dyDescent="0.25">
      <c r="A245" s="13"/>
      <c r="B245" s="5" t="s">
        <v>234</v>
      </c>
      <c r="F245" s="24"/>
    </row>
    <row r="246" spans="1:6" x14ac:dyDescent="0.25">
      <c r="A246" s="13" t="s">
        <v>178</v>
      </c>
      <c r="B246" s="5" t="s">
        <v>1280</v>
      </c>
      <c r="C246" s="1" t="s">
        <v>16</v>
      </c>
      <c r="D246" s="2">
        <v>6.54</v>
      </c>
      <c r="E246" s="1" t="s">
        <v>1330</v>
      </c>
      <c r="F246" s="14">
        <f t="shared" ref="F246" si="72">SUM(D246*E246)</f>
        <v>1569.6</v>
      </c>
    </row>
    <row r="247" spans="1:6" ht="157.5" x14ac:dyDescent="0.25">
      <c r="A247" s="13"/>
      <c r="B247" s="5" t="s">
        <v>1279</v>
      </c>
      <c r="F247" s="24"/>
    </row>
    <row r="248" spans="1:6" ht="45" x14ac:dyDescent="0.25">
      <c r="A248" s="13" t="s">
        <v>179</v>
      </c>
      <c r="B248" s="5" t="s">
        <v>1281</v>
      </c>
      <c r="C248" s="1" t="s">
        <v>16</v>
      </c>
      <c r="D248" s="2">
        <v>35</v>
      </c>
      <c r="E248" s="1" t="s">
        <v>1329</v>
      </c>
      <c r="F248" s="14">
        <f t="shared" ref="F248:F249" si="73">SUM(D248*E248)</f>
        <v>2240</v>
      </c>
    </row>
    <row r="249" spans="1:6" x14ac:dyDescent="0.25">
      <c r="A249" s="13" t="s">
        <v>180</v>
      </c>
      <c r="B249" s="5" t="s">
        <v>1282</v>
      </c>
      <c r="C249" s="1" t="s">
        <v>16</v>
      </c>
      <c r="D249" s="2">
        <v>21.71</v>
      </c>
      <c r="E249" s="1" t="s">
        <v>1329</v>
      </c>
      <c r="F249" s="14">
        <f t="shared" si="73"/>
        <v>1389.44</v>
      </c>
    </row>
    <row r="250" spans="1:6" ht="157.5" x14ac:dyDescent="0.25">
      <c r="A250" s="13"/>
      <c r="B250" s="5" t="s">
        <v>233</v>
      </c>
      <c r="D250" s="1"/>
      <c r="F250" s="24"/>
    </row>
    <row r="251" spans="1:6" ht="56.25" x14ac:dyDescent="0.25">
      <c r="A251" s="13"/>
      <c r="B251" s="5" t="s">
        <v>234</v>
      </c>
      <c r="F251" s="24"/>
    </row>
    <row r="252" spans="1:6" x14ac:dyDescent="0.25">
      <c r="A252" s="13" t="s">
        <v>209</v>
      </c>
      <c r="B252" s="5" t="s">
        <v>1283</v>
      </c>
      <c r="C252" s="1" t="s">
        <v>16</v>
      </c>
      <c r="D252" s="2">
        <v>29.62</v>
      </c>
      <c r="E252" s="1" t="s">
        <v>1329</v>
      </c>
      <c r="F252" s="14">
        <f t="shared" ref="F252" si="74">SUM(D252*E252)</f>
        <v>1895.68</v>
      </c>
    </row>
    <row r="253" spans="1:6" ht="22.5" x14ac:dyDescent="0.25">
      <c r="A253" s="13"/>
      <c r="B253" s="6" t="s">
        <v>1284</v>
      </c>
      <c r="F253" s="24"/>
    </row>
    <row r="254" spans="1:6" ht="57" thickBot="1" x14ac:dyDescent="0.3">
      <c r="A254" s="13"/>
      <c r="B254" s="5" t="s">
        <v>234</v>
      </c>
      <c r="F254" s="24"/>
    </row>
    <row r="255" spans="1:6" ht="15.75" thickBot="1" x14ac:dyDescent="0.3">
      <c r="A255" s="20" t="s">
        <v>174</v>
      </c>
      <c r="B255" s="117" t="s">
        <v>255</v>
      </c>
      <c r="C255" s="126"/>
      <c r="D255" s="126"/>
      <c r="E255" s="126"/>
      <c r="F255" s="21">
        <f>SUM(F242:F254)</f>
        <v>35801.279999999999</v>
      </c>
    </row>
    <row r="256" spans="1:6" ht="12" thickBot="1" x14ac:dyDescent="0.3"/>
    <row r="257" spans="1:6" ht="12" thickBot="1" x14ac:dyDescent="0.3">
      <c r="A257" s="15" t="s">
        <v>181</v>
      </c>
      <c r="B257" s="16" t="s">
        <v>182</v>
      </c>
      <c r="C257" s="28"/>
      <c r="D257" s="29"/>
      <c r="E257" s="28"/>
      <c r="F257" s="30"/>
    </row>
    <row r="258" spans="1:6" ht="56.25" x14ac:dyDescent="0.25">
      <c r="A258" s="13" t="s">
        <v>183</v>
      </c>
      <c r="B258" s="5" t="s">
        <v>184</v>
      </c>
      <c r="C258" s="1" t="s">
        <v>34</v>
      </c>
      <c r="D258" s="2">
        <v>43</v>
      </c>
      <c r="E258" s="1" t="s">
        <v>1331</v>
      </c>
      <c r="F258" s="14">
        <f t="shared" ref="F258:F259" si="75">SUM(D258*E258)</f>
        <v>3225</v>
      </c>
    </row>
    <row r="259" spans="1:6" ht="57" thickBot="1" x14ac:dyDescent="0.3">
      <c r="A259" s="13" t="s">
        <v>185</v>
      </c>
      <c r="B259" s="5" t="s">
        <v>186</v>
      </c>
      <c r="C259" s="1" t="s">
        <v>34</v>
      </c>
      <c r="D259" s="2">
        <v>2</v>
      </c>
      <c r="E259" s="1" t="s">
        <v>1294</v>
      </c>
      <c r="F259" s="14">
        <f t="shared" si="75"/>
        <v>200</v>
      </c>
    </row>
    <row r="260" spans="1:6" ht="12" thickBot="1" x14ac:dyDescent="0.3">
      <c r="A260" s="20" t="s">
        <v>181</v>
      </c>
      <c r="B260" s="117" t="s">
        <v>256</v>
      </c>
      <c r="C260" s="117"/>
      <c r="D260" s="117"/>
      <c r="E260" s="117"/>
      <c r="F260" s="21">
        <f>SUM(F258:F259)</f>
        <v>3425</v>
      </c>
    </row>
    <row r="261" spans="1:6" ht="12" thickBot="1" x14ac:dyDescent="0.3"/>
    <row r="262" spans="1:6" ht="12" thickBot="1" x14ac:dyDescent="0.3">
      <c r="A262" s="15" t="s">
        <v>195</v>
      </c>
      <c r="B262" s="16" t="s">
        <v>196</v>
      </c>
      <c r="C262" s="28"/>
      <c r="D262" s="29"/>
      <c r="E262" s="28"/>
      <c r="F262" s="30"/>
    </row>
    <row r="263" spans="1:6" x14ac:dyDescent="0.25">
      <c r="A263" s="13" t="s">
        <v>197</v>
      </c>
      <c r="B263" s="5" t="s">
        <v>198</v>
      </c>
      <c r="C263" s="1" t="s">
        <v>16</v>
      </c>
      <c r="D263" s="2">
        <v>76.53</v>
      </c>
      <c r="E263" s="1" t="s">
        <v>1306</v>
      </c>
      <c r="F263" s="14">
        <f t="shared" ref="F263" si="76">SUM(D263*E263)</f>
        <v>2678.55</v>
      </c>
    </row>
    <row r="264" spans="1:6" ht="45" x14ac:dyDescent="0.25">
      <c r="A264" s="13"/>
      <c r="B264" s="5" t="s">
        <v>1287</v>
      </c>
      <c r="F264" s="14"/>
    </row>
    <row r="265" spans="1:6" ht="67.5" x14ac:dyDescent="0.25">
      <c r="A265" s="13"/>
      <c r="B265" s="6" t="s">
        <v>58</v>
      </c>
      <c r="D265" s="1"/>
      <c r="F265" s="24"/>
    </row>
    <row r="266" spans="1:6" ht="22.5" x14ac:dyDescent="0.25">
      <c r="A266" s="13"/>
      <c r="B266" s="10" t="s">
        <v>1286</v>
      </c>
      <c r="F266" s="24"/>
    </row>
    <row r="267" spans="1:6" ht="22.5" x14ac:dyDescent="0.25">
      <c r="A267" s="13"/>
      <c r="B267" s="5" t="s">
        <v>1288</v>
      </c>
      <c r="F267" s="24"/>
    </row>
    <row r="268" spans="1:6" s="9" customFormat="1" ht="123.75" x14ac:dyDescent="0.25">
      <c r="A268" s="31"/>
      <c r="B268" s="10" t="s">
        <v>199</v>
      </c>
      <c r="D268" s="11"/>
      <c r="F268" s="32"/>
    </row>
    <row r="269" spans="1:6" s="9" customFormat="1" ht="22.5" x14ac:dyDescent="0.25">
      <c r="A269" s="31"/>
      <c r="B269" s="5" t="s">
        <v>1288</v>
      </c>
      <c r="D269" s="11"/>
      <c r="F269" s="32"/>
    </row>
    <row r="270" spans="1:6" s="9" customFormat="1" x14ac:dyDescent="0.25">
      <c r="A270" s="31"/>
      <c r="B270" s="10" t="s">
        <v>1290</v>
      </c>
      <c r="D270" s="11"/>
      <c r="F270" s="32"/>
    </row>
    <row r="271" spans="1:6" s="9" customFormat="1" ht="22.5" x14ac:dyDescent="0.25">
      <c r="A271" s="13" t="s">
        <v>202</v>
      </c>
      <c r="B271" s="10" t="s">
        <v>201</v>
      </c>
      <c r="C271" s="1" t="s">
        <v>16</v>
      </c>
      <c r="D271" s="2">
        <v>23.01</v>
      </c>
      <c r="E271" s="1" t="s">
        <v>1299</v>
      </c>
      <c r="F271" s="14">
        <f t="shared" ref="F271:F272" si="77">SUM(D271*E271)</f>
        <v>920.40000000000009</v>
      </c>
    </row>
    <row r="272" spans="1:6" ht="34.5" thickBot="1" x14ac:dyDescent="0.3">
      <c r="A272" s="13" t="s">
        <v>232</v>
      </c>
      <c r="B272" s="5" t="s">
        <v>1289</v>
      </c>
      <c r="C272" s="1" t="s">
        <v>114</v>
      </c>
      <c r="D272" s="2">
        <v>4</v>
      </c>
      <c r="E272" s="1" t="s">
        <v>1303</v>
      </c>
      <c r="F272" s="14">
        <f t="shared" si="77"/>
        <v>600</v>
      </c>
    </row>
    <row r="273" spans="1:6" ht="15.75" thickBot="1" x14ac:dyDescent="0.3">
      <c r="A273" s="20" t="s">
        <v>195</v>
      </c>
      <c r="B273" s="117" t="s">
        <v>254</v>
      </c>
      <c r="C273" s="126"/>
      <c r="D273" s="126"/>
      <c r="E273" s="126"/>
      <c r="F273" s="21">
        <f>SUM(F263:F272)</f>
        <v>4198.9500000000007</v>
      </c>
    </row>
    <row r="274" spans="1:6" ht="12" thickBot="1" x14ac:dyDescent="0.3"/>
    <row r="275" spans="1:6" ht="12" thickBot="1" x14ac:dyDescent="0.3">
      <c r="A275" s="15" t="s">
        <v>223</v>
      </c>
      <c r="B275" s="16" t="s">
        <v>224</v>
      </c>
      <c r="C275" s="28"/>
      <c r="D275" s="29"/>
      <c r="E275" s="28"/>
      <c r="F275" s="30"/>
    </row>
    <row r="276" spans="1:6" x14ac:dyDescent="0.25">
      <c r="A276" s="13" t="s">
        <v>225</v>
      </c>
      <c r="B276" s="5" t="s">
        <v>231</v>
      </c>
      <c r="C276" s="1" t="s">
        <v>16</v>
      </c>
      <c r="D276" s="2">
        <v>20</v>
      </c>
      <c r="E276" s="1" t="s">
        <v>1301</v>
      </c>
      <c r="F276" s="14">
        <f t="shared" ref="F276" si="78">SUM(D276*E276)</f>
        <v>200</v>
      </c>
    </row>
    <row r="277" spans="1:6" x14ac:dyDescent="0.25">
      <c r="A277" s="13" t="s">
        <v>226</v>
      </c>
      <c r="B277" s="5" t="s">
        <v>239</v>
      </c>
      <c r="C277" s="1" t="s">
        <v>16</v>
      </c>
      <c r="D277" s="2">
        <v>120</v>
      </c>
      <c r="E277" s="1" t="s">
        <v>1306</v>
      </c>
      <c r="F277" s="14">
        <f t="shared" ref="F277" si="79">SUM(D277*E277)</f>
        <v>4200</v>
      </c>
    </row>
    <row r="278" spans="1:6" ht="22.5" x14ac:dyDescent="0.25">
      <c r="A278" s="13"/>
      <c r="B278" s="5" t="s">
        <v>243</v>
      </c>
      <c r="F278" s="24"/>
    </row>
    <row r="279" spans="1:6" ht="22.5" x14ac:dyDescent="0.25">
      <c r="A279" s="13"/>
      <c r="B279" s="5" t="s">
        <v>242</v>
      </c>
      <c r="F279" s="24"/>
    </row>
    <row r="280" spans="1:6" ht="67.5" x14ac:dyDescent="0.25">
      <c r="A280" s="13"/>
      <c r="B280" s="5" t="s">
        <v>241</v>
      </c>
      <c r="F280" s="24"/>
    </row>
    <row r="281" spans="1:6" ht="22.5" x14ac:dyDescent="0.25">
      <c r="A281" s="13"/>
      <c r="B281" s="5" t="s">
        <v>240</v>
      </c>
      <c r="C281" s="1" t="s">
        <v>34</v>
      </c>
      <c r="D281" s="2">
        <v>35</v>
      </c>
      <c r="E281" s="1" t="s">
        <v>1298</v>
      </c>
      <c r="F281" s="14">
        <f t="shared" ref="F281" si="80">SUM(D281*E281)</f>
        <v>1050</v>
      </c>
    </row>
    <row r="282" spans="1:6" ht="34.5" thickBot="1" x14ac:dyDescent="0.3">
      <c r="A282" s="13" t="s">
        <v>227</v>
      </c>
      <c r="B282" s="5" t="s">
        <v>245</v>
      </c>
      <c r="C282" s="1" t="s">
        <v>34</v>
      </c>
      <c r="D282" s="2">
        <v>150</v>
      </c>
      <c r="E282" s="1" t="s">
        <v>1299</v>
      </c>
      <c r="F282" s="14">
        <f t="shared" ref="F282" si="81">SUM(D282*E282)</f>
        <v>6000</v>
      </c>
    </row>
    <row r="283" spans="1:6" s="3" customFormat="1" ht="12" thickBot="1" x14ac:dyDescent="0.3">
      <c r="A283" s="20" t="s">
        <v>223</v>
      </c>
      <c r="B283" s="25" t="s">
        <v>257</v>
      </c>
      <c r="C283" s="33"/>
      <c r="D283" s="34"/>
      <c r="E283" s="33"/>
      <c r="F283" s="21">
        <f>SUM(F276:F282)</f>
        <v>11450</v>
      </c>
    </row>
    <row r="285" spans="1:6" ht="12" thickBot="1" x14ac:dyDescent="0.3"/>
    <row r="286" spans="1:6" ht="20.100000000000001" customHeight="1" thickBot="1" x14ac:dyDescent="0.3">
      <c r="A286" s="36"/>
      <c r="B286" s="118" t="s">
        <v>272</v>
      </c>
      <c r="C286" s="118"/>
      <c r="D286" s="118"/>
      <c r="E286" s="118"/>
      <c r="F286" s="119"/>
    </row>
    <row r="287" spans="1:6" x14ac:dyDescent="0.25">
      <c r="A287" s="13" t="s">
        <v>3</v>
      </c>
      <c r="B287" s="116" t="s">
        <v>0</v>
      </c>
      <c r="C287" s="116"/>
      <c r="D287" s="116"/>
      <c r="E287" s="116"/>
      <c r="F287" s="14">
        <f>SUM(F11)</f>
        <v>5580</v>
      </c>
    </row>
    <row r="288" spans="1:6" x14ac:dyDescent="0.25">
      <c r="A288" s="13" t="s">
        <v>4</v>
      </c>
      <c r="B288" s="116" t="s">
        <v>1</v>
      </c>
      <c r="C288" s="116"/>
      <c r="D288" s="116"/>
      <c r="E288" s="116"/>
      <c r="F288" s="14">
        <f>SUM(F28)</f>
        <v>44442.400000000001</v>
      </c>
    </row>
    <row r="289" spans="1:6" x14ac:dyDescent="0.25">
      <c r="A289" s="13" t="s">
        <v>36</v>
      </c>
      <c r="B289" s="116" t="s">
        <v>2</v>
      </c>
      <c r="C289" s="116"/>
      <c r="D289" s="116"/>
      <c r="E289" s="116"/>
      <c r="F289" s="14">
        <f>SUM(F86)</f>
        <v>207038.69999999998</v>
      </c>
    </row>
    <row r="290" spans="1:6" x14ac:dyDescent="0.25">
      <c r="A290" s="13" t="s">
        <v>37</v>
      </c>
      <c r="B290" s="116" t="s">
        <v>55</v>
      </c>
      <c r="C290" s="116"/>
      <c r="D290" s="116"/>
      <c r="E290" s="116"/>
      <c r="F290" s="14">
        <f>SUM(F113)</f>
        <v>26254.3</v>
      </c>
    </row>
    <row r="291" spans="1:6" x14ac:dyDescent="0.25">
      <c r="A291" s="13" t="s">
        <v>53</v>
      </c>
      <c r="B291" s="116" t="s">
        <v>69</v>
      </c>
      <c r="C291" s="116"/>
      <c r="D291" s="116"/>
      <c r="E291" s="116"/>
      <c r="F291" s="14">
        <f>SUM(F133)</f>
        <v>13053.75</v>
      </c>
    </row>
    <row r="292" spans="1:6" x14ac:dyDescent="0.25">
      <c r="A292" s="13" t="s">
        <v>56</v>
      </c>
      <c r="B292" s="116" t="s">
        <v>99</v>
      </c>
      <c r="C292" s="116"/>
      <c r="D292" s="116"/>
      <c r="E292" s="116"/>
      <c r="F292" s="14">
        <f>SUM(F154)</f>
        <v>21139.399999999998</v>
      </c>
    </row>
    <row r="293" spans="1:6" x14ac:dyDescent="0.25">
      <c r="A293" s="13" t="s">
        <v>57</v>
      </c>
      <c r="B293" s="116" t="s">
        <v>228</v>
      </c>
      <c r="C293" s="116"/>
      <c r="D293" s="116"/>
      <c r="E293" s="116"/>
      <c r="F293" s="14">
        <f>SUM(F164)</f>
        <v>18346.900000000001</v>
      </c>
    </row>
    <row r="294" spans="1:6" x14ac:dyDescent="0.25">
      <c r="A294" s="13" t="s">
        <v>96</v>
      </c>
      <c r="B294" s="116" t="s">
        <v>126</v>
      </c>
      <c r="C294" s="116"/>
      <c r="D294" s="116"/>
      <c r="E294" s="116"/>
      <c r="F294" s="14">
        <f>SUM(F172)</f>
        <v>17499.099999999999</v>
      </c>
    </row>
    <row r="295" spans="1:6" x14ac:dyDescent="0.25">
      <c r="A295" s="13" t="s">
        <v>98</v>
      </c>
      <c r="B295" s="116" t="s">
        <v>133</v>
      </c>
      <c r="C295" s="116"/>
      <c r="D295" s="116"/>
      <c r="E295" s="116"/>
      <c r="F295" s="14">
        <f>SUM(F182)</f>
        <v>13762.2</v>
      </c>
    </row>
    <row r="296" spans="1:6" x14ac:dyDescent="0.25">
      <c r="A296" s="13" t="s">
        <v>101</v>
      </c>
      <c r="B296" s="116" t="s">
        <v>137</v>
      </c>
      <c r="C296" s="116"/>
      <c r="D296" s="116"/>
      <c r="E296" s="116"/>
      <c r="F296" s="14">
        <f>SUM(F194)</f>
        <v>12748</v>
      </c>
    </row>
    <row r="297" spans="1:6" x14ac:dyDescent="0.25">
      <c r="A297" s="13" t="s">
        <v>107</v>
      </c>
      <c r="B297" s="116" t="s">
        <v>146</v>
      </c>
      <c r="C297" s="116"/>
      <c r="D297" s="116"/>
      <c r="E297" s="116"/>
      <c r="F297" s="14">
        <f>SUM(F214)</f>
        <v>34300</v>
      </c>
    </row>
    <row r="298" spans="1:6" x14ac:dyDescent="0.25">
      <c r="A298" s="13" t="s">
        <v>128</v>
      </c>
      <c r="B298" s="116" t="s">
        <v>156</v>
      </c>
      <c r="C298" s="116"/>
      <c r="D298" s="116"/>
      <c r="E298" s="116"/>
      <c r="F298" s="14">
        <f>SUM(F218)</f>
        <v>1500</v>
      </c>
    </row>
    <row r="299" spans="1:6" x14ac:dyDescent="0.25">
      <c r="A299" s="13" t="s">
        <v>136</v>
      </c>
      <c r="B299" s="116" t="s">
        <v>158</v>
      </c>
      <c r="C299" s="116"/>
      <c r="D299" s="116"/>
      <c r="E299" s="116"/>
      <c r="F299" s="14">
        <f>SUM(F222)</f>
        <v>1200</v>
      </c>
    </row>
    <row r="300" spans="1:6" x14ac:dyDescent="0.25">
      <c r="A300" s="13" t="s">
        <v>161</v>
      </c>
      <c r="B300" s="116" t="s">
        <v>162</v>
      </c>
      <c r="C300" s="116"/>
      <c r="D300" s="116"/>
      <c r="E300" s="116"/>
      <c r="F300" s="14">
        <f>SUM(F228)</f>
        <v>6880</v>
      </c>
    </row>
    <row r="301" spans="1:6" x14ac:dyDescent="0.25">
      <c r="A301" s="13" t="s">
        <v>166</v>
      </c>
      <c r="B301" s="116" t="s">
        <v>167</v>
      </c>
      <c r="C301" s="116"/>
      <c r="D301" s="116"/>
      <c r="E301" s="116"/>
      <c r="F301" s="14">
        <f>SUM(F239)</f>
        <v>11752.89</v>
      </c>
    </row>
    <row r="302" spans="1:6" x14ac:dyDescent="0.25">
      <c r="A302" s="13" t="s">
        <v>174</v>
      </c>
      <c r="B302" s="116" t="s">
        <v>175</v>
      </c>
      <c r="C302" s="116"/>
      <c r="D302" s="116"/>
      <c r="E302" s="116"/>
      <c r="F302" s="14">
        <f>SUM(F255)</f>
        <v>35801.279999999999</v>
      </c>
    </row>
    <row r="303" spans="1:6" x14ac:dyDescent="0.25">
      <c r="A303" s="13" t="s">
        <v>181</v>
      </c>
      <c r="B303" s="116" t="s">
        <v>182</v>
      </c>
      <c r="C303" s="116"/>
      <c r="D303" s="116"/>
      <c r="E303" s="116"/>
      <c r="F303" s="14">
        <f>SUM(F260)</f>
        <v>3425</v>
      </c>
    </row>
    <row r="304" spans="1:6" x14ac:dyDescent="0.25">
      <c r="A304" s="13" t="s">
        <v>195</v>
      </c>
      <c r="B304" s="116" t="s">
        <v>196</v>
      </c>
      <c r="C304" s="116"/>
      <c r="D304" s="116"/>
      <c r="E304" s="116"/>
      <c r="F304" s="14">
        <f>SUM(F273)</f>
        <v>4198.9500000000007</v>
      </c>
    </row>
    <row r="305" spans="1:6" ht="12" thickBot="1" x14ac:dyDescent="0.3">
      <c r="A305" s="13" t="s">
        <v>223</v>
      </c>
      <c r="B305" s="116" t="s">
        <v>224</v>
      </c>
      <c r="C305" s="116"/>
      <c r="D305" s="116"/>
      <c r="E305" s="116"/>
      <c r="F305" s="14">
        <f>SUM(F283)</f>
        <v>11450</v>
      </c>
    </row>
    <row r="306" spans="1:6" ht="20.100000000000001" customHeight="1" thickBot="1" x14ac:dyDescent="0.3">
      <c r="A306" s="35"/>
      <c r="B306" s="117" t="s">
        <v>273</v>
      </c>
      <c r="C306" s="117"/>
      <c r="D306" s="117"/>
      <c r="E306" s="117"/>
      <c r="F306" s="21">
        <f>SUM(F287:F305)</f>
        <v>490372.87000000005</v>
      </c>
    </row>
  </sheetData>
  <mergeCells count="39">
    <mergeCell ref="A1:G1"/>
    <mergeCell ref="A2:G2"/>
    <mergeCell ref="B273:E273"/>
    <mergeCell ref="B239:E239"/>
    <mergeCell ref="B255:E255"/>
    <mergeCell ref="B260:E260"/>
    <mergeCell ref="B228:E228"/>
    <mergeCell ref="B222:E222"/>
    <mergeCell ref="B218:E218"/>
    <mergeCell ref="B214:E214"/>
    <mergeCell ref="B194:E194"/>
    <mergeCell ref="B182:E182"/>
    <mergeCell ref="B172:E172"/>
    <mergeCell ref="B164:E164"/>
    <mergeCell ref="B133:E133"/>
    <mergeCell ref="B11:E11"/>
    <mergeCell ref="B287:E287"/>
    <mergeCell ref="B288:E288"/>
    <mergeCell ref="B289:E289"/>
    <mergeCell ref="B304:E304"/>
    <mergeCell ref="B86:E86"/>
    <mergeCell ref="B292:E292"/>
    <mergeCell ref="B293:E293"/>
    <mergeCell ref="B294:E294"/>
    <mergeCell ref="B28:E28"/>
    <mergeCell ref="B305:E305"/>
    <mergeCell ref="B306:E306"/>
    <mergeCell ref="B286:F286"/>
    <mergeCell ref="B300:E300"/>
    <mergeCell ref="B301:E301"/>
    <mergeCell ref="B302:E302"/>
    <mergeCell ref="B303:E303"/>
    <mergeCell ref="B295:E295"/>
    <mergeCell ref="B296:E296"/>
    <mergeCell ref="B297:E297"/>
    <mergeCell ref="B298:E298"/>
    <mergeCell ref="B299:E299"/>
    <mergeCell ref="B290:E290"/>
    <mergeCell ref="B291:E291"/>
  </mergeCells>
  <pageMargins left="0.7" right="0.7" top="0.75" bottom="0.75" header="0.3" footer="0.3"/>
  <pageSetup paperSize="9"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OPĆI UVJETI</vt:lpstr>
      <vt:lpstr>TROSKOVNIK</vt:lpstr>
      <vt:lpstr>'OPĆI UVJETI'!Print_Area</vt:lpstr>
      <vt:lpstr>TROSKOVNIK!Print_Area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Vlatko Matic</dc:creator>
  <cp:lastModifiedBy>Ivan Cakaric</cp:lastModifiedBy>
  <cp:lastPrinted>2020-09-18T15:17:53Z</cp:lastPrinted>
  <dcterms:created xsi:type="dcterms:W3CDTF">2020-09-03T17:30:49Z</dcterms:created>
  <dcterms:modified xsi:type="dcterms:W3CDTF">2024-05-22T16:21:48Z</dcterms:modified>
</cp:coreProperties>
</file>