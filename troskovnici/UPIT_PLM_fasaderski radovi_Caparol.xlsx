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T:\7_PONUDE 2026\Urban Valley\"/>
    </mc:Choice>
  </mc:AlternateContent>
  <xr:revisionPtr revIDLastSave="0" documentId="13_ncr:1_{20442221-6032-4BA4-A77E-B482FC2E8590}" xr6:coauthVersionLast="47" xr6:coauthVersionMax="47" xr10:uidLastSave="{00000000-0000-0000-0000-000000000000}"/>
  <bookViews>
    <workbookView xWindow="20355" yWindow="1260" windowWidth="21735" windowHeight="18705" tabRatio="952" activeTab="3" xr2:uid="{00000000-000D-0000-FFFF-FFFF00000000}"/>
  </bookViews>
  <sheets>
    <sheet name="NASLOVNICA " sheetId="70" r:id="rId1"/>
    <sheet name="OPCI UVJETI" sheetId="71" r:id="rId2"/>
    <sheet name="Sadržaj " sheetId="72" r:id="rId3"/>
    <sheet name="Fasaderski r." sheetId="16" r:id="rId4"/>
    <sheet name="Rekapitulacija" sheetId="24" r:id="rId5"/>
  </sheets>
  <externalReferences>
    <externalReference r:id="rId6"/>
  </externalReferences>
  <definedNames>
    <definedName name="_1.1.">#REF!</definedName>
    <definedName name="_1Excel_BuiltIn_Print_Area_2_1_1" localSheetId="0">#REF!</definedName>
    <definedName name="_1Excel_BuiltIn_Print_Area_2_1_1" localSheetId="1">#REF!</definedName>
    <definedName name="_1Excel_BuiltIn_Print_Area_2_1_1">#REF!</definedName>
    <definedName name="_2Excel_BuiltIn_Print_Area_2_1_1_1" localSheetId="0">#REF!</definedName>
    <definedName name="_2Excel_BuiltIn_Print_Area_2_1_1_1" localSheetId="1">#REF!</definedName>
    <definedName name="_2Excel_BuiltIn_Print_Area_2_1_1_1">#REF!</definedName>
    <definedName name="_3ea1" localSheetId="0">#REF!</definedName>
    <definedName name="_3ea1" localSheetId="1">#REF!</definedName>
    <definedName name="_3ea1">#REF!</definedName>
    <definedName name="_3Excel_BuiltIn_Print_Area_2_1_1_1_1" localSheetId="0">#REF!</definedName>
    <definedName name="_3Excel_BuiltIn_Print_Area_2_1_1_1_1">#REF!</definedName>
    <definedName name="_4Excel_BuiltIn_Print_Area_2_1_1_1_1_1" localSheetId="0">#REF!</definedName>
    <definedName name="_4Excel_BuiltIn_Print_Area_2_1_1_1_1_1">#REF!</definedName>
    <definedName name="_5Excel_BuiltIn_Print_Area_2_1_1_1_1_1_1_1_1" localSheetId="0">#REF!</definedName>
    <definedName name="_5Excel_BuiltIn_Print_Area_2_1_1_1_1_1_1_1_1">#REF!</definedName>
    <definedName name="a">#REF!</definedName>
    <definedName name="CELIJA">#REF!</definedName>
    <definedName name="d">#REF!</definedName>
    <definedName name="da">#REF!</definedName>
    <definedName name="daa">#REF!</definedName>
    <definedName name="Excel_BuiltIn_Print_Area_1" localSheetId="0">#REF!</definedName>
    <definedName name="Excel_BuiltIn_Print_Area_1">#REF!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2_1_1" localSheetId="0">#REF!</definedName>
    <definedName name="Excel_BuiltIn_Print_Area_2_1_1">#REF!</definedName>
    <definedName name="Excel_BuiltIn_Print_Area_2_1_1_1" localSheetId="0">#REF!</definedName>
    <definedName name="Excel_BuiltIn_Print_Area_2_1_1_1">#REF!</definedName>
    <definedName name="Excel_BuiltIn_Print_Area_2_1_1_1_1" localSheetId="0">#REF!</definedName>
    <definedName name="Excel_BuiltIn_Print_Area_2_1_1_1_1">#REF!</definedName>
    <definedName name="Excel_BuiltIn_Print_Area_2_1_1_1_1_1" localSheetId="0">#REF!</definedName>
    <definedName name="Excel_BuiltIn_Print_Area_2_1_1_1_1_1">#REF!</definedName>
    <definedName name="Excel_BuiltIn_Print_Area_2_1_1_1_1_1_1" localSheetId="0">#REF!</definedName>
    <definedName name="Excel_BuiltIn_Print_Area_2_1_1_1_1_1_1">#REF!</definedName>
    <definedName name="Excel_BuiltIn_Print_Area_2_1_1_1_1_1_1_1" localSheetId="0">#REF!</definedName>
    <definedName name="Excel_BuiltIn_Print_Area_2_1_1_1_1_1_1_1">#REF!</definedName>
    <definedName name="Excel_BuiltIn_Print_Area_3" localSheetId="0">#REF!</definedName>
    <definedName name="Excel_BuiltIn_Print_Area_3">#REF!</definedName>
    <definedName name="hortikultura">#REF!</definedName>
    <definedName name="lijace">#REF!</definedName>
    <definedName name="niš">#REF!</definedName>
    <definedName name="NOVA">#REF!</definedName>
    <definedName name="_xlnm.Print_Area" localSheetId="3">'Fasaderski r.'!$A$1:$H$85</definedName>
    <definedName name="_xlnm.Print_Area" localSheetId="0">'NASLOVNICA '!$A$1:$I$60</definedName>
    <definedName name="_xlnm.Print_Area" localSheetId="1">'OPCI UVJETI'!$A$1:$L$32</definedName>
    <definedName name="_xlnm.Print_Area" localSheetId="4">Rekapitulacija!$B$1:$G$28</definedName>
    <definedName name="_xlnm.Print_Area" localSheetId="2">'Sadržaj '!$A$1:$E$40</definedName>
    <definedName name="_xlnm.Print_Titles" localSheetId="3">'Fasaderski r.'!$1:$4</definedName>
    <definedName name="_xlnm.Print_Titles" localSheetId="4">Rekapitulacija!$1:$6</definedName>
    <definedName name="qwd">#REF!</definedName>
    <definedName name="RED">#REF!</definedName>
    <definedName name="STROJARSTVO">#REF!</definedName>
    <definedName name="UKUPNO1">#REF!</definedName>
    <definedName name="UKUPNO10">#REF!</definedName>
    <definedName name="UKUPNO11">#REF!</definedName>
    <definedName name="UKUPNO12">#REF!</definedName>
    <definedName name="UKUPNO13">#REF!</definedName>
    <definedName name="UKUPNO14">#REF!</definedName>
    <definedName name="UKUPNO15">#REF!</definedName>
    <definedName name="UKUPNO16">#REF!</definedName>
    <definedName name="UKUPNO17">#REF!</definedName>
    <definedName name="UKUPNO18">#REF!</definedName>
    <definedName name="UKUPNO19">#REF!</definedName>
    <definedName name="UKUPNO2">#REF!</definedName>
    <definedName name="UKUPNO20">#REF!</definedName>
    <definedName name="UKUPNO3">#REF!</definedName>
    <definedName name="UKUPNO4">#REF!</definedName>
    <definedName name="UKUPNO5">#REF!</definedName>
    <definedName name="UKUPNO6">#REF!</definedName>
    <definedName name="UKUPNO7">#REF!</definedName>
    <definedName name="UKUPNO8">#REF!</definedName>
    <definedName name="UKUPNO9">#REF!</definedName>
    <definedName name="Z_9EAD5B05_DC3D_4567_ADA7_D249344E2ED7_.wvu.PrintArea" localSheetId="3" hidden="1">'Fasaderski r.'!$A:$H</definedName>
    <definedName name="Z_9EAD5B05_DC3D_4567_ADA7_D249344E2ED7_.wvu.PrintArea" localSheetId="4" hidden="1">Rekapitulacija!$A:$F</definedName>
    <definedName name="Z_9EAD5B05_DC3D_4567_ADA7_D249344E2ED7_.wvu.PrintArea" localSheetId="2" hidden="1">'Sadržaj '!$A:$E</definedName>
    <definedName name="Z_9EAD5B05_DC3D_4567_ADA7_D249344E2ED7_.wvu.PrintTitles" localSheetId="3" hidden="1">'Fasaderski r.'!$1:$1</definedName>
  </definedNames>
  <calcPr calcId="191029"/>
  <customWorkbookViews>
    <customWorkbookView name="korisnik6 - Osobni pogled" guid="{9EAD5B05-DC3D-4567-ADA7-D249344E2ED7}" mergeInterval="0" personalView="1" maximized="1" windowWidth="1276" windowHeight="823" tabRatio="854" activeSheetId="1"/>
  </customWorkbookViews>
</workbook>
</file>

<file path=xl/calcChain.xml><?xml version="1.0" encoding="utf-8"?>
<calcChain xmlns="http://schemas.openxmlformats.org/spreadsheetml/2006/main">
  <c r="H82" i="16" l="1"/>
  <c r="H72" i="16"/>
  <c r="H39" i="16"/>
  <c r="H63" i="16"/>
  <c r="H64" i="16"/>
  <c r="H65" i="16"/>
  <c r="H48" i="16"/>
  <c r="H38" i="16"/>
  <c r="H37" i="16"/>
  <c r="H36" i="16"/>
  <c r="H62" i="16" l="1"/>
  <c r="H47" i="16" l="1"/>
  <c r="D25" i="72" l="1"/>
  <c r="B25" i="72"/>
  <c r="D13" i="72"/>
  <c r="B13" i="72"/>
  <c r="D7" i="72"/>
  <c r="B7" i="72"/>
  <c r="H85" i="16" l="1"/>
  <c r="F7" i="24" s="1"/>
  <c r="E11" i="24" s="1"/>
  <c r="F15" i="24" s="1"/>
  <c r="E17" i="24" s="1"/>
  <c r="B7" i="24" l="1"/>
  <c r="A3" i="16" l="1"/>
  <c r="D85" i="16"/>
  <c r="B23" i="16" l="1"/>
  <c r="B85" i="16"/>
  <c r="A85" i="16"/>
</calcChain>
</file>

<file path=xl/sharedStrings.xml><?xml version="1.0" encoding="utf-8"?>
<sst xmlns="http://schemas.openxmlformats.org/spreadsheetml/2006/main" count="288" uniqueCount="190">
  <si>
    <t>pocetak</t>
  </si>
  <si>
    <t>Staklarski radovi</t>
  </si>
  <si>
    <t>ukupno:</t>
  </si>
  <si>
    <t>&lt; NAZAD</t>
  </si>
  <si>
    <t>NAPRIJED &gt;</t>
  </si>
  <si>
    <t>Poz.</t>
  </si>
  <si>
    <t>Opis</t>
  </si>
  <si>
    <t>Jedinica mjere</t>
  </si>
  <si>
    <t>Količina</t>
  </si>
  <si>
    <t>Jedinična cijena</t>
  </si>
  <si>
    <t>Ukupna cijena</t>
  </si>
  <si>
    <t>SADRŽAJ</t>
  </si>
  <si>
    <t>REKAPITULACIJA</t>
  </si>
  <si>
    <t>DNO</t>
  </si>
  <si>
    <t>VRH</t>
  </si>
  <si>
    <t>Podopolagački radovi</t>
  </si>
  <si>
    <t>Armiracki radovi</t>
  </si>
  <si>
    <t>Prethodni i pripremni radovi na gradilištu</t>
  </si>
  <si>
    <t>Prethodni radovi</t>
  </si>
  <si>
    <t>1.</t>
  </si>
  <si>
    <t>REKAPITULACIJA:</t>
  </si>
  <si>
    <t>SVEUKUPNO:</t>
  </si>
  <si>
    <t>Zemljani radovi</t>
  </si>
  <si>
    <t>Betonski i armiranobetonski radovi</t>
  </si>
  <si>
    <t>Zidarski radovi</t>
  </si>
  <si>
    <t xml:space="preserve">B. </t>
  </si>
  <si>
    <t>Limarski radovi</t>
  </si>
  <si>
    <t>Stolarski radovi</t>
  </si>
  <si>
    <t>Završni zidarski radovi</t>
  </si>
  <si>
    <t>Gipsarski radovi</t>
  </si>
  <si>
    <t>Keramičarski radovi</t>
  </si>
  <si>
    <t>Soboslikarsko-ličilački radovi</t>
  </si>
  <si>
    <t>POCETAK &gt;</t>
  </si>
  <si>
    <t>IV.</t>
  </si>
  <si>
    <t>III.</t>
  </si>
  <si>
    <t>II.</t>
  </si>
  <si>
    <t>I.</t>
  </si>
  <si>
    <t>Tesarski radovi</t>
  </si>
  <si>
    <t>Glavni projektant:</t>
  </si>
  <si>
    <t>PDV</t>
  </si>
  <si>
    <t>Ukupna cijena:</t>
  </si>
  <si>
    <t>TROŠKOVNIK GRAĐEVINSKIH I ZANATSKIH RADOVA</t>
  </si>
  <si>
    <t>REKAPITULACIJA 2</t>
  </si>
  <si>
    <t>Troškovnik strojarskih instalacija</t>
  </si>
  <si>
    <t>Obračun po m².</t>
  </si>
  <si>
    <t>FASADERSKI RADOVI</t>
  </si>
  <si>
    <t xml:space="preserve">Napomena: Podloga mora biti čvrsta, čista, bez nataloženih spojeva. Obavezna je zaštita bravarije, stolarije, klupčica i okapa. </t>
  </si>
  <si>
    <t>FASADERSKI RADOVI ¤ opći uvjeti</t>
  </si>
  <si>
    <t xml:space="preserve">Ploče termoizolacije, nalijepiti adekvatnim ljepilom, u ravnini, čvrsto zbijenih rubova na suhu nosivu podlogu. </t>
  </si>
  <si>
    <t>U jediničnu cijenu uključen sav potreban rad i materijal za dovođenje pročelja u funkciju.</t>
  </si>
  <si>
    <t>A.</t>
  </si>
  <si>
    <t>Fasaderski radovi</t>
  </si>
  <si>
    <t>Dodatno pričvrstiti ploče sa pričvrsnicama sa pocinčanim trnom (H1 Eco 8/60 min. 155 mm) uz minimalnu dubinu sidrenja od 25 mm.</t>
  </si>
  <si>
    <t>IV</t>
  </si>
  <si>
    <t>Gips kartonski radovi</t>
  </si>
  <si>
    <t>III</t>
  </si>
  <si>
    <t>I</t>
  </si>
  <si>
    <t>II</t>
  </si>
  <si>
    <t>a)</t>
  </si>
  <si>
    <t>b)</t>
  </si>
  <si>
    <t>c)</t>
  </si>
  <si>
    <t xml:space="preserve">Svi detalji obloge pročelja biti će detaljno razrađeni sa odabranim dobavlječem/proizvođačem fasadnog sustava, u skladu sa njegovim uputama i tipskim detaljima.
</t>
  </si>
  <si>
    <t xml:space="preserve">Prije otpočinjanja radova Izvođač je dužan dati projektantu na uvid izbor boja, tonova i tekstura, te dostaviti projektantu na ovjeru probne uzorke.
</t>
  </si>
  <si>
    <t xml:space="preserve">Obrada špaleta uključena je u jediničinu cijenu pojedine stavke (i neće biti zasebno obračunata). 
</t>
  </si>
  <si>
    <t xml:space="preserve">Izrada svih prodora kroz krovne i fasadne plohe za izvode elemenata instalacija, uključivo obradu rubnih bridova i ploha te limene opšavi oko istih uključeni u cijenu, te neće biti zasebno obračunati.
</t>
  </si>
  <si>
    <t xml:space="preserve">Toplinske karakteristike svih ugrađenih materijala uskladiti sa vrijednostima određenim Arhitektonskim projektom - Proračunom fizikalnih svojstava zgrade.
</t>
  </si>
  <si>
    <t xml:space="preserve">Sve dimenzije potrebno uzeti na licu mjesta prije izrade nosivih i nenosivih elemenata.
</t>
  </si>
  <si>
    <t xml:space="preserve">Za sve elemente fasade obavezno se striktno držati detalja i uputa odabranog proizvođača sustava.
</t>
  </si>
  <si>
    <t xml:space="preserve">Za sve eventualne nejasnoće u projektnoj dokumentaciji, Izvođač je dužan obratiti se, bez iznimike, nadzornom inženjeru.
</t>
  </si>
  <si>
    <t>Isto tako, u cijenu uključiti dobavu i postavu kutnog profila s integriranom finom tkaninom od staklenih vlakana, profila za izvedbu dilatacija, na mjestima gdje je to potrebno.</t>
  </si>
  <si>
    <t>m²</t>
  </si>
  <si>
    <t>●</t>
  </si>
  <si>
    <t>B.</t>
  </si>
  <si>
    <t>Urbane ideje d.o.o.</t>
  </si>
  <si>
    <t>Ljudevita Gaja 26A, 10430 Samobor</t>
  </si>
  <si>
    <t>tel:</t>
  </si>
  <si>
    <t>01/3374.341</t>
  </si>
  <si>
    <t>fax:</t>
  </si>
  <si>
    <t>01/3327.644</t>
  </si>
  <si>
    <t>mail:</t>
  </si>
  <si>
    <t>info@urbaneideje.hr</t>
  </si>
  <si>
    <t>web:</t>
  </si>
  <si>
    <t>www.urbaneideje.hr</t>
  </si>
  <si>
    <t>TROŠKOVNIK GRAĐEVINSKO-OBRTNIČKIH RADOVA</t>
  </si>
  <si>
    <t>investitor:</t>
  </si>
  <si>
    <t>10000 Zagreb</t>
  </si>
  <si>
    <t>glavni projektant:</t>
  </si>
  <si>
    <t>Mirna Kogelman, mag.ing.arch.</t>
  </si>
  <si>
    <t>direktor:</t>
  </si>
  <si>
    <t>Roko Dropuljić, dipl.ing.građ.</t>
  </si>
  <si>
    <t>troškovnik izradio:</t>
  </si>
  <si>
    <t>Josip Biber, dipl.ing.građ.</t>
  </si>
  <si>
    <t>lokacija:</t>
  </si>
  <si>
    <t>BP:</t>
  </si>
  <si>
    <t>ZOP:</t>
  </si>
  <si>
    <t xml:space="preserve">NAPOMENE: </t>
  </si>
  <si>
    <t xml:space="preserve">Troškovnik je izrađen na temelju izvedbenog projekta predmetne građevine. </t>
  </si>
  <si>
    <r>
      <t xml:space="preserve">Ovim troškovnikom </t>
    </r>
    <r>
      <rPr>
        <u/>
        <sz val="9"/>
        <rFont val="Segoe UI"/>
        <family val="2"/>
        <charset val="238"/>
      </rPr>
      <t>nisu</t>
    </r>
    <r>
      <rPr>
        <sz val="9"/>
        <rFont val="Segoe UI"/>
        <family val="2"/>
        <charset val="238"/>
      </rPr>
      <t xml:space="preserve"> obuhvaćeni: </t>
    </r>
  </si>
  <si>
    <t>● unutrašnji namještaj i inventar (otirači na ulaznim vratima i sl.), urbana oprema vanjskog prostora zgrade (klupe, koševi za otpatke, stalci za bicikle, žardinjere i sl.), sva vanjska i unutrašnja signalizacija (oznake) te specifična interijerska oprema</t>
  </si>
  <si>
    <t>● elementi uređenja interijera koji nisu mogli biti sagledani s obzirom na fazu projekta (odnosno: koji ne utječu na lokacijske uvjete i tehničko rješenje zgrade te se, sukladno pravilima struke, specifiraju izvedbenim projektom ili projektom interijera)</t>
  </si>
  <si>
    <t>● elementi hortikulurnog uređenja čestice (nisko i visoko zelenilo i raslinje, zelene ograde između i sl.), izuzev novih zatravljenih površina</t>
  </si>
  <si>
    <t>● eventualno potrebne mjere zaštite građevinske jame odnosno iskopa.</t>
  </si>
  <si>
    <t>Instalaterski radovi te pripadajući građevinski radovi potrebni za izvedbu instalacija obrađeni su unutar zasebnih troškovnika (elektroinstalacija, strojarskih instalacija i vodovoda i odvodnje).</t>
  </si>
  <si>
    <t>GRAĐEVINSKO-OBRTNIČKI RADOVI - OPĆI UVJETI I NAPOMENE</t>
  </si>
  <si>
    <t>OPĆE NAPOMENE:</t>
  </si>
  <si>
    <r>
      <rPr>
        <b/>
        <sz val="9"/>
        <rFont val="Segoe UI"/>
        <family val="2"/>
        <charset val="238"/>
      </rPr>
      <t>Prije početka radova izvoditelj je dužan pažljivo pročitati kompletan tekst općih uvjeta uz troškovnik, općih i posebnih uvjeta uz svaku grupu radova, tekst samog troškovnika i detaljno proučiti sve dijelove projektne dokumentacije, te provesti kontrolu iste u smislu točnosti, izvedivosti i međusobne usklađenosti, bez posebne naplate.</t>
    </r>
    <r>
      <rPr>
        <sz val="9"/>
        <rFont val="Segoe UI"/>
        <family val="2"/>
        <charset val="238"/>
      </rPr>
      <t xml:space="preserve"> Ako opis bilo kojeg dijela projektne dokumentacije (uključivo i opise stavaka u troškovniku) dovodi do sumnje o načinu izvedbe ili upotrebu gradiva zahtijevane kvalitete, treba prije potpisa Ugovora pisanim putem zatražiti pojašnjenje od Investitora odnosno Projektanta. Sukladno navedenom - svako naknadno pozivanje na manjkavost projektno-tehničke dokumentacije ili opisa u troškovniku neće se uzeti u obzir, niti smatrati razlogom za produženje roka izvedbe, a niti će se priznati bilo kakva razlika u cijeni s tog naslova.
</t>
    </r>
  </si>
  <si>
    <r>
      <t xml:space="preserve">U jediničnu cijenu svake stavke obvezno uključiti sve mjere osiguranja prolaznika, radnika i okolnih građevina za vrijeme trajanja radova, svu potrebnu skelu, sva potrebna premještanja postojećih instalacija i dovođenje istih u prvobitno stanje po završetku radova, sve transporte materijala preostallih od iskopa, deponiranje na gradilišnoj deponiji, utovar i odvoz na gradsku deponiju koju odredi izvođač u dogovoru s investitorom, odnosno sortiranje i deponiranje na mjesto koje odredi investitor za eventualnu ponovnu ugradnju, sve transporte do gradilišta, horizontalne i vertikalne transporte na gradilištu, sav potreban rad, osnovni i pomoćni materijal i pomoćne radnje, razne pripomoći - instalaterima i sl.; izradu radioničke dokumentacije (gdje je to propisano) i razradu specifičnih detalja ugradnje pojedinih građevinskih proizvoda, </t>
    </r>
    <r>
      <rPr>
        <b/>
        <sz val="9"/>
        <rFont val="Segoe UI"/>
        <family val="2"/>
        <charset val="238"/>
      </rPr>
      <t>sva ispitivanja i nabavu atestne dokumentacije na hrvatskom jeziku,</t>
    </r>
    <r>
      <rPr>
        <sz val="9"/>
        <rFont val="Segoe UI"/>
        <family val="2"/>
        <charset val="238"/>
      </rPr>
      <t xml:space="preserve"> izradu dokumentacije izvedenog stanja u dva primjerka; sva čišćenja u tijeku i nakon završetka radova, a sve do potpune funkcionalne gotovosti svake pojedine stavke i troškovnika u cjelini - ako opisom stavke nije drugačije određeno.           
</t>
    </r>
  </si>
  <si>
    <r>
      <rPr>
        <b/>
        <sz val="9"/>
        <rFont val="Segoe UI"/>
        <family val="2"/>
        <charset val="238"/>
      </rPr>
      <t xml:space="preserve">Jedinične cijene su fiksne i ne mogu se mijenjati. Jedinične cijene primjenjivat će se bez obzira na postotak odstupanja od iskazanih količina u troškovniku.   </t>
    </r>
    <r>
      <rPr>
        <sz val="9"/>
        <rFont val="Segoe UI"/>
        <family val="2"/>
        <charset val="238"/>
      </rPr>
      <t xml:space="preserve">
Obračun radova vrši se kako je navedeno u stavci i po Prosječnim normama u građevinarstvu. </t>
    </r>
    <r>
      <rPr>
        <b/>
        <sz val="9"/>
        <rFont val="Segoe UI"/>
        <family val="2"/>
        <charset val="238"/>
      </rPr>
      <t>Radovi će se obračunati prema izmjeri u naravi bez obzira na količine upisane u troškovniku, uz primjenu jediničnih cijena</t>
    </r>
    <r>
      <rPr>
        <sz val="9"/>
        <rFont val="Segoe UI"/>
        <family val="2"/>
        <charset val="238"/>
      </rPr>
      <t>. Izvođač je obavezan svakodnevno voditi građevinski dnevnik i voditi  građevinsku knjigu koje će redovito kontrolirati i ovjeravati nadzorni inženjer kako bi se mogle ustanoviti stvarne količine izvedenih radova.  Prilog građevinske knjige su obračunski nacrti u boji. Prihvatit će se i kontrolirati samo građevinska knjiga koja je dostavljena u traženoj formi, sa svim potrebnim prilozima, te je jednoznačna u pogledu dokaza izvedenih količina. Količine radova koje nakon dovršenja cijelokupnog posla nije moguće provjeriti neposredno izmjerom, treba po izvršenju pojedinog takvog rada preuzeti od Izvođača nadzorni inženjer, uz dostavu dokaznog materijala i fotodokumentacije. Svi radovi koji bi se izveli protivno opisanom postupku neće biti uzeti u obzir prilikom obračuna od strane nadzora i naručitelja.</t>
    </r>
  </si>
  <si>
    <t>Ako tijekom gradnje dođe do promjena ili dodatnih radova, treba pravovremeno, a prije početka rada tražiti pismenu suglasnost Nadzornog inženjera. Također treba dostaviti detaljnu analizu cijena nove stavke, i i sve to unijeti u građevinski dnevnik uz ovjeru Nadzornog inženjera. Sve više radnje do kojih dođe uslijed promjene načina ili opsega izvedbe, a nisu na spomenuti način utvrđene, upisane i ovjerene prije izvedbe, neće se od Investitora i Nadornog inženjera priznati u obračunu radova. O ispitivanjima i pregledima vodi se posebna evidencija.</t>
  </si>
  <si>
    <t xml:space="preserve">Davanjem ponude Izvođač se obvezuje pravovremeno nabaviti sav materijal opisan u pojedinim stavkama troškovnika.   
</t>
  </si>
  <si>
    <t xml:space="preserve">Izvedeni radovi moraju u cijelosti odgovarati projektu i opisima, a u  tu svrhu investitor ima pravo prije početka radova od Izvođača zatražiti uzorke materijala koji će se čuvati u upravi gradilišta. Izvedeni radovi moraju u cijelosti odgovarati odabranom uzorku.   
Ukoliko investitor odluči da se neki rad neće izvoditi i o tome pravovremeno obavijesti Izvođača, Izvođač nema pravo na odštetu. </t>
  </si>
  <si>
    <t>Izvođač radova garantira za kvalitetu izvedenih radova,  ugrađenih materijala i montiranih konstrukcija, a u skladu s projektom, ugovornim troškovnikom, važećim zakonima i propisima te pravilima struke.
Ukoliko postoji potreba za izmjenom materijala ili načina izvedbe, one se moraju izvršiti isključivo pisanim dogovorom s investitorom, projektantom i nadzornim inženjerom. Sve više radnje koje neće biti na taj način utvrđene, neće se priznati u obračunu.    
Svi nekvalitetno izvedeni radovi moraju se otkloniti i zamijeniti ispravnima, o trošku Izvođača.</t>
  </si>
  <si>
    <t>Dužnosti izvoditelja jesu izrada plana gradilišta i vremenskog plana radova, kojeg treba odobriti Nadzorni inženjer; imenovati i osigurati prisustvo Koordinatora zaštite na radu, u skladu sa važećom regulativom, osigurati prijavu gradilišta; izraditi projekt privremene regulacije prometa i ishoditi sve potrebne suglasnosti od nadležnog javnopravnog tijela (Grad Samobor), te opremiti, ograditi i označiti gradilište sukladno važećoj regulativi.</t>
  </si>
  <si>
    <t xml:space="preserve">Sukladno Zakonu o gradnji Izvođač je u cijelosti odgovoran za gospodarenje građevnim otpadom nastalim tijekom građenja na gradilištu sukladno propisima koji uređuju gospodarenje otpadom te oporabu  i/ili zbrinjavanje građevnog otpada nastalog tijekom građenja na gradilištu sukladno propisima i zakonu koji uređuje gospodarenje otpadom i sukladno tome mora uračunati u sve stavke troškovnika u kojima se javlja građevni otpad sve troškove koji proizlaze iz gore navedene obaveze Izvoditelja.   </t>
  </si>
  <si>
    <t>Radovi će se u osnovi obavljati slijedom troškovničkih stavki, ali su sukladno potrebama građenja moguća i odstupanja, ovisno o stanju na gradilištu, što mora biti odobreno i dokumentirano od strane Nadzornog inženjera.</t>
  </si>
  <si>
    <t>Izvoditelj radova dužan je prije početka radova prekontrolirati sve kote, te mjere iz nacrta provjeriti u naravi. Svu kontrolu vrši bez posebne naplate.</t>
  </si>
  <si>
    <r>
      <rPr>
        <b/>
        <sz val="9"/>
        <rFont val="Segoe UI"/>
        <family val="2"/>
        <charset val="238"/>
      </rPr>
      <t>Sve vrste skela (uključivo i vanjsku fasadnu!), bez obzira na visinu, ulaze u jediničnu cijenu određenog rada</t>
    </r>
    <r>
      <rPr>
        <sz val="9"/>
        <rFont val="Segoe UI"/>
        <family val="2"/>
        <charset val="238"/>
      </rPr>
      <t>, te neće biti zasebno obračunati. Pod pojmom skele se podrazumijevaju i prilazi skeli, ograde i tkanina za zaštitu radnika (jutene ili plastične trake) i drugih osoba prisutnih na gradilištu, koja mora biti u funkciji do skidanja skela. Skela mora biti na vrijeme postavljena kako ne bi nastao zastoj u radu.</t>
    </r>
  </si>
  <si>
    <t>Uz sve gore navedene opće uvjete, Izvođač je dužan prilikom izvođenja pridržavati se i ovim troškovnikom propisanih uvjeta za pojedine grupe radova odnosno podgrupe unutar njih te važećim tehničkim propisima i normativima; a sve u skladu sa projeknom dokumentacijom te opisima, detaljima i pisanim uputama prije i u toku gradnje, a u okviru ponuđene cijene.</t>
  </si>
  <si>
    <t>OKOLIŠ I HORTIKULTURA</t>
  </si>
  <si>
    <t>D.</t>
  </si>
  <si>
    <t xml:space="preserve">C. </t>
  </si>
  <si>
    <t>Čišćenje parcele</t>
  </si>
  <si>
    <t>Kolno-pješačke i pješačke površine</t>
  </si>
  <si>
    <t>Hortikultura</t>
  </si>
  <si>
    <t>Ostalo</t>
  </si>
  <si>
    <t>VIŠESTAMBENA ZGRADA</t>
  </si>
  <si>
    <t>GLAVNI PROJEKT*</t>
  </si>
  <si>
    <t xml:space="preserve">* Troškovnik je izrađen na temelju glavnog arhitektonskog projekta predmetne zgrade </t>
  </si>
  <si>
    <t>PLIMA PROJEKTI d.o.o.</t>
  </si>
  <si>
    <t>OIB: 76934770405</t>
  </si>
  <si>
    <t>k.č.br. 60, k.o. Samobor</t>
  </si>
  <si>
    <t>119/2022</t>
  </si>
  <si>
    <t>119/2022-PLM</t>
  </si>
  <si>
    <t>Samobor, ožujak 2023.</t>
  </si>
  <si>
    <t>III Podbrežje 14</t>
  </si>
  <si>
    <r>
      <t xml:space="preserve">Troškovnik je izrađen na temelju projektne dokumentacije - </t>
    </r>
    <r>
      <rPr>
        <b/>
        <sz val="9"/>
        <rFont val="Segoe UI"/>
        <family val="2"/>
        <charset val="238"/>
      </rPr>
      <t xml:space="preserve">glavnog projekta </t>
    </r>
    <r>
      <rPr>
        <sz val="9"/>
        <rFont val="Segoe UI"/>
        <family val="2"/>
        <charset val="238"/>
      </rPr>
      <t xml:space="preserve">predmetne građevine. Izvedbenim troškovnikom biti će detaljnije specificirane određene stavke uz moguću korekciju količina i opisom pojedinih grupa radova i stavaka unutar njih. Radovi i količine koji su predmetom izvedbene i radioničke dokumentacije (pr. oplata, armatura, čelične konstrukcije i potkonstrukcije itd.) su pretpostavljene na temelju glavnog projekta. Radovi i količine koji nisu sadržani u glavnom projektu predmetne građevine nisu obrađeni ovim troškovnikom (što se prije svega odnosi na elemente koji će biti detaljno specificirani izvedbenim dijelovima dokumentacije).
</t>
    </r>
    <r>
      <rPr>
        <b/>
        <sz val="9"/>
        <rFont val="Segoe UI"/>
        <family val="2"/>
        <charset val="238"/>
      </rPr>
      <t>Sheme vanjske i unutrašnje bravarije i stolarije su sastavni dio glavnog projekta te su kao takve sastavni dio ovog troškovnika.
Izvođač je dužan (uključeno u jediničnu cijenu stavke!) izraditi radioničke nacrte čelične potkonstrukcije, te OBAVEZNO glavnom projektantu i nadzornom inženjeru dostaviti nacrte na ovjeru PRIJE IZRADE čeličnih dijelova konstrukcije</t>
    </r>
    <r>
      <rPr>
        <sz val="9"/>
        <rFont val="Segoe UI"/>
        <family val="2"/>
        <charset val="238"/>
      </rPr>
      <t xml:space="preserve">.
</t>
    </r>
  </si>
  <si>
    <t>V.</t>
  </si>
  <si>
    <t>VII.</t>
  </si>
  <si>
    <t>Tkaninu od staklenog vlakna (min. prekidna čvrstoća 1750 N/50mm), položiti u masu za armiranje, pregletati po cijeloj površini i zagladiti u prosječnoj debljini od 3 mm.</t>
  </si>
  <si>
    <t xml:space="preserve">Na pripremljenu podlogu nanijeti impregnaciju, a potom i završnu fasadnu žbuku. </t>
  </si>
  <si>
    <t xml:space="preserve">U sve jedinične cijene obavezno uključiti dobavu, dopremu, postavu, montažu i demontažu odgovarajuće fasadne cijevne skele sa spojnicama, ukrućenjima, ogradom i hodnim površinama od dasaka d = 48 mm. Izvedba prema svim potrebnim HTZ mjerama. 
</t>
  </si>
  <si>
    <t>VIII.</t>
  </si>
  <si>
    <t>IX.</t>
  </si>
  <si>
    <t xml:space="preserve">Izolaterski radovi </t>
  </si>
  <si>
    <t>Krovopokrivački radovi i izolacija ravnih krovova</t>
  </si>
  <si>
    <t>VI.</t>
  </si>
  <si>
    <t>X.</t>
  </si>
  <si>
    <t>Vanjske ograde i rukohvati</t>
  </si>
  <si>
    <t xml:space="preserve">Bravarski radovi </t>
  </si>
  <si>
    <t>Detaljnost opisa stavaka troškovnika prilagođena je fazi projekta (glavni projekt) - detaljniji opisi stavaka sa svim odabranim karakteristikama biti će, ukoliko će isto biti ugovoreno, izrađeni u suradnji sa Investitorom i od strane Investitora odabranim dobavljačima pojedinih elemenata zgrade.</t>
  </si>
  <si>
    <t>Troškovnik izradio:</t>
  </si>
  <si>
    <t>SVEUKUPNO S PDV-om:</t>
  </si>
  <si>
    <t>Kod izrade fasadnih žbuka raditi prema uputstvu proizvođača i prema smjernicama HUPFAS-a.</t>
  </si>
  <si>
    <t xml:space="preserve">Obračun se vrši obvezno i isključivo prema dolje navedenom
</t>
  </si>
  <si>
    <r>
      <rPr>
        <b/>
        <i/>
        <sz val="9"/>
        <rFont val="Segoe UI"/>
        <family val="2"/>
      </rPr>
      <t>Obračun fasaderskih radova</t>
    </r>
    <r>
      <rPr>
        <i/>
        <sz val="9"/>
        <rFont val="Segoe UI"/>
        <family val="2"/>
      </rPr>
      <t xml:space="preserve">
Obračun se vrši razvijanjem svih istaka, tako da se dobije stvarno uređena površina. 
</t>
    </r>
    <r>
      <rPr>
        <b/>
        <i/>
        <sz val="9"/>
        <rFont val="Segoe UI"/>
        <family val="2"/>
      </rPr>
      <t>Pravila kod obračuna radova:</t>
    </r>
    <r>
      <rPr>
        <i/>
        <sz val="9"/>
        <rFont val="Segoe UI"/>
        <family val="2"/>
      </rPr>
      <t xml:space="preserve">
Otvori (npr. prozori) oko kojih postoje uložine (špalete) do 20 cm širine, odbijaju se na slijedeće načine:
Otvori veličine do 3,0 m2 ne odbijaju se i njihove se uložine ne obračunavaju
Kod otvora veličine 3,0 - 5,0 m2 odbija se površina preko 3,0 m2, a uložine se ne obračunavaju posebno
Kod otvora veličine preko 5,0 m2 odbija se površina preko 3,0 m2, a uložine se obračunavaju posebno
Ako su uložine šire od 20 cm onda se višak preko 20 cm obračunava posebno po m2.
Fasadne površine, bilo da su obrađene umjetnim kamenom, plemenitom žbukom, plastičnom žbukom, fasadnom bojom s otapalima ili na bilo koji drugi način, obračunavaju se po m2, s tim što će se svi elementi na fasadi (udubine, istake, trake, vijenci, prozorske klupčice, brisoleji, međuprozorski stupci, grede, pilastri, utori i slično), bez obzira radi li se ručno ili kalupom, obračunavati u m i pretvarati u m2, na slijedeći način:
Razvijene površine do 12 cm, za 1,00 m računa se 0,35 m2
Razvijene površine od 12 do 18 cm, za 1,00 m računa se 0,50 m2
Razvijene površine od 18 do 25 cm, za 1,00 m računa se 0,75 m2
Razvijene površine od 25 do 50 cm, za 1,00 m računa se 1,00 m2
Razvijene površine od 50 do 75 cm, za 1,00 m računa se 1,25 m2
Razvijene površine od 75 do 100 cm, za 1,00 m računa se 1,50 m2
Razvijene površine od 100 do 125 cm, za 1,00 m računa se 1,75 m2
Razvijene površine od 125 do 150 cm, za 1,00 m računa se 2,00 m2
Utori razvijene širine do 5 cm, za 1,00 m računa se 0,25 m2
Ovo proračunavanje vrijedi ukoliko postoje do 4 ruba. Ako ima više rubova, dodaje se za svaki rub 20 %, a najviše 40 % od gornjih vrijednosti.
Svaka oblina računa se kao i rub.
</t>
    </r>
    <r>
      <rPr>
        <b/>
        <i/>
        <sz val="9"/>
        <rFont val="Segoe UI"/>
        <family val="2"/>
      </rPr>
      <t>Izrada fasadne skele</t>
    </r>
    <r>
      <rPr>
        <i/>
        <sz val="9"/>
        <rFont val="Segoe UI"/>
        <family val="2"/>
      </rPr>
      <t xml:space="preserve">
Za izradu fasadne skele normativom vremena obuhvaćene su sve pomoćne radnje, te prijenos elemenata skele do 40 m horizontalno i prosječno 20 m vertikalno. Način obračuna fasadne skele:
Horizontalno – na obije dužine zgrade (duža strana objekta) dodaje se po 1,20 m' na oba kraja za povezivanje sa bočnim stranama skele, dok se za bočne strane (kraće strane objekta) uzima čisti razmak između unutrašnjih vertikalnih stupova skele postavljene na uzdužnim stranama
Vertikalno – računa se od kote terena do zadnje platforme plus 1 m', do visine zadnjeg gelendera (zaštitne ograde)
Kod fasada koje imaju razne istake (npr. Balkoni) osnovnoj dužini objekta dodaju se bočne stranice balkona.</t>
    </r>
  </si>
  <si>
    <t>Prije odabira završne obrade fasade - obvezno investitora dati na uvid i odabir minimalno 3 uzorka veličine 120*60 cm</t>
  </si>
  <si>
    <t>Termoizolacija zidova i podgleda od ploča EPS-a, na spojevima požarnih sektora (ulazi između dilatacija) tvrde fasadne mineralne vune.</t>
  </si>
  <si>
    <t>AB zidove prije ljepljenja obvezno adekvato odprašiti i nanijeti impregnaciju UKC-om.</t>
  </si>
  <si>
    <t>U cijenu uključiti dobavu i postavu svih pripadajućih profila i to okapnog profila, brtvenog profila na sudaru fasade sa stolarijom, cokl profila za fasadu i dr.</t>
  </si>
  <si>
    <t>EPS 15 cm - pročelje</t>
  </si>
  <si>
    <t>tvrda mineralna vuna 15 cm - pročelje</t>
  </si>
  <si>
    <t>EPS 5 cm - pročelje balkona, pregradnih zidova i sl.</t>
  </si>
  <si>
    <t>d)</t>
  </si>
  <si>
    <t>Dobava i ugradnja XPS ploča debljine predviđene projektom na prethodno izvedenu hidroizolaciju, prema projektu, detaljima i pravilima struke.</t>
  </si>
  <si>
    <t>Prije ugradnje potrebno je provjeriti stanje izvedene hidroizolacije i pripremiti podlogu za lijepljenje. XPS ploče se postavljaju nakon izvedbe HI, lijepe se odgovarajućim ljepilom kompatibilnim s podlogom te se dodatno mehanički pričvršćuju tiplama, prema preporuci proizvođača i uvjetima na gradilištu.</t>
  </si>
  <si>
    <r>
      <t xml:space="preserve">Preko ugrađenih XPS ploča izvodi se </t>
    </r>
    <r>
      <rPr>
        <b/>
        <sz val="9"/>
        <rFont val="Segoe UI"/>
        <family val="2"/>
      </rPr>
      <t>jedan sloj građevinskog ljepila</t>
    </r>
    <r>
      <rPr>
        <sz val="9"/>
        <rFont val="Segoe UI"/>
        <family val="2"/>
      </rPr>
      <t xml:space="preserve"> preko cijele površine, a zatim </t>
    </r>
    <r>
      <rPr>
        <b/>
        <sz val="9"/>
        <rFont val="Segoe UI"/>
        <family val="2"/>
      </rPr>
      <t>jedan sloj fleksibilne cementne hidroizolacije</t>
    </r>
    <r>
      <rPr>
        <sz val="9"/>
        <rFont val="Segoe UI"/>
        <family val="2"/>
      </rPr>
      <t xml:space="preserve">, tipa </t>
    </r>
    <r>
      <rPr>
        <b/>
        <sz val="9"/>
        <rFont val="Segoe UI"/>
        <family val="2"/>
      </rPr>
      <t>SikaTop Seal-107</t>
    </r>
    <r>
      <rPr>
        <sz val="9"/>
        <rFont val="Segoe UI"/>
        <family val="2"/>
      </rPr>
      <t xml:space="preserve"> ili jednakovrijedno.</t>
    </r>
  </si>
  <si>
    <t>U cijenu uključiti sav potreban materijal, rad, rezanje i krojenje ploča, ljepilo, tiple, obradu spojeva, rubova, kutova i prodora, cementnu hidroizolaciju, transport, prijenos materijala, alat i čišćenje do potpune gotovosti opisane stavke.</t>
  </si>
  <si>
    <r>
      <rPr>
        <b/>
        <sz val="9"/>
        <rFont val="Segoe UI"/>
        <family val="2"/>
      </rPr>
      <t xml:space="preserve">Napomena:
</t>
    </r>
    <r>
      <rPr>
        <sz val="9"/>
        <rFont val="Segoe UI"/>
        <family val="2"/>
      </rPr>
      <t>Završna dekorativna / završna obloga se ne nudi ovom stavkom i bit će definirana naknadno, ovisno o odabranom sustavu i arhitektonskoj obradi — npr. žbuka, keramika ili kamen.</t>
    </r>
  </si>
  <si>
    <t>XPS 8 cm</t>
  </si>
  <si>
    <t>XPS 15 cm</t>
  </si>
  <si>
    <t>Nijanse boje:
prema odabiru investitora</t>
  </si>
  <si>
    <t>AB ploče prije ljepljenja obvezno adekvato odprašiti i nanijeti impregnaciju UKC-om.</t>
  </si>
  <si>
    <r>
      <t xml:space="preserve">Dobava materijala i izrada toplinske fasade u ETICS sustavu sa završnom silikatnom fasadnom žbukom, zaglađena  -  uz prethodne radnje po uputama proizvođača.
</t>
    </r>
    <r>
      <rPr>
        <b/>
        <sz val="9"/>
        <rFont val="Segoe UI"/>
        <family val="2"/>
      </rPr>
      <t>Podgledi krova, balkona i terasa.</t>
    </r>
  </si>
  <si>
    <r>
      <t xml:space="preserve">Dobava materijala i izrada toplinske fasade u ETICS sustavu sa završnom silikatnom fasadnom žbukom, zaglađena  -  uz prethodne radnje po uputama proizvođača.
</t>
    </r>
    <r>
      <rPr>
        <b/>
        <sz val="9"/>
        <rFont val="Segoe UI"/>
        <family val="2"/>
      </rPr>
      <t>Pročelja fasade (zidovi).</t>
    </r>
  </si>
  <si>
    <r>
      <t xml:space="preserve">podgled krova (A i C ulazi) - </t>
    </r>
    <r>
      <rPr>
        <b/>
        <sz val="9"/>
        <rFont val="Segoe UI"/>
        <family val="2"/>
      </rPr>
      <t>d= 15 cm EPS-a</t>
    </r>
  </si>
  <si>
    <r>
      <t xml:space="preserve">podgled krova (A i C ulazi) - </t>
    </r>
    <r>
      <rPr>
        <b/>
        <sz val="9"/>
        <rFont val="Segoe UI"/>
        <family val="2"/>
      </rPr>
      <t>d= 8 cm EPS-a</t>
    </r>
  </si>
  <si>
    <r>
      <t xml:space="preserve">podgled balkon - </t>
    </r>
    <r>
      <rPr>
        <b/>
        <sz val="9"/>
        <rFont val="Segoe UI"/>
        <family val="2"/>
      </rPr>
      <t>d= 15 cm EPS-a</t>
    </r>
  </si>
  <si>
    <r>
      <t xml:space="preserve">podgled terasa sa dvorišne strena - </t>
    </r>
    <r>
      <rPr>
        <b/>
        <sz val="9"/>
        <rFont val="Segoe UI"/>
        <family val="2"/>
      </rPr>
      <t>d= 15 cm EPS-a</t>
    </r>
  </si>
  <si>
    <t>EPS 5 cm - atika ulaza B i krovne kućice</t>
  </si>
  <si>
    <t>Dobava materijala i izvedba završne obrade pregradnih zidova od porobetona, prema projektu, detaljima i pravilima struke.
Pregrade na balkonima i terasama.</t>
  </si>
  <si>
    <t>U cijenu uključiti sav potreban materijal, rad, glet / ljepilo, fasadnu mrežicu, kutne i završne profile gdje je potrebno, temeljni premaz, silikatnu žbuku, obradu spojeva i detalja, zaštitu okolnih površina, alat, prijenos materijala i čišćenje do potpune gotovosti stavke.</t>
  </si>
  <si>
    <t>Obračun: po m² stvarno obrađene površine zida.</t>
  </si>
  <si>
    <r>
      <t xml:space="preserve">Podlogu je potrebno prethodno očistiti, otprašiti i pripremiti za nanošenje slojeva. Na zidove se nanose </t>
    </r>
    <r>
      <rPr>
        <b/>
        <sz val="9"/>
        <rFont val="Segoe UI"/>
        <family val="2"/>
      </rPr>
      <t>dvije ruke gleta / građevinskog ljepila</t>
    </r>
    <r>
      <rPr>
        <sz val="9"/>
        <rFont val="Segoe UI"/>
        <family val="2"/>
      </rPr>
      <t xml:space="preserve">, s time da se u prvi sloj utapa </t>
    </r>
    <r>
      <rPr>
        <b/>
        <sz val="9"/>
        <rFont val="Segoe UI"/>
        <family val="2"/>
      </rPr>
      <t>fasadna staklena mrežica</t>
    </r>
    <r>
      <rPr>
        <sz val="9"/>
        <rFont val="Segoe UI"/>
        <family val="2"/>
      </rPr>
      <t xml:space="preserve"> u približno </t>
    </r>
    <r>
      <rPr>
        <b/>
        <sz val="9"/>
        <rFont val="Segoe UI"/>
        <family val="2"/>
      </rPr>
      <t>1/3 debljine sloja</t>
    </r>
    <r>
      <rPr>
        <sz val="9"/>
        <rFont val="Segoe UI"/>
        <family val="2"/>
      </rPr>
      <t>, uz potrebne preklope mrežice i obradu svih spojeva, kutova, rubova i detalja.</t>
    </r>
  </si>
  <si>
    <r>
      <t xml:space="preserve">Nakon sušenja i pripreme podloge izvodi se završna obrada </t>
    </r>
    <r>
      <rPr>
        <b/>
        <sz val="9"/>
        <rFont val="Segoe UI"/>
        <family val="2"/>
      </rPr>
      <t>silikatnom završnom žbukom</t>
    </r>
    <r>
      <rPr>
        <sz val="9"/>
        <rFont val="Segoe UI"/>
        <family val="2"/>
      </rPr>
      <t>, granulacije, strukture i nijanse po izboru investitora, uključivo temeljni premaz ako je propisan od proizvođača sustava.</t>
    </r>
  </si>
  <si>
    <t>Zaštita na radu – obvezni uvjeti za skelu
Skela mora biti projektirana, montirana, pregledana i korištena u skladu s važećim propisima zaštite na radu, tehničkim pravilima i uputama proizvođača skele.
Izvođač je dužan osigurati da:
Montažu i demontažu skele izvode osposobljeni radnici
Skelu smiju montirati, prepravljati i demontirati isključivo radnici osposobljeni za takve radove, pod nadzorom odgovorne osobe.
Skela bude pregledana prije uporabe
Prije početka korištenja skele potrebno je izvršiti pregled ispravnosti i sigurnosti skele te o tome voditi odgovarajuću evidenciju / zapisnik.
Skela bude stabilna, sidrena i pravilno osigurana
Skela mora biti propisno oslonjena, nivelirana, ukrućena i sidrena u objekt, s dovoljnim brojem sidara, prema tehničkim pravilima i uvjetima na gradilištu.
Radne površine budu sigurne za korištenje
Sve radne etaže moraju imati pune i stabilne podnice, zaštitne ograde, međuprečke i rubne daske. Nije dopušten rad na nepotpunim, nepravilno osiguranim ili djelomično rastavljenim etažama.
Pristup skeli bude siguran
Pristup radnim etažama mora biti izveden putem sigurnih penjalica, ljestvi ili tipskih pristupnih elemenata. Penjanje po vanjskoj konstrukciji skele nije dopušteno.
Skela bude označena i kontrolirana tijekom korištenja
Na skeli mora biti jasno označeno je li skela dopuštena za uporabu. Skela se mora redovito pregledavati, osobito nakon nevremena, jačeg vjetra, preinaka, udara ili duljeg prekida radova.
Zabrana neovlaštenih izmjena
Zabranjeno je neovlašteno skidanje sidara, ograda, podnica, rubnih dasaka, konzola, mreža ili drugih elemenata skele. Svaku izmjenu smije izvesti samo ovlaštena i osposobljena osoba.
Zaštita od pada osoba i materijala
Potrebno je osigurati zaštitu radnika od pada s visine te zaštitu prolaza, ulaza, susjednih površina i drugih radnika od pada alata, materijala ili otpada sa skele.
Usklađenje više izvođača
Budući da će skelu koristiti više izvođača, korištenje mora biti koordinirano, a svaki izvođač odgovoran je za sigurno korištenje skele u dijelu svojih radova. Nije dopušteno preopterećenje skele materijalom, opremom ili većim brojem radnika od dozvoljenog.
Obveza održavanja skele u ispravnom stanju
Izvođač koji postavlja skelu dužan je tijekom cijelog razdoblja korištenja održavati skelu u sigurnom i funkcionalnom stanju te po nalogu nadzora / koordinatora ZNR-a / voditelja gradilišta odmah otkloniti uočene nedostatke.
U cijenu stavke uključiti sve mjere, radnje, preglede, osiguranja i prilagodbe potrebne za sigurno korištenje skele u skladu s pravilima zaštite na radu.</t>
  </si>
  <si>
    <r>
      <t>Dobava, doprema, montaža, održavanje tijekom korištenja, premještanje/prilagodba po potrebi i demontaža</t>
    </r>
    <r>
      <rPr>
        <b/>
        <sz val="9"/>
        <rFont val="Segoe UI"/>
        <family val="2"/>
      </rPr>
      <t xml:space="preserve"> fasadne radne skele</t>
    </r>
    <r>
      <rPr>
        <sz val="9"/>
        <rFont val="Segoe UI"/>
        <family val="2"/>
      </rPr>
      <t xml:space="preserve"> za potrebe izvođenja fasaderskih radova na objektu, prema projektu, pravilima struke, važećim propisima i pravilima zaštite na radu.
Skela se postavlja za cijelo vrijeme potrebno za izvođenje fasaderskih radova, uključivo vrijeme potrebno za pripremne i prethodne radove drugih izvođača koji su nužni tijekom izvođenja fasade.
U cijenu stavke uključiti:
dopremu, montažu i demontažu skele,
najam skele za vrijeme trajanja radova,
sidrenje, stabilizaciju i potrebna proširenja / prilagodbe,
radne podnice, zaštitne ograde, rubne daske, pristupne ljestve / penjalice,
zaštitne mreže ili platna ako su potrebna,
redoviti pregled, održavanje i eventualne korekcije skele tijekom korištenja,
sve transporte, manipulacije, alat, radnu snagu i čišćenje nakon demontaže.
Skela mora biti izvedena i održavana na način da omogućuje sigurno i nesmetano izvođenje fasaderskih radova, uključivo pristup svim zonama pročelja, podgledima, rubovima balkona, terasa, krova, atikama, otvorima i svim ostalim dijelovima koji su predmet fasaderske obrade.
Korištenje skele od strane drugih izvođača
Izvođač fasaderskih radova dužan je omogućiti korištenje postavljene skele i drugim izvođačima za radove koji prethode ili su vezani uz fasaderske radove, bez posebne naknade, u koordinaciji s glavnim izvođačem / voditeljem gradilišta.
To se osobito odnosi na:
instalatere za izvedbu i završetak odvodnje krova, balkona i terasa,
izvođača konstrukcije za zatvaranje, sanaciju i čepljenje rupa u zidovima,
izvođače potrebnih prodora, nosača, limarskih priprema i ostalih detalja koji utječu na završetak fasade,
sve druge pripremne radove koji moraju biti dovršeni prije konačne fasaderske obrade.
Korištenje skele od strane drugih izvođača mora se provoditi uz prethodnu koordinaciju i bez narušavanja stabilnosti, sigurnosti i funkcionalnosti skele.</t>
    </r>
  </si>
  <si>
    <r>
      <t xml:space="preserve">Nijanse boje:
cca 480 m2 - antracit RAL7016 -&gt; </t>
    </r>
    <r>
      <rPr>
        <sz val="9"/>
        <color rgb="FFFF0000"/>
        <rFont val="Segoe UI"/>
        <family val="2"/>
        <charset val="238"/>
      </rPr>
      <t>Vivopor 2mm + CoolProtekt bojanje</t>
    </r>
    <r>
      <rPr>
        <sz val="9"/>
        <rFont val="Segoe UI"/>
        <family val="2"/>
      </rPr>
      <t xml:space="preserve">
cca 2.920 m2 - yellow orange RAL2000 -&gt; </t>
    </r>
    <r>
      <rPr>
        <sz val="9"/>
        <color rgb="FFFF0000"/>
        <rFont val="Segoe UI"/>
        <family val="2"/>
        <charset val="238"/>
      </rPr>
      <t>Lithopor 2mm</t>
    </r>
  </si>
  <si>
    <t>Nudimo Caparol EPS sustav sa udarnim tiplama i rondelama, ljepljenej laganim ljepilima 186M Easy, alkalno otporna mrežica 160 g/m2, armiranje Carbon Minera Easy, impregnacija Putzgrund, Lithopor 2mm HBW iznad 20. Antracit doplata -&gt; 27,00 €/m2</t>
  </si>
  <si>
    <t>Nudimo Caparol XPS sustav sa udarnim tiplama i rondelama, ljepljenej laganim ljepilima 186M Easy, alkalno otporna mrežica 160 g/m2, armiranje Carbon Minera Easy, impregnacija Putzgrund, Lithopor 2mm HBW iznad 20. Antracit doplata -&gt; 27,00 €/m2. Doplata Sockelflex 1m2 -&gt; 22,00 €/m2, za klupčice m1 24,00 €/m1</t>
  </si>
  <si>
    <t>Nudimo Caparol EPS sustav sa udarnim tiplama i rondelama, ljepljenje laganim ljepilima 186M Easy, alkalno otporna mrežica 160 g/m2, armiranje Carbon Minera Easy, impregnacija Putzgrund, Lithopor 2mm HBW iznad 20. Antracit doplata -&gt; 27,00 €/m2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</si>
</sst>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kn&quot;_-;\-* #,##0.00\ &quot;kn&quot;_-;_-* &quot;-&quot;??\ &quot;kn&quot;_-;_-@_-"/>
    <numFmt numFmtId="164" formatCode="_(* #,##0.00_);_(* \(#,##0.00\);_(* &quot;-&quot;??_);_(@_)"/>
    <numFmt numFmtId="165" formatCode="_-* #,##0.00\ _k_n_-;\-* #,##0.00\ _k_n_-;_-* &quot;-&quot;??\ _k_n_-;_-@_-"/>
    <numFmt numFmtId="166" formatCode="_-* #,##0.00\ _k_n_-;\-* #,##0.00\ _k_n_-;_-* \-??\ _k_n_-;_-@_-"/>
    <numFmt numFmtId="167" formatCode="* #,##0.00&quot;      &quot;;\-* #,##0.00&quot;      &quot;;* \-#&quot;      &quot;;@\ "/>
    <numFmt numFmtId="168" formatCode="#,##0.00&quot;      &quot;;\-#,##0.00&quot;      &quot;;&quot; -&quot;#&quot;      &quot;;@\ "/>
    <numFmt numFmtId="169" formatCode="_-* #,##0.00\ [$€-41A]_-;\-* #,##0.00\ [$€-41A]_-;_-* &quot;-&quot;??\ [$€-41A]_-;_-@_-"/>
  </numFmts>
  <fonts count="89">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b/>
      <sz val="10"/>
      <name val="Arial"/>
      <family val="2"/>
    </font>
    <font>
      <sz val="12"/>
      <name val="Arial"/>
      <family val="2"/>
    </font>
    <font>
      <sz val="10"/>
      <name val="Arial"/>
      <family val="2"/>
    </font>
    <font>
      <i/>
      <sz val="10"/>
      <name val="Arial"/>
      <family val="2"/>
    </font>
    <font>
      <u/>
      <sz val="10"/>
      <color indexed="12"/>
      <name val="Arial"/>
      <family val="2"/>
      <charset val="238"/>
    </font>
    <font>
      <u/>
      <sz val="10"/>
      <color indexed="12"/>
      <name val="Arial"/>
      <family val="2"/>
    </font>
    <font>
      <b/>
      <sz val="12"/>
      <name val="Arial"/>
      <family val="2"/>
    </font>
    <font>
      <b/>
      <sz val="10"/>
      <color indexed="12"/>
      <name val="Arial"/>
      <family val="2"/>
    </font>
    <font>
      <sz val="10"/>
      <name val="Arial"/>
      <family val="2"/>
      <charset val="238"/>
    </font>
    <font>
      <sz val="10"/>
      <name val="FuturSans_PP"/>
    </font>
    <font>
      <sz val="10"/>
      <name val="Arial"/>
      <family val="2"/>
      <charset val="238"/>
    </font>
    <font>
      <i/>
      <sz val="8"/>
      <name val="Arial"/>
      <family val="2"/>
      <charset val="238"/>
    </font>
    <font>
      <sz val="10"/>
      <name val="Arial"/>
      <family val="2"/>
      <charset val="238"/>
    </font>
    <font>
      <b/>
      <sz val="10"/>
      <color rgb="FFFF0000"/>
      <name val="Arial"/>
      <family val="2"/>
      <charset val="238"/>
    </font>
    <font>
      <sz val="11"/>
      <color indexed="8"/>
      <name val="Calibri"/>
      <family val="2"/>
      <charset val="238"/>
    </font>
    <font>
      <sz val="11"/>
      <color rgb="FF000000"/>
      <name val="Calibri"/>
      <family val="2"/>
    </font>
    <font>
      <sz val="12"/>
      <name val="Arial"/>
      <family val="2"/>
      <charset val="238"/>
    </font>
    <font>
      <sz val="11"/>
      <color indexed="17"/>
      <name val="Calibri"/>
      <family val="2"/>
      <charset val="238"/>
    </font>
    <font>
      <b/>
      <sz val="11"/>
      <color indexed="63"/>
      <name val="Calibri"/>
      <family val="2"/>
      <charset val="238"/>
    </font>
    <font>
      <sz val="10"/>
      <name val="Times New Roman CE"/>
      <family val="1"/>
      <charset val="238"/>
    </font>
    <font>
      <sz val="12"/>
      <name val="Times New Roman CE"/>
      <family val="1"/>
      <charset val="238"/>
    </font>
    <font>
      <b/>
      <sz val="18"/>
      <color indexed="56"/>
      <name val="Cambria"/>
      <family val="2"/>
      <charset val="238"/>
    </font>
    <font>
      <sz val="11"/>
      <color indexed="10"/>
      <name val="Calibri"/>
      <family val="2"/>
      <charset val="238"/>
    </font>
    <font>
      <sz val="11"/>
      <name val="Arial"/>
      <family val="2"/>
      <charset val="238"/>
    </font>
    <font>
      <sz val="10"/>
      <name val="Helv"/>
      <family val="2"/>
    </font>
    <font>
      <sz val="10"/>
      <name val="Times New Roman"/>
      <family val="1"/>
      <charset val="238"/>
    </font>
    <font>
      <sz val="10"/>
      <name val="Helv"/>
      <family val="2"/>
      <charset val="238"/>
    </font>
    <font>
      <sz val="11"/>
      <color theme="1"/>
      <name val="Calibri"/>
      <family val="2"/>
      <scheme val="minor"/>
    </font>
    <font>
      <sz val="10"/>
      <name val="Arial CE"/>
      <family val="2"/>
      <charset val="238"/>
    </font>
    <font>
      <sz val="11"/>
      <color indexed="9"/>
      <name val="Calibri"/>
      <family val="2"/>
      <charset val="238"/>
    </font>
    <font>
      <sz val="10"/>
      <color indexed="8"/>
      <name val="Century Gothic"/>
      <family val="2"/>
      <charset val="238"/>
    </font>
    <font>
      <sz val="10"/>
      <name val="Times New Roman CE"/>
      <family val="2"/>
      <charset val="238"/>
    </font>
    <font>
      <sz val="8"/>
      <name val="Times New Roman"/>
      <family val="1"/>
      <charset val="238"/>
    </font>
    <font>
      <b/>
      <sz val="11"/>
      <color indexed="52"/>
      <name val="Calibri"/>
      <family val="2"/>
      <charset val="238"/>
    </font>
    <font>
      <b/>
      <sz val="13"/>
      <color indexed="56"/>
      <name val="Calibri"/>
      <family val="2"/>
      <charset val="238"/>
    </font>
    <font>
      <sz val="11"/>
      <color indexed="62"/>
      <name val="Calibri"/>
      <family val="2"/>
      <charset val="238"/>
    </font>
    <font>
      <b/>
      <sz val="11"/>
      <color indexed="56"/>
      <name val="Calibri"/>
      <family val="2"/>
      <charset val="238"/>
    </font>
    <font>
      <b/>
      <sz val="15"/>
      <color indexed="56"/>
      <name val="Calibri"/>
      <family val="2"/>
      <charset val="238"/>
    </font>
    <font>
      <sz val="11"/>
      <color indexed="60"/>
      <name val="Calibri"/>
      <family val="2"/>
      <charset val="238"/>
    </font>
    <font>
      <i/>
      <sz val="11"/>
      <color indexed="23"/>
      <name val="Calibri"/>
      <family val="2"/>
      <charset val="238"/>
    </font>
    <font>
      <sz val="12"/>
      <color indexed="8"/>
      <name val="Arial"/>
      <family val="2"/>
      <charset val="238"/>
    </font>
    <font>
      <sz val="11"/>
      <color indexed="52"/>
      <name val="Calibri"/>
      <family val="2"/>
      <charset val="238"/>
    </font>
    <font>
      <sz val="11"/>
      <color indexed="20"/>
      <name val="Calibri"/>
      <family val="2"/>
      <charset val="238"/>
    </font>
    <font>
      <b/>
      <sz val="18"/>
      <color indexed="56"/>
      <name val="Cambria"/>
      <family val="1"/>
      <charset val="238"/>
    </font>
    <font>
      <sz val="12"/>
      <name val="Times New Roman CE"/>
      <family val="2"/>
      <charset val="238"/>
    </font>
    <font>
      <b/>
      <sz val="11"/>
      <color indexed="8"/>
      <name val="Calibri"/>
      <family val="2"/>
      <charset val="238"/>
    </font>
    <font>
      <b/>
      <sz val="11"/>
      <color indexed="9"/>
      <name val="Calibri"/>
      <family val="2"/>
      <charset val="238"/>
    </font>
    <font>
      <sz val="11"/>
      <name val="Arial"/>
      <family val="1"/>
    </font>
    <font>
      <b/>
      <sz val="15"/>
      <color indexed="62"/>
      <name val="Calibri"/>
      <family val="2"/>
      <charset val="238"/>
    </font>
    <font>
      <b/>
      <sz val="13"/>
      <color indexed="62"/>
      <name val="Calibri"/>
      <family val="2"/>
      <charset val="238"/>
    </font>
    <font>
      <b/>
      <sz val="11"/>
      <color indexed="62"/>
      <name val="Calibri"/>
      <family val="2"/>
      <charset val="238"/>
    </font>
    <font>
      <sz val="10"/>
      <color indexed="8"/>
      <name val="Arial CE"/>
      <family val="2"/>
      <charset val="238"/>
    </font>
    <font>
      <b/>
      <sz val="9"/>
      <name val="Segoe UI"/>
      <family val="2"/>
      <charset val="238"/>
    </font>
    <font>
      <b/>
      <sz val="10"/>
      <name val="Segoe UI"/>
      <family val="2"/>
    </font>
    <font>
      <sz val="10"/>
      <name val="Segoe UI"/>
      <family val="2"/>
    </font>
    <font>
      <sz val="9"/>
      <name val="Segoe UI"/>
      <family val="2"/>
    </font>
    <font>
      <sz val="12"/>
      <name val="Segoe UI"/>
      <family val="2"/>
    </font>
    <font>
      <i/>
      <sz val="7"/>
      <name val="Segoe UI"/>
      <family val="2"/>
    </font>
    <font>
      <i/>
      <sz val="9"/>
      <name val="Segoe UI"/>
      <family val="2"/>
    </font>
    <font>
      <b/>
      <i/>
      <sz val="9"/>
      <name val="Segoe UI"/>
      <family val="2"/>
    </font>
    <font>
      <i/>
      <sz val="10"/>
      <name val="Segoe UI"/>
      <family val="2"/>
    </font>
    <font>
      <b/>
      <sz val="9"/>
      <color rgb="FFFF0000"/>
      <name val="Segoe UI"/>
      <family val="2"/>
    </font>
    <font>
      <sz val="9"/>
      <name val="Segoe UI"/>
      <family val="2"/>
      <charset val="238"/>
    </font>
    <font>
      <sz val="10"/>
      <name val="Segoe UI"/>
      <family val="2"/>
      <charset val="238"/>
    </font>
    <font>
      <b/>
      <sz val="10"/>
      <name val="Segoe UI"/>
      <family val="2"/>
      <charset val="238"/>
    </font>
    <font>
      <i/>
      <sz val="10"/>
      <name val="Segoe UI"/>
      <family val="2"/>
      <charset val="238"/>
    </font>
    <font>
      <u/>
      <sz val="10"/>
      <color theme="10"/>
      <name val="Arial"/>
      <family val="2"/>
      <charset val="238"/>
    </font>
    <font>
      <u/>
      <sz val="10"/>
      <color theme="10"/>
      <name val="Segoe UI"/>
      <family val="2"/>
      <charset val="238"/>
    </font>
    <font>
      <u/>
      <sz val="10"/>
      <name val="Segoe UI"/>
      <family val="2"/>
      <charset val="238"/>
    </font>
    <font>
      <b/>
      <sz val="16"/>
      <name val="Segoe UI"/>
      <family val="2"/>
      <charset val="238"/>
    </font>
    <font>
      <b/>
      <sz val="12"/>
      <color indexed="23"/>
      <name val="Segoe UI"/>
      <family val="2"/>
      <charset val="238"/>
    </font>
    <font>
      <b/>
      <i/>
      <sz val="12"/>
      <name val="Segoe UI"/>
      <family val="2"/>
      <charset val="238"/>
    </font>
    <font>
      <i/>
      <sz val="8"/>
      <name val="Segoe UI"/>
      <family val="2"/>
      <charset val="238"/>
    </font>
    <font>
      <sz val="10"/>
      <color rgb="FFFF0000"/>
      <name val="Segoe UI"/>
      <family val="2"/>
      <charset val="238"/>
    </font>
    <font>
      <u/>
      <sz val="9"/>
      <name val="Segoe UI"/>
      <family val="2"/>
      <charset val="238"/>
    </font>
    <font>
      <b/>
      <sz val="12"/>
      <name val="Segoe UI"/>
      <family val="2"/>
      <charset val="238"/>
    </font>
    <font>
      <sz val="9"/>
      <color rgb="FFFF0000"/>
      <name val="Segoe UI"/>
      <family val="2"/>
      <charset val="238"/>
    </font>
    <font>
      <sz val="9"/>
      <color indexed="10"/>
      <name val="Segoe UI"/>
      <family val="2"/>
      <charset val="238"/>
    </font>
    <font>
      <i/>
      <sz val="8"/>
      <name val="Segoe UI"/>
      <family val="2"/>
    </font>
    <font>
      <b/>
      <sz val="12"/>
      <name val="Segoe UI"/>
      <family val="2"/>
    </font>
    <font>
      <b/>
      <i/>
      <sz val="12"/>
      <name val="Segoe UI"/>
      <family val="2"/>
    </font>
    <font>
      <b/>
      <sz val="9"/>
      <name val="Segoe UI"/>
      <family val="2"/>
    </font>
    <font>
      <sz val="9"/>
      <color rgb="FFFF0000"/>
      <name val="Segoe UI"/>
      <family val="2"/>
    </font>
  </fonts>
  <fills count="32">
    <fill>
      <patternFill patternType="none"/>
    </fill>
    <fill>
      <patternFill patternType="gray125"/>
    </fill>
    <fill>
      <patternFill patternType="lightTrellis">
        <fgColor indexed="15"/>
        <bgColor indexed="9"/>
      </patternFill>
    </fill>
    <fill>
      <patternFill patternType="solid">
        <fgColor indexed="43"/>
        <bgColor indexed="64"/>
      </patternFill>
    </fill>
    <fill>
      <patternFill patternType="solid">
        <fgColor indexed="9"/>
        <bgColor indexed="64"/>
      </patternFill>
    </fill>
    <fill>
      <patternFill patternType="solid">
        <fgColor indexed="44"/>
        <bgColor indexed="31"/>
      </patternFill>
    </fill>
    <fill>
      <patternFill patternType="solid">
        <fgColor indexed="26"/>
        <bgColor indexed="9"/>
      </patternFill>
    </fill>
    <fill>
      <patternFill patternType="solid">
        <fgColor indexed="42"/>
        <bgColor indexed="27"/>
      </patternFill>
    </fill>
    <fill>
      <patternFill patternType="solid">
        <fgColor indexed="22"/>
        <bgColor indexed="31"/>
      </patternFill>
    </fill>
    <fill>
      <patternFill patternType="solid">
        <fgColor indexed="31"/>
        <bgColor indexed="64"/>
      </patternFill>
    </fill>
    <fill>
      <patternFill patternType="solid">
        <fgColor indexed="45"/>
        <bgColor indexed="64"/>
      </patternFill>
    </fill>
    <fill>
      <patternFill patternType="solid">
        <fgColor indexed="47"/>
        <bgColor indexed="64"/>
      </patternFill>
    </fill>
    <fill>
      <patternFill patternType="solid">
        <fgColor indexed="42"/>
        <bgColor indexed="64"/>
      </patternFill>
    </fill>
    <fill>
      <patternFill patternType="solid">
        <fgColor indexed="26"/>
        <bgColor indexed="64"/>
      </patternFill>
    </fill>
    <fill>
      <patternFill patternType="solid">
        <fgColor indexed="46"/>
        <bgColor indexed="64"/>
      </patternFill>
    </fill>
    <fill>
      <patternFill patternType="solid">
        <fgColor indexed="27"/>
        <bgColor indexed="64"/>
      </patternFill>
    </fill>
    <fill>
      <patternFill patternType="solid">
        <fgColor indexed="44"/>
        <bgColor indexed="64"/>
      </patternFill>
    </fill>
    <fill>
      <patternFill patternType="solid">
        <fgColor indexed="22"/>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49"/>
        <bgColor indexed="64"/>
      </patternFill>
    </fill>
    <fill>
      <patternFill patternType="solid">
        <fgColor indexed="36"/>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4"/>
        <bgColor indexed="64"/>
      </patternFill>
    </fill>
    <fill>
      <patternFill patternType="solid">
        <fgColor indexed="53"/>
        <bgColor indexed="64"/>
      </patternFill>
    </fill>
    <fill>
      <patternFill patternType="solid">
        <fgColor indexed="55"/>
        <bgColor indexed="64"/>
      </patternFill>
    </fill>
    <fill>
      <patternFill patternType="solid">
        <fgColor theme="3" tint="0.79998168889431442"/>
        <bgColor indexed="64"/>
      </patternFill>
    </fill>
  </fills>
  <borders count="20">
    <border>
      <left/>
      <right/>
      <top/>
      <bottom/>
      <diagonal/>
    </border>
    <border>
      <left style="double">
        <color indexed="10"/>
      </left>
      <right style="double">
        <color indexed="10"/>
      </right>
      <top style="double">
        <color indexed="10"/>
      </top>
      <bottom style="double">
        <color indexed="10"/>
      </bottom>
      <diagonal/>
    </border>
    <border>
      <left/>
      <right style="double">
        <color indexed="10"/>
      </right>
      <top style="double">
        <color indexed="10"/>
      </top>
      <bottom style="double">
        <color indexed="10"/>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660">
    <xf numFmtId="0" fontId="0" fillId="0" borderId="0"/>
    <xf numFmtId="0" fontId="10" fillId="0" borderId="0" applyNumberFormat="0" applyFill="0" applyBorder="0" applyAlignment="0" applyProtection="0">
      <alignment vertical="top"/>
      <protection locked="0"/>
    </xf>
    <xf numFmtId="44" fontId="5" fillId="0" borderId="0" applyFont="0" applyFill="0" applyBorder="0" applyAlignment="0" applyProtection="0"/>
    <xf numFmtId="165" fontId="5" fillId="0" borderId="0" applyFont="0" applyFill="0" applyBorder="0" applyAlignment="0" applyProtection="0"/>
    <xf numFmtId="9" fontId="14" fillId="0" borderId="0" applyFont="0" applyFill="0" applyBorder="0" applyAlignment="0" applyProtection="0"/>
    <xf numFmtId="0" fontId="16" fillId="0" borderId="0"/>
    <xf numFmtId="0" fontId="5" fillId="0" borderId="0"/>
    <xf numFmtId="0" fontId="5" fillId="0" borderId="0"/>
    <xf numFmtId="44" fontId="18" fillId="0" borderId="0" applyFont="0" applyFill="0" applyBorder="0" applyAlignment="0" applyProtection="0"/>
    <xf numFmtId="0" fontId="8" fillId="0" borderId="0"/>
    <xf numFmtId="0" fontId="20" fillId="0" borderId="0"/>
    <xf numFmtId="0" fontId="21" fillId="0" borderId="0"/>
    <xf numFmtId="166" fontId="5" fillId="0" borderId="0" applyFill="0" applyBorder="0" applyAlignment="0" applyProtection="0"/>
    <xf numFmtId="0" fontId="20" fillId="5" borderId="0" applyNumberFormat="0" applyBorder="0" applyAlignment="0" applyProtection="0"/>
    <xf numFmtId="0" fontId="5" fillId="6" borderId="4" applyNumberFormat="0" applyAlignment="0" applyProtection="0"/>
    <xf numFmtId="0" fontId="23" fillId="7" borderId="0" applyNumberFormat="0" applyBorder="0" applyAlignment="0" applyProtection="0"/>
    <xf numFmtId="0" fontId="24" fillId="8" borderId="5" applyNumberFormat="0" applyAlignment="0" applyProtection="0"/>
    <xf numFmtId="0" fontId="25" fillId="0" borderId="0">
      <alignment horizontal="right" vertical="top"/>
    </xf>
    <xf numFmtId="0" fontId="26" fillId="0" borderId="0">
      <alignment horizontal="justify" vertical="top" wrapText="1"/>
    </xf>
    <xf numFmtId="0" fontId="25" fillId="0" borderId="0">
      <alignment horizontal="left"/>
    </xf>
    <xf numFmtId="4" fontId="26" fillId="0" borderId="0">
      <alignment horizontal="right"/>
    </xf>
    <xf numFmtId="0" fontId="26" fillId="0" borderId="0">
      <alignment horizontal="right"/>
    </xf>
    <xf numFmtId="4" fontId="26" fillId="0" borderId="0">
      <alignment horizontal="right" wrapText="1"/>
    </xf>
    <xf numFmtId="0" fontId="26" fillId="0" borderId="0">
      <alignment horizontal="right"/>
    </xf>
    <xf numFmtId="4" fontId="26" fillId="0" borderId="0">
      <alignment horizontal="right"/>
    </xf>
    <xf numFmtId="0" fontId="27" fillId="0" borderId="0" applyNumberFormat="0" applyFill="0" applyBorder="0" applyAlignment="0" applyProtection="0"/>
    <xf numFmtId="0" fontId="5" fillId="0" borderId="0"/>
    <xf numFmtId="0" fontId="5" fillId="0" borderId="0"/>
    <xf numFmtId="0" fontId="5" fillId="0" borderId="0"/>
    <xf numFmtId="0" fontId="5" fillId="0" borderId="0"/>
    <xf numFmtId="0" fontId="8" fillId="0" borderId="0"/>
    <xf numFmtId="0" fontId="28" fillId="0" borderId="0" applyNumberFormat="0" applyFill="0" applyBorder="0" applyAlignment="0" applyProtection="0"/>
    <xf numFmtId="0" fontId="8" fillId="0" borderId="0">
      <alignment horizontal="justify" vertical="top" wrapText="1"/>
    </xf>
    <xf numFmtId="0" fontId="8" fillId="0" borderId="0"/>
    <xf numFmtId="0" fontId="30" fillId="0" borderId="0"/>
    <xf numFmtId="0" fontId="5" fillId="0" borderId="0"/>
    <xf numFmtId="0" fontId="5" fillId="0" borderId="0"/>
    <xf numFmtId="0" fontId="4" fillId="0" borderId="0"/>
    <xf numFmtId="165" fontId="20"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44" fontId="5" fillId="0" borderId="0" applyFont="0" applyFill="0" applyBorder="0" applyAlignment="0" applyProtection="0"/>
    <xf numFmtId="0" fontId="5" fillId="0" borderId="0"/>
    <xf numFmtId="0" fontId="32" fillId="0" borderId="0"/>
    <xf numFmtId="165" fontId="5" fillId="0" borderId="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4" fillId="0" borderId="0"/>
    <xf numFmtId="0" fontId="5" fillId="0" borderId="0"/>
    <xf numFmtId="0" fontId="5" fillId="0" borderId="0"/>
    <xf numFmtId="0" fontId="33" fillId="0" borderId="0"/>
    <xf numFmtId="0" fontId="5" fillId="0" borderId="0"/>
    <xf numFmtId="0" fontId="5" fillId="0" borderId="0"/>
    <xf numFmtId="0" fontId="5" fillId="0" borderId="0"/>
    <xf numFmtId="0" fontId="29" fillId="0" borderId="0">
      <alignment horizontal="left" vertical="top" wrapText="1"/>
    </xf>
    <xf numFmtId="0" fontId="29" fillId="0" borderId="0">
      <alignment horizontal="left" vertical="top" wrapText="1"/>
    </xf>
    <xf numFmtId="0" fontId="32" fillId="0" borderId="0"/>
    <xf numFmtId="0" fontId="5" fillId="0" borderId="0"/>
    <xf numFmtId="0" fontId="32" fillId="0" borderId="0"/>
    <xf numFmtId="0" fontId="32" fillId="0" borderId="0"/>
    <xf numFmtId="0" fontId="5" fillId="0" borderId="0"/>
    <xf numFmtId="0" fontId="5" fillId="0" borderId="0"/>
    <xf numFmtId="0" fontId="32" fillId="0" borderId="0"/>
    <xf numFmtId="0" fontId="20" fillId="9" borderId="0" applyNumberFormat="0" applyBorder="0" applyAlignment="0" applyProtection="0"/>
    <xf numFmtId="0" fontId="20" fillId="4"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4" borderId="0" applyNumberFormat="0" applyBorder="0" applyAlignment="0" applyProtection="0"/>
    <xf numFmtId="0" fontId="20" fillId="15" borderId="0" applyNumberFormat="0" applyBorder="0" applyAlignment="0" applyProtection="0"/>
    <xf numFmtId="0" fontId="20" fillId="11"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2"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1"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3" borderId="0" applyNumberFormat="0" applyBorder="0" applyAlignment="0" applyProtection="0"/>
    <xf numFmtId="0" fontId="20" fillId="14" borderId="0" applyNumberFormat="0" applyBorder="0" applyAlignment="0" applyProtection="0"/>
    <xf numFmtId="0" fontId="20" fillId="17"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11"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4"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16" borderId="0" applyNumberFormat="0" applyBorder="0" applyAlignment="0" applyProtection="0"/>
    <xf numFmtId="0" fontId="35" fillId="21" borderId="0" applyNumberFormat="0" applyBorder="0" applyAlignment="0" applyProtection="0"/>
    <xf numFmtId="0" fontId="35" fillId="22" borderId="0" applyNumberFormat="0" applyBorder="0" applyAlignment="0" applyProtection="0"/>
    <xf numFmtId="0" fontId="35" fillId="18" borderId="0" applyNumberFormat="0" applyBorder="0" applyAlignment="0" applyProtection="0"/>
    <xf numFmtId="0" fontId="35" fillId="19" borderId="0" applyNumberFormat="0" applyBorder="0" applyAlignment="0" applyProtection="0"/>
    <xf numFmtId="0" fontId="35" fillId="3" borderId="0" applyNumberFormat="0" applyBorder="0" applyAlignment="0" applyProtection="0"/>
    <xf numFmtId="0" fontId="35" fillId="23" borderId="0" applyNumberFormat="0" applyBorder="0" applyAlignment="0" applyProtection="0"/>
    <xf numFmtId="0" fontId="35" fillId="17" borderId="0" applyNumberFormat="0" applyBorder="0" applyAlignment="0" applyProtection="0"/>
    <xf numFmtId="0" fontId="35" fillId="22" borderId="0" applyNumberFormat="0" applyBorder="0" applyAlignment="0" applyProtection="0"/>
    <xf numFmtId="0" fontId="35" fillId="24" borderId="0" applyNumberFormat="0" applyBorder="0" applyAlignment="0" applyProtection="0"/>
    <xf numFmtId="0" fontId="35" fillId="11" borderId="0" applyNumberFormat="0" applyBorder="0" applyAlignment="0" applyProtection="0"/>
    <xf numFmtId="0" fontId="35" fillId="21" borderId="0" applyNumberFormat="0" applyBorder="0" applyAlignment="0" applyProtection="0"/>
    <xf numFmtId="0" fontId="35" fillId="18" borderId="0" applyNumberFormat="0" applyBorder="0" applyAlignment="0" applyProtection="0"/>
    <xf numFmtId="0" fontId="35" fillId="19" borderId="0" applyNumberFormat="0" applyBorder="0" applyAlignment="0" applyProtection="0"/>
    <xf numFmtId="0" fontId="35" fillId="23" borderId="0" applyNumberFormat="0" applyBorder="0" applyAlignment="0" applyProtection="0"/>
    <xf numFmtId="0" fontId="35" fillId="22" borderId="0" applyNumberFormat="0" applyBorder="0" applyAlignment="0" applyProtection="0"/>
    <xf numFmtId="0" fontId="35" fillId="24" borderId="0" applyNumberFormat="0" applyBorder="0" applyAlignment="0" applyProtection="0"/>
    <xf numFmtId="0" fontId="35" fillId="25" borderId="0" applyNumberFormat="0" applyBorder="0" applyAlignment="0" applyProtection="0"/>
    <xf numFmtId="0" fontId="35" fillId="22" borderId="0" applyNumberFormat="0" applyBorder="0" applyAlignment="0" applyProtection="0"/>
    <xf numFmtId="0" fontId="35" fillId="26" borderId="0" applyNumberFormat="0" applyBorder="0" applyAlignment="0" applyProtection="0"/>
    <xf numFmtId="0" fontId="35" fillId="27" borderId="0" applyNumberFormat="0" applyBorder="0" applyAlignment="0" applyProtection="0"/>
    <xf numFmtId="0" fontId="35" fillId="23" borderId="0" applyNumberFormat="0" applyBorder="0" applyAlignment="0" applyProtection="0"/>
    <xf numFmtId="0" fontId="35" fillId="28" borderId="0" applyNumberFormat="0" applyBorder="0" applyAlignment="0" applyProtection="0"/>
    <xf numFmtId="0" fontId="35" fillId="22" borderId="0" applyNumberFormat="0" applyBorder="0" applyAlignment="0" applyProtection="0"/>
    <xf numFmtId="0" fontId="35" fillId="29" borderId="0" applyNumberFormat="0" applyBorder="0" applyAlignment="0" applyProtection="0"/>
    <xf numFmtId="0" fontId="48" fillId="10" borderId="0" applyNumberFormat="0" applyBorder="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Alignment="0" applyProtection="0"/>
    <xf numFmtId="0" fontId="5" fillId="13" borderId="4" applyNumberFormat="0" applyAlignment="0" applyProtection="0"/>
    <xf numFmtId="0" fontId="5" fillId="13" borderId="4" applyNumberForma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5" fillId="13" borderId="4" applyNumberFormat="0" applyFont="0" applyAlignment="0" applyProtection="0"/>
    <xf numFmtId="0" fontId="39" fillId="17" borderId="6" applyNumberFormat="0" applyAlignment="0" applyProtection="0"/>
    <xf numFmtId="0" fontId="39" fillId="4" borderId="6" applyNumberFormat="0" applyAlignment="0" applyProtection="0"/>
    <xf numFmtId="0" fontId="52" fillId="30" borderId="7" applyNumberFormat="0" applyAlignment="0" applyProtection="0"/>
    <xf numFmtId="4" fontId="38" fillId="0" borderId="0">
      <alignment horizontal="right"/>
      <protection locked="0"/>
    </xf>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7" fontId="5" fillId="0" borderId="0" applyFill="0" applyBorder="0" applyAlignment="0" applyProtection="0"/>
    <xf numFmtId="167" fontId="5" fillId="0" borderId="0" applyFill="0" applyBorder="0" applyAlignment="0" applyProtection="0"/>
    <xf numFmtId="167" fontId="5" fillId="0" borderId="0" applyFill="0" applyBorder="0" applyAlignment="0" applyProtection="0"/>
    <xf numFmtId="167" fontId="5" fillId="0" borderId="0" applyFill="0" applyBorder="0" applyAlignment="0" applyProtection="0"/>
    <xf numFmtId="167" fontId="5" fillId="0" borderId="0" applyFill="0" applyBorder="0" applyAlignment="0" applyProtection="0"/>
    <xf numFmtId="168" fontId="5" fillId="0" borderId="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7" fontId="5" fillId="0" borderId="0" applyFill="0" applyBorder="0" applyAlignment="0" applyProtection="0"/>
    <xf numFmtId="167" fontId="5" fillId="0" borderId="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7" fontId="5" fillId="0" borderId="0" applyFill="0" applyBorder="0" applyAlignment="0" applyProtection="0"/>
    <xf numFmtId="167" fontId="5" fillId="0" borderId="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7" fontId="5" fillId="0" borderId="0" applyFill="0" applyBorder="0" applyAlignment="0" applyProtection="0"/>
    <xf numFmtId="167" fontId="5" fillId="0" borderId="0" applyFill="0" applyBorder="0" applyAlignment="0" applyProtection="0"/>
    <xf numFmtId="167" fontId="5" fillId="0" borderId="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7" fontId="5" fillId="0" borderId="0" applyFill="0" applyBorder="0" applyAlignment="0" applyProtection="0"/>
    <xf numFmtId="167" fontId="5" fillId="0" borderId="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5" fillId="0" borderId="0">
      <alignment vertical="top"/>
    </xf>
    <xf numFmtId="0" fontId="5" fillId="0" borderId="0"/>
    <xf numFmtId="0" fontId="5" fillId="0" borderId="0"/>
    <xf numFmtId="0" fontId="45" fillId="0" borderId="0" applyNumberFormat="0" applyFill="0" applyBorder="0" applyAlignment="0" applyProtection="0"/>
    <xf numFmtId="0" fontId="23" fillId="12" borderId="0" applyNumberFormat="0" applyBorder="0" applyAlignment="0" applyProtection="0"/>
    <xf numFmtId="0" fontId="23" fillId="12" borderId="0" applyNumberFormat="0" applyBorder="0" applyAlignment="0" applyProtection="0"/>
    <xf numFmtId="0" fontId="43" fillId="0" borderId="8" applyNumberFormat="0" applyFill="0" applyAlignment="0" applyProtection="0"/>
    <xf numFmtId="0" fontId="54" fillId="0" borderId="9" applyNumberFormat="0" applyFill="0" applyAlignment="0" applyProtection="0"/>
    <xf numFmtId="0" fontId="40" fillId="0" borderId="10" applyNumberFormat="0" applyFill="0" applyAlignment="0" applyProtection="0"/>
    <xf numFmtId="0" fontId="55" fillId="0" borderId="10" applyNumberFormat="0" applyFill="0" applyAlignment="0" applyProtection="0"/>
    <xf numFmtId="0" fontId="42" fillId="0" borderId="11" applyNumberFormat="0" applyFill="0" applyAlignment="0" applyProtection="0"/>
    <xf numFmtId="0" fontId="56" fillId="0" borderId="12" applyNumberFormat="0" applyFill="0" applyAlignment="0" applyProtection="0"/>
    <xf numFmtId="0" fontId="42" fillId="0" borderId="0" applyNumberFormat="0" applyFill="0" applyBorder="0" applyAlignment="0" applyProtection="0"/>
    <xf numFmtId="0" fontId="56" fillId="0" borderId="0" applyNumberFormat="0" applyFill="0" applyBorder="0" applyAlignment="0" applyProtection="0"/>
    <xf numFmtId="0" fontId="41" fillId="11" borderId="6" applyNumberFormat="0" applyAlignment="0" applyProtection="0"/>
    <xf numFmtId="0" fontId="35" fillId="25" borderId="0" applyNumberFormat="0" applyBorder="0" applyAlignment="0" applyProtection="0"/>
    <xf numFmtId="0" fontId="35" fillId="26" borderId="0" applyNumberFormat="0" applyBorder="0" applyAlignment="0" applyProtection="0"/>
    <xf numFmtId="0" fontId="35" fillId="27" borderId="0" applyNumberFormat="0" applyBorder="0" applyAlignment="0" applyProtection="0"/>
    <xf numFmtId="0" fontId="35" fillId="23" borderId="0" applyNumberFormat="0" applyBorder="0" applyAlignment="0" applyProtection="0"/>
    <xf numFmtId="0" fontId="35" fillId="22" borderId="0" applyNumberFormat="0" applyBorder="0" applyAlignment="0" applyProtection="0"/>
    <xf numFmtId="0" fontId="35" fillId="29" borderId="0" applyNumberFormat="0" applyBorder="0" applyAlignment="0" applyProtection="0"/>
    <xf numFmtId="0" fontId="24" fillId="17" borderId="5" applyNumberFormat="0" applyAlignment="0" applyProtection="0"/>
    <xf numFmtId="0" fontId="24" fillId="17" borderId="5" applyNumberFormat="0" applyAlignment="0" applyProtection="0"/>
    <xf numFmtId="0" fontId="24" fillId="17" borderId="5" applyNumberFormat="0" applyAlignment="0" applyProtection="0"/>
    <xf numFmtId="0" fontId="39" fillId="17" borderId="6" applyNumberFormat="0" applyAlignment="0" applyProtection="0"/>
    <xf numFmtId="0" fontId="37" fillId="0" borderId="0">
      <alignment horizontal="right" vertical="top"/>
    </xf>
    <xf numFmtId="0" fontId="50" fillId="0" borderId="0">
      <alignment horizontal="justify" vertical="top" wrapText="1"/>
    </xf>
    <xf numFmtId="0" fontId="37" fillId="0" borderId="0">
      <alignment horizontal="left"/>
    </xf>
    <xf numFmtId="4" fontId="50" fillId="0" borderId="0">
      <alignment horizontal="right"/>
    </xf>
    <xf numFmtId="0" fontId="50" fillId="0" borderId="0">
      <alignment horizontal="right"/>
    </xf>
    <xf numFmtId="4" fontId="50" fillId="0" borderId="0">
      <alignment horizontal="right" wrapText="1"/>
    </xf>
    <xf numFmtId="0" fontId="50" fillId="0" borderId="0">
      <alignment horizontal="right"/>
    </xf>
    <xf numFmtId="4" fontId="50" fillId="0" borderId="0">
      <alignment horizontal="right"/>
    </xf>
    <xf numFmtId="1" fontId="38" fillId="0" borderId="0">
      <alignment horizontal="center" vertical="top"/>
      <protection locked="0"/>
    </xf>
    <xf numFmtId="49" fontId="38" fillId="0" borderId="0">
      <alignment horizontal="left" vertical="top" wrapText="1"/>
      <protection locked="0"/>
    </xf>
    <xf numFmtId="49" fontId="38" fillId="0" borderId="0">
      <alignment horizontal="center"/>
      <protection locked="0"/>
    </xf>
    <xf numFmtId="0" fontId="36" fillId="0" borderId="0" applyBorder="0" applyProtection="0">
      <alignment horizontal="right" vertical="top" wrapText="1"/>
    </xf>
    <xf numFmtId="0" fontId="47" fillId="0" borderId="13" applyNumberFormat="0" applyFill="0" applyAlignment="0" applyProtection="0"/>
    <xf numFmtId="0" fontId="48" fillId="10" borderId="0" applyNumberFormat="0" applyBorder="0" applyAlignment="0" applyProtection="0"/>
    <xf numFmtId="0" fontId="5" fillId="0" borderId="0">
      <alignment horizontal="justify" vertical="top" wrapText="1"/>
    </xf>
    <xf numFmtId="0" fontId="5" fillId="0" borderId="0">
      <alignment horizontal="justify" vertical="top" wrapText="1"/>
    </xf>
    <xf numFmtId="0" fontId="36" fillId="0" borderId="0" applyBorder="0">
      <alignment horizontal="justify" vertical="top" wrapText="1"/>
      <protection locked="0"/>
    </xf>
    <xf numFmtId="0" fontId="43" fillId="0" borderId="8" applyNumberFormat="0" applyFill="0" applyAlignment="0" applyProtection="0"/>
    <xf numFmtId="0" fontId="43" fillId="0" borderId="8" applyNumberFormat="0" applyFill="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0" fillId="0" borderId="10" applyNumberFormat="0" applyFill="0" applyAlignment="0" applyProtection="0"/>
    <xf numFmtId="0" fontId="42" fillId="0" borderId="11" applyNumberFormat="0" applyFill="0" applyAlignment="0" applyProtection="0"/>
    <xf numFmtId="0" fontId="42" fillId="0" borderId="0" applyNumberFormat="0" applyFill="0" applyBorder="0" applyAlignment="0" applyProtection="0"/>
    <xf numFmtId="0" fontId="49" fillId="0" borderId="0" applyNumberFormat="0" applyFill="0" applyBorder="0" applyAlignment="0" applyProtection="0"/>
    <xf numFmtId="0" fontId="5" fillId="0" borderId="0"/>
    <xf numFmtId="0" fontId="44" fillId="3" borderId="0" applyNumberFormat="0" applyBorder="0" applyAlignment="0" applyProtection="0"/>
    <xf numFmtId="0" fontId="44" fillId="3" borderId="0" applyNumberFormat="0" applyBorder="0" applyAlignment="0" applyProtection="0"/>
    <xf numFmtId="0" fontId="53"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4" fillId="0" borderId="0"/>
    <xf numFmtId="0" fontId="34" fillId="0" borderId="0"/>
    <xf numFmtId="0" fontId="3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5" fillId="0" borderId="0"/>
    <xf numFmtId="0" fontId="5" fillId="0" borderId="0"/>
    <xf numFmtId="0" fontId="5"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5"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5"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5" fillId="0" borderId="0"/>
    <xf numFmtId="0" fontId="29" fillId="0" borderId="0"/>
    <xf numFmtId="0" fontId="29" fillId="0" borderId="0"/>
    <xf numFmtId="0" fontId="5" fillId="0" borderId="0"/>
    <xf numFmtId="0" fontId="29" fillId="0" borderId="0"/>
    <xf numFmtId="0" fontId="29" fillId="0" borderId="0"/>
    <xf numFmtId="0" fontId="29" fillId="0" borderId="0"/>
    <xf numFmtId="0" fontId="29" fillId="0" borderId="0"/>
    <xf numFmtId="0" fontId="2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4" fillId="0" borderId="0"/>
    <xf numFmtId="0" fontId="34" fillId="0" borderId="0"/>
    <xf numFmtId="0" fontId="34" fillId="0" borderId="0"/>
    <xf numFmtId="0" fontId="3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 fillId="0" borderId="0"/>
    <xf numFmtId="0" fontId="20" fillId="0" borderId="0"/>
    <xf numFmtId="0" fontId="20" fillId="0" borderId="0"/>
    <xf numFmtId="0" fontId="20" fillId="0" borderId="0"/>
    <xf numFmtId="0" fontId="53" fillId="0" borderId="0"/>
    <xf numFmtId="0" fontId="5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 fontId="29" fillId="0" borderId="0">
      <alignment horizontal="justify" vertical="justify"/>
    </xf>
    <xf numFmtId="4" fontId="29" fillId="0" borderId="0">
      <alignment horizontal="justify"/>
    </xf>
    <xf numFmtId="0" fontId="53" fillId="0" borderId="0"/>
    <xf numFmtId="0" fontId="3" fillId="0" borderId="0"/>
    <xf numFmtId="0" fontId="33" fillId="0" borderId="0"/>
    <xf numFmtId="0" fontId="20" fillId="0" borderId="0"/>
    <xf numFmtId="0" fontId="20" fillId="0" borderId="0"/>
    <xf numFmtId="0" fontId="5" fillId="0" borderId="0"/>
    <xf numFmtId="0" fontId="29" fillId="0" borderId="0"/>
    <xf numFmtId="0" fontId="5" fillId="0" borderId="0"/>
    <xf numFmtId="0" fontId="5" fillId="0" borderId="0"/>
    <xf numFmtId="0" fontId="29" fillId="0" borderId="0"/>
    <xf numFmtId="0" fontId="29" fillId="0" borderId="0"/>
    <xf numFmtId="0" fontId="53" fillId="0" borderId="0"/>
    <xf numFmtId="0" fontId="5" fillId="13" borderId="4" applyNumberFormat="0" applyFont="0" applyAlignment="0" applyProtection="0"/>
    <xf numFmtId="0" fontId="5" fillId="13" borderId="4" applyNumberFormat="0" applyAlignment="0" applyProtection="0"/>
    <xf numFmtId="0" fontId="5" fillId="13" borderId="4"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4" fillId="17" borderId="5" applyNumberFormat="0" applyAlignment="0" applyProtection="0"/>
    <xf numFmtId="0" fontId="24" fillId="17" borderId="5"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ill="0" applyBorder="0" applyAlignment="0" applyProtection="0"/>
    <xf numFmtId="9" fontId="5" fillId="0" borderId="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ill="0" applyBorder="0" applyAlignment="0" applyProtection="0"/>
    <xf numFmtId="9" fontId="5" fillId="0" borderId="0" applyFill="0" applyBorder="0" applyAlignment="0" applyProtection="0"/>
    <xf numFmtId="9" fontId="5" fillId="0" borderId="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47" fillId="0" borderId="13" applyNumberFormat="0" applyFill="0" applyAlignment="0" applyProtection="0"/>
    <xf numFmtId="0" fontId="52" fillId="30" borderId="7" applyNumberFormat="0" applyAlignment="0" applyProtection="0"/>
    <xf numFmtId="1" fontId="36" fillId="0" borderId="0" applyFill="0" applyBorder="0" applyProtection="0">
      <alignment horizontal="center" vertical="top" wrapText="1"/>
    </xf>
    <xf numFmtId="0" fontId="57" fillId="0" borderId="0"/>
    <xf numFmtId="0" fontId="57" fillId="0" borderId="0"/>
    <xf numFmtId="0" fontId="32" fillId="0" borderId="0"/>
    <xf numFmtId="0" fontId="5" fillId="0" borderId="0"/>
    <xf numFmtId="0" fontId="5" fillId="0" borderId="0"/>
    <xf numFmtId="0" fontId="45" fillId="0" borderId="0" applyNumberFormat="0" applyFill="0" applyBorder="0" applyAlignment="0" applyProtection="0"/>
    <xf numFmtId="0" fontId="28"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51" fillId="0" borderId="14" applyNumberFormat="0" applyFill="0" applyAlignment="0" applyProtection="0"/>
    <xf numFmtId="0" fontId="51" fillId="0" borderId="15" applyNumberFormat="0" applyFill="0" applyAlignment="0" applyProtection="0"/>
    <xf numFmtId="0" fontId="51" fillId="0" borderId="14" applyNumberFormat="0" applyFill="0" applyAlignment="0" applyProtection="0"/>
    <xf numFmtId="0" fontId="41" fillId="11" borderId="6" applyNumberFormat="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5" fillId="0" borderId="0" applyNumberFormat="0" applyFill="0" applyProtection="0">
      <alignment horizontal="justify" vertical="top" wrapText="1"/>
    </xf>
    <xf numFmtId="4" fontId="46" fillId="0" borderId="0" applyBorder="0">
      <alignment horizontal="right" wrapText="1"/>
    </xf>
    <xf numFmtId="167" fontId="5" fillId="0" borderId="0" applyFill="0" applyBorder="0" applyAlignment="0" applyProtection="0"/>
    <xf numFmtId="167" fontId="5" fillId="0" borderId="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44" fontId="5" fillId="0" borderId="0" applyFont="0" applyFill="0" applyBorder="0" applyAlignment="0" applyProtection="0"/>
    <xf numFmtId="165" fontId="5" fillId="0" borderId="0" applyFont="0" applyFill="0" applyBorder="0" applyAlignment="0" applyProtection="0"/>
    <xf numFmtId="44" fontId="5" fillId="0" borderId="0" applyFont="0" applyFill="0" applyBorder="0" applyAlignment="0" applyProtection="0"/>
    <xf numFmtId="0" fontId="1" fillId="0" borderId="0"/>
    <xf numFmtId="165"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65" fontId="5" fillId="0" borderId="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1"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1" fillId="0" borderId="0"/>
    <xf numFmtId="0" fontId="1" fillId="0" borderId="0"/>
    <xf numFmtId="0" fontId="1" fillId="0" borderId="0"/>
    <xf numFmtId="0" fontId="1" fillId="0" borderId="0"/>
    <xf numFmtId="0" fontId="72" fillId="0" borderId="0" applyNumberFormat="0" applyFill="0" applyBorder="0" applyAlignment="0" applyProtection="0"/>
    <xf numFmtId="9" fontId="5" fillId="0" borderId="0" applyFont="0" applyFill="0" applyBorder="0" applyAlignment="0" applyProtection="0"/>
    <xf numFmtId="165" fontId="5" fillId="0" borderId="0" applyFont="0" applyFill="0" applyBorder="0" applyAlignment="0" applyProtection="0"/>
  </cellStyleXfs>
  <cellXfs count="228">
    <xf numFmtId="0" fontId="0" fillId="0" borderId="0" xfId="0"/>
    <xf numFmtId="0" fontId="6" fillId="0" borderId="0" xfId="0" applyFont="1"/>
    <xf numFmtId="0" fontId="7" fillId="0" borderId="0" xfId="0" quotePrefix="1" applyFont="1" applyAlignment="1">
      <alignment horizontal="center" vertical="center" wrapText="1"/>
    </xf>
    <xf numFmtId="0" fontId="8" fillId="0" borderId="0" xfId="0" applyFont="1"/>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horizontal="center"/>
    </xf>
    <xf numFmtId="44" fontId="8" fillId="0" borderId="0" xfId="2" applyFont="1" applyAlignment="1"/>
    <xf numFmtId="0" fontId="8" fillId="0" borderId="0" xfId="0" quotePrefix="1" applyFont="1" applyAlignment="1">
      <alignment horizontal="center" vertical="center" wrapText="1"/>
    </xf>
    <xf numFmtId="0" fontId="11" fillId="2" borderId="1" xfId="1" applyFont="1" applyFill="1" applyBorder="1" applyAlignment="1" applyProtection="1">
      <alignment horizontal="center" vertical="center"/>
    </xf>
    <xf numFmtId="0" fontId="8" fillId="0" borderId="0" xfId="0" applyFont="1" applyAlignment="1">
      <alignment horizontal="center" vertical="center"/>
    </xf>
    <xf numFmtId="0" fontId="11" fillId="2" borderId="1" xfId="1" applyFont="1" applyFill="1" applyBorder="1" applyAlignment="1" applyProtection="1">
      <alignment vertical="center"/>
    </xf>
    <xf numFmtId="0" fontId="11" fillId="0" borderId="0" xfId="1" applyFont="1" applyBorder="1" applyAlignment="1" applyProtection="1">
      <alignment horizontal="center"/>
    </xf>
    <xf numFmtId="0" fontId="9" fillId="0" borderId="0" xfId="0" applyFont="1" applyAlignment="1">
      <alignment horizontal="left"/>
    </xf>
    <xf numFmtId="165" fontId="8" fillId="0" borderId="0" xfId="3" applyFont="1" applyFill="1" applyBorder="1" applyAlignment="1">
      <alignment horizontal="right"/>
    </xf>
    <xf numFmtId="165" fontId="8" fillId="0" borderId="0" xfId="3" applyFont="1" applyFill="1" applyBorder="1" applyAlignment="1"/>
    <xf numFmtId="0" fontId="8" fillId="0" borderId="0" xfId="0" applyFont="1" applyAlignment="1">
      <alignment horizontal="right"/>
    </xf>
    <xf numFmtId="0" fontId="8" fillId="0" borderId="0" xfId="0" applyFont="1" applyAlignment="1">
      <alignment vertical="top"/>
    </xf>
    <xf numFmtId="0" fontId="8" fillId="0" borderId="0" xfId="0" applyFont="1" applyAlignment="1">
      <alignment vertical="center"/>
    </xf>
    <xf numFmtId="0" fontId="6" fillId="0" borderId="0" xfId="0" applyFont="1" applyAlignment="1">
      <alignment horizontal="center"/>
    </xf>
    <xf numFmtId="165" fontId="7" fillId="0" borderId="0" xfId="3" applyFont="1" applyFill="1"/>
    <xf numFmtId="0" fontId="10" fillId="2" borderId="1" xfId="1" applyFill="1" applyBorder="1" applyAlignment="1" applyProtection="1">
      <alignment vertical="center"/>
    </xf>
    <xf numFmtId="0" fontId="10" fillId="2" borderId="1" xfId="1" applyFill="1" applyBorder="1" applyAlignment="1" applyProtection="1">
      <alignment horizontal="center" vertical="center"/>
    </xf>
    <xf numFmtId="0" fontId="11" fillId="2" borderId="2" xfId="1" applyFont="1" applyFill="1" applyBorder="1" applyAlignment="1" applyProtection="1">
      <alignment vertical="center"/>
    </xf>
    <xf numFmtId="0" fontId="8" fillId="0" borderId="0" xfId="0" applyFont="1" applyAlignment="1">
      <alignment vertical="top" wrapText="1"/>
    </xf>
    <xf numFmtId="0" fontId="10" fillId="0" borderId="0" xfId="1" applyBorder="1" applyAlignment="1" applyProtection="1">
      <alignment horizontal="center"/>
    </xf>
    <xf numFmtId="44" fontId="8" fillId="0" borderId="0" xfId="2" applyFont="1" applyBorder="1" applyAlignment="1"/>
    <xf numFmtId="0" fontId="6" fillId="0" borderId="0" xfId="0" applyFont="1" applyAlignment="1">
      <alignment horizontal="center" vertical="center"/>
    </xf>
    <xf numFmtId="0" fontId="11" fillId="2" borderId="2" xfId="1" applyFont="1" applyFill="1" applyBorder="1" applyAlignment="1" applyProtection="1">
      <alignment horizontal="center" vertical="center"/>
    </xf>
    <xf numFmtId="0" fontId="15" fillId="0" borderId="0" xfId="0" applyFont="1"/>
    <xf numFmtId="0" fontId="8" fillId="0" borderId="0" xfId="6" applyFont="1"/>
    <xf numFmtId="0" fontId="17" fillId="0" borderId="0" xfId="0" applyFont="1"/>
    <xf numFmtId="165" fontId="5" fillId="0" borderId="0" xfId="3" applyFont="1" applyFill="1" applyBorder="1" applyAlignment="1">
      <alignment horizontal="left" vertical="center"/>
    </xf>
    <xf numFmtId="0" fontId="17" fillId="0" borderId="0" xfId="0" applyFont="1" applyAlignment="1">
      <alignment horizontal="center"/>
    </xf>
    <xf numFmtId="44" fontId="17" fillId="0" borderId="0" xfId="2" applyFont="1" applyBorder="1" applyAlignment="1">
      <alignment horizontal="left" vertical="center"/>
    </xf>
    <xf numFmtId="0" fontId="5" fillId="0" borderId="0" xfId="0" applyFont="1" applyAlignment="1">
      <alignment horizontal="left" vertical="center"/>
    </xf>
    <xf numFmtId="44" fontId="5" fillId="0" borderId="0" xfId="2" applyFont="1" applyBorder="1" applyAlignment="1">
      <alignment horizontal="left" vertical="center"/>
    </xf>
    <xf numFmtId="0" fontId="11" fillId="2" borderId="0" xfId="1" applyFont="1" applyFill="1" applyBorder="1" applyAlignment="1" applyProtection="1">
      <alignment horizontal="center" vertical="center"/>
    </xf>
    <xf numFmtId="0" fontId="19" fillId="0" borderId="0" xfId="0" applyFont="1"/>
    <xf numFmtId="0" fontId="10" fillId="0" borderId="0" xfId="1" applyAlignment="1" applyProtection="1">
      <alignment horizontal="center" vertical="center" wrapText="1"/>
    </xf>
    <xf numFmtId="49" fontId="58" fillId="0" borderId="0" xfId="35" applyNumberFormat="1" applyFont="1" applyAlignment="1">
      <alignment horizontal="center" vertical="top" wrapText="1"/>
    </xf>
    <xf numFmtId="0" fontId="59" fillId="0" borderId="0" xfId="0" applyFont="1" applyAlignment="1">
      <alignment vertical="top" wrapText="1"/>
    </xf>
    <xf numFmtId="0" fontId="60" fillId="0" borderId="0" xfId="0" applyFont="1" applyAlignment="1">
      <alignment vertical="top" wrapText="1"/>
    </xf>
    <xf numFmtId="0" fontId="60" fillId="0" borderId="0" xfId="0" applyFont="1" applyAlignment="1">
      <alignment horizontal="left" wrapText="1"/>
    </xf>
    <xf numFmtId="0" fontId="60" fillId="0" borderId="0" xfId="0" applyFont="1"/>
    <xf numFmtId="0" fontId="60" fillId="0" borderId="0" xfId="0" applyFont="1" applyAlignment="1">
      <alignment horizontal="left" vertical="top" wrapText="1"/>
    </xf>
    <xf numFmtId="0" fontId="59" fillId="0" borderId="0" xfId="0" applyFont="1" applyAlignment="1">
      <alignment horizontal="center" vertical="center"/>
    </xf>
    <xf numFmtId="0" fontId="61" fillId="0" borderId="0" xfId="0" applyFont="1" applyAlignment="1">
      <alignment vertical="top" wrapText="1"/>
    </xf>
    <xf numFmtId="0" fontId="59" fillId="0" borderId="0" xfId="0" applyFont="1" applyAlignment="1">
      <alignment horizontal="center"/>
    </xf>
    <xf numFmtId="0" fontId="59" fillId="0" borderId="0" xfId="0" applyFont="1"/>
    <xf numFmtId="0" fontId="60" fillId="0" borderId="0" xfId="0" quotePrefix="1" applyFont="1" applyAlignment="1">
      <alignment horizontal="center" vertical="center" wrapText="1"/>
    </xf>
    <xf numFmtId="0" fontId="60" fillId="0" borderId="0" xfId="0" quotePrefix="1" applyFont="1" applyAlignment="1">
      <alignment horizontal="center" vertical="top" wrapText="1"/>
    </xf>
    <xf numFmtId="0" fontId="60" fillId="0" borderId="0" xfId="0" applyFont="1" applyAlignment="1">
      <alignment horizontal="center" vertical="top" wrapText="1"/>
    </xf>
    <xf numFmtId="0" fontId="59" fillId="0" borderId="0" xfId="0" applyFont="1" applyAlignment="1">
      <alignment vertical="center"/>
    </xf>
    <xf numFmtId="44" fontId="60" fillId="0" borderId="0" xfId="2" applyFont="1" applyBorder="1"/>
    <xf numFmtId="0" fontId="63" fillId="0" borderId="0" xfId="0" quotePrefix="1" applyFont="1" applyAlignment="1">
      <alignment horizontal="center" vertical="center" wrapText="1"/>
    </xf>
    <xf numFmtId="0" fontId="60" fillId="0" borderId="0" xfId="0" applyFont="1" applyAlignment="1">
      <alignment vertical="top"/>
    </xf>
    <xf numFmtId="0" fontId="60" fillId="0" borderId="0" xfId="0" applyFont="1" applyAlignment="1">
      <alignment horizontal="center"/>
    </xf>
    <xf numFmtId="0" fontId="60" fillId="0" borderId="0" xfId="0" applyFont="1" applyAlignment="1">
      <alignment horizontal="center" vertical="center"/>
    </xf>
    <xf numFmtId="0" fontId="61" fillId="0" borderId="0" xfId="0" applyFont="1" applyAlignment="1">
      <alignment vertical="top"/>
    </xf>
    <xf numFmtId="0" fontId="61" fillId="0" borderId="0" xfId="0" applyFont="1" applyAlignment="1">
      <alignment horizontal="center"/>
    </xf>
    <xf numFmtId="0" fontId="61" fillId="0" borderId="0" xfId="0" applyFont="1"/>
    <xf numFmtId="0" fontId="61" fillId="0" borderId="0" xfId="0" applyFont="1" applyAlignment="1">
      <alignment horizontal="center" vertical="center"/>
    </xf>
    <xf numFmtId="44" fontId="59" fillId="0" borderId="0" xfId="2" applyFont="1" applyBorder="1" applyAlignment="1">
      <alignment vertical="center"/>
    </xf>
    <xf numFmtId="0" fontId="60" fillId="0" borderId="0" xfId="0" applyFont="1" applyAlignment="1">
      <alignment horizontal="center" vertical="top"/>
    </xf>
    <xf numFmtId="0" fontId="61" fillId="0" borderId="0" xfId="0" applyFont="1" applyAlignment="1">
      <alignment horizontal="center" vertical="top"/>
    </xf>
    <xf numFmtId="44" fontId="60" fillId="0" borderId="0" xfId="2" applyFont="1" applyBorder="1" applyAlignment="1"/>
    <xf numFmtId="165" fontId="61" fillId="0" borderId="0" xfId="3" applyFont="1" applyFill="1" applyBorder="1" applyAlignment="1"/>
    <xf numFmtId="165" fontId="60" fillId="0" borderId="0" xfId="3" applyFont="1" applyBorder="1" applyAlignment="1"/>
    <xf numFmtId="165" fontId="60" fillId="0" borderId="0" xfId="3" applyFont="1" applyFill="1" applyBorder="1" applyAlignment="1"/>
    <xf numFmtId="165" fontId="61" fillId="0" borderId="0" xfId="3" applyFont="1" applyBorder="1" applyAlignment="1"/>
    <xf numFmtId="0" fontId="59" fillId="0" borderId="0" xfId="0" applyFont="1" applyAlignment="1">
      <alignment vertical="top"/>
    </xf>
    <xf numFmtId="0" fontId="60" fillId="0" borderId="0" xfId="0" applyFont="1" applyAlignment="1">
      <alignment horizontal="left"/>
    </xf>
    <xf numFmtId="0" fontId="63" fillId="0" borderId="0" xfId="0" quotePrefix="1" applyFont="1" applyAlignment="1">
      <alignment horizontal="center" vertical="top" wrapText="1"/>
    </xf>
    <xf numFmtId="165" fontId="63" fillId="0" borderId="0" xfId="3" quotePrefix="1" applyFont="1" applyFill="1" applyBorder="1" applyAlignment="1">
      <alignment horizontal="right" vertical="center" wrapText="1"/>
    </xf>
    <xf numFmtId="165" fontId="60" fillId="0" borderId="0" xfId="3" applyFont="1" applyFill="1" applyBorder="1" applyAlignment="1">
      <alignment horizontal="center" vertical="top"/>
    </xf>
    <xf numFmtId="165" fontId="59" fillId="0" borderId="0" xfId="3" applyFont="1" applyFill="1" applyBorder="1" applyAlignment="1">
      <alignment vertical="center"/>
    </xf>
    <xf numFmtId="165" fontId="60" fillId="0" borderId="0" xfId="3" applyFont="1" applyFill="1" applyBorder="1"/>
    <xf numFmtId="165" fontId="60" fillId="0" borderId="0" xfId="3" applyFont="1" applyFill="1" applyBorder="1" applyAlignment="1">
      <alignment horizontal="left" wrapText="1"/>
    </xf>
    <xf numFmtId="165" fontId="67" fillId="0" borderId="0" xfId="3" applyFont="1" applyFill="1" applyBorder="1" applyAlignment="1"/>
    <xf numFmtId="44" fontId="60" fillId="0" borderId="0" xfId="2" quotePrefix="1" applyFont="1" applyBorder="1" applyAlignment="1">
      <alignment horizontal="center" vertical="center" wrapText="1"/>
    </xf>
    <xf numFmtId="0" fontId="66" fillId="0" borderId="0" xfId="0" applyFont="1"/>
    <xf numFmtId="0" fontId="60" fillId="0" borderId="0" xfId="0" applyFont="1" applyAlignment="1">
      <alignment vertical="center"/>
    </xf>
    <xf numFmtId="0" fontId="8" fillId="0" borderId="0" xfId="33" quotePrefix="1" applyAlignment="1">
      <alignment horizontal="center" vertical="center" wrapText="1"/>
    </xf>
    <xf numFmtId="0" fontId="60" fillId="0" borderId="0" xfId="33" applyFont="1" applyAlignment="1">
      <alignment horizontal="center" vertical="top" wrapText="1"/>
    </xf>
    <xf numFmtId="0" fontId="8" fillId="0" borderId="0" xfId="33"/>
    <xf numFmtId="0" fontId="59" fillId="0" borderId="0" xfId="33" applyFont="1" applyAlignment="1">
      <alignment vertical="center"/>
    </xf>
    <xf numFmtId="0" fontId="6" fillId="0" borderId="0" xfId="33" applyFont="1" applyAlignment="1">
      <alignment vertical="center"/>
    </xf>
    <xf numFmtId="0" fontId="60" fillId="0" borderId="0" xfId="33" applyFont="1"/>
    <xf numFmtId="0" fontId="8" fillId="0" borderId="0" xfId="33" applyAlignment="1">
      <alignment horizontal="center"/>
    </xf>
    <xf numFmtId="0" fontId="69" fillId="0" borderId="0" xfId="35" applyFont="1"/>
    <xf numFmtId="0" fontId="70" fillId="0" borderId="0" xfId="35" applyFont="1" applyAlignment="1">
      <alignment horizontal="right"/>
    </xf>
    <xf numFmtId="0" fontId="69" fillId="0" borderId="0" xfId="35" applyFont="1" applyAlignment="1">
      <alignment horizontal="right"/>
    </xf>
    <xf numFmtId="0" fontId="70" fillId="0" borderId="0" xfId="35" applyFont="1" applyAlignment="1">
      <alignment horizontal="right" wrapText="1"/>
    </xf>
    <xf numFmtId="0" fontId="71" fillId="0" borderId="0" xfId="35" applyFont="1"/>
    <xf numFmtId="9" fontId="69" fillId="0" borderId="0" xfId="658" applyFont="1"/>
    <xf numFmtId="0" fontId="58" fillId="0" borderId="0" xfId="35" applyFont="1"/>
    <xf numFmtId="0" fontId="58" fillId="0" borderId="0" xfId="35" applyFont="1" applyAlignment="1">
      <alignment horizontal="left" indent="12"/>
    </xf>
    <xf numFmtId="0" fontId="68" fillId="0" borderId="0" xfId="35" applyFont="1"/>
    <xf numFmtId="0" fontId="68" fillId="0" borderId="0" xfId="35" applyFont="1" applyAlignment="1">
      <alignment horizontal="left" vertical="top" wrapText="1"/>
    </xf>
    <xf numFmtId="0" fontId="68" fillId="0" borderId="0" xfId="429" applyFont="1" applyAlignment="1">
      <alignment vertical="top"/>
    </xf>
    <xf numFmtId="0" fontId="68" fillId="0" borderId="0" xfId="429" applyFont="1" applyAlignment="1">
      <alignment horizontal="left" vertical="top"/>
    </xf>
    <xf numFmtId="0" fontId="81" fillId="0" borderId="0" xfId="429" applyFont="1" applyAlignment="1">
      <alignment vertical="top"/>
    </xf>
    <xf numFmtId="0" fontId="58" fillId="0" borderId="0" xfId="429" applyFont="1" applyAlignment="1">
      <alignment vertical="top"/>
    </xf>
    <xf numFmtId="0" fontId="68" fillId="0" borderId="0" xfId="429" applyFont="1" applyAlignment="1">
      <alignment vertical="top" wrapText="1"/>
    </xf>
    <xf numFmtId="0" fontId="68" fillId="0" borderId="0" xfId="429" applyFont="1" applyAlignment="1">
      <alignment horizontal="left" vertical="top" wrapText="1"/>
    </xf>
    <xf numFmtId="0" fontId="58" fillId="0" borderId="0" xfId="429" applyFont="1" applyAlignment="1">
      <alignment vertical="top" wrapText="1"/>
    </xf>
    <xf numFmtId="0" fontId="58" fillId="0" borderId="0" xfId="429" applyFont="1" applyAlignment="1">
      <alignment horizontal="left" vertical="top"/>
    </xf>
    <xf numFmtId="0" fontId="82" fillId="0" borderId="0" xfId="429" applyFont="1" applyAlignment="1">
      <alignment horizontal="left" vertical="top"/>
    </xf>
    <xf numFmtId="0" fontId="83" fillId="0" borderId="0" xfId="429" applyFont="1" applyAlignment="1">
      <alignment horizontal="left" vertical="top"/>
    </xf>
    <xf numFmtId="0" fontId="59" fillId="0" borderId="0" xfId="33" applyFont="1" applyAlignment="1">
      <alignment horizontal="center"/>
    </xf>
    <xf numFmtId="0" fontId="59" fillId="0" borderId="0" xfId="33" applyFont="1"/>
    <xf numFmtId="0" fontId="60" fillId="0" borderId="0" xfId="33" quotePrefix="1" applyFont="1" applyAlignment="1">
      <alignment horizontal="center" vertical="center" wrapText="1"/>
    </xf>
    <xf numFmtId="0" fontId="60" fillId="0" borderId="0" xfId="33" quotePrefix="1" applyFont="1" applyAlignment="1">
      <alignment horizontal="center" vertical="top" wrapText="1"/>
    </xf>
    <xf numFmtId="0" fontId="62" fillId="0" borderId="0" xfId="33" quotePrefix="1" applyFont="1" applyAlignment="1">
      <alignment horizontal="center" vertical="center" wrapText="1"/>
    </xf>
    <xf numFmtId="0" fontId="7" fillId="0" borderId="0" xfId="33" quotePrefix="1" applyFont="1" applyAlignment="1">
      <alignment horizontal="center" vertical="center" wrapText="1"/>
    </xf>
    <xf numFmtId="0" fontId="59" fillId="0" borderId="0" xfId="33" applyFont="1" applyAlignment="1">
      <alignment horizontal="left" vertical="center" wrapText="1"/>
    </xf>
    <xf numFmtId="0" fontId="31" fillId="0" borderId="0" xfId="33" applyFont="1" applyAlignment="1">
      <alignment horizontal="center" vertical="center"/>
    </xf>
    <xf numFmtId="0" fontId="6" fillId="0" borderId="0" xfId="33" applyFont="1"/>
    <xf numFmtId="0" fontId="13" fillId="0" borderId="0" xfId="33" applyFont="1" applyAlignment="1">
      <alignment horizontal="center" vertical="center"/>
    </xf>
    <xf numFmtId="0" fontId="6" fillId="0" borderId="0" xfId="33" applyFont="1" applyAlignment="1">
      <alignment horizontal="center"/>
    </xf>
    <xf numFmtId="0" fontId="31" fillId="0" borderId="0" xfId="33" applyFont="1" applyAlignment="1">
      <alignment horizontal="center" vertical="center" wrapText="1"/>
    </xf>
    <xf numFmtId="0" fontId="59" fillId="0" borderId="17" xfId="0" applyFont="1" applyBorder="1" applyAlignment="1">
      <alignment vertical="center" wrapText="1"/>
    </xf>
    <xf numFmtId="0" fontId="59" fillId="0" borderId="17" xfId="0" applyFont="1" applyBorder="1" applyAlignment="1">
      <alignment vertical="center"/>
    </xf>
    <xf numFmtId="0" fontId="59" fillId="0" borderId="16" xfId="0" applyFont="1" applyBorder="1" applyAlignment="1">
      <alignment horizontal="left" vertical="center"/>
    </xf>
    <xf numFmtId="0" fontId="59" fillId="0" borderId="17" xfId="0" applyFont="1" applyBorder="1" applyAlignment="1">
      <alignment horizontal="left" vertical="center"/>
    </xf>
    <xf numFmtId="165" fontId="59" fillId="0" borderId="17" xfId="3" applyFont="1" applyFill="1" applyBorder="1" applyAlignment="1">
      <alignment vertical="center"/>
    </xf>
    <xf numFmtId="44" fontId="59" fillId="0" borderId="0" xfId="2" applyFont="1" applyBorder="1" applyAlignment="1"/>
    <xf numFmtId="44" fontId="84" fillId="0" borderId="0" xfId="2" applyFont="1" applyBorder="1" applyAlignment="1">
      <alignment horizontal="left" vertical="center"/>
    </xf>
    <xf numFmtId="44" fontId="84" fillId="0" borderId="0" xfId="2" quotePrefix="1" applyFont="1" applyBorder="1" applyAlignment="1">
      <alignment horizontal="left" vertical="center" wrapText="1"/>
    </xf>
    <xf numFmtId="0" fontId="59" fillId="0" borderId="0" xfId="0" quotePrefix="1" applyFont="1" applyAlignment="1">
      <alignment horizontal="center" vertical="top" wrapText="1"/>
    </xf>
    <xf numFmtId="44" fontId="84" fillId="0" borderId="3" xfId="2" applyFont="1" applyBorder="1" applyAlignment="1">
      <alignment horizontal="left" vertical="center"/>
    </xf>
    <xf numFmtId="0" fontId="62" fillId="0" borderId="0" xfId="0" applyFont="1" applyAlignment="1">
      <alignment horizontal="center" vertical="center"/>
    </xf>
    <xf numFmtId="0" fontId="62" fillId="0" borderId="0" xfId="0" applyFont="1" applyAlignment="1">
      <alignment vertical="center"/>
    </xf>
    <xf numFmtId="0" fontId="85" fillId="0" borderId="3" xfId="0" applyFont="1" applyBorder="1" applyAlignment="1">
      <alignment horizontal="left" vertical="center"/>
    </xf>
    <xf numFmtId="0" fontId="84" fillId="0" borderId="0" xfId="0" applyFont="1" applyAlignment="1">
      <alignment horizontal="right" vertical="center"/>
    </xf>
    <xf numFmtId="0" fontId="84" fillId="0" borderId="3" xfId="0" applyFont="1" applyBorder="1" applyAlignment="1">
      <alignment vertical="center"/>
    </xf>
    <xf numFmtId="0" fontId="84" fillId="0" borderId="3" xfId="2" applyNumberFormat="1" applyFont="1" applyFill="1" applyBorder="1" applyAlignment="1">
      <alignment vertical="center"/>
    </xf>
    <xf numFmtId="9" fontId="84" fillId="0" borderId="3" xfId="4" applyFont="1" applyFill="1" applyBorder="1" applyAlignment="1">
      <alignment horizontal="left" vertical="center"/>
    </xf>
    <xf numFmtId="0" fontId="84" fillId="0" borderId="0" xfId="0" applyFont="1" applyAlignment="1">
      <alignment horizontal="center"/>
    </xf>
    <xf numFmtId="0" fontId="84" fillId="0" borderId="0" xfId="0" applyFont="1"/>
    <xf numFmtId="0" fontId="84" fillId="0" borderId="0" xfId="0" applyFont="1" applyAlignment="1">
      <alignment horizontal="right"/>
    </xf>
    <xf numFmtId="44" fontId="84" fillId="0" borderId="0" xfId="2" applyFont="1" applyFill="1" applyBorder="1" applyAlignment="1">
      <alignment vertical="center"/>
    </xf>
    <xf numFmtId="44" fontId="84" fillId="0" borderId="0" xfId="2" applyFont="1" applyFill="1" applyBorder="1" applyAlignment="1">
      <alignment horizontal="left" vertical="center"/>
    </xf>
    <xf numFmtId="0" fontId="60" fillId="0" borderId="0" xfId="0" applyFont="1" applyAlignment="1">
      <alignment horizontal="right" vertical="center"/>
    </xf>
    <xf numFmtId="0" fontId="86" fillId="0" borderId="3" xfId="0" applyFont="1" applyBorder="1" applyAlignment="1">
      <alignment horizontal="left" vertical="center"/>
    </xf>
    <xf numFmtId="0" fontId="60" fillId="0" borderId="0" xfId="0" applyFont="1" applyAlignment="1">
      <alignment horizontal="left" vertical="center"/>
    </xf>
    <xf numFmtId="44" fontId="60" fillId="0" borderId="0" xfId="2" applyFont="1" applyBorder="1" applyAlignment="1">
      <alignment horizontal="left" vertical="center"/>
    </xf>
    <xf numFmtId="0" fontId="66" fillId="0" borderId="0" xfId="0" applyFont="1" applyAlignment="1">
      <alignment horizontal="left"/>
    </xf>
    <xf numFmtId="165" fontId="60" fillId="0" borderId="0" xfId="3" applyFont="1" applyFill="1" applyBorder="1" applyAlignment="1">
      <alignment horizontal="left" vertical="center"/>
    </xf>
    <xf numFmtId="165" fontId="60" fillId="0" borderId="0" xfId="3" applyFont="1" applyFill="1" applyBorder="1" applyAlignment="1">
      <alignment horizontal="right"/>
    </xf>
    <xf numFmtId="0" fontId="66" fillId="0" borderId="0" xfId="0" applyFont="1" applyAlignment="1">
      <alignment vertical="top" wrapText="1"/>
    </xf>
    <xf numFmtId="0" fontId="61" fillId="0" borderId="0" xfId="0" applyFont="1" applyAlignment="1">
      <alignment vertical="center"/>
    </xf>
    <xf numFmtId="0" fontId="61" fillId="0" borderId="0" xfId="0" applyFont="1" applyAlignment="1">
      <alignment vertical="center" wrapText="1"/>
    </xf>
    <xf numFmtId="165" fontId="61" fillId="0" borderId="0" xfId="3" applyFont="1" applyBorder="1" applyAlignment="1">
      <alignment vertical="center"/>
    </xf>
    <xf numFmtId="0" fontId="60" fillId="0" borderId="0" xfId="0" applyFont="1" applyAlignment="1">
      <alignment vertical="center" wrapText="1"/>
    </xf>
    <xf numFmtId="0" fontId="59" fillId="0" borderId="0" xfId="0" applyFont="1" applyAlignment="1">
      <alignment horizontal="right" vertical="center" wrapText="1"/>
    </xf>
    <xf numFmtId="0" fontId="12" fillId="0" borderId="0" xfId="0" applyFont="1" applyAlignment="1">
      <alignment horizontal="right" vertical="center" wrapText="1"/>
    </xf>
    <xf numFmtId="165" fontId="6" fillId="0" borderId="0" xfId="3" applyFont="1" applyFill="1" applyBorder="1" applyAlignment="1">
      <alignment horizontal="left" vertical="center"/>
    </xf>
    <xf numFmtId="0" fontId="85" fillId="0" borderId="0" xfId="0" applyFont="1" applyAlignment="1">
      <alignment horizontal="right" vertical="center" wrapText="1"/>
    </xf>
    <xf numFmtId="165" fontId="59" fillId="0" borderId="0" xfId="3" applyFont="1" applyFill="1" applyBorder="1" applyAlignment="1">
      <alignment horizontal="left" vertical="center"/>
    </xf>
    <xf numFmtId="0" fontId="65" fillId="0" borderId="0" xfId="35" applyFont="1" applyAlignment="1">
      <alignment horizontal="left" vertical="top" wrapText="1"/>
    </xf>
    <xf numFmtId="169" fontId="8" fillId="0" borderId="0" xfId="2" applyNumberFormat="1" applyFont="1" applyFill="1" applyBorder="1" applyAlignment="1"/>
    <xf numFmtId="169" fontId="61" fillId="0" borderId="0" xfId="2" applyNumberFormat="1" applyFont="1" applyFill="1" applyBorder="1" applyAlignment="1"/>
    <xf numFmtId="169" fontId="61" fillId="0" borderId="0" xfId="2" applyNumberFormat="1" applyFont="1" applyBorder="1" applyAlignment="1">
      <alignment vertical="center"/>
    </xf>
    <xf numFmtId="169" fontId="63" fillId="0" borderId="0" xfId="2" quotePrefix="1" applyNumberFormat="1" applyFont="1" applyFill="1" applyBorder="1" applyAlignment="1" applyProtection="1">
      <alignment horizontal="center" vertical="center" wrapText="1"/>
      <protection locked="0"/>
    </xf>
    <xf numFmtId="169" fontId="63" fillId="0" borderId="0" xfId="2" quotePrefix="1" applyNumberFormat="1" applyFont="1" applyFill="1" applyBorder="1" applyAlignment="1">
      <alignment horizontal="center" vertical="center" wrapText="1"/>
    </xf>
    <xf numFmtId="169" fontId="59" fillId="0" borderId="0" xfId="2" applyNumberFormat="1" applyFont="1" applyFill="1" applyBorder="1" applyAlignment="1">
      <alignment vertical="center"/>
    </xf>
    <xf numFmtId="169" fontId="59" fillId="0" borderId="18" xfId="2" applyNumberFormat="1" applyFont="1" applyFill="1" applyBorder="1" applyAlignment="1">
      <alignment vertical="center"/>
    </xf>
    <xf numFmtId="169" fontId="60" fillId="0" borderId="0" xfId="2" applyNumberFormat="1" applyFont="1" applyFill="1" applyBorder="1" applyAlignment="1"/>
    <xf numFmtId="0" fontId="61" fillId="0" borderId="0" xfId="0" applyFont="1" applyAlignment="1">
      <alignment wrapText="1"/>
    </xf>
    <xf numFmtId="169" fontId="60" fillId="0" borderId="0" xfId="2" applyNumberFormat="1" applyFont="1" applyBorder="1" applyAlignment="1"/>
    <xf numFmtId="169" fontId="84" fillId="0" borderId="3" xfId="0" applyNumberFormat="1" applyFont="1" applyBorder="1" applyAlignment="1">
      <alignment vertical="center"/>
    </xf>
    <xf numFmtId="169" fontId="84" fillId="0" borderId="3" xfId="2" applyNumberFormat="1" applyFont="1" applyFill="1" applyBorder="1" applyAlignment="1">
      <alignment vertical="center"/>
    </xf>
    <xf numFmtId="169" fontId="84" fillId="0" borderId="0" xfId="0" applyNumberFormat="1" applyFont="1"/>
    <xf numFmtId="169" fontId="84" fillId="0" borderId="0" xfId="2" applyNumberFormat="1" applyFont="1" applyFill="1" applyBorder="1" applyAlignment="1">
      <alignment vertical="center"/>
    </xf>
    <xf numFmtId="169" fontId="60" fillId="0" borderId="0" xfId="4" applyNumberFormat="1" applyFont="1" applyFill="1" applyBorder="1" applyAlignment="1">
      <alignment vertical="center"/>
    </xf>
    <xf numFmtId="169" fontId="60" fillId="0" borderId="0" xfId="2" applyNumberFormat="1" applyFont="1" applyFill="1" applyBorder="1" applyAlignment="1">
      <alignment vertical="center"/>
    </xf>
    <xf numFmtId="169" fontId="60" fillId="0" borderId="0" xfId="2" applyNumberFormat="1" applyFont="1" applyFill="1" applyBorder="1" applyAlignment="1">
      <alignment horizontal="center" vertical="top"/>
    </xf>
    <xf numFmtId="169" fontId="60" fillId="0" borderId="0" xfId="0" applyNumberFormat="1" applyFont="1" applyAlignment="1">
      <alignment horizontal="center" vertical="top"/>
    </xf>
    <xf numFmtId="169" fontId="59" fillId="0" borderId="0" xfId="0" applyNumberFormat="1" applyFont="1" applyAlignment="1">
      <alignment vertical="center"/>
    </xf>
    <xf numFmtId="169" fontId="60" fillId="0" borderId="0" xfId="2" applyNumberFormat="1" applyFont="1" applyFill="1" applyBorder="1"/>
    <xf numFmtId="169" fontId="60" fillId="0" borderId="0" xfId="2" applyNumberFormat="1" applyFont="1" applyFill="1" applyBorder="1" applyAlignment="1">
      <alignment horizontal="left" wrapText="1"/>
    </xf>
    <xf numFmtId="169" fontId="60" fillId="0" borderId="0" xfId="0" applyNumberFormat="1" applyFont="1" applyAlignment="1">
      <alignment horizontal="left" wrapText="1"/>
    </xf>
    <xf numFmtId="169" fontId="61" fillId="31" borderId="0" xfId="2" applyNumberFormat="1" applyFont="1" applyFill="1" applyBorder="1" applyAlignment="1"/>
    <xf numFmtId="169" fontId="61" fillId="31" borderId="0" xfId="2" applyNumberFormat="1" applyFont="1" applyFill="1" applyBorder="1" applyAlignment="1" applyProtection="1">
      <protection locked="0"/>
    </xf>
    <xf numFmtId="169" fontId="61" fillId="31" borderId="0" xfId="2" applyNumberFormat="1" applyFont="1" applyFill="1" applyBorder="1" applyAlignment="1" applyProtection="1">
      <alignment vertical="center"/>
      <protection locked="0"/>
    </xf>
    <xf numFmtId="169" fontId="61" fillId="31" borderId="0" xfId="2" applyNumberFormat="1" applyFont="1" applyFill="1" applyBorder="1" applyProtection="1">
      <protection locked="0"/>
    </xf>
    <xf numFmtId="169" fontId="61" fillId="0" borderId="0" xfId="2" applyNumberFormat="1" applyFont="1" applyBorder="1" applyAlignment="1"/>
    <xf numFmtId="169" fontId="60" fillId="0" borderId="0" xfId="2" applyNumberFormat="1" applyFont="1" applyBorder="1" applyProtection="1">
      <protection locked="0"/>
    </xf>
    <xf numFmtId="169" fontId="59" fillId="0" borderId="17" xfId="2" applyNumberFormat="1" applyFont="1" applyFill="1" applyBorder="1" applyAlignment="1" applyProtection="1">
      <alignment vertical="center"/>
      <protection locked="0"/>
    </xf>
    <xf numFmtId="0" fontId="65" fillId="0" borderId="0" xfId="35" applyFont="1" applyAlignment="1">
      <alignment horizontal="left" vertical="top"/>
    </xf>
    <xf numFmtId="169" fontId="61" fillId="0" borderId="0" xfId="0" applyNumberFormat="1" applyFont="1"/>
    <xf numFmtId="0" fontId="61" fillId="0" borderId="0" xfId="35" applyFont="1" applyAlignment="1">
      <alignment vertical="top" wrapText="1"/>
    </xf>
    <xf numFmtId="0" fontId="68" fillId="0" borderId="0" xfId="35" applyFont="1" applyAlignment="1">
      <alignment vertical="top" wrapText="1"/>
    </xf>
    <xf numFmtId="0" fontId="69" fillId="0" borderId="0" xfId="35" applyFont="1" applyAlignment="1">
      <alignment horizontal="right"/>
    </xf>
    <xf numFmtId="0" fontId="70" fillId="0" borderId="0" xfId="35" applyFont="1" applyAlignment="1">
      <alignment horizontal="right"/>
    </xf>
    <xf numFmtId="3" fontId="69" fillId="0" borderId="0" xfId="35" applyNumberFormat="1" applyFont="1" applyAlignment="1">
      <alignment horizontal="right"/>
    </xf>
    <xf numFmtId="0" fontId="73" fillId="0" borderId="0" xfId="657" applyFont="1" applyAlignment="1" applyProtection="1">
      <alignment horizontal="right"/>
    </xf>
    <xf numFmtId="0" fontId="74" fillId="0" borderId="0" xfId="657" applyFont="1" applyAlignment="1" applyProtection="1">
      <alignment horizontal="right"/>
    </xf>
    <xf numFmtId="0" fontId="75" fillId="0" borderId="0" xfId="35" applyFont="1" applyAlignment="1">
      <alignment horizontal="center"/>
    </xf>
    <xf numFmtId="0" fontId="76" fillId="0" borderId="19" xfId="35" applyFont="1" applyBorder="1" applyAlignment="1">
      <alignment horizontal="right"/>
    </xf>
    <xf numFmtId="0" fontId="77" fillId="0" borderId="3" xfId="35" applyFont="1" applyBorder="1" applyAlignment="1">
      <alignment horizontal="right"/>
    </xf>
    <xf numFmtId="0" fontId="78" fillId="0" borderId="0" xfId="35" applyFont="1" applyAlignment="1">
      <alignment horizontal="right" vertical="top" wrapText="1"/>
    </xf>
    <xf numFmtId="49" fontId="70" fillId="0" borderId="0" xfId="35" applyNumberFormat="1" applyFont="1" applyAlignment="1">
      <alignment horizontal="right"/>
    </xf>
    <xf numFmtId="0" fontId="69" fillId="0" borderId="0" xfId="35" applyFont="1" applyAlignment="1">
      <alignment horizontal="center"/>
    </xf>
    <xf numFmtId="0" fontId="69" fillId="0" borderId="0" xfId="35" applyFont="1" applyAlignment="1">
      <alignment horizontal="right" wrapText="1"/>
    </xf>
    <xf numFmtId="0" fontId="79" fillId="0" borderId="0" xfId="35" applyFont="1" applyAlignment="1">
      <alignment horizontal="right"/>
    </xf>
    <xf numFmtId="0" fontId="68" fillId="0" borderId="0" xfId="35" applyFont="1" applyAlignment="1">
      <alignment horizontal="left" vertical="top" wrapText="1"/>
    </xf>
    <xf numFmtId="0" fontId="68" fillId="0" borderId="0" xfId="35" applyFont="1" applyAlignment="1">
      <alignment horizontal="justify" vertical="top" wrapText="1"/>
    </xf>
    <xf numFmtId="0" fontId="68" fillId="0" borderId="0" xfId="429" applyFont="1" applyAlignment="1">
      <alignment vertical="top" wrapText="1"/>
    </xf>
    <xf numFmtId="0" fontId="68" fillId="0" borderId="0" xfId="429" applyFont="1" applyAlignment="1">
      <alignment vertical="top"/>
    </xf>
    <xf numFmtId="0" fontId="58" fillId="0" borderId="0" xfId="429" applyFont="1" applyAlignment="1">
      <alignment vertical="top" wrapText="1"/>
    </xf>
    <xf numFmtId="0" fontId="60" fillId="0" borderId="0" xfId="33" quotePrefix="1" applyFont="1" applyAlignment="1">
      <alignment horizontal="center" vertical="top" wrapText="1"/>
    </xf>
    <xf numFmtId="0" fontId="60" fillId="0" borderId="0" xfId="33" applyFont="1" applyAlignment="1">
      <alignment horizontal="center" vertical="top" wrapText="1"/>
    </xf>
    <xf numFmtId="0" fontId="61" fillId="0" borderId="0" xfId="0" applyFont="1" applyAlignment="1">
      <alignment horizontal="left" vertical="top" wrapText="1"/>
    </xf>
    <xf numFmtId="0" fontId="65" fillId="0" borderId="0" xfId="35" applyFont="1" applyAlignment="1">
      <alignment horizontal="left" vertical="top" wrapText="1"/>
    </xf>
    <xf numFmtId="49" fontId="64" fillId="0" borderId="0" xfId="35" applyNumberFormat="1" applyFont="1" applyAlignment="1">
      <alignment horizontal="left" vertical="top" wrapText="1"/>
    </xf>
    <xf numFmtId="0" fontId="64" fillId="0" borderId="0" xfId="35" applyFont="1" applyAlignment="1">
      <alignment horizontal="left" vertical="top" wrapText="1"/>
    </xf>
    <xf numFmtId="0" fontId="63" fillId="0" borderId="0" xfId="0" quotePrefix="1" applyFont="1" applyAlignment="1">
      <alignment horizontal="center" vertical="top" wrapText="1"/>
    </xf>
    <xf numFmtId="0" fontId="64" fillId="0" borderId="0" xfId="0" applyFont="1" applyAlignment="1">
      <alignment horizontal="justify" wrapText="1"/>
    </xf>
    <xf numFmtId="0" fontId="64" fillId="0" borderId="0" xfId="0" applyFont="1" applyAlignment="1">
      <alignment wrapText="1"/>
    </xf>
    <xf numFmtId="0" fontId="60" fillId="0" borderId="0" xfId="0" applyFont="1" applyAlignment="1">
      <alignment horizontal="left" wrapText="1"/>
    </xf>
    <xf numFmtId="0" fontId="61" fillId="0" borderId="0" xfId="0" applyFont="1" applyAlignment="1">
      <alignment horizontal="justify" wrapText="1"/>
    </xf>
    <xf numFmtId="0" fontId="61" fillId="0" borderId="0" xfId="0" applyFont="1" applyAlignment="1">
      <alignment wrapText="1"/>
    </xf>
    <xf numFmtId="169" fontId="86" fillId="0" borderId="3" xfId="2" applyNumberFormat="1" applyFont="1" applyFill="1" applyBorder="1" applyAlignment="1">
      <alignment horizontal="right" vertical="center"/>
    </xf>
    <xf numFmtId="169" fontId="85" fillId="0" borderId="3" xfId="2" applyNumberFormat="1" applyFont="1" applyFill="1" applyBorder="1" applyAlignment="1">
      <alignment horizontal="right" vertical="center"/>
    </xf>
    <xf numFmtId="0" fontId="88" fillId="0" borderId="0" xfId="0" applyFont="1" applyAlignment="1">
      <alignment vertical="center" wrapText="1"/>
    </xf>
  </cellXfs>
  <cellStyles count="660">
    <cellStyle name="_HOTEL LONE" xfId="57" xr:uid="{00000000-0005-0000-0000-000000000000}"/>
    <cellStyle name="_HOTEL LONE 2" xfId="58" xr:uid="{00000000-0005-0000-0000-000001000000}"/>
    <cellStyle name="_STAMBENI DIO" xfId="59" xr:uid="{00000000-0005-0000-0000-000002000000}"/>
    <cellStyle name="_STAMBENI DIO_2009_06_03_tender_politin_PARCELACIJA - S formom" xfId="60" xr:uid="{00000000-0005-0000-0000-000003000000}"/>
    <cellStyle name="_STAMBENI DIO_D Strojarski radovi - Parentino Residence" xfId="61" xr:uid="{00000000-0005-0000-0000-000004000000}"/>
    <cellStyle name="_troškovnik" xfId="62" xr:uid="{00000000-0005-0000-0000-000005000000}"/>
    <cellStyle name="_troškovnik_2009_06_02_tender_jezevac_PARCELACIJA  -s formom" xfId="63" xr:uid="{00000000-0005-0000-0000-000006000000}"/>
    <cellStyle name="_troškovnik_2009_06_03_tender_politin_PARCELACIJA - S formom" xfId="64" xr:uid="{00000000-0005-0000-0000-000007000000}"/>
    <cellStyle name="_troškovnik_D Strojarski radovi - Parentino Residence" xfId="65" xr:uid="{00000000-0005-0000-0000-000008000000}"/>
    <cellStyle name="20% - Accent1 2" xfId="67" xr:uid="{00000000-0005-0000-0000-000009000000}"/>
    <cellStyle name="20% - Accent1 3" xfId="66" xr:uid="{00000000-0005-0000-0000-00000A000000}"/>
    <cellStyle name="20% - Accent1 4" xfId="76" xr:uid="{00000000-0005-0000-0000-00000B000000}"/>
    <cellStyle name="20% - Accent2 2" xfId="69" xr:uid="{00000000-0005-0000-0000-00000C000000}"/>
    <cellStyle name="20% - Accent2 3" xfId="68" xr:uid="{00000000-0005-0000-0000-00000D000000}"/>
    <cellStyle name="20% - Accent2 4" xfId="77" xr:uid="{00000000-0005-0000-0000-00000E000000}"/>
    <cellStyle name="20% - Accent3 2" xfId="71" xr:uid="{00000000-0005-0000-0000-00000F000000}"/>
    <cellStyle name="20% - Accent3 3" xfId="70" xr:uid="{00000000-0005-0000-0000-000010000000}"/>
    <cellStyle name="20% - Accent3 4" xfId="78" xr:uid="{00000000-0005-0000-0000-000011000000}"/>
    <cellStyle name="20% - Accent4 2" xfId="73" xr:uid="{00000000-0005-0000-0000-000012000000}"/>
    <cellStyle name="20% - Accent4 3" xfId="72" xr:uid="{00000000-0005-0000-0000-000013000000}"/>
    <cellStyle name="20% - Accent4 4" xfId="79" xr:uid="{00000000-0005-0000-0000-000014000000}"/>
    <cellStyle name="20% - Accent5 2" xfId="74" xr:uid="{00000000-0005-0000-0000-000015000000}"/>
    <cellStyle name="20% - Accent5 3" xfId="80" xr:uid="{00000000-0005-0000-0000-000016000000}"/>
    <cellStyle name="20% - Accent6 2" xfId="75" xr:uid="{00000000-0005-0000-0000-000017000000}"/>
    <cellStyle name="20% - Accent6 3" xfId="81" xr:uid="{00000000-0005-0000-0000-000018000000}"/>
    <cellStyle name="40% - Accent1 2" xfId="83" xr:uid="{00000000-0005-0000-0000-000019000000}"/>
    <cellStyle name="40% - Accent1 3" xfId="82" xr:uid="{00000000-0005-0000-0000-00001A000000}"/>
    <cellStyle name="40% - Accent2 2" xfId="84" xr:uid="{00000000-0005-0000-0000-00001B000000}"/>
    <cellStyle name="40% - Accent2 3" xfId="94" xr:uid="{00000000-0005-0000-0000-00001C000000}"/>
    <cellStyle name="40% - Accent3 2" xfId="86" xr:uid="{00000000-0005-0000-0000-00001D000000}"/>
    <cellStyle name="40% - Accent3 3" xfId="85" xr:uid="{00000000-0005-0000-0000-00001E000000}"/>
    <cellStyle name="40% - Accent3 4" xfId="95" xr:uid="{00000000-0005-0000-0000-00001F000000}"/>
    <cellStyle name="40% - Accent4 2" xfId="88" xr:uid="{00000000-0005-0000-0000-000020000000}"/>
    <cellStyle name="40% - Accent4 3" xfId="87" xr:uid="{00000000-0005-0000-0000-000021000000}"/>
    <cellStyle name="40% - Accent4 4" xfId="96" xr:uid="{00000000-0005-0000-0000-000022000000}"/>
    <cellStyle name="40% - Accent5 2" xfId="89" xr:uid="{00000000-0005-0000-0000-000023000000}"/>
    <cellStyle name="40% - Accent5 3" xfId="97" xr:uid="{00000000-0005-0000-0000-000024000000}"/>
    <cellStyle name="40% - Accent6 2" xfId="91" xr:uid="{00000000-0005-0000-0000-000025000000}"/>
    <cellStyle name="40% - Accent6 3" xfId="90" xr:uid="{00000000-0005-0000-0000-000026000000}"/>
    <cellStyle name="40% - Accent6 4" xfId="98" xr:uid="{00000000-0005-0000-0000-000027000000}"/>
    <cellStyle name="40% - Isticanje1 2" xfId="92" xr:uid="{00000000-0005-0000-0000-000028000000}"/>
    <cellStyle name="40% - Isticanje1 2 2" xfId="93" xr:uid="{00000000-0005-0000-0000-000029000000}"/>
    <cellStyle name="40% - Naglasak1" xfId="13" xr:uid="{00000000-0005-0000-0000-00002A000000}"/>
    <cellStyle name="40% - Naglasak1 2" xfId="99" xr:uid="{00000000-0005-0000-0000-00002B000000}"/>
    <cellStyle name="60% - Accent1 2" xfId="101" xr:uid="{00000000-0005-0000-0000-00002C000000}"/>
    <cellStyle name="60% - Accent1 3" xfId="100" xr:uid="{00000000-0005-0000-0000-00002D000000}"/>
    <cellStyle name="60% - Accent1 4" xfId="110" xr:uid="{00000000-0005-0000-0000-00002E000000}"/>
    <cellStyle name="60% - Accent2 2" xfId="102" xr:uid="{00000000-0005-0000-0000-00002F000000}"/>
    <cellStyle name="60% - Accent2 3" xfId="111" xr:uid="{00000000-0005-0000-0000-000030000000}"/>
    <cellStyle name="60% - Accent3 2" xfId="104" xr:uid="{00000000-0005-0000-0000-000031000000}"/>
    <cellStyle name="60% - Accent3 3" xfId="103" xr:uid="{00000000-0005-0000-0000-000032000000}"/>
    <cellStyle name="60% - Accent3 4" xfId="112" xr:uid="{00000000-0005-0000-0000-000033000000}"/>
    <cellStyle name="60% - Accent4 2" xfId="106" xr:uid="{00000000-0005-0000-0000-000034000000}"/>
    <cellStyle name="60% - Accent4 3" xfId="105" xr:uid="{00000000-0005-0000-0000-000035000000}"/>
    <cellStyle name="60% - Accent4 4" xfId="113" xr:uid="{00000000-0005-0000-0000-000036000000}"/>
    <cellStyle name="60% - Accent5 2" xfId="107" xr:uid="{00000000-0005-0000-0000-000037000000}"/>
    <cellStyle name="60% - Accent5 3" xfId="114" xr:uid="{00000000-0005-0000-0000-000038000000}"/>
    <cellStyle name="60% - Accent6 2" xfId="109" xr:uid="{00000000-0005-0000-0000-000039000000}"/>
    <cellStyle name="60% - Accent6 3" xfId="108" xr:uid="{00000000-0005-0000-0000-00003A000000}"/>
    <cellStyle name="60% - Accent6 4" xfId="115" xr:uid="{00000000-0005-0000-0000-00003B000000}"/>
    <cellStyle name="Accent1 2" xfId="117" xr:uid="{00000000-0005-0000-0000-00003C000000}"/>
    <cellStyle name="Accent1 3" xfId="116" xr:uid="{00000000-0005-0000-0000-00003D000000}"/>
    <cellStyle name="Accent1 4" xfId="266" xr:uid="{00000000-0005-0000-0000-00003E000000}"/>
    <cellStyle name="Accent2 2" xfId="118" xr:uid="{00000000-0005-0000-0000-00003F000000}"/>
    <cellStyle name="Accent2 3" xfId="267" xr:uid="{00000000-0005-0000-0000-000040000000}"/>
    <cellStyle name="Accent3 2" xfId="119" xr:uid="{00000000-0005-0000-0000-000041000000}"/>
    <cellStyle name="Accent3 3" xfId="268" xr:uid="{00000000-0005-0000-0000-000042000000}"/>
    <cellStyle name="Accent4 2" xfId="121" xr:uid="{00000000-0005-0000-0000-000043000000}"/>
    <cellStyle name="Accent4 3" xfId="120" xr:uid="{00000000-0005-0000-0000-000044000000}"/>
    <cellStyle name="Accent4 4" xfId="269" xr:uid="{00000000-0005-0000-0000-000045000000}"/>
    <cellStyle name="Accent5 2" xfId="122" xr:uid="{00000000-0005-0000-0000-000046000000}"/>
    <cellStyle name="Accent5 3" xfId="270" xr:uid="{00000000-0005-0000-0000-000047000000}"/>
    <cellStyle name="Accent6 2" xfId="123" xr:uid="{00000000-0005-0000-0000-000048000000}"/>
    <cellStyle name="Accent6 3" xfId="271" xr:uid="{00000000-0005-0000-0000-000049000000}"/>
    <cellStyle name="Bad 2" xfId="124" xr:uid="{00000000-0005-0000-0000-00004A000000}"/>
    <cellStyle name="Bad 3" xfId="289" xr:uid="{00000000-0005-0000-0000-00004B000000}"/>
    <cellStyle name="Bilješka" xfId="14" xr:uid="{00000000-0005-0000-0000-00004C000000}"/>
    <cellStyle name="Bilješka 10" xfId="125" xr:uid="{00000000-0005-0000-0000-00004D000000}"/>
    <cellStyle name="Bilješka 11" xfId="126" xr:uid="{00000000-0005-0000-0000-00004E000000}"/>
    <cellStyle name="Bilješka 12" xfId="127" xr:uid="{00000000-0005-0000-0000-00004F000000}"/>
    <cellStyle name="Bilješka 13" xfId="128" xr:uid="{00000000-0005-0000-0000-000050000000}"/>
    <cellStyle name="Bilješka 14" xfId="129" xr:uid="{00000000-0005-0000-0000-000051000000}"/>
    <cellStyle name="Bilješka 15" xfId="130" xr:uid="{00000000-0005-0000-0000-000052000000}"/>
    <cellStyle name="Bilješka 16" xfId="131" xr:uid="{00000000-0005-0000-0000-000053000000}"/>
    <cellStyle name="Bilješka 17" xfId="132" xr:uid="{00000000-0005-0000-0000-000054000000}"/>
    <cellStyle name="Bilješka 18" xfId="133" xr:uid="{00000000-0005-0000-0000-000055000000}"/>
    <cellStyle name="Bilješka 19" xfId="134" xr:uid="{00000000-0005-0000-0000-000056000000}"/>
    <cellStyle name="Bilješka 2" xfId="135" xr:uid="{00000000-0005-0000-0000-000057000000}"/>
    <cellStyle name="Bilješka 2 2" xfId="136" xr:uid="{00000000-0005-0000-0000-000058000000}"/>
    <cellStyle name="Bilješka 2 3" xfId="137" xr:uid="{00000000-0005-0000-0000-000059000000}"/>
    <cellStyle name="Bilješka 2_2009_06_02_tender_jezevac_PARCELACIJA  -s formom" xfId="138" xr:uid="{00000000-0005-0000-0000-00005A000000}"/>
    <cellStyle name="Bilješka 20" xfId="139" xr:uid="{00000000-0005-0000-0000-00005B000000}"/>
    <cellStyle name="Bilješka 21" xfId="140" xr:uid="{00000000-0005-0000-0000-00005C000000}"/>
    <cellStyle name="Bilješka 22" xfId="141" xr:uid="{00000000-0005-0000-0000-00005D000000}"/>
    <cellStyle name="Bilješka 23" xfId="142" xr:uid="{00000000-0005-0000-0000-00005E000000}"/>
    <cellStyle name="Bilješka 24" xfId="143" xr:uid="{00000000-0005-0000-0000-00005F000000}"/>
    <cellStyle name="Bilješka 25" xfId="144" xr:uid="{00000000-0005-0000-0000-000060000000}"/>
    <cellStyle name="Bilješka 26" xfId="145" xr:uid="{00000000-0005-0000-0000-000061000000}"/>
    <cellStyle name="Bilješka 27" xfId="146" xr:uid="{00000000-0005-0000-0000-000062000000}"/>
    <cellStyle name="Bilješka 28" xfId="147" xr:uid="{00000000-0005-0000-0000-000063000000}"/>
    <cellStyle name="Bilješka 29" xfId="148" xr:uid="{00000000-0005-0000-0000-000064000000}"/>
    <cellStyle name="Bilješka 3" xfId="149" xr:uid="{00000000-0005-0000-0000-000065000000}"/>
    <cellStyle name="Bilješka 3 2" xfId="150" xr:uid="{00000000-0005-0000-0000-000066000000}"/>
    <cellStyle name="Bilješka 30" xfId="151" xr:uid="{00000000-0005-0000-0000-000067000000}"/>
    <cellStyle name="Bilješka 31" xfId="152" xr:uid="{00000000-0005-0000-0000-000068000000}"/>
    <cellStyle name="Bilješka 32" xfId="153" xr:uid="{00000000-0005-0000-0000-000069000000}"/>
    <cellStyle name="Bilješka 33" xfId="154" xr:uid="{00000000-0005-0000-0000-00006A000000}"/>
    <cellStyle name="Bilješka 34" xfId="155" xr:uid="{00000000-0005-0000-0000-00006B000000}"/>
    <cellStyle name="Bilješka 35" xfId="156" xr:uid="{00000000-0005-0000-0000-00006C000000}"/>
    <cellStyle name="Bilješka 36" xfId="157" xr:uid="{00000000-0005-0000-0000-00006D000000}"/>
    <cellStyle name="Bilješka 37" xfId="158" xr:uid="{00000000-0005-0000-0000-00006E000000}"/>
    <cellStyle name="Bilješka 38" xfId="159" xr:uid="{00000000-0005-0000-0000-00006F000000}"/>
    <cellStyle name="Bilješka 39" xfId="160" xr:uid="{00000000-0005-0000-0000-000070000000}"/>
    <cellStyle name="Bilješka 4" xfId="161" xr:uid="{00000000-0005-0000-0000-000071000000}"/>
    <cellStyle name="Bilješka 40" xfId="162" xr:uid="{00000000-0005-0000-0000-000072000000}"/>
    <cellStyle name="Bilješka 41" xfId="163" xr:uid="{00000000-0005-0000-0000-000073000000}"/>
    <cellStyle name="Bilješka 42" xfId="164" xr:uid="{00000000-0005-0000-0000-000074000000}"/>
    <cellStyle name="Bilješka 43" xfId="165" xr:uid="{00000000-0005-0000-0000-000075000000}"/>
    <cellStyle name="Bilješka 44" xfId="166" xr:uid="{00000000-0005-0000-0000-000076000000}"/>
    <cellStyle name="Bilješka 45" xfId="167" xr:uid="{00000000-0005-0000-0000-000077000000}"/>
    <cellStyle name="Bilješka 46" xfId="168" xr:uid="{00000000-0005-0000-0000-000078000000}"/>
    <cellStyle name="Bilješka 47" xfId="169" xr:uid="{00000000-0005-0000-0000-000079000000}"/>
    <cellStyle name="Bilješka 48" xfId="170" xr:uid="{00000000-0005-0000-0000-00007A000000}"/>
    <cellStyle name="Bilješka 49" xfId="171" xr:uid="{00000000-0005-0000-0000-00007B000000}"/>
    <cellStyle name="Bilješka 5" xfId="172" xr:uid="{00000000-0005-0000-0000-00007C000000}"/>
    <cellStyle name="Bilješka 50" xfId="173" xr:uid="{00000000-0005-0000-0000-00007D000000}"/>
    <cellStyle name="Bilješka 51" xfId="174" xr:uid="{00000000-0005-0000-0000-00007E000000}"/>
    <cellStyle name="Bilješka 6" xfId="175" xr:uid="{00000000-0005-0000-0000-00007F000000}"/>
    <cellStyle name="Bilješka 7" xfId="176" xr:uid="{00000000-0005-0000-0000-000080000000}"/>
    <cellStyle name="Bilješka 8" xfId="177" xr:uid="{00000000-0005-0000-0000-000081000000}"/>
    <cellStyle name="Bilješka 9" xfId="178" xr:uid="{00000000-0005-0000-0000-000082000000}"/>
    <cellStyle name="Calculation 2" xfId="180" xr:uid="{00000000-0005-0000-0000-000083000000}"/>
    <cellStyle name="Calculation 3" xfId="179" xr:uid="{00000000-0005-0000-0000-000084000000}"/>
    <cellStyle name="Calculation 4" xfId="275" xr:uid="{00000000-0005-0000-0000-000085000000}"/>
    <cellStyle name="Check Cell 2" xfId="181" xr:uid="{00000000-0005-0000-0000-000086000000}"/>
    <cellStyle name="Check Cell 3" xfId="562" xr:uid="{00000000-0005-0000-0000-000087000000}"/>
    <cellStyle name="cijene" xfId="182" xr:uid="{00000000-0005-0000-0000-000088000000}"/>
    <cellStyle name="Comma" xfId="3" builtinId="3"/>
    <cellStyle name="Comma 10" xfId="183" xr:uid="{00000000-0005-0000-0000-00008A000000}"/>
    <cellStyle name="Comma 10 2" xfId="603" xr:uid="{00000000-0005-0000-0000-00008B000000}"/>
    <cellStyle name="Comma 11" xfId="184" xr:uid="{00000000-0005-0000-0000-00008C000000}"/>
    <cellStyle name="Comma 11 2" xfId="604" xr:uid="{00000000-0005-0000-0000-00008D000000}"/>
    <cellStyle name="Comma 12" xfId="185" xr:uid="{00000000-0005-0000-0000-00008E000000}"/>
    <cellStyle name="Comma 12 2" xfId="605" xr:uid="{00000000-0005-0000-0000-00008F000000}"/>
    <cellStyle name="Comma 13" xfId="186" xr:uid="{00000000-0005-0000-0000-000090000000}"/>
    <cellStyle name="Comma 13 2" xfId="606" xr:uid="{00000000-0005-0000-0000-000091000000}"/>
    <cellStyle name="Comma 14" xfId="187" xr:uid="{00000000-0005-0000-0000-000092000000}"/>
    <cellStyle name="Comma 14 2" xfId="607" xr:uid="{00000000-0005-0000-0000-000093000000}"/>
    <cellStyle name="Comma 15" xfId="188" xr:uid="{00000000-0005-0000-0000-000094000000}"/>
    <cellStyle name="Comma 15 2" xfId="608" xr:uid="{00000000-0005-0000-0000-000095000000}"/>
    <cellStyle name="Comma 16" xfId="189" xr:uid="{00000000-0005-0000-0000-000096000000}"/>
    <cellStyle name="Comma 16 2" xfId="609" xr:uid="{00000000-0005-0000-0000-000097000000}"/>
    <cellStyle name="Comma 17" xfId="190" xr:uid="{00000000-0005-0000-0000-000098000000}"/>
    <cellStyle name="Comma 17 2" xfId="610" xr:uid="{00000000-0005-0000-0000-000099000000}"/>
    <cellStyle name="Comma 18" xfId="191" xr:uid="{00000000-0005-0000-0000-00009A000000}"/>
    <cellStyle name="Comma 18 2" xfId="611" xr:uid="{00000000-0005-0000-0000-00009B000000}"/>
    <cellStyle name="Comma 19" xfId="192" xr:uid="{00000000-0005-0000-0000-00009C000000}"/>
    <cellStyle name="Comma 19 2" xfId="612" xr:uid="{00000000-0005-0000-0000-00009D000000}"/>
    <cellStyle name="Comma 2" xfId="12" xr:uid="{00000000-0005-0000-0000-00009E000000}"/>
    <cellStyle name="Comma 2 2" xfId="194" xr:uid="{00000000-0005-0000-0000-00009F000000}"/>
    <cellStyle name="Comma 2 2 2" xfId="195" xr:uid="{00000000-0005-0000-0000-0000A0000000}"/>
    <cellStyle name="Comma 2 2 3" xfId="196" xr:uid="{00000000-0005-0000-0000-0000A1000000}"/>
    <cellStyle name="Comma 2 3" xfId="197" xr:uid="{00000000-0005-0000-0000-0000A2000000}"/>
    <cellStyle name="Comma 2 3 2" xfId="198" xr:uid="{00000000-0005-0000-0000-0000A3000000}"/>
    <cellStyle name="Comma 2 4" xfId="199" xr:uid="{00000000-0005-0000-0000-0000A4000000}"/>
    <cellStyle name="Comma 2 5" xfId="193" xr:uid="{00000000-0005-0000-0000-0000A5000000}"/>
    <cellStyle name="Comma 2 5 2" xfId="613" xr:uid="{00000000-0005-0000-0000-0000A6000000}"/>
    <cellStyle name="Comma 20" xfId="200" xr:uid="{00000000-0005-0000-0000-0000A7000000}"/>
    <cellStyle name="Comma 20 2" xfId="614" xr:uid="{00000000-0005-0000-0000-0000A8000000}"/>
    <cellStyle name="Comma 21" xfId="201" xr:uid="{00000000-0005-0000-0000-0000A9000000}"/>
    <cellStyle name="Comma 21 2" xfId="615" xr:uid="{00000000-0005-0000-0000-0000AA000000}"/>
    <cellStyle name="Comma 22" xfId="202" xr:uid="{00000000-0005-0000-0000-0000AB000000}"/>
    <cellStyle name="Comma 22 2" xfId="616" xr:uid="{00000000-0005-0000-0000-0000AC000000}"/>
    <cellStyle name="Comma 23" xfId="203" xr:uid="{00000000-0005-0000-0000-0000AD000000}"/>
    <cellStyle name="Comma 23 2" xfId="617" xr:uid="{00000000-0005-0000-0000-0000AE000000}"/>
    <cellStyle name="Comma 24" xfId="204" xr:uid="{00000000-0005-0000-0000-0000AF000000}"/>
    <cellStyle name="Comma 24 2" xfId="618" xr:uid="{00000000-0005-0000-0000-0000B0000000}"/>
    <cellStyle name="Comma 25" xfId="205" xr:uid="{00000000-0005-0000-0000-0000B1000000}"/>
    <cellStyle name="Comma 25 2" xfId="619" xr:uid="{00000000-0005-0000-0000-0000B2000000}"/>
    <cellStyle name="Comma 26" xfId="206" xr:uid="{00000000-0005-0000-0000-0000B3000000}"/>
    <cellStyle name="Comma 26 2" xfId="620" xr:uid="{00000000-0005-0000-0000-0000B4000000}"/>
    <cellStyle name="Comma 27" xfId="207" xr:uid="{00000000-0005-0000-0000-0000B5000000}"/>
    <cellStyle name="Comma 27 2" xfId="621" xr:uid="{00000000-0005-0000-0000-0000B6000000}"/>
    <cellStyle name="Comma 28" xfId="208" xr:uid="{00000000-0005-0000-0000-0000B7000000}"/>
    <cellStyle name="Comma 28 2" xfId="622" xr:uid="{00000000-0005-0000-0000-0000B8000000}"/>
    <cellStyle name="Comma 29" xfId="209" xr:uid="{00000000-0005-0000-0000-0000B9000000}"/>
    <cellStyle name="Comma 29 2" xfId="623" xr:uid="{00000000-0005-0000-0000-0000BA000000}"/>
    <cellStyle name="Comma 3" xfId="38" xr:uid="{00000000-0005-0000-0000-0000BB000000}"/>
    <cellStyle name="Comma 3 2" xfId="211" xr:uid="{00000000-0005-0000-0000-0000BC000000}"/>
    <cellStyle name="Comma 3 3" xfId="212" xr:uid="{00000000-0005-0000-0000-0000BD000000}"/>
    <cellStyle name="Comma 3 4" xfId="210" xr:uid="{00000000-0005-0000-0000-0000BE000000}"/>
    <cellStyle name="Comma 3 4 2" xfId="624" xr:uid="{00000000-0005-0000-0000-0000BF000000}"/>
    <cellStyle name="Comma 3 5" xfId="596" xr:uid="{00000000-0005-0000-0000-0000C0000000}"/>
    <cellStyle name="Comma 30" xfId="213" xr:uid="{00000000-0005-0000-0000-0000C1000000}"/>
    <cellStyle name="Comma 30 2" xfId="625" xr:uid="{00000000-0005-0000-0000-0000C2000000}"/>
    <cellStyle name="Comma 31" xfId="214" xr:uid="{00000000-0005-0000-0000-0000C3000000}"/>
    <cellStyle name="Comma 31 2" xfId="626" xr:uid="{00000000-0005-0000-0000-0000C4000000}"/>
    <cellStyle name="Comma 32" xfId="215" xr:uid="{00000000-0005-0000-0000-0000C5000000}"/>
    <cellStyle name="Comma 32 2" xfId="627" xr:uid="{00000000-0005-0000-0000-0000C6000000}"/>
    <cellStyle name="Comma 33" xfId="216" xr:uid="{00000000-0005-0000-0000-0000C7000000}"/>
    <cellStyle name="Comma 33 2" xfId="628" xr:uid="{00000000-0005-0000-0000-0000C8000000}"/>
    <cellStyle name="Comma 34" xfId="217" xr:uid="{00000000-0005-0000-0000-0000C9000000}"/>
    <cellStyle name="Comma 34 2" xfId="629" xr:uid="{00000000-0005-0000-0000-0000CA000000}"/>
    <cellStyle name="Comma 35" xfId="218" xr:uid="{00000000-0005-0000-0000-0000CB000000}"/>
    <cellStyle name="Comma 35 2" xfId="630" xr:uid="{00000000-0005-0000-0000-0000CC000000}"/>
    <cellStyle name="Comma 36" xfId="219" xr:uid="{00000000-0005-0000-0000-0000CD000000}"/>
    <cellStyle name="Comma 36 2" xfId="631" xr:uid="{00000000-0005-0000-0000-0000CE000000}"/>
    <cellStyle name="Comma 37" xfId="220" xr:uid="{00000000-0005-0000-0000-0000CF000000}"/>
    <cellStyle name="Comma 37 2" xfId="632" xr:uid="{00000000-0005-0000-0000-0000D0000000}"/>
    <cellStyle name="Comma 38" xfId="221" xr:uid="{00000000-0005-0000-0000-0000D1000000}"/>
    <cellStyle name="Comma 38 2" xfId="633" xr:uid="{00000000-0005-0000-0000-0000D2000000}"/>
    <cellStyle name="Comma 39" xfId="222" xr:uid="{00000000-0005-0000-0000-0000D3000000}"/>
    <cellStyle name="Comma 39 2" xfId="634" xr:uid="{00000000-0005-0000-0000-0000D4000000}"/>
    <cellStyle name="Comma 4" xfId="223" xr:uid="{00000000-0005-0000-0000-0000D5000000}"/>
    <cellStyle name="Comma 4 2" xfId="224" xr:uid="{00000000-0005-0000-0000-0000D6000000}"/>
    <cellStyle name="Comma 4 3" xfId="225" xr:uid="{00000000-0005-0000-0000-0000D7000000}"/>
    <cellStyle name="Comma 4 4" xfId="635" xr:uid="{00000000-0005-0000-0000-0000D8000000}"/>
    <cellStyle name="Comma 40" xfId="226" xr:uid="{00000000-0005-0000-0000-0000D9000000}"/>
    <cellStyle name="Comma 40 2" xfId="636" xr:uid="{00000000-0005-0000-0000-0000DA000000}"/>
    <cellStyle name="Comma 41" xfId="227" xr:uid="{00000000-0005-0000-0000-0000DB000000}"/>
    <cellStyle name="Comma 41 2" xfId="637" xr:uid="{00000000-0005-0000-0000-0000DC000000}"/>
    <cellStyle name="Comma 42" xfId="228" xr:uid="{00000000-0005-0000-0000-0000DD000000}"/>
    <cellStyle name="Comma 42 2" xfId="638" xr:uid="{00000000-0005-0000-0000-0000DE000000}"/>
    <cellStyle name="Comma 43" xfId="229" xr:uid="{00000000-0005-0000-0000-0000DF000000}"/>
    <cellStyle name="Comma 43 2" xfId="639" xr:uid="{00000000-0005-0000-0000-0000E0000000}"/>
    <cellStyle name="Comma 44" xfId="230" xr:uid="{00000000-0005-0000-0000-0000E1000000}"/>
    <cellStyle name="Comma 44 2" xfId="640" xr:uid="{00000000-0005-0000-0000-0000E2000000}"/>
    <cellStyle name="Comma 45" xfId="231" xr:uid="{00000000-0005-0000-0000-0000E3000000}"/>
    <cellStyle name="Comma 45 2" xfId="641" xr:uid="{00000000-0005-0000-0000-0000E4000000}"/>
    <cellStyle name="Comma 46" xfId="232" xr:uid="{00000000-0005-0000-0000-0000E5000000}"/>
    <cellStyle name="Comma 46 2" xfId="642" xr:uid="{00000000-0005-0000-0000-0000E6000000}"/>
    <cellStyle name="Comma 47" xfId="233" xr:uid="{00000000-0005-0000-0000-0000E7000000}"/>
    <cellStyle name="Comma 47 2" xfId="643" xr:uid="{00000000-0005-0000-0000-0000E8000000}"/>
    <cellStyle name="Comma 48" xfId="234" xr:uid="{00000000-0005-0000-0000-0000E9000000}"/>
    <cellStyle name="Comma 48 2" xfId="644" xr:uid="{00000000-0005-0000-0000-0000EA000000}"/>
    <cellStyle name="Comma 49" xfId="235" xr:uid="{00000000-0005-0000-0000-0000EB000000}"/>
    <cellStyle name="Comma 49 2" xfId="645" xr:uid="{00000000-0005-0000-0000-0000EC000000}"/>
    <cellStyle name="Comma 5" xfId="236" xr:uid="{00000000-0005-0000-0000-0000ED000000}"/>
    <cellStyle name="Comma 5 2" xfId="237" xr:uid="{00000000-0005-0000-0000-0000EE000000}"/>
    <cellStyle name="Comma 5 3" xfId="238" xr:uid="{00000000-0005-0000-0000-0000EF000000}"/>
    <cellStyle name="Comma 5 4" xfId="239" xr:uid="{00000000-0005-0000-0000-0000F0000000}"/>
    <cellStyle name="Comma 5 5" xfId="646" xr:uid="{00000000-0005-0000-0000-0000F1000000}"/>
    <cellStyle name="Comma 50" xfId="240" xr:uid="{00000000-0005-0000-0000-0000F2000000}"/>
    <cellStyle name="Comma 50 2" xfId="647" xr:uid="{00000000-0005-0000-0000-0000F3000000}"/>
    <cellStyle name="Comma 51" xfId="241" xr:uid="{00000000-0005-0000-0000-0000F4000000}"/>
    <cellStyle name="Comma 51 2" xfId="648" xr:uid="{00000000-0005-0000-0000-0000F5000000}"/>
    <cellStyle name="Comma 52" xfId="593" xr:uid="{00000000-0005-0000-0000-0000F6000000}"/>
    <cellStyle name="Comma 6" xfId="242" xr:uid="{00000000-0005-0000-0000-0000F7000000}"/>
    <cellStyle name="Comma 6 2" xfId="243" xr:uid="{00000000-0005-0000-0000-0000F8000000}"/>
    <cellStyle name="Comma 6 3" xfId="244" xr:uid="{00000000-0005-0000-0000-0000F9000000}"/>
    <cellStyle name="Comma 6 4" xfId="649" xr:uid="{00000000-0005-0000-0000-0000FA000000}"/>
    <cellStyle name="Comma 7" xfId="245" xr:uid="{00000000-0005-0000-0000-0000FB000000}"/>
    <cellStyle name="Comma 7 2" xfId="650" xr:uid="{00000000-0005-0000-0000-0000FC000000}"/>
    <cellStyle name="Comma 8" xfId="246" xr:uid="{00000000-0005-0000-0000-0000FD000000}"/>
    <cellStyle name="Comma 8 2" xfId="651" xr:uid="{00000000-0005-0000-0000-0000FE000000}"/>
    <cellStyle name="Comma 9" xfId="247" xr:uid="{00000000-0005-0000-0000-0000FF000000}"/>
    <cellStyle name="Comma 9 2" xfId="652" xr:uid="{00000000-0005-0000-0000-000000010000}"/>
    <cellStyle name="Currency" xfId="2" builtinId="4"/>
    <cellStyle name="Currency 2" xfId="8" xr:uid="{00000000-0005-0000-0000-000002010000}"/>
    <cellStyle name="Currency 2 2" xfId="43" xr:uid="{00000000-0005-0000-0000-000003010000}"/>
    <cellStyle name="Currency 2 2 2" xfId="598" xr:uid="{00000000-0005-0000-0000-000004010000}"/>
    <cellStyle name="Currency 2 3" xfId="41" xr:uid="{00000000-0005-0000-0000-000005010000}"/>
    <cellStyle name="Currency 2 3 2" xfId="597" xr:uid="{00000000-0005-0000-0000-000006010000}"/>
    <cellStyle name="Currency 2 4" xfId="594" xr:uid="{00000000-0005-0000-0000-000007010000}"/>
    <cellStyle name="Currency 3" xfId="592" xr:uid="{00000000-0005-0000-0000-000008010000}"/>
    <cellStyle name="Dobro" xfId="15" xr:uid="{00000000-0005-0000-0000-000009010000}"/>
    <cellStyle name="Dobro 2" xfId="248" xr:uid="{00000000-0005-0000-0000-00000A010000}"/>
    <cellStyle name="Dobro 2 2" xfId="249" xr:uid="{00000000-0005-0000-0000-00000B010000}"/>
    <cellStyle name="Dobro 3" xfId="250" xr:uid="{00000000-0005-0000-0000-00000C010000}"/>
    <cellStyle name="Excel Built-in Explanatory Text" xfId="251" xr:uid="{00000000-0005-0000-0000-00000D010000}"/>
    <cellStyle name="Excel Built-in Normal" xfId="7" xr:uid="{00000000-0005-0000-0000-00000E010000}"/>
    <cellStyle name="Excel Built-in Normal 10" xfId="252" xr:uid="{00000000-0005-0000-0000-00000F010000}"/>
    <cellStyle name="Excel Built-in Normal_TROSKOVNIK-revizija2" xfId="253" xr:uid="{00000000-0005-0000-0000-000010010000}"/>
    <cellStyle name="Explanatory Text 2" xfId="254" xr:uid="{00000000-0005-0000-0000-000011010000}"/>
    <cellStyle name="Explanatory Text 3" xfId="569" xr:uid="{00000000-0005-0000-0000-000012010000}"/>
    <cellStyle name="Good 2" xfId="256" xr:uid="{00000000-0005-0000-0000-000013010000}"/>
    <cellStyle name="Good 3" xfId="255" xr:uid="{00000000-0005-0000-0000-000014010000}"/>
    <cellStyle name="Heading 1 2" xfId="258" xr:uid="{00000000-0005-0000-0000-000015010000}"/>
    <cellStyle name="Heading 1 3" xfId="257" xr:uid="{00000000-0005-0000-0000-000016010000}"/>
    <cellStyle name="Heading 1 4" xfId="293" xr:uid="{00000000-0005-0000-0000-000017010000}"/>
    <cellStyle name="Heading 2 2" xfId="260" xr:uid="{00000000-0005-0000-0000-000018010000}"/>
    <cellStyle name="Heading 2 3" xfId="259" xr:uid="{00000000-0005-0000-0000-000019010000}"/>
    <cellStyle name="Heading 2 4" xfId="297" xr:uid="{00000000-0005-0000-0000-00001A010000}"/>
    <cellStyle name="Heading 3 2" xfId="262" xr:uid="{00000000-0005-0000-0000-00001B010000}"/>
    <cellStyle name="Heading 3 3" xfId="261" xr:uid="{00000000-0005-0000-0000-00001C010000}"/>
    <cellStyle name="Heading 3 4" xfId="298" xr:uid="{00000000-0005-0000-0000-00001D010000}"/>
    <cellStyle name="Heading 4 2" xfId="264" xr:uid="{00000000-0005-0000-0000-00001E010000}"/>
    <cellStyle name="Heading 4 3" xfId="263" xr:uid="{00000000-0005-0000-0000-00001F010000}"/>
    <cellStyle name="Heading 4 4" xfId="299" xr:uid="{00000000-0005-0000-0000-000020010000}"/>
    <cellStyle name="Hyperlink" xfId="1" builtinId="8"/>
    <cellStyle name="Hyperlink 2" xfId="657" xr:uid="{0528204C-7166-4206-87C2-B07D98D8BF4A}"/>
    <cellStyle name="Input 2" xfId="265" xr:uid="{00000000-0005-0000-0000-000022010000}"/>
    <cellStyle name="Input 3" xfId="576" xr:uid="{00000000-0005-0000-0000-000023010000}"/>
    <cellStyle name="Izlaz" xfId="16" xr:uid="{00000000-0005-0000-0000-000024010000}"/>
    <cellStyle name="Izlaz 2" xfId="272" xr:uid="{00000000-0005-0000-0000-000025010000}"/>
    <cellStyle name="Izlaz 2 2" xfId="273" xr:uid="{00000000-0005-0000-0000-000026010000}"/>
    <cellStyle name="Izlaz 3" xfId="274" xr:uid="{00000000-0005-0000-0000-000027010000}"/>
    <cellStyle name="kolona A" xfId="17" xr:uid="{00000000-0005-0000-0000-000028010000}"/>
    <cellStyle name="kolona A 2" xfId="276" xr:uid="{00000000-0005-0000-0000-000029010000}"/>
    <cellStyle name="kolona B" xfId="18" xr:uid="{00000000-0005-0000-0000-00002A010000}"/>
    <cellStyle name="kolona B 2" xfId="277" xr:uid="{00000000-0005-0000-0000-00002B010000}"/>
    <cellStyle name="kolona C" xfId="19" xr:uid="{00000000-0005-0000-0000-00002C010000}"/>
    <cellStyle name="kolona C 2" xfId="278" xr:uid="{00000000-0005-0000-0000-00002D010000}"/>
    <cellStyle name="kolona D" xfId="20" xr:uid="{00000000-0005-0000-0000-00002E010000}"/>
    <cellStyle name="kolona D 2" xfId="279" xr:uid="{00000000-0005-0000-0000-00002F010000}"/>
    <cellStyle name="kolona E" xfId="21" xr:uid="{00000000-0005-0000-0000-000030010000}"/>
    <cellStyle name="kolona E 2" xfId="280" xr:uid="{00000000-0005-0000-0000-000031010000}"/>
    <cellStyle name="kolona F" xfId="22" xr:uid="{00000000-0005-0000-0000-000032010000}"/>
    <cellStyle name="kolona F 2" xfId="281" xr:uid="{00000000-0005-0000-0000-000033010000}"/>
    <cellStyle name="kolona G" xfId="23" xr:uid="{00000000-0005-0000-0000-000034010000}"/>
    <cellStyle name="kolona G 2" xfId="282" xr:uid="{00000000-0005-0000-0000-000035010000}"/>
    <cellStyle name="kolona H" xfId="24" xr:uid="{00000000-0005-0000-0000-000036010000}"/>
    <cellStyle name="kolona H 2" xfId="283" xr:uid="{00000000-0005-0000-0000-000037010000}"/>
    <cellStyle name="kolona1" xfId="284" xr:uid="{00000000-0005-0000-0000-000038010000}"/>
    <cellStyle name="kolona2" xfId="285" xr:uid="{00000000-0005-0000-0000-000039010000}"/>
    <cellStyle name="kolona3" xfId="286" xr:uid="{00000000-0005-0000-0000-00003A010000}"/>
    <cellStyle name="komadi" xfId="287" xr:uid="{00000000-0005-0000-0000-00003B010000}"/>
    <cellStyle name="Linked Cell 2" xfId="288" xr:uid="{00000000-0005-0000-0000-00003C010000}"/>
    <cellStyle name="Linked Cell 3" xfId="561" xr:uid="{00000000-0005-0000-0000-00003D010000}"/>
    <cellStyle name="merge" xfId="32" xr:uid="{00000000-0005-0000-0000-00003E010000}"/>
    <cellStyle name="merge 2" xfId="291" xr:uid="{00000000-0005-0000-0000-00003F010000}"/>
    <cellStyle name="merge 3" xfId="290" xr:uid="{00000000-0005-0000-0000-000040010000}"/>
    <cellStyle name="nabrajanje" xfId="292" xr:uid="{00000000-0005-0000-0000-000041010000}"/>
    <cellStyle name="Naslov" xfId="25" xr:uid="{00000000-0005-0000-0000-000042010000}"/>
    <cellStyle name="Naslov 1 1" xfId="294" xr:uid="{00000000-0005-0000-0000-000043010000}"/>
    <cellStyle name="Naslov 1 2" xfId="295" xr:uid="{00000000-0005-0000-0000-000044010000}"/>
    <cellStyle name="Naslov 1 3" xfId="296" xr:uid="{00000000-0005-0000-0000-000045010000}"/>
    <cellStyle name="Naslov 5" xfId="300" xr:uid="{00000000-0005-0000-0000-000046010000}"/>
    <cellStyle name="Navadno_Varnost ICIT" xfId="301" xr:uid="{00000000-0005-0000-0000-000047010000}"/>
    <cellStyle name="Neutral 2" xfId="302" xr:uid="{00000000-0005-0000-0000-000048010000}"/>
    <cellStyle name="Neutral 3" xfId="303" xr:uid="{00000000-0005-0000-0000-000049010000}"/>
    <cellStyle name="Normal" xfId="0" builtinId="0"/>
    <cellStyle name="Normal 10" xfId="305" xr:uid="{00000000-0005-0000-0000-00004B010000}"/>
    <cellStyle name="Normal 10 2" xfId="35" xr:uid="{00000000-0005-0000-0000-00004C010000}"/>
    <cellStyle name="Normal 10 3" xfId="306" xr:uid="{00000000-0005-0000-0000-00004D010000}"/>
    <cellStyle name="Normal 10_Jezevac_pecenjara_concept_tender_v_2011060_1" xfId="26" xr:uid="{00000000-0005-0000-0000-00004E010000}"/>
    <cellStyle name="Normal 11" xfId="307" xr:uid="{00000000-0005-0000-0000-00004F010000}"/>
    <cellStyle name="Normal 11 2" xfId="308" xr:uid="{00000000-0005-0000-0000-000050010000}"/>
    <cellStyle name="Normal 11 3" xfId="309" xr:uid="{00000000-0005-0000-0000-000051010000}"/>
    <cellStyle name="Normal 11 4" xfId="310" xr:uid="{00000000-0005-0000-0000-000052010000}"/>
    <cellStyle name="Normal 11 5" xfId="311" xr:uid="{00000000-0005-0000-0000-000053010000}"/>
    <cellStyle name="Normal 11_gradska-palaca-troskovnik" xfId="312" xr:uid="{00000000-0005-0000-0000-000054010000}"/>
    <cellStyle name="Normal 12" xfId="313" xr:uid="{00000000-0005-0000-0000-000055010000}"/>
    <cellStyle name="Normal 12 2" xfId="314" xr:uid="{00000000-0005-0000-0000-000056010000}"/>
    <cellStyle name="Normal 12 2 2" xfId="315" xr:uid="{00000000-0005-0000-0000-000057010000}"/>
    <cellStyle name="Normal 12 3" xfId="316" xr:uid="{00000000-0005-0000-0000-000058010000}"/>
    <cellStyle name="Normal 13" xfId="317" xr:uid="{00000000-0005-0000-0000-000059010000}"/>
    <cellStyle name="Normal 13 2" xfId="10" xr:uid="{00000000-0005-0000-0000-00005A010000}"/>
    <cellStyle name="Normal 14" xfId="318" xr:uid="{00000000-0005-0000-0000-00005B010000}"/>
    <cellStyle name="Normal 14 2" xfId="319" xr:uid="{00000000-0005-0000-0000-00005C010000}"/>
    <cellStyle name="Normal 14 3" xfId="320" xr:uid="{00000000-0005-0000-0000-00005D010000}"/>
    <cellStyle name="Normal 14 4" xfId="321" xr:uid="{00000000-0005-0000-0000-00005E010000}"/>
    <cellStyle name="Normal 14 5" xfId="322" xr:uid="{00000000-0005-0000-0000-00005F010000}"/>
    <cellStyle name="Normal 14_gradska-palaca-troskovnik" xfId="323" xr:uid="{00000000-0005-0000-0000-000060010000}"/>
    <cellStyle name="Normal 15" xfId="324" xr:uid="{00000000-0005-0000-0000-000061010000}"/>
    <cellStyle name="Normal 16" xfId="325" xr:uid="{00000000-0005-0000-0000-000062010000}"/>
    <cellStyle name="Normal 17" xfId="326" xr:uid="{00000000-0005-0000-0000-000063010000}"/>
    <cellStyle name="Normal 18" xfId="327" xr:uid="{00000000-0005-0000-0000-000064010000}"/>
    <cellStyle name="Normal 19" xfId="328" xr:uid="{00000000-0005-0000-0000-000065010000}"/>
    <cellStyle name="Normal 2" xfId="5" xr:uid="{00000000-0005-0000-0000-000066010000}"/>
    <cellStyle name="Normal 2 10" xfId="330" xr:uid="{00000000-0005-0000-0000-000067010000}"/>
    <cellStyle name="Normal 2 11" xfId="331" xr:uid="{00000000-0005-0000-0000-000068010000}"/>
    <cellStyle name="Normal 2 12" xfId="332" xr:uid="{00000000-0005-0000-0000-000069010000}"/>
    <cellStyle name="Normal 2 13" xfId="333" xr:uid="{00000000-0005-0000-0000-00006A010000}"/>
    <cellStyle name="Normal 2 14" xfId="334" xr:uid="{00000000-0005-0000-0000-00006B010000}"/>
    <cellStyle name="Normal 2 15" xfId="335" xr:uid="{00000000-0005-0000-0000-00006C010000}"/>
    <cellStyle name="Normal 2 16" xfId="336" xr:uid="{00000000-0005-0000-0000-00006D010000}"/>
    <cellStyle name="Normal 2 17" xfId="337" xr:uid="{00000000-0005-0000-0000-00006E010000}"/>
    <cellStyle name="Normal 2 18" xfId="338" xr:uid="{00000000-0005-0000-0000-00006F010000}"/>
    <cellStyle name="Normal 2 19" xfId="339" xr:uid="{00000000-0005-0000-0000-000070010000}"/>
    <cellStyle name="Normal 2 2" xfId="40" xr:uid="{00000000-0005-0000-0000-000071010000}"/>
    <cellStyle name="Normal 2 2 2" xfId="341" xr:uid="{00000000-0005-0000-0000-000072010000}"/>
    <cellStyle name="Normal 2 2 3" xfId="342" xr:uid="{00000000-0005-0000-0000-000073010000}"/>
    <cellStyle name="Normal 2 2 4" xfId="343" xr:uid="{00000000-0005-0000-0000-000074010000}"/>
    <cellStyle name="Normal 2 2 5" xfId="340" xr:uid="{00000000-0005-0000-0000-000075010000}"/>
    <cellStyle name="Normal 2 20" xfId="344" xr:uid="{00000000-0005-0000-0000-000076010000}"/>
    <cellStyle name="Normal 2 21" xfId="345" xr:uid="{00000000-0005-0000-0000-000077010000}"/>
    <cellStyle name="Normal 2 22" xfId="346" xr:uid="{00000000-0005-0000-0000-000078010000}"/>
    <cellStyle name="Normal 2 23" xfId="347" xr:uid="{00000000-0005-0000-0000-000079010000}"/>
    <cellStyle name="Normal 2 24" xfId="348" xr:uid="{00000000-0005-0000-0000-00007A010000}"/>
    <cellStyle name="Normal 2 25" xfId="349" xr:uid="{00000000-0005-0000-0000-00007B010000}"/>
    <cellStyle name="Normal 2 26" xfId="350" xr:uid="{00000000-0005-0000-0000-00007C010000}"/>
    <cellStyle name="Normal 2 27" xfId="351" xr:uid="{00000000-0005-0000-0000-00007D010000}"/>
    <cellStyle name="Normal 2 28" xfId="352" xr:uid="{00000000-0005-0000-0000-00007E010000}"/>
    <cellStyle name="Normal 2 29" xfId="353" xr:uid="{00000000-0005-0000-0000-00007F010000}"/>
    <cellStyle name="Normal 2 3" xfId="51" xr:uid="{00000000-0005-0000-0000-000080010000}"/>
    <cellStyle name="Normal 2 3 2" xfId="355" xr:uid="{00000000-0005-0000-0000-000081010000}"/>
    <cellStyle name="Normal 2 3 3" xfId="354" xr:uid="{00000000-0005-0000-0000-000082010000}"/>
    <cellStyle name="Normal 2 30" xfId="356" xr:uid="{00000000-0005-0000-0000-000083010000}"/>
    <cellStyle name="Normal 2 31" xfId="357" xr:uid="{00000000-0005-0000-0000-000084010000}"/>
    <cellStyle name="Normal 2 32" xfId="358" xr:uid="{00000000-0005-0000-0000-000085010000}"/>
    <cellStyle name="Normal 2 33" xfId="359" xr:uid="{00000000-0005-0000-0000-000086010000}"/>
    <cellStyle name="Normal 2 34" xfId="360" xr:uid="{00000000-0005-0000-0000-000087010000}"/>
    <cellStyle name="Normal 2 35" xfId="361" xr:uid="{00000000-0005-0000-0000-000088010000}"/>
    <cellStyle name="Normal 2 36" xfId="362" xr:uid="{00000000-0005-0000-0000-000089010000}"/>
    <cellStyle name="Normal 2 37" xfId="363" xr:uid="{00000000-0005-0000-0000-00008A010000}"/>
    <cellStyle name="Normal 2 38" xfId="364" xr:uid="{00000000-0005-0000-0000-00008B010000}"/>
    <cellStyle name="Normal 2 39" xfId="365" xr:uid="{00000000-0005-0000-0000-00008C010000}"/>
    <cellStyle name="Normal 2 4" xfId="366" xr:uid="{00000000-0005-0000-0000-00008D010000}"/>
    <cellStyle name="Normal 2 4 2" xfId="367" xr:uid="{00000000-0005-0000-0000-00008E010000}"/>
    <cellStyle name="Normal 2 40" xfId="368" xr:uid="{00000000-0005-0000-0000-00008F010000}"/>
    <cellStyle name="Normal 2 41" xfId="369" xr:uid="{00000000-0005-0000-0000-000090010000}"/>
    <cellStyle name="Normal 2 42" xfId="370" xr:uid="{00000000-0005-0000-0000-000091010000}"/>
    <cellStyle name="Normal 2 43" xfId="371" xr:uid="{00000000-0005-0000-0000-000092010000}"/>
    <cellStyle name="Normal 2 44" xfId="372" xr:uid="{00000000-0005-0000-0000-000093010000}"/>
    <cellStyle name="Normal 2 45" xfId="373" xr:uid="{00000000-0005-0000-0000-000094010000}"/>
    <cellStyle name="Normal 2 46" xfId="374" xr:uid="{00000000-0005-0000-0000-000095010000}"/>
    <cellStyle name="Normal 2 47" xfId="375" xr:uid="{00000000-0005-0000-0000-000096010000}"/>
    <cellStyle name="Normal 2 48" xfId="376" xr:uid="{00000000-0005-0000-0000-000097010000}"/>
    <cellStyle name="Normal 2 49" xfId="377" xr:uid="{00000000-0005-0000-0000-000098010000}"/>
    <cellStyle name="Normal 2 5" xfId="378" xr:uid="{00000000-0005-0000-0000-000099010000}"/>
    <cellStyle name="Normal 2 5 2" xfId="379" xr:uid="{00000000-0005-0000-0000-00009A010000}"/>
    <cellStyle name="Normal 2 50" xfId="380" xr:uid="{00000000-0005-0000-0000-00009B010000}"/>
    <cellStyle name="Normal 2 51" xfId="381" xr:uid="{00000000-0005-0000-0000-00009C010000}"/>
    <cellStyle name="Normal 2 52" xfId="382" xr:uid="{00000000-0005-0000-0000-00009D010000}"/>
    <cellStyle name="Normal 2 53" xfId="383" xr:uid="{00000000-0005-0000-0000-00009E010000}"/>
    <cellStyle name="Normal 2 54" xfId="329" xr:uid="{00000000-0005-0000-0000-00009F010000}"/>
    <cellStyle name="Normal 2 6" xfId="384" xr:uid="{00000000-0005-0000-0000-0000A0010000}"/>
    <cellStyle name="Normal 2 7" xfId="385" xr:uid="{00000000-0005-0000-0000-0000A1010000}"/>
    <cellStyle name="Normal 2 8" xfId="386" xr:uid="{00000000-0005-0000-0000-0000A2010000}"/>
    <cellStyle name="Normal 2 9" xfId="387" xr:uid="{00000000-0005-0000-0000-0000A3010000}"/>
    <cellStyle name="Normal 2_2009_06_03_tender_politin_PARCELACIJA - S formom" xfId="388" xr:uid="{00000000-0005-0000-0000-0000A4010000}"/>
    <cellStyle name="Normal 20" xfId="389" xr:uid="{00000000-0005-0000-0000-0000A5010000}"/>
    <cellStyle name="Normal 21" xfId="11" xr:uid="{00000000-0005-0000-0000-0000A6010000}"/>
    <cellStyle name="Normal 21 2" xfId="391" xr:uid="{00000000-0005-0000-0000-0000A7010000}"/>
    <cellStyle name="Normal 21 3" xfId="392" xr:uid="{00000000-0005-0000-0000-0000A8010000}"/>
    <cellStyle name="Normal 21 4" xfId="393" xr:uid="{00000000-0005-0000-0000-0000A9010000}"/>
    <cellStyle name="Normal 21 5" xfId="394" xr:uid="{00000000-0005-0000-0000-0000AA010000}"/>
    <cellStyle name="Normal 21 6" xfId="390" xr:uid="{00000000-0005-0000-0000-0000AB010000}"/>
    <cellStyle name="Normal 21_gradska-palaca-troskovnik" xfId="395" xr:uid="{00000000-0005-0000-0000-0000AC010000}"/>
    <cellStyle name="Normal 22" xfId="396" xr:uid="{00000000-0005-0000-0000-0000AD010000}"/>
    <cellStyle name="Normal 23" xfId="397" xr:uid="{00000000-0005-0000-0000-0000AE010000}"/>
    <cellStyle name="Normal 24" xfId="398" xr:uid="{00000000-0005-0000-0000-0000AF010000}"/>
    <cellStyle name="Normal 25" xfId="399" xr:uid="{00000000-0005-0000-0000-0000B0010000}"/>
    <cellStyle name="Normal 26" xfId="400" xr:uid="{00000000-0005-0000-0000-0000B1010000}"/>
    <cellStyle name="Normal 27" xfId="401" xr:uid="{00000000-0005-0000-0000-0000B2010000}"/>
    <cellStyle name="Normal 28" xfId="402" xr:uid="{00000000-0005-0000-0000-0000B3010000}"/>
    <cellStyle name="Normal 29" xfId="403" xr:uid="{00000000-0005-0000-0000-0000B4010000}"/>
    <cellStyle name="Normal 3" xfId="6" xr:uid="{00000000-0005-0000-0000-0000B5010000}"/>
    <cellStyle name="Normal 3 2" xfId="33" xr:uid="{00000000-0005-0000-0000-0000B6010000}"/>
    <cellStyle name="Normal 3 2 2" xfId="405" xr:uid="{00000000-0005-0000-0000-0000B7010000}"/>
    <cellStyle name="Normal 3 2 3" xfId="404" xr:uid="{00000000-0005-0000-0000-0000B8010000}"/>
    <cellStyle name="Normal 3 3" xfId="406" xr:uid="{00000000-0005-0000-0000-0000B9010000}"/>
    <cellStyle name="Normal 3 3 2" xfId="407" xr:uid="{00000000-0005-0000-0000-0000BA010000}"/>
    <cellStyle name="Normal 30" xfId="408" xr:uid="{00000000-0005-0000-0000-0000BB010000}"/>
    <cellStyle name="Normal 31" xfId="409" xr:uid="{00000000-0005-0000-0000-0000BC010000}"/>
    <cellStyle name="Normal 32" xfId="410" xr:uid="{00000000-0005-0000-0000-0000BD010000}"/>
    <cellStyle name="Normal 33" xfId="411" xr:uid="{00000000-0005-0000-0000-0000BE010000}"/>
    <cellStyle name="Normal 34" xfId="412" xr:uid="{00000000-0005-0000-0000-0000BF010000}"/>
    <cellStyle name="Normal 35" xfId="413" xr:uid="{00000000-0005-0000-0000-0000C0010000}"/>
    <cellStyle name="Normal 35 2" xfId="414" xr:uid="{00000000-0005-0000-0000-0000C1010000}"/>
    <cellStyle name="Normal 35 3" xfId="415" xr:uid="{00000000-0005-0000-0000-0000C2010000}"/>
    <cellStyle name="Normal 35 4" xfId="416" xr:uid="{00000000-0005-0000-0000-0000C3010000}"/>
    <cellStyle name="Normal 35 5" xfId="417" xr:uid="{00000000-0005-0000-0000-0000C4010000}"/>
    <cellStyle name="Normal 35_gradska-palaca-troskovnik" xfId="418" xr:uid="{00000000-0005-0000-0000-0000C5010000}"/>
    <cellStyle name="Normal 36" xfId="419" xr:uid="{00000000-0005-0000-0000-0000C6010000}"/>
    <cellStyle name="Normal 37" xfId="420" xr:uid="{00000000-0005-0000-0000-0000C7010000}"/>
    <cellStyle name="Normal 37 2" xfId="421" xr:uid="{00000000-0005-0000-0000-0000C8010000}"/>
    <cellStyle name="Normal 37 3" xfId="422" xr:uid="{00000000-0005-0000-0000-0000C9010000}"/>
    <cellStyle name="Normal 37 4" xfId="423" xr:uid="{00000000-0005-0000-0000-0000CA010000}"/>
    <cellStyle name="Normal 37 5" xfId="424" xr:uid="{00000000-0005-0000-0000-0000CB010000}"/>
    <cellStyle name="Normal 37_gradska-palaca-troskovnik" xfId="425" xr:uid="{00000000-0005-0000-0000-0000CC010000}"/>
    <cellStyle name="Normal 38" xfId="426" xr:uid="{00000000-0005-0000-0000-0000CD010000}"/>
    <cellStyle name="Normal 39" xfId="427" xr:uid="{00000000-0005-0000-0000-0000CE010000}"/>
    <cellStyle name="Normal 4" xfId="34" xr:uid="{00000000-0005-0000-0000-0000CF010000}"/>
    <cellStyle name="Normal 4 2" xfId="429" xr:uid="{00000000-0005-0000-0000-0000D0010000}"/>
    <cellStyle name="Normal 4 3" xfId="430" xr:uid="{00000000-0005-0000-0000-0000D1010000}"/>
    <cellStyle name="Normal 4 4" xfId="431" xr:uid="{00000000-0005-0000-0000-0000D2010000}"/>
    <cellStyle name="Normal 4 5" xfId="432" xr:uid="{00000000-0005-0000-0000-0000D3010000}"/>
    <cellStyle name="Normal 4 6" xfId="428" xr:uid="{00000000-0005-0000-0000-0000D4010000}"/>
    <cellStyle name="Normal 4_gradska-palaca-troskovnik" xfId="433" xr:uid="{00000000-0005-0000-0000-0000D5010000}"/>
    <cellStyle name="Normal 40" xfId="434" xr:uid="{00000000-0005-0000-0000-0000D6010000}"/>
    <cellStyle name="Normal 41" xfId="435" xr:uid="{00000000-0005-0000-0000-0000D7010000}"/>
    <cellStyle name="Normal 42" xfId="436" xr:uid="{00000000-0005-0000-0000-0000D8010000}"/>
    <cellStyle name="Normal 43" xfId="437" xr:uid="{00000000-0005-0000-0000-0000D9010000}"/>
    <cellStyle name="Normal 44" xfId="438" xr:uid="{00000000-0005-0000-0000-0000DA010000}"/>
    <cellStyle name="Normal 45" xfId="439" xr:uid="{00000000-0005-0000-0000-0000DB010000}"/>
    <cellStyle name="Normal 46" xfId="440" xr:uid="{00000000-0005-0000-0000-0000DC010000}"/>
    <cellStyle name="Normal 47" xfId="441" xr:uid="{00000000-0005-0000-0000-0000DD010000}"/>
    <cellStyle name="Normal 48" xfId="442" xr:uid="{00000000-0005-0000-0000-0000DE010000}"/>
    <cellStyle name="Normal 49" xfId="443" xr:uid="{00000000-0005-0000-0000-0000DF010000}"/>
    <cellStyle name="Normal 5" xfId="36" xr:uid="{00000000-0005-0000-0000-0000E0010000}"/>
    <cellStyle name="Normal 50" xfId="444" xr:uid="{00000000-0005-0000-0000-0000E1010000}"/>
    <cellStyle name="Normal 51" xfId="445" xr:uid="{00000000-0005-0000-0000-0000E2010000}"/>
    <cellStyle name="Normal 52" xfId="446" xr:uid="{00000000-0005-0000-0000-0000E3010000}"/>
    <cellStyle name="Normal 53" xfId="447" xr:uid="{00000000-0005-0000-0000-0000E4010000}"/>
    <cellStyle name="Normal 54" xfId="448" xr:uid="{00000000-0005-0000-0000-0000E5010000}"/>
    <cellStyle name="Normal 55" xfId="449" xr:uid="{00000000-0005-0000-0000-0000E6010000}"/>
    <cellStyle name="Normal 56" xfId="450" xr:uid="{00000000-0005-0000-0000-0000E7010000}"/>
    <cellStyle name="Normal 57" xfId="56" xr:uid="{00000000-0005-0000-0000-0000E8010000}"/>
    <cellStyle name="Normal 58" xfId="304" xr:uid="{00000000-0005-0000-0000-0000E9010000}"/>
    <cellStyle name="Normal 59" xfId="584" xr:uid="{00000000-0005-0000-0000-0000EA010000}"/>
    <cellStyle name="Normal 6" xfId="37" xr:uid="{00000000-0005-0000-0000-0000EB010000}"/>
    <cellStyle name="Normal 6 2" xfId="452" xr:uid="{00000000-0005-0000-0000-0000EC010000}"/>
    <cellStyle name="Normal 6 2 2" xfId="453" xr:uid="{00000000-0005-0000-0000-0000ED010000}"/>
    <cellStyle name="Normal 6 3" xfId="454" xr:uid="{00000000-0005-0000-0000-0000EE010000}"/>
    <cellStyle name="Normal 6 3 2" xfId="455" xr:uid="{00000000-0005-0000-0000-0000EF010000}"/>
    <cellStyle name="Normal 6 4" xfId="451" xr:uid="{00000000-0005-0000-0000-0000F0010000}"/>
    <cellStyle name="Normal 6 5" xfId="589" xr:uid="{00000000-0005-0000-0000-0000F1010000}"/>
    <cellStyle name="Normal 6 5 2" xfId="654" xr:uid="{00000000-0005-0000-0000-0000F2010000}"/>
    <cellStyle name="Normal 6 6" xfId="595" xr:uid="{00000000-0005-0000-0000-0000F3010000}"/>
    <cellStyle name="Normal 60" xfId="586" xr:uid="{00000000-0005-0000-0000-0000F4010000}"/>
    <cellStyle name="Normal 61" xfId="456" xr:uid="{00000000-0005-0000-0000-0000F5010000}"/>
    <cellStyle name="Normal 62" xfId="583" xr:uid="{00000000-0005-0000-0000-0000F6010000}"/>
    <cellStyle name="Normal 63" xfId="457" xr:uid="{00000000-0005-0000-0000-0000F7010000}"/>
    <cellStyle name="Normal 64" xfId="587" xr:uid="{00000000-0005-0000-0000-0000F8010000}"/>
    <cellStyle name="Normal 65" xfId="585" xr:uid="{00000000-0005-0000-0000-0000F9010000}"/>
    <cellStyle name="Normal 66" xfId="588" xr:uid="{00000000-0005-0000-0000-0000FA010000}"/>
    <cellStyle name="Normal 7" xfId="52" xr:uid="{00000000-0005-0000-0000-0000FB010000}"/>
    <cellStyle name="Normal 7 10" xfId="458" xr:uid="{00000000-0005-0000-0000-0000FC010000}"/>
    <cellStyle name="Normal 7 11" xfId="459" xr:uid="{00000000-0005-0000-0000-0000FD010000}"/>
    <cellStyle name="Normal 7 12" xfId="460" xr:uid="{00000000-0005-0000-0000-0000FE010000}"/>
    <cellStyle name="Normal 7 13" xfId="461" xr:uid="{00000000-0005-0000-0000-0000FF010000}"/>
    <cellStyle name="Normal 7 14" xfId="462" xr:uid="{00000000-0005-0000-0000-000000020000}"/>
    <cellStyle name="Normal 7 15" xfId="463" xr:uid="{00000000-0005-0000-0000-000001020000}"/>
    <cellStyle name="Normal 7 16" xfId="464" xr:uid="{00000000-0005-0000-0000-000002020000}"/>
    <cellStyle name="Normal 7 2" xfId="465" xr:uid="{00000000-0005-0000-0000-000003020000}"/>
    <cellStyle name="Normal 7 3" xfId="466" xr:uid="{00000000-0005-0000-0000-000004020000}"/>
    <cellStyle name="Normal 7 4" xfId="467" xr:uid="{00000000-0005-0000-0000-000005020000}"/>
    <cellStyle name="Normal 7 5" xfId="468" xr:uid="{00000000-0005-0000-0000-000006020000}"/>
    <cellStyle name="Normal 7 6" xfId="469" xr:uid="{00000000-0005-0000-0000-000007020000}"/>
    <cellStyle name="Normal 7 7" xfId="470" xr:uid="{00000000-0005-0000-0000-000008020000}"/>
    <cellStyle name="Normal 7 8" xfId="471" xr:uid="{00000000-0005-0000-0000-000009020000}"/>
    <cellStyle name="Normal 7 9" xfId="472" xr:uid="{00000000-0005-0000-0000-00000A020000}"/>
    <cellStyle name="Normal 7_2009_06_03_tender_politin_PARCELACIJA - S formom" xfId="473" xr:uid="{00000000-0005-0000-0000-00000B020000}"/>
    <cellStyle name="Normal 8" xfId="44" xr:uid="{00000000-0005-0000-0000-00000C020000}"/>
    <cellStyle name="Normal 9" xfId="55" xr:uid="{00000000-0005-0000-0000-00000D020000}"/>
    <cellStyle name="Normal1" xfId="474" xr:uid="{00000000-0005-0000-0000-00000E020000}"/>
    <cellStyle name="Normal3" xfId="475" xr:uid="{00000000-0005-0000-0000-00000F020000}"/>
    <cellStyle name="Normalno 10" xfId="476" xr:uid="{00000000-0005-0000-0000-000010020000}"/>
    <cellStyle name="Normalno 11" xfId="53" xr:uid="{00000000-0005-0000-0000-000011020000}"/>
    <cellStyle name="Normalno 11 2" xfId="477" xr:uid="{00000000-0005-0000-0000-000012020000}"/>
    <cellStyle name="Normalno 11 2 2" xfId="591" xr:uid="{00000000-0005-0000-0000-000013020000}"/>
    <cellStyle name="Normalno 11 2 2 2" xfId="656" xr:uid="{00000000-0005-0000-0000-000014020000}"/>
    <cellStyle name="Normalno 11 2 3" xfId="653" xr:uid="{00000000-0005-0000-0000-000015020000}"/>
    <cellStyle name="Normalno 12" xfId="478" xr:uid="{00000000-0005-0000-0000-000016020000}"/>
    <cellStyle name="Normalno 2" xfId="27" xr:uid="{00000000-0005-0000-0000-000017020000}"/>
    <cellStyle name="Normalno 2 2" xfId="54" xr:uid="{00000000-0005-0000-0000-000018020000}"/>
    <cellStyle name="Normalno 2 3" xfId="480" xr:uid="{00000000-0005-0000-0000-000019020000}"/>
    <cellStyle name="Normalno 2 4" xfId="479" xr:uid="{00000000-0005-0000-0000-00001A020000}"/>
    <cellStyle name="Normalno 3" xfId="50" xr:uid="{00000000-0005-0000-0000-00001B020000}"/>
    <cellStyle name="Normalno 3 2" xfId="481" xr:uid="{00000000-0005-0000-0000-00001C020000}"/>
    <cellStyle name="Normalno 3 3" xfId="590" xr:uid="{00000000-0005-0000-0000-00001D020000}"/>
    <cellStyle name="Normalno 3 3 2" xfId="655" xr:uid="{00000000-0005-0000-0000-00001E020000}"/>
    <cellStyle name="Normalno 3 4" xfId="602" xr:uid="{00000000-0005-0000-0000-00001F020000}"/>
    <cellStyle name="Normalno 4" xfId="28" xr:uid="{00000000-0005-0000-0000-000020020000}"/>
    <cellStyle name="Normalno 4 2" xfId="482" xr:uid="{00000000-0005-0000-0000-000021020000}"/>
    <cellStyle name="Normalno 5" xfId="483" xr:uid="{00000000-0005-0000-0000-000022020000}"/>
    <cellStyle name="Normalno 6" xfId="484" xr:uid="{00000000-0005-0000-0000-000023020000}"/>
    <cellStyle name="Normalno 7" xfId="485" xr:uid="{00000000-0005-0000-0000-000024020000}"/>
    <cellStyle name="Normalno 8" xfId="486" xr:uid="{00000000-0005-0000-0000-000025020000}"/>
    <cellStyle name="Normalno 9" xfId="487" xr:uid="{00000000-0005-0000-0000-000026020000}"/>
    <cellStyle name="Note 2" xfId="489" xr:uid="{00000000-0005-0000-0000-000027020000}"/>
    <cellStyle name="Note 3" xfId="490" xr:uid="{00000000-0005-0000-0000-000028020000}"/>
    <cellStyle name="Note 4" xfId="488" xr:uid="{00000000-0005-0000-0000-000029020000}"/>
    <cellStyle name="Obično 10" xfId="491" xr:uid="{00000000-0005-0000-0000-00002A020000}"/>
    <cellStyle name="Obično 11" xfId="492" xr:uid="{00000000-0005-0000-0000-00002B020000}"/>
    <cellStyle name="Obično 12" xfId="493" xr:uid="{00000000-0005-0000-0000-00002C020000}"/>
    <cellStyle name="Obično 13" xfId="494" xr:uid="{00000000-0005-0000-0000-00002D020000}"/>
    <cellStyle name="Obično 14" xfId="495" xr:uid="{00000000-0005-0000-0000-00002E020000}"/>
    <cellStyle name="Obično 15" xfId="496" xr:uid="{00000000-0005-0000-0000-00002F020000}"/>
    <cellStyle name="Obično 16" xfId="497" xr:uid="{00000000-0005-0000-0000-000030020000}"/>
    <cellStyle name="Obično 2" xfId="498" xr:uid="{00000000-0005-0000-0000-000031020000}"/>
    <cellStyle name="Obično 3" xfId="499" xr:uid="{00000000-0005-0000-0000-000032020000}"/>
    <cellStyle name="Obično 4" xfId="500" xr:uid="{00000000-0005-0000-0000-000033020000}"/>
    <cellStyle name="Obično 5" xfId="501" xr:uid="{00000000-0005-0000-0000-000034020000}"/>
    <cellStyle name="Obično 6" xfId="502" xr:uid="{00000000-0005-0000-0000-000035020000}"/>
    <cellStyle name="Obično 7" xfId="29" xr:uid="{00000000-0005-0000-0000-000036020000}"/>
    <cellStyle name="Obično 8" xfId="503" xr:uid="{00000000-0005-0000-0000-000037020000}"/>
    <cellStyle name="Obično 9" xfId="504" xr:uid="{00000000-0005-0000-0000-000038020000}"/>
    <cellStyle name="Obično_5 4 elektro - KONGRESNA DVORANA RESTORAN - ISTRADRVO" xfId="505" xr:uid="{00000000-0005-0000-0000-000039020000}"/>
    <cellStyle name="Output 2" xfId="507" xr:uid="{00000000-0005-0000-0000-00003A020000}"/>
    <cellStyle name="Output 3" xfId="506" xr:uid="{00000000-0005-0000-0000-00003B020000}"/>
    <cellStyle name="Percent" xfId="4" builtinId="5"/>
    <cellStyle name="Percent 10" xfId="508" xr:uid="{00000000-0005-0000-0000-00003D020000}"/>
    <cellStyle name="Percent 11" xfId="509" xr:uid="{00000000-0005-0000-0000-00003E020000}"/>
    <cellStyle name="Percent 12" xfId="510" xr:uid="{00000000-0005-0000-0000-00003F020000}"/>
    <cellStyle name="Percent 13" xfId="511" xr:uid="{00000000-0005-0000-0000-000040020000}"/>
    <cellStyle name="Percent 14" xfId="512" xr:uid="{00000000-0005-0000-0000-000041020000}"/>
    <cellStyle name="Percent 15" xfId="513" xr:uid="{00000000-0005-0000-0000-000042020000}"/>
    <cellStyle name="Percent 16" xfId="514" xr:uid="{00000000-0005-0000-0000-000043020000}"/>
    <cellStyle name="Percent 17" xfId="515" xr:uid="{00000000-0005-0000-0000-000044020000}"/>
    <cellStyle name="Percent 18" xfId="516" xr:uid="{00000000-0005-0000-0000-000045020000}"/>
    <cellStyle name="Percent 19" xfId="517" xr:uid="{00000000-0005-0000-0000-000046020000}"/>
    <cellStyle name="Percent 2" xfId="42" xr:uid="{00000000-0005-0000-0000-000047020000}"/>
    <cellStyle name="Percent 2 2" xfId="518" xr:uid="{00000000-0005-0000-0000-000048020000}"/>
    <cellStyle name="Percent 2 3" xfId="519" xr:uid="{00000000-0005-0000-0000-000049020000}"/>
    <cellStyle name="Percent 20" xfId="520" xr:uid="{00000000-0005-0000-0000-00004A020000}"/>
    <cellStyle name="Percent 21" xfId="521" xr:uid="{00000000-0005-0000-0000-00004B020000}"/>
    <cellStyle name="Percent 22" xfId="522" xr:uid="{00000000-0005-0000-0000-00004C020000}"/>
    <cellStyle name="Percent 23" xfId="523" xr:uid="{00000000-0005-0000-0000-00004D020000}"/>
    <cellStyle name="Percent 24" xfId="524" xr:uid="{00000000-0005-0000-0000-00004E020000}"/>
    <cellStyle name="Percent 25" xfId="525" xr:uid="{00000000-0005-0000-0000-00004F020000}"/>
    <cellStyle name="Percent 26" xfId="526" xr:uid="{00000000-0005-0000-0000-000050020000}"/>
    <cellStyle name="Percent 27" xfId="527" xr:uid="{00000000-0005-0000-0000-000051020000}"/>
    <cellStyle name="Percent 28" xfId="528" xr:uid="{00000000-0005-0000-0000-000052020000}"/>
    <cellStyle name="Percent 29" xfId="529" xr:uid="{00000000-0005-0000-0000-000053020000}"/>
    <cellStyle name="Percent 3" xfId="39" xr:uid="{00000000-0005-0000-0000-000054020000}"/>
    <cellStyle name="Percent 3 2" xfId="530" xr:uid="{00000000-0005-0000-0000-000055020000}"/>
    <cellStyle name="Percent 3 3" xfId="531" xr:uid="{00000000-0005-0000-0000-000056020000}"/>
    <cellStyle name="Percent 3 4" xfId="532" xr:uid="{00000000-0005-0000-0000-000057020000}"/>
    <cellStyle name="Percent 30" xfId="533" xr:uid="{00000000-0005-0000-0000-000058020000}"/>
    <cellStyle name="Percent 31" xfId="534" xr:uid="{00000000-0005-0000-0000-000059020000}"/>
    <cellStyle name="Percent 32" xfId="535" xr:uid="{00000000-0005-0000-0000-00005A020000}"/>
    <cellStyle name="Percent 33" xfId="536" xr:uid="{00000000-0005-0000-0000-00005B020000}"/>
    <cellStyle name="Percent 34" xfId="537" xr:uid="{00000000-0005-0000-0000-00005C020000}"/>
    <cellStyle name="Percent 35" xfId="538" xr:uid="{00000000-0005-0000-0000-00005D020000}"/>
    <cellStyle name="Percent 36" xfId="539" xr:uid="{00000000-0005-0000-0000-00005E020000}"/>
    <cellStyle name="Percent 37" xfId="540" xr:uid="{00000000-0005-0000-0000-00005F020000}"/>
    <cellStyle name="Percent 38" xfId="541" xr:uid="{00000000-0005-0000-0000-000060020000}"/>
    <cellStyle name="Percent 39" xfId="542" xr:uid="{00000000-0005-0000-0000-000061020000}"/>
    <cellStyle name="Percent 4" xfId="543" xr:uid="{00000000-0005-0000-0000-000062020000}"/>
    <cellStyle name="Percent 40" xfId="544" xr:uid="{00000000-0005-0000-0000-000063020000}"/>
    <cellStyle name="Percent 41" xfId="545" xr:uid="{00000000-0005-0000-0000-000064020000}"/>
    <cellStyle name="Percent 42" xfId="546" xr:uid="{00000000-0005-0000-0000-000065020000}"/>
    <cellStyle name="Percent 43" xfId="547" xr:uid="{00000000-0005-0000-0000-000066020000}"/>
    <cellStyle name="Percent 44" xfId="548" xr:uid="{00000000-0005-0000-0000-000067020000}"/>
    <cellStyle name="Percent 45" xfId="549" xr:uid="{00000000-0005-0000-0000-000068020000}"/>
    <cellStyle name="Percent 46" xfId="550" xr:uid="{00000000-0005-0000-0000-000069020000}"/>
    <cellStyle name="Percent 47" xfId="551" xr:uid="{00000000-0005-0000-0000-00006A020000}"/>
    <cellStyle name="Percent 48" xfId="552" xr:uid="{00000000-0005-0000-0000-00006B020000}"/>
    <cellStyle name="Percent 49" xfId="553" xr:uid="{00000000-0005-0000-0000-00006C020000}"/>
    <cellStyle name="Percent 5" xfId="554" xr:uid="{00000000-0005-0000-0000-00006D020000}"/>
    <cellStyle name="Percent 50" xfId="555" xr:uid="{00000000-0005-0000-0000-00006E020000}"/>
    <cellStyle name="Percent 51" xfId="556" xr:uid="{00000000-0005-0000-0000-00006F020000}"/>
    <cellStyle name="Percent 6" xfId="557" xr:uid="{00000000-0005-0000-0000-000070020000}"/>
    <cellStyle name="Percent 7" xfId="558" xr:uid="{00000000-0005-0000-0000-000071020000}"/>
    <cellStyle name="Percent 8" xfId="559" xr:uid="{00000000-0005-0000-0000-000072020000}"/>
    <cellStyle name="Percent 9" xfId="560" xr:uid="{00000000-0005-0000-0000-000073020000}"/>
    <cellStyle name="Postotak 2" xfId="49" xr:uid="{00000000-0005-0000-0000-000074020000}"/>
    <cellStyle name="Postotak 2 2" xfId="658" xr:uid="{6D736049-E4EC-46E0-B45A-DD38B6997C98}"/>
    <cellStyle name="redni brojevi" xfId="563" xr:uid="{00000000-0005-0000-0000-000075020000}"/>
    <cellStyle name="Standard" xfId="564" xr:uid="{00000000-0005-0000-0000-000076020000}"/>
    <cellStyle name="Standard 2" xfId="565" xr:uid="{00000000-0005-0000-0000-000077020000}"/>
    <cellStyle name="Stil 1" xfId="30" xr:uid="{00000000-0005-0000-0000-000078020000}"/>
    <cellStyle name="Stil 1 2" xfId="566" xr:uid="{00000000-0005-0000-0000-000079020000}"/>
    <cellStyle name="Style 1" xfId="9" xr:uid="{00000000-0005-0000-0000-00007A020000}"/>
    <cellStyle name="Style 1 2" xfId="45" xr:uid="{00000000-0005-0000-0000-00007B020000}"/>
    <cellStyle name="Style 1 2 2" xfId="567" xr:uid="{00000000-0005-0000-0000-00007C020000}"/>
    <cellStyle name="Style 1 3" xfId="568" xr:uid="{00000000-0005-0000-0000-00007D020000}"/>
    <cellStyle name="Tekst upozorenja" xfId="31" xr:uid="{00000000-0005-0000-0000-00007E020000}"/>
    <cellStyle name="Tekst upozorenja 2" xfId="570" xr:uid="{00000000-0005-0000-0000-00007F020000}"/>
    <cellStyle name="Title 2" xfId="572" xr:uid="{00000000-0005-0000-0000-000080020000}"/>
    <cellStyle name="Title 3" xfId="571" xr:uid="{00000000-0005-0000-0000-000081020000}"/>
    <cellStyle name="Total 2" xfId="574" xr:uid="{00000000-0005-0000-0000-000082020000}"/>
    <cellStyle name="Total 3" xfId="573" xr:uid="{00000000-0005-0000-0000-000083020000}"/>
    <cellStyle name="Total 4" xfId="575" xr:uid="{00000000-0005-0000-0000-000084020000}"/>
    <cellStyle name="Warning Text 2" xfId="578" xr:uid="{00000000-0005-0000-0000-000085020000}"/>
    <cellStyle name="Warning Text 3" xfId="577" xr:uid="{00000000-0005-0000-0000-000086020000}"/>
    <cellStyle name="wrap" xfId="579" xr:uid="{00000000-0005-0000-0000-000087020000}"/>
    <cellStyle name="zadnja" xfId="580" xr:uid="{00000000-0005-0000-0000-000088020000}"/>
    <cellStyle name="Zarez 2" xfId="46" xr:uid="{00000000-0005-0000-0000-000089020000}"/>
    <cellStyle name="Zarez 2 2" xfId="581" xr:uid="{00000000-0005-0000-0000-00008A020000}"/>
    <cellStyle name="Zarez 2 2 2" xfId="659" xr:uid="{242124BB-FFFB-4DE0-BD3A-A98D7FDBE9AE}"/>
    <cellStyle name="Zarez 2 3" xfId="599" xr:uid="{00000000-0005-0000-0000-00008B020000}"/>
    <cellStyle name="Zarez 3" xfId="47" xr:uid="{00000000-0005-0000-0000-00008C020000}"/>
    <cellStyle name="Zarez 3 2" xfId="582" xr:uid="{00000000-0005-0000-0000-00008D020000}"/>
    <cellStyle name="Zarez 3 3" xfId="600" xr:uid="{00000000-0005-0000-0000-00008E020000}"/>
    <cellStyle name="Zarez 4" xfId="48" xr:uid="{00000000-0005-0000-0000-00008F020000}"/>
    <cellStyle name="Zarez 4 2" xfId="601" xr:uid="{00000000-0005-0000-0000-0000900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244\04-ui_arh\Users\UI-JOSIP\Desktop\Troskovnik_GOR_Stambena%20gra&#273;evina%20S_3_Po+P+3_rev01_gotov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SLOVNICA "/>
      <sheetName val="OPCI UVJETI"/>
      <sheetName val="Pocetak"/>
      <sheetName val="upute"/>
      <sheetName val="Sadržaj"/>
      <sheetName val="Prethodni r."/>
      <sheetName val="Zemljani r."/>
      <sheetName val="Betonski i AB r."/>
      <sheetName val="Zidarski r."/>
      <sheetName val="Limarski r."/>
      <sheetName val="Ravni krov"/>
      <sheetName val="Stolarski r."/>
      <sheetName val="Bravarski r."/>
      <sheetName val="Fasaderski r."/>
      <sheetName val="Gipsarski r."/>
      <sheetName val="Staklarski r."/>
      <sheetName val="Keramičarski r."/>
      <sheetName val="Ličilački r."/>
      <sheetName val="Okoliš i hortikultura"/>
      <sheetName val="Rekapitulacij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B7" t="str">
            <v xml:space="preserve">A. </v>
          </cell>
          <cell r="D7" t="str">
            <v>GRAĐEVINSKI RADOVI</v>
          </cell>
        </row>
        <row r="14">
          <cell r="B14" t="str">
            <v xml:space="preserve">B. </v>
          </cell>
          <cell r="D14" t="str">
            <v>ZANATSKI RADOVI</v>
          </cell>
        </row>
        <row r="26">
          <cell r="B26" t="str">
            <v xml:space="preserve">C. </v>
          </cell>
          <cell r="D26" t="str">
            <v>OKOLIŠ I HORTIKULTURA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rbaneideje.hr/" TargetMode="External"/><Relationship Id="rId1" Type="http://schemas.openxmlformats.org/officeDocument/2006/relationships/hyperlink" Target="mailto:info@urbaneideje.h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C9863-4FE9-42F6-82F3-42ED1C206A2B}">
  <sheetPr>
    <tabColor rgb="FF92D050"/>
    <pageSetUpPr fitToPage="1"/>
  </sheetPr>
  <dimension ref="A2:L60"/>
  <sheetViews>
    <sheetView view="pageBreakPreview" zoomScaleNormal="100" zoomScaleSheetLayoutView="100" workbookViewId="0">
      <selection activeCell="E56" sqref="E56"/>
    </sheetView>
  </sheetViews>
  <sheetFormatPr defaultColWidth="9.140625" defaultRowHeight="14.25"/>
  <cols>
    <col min="1" max="4" width="9.140625" style="90"/>
    <col min="5" max="5" width="9.28515625" style="90" customWidth="1"/>
    <col min="6" max="7" width="9.140625" style="90"/>
    <col min="8" max="8" width="15.140625" style="90" customWidth="1"/>
    <col min="9" max="9" width="10.5703125" style="90" customWidth="1"/>
    <col min="10" max="10" width="9.140625" style="90"/>
    <col min="11" max="11" width="24.7109375" style="90" customWidth="1"/>
    <col min="12" max="12" width="1.140625" style="90" hidden="1" customWidth="1"/>
    <col min="13" max="13" width="17.28515625" style="90" customWidth="1"/>
    <col min="14" max="14" width="5.140625" style="90" customWidth="1"/>
    <col min="15" max="16384" width="9.140625" style="90"/>
  </cols>
  <sheetData>
    <row r="2" spans="2:8">
      <c r="E2" s="196" t="s">
        <v>73</v>
      </c>
      <c r="F2" s="196"/>
      <c r="G2" s="196"/>
      <c r="H2" s="196"/>
    </row>
    <row r="3" spans="2:8">
      <c r="E3" s="195" t="s">
        <v>74</v>
      </c>
      <c r="F3" s="195"/>
      <c r="G3" s="195"/>
      <c r="H3" s="195"/>
    </row>
    <row r="4" spans="2:8">
      <c r="F4" s="93"/>
      <c r="G4" s="91"/>
      <c r="H4" s="91"/>
    </row>
    <row r="5" spans="2:8">
      <c r="F5" s="94" t="s">
        <v>75</v>
      </c>
      <c r="G5" s="197" t="s">
        <v>76</v>
      </c>
      <c r="H5" s="197"/>
    </row>
    <row r="6" spans="2:8">
      <c r="F6" s="94" t="s">
        <v>77</v>
      </c>
      <c r="G6" s="195" t="s">
        <v>78</v>
      </c>
      <c r="H6" s="195"/>
    </row>
    <row r="7" spans="2:8">
      <c r="F7" s="94" t="s">
        <v>79</v>
      </c>
      <c r="G7" s="198" t="s">
        <v>80</v>
      </c>
      <c r="H7" s="199"/>
    </row>
    <row r="8" spans="2:8">
      <c r="F8" s="94" t="s">
        <v>81</v>
      </c>
      <c r="G8" s="199" t="s">
        <v>82</v>
      </c>
      <c r="H8" s="199"/>
    </row>
    <row r="9" spans="2:8">
      <c r="G9" s="91"/>
      <c r="H9" s="91"/>
    </row>
    <row r="12" spans="2:8" ht="25.5">
      <c r="B12" s="200" t="s">
        <v>125</v>
      </c>
      <c r="C12" s="200"/>
      <c r="D12" s="200"/>
      <c r="E12" s="200"/>
      <c r="F12" s="200"/>
      <c r="G12" s="200"/>
      <c r="H12" s="200"/>
    </row>
    <row r="13" spans="2:8" ht="25.5">
      <c r="B13" s="200"/>
      <c r="C13" s="200"/>
      <c r="D13" s="200"/>
      <c r="E13" s="200"/>
      <c r="F13" s="200"/>
      <c r="G13" s="200"/>
      <c r="H13" s="200"/>
    </row>
    <row r="15" spans="2:8" ht="17.25">
      <c r="B15" s="201" t="s">
        <v>83</v>
      </c>
      <c r="C15" s="201"/>
      <c r="D15" s="201"/>
      <c r="E15" s="201"/>
      <c r="F15" s="201"/>
      <c r="G15" s="201"/>
      <c r="H15" s="201"/>
    </row>
    <row r="16" spans="2:8" ht="17.25">
      <c r="D16" s="202" t="s">
        <v>126</v>
      </c>
      <c r="E16" s="202"/>
      <c r="F16" s="202"/>
      <c r="G16" s="202"/>
      <c r="H16" s="202"/>
    </row>
    <row r="18" spans="2:10">
      <c r="B18" s="203" t="s">
        <v>127</v>
      </c>
      <c r="C18" s="203"/>
      <c r="D18" s="203"/>
      <c r="E18" s="203"/>
      <c r="F18" s="203"/>
      <c r="G18" s="203"/>
      <c r="H18" s="203"/>
    </row>
    <row r="21" spans="2:10">
      <c r="J21" s="95"/>
    </row>
    <row r="22" spans="2:10">
      <c r="J22" s="95"/>
    </row>
    <row r="24" spans="2:10">
      <c r="B24" s="195"/>
      <c r="C24" s="195"/>
      <c r="D24" s="195"/>
      <c r="E24" s="195"/>
      <c r="F24" s="195"/>
      <c r="G24" s="195"/>
      <c r="H24" s="195"/>
    </row>
    <row r="25" spans="2:10">
      <c r="D25" s="90" t="s">
        <v>84</v>
      </c>
      <c r="E25" s="196" t="s">
        <v>128</v>
      </c>
      <c r="F25" s="196"/>
      <c r="G25" s="196"/>
      <c r="H25" s="196"/>
    </row>
    <row r="26" spans="2:10">
      <c r="E26" s="195" t="s">
        <v>129</v>
      </c>
      <c r="F26" s="195"/>
      <c r="G26" s="195"/>
      <c r="H26" s="195"/>
    </row>
    <row r="27" spans="2:10">
      <c r="E27" s="91"/>
      <c r="F27" s="91"/>
      <c r="G27" s="91"/>
      <c r="H27" s="92" t="s">
        <v>134</v>
      </c>
    </row>
    <row r="28" spans="2:10">
      <c r="E28" s="91"/>
      <c r="F28" s="91"/>
      <c r="G28" s="91"/>
      <c r="H28" s="92" t="s">
        <v>85</v>
      </c>
    </row>
    <row r="29" spans="2:10">
      <c r="G29" s="195"/>
      <c r="H29" s="195"/>
    </row>
    <row r="30" spans="2:10">
      <c r="B30" s="205"/>
      <c r="C30" s="205"/>
      <c r="D30" s="205"/>
      <c r="E30" s="205"/>
      <c r="F30" s="205"/>
      <c r="G30" s="205"/>
      <c r="H30" s="205"/>
    </row>
    <row r="31" spans="2:10">
      <c r="D31" s="90" t="s">
        <v>86</v>
      </c>
      <c r="F31" s="196" t="s">
        <v>87</v>
      </c>
      <c r="G31" s="196"/>
      <c r="H31" s="196"/>
    </row>
    <row r="32" spans="2:10" ht="74.25" customHeight="1">
      <c r="D32" s="90" t="s">
        <v>88</v>
      </c>
      <c r="F32" s="196" t="s">
        <v>89</v>
      </c>
      <c r="G32" s="196"/>
      <c r="H32" s="196"/>
    </row>
    <row r="34" spans="1:9">
      <c r="D34" s="90" t="s">
        <v>90</v>
      </c>
      <c r="F34" s="206" t="s">
        <v>91</v>
      </c>
      <c r="G34" s="195"/>
      <c r="H34" s="195"/>
    </row>
    <row r="35" spans="1:9">
      <c r="F35" s="92"/>
      <c r="G35" s="92"/>
      <c r="H35" s="92"/>
    </row>
    <row r="36" spans="1:9">
      <c r="D36" s="90" t="s">
        <v>92</v>
      </c>
      <c r="F36" s="196" t="s">
        <v>130</v>
      </c>
      <c r="G36" s="196"/>
      <c r="H36" s="196"/>
    </row>
    <row r="37" spans="1:9">
      <c r="D37" s="207"/>
      <c r="E37" s="207"/>
      <c r="F37" s="207"/>
      <c r="G37" s="207"/>
      <c r="H37" s="207"/>
    </row>
    <row r="38" spans="1:9">
      <c r="D38" s="90" t="s">
        <v>93</v>
      </c>
      <c r="G38" s="204" t="s">
        <v>131</v>
      </c>
      <c r="H38" s="204"/>
    </row>
    <row r="40" spans="1:9">
      <c r="D40" s="90" t="s">
        <v>94</v>
      </c>
      <c r="G40" s="204" t="s">
        <v>132</v>
      </c>
      <c r="H40" s="204"/>
    </row>
    <row r="43" spans="1:9">
      <c r="F43" s="195" t="s">
        <v>133</v>
      </c>
      <c r="G43" s="195"/>
      <c r="H43" s="195"/>
    </row>
    <row r="46" spans="1:9">
      <c r="A46" s="96" t="s">
        <v>95</v>
      </c>
      <c r="B46" s="97"/>
      <c r="C46" s="98"/>
      <c r="D46" s="98"/>
      <c r="E46" s="98"/>
      <c r="F46" s="98"/>
      <c r="G46" s="98"/>
      <c r="H46" s="98"/>
      <c r="I46" s="98"/>
    </row>
    <row r="47" spans="1:9">
      <c r="A47" s="96"/>
      <c r="B47" s="97"/>
      <c r="C47" s="98"/>
      <c r="D47" s="98"/>
      <c r="E47" s="98"/>
      <c r="F47" s="98"/>
      <c r="G47" s="98"/>
      <c r="H47" s="98"/>
      <c r="I47" s="98"/>
    </row>
    <row r="48" spans="1:9" ht="22.5" customHeight="1">
      <c r="A48" s="209" t="s">
        <v>96</v>
      </c>
      <c r="B48" s="209"/>
      <c r="C48" s="209"/>
      <c r="D48" s="209"/>
      <c r="E48" s="209"/>
      <c r="F48" s="209"/>
      <c r="G48" s="209"/>
      <c r="H48" s="209"/>
      <c r="I48" s="209"/>
    </row>
    <row r="49" spans="1:9" ht="12.75" customHeight="1">
      <c r="A49" s="99"/>
      <c r="B49" s="99"/>
      <c r="C49" s="99"/>
      <c r="D49" s="99"/>
      <c r="E49" s="99"/>
      <c r="F49" s="99"/>
      <c r="G49" s="99"/>
      <c r="H49" s="99"/>
      <c r="I49" s="99"/>
    </row>
    <row r="50" spans="1:9" ht="16.5" customHeight="1">
      <c r="A50" s="208" t="s">
        <v>97</v>
      </c>
      <c r="B50" s="208"/>
      <c r="C50" s="208"/>
      <c r="D50" s="208"/>
      <c r="E50" s="208"/>
      <c r="F50" s="208"/>
      <c r="G50" s="208"/>
      <c r="H50" s="208"/>
      <c r="I50" s="208"/>
    </row>
    <row r="51" spans="1:9" ht="16.5" customHeight="1">
      <c r="A51" s="99"/>
      <c r="B51" s="99"/>
      <c r="C51" s="99"/>
      <c r="D51" s="99"/>
      <c r="E51" s="99"/>
      <c r="F51" s="99"/>
      <c r="G51" s="99"/>
      <c r="H51" s="99"/>
      <c r="I51" s="99"/>
    </row>
    <row r="52" spans="1:9" ht="48.75" customHeight="1">
      <c r="A52" s="208" t="s">
        <v>98</v>
      </c>
      <c r="B52" s="208"/>
      <c r="C52" s="208"/>
      <c r="D52" s="208"/>
      <c r="E52" s="208"/>
      <c r="F52" s="208"/>
      <c r="G52" s="208"/>
      <c r="H52" s="208"/>
      <c r="I52" s="208"/>
    </row>
    <row r="53" spans="1:9" ht="47.25" customHeight="1">
      <c r="A53" s="208" t="s">
        <v>99</v>
      </c>
      <c r="B53" s="208"/>
      <c r="C53" s="208"/>
      <c r="D53" s="208"/>
      <c r="E53" s="208"/>
      <c r="F53" s="208"/>
      <c r="G53" s="208"/>
      <c r="H53" s="208"/>
      <c r="I53" s="208"/>
    </row>
    <row r="54" spans="1:9" ht="34.15" customHeight="1">
      <c r="A54" s="208" t="s">
        <v>100</v>
      </c>
      <c r="B54" s="208"/>
      <c r="C54" s="208"/>
      <c r="D54" s="208"/>
      <c r="E54" s="208"/>
      <c r="F54" s="208"/>
      <c r="G54" s="208"/>
      <c r="H54" s="208"/>
      <c r="I54" s="208"/>
    </row>
    <row r="55" spans="1:9">
      <c r="A55" s="208" t="s">
        <v>101</v>
      </c>
      <c r="B55" s="208"/>
      <c r="C55" s="208"/>
      <c r="D55" s="208"/>
      <c r="E55" s="208"/>
      <c r="F55" s="208"/>
      <c r="G55" s="208"/>
      <c r="H55" s="208"/>
      <c r="I55" s="208"/>
    </row>
    <row r="56" spans="1:9" ht="16.5" customHeight="1">
      <c r="A56" s="99"/>
      <c r="B56" s="99"/>
      <c r="C56" s="99"/>
      <c r="D56" s="99"/>
      <c r="E56" s="99"/>
      <c r="F56" s="99"/>
      <c r="G56" s="99"/>
      <c r="H56" s="99"/>
      <c r="I56" s="99"/>
    </row>
    <row r="57" spans="1:9" ht="33" customHeight="1">
      <c r="A57" s="208" t="s">
        <v>102</v>
      </c>
      <c r="B57" s="208"/>
      <c r="C57" s="208"/>
      <c r="D57" s="208"/>
      <c r="E57" s="208"/>
      <c r="F57" s="208"/>
      <c r="G57" s="208"/>
      <c r="H57" s="208"/>
      <c r="I57" s="208"/>
    </row>
    <row r="58" spans="1:9" ht="16.5" customHeight="1">
      <c r="A58" s="99"/>
      <c r="B58" s="99"/>
      <c r="C58" s="99"/>
      <c r="D58" s="99"/>
      <c r="E58" s="99"/>
      <c r="F58" s="99"/>
      <c r="G58" s="99"/>
      <c r="H58" s="99"/>
      <c r="I58" s="99"/>
    </row>
    <row r="59" spans="1:9" ht="47.25" customHeight="1">
      <c r="A59" s="208" t="s">
        <v>149</v>
      </c>
      <c r="B59" s="208"/>
      <c r="C59" s="208"/>
      <c r="D59" s="208"/>
      <c r="E59" s="208"/>
      <c r="F59" s="208"/>
      <c r="G59" s="208"/>
      <c r="H59" s="208"/>
      <c r="I59" s="208"/>
    </row>
    <row r="60" spans="1:9">
      <c r="A60" s="98"/>
      <c r="B60" s="98"/>
      <c r="C60" s="98"/>
      <c r="D60" s="98"/>
      <c r="E60" s="98"/>
      <c r="F60" s="98"/>
      <c r="G60" s="98"/>
      <c r="H60" s="98"/>
      <c r="I60" s="98"/>
    </row>
  </sheetData>
  <mergeCells count="32">
    <mergeCell ref="A55:I55"/>
    <mergeCell ref="A57:I57"/>
    <mergeCell ref="A59:I59"/>
    <mergeCell ref="F43:H43"/>
    <mergeCell ref="A48:I48"/>
    <mergeCell ref="A50:I50"/>
    <mergeCell ref="A52:I52"/>
    <mergeCell ref="A53:I53"/>
    <mergeCell ref="A54:I54"/>
    <mergeCell ref="G40:H40"/>
    <mergeCell ref="E25:H25"/>
    <mergeCell ref="E26:H26"/>
    <mergeCell ref="G29:H29"/>
    <mergeCell ref="B30:H30"/>
    <mergeCell ref="F31:H31"/>
    <mergeCell ref="F32:H32"/>
    <mergeCell ref="F34:H34"/>
    <mergeCell ref="F36:H36"/>
    <mergeCell ref="D37:H37"/>
    <mergeCell ref="G38:H38"/>
    <mergeCell ref="B24:H24"/>
    <mergeCell ref="E2:H2"/>
    <mergeCell ref="E3:H3"/>
    <mergeCell ref="G5:H5"/>
    <mergeCell ref="G6:H6"/>
    <mergeCell ref="G7:H7"/>
    <mergeCell ref="G8:H8"/>
    <mergeCell ref="B12:H12"/>
    <mergeCell ref="B13:H13"/>
    <mergeCell ref="B15:H15"/>
    <mergeCell ref="D16:H16"/>
    <mergeCell ref="B18:H18"/>
  </mergeCells>
  <hyperlinks>
    <hyperlink ref="G7" r:id="rId1" xr:uid="{94C566A8-75C5-41F2-88A2-5F5031165325}"/>
    <hyperlink ref="G8" r:id="rId2" xr:uid="{81965AE8-9774-4BFC-BB74-0A3AC5C675D7}"/>
  </hyperlinks>
  <pageMargins left="0.70866141732283472" right="0.70866141732283472" top="0.74803149606299213" bottom="0.74803149606299213" header="0.31496062992125984" footer="0.31496062992125984"/>
  <pageSetup paperSize="9" scale="99" fitToHeight="0" orientation="portrait" r:id="rId3"/>
  <headerFooter>
    <oddHeader>&amp;C&amp;"Segoe UI,Bold"&amp;9VIŠESTAMBENA ZGRADA
&amp;"Segoe UI,Regular"TROŠKOVNIK G.O.R.</oddHeader>
    <oddFooter>&amp;L&amp;"Segoe UI,Regular"&amp;8Izradio:
&amp;"Segoe UI,Bold"Urbane ideje d.o.o.
Samobor&amp;C&amp;"Segoe UI,Bold"&amp;8
&amp;"Arial,Regular"&amp;10
&amp;R&amp;"Segoe UI,Regular"&amp;8Investitor:
&amp;"Segoe UI,Bold"PLIMA PROJEKTI d.o.o.
&amp;"Segoe UI,Regular"OIB: 76934770405</oddFooter>
  </headerFooter>
  <rowBreaks count="1" manualBreakCount="1">
    <brk id="45"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9052-50F9-4752-8AA4-EF746D94195E}">
  <sheetPr>
    <tabColor rgb="FF92D050"/>
    <pageSetUpPr fitToPage="1"/>
  </sheetPr>
  <dimension ref="A1:L143"/>
  <sheetViews>
    <sheetView view="pageBreakPreview" zoomScaleNormal="100" zoomScaleSheetLayoutView="100" workbookViewId="0">
      <selection activeCell="A20" sqref="A20:L20"/>
    </sheetView>
  </sheetViews>
  <sheetFormatPr defaultColWidth="8.85546875" defaultRowHeight="12"/>
  <cols>
    <col min="1" max="11" width="8.85546875" style="101"/>
    <col min="12" max="12" width="8.7109375" style="101" customWidth="1"/>
    <col min="13" max="16384" width="8.85546875" style="101"/>
  </cols>
  <sheetData>
    <row r="1" spans="1:12">
      <c r="A1" s="100"/>
      <c r="B1" s="100"/>
      <c r="C1" s="100"/>
      <c r="D1" s="100"/>
      <c r="E1" s="100"/>
      <c r="F1" s="100"/>
      <c r="G1" s="100"/>
      <c r="H1" s="100"/>
      <c r="I1" s="100"/>
      <c r="J1" s="100"/>
      <c r="K1" s="100"/>
      <c r="L1" s="100"/>
    </row>
    <row r="2" spans="1:12" ht="17.25">
      <c r="A2" s="102" t="s">
        <v>103</v>
      </c>
      <c r="B2" s="100"/>
      <c r="C2" s="100"/>
      <c r="D2" s="100"/>
      <c r="E2" s="100"/>
      <c r="F2" s="100"/>
      <c r="G2" s="100"/>
      <c r="H2" s="100"/>
      <c r="I2" s="100"/>
      <c r="J2" s="100"/>
      <c r="K2" s="100"/>
      <c r="L2" s="100"/>
    </row>
    <row r="3" spans="1:12">
      <c r="A3" s="100"/>
      <c r="B3" s="100"/>
      <c r="C3" s="100"/>
      <c r="D3" s="100"/>
      <c r="E3" s="100"/>
      <c r="F3" s="100"/>
      <c r="G3" s="100"/>
      <c r="H3" s="100"/>
      <c r="I3" s="100"/>
      <c r="J3" s="100"/>
      <c r="K3" s="100"/>
      <c r="L3" s="100"/>
    </row>
    <row r="4" spans="1:12">
      <c r="A4" s="103" t="s">
        <v>104</v>
      </c>
      <c r="B4" s="100"/>
      <c r="C4" s="100"/>
      <c r="D4" s="100"/>
      <c r="E4" s="100"/>
      <c r="F4" s="100"/>
      <c r="G4" s="100"/>
      <c r="H4" s="100"/>
      <c r="I4" s="100"/>
      <c r="J4" s="100"/>
      <c r="K4" s="100"/>
      <c r="L4" s="100"/>
    </row>
    <row r="5" spans="1:12">
      <c r="A5" s="103"/>
      <c r="B5" s="100"/>
      <c r="C5" s="100"/>
      <c r="D5" s="100"/>
      <c r="E5" s="100"/>
      <c r="F5" s="100"/>
      <c r="G5" s="100"/>
      <c r="H5" s="100"/>
      <c r="I5" s="100"/>
      <c r="J5" s="100"/>
      <c r="K5" s="100"/>
      <c r="L5" s="100"/>
    </row>
    <row r="6" spans="1:12" ht="103.9" customHeight="1">
      <c r="A6" s="210" t="s">
        <v>105</v>
      </c>
      <c r="B6" s="210"/>
      <c r="C6" s="210"/>
      <c r="D6" s="210"/>
      <c r="E6" s="210"/>
      <c r="F6" s="210"/>
      <c r="G6" s="210"/>
      <c r="H6" s="210"/>
      <c r="I6" s="210"/>
      <c r="J6" s="210"/>
      <c r="K6" s="210"/>
      <c r="L6" s="210"/>
    </row>
    <row r="7" spans="1:12">
      <c r="A7" s="103"/>
      <c r="B7" s="100"/>
      <c r="C7" s="100"/>
      <c r="D7" s="100"/>
      <c r="E7" s="100"/>
      <c r="F7" s="100"/>
      <c r="G7" s="100"/>
      <c r="H7" s="100"/>
      <c r="I7" s="100"/>
      <c r="J7" s="100"/>
      <c r="K7" s="100"/>
      <c r="L7" s="100"/>
    </row>
    <row r="8" spans="1:12" ht="132" customHeight="1">
      <c r="A8" s="210" t="s">
        <v>106</v>
      </c>
      <c r="B8" s="211"/>
      <c r="C8" s="211"/>
      <c r="D8" s="211"/>
      <c r="E8" s="211"/>
      <c r="F8" s="211"/>
      <c r="G8" s="211"/>
      <c r="H8" s="211"/>
      <c r="I8" s="211"/>
      <c r="J8" s="211"/>
      <c r="K8" s="211"/>
      <c r="L8" s="211"/>
    </row>
    <row r="9" spans="1:12" ht="16.5" customHeight="1">
      <c r="A9" s="103"/>
      <c r="B9" s="100"/>
      <c r="C9" s="100"/>
      <c r="D9" s="100"/>
      <c r="E9" s="100"/>
      <c r="F9" s="100"/>
      <c r="G9" s="100"/>
      <c r="H9" s="100"/>
      <c r="I9" s="100"/>
      <c r="J9" s="100"/>
      <c r="K9" s="100"/>
      <c r="L9" s="100"/>
    </row>
    <row r="10" spans="1:12" s="105" customFormat="1" ht="143.44999999999999" customHeight="1">
      <c r="A10" s="210" t="s">
        <v>107</v>
      </c>
      <c r="B10" s="210"/>
      <c r="C10" s="210"/>
      <c r="D10" s="210"/>
      <c r="E10" s="210"/>
      <c r="F10" s="210"/>
      <c r="G10" s="210"/>
      <c r="H10" s="210"/>
      <c r="I10" s="210"/>
      <c r="J10" s="210"/>
      <c r="K10" s="210"/>
      <c r="L10" s="210"/>
    </row>
    <row r="11" spans="1:12" s="105" customFormat="1" ht="15" customHeight="1">
      <c r="A11" s="104"/>
      <c r="B11" s="104"/>
      <c r="C11" s="104"/>
      <c r="D11" s="104"/>
      <c r="E11" s="104"/>
      <c r="F11" s="104"/>
      <c r="G11" s="104"/>
      <c r="H11" s="104"/>
      <c r="I11" s="104"/>
      <c r="J11" s="104"/>
      <c r="K11" s="104"/>
      <c r="L11" s="104"/>
    </row>
    <row r="12" spans="1:12" s="105" customFormat="1" ht="63.6" customHeight="1">
      <c r="A12" s="210" t="s">
        <v>108</v>
      </c>
      <c r="B12" s="210"/>
      <c r="C12" s="210"/>
      <c r="D12" s="210"/>
      <c r="E12" s="210"/>
      <c r="F12" s="210"/>
      <c r="G12" s="210"/>
      <c r="H12" s="210"/>
      <c r="I12" s="210"/>
      <c r="J12" s="210"/>
      <c r="K12" s="210"/>
      <c r="L12" s="210"/>
    </row>
    <row r="13" spans="1:12">
      <c r="A13" s="103"/>
      <c r="B13" s="100"/>
      <c r="C13" s="100"/>
      <c r="D13" s="100"/>
      <c r="E13" s="100"/>
      <c r="F13" s="100"/>
      <c r="G13" s="100"/>
      <c r="H13" s="100"/>
      <c r="I13" s="100"/>
      <c r="J13" s="100"/>
      <c r="K13" s="100"/>
      <c r="L13" s="100"/>
    </row>
    <row r="14" spans="1:12" ht="17.25" customHeight="1">
      <c r="A14" s="210" t="s">
        <v>109</v>
      </c>
      <c r="B14" s="210"/>
      <c r="C14" s="210"/>
      <c r="D14" s="210"/>
      <c r="E14" s="210"/>
      <c r="F14" s="210"/>
      <c r="G14" s="210"/>
      <c r="H14" s="210"/>
      <c r="I14" s="210"/>
      <c r="J14" s="210"/>
      <c r="K14" s="210"/>
      <c r="L14" s="210"/>
    </row>
    <row r="15" spans="1:12">
      <c r="A15" s="103"/>
      <c r="B15" s="100"/>
      <c r="C15" s="100"/>
      <c r="D15" s="100"/>
      <c r="E15" s="100"/>
      <c r="F15" s="100"/>
      <c r="G15" s="100"/>
      <c r="H15" s="100"/>
      <c r="I15" s="100"/>
      <c r="J15" s="100"/>
      <c r="K15" s="100"/>
      <c r="L15" s="100"/>
    </row>
    <row r="16" spans="1:12" ht="49.15" customHeight="1">
      <c r="A16" s="210" t="s">
        <v>110</v>
      </c>
      <c r="B16" s="210"/>
      <c r="C16" s="210"/>
      <c r="D16" s="210"/>
      <c r="E16" s="210"/>
      <c r="F16" s="210"/>
      <c r="G16" s="210"/>
      <c r="H16" s="210"/>
      <c r="I16" s="210"/>
      <c r="J16" s="210"/>
      <c r="K16" s="210"/>
      <c r="L16" s="210"/>
    </row>
    <row r="17" spans="1:12">
      <c r="A17" s="103"/>
      <c r="B17" s="100"/>
      <c r="C17" s="100"/>
      <c r="D17" s="100"/>
      <c r="E17" s="100"/>
      <c r="F17" s="100"/>
      <c r="G17" s="100"/>
      <c r="H17" s="100"/>
      <c r="I17" s="100"/>
      <c r="J17" s="100"/>
      <c r="K17" s="100"/>
      <c r="L17" s="100"/>
    </row>
    <row r="18" spans="1:12" ht="72.599999999999994" customHeight="1">
      <c r="A18" s="210" t="s">
        <v>111</v>
      </c>
      <c r="B18" s="211"/>
      <c r="C18" s="211"/>
      <c r="D18" s="211"/>
      <c r="E18" s="211"/>
      <c r="F18" s="211"/>
      <c r="G18" s="211"/>
      <c r="H18" s="211"/>
      <c r="I18" s="211"/>
      <c r="J18" s="211"/>
      <c r="K18" s="211"/>
      <c r="L18" s="211"/>
    </row>
    <row r="19" spans="1:12">
      <c r="A19" s="103"/>
      <c r="B19" s="100"/>
      <c r="C19" s="100"/>
      <c r="D19" s="100"/>
      <c r="E19" s="100"/>
      <c r="F19" s="100"/>
      <c r="G19" s="100"/>
      <c r="H19" s="100"/>
      <c r="I19" s="100"/>
      <c r="J19" s="100"/>
      <c r="K19" s="100"/>
      <c r="L19" s="100"/>
    </row>
    <row r="20" spans="1:12" ht="61.9" customHeight="1">
      <c r="A20" s="210" t="s">
        <v>112</v>
      </c>
      <c r="B20" s="212"/>
      <c r="C20" s="212"/>
      <c r="D20" s="212"/>
      <c r="E20" s="212"/>
      <c r="F20" s="212"/>
      <c r="G20" s="212"/>
      <c r="H20" s="212"/>
      <c r="I20" s="212"/>
      <c r="J20" s="212"/>
      <c r="K20" s="212"/>
      <c r="L20" s="212"/>
    </row>
    <row r="21" spans="1:12">
      <c r="A21" s="103"/>
      <c r="B21" s="100"/>
      <c r="C21" s="100"/>
      <c r="D21" s="100"/>
      <c r="E21" s="100"/>
      <c r="F21" s="100"/>
      <c r="G21" s="100"/>
      <c r="H21" s="100"/>
      <c r="I21" s="100"/>
      <c r="J21" s="100"/>
      <c r="K21" s="100"/>
      <c r="L21" s="100"/>
    </row>
    <row r="22" spans="1:12" ht="64.150000000000006" customHeight="1">
      <c r="A22" s="210" t="s">
        <v>113</v>
      </c>
      <c r="B22" s="212"/>
      <c r="C22" s="212"/>
      <c r="D22" s="212"/>
      <c r="E22" s="212"/>
      <c r="F22" s="212"/>
      <c r="G22" s="212"/>
      <c r="H22" s="212"/>
      <c r="I22" s="212"/>
      <c r="J22" s="212"/>
      <c r="K22" s="212"/>
      <c r="L22" s="212"/>
    </row>
    <row r="23" spans="1:12">
      <c r="A23" s="103"/>
      <c r="B23" s="100"/>
      <c r="C23" s="100"/>
      <c r="D23" s="100"/>
      <c r="E23" s="100"/>
      <c r="F23" s="100"/>
      <c r="G23" s="100"/>
      <c r="H23" s="100"/>
      <c r="I23" s="100"/>
      <c r="J23" s="100"/>
      <c r="K23" s="100"/>
      <c r="L23" s="100"/>
    </row>
    <row r="24" spans="1:12" ht="34.15" customHeight="1">
      <c r="A24" s="210" t="s">
        <v>114</v>
      </c>
      <c r="B24" s="212"/>
      <c r="C24" s="212"/>
      <c r="D24" s="212"/>
      <c r="E24" s="212"/>
      <c r="F24" s="212"/>
      <c r="G24" s="212"/>
      <c r="H24" s="212"/>
      <c r="I24" s="212"/>
      <c r="J24" s="212"/>
      <c r="K24" s="212"/>
      <c r="L24" s="212"/>
    </row>
    <row r="25" spans="1:12" ht="12.75" customHeight="1">
      <c r="A25" s="104"/>
      <c r="B25" s="106"/>
      <c r="C25" s="106"/>
      <c r="D25" s="106"/>
      <c r="E25" s="106"/>
      <c r="F25" s="106"/>
      <c r="G25" s="106"/>
      <c r="H25" s="106"/>
      <c r="I25" s="106"/>
      <c r="J25" s="106"/>
      <c r="K25" s="106"/>
      <c r="L25" s="106"/>
    </row>
    <row r="26" spans="1:12" ht="30.75" customHeight="1">
      <c r="A26" s="210" t="s">
        <v>115</v>
      </c>
      <c r="B26" s="210"/>
      <c r="C26" s="210"/>
      <c r="D26" s="210"/>
      <c r="E26" s="210"/>
      <c r="F26" s="210"/>
      <c r="G26" s="210"/>
      <c r="H26" s="210"/>
      <c r="I26" s="210"/>
      <c r="J26" s="210"/>
      <c r="K26" s="210"/>
      <c r="L26" s="210"/>
    </row>
    <row r="27" spans="1:12">
      <c r="A27" s="103"/>
      <c r="B27" s="100"/>
      <c r="C27" s="100"/>
      <c r="D27" s="100"/>
      <c r="E27" s="100"/>
      <c r="F27" s="100"/>
      <c r="G27" s="100"/>
      <c r="H27" s="100"/>
      <c r="I27" s="100"/>
      <c r="J27" s="100"/>
      <c r="K27" s="100"/>
      <c r="L27" s="100"/>
    </row>
    <row r="28" spans="1:12" ht="46.9" customHeight="1">
      <c r="A28" s="210" t="s">
        <v>116</v>
      </c>
      <c r="B28" s="212"/>
      <c r="C28" s="212"/>
      <c r="D28" s="212"/>
      <c r="E28" s="212"/>
      <c r="F28" s="212"/>
      <c r="G28" s="212"/>
      <c r="H28" s="212"/>
      <c r="I28" s="212"/>
      <c r="J28" s="212"/>
      <c r="K28" s="212"/>
      <c r="L28" s="212"/>
    </row>
    <row r="29" spans="1:12">
      <c r="A29" s="103"/>
      <c r="B29" s="100"/>
      <c r="C29" s="100"/>
      <c r="D29" s="100"/>
      <c r="E29" s="100"/>
      <c r="F29" s="100"/>
      <c r="G29" s="100"/>
      <c r="H29" s="100"/>
      <c r="I29" s="100"/>
      <c r="J29" s="100"/>
      <c r="K29" s="100"/>
      <c r="L29" s="100"/>
    </row>
    <row r="30" spans="1:12" ht="49.15" customHeight="1">
      <c r="A30" s="210" t="s">
        <v>117</v>
      </c>
      <c r="B30" s="212"/>
      <c r="C30" s="212"/>
      <c r="D30" s="212"/>
      <c r="E30" s="212"/>
      <c r="F30" s="212"/>
      <c r="G30" s="212"/>
      <c r="H30" s="212"/>
      <c r="I30" s="212"/>
      <c r="J30" s="212"/>
      <c r="K30" s="212"/>
      <c r="L30" s="212"/>
    </row>
    <row r="31" spans="1:12">
      <c r="A31" s="103"/>
      <c r="B31" s="100"/>
      <c r="C31" s="100"/>
      <c r="D31" s="100"/>
      <c r="E31" s="100"/>
      <c r="F31" s="100"/>
      <c r="G31" s="100"/>
      <c r="H31" s="100"/>
      <c r="I31" s="100"/>
      <c r="J31" s="100"/>
      <c r="K31" s="100"/>
      <c r="L31" s="100"/>
    </row>
    <row r="32" spans="1:12" ht="115.5" customHeight="1">
      <c r="A32" s="210" t="s">
        <v>135</v>
      </c>
      <c r="B32" s="212"/>
      <c r="C32" s="212"/>
      <c r="D32" s="212"/>
      <c r="E32" s="212"/>
      <c r="F32" s="212"/>
      <c r="G32" s="212"/>
      <c r="H32" s="212"/>
      <c r="I32" s="212"/>
      <c r="J32" s="212"/>
      <c r="K32" s="212"/>
      <c r="L32" s="212"/>
    </row>
    <row r="33" spans="1:1">
      <c r="A33" s="107"/>
    </row>
    <row r="34" spans="1:1">
      <c r="A34" s="107"/>
    </row>
    <row r="35" spans="1:1">
      <c r="A35" s="107"/>
    </row>
    <row r="36" spans="1:1">
      <c r="A36" s="107"/>
    </row>
    <row r="49" spans="1:1">
      <c r="A49" s="107"/>
    </row>
    <row r="65" spans="1:1">
      <c r="A65" s="107"/>
    </row>
    <row r="97" spans="1:1">
      <c r="A97" s="107"/>
    </row>
    <row r="103" spans="1:1" s="108" customFormat="1"/>
    <row r="105" spans="1:1">
      <c r="A105" s="107"/>
    </row>
    <row r="112" spans="1:1" s="108" customFormat="1"/>
    <row r="114" spans="1:4">
      <c r="A114" s="107"/>
      <c r="B114" s="107"/>
      <c r="C114" s="107"/>
      <c r="D114" s="107"/>
    </row>
    <row r="121" spans="1:4">
      <c r="A121" s="107"/>
      <c r="B121" s="107"/>
      <c r="C121" s="107"/>
      <c r="D121" s="107"/>
    </row>
    <row r="127" spans="1:4">
      <c r="A127" s="107"/>
    </row>
    <row r="143" s="109" customFormat="1"/>
  </sheetData>
  <mergeCells count="14">
    <mergeCell ref="A30:L30"/>
    <mergeCell ref="A32:L32"/>
    <mergeCell ref="A18:L18"/>
    <mergeCell ref="A20:L20"/>
    <mergeCell ref="A22:L22"/>
    <mergeCell ref="A24:L24"/>
    <mergeCell ref="A26:L26"/>
    <mergeCell ref="A28:L28"/>
    <mergeCell ref="A16:L16"/>
    <mergeCell ref="A6:L6"/>
    <mergeCell ref="A8:L8"/>
    <mergeCell ref="A10:L10"/>
    <mergeCell ref="A12:L12"/>
    <mergeCell ref="A14:L14"/>
  </mergeCells>
  <pageMargins left="0.70866141732283472" right="0.70866141732283472" top="0.74803149606299213" bottom="0.74803149606299213" header="0.31496062992125984" footer="0.31496062992125984"/>
  <pageSetup paperSize="9" scale="84" fitToHeight="0" orientation="portrait" r:id="rId1"/>
  <headerFooter>
    <oddHeader>&amp;C&amp;"Segoe UI,Bold"&amp;9VIŠESTAMBENA ZGRADA
&amp;"Segoe UI,Regular"TROŠKOVNIK G.O.R.</oddHeader>
    <oddFooter>&amp;L&amp;"Segoe UI,Regular"&amp;8Izradio:
&amp;"Segoe UI,Bold"Urbane ideje d.o.o.
Samobor&amp;C&amp;"Segoe UI,Bold"&amp;8
&amp;"Arial,Regular"&amp;10
&amp;R&amp;"Segoe UI,Regular"&amp;8Investitor:
&amp;"Segoe UI,Bold"PLIMA PROJEKTI d.o.o.&amp;"Segoe UI,Regular"
OIB: 76934770405</oddFooter>
  </headerFooter>
  <rowBreaks count="3" manualBreakCount="3">
    <brk id="19" max="11" man="1"/>
    <brk id="35" max="11" man="1"/>
    <brk id="104"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0651-76F6-4996-8F3F-F786543E7783}">
  <sheetPr>
    <tabColor rgb="FF92D050"/>
  </sheetPr>
  <dimension ref="A1:I40"/>
  <sheetViews>
    <sheetView view="pageBreakPreview" zoomScaleNormal="100" zoomScaleSheetLayoutView="100" workbookViewId="0">
      <selection activeCell="D24" sqref="D24"/>
    </sheetView>
  </sheetViews>
  <sheetFormatPr defaultRowHeight="12.75"/>
  <cols>
    <col min="1" max="1" width="3.7109375" style="85" customWidth="1"/>
    <col min="2" max="2" width="3.42578125" style="85" bestFit="1" customWidth="1"/>
    <col min="3" max="3" width="4.140625" style="85" bestFit="1" customWidth="1"/>
    <col min="4" max="4" width="46" style="85" customWidth="1"/>
    <col min="5" max="5" width="9.140625" style="85"/>
    <col min="6" max="6" width="25.42578125" style="85" customWidth="1"/>
    <col min="7" max="7" width="24.140625" style="85" customWidth="1"/>
    <col min="8" max="8" width="35.7109375" style="89" bestFit="1" customWidth="1"/>
    <col min="9" max="9" width="16.42578125" style="85" bestFit="1" customWidth="1"/>
    <col min="10" max="16384" width="9.140625" style="85"/>
  </cols>
  <sheetData>
    <row r="1" spans="1:9" ht="15.75" thickTop="1" thickBot="1">
      <c r="A1" s="88"/>
      <c r="B1" s="88"/>
      <c r="C1" s="88"/>
      <c r="D1" s="110" t="s">
        <v>11</v>
      </c>
      <c r="E1" s="88"/>
      <c r="F1" s="83"/>
      <c r="G1" s="11" t="s">
        <v>3</v>
      </c>
      <c r="H1" s="22" t="s">
        <v>4</v>
      </c>
      <c r="I1" s="83"/>
    </row>
    <row r="2" spans="1:9" ht="15.75" thickTop="1" thickBot="1">
      <c r="A2" s="88"/>
      <c r="B2" s="111"/>
      <c r="C2" s="111"/>
      <c r="D2" s="88"/>
      <c r="E2" s="88"/>
    </row>
    <row r="3" spans="1:9" s="115" customFormat="1" ht="18.75" thickTop="1" thickBot="1">
      <c r="A3" s="112"/>
      <c r="B3" s="213" t="s">
        <v>5</v>
      </c>
      <c r="C3" s="214"/>
      <c r="D3" s="112"/>
      <c r="E3" s="114"/>
      <c r="F3" s="11" t="s">
        <v>13</v>
      </c>
      <c r="G3" s="11" t="s">
        <v>11</v>
      </c>
      <c r="H3" s="9" t="s">
        <v>12</v>
      </c>
    </row>
    <row r="4" spans="1:9" s="115" customFormat="1" ht="18.75" thickTop="1" thickBot="1">
      <c r="A4" s="112"/>
      <c r="B4" s="113"/>
      <c r="C4" s="84"/>
      <c r="D4" s="112"/>
      <c r="E4" s="114"/>
      <c r="F4" s="85"/>
      <c r="G4" s="85"/>
      <c r="H4" s="22" t="s">
        <v>0</v>
      </c>
    </row>
    <row r="5" spans="1:9" ht="29.25" thickTop="1">
      <c r="A5" s="88"/>
      <c r="B5" s="116" t="s">
        <v>19</v>
      </c>
      <c r="C5" s="116"/>
      <c r="D5" s="116" t="s">
        <v>41</v>
      </c>
      <c r="E5" s="88"/>
      <c r="H5" s="85"/>
    </row>
    <row r="6" spans="1:9" ht="14.25">
      <c r="A6" s="88"/>
      <c r="B6" s="88"/>
      <c r="C6" s="88"/>
      <c r="D6" s="86"/>
      <c r="E6" s="88"/>
      <c r="H6" s="117"/>
    </row>
    <row r="7" spans="1:9" s="118" customFormat="1" ht="14.25">
      <c r="A7" s="111"/>
      <c r="B7" s="86" t="str">
        <f>[1]Rekapitulacija!B7</f>
        <v xml:space="preserve">A. </v>
      </c>
      <c r="C7" s="86"/>
      <c r="D7" s="86" t="str">
        <f>[1]Rekapitulacija!D7</f>
        <v>GRAĐEVINSKI RADOVI</v>
      </c>
      <c r="E7" s="111"/>
      <c r="F7" s="85"/>
      <c r="G7" s="85"/>
      <c r="H7" s="89"/>
      <c r="I7" s="85"/>
    </row>
    <row r="8" spans="1:9" ht="15" customHeight="1">
      <c r="A8" s="88"/>
      <c r="B8" s="88" t="s">
        <v>50</v>
      </c>
      <c r="C8" s="88" t="s">
        <v>56</v>
      </c>
      <c r="D8" s="88" t="s">
        <v>17</v>
      </c>
      <c r="E8" s="88"/>
      <c r="H8" s="25" t="s">
        <v>18</v>
      </c>
    </row>
    <row r="9" spans="1:9" ht="15" customHeight="1">
      <c r="A9" s="88"/>
      <c r="B9" s="88" t="s">
        <v>50</v>
      </c>
      <c r="C9" s="88" t="s">
        <v>57</v>
      </c>
      <c r="D9" s="88" t="s">
        <v>22</v>
      </c>
      <c r="E9" s="88"/>
      <c r="H9" s="12" t="s">
        <v>22</v>
      </c>
    </row>
    <row r="10" spans="1:9" ht="15" customHeight="1">
      <c r="A10" s="88"/>
      <c r="B10" s="88" t="s">
        <v>50</v>
      </c>
      <c r="C10" s="88" t="s">
        <v>55</v>
      </c>
      <c r="D10" s="88" t="s">
        <v>23</v>
      </c>
      <c r="E10" s="88"/>
      <c r="H10" s="12" t="s">
        <v>37</v>
      </c>
    </row>
    <row r="11" spans="1:9" ht="15" customHeight="1">
      <c r="A11" s="88"/>
      <c r="B11" s="88" t="s">
        <v>50</v>
      </c>
      <c r="C11" s="88" t="s">
        <v>53</v>
      </c>
      <c r="D11" s="88" t="s">
        <v>24</v>
      </c>
      <c r="E11" s="88"/>
      <c r="H11" s="25" t="s">
        <v>16</v>
      </c>
    </row>
    <row r="12" spans="1:9" ht="15" customHeight="1">
      <c r="A12" s="88"/>
      <c r="B12" s="88"/>
      <c r="C12" s="88"/>
      <c r="D12" s="88"/>
      <c r="E12" s="88"/>
      <c r="H12" s="119"/>
    </row>
    <row r="13" spans="1:9" s="118" customFormat="1" ht="14.25">
      <c r="A13" s="111"/>
      <c r="B13" s="86" t="str">
        <f>[1]Rekapitulacija!B14</f>
        <v xml:space="preserve">B. </v>
      </c>
      <c r="C13" s="86"/>
      <c r="D13" s="86" t="str">
        <f>[1]Rekapitulacija!D14</f>
        <v>ZANATSKI RADOVI</v>
      </c>
      <c r="E13" s="111"/>
      <c r="F13" s="89"/>
      <c r="G13" s="89"/>
      <c r="H13" s="120"/>
      <c r="I13" s="89"/>
    </row>
    <row r="14" spans="1:9" s="118" customFormat="1" ht="14.25">
      <c r="A14" s="111"/>
      <c r="B14" s="57" t="s">
        <v>25</v>
      </c>
      <c r="C14" s="44" t="s">
        <v>36</v>
      </c>
      <c r="D14" s="44" t="s">
        <v>143</v>
      </c>
      <c r="E14" s="111"/>
      <c r="F14" s="89"/>
      <c r="G14" s="89"/>
      <c r="H14" s="119"/>
      <c r="I14" s="89"/>
    </row>
    <row r="15" spans="1:9" ht="15" customHeight="1">
      <c r="A15" s="88"/>
      <c r="B15" s="57" t="s">
        <v>25</v>
      </c>
      <c r="C15" s="44" t="s">
        <v>35</v>
      </c>
      <c r="D15" s="44" t="s">
        <v>26</v>
      </c>
      <c r="E15" s="88"/>
      <c r="F15" s="89"/>
      <c r="G15" s="89"/>
      <c r="H15" s="12" t="s">
        <v>26</v>
      </c>
      <c r="I15" s="89"/>
    </row>
    <row r="16" spans="1:9" ht="15" customHeight="1">
      <c r="A16" s="88"/>
      <c r="B16" s="57" t="s">
        <v>25</v>
      </c>
      <c r="C16" s="82" t="s">
        <v>34</v>
      </c>
      <c r="D16" s="155" t="s">
        <v>144</v>
      </c>
      <c r="E16" s="88"/>
      <c r="H16" s="12"/>
    </row>
    <row r="17" spans="1:9" ht="15" customHeight="1">
      <c r="A17" s="88"/>
      <c r="B17" s="57" t="s">
        <v>25</v>
      </c>
      <c r="C17" s="44" t="s">
        <v>33</v>
      </c>
      <c r="D17" s="44" t="s">
        <v>27</v>
      </c>
      <c r="E17" s="88"/>
      <c r="H17" s="12" t="s">
        <v>28</v>
      </c>
    </row>
    <row r="18" spans="1:9" ht="15" customHeight="1">
      <c r="A18" s="88"/>
      <c r="B18" s="57" t="s">
        <v>25</v>
      </c>
      <c r="C18" s="44" t="s">
        <v>136</v>
      </c>
      <c r="D18" s="44" t="s">
        <v>148</v>
      </c>
      <c r="E18" s="88"/>
      <c r="H18" s="12" t="s">
        <v>29</v>
      </c>
    </row>
    <row r="19" spans="1:9" ht="15" customHeight="1">
      <c r="A19" s="88"/>
      <c r="B19" s="57" t="s">
        <v>25</v>
      </c>
      <c r="C19" s="44" t="s">
        <v>145</v>
      </c>
      <c r="D19" s="44" t="s">
        <v>51</v>
      </c>
      <c r="E19" s="88"/>
      <c r="H19" s="12" t="s">
        <v>1</v>
      </c>
    </row>
    <row r="20" spans="1:9" ht="15" customHeight="1">
      <c r="A20" s="88"/>
      <c r="B20" s="57" t="s">
        <v>25</v>
      </c>
      <c r="C20" s="44" t="s">
        <v>137</v>
      </c>
      <c r="D20" s="44" t="s">
        <v>54</v>
      </c>
      <c r="E20" s="88"/>
      <c r="H20" s="12" t="s">
        <v>30</v>
      </c>
    </row>
    <row r="21" spans="1:9" ht="15" customHeight="1">
      <c r="A21" s="88"/>
      <c r="B21" s="57" t="s">
        <v>25</v>
      </c>
      <c r="C21" s="44" t="s">
        <v>141</v>
      </c>
      <c r="D21" s="44" t="s">
        <v>147</v>
      </c>
      <c r="E21" s="88"/>
      <c r="H21" s="12"/>
    </row>
    <row r="22" spans="1:9" ht="15" customHeight="1">
      <c r="A22" s="88"/>
      <c r="B22" s="57" t="s">
        <v>25</v>
      </c>
      <c r="C22" s="44" t="s">
        <v>142</v>
      </c>
      <c r="D22" s="44" t="s">
        <v>15</v>
      </c>
      <c r="E22" s="88"/>
      <c r="H22" s="12" t="s">
        <v>31</v>
      </c>
    </row>
    <row r="23" spans="1:9" ht="15" customHeight="1">
      <c r="A23" s="88"/>
      <c r="B23" s="57" t="s">
        <v>25</v>
      </c>
      <c r="C23" s="44" t="s">
        <v>146</v>
      </c>
      <c r="D23" s="44" t="s">
        <v>31</v>
      </c>
      <c r="E23" s="88"/>
      <c r="H23" s="25" t="s">
        <v>15</v>
      </c>
    </row>
    <row r="24" spans="1:9" ht="15" customHeight="1">
      <c r="A24" s="88"/>
      <c r="B24" s="88"/>
      <c r="C24" s="88"/>
      <c r="D24" s="88"/>
      <c r="E24" s="88"/>
      <c r="H24" s="25"/>
    </row>
    <row r="25" spans="1:9" ht="15" customHeight="1">
      <c r="A25" s="88"/>
      <c r="B25" s="86" t="str">
        <f>[1]Rekapitulacija!B26</f>
        <v xml:space="preserve">C. </v>
      </c>
      <c r="C25" s="86"/>
      <c r="D25" s="86" t="str">
        <f>[1]Rekapitulacija!D26</f>
        <v>OKOLIŠ I HORTIKULTURA</v>
      </c>
      <c r="E25" s="88"/>
      <c r="H25" s="119" t="s">
        <v>118</v>
      </c>
    </row>
    <row r="26" spans="1:9" ht="15" customHeight="1">
      <c r="A26" s="88"/>
      <c r="B26" s="58" t="s">
        <v>120</v>
      </c>
      <c r="C26" s="44" t="s">
        <v>36</v>
      </c>
      <c r="D26" s="44" t="s">
        <v>121</v>
      </c>
      <c r="E26" s="88"/>
      <c r="H26" s="119"/>
    </row>
    <row r="27" spans="1:9" ht="15" customHeight="1">
      <c r="A27" s="88"/>
      <c r="B27" s="58" t="s">
        <v>120</v>
      </c>
      <c r="C27" s="44" t="s">
        <v>35</v>
      </c>
      <c r="D27" s="44" t="s">
        <v>122</v>
      </c>
      <c r="E27" s="88"/>
      <c r="H27" s="119"/>
    </row>
    <row r="28" spans="1:9" ht="15" customHeight="1">
      <c r="A28" s="88"/>
      <c r="B28" s="58" t="s">
        <v>120</v>
      </c>
      <c r="C28" s="44" t="s">
        <v>34</v>
      </c>
      <c r="D28" s="44" t="s">
        <v>123</v>
      </c>
      <c r="E28" s="88"/>
      <c r="H28" s="119"/>
    </row>
    <row r="29" spans="1:9" ht="15" customHeight="1">
      <c r="A29" s="88"/>
      <c r="B29" s="58" t="s">
        <v>120</v>
      </c>
      <c r="C29" s="44" t="s">
        <v>53</v>
      </c>
      <c r="D29" s="44" t="s">
        <v>124</v>
      </c>
      <c r="E29" s="88"/>
      <c r="H29" s="25"/>
    </row>
    <row r="30" spans="1:9" ht="15" customHeight="1">
      <c r="A30" s="88"/>
      <c r="B30" s="88"/>
      <c r="C30" s="88"/>
      <c r="D30" s="88"/>
      <c r="E30" s="88"/>
      <c r="H30" s="25"/>
    </row>
    <row r="31" spans="1:9" ht="15" customHeight="1">
      <c r="A31" s="88"/>
      <c r="B31" s="88"/>
      <c r="C31" s="88"/>
      <c r="D31" s="88"/>
      <c r="E31" s="88"/>
      <c r="H31" s="25"/>
    </row>
    <row r="32" spans="1:9" s="118" customFormat="1" ht="15" customHeight="1" thickBot="1">
      <c r="A32" s="111"/>
      <c r="B32" s="88"/>
      <c r="C32" s="88"/>
      <c r="D32" s="88"/>
      <c r="E32" s="111"/>
      <c r="F32" s="85"/>
      <c r="G32" s="85"/>
      <c r="H32" s="87"/>
      <c r="I32" s="85"/>
    </row>
    <row r="33" spans="1:8" ht="15.75" thickTop="1" thickBot="1">
      <c r="A33" s="88"/>
      <c r="B33" s="86" t="s">
        <v>119</v>
      </c>
      <c r="C33" s="88"/>
      <c r="D33" s="86" t="s">
        <v>12</v>
      </c>
      <c r="E33" s="54"/>
      <c r="F33" s="11" t="s">
        <v>14</v>
      </c>
      <c r="G33" s="11" t="s">
        <v>11</v>
      </c>
      <c r="H33" s="9" t="s">
        <v>12</v>
      </c>
    </row>
    <row r="34" spans="1:8" ht="15" thickTop="1">
      <c r="A34" s="88"/>
      <c r="B34" s="88"/>
      <c r="C34" s="88"/>
      <c r="D34" s="88"/>
      <c r="E34" s="88"/>
    </row>
    <row r="35" spans="1:8" ht="14.25">
      <c r="A35" s="88"/>
      <c r="B35" s="88"/>
      <c r="C35" s="88"/>
      <c r="D35" s="88"/>
      <c r="E35" s="88"/>
    </row>
    <row r="36" spans="1:8" ht="15.75">
      <c r="A36" s="88"/>
      <c r="B36" s="88"/>
      <c r="C36" s="88"/>
      <c r="D36" s="88"/>
      <c r="E36" s="88"/>
      <c r="F36" s="20"/>
      <c r="H36" s="121"/>
    </row>
    <row r="37" spans="1:8" ht="15" thickBot="1">
      <c r="A37" s="88"/>
      <c r="B37" s="88"/>
      <c r="C37" s="88"/>
      <c r="D37" s="88"/>
      <c r="E37" s="88"/>
      <c r="H37" s="39" t="s">
        <v>43</v>
      </c>
    </row>
    <row r="38" spans="1:8" ht="15.75" thickTop="1" thickBot="1">
      <c r="A38" s="88"/>
      <c r="B38" s="88"/>
      <c r="C38" s="88"/>
      <c r="D38" s="88"/>
      <c r="E38" s="88"/>
      <c r="H38" s="22" t="s">
        <v>42</v>
      </c>
    </row>
    <row r="39" spans="1:8" ht="15" thickTop="1">
      <c r="A39" s="88"/>
      <c r="B39" s="88"/>
      <c r="C39" s="88"/>
      <c r="D39" s="88"/>
      <c r="E39" s="88"/>
    </row>
    <row r="40" spans="1:8" ht="14.25">
      <c r="A40" s="88"/>
      <c r="B40" s="88"/>
      <c r="C40" s="88"/>
      <c r="D40" s="88"/>
      <c r="E40" s="88"/>
    </row>
  </sheetData>
  <mergeCells count="1">
    <mergeCell ref="B3:C3"/>
  </mergeCells>
  <hyperlinks>
    <hyperlink ref="G3" location="Sadržaj!A1" display="SADRŽAJ" xr:uid="{E9FCE752-31E1-4E4B-B298-EBD60AEE181F}"/>
    <hyperlink ref="H3" location="Rekapitulacija!A9" display="REKAPITULACIJA" xr:uid="{A86B8BE6-96EB-494D-9816-ECCD2FBC3E66}"/>
    <hyperlink ref="F3" location="Sadržaj!A29" display="DNO" xr:uid="{01A706F0-887D-40DD-A822-AEF7C2FB8738}"/>
    <hyperlink ref="G1" location="'Naslovna stranica'!A1" display="&lt; NAZAD" xr:uid="{0E686ED8-78A9-40A0-B399-ABEC40DAC59B}"/>
    <hyperlink ref="H1" location="'Prethodni r.'!A1" display="NAPRIJED &gt;" xr:uid="{101C5BCE-060A-46BB-913E-3E057E04BB40}"/>
    <hyperlink ref="G33" location="Sadržaj!A1" display="SADRŽAJ" xr:uid="{5FE9CC91-AB82-40F9-9F24-2DC9FB77680F}"/>
    <hyperlink ref="H33" location="Rekapitulacija!A9" display="REKAPITULACIJA" xr:uid="{7D926D8E-FEAC-44B4-A208-0BF8D95D8E32}"/>
    <hyperlink ref="F33" location="Sadržaj!A1" display="VRH" xr:uid="{CCB9FE30-A5A3-4CD1-A928-98314B8053B0}"/>
    <hyperlink ref="H15" location="'Limarski r.'!A1" display="Limarski radovi" xr:uid="{4C1E1D05-BB0D-4D2C-9766-A8762E5C5F51}"/>
    <hyperlink ref="H17" location="'Završni z.r.'!A1" display="Završni zidarski radovi" xr:uid="{B32DC0A2-B9A8-4206-BD18-14A8D5D2EC7E}"/>
    <hyperlink ref="H18" location="'Gipsarski r.'!A1" display="Gipsarski radovi" xr:uid="{FE88C0AF-DFA3-4DF4-8DC0-DDDB5B3BD39C}"/>
    <hyperlink ref="H20" location="'Keramičarski r.'!A1" display="Keramičarski radovi" xr:uid="{CA568F9E-9EFA-4A63-BAF5-F02D31220E9C}"/>
    <hyperlink ref="H22" location="'Ličilački r.'!A1" display="Soboslikarsko-ličilački radovi" xr:uid="{C1F894C2-AA80-46E1-9F2E-A0C8CF768F62}"/>
    <hyperlink ref="H19" location="'Staklarski r.'!A1" display="Staklarski radovi" xr:uid="{06FF0818-B7ED-4011-8E46-6011A975FA67}"/>
    <hyperlink ref="H4" location="Pocetak!A1" display="pocetak" xr:uid="{DD0BFB40-7E72-4730-A492-3CCAAF4AC82D}"/>
    <hyperlink ref="H8" location="'Prethodni r.'!A1" display="Prethodni radovi" xr:uid="{60BDECE2-B5EF-49A8-9FF2-144014C8788B}"/>
    <hyperlink ref="H10" location="'Tesarski r.'!A1" display="Tesarski radovi" xr:uid="{70FFD2DE-4484-4330-B9CE-B045B03503F5}"/>
    <hyperlink ref="H11" location="'Armiracki r.'!A1" display="Armiracki radovi" xr:uid="{9BC305D3-9194-45FD-965A-67BB7BDFDD4D}"/>
    <hyperlink ref="H23" location="'Podopolagački r.'!A1" display="Podopolagački radovi" xr:uid="{86F31A02-CC7D-431A-AB1A-17DAECB09D31}"/>
    <hyperlink ref="H38" location="'Rekapitulacija (2)'!A1" display="REKAPITULACIJA 2" xr:uid="{0FA47B47-CA49-433B-A514-8EAB87B547F9}"/>
    <hyperlink ref="H37" location="strojarski!A1" display="Troškovnik strojarskih instalacija" xr:uid="{E4769578-F479-4183-A780-402BC6FE5DF8}"/>
  </hyperlinks>
  <pageMargins left="0.82677165354330717" right="0.39370078740157483" top="1.1000000000000001" bottom="1.3779527559055118" header="0.51181102362204722" footer="0.51181102362204722"/>
  <pageSetup paperSize="9" orientation="portrait" horizontalDpi="4294967294" r:id="rId1"/>
  <headerFooter alignWithMargins="0">
    <oddHeader>&amp;C&amp;"Segoe UI,Bold"&amp;9VIŠESTAMBENA ZGRADA
&amp;"Segoe UI,Regular"TROŠKOVNIK G.O.R.</oddHeader>
    <oddFooter>&amp;L&amp;"Segoe UI,Regular"&amp;8Izradio:
&amp;"Segoe UI,Bold"Urbane ideje d.o.o.
Samobor&amp;R&amp;"Segoe UI,Regular"&amp;8Investitor:
&amp;"Segoe UI,Bold"PLIMA PROJEKTI d.o.o.&amp;"Segoe UI,Regular"
OIB: 76934770405</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K85"/>
  <sheetViews>
    <sheetView tabSelected="1" view="pageBreakPreview" topLeftCell="A22" zoomScaleNormal="100" zoomScaleSheetLayoutView="100" workbookViewId="0">
      <selection activeCell="H79" sqref="H79"/>
    </sheetView>
  </sheetViews>
  <sheetFormatPr defaultRowHeight="12.75"/>
  <cols>
    <col min="1" max="1" width="4" style="17" customWidth="1"/>
    <col min="2" max="2" width="3.5703125" style="17" customWidth="1"/>
    <col min="3" max="3" width="3.28515625" style="17" customWidth="1"/>
    <col min="4" max="4" width="46.28515625" style="24" customWidth="1"/>
    <col min="5" max="5" width="6.5703125" style="6" customWidth="1"/>
    <col min="6" max="6" width="13" style="14" customWidth="1"/>
    <col min="7" max="7" width="16.5703125" style="162" bestFit="1" customWidth="1"/>
    <col min="8" max="8" width="19.7109375" style="162" customWidth="1"/>
    <col min="9" max="9" width="5" style="3" bestFit="1" customWidth="1"/>
    <col min="10" max="10" width="9.28515625" style="3" bestFit="1" customWidth="1"/>
    <col min="11" max="11" width="19.42578125" style="3" bestFit="1" customWidth="1"/>
    <col min="12" max="12" width="16.42578125" style="3" bestFit="1" customWidth="1"/>
    <col min="13" max="16384" width="9.140625" style="3"/>
  </cols>
  <sheetData>
    <row r="1" spans="1:11" s="8" customFormat="1" ht="22.5" thickTop="1" thickBot="1">
      <c r="A1" s="219" t="s">
        <v>5</v>
      </c>
      <c r="B1" s="219"/>
      <c r="C1" s="219"/>
      <c r="D1" s="73" t="s">
        <v>6</v>
      </c>
      <c r="E1" s="55" t="s">
        <v>7</v>
      </c>
      <c r="F1" s="74" t="s">
        <v>8</v>
      </c>
      <c r="G1" s="165" t="s">
        <v>9</v>
      </c>
      <c r="H1" s="166" t="s">
        <v>10</v>
      </c>
      <c r="J1" s="11" t="s">
        <v>3</v>
      </c>
      <c r="K1" s="11" t="s">
        <v>4</v>
      </c>
    </row>
    <row r="2" spans="1:11" ht="15.75" thickTop="1" thickBot="1">
      <c r="A2" s="64"/>
      <c r="B2" s="64"/>
      <c r="C2" s="64"/>
      <c r="D2" s="52"/>
      <c r="E2" s="64"/>
      <c r="F2" s="75"/>
      <c r="G2" s="178"/>
      <c r="H2" s="179"/>
    </row>
    <row r="3" spans="1:11" s="5" customFormat="1" ht="15.75" thickTop="1" thickBot="1">
      <c r="A3" s="71" t="e">
        <f>Rekapitulacija!#REF!</f>
        <v>#REF!</v>
      </c>
      <c r="B3" s="71" t="s">
        <v>145</v>
      </c>
      <c r="C3" s="71"/>
      <c r="D3" s="41" t="s">
        <v>45</v>
      </c>
      <c r="E3" s="53"/>
      <c r="F3" s="76"/>
      <c r="G3" s="167"/>
      <c r="H3" s="180"/>
      <c r="I3" s="21" t="s">
        <v>13</v>
      </c>
      <c r="J3" s="11" t="s">
        <v>11</v>
      </c>
      <c r="K3" s="11" t="s">
        <v>12</v>
      </c>
    </row>
    <row r="4" spans="1:11" ht="15" thickTop="1">
      <c r="A4" s="56"/>
      <c r="B4" s="56"/>
      <c r="C4" s="56"/>
      <c r="D4" s="42"/>
      <c r="E4" s="72"/>
      <c r="F4" s="77"/>
      <c r="G4" s="181"/>
      <c r="H4" s="181"/>
    </row>
    <row r="5" spans="1:11" ht="14.25">
      <c r="A5" s="56"/>
      <c r="B5" s="71"/>
      <c r="C5" s="71"/>
      <c r="D5" s="222" t="s">
        <v>47</v>
      </c>
      <c r="E5" s="222"/>
      <c r="F5" s="222"/>
      <c r="G5" s="222"/>
      <c r="H5" s="222"/>
    </row>
    <row r="6" spans="1:11" ht="14.25">
      <c r="A6" s="56"/>
      <c r="B6" s="71"/>
      <c r="C6" s="71"/>
      <c r="D6" s="45"/>
      <c r="E6" s="43"/>
      <c r="F6" s="78"/>
      <c r="G6" s="182"/>
      <c r="H6" s="183"/>
    </row>
    <row r="7" spans="1:11" s="29" customFormat="1" ht="14.25">
      <c r="A7" s="71"/>
      <c r="B7" s="71"/>
      <c r="C7" s="40" t="s">
        <v>71</v>
      </c>
      <c r="D7" s="220" t="s">
        <v>46</v>
      </c>
      <c r="E7" s="221"/>
      <c r="F7" s="221"/>
      <c r="G7" s="221"/>
      <c r="H7" s="221"/>
    </row>
    <row r="8" spans="1:11" s="29" customFormat="1" ht="14.25">
      <c r="A8" s="71"/>
      <c r="B8" s="71"/>
      <c r="C8" s="40" t="s">
        <v>71</v>
      </c>
      <c r="D8" s="223" t="s">
        <v>152</v>
      </c>
      <c r="E8" s="224"/>
      <c r="F8" s="224"/>
      <c r="G8" s="224"/>
      <c r="H8" s="224"/>
    </row>
    <row r="9" spans="1:11" s="29" customFormat="1" ht="14.25">
      <c r="A9" s="71"/>
      <c r="B9" s="71"/>
      <c r="C9" s="40" t="s">
        <v>71</v>
      </c>
      <c r="D9" s="218" t="s">
        <v>61</v>
      </c>
      <c r="E9" s="218"/>
      <c r="F9" s="218"/>
      <c r="G9" s="218"/>
      <c r="H9" s="218"/>
    </row>
    <row r="10" spans="1:11" s="29" customFormat="1" ht="14.25">
      <c r="A10" s="71"/>
      <c r="B10" s="71"/>
      <c r="C10" s="40" t="s">
        <v>71</v>
      </c>
      <c r="D10" s="216" t="s">
        <v>62</v>
      </c>
      <c r="E10" s="216"/>
      <c r="F10" s="216"/>
      <c r="G10" s="216"/>
      <c r="H10" s="216"/>
    </row>
    <row r="11" spans="1:11" s="29" customFormat="1" ht="14.25">
      <c r="A11" s="71"/>
      <c r="B11" s="71"/>
      <c r="C11" s="40" t="s">
        <v>71</v>
      </c>
      <c r="D11" s="217" t="s">
        <v>63</v>
      </c>
      <c r="E11" s="217"/>
      <c r="F11" s="217"/>
      <c r="G11" s="217"/>
      <c r="H11" s="217"/>
    </row>
    <row r="12" spans="1:11" s="29" customFormat="1" ht="14.25">
      <c r="A12" s="71"/>
      <c r="B12" s="71"/>
      <c r="C12" s="40" t="s">
        <v>71</v>
      </c>
      <c r="D12" s="217" t="s">
        <v>64</v>
      </c>
      <c r="E12" s="217"/>
      <c r="F12" s="217"/>
      <c r="G12" s="217"/>
      <c r="H12" s="217"/>
    </row>
    <row r="13" spans="1:11" s="29" customFormat="1" ht="14.25">
      <c r="A13" s="71"/>
      <c r="B13" s="71"/>
      <c r="C13" s="40" t="s">
        <v>71</v>
      </c>
      <c r="D13" s="218" t="s">
        <v>65</v>
      </c>
      <c r="E13" s="218"/>
      <c r="F13" s="218"/>
      <c r="G13" s="218"/>
      <c r="H13" s="218"/>
    </row>
    <row r="14" spans="1:11" s="29" customFormat="1" ht="14.25">
      <c r="A14" s="71"/>
      <c r="B14" s="71"/>
      <c r="C14" s="40" t="s">
        <v>71</v>
      </c>
      <c r="D14" s="218" t="s">
        <v>66</v>
      </c>
      <c r="E14" s="218"/>
      <c r="F14" s="218"/>
      <c r="G14" s="218"/>
      <c r="H14" s="218"/>
    </row>
    <row r="15" spans="1:11" s="29" customFormat="1" ht="14.25">
      <c r="A15" s="71"/>
      <c r="B15" s="71"/>
      <c r="C15" s="40" t="s">
        <v>71</v>
      </c>
      <c r="D15" s="218" t="s">
        <v>67</v>
      </c>
      <c r="E15" s="218"/>
      <c r="F15" s="218"/>
      <c r="G15" s="218"/>
      <c r="H15" s="218"/>
    </row>
    <row r="16" spans="1:11" s="29" customFormat="1" ht="14.25">
      <c r="A16" s="71"/>
      <c r="B16" s="71"/>
      <c r="C16" s="40" t="s">
        <v>71</v>
      </c>
      <c r="D16" s="218" t="s">
        <v>68</v>
      </c>
      <c r="E16" s="218"/>
      <c r="F16" s="218"/>
      <c r="G16" s="218"/>
      <c r="H16" s="218"/>
    </row>
    <row r="17" spans="1:10" s="29" customFormat="1" ht="14.25">
      <c r="A17" s="71"/>
      <c r="B17" s="71"/>
      <c r="C17" s="40" t="s">
        <v>71</v>
      </c>
      <c r="D17" s="216" t="s">
        <v>140</v>
      </c>
      <c r="E17" s="216"/>
      <c r="F17" s="216"/>
      <c r="G17" s="216"/>
      <c r="H17" s="216"/>
    </row>
    <row r="18" spans="1:10" s="29" customFormat="1" ht="14.25">
      <c r="A18" s="71"/>
      <c r="B18" s="71"/>
      <c r="C18" s="40"/>
      <c r="D18" s="191" t="s">
        <v>153</v>
      </c>
      <c r="E18" s="161"/>
      <c r="F18" s="161"/>
      <c r="G18" s="161"/>
      <c r="H18" s="161"/>
    </row>
    <row r="19" spans="1:10" s="29" customFormat="1" ht="14.25">
      <c r="A19" s="71"/>
      <c r="B19" s="71"/>
      <c r="C19" s="40"/>
      <c r="D19" s="218" t="s">
        <v>154</v>
      </c>
      <c r="E19" s="218"/>
      <c r="F19" s="218"/>
      <c r="G19" s="218"/>
      <c r="H19" s="218"/>
    </row>
    <row r="20" spans="1:10" s="29" customFormat="1" ht="14.25">
      <c r="A20" s="71"/>
      <c r="B20" s="71"/>
      <c r="C20" s="40"/>
      <c r="D20" s="218"/>
      <c r="E20" s="218"/>
      <c r="F20" s="218"/>
      <c r="G20" s="218"/>
      <c r="H20" s="218"/>
    </row>
    <row r="21" spans="1:10" s="29" customFormat="1" ht="14.25">
      <c r="A21" s="71"/>
      <c r="B21" s="71"/>
      <c r="C21" s="40"/>
      <c r="D21" s="218"/>
      <c r="E21" s="218"/>
      <c r="F21" s="218"/>
      <c r="G21" s="218"/>
      <c r="H21" s="218"/>
    </row>
    <row r="22" spans="1:10" ht="14.25">
      <c r="A22" s="56"/>
      <c r="B22" s="56"/>
      <c r="C22" s="56"/>
      <c r="D22" s="42"/>
      <c r="E22" s="57"/>
      <c r="F22" s="69"/>
      <c r="G22" s="169"/>
      <c r="H22" s="169"/>
    </row>
    <row r="23" spans="1:10" ht="48">
      <c r="A23" s="59" t="s">
        <v>72</v>
      </c>
      <c r="B23" s="59" t="str">
        <f>B3</f>
        <v>VI.</v>
      </c>
      <c r="C23" s="59" t="s">
        <v>19</v>
      </c>
      <c r="D23" s="47" t="s">
        <v>173</v>
      </c>
      <c r="E23" s="60"/>
      <c r="F23" s="67"/>
      <c r="G23" s="184"/>
      <c r="H23" s="163"/>
      <c r="J23" s="38"/>
    </row>
    <row r="24" spans="1:10" ht="48">
      <c r="A24" s="59"/>
      <c r="B24" s="59"/>
      <c r="C24" s="59"/>
      <c r="D24" s="47" t="s">
        <v>186</v>
      </c>
      <c r="E24" s="60"/>
      <c r="F24" s="67"/>
      <c r="G24" s="184"/>
      <c r="H24" s="163"/>
      <c r="J24" s="38"/>
    </row>
    <row r="25" spans="1:10" ht="36">
      <c r="A25" s="59"/>
      <c r="B25" s="59"/>
      <c r="C25" s="59"/>
      <c r="D25" s="47" t="s">
        <v>155</v>
      </c>
      <c r="E25" s="60"/>
      <c r="F25" s="67"/>
      <c r="G25" s="184"/>
      <c r="H25" s="163"/>
      <c r="J25" s="38"/>
    </row>
    <row r="26" spans="1:10" ht="36">
      <c r="A26" s="59"/>
      <c r="B26" s="59"/>
      <c r="C26" s="59"/>
      <c r="D26" s="47" t="s">
        <v>156</v>
      </c>
      <c r="E26" s="60"/>
      <c r="F26" s="61"/>
      <c r="G26" s="185"/>
      <c r="H26" s="163"/>
    </row>
    <row r="27" spans="1:10" ht="24">
      <c r="A27" s="59"/>
      <c r="B27" s="59"/>
      <c r="C27" s="59"/>
      <c r="D27" s="47" t="s">
        <v>48</v>
      </c>
      <c r="E27" s="60"/>
      <c r="F27" s="67"/>
      <c r="G27" s="185"/>
      <c r="H27" s="163"/>
    </row>
    <row r="28" spans="1:10" ht="36">
      <c r="A28" s="59"/>
      <c r="B28" s="59"/>
      <c r="C28" s="59"/>
      <c r="D28" s="47" t="s">
        <v>52</v>
      </c>
      <c r="E28" s="60"/>
      <c r="F28" s="67"/>
      <c r="G28" s="185"/>
      <c r="H28" s="163"/>
    </row>
    <row r="29" spans="1:10" ht="36">
      <c r="A29" s="59"/>
      <c r="B29" s="59"/>
      <c r="C29" s="59"/>
      <c r="D29" s="47" t="s">
        <v>138</v>
      </c>
      <c r="E29" s="60"/>
      <c r="F29" s="67"/>
      <c r="G29" s="185"/>
      <c r="H29" s="163"/>
    </row>
    <row r="30" spans="1:10" ht="24">
      <c r="A30" s="59"/>
      <c r="B30" s="59"/>
      <c r="C30" s="59"/>
      <c r="D30" s="47" t="s">
        <v>157</v>
      </c>
      <c r="E30" s="60"/>
      <c r="F30" s="67"/>
      <c r="G30" s="185"/>
      <c r="H30" s="163"/>
    </row>
    <row r="31" spans="1:10" ht="24">
      <c r="A31" s="59"/>
      <c r="B31" s="59"/>
      <c r="C31" s="59"/>
      <c r="D31" s="47" t="s">
        <v>139</v>
      </c>
      <c r="E31" s="60"/>
      <c r="F31" s="67"/>
      <c r="G31" s="185"/>
      <c r="H31" s="163"/>
    </row>
    <row r="32" spans="1:10" ht="36">
      <c r="A32" s="59"/>
      <c r="B32" s="59"/>
      <c r="C32" s="59"/>
      <c r="D32" s="47" t="s">
        <v>158</v>
      </c>
      <c r="E32" s="60"/>
      <c r="F32" s="67"/>
      <c r="G32" s="185"/>
      <c r="H32" s="163"/>
    </row>
    <row r="33" spans="1:8" ht="48">
      <c r="A33" s="59"/>
      <c r="B33" s="59"/>
      <c r="C33" s="59"/>
      <c r="D33" s="47" t="s">
        <v>69</v>
      </c>
      <c r="E33" s="60"/>
      <c r="F33" s="67"/>
      <c r="G33" s="185"/>
      <c r="H33" s="163"/>
    </row>
    <row r="34" spans="1:8" ht="24">
      <c r="A34" s="59"/>
      <c r="B34" s="59"/>
      <c r="C34" s="59"/>
      <c r="D34" s="47" t="s">
        <v>49</v>
      </c>
      <c r="E34" s="60"/>
      <c r="F34" s="67"/>
      <c r="G34" s="185"/>
      <c r="H34" s="163"/>
    </row>
    <row r="35" spans="1:8">
      <c r="A35" s="59"/>
      <c r="B35" s="59"/>
      <c r="C35" s="59"/>
      <c r="D35" s="47" t="s">
        <v>44</v>
      </c>
      <c r="E35" s="61"/>
      <c r="F35" s="61"/>
      <c r="G35" s="185"/>
      <c r="H35" s="192"/>
    </row>
    <row r="36" spans="1:8" s="18" customFormat="1">
      <c r="A36" s="152"/>
      <c r="B36" s="152"/>
      <c r="C36" s="152" t="s">
        <v>58</v>
      </c>
      <c r="D36" s="153" t="s">
        <v>159</v>
      </c>
      <c r="E36" s="62" t="s">
        <v>70</v>
      </c>
      <c r="F36" s="154">
        <v>2000</v>
      </c>
      <c r="G36" s="186">
        <v>58.8</v>
      </c>
      <c r="H36" s="164">
        <f t="shared" ref="H36" si="0">ROUND(F36*G36,2)</f>
        <v>117600</v>
      </c>
    </row>
    <row r="37" spans="1:8" s="18" customFormat="1">
      <c r="A37" s="152"/>
      <c r="B37" s="152"/>
      <c r="C37" s="152" t="s">
        <v>59</v>
      </c>
      <c r="D37" s="153" t="s">
        <v>160</v>
      </c>
      <c r="E37" s="62" t="s">
        <v>70</v>
      </c>
      <c r="F37" s="154">
        <v>198</v>
      </c>
      <c r="G37" s="186">
        <v>73</v>
      </c>
      <c r="H37" s="164">
        <f t="shared" ref="H37" si="1">ROUND(F37*G37,2)</f>
        <v>14454</v>
      </c>
    </row>
    <row r="38" spans="1:8" s="18" customFormat="1">
      <c r="A38" s="152"/>
      <c r="B38" s="152"/>
      <c r="C38" s="152" t="s">
        <v>60</v>
      </c>
      <c r="D38" s="153" t="s">
        <v>161</v>
      </c>
      <c r="E38" s="62" t="s">
        <v>70</v>
      </c>
      <c r="F38" s="154">
        <v>528</v>
      </c>
      <c r="G38" s="186">
        <v>54.3</v>
      </c>
      <c r="H38" s="164">
        <f t="shared" ref="H38" si="2">ROUND(F38*G38,2)</f>
        <v>28670.400000000001</v>
      </c>
    </row>
    <row r="39" spans="1:8" s="18" customFormat="1">
      <c r="A39" s="152"/>
      <c r="B39" s="152"/>
      <c r="C39" s="152" t="s">
        <v>162</v>
      </c>
      <c r="D39" s="153" t="s">
        <v>178</v>
      </c>
      <c r="E39" s="62" t="s">
        <v>70</v>
      </c>
      <c r="F39" s="154">
        <v>180</v>
      </c>
      <c r="G39" s="186">
        <v>54.3</v>
      </c>
      <c r="H39" s="164">
        <f t="shared" ref="H39" si="3">ROUND(F39*G39,2)</f>
        <v>9774</v>
      </c>
    </row>
    <row r="40" spans="1:8" s="18" customFormat="1" ht="60">
      <c r="A40" s="152"/>
      <c r="B40" s="152"/>
      <c r="C40" s="152"/>
      <c r="D40" s="227" t="s">
        <v>189</v>
      </c>
      <c r="E40" s="62"/>
      <c r="F40" s="154"/>
      <c r="G40" s="186"/>
      <c r="H40" s="164"/>
    </row>
    <row r="41" spans="1:8">
      <c r="A41" s="59"/>
      <c r="B41" s="59"/>
      <c r="C41" s="59"/>
      <c r="D41" s="61"/>
      <c r="E41" s="60"/>
      <c r="F41" s="70"/>
      <c r="G41" s="187"/>
      <c r="H41" s="188"/>
    </row>
    <row r="42" spans="1:8" ht="36">
      <c r="A42" s="59" t="s">
        <v>72</v>
      </c>
      <c r="B42" s="59" t="s">
        <v>145</v>
      </c>
      <c r="C42" s="65">
        <v>2</v>
      </c>
      <c r="D42" s="47" t="s">
        <v>163</v>
      </c>
      <c r="E42" s="60"/>
      <c r="F42" s="70"/>
      <c r="G42" s="187"/>
      <c r="H42" s="188"/>
    </row>
    <row r="43" spans="1:8" ht="72">
      <c r="A43" s="59"/>
      <c r="B43" s="59"/>
      <c r="C43" s="59"/>
      <c r="D43" s="47" t="s">
        <v>164</v>
      </c>
      <c r="E43" s="60"/>
      <c r="F43" s="70"/>
      <c r="G43" s="187"/>
      <c r="H43" s="188"/>
    </row>
    <row r="44" spans="1:8" ht="48">
      <c r="A44" s="59"/>
      <c r="B44" s="59"/>
      <c r="C44" s="59"/>
      <c r="D44" s="170" t="s">
        <v>165</v>
      </c>
      <c r="E44" s="60"/>
      <c r="F44" s="70"/>
      <c r="G44" s="187"/>
      <c r="H44" s="188"/>
    </row>
    <row r="45" spans="1:8" ht="60">
      <c r="A45" s="59"/>
      <c r="B45" s="59"/>
      <c r="C45" s="59"/>
      <c r="D45" s="47" t="s">
        <v>166</v>
      </c>
      <c r="E45" s="60"/>
      <c r="F45" s="70"/>
      <c r="G45" s="187"/>
      <c r="H45" s="188"/>
    </row>
    <row r="46" spans="1:8" ht="60">
      <c r="A46" s="59"/>
      <c r="B46" s="59"/>
      <c r="C46" s="59"/>
      <c r="D46" s="47" t="s">
        <v>167</v>
      </c>
      <c r="E46" s="60"/>
      <c r="F46" s="70"/>
      <c r="G46" s="187"/>
      <c r="H46" s="188"/>
    </row>
    <row r="47" spans="1:8" s="18" customFormat="1">
      <c r="A47" s="152"/>
      <c r="B47" s="152"/>
      <c r="C47" s="152" t="s">
        <v>58</v>
      </c>
      <c r="D47" s="153" t="s">
        <v>168</v>
      </c>
      <c r="E47" s="62" t="s">
        <v>70</v>
      </c>
      <c r="F47" s="154">
        <v>22</v>
      </c>
      <c r="G47" s="186">
        <v>63</v>
      </c>
      <c r="H47" s="164">
        <f t="shared" ref="H47" si="4">ROUND(F47*G47,2)</f>
        <v>1386</v>
      </c>
    </row>
    <row r="48" spans="1:8" s="18" customFormat="1">
      <c r="A48" s="152"/>
      <c r="B48" s="152"/>
      <c r="C48" s="152" t="s">
        <v>59</v>
      </c>
      <c r="D48" s="153" t="s">
        <v>169</v>
      </c>
      <c r="E48" s="62" t="s">
        <v>70</v>
      </c>
      <c r="F48" s="154">
        <v>220</v>
      </c>
      <c r="G48" s="186">
        <v>71.2</v>
      </c>
      <c r="H48" s="164">
        <f t="shared" ref="H48" si="5">ROUND(F48*G48,2)</f>
        <v>15664</v>
      </c>
    </row>
    <row r="49" spans="1:8" s="18" customFormat="1" ht="72">
      <c r="A49" s="152"/>
      <c r="B49" s="152"/>
      <c r="C49" s="152"/>
      <c r="D49" s="227" t="s">
        <v>188</v>
      </c>
      <c r="E49" s="62"/>
      <c r="F49" s="154"/>
      <c r="G49" s="186"/>
      <c r="H49" s="164"/>
    </row>
    <row r="50" spans="1:8" s="18" customFormat="1">
      <c r="A50" s="152"/>
      <c r="B50" s="152"/>
      <c r="C50" s="152"/>
      <c r="D50" s="153"/>
      <c r="E50" s="62"/>
      <c r="F50" s="154"/>
      <c r="G50" s="186"/>
      <c r="H50" s="164"/>
    </row>
    <row r="51" spans="1:8" s="18" customFormat="1" ht="48">
      <c r="A51" s="59" t="s">
        <v>72</v>
      </c>
      <c r="B51" s="59" t="s">
        <v>145</v>
      </c>
      <c r="C51" s="65">
        <v>3</v>
      </c>
      <c r="D51" s="193" t="s">
        <v>172</v>
      </c>
      <c r="E51" s="62"/>
      <c r="F51" s="154"/>
      <c r="G51" s="186"/>
      <c r="H51" s="164"/>
    </row>
    <row r="52" spans="1:8" s="18" customFormat="1" ht="24">
      <c r="A52" s="59"/>
      <c r="B52" s="59"/>
      <c r="C52" s="65"/>
      <c r="D52" s="193" t="s">
        <v>170</v>
      </c>
      <c r="E52" s="62"/>
      <c r="F52" s="154"/>
      <c r="G52" s="186"/>
      <c r="H52" s="164"/>
    </row>
    <row r="53" spans="1:8" s="18" customFormat="1" ht="36">
      <c r="A53" s="59"/>
      <c r="B53" s="59"/>
      <c r="C53" s="65"/>
      <c r="D53" s="193" t="s">
        <v>156</v>
      </c>
      <c r="E53" s="62"/>
      <c r="F53" s="154"/>
      <c r="G53" s="186"/>
      <c r="H53" s="164"/>
    </row>
    <row r="54" spans="1:8" s="18" customFormat="1" ht="24">
      <c r="A54" s="59"/>
      <c r="B54" s="59"/>
      <c r="C54" s="65"/>
      <c r="D54" s="193" t="s">
        <v>48</v>
      </c>
      <c r="E54" s="62"/>
      <c r="F54" s="154"/>
      <c r="G54" s="186"/>
      <c r="H54" s="164"/>
    </row>
    <row r="55" spans="1:8" s="18" customFormat="1" ht="36">
      <c r="A55" s="59"/>
      <c r="B55" s="59"/>
      <c r="C55" s="65"/>
      <c r="D55" s="193" t="s">
        <v>52</v>
      </c>
      <c r="E55" s="62"/>
      <c r="F55" s="154"/>
      <c r="G55" s="186"/>
      <c r="H55" s="164"/>
    </row>
    <row r="56" spans="1:8" s="18" customFormat="1" ht="36">
      <c r="A56" s="59"/>
      <c r="B56" s="59"/>
      <c r="C56" s="65"/>
      <c r="D56" s="193" t="s">
        <v>138</v>
      </c>
      <c r="E56" s="62"/>
      <c r="F56" s="154"/>
      <c r="G56" s="186"/>
      <c r="H56" s="164"/>
    </row>
    <row r="57" spans="1:8" s="18" customFormat="1" ht="24">
      <c r="A57" s="59"/>
      <c r="B57" s="59"/>
      <c r="C57" s="65"/>
      <c r="D57" s="193" t="s">
        <v>171</v>
      </c>
      <c r="E57" s="62"/>
      <c r="F57" s="154"/>
      <c r="G57" s="186"/>
      <c r="H57" s="164"/>
    </row>
    <row r="58" spans="1:8" s="18" customFormat="1" ht="24">
      <c r="A58" s="59"/>
      <c r="B58" s="59"/>
      <c r="C58" s="65"/>
      <c r="D58" s="193" t="s">
        <v>139</v>
      </c>
      <c r="E58" s="62"/>
      <c r="F58" s="154"/>
      <c r="G58" s="186"/>
      <c r="H58" s="164"/>
    </row>
    <row r="59" spans="1:8" s="18" customFormat="1" ht="36">
      <c r="A59" s="59"/>
      <c r="B59" s="59"/>
      <c r="C59" s="65"/>
      <c r="D59" s="193" t="s">
        <v>158</v>
      </c>
      <c r="E59" s="62"/>
      <c r="F59" s="154"/>
      <c r="G59" s="186"/>
      <c r="H59" s="164"/>
    </row>
    <row r="60" spans="1:8" s="18" customFormat="1" ht="48">
      <c r="A60" s="59"/>
      <c r="B60" s="59"/>
      <c r="C60" s="65"/>
      <c r="D60" s="193" t="s">
        <v>69</v>
      </c>
      <c r="E60" s="62"/>
      <c r="F60" s="154"/>
      <c r="G60" s="186"/>
      <c r="H60" s="164"/>
    </row>
    <row r="61" spans="1:8" s="18" customFormat="1" ht="24">
      <c r="A61" s="59"/>
      <c r="B61" s="59"/>
      <c r="C61" s="65"/>
      <c r="D61" s="193" t="s">
        <v>49</v>
      </c>
      <c r="E61" s="62"/>
      <c r="F61" s="154"/>
      <c r="G61" s="186"/>
      <c r="H61" s="164"/>
    </row>
    <row r="62" spans="1:8" s="18" customFormat="1">
      <c r="A62" s="152"/>
      <c r="B62" s="152"/>
      <c r="C62" s="152" t="s">
        <v>58</v>
      </c>
      <c r="D62" s="194" t="s">
        <v>174</v>
      </c>
      <c r="E62" s="62" t="s">
        <v>70</v>
      </c>
      <c r="F62" s="154">
        <v>45</v>
      </c>
      <c r="G62" s="186">
        <v>59.8</v>
      </c>
      <c r="H62" s="164">
        <f t="shared" ref="H62" si="6">ROUND(F62*G62,2)</f>
        <v>2691</v>
      </c>
    </row>
    <row r="63" spans="1:8" s="18" customFormat="1">
      <c r="A63" s="152"/>
      <c r="B63" s="152"/>
      <c r="C63" s="152" t="s">
        <v>59</v>
      </c>
      <c r="D63" s="194" t="s">
        <v>175</v>
      </c>
      <c r="E63" s="62" t="s">
        <v>70</v>
      </c>
      <c r="F63" s="154">
        <v>210</v>
      </c>
      <c r="G63" s="186">
        <v>56.7</v>
      </c>
      <c r="H63" s="164">
        <f t="shared" ref="H63:H65" si="7">ROUND(F63*G63,2)</f>
        <v>11907</v>
      </c>
    </row>
    <row r="64" spans="1:8" s="18" customFormat="1">
      <c r="A64" s="152"/>
      <c r="B64" s="152"/>
      <c r="C64" s="152" t="s">
        <v>60</v>
      </c>
      <c r="D64" s="194" t="s">
        <v>176</v>
      </c>
      <c r="E64" s="62" t="s">
        <v>70</v>
      </c>
      <c r="F64" s="154">
        <v>75</v>
      </c>
      <c r="G64" s="186">
        <v>59.8</v>
      </c>
      <c r="H64" s="164">
        <f t="shared" si="7"/>
        <v>4485</v>
      </c>
    </row>
    <row r="65" spans="1:8" s="18" customFormat="1">
      <c r="A65" s="152"/>
      <c r="B65" s="152"/>
      <c r="C65" s="152" t="s">
        <v>162</v>
      </c>
      <c r="D65" s="194" t="s">
        <v>177</v>
      </c>
      <c r="E65" s="62" t="s">
        <v>70</v>
      </c>
      <c r="F65" s="154">
        <v>310</v>
      </c>
      <c r="G65" s="186">
        <v>59.8</v>
      </c>
      <c r="H65" s="164">
        <f t="shared" si="7"/>
        <v>18538</v>
      </c>
    </row>
    <row r="66" spans="1:8" s="18" customFormat="1" ht="60">
      <c r="A66" s="152"/>
      <c r="B66" s="152"/>
      <c r="C66" s="152"/>
      <c r="D66" s="227" t="s">
        <v>187</v>
      </c>
      <c r="E66" s="62"/>
      <c r="F66" s="154"/>
      <c r="G66" s="186"/>
      <c r="H66" s="164"/>
    </row>
    <row r="67" spans="1:8" s="18" customFormat="1">
      <c r="A67" s="152"/>
      <c r="B67" s="152"/>
      <c r="C67" s="152"/>
      <c r="D67" s="153"/>
      <c r="E67" s="62"/>
      <c r="F67" s="154"/>
      <c r="G67" s="186"/>
      <c r="H67" s="164"/>
    </row>
    <row r="68" spans="1:8" s="18" customFormat="1" ht="48">
      <c r="A68" s="59" t="s">
        <v>72</v>
      </c>
      <c r="B68" s="59" t="s">
        <v>145</v>
      </c>
      <c r="C68" s="65">
        <v>4</v>
      </c>
      <c r="D68" s="193" t="s">
        <v>179</v>
      </c>
      <c r="E68" s="62"/>
      <c r="F68" s="154"/>
      <c r="G68" s="186"/>
      <c r="H68" s="164"/>
    </row>
    <row r="69" spans="1:8" s="18" customFormat="1" ht="72">
      <c r="A69" s="152"/>
      <c r="B69" s="152"/>
      <c r="C69" s="152"/>
      <c r="D69" s="170" t="s">
        <v>182</v>
      </c>
      <c r="E69" s="62"/>
      <c r="F69" s="154"/>
      <c r="G69" s="186"/>
      <c r="H69" s="164"/>
    </row>
    <row r="70" spans="1:8" s="18" customFormat="1" ht="48">
      <c r="A70" s="152"/>
      <c r="B70" s="152"/>
      <c r="C70" s="152"/>
      <c r="D70" s="170" t="s">
        <v>183</v>
      </c>
      <c r="E70" s="62"/>
      <c r="F70" s="154"/>
      <c r="G70" s="186"/>
      <c r="H70" s="164"/>
    </row>
    <row r="71" spans="1:8" s="18" customFormat="1" ht="60">
      <c r="A71" s="152"/>
      <c r="B71" s="152"/>
      <c r="C71" s="152"/>
      <c r="D71" s="170" t="s">
        <v>180</v>
      </c>
      <c r="E71" s="62"/>
      <c r="F71" s="154"/>
      <c r="G71" s="186"/>
      <c r="H71" s="164"/>
    </row>
    <row r="72" spans="1:8" s="18" customFormat="1">
      <c r="A72" s="152"/>
      <c r="B72" s="152"/>
      <c r="C72" s="152"/>
      <c r="D72" s="193" t="s">
        <v>181</v>
      </c>
      <c r="E72" s="62" t="s">
        <v>70</v>
      </c>
      <c r="F72" s="154">
        <v>220</v>
      </c>
      <c r="G72" s="186">
        <v>32</v>
      </c>
      <c r="H72" s="164">
        <f>ROUND(F72*G72,2)</f>
        <v>7040</v>
      </c>
    </row>
    <row r="73" spans="1:8" s="18" customFormat="1">
      <c r="A73" s="152"/>
      <c r="B73" s="152"/>
      <c r="C73" s="152"/>
      <c r="D73" s="153"/>
      <c r="E73" s="62"/>
      <c r="F73" s="154"/>
      <c r="G73" s="186"/>
      <c r="H73" s="164"/>
    </row>
    <row r="74" spans="1:8" s="18" customFormat="1">
      <c r="A74" s="152"/>
      <c r="B74" s="152"/>
      <c r="C74" s="152"/>
      <c r="D74" s="153"/>
      <c r="E74" s="62"/>
      <c r="F74" s="154"/>
      <c r="G74" s="186"/>
      <c r="H74" s="164"/>
    </row>
    <row r="75" spans="1:8" s="18" customFormat="1">
      <c r="A75" s="59" t="s">
        <v>72</v>
      </c>
      <c r="B75" s="59" t="s">
        <v>145</v>
      </c>
      <c r="C75" s="65">
        <v>5</v>
      </c>
      <c r="D75" s="215" t="s">
        <v>185</v>
      </c>
      <c r="E75" s="60"/>
      <c r="F75" s="67"/>
      <c r="G75" s="184"/>
      <c r="H75" s="163"/>
    </row>
    <row r="76" spans="1:8" s="18" customFormat="1">
      <c r="A76" s="152"/>
      <c r="B76" s="152"/>
      <c r="C76" s="152"/>
      <c r="D76" s="215"/>
      <c r="E76" s="60"/>
      <c r="F76" s="67"/>
      <c r="G76" s="185"/>
      <c r="H76" s="163"/>
    </row>
    <row r="77" spans="1:8" s="18" customFormat="1">
      <c r="A77" s="152"/>
      <c r="B77" s="152"/>
      <c r="C77" s="152"/>
      <c r="D77" s="215"/>
      <c r="E77" s="60"/>
      <c r="F77" s="61"/>
      <c r="G77" s="185"/>
      <c r="H77" s="163"/>
    </row>
    <row r="78" spans="1:8" s="18" customFormat="1">
      <c r="A78" s="152"/>
      <c r="B78" s="152"/>
      <c r="C78" s="152"/>
      <c r="D78" s="215"/>
      <c r="E78" s="60"/>
      <c r="F78" s="79"/>
      <c r="G78" s="185"/>
      <c r="H78" s="163"/>
    </row>
    <row r="79" spans="1:8" s="18" customFormat="1">
      <c r="A79" s="152"/>
      <c r="B79" s="152"/>
      <c r="C79" s="152"/>
      <c r="D79" s="215"/>
      <c r="E79" s="60"/>
      <c r="F79" s="67"/>
      <c r="G79" s="185"/>
      <c r="H79" s="163"/>
    </row>
    <row r="80" spans="1:8" s="18" customFormat="1">
      <c r="A80" s="152"/>
      <c r="B80" s="152"/>
      <c r="C80" s="152"/>
      <c r="D80" s="215" t="s">
        <v>184</v>
      </c>
      <c r="E80" s="60"/>
      <c r="F80" s="67"/>
      <c r="G80" s="185"/>
      <c r="H80" s="163"/>
    </row>
    <row r="81" spans="1:11" s="18" customFormat="1">
      <c r="A81" s="152"/>
      <c r="B81" s="152"/>
      <c r="C81" s="152"/>
      <c r="D81" s="215"/>
      <c r="E81" s="60"/>
      <c r="F81" s="67"/>
      <c r="G81" s="185"/>
      <c r="H81" s="163"/>
    </row>
    <row r="82" spans="1:11" s="18" customFormat="1">
      <c r="A82" s="152"/>
      <c r="B82" s="152"/>
      <c r="C82" s="152"/>
      <c r="D82" s="215"/>
      <c r="E82" s="60" t="s">
        <v>70</v>
      </c>
      <c r="F82" s="70">
        <v>2900</v>
      </c>
      <c r="G82" s="185">
        <v>8.5</v>
      </c>
      <c r="H82" s="188">
        <f t="shared" ref="H82" si="8">ROUND(F82*G82,2)</f>
        <v>24650</v>
      </c>
    </row>
    <row r="83" spans="1:11" ht="14.25">
      <c r="A83" s="56"/>
      <c r="B83" s="56"/>
      <c r="C83" s="56"/>
      <c r="D83" s="42"/>
      <c r="E83" s="57"/>
      <c r="F83" s="68"/>
      <c r="G83" s="189"/>
      <c r="H83" s="171"/>
    </row>
    <row r="84" spans="1:11" ht="15" thickBot="1">
      <c r="A84" s="56"/>
      <c r="B84" s="56"/>
      <c r="C84" s="56"/>
      <c r="D84" s="42"/>
      <c r="E84" s="57"/>
      <c r="F84" s="68"/>
      <c r="G84" s="189"/>
      <c r="H84" s="171"/>
    </row>
    <row r="85" spans="1:11" s="5" customFormat="1" ht="15.75" thickTop="1" thickBot="1">
      <c r="A85" s="124" t="e">
        <f>A3</f>
        <v>#REF!</v>
      </c>
      <c r="B85" s="125" t="str">
        <f>B3</f>
        <v>VI.</v>
      </c>
      <c r="C85" s="125"/>
      <c r="D85" s="122" t="str">
        <f>$D3</f>
        <v>FASADERSKI RADOVI</v>
      </c>
      <c r="E85" s="123" t="s">
        <v>2</v>
      </c>
      <c r="F85" s="126"/>
      <c r="G85" s="190"/>
      <c r="H85" s="168">
        <f>SUM(H23:H84)</f>
        <v>256859.4</v>
      </c>
      <c r="I85" s="23" t="s">
        <v>14</v>
      </c>
      <c r="J85" s="11" t="s">
        <v>11</v>
      </c>
      <c r="K85" s="11" t="s">
        <v>12</v>
      </c>
    </row>
  </sheetData>
  <customSheetViews>
    <customSheetView guid="{9EAD5B05-DC3D-4567-ADA7-D249344E2ED7}" showPageBreaks="1" printArea="1" view="pageBreakPreview" showRuler="0" topLeftCell="A235">
      <selection activeCell="K1" sqref="K1"/>
      <pageMargins left="0.94488188976377963" right="0.19685039370078741" top="0.98425196850393704" bottom="0.98425196850393704" header="0.51181102362204722" footer="0.51181102362204722"/>
      <pageSetup paperSize="9" orientation="portrait" horizontalDpi="4294967294" r:id="rId1"/>
      <headerFooter alignWithMargins="0">
        <oddHeader>&amp;L&amp;"Xpressive,Regular"&amp;16      &amp;"Xpressive,Regular Podebljano"STARUM&amp;C________________________________________________________________________________________&amp;R&amp;"FuturSans_PP,Normal"Pula, veljača 2006.</oddHeader>
        <oddFooter>&amp;C______________________________________________________________________________________&amp;R&amp;"FuturSans_PP,Normal"Broj projekta: 00000/06SA_&amp;P</oddFooter>
      </headerFooter>
    </customSheetView>
  </customSheetViews>
  <mergeCells count="16">
    <mergeCell ref="A1:C1"/>
    <mergeCell ref="D7:H7"/>
    <mergeCell ref="D5:H5"/>
    <mergeCell ref="D8:H8"/>
    <mergeCell ref="D9:H9"/>
    <mergeCell ref="D75:D79"/>
    <mergeCell ref="D80:D82"/>
    <mergeCell ref="D10:H10"/>
    <mergeCell ref="D11:H11"/>
    <mergeCell ref="D12:H12"/>
    <mergeCell ref="D13:H13"/>
    <mergeCell ref="D14:H14"/>
    <mergeCell ref="D15:H15"/>
    <mergeCell ref="D16:H16"/>
    <mergeCell ref="D17:H17"/>
    <mergeCell ref="D19:H21"/>
  </mergeCells>
  <phoneticPr fontId="0" type="noConversion"/>
  <hyperlinks>
    <hyperlink ref="J3" location="Sadržaj!A1" display="SADRŽAJ" xr:uid="{00000000-0004-0000-0C00-000000000000}"/>
    <hyperlink ref="K3" location="Rekapitulacija!A9" display="REKAPITULACIJA" xr:uid="{00000000-0004-0000-0C00-000001000000}"/>
    <hyperlink ref="I3" location="'Završni z.r.'!A241" display="DNO" xr:uid="{00000000-0004-0000-0C00-000002000000}"/>
    <hyperlink ref="J1" location="'Bravarski r.'!A1" display="&lt; NAZAD" xr:uid="{00000000-0004-0000-0C00-000003000000}"/>
    <hyperlink ref="K1" location="'Gipsarski r.'!A1" display="NAPRIJED &gt;" xr:uid="{00000000-0004-0000-0C00-000004000000}"/>
    <hyperlink ref="I85" location="'Završni z.r.'!I1" display="VRH" xr:uid="{00000000-0004-0000-0C00-000005000000}"/>
    <hyperlink ref="K85" location="Rekapitulacija!A9" display="REKAPITULACIJA" xr:uid="{00000000-0004-0000-0C00-000006000000}"/>
    <hyperlink ref="J85" location="Sadržaj!A1" display="SADRŽAJ" xr:uid="{00000000-0004-0000-0C00-000007000000}"/>
  </hyperlinks>
  <pageMargins left="0.82677165354330717" right="0.39370078740157483" top="0.94399999999999995" bottom="1.3779527559055118" header="0.51181102362204722" footer="0.51181102362204722"/>
  <pageSetup paperSize="9" scale="40" orientation="portrait" horizontalDpi="4294967294" r:id="rId2"/>
  <headerFooter alignWithMargins="0">
    <oddHeader>&amp;C&amp;"Arial,Bold"&amp;8VIŠESTAMBENA ZGRADA
&amp;"Arial,Regular"TROŠKOVNIK G.O.R.</oddHeader>
    <oddFooter>&amp;L&amp;"Segoe UI,Regular"&amp;8Izradio:
&amp;"Segoe UI,Bold"Urbane ideje d.o.o.
Samobor&amp;R&amp;"Segoe UI,Regular"&amp;8Investitor:
&amp;"Segoe UI,Bold"PLIMA PROJEKTI d.o.o.&amp;"Segoe UI,Regular"
OIB: 76934770405</oddFooter>
  </headerFooter>
  <rowBreaks count="3" manualBreakCount="3">
    <brk id="22" max="7" man="1"/>
    <brk id="61" max="7" man="1"/>
    <brk id="74"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K30"/>
  <sheetViews>
    <sheetView view="pageBreakPreview" zoomScaleNormal="100" zoomScaleSheetLayoutView="100" workbookViewId="0">
      <selection activeCell="F19" sqref="F19"/>
    </sheetView>
  </sheetViews>
  <sheetFormatPr defaultRowHeight="12.75"/>
  <cols>
    <col min="1" max="1" width="3.7109375" style="3" customWidth="1"/>
    <col min="2" max="2" width="5.42578125" style="6" customWidth="1"/>
    <col min="3" max="3" width="4.140625" style="3" bestFit="1" customWidth="1"/>
    <col min="4" max="4" width="35" style="3" customWidth="1"/>
    <col min="5" max="5" width="7.42578125" style="3" bestFit="1" customWidth="1"/>
    <col min="6" max="6" width="17.42578125" style="26" customWidth="1"/>
    <col min="7" max="7" width="5.28515625" style="36" bestFit="1" customWidth="1"/>
    <col min="8" max="8" width="14.7109375" style="6" customWidth="1"/>
    <col min="9" max="9" width="20.140625" style="6" customWidth="1"/>
    <col min="10" max="10" width="18.140625" style="3" bestFit="1" customWidth="1"/>
    <col min="11" max="16384" width="9.140625" style="3"/>
  </cols>
  <sheetData>
    <row r="1" spans="1:10" ht="14.25" thickTop="1" thickBot="1">
      <c r="B1" s="27" t="s">
        <v>119</v>
      </c>
      <c r="D1" s="19" t="s">
        <v>20</v>
      </c>
      <c r="E1" s="19"/>
      <c r="G1" s="34"/>
      <c r="H1" s="22" t="s">
        <v>3</v>
      </c>
      <c r="I1" s="21" t="s">
        <v>4</v>
      </c>
      <c r="J1" s="9" t="s">
        <v>32</v>
      </c>
    </row>
    <row r="2" spans="1:10" ht="15.75" thickTop="1" thickBot="1">
      <c r="B2" s="48"/>
      <c r="C2" s="49"/>
      <c r="D2" s="44"/>
      <c r="E2" s="44"/>
      <c r="F2" s="66"/>
      <c r="G2" s="128"/>
      <c r="I2" s="30"/>
      <c r="J2" s="30"/>
    </row>
    <row r="3" spans="1:10" s="2" customFormat="1" ht="16.5" thickTop="1" thickBot="1">
      <c r="A3" s="8"/>
      <c r="B3" s="51" t="s">
        <v>5</v>
      </c>
      <c r="C3" s="52"/>
      <c r="D3" s="50" t="s">
        <v>6</v>
      </c>
      <c r="E3" s="50"/>
      <c r="F3" s="80" t="s">
        <v>40</v>
      </c>
      <c r="G3" s="129"/>
      <c r="H3" s="28" t="s">
        <v>13</v>
      </c>
      <c r="I3" s="9" t="s">
        <v>11</v>
      </c>
      <c r="J3" s="21" t="s">
        <v>42</v>
      </c>
    </row>
    <row r="4" spans="1:10" s="2" customFormat="1" ht="15.75" thickTop="1">
      <c r="A4" s="8"/>
      <c r="B4" s="51"/>
      <c r="C4" s="52"/>
      <c r="D4" s="50"/>
      <c r="E4" s="50"/>
      <c r="F4" s="80"/>
      <c r="G4" s="129"/>
      <c r="H4" s="37"/>
      <c r="I4" s="37"/>
    </row>
    <row r="5" spans="1:10" s="2" customFormat="1" ht="15">
      <c r="A5" s="8"/>
      <c r="B5" s="130" t="s">
        <v>19</v>
      </c>
      <c r="C5" s="52"/>
      <c r="D5" s="53" t="s">
        <v>41</v>
      </c>
      <c r="E5" s="50"/>
      <c r="F5" s="80"/>
      <c r="G5" s="129"/>
      <c r="H5" s="37"/>
      <c r="I5" s="37"/>
    </row>
    <row r="6" spans="1:10" ht="15" customHeight="1">
      <c r="B6" s="57"/>
      <c r="C6" s="44"/>
      <c r="D6" s="44"/>
      <c r="E6" s="44"/>
      <c r="F6" s="66"/>
      <c r="G6" s="128"/>
    </row>
    <row r="7" spans="1:10" ht="15" customHeight="1">
      <c r="B7" s="57" t="e">
        <f>#REF!</f>
        <v>#REF!</v>
      </c>
      <c r="C7" s="44" t="s">
        <v>145</v>
      </c>
      <c r="D7" s="44" t="s">
        <v>51</v>
      </c>
      <c r="E7" s="44"/>
      <c r="F7" s="171">
        <f>SUM('Fasaderski r.'!H85)</f>
        <v>256859.4</v>
      </c>
      <c r="G7" s="128"/>
      <c r="I7" s="12" t="s">
        <v>29</v>
      </c>
    </row>
    <row r="8" spans="1:10" s="5" customFormat="1" ht="15" customHeight="1">
      <c r="B8" s="46"/>
      <c r="C8" s="44"/>
      <c r="D8" s="53"/>
      <c r="E8" s="53"/>
      <c r="F8" s="63"/>
      <c r="G8" s="128"/>
      <c r="H8" s="6"/>
      <c r="J8" s="3"/>
    </row>
    <row r="9" spans="1:10" s="5" customFormat="1" ht="15" customHeight="1">
      <c r="B9" s="46"/>
      <c r="C9" s="44"/>
      <c r="D9" s="53"/>
      <c r="E9" s="53"/>
      <c r="F9" s="63"/>
      <c r="G9" s="128"/>
      <c r="H9" s="6"/>
      <c r="J9" s="3"/>
    </row>
    <row r="10" spans="1:10" s="1" customFormat="1" ht="15" customHeight="1">
      <c r="B10" s="48"/>
      <c r="C10" s="49"/>
      <c r="D10" s="49"/>
      <c r="E10" s="49"/>
      <c r="F10" s="127"/>
      <c r="G10" s="128"/>
      <c r="H10" s="19"/>
    </row>
    <row r="11" spans="1:10" s="4" customFormat="1" ht="17.25">
      <c r="B11" s="132"/>
      <c r="C11" s="133"/>
      <c r="D11" s="134" t="s">
        <v>21</v>
      </c>
      <c r="E11" s="226">
        <f>F7</f>
        <v>256859.4</v>
      </c>
      <c r="F11" s="226"/>
      <c r="G11" s="131"/>
      <c r="H11" s="6"/>
    </row>
    <row r="12" spans="1:10" s="4" customFormat="1" ht="15">
      <c r="B12" s="57"/>
      <c r="C12" s="44"/>
      <c r="D12" s="135"/>
      <c r="E12" s="172"/>
      <c r="F12" s="173"/>
      <c r="G12" s="138"/>
    </row>
    <row r="13" spans="1:10" s="4" customFormat="1" ht="15">
      <c r="B13" s="139"/>
      <c r="C13" s="140"/>
      <c r="D13" s="141"/>
      <c r="E13" s="174"/>
      <c r="F13" s="175"/>
      <c r="G13" s="143"/>
    </row>
    <row r="14" spans="1:10">
      <c r="B14" s="139"/>
      <c r="C14" s="140"/>
      <c r="D14" s="141"/>
      <c r="E14" s="174"/>
      <c r="F14" s="175"/>
      <c r="G14" s="143"/>
      <c r="I14" s="3"/>
    </row>
    <row r="15" spans="1:10" s="31" customFormat="1" ht="14.25">
      <c r="B15" s="57"/>
      <c r="C15" s="44"/>
      <c r="D15" s="144" t="s">
        <v>39</v>
      </c>
      <c r="E15" s="176">
        <v>0.25</v>
      </c>
      <c r="F15" s="177">
        <f>0.25*E11</f>
        <v>64214.85</v>
      </c>
      <c r="G15" s="128"/>
      <c r="H15" s="33"/>
    </row>
    <row r="16" spans="1:10" s="31" customFormat="1" ht="14.25">
      <c r="B16" s="57"/>
      <c r="C16" s="44"/>
      <c r="D16" s="144"/>
      <c r="E16" s="176"/>
      <c r="F16" s="177"/>
      <c r="G16" s="143"/>
      <c r="H16" s="33"/>
    </row>
    <row r="17" spans="2:11" ht="17.25">
      <c r="B17" s="57"/>
      <c r="C17" s="44"/>
      <c r="D17" s="145" t="s">
        <v>151</v>
      </c>
      <c r="E17" s="225">
        <f>SUM(F15,E11)</f>
        <v>321074.25</v>
      </c>
      <c r="F17" s="225"/>
      <c r="G17" s="131"/>
      <c r="I17" s="3"/>
    </row>
    <row r="18" spans="2:11" ht="14.25">
      <c r="B18" s="58"/>
      <c r="C18" s="82"/>
      <c r="D18" s="135"/>
      <c r="E18" s="136"/>
      <c r="F18" s="137"/>
      <c r="G18" s="138"/>
      <c r="I18" s="3"/>
    </row>
    <row r="19" spans="2:11" ht="12" customHeight="1">
      <c r="B19" s="139"/>
      <c r="C19" s="140"/>
      <c r="D19" s="141"/>
      <c r="E19" s="140"/>
      <c r="F19" s="142"/>
      <c r="G19" s="143"/>
      <c r="I19" s="3"/>
    </row>
    <row r="20" spans="2:11" s="18" customFormat="1" ht="12.75" hidden="1" customHeight="1">
      <c r="B20" s="57"/>
      <c r="C20" s="44"/>
      <c r="D20" s="44"/>
      <c r="E20" s="44"/>
      <c r="F20" s="44"/>
      <c r="G20" s="146"/>
      <c r="H20" s="10"/>
    </row>
    <row r="21" spans="2:11" s="31" customFormat="1" ht="12.75" hidden="1" customHeight="1">
      <c r="B21" s="57"/>
      <c r="C21" s="44"/>
      <c r="D21" s="44"/>
      <c r="E21" s="44"/>
      <c r="F21" s="44"/>
      <c r="G21" s="72"/>
      <c r="H21" s="33"/>
    </row>
    <row r="22" spans="2:11" ht="14.25">
      <c r="B22" s="57"/>
      <c r="C22" s="44"/>
      <c r="D22" s="44"/>
      <c r="E22" s="81"/>
      <c r="F22" s="66"/>
      <c r="G22" s="147"/>
      <c r="I22" s="3"/>
    </row>
    <row r="23" spans="2:11" ht="14.25">
      <c r="B23" s="57"/>
      <c r="C23" s="44"/>
      <c r="D23" s="151" t="s">
        <v>150</v>
      </c>
      <c r="E23" s="148"/>
      <c r="F23" s="66"/>
      <c r="G23" s="147"/>
      <c r="I23" s="3"/>
    </row>
    <row r="24" spans="2:11" s="18" customFormat="1" ht="16.5" customHeight="1">
      <c r="B24" s="58"/>
      <c r="C24" s="82"/>
      <c r="D24" s="156" t="s">
        <v>91</v>
      </c>
      <c r="E24" s="159"/>
      <c r="F24" s="160"/>
      <c r="G24" s="149"/>
      <c r="H24" s="10"/>
    </row>
    <row r="25" spans="2:11" ht="17.25" customHeight="1">
      <c r="B25" s="57"/>
      <c r="C25" s="44"/>
      <c r="D25" s="150"/>
      <c r="E25" s="150"/>
      <c r="F25" s="44"/>
      <c r="G25" s="146"/>
      <c r="I25" s="3"/>
    </row>
    <row r="26" spans="2:11" ht="15" thickBot="1">
      <c r="D26" s="151" t="s">
        <v>38</v>
      </c>
      <c r="E26" s="13"/>
      <c r="F26" s="15"/>
      <c r="G26" s="32"/>
    </row>
    <row r="27" spans="2:11" s="18" customFormat="1" ht="17.25" thickTop="1" thickBot="1">
      <c r="B27" s="10"/>
      <c r="D27" s="156" t="s">
        <v>87</v>
      </c>
      <c r="E27" s="157"/>
      <c r="F27" s="158"/>
      <c r="G27" s="32"/>
      <c r="H27" s="9" t="s">
        <v>14</v>
      </c>
      <c r="I27" s="9" t="s">
        <v>11</v>
      </c>
    </row>
    <row r="28" spans="2:11" ht="13.5" thickTop="1">
      <c r="D28" s="14"/>
      <c r="E28" s="14"/>
      <c r="F28" s="3"/>
      <c r="G28" s="35"/>
    </row>
    <row r="30" spans="2:11">
      <c r="D30" s="16"/>
      <c r="E30" s="16"/>
      <c r="K30" s="7"/>
    </row>
  </sheetData>
  <customSheetViews>
    <customSheetView guid="{9EAD5B05-DC3D-4567-ADA7-D249344E2ED7}" showPageBreaks="1" printArea="1" view="pageBreakPreview" showRuler="0" topLeftCell="A7">
      <selection activeCell="G32" sqref="G32"/>
      <pageMargins left="0.94488188976377963" right="0.19685039370078741" top="0.98425196850393704" bottom="0.98425196850393704" header="0.51181102362204722" footer="0.51181102362204722"/>
      <pageSetup paperSize="9" orientation="portrait" horizontalDpi="4294967294" r:id="rId1"/>
      <headerFooter alignWithMargins="0">
        <oddHeader>&amp;L&amp;"Xpressive,Regular"&amp;16      &amp;"Xpressive,Regular Podebljano"STARUM&amp;C________________________________________________________________________________________&amp;R&amp;"FuturSans_PP,Normal"Pula, veljača 2006.</oddHeader>
        <oddFooter>&amp;C______________________________________________________________________________________&amp;R&amp;"FuturSans_PP,Normal"Broj projekta: 00000/06SA_&amp;P</oddFooter>
      </headerFooter>
    </customSheetView>
  </customSheetViews>
  <mergeCells count="2">
    <mergeCell ref="E17:F17"/>
    <mergeCell ref="E11:F11"/>
  </mergeCells>
  <phoneticPr fontId="0" type="noConversion"/>
  <hyperlinks>
    <hyperlink ref="I3" location="Sadržaj!A1" display="SADRŽAJ" xr:uid="{00000000-0004-0000-1100-000000000000}"/>
    <hyperlink ref="H3" location="Rekapitulacija!A29" display="DNO" xr:uid="{00000000-0004-0000-1100-000001000000}"/>
    <hyperlink ref="H1" location="oprema!A1" display="&lt; NAZAD" xr:uid="{00000000-0004-0000-1100-000002000000}"/>
    <hyperlink ref="J1" location="Pocetak!A1" display="POCETAK &gt;" xr:uid="{00000000-0004-0000-1100-000003000000}"/>
    <hyperlink ref="I27" location="Sadržaj!A1" display="SADRŽAJ" xr:uid="{00000000-0004-0000-1100-000004000000}"/>
    <hyperlink ref="I7" location="'Gipsarski r.'!A1" display="Gipsarski radovi" xr:uid="{00000000-0004-0000-1100-00000B000000}"/>
    <hyperlink ref="H27" location="Rekapitulacija!A1" display="VRH" xr:uid="{00000000-0004-0000-1100-00000F000000}"/>
    <hyperlink ref="I1" location="ViK!A1" display="NAPRIJED &gt;" xr:uid="{00000000-0004-0000-1100-000011000000}"/>
    <hyperlink ref="J3" location="'Rekapitulacija (2)'!A1" display="REKAPITULACIJA 2" xr:uid="{00000000-0004-0000-1100-000012000000}"/>
  </hyperlinks>
  <pageMargins left="0.82677165354330717" right="0.39370078740157483" top="0.88900000000000001" bottom="1.3779527559055118" header="0.51181102362204722" footer="0.51181102362204722"/>
  <pageSetup paperSize="9" scale="84" orientation="portrait" horizontalDpi="4294967294" r:id="rId2"/>
  <headerFooter alignWithMargins="0">
    <oddHeader>&amp;C&amp;"Segoe UI,Bold"&amp;9VIŠESTAMBENA ZGRADA
&amp;"Segoe UI,Regular"TROŠKOVNIK G.O.R.</oddHeader>
    <oddFooter>&amp;L&amp;"Segoe UI,Regular"&amp;8Izradio:
&amp;"Segoe UI,Bold"Urbane ideje d.o.o.
Samobor&amp;R&amp;"Segoe UI,Regular"&amp;8Investitor:
&amp;"Segoe UI,Bold"PLIMA PROJEKTI d.o.o.&amp;"Segoe UI,Regular"
OIB: 76934770405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NASLOVNICA </vt:lpstr>
      <vt:lpstr>OPCI UVJETI</vt:lpstr>
      <vt:lpstr>Sadržaj </vt:lpstr>
      <vt:lpstr>Fasaderski r.</vt:lpstr>
      <vt:lpstr>Rekapitulacija</vt:lpstr>
      <vt:lpstr>'Fasaderski r.'!Print_Area</vt:lpstr>
      <vt:lpstr>'NASLOVNICA '!Print_Area</vt:lpstr>
      <vt:lpstr>'OPCI UVJETI'!Print_Area</vt:lpstr>
      <vt:lpstr>Rekapitulacija!Print_Area</vt:lpstr>
      <vt:lpstr>'Sadržaj '!Print_Area</vt:lpstr>
      <vt:lpstr>'Fasaderski r.'!Print_Titles</vt:lpstr>
      <vt:lpstr>Rekapitulacija!Print_Titles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marijana brezak</dc:creator>
  <cp:lastModifiedBy>Ivan Cakaric</cp:lastModifiedBy>
  <cp:lastPrinted>2022-11-14T10:22:22Z</cp:lastPrinted>
  <dcterms:created xsi:type="dcterms:W3CDTF">2004-03-26T08:59:49Z</dcterms:created>
  <dcterms:modified xsi:type="dcterms:W3CDTF">2026-05-21T16:24:45Z</dcterms:modified>
</cp:coreProperties>
</file>