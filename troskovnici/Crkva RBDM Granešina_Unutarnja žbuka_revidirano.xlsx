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R:\Polimerni svijet Granešina\"/>
    </mc:Choice>
  </mc:AlternateContent>
  <xr:revisionPtr revIDLastSave="0" documentId="13_ncr:1_{BD15767D-081E-474A-89F5-5B6D2AF52AAA}" xr6:coauthVersionLast="47" xr6:coauthVersionMax="47" xr10:uidLastSave="{00000000-0000-0000-0000-000000000000}"/>
  <bookViews>
    <workbookView xWindow="25170" yWindow="2730" windowWidth="19665" windowHeight="19890" xr2:uid="{00000000-000D-0000-FFFF-FFFF00000000}"/>
  </bookViews>
  <sheets>
    <sheet name="Sheet1" sheetId="1" r:id="rId1"/>
  </sheets>
  <calcPr calcId="191029"/>
</workbook>
</file>

<file path=xl/calcChain.xml><?xml version="1.0" encoding="utf-8"?>
<calcChain xmlns="http://schemas.openxmlformats.org/spreadsheetml/2006/main">
  <c r="F43" i="1" l="1"/>
  <c r="F41" i="1"/>
  <c r="F39" i="1"/>
  <c r="F37" i="1"/>
  <c r="F35" i="1"/>
  <c r="F33" i="1"/>
  <c r="F31" i="1"/>
  <c r="F15" i="1"/>
  <c r="F23" i="1"/>
  <c r="F57" i="1"/>
  <c r="F13" i="1"/>
  <c r="F61" i="1" l="1"/>
</calcChain>
</file>

<file path=xl/sharedStrings.xml><?xml version="1.0" encoding="utf-8"?>
<sst xmlns="http://schemas.openxmlformats.org/spreadsheetml/2006/main" count="78" uniqueCount="60">
  <si>
    <t>Stavka</t>
  </si>
  <si>
    <t>OPIS STAVKE</t>
  </si>
  <si>
    <t>Jedinica mjere</t>
  </si>
  <si>
    <t>Količina</t>
  </si>
  <si>
    <t>Jedinična cijena</t>
  </si>
  <si>
    <t>Cijena</t>
  </si>
  <si>
    <t>A.05.02.</t>
  </si>
  <si>
    <t>Žbukanje unutarnjih zidova vapnenom žbukom grube i fine granulacije.</t>
  </si>
  <si>
    <t>Izvodi se parcijalno na mjestima nedostajuće, otpale, obijene ili trusne žbuke prema pregledu i uputi na licu mjesta.</t>
  </si>
  <si>
    <t>Dobava i ugradnja žbuke grube i fine granulacije na bazi prirodnog hidrauličkog vapna. Ukupna debljina sloja prosječno do 4cm debljine. Žbukanje se izvodi na mjestima nedostajuće, otpale ili trusne žbuke prema pregledu i uputi na licu mjesta.
Žbuka se ugrađuje isključivo ručnim postupkom.</t>
  </si>
  <si>
    <t>U cijenu stavke uključena žbuka grube i fine granulacije te fino zaravnavanje svih neravnina, maksimalna debljina žbuke točkasto do 6cm. Žbuka se nanosi u dva sloja, s tim da se ukupna debljina mora prilagoditi debljini postojeće okolne žbuke.</t>
  </si>
  <si>
    <t>Gornji fini sloj izvodi se vapnenom žbukom, omjera vapno : fini pijesak 1 :3 , frakcija pijeska 0-2 mm, debljina sloja 0,5-1 cm. Fini sloj se mora zagladiti.</t>
  </si>
  <si>
    <t>Kod nanošenja u više slojeva drugi sloj nanositi uvijek na prethodno očvrsli i nahrapavljen sloj navlažen vodom kroz 2-3 dana.</t>
  </si>
  <si>
    <t>Za kvalitetu žbuke izvoditelj je dužan pribaviti stručni nalaz i mišljenje ovlaštene ustanove za ispitivanje kvalitete žbuke, što je obuhvaćeno jediničnom cijenom stavke.</t>
  </si>
  <si>
    <t>U cijenu je uključena dobava materijala,  spravljanje, nanošenje i zaglađivanje žbuke, te svi pomoćni materijali, alati, radovi i transporti. Rad na manjim segmentima, odnosno parcijalnost izvedbe je uključena u cijenu stavke.</t>
  </si>
  <si>
    <t>Radove izvoditi prema uputstvu proizvođača i uvjetima nadležnog konzervatorskog odjela.</t>
  </si>
  <si>
    <t>Obračun po m2 parcijalno izvedene grube i fine žbuke.</t>
  </si>
  <si>
    <t>Rad</t>
  </si>
  <si>
    <t>m2</t>
  </si>
  <si>
    <t>A.05.03.</t>
  </si>
  <si>
    <t>Žbukanje podnožja unutarnjih zidova crkve finom sanacijskom isušujućom žbukom na bazi NHL.</t>
  </si>
  <si>
    <t>Dobava i ugradnja grube i fine sanacijske isušujuće žbuke na bazi prirodnog hidrauličkog vapna velike paropropusnosti s hidrauličkim djelovanjem (klase GP, prema EN 998-1 ili jednakovrijedno, prionjivost min. 0.2 MPa prema EN 1015-12 ili jednakovrijedno, µ &lt; 15 prema EN 1015-19 ili jednakovrijedno, Dmax = 0,6mm).
Žbuka se ugrađuje ručnim postupkom.</t>
  </si>
  <si>
    <t>Ukupna debljina sloja prosječno do 4cm debljine. Žbukanje se izvodi u zoni od cca 1,0 m od kote gotovog poda.
Žbuka se ugrađuje isključivo ručnim postupkom.</t>
  </si>
  <si>
    <t>Žbuka se nanosi u dva sloja, s tim da se ukupna debljina mora prilagoditi debljini postojeće okolne žbuke.</t>
  </si>
  <si>
    <r>
      <rPr>
        <sz val="8"/>
        <rFont val="Arial"/>
        <family val="2"/>
        <charset val="238"/>
      </rPr>
      <t>Obračun se vrši po m</t>
    </r>
    <r>
      <rPr>
        <vertAlign val="superscript"/>
        <sz val="8"/>
        <rFont val="Arial"/>
        <family val="2"/>
        <charset val="238"/>
      </rPr>
      <t>2</t>
    </r>
    <r>
      <rPr>
        <sz val="8"/>
        <rFont val="Arial"/>
        <family val="2"/>
        <charset val="238"/>
      </rPr>
      <t>. Sve dodatke na složenost uključiti u jedinične cijene.</t>
    </r>
  </si>
  <si>
    <t>A.05.05.</t>
  </si>
  <si>
    <t>Izrada vučenih profilacija u interijeru.</t>
  </si>
  <si>
    <t>Stavka obuhvaća izradu vapnene žbuke u dva sloja na vučenim žbukanim profilacijama u interijeru.</t>
  </si>
  <si>
    <t>Šablone za izradu profilacija prema postojećim profilacijama, posebno za grubu i posebno za finu žbuku, uključene su u cijenu ove stavke. Pri izvedbi je obavezna izrada i uporaba vodilica, što je uključeno u stavku.</t>
  </si>
  <si>
    <t xml:space="preserve">Uključena izrada šablone i vodilice za povlačenje šablona. Šablonu treba odobriti nadležni konzervator uprave za zaštitu spomenika kulture. Šablona se obračunava po jednom kompletu za jednu profilaciju, bez obzira na broj pomoćnih šablona za grubu i finu žbuku. </t>
  </si>
  <si>
    <t>Posebnu pažnju obratiti na pravilnu izvedbu obrata s jasnim i oštrim bridovima.</t>
  </si>
  <si>
    <t>Obračun vučenih profilacija po m1 srednje linije profilacije bez ikakvih drugih dodataka na rubove unutar profilacija, promjene smjera i završetke.</t>
  </si>
  <si>
    <t>a/ Razdjelni vijenac na pjevalištu</t>
  </si>
  <si>
    <t>m1</t>
  </si>
  <si>
    <t>r.š.= 18cm, h=12cm, 10 obrata</t>
  </si>
  <si>
    <t>b/ Razdjelni vijenac na pjevalištu</t>
  </si>
  <si>
    <t>r.š.= 4,5cm, h=3cm, 10 obrata</t>
  </si>
  <si>
    <t>c/ Zaključni vijenac na ogradi pjevališta</t>
  </si>
  <si>
    <t>r.š.= 45cm, h=26cm, bez obrata</t>
  </si>
  <si>
    <t>d/ Razdjelni vijenac na ogradi pjevališta</t>
  </si>
  <si>
    <t>r.š.= 50cm, h=23cm, bez obrata</t>
  </si>
  <si>
    <t>e/ Jednostavna profilacija kazeta na ogradi pjevališta</t>
  </si>
  <si>
    <t>r.š.= 12 cm, h=6cm, bez obrata</t>
  </si>
  <si>
    <t>f/ profilacije špaleta okulusa</t>
  </si>
  <si>
    <t>r.š.= 45 cm, h=30cm, bez obrata, kružna</t>
  </si>
  <si>
    <t>g/ profilacije sokla oltarnih menzi</t>
  </si>
  <si>
    <t>A.05.06.</t>
  </si>
  <si>
    <t>Žbukanje unutarnjih svodova  i svodnih pojasnica vapnenom žbukom grube i fine granulacije.</t>
  </si>
  <si>
    <t>Izvodi se na novim ferocementnim svodovima i na novim ab lučnim gredama.</t>
  </si>
  <si>
    <t>Dobava i ugradnja vapnene žbuke grube i fine granulacije na bazi prirodnog hidrauličkog vapna. Ukupna debljina sloja do 3cm debljine. 
Žbuka se ugrađuje isključivo ručnim postupkom.</t>
  </si>
  <si>
    <t>U cijenu stavke uključena žbuka grube i fine granulacije.</t>
  </si>
  <si>
    <t>Gornji fini sloj izvodi se vapnenom žbukom, omjera vapno : fini pijesak 1:3, frakcija pijeska 0-2 mm, debljina sloja 0,5-1 cm. Fini sloj se mora zagladiti.</t>
  </si>
  <si>
    <t>U cijenu je uključena dobava materijala,  spravljanje, nanošenje i zaglađivanje žbuke, te svi pomoćni materijali, alati, radovi i transporti. Rad na visini s prostorne skele.</t>
  </si>
  <si>
    <t>U cijeni stavke su sve potrebne predradnje koje je potrebno izvršiti, kao i sav potreban rad, materijal i radna skela.</t>
  </si>
  <si>
    <t>Površina svodova iskazuje se tlocrtnom projekcijom svodova, realna površina svodova je 5-10% veća, razliku u površini potrebno je uračunati u jediničnu cijenu stavke.</t>
  </si>
  <si>
    <t>UKUPNO:</t>
  </si>
  <si>
    <t>A.05.02.b</t>
  </si>
  <si>
    <t>Žbukanje unutarnjih svodova prizemlja vapnenom žbukom grube i fine granulacije.</t>
  </si>
  <si>
    <t>Nudimo: Rofix Renopus kao podložna žbuka koja se nanosi u sloju do 30 mm, te se poravna leptirom, gleterom ili letvom i sljedeći dan se struže.Ukoliko je debljina žbuke veća od 30 mm drugi sloj se nanosi nakon sušenja od cca 14 dana. Na predhodno izvedenu podložnu žbuku nanosi se sloj Renostar žbuke u debljini do 4mm koji se gleta i služi kao priprema za daljnju obradu. Za oslikavanje žbuke potrebna je daljnja obrada gletanja što nije u cijeni.</t>
  </si>
  <si>
    <t>Nudimo Renoplus i Renostar finu obradu. Snimanje i izrada šablona nije u cijeni.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</si>
</sst>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 #,##0.00\ [$€]_-;_-* &quot;-&quot;??\ [$€]_-;_-@"/>
    <numFmt numFmtId="165" formatCode="&quot;6.&quot;##&quot;.&quot;"/>
    <numFmt numFmtId="166" formatCode="@\."/>
    <numFmt numFmtId="167" formatCode="_-* #,##0.00\ [$€-1]_-;\-* #,##0.00\ [$€-1]_-;_-* &quot;-&quot;??\ [$€-1]_-;_-@_-"/>
  </numFmts>
  <fonts count="10" x14ac:knownFonts="1">
    <font>
      <sz val="11"/>
      <name val="Calibri"/>
      <scheme val="minor"/>
    </font>
    <font>
      <sz val="7"/>
      <name val="Arial"/>
      <family val="2"/>
      <charset val="238"/>
    </font>
    <font>
      <b/>
      <sz val="8"/>
      <name val="Arial"/>
      <family val="2"/>
      <charset val="238"/>
    </font>
    <font>
      <sz val="8"/>
      <name val="Arial"/>
      <family val="2"/>
      <charset val="238"/>
    </font>
    <font>
      <vertAlign val="superscript"/>
      <sz val="8"/>
      <name val="Arial"/>
      <family val="2"/>
      <charset val="238"/>
    </font>
    <font>
      <b/>
      <sz val="8"/>
      <color rgb="FFFF0000"/>
      <name val="Arial"/>
      <family val="2"/>
      <charset val="238"/>
    </font>
    <font>
      <sz val="8"/>
      <name val="Arial"/>
      <family val="2"/>
      <charset val="238"/>
    </font>
    <font>
      <sz val="11"/>
      <name val="Calibri"/>
      <family val="2"/>
      <charset val="238"/>
      <scheme val="minor"/>
    </font>
    <font>
      <b/>
      <u/>
      <sz val="11"/>
      <name val="Calibri"/>
      <family val="2"/>
      <charset val="238"/>
      <scheme val="minor"/>
    </font>
    <font>
      <b/>
      <sz val="8"/>
      <name val="Arial"/>
      <family val="2"/>
      <charset val="238"/>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readingOrder="1"/>
    </xf>
    <xf numFmtId="4" fontId="1" fillId="0" borderId="1" xfId="0" applyNumberFormat="1" applyFont="1" applyBorder="1" applyAlignment="1">
      <alignment horizontal="center" vertical="center" wrapText="1" readingOrder="1"/>
    </xf>
    <xf numFmtId="0" fontId="2" fillId="0" borderId="0" xfId="0" applyFont="1" applyAlignment="1">
      <alignment horizontal="left" vertical="top" wrapText="1" readingOrder="1"/>
    </xf>
    <xf numFmtId="0" fontId="2" fillId="0" borderId="0" xfId="0" applyFont="1" applyAlignment="1">
      <alignment horizontal="left" vertical="center" wrapText="1" readingOrder="1"/>
    </xf>
    <xf numFmtId="164" fontId="3" fillId="0" borderId="0" xfId="0" applyNumberFormat="1" applyFont="1" applyAlignment="1">
      <alignment horizontal="right"/>
    </xf>
    <xf numFmtId="4" fontId="3" fillId="0" borderId="0" xfId="0" applyNumberFormat="1" applyFont="1" applyAlignment="1">
      <alignment horizontal="right" wrapText="1"/>
    </xf>
    <xf numFmtId="4" fontId="3" fillId="0" borderId="0" xfId="0" applyNumberFormat="1" applyFont="1" applyAlignment="1">
      <alignment horizontal="right" wrapText="1" readingOrder="1"/>
    </xf>
    <xf numFmtId="0" fontId="3" fillId="0" borderId="0" xfId="0" applyFont="1" applyAlignment="1">
      <alignment horizontal="left" vertical="top" wrapText="1" readingOrder="1"/>
    </xf>
    <xf numFmtId="0" fontId="3" fillId="0" borderId="0" xfId="0" applyFont="1" applyAlignment="1">
      <alignment horizontal="left" vertical="center" wrapText="1" readingOrder="1"/>
    </xf>
    <xf numFmtId="165" fontId="3" fillId="0" borderId="0" xfId="0" applyNumberFormat="1" applyFont="1" applyAlignment="1">
      <alignment horizontal="left" vertical="top" wrapText="1"/>
    </xf>
    <xf numFmtId="0" fontId="3" fillId="0" borderId="0" xfId="0" applyFont="1" applyAlignment="1">
      <alignment horizontal="left" vertical="center" wrapText="1"/>
    </xf>
    <xf numFmtId="0" fontId="3" fillId="0" borderId="0" xfId="0" applyFont="1" applyAlignment="1">
      <alignment horizontal="right"/>
    </xf>
    <xf numFmtId="0" fontId="3" fillId="0" borderId="0" xfId="0" applyFont="1" applyAlignment="1">
      <alignment horizontal="left" vertical="top"/>
    </xf>
    <xf numFmtId="165" fontId="3" fillId="0" borderId="0" xfId="0" applyNumberFormat="1" applyFont="1" applyAlignment="1">
      <alignment horizontal="left" vertical="top"/>
    </xf>
    <xf numFmtId="164" fontId="3" fillId="0" borderId="0" xfId="0" applyNumberFormat="1" applyFont="1" applyAlignment="1">
      <alignment horizontal="left" vertical="top"/>
    </xf>
    <xf numFmtId="166" fontId="2" fillId="0" borderId="0" xfId="0" applyNumberFormat="1" applyFont="1" applyAlignment="1">
      <alignment horizontal="left" vertical="top"/>
    </xf>
    <xf numFmtId="164" fontId="3" fillId="0" borderId="0" xfId="0" applyNumberFormat="1" applyFont="1" applyAlignment="1">
      <alignment horizontal="right" wrapText="1"/>
    </xf>
    <xf numFmtId="0" fontId="2" fillId="0" borderId="0" xfId="0" applyFont="1" applyAlignment="1">
      <alignment horizontal="left" vertical="center" wrapText="1"/>
    </xf>
    <xf numFmtId="0" fontId="3" fillId="0" borderId="0" xfId="0" applyFont="1" applyAlignment="1">
      <alignment horizontal="right" wrapText="1" readingOrder="1"/>
    </xf>
    <xf numFmtId="4" fontId="3" fillId="0" borderId="0" xfId="0" applyNumberFormat="1" applyFont="1" applyAlignment="1">
      <alignment horizontal="right"/>
    </xf>
    <xf numFmtId="0" fontId="3" fillId="0" borderId="0" xfId="0" applyFont="1" applyAlignment="1">
      <alignment horizontal="left" vertical="top" wrapText="1"/>
    </xf>
    <xf numFmtId="164" fontId="5" fillId="0" borderId="0" xfId="0" applyNumberFormat="1" applyFont="1" applyAlignment="1">
      <alignment horizontal="left" vertical="center" wrapText="1"/>
    </xf>
    <xf numFmtId="0" fontId="7" fillId="0" borderId="0" xfId="0" applyFont="1"/>
    <xf numFmtId="167" fontId="1" fillId="0" borderId="1" xfId="0" applyNumberFormat="1" applyFont="1" applyBorder="1" applyAlignment="1">
      <alignment horizontal="center" vertical="center" wrapText="1" readingOrder="1"/>
    </xf>
    <xf numFmtId="167" fontId="0" fillId="0" borderId="0" xfId="0" applyNumberFormat="1"/>
    <xf numFmtId="167" fontId="3" fillId="0" borderId="0" xfId="0" applyNumberFormat="1" applyFont="1" applyAlignment="1">
      <alignment horizontal="right" wrapText="1" readingOrder="1"/>
    </xf>
    <xf numFmtId="167" fontId="8" fillId="0" borderId="0" xfId="0" applyNumberFormat="1" applyFont="1"/>
    <xf numFmtId="0" fontId="9" fillId="0" borderId="0" xfId="0" applyFont="1" applyAlignment="1">
      <alignment horizontal="left" vertical="top" wrapText="1" readingOrder="1"/>
    </xf>
    <xf numFmtId="4" fontId="6" fillId="0" borderId="0" xfId="0" applyNumberFormat="1" applyFont="1" applyAlignment="1">
      <alignment horizontal="right" wrapText="1"/>
    </xf>
    <xf numFmtId="0" fontId="5" fillId="0" borderId="0" xfId="0" applyFont="1" applyAlignment="1">
      <alignment wrapText="1"/>
    </xf>
    <xf numFmtId="0" fontId="5" fillId="0" borderId="0" xfId="0" applyFont="1" applyAlignment="1">
      <alignment horizontal="left" vertical="center" wrapText="1"/>
    </xf>
  </cellXfs>
  <cellStyles count="1">
    <cellStyle name="Normal" xfId="0" builtinId="0"/>
  </cellStyles>
  <dxfs count="2">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topLeftCell="A37" zoomScale="130" zoomScaleNormal="130" workbookViewId="0">
      <selection activeCell="D49" sqref="D49"/>
    </sheetView>
  </sheetViews>
  <sheetFormatPr defaultColWidth="14.42578125" defaultRowHeight="15" x14ac:dyDescent="0.25"/>
  <cols>
    <col min="1" max="1" width="7.85546875" bestFit="1" customWidth="1"/>
    <col min="2" max="2" width="47.42578125" customWidth="1"/>
    <col min="3" max="3" width="5.85546875" bestFit="1" customWidth="1"/>
    <col min="4" max="4" width="5.7109375" bestFit="1" customWidth="1"/>
    <col min="5" max="5" width="10.5703125" bestFit="1" customWidth="1"/>
    <col min="6" max="6" width="12.7109375" style="25" bestFit="1" customWidth="1"/>
    <col min="7" max="11" width="8.7109375" customWidth="1"/>
  </cols>
  <sheetData>
    <row r="1" spans="1:6" ht="19.5" x14ac:dyDescent="0.25">
      <c r="A1" s="1" t="s">
        <v>0</v>
      </c>
      <c r="B1" s="1" t="s">
        <v>1</v>
      </c>
      <c r="C1" s="1" t="s">
        <v>2</v>
      </c>
      <c r="D1" s="2" t="s">
        <v>3</v>
      </c>
      <c r="E1" s="2" t="s">
        <v>4</v>
      </c>
      <c r="F1" s="24" t="s">
        <v>5</v>
      </c>
    </row>
    <row r="3" spans="1:6" ht="22.5" x14ac:dyDescent="0.25">
      <c r="A3" s="3" t="s">
        <v>6</v>
      </c>
      <c r="B3" s="4" t="s">
        <v>7</v>
      </c>
      <c r="C3" s="5"/>
      <c r="D3" s="6"/>
      <c r="E3" s="6"/>
      <c r="F3" s="26"/>
    </row>
    <row r="4" spans="1:6" ht="22.5" x14ac:dyDescent="0.25">
      <c r="A4" s="8"/>
      <c r="B4" s="9" t="s">
        <v>8</v>
      </c>
      <c r="C4" s="5"/>
      <c r="D4" s="6"/>
      <c r="E4" s="6"/>
      <c r="F4" s="26"/>
    </row>
    <row r="5" spans="1:6" ht="56.25" x14ac:dyDescent="0.25">
      <c r="A5" s="10"/>
      <c r="B5" s="11" t="s">
        <v>9</v>
      </c>
      <c r="C5" s="12"/>
      <c r="D5" s="6"/>
      <c r="E5" s="6"/>
      <c r="F5" s="26"/>
    </row>
    <row r="6" spans="1:6" ht="45" x14ac:dyDescent="0.25">
      <c r="A6" s="10"/>
      <c r="B6" s="11" t="s">
        <v>10</v>
      </c>
      <c r="C6" s="12"/>
      <c r="D6" s="6"/>
      <c r="E6" s="6"/>
      <c r="F6" s="26"/>
    </row>
    <row r="7" spans="1:6" ht="33.75" x14ac:dyDescent="0.25">
      <c r="A7" s="13"/>
      <c r="B7" s="11" t="s">
        <v>11</v>
      </c>
      <c r="C7" s="12"/>
      <c r="D7" s="6"/>
      <c r="E7" s="6"/>
      <c r="F7" s="26"/>
    </row>
    <row r="8" spans="1:6" ht="22.5" x14ac:dyDescent="0.25">
      <c r="A8" s="14"/>
      <c r="B8" s="11" t="s">
        <v>12</v>
      </c>
      <c r="C8" s="12"/>
      <c r="D8" s="6"/>
      <c r="E8" s="6"/>
      <c r="F8" s="26"/>
    </row>
    <row r="9" spans="1:6" ht="33.75" x14ac:dyDescent="0.25">
      <c r="A9" s="10"/>
      <c r="B9" s="11" t="s">
        <v>13</v>
      </c>
      <c r="C9" s="12"/>
      <c r="D9" s="6"/>
      <c r="E9" s="6"/>
      <c r="F9" s="26"/>
    </row>
    <row r="10" spans="1:6" ht="45" x14ac:dyDescent="0.25">
      <c r="A10" s="15"/>
      <c r="B10" s="11" t="s">
        <v>14</v>
      </c>
      <c r="C10" s="5"/>
      <c r="D10" s="6"/>
      <c r="E10" s="6"/>
      <c r="F10" s="26"/>
    </row>
    <row r="11" spans="1:6" ht="22.5" x14ac:dyDescent="0.25">
      <c r="A11" s="15"/>
      <c r="B11" s="11" t="s">
        <v>15</v>
      </c>
      <c r="C11" s="5"/>
      <c r="D11" s="6"/>
      <c r="E11" s="6"/>
      <c r="F11" s="26"/>
    </row>
    <row r="12" spans="1:6" x14ac:dyDescent="0.25">
      <c r="A12" s="15"/>
      <c r="B12" s="11" t="s">
        <v>16</v>
      </c>
      <c r="C12" s="5"/>
      <c r="D12" s="6"/>
      <c r="E12" s="6"/>
      <c r="F12" s="26"/>
    </row>
    <row r="13" spans="1:6" x14ac:dyDescent="0.25">
      <c r="A13" s="16"/>
      <c r="B13" s="11"/>
      <c r="C13" s="17" t="s">
        <v>18</v>
      </c>
      <c r="D13" s="6">
        <v>372.11</v>
      </c>
      <c r="E13" s="6">
        <v>65</v>
      </c>
      <c r="F13" s="26">
        <f>D13*E13</f>
        <v>24187.15</v>
      </c>
    </row>
    <row r="14" spans="1:6" ht="90" x14ac:dyDescent="0.25">
      <c r="A14" s="16"/>
      <c r="B14" s="31" t="s">
        <v>58</v>
      </c>
      <c r="C14" s="17"/>
      <c r="D14" s="6"/>
      <c r="E14" s="6"/>
      <c r="F14" s="26"/>
    </row>
    <row r="15" spans="1:6" ht="22.5" x14ac:dyDescent="0.25">
      <c r="A15" s="28" t="s">
        <v>56</v>
      </c>
      <c r="B15" s="4" t="s">
        <v>57</v>
      </c>
      <c r="C15" s="17" t="s">
        <v>18</v>
      </c>
      <c r="D15" s="6">
        <v>1</v>
      </c>
      <c r="E15" s="6">
        <v>79</v>
      </c>
      <c r="F15" s="26">
        <f>D15*E15</f>
        <v>79</v>
      </c>
    </row>
    <row r="16" spans="1:6" ht="94.5" customHeight="1" x14ac:dyDescent="0.25">
      <c r="A16" s="28"/>
      <c r="B16" s="31" t="s">
        <v>58</v>
      </c>
      <c r="C16" s="17"/>
      <c r="D16" s="6"/>
      <c r="E16" s="29"/>
      <c r="F16" s="26"/>
    </row>
    <row r="17" spans="1:6" ht="22.5" x14ac:dyDescent="0.25">
      <c r="A17" s="3" t="s">
        <v>19</v>
      </c>
      <c r="B17" s="18" t="s">
        <v>20</v>
      </c>
      <c r="C17" s="12"/>
      <c r="D17" s="6"/>
      <c r="E17" s="6"/>
      <c r="F17" s="26"/>
    </row>
    <row r="18" spans="1:6" ht="67.5" x14ac:dyDescent="0.25">
      <c r="A18" s="10"/>
      <c r="B18" s="11" t="s">
        <v>21</v>
      </c>
      <c r="C18" s="12"/>
      <c r="D18" s="6"/>
      <c r="E18" s="6"/>
      <c r="F18" s="26"/>
    </row>
    <row r="19" spans="1:6" ht="33.75" x14ac:dyDescent="0.25">
      <c r="A19" s="10"/>
      <c r="B19" s="11" t="s">
        <v>22</v>
      </c>
      <c r="C19" s="12"/>
      <c r="D19" s="6"/>
      <c r="E19" s="6"/>
      <c r="F19" s="26"/>
    </row>
    <row r="20" spans="1:6" ht="22.5" x14ac:dyDescent="0.25">
      <c r="A20" s="8"/>
      <c r="B20" s="9" t="s">
        <v>23</v>
      </c>
      <c r="C20" s="19"/>
      <c r="D20" s="7"/>
      <c r="E20" s="7"/>
      <c r="F20" s="26"/>
    </row>
    <row r="21" spans="1:6" ht="33.75" x14ac:dyDescent="0.25">
      <c r="A21" s="10"/>
      <c r="B21" s="11" t="s">
        <v>13</v>
      </c>
      <c r="C21" s="12"/>
      <c r="D21" s="6"/>
      <c r="E21" s="6"/>
      <c r="F21" s="26"/>
    </row>
    <row r="22" spans="1:6" ht="22.5" x14ac:dyDescent="0.25">
      <c r="A22" s="10"/>
      <c r="B22" s="11" t="s">
        <v>24</v>
      </c>
      <c r="C22" s="12"/>
      <c r="D22" s="6"/>
      <c r="E22" s="6"/>
      <c r="F22" s="26"/>
    </row>
    <row r="23" spans="1:6" x14ac:dyDescent="0.25">
      <c r="A23" s="16"/>
      <c r="B23" s="11" t="s">
        <v>17</v>
      </c>
      <c r="C23" s="20" t="s">
        <v>18</v>
      </c>
      <c r="D23" s="6">
        <v>91.26</v>
      </c>
      <c r="E23" s="6">
        <v>75</v>
      </c>
      <c r="F23" s="26">
        <f>D23*E23</f>
        <v>6844.5</v>
      </c>
    </row>
    <row r="24" spans="1:6" ht="90" x14ac:dyDescent="0.25">
      <c r="B24" s="31" t="s">
        <v>58</v>
      </c>
    </row>
    <row r="25" spans="1:6" x14ac:dyDescent="0.25">
      <c r="A25" s="3" t="s">
        <v>25</v>
      </c>
      <c r="B25" s="4" t="s">
        <v>26</v>
      </c>
      <c r="C25" s="19"/>
      <c r="D25" s="7"/>
      <c r="E25" s="7"/>
      <c r="F25" s="26"/>
    </row>
    <row r="26" spans="1:6" ht="22.5" x14ac:dyDescent="0.25">
      <c r="A26" s="8"/>
      <c r="B26" s="9" t="s">
        <v>27</v>
      </c>
      <c r="C26" s="19"/>
      <c r="D26" s="7"/>
      <c r="E26" s="7"/>
      <c r="F26" s="26"/>
    </row>
    <row r="27" spans="1:6" ht="45" x14ac:dyDescent="0.25">
      <c r="A27" s="8"/>
      <c r="B27" s="9" t="s">
        <v>28</v>
      </c>
      <c r="C27" s="19"/>
      <c r="D27" s="7"/>
      <c r="E27" s="7"/>
      <c r="F27" s="26"/>
    </row>
    <row r="28" spans="1:6" ht="45" x14ac:dyDescent="0.25">
      <c r="A28" s="21"/>
      <c r="B28" s="9" t="s">
        <v>29</v>
      </c>
      <c r="C28" s="6"/>
      <c r="D28" s="6"/>
      <c r="E28" s="6"/>
      <c r="F28" s="26"/>
    </row>
    <row r="29" spans="1:6" ht="22.5" x14ac:dyDescent="0.25">
      <c r="A29" s="8"/>
      <c r="B29" s="9" t="s">
        <v>30</v>
      </c>
      <c r="C29" s="19"/>
      <c r="D29" s="7"/>
      <c r="E29" s="7"/>
      <c r="F29" s="26"/>
    </row>
    <row r="30" spans="1:6" ht="33.75" x14ac:dyDescent="0.25">
      <c r="A30" s="8"/>
      <c r="B30" s="9" t="s">
        <v>31</v>
      </c>
      <c r="C30" s="19"/>
      <c r="D30" s="7"/>
      <c r="E30" s="7"/>
      <c r="F30" s="26"/>
    </row>
    <row r="31" spans="1:6" x14ac:dyDescent="0.25">
      <c r="A31" s="16"/>
      <c r="B31" s="9" t="s">
        <v>32</v>
      </c>
      <c r="C31" s="19" t="s">
        <v>33</v>
      </c>
      <c r="D31" s="7">
        <v>18</v>
      </c>
      <c r="E31" s="7">
        <v>135</v>
      </c>
      <c r="F31" s="26">
        <f>D31*E31</f>
        <v>2430</v>
      </c>
    </row>
    <row r="32" spans="1:6" x14ac:dyDescent="0.25">
      <c r="A32" s="8"/>
      <c r="B32" s="9" t="s">
        <v>34</v>
      </c>
      <c r="C32" s="19"/>
      <c r="D32" s="7"/>
      <c r="E32" s="7"/>
      <c r="F32" s="26"/>
    </row>
    <row r="33" spans="1:6" x14ac:dyDescent="0.25">
      <c r="A33" s="16"/>
      <c r="B33" s="9" t="s">
        <v>35</v>
      </c>
      <c r="C33" s="19" t="s">
        <v>33</v>
      </c>
      <c r="D33" s="7">
        <v>18</v>
      </c>
      <c r="E33" s="7">
        <v>85</v>
      </c>
      <c r="F33" s="26">
        <f>D33*E33</f>
        <v>1530</v>
      </c>
    </row>
    <row r="34" spans="1:6" x14ac:dyDescent="0.25">
      <c r="A34" s="8"/>
      <c r="B34" s="9" t="s">
        <v>36</v>
      </c>
      <c r="C34" s="19"/>
      <c r="D34" s="7"/>
      <c r="E34" s="7"/>
      <c r="F34" s="26"/>
    </row>
    <row r="35" spans="1:6" x14ac:dyDescent="0.25">
      <c r="A35" s="16"/>
      <c r="B35" s="9" t="s">
        <v>37</v>
      </c>
      <c r="C35" s="19" t="s">
        <v>33</v>
      </c>
      <c r="D35" s="7">
        <v>7</v>
      </c>
      <c r="E35" s="7">
        <v>200</v>
      </c>
      <c r="F35" s="26">
        <f>D35*E35</f>
        <v>1400</v>
      </c>
    </row>
    <row r="36" spans="1:6" x14ac:dyDescent="0.25">
      <c r="A36" s="8"/>
      <c r="B36" s="9" t="s">
        <v>38</v>
      </c>
      <c r="C36" s="19"/>
      <c r="D36" s="7"/>
      <c r="E36" s="7"/>
      <c r="F36" s="26"/>
    </row>
    <row r="37" spans="1:6" x14ac:dyDescent="0.25">
      <c r="A37" s="16"/>
      <c r="B37" s="9" t="s">
        <v>39</v>
      </c>
      <c r="C37" s="19" t="s">
        <v>33</v>
      </c>
      <c r="D37" s="7">
        <v>7</v>
      </c>
      <c r="E37" s="7">
        <v>210</v>
      </c>
      <c r="F37" s="26">
        <f>D37*E37</f>
        <v>1470</v>
      </c>
    </row>
    <row r="38" spans="1:6" x14ac:dyDescent="0.25">
      <c r="A38" s="8"/>
      <c r="B38" s="9" t="s">
        <v>40</v>
      </c>
      <c r="C38" s="19"/>
      <c r="D38" s="7"/>
      <c r="E38" s="7"/>
      <c r="F38" s="26"/>
    </row>
    <row r="39" spans="1:6" x14ac:dyDescent="0.25">
      <c r="A39" s="16"/>
      <c r="B39" s="9" t="s">
        <v>41</v>
      </c>
      <c r="C39" s="19" t="s">
        <v>33</v>
      </c>
      <c r="D39" s="7">
        <v>16</v>
      </c>
      <c r="E39" s="7">
        <v>105</v>
      </c>
      <c r="F39" s="26">
        <f>D39*E39</f>
        <v>1680</v>
      </c>
    </row>
    <row r="40" spans="1:6" x14ac:dyDescent="0.25">
      <c r="A40" s="8"/>
      <c r="B40" s="9" t="s">
        <v>42</v>
      </c>
      <c r="C40" s="19"/>
      <c r="D40" s="7"/>
      <c r="E40" s="7"/>
      <c r="F40" s="26"/>
    </row>
    <row r="41" spans="1:6" x14ac:dyDescent="0.25">
      <c r="A41" s="16"/>
      <c r="B41" s="9" t="s">
        <v>43</v>
      </c>
      <c r="C41" s="19" t="s">
        <v>33</v>
      </c>
      <c r="D41" s="7">
        <v>24</v>
      </c>
      <c r="E41" s="7">
        <v>200</v>
      </c>
      <c r="F41" s="26">
        <f>D41*E41</f>
        <v>4800</v>
      </c>
    </row>
    <row r="42" spans="1:6" x14ac:dyDescent="0.25">
      <c r="A42" s="8"/>
      <c r="B42" s="9" t="s">
        <v>44</v>
      </c>
      <c r="C42" s="19"/>
      <c r="D42" s="7"/>
      <c r="E42" s="7"/>
      <c r="F42" s="26"/>
    </row>
    <row r="43" spans="1:6" x14ac:dyDescent="0.25">
      <c r="A43" s="16"/>
      <c r="B43" s="9" t="s">
        <v>45</v>
      </c>
      <c r="C43" s="19" t="s">
        <v>33</v>
      </c>
      <c r="D43" s="7">
        <v>16</v>
      </c>
      <c r="E43" s="7">
        <v>125</v>
      </c>
      <c r="F43" s="26">
        <f>D43*E43</f>
        <v>2000</v>
      </c>
    </row>
    <row r="44" spans="1:6" ht="27" customHeight="1" x14ac:dyDescent="0.25">
      <c r="B44" s="30" t="s">
        <v>59</v>
      </c>
    </row>
    <row r="45" spans="1:6" ht="22.5" x14ac:dyDescent="0.25">
      <c r="A45" s="3" t="s">
        <v>46</v>
      </c>
      <c r="B45" s="4" t="s">
        <v>47</v>
      </c>
      <c r="C45" s="5"/>
      <c r="D45" s="6"/>
      <c r="E45" s="6"/>
    </row>
    <row r="46" spans="1:6" ht="22.5" x14ac:dyDescent="0.25">
      <c r="A46" s="8"/>
      <c r="B46" s="9" t="s">
        <v>48</v>
      </c>
      <c r="C46" s="5"/>
      <c r="D46" s="6"/>
      <c r="E46" s="6"/>
    </row>
    <row r="47" spans="1:6" ht="33.75" x14ac:dyDescent="0.25">
      <c r="A47" s="10"/>
      <c r="B47" s="11" t="s">
        <v>49</v>
      </c>
      <c r="C47" s="12"/>
      <c r="D47" s="6"/>
      <c r="E47" s="6"/>
    </row>
    <row r="48" spans="1:6" x14ac:dyDescent="0.25">
      <c r="A48" s="10"/>
      <c r="B48" s="11" t="s">
        <v>50</v>
      </c>
      <c r="C48" s="12"/>
      <c r="D48" s="6"/>
      <c r="E48" s="6"/>
    </row>
    <row r="49" spans="1:6" ht="22.5" x14ac:dyDescent="0.25">
      <c r="A49" s="14"/>
      <c r="B49" s="11" t="s">
        <v>12</v>
      </c>
      <c r="C49" s="12"/>
      <c r="D49" s="6"/>
      <c r="E49" s="6"/>
    </row>
    <row r="50" spans="1:6" ht="33.75" x14ac:dyDescent="0.25">
      <c r="A50" s="13"/>
      <c r="B50" s="11" t="s">
        <v>51</v>
      </c>
      <c r="C50" s="12"/>
      <c r="D50" s="6"/>
      <c r="E50" s="6"/>
    </row>
    <row r="51" spans="1:6" ht="33.75" x14ac:dyDescent="0.25">
      <c r="A51" s="10"/>
      <c r="B51" s="11" t="s">
        <v>13</v>
      </c>
      <c r="C51" s="12"/>
      <c r="D51" s="6"/>
      <c r="E51" s="6"/>
    </row>
    <row r="52" spans="1:6" ht="33.75" x14ac:dyDescent="0.25">
      <c r="A52" s="15"/>
      <c r="B52" s="11" t="s">
        <v>52</v>
      </c>
      <c r="C52" s="5"/>
      <c r="D52" s="6"/>
      <c r="E52" s="6"/>
    </row>
    <row r="53" spans="1:6" ht="22.5" x14ac:dyDescent="0.25">
      <c r="A53" s="13"/>
      <c r="B53" s="11" t="s">
        <v>53</v>
      </c>
      <c r="C53" s="12"/>
      <c r="D53" s="6"/>
      <c r="E53" s="6"/>
    </row>
    <row r="54" spans="1:6" ht="22.5" x14ac:dyDescent="0.25">
      <c r="A54" s="15"/>
      <c r="B54" s="11" t="s">
        <v>15</v>
      </c>
      <c r="C54" s="5"/>
      <c r="D54" s="6"/>
      <c r="E54" s="6"/>
    </row>
    <row r="55" spans="1:6" ht="33.75" x14ac:dyDescent="0.25">
      <c r="A55" s="13"/>
      <c r="B55" s="11" t="s">
        <v>54</v>
      </c>
      <c r="C55" s="12"/>
      <c r="D55" s="6"/>
      <c r="E55" s="6"/>
    </row>
    <row r="56" spans="1:6" x14ac:dyDescent="0.25">
      <c r="A56" s="15"/>
      <c r="B56" s="11" t="s">
        <v>16</v>
      </c>
      <c r="C56" s="5"/>
      <c r="D56" s="6"/>
      <c r="E56" s="6"/>
    </row>
    <row r="57" spans="1:6" x14ac:dyDescent="0.25">
      <c r="A57" s="16"/>
      <c r="B57" s="11" t="s">
        <v>17</v>
      </c>
      <c r="C57" s="17" t="s">
        <v>18</v>
      </c>
      <c r="D57" s="6">
        <v>258.89</v>
      </c>
      <c r="E57" s="6">
        <v>65</v>
      </c>
      <c r="F57" s="25">
        <f>D57*E57</f>
        <v>16827.849999999999</v>
      </c>
    </row>
    <row r="58" spans="1:6" ht="90" x14ac:dyDescent="0.25">
      <c r="B58" s="31" t="s">
        <v>58</v>
      </c>
    </row>
    <row r="59" spans="1:6" x14ac:dyDescent="0.25">
      <c r="A59" s="28"/>
      <c r="B59" s="22"/>
      <c r="C59" s="17"/>
      <c r="D59" s="6"/>
      <c r="E59" s="6"/>
    </row>
    <row r="60" spans="1:6" x14ac:dyDescent="0.25">
      <c r="B60" s="22"/>
    </row>
    <row r="61" spans="1:6" x14ac:dyDescent="0.25">
      <c r="E61" s="23" t="s">
        <v>55</v>
      </c>
      <c r="F61" s="27">
        <f>SUM(F2:F59)</f>
        <v>63248.5</v>
      </c>
    </row>
  </sheetData>
  <conditionalFormatting sqref="F3:F23">
    <cfRule type="cellIs" dxfId="1" priority="8" stopIfTrue="1" operator="greaterThan">
      <formula>0</formula>
    </cfRule>
  </conditionalFormatting>
  <conditionalFormatting sqref="F25:F43">
    <cfRule type="cellIs" dxfId="0" priority="1" stopIfTrue="1" operator="greaterThan">
      <formula>0</formula>
    </cfRule>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Korisnik</dc:creator>
  <cp:lastModifiedBy>Ivan Cakaric</cp:lastModifiedBy>
  <cp:lastPrinted>2025-12-12T12:32:29Z</cp:lastPrinted>
  <dcterms:created xsi:type="dcterms:W3CDTF">2015-06-05T18:17:20Z</dcterms:created>
  <dcterms:modified xsi:type="dcterms:W3CDTF">2025-12-12T12:32:31Z</dcterms:modified>
</cp:coreProperties>
</file>