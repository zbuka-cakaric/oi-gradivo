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38640" windowHeight="21240" tabRatio="845" firstSheet="0" activeTab="1" autoFilterDateGrouping="1"/>
  </bookViews>
  <sheets>
    <sheet name="IŠ_Opće napomene" sheetId="1" state="visible" r:id="rId1"/>
    <sheet name="IŠ_04. Zidarski radovi" sheetId="2" state="visible" r:id="rId2"/>
    <sheet name="IŠ_08. Fasaderski radovi" sheetId="3" state="visible" r:id="rId3"/>
    <sheet name="IŠ_13. Keramičarski radovi " sheetId="4" state="visible" r:id="rId4"/>
    <sheet name="IŠ_REK. G.O. RAD. IZGR. ŠKOLE " sheetId="5" state="visible" r:id="rId5"/>
    <sheet name="ID_REKAP. IZGRADNJA DVORANE" sheetId="6" state="visible" r:id="rId6"/>
    <sheet name="ID_Opće napomene" sheetId="7" state="visible" r:id="rId7"/>
    <sheet name="ID_04. Zidarski radovi" sheetId="8" state="visible" r:id="rId8"/>
    <sheet name="ID_09. Fasaderski radovi" sheetId="9" state="visible" r:id="rId9"/>
    <sheet name="ID_14. Keramičarski radovi " sheetId="10" state="visible" r:id="rId10"/>
    <sheet name="VU_Opće napomene" sheetId="11" state="visible" r:id="rId11"/>
    <sheet name="VU_REKAP. VANJSKO UR." sheetId="12" state="visible" r:id="rId12"/>
    <sheet name="VU_01. VANJSKO UREĐENJE" sheetId="13" state="visible" r:id="rId13"/>
  </sheets>
  <externalReferences>
    <externalReference r:id="rId14"/>
    <externalReference r:id="rId15"/>
  </externalReferences>
  <definedNames>
    <definedName name="_rbr">#REF!</definedName>
    <definedName name="_rbr2">#REF!</definedName>
    <definedName name="BOD">#REF!</definedName>
    <definedName name="dfgdfgdfgdfgydf">#REF!</definedName>
    <definedName name="euro">#REF!</definedName>
    <definedName name="Excel_BuiltIn_Print_Area_1">#REF!</definedName>
    <definedName name="Excel_BuiltIn_Print_Area_1_1">#REF!</definedName>
    <definedName name="Excel_BuiltIn_Print_Area_2">#REF!</definedName>
    <definedName name="Excel_BuiltIn_Print_Area_2_1">#REF!</definedName>
    <definedName name="Excel_BuiltIn_Print_Area_2_1_1">NA()</definedName>
    <definedName name="Excel_BuiltIn_Print_Area_4_1">#REF!</definedName>
    <definedName name="Excel_BuiltIn_Print_Area_4_1_1">#REF!</definedName>
    <definedName name="Excel_BuiltIn_Print_Area_5">#REF!</definedName>
    <definedName name="Excel_BuiltIn_Print_Area_5_1">#REF!</definedName>
    <definedName name="Excel_BuiltIn_Print_Area_5_1_1">#REF!</definedName>
    <definedName name="Excel_BuiltIn_Print_Area_7">#REF!</definedName>
    <definedName name="Excel_BuiltIn_Print_Area_7_1">#REF!</definedName>
    <definedName name="Excel_BuiltIn_Print_Titles_10">#REF!</definedName>
    <definedName name="Excel_BuiltIn_Print_Titles_11">#REF!</definedName>
    <definedName name="Excel_BuiltIn_Print_Titles_12">#REF!</definedName>
    <definedName name="Excel_BuiltIn_Print_Titles_13">#REF!</definedName>
    <definedName name="Excel_BuiltIn_Print_Titles_14">#REF!</definedName>
    <definedName name="Excel_BuiltIn_Print_Titles_15">#REF!</definedName>
    <definedName name="Excel_BuiltIn_Print_Titles_16">#REF!</definedName>
    <definedName name="Excel_BuiltIn_Print_Titles_17">#REF!</definedName>
    <definedName name="Excel_BuiltIn_Print_Titles_3_1">#REF!</definedName>
    <definedName name="Excel_BuiltIn_Print_Titles_4_1">#REF!</definedName>
    <definedName name="Excel_BuiltIn_Print_Titles_5">#REF!</definedName>
    <definedName name="Excel_BuiltIn_Print_Titles_5_1">#REF!</definedName>
    <definedName name="Excel_BuiltIn_Print_Titles_6">#REF!</definedName>
    <definedName name="Excel_BuiltIn_Print_Titles_6_1">#REF!</definedName>
    <definedName name="Excel_BuiltIn_Print_Titles_7">#REF!</definedName>
    <definedName name="Excel_BuiltIn_Print_Titles_7_1">#REF!</definedName>
    <definedName name="Excel_BuiltIn_Print_Titles_8">#REF!</definedName>
    <definedName name="Excel_BuiltIn_Print_Titles_9">#REF!</definedName>
    <definedName name="fdgdfgdfg">#REF!</definedName>
    <definedName name="fffffff">#REF!</definedName>
    <definedName name="fgsdfggdfgdf">#REF!</definedName>
    <definedName name="hidro">[1]POMOĆNI!$B$56:$B$69</definedName>
    <definedName name="kk_1">#REF!</definedName>
    <definedName name="kk1i">#REF!</definedName>
    <definedName name="kk1p">#REF!</definedName>
    <definedName name="kk1v">#REF!</definedName>
    <definedName name="kk2i">#REF!</definedName>
    <definedName name="kk2p">#REF!</definedName>
    <definedName name="kk2v">#REF!</definedName>
    <definedName name="kk3i">#REF!</definedName>
    <definedName name="kk3p">#REF!</definedName>
    <definedName name="kk3v">#REF!</definedName>
    <definedName name="kk4i">#REF!</definedName>
    <definedName name="kk4p">#REF!</definedName>
    <definedName name="kk4v">#REF!</definedName>
    <definedName name="kk5i">#REF!</definedName>
    <definedName name="kk5p">#REF!</definedName>
    <definedName name="kk5v">#REF!</definedName>
    <definedName name="kk6i">#REF!</definedName>
    <definedName name="kk6p">#REF!</definedName>
    <definedName name="kk6v">#REF!</definedName>
    <definedName name="Kolnik_16.3.">#REF!</definedName>
    <definedName name="krov">#REF!</definedName>
    <definedName name="krov_1">#REF!</definedName>
    <definedName name="krov_2">#REF!</definedName>
    <definedName name="l">#REF!</definedName>
    <definedName name="m">#REF!</definedName>
    <definedName name="min">#REF!</definedName>
    <definedName name="minE">#REF!</definedName>
    <definedName name="mr">#REF!</definedName>
    <definedName name="Odvod_16.4.">#REF!</definedName>
    <definedName name="p">#REF!</definedName>
    <definedName name="Pripr_16.1.">#REF!</definedName>
    <definedName name="rk_1">#REF!</definedName>
    <definedName name="rk1v">#REF!</definedName>
    <definedName name="rkh">#REF!</definedName>
    <definedName name="rkv">#REF!</definedName>
    <definedName name="s">#REF!</definedName>
    <definedName name="sat">#REF!</definedName>
    <definedName name="satE">#REF!</definedName>
    <definedName name="sdfgdfgdf">#REF!</definedName>
    <definedName name="sdfgdfgdfg">#REF!</definedName>
    <definedName name="Sign_16.5.">#REF!</definedName>
    <definedName name="tfggfhgfgfhf">#REF!</definedName>
    <definedName name="u">#REF!</definedName>
    <definedName name="ukupno_5">#REF!</definedName>
    <definedName name="Zem_16.2.">#REF!</definedName>
    <definedName name="ukupno_5" localSheetId="1">#REF!</definedName>
    <definedName name="ukupno_5" localSheetId="2">#REF!</definedName>
    <definedName name="fffffff" localSheetId="3">#REF!</definedName>
    <definedName name="ukupno_5" localSheetId="3">#REF!</definedName>
    <definedName name="_xlnm.Print_Area" localSheetId="5">'ID_REKAP. IZGRADNJA DVORANE'!$A$1:$E$42</definedName>
    <definedName name="ukupno_5" localSheetId="7">#REF!</definedName>
    <definedName name="ukupno_5" localSheetId="8">#REF!</definedName>
    <definedName name="fffffff" localSheetId="9">#REF!</definedName>
    <definedName name="ukupno_5" localSheetId="9">#REF!</definedName>
    <definedName name="_xlnm.Print_Area" localSheetId="10">'VU_Opće napomene'!$A$1:$A$28</definedName>
    <definedName name="_xlnm.Print_Area" localSheetId="11">'VU_REKAP. VANJSKO UR.'!$A$1:$C$38</definedName>
    <definedName name="_xlnm.Print_Titles" localSheetId="12">'VU_01. VANJSKO UREĐENJE'!$1:$1</definedName>
  </definedNames>
  <calcPr calcId="181029" fullCalcOnLoad="1" iterateDelta="0.0001"/>
</workbook>
</file>

<file path=xl/styles.xml><?xml version="1.0" encoding="utf-8"?>
<styleSheet xmlns="http://schemas.openxmlformats.org/spreadsheetml/2006/main">
  <numFmts count="11">
    <numFmt numFmtId="164" formatCode="#,##0.00\ [$€-1]"/>
    <numFmt numFmtId="165" formatCode="#,##0.00\ [$€-41A];[Red]#,##0.00\ [$€-41A]"/>
    <numFmt numFmtId="166" formatCode="#,##0.00\ &quot;€&quot;"/>
    <numFmt numFmtId="167" formatCode="_(&quot;€&quot;* #,##0.00_);_(&quot;€&quot;* \(#,##0.00\);_(&quot;€&quot;* &quot;-&quot;??_);_(@_)"/>
    <numFmt numFmtId="168" formatCode="_-[$€]* #,##0.00_-;\-[$€]* #,##0.00_-;_-[$€]* &quot;-&quot;??_-;_-@_-"/>
    <numFmt numFmtId="169" formatCode="_-&quot;DM&quot;* #,##0.00_-;\-&quot;DM&quot;* #,##0.00_-;_-&quot;DM&quot;* &quot;-&quot;??_-;_-@_-"/>
    <numFmt numFmtId="170" formatCode="_-* #,##0.00\ _l_e_i_-;\-* #,##0.00\ _l_e_i_-;_-* &quot;-&quot;??\ _l_e_i_-;_-@_-"/>
    <numFmt numFmtId="171" formatCode="_-* #,##0.00&quot; €&quot;_-;\-* #,##0.00&quot; €&quot;_-;_-* \-??&quot; €&quot;_-;_-@_-"/>
    <numFmt numFmtId="172" formatCode="_-* #,##0.00\ &quot;€&quot;_-;\-* #,##0.00\ &quot;€&quot;_-;_-* &quot;-&quot;??\ &quot;€&quot;_-;_-@_-"/>
    <numFmt numFmtId="173" formatCode="_-* #,##0.00\ [$€-1]_-;\-* #,##0.00\ [$€-1]_-;_-* \-??\ [$€-1]_-"/>
    <numFmt numFmtId="174" formatCode="_-* #,##0.00\ _k_n_-;\-* #,##0.00\ _k_n_-;_-* &quot;-&quot;??\ _k_n_-;_-@_-"/>
  </numFmts>
  <fonts count="98">
    <font>
      <name val="Calibri"/>
      <charset val="238"/>
      <family val="2"/>
      <color theme="1"/>
      <sz val="11"/>
      <scheme val="minor"/>
    </font>
    <font>
      <name val="Calibri"/>
      <family val="2"/>
      <color theme="1"/>
      <sz val="9"/>
      <scheme val="minor"/>
    </font>
    <font>
      <name val="Calibri"/>
      <charset val="238"/>
      <family val="2"/>
      <b val="1"/>
      <color theme="1"/>
      <sz val="11"/>
      <scheme val="minor"/>
    </font>
    <font>
      <name val="Calibri"/>
      <family val="2"/>
      <color theme="1"/>
      <sz val="10"/>
      <scheme val="minor"/>
    </font>
    <font>
      <name val="Calibri"/>
      <charset val="238"/>
      <family val="2"/>
      <b val="1"/>
      <color theme="1"/>
      <sz val="12"/>
      <scheme val="minor"/>
    </font>
    <font>
      <name val="Calibri"/>
      <charset val="238"/>
      <family val="2"/>
      <b val="1"/>
      <color theme="1"/>
      <sz val="14"/>
      <u val="single"/>
      <scheme val="minor"/>
    </font>
    <font>
      <name val="Calibri"/>
      <charset val="238"/>
      <family val="2"/>
      <color theme="1"/>
      <sz val="10"/>
      <scheme val="minor"/>
    </font>
    <font>
      <name val="Calibri"/>
      <charset val="238"/>
      <family val="2"/>
      <b val="1"/>
      <color theme="1"/>
      <sz val="10"/>
      <scheme val="minor"/>
    </font>
    <font>
      <name val="Calibri"/>
      <charset val="238"/>
      <family val="2"/>
      <i val="1"/>
      <color theme="1"/>
      <sz val="10"/>
      <scheme val="minor"/>
    </font>
    <font>
      <name val="Calibri"/>
      <family val="2"/>
      <color rgb="FFFF0000"/>
      <sz val="10"/>
      <scheme val="minor"/>
    </font>
    <font>
      <name val="Calibri"/>
      <charset val="238"/>
      <family val="2"/>
      <b val="1"/>
      <color theme="1"/>
      <sz val="16"/>
      <scheme val="minor"/>
    </font>
    <font>
      <name val="Calibri"/>
      <charset val="238"/>
      <family val="2"/>
      <sz val="12"/>
      <scheme val="minor"/>
    </font>
    <font>
      <name val="Calibri"/>
      <family val="2"/>
      <color theme="1"/>
      <sz val="12"/>
      <scheme val="minor"/>
    </font>
    <font>
      <name val="Calibri"/>
      <family val="2"/>
      <b val="1"/>
      <color theme="1"/>
      <sz val="12"/>
      <scheme val="minor"/>
    </font>
    <font>
      <name val="Calibri"/>
      <family val="2"/>
      <b val="1"/>
      <color rgb="FFFF0000"/>
      <sz val="10"/>
      <scheme val="minor"/>
    </font>
    <font>
      <name val="Calibri"/>
      <charset val="238"/>
      <family val="2"/>
      <color theme="1"/>
      <sz val="11"/>
      <scheme val="minor"/>
    </font>
    <font>
      <name val="Arial"/>
      <charset val="238"/>
      <family val="2"/>
      <sz val="10"/>
    </font>
    <font>
      <name val="Arial"/>
      <family val="2"/>
      <sz val="10"/>
    </font>
    <font>
      <name val="Arial"/>
      <family val="2"/>
      <sz val="11"/>
    </font>
    <font>
      <name val="Calibri"/>
      <family val="2"/>
      <color rgb="FF006100"/>
      <sz val="11"/>
      <scheme val="minor"/>
    </font>
    <font>
      <name val="Arial"/>
      <charset val="238"/>
      <family val="2"/>
      <color theme="1"/>
      <sz val="10"/>
    </font>
    <font>
      <name val="Mangal"/>
      <family val="2"/>
      <sz val="10"/>
    </font>
    <font>
      <name val="Mangal"/>
      <charset val="238"/>
      <family val="2"/>
      <sz val="10"/>
    </font>
    <font>
      <name val="Arial"/>
      <charset val="1"/>
      <family val="2"/>
      <sz val="10"/>
    </font>
    <font>
      <name val="Arial"/>
      <charset val="238"/>
      <family val="2"/>
      <sz val="12"/>
    </font>
    <font>
      <name val="Calibri"/>
      <charset val="238"/>
      <family val="2"/>
      <color indexed="8"/>
      <sz val="11"/>
    </font>
    <font>
      <name val="Calibri"/>
      <charset val="238"/>
      <family val="2"/>
      <b val="1"/>
      <color indexed="52"/>
      <sz val="11"/>
    </font>
    <font>
      <name val="Calibri"/>
      <charset val="238"/>
      <family val="2"/>
      <color indexed="20"/>
      <sz val="11"/>
    </font>
    <font>
      <name val="Calibri"/>
      <charset val="238"/>
      <family val="2"/>
      <color indexed="60"/>
      <sz val="11"/>
    </font>
    <font>
      <name val="Calibri"/>
      <charset val="238"/>
      <family val="2"/>
      <color indexed="52"/>
      <sz val="11"/>
    </font>
    <font>
      <name val="Calibri"/>
      <charset val="238"/>
      <family val="2"/>
      <i val="1"/>
      <color indexed="23"/>
      <sz val="11"/>
    </font>
    <font>
      <name val="Calibri"/>
      <charset val="238"/>
      <family val="2"/>
      <b val="1"/>
      <color indexed="8"/>
      <sz val="11"/>
    </font>
    <font>
      <name val="Calibri"/>
      <charset val="238"/>
      <family val="2"/>
      <color indexed="62"/>
      <sz val="11"/>
    </font>
    <font>
      <name val="Calibri"/>
      <charset val="238"/>
      <family val="2"/>
      <color indexed="22"/>
      <sz val="11"/>
    </font>
    <font>
      <name val="Calibri"/>
      <charset val="238"/>
      <family val="2"/>
      <b val="1"/>
      <color indexed="22"/>
      <sz val="11"/>
    </font>
    <font>
      <name val="Calibri"/>
      <charset val="238"/>
      <family val="2"/>
      <b val="1"/>
      <color indexed="62"/>
      <sz val="15"/>
    </font>
    <font>
      <name val="Calibri"/>
      <charset val="238"/>
      <family val="2"/>
      <b val="1"/>
      <color indexed="62"/>
      <sz val="13"/>
    </font>
    <font>
      <name val="Calibri"/>
      <charset val="238"/>
      <family val="2"/>
      <b val="1"/>
      <color indexed="62"/>
      <sz val="11"/>
    </font>
    <font>
      <name val="Calibri"/>
      <family val="2"/>
      <color rgb="FFFF0000"/>
      <sz val="11"/>
      <scheme val="minor"/>
    </font>
    <font>
      <name val="Calibri"/>
      <family val="2"/>
      <b val="1"/>
      <sz val="9"/>
      <scheme val="minor"/>
    </font>
    <font>
      <name val="Calibri"/>
      <family val="2"/>
      <sz val="9"/>
      <scheme val="minor"/>
    </font>
    <font>
      <name val="Calibri"/>
      <family val="2"/>
      <sz val="9"/>
    </font>
    <font>
      <name val="Calibri"/>
      <family val="2"/>
      <sz val="9"/>
      <u val="single"/>
      <scheme val="minor"/>
    </font>
    <font>
      <name val="Calibri"/>
      <charset val="238"/>
      <family val="2"/>
      <sz val="10"/>
      <scheme val="minor"/>
    </font>
    <font>
      <name val="Calibri"/>
      <family val="2"/>
      <color theme="1"/>
      <sz val="11"/>
      <scheme val="minor"/>
    </font>
    <font>
      <name val="Calibri"/>
      <family val="2"/>
      <sz val="11"/>
      <scheme val="minor"/>
    </font>
    <font>
      <name val="Calibri"/>
      <family val="2"/>
      <b val="1"/>
      <sz val="10"/>
      <scheme val="minor"/>
    </font>
    <font>
      <name val="Calibri"/>
      <family val="2"/>
      <color rgb="FFFF0000"/>
      <sz val="9"/>
      <scheme val="minor"/>
    </font>
    <font>
      <name val="Calibri"/>
      <family val="2"/>
      <color rgb="FF000000"/>
      <sz val="11"/>
    </font>
    <font>
      <name val="Calibri"/>
      <family val="2"/>
      <color indexed="8"/>
      <sz val="9"/>
    </font>
    <font>
      <name val="Calibri"/>
      <family val="2"/>
      <b val="1"/>
      <sz val="9"/>
    </font>
    <font>
      <name val="Arial"/>
      <family val="2"/>
      <sz val="10"/>
    </font>
    <font>
      <name val="Helv"/>
      <sz val="10"/>
    </font>
    <font>
      <name val="MS Sans Serif"/>
      <charset val="238"/>
      <family val="2"/>
      <sz val="10"/>
    </font>
    <font>
      <name val="Arial"/>
      <charset val="238"/>
      <family val="2"/>
      <sz val="8"/>
    </font>
    <font>
      <name val="Calibri"/>
      <charset val="238"/>
      <family val="2"/>
      <color indexed="8"/>
      <sz val="10"/>
    </font>
    <font>
      <name val="Arial"/>
      <charset val="238"/>
      <family val="2"/>
      <color theme="10"/>
      <sz val="10"/>
      <u val="single"/>
    </font>
    <font>
      <name val="Arial ce"/>
      <charset val="238"/>
      <family val="2"/>
      <sz val="10"/>
    </font>
    <font>
      <name val="Tahoma"/>
      <charset val="238"/>
      <family val="2"/>
      <sz val="9"/>
    </font>
    <font>
      <name val="Bahnschrift"/>
      <charset val="238"/>
      <family val="2"/>
      <b val="1"/>
      <color theme="1"/>
      <sz val="16"/>
      <u val="single"/>
    </font>
    <font>
      <name val="Bahnschrift"/>
      <charset val="238"/>
      <family val="2"/>
      <color theme="1"/>
      <sz val="11"/>
    </font>
    <font>
      <name val="Bahnschrift"/>
      <charset val="238"/>
      <family val="2"/>
      <color theme="1"/>
      <sz val="10"/>
    </font>
    <font>
      <name val="Bahnschrift"/>
      <charset val="238"/>
      <family val="2"/>
      <b val="1"/>
      <sz val="20"/>
    </font>
    <font>
      <name val="Bahnschrift"/>
      <charset val="238"/>
      <family val="2"/>
      <b val="1"/>
      <color rgb="FF7030A0"/>
      <sz val="20"/>
    </font>
    <font>
      <name val="Bahnschrift"/>
      <charset val="238"/>
      <family val="2"/>
      <b val="1"/>
      <color rgb="FFFF0000"/>
      <sz val="11"/>
    </font>
    <font>
      <name val="Bahnschrift"/>
      <charset val="238"/>
      <family val="2"/>
      <i val="1"/>
      <color theme="1"/>
      <sz val="11"/>
    </font>
    <font>
      <name val="Bahnschrift"/>
      <charset val="238"/>
      <family val="2"/>
      <b val="1"/>
      <color theme="1"/>
      <sz val="11"/>
    </font>
    <font>
      <name val="Bahnschrift"/>
      <charset val="238"/>
      <family val="2"/>
      <b val="1"/>
      <sz val="11"/>
    </font>
    <font>
      <name val="Bahnschrift"/>
      <charset val="238"/>
      <family val="2"/>
      <b val="1"/>
      <sz val="10"/>
    </font>
    <font>
      <name val="Bahnschrift"/>
      <charset val="238"/>
      <family val="2"/>
      <b val="1"/>
      <color theme="1"/>
      <sz val="10"/>
    </font>
    <font>
      <name val="Bahnschrift"/>
      <charset val="238"/>
      <family val="2"/>
      <i val="1"/>
      <color theme="1"/>
      <sz val="9"/>
    </font>
    <font>
      <name val="AvantGarde Md BT"/>
      <charset val="238"/>
      <family val="2"/>
      <sz val="10"/>
    </font>
    <font>
      <name val="Calibri"/>
      <charset val="238"/>
      <family val="2"/>
      <b val="1"/>
      <color indexed="8"/>
      <sz val="10"/>
    </font>
    <font>
      <name val="Calibri"/>
      <charset val="238"/>
      <family val="2"/>
      <color indexed="8"/>
      <sz val="9"/>
    </font>
    <font>
      <name val="Arial"/>
      <charset val="238"/>
      <family val="2"/>
      <sz val="10"/>
    </font>
    <font>
      <name val="Bahnschrift SemiLight"/>
      <charset val="238"/>
      <family val="2"/>
      <b val="1"/>
      <color theme="1"/>
      <sz val="14"/>
      <u val="single"/>
    </font>
    <font>
      <name val="Bahnschrift SemiLight"/>
      <charset val="238"/>
      <family val="2"/>
      <color theme="1"/>
      <sz val="11"/>
    </font>
    <font>
      <name val="Bahnschrift SemiLight"/>
      <charset val="238"/>
      <family val="2"/>
      <i val="1"/>
      <color theme="1"/>
      <sz val="10"/>
    </font>
    <font>
      <name val="Bahnschrift SemiLight"/>
      <charset val="238"/>
      <family val="2"/>
      <color theme="1"/>
      <sz val="10"/>
    </font>
    <font>
      <name val="Bahnschrift SemiLight"/>
      <charset val="238"/>
      <family val="2"/>
      <b val="1"/>
      <color theme="1"/>
      <sz val="10"/>
    </font>
    <font>
      <name val="Bahnschrift SemiLight"/>
      <charset val="238"/>
      <family val="2"/>
      <sz val="10"/>
    </font>
    <font>
      <name val="Bahnschrift"/>
      <charset val="238"/>
      <family val="2"/>
      <b val="1"/>
      <sz val="8"/>
    </font>
    <font>
      <name val="Bahnschrift SemiLight"/>
      <charset val="238"/>
      <family val="2"/>
      <sz val="11"/>
    </font>
    <font>
      <name val="Bahnschrift SemiBold"/>
      <charset val="238"/>
      <family val="2"/>
      <b val="1"/>
      <sz val="9"/>
    </font>
    <font>
      <name val="Bahnschrift SemiLight"/>
      <charset val="238"/>
      <family val="2"/>
      <b val="1"/>
      <sz val="9"/>
    </font>
    <font>
      <name val="Bahnschrift"/>
      <charset val="238"/>
      <family val="2"/>
      <b val="1"/>
      <sz val="9"/>
    </font>
    <font>
      <name val="Bahnschrift SemiLight"/>
      <charset val="238"/>
      <family val="2"/>
      <sz val="9"/>
    </font>
    <font>
      <name val="Bahnschrift"/>
      <charset val="238"/>
      <family val="2"/>
      <sz val="11"/>
    </font>
    <font>
      <name val="Bahnschrift SemiBold"/>
      <charset val="238"/>
      <family val="2"/>
      <sz val="10"/>
    </font>
    <font>
      <name val="Bahnschrift SemiBold"/>
      <charset val="238"/>
      <family val="2"/>
      <sz val="9"/>
    </font>
    <font>
      <name val="Calibri"/>
      <family val="2"/>
      <color indexed="8"/>
      <sz val="11"/>
    </font>
    <font>
      <name val="Calibri"/>
      <charset val="238"/>
      <family val="2"/>
      <color rgb="FF000000"/>
      <sz val="10"/>
      <scheme val="minor"/>
    </font>
    <font>
      <name val="Calibri"/>
      <family val="2"/>
      <color theme="1"/>
      <sz val="11"/>
    </font>
    <font>
      <name val="Bahnschrift SemiLight"/>
      <charset val="238"/>
      <family val="2"/>
      <i val="1"/>
      <color theme="1"/>
      <sz val="9"/>
    </font>
    <font>
      <name val="Calibri"/>
      <charset val="238"/>
      <family val="2"/>
      <color rgb="FF000000"/>
      <sz val="11"/>
    </font>
    <font>
      <name val="Bahnschrift SemiLight"/>
      <charset val="238"/>
      <family val="2"/>
      <color rgb="FFFF0000"/>
      <sz val="11"/>
    </font>
    <font>
      <name val="Times New Roman CE"/>
      <charset val="238"/>
      <sz val="10"/>
    </font>
    <font>
      <name val="Calibri"/>
      <color rgb="FFC00000"/>
      <sz val="9"/>
    </font>
  </fonts>
  <fills count="28">
    <fill>
      <patternFill/>
    </fill>
    <fill>
      <patternFill patternType="gray125"/>
    </fill>
    <fill>
      <patternFill patternType="solid">
        <fgColor theme="9" tint="0.7999816888943144"/>
        <bgColor indexed="64"/>
      </patternFill>
    </fill>
    <fill>
      <patternFill patternType="solid">
        <fgColor rgb="FFC6EFCE"/>
      </patternFill>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45"/>
      </patternFill>
    </fill>
    <fill>
      <patternFill patternType="solid">
        <fgColor indexed="53"/>
        <bgColor indexed="64"/>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theme="0" tint="-0.0499893185216834"/>
        <bgColor indexed="64"/>
      </patternFill>
    </fill>
    <fill>
      <patternFill patternType="solid">
        <fgColor rgb="FFD9F1E2"/>
        <bgColor indexed="64"/>
      </patternFill>
    </fill>
    <fill>
      <patternFill patternType="solid">
        <fgColor rgb="FF00B050"/>
        <bgColor indexed="64"/>
      </patternFill>
    </fill>
    <fill>
      <patternFill patternType="solid">
        <fgColor rgb="FFF1F1F1"/>
        <bgColor indexed="64"/>
      </patternFill>
    </fill>
    <fill>
      <patternFill patternType="solid">
        <fgColor theme="9" tint="0.5999938962981048"/>
        <bgColor indexed="64"/>
      </patternFill>
    </fill>
    <fill>
      <patternFill patternType="solid">
        <fgColor rgb="FF00FFFF"/>
        <bgColor indexed="64"/>
      </patternFill>
    </fill>
    <fill>
      <patternFill patternType="solid">
        <fgColor rgb="FFCC0099"/>
        <bgColor indexed="64"/>
      </patternFill>
    </fill>
    <fill>
      <patternFill patternType="solid">
        <fgColor rgb="FFC00000"/>
        <bgColor indexed="64"/>
      </patternFill>
    </fill>
  </fills>
  <borders count="34">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right/>
      <top style="thin">
        <color indexed="49"/>
      </top>
      <bottom style="double">
        <color indexed="49"/>
      </bottom>
      <diagonal/>
    </border>
    <border>
      <left/>
      <right/>
      <top style="thin">
        <color indexed="64"/>
      </top>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s>
  <cellStyleXfs count="281">
    <xf numFmtId="0" fontId="15" fillId="0" borderId="0"/>
    <xf numFmtId="0" fontId="74" fillId="0" borderId="0"/>
    <xf numFmtId="167" fontId="51" fillId="0" borderId="0"/>
    <xf numFmtId="168" fontId="51" fillId="0" borderId="0"/>
    <xf numFmtId="9" fontId="51" fillId="0" borderId="0"/>
    <xf numFmtId="169" fontId="51" fillId="0" borderId="0"/>
    <xf numFmtId="167" fontId="51" fillId="0" borderId="0"/>
    <xf numFmtId="0" fontId="51" fillId="0" borderId="0"/>
    <xf numFmtId="0" fontId="51" fillId="0" borderId="0"/>
    <xf numFmtId="170" fontId="20" fillId="0" borderId="0"/>
    <xf numFmtId="167" fontId="51" fillId="0" borderId="0"/>
    <xf numFmtId="167" fontId="51" fillId="0" borderId="0"/>
    <xf numFmtId="167" fontId="51" fillId="0" borderId="0"/>
    <xf numFmtId="167" fontId="51" fillId="0" borderId="0"/>
    <xf numFmtId="171" fontId="21" fillId="0" borderId="0"/>
    <xf numFmtId="172" fontId="51" fillId="0" borderId="0"/>
    <xf numFmtId="167" fontId="51" fillId="0" borderId="0"/>
    <xf numFmtId="0" fontId="21" fillId="0" borderId="0"/>
    <xf numFmtId="173" fontId="21" fillId="0" borderId="0"/>
    <xf numFmtId="0" fontId="22" fillId="0" borderId="0"/>
    <xf numFmtId="0" fontId="21" fillId="0" borderId="0"/>
    <xf numFmtId="0" fontId="19" fillId="3" borderId="0"/>
    <xf numFmtId="0" fontId="23" fillId="0" borderId="0"/>
    <xf numFmtId="0" fontId="23" fillId="0" borderId="0"/>
    <xf numFmtId="173" fontId="23" fillId="0" borderId="0"/>
    <xf numFmtId="0" fontId="51" fillId="0" borderId="0"/>
    <xf numFmtId="0" fontId="23" fillId="0" borderId="0"/>
    <xf numFmtId="173" fontId="23" fillId="0" borderId="0"/>
    <xf numFmtId="0" fontId="23" fillId="0" borderId="0"/>
    <xf numFmtId="0" fontId="23" fillId="0" borderId="0"/>
    <xf numFmtId="173" fontId="23" fillId="0" borderId="0"/>
    <xf numFmtId="0" fontId="51" fillId="0" borderId="0"/>
    <xf numFmtId="0" fontId="23" fillId="0" borderId="0"/>
    <xf numFmtId="173" fontId="23" fillId="0" borderId="0"/>
    <xf numFmtId="0" fontId="23" fillId="0" borderId="0"/>
    <xf numFmtId="0" fontId="23" fillId="0" borderId="0"/>
    <xf numFmtId="173" fontId="23" fillId="0" borderId="0"/>
    <xf numFmtId="0" fontId="51" fillId="0" borderId="0"/>
    <xf numFmtId="0" fontId="23" fillId="0" borderId="0"/>
    <xf numFmtId="173" fontId="23" fillId="0" borderId="0"/>
    <xf numFmtId="0" fontId="51" fillId="0" borderId="0"/>
    <xf numFmtId="0" fontId="23" fillId="0" borderId="0"/>
    <xf numFmtId="173" fontId="51" fillId="0" borderId="0"/>
    <xf numFmtId="0" fontId="74" fillId="0" borderId="0"/>
    <xf numFmtId="173" fontId="51" fillId="0" borderId="0"/>
    <xf numFmtId="0" fontId="15" fillId="0" borderId="0"/>
    <xf numFmtId="0" fontId="74" fillId="0" borderId="0"/>
    <xf numFmtId="0" fontId="51" fillId="0" borderId="0"/>
    <xf numFmtId="0" fontId="51" fillId="0" borderId="0"/>
    <xf numFmtId="0" fontId="21" fillId="0" borderId="0"/>
    <xf numFmtId="9" fontId="51" fillId="0" borderId="0"/>
    <xf numFmtId="0" fontId="21" fillId="0" borderId="0"/>
    <xf numFmtId="173" fontId="21" fillId="0" borderId="0"/>
    <xf numFmtId="0" fontId="74" fillId="0" borderId="0"/>
    <xf numFmtId="167" fontId="51" fillId="0" borderId="0"/>
    <xf numFmtId="0" fontId="15" fillId="0" borderId="0"/>
    <xf numFmtId="0" fontId="74" fillId="0" borderId="0"/>
    <xf numFmtId="0" fontId="25" fillId="4" borderId="0"/>
    <xf numFmtId="0" fontId="25" fillId="5" borderId="0"/>
    <xf numFmtId="0" fontId="25" fillId="6" borderId="0"/>
    <xf numFmtId="0" fontId="25" fillId="4" borderId="0"/>
    <xf numFmtId="0" fontId="25" fillId="7" borderId="0"/>
    <xf numFmtId="0" fontId="25" fillId="5" borderId="0"/>
    <xf numFmtId="0" fontId="18" fillId="9" borderId="0" applyAlignment="1">
      <alignment vertical="center"/>
    </xf>
    <xf numFmtId="0" fontId="25" fillId="10" borderId="0"/>
    <xf numFmtId="0" fontId="25" fillId="11" borderId="0"/>
    <xf numFmtId="0" fontId="25" fillId="12" borderId="0"/>
    <xf numFmtId="0" fontId="25" fillId="10" borderId="0"/>
    <xf numFmtId="0" fontId="25" fillId="13" borderId="0"/>
    <xf numFmtId="0" fontId="25" fillId="5" borderId="0"/>
    <xf numFmtId="0" fontId="33" fillId="14" borderId="0"/>
    <xf numFmtId="0" fontId="33" fillId="11" borderId="0"/>
    <xf numFmtId="0" fontId="33" fillId="12" borderId="0"/>
    <xf numFmtId="0" fontId="33" fillId="10" borderId="0"/>
    <xf numFmtId="0" fontId="33" fillId="14" borderId="0"/>
    <xf numFmtId="0" fontId="33" fillId="5" borderId="0"/>
    <xf numFmtId="0" fontId="33" fillId="14" borderId="0"/>
    <xf numFmtId="0" fontId="33" fillId="15" borderId="0"/>
    <xf numFmtId="0" fontId="33" fillId="16" borderId="0"/>
    <xf numFmtId="0" fontId="33" fillId="17" borderId="0"/>
    <xf numFmtId="0" fontId="33" fillId="14" borderId="0"/>
    <xf numFmtId="0" fontId="33" fillId="18" borderId="0"/>
    <xf numFmtId="0" fontId="27" fillId="8" borderId="0"/>
    <xf numFmtId="0" fontId="26" fillId="4" borderId="14"/>
    <xf numFmtId="0" fontId="34" fillId="19" borderId="15"/>
    <xf numFmtId="0" fontId="30" fillId="0" borderId="0"/>
    <xf numFmtId="0" fontId="35" fillId="0" borderId="16"/>
    <xf numFmtId="0" fontId="36" fillId="0" borderId="17"/>
    <xf numFmtId="0" fontId="37" fillId="0" borderId="18"/>
    <xf numFmtId="0" fontId="37" fillId="0" borderId="0"/>
    <xf numFmtId="0" fontId="32" fillId="5" borderId="14"/>
    <xf numFmtId="0" fontId="29" fillId="0" borderId="19"/>
    <xf numFmtId="0" fontId="28" fillId="12" borderId="0"/>
    <xf numFmtId="0" fontId="24" fillId="0" borderId="0"/>
    <xf numFmtId="0" fontId="25" fillId="0" borderId="0"/>
    <xf numFmtId="0" fontId="15" fillId="0" borderId="0"/>
    <xf numFmtId="0" fontId="31" fillId="0" borderId="20"/>
    <xf numFmtId="43" fontId="74" fillId="0" borderId="0"/>
    <xf numFmtId="43" fontId="74" fillId="0" borderId="0"/>
    <xf numFmtId="43" fontId="74" fillId="0" borderId="0"/>
    <xf numFmtId="0" fontId="44" fillId="0" borderId="0"/>
    <xf numFmtId="0" fontId="48" fillId="0" borderId="0"/>
    <xf numFmtId="0" fontId="51" fillId="0" borderId="0"/>
    <xf numFmtId="0" fontId="51"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43" fontId="74" fillId="0" borderId="0"/>
    <xf numFmtId="0" fontId="51" fillId="0" borderId="0"/>
    <xf numFmtId="0" fontId="52" fillId="0" borderId="0"/>
    <xf numFmtId="0" fontId="74" fillId="0" borderId="0"/>
    <xf numFmtId="0" fontId="25" fillId="0" borderId="0" applyAlignment="1">
      <alignment horizontal="center" vertical="center"/>
    </xf>
    <xf numFmtId="0" fontId="74" fillId="0" borderId="0"/>
    <xf numFmtId="0" fontId="74" fillId="0" borderId="0"/>
    <xf numFmtId="0" fontId="74" fillId="0" borderId="0"/>
    <xf numFmtId="0" fontId="56"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58" fillId="0" borderId="0" applyAlignment="1">
      <alignment horizontal="justify" wrapText="1"/>
    </xf>
    <xf numFmtId="0" fontId="58" fillId="0" borderId="0" applyAlignment="1">
      <alignment horizontal="justify" wrapText="1"/>
    </xf>
    <xf numFmtId="0" fontId="58" fillId="0" borderId="0" applyAlignment="1">
      <alignment horizontal="justify" vertical="top" wrapText="1"/>
    </xf>
    <xf numFmtId="0" fontId="44" fillId="0" borderId="0"/>
    <xf numFmtId="0" fontId="58" fillId="0" borderId="0" applyAlignment="1">
      <alignment horizontal="justify" vertical="top" wrapText="1"/>
    </xf>
    <xf numFmtId="0" fontId="44" fillId="0" borderId="0"/>
    <xf numFmtId="0" fontId="74" fillId="0" borderId="0"/>
    <xf numFmtId="9" fontId="44" fillId="0" borderId="0"/>
    <xf numFmtId="0" fontId="44" fillId="0" borderId="0"/>
    <xf numFmtId="0" fontId="74" fillId="0" borderId="0"/>
    <xf numFmtId="9" fontId="44" fillId="0" borderId="0"/>
    <xf numFmtId="9" fontId="51" fillId="0" borderId="0"/>
    <xf numFmtId="0" fontId="58" fillId="0" borderId="0" applyAlignment="1">
      <alignment horizontal="justify" vertical="top" wrapText="1"/>
    </xf>
    <xf numFmtId="0" fontId="44" fillId="0" borderId="0"/>
    <xf numFmtId="0" fontId="58" fillId="0" borderId="0" applyAlignment="1">
      <alignment horizontal="justify" wrapText="1"/>
    </xf>
    <xf numFmtId="0" fontId="15" fillId="0" borderId="0"/>
    <xf numFmtId="0" fontId="57" fillId="0" borderId="0"/>
    <xf numFmtId="0" fontId="51" fillId="0" borderId="0"/>
    <xf numFmtId="0" fontId="58" fillId="0" borderId="0" applyAlignment="1">
      <alignment horizontal="justify" wrapText="1"/>
    </xf>
    <xf numFmtId="0" fontId="58" fillId="0" borderId="0" applyAlignment="1">
      <alignment horizontal="left" wrapText="1" indent="1"/>
    </xf>
    <xf numFmtId="0" fontId="74" fillId="0" borderId="0"/>
    <xf numFmtId="0" fontId="58" fillId="0" borderId="0" applyAlignment="1">
      <alignment horizontal="justify" wrapText="1"/>
    </xf>
    <xf numFmtId="0" fontId="58" fillId="0" borderId="0" applyAlignment="1">
      <alignment horizontal="justify" wrapText="1"/>
    </xf>
    <xf numFmtId="0" fontId="52" fillId="0" borderId="0"/>
    <xf numFmtId="0" fontId="58" fillId="0" borderId="0" applyAlignment="1">
      <alignment horizontal="justify" wrapText="1"/>
    </xf>
    <xf numFmtId="0" fontId="51" fillId="0" borderId="0"/>
    <xf numFmtId="0" fontId="15" fillId="0" borderId="0"/>
    <xf numFmtId="0" fontId="58" fillId="0" borderId="0" applyAlignment="1">
      <alignment horizontal="justify" vertical="top" wrapText="1"/>
    </xf>
    <xf numFmtId="0" fontId="58" fillId="0" borderId="0" applyAlignment="1">
      <alignment horizontal="justify" vertical="top" wrapText="1"/>
    </xf>
    <xf numFmtId="0" fontId="58" fillId="0" borderId="0" applyAlignment="1">
      <alignment horizontal="justify" wrapText="1"/>
    </xf>
    <xf numFmtId="0" fontId="74" fillId="0" borderId="0"/>
    <xf numFmtId="0" fontId="44" fillId="0" borderId="0"/>
    <xf numFmtId="0" fontId="58" fillId="0" borderId="0" applyAlignment="1">
      <alignment horizontal="justify" wrapText="1"/>
    </xf>
    <xf numFmtId="0" fontId="58" fillId="0" borderId="0" applyAlignment="1">
      <alignment horizontal="justify" wrapText="1"/>
    </xf>
    <xf numFmtId="0" fontId="15" fillId="0" borderId="0"/>
    <xf numFmtId="0" fontId="58" fillId="0" borderId="0" applyAlignment="1">
      <alignment horizontal="justify" wrapText="1"/>
    </xf>
    <xf numFmtId="0" fontId="58" fillId="0" borderId="0" applyAlignment="1">
      <alignment horizontal="left" wrapText="1" indent="1"/>
    </xf>
    <xf numFmtId="2" fontId="53" fillId="0" borderId="0"/>
    <xf numFmtId="0" fontId="51" fillId="0" borderId="0"/>
    <xf numFmtId="0" fontId="74" fillId="0" borderId="0"/>
    <xf numFmtId="0" fontId="71" fillId="0" borderId="0"/>
    <xf numFmtId="0" fontId="51" fillId="0" borderId="0"/>
    <xf numFmtId="0" fontId="25" fillId="0" borderId="0" applyAlignment="1">
      <alignment horizontal="left" vertical="top" wrapText="1"/>
    </xf>
    <xf numFmtId="9" fontId="4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15" fillId="0" borderId="0"/>
    <xf numFmtId="0" fontId="74" fillId="0" borderId="0"/>
    <xf numFmtId="0" fontId="54" fillId="0" borderId="0" applyAlignment="1" applyProtection="1">
      <alignment vertical="top" wrapText="1"/>
      <protection locked="0" hidden="0"/>
    </xf>
    <xf numFmtId="0" fontId="44" fillId="0" borderId="0"/>
    <xf numFmtId="0" fontId="54" fillId="0" borderId="0" applyAlignment="1" applyProtection="1">
      <alignment vertical="top" wrapText="1"/>
      <protection locked="0" hidden="0"/>
    </xf>
    <xf numFmtId="174" fontId="15" fillId="0" borderId="0"/>
    <xf numFmtId="0" fontId="74" fillId="0" borderId="0"/>
    <xf numFmtId="0" fontId="51" fillId="0" borderId="0"/>
    <xf numFmtId="0" fontId="20" fillId="0" borderId="0"/>
    <xf numFmtId="0" fontId="74" fillId="0" borderId="0"/>
    <xf numFmtId="0" fontId="74" fillId="0" borderId="0"/>
    <xf numFmtId="0" fontId="74" fillId="0" borderId="0"/>
    <xf numFmtId="0" fontId="74" fillId="0" borderId="0"/>
    <xf numFmtId="0" fontId="74" fillId="0" borderId="0"/>
    <xf numFmtId="174" fontId="74" fillId="0" borderId="0"/>
    <xf numFmtId="174" fontId="51" fillId="0" borderId="0"/>
    <xf numFmtId="0" fontId="90" fillId="0" borderId="0"/>
    <xf numFmtId="2" fontId="91" fillId="0" borderId="0"/>
    <xf numFmtId="0" fontId="92" fillId="0" borderId="0"/>
    <xf numFmtId="0" fontId="74" fillId="0" borderId="0"/>
    <xf numFmtId="0" fontId="74" fillId="0" borderId="0"/>
    <xf numFmtId="0" fontId="94" fillId="0" borderId="0"/>
    <xf numFmtId="0" fontId="51" fillId="0" borderId="0"/>
    <xf numFmtId="0" fontId="74" fillId="0" borderId="0"/>
    <xf numFmtId="0" fontId="94" fillId="0" borderId="0"/>
    <xf numFmtId="0" fontId="96" fillId="0" borderId="0"/>
  </cellStyleXfs>
  <cellXfs count="338">
    <xf numFmtId="0" fontId="0" fillId="0" borderId="0" pivotButton="0" quotePrefix="0" xfId="0"/>
    <xf numFmtId="0" fontId="6" fillId="0" borderId="0" applyAlignment="1" pivotButton="0" quotePrefix="0" xfId="0">
      <alignment horizontal="justify" vertical="top" wrapText="1"/>
    </xf>
    <xf numFmtId="0" fontId="0" fillId="0" borderId="0" applyAlignment="1" pivotButton="0" quotePrefix="0" xfId="0">
      <alignment horizontal="justify" vertical="top" wrapText="1"/>
    </xf>
    <xf numFmtId="0" fontId="8" fillId="0" borderId="0" applyAlignment="1" pivotButton="0" quotePrefix="0" xfId="0">
      <alignment horizontal="justify" vertical="top" wrapText="1"/>
    </xf>
    <xf numFmtId="0" fontId="5" fillId="0" borderId="0" applyAlignment="1" pivotButton="0" quotePrefix="0" xfId="0">
      <alignment horizontal="center"/>
    </xf>
    <xf numFmtId="0" fontId="5" fillId="0" borderId="0" applyAlignment="1" pivotButton="0" quotePrefix="0" xfId="0">
      <alignment horizontal="center" vertical="top" wrapText="1"/>
    </xf>
    <xf numFmtId="0" fontId="0" fillId="0" borderId="0" applyAlignment="1" pivotButton="0" quotePrefix="0" xfId="0">
      <alignment horizontal="justify" wrapText="1"/>
    </xf>
    <xf numFmtId="4" fontId="0" fillId="0" borderId="0" applyAlignment="1" pivotButton="0" quotePrefix="0" xfId="0">
      <alignment horizontal="right" vertical="center" wrapText="1"/>
    </xf>
    <xf numFmtId="0" fontId="7" fillId="0" borderId="0" applyAlignment="1" pivotButton="0" quotePrefix="0" xfId="0">
      <alignment horizontal="justify" wrapText="1"/>
    </xf>
    <xf numFmtId="0" fontId="3" fillId="0" borderId="0" applyAlignment="1" pivotButton="0" quotePrefix="0" xfId="0">
      <alignment horizontal="justify" vertical="top"/>
    </xf>
    <xf numFmtId="4" fontId="3" fillId="0" borderId="0" applyAlignment="1" pivotButton="0" quotePrefix="0" xfId="0">
      <alignment horizontal="right" vertical="center" wrapText="1"/>
    </xf>
    <xf numFmtId="0" fontId="3" fillId="0" borderId="0" applyAlignment="1" pivotButton="0" quotePrefix="0" xfId="0">
      <alignment horizontal="justify" vertical="top" wrapText="1"/>
    </xf>
    <xf numFmtId="4" fontId="3" fillId="0" borderId="0" applyAlignment="1" pivotButton="0" quotePrefix="0" xfId="0">
      <alignment horizontal="right" vertical="center"/>
    </xf>
    <xf numFmtId="2" fontId="3" fillId="0" borderId="0" applyAlignment="1" pivotButton="0" quotePrefix="0" xfId="0">
      <alignment horizontal="center" vertical="top"/>
    </xf>
    <xf numFmtId="4" fontId="3" fillId="0" borderId="0" applyAlignment="1" pivotButton="0" quotePrefix="0" xfId="0">
      <alignment horizontal="right"/>
    </xf>
    <xf numFmtId="0" fontId="6" fillId="0" borderId="0" applyAlignment="1" pivotButton="0" quotePrefix="0" xfId="0">
      <alignment horizontal="right" vertical="top" wrapText="1"/>
    </xf>
    <xf numFmtId="2" fontId="11" fillId="0" borderId="0" applyAlignment="1" pivotButton="0" quotePrefix="0" xfId="0">
      <alignment horizontal="center" vertical="center"/>
    </xf>
    <xf numFmtId="0" fontId="11" fillId="0" borderId="0" applyAlignment="1" pivotButton="0" quotePrefix="0" xfId="0">
      <alignment horizontal="justify" wrapText="1"/>
    </xf>
    <xf numFmtId="0" fontId="12" fillId="0" borderId="0" applyAlignment="1" pivotButton="0" quotePrefix="0" xfId="0">
      <alignment horizontal="right" vertical="top"/>
    </xf>
    <xf numFmtId="0" fontId="13" fillId="0" borderId="10" applyAlignment="1" pivotButton="0" quotePrefix="0" xfId="0">
      <alignment horizontal="right" vertical="top" wrapText="1"/>
    </xf>
    <xf numFmtId="0" fontId="3" fillId="0" borderId="0" applyAlignment="1" pivotButton="0" quotePrefix="0" xfId="0">
      <alignment horizontal="right" vertical="top"/>
    </xf>
    <xf numFmtId="0" fontId="7" fillId="0" borderId="0" applyAlignment="1" pivotButton="0" quotePrefix="0" xfId="0">
      <alignment horizontal="center" vertical="top" wrapText="1"/>
    </xf>
    <xf numFmtId="4" fontId="7" fillId="0" borderId="0" applyAlignment="1" pivotButton="0" quotePrefix="0" xfId="0">
      <alignment horizontal="right" vertical="center" wrapText="1"/>
    </xf>
    <xf numFmtId="4" fontId="38" fillId="0" borderId="0" applyAlignment="1" pivotButton="0" quotePrefix="0" xfId="0">
      <alignment horizontal="center" vertical="center" wrapText="1"/>
    </xf>
    <xf numFmtId="4" fontId="9" fillId="0" borderId="0" applyAlignment="1" pivotButton="0" quotePrefix="0" xfId="0">
      <alignment horizontal="center" vertical="center" wrapText="1"/>
    </xf>
    <xf numFmtId="4" fontId="9" fillId="0" borderId="0" applyAlignment="1" pivotButton="0" quotePrefix="0" xfId="0">
      <alignment horizontal="center" vertical="center"/>
    </xf>
    <xf numFmtId="4" fontId="14" fillId="0" borderId="0" applyAlignment="1" pivotButton="0" quotePrefix="0" xfId="0">
      <alignment horizontal="center" vertical="center" wrapText="1"/>
    </xf>
    <xf numFmtId="0" fontId="38" fillId="0" borderId="0" applyAlignment="1" pivotButton="0" quotePrefix="0" xfId="0">
      <alignment horizontal="center"/>
    </xf>
    <xf numFmtId="0" fontId="11" fillId="0" borderId="7" applyAlignment="1" pivotButton="0" quotePrefix="0" xfId="0">
      <alignment horizontal="justify" wrapText="1"/>
    </xf>
    <xf numFmtId="4" fontId="40" fillId="0" borderId="0" applyAlignment="1" pivotButton="0" quotePrefix="0" xfId="0">
      <alignment horizontal="right" vertical="center"/>
    </xf>
    <xf numFmtId="0" fontId="40" fillId="0" borderId="0" applyAlignment="1" pivotButton="0" quotePrefix="0" xfId="0">
      <alignment horizontal="justify" vertical="top"/>
    </xf>
    <xf numFmtId="0" fontId="40" fillId="0" borderId="0" applyAlignment="1" pivotButton="0" quotePrefix="0" xfId="0">
      <alignment horizontal="center" vertical="top" wrapText="1"/>
    </xf>
    <xf numFmtId="0" fontId="39" fillId="0" borderId="0" applyAlignment="1" pivotButton="0" quotePrefix="0" xfId="0">
      <alignment horizontal="justify" vertical="top" wrapText="1"/>
    </xf>
    <xf numFmtId="0" fontId="40" fillId="0" borderId="0" applyAlignment="1" pivotButton="0" quotePrefix="0" xfId="0">
      <alignment horizontal="center" vertical="center" wrapText="1"/>
    </xf>
    <xf numFmtId="4" fontId="9" fillId="0" borderId="0" applyAlignment="1" pivotButton="0" quotePrefix="0" xfId="0">
      <alignment horizontal="right" vertical="center" wrapText="1"/>
    </xf>
    <xf numFmtId="0" fontId="11" fillId="0" borderId="7" applyAlignment="1" pivotButton="0" quotePrefix="0" xfId="0">
      <alignment horizontal="center" vertical="center"/>
    </xf>
    <xf numFmtId="0" fontId="13" fillId="2" borderId="10" applyAlignment="1" pivotButton="0" quotePrefix="0" xfId="0">
      <alignment horizontal="right" vertical="top" wrapText="1"/>
    </xf>
    <xf numFmtId="4" fontId="38" fillId="0" borderId="0" applyAlignment="1" pivotButton="0" quotePrefix="0" xfId="0">
      <alignment horizontal="right" vertical="center" wrapText="1"/>
    </xf>
    <xf numFmtId="4" fontId="9" fillId="0" borderId="0" applyAlignment="1" pivotButton="0" quotePrefix="0" xfId="0">
      <alignment horizontal="right" vertical="center"/>
    </xf>
    <xf numFmtId="4" fontId="9" fillId="0" borderId="0" applyAlignment="1" pivotButton="0" quotePrefix="0" xfId="0">
      <alignment horizontal="right"/>
    </xf>
    <xf numFmtId="4" fontId="14" fillId="0" borderId="0" applyAlignment="1" pivotButton="0" quotePrefix="0" xfId="0">
      <alignment horizontal="right" vertical="center" wrapText="1"/>
    </xf>
    <xf numFmtId="0" fontId="38" fillId="0" borderId="0" pivotButton="0" quotePrefix="0" xfId="0"/>
    <xf numFmtId="0" fontId="43" fillId="0" borderId="0" applyAlignment="1" pivotButton="0" quotePrefix="0" xfId="0">
      <alignment horizontal="justify" vertical="top" wrapText="1"/>
    </xf>
    <xf numFmtId="4" fontId="40" fillId="0" borderId="0" applyAlignment="1" pivotButton="0" quotePrefix="0" xfId="0">
      <alignment horizontal="right" vertical="center" wrapText="1"/>
    </xf>
    <xf numFmtId="0" fontId="40" fillId="0" borderId="0" pivotButton="0" quotePrefix="0" xfId="0"/>
    <xf numFmtId="0" fontId="45" fillId="0" borderId="0" pivotButton="0" quotePrefix="0" xfId="0"/>
    <xf numFmtId="0" fontId="40" fillId="0" borderId="0" applyAlignment="1" pivotButton="0" quotePrefix="0" xfId="0">
      <alignment horizontal="justify" wrapText="1"/>
    </xf>
    <xf numFmtId="0" fontId="45" fillId="0" borderId="0" applyAlignment="1" pivotButton="0" quotePrefix="0" xfId="0">
      <alignment vertical="center"/>
    </xf>
    <xf numFmtId="0" fontId="45" fillId="0" borderId="0" applyAlignment="1" pivotButton="0" quotePrefix="0" xfId="0">
      <alignment horizontal="center" vertical="top" wrapText="1"/>
    </xf>
    <xf numFmtId="0" fontId="45" fillId="0" borderId="0" applyAlignment="1" pivotButton="0" quotePrefix="0" xfId="0">
      <alignment horizontal="justify" wrapText="1"/>
    </xf>
    <xf numFmtId="0" fontId="45" fillId="0" borderId="0" applyAlignment="1" pivotButton="0" quotePrefix="0" xfId="0">
      <alignment horizontal="center" vertical="center" wrapText="1"/>
    </xf>
    <xf numFmtId="4" fontId="45" fillId="0" borderId="0" applyAlignment="1" pivotButton="0" quotePrefix="0" xfId="0">
      <alignment horizontal="right" vertical="center" wrapText="1"/>
    </xf>
    <xf numFmtId="0" fontId="39" fillId="0" borderId="0" applyAlignment="1" pivotButton="0" quotePrefix="0" xfId="0">
      <alignment horizontal="justify" wrapText="1"/>
    </xf>
    <xf numFmtId="4" fontId="40" fillId="0" borderId="0" applyAlignment="1" pivotButton="0" quotePrefix="0" xfId="0">
      <alignment horizontal="right" wrapText="1"/>
    </xf>
    <xf numFmtId="0" fontId="40" fillId="0" borderId="0" applyAlignment="1" pivotButton="0" quotePrefix="0" xfId="0">
      <alignment horizontal="center" wrapText="1"/>
    </xf>
    <xf numFmtId="0" fontId="40" fillId="0" borderId="0" applyAlignment="1" pivotButton="0" quotePrefix="0" xfId="0">
      <alignment horizontal="justify" vertical="top" wrapText="1"/>
    </xf>
    <xf numFmtId="4" fontId="40" fillId="0" borderId="0" applyAlignment="1" pivotButton="0" quotePrefix="0" xfId="0">
      <alignment horizontal="center"/>
    </xf>
    <xf numFmtId="16" fontId="40" fillId="0" borderId="0" applyAlignment="1" pivotButton="0" quotePrefix="0" xfId="0">
      <alignment horizontal="center" vertical="top" wrapText="1"/>
    </xf>
    <xf numFmtId="0" fontId="45" fillId="0" borderId="0" applyAlignment="1" pivotButton="0" quotePrefix="0" xfId="0">
      <alignment horizontal="center"/>
    </xf>
    <xf numFmtId="0" fontId="46" fillId="20" borderId="13" applyAlignment="1" pivotButton="0" quotePrefix="0" xfId="0">
      <alignment horizontal="center" vertical="center" wrapText="1"/>
    </xf>
    <xf numFmtId="4" fontId="46" fillId="20" borderId="13" applyAlignment="1" pivotButton="0" quotePrefix="0" xfId="0">
      <alignment horizontal="center" vertical="center" wrapText="1"/>
    </xf>
    <xf numFmtId="0" fontId="39" fillId="20" borderId="8" applyAlignment="1" pivotButton="0" quotePrefix="0" xfId="0">
      <alignment horizontal="center" vertical="top" wrapText="1"/>
    </xf>
    <xf numFmtId="0" fontId="39" fillId="20" borderId="13" applyAlignment="1" pivotButton="0" quotePrefix="0" xfId="0">
      <alignment horizontal="justify" wrapText="1"/>
    </xf>
    <xf numFmtId="4" fontId="39" fillId="20" borderId="13" applyAlignment="1" pivotButton="0" quotePrefix="0" xfId="0">
      <alignment horizontal="right" vertical="center" wrapText="1"/>
    </xf>
    <xf numFmtId="0" fontId="39" fillId="20" borderId="13" applyAlignment="1" pivotButton="0" quotePrefix="0" xfId="0">
      <alignment horizontal="center" vertical="center" wrapText="1"/>
    </xf>
    <xf numFmtId="0" fontId="39" fillId="20" borderId="10" applyAlignment="1" pivotButton="0" quotePrefix="0" xfId="0">
      <alignment horizontal="center" vertical="top" wrapText="1"/>
    </xf>
    <xf numFmtId="0" fontId="39" fillId="20" borderId="11" applyAlignment="1" pivotButton="0" quotePrefix="0" xfId="0">
      <alignment horizontal="justify" wrapText="1"/>
    </xf>
    <xf numFmtId="0" fontId="39" fillId="20" borderId="11" applyAlignment="1" pivotButton="0" quotePrefix="0" xfId="0">
      <alignment horizontal="center" vertical="center" wrapText="1"/>
    </xf>
    <xf numFmtId="4" fontId="39" fillId="20" borderId="11" applyAlignment="1" pivotButton="0" quotePrefix="0" xfId="0">
      <alignment horizontal="right" vertical="center" wrapText="1"/>
    </xf>
    <xf numFmtId="164" fontId="40" fillId="0" borderId="0" applyAlignment="1" pivotButton="0" quotePrefix="0" xfId="0">
      <alignment horizontal="right"/>
    </xf>
    <xf numFmtId="164" fontId="46" fillId="20" borderId="13" applyAlignment="1" pivotButton="0" quotePrefix="0" xfId="0">
      <alignment horizontal="center" vertical="center" wrapText="1"/>
    </xf>
    <xf numFmtId="164" fontId="40" fillId="0" borderId="0" applyAlignment="1" pivotButton="0" quotePrefix="0" xfId="0">
      <alignment horizontal="right" vertical="center" wrapText="1"/>
    </xf>
    <xf numFmtId="164" fontId="39" fillId="20" borderId="13" applyAlignment="1" pivotButton="0" quotePrefix="0" xfId="0">
      <alignment horizontal="right" vertical="center" wrapText="1"/>
    </xf>
    <xf numFmtId="164" fontId="45" fillId="0" borderId="0" pivotButton="0" quotePrefix="0" xfId="0"/>
    <xf numFmtId="164" fontId="46" fillId="20" borderId="9" applyAlignment="1" pivotButton="0" quotePrefix="0" xfId="0">
      <alignment horizontal="center" vertical="center" wrapText="1"/>
    </xf>
    <xf numFmtId="164" fontId="39" fillId="20" borderId="9" applyAlignment="1" pivotButton="0" quotePrefix="0" xfId="0">
      <alignment horizontal="right" vertical="center" wrapText="1"/>
    </xf>
    <xf numFmtId="164" fontId="45" fillId="0" borderId="0" applyAlignment="1" pivotButton="0" quotePrefix="0" xfId="0">
      <alignment horizontal="right" vertical="center" wrapText="1"/>
    </xf>
    <xf numFmtId="164" fontId="40" fillId="0" borderId="0" pivotButton="0" quotePrefix="0" xfId="0"/>
    <xf numFmtId="164" fontId="40" fillId="0" borderId="0" applyAlignment="1" pivotButton="0" quotePrefix="0" xfId="0">
      <alignment horizontal="right" wrapText="1"/>
    </xf>
    <xf numFmtId="164" fontId="39" fillId="20" borderId="11" applyAlignment="1" pivotButton="0" quotePrefix="0" xfId="0">
      <alignment horizontal="right" vertical="center" wrapText="1"/>
    </xf>
    <xf numFmtId="164" fontId="39" fillId="20" borderId="12" applyAlignment="1" pivotButton="0" quotePrefix="0" xfId="0">
      <alignment horizontal="right" vertical="center" wrapText="1"/>
    </xf>
    <xf numFmtId="164" fontId="0" fillId="0" borderId="0" applyAlignment="1" pivotButton="0" quotePrefix="0" xfId="0">
      <alignment horizontal="right" vertical="center" wrapText="1"/>
    </xf>
    <xf numFmtId="164" fontId="11" fillId="0" borderId="7" applyAlignment="1" pivotButton="0" quotePrefix="0" xfId="0">
      <alignment horizontal="right" vertical="center"/>
    </xf>
    <xf numFmtId="164" fontId="11" fillId="0" borderId="0" applyAlignment="1" pivotButton="0" quotePrefix="0" xfId="0">
      <alignment horizontal="right" vertical="center"/>
    </xf>
    <xf numFmtId="164" fontId="4" fillId="2" borderId="12" applyAlignment="1" pivotButton="0" quotePrefix="0" xfId="0">
      <alignment horizontal="right" vertical="center"/>
    </xf>
    <xf numFmtId="164" fontId="3" fillId="0" borderId="0" applyAlignment="1" pivotButton="0" quotePrefix="0" xfId="0">
      <alignment horizontal="right" vertical="center"/>
    </xf>
    <xf numFmtId="164" fontId="4" fillId="0" borderId="12" applyAlignment="1" pivotButton="0" quotePrefix="0" xfId="0">
      <alignment horizontal="right" vertical="center"/>
    </xf>
    <xf numFmtId="164" fontId="3" fillId="0" borderId="0" applyAlignment="1" pivotButton="0" quotePrefix="0" xfId="0">
      <alignment horizontal="center" vertical="center"/>
    </xf>
    <xf numFmtId="164" fontId="3" fillId="0" borderId="0" applyAlignment="1" pivotButton="0" quotePrefix="0" xfId="0">
      <alignment horizontal="center" vertical="center" wrapText="1"/>
    </xf>
    <xf numFmtId="164" fontId="7" fillId="0" borderId="0" applyAlignment="1" pivotButton="0" quotePrefix="0" xfId="0">
      <alignment horizontal="center" vertical="center" wrapText="1"/>
    </xf>
    <xf numFmtId="164" fontId="0" fillId="0" borderId="0" pivotButton="0" quotePrefix="0" xfId="0"/>
    <xf numFmtId="0" fontId="41" fillId="0" borderId="0" applyAlignment="1" pivotButton="0" quotePrefix="0" xfId="0">
      <alignment horizontal="justify" vertical="top" wrapText="1"/>
    </xf>
    <xf numFmtId="164" fontId="47" fillId="0" borderId="0" applyAlignment="1" pivotButton="0" quotePrefix="0" xfId="0">
      <alignment horizontal="right" vertical="center" wrapText="1"/>
    </xf>
    <xf numFmtId="0" fontId="60" fillId="0" borderId="0" applyAlignment="1" pivotButton="0" quotePrefix="0" xfId="0">
      <alignment vertical="center"/>
    </xf>
    <xf numFmtId="0" fontId="61" fillId="0" borderId="0" applyAlignment="1" pivotButton="0" quotePrefix="0" xfId="0">
      <alignment horizontal="justify" vertical="center"/>
    </xf>
    <xf numFmtId="0" fontId="60" fillId="0" borderId="0" applyAlignment="1" pivotButton="0" quotePrefix="0" xfId="0">
      <alignment horizontal="justify" vertical="center"/>
    </xf>
    <xf numFmtId="0" fontId="63" fillId="0" borderId="0" applyAlignment="1" pivotButton="0" quotePrefix="1" xfId="0">
      <alignment horizontal="center" vertical="center"/>
    </xf>
    <xf numFmtId="0" fontId="64" fillId="0" borderId="0" applyAlignment="1" pivotButton="0" quotePrefix="0" xfId="0">
      <alignment vertical="center"/>
    </xf>
    <xf numFmtId="0" fontId="65" fillId="0" borderId="0" applyAlignment="1" pivotButton="0" quotePrefix="0" xfId="0">
      <alignment horizontal="center" vertical="center"/>
    </xf>
    <xf numFmtId="0" fontId="66" fillId="0" borderId="0" applyAlignment="1" pivotButton="0" quotePrefix="0" xfId="0">
      <alignment horizontal="center" vertical="center"/>
    </xf>
    <xf numFmtId="0" fontId="60" fillId="0" borderId="0" applyAlignment="1" pivotButton="0" quotePrefix="0" xfId="0">
      <alignment horizontal="center" vertical="center"/>
    </xf>
    <xf numFmtId="0" fontId="65" fillId="21" borderId="7" applyAlignment="1" pivotButton="0" quotePrefix="0" xfId="0">
      <alignment horizontal="center" vertical="center"/>
    </xf>
    <xf numFmtId="165" fontId="60" fillId="0" borderId="0" applyAlignment="1" pivotButton="0" quotePrefix="0" xfId="0">
      <alignment vertical="center"/>
    </xf>
    <xf numFmtId="0" fontId="60" fillId="0" borderId="0" applyAlignment="1" pivotButton="0" quotePrefix="0" xfId="0">
      <alignment horizontal="center" vertical="center" wrapText="1"/>
    </xf>
    <xf numFmtId="0" fontId="66" fillId="0" borderId="22" applyAlignment="1" pivotButton="0" quotePrefix="0" xfId="0">
      <alignment horizontal="right" vertical="center"/>
    </xf>
    <xf numFmtId="0" fontId="66" fillId="0" borderId="28" applyAlignment="1" pivotButton="0" quotePrefix="0" xfId="0">
      <alignment vertical="center"/>
    </xf>
    <xf numFmtId="0" fontId="66" fillId="0" borderId="29" applyAlignment="1" pivotButton="0" quotePrefix="0" xfId="0">
      <alignment horizontal="right" vertical="center"/>
    </xf>
    <xf numFmtId="0" fontId="60" fillId="22" borderId="23" applyAlignment="1" pivotButton="0" quotePrefix="0" xfId="0">
      <alignment vertical="center"/>
    </xf>
    <xf numFmtId="165" fontId="60" fillId="0" borderId="30" applyAlignment="1" pivotButton="0" quotePrefix="0" xfId="0">
      <alignment vertical="center"/>
    </xf>
    <xf numFmtId="0" fontId="68"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61" fillId="0" borderId="0" applyAlignment="1" pivotButton="0" quotePrefix="0" xfId="0">
      <alignment horizontal="left" vertical="center" wrapText="1"/>
    </xf>
    <xf numFmtId="4" fontId="40" fillId="0" borderId="0" applyAlignment="1" pivotButton="0" quotePrefix="0" xfId="0">
      <alignment horizontal="right"/>
    </xf>
    <xf numFmtId="0" fontId="1" fillId="0" borderId="0" applyAlignment="1" pivotButton="0" quotePrefix="0" xfId="0">
      <alignment horizontal="justify" vertical="top" wrapText="1"/>
    </xf>
    <xf numFmtId="0" fontId="1" fillId="0" borderId="0" applyAlignment="1" pivotButton="0" quotePrefix="0" xfId="0">
      <alignment horizontal="center" vertical="center"/>
    </xf>
    <xf numFmtId="4" fontId="1" fillId="0" borderId="0" applyAlignment="1" pivotButton="0" quotePrefix="0" xfId="0">
      <alignment horizontal="right" vertical="center"/>
    </xf>
    <xf numFmtId="0" fontId="40" fillId="0" borderId="0" applyAlignment="1" pivotButton="0" quotePrefix="0" xfId="0">
      <alignment horizontal="right" vertical="top" wrapText="1"/>
    </xf>
    <xf numFmtId="0" fontId="60" fillId="0" borderId="0" applyAlignment="1" pivotButton="0" quotePrefix="0" xfId="149">
      <alignment vertical="center"/>
    </xf>
    <xf numFmtId="0" fontId="16" fillId="0" borderId="0" pivotButton="0" quotePrefix="0" xfId="149"/>
    <xf numFmtId="0" fontId="61" fillId="0" borderId="0" applyAlignment="1" pivotButton="0" quotePrefix="0" xfId="149">
      <alignment horizontal="justify" vertical="center"/>
    </xf>
    <xf numFmtId="0" fontId="60" fillId="0" borderId="0" applyAlignment="1" pivotButton="0" quotePrefix="0" xfId="149">
      <alignment horizontal="justify" vertical="center"/>
    </xf>
    <xf numFmtId="0" fontId="63" fillId="0" borderId="0" applyAlignment="1" pivotButton="0" quotePrefix="1" xfId="149">
      <alignment horizontal="center" vertical="center"/>
    </xf>
    <xf numFmtId="0" fontId="65" fillId="0" borderId="0" applyAlignment="1" pivotButton="0" quotePrefix="0" xfId="149">
      <alignment horizontal="center" vertical="center"/>
    </xf>
    <xf numFmtId="0" fontId="66" fillId="0" borderId="0" applyAlignment="1" pivotButton="0" quotePrefix="0" xfId="149">
      <alignment horizontal="center" vertical="center"/>
    </xf>
    <xf numFmtId="0" fontId="60" fillId="0" borderId="0" applyAlignment="1" pivotButton="0" quotePrefix="0" xfId="149">
      <alignment horizontal="center" vertical="center"/>
    </xf>
    <xf numFmtId="0" fontId="65" fillId="21" borderId="7" applyAlignment="1" pivotButton="0" quotePrefix="0" xfId="149">
      <alignment horizontal="center" vertical="center"/>
    </xf>
    <xf numFmtId="0" fontId="60" fillId="0" borderId="0" applyAlignment="1" pivotButton="0" quotePrefix="0" xfId="149">
      <alignment horizontal="center" vertical="center" wrapText="1"/>
    </xf>
    <xf numFmtId="0" fontId="66" fillId="0" borderId="22" applyAlignment="1" pivotButton="0" quotePrefix="0" xfId="149">
      <alignment horizontal="right" vertical="center"/>
    </xf>
    <xf numFmtId="0" fontId="66" fillId="0" borderId="28" applyAlignment="1" pivotButton="0" quotePrefix="0" xfId="149">
      <alignment vertical="center"/>
    </xf>
    <xf numFmtId="0" fontId="66" fillId="0" borderId="29" applyAlignment="1" pivotButton="0" quotePrefix="0" xfId="149">
      <alignment horizontal="right" vertical="center"/>
    </xf>
    <xf numFmtId="0" fontId="66" fillId="0" borderId="23" applyAlignment="1" pivotButton="0" quotePrefix="0" xfId="149">
      <alignment horizontal="right" vertical="center"/>
    </xf>
    <xf numFmtId="165" fontId="66" fillId="0" borderId="30" applyAlignment="1" pivotButton="0" quotePrefix="0" xfId="149">
      <alignment vertical="center"/>
    </xf>
    <xf numFmtId="0" fontId="66" fillId="23" borderId="26" applyAlignment="1" pivotButton="0" quotePrefix="0" xfId="149">
      <alignment horizontal="right" vertical="center"/>
    </xf>
    <xf numFmtId="165" fontId="66" fillId="23" borderId="25" applyAlignment="1" pivotButton="0" quotePrefix="0" xfId="149">
      <alignment vertical="center"/>
    </xf>
    <xf numFmtId="0" fontId="69" fillId="0" borderId="0" applyAlignment="1" pivotButton="0" quotePrefix="0" xfId="149">
      <alignment horizontal="center" vertical="center" wrapText="1"/>
    </xf>
    <xf numFmtId="0" fontId="70" fillId="0" borderId="0" applyAlignment="1" pivotButton="0" quotePrefix="0" xfId="149">
      <alignment horizontal="center" vertical="center" wrapText="1"/>
    </xf>
    <xf numFmtId="0" fontId="61" fillId="0" borderId="0" applyAlignment="1" pivotButton="0" quotePrefix="0" xfId="149">
      <alignment horizontal="left" vertical="center" wrapText="1"/>
    </xf>
    <xf numFmtId="0" fontId="67" fillId="0" borderId="0" applyAlignment="1" pivotButton="0" quotePrefix="0" xfId="149">
      <alignment horizontal="center" vertical="center"/>
    </xf>
    <xf numFmtId="4" fontId="16" fillId="0" borderId="0" pivotButton="0" quotePrefix="0" xfId="149"/>
    <xf numFmtId="0" fontId="60" fillId="0" borderId="23" applyAlignment="1" pivotButton="0" quotePrefix="0" xfId="0">
      <alignment vertical="center"/>
    </xf>
    <xf numFmtId="0" fontId="66" fillId="0" borderId="28" applyAlignment="1" pivotButton="0" quotePrefix="0" xfId="0">
      <alignment horizontal="right" vertical="center"/>
    </xf>
    <xf numFmtId="0" fontId="66" fillId="0" borderId="0" applyAlignment="1" pivotButton="0" quotePrefix="0" xfId="0">
      <alignment horizontal="right" vertical="center"/>
    </xf>
    <xf numFmtId="0" fontId="60" fillId="0" borderId="24" applyAlignment="1" pivotButton="0" quotePrefix="0" xfId="0">
      <alignment vertical="center"/>
    </xf>
    <xf numFmtId="165" fontId="66" fillId="0" borderId="0" applyAlignment="1" pivotButton="0" quotePrefix="0" xfId="0">
      <alignment vertical="center"/>
    </xf>
    <xf numFmtId="165" fontId="66" fillId="21" borderId="28" applyAlignment="1" pivotButton="0" quotePrefix="0" xfId="0">
      <alignment vertical="center"/>
    </xf>
    <xf numFmtId="0" fontId="60" fillId="0" borderId="28" applyAlignment="1" pivotButton="0" quotePrefix="0" xfId="0">
      <alignment vertical="center"/>
    </xf>
    <xf numFmtId="0" fontId="60" fillId="0" borderId="29" applyAlignment="1" pivotButton="0" quotePrefix="0" xfId="0">
      <alignment vertical="center"/>
    </xf>
    <xf numFmtId="0" fontId="60" fillId="0" borderId="30" applyAlignment="1" pivotButton="0" quotePrefix="0" xfId="0">
      <alignment vertical="center"/>
    </xf>
    <xf numFmtId="165" fontId="66" fillId="20" borderId="25" applyAlignment="1" pivotButton="0" quotePrefix="0" xfId="0">
      <alignment vertical="center"/>
    </xf>
    <xf numFmtId="165" fontId="60" fillId="0" borderId="24" applyAlignment="1" pivotButton="0" quotePrefix="0" xfId="0">
      <alignment vertical="center"/>
    </xf>
    <xf numFmtId="165" fontId="66" fillId="23" borderId="24" applyAlignment="1" pivotButton="0" quotePrefix="0" xfId="0">
      <alignment vertical="center"/>
    </xf>
    <xf numFmtId="0" fontId="60" fillId="23" borderId="24" applyAlignment="1" pivotButton="0" quotePrefix="0" xfId="0">
      <alignment vertical="center"/>
    </xf>
    <xf numFmtId="0" fontId="6" fillId="0" borderId="0" applyAlignment="1" pivotButton="0" quotePrefix="0" xfId="0">
      <alignment wrapText="1"/>
    </xf>
    <xf numFmtId="0" fontId="6" fillId="0" borderId="0" applyAlignment="1" pivotButton="0" quotePrefix="0" xfId="0">
      <alignment vertical="top" wrapText="1"/>
    </xf>
    <xf numFmtId="0" fontId="41" fillId="0" borderId="0" applyAlignment="1" pivotButton="0" quotePrefix="0" xfId="0">
      <alignment horizontal="justify" vertical="top"/>
    </xf>
    <xf numFmtId="2" fontId="41" fillId="0" borderId="0" applyAlignment="1" pivotButton="0" quotePrefix="0" xfId="0">
      <alignment horizontal="justify" vertical="top" wrapText="1"/>
    </xf>
    <xf numFmtId="4" fontId="39" fillId="0" borderId="0" applyAlignment="1" pivotButton="0" quotePrefix="0" xfId="0">
      <alignment horizontal="right" wrapText="1"/>
    </xf>
    <xf numFmtId="0" fontId="39" fillId="0" borderId="0" applyAlignment="1" pivotButton="0" quotePrefix="0" xfId="0">
      <alignment horizontal="left" vertical="top" wrapText="1"/>
    </xf>
    <xf numFmtId="4" fontId="42" fillId="0" borderId="0" applyAlignment="1" pivotButton="0" quotePrefix="0" xfId="0">
      <alignment horizontal="right" wrapText="1"/>
    </xf>
    <xf numFmtId="0" fontId="50" fillId="0" borderId="0" applyAlignment="1" pivotButton="0" quotePrefix="0" xfId="0">
      <alignment horizontal="justify" vertical="top" wrapText="1"/>
    </xf>
    <xf numFmtId="3" fontId="40" fillId="0" borderId="0" applyAlignment="1" pivotButton="0" quotePrefix="0" xfId="0">
      <alignment horizontal="center" vertical="top" wrapText="1"/>
    </xf>
    <xf numFmtId="4" fontId="49" fillId="0" borderId="0" applyAlignment="1" pivotButton="0" quotePrefix="0" xfId="0">
      <alignment horizontal="right"/>
    </xf>
    <xf numFmtId="4" fontId="41" fillId="0" borderId="0" applyAlignment="1" pivotButton="0" quotePrefix="0" xfId="0">
      <alignment horizontal="right" vertical="center"/>
    </xf>
    <xf numFmtId="0" fontId="49" fillId="0" borderId="0" applyAlignment="1" pivotButton="0" quotePrefix="0" xfId="0">
      <alignment horizontal="center" vertical="center"/>
    </xf>
    <xf numFmtId="0" fontId="73" fillId="0" borderId="0" applyAlignment="1" pivotButton="0" quotePrefix="0" xfId="0">
      <alignment horizontal="left" vertical="top"/>
    </xf>
    <xf numFmtId="4" fontId="49" fillId="0" borderId="0" applyAlignment="1" pivotButton="0" quotePrefix="0" xfId="0">
      <alignment horizontal="right" vertical="center"/>
    </xf>
    <xf numFmtId="0" fontId="60" fillId="25" borderId="23" applyAlignment="1" pivotButton="0" quotePrefix="0" xfId="0">
      <alignment vertical="center"/>
    </xf>
    <xf numFmtId="0" fontId="60" fillId="26" borderId="23" applyAlignment="1" pivotButton="0" quotePrefix="0" xfId="0">
      <alignment vertical="center"/>
    </xf>
    <xf numFmtId="0" fontId="75" fillId="0" borderId="0" applyAlignment="1" pivotButton="0" quotePrefix="0" xfId="0">
      <alignment horizontal="center"/>
    </xf>
    <xf numFmtId="0" fontId="76" fillId="0" borderId="0" pivotButton="0" quotePrefix="0" xfId="0"/>
    <xf numFmtId="0" fontId="77" fillId="0" borderId="0" applyAlignment="1" pivotButton="0" quotePrefix="0" xfId="0">
      <alignment horizontal="justify" vertical="top" wrapText="1"/>
    </xf>
    <xf numFmtId="0" fontId="76" fillId="0" borderId="0" applyAlignment="1" pivotButton="0" quotePrefix="0" xfId="0">
      <alignment horizontal="justify" vertical="top" wrapText="1"/>
    </xf>
    <xf numFmtId="0" fontId="78" fillId="0" borderId="0" applyAlignment="1" pivotButton="0" quotePrefix="0" xfId="0">
      <alignment horizontal="justify" vertical="top" wrapText="1"/>
    </xf>
    <xf numFmtId="0" fontId="75" fillId="0" borderId="0" applyAlignment="1" pivotButton="0" quotePrefix="0" xfId="0">
      <alignment horizontal="center" vertical="top" wrapText="1"/>
    </xf>
    <xf numFmtId="0" fontId="80" fillId="0" borderId="0" applyAlignment="1" pivotButton="0" quotePrefix="0" xfId="0">
      <alignment horizontal="justify" vertical="top" wrapText="1"/>
    </xf>
    <xf numFmtId="0" fontId="81" fillId="20" borderId="13" applyAlignment="1" pivotButton="0" quotePrefix="0" xfId="0">
      <alignment horizontal="center" vertical="center" wrapText="1"/>
    </xf>
    <xf numFmtId="4" fontId="81" fillId="20" borderId="13" applyAlignment="1" pivotButton="0" quotePrefix="0" xfId="0">
      <alignment horizontal="center" vertical="center" wrapText="1"/>
    </xf>
    <xf numFmtId="4" fontId="81" fillId="20" borderId="13" applyAlignment="1" applyProtection="1" pivotButton="0" quotePrefix="0" xfId="0">
      <alignment horizontal="center" vertical="center" wrapText="1"/>
      <protection locked="0" hidden="0"/>
    </xf>
    <xf numFmtId="4" fontId="81" fillId="20" borderId="9" applyAlignment="1" applyProtection="1" pivotButton="0" quotePrefix="0" xfId="0">
      <alignment horizontal="center" vertical="center" wrapText="1"/>
      <protection locked="0" hidden="0"/>
    </xf>
    <xf numFmtId="0" fontId="82" fillId="0" borderId="0" applyAlignment="1" pivotButton="0" quotePrefix="0" xfId="0">
      <alignment vertical="center"/>
    </xf>
    <xf numFmtId="0" fontId="83" fillId="0" borderId="0" applyAlignment="1" pivotButton="0" quotePrefix="0" xfId="0">
      <alignment horizontal="left" vertical="top" wrapText="1"/>
    </xf>
    <xf numFmtId="0" fontId="84" fillId="0" borderId="0" applyAlignment="1" pivotButton="0" quotePrefix="0" xfId="0">
      <alignment horizontal="left" vertical="top" wrapText="1"/>
    </xf>
    <xf numFmtId="0" fontId="84" fillId="0" borderId="0" applyAlignment="1" pivotButton="0" quotePrefix="0" xfId="0">
      <alignment horizontal="center" vertical="center" wrapText="1"/>
    </xf>
    <xf numFmtId="4" fontId="84" fillId="0" borderId="0" applyAlignment="1" pivotButton="0" quotePrefix="0" xfId="0">
      <alignment horizontal="center" vertical="center" wrapText="1"/>
    </xf>
    <xf numFmtId="4" fontId="84" fillId="0" borderId="0" applyAlignment="1" applyProtection="1" pivotButton="0" quotePrefix="0" xfId="0">
      <alignment horizontal="center" vertical="center" wrapText="1"/>
      <protection locked="0" hidden="0"/>
    </xf>
    <xf numFmtId="166" fontId="84" fillId="0" borderId="0" applyAlignment="1" applyProtection="1" pivotButton="0" quotePrefix="0" xfId="0">
      <alignment horizontal="center" vertical="center" wrapText="1"/>
      <protection locked="0" hidden="0"/>
    </xf>
    <xf numFmtId="0" fontId="82" fillId="0" borderId="0" pivotButton="0" quotePrefix="0" xfId="0"/>
    <xf numFmtId="0" fontId="83" fillId="0" borderId="0" applyAlignment="1" pivotButton="0" quotePrefix="0" xfId="0">
      <alignment horizontal="center" vertical="top" wrapText="1"/>
    </xf>
    <xf numFmtId="0" fontId="86" fillId="0" borderId="0" applyAlignment="1" pivotButton="0" quotePrefix="0" xfId="0">
      <alignment horizontal="justify" vertical="top" wrapText="1"/>
    </xf>
    <xf numFmtId="0" fontId="86" fillId="0" borderId="0" pivotButton="0" quotePrefix="0" xfId="0"/>
    <xf numFmtId="0" fontId="83" fillId="20" borderId="8" applyAlignment="1" pivotButton="0" quotePrefix="0" xfId="0">
      <alignment horizontal="center" vertical="top" wrapText="1"/>
    </xf>
    <xf numFmtId="4" fontId="68" fillId="20" borderId="13" applyAlignment="1" pivotButton="0" quotePrefix="0" xfId="0">
      <alignment horizontal="right" vertical="center" wrapText="1"/>
    </xf>
    <xf numFmtId="4" fontId="68" fillId="20" borderId="9" applyAlignment="1" pivotButton="0" quotePrefix="0" xfId="0">
      <alignment horizontal="right" vertical="center" wrapText="1"/>
    </xf>
    <xf numFmtId="0" fontId="87" fillId="0" borderId="0" pivotButton="0" quotePrefix="0" xfId="0"/>
    <xf numFmtId="0" fontId="83" fillId="0" borderId="0" pivotButton="0" quotePrefix="0" xfId="0"/>
    <xf numFmtId="0" fontId="80" fillId="0" borderId="0" applyAlignment="1" pivotButton="0" quotePrefix="0" xfId="0">
      <alignment horizontal="center" vertical="center"/>
    </xf>
    <xf numFmtId="0" fontId="60" fillId="27" borderId="26" applyAlignment="1" pivotButton="0" quotePrefix="0" xfId="0">
      <alignment vertical="center"/>
    </xf>
    <xf numFmtId="0" fontId="76" fillId="0" borderId="0" applyAlignment="1" pivotButton="0" quotePrefix="0" xfId="0">
      <alignment horizontal="center" vertical="center" wrapText="1"/>
    </xf>
    <xf numFmtId="0" fontId="66" fillId="21" borderId="23" applyAlignment="1" pivotButton="0" quotePrefix="0" xfId="149">
      <alignment horizontal="right" vertical="center"/>
    </xf>
    <xf numFmtId="165" fontId="66" fillId="21" borderId="30" applyAlignment="1" pivotButton="0" quotePrefix="0" xfId="149">
      <alignment vertical="center"/>
    </xf>
    <xf numFmtId="0" fontId="60" fillId="22" borderId="26" applyAlignment="1" pivotButton="0" quotePrefix="0" xfId="149">
      <alignment vertical="center"/>
    </xf>
    <xf numFmtId="0" fontId="60" fillId="0" borderId="24" applyAlignment="1" pivotButton="0" quotePrefix="0" xfId="149">
      <alignment vertical="center"/>
    </xf>
    <xf numFmtId="165" fontId="60" fillId="0" borderId="25" applyAlignment="1" pivotButton="0" quotePrefix="0" xfId="149">
      <alignment vertical="center"/>
    </xf>
    <xf numFmtId="0" fontId="86" fillId="0" borderId="0" applyAlignment="1" pivotButton="0" quotePrefix="0" xfId="0">
      <alignment horizontal="justify" wrapText="1"/>
    </xf>
    <xf numFmtId="4" fontId="88" fillId="0" borderId="0" applyAlignment="1" pivotButton="0" quotePrefix="0" xfId="0">
      <alignment horizontal="center" vertical="center"/>
    </xf>
    <xf numFmtId="4" fontId="89" fillId="0" borderId="0" applyAlignment="1" pivotButton="0" quotePrefix="0" xfId="0">
      <alignment horizontal="right" vertical="center" wrapText="1"/>
    </xf>
    <xf numFmtId="4" fontId="80" fillId="0" borderId="0" applyAlignment="1" pivotButton="0" quotePrefix="0" xfId="0">
      <alignment horizontal="center" vertical="center"/>
    </xf>
    <xf numFmtId="4" fontId="86" fillId="0" borderId="0" applyAlignment="1" pivotButton="0" quotePrefix="0" xfId="0">
      <alignment horizontal="right" vertical="center" wrapText="1"/>
    </xf>
    <xf numFmtId="0" fontId="83" fillId="0" borderId="0" applyAlignment="1" pivotButton="0" quotePrefix="0" xfId="0">
      <alignment horizontal="justify" vertical="top" wrapText="1"/>
    </xf>
    <xf numFmtId="4" fontId="89" fillId="0" borderId="0" applyAlignment="1" pivotButton="0" quotePrefix="0" xfId="0">
      <alignment horizontal="right" wrapText="1"/>
    </xf>
    <xf numFmtId="4" fontId="86" fillId="0" borderId="0" applyAlignment="1" pivotButton="0" quotePrefix="0" xfId="0">
      <alignment horizontal="right" wrapText="1"/>
    </xf>
    <xf numFmtId="4" fontId="86" fillId="0" borderId="0" applyAlignment="1" pivotButton="0" quotePrefix="0" xfId="0">
      <alignment wrapText="1"/>
    </xf>
    <xf numFmtId="0" fontId="86" fillId="0" borderId="0" applyAlignment="1" pivotButton="0" quotePrefix="0" xfId="0">
      <alignment horizontal="center" vertical="center" wrapText="1"/>
    </xf>
    <xf numFmtId="166" fontId="86" fillId="0" borderId="0" applyAlignment="1" pivotButton="0" quotePrefix="0" xfId="0">
      <alignment horizontal="right" vertical="center" wrapText="1"/>
    </xf>
    <xf numFmtId="0" fontId="85" fillId="0" borderId="0" applyAlignment="1" pivotButton="0" quotePrefix="0" xfId="0">
      <alignment horizontal="center" vertical="top" wrapText="1"/>
    </xf>
    <xf numFmtId="0" fontId="93" fillId="0" borderId="0" applyAlignment="1" pivotButton="0" quotePrefix="0" xfId="0">
      <alignment horizontal="center" vertical="center" wrapText="1"/>
    </xf>
    <xf numFmtId="0" fontId="60" fillId="24" borderId="23" applyAlignment="1" pivotButton="0" quotePrefix="0" xfId="0">
      <alignment vertical="center"/>
    </xf>
    <xf numFmtId="0" fontId="95" fillId="0" borderId="0" applyAlignment="1" pivotButton="0" quotePrefix="0" xfId="0">
      <alignment vertical="center"/>
    </xf>
    <xf numFmtId="0" fontId="55" fillId="0" borderId="0" applyAlignment="1" pivotButton="0" quotePrefix="0" xfId="0">
      <alignment horizontal="justify" vertical="top" wrapText="1"/>
    </xf>
    <xf numFmtId="0" fontId="89" fillId="0" borderId="0" pivotButton="0" quotePrefix="0" xfId="0"/>
    <xf numFmtId="4" fontId="89" fillId="0" borderId="0" applyAlignment="1" pivotButton="0" quotePrefix="0" xfId="0">
      <alignment wrapText="1"/>
    </xf>
    <xf numFmtId="0" fontId="46" fillId="20" borderId="8" applyAlignment="1" pivotButton="0" quotePrefix="0" xfId="0">
      <alignment horizontal="left" vertical="center" wrapText="1"/>
    </xf>
    <xf numFmtId="0" fontId="46" fillId="20" borderId="13" applyAlignment="1" pivotButton="0" quotePrefix="0" xfId="0">
      <alignment horizontal="left" vertical="center" wrapText="1"/>
    </xf>
    <xf numFmtId="0" fontId="10" fillId="2" borderId="8" applyAlignment="1" pivotButton="0" quotePrefix="0" xfId="0">
      <alignment horizontal="center" vertical="top" wrapText="1"/>
    </xf>
    <xf numFmtId="0" fontId="10" fillId="2" borderId="13" applyAlignment="1" pivotButton="0" quotePrefix="0" xfId="0">
      <alignment horizontal="center" vertical="top" wrapText="1"/>
    </xf>
    <xf numFmtId="0" fontId="10" fillId="2" borderId="9" applyAlignment="1" pivotButton="0" quotePrefix="0" xfId="0">
      <alignment horizontal="center" vertical="top" wrapText="1"/>
    </xf>
    <xf numFmtId="0" fontId="67" fillId="0" borderId="0" applyAlignment="1" pivotButton="0" quotePrefix="0" xfId="0">
      <alignment horizontal="center" vertical="center"/>
    </xf>
    <xf numFmtId="0" fontId="66" fillId="0" borderId="8" applyAlignment="1" pivotButton="0" quotePrefix="0" xfId="0">
      <alignment horizontal="center" vertical="center" wrapText="1"/>
    </xf>
    <xf numFmtId="0" fontId="66" fillId="0" borderId="13" applyAlignment="1" pivotButton="0" quotePrefix="0" xfId="0">
      <alignment horizontal="center" vertical="center" wrapText="1"/>
    </xf>
    <xf numFmtId="0" fontId="66" fillId="0" borderId="9" applyAlignment="1" pivotButton="0" quotePrefix="0" xfId="0">
      <alignment horizontal="center" vertical="center" wrapText="1"/>
    </xf>
    <xf numFmtId="0" fontId="66" fillId="0" borderId="8" applyAlignment="1" pivotButton="0" quotePrefix="0" xfId="0">
      <alignment horizontal="center" vertical="center"/>
    </xf>
    <xf numFmtId="0" fontId="66" fillId="0" borderId="13" applyAlignment="1" pivotButton="0" quotePrefix="0" xfId="0">
      <alignment horizontal="center" vertical="center"/>
    </xf>
    <xf numFmtId="0" fontId="66" fillId="0" borderId="9" applyAlignment="1" pivotButton="0" quotePrefix="0" xfId="0">
      <alignment horizontal="center" vertical="center"/>
    </xf>
    <xf numFmtId="0" fontId="67" fillId="0" borderId="8" applyAlignment="1" pivotButton="0" quotePrefix="0" xfId="0">
      <alignment horizontal="center" vertical="center"/>
    </xf>
    <xf numFmtId="0" fontId="67" fillId="0" borderId="13" applyAlignment="1" pivotButton="0" quotePrefix="0" xfId="0">
      <alignment horizontal="center" vertical="center"/>
    </xf>
    <xf numFmtId="0" fontId="67" fillId="0" borderId="9" applyAlignment="1" pivotButton="0" quotePrefix="0" xfId="0">
      <alignment horizontal="center" vertical="center"/>
    </xf>
    <xf numFmtId="0" fontId="67" fillId="0" borderId="8" applyAlignment="1" pivotButton="0" quotePrefix="0" xfId="0">
      <alignment horizontal="center" vertical="center" wrapText="1"/>
    </xf>
    <xf numFmtId="0" fontId="67" fillId="0" borderId="13" applyAlignment="1" pivotButton="0" quotePrefix="0" xfId="0">
      <alignment horizontal="center" vertical="center" wrapText="1"/>
    </xf>
    <xf numFmtId="0" fontId="67" fillId="0" borderId="9" applyAlignment="1" pivotButton="0" quotePrefix="0" xfId="0">
      <alignment horizontal="center" vertical="center" wrapText="1"/>
    </xf>
    <xf numFmtId="0" fontId="65" fillId="0" borderId="0" applyAlignment="1" pivotButton="0" quotePrefix="0" xfId="0">
      <alignment horizontal="center" vertical="center" wrapText="1"/>
    </xf>
    <xf numFmtId="0" fontId="66" fillId="21" borderId="22" applyAlignment="1" pivotButton="0" quotePrefix="0" xfId="0">
      <alignment horizontal="right" vertical="center"/>
    </xf>
    <xf numFmtId="0" fontId="66" fillId="21" borderId="28" applyAlignment="1" pivotButton="0" quotePrefix="0" xfId="0">
      <alignment horizontal="right" vertical="center"/>
    </xf>
    <xf numFmtId="0" fontId="66" fillId="23" borderId="26" applyAlignment="1" pivotButton="0" quotePrefix="0" xfId="0">
      <alignment horizontal="right" vertical="center"/>
    </xf>
    <xf numFmtId="0" fontId="66" fillId="23" borderId="24" applyAlignment="1" pivotButton="0" quotePrefix="0" xfId="0">
      <alignment horizontal="right" vertical="center"/>
    </xf>
    <xf numFmtId="0" fontId="70" fillId="0" borderId="0" applyAlignment="1" pivotButton="0" quotePrefix="0" xfId="0">
      <alignment horizontal="center" vertical="center" wrapText="1"/>
    </xf>
    <xf numFmtId="0" fontId="60"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65" fillId="21" borderId="1" applyAlignment="1" pivotButton="0" quotePrefix="0" xfId="0">
      <alignment horizontal="center" vertical="center"/>
    </xf>
    <xf numFmtId="0" fontId="65" fillId="21" borderId="4" applyAlignment="1" pivotButton="0" quotePrefix="0" xfId="0">
      <alignment horizontal="center" vertical="center"/>
    </xf>
    <xf numFmtId="0" fontId="2" fillId="0" borderId="2" applyAlignment="1" pivotButton="0" quotePrefix="0" xfId="0">
      <alignment horizontal="center" vertical="center"/>
    </xf>
    <xf numFmtId="0" fontId="2" fillId="0" borderId="21" applyAlignment="1" pivotButton="0" quotePrefix="0" xfId="0">
      <alignment horizontal="center" vertical="center"/>
    </xf>
    <xf numFmtId="0" fontId="2" fillId="0" borderId="3" applyAlignment="1" pivotButton="0" quotePrefix="0" xfId="0">
      <alignment horizontal="center" vertical="center"/>
    </xf>
    <xf numFmtId="0" fontId="66" fillId="0" borderId="5" applyAlignment="1" pivotButton="0" quotePrefix="0" xfId="0">
      <alignment horizontal="center" vertical="center"/>
    </xf>
    <xf numFmtId="0" fontId="66" fillId="0" borderId="27" applyAlignment="1" pivotButton="0" quotePrefix="0" xfId="0">
      <alignment horizontal="center" vertical="center"/>
    </xf>
    <xf numFmtId="0" fontId="66" fillId="0" borderId="6" applyAlignment="1" pivotButton="0" quotePrefix="0" xfId="0">
      <alignment horizontal="center" vertical="center"/>
    </xf>
    <xf numFmtId="0" fontId="59" fillId="0" borderId="0" applyAlignment="1" pivotButton="0" quotePrefix="0" xfId="0">
      <alignment horizontal="center" vertical="center"/>
    </xf>
    <xf numFmtId="0" fontId="62" fillId="0" borderId="0" applyAlignment="1" pivotButton="0" quotePrefix="1" xfId="0">
      <alignment horizontal="center" vertical="center"/>
    </xf>
    <xf numFmtId="0" fontId="67" fillId="0" borderId="8" applyAlignment="1" pivotButton="0" quotePrefix="0" xfId="149">
      <alignment horizontal="center" vertical="center" wrapText="1"/>
    </xf>
    <xf numFmtId="0" fontId="67" fillId="0" borderId="9" applyAlignment="1" pivotButton="0" quotePrefix="0" xfId="149">
      <alignment horizontal="center" vertical="center" wrapText="1"/>
    </xf>
    <xf numFmtId="0" fontId="59" fillId="0" borderId="0" applyAlignment="1" pivotButton="0" quotePrefix="0" xfId="149">
      <alignment horizontal="center" vertical="center"/>
    </xf>
    <xf numFmtId="0" fontId="62" fillId="0" borderId="0" applyAlignment="1" pivotButton="0" quotePrefix="1" xfId="149">
      <alignment horizontal="center" vertical="center"/>
    </xf>
    <xf numFmtId="0" fontId="65" fillId="21" borderId="1" applyAlignment="1" pivotButton="0" quotePrefix="0" xfId="149">
      <alignment horizontal="center" vertical="center"/>
    </xf>
    <xf numFmtId="0" fontId="65" fillId="21" borderId="4" applyAlignment="1" pivotButton="0" quotePrefix="0" xfId="149">
      <alignment horizontal="center" vertical="center"/>
    </xf>
    <xf numFmtId="0" fontId="66" fillId="0" borderId="2" applyAlignment="1" pivotButton="0" quotePrefix="0" xfId="149">
      <alignment horizontal="center" vertical="center"/>
    </xf>
    <xf numFmtId="0" fontId="66" fillId="0" borderId="3" applyAlignment="1" pivotButton="0" quotePrefix="0" xfId="149">
      <alignment horizontal="center" vertical="center"/>
    </xf>
    <xf numFmtId="0" fontId="66" fillId="0" borderId="5" applyAlignment="1" pivotButton="0" quotePrefix="0" xfId="149">
      <alignment horizontal="center" vertical="center"/>
    </xf>
    <xf numFmtId="0" fontId="66" fillId="0" borderId="6" applyAlignment="1" pivotButton="0" quotePrefix="0" xfId="149">
      <alignment horizontal="center" vertical="center"/>
    </xf>
    <xf numFmtId="0" fontId="66" fillId="0" borderId="8" applyAlignment="1" pivotButton="0" quotePrefix="0" xfId="149">
      <alignment horizontal="center" vertical="center" wrapText="1"/>
    </xf>
    <xf numFmtId="0" fontId="66" fillId="0" borderId="9" applyAlignment="1" pivotButton="0" quotePrefix="0" xfId="149">
      <alignment horizontal="center" vertical="center" wrapText="1"/>
    </xf>
    <xf numFmtId="0" fontId="66" fillId="0" borderId="8" applyAlignment="1" pivotButton="0" quotePrefix="0" xfId="149">
      <alignment horizontal="center" vertical="center"/>
    </xf>
    <xf numFmtId="0" fontId="66" fillId="0" borderId="9" applyAlignment="1" pivotButton="0" quotePrefix="0" xfId="149">
      <alignment horizontal="center" vertical="center"/>
    </xf>
    <xf numFmtId="0" fontId="67" fillId="0" borderId="8" applyAlignment="1" pivotButton="0" quotePrefix="0" xfId="149">
      <alignment horizontal="center" vertical="center"/>
    </xf>
    <xf numFmtId="0" fontId="67" fillId="0" borderId="9" applyAlignment="1" pivotButton="0" quotePrefix="0" xfId="149">
      <alignment horizontal="center" vertical="center"/>
    </xf>
    <xf numFmtId="0" fontId="65" fillId="0" borderId="0" applyAlignment="1" pivotButton="0" quotePrefix="0" xfId="149">
      <alignment horizontal="center" vertical="center" wrapText="1"/>
    </xf>
    <xf numFmtId="0" fontId="60" fillId="0" borderId="0" applyAlignment="1" pivotButton="0" quotePrefix="0" xfId="149">
      <alignment horizontal="center" vertical="center" wrapText="1"/>
    </xf>
    <xf numFmtId="0" fontId="68" fillId="20" borderId="8" applyAlignment="1" pivotButton="0" quotePrefix="0" xfId="0">
      <alignment horizontal="left" vertical="center" wrapText="1"/>
    </xf>
    <xf numFmtId="0" fontId="68" fillId="20" borderId="13" applyAlignment="1" pivotButton="0" quotePrefix="0" xfId="0">
      <alignment horizontal="left" vertical="center" wrapText="1"/>
    </xf>
    <xf numFmtId="0" fontId="68" fillId="20" borderId="13" applyAlignment="1" pivotButton="0" quotePrefix="0" xfId="0">
      <alignment horizontal="right" wrapText="1"/>
    </xf>
    <xf numFmtId="164" fontId="45" fillId="0" borderId="0" pivotButton="0" quotePrefix="0" xfId="0"/>
    <xf numFmtId="0" fontId="0" fillId="0" borderId="13" pivotButton="0" quotePrefix="0" xfId="0"/>
    <xf numFmtId="164" fontId="46" fillId="20" borderId="13" applyAlignment="1" pivotButton="0" quotePrefix="0" xfId="0">
      <alignment horizontal="center" vertical="center" wrapText="1"/>
    </xf>
    <xf numFmtId="164" fontId="46" fillId="20" borderId="9" applyAlignment="1" pivotButton="0" quotePrefix="0" xfId="0">
      <alignment horizontal="center" vertical="center" wrapText="1"/>
    </xf>
    <xf numFmtId="164" fontId="45" fillId="0" borderId="0" applyAlignment="1" pivotButton="0" quotePrefix="0" xfId="0">
      <alignment horizontal="right" vertical="center" wrapText="1"/>
    </xf>
    <xf numFmtId="164" fontId="40" fillId="0" borderId="0" applyAlignment="1" pivotButton="0" quotePrefix="0" xfId="0">
      <alignment horizontal="right"/>
    </xf>
    <xf numFmtId="0" fontId="97" fillId="0" borderId="0" applyAlignment="1" pivotButton="0" quotePrefix="0" xfId="0">
      <alignment horizontal="justify" vertical="top" wrapText="1"/>
    </xf>
    <xf numFmtId="164" fontId="40" fillId="0" borderId="0" applyAlignment="1" pivotButton="0" quotePrefix="0" xfId="0">
      <alignment horizontal="right" vertical="center" wrapText="1"/>
    </xf>
    <xf numFmtId="164" fontId="40" fillId="0" borderId="0" applyAlignment="1" pivotButton="0" quotePrefix="0" xfId="0">
      <alignment horizontal="right" wrapText="1"/>
    </xf>
    <xf numFmtId="164" fontId="40" fillId="0" borderId="0" pivotButton="0" quotePrefix="0" xfId="0"/>
    <xf numFmtId="164" fontId="39" fillId="20" borderId="13" applyAlignment="1" pivotButton="0" quotePrefix="0" xfId="0">
      <alignment horizontal="right" vertical="center" wrapText="1"/>
    </xf>
    <xf numFmtId="164" fontId="39" fillId="20" borderId="9" applyAlignment="1" pivotButton="0" quotePrefix="0" xfId="0">
      <alignment horizontal="right" vertical="center" wrapText="1"/>
    </xf>
    <xf numFmtId="164" fontId="47" fillId="0" borderId="0" applyAlignment="1" pivotButton="0" quotePrefix="0" xfId="0">
      <alignment horizontal="right" vertical="center" wrapText="1"/>
    </xf>
    <xf numFmtId="164" fontId="39" fillId="20" borderId="11" applyAlignment="1" pivotButton="0" quotePrefix="0" xfId="0">
      <alignment horizontal="right" vertical="center" wrapText="1"/>
    </xf>
    <xf numFmtId="164" fontId="39" fillId="20" borderId="12" applyAlignment="1" pivotButton="0" quotePrefix="0" xfId="0">
      <alignment horizontal="right" vertical="center" wrapText="1"/>
    </xf>
    <xf numFmtId="164" fontId="0" fillId="0" borderId="0" pivotButton="0" quotePrefix="0" xfId="0"/>
    <xf numFmtId="0" fontId="10" fillId="2" borderId="7" applyAlignment="1" pivotButton="0" quotePrefix="0" xfId="0">
      <alignment horizontal="center" vertical="top" wrapText="1"/>
    </xf>
    <xf numFmtId="0" fontId="0" fillId="0" borderId="9" pivotButton="0" quotePrefix="0" xfId="0"/>
    <xf numFmtId="164" fontId="0" fillId="0" borderId="0" applyAlignment="1" pivotButton="0" quotePrefix="0" xfId="0">
      <alignment horizontal="right" vertical="center" wrapText="1"/>
    </xf>
    <xf numFmtId="164" fontId="11" fillId="0" borderId="7" applyAlignment="1" pivotButton="0" quotePrefix="0" xfId="0">
      <alignment horizontal="right" vertical="center"/>
    </xf>
    <xf numFmtId="164" fontId="11" fillId="0" borderId="0" applyAlignment="1" pivotButton="0" quotePrefix="0" xfId="0">
      <alignment horizontal="right" vertical="center"/>
    </xf>
    <xf numFmtId="164" fontId="4" fillId="2" borderId="12" applyAlignment="1" pivotButton="0" quotePrefix="0" xfId="0">
      <alignment horizontal="right" vertical="center"/>
    </xf>
    <xf numFmtId="164" fontId="3" fillId="0" borderId="0" applyAlignment="1" pivotButton="0" quotePrefix="0" xfId="0">
      <alignment horizontal="right" vertical="center"/>
    </xf>
    <xf numFmtId="164" fontId="4" fillId="0" borderId="12" applyAlignment="1" pivotButton="0" quotePrefix="0" xfId="0">
      <alignment horizontal="right" vertical="center"/>
    </xf>
    <xf numFmtId="164" fontId="3" fillId="0" borderId="0" applyAlignment="1" pivotButton="0" quotePrefix="0" xfId="0">
      <alignment horizontal="center" vertical="center"/>
    </xf>
    <xf numFmtId="164" fontId="3" fillId="0" borderId="0" applyAlignment="1" pivotButton="0" quotePrefix="0" xfId="0">
      <alignment horizontal="center" vertical="center" wrapText="1"/>
    </xf>
    <xf numFmtId="164" fontId="7" fillId="0" borderId="0" applyAlignment="1" pivotButton="0" quotePrefix="0" xfId="0">
      <alignment horizontal="center" vertical="center" wrapText="1"/>
    </xf>
    <xf numFmtId="0" fontId="2" fillId="0" borderId="1" applyAlignment="1" pivotButton="0" quotePrefix="0" xfId="0">
      <alignment horizontal="center" vertical="center"/>
    </xf>
    <xf numFmtId="0" fontId="0" fillId="0" borderId="21" pivotButton="0" quotePrefix="0" xfId="0"/>
    <xf numFmtId="0" fontId="0" fillId="0" borderId="3" pivotButton="0" quotePrefix="0" xfId="0"/>
    <xf numFmtId="0" fontId="0" fillId="0" borderId="4" pivotButton="0" quotePrefix="0" xfId="0"/>
    <xf numFmtId="0" fontId="66" fillId="0" borderId="4" applyAlignment="1" pivotButton="0" quotePrefix="0" xfId="0">
      <alignment horizontal="center" vertical="center"/>
    </xf>
    <xf numFmtId="0" fontId="0" fillId="0" borderId="27" pivotButton="0" quotePrefix="0" xfId="0"/>
    <xf numFmtId="0" fontId="0" fillId="0" borderId="6" pivotButton="0" quotePrefix="0" xfId="0"/>
    <xf numFmtId="0" fontId="67" fillId="0" borderId="7" applyAlignment="1" pivotButton="0" quotePrefix="0" xfId="0">
      <alignment horizontal="center" vertical="center" wrapText="1"/>
    </xf>
    <xf numFmtId="0" fontId="66" fillId="0" borderId="7" applyAlignment="1" pivotButton="0" quotePrefix="0" xfId="0">
      <alignment horizontal="center" vertical="center" wrapText="1"/>
    </xf>
    <xf numFmtId="0" fontId="66" fillId="0" borderId="7" applyAlignment="1" pivotButton="0" quotePrefix="0" xfId="0">
      <alignment horizontal="center" vertical="center"/>
    </xf>
    <xf numFmtId="0" fontId="67" fillId="0" borderId="7" applyAlignment="1" pivotButton="0" quotePrefix="0" xfId="0">
      <alignment horizontal="center" vertical="center"/>
    </xf>
    <xf numFmtId="165" fontId="60" fillId="0" borderId="0" applyAlignment="1" pivotButton="0" quotePrefix="0" xfId="0">
      <alignment vertical="center"/>
    </xf>
    <xf numFmtId="165" fontId="60" fillId="0" borderId="30" applyAlignment="1" pivotButton="0" quotePrefix="0" xfId="0">
      <alignment vertical="center"/>
    </xf>
    <xf numFmtId="165" fontId="60" fillId="0" borderId="24" applyAlignment="1" pivotButton="0" quotePrefix="0" xfId="0">
      <alignment vertical="center"/>
    </xf>
    <xf numFmtId="0" fontId="0" fillId="0" borderId="28" pivotButton="0" quotePrefix="0" xfId="0"/>
    <xf numFmtId="165" fontId="66" fillId="21" borderId="28" applyAlignment="1" pivotButton="0" quotePrefix="0" xfId="0">
      <alignment vertical="center"/>
    </xf>
    <xf numFmtId="165" fontId="66" fillId="0" borderId="0" applyAlignment="1" pivotButton="0" quotePrefix="0" xfId="0">
      <alignment vertical="center"/>
    </xf>
    <xf numFmtId="0" fontId="0" fillId="0" borderId="24" pivotButton="0" quotePrefix="0" xfId="0"/>
    <xf numFmtId="165" fontId="66" fillId="23" borderId="24" applyAlignment="1" pivotButton="0" quotePrefix="0" xfId="0">
      <alignment vertical="center"/>
    </xf>
    <xf numFmtId="165" fontId="66" fillId="20" borderId="25" applyAlignment="1" pivotButton="0" quotePrefix="0" xfId="0">
      <alignment vertical="center"/>
    </xf>
    <xf numFmtId="0" fontId="66" fillId="0" borderId="1" applyAlignment="1" pivotButton="0" quotePrefix="0" xfId="149">
      <alignment horizontal="center" vertical="center"/>
    </xf>
    <xf numFmtId="0" fontId="66" fillId="0" borderId="4" applyAlignment="1" pivotButton="0" quotePrefix="0" xfId="149">
      <alignment horizontal="center" vertical="center"/>
    </xf>
    <xf numFmtId="0" fontId="67" fillId="0" borderId="7" applyAlignment="1" pivotButton="0" quotePrefix="0" xfId="149">
      <alignment horizontal="center" vertical="center" wrapText="1"/>
    </xf>
    <xf numFmtId="0" fontId="66" fillId="0" borderId="7" applyAlignment="1" pivotButton="0" quotePrefix="0" xfId="149">
      <alignment horizontal="center" vertical="center" wrapText="1"/>
    </xf>
    <xf numFmtId="0" fontId="66" fillId="0" borderId="7" applyAlignment="1" pivotButton="0" quotePrefix="0" xfId="149">
      <alignment horizontal="center" vertical="center"/>
    </xf>
    <xf numFmtId="0" fontId="67" fillId="0" borderId="7" applyAlignment="1" pivotButton="0" quotePrefix="0" xfId="149">
      <alignment horizontal="center" vertical="center"/>
    </xf>
    <xf numFmtId="165" fontId="60" fillId="0" borderId="25" applyAlignment="1" pivotButton="0" quotePrefix="0" xfId="149">
      <alignment vertical="center"/>
    </xf>
    <xf numFmtId="165" fontId="66" fillId="21" borderId="30" applyAlignment="1" pivotButton="0" quotePrefix="0" xfId="149">
      <alignment vertical="center"/>
    </xf>
    <xf numFmtId="165" fontId="66" fillId="0" borderId="30" applyAlignment="1" pivotButton="0" quotePrefix="0" xfId="149">
      <alignment vertical="center"/>
    </xf>
    <xf numFmtId="165" fontId="66" fillId="23" borderId="25" applyAlignment="1" pivotButton="0" quotePrefix="0" xfId="149">
      <alignment vertical="center"/>
    </xf>
    <xf numFmtId="166" fontId="84" fillId="0" borderId="0" applyAlignment="1" applyProtection="1" pivotButton="0" quotePrefix="0" xfId="0">
      <alignment horizontal="center" vertical="center" wrapText="1"/>
      <protection locked="0" hidden="0"/>
    </xf>
    <xf numFmtId="166" fontId="86" fillId="0" borderId="0" applyAlignment="1" pivotButton="0" quotePrefix="0" xfId="0">
      <alignment horizontal="right" vertical="center" wrapText="1"/>
    </xf>
  </cellXfs>
  <cellStyles count="281">
    <cellStyle name="Normalno" xfId="0" builtinId="0"/>
    <cellStyle name="Normalno 5" xfId="1"/>
    <cellStyle name="Euro" xfId="2"/>
    <cellStyle name="Euro_Preisspiegel" xfId="3"/>
    <cellStyle name="Postotak 2" xfId="4"/>
    <cellStyle name="Währung_Preisspiegel" xfId="5"/>
    <cellStyle name="Valuta 3" xfId="6"/>
    <cellStyle name="Normal 10" xfId="7"/>
    <cellStyle name="Standard 2" xfId="8"/>
    <cellStyle name="Comma 4" xfId="9"/>
    <cellStyle name="Currency 2" xfId="10"/>
    <cellStyle name="Currency 3" xfId="11"/>
    <cellStyle name="Currency 4" xfId="12"/>
    <cellStyle name="Currency 5" xfId="13"/>
    <cellStyle name="Euro 2" xfId="14"/>
    <cellStyle name="Euro 3" xfId="15"/>
    <cellStyle name="Euro 4" xfId="16"/>
    <cellStyle name="Excel Built-in Good" xfId="17"/>
    <cellStyle name="Excel Built-in Good 2" xfId="18"/>
    <cellStyle name="Excel Built-in Good 3" xfId="19"/>
    <cellStyle name="Excel Built-in Good 4" xfId="20"/>
    <cellStyle name="Good 2" xfId="21"/>
    <cellStyle name="Normal 10 2" xfId="22"/>
    <cellStyle name="Normal 10 2 2" xfId="23"/>
    <cellStyle name="Normal 10 2 2 2" xfId="24"/>
    <cellStyle name="Normal 10 2 2 3" xfId="25"/>
    <cellStyle name="Normal 10 2 2 4" xfId="26"/>
    <cellStyle name="Normal 10 2 3" xfId="27"/>
    <cellStyle name="Normal 10 2 4" xfId="28"/>
    <cellStyle name="Normal 10 3" xfId="29"/>
    <cellStyle name="Normal 10 3 2" xfId="30"/>
    <cellStyle name="Normal 10 3 3" xfId="31"/>
    <cellStyle name="Normal 10 3 4" xfId="32"/>
    <cellStyle name="Normal 10 4" xfId="33"/>
    <cellStyle name="Normal 11 2" xfId="34"/>
    <cellStyle name="Normal 11 2 2" xfId="35"/>
    <cellStyle name="Normal 11 2 2 2" xfId="36"/>
    <cellStyle name="Normal 11 2 2 3" xfId="37"/>
    <cellStyle name="Normal 11 2 2 4" xfId="38"/>
    <cellStyle name="Normal 11 2 3" xfId="39"/>
    <cellStyle name="Normal 11 2 4" xfId="40"/>
    <cellStyle name="Normal 11 2 5" xfId="41"/>
    <cellStyle name="Normal 2" xfId="42"/>
    <cellStyle name="Normal 2 2" xfId="43"/>
    <cellStyle name="Normal 2 3" xfId="44"/>
    <cellStyle name="Normal 3" xfId="45"/>
    <cellStyle name="Normal 4" xfId="46"/>
    <cellStyle name="Normal 5" xfId="47"/>
    <cellStyle name="Normal 5 2" xfId="48"/>
    <cellStyle name="Percent 2" xfId="49"/>
    <cellStyle name="Percent 2 2" xfId="50"/>
    <cellStyle name="Percent 2 3" xfId="51"/>
    <cellStyle name="Percent 3" xfId="52"/>
    <cellStyle name="Normalno 4" xfId="53"/>
    <cellStyle name="Valuta 2" xfId="54"/>
    <cellStyle name="Normal 3 3" xfId="55"/>
    <cellStyle name="Normalno 2" xfId="56"/>
    <cellStyle name="20% - Accent1" xfId="57"/>
    <cellStyle name="20% - Accent2" xfId="58"/>
    <cellStyle name="20% - Accent3" xfId="59"/>
    <cellStyle name="20% - Accent4" xfId="60"/>
    <cellStyle name="20% - Accent5" xfId="61"/>
    <cellStyle name="20% - Accent6" xfId="62"/>
    <cellStyle name="3-pitanje" xfId="63"/>
    <cellStyle name="40% - Accent1" xfId="64"/>
    <cellStyle name="40% - Accent2" xfId="65"/>
    <cellStyle name="40% - Accent3" xfId="66"/>
    <cellStyle name="40% - Accent4" xfId="67"/>
    <cellStyle name="40% - Accent5" xfId="68"/>
    <cellStyle name="40% - Accent6" xfId="69"/>
    <cellStyle name="60% - Accent1" xfId="70"/>
    <cellStyle name="60% - Accent2" xfId="71"/>
    <cellStyle name="60% - Accent3" xfId="72"/>
    <cellStyle name="60% - Accent4" xfId="73"/>
    <cellStyle name="60% - Accent5" xfId="74"/>
    <cellStyle name="60% - Accent6" xfId="75"/>
    <cellStyle name="Accent1" xfId="76"/>
    <cellStyle name="Accent2" xfId="77"/>
    <cellStyle name="Accent3" xfId="78"/>
    <cellStyle name="Accent4" xfId="79"/>
    <cellStyle name="Accent5" xfId="80"/>
    <cellStyle name="Accent6" xfId="81"/>
    <cellStyle name="Bad" xfId="82"/>
    <cellStyle name="Calculation" xfId="83"/>
    <cellStyle name="Check Cell" xfId="84"/>
    <cellStyle name="Explanatory Text" xfId="85"/>
    <cellStyle name="Heading 1" xfId="86"/>
    <cellStyle name="Heading 2" xfId="87"/>
    <cellStyle name="Heading 3" xfId="88"/>
    <cellStyle name="Heading 4" xfId="89"/>
    <cellStyle name="Input" xfId="90"/>
    <cellStyle name="Linked Cell" xfId="91"/>
    <cellStyle name="Neutral" xfId="92"/>
    <cellStyle name="Normal 2 4" xfId="93"/>
    <cellStyle name="Normal 3 2" xfId="94"/>
    <cellStyle name="Normalno 3" xfId="95"/>
    <cellStyle name="Total" xfId="96"/>
    <cellStyle name="Zarez 2" xfId="97"/>
    <cellStyle name="Zarez 2 2" xfId="98"/>
    <cellStyle name="Zarez 2 3" xfId="99"/>
    <cellStyle name="Normalno 6" xfId="100"/>
    <cellStyle name="Normalno 7" xfId="101"/>
    <cellStyle name="Normalno 8" xfId="102"/>
    <cellStyle name="Excel Built-in Normal" xfId="103"/>
    <cellStyle name="Zarez 2 4" xfId="104"/>
    <cellStyle name="Zarez 2 2 2" xfId="105"/>
    <cellStyle name="Zarez 2 3 2" xfId="106"/>
    <cellStyle name="Zarez 2 6" xfId="107"/>
    <cellStyle name="Zarez 2 2 4" xfId="108"/>
    <cellStyle name="Zarez 2 3 4" xfId="109"/>
    <cellStyle name="Zarez 2 4 2" xfId="110"/>
    <cellStyle name="Zarez 2 2 2 2" xfId="111"/>
    <cellStyle name="Zarez 2 3 2 2" xfId="112"/>
    <cellStyle name="Zarez 2 5" xfId="113"/>
    <cellStyle name="Zarez 2 2 3" xfId="114"/>
    <cellStyle name="Zarez 2 3 3" xfId="115"/>
    <cellStyle name="Zarez 2 7" xfId="116"/>
    <cellStyle name="Zarez 2 2 5" xfId="117"/>
    <cellStyle name="Zarez 2 3 5" xfId="118"/>
    <cellStyle name="Zarez 2 8" xfId="119"/>
    <cellStyle name="Zarez 2 2 6" xfId="120"/>
    <cellStyle name="Zarez 2 3 6" xfId="121"/>
    <cellStyle name="Zarez 2 4 3" xfId="122"/>
    <cellStyle name="Zarez 2 2 2 3" xfId="123"/>
    <cellStyle name="Zarez 2 3 2 3" xfId="124"/>
    <cellStyle name="Zarez 2 6 2" xfId="125"/>
    <cellStyle name="Zarez 2 2 4 2" xfId="126"/>
    <cellStyle name="Zarez 2 3 4 2" xfId="127"/>
    <cellStyle name="Zarez 2 4 2 2" xfId="128"/>
    <cellStyle name="Zarez 2 2 2 2 2" xfId="129"/>
    <cellStyle name="Zarez 2 3 2 2 2" xfId="130"/>
    <cellStyle name="Zarez 2 5 2" xfId="131"/>
    <cellStyle name="Zarez 2 2 3 2" xfId="132"/>
    <cellStyle name="Zarez 2 3 3 2" xfId="133"/>
    <cellStyle name="Zarez 2 7 2" xfId="134"/>
    <cellStyle name="Zarez 2 2 5 2" xfId="135"/>
    <cellStyle name="Zarez 2 3 5 2" xfId="136"/>
    <cellStyle name="Normalno 9" xfId="137"/>
    <cellStyle name="Stil 1" xfId="138"/>
    <cellStyle name="A4 Small 210 x 297 mm_BIŠĆAN - troškovnik 11" xfId="139"/>
    <cellStyle name="ColStyle2" xfId="140"/>
    <cellStyle name="Obično 11 2" xfId="141"/>
    <cellStyle name="Normal 14" xfId="142"/>
    <cellStyle name="Normal 13 2" xfId="143"/>
    <cellStyle name="Hiperveza 2" xfId="144"/>
    <cellStyle name="Obično 10" xfId="145"/>
    <cellStyle name="A4 Small 210 x 297 mm 13" xfId="146"/>
    <cellStyle name="Obično 13" xfId="147"/>
    <cellStyle name="Obično_ALPRO ŠARDI -elektro" xfId="148"/>
    <cellStyle name="Normal 10 5" xfId="149"/>
    <cellStyle name="A4 Small 210 x 297 mm 13 2" xfId="150"/>
    <cellStyle name="Obično 13 2" xfId="151"/>
    <cellStyle name="Normal 32" xfId="152"/>
    <cellStyle name="Normal 3 4" xfId="153"/>
    <cellStyle name="Normalno 10" xfId="154"/>
    <cellStyle name="Normalno 7 2" xfId="155"/>
    <cellStyle name="Normalno 5 2" xfId="156"/>
    <cellStyle name="Normal 75" xfId="157"/>
    <cellStyle name="Normal 7" xfId="158"/>
    <cellStyle name="Per cent 2" xfId="159"/>
    <cellStyle name="Normal 13 2 2 2" xfId="160"/>
    <cellStyle name="Normal 7 2 2" xfId="161"/>
    <cellStyle name="Percent 5 2 2" xfId="162"/>
    <cellStyle name="Postotak 2 2" xfId="163"/>
    <cellStyle name="Normalno 3 5" xfId="164"/>
    <cellStyle name="Normalno 5 2 2" xfId="165"/>
    <cellStyle name="Normal 4 4" xfId="166"/>
    <cellStyle name="Normal 24 3" xfId="167"/>
    <cellStyle name="Normal 12 2" xfId="168"/>
    <cellStyle name="Normal 18 2" xfId="169"/>
    <cellStyle name="Normal 29" xfId="170"/>
    <cellStyle name="Default_Uvuceni 3" xfId="171"/>
    <cellStyle name="Normal 2 10" xfId="172"/>
    <cellStyle name="Normal 21" xfId="173"/>
    <cellStyle name="Normal 30" xfId="174"/>
    <cellStyle name="Style 1 4" xfId="175"/>
    <cellStyle name="Normal 19" xfId="176"/>
    <cellStyle name="Normal 2 8" xfId="177"/>
    <cellStyle name="Normal 2 6" xfId="178"/>
    <cellStyle name="Normalno 6 2" xfId="179"/>
    <cellStyle name="Normal 14 2" xfId="180"/>
    <cellStyle name="Normalno 3 2" xfId="181"/>
    <cellStyle name="Normal 11 2 6" xfId="182"/>
    <cellStyle name="Normal 22" xfId="183"/>
    <cellStyle name="Normal 18" xfId="184"/>
    <cellStyle name="Normal 24" xfId="185"/>
    <cellStyle name="Normal 2 6 2 6" xfId="186"/>
    <cellStyle name="Normal 20" xfId="187"/>
    <cellStyle name="Excel Built-in Default_Uvuceni" xfId="188"/>
    <cellStyle name="Normal 2 5" xfId="189"/>
    <cellStyle name="Normal 54" xfId="190"/>
    <cellStyle name="Normalno 9 2" xfId="191"/>
    <cellStyle name="Normal 28" xfId="192"/>
    <cellStyle name="Normal 3 5" xfId="193"/>
    <cellStyle name="ColStyle4" xfId="194"/>
    <cellStyle name="Postotak 2 2 2" xfId="195"/>
    <cellStyle name="Normal 10 2 5" xfId="196"/>
    <cellStyle name="Normalno 38 2" xfId="197"/>
    <cellStyle name="Normalno 97 2" xfId="198"/>
    <cellStyle name="Normalno 89 2" xfId="199"/>
    <cellStyle name="Normalno 88 2" xfId="200"/>
    <cellStyle name="Normalno 86 2" xfId="201"/>
    <cellStyle name="Normalno 70 2" xfId="202"/>
    <cellStyle name="Normalno 67 2" xfId="203"/>
    <cellStyle name="Normalno 37 2" xfId="204"/>
    <cellStyle name="Normalno 45 2" xfId="205"/>
    <cellStyle name="Normalno 44 2" xfId="206"/>
    <cellStyle name="Normalno 43 2" xfId="207"/>
    <cellStyle name="Normalno 42 2" xfId="208"/>
    <cellStyle name="Normalno 40 2" xfId="209"/>
    <cellStyle name="Normalno 39 2" xfId="210"/>
    <cellStyle name="Normalno 54 2" xfId="211"/>
    <cellStyle name="Normalno 36 2" xfId="212"/>
    <cellStyle name="Normalno 100" xfId="213"/>
    <cellStyle name="Normalno 100 2" xfId="214"/>
    <cellStyle name="Normalno 36 3" xfId="215"/>
    <cellStyle name="Normalno 95" xfId="216"/>
    <cellStyle name="Normalno 95 2" xfId="217"/>
    <cellStyle name="Normalno 61 2" xfId="218"/>
    <cellStyle name="Normalno 94 2" xfId="219"/>
    <cellStyle name="Normalno 93" xfId="220"/>
    <cellStyle name="Normalno 90" xfId="221"/>
    <cellStyle name="Normalno 76 2" xfId="222"/>
    <cellStyle name="Normalno 90 2" xfId="223"/>
    <cellStyle name="Normalno 71 2" xfId="224"/>
    <cellStyle name="Normalno 83" xfId="225"/>
    <cellStyle name="Normalno 79" xfId="226"/>
    <cellStyle name="Normalno 83 2" xfId="227"/>
    <cellStyle name="Normalno 63" xfId="228"/>
    <cellStyle name="Normalno 58 2" xfId="229"/>
    <cellStyle name="Normalno 59 2" xfId="230"/>
    <cellStyle name="Normalno 57" xfId="231"/>
    <cellStyle name="Normalno 56" xfId="232"/>
    <cellStyle name="Normalno 55" xfId="233"/>
    <cellStyle name="Normalno 53" xfId="234"/>
    <cellStyle name="Normalno 51" xfId="235"/>
    <cellStyle name="Normalno 50" xfId="236"/>
    <cellStyle name="Normalno 49" xfId="237"/>
    <cellStyle name="Normalno 48" xfId="238"/>
    <cellStyle name="Normalno 50 2" xfId="239"/>
    <cellStyle name="Normalno 63 2" xfId="240"/>
    <cellStyle name="Normalno 93 2" xfId="241"/>
    <cellStyle name="Normalno 79 2" xfId="242"/>
    <cellStyle name="Normalno 56 2" xfId="243"/>
    <cellStyle name="Normalno 55 2" xfId="244"/>
    <cellStyle name="Normalno 53 2" xfId="245"/>
    <cellStyle name="Normalno 51 2" xfId="246"/>
    <cellStyle name="Normalno 49 2" xfId="247"/>
    <cellStyle name="Normalno 48 2" xfId="248"/>
    <cellStyle name="Normalno 34" xfId="249"/>
    <cellStyle name="Normalno 41" xfId="250"/>
    <cellStyle name="Normalno 25" xfId="251"/>
    <cellStyle name="Normalno 24" xfId="252"/>
    <cellStyle name="Normalno 23" xfId="253"/>
    <cellStyle name="Normal 3 6" xfId="254"/>
    <cellStyle name="Normalno 10 2" xfId="255"/>
    <cellStyle name="Normalno 3 3" xfId="256"/>
    <cellStyle name="Normalno 5 3" xfId="257"/>
    <cellStyle name="Normalno 4 2" xfId="258"/>
    <cellStyle name="Normalno 5 2 3" xfId="259"/>
    <cellStyle name="Zarez 3" xfId="260"/>
    <cellStyle name="Normalno 8 4 2" xfId="261"/>
    <cellStyle name="Normalno 5 3 2" xfId="262"/>
    <cellStyle name="Normalno 7 3" xfId="263"/>
    <cellStyle name="Normalno 11" xfId="264"/>
    <cellStyle name="Normal 3 2 2" xfId="265"/>
    <cellStyle name="Normal_3. SIT    EIelektro- HOTEL -SOBE" xfId="266"/>
    <cellStyle name="Obično 2" xfId="267"/>
    <cellStyle name="Excel Built-in Normal 2" xfId="268"/>
    <cellStyle name="Comma 2 2" xfId="269"/>
    <cellStyle name="Comma 2" xfId="270"/>
    <cellStyle name="Normal 4 2" xfId="271"/>
    <cellStyle name="Normalno 12" xfId="272"/>
    <cellStyle name="Normalno 13" xfId="273"/>
    <cellStyle name="Normal 2 3 2" xfId="274"/>
    <cellStyle name="Normal 2 2 2 2" xfId="275"/>
    <cellStyle name="Normal 5 3" xfId="276"/>
    <cellStyle name="Normal 19 2 2" xfId="277"/>
    <cellStyle name="Normalno 11 2" xfId="278"/>
    <cellStyle name="Normalno 14" xfId="279"/>
    <cellStyle name="Normalno 2 2" xfId="28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externalLink" Target="/xl/externalLinks/externalLink1.xml" Id="rId14" /><Relationship Type="http://schemas.openxmlformats.org/officeDocument/2006/relationships/externalLink" Target="/xl/externalLinks/externalLink2.xml" Id="rId15" /><Relationship Type="http://schemas.openxmlformats.org/officeDocument/2006/relationships/styles" Target="styles.xml" Id="rId16" /><Relationship Type="http://schemas.openxmlformats.org/officeDocument/2006/relationships/theme" Target="theme/theme1.xml" Id="rId17" /></Relationships>
</file>

<file path=xl/externalLinks/_rels/externalLink1.xml.rels><Relationships xmlns="http://schemas.openxmlformats.org/package/2006/relationships"><Relationship Type="http://schemas.openxmlformats.org/officeDocument/2006/relationships/externalLinkPath" Target="file:///I:\ECO\Kuca_Prelok\Tro&#353;kovnik%20Prelok.xlsm" TargetMode="External" Id="rId1" /></Relationships>
</file>

<file path=xl/externalLinks/_rels/externalLink2.xml.rels><Relationships xmlns="http://schemas.openxmlformats.org/package/2006/relationships"><Relationship Type="http://schemas.openxmlformats.org/officeDocument/2006/relationships/externalLinkPath" Target="../../../../../../../Desktop/O&#352;%20KOMIN%20-%20tro&#353;kovnik%20radova%20i%20opreme_15.5.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UNP"/>
      <sheetName val="N Plin"/>
      <sheetName val="M Plin"/>
      <sheetName val="Gr"/>
      <sheetName val="Hl"/>
      <sheetName val="Vent"/>
      <sheetName val="Kanalizacija"/>
      <sheetName val="Vodovod"/>
      <sheetName val="POMOĆNI"/>
      <sheetName val="REKAPIT."/>
      <sheetName val="Plin UNP"/>
      <sheetName val="Plin nemjereni"/>
      <sheetName val="Plin mjereni"/>
      <sheetName val="Instalacija grijanja"/>
      <sheetName val="Instalacija hlađenja i ventilac"/>
      <sheetName val="Centralno usisavanje"/>
      <sheetName val="Rekapitulacija"/>
      <sheetName val="N_Plin"/>
      <sheetName val="M_Plin"/>
      <sheetName val="REKAPIT_"/>
      <sheetName val="Plin_UNP"/>
      <sheetName val="Plin_nemjereni"/>
      <sheetName val="Plin_mjereni"/>
      <sheetName val="Instalacija_grijanja"/>
      <sheetName val="Instalacija_hlađenja_i_ventilac"/>
      <sheetName val="Centralno_usisavanje"/>
      <sheetName val="N_Plin1"/>
      <sheetName val="M_Plin1"/>
      <sheetName val="REKAPIT_1"/>
      <sheetName val="Plin_UNP1"/>
      <sheetName val="Plin_nemjereni1"/>
      <sheetName val="Plin_mjereni1"/>
      <sheetName val="Instalacija_grijanja1"/>
      <sheetName val="Instalacija_hlađenja_i_ventila1"/>
      <sheetName val="Centralno_usisavanje1"/>
      <sheetName val="N_Plin2"/>
      <sheetName val="M_Plin2"/>
      <sheetName val="REKAPIT_2"/>
      <sheetName val="Plin_UNP2"/>
      <sheetName val="Plin_nemjereni2"/>
      <sheetName val="Plin_mjereni2"/>
      <sheetName val="Instalacija_grijanja2"/>
      <sheetName val="Instalacija_hlađenja_i_ventila2"/>
      <sheetName val="Centralno_usisavanje2"/>
      <sheetName val="N_Plin3"/>
      <sheetName val="M_Plin3"/>
      <sheetName val="REKAPIT_3"/>
      <sheetName val="Plin_UNP3"/>
      <sheetName val="Plin_nemjereni3"/>
      <sheetName val="Plin_mjereni3"/>
      <sheetName val="Instalacija_grijanja3"/>
      <sheetName val="Instalacija_hlađenja_i_ventila3"/>
      <sheetName val="Centralno_usisavanje3"/>
      <sheetName val="N_Plin4"/>
      <sheetName val="M_Plin4"/>
      <sheetName val="REKAPIT_4"/>
      <sheetName val="Plin_UNP4"/>
      <sheetName val="Plin_nemjereni4"/>
      <sheetName val="Plin_mjereni4"/>
      <sheetName val="Instalacija_grijanja4"/>
      <sheetName val="Instalacija_hlađenja_i_ventila4"/>
      <sheetName val="Centralno_usisavanje4"/>
      <sheetName val="N_Plin5"/>
      <sheetName val="M_Plin5"/>
      <sheetName val="REKAPIT_5"/>
      <sheetName val="Plin_UNP5"/>
      <sheetName val="Plin_nemjereni5"/>
      <sheetName val="Plin_mjereni5"/>
      <sheetName val="Instalacija_grijanja5"/>
      <sheetName val="Instalacija_hlađenja_i_ventila5"/>
      <sheetName val="Centralno_usisavanje5"/>
      <sheetName val="N_Plin6"/>
      <sheetName val="M_Plin6"/>
      <sheetName val="REKAPIT_6"/>
      <sheetName val="Plin_UNP6"/>
      <sheetName val="Plin_nemjereni6"/>
      <sheetName val="Plin_mjereni6"/>
      <sheetName val="Instalacija_grijanja6"/>
      <sheetName val="Instalacija_hlađenja_i_ventila6"/>
      <sheetName val="Centralno_usisavanje6"/>
      <sheetName val="N_Plin7"/>
      <sheetName val="M_Plin7"/>
      <sheetName val="REKAPIT_7"/>
      <sheetName val="Plin_UNP7"/>
      <sheetName val="Plin_nemjereni7"/>
      <sheetName val="Plin_mjereni7"/>
      <sheetName val="Instalacija_grijanja7"/>
      <sheetName val="Instalacija_hlađenja_i_ventila7"/>
      <sheetName val="Centralno_usisavanje7"/>
      <sheetName val="N_Plin8"/>
      <sheetName val="M_Plin8"/>
      <sheetName val="REKAPIT_8"/>
      <sheetName val="Plin_UNP8"/>
      <sheetName val="Plin_nemjereni8"/>
      <sheetName val="Plin_mjereni8"/>
      <sheetName val="Instalacija_grijanja8"/>
      <sheetName val="Instalacija_hlađenja_i_ventila8"/>
      <sheetName val="Centralno_usisavanje8"/>
      <sheetName val="N_Plin10"/>
      <sheetName val="M_Plin10"/>
      <sheetName val="REKAPIT_10"/>
      <sheetName val="Plin_UNP10"/>
      <sheetName val="Plin_nemjereni10"/>
      <sheetName val="Plin_mjereni10"/>
      <sheetName val="Instalacija_grijanja10"/>
      <sheetName val="Instalacija_hlađenja_i_ventil10"/>
      <sheetName val="Centralno_usisavanje10"/>
      <sheetName val="N_Plin9"/>
      <sheetName val="M_Plin9"/>
      <sheetName val="REKAPIT_9"/>
      <sheetName val="Plin_UNP9"/>
      <sheetName val="Plin_nemjereni9"/>
      <sheetName val="Plin_mjereni9"/>
      <sheetName val="Instalacija_grijanja9"/>
      <sheetName val="Instalacija_hlađenja_i_ventila9"/>
      <sheetName val="Centralno_usisavanje9"/>
      <sheetName val="N_Plin11"/>
      <sheetName val="M_Plin11"/>
      <sheetName val="REKAPIT_11"/>
      <sheetName val="Plin_UNP11"/>
      <sheetName val="Plin_nemjereni11"/>
      <sheetName val="Plin_mjereni11"/>
      <sheetName val="Instalacija_grijanja11"/>
      <sheetName val="Instalacija_hlađenja_i_ventil11"/>
      <sheetName val="Centralno_usisavanje11"/>
      <sheetName val="N_Plin12"/>
      <sheetName val="M_Plin12"/>
      <sheetName val="REKAPIT_12"/>
      <sheetName val="Plin_UNP12"/>
      <sheetName val="Plin_nemjereni12"/>
      <sheetName val="Plin_mjereni12"/>
      <sheetName val="Instalacija_grijanja12"/>
      <sheetName val="Instalacija_hlađenja_i_ventil12"/>
      <sheetName val="Centralno_usisavanje12"/>
      <sheetName val="N_Plin14"/>
      <sheetName val="M_Plin14"/>
      <sheetName val="REKAPIT_14"/>
      <sheetName val="Plin_UNP14"/>
      <sheetName val="Plin_nemjereni14"/>
      <sheetName val="Plin_mjereni14"/>
      <sheetName val="Instalacija_grijanja14"/>
      <sheetName val="Instalacija_hlađenja_i_ventil14"/>
      <sheetName val="Centralno_usisavanje14"/>
      <sheetName val="N_Plin13"/>
      <sheetName val="M_Plin13"/>
      <sheetName val="REKAPIT_13"/>
      <sheetName val="Plin_UNP13"/>
      <sheetName val="Plin_nemjereni13"/>
      <sheetName val="Plin_mjereni13"/>
      <sheetName val="Instalacija_grijanja13"/>
      <sheetName val="Instalacija_hlađenja_i_ventil13"/>
      <sheetName val="Centralno_usisavanje13"/>
      <sheetName val="N_Plin15"/>
      <sheetName val="M_Plin15"/>
      <sheetName val="REKAPIT_15"/>
      <sheetName val="Plin_UNP15"/>
      <sheetName val="Plin_nemjereni15"/>
      <sheetName val="Plin_mjereni15"/>
      <sheetName val="Instalacija_grijanja15"/>
      <sheetName val="Instalacija_hlađenja_i_ventil15"/>
      <sheetName val="Centralno_usisavanje15"/>
      <sheetName val="N_Plin16"/>
      <sheetName val="M_Plin16"/>
      <sheetName val="REKAPIT_16"/>
      <sheetName val="Plin_UNP16"/>
      <sheetName val="Plin_nemjereni16"/>
      <sheetName val="Plin_mjereni16"/>
      <sheetName val="Instalacija_grijanja16"/>
      <sheetName val="Instalacija_hlađenja_i_ventil16"/>
      <sheetName val="Centralno_usisavanje16"/>
      <sheetName val="ab"/>
      <sheetName val="N_Plin18"/>
      <sheetName val="M_Plin18"/>
      <sheetName val="REKAPIT_18"/>
      <sheetName val="Plin_UNP18"/>
      <sheetName val="Plin_nemjereni18"/>
      <sheetName val="Plin_mjereni18"/>
      <sheetName val="Instalacija_grijanja18"/>
      <sheetName val="Instalacija_hlađenja_i_ventil18"/>
      <sheetName val="Centralno_usisavanje18"/>
      <sheetName val="N_Plin17"/>
      <sheetName val="M_Plin17"/>
      <sheetName val="REKAPIT_17"/>
      <sheetName val="Plin_UNP17"/>
      <sheetName val="Plin_nemjereni17"/>
      <sheetName val="Plin_mjereni17"/>
      <sheetName val="Instalacija_grijanja17"/>
      <sheetName val="Instalacija_hlađenja_i_ventil17"/>
      <sheetName val="Centralno_usisavanje17"/>
      <sheetName val="N_Plin20"/>
      <sheetName val="M_Plin20"/>
      <sheetName val="REKAPIT_20"/>
      <sheetName val="Plin_UNP20"/>
      <sheetName val="Plin_nemjereni20"/>
      <sheetName val="Plin_mjereni20"/>
      <sheetName val="Instalacija_grijanja20"/>
      <sheetName val="Instalacija_hlađenja_i_ventil20"/>
      <sheetName val="Centralno_usisavanje20"/>
      <sheetName val="N_Plin19"/>
      <sheetName val="M_Plin19"/>
      <sheetName val="REKAPIT_19"/>
      <sheetName val="Plin_UNP19"/>
      <sheetName val="Plin_nemjereni19"/>
      <sheetName val="Plin_mjereni19"/>
      <sheetName val="Instalacija_grijanja19"/>
      <sheetName val="Instalacija_hlađenja_i_ventil19"/>
      <sheetName val="Centralno_usisavanje19"/>
      <sheetName val="N_Plin21"/>
      <sheetName val="M_Plin21"/>
      <sheetName val="REKAPIT_21"/>
      <sheetName val="Plin_UNP21"/>
      <sheetName val="Plin_nemjereni21"/>
      <sheetName val="Plin_mjereni21"/>
      <sheetName val="Instalacija_grijanja21"/>
      <sheetName val="Instalacija_hlađenja_i_ventil21"/>
      <sheetName val="Centralno_usisavanje21"/>
      <sheetName val="N_Plin22"/>
      <sheetName val="M_Plin22"/>
      <sheetName val="REKAPIT_22"/>
      <sheetName val="Plin_UNP22"/>
      <sheetName val="Plin_nemjereni22"/>
      <sheetName val="Plin_mjereni22"/>
      <sheetName val="Instalacija_grijanja22"/>
      <sheetName val="Instalacija_hlađenja_i_ventil22"/>
      <sheetName val="Centralno_usisavanje22"/>
      <sheetName val="N_Plin23"/>
      <sheetName val="M_Plin23"/>
      <sheetName val="REKAPIT_23"/>
      <sheetName val="Plin_UNP23"/>
      <sheetName val="Plin_nemjereni23"/>
      <sheetName val="Plin_mjereni23"/>
      <sheetName val="Instalacija_grijanja23"/>
      <sheetName val="Instalacija_hlađenja_i_ventil23"/>
      <sheetName val="Centralno_usisavanje23"/>
      <sheetName val="N_Plin24"/>
      <sheetName val="M_Plin24"/>
      <sheetName val="REKAPIT_24"/>
      <sheetName val="Plin_UNP24"/>
      <sheetName val="Plin_nemjereni24"/>
      <sheetName val="Plin_mjereni24"/>
      <sheetName val="Instalacija_grijanja24"/>
      <sheetName val="Instalacija_hlađenja_i_ventil24"/>
      <sheetName val="Centralno_usisavanje24"/>
      <sheetName val="N_Plin25"/>
      <sheetName val="M_Plin25"/>
      <sheetName val="REKAPIT_25"/>
      <sheetName val="Plin_UNP25"/>
      <sheetName val="Plin_nemjereni25"/>
      <sheetName val="Plin_mjereni25"/>
      <sheetName val="Instalacija_grijanja25"/>
      <sheetName val="Instalacija_hlađenja_i_ventil25"/>
      <sheetName val="Centralno_usisavanje25"/>
      <sheetName val="N_Plin26"/>
      <sheetName val="M_Plin26"/>
      <sheetName val="REKAPIT_26"/>
      <sheetName val="Plin_UNP26"/>
      <sheetName val="Plin_nemjereni26"/>
      <sheetName val="Plin_mjereni26"/>
      <sheetName val="Instalacija_grijanja26"/>
      <sheetName val="Instalacija_hlađenja_i_ventil26"/>
      <sheetName val="Centralno_usisavanje26"/>
      <sheetName val="N_Plin27"/>
      <sheetName val="M_Plin27"/>
      <sheetName val="REKAPIT_27"/>
      <sheetName val="Plin_UNP27"/>
      <sheetName val="Plin_nemjereni27"/>
      <sheetName val="Plin_mjereni27"/>
      <sheetName val="Instalacija_grijanja27"/>
      <sheetName val="Instalacija_hlađenja_i_ventil27"/>
      <sheetName val="Centralno_usisavanje27"/>
      <sheetName val="N_Plin28"/>
      <sheetName val="M_Plin28"/>
      <sheetName val="REKAPIT_28"/>
      <sheetName val="Plin_UNP28"/>
      <sheetName val="Plin_nemjereni28"/>
      <sheetName val="Plin_mjereni28"/>
      <sheetName val="Instalacija_grijanja28"/>
      <sheetName val="Instalacija_hlađenja_i_ventil28"/>
      <sheetName val="Centralno_usisavanje28"/>
      <sheetName val="N_Plin29"/>
      <sheetName val="M_Plin29"/>
      <sheetName val="REKAPIT_29"/>
      <sheetName val="Plin_UNP29"/>
      <sheetName val="Plin_nemjereni29"/>
      <sheetName val="Plin_mjereni29"/>
      <sheetName val="Instalacija_grijanja29"/>
      <sheetName val="Instalacija_hlađenja_i_ventil29"/>
      <sheetName val="Centralno_usisavanje29"/>
      <sheetName val="N_Plin30"/>
      <sheetName val="M_Plin30"/>
      <sheetName val="REKAPIT_30"/>
      <sheetName val="Plin_UNP30"/>
      <sheetName val="Plin_nemjereni30"/>
      <sheetName val="Plin_mjereni30"/>
      <sheetName val="Instalacija_grijanja30"/>
      <sheetName val="Instalacija_hlađenja_i_ventil30"/>
      <sheetName val="Centralno_usisavanje30"/>
      <sheetName val="N_Plin31"/>
      <sheetName val="M_Plin31"/>
      <sheetName val="REKAPIT_31"/>
      <sheetName val="Plin_UNP31"/>
      <sheetName val="Plin_nemjereni31"/>
      <sheetName val="Plin_mjereni31"/>
      <sheetName val="Instalacija_grijanja31"/>
      <sheetName val="Instalacija_hlađenja_i_ventil31"/>
      <sheetName val="Centralno_usisavanje31"/>
      <sheetName val="troskovnik"/>
      <sheetName val="koeficijenti"/>
      <sheetName val="proračun gubitaka"/>
      <sheetName val="N"/>
      <sheetName val="vodovod i odvodnja"/>
      <sheetName val="podaci"/>
      <sheetName val="Evid"/>
      <sheetName val="Kuce"/>
      <sheetName val="List1"/>
    </sheetNames>
    <sheetDataSet>
      <sheetData sheetId="0"/>
      <sheetData sheetId="1"/>
      <sheetData sheetId="2"/>
      <sheetData sheetId="3"/>
      <sheetData sheetId="4"/>
      <sheetData sheetId="5"/>
      <sheetData sheetId="6"/>
      <sheetData sheetId="7"/>
      <sheetData sheetId="8">
        <row r="56">
          <cell r="B56" t="str">
            <v xml:space="preserve"> - horizontalna ugradnja kolektora na ravni krov </v>
          </cell>
        </row>
        <row r="57">
          <cell r="B57" t="str">
            <v xml:space="preserve"> - vertikalna ugradnja kolektora na ravni krov </v>
          </cell>
        </row>
        <row r="58">
          <cell r="B58" t="str">
            <v xml:space="preserve"> - hor. ugradnja jedan do drugog na kosi krov (standardni crijep - Bramac, Tondach)</v>
          </cell>
        </row>
        <row r="59">
          <cell r="B59" t="str">
            <v xml:space="preserve"> - hor. ugradnja jedan do drugog na kosi krov (valoviti crijep, šindra)</v>
          </cell>
        </row>
        <row r="60">
          <cell r="B60" t="str">
            <v xml:space="preserve"> - hor. ugradnja jedan do drugog na kosi krov (ostali tipovi krova)</v>
          </cell>
        </row>
        <row r="61">
          <cell r="B61" t="str">
            <v xml:space="preserve"> - vert. ugradnja jedan do drugog na kosi krov (standardni crijep - Bramac, Tondach)</v>
          </cell>
        </row>
        <row r="62">
          <cell r="B62" t="str">
            <v xml:space="preserve"> - vert. ugradnja jedan do drugog na kosi krov (valoviti crijep, šindra)</v>
          </cell>
        </row>
        <row r="63">
          <cell r="B63" t="str">
            <v xml:space="preserve"> - vert. ugradnja jedan do drugog na kosi krov (ostali tipovi krova)</v>
          </cell>
        </row>
        <row r="64">
          <cell r="B64" t="str">
            <v xml:space="preserve"> - hor. ugradnja jedan iznad drugog na kosi krov (standardni crijep - Bramac, Tondach)</v>
          </cell>
        </row>
        <row r="65">
          <cell r="B65" t="str">
            <v xml:space="preserve"> - hor. ugradnja jedan iznad drugog na kosi krov (valoviti crijep, šindra)</v>
          </cell>
        </row>
        <row r="66">
          <cell r="B66" t="str">
            <v xml:space="preserve"> - hor. ugradnja jedan iznad drugog na kosi krov (ostali tipovi krova)</v>
          </cell>
        </row>
        <row r="67">
          <cell r="B67" t="str">
            <v xml:space="preserve"> - vert. ugradnja jedan iznad drugog na kosi krov (standardni crijep - Bramac, Tondach)</v>
          </cell>
        </row>
        <row r="68">
          <cell r="B68" t="str">
            <v xml:space="preserve"> - vert. ugradnja jedan iznad drugog na kosi krov (valoviti crijep, šindra)</v>
          </cell>
        </row>
        <row r="69">
          <cell r="B69" t="str">
            <v xml:space="preserve"> - vert. ugradnja jedan iznad drugog na kosi krov (ostali tipovi krova)</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UKUPNA REKAPITULACIJA"/>
      <sheetName val="IŠ_REKAP. IZGRADNJA ŠKOLE"/>
      <sheetName val="IŠ_Opće napomene"/>
      <sheetName val="IŠ_01. Pripremni i završni rad."/>
      <sheetName val="IŠ_02.Zemljani radovi"/>
      <sheetName val="IŠ_03. Betonski i AB radovi"/>
      <sheetName val="IŠ_04. Zidarski radovi"/>
      <sheetName val="IŠ_05. Podopolagački radovi"/>
      <sheetName val="IŠ_06. Bravarski radovi"/>
      <sheetName val="IŠ_07. Izolaterski radovi"/>
      <sheetName val="IŠ_08. Fasaderski radovi"/>
      <sheetName val="IŠ_09. Stolarija"/>
      <sheetName val="IŠ_10. Limarski radovi"/>
      <sheetName val="IŠ_11. Gipskartonski radovi"/>
      <sheetName val="IŠ_12. Soboslikarski radovi"/>
      <sheetName val="IŠ_13. Keramičarski radovi "/>
      <sheetName val="IŠ_14. Ostali razni radovi"/>
      <sheetName val="IŠ_REK. G.O. RAD. IZGR. ŠKOLE "/>
      <sheetName val="IŠ_Općenito - Hidro"/>
      <sheetName val="IŠ_Hidroinstalacije"/>
      <sheetName val="IŠ_Općenito - Stroj"/>
      <sheetName val="IŠ_A"/>
      <sheetName val="IŠ_B"/>
      <sheetName val="IŠ_C"/>
      <sheetName val="IŠ_D"/>
      <sheetName val="IŠ_E"/>
      <sheetName val="IŠ_F"/>
      <sheetName val="IŠ_G"/>
      <sheetName val="IŠ_H"/>
      <sheetName val="IŠ_I"/>
      <sheetName val="IŠ_J"/>
      <sheetName val="IŠ_Rekapitulacija - Stroj"/>
      <sheetName val="IŠ_TROSKO - ELEKTROINSTALACIJE"/>
      <sheetName val="IŠ_TROSKO - VATRODOJAVA"/>
      <sheetName val="IŠ_D1"/>
      <sheetName val="ID_REKAP. IZGRADNJA DVORANE"/>
      <sheetName val="ID_Opće napomene"/>
      <sheetName val="ID_01. Pripremni i završni rad."/>
      <sheetName val="ID_02.Zemljani radovi"/>
      <sheetName val="ID_03. Betonski i AB radovi"/>
      <sheetName val="ID_04. Zidarski radovi"/>
      <sheetName val="ID_05. Podopolagački radovi"/>
      <sheetName val="ID_6. Bravarski radovi"/>
      <sheetName val="ID_07. Lamelirana konstrukcija"/>
      <sheetName val="ID_08. Izolaterski radovi"/>
      <sheetName val="ID_09. Fasaderski radovi"/>
      <sheetName val="ID_10. Stolarija"/>
      <sheetName val="ID_11. Limarski radovi"/>
      <sheetName val="ID_12. Gipskartonski radovi"/>
      <sheetName val="ID_13. Soboslikarski radovi"/>
      <sheetName val="ID_14. Keramičarski radovi "/>
      <sheetName val="ID_15. Ostali razni radovi"/>
      <sheetName val="ID_REKAPITULACIJA"/>
      <sheetName val="ID_Općenito - Hidro"/>
      <sheetName val="ID_Hidroinstalacije"/>
      <sheetName val="ID_Općenito - Stroj"/>
      <sheetName val="ID_A"/>
      <sheetName val="ID_B"/>
      <sheetName val="ID_C"/>
      <sheetName val="ID_D"/>
      <sheetName val="ID_Rekapitulacija - Stroj"/>
      <sheetName val="ID_TROSKO - ELEKTROINSTALACIJE"/>
      <sheetName val="ID_TROSKO - VATRODOJAVA"/>
      <sheetName val="VU_REKAP. VANJSKO UR."/>
      <sheetName val="VU_Opće napomene"/>
      <sheetName val="VU_01. VANJSKO UREĐENJE"/>
      <sheetName val="O_REKAP. OPREMA"/>
      <sheetName val="O_T.O. KUHINJA"/>
      <sheetName val="O_T.O. DVORANA"/>
      <sheetName val="O_T.O. IGRALIŠTE"/>
      <sheetName val="O_Zastita kuhinjske nape "/>
      <sheetName val="0_Rekapitulacija_Kuh. nap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ow r="225">
          <cell r="F225">
            <v>0</v>
          </cell>
        </row>
      </sheetData>
      <sheetData sheetId="66"/>
      <sheetData sheetId="67"/>
      <sheetData sheetId="68"/>
      <sheetData sheetId="69"/>
      <sheetData sheetId="70"/>
      <sheetData sheetId="71"/>
    </sheetDataSet>
  </externalBook>
</externalLink>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00B050"/>
    <outlinePr summaryBelow="1" summaryRight="1"/>
    <pageSetUpPr/>
  </sheetPr>
  <dimension ref="A1:A155"/>
  <sheetViews>
    <sheetView view="pageBreakPreview" zoomScaleNormal="100" zoomScaleSheetLayoutView="100" workbookViewId="0">
      <selection activeCell="B17" sqref="B17"/>
    </sheetView>
  </sheetViews>
  <sheetFormatPr baseColWidth="8" defaultRowHeight="14.4"/>
  <cols>
    <col width="87.6640625" customWidth="1" min="1" max="1"/>
    <col width="46.33203125" customWidth="1" min="2" max="2"/>
    <col width="8.33203125" customWidth="1" min="4" max="4"/>
    <col width="87.6640625" customWidth="1" min="257" max="257"/>
    <col width="46.33203125" customWidth="1" min="258" max="258"/>
    <col width="8.33203125" customWidth="1" min="260" max="260"/>
    <col width="87.6640625" customWidth="1" min="513" max="513"/>
    <col width="46.33203125" customWidth="1" min="514" max="514"/>
    <col width="8.33203125" customWidth="1" min="516" max="516"/>
    <col width="87.6640625" customWidth="1" min="769" max="769"/>
    <col width="46.33203125" customWidth="1" min="770" max="770"/>
    <col width="8.33203125" customWidth="1" min="772" max="772"/>
    <col width="87.6640625" customWidth="1" min="1025" max="1025"/>
    <col width="46.33203125" customWidth="1" min="1026" max="1026"/>
    <col width="8.33203125" customWidth="1" min="1028" max="1028"/>
    <col width="87.6640625" customWidth="1" min="1281" max="1281"/>
    <col width="46.33203125" customWidth="1" min="1282" max="1282"/>
    <col width="8.33203125" customWidth="1" min="1284" max="1284"/>
    <col width="87.6640625" customWidth="1" min="1537" max="1537"/>
    <col width="46.33203125" customWidth="1" min="1538" max="1538"/>
    <col width="8.33203125" customWidth="1" min="1540" max="1540"/>
    <col width="87.6640625" customWidth="1" min="1793" max="1793"/>
    <col width="46.33203125" customWidth="1" min="1794" max="1794"/>
    <col width="8.33203125" customWidth="1" min="1796" max="1796"/>
    <col width="87.6640625" customWidth="1" min="2049" max="2049"/>
    <col width="46.33203125" customWidth="1" min="2050" max="2050"/>
    <col width="8.33203125" customWidth="1" min="2052" max="2052"/>
    <col width="87.6640625" customWidth="1" min="2305" max="2305"/>
    <col width="46.33203125" customWidth="1" min="2306" max="2306"/>
    <col width="8.33203125" customWidth="1" min="2308" max="2308"/>
    <col width="87.6640625" customWidth="1" min="2561" max="2561"/>
    <col width="46.33203125" customWidth="1" min="2562" max="2562"/>
    <col width="8.33203125" customWidth="1" min="2564" max="2564"/>
    <col width="87.6640625" customWidth="1" min="2817" max="2817"/>
    <col width="46.33203125" customWidth="1" min="2818" max="2818"/>
    <col width="8.33203125" customWidth="1" min="2820" max="2820"/>
    <col width="87.6640625" customWidth="1" min="3073" max="3073"/>
    <col width="46.33203125" customWidth="1" min="3074" max="3074"/>
    <col width="8.33203125" customWidth="1" min="3076" max="3076"/>
    <col width="87.6640625" customWidth="1" min="3329" max="3329"/>
    <col width="46.33203125" customWidth="1" min="3330" max="3330"/>
    <col width="8.33203125" customWidth="1" min="3332" max="3332"/>
    <col width="87.6640625" customWidth="1" min="3585" max="3585"/>
    <col width="46.33203125" customWidth="1" min="3586" max="3586"/>
    <col width="8.33203125" customWidth="1" min="3588" max="3588"/>
    <col width="87.6640625" customWidth="1" min="3841" max="3841"/>
    <col width="46.33203125" customWidth="1" min="3842" max="3842"/>
    <col width="8.33203125" customWidth="1" min="3844" max="3844"/>
    <col width="87.6640625" customWidth="1" min="4097" max="4097"/>
    <col width="46.33203125" customWidth="1" min="4098" max="4098"/>
    <col width="8.33203125" customWidth="1" min="4100" max="4100"/>
    <col width="87.6640625" customWidth="1" min="4353" max="4353"/>
    <col width="46.33203125" customWidth="1" min="4354" max="4354"/>
    <col width="8.33203125" customWidth="1" min="4356" max="4356"/>
    <col width="87.6640625" customWidth="1" min="4609" max="4609"/>
    <col width="46.33203125" customWidth="1" min="4610" max="4610"/>
    <col width="8.33203125" customWidth="1" min="4612" max="4612"/>
    <col width="87.6640625" customWidth="1" min="4865" max="4865"/>
    <col width="46.33203125" customWidth="1" min="4866" max="4866"/>
    <col width="8.33203125" customWidth="1" min="4868" max="4868"/>
    <col width="87.6640625" customWidth="1" min="5121" max="5121"/>
    <col width="46.33203125" customWidth="1" min="5122" max="5122"/>
    <col width="8.33203125" customWidth="1" min="5124" max="5124"/>
    <col width="87.6640625" customWidth="1" min="5377" max="5377"/>
    <col width="46.33203125" customWidth="1" min="5378" max="5378"/>
    <col width="8.33203125" customWidth="1" min="5380" max="5380"/>
    <col width="87.6640625" customWidth="1" min="5633" max="5633"/>
    <col width="46.33203125" customWidth="1" min="5634" max="5634"/>
    <col width="8.33203125" customWidth="1" min="5636" max="5636"/>
    <col width="87.6640625" customWidth="1" min="5889" max="5889"/>
    <col width="46.33203125" customWidth="1" min="5890" max="5890"/>
    <col width="8.33203125" customWidth="1" min="5892" max="5892"/>
    <col width="87.6640625" customWidth="1" min="6145" max="6145"/>
    <col width="46.33203125" customWidth="1" min="6146" max="6146"/>
    <col width="8.33203125" customWidth="1" min="6148" max="6148"/>
    <col width="87.6640625" customWidth="1" min="6401" max="6401"/>
    <col width="46.33203125" customWidth="1" min="6402" max="6402"/>
    <col width="8.33203125" customWidth="1" min="6404" max="6404"/>
    <col width="87.6640625" customWidth="1" min="6657" max="6657"/>
    <col width="46.33203125" customWidth="1" min="6658" max="6658"/>
    <col width="8.33203125" customWidth="1" min="6660" max="6660"/>
    <col width="87.6640625" customWidth="1" min="6913" max="6913"/>
    <col width="46.33203125" customWidth="1" min="6914" max="6914"/>
    <col width="8.33203125" customWidth="1" min="6916" max="6916"/>
    <col width="87.6640625" customWidth="1" min="7169" max="7169"/>
    <col width="46.33203125" customWidth="1" min="7170" max="7170"/>
    <col width="8.33203125" customWidth="1" min="7172" max="7172"/>
    <col width="87.6640625" customWidth="1" min="7425" max="7425"/>
    <col width="46.33203125" customWidth="1" min="7426" max="7426"/>
    <col width="8.33203125" customWidth="1" min="7428" max="7428"/>
    <col width="87.6640625" customWidth="1" min="7681" max="7681"/>
    <col width="46.33203125" customWidth="1" min="7682" max="7682"/>
    <col width="8.33203125" customWidth="1" min="7684" max="7684"/>
    <col width="87.6640625" customWidth="1" min="7937" max="7937"/>
    <col width="46.33203125" customWidth="1" min="7938" max="7938"/>
    <col width="8.33203125" customWidth="1" min="7940" max="7940"/>
    <col width="87.6640625" customWidth="1" min="8193" max="8193"/>
    <col width="46.33203125" customWidth="1" min="8194" max="8194"/>
    <col width="8.33203125" customWidth="1" min="8196" max="8196"/>
    <col width="87.6640625" customWidth="1" min="8449" max="8449"/>
    <col width="46.33203125" customWidth="1" min="8450" max="8450"/>
    <col width="8.33203125" customWidth="1" min="8452" max="8452"/>
    <col width="87.6640625" customWidth="1" min="8705" max="8705"/>
    <col width="46.33203125" customWidth="1" min="8706" max="8706"/>
    <col width="8.33203125" customWidth="1" min="8708" max="8708"/>
    <col width="87.6640625" customWidth="1" min="8961" max="8961"/>
    <col width="46.33203125" customWidth="1" min="8962" max="8962"/>
    <col width="8.33203125" customWidth="1" min="8964" max="8964"/>
    <col width="87.6640625" customWidth="1" min="9217" max="9217"/>
    <col width="46.33203125" customWidth="1" min="9218" max="9218"/>
    <col width="8.33203125" customWidth="1" min="9220" max="9220"/>
    <col width="87.6640625" customWidth="1" min="9473" max="9473"/>
    <col width="46.33203125" customWidth="1" min="9474" max="9474"/>
    <col width="8.33203125" customWidth="1" min="9476" max="9476"/>
    <col width="87.6640625" customWidth="1" min="9729" max="9729"/>
    <col width="46.33203125" customWidth="1" min="9730" max="9730"/>
    <col width="8.33203125" customWidth="1" min="9732" max="9732"/>
    <col width="87.6640625" customWidth="1" min="9985" max="9985"/>
    <col width="46.33203125" customWidth="1" min="9986" max="9986"/>
    <col width="8.33203125" customWidth="1" min="9988" max="9988"/>
    <col width="87.6640625" customWidth="1" min="10241" max="10241"/>
    <col width="46.33203125" customWidth="1" min="10242" max="10242"/>
    <col width="8.33203125" customWidth="1" min="10244" max="10244"/>
    <col width="87.6640625" customWidth="1" min="10497" max="10497"/>
    <col width="46.33203125" customWidth="1" min="10498" max="10498"/>
    <col width="8.33203125" customWidth="1" min="10500" max="10500"/>
    <col width="87.6640625" customWidth="1" min="10753" max="10753"/>
    <col width="46.33203125" customWidth="1" min="10754" max="10754"/>
    <col width="8.33203125" customWidth="1" min="10756" max="10756"/>
    <col width="87.6640625" customWidth="1" min="11009" max="11009"/>
    <col width="46.33203125" customWidth="1" min="11010" max="11010"/>
    <col width="8.33203125" customWidth="1" min="11012" max="11012"/>
    <col width="87.6640625" customWidth="1" min="11265" max="11265"/>
    <col width="46.33203125" customWidth="1" min="11266" max="11266"/>
    <col width="8.33203125" customWidth="1" min="11268" max="11268"/>
    <col width="87.6640625" customWidth="1" min="11521" max="11521"/>
    <col width="46.33203125" customWidth="1" min="11522" max="11522"/>
    <col width="8.33203125" customWidth="1" min="11524" max="11524"/>
    <col width="87.6640625" customWidth="1" min="11777" max="11777"/>
    <col width="46.33203125" customWidth="1" min="11778" max="11778"/>
    <col width="8.33203125" customWidth="1" min="11780" max="11780"/>
    <col width="87.6640625" customWidth="1" min="12033" max="12033"/>
    <col width="46.33203125" customWidth="1" min="12034" max="12034"/>
    <col width="8.33203125" customWidth="1" min="12036" max="12036"/>
    <col width="87.6640625" customWidth="1" min="12289" max="12289"/>
    <col width="46.33203125" customWidth="1" min="12290" max="12290"/>
    <col width="8.33203125" customWidth="1" min="12292" max="12292"/>
    <col width="87.6640625" customWidth="1" min="12545" max="12545"/>
    <col width="46.33203125" customWidth="1" min="12546" max="12546"/>
    <col width="8.33203125" customWidth="1" min="12548" max="12548"/>
    <col width="87.6640625" customWidth="1" min="12801" max="12801"/>
    <col width="46.33203125" customWidth="1" min="12802" max="12802"/>
    <col width="8.33203125" customWidth="1" min="12804" max="12804"/>
    <col width="87.6640625" customWidth="1" min="13057" max="13057"/>
    <col width="46.33203125" customWidth="1" min="13058" max="13058"/>
    <col width="8.33203125" customWidth="1" min="13060" max="13060"/>
    <col width="87.6640625" customWidth="1" min="13313" max="13313"/>
    <col width="46.33203125" customWidth="1" min="13314" max="13314"/>
    <col width="8.33203125" customWidth="1" min="13316" max="13316"/>
    <col width="87.6640625" customWidth="1" min="13569" max="13569"/>
    <col width="46.33203125" customWidth="1" min="13570" max="13570"/>
    <col width="8.33203125" customWidth="1" min="13572" max="13572"/>
    <col width="87.6640625" customWidth="1" min="13825" max="13825"/>
    <col width="46.33203125" customWidth="1" min="13826" max="13826"/>
    <col width="8.33203125" customWidth="1" min="13828" max="13828"/>
    <col width="87.6640625" customWidth="1" min="14081" max="14081"/>
    <col width="46.33203125" customWidth="1" min="14082" max="14082"/>
    <col width="8.33203125" customWidth="1" min="14084" max="14084"/>
    <col width="87.6640625" customWidth="1" min="14337" max="14337"/>
    <col width="46.33203125" customWidth="1" min="14338" max="14338"/>
    <col width="8.33203125" customWidth="1" min="14340" max="14340"/>
    <col width="87.6640625" customWidth="1" min="14593" max="14593"/>
    <col width="46.33203125" customWidth="1" min="14594" max="14594"/>
    <col width="8.33203125" customWidth="1" min="14596" max="14596"/>
    <col width="87.6640625" customWidth="1" min="14849" max="14849"/>
    <col width="46.33203125" customWidth="1" min="14850" max="14850"/>
    <col width="8.33203125" customWidth="1" min="14852" max="14852"/>
    <col width="87.6640625" customWidth="1" min="15105" max="15105"/>
    <col width="46.33203125" customWidth="1" min="15106" max="15106"/>
    <col width="8.33203125" customWidth="1" min="15108" max="15108"/>
    <col width="87.6640625" customWidth="1" min="15361" max="15361"/>
    <col width="46.33203125" customWidth="1" min="15362" max="15362"/>
    <col width="8.33203125" customWidth="1" min="15364" max="15364"/>
    <col width="87.6640625" customWidth="1" min="15617" max="15617"/>
    <col width="46.33203125" customWidth="1" min="15618" max="15618"/>
    <col width="8.33203125" customWidth="1" min="15620" max="15620"/>
    <col width="87.6640625" customWidth="1" min="15873" max="15873"/>
    <col width="46.33203125" customWidth="1" min="15874" max="15874"/>
    <col width="8.33203125" customWidth="1" min="15876" max="15876"/>
    <col width="87.6640625" customWidth="1" min="16129" max="16129"/>
    <col width="46.33203125" customWidth="1" min="16130" max="16130"/>
    <col width="8.33203125" customWidth="1" min="16132" max="16132"/>
  </cols>
  <sheetData>
    <row r="1" ht="18" customHeight="1">
      <c r="A1" s="4" t="inlineStr">
        <is>
          <t>OPĆE NAPOMENE</t>
        </is>
      </c>
    </row>
    <row r="3" ht="27.6" customHeight="1">
      <c r="A3" s="153" t="inlineStr">
        <is>
          <t>Načelo “ne nanosi bitnu štetu” (''do no significant harm'') što znači da se ne podupiru i ne obavljaju gospodarske djelatnosti kojima se nanosi bitna šteta bilo kojem od okolišnih ciljeva.</t>
        </is>
      </c>
    </row>
    <row r="4" ht="41.4" customHeight="1">
      <c r="A4" s="154" t="inlineStr">
        <is>
          <t>Najmanje 70% (težinski) neopasnog građevinskog otpada i otpada od rušenja,iskopa i sl.. nastalog na gradilištu će biti pripremljeno za ponovnu uporabu, recikliranje i korištenje drugog materijala uključujući postupke zatrpavanja otpadom koji zamjenjuje druge materijale, u skladu s hijerarhijom otpada.</t>
        </is>
      </c>
    </row>
    <row r="5" ht="41.4" customHeight="1">
      <c r="A5" s="153" t="inlineStr">
        <is>
          <t>Svi uređaji za vodu koji će se instalirati/nuditi (tuševi s miješalicom, slavine, WC školjke i vodokotlići i slično) moraju biti svrstani u dva najbolja razreda potrošnje vode EU vodne oznake (oznaka EU Water Label - načelo "ne čini značajnu štetu").</t>
        </is>
      </c>
    </row>
    <row r="6" ht="41.4" customHeight="1">
      <c r="A6" s="153" t="inlineStr">
        <is>
          <t>Građevinski dijelovi i materijali koji se koriste u izgradnji zgrade ne sadrže/ne smiju sadržavati azbest niti tvari koje izazivaju veliku zabrinutost, kako je utvrđeno na temelju popisa tvari za koje je potrebno odobrenje.</t>
        </is>
      </c>
    </row>
    <row r="7" ht="55.2" customHeight="1">
      <c r="A7" s="154" t="inlineStr">
        <is>
          <t>Građevinski dijelovi i materijali korišteni u zgradi koji mogu doći u kontakt sa korisnicima emitiraju manje od 0,06 mg formaldehida po m3 materijala ili komponente i manje od 0,001 mg kategorija 1A i 1B kancerogeni hlapljivi organski spojevi po m3 materijala ili komponente, nakon ispitivanja u skladu s važećim propisima ili drugim usporedivim standardiziranim uvjetima ispitivanja i metodom određivanja.</t>
        </is>
      </c>
    </row>
    <row r="8" ht="27.6" customHeight="1">
      <c r="A8" s="153" t="inlineStr">
        <is>
          <t>Pri nuđenju u svakoj stavci ulaznih ili sobnih vata predvidjeti i u ponudu uračunati  i pločicu na Braillovom pismu, bez obzira da li je to specifično naznačeno u stavci ili nije.</t>
        </is>
      </c>
    </row>
    <row r="9" ht="27.6" customHeight="1">
      <c r="A9" s="153" t="inlineStr">
        <is>
          <t>Sve krovne obloge projektirane su kao takve da svojom mehaničkom otpornošću mogu izdržati udar tuče te ih kao takve treba nuditi.</t>
        </is>
      </c>
    </row>
    <row r="10" ht="27.6" customHeight="1">
      <c r="A10" s="153" t="inlineStr">
        <is>
          <t>Sve spojne elementi (vijci, sidra, sidrni vijci i sl.) treba nuditi takve da mogu izdržati nalete snažnog vjetra, pijavica i tornada.</t>
        </is>
      </c>
    </row>
    <row r="12" ht="76.5" customHeight="1">
      <c r="A12" s="3" t="inlineStr">
        <is>
          <t>Sve radove potrebno je izvoditi u skladu s pravomoćnom građevinskom dozvolom, projektnom dokumentacijom, Zakonom o gradnji, Tehničkim propisima i ostalim propisima i pravilnicima koji proizlaze iz njih, norme na koje upućuju te pravilima struke. Za formiranje što kvalitetnije ponude potrebno je koristiti se kompletnom projektnom dokumentacijom (tekstulni i grafički dijelovi projekata) dostavljenom zajedno sa troškovnikom, a prema potrebi izvršiti osobni pregled gradilišta.</t>
        </is>
      </c>
    </row>
    <row r="13">
      <c r="A13" s="2" t="n"/>
    </row>
    <row r="14" ht="72" customHeight="1">
      <c r="A14" s="1" t="inlineStr">
        <is>
          <t>ORGANIZACIJA GRADILIŠTA: Izvođač je dužan tokom čitavog vremena izvođenja radova gradilište održavati čistim i urednim. Odgovoran je da na propisan način zbrinjava otpad, a eventualne troškove ukalkulira u jedinične cijene, jer se neće posebno obračunavati. Priprema svih radnih površina i platoa (npr. izvedba šljunčanog nasipa za manipulativne površine), tornjeva, skela i rampi, sve za potrebe neometanog i pravilnog izvođenja radova obaveza su glavnog izvođača, te se neće dodatno obračunavati.</t>
        </is>
      </c>
    </row>
    <row r="15">
      <c r="A15" s="2" t="n"/>
    </row>
    <row r="16" ht="81.75" customHeight="1">
      <c r="A16" s="1" t="inlineStr">
        <is>
          <t xml:space="preserve">UGRADNJA MATERIJALA I OPREME: Za sav ugrađeni materijal i opremu potrebno je prije njihove ugradnje dostaviti nadzornom inženjeru odgovarajuće dokaze sukladnosti (Izjave o svojstvima, Certifikat o stalnosti svojstava, Tehnički list, Certifikat o sukladnosti tvorničke kontrole kvalitete, Izvještaj o isptivanju, ...) radi odobrenja materijala. Sav ugrađeni materijal i oprema za koji nije dostavljena sve potrebna i ispravna dokumentacija ili nije dano odobrenje od strane nadzornog inženjera za njihovu ugradnju, neće se priznati kao izvedeni rad. </t>
        </is>
      </c>
    </row>
    <row r="17">
      <c r="A17" s="1" t="n"/>
    </row>
    <row r="18" ht="60" customHeight="1">
      <c r="A18" s="1" t="inlineStr">
        <is>
          <t>ODOBRENJE TEHNIČKE DOKUMENTACIJE: Prije izvedbe radova potrebno je nadzornom inženjeru dostaviti na pregled i odobrenje: radioničke nacrte čelika, planove polaganja fasadnih panela, trapeznog krovnog lima, prpračune spojnih sredstavan, prijedlog tehnologije izvedbe podne ploče, prijedlog izvedbe radova na drugačiji način nego je to predviđeno projektom.</t>
        </is>
      </c>
    </row>
    <row r="19">
      <c r="A19" s="2" t="n"/>
    </row>
    <row r="20" ht="44.25" customHeight="1">
      <c r="A20" s="1" t="inlineStr">
        <is>
          <t xml:space="preserve">DODATNI RADOVI: Za sve dodatne radove koji nisu predviđeni projektom ili troškovnikom potrebno je tražiti odobrenje od strane nadzornog inženjera i investitora.  Bez navedenog odobrenja njihova izvedba se neće priznati niti obračunati. </t>
        </is>
      </c>
    </row>
    <row r="21">
      <c r="A21" s="2" t="n"/>
    </row>
    <row r="22" ht="207" customHeight="1">
      <c r="A22" s="1" t="inlineStr">
        <is>
          <t>OBRAČUN RADOVA: Jediničnim cijenama svih radova obuhvaćeni su troškovi kompletno opisanog rada i svih materijala koji će se koristiti za realizaciju pojedine stavke, potrebne radne skele, platforme, mehanizacija i transportna sredstava za izvođenje radova, sav alat i pomoćna sredstva rada, zaštitna oprema i sve ostalo nužno za dovršetka pojedinih radova do pune funkcionalne gotovosti, a sve u skladu sa važećim Zakonom o gradnji, Tehničkim propisima i Pravilnicima na koje upućuju. U cijenu radova su uključeni svi radovi zaštite opreme i proizvoda od prašine i oštećenje, premještanje namještaja i opreme iz prostorija u kojima se izvode radove u druge prostorije te vraćanje istog nakon završetka radova, radovi grubog i finog čišćenja tokom izvedbe radova i nakon završetka, očuvanja i zaštite postojećih materijala i ugrađene opreme, izrada i vođenje prateće obavezne dokumentacije (radionički nacrti čelika, program kontrole i osiguranja kvalitete betonske konstrukcije, planovi armature, sukcesivno prikupljanje dokaza sukladnosti ugrađenih materijala i opreme, vođenje građevinskog dnevnika u skladu s pravilnikom, vođenje građevinske knjige, dokazivanje kvalitete, ispitivanje modula stišljivosti tampona, vađenje uzoraka svježeg betona te isptivanje tlačne čvrstoće i drugih projektom traženih parametara, …). Gradilište tokom čitavog vremena treba održavati urednim, organiziranim i čistim te propisano zbrinjavati sav otpadni materijal uz predočenje dokaza o provoedenom zbrinjavanju.</t>
        </is>
      </c>
    </row>
    <row r="23">
      <c r="A23" s="2" t="n"/>
    </row>
    <row r="24">
      <c r="A24" s="2" t="n"/>
    </row>
    <row r="25">
      <c r="A25" s="2" t="n"/>
    </row>
    <row r="26">
      <c r="A26" s="2" t="n"/>
    </row>
    <row r="27">
      <c r="A27" s="2" t="n"/>
    </row>
    <row r="28" ht="18" customHeight="1">
      <c r="A28" s="5" t="inlineStr">
        <is>
          <t>KONTROLA I OSIGURANJE KVALITETE</t>
        </is>
      </c>
    </row>
    <row r="29">
      <c r="A29" s="1" t="n"/>
    </row>
    <row r="30" ht="193.2" customHeight="1">
      <c r="A30" s="42" t="inlineStr">
        <is>
          <t>Prema Zakonu o građevnim proizvodima NN 76/13, 30/14, 130/17, 39/19, 118/20  i tehničkom propisu o građevnim proizvodima NN 35/18, 104/19, tijekom građenja, a zbog osiguranja kvalitete ugrađenih materijala, mora se provesti kontrola materijala kao i proizvoda tako i dokaza na pojedinim vrstama materijala. Proizvodnu kontrolu ugrađenih materijala dokazuje se Izjavom o svojstvima dobivenom od proizvođača materijala, odnosno Certifikatom o stalnosti svojstava. Za materijale koji se izrađuju na gradilištu vrše se ispitivanja na temelju izrađenih probnih uzoraka. Ispitivanje vrše registrirane tvrtke. Dokazanu kontrolu provodi nadzorni inženjer na način da kontrolira dobivena izvješća izvršenim ispitivanjima materijala. Izvoditelj je dužan da izvrši odnosno provede sva ispitivanja ugrađenih materijala a u skladu sa važećim pravilnicima i standardima. Na zahtjev nadzornog inženjera i ukazane potrebe mogu se vršiti i ispitivanja ostalih materijala za koje se smatra da ne odgovaraju zahtijevanoj kvaliteti. Izvješće o dokazu kvalitete i dokazi sukladnosti ugrađenih materijala su sastavni dio dokumentacije za vršenje tehničkog pregleda građevine. Svi ugrađeni materijali, elementi i ugrađena oprema moraju svojim karakteristikama odgovarati, a kvalitetom zadovoljavati ispitivanja prema zahtjevima iz sljedećih tehničkih propisa te svih pravilnika i normi na koje oni upućuju:</t>
        </is>
      </c>
    </row>
    <row r="31" ht="165.6" customHeight="1">
      <c r="A31" s="42" t="inlineStr">
        <is>
          <t xml:space="preserve">• Tehnički propis za građevinske konstrukcije (NN 17/17, 75/20, 7/22),
• Tehnički propis za dimnjake u građevinama (NN 03/07),
• Tehnički propis za sustave zaštite od djelovanja munje na građevinama (NN 87/08, 33/10),
• Tehnički propis o racionalnoj uporabi energije i toplinskoj zaštiti u zgradama (NN 128/15, 70/18, 73/18,86/18, 102/20),
• Tehnički propis za prozore i vrata (NN 69/06),
• Tehnički propis o sustavim ventilacije, djelomične klimatizacije i klimatizacije zgrada (NN 03/07),
• Tehnički propis o sustavima grijanja i hlađenja zgrada (NN 110/08),
• Tehnički propis za niskonaponske električne instalacije (NN 05/10),
• Tehnički propis za staklene konstrukcije (NN 53/17),
• Tehnički propis kojim se utvrđuju teh. specifikacije za građ. proizvode u usklađenom području,
</t>
        </is>
      </c>
    </row>
    <row r="32">
      <c r="A32" s="1" t="n"/>
    </row>
    <row r="33" ht="156" customHeight="1">
      <c r="A33" s="1" t="inlineStr">
        <is>
          <t>Izvođenjem završnih radova na pojedinim elementima građevine (na građevini) mora se osigurati:
• funkcija,
• postojanost,
• stabilnost,
• sigurnost,
• preciznost,
• trajnost,
• estetski izgled,
• racionalnost i ekonomičnost,
• higijensko-tehnički uvjeti,
• kvaliteta.</t>
        </is>
      </c>
    </row>
    <row r="34" ht="29.25" customHeight="1">
      <c r="A34" s="1" t="n"/>
    </row>
    <row r="35" ht="138" customHeight="1">
      <c r="A35" s="1" t="inlineStr">
        <is>
          <t xml:space="preserve">Pod funkcijom elemenata smatra se prilagođavanje i usklađivanje s namjenom objekta i eksploatacijskim specifičnostima te klimatsko atmosferskim i drugim uvjetima utvrđenim za područje na kojem se nalazi građevina. Postojanost izvedenih radova smatra se nepromjenjivost boje, oblika i strukture materijala i elemenata u propisanom razdoblju. Stabilnost izvedenih završnih radova smatra se otpornost prema kemijskim i mehaničkim utjecajima elemenata sklopova građevine. Sigurnost u izvođenju završnih radova odnosi se na korisnike građevine, prolaze, promet, susjedne objekte i okolinu, te na prolaznike, pri izvedbi i održavanju objekata, osobito pri upotrebi materijala koji mogu ugroziti život i zdravlje ljudi. Pod preciznošću se podrazumijeva točnost u izvođenju završnih radova na elementima građevine u granicama dopuštenih odstupanja. Odstupanje mora biti definirano projektom, u skladu da odgovarajućim standardima za sve slučajeve kojima je preciznost uvjet ispravna funkcioniranja i elemenata građevine. </t>
        </is>
      </c>
    </row>
    <row r="36">
      <c r="A36" s="1" t="n"/>
    </row>
    <row r="37" ht="82.8" customHeight="1">
      <c r="A37" s="1" t="inlineStr">
        <is>
          <t>U odabiru materijala pri izvođenju završnih radova mora se voditi računa o higijensko tehničkim uvjetima, što podrazumijeva lako i jednostavno održavanje pri eksploataciji i sprječavanju ozljeda i eventualnih štetnih utjecaja za korisnike građevina. Izvođenjem završnih radova na građevinama (elementima) moraju se za svaku građevinu osigurati odgovarajuće karakteristike kvalitete. Materijali i sklopovi, pojedini elementi i njihovi dijelovi koji se upotrebljavaju za izvođenje elemenata građevina moraju biti opskrbljeni dokazom o kvaliteti.</t>
        </is>
      </c>
    </row>
    <row r="38">
      <c r="A38" s="1" t="n"/>
    </row>
    <row r="39">
      <c r="A39" s="1" t="n"/>
    </row>
    <row r="40">
      <c r="A40" s="1" t="n"/>
    </row>
    <row r="41">
      <c r="A41" s="1" t="n"/>
    </row>
    <row r="42">
      <c r="A42" s="1" t="n"/>
    </row>
    <row r="43">
      <c r="A43" s="1" t="n"/>
    </row>
    <row r="44">
      <c r="A44" s="1" t="n"/>
    </row>
    <row r="45">
      <c r="A45" s="1" t="n"/>
    </row>
    <row r="46">
      <c r="A46" s="1" t="n"/>
    </row>
    <row r="47">
      <c r="A47" s="1" t="n"/>
    </row>
    <row r="48">
      <c r="A48" s="1" t="n"/>
    </row>
    <row r="49">
      <c r="A49" s="1" t="n"/>
    </row>
    <row r="50">
      <c r="A50" s="1" t="n"/>
    </row>
    <row r="51">
      <c r="A51" s="1" t="n"/>
    </row>
    <row r="52">
      <c r="A52" s="1" t="n"/>
    </row>
    <row r="53">
      <c r="A53" s="1" t="n"/>
    </row>
    <row r="54">
      <c r="A54" s="1" t="n"/>
    </row>
    <row r="55">
      <c r="A55" s="1" t="n"/>
    </row>
    <row r="56">
      <c r="A56" s="1" t="n"/>
    </row>
    <row r="57">
      <c r="A57" s="1" t="n"/>
    </row>
    <row r="58">
      <c r="A58" s="1" t="n"/>
    </row>
    <row r="59">
      <c r="A59" s="1" t="n"/>
    </row>
    <row r="60">
      <c r="A60" s="1" t="n"/>
    </row>
    <row r="61">
      <c r="A61" s="1" t="n"/>
    </row>
    <row r="62">
      <c r="A62" s="1" t="n"/>
    </row>
    <row r="63">
      <c r="A63" s="1" t="n"/>
    </row>
    <row r="64">
      <c r="A64" s="1" t="n"/>
    </row>
    <row r="65">
      <c r="A65" s="1" t="n"/>
    </row>
    <row r="66">
      <c r="A66" s="1" t="n"/>
    </row>
    <row r="67">
      <c r="A67" s="1" t="n"/>
    </row>
    <row r="68">
      <c r="A68" s="1" t="n"/>
    </row>
    <row r="69">
      <c r="A69" s="1" t="n"/>
    </row>
    <row r="70">
      <c r="A70" s="1" t="n"/>
    </row>
    <row r="71">
      <c r="A71" s="1" t="n"/>
    </row>
    <row r="72">
      <c r="A72" s="1" t="n"/>
    </row>
    <row r="73">
      <c r="A73" s="1" t="n"/>
    </row>
    <row r="74">
      <c r="A74" s="1" t="n"/>
    </row>
    <row r="75">
      <c r="A75" s="1" t="n"/>
    </row>
    <row r="76">
      <c r="A76" s="1" t="n"/>
    </row>
    <row r="77">
      <c r="A77" s="1" t="n"/>
    </row>
    <row r="78">
      <c r="A78" s="1" t="n"/>
    </row>
    <row r="79">
      <c r="A79" s="1" t="n"/>
    </row>
    <row r="80">
      <c r="A80" s="1" t="n"/>
    </row>
    <row r="81">
      <c r="A81" s="1" t="n"/>
    </row>
    <row r="82">
      <c r="A82" s="1" t="n"/>
    </row>
    <row r="83">
      <c r="A83" s="1" t="n"/>
    </row>
    <row r="84">
      <c r="A84" s="1" t="n"/>
    </row>
    <row r="85">
      <c r="A85" s="1" t="n"/>
    </row>
    <row r="86">
      <c r="A86" s="1" t="n"/>
    </row>
    <row r="87">
      <c r="A87" s="1" t="n"/>
    </row>
    <row r="88">
      <c r="A88" s="1" t="n"/>
    </row>
    <row r="89">
      <c r="A89" s="1" t="n"/>
    </row>
    <row r="90">
      <c r="A90" s="1" t="n"/>
    </row>
    <row r="91">
      <c r="A91" s="1" t="n"/>
    </row>
    <row r="92">
      <c r="A92" s="1" t="n"/>
    </row>
    <row r="93">
      <c r="A93" s="1" t="n"/>
    </row>
    <row r="94">
      <c r="A94" s="1" t="n"/>
    </row>
    <row r="95">
      <c r="A95" s="1" t="n"/>
    </row>
    <row r="96">
      <c r="A96" s="1" t="n"/>
    </row>
    <row r="97">
      <c r="A97" s="1" t="n"/>
    </row>
    <row r="98">
      <c r="A98" s="1" t="n"/>
    </row>
    <row r="99">
      <c r="A99" s="1" t="n"/>
    </row>
    <row r="100">
      <c r="A100" s="1" t="n"/>
    </row>
    <row r="101">
      <c r="A101" s="1" t="n"/>
    </row>
    <row r="102">
      <c r="A102" s="1" t="n"/>
    </row>
    <row r="103">
      <c r="A103" s="1" t="n"/>
    </row>
    <row r="104">
      <c r="A104" s="1" t="n"/>
    </row>
    <row r="105">
      <c r="A105" s="1" t="n"/>
    </row>
    <row r="106">
      <c r="A106" s="1" t="n"/>
    </row>
    <row r="107">
      <c r="A107" s="1" t="n"/>
    </row>
    <row r="108">
      <c r="A108" s="1" t="n"/>
    </row>
    <row r="109">
      <c r="A109" s="1" t="n"/>
    </row>
    <row r="110">
      <c r="A110" s="1" t="n"/>
    </row>
    <row r="111">
      <c r="A111" s="1" t="n"/>
    </row>
    <row r="112">
      <c r="A112" s="1" t="n"/>
    </row>
    <row r="113">
      <c r="A113" s="1" t="n"/>
    </row>
    <row r="114">
      <c r="A114" s="1" t="n"/>
    </row>
    <row r="115">
      <c r="A115" s="1" t="n"/>
    </row>
    <row r="116">
      <c r="A116" s="1" t="n"/>
    </row>
    <row r="117">
      <c r="A117" s="1" t="n"/>
    </row>
    <row r="118">
      <c r="A118" s="1" t="n"/>
    </row>
    <row r="119">
      <c r="A119" s="1" t="n"/>
    </row>
    <row r="120">
      <c r="A120" s="1" t="n"/>
    </row>
    <row r="121">
      <c r="A121" s="1" t="n"/>
    </row>
    <row r="122">
      <c r="A122" s="1" t="n"/>
    </row>
    <row r="123">
      <c r="A123" s="1" t="n"/>
    </row>
    <row r="124">
      <c r="A124" s="1" t="n"/>
    </row>
    <row r="125">
      <c r="A125" s="1" t="n"/>
    </row>
    <row r="126">
      <c r="A126" s="1" t="n"/>
    </row>
    <row r="127">
      <c r="A127" s="1" t="n"/>
    </row>
    <row r="128">
      <c r="A128" s="1" t="n"/>
    </row>
    <row r="129">
      <c r="A129" s="1" t="n"/>
    </row>
    <row r="130">
      <c r="A130" s="1" t="n"/>
    </row>
    <row r="131">
      <c r="A131" s="1" t="n"/>
    </row>
    <row r="132">
      <c r="A132" s="1" t="n"/>
    </row>
    <row r="133">
      <c r="A133" s="1" t="n"/>
    </row>
    <row r="134">
      <c r="A134" s="1" t="n"/>
    </row>
    <row r="135">
      <c r="A135" s="1" t="n"/>
    </row>
    <row r="136">
      <c r="A136" s="1" t="n"/>
    </row>
    <row r="137">
      <c r="A137" s="1" t="n"/>
    </row>
    <row r="138">
      <c r="A138" s="1" t="n"/>
    </row>
    <row r="139">
      <c r="A139" s="1" t="n"/>
    </row>
    <row r="140">
      <c r="A140" s="1" t="n"/>
    </row>
    <row r="141">
      <c r="A141" s="1" t="n"/>
    </row>
    <row r="142">
      <c r="A142" s="1" t="n"/>
    </row>
    <row r="143">
      <c r="A143" s="1" t="n"/>
    </row>
    <row r="144">
      <c r="A144" s="1" t="n"/>
    </row>
    <row r="145">
      <c r="A145" s="1" t="n"/>
    </row>
    <row r="146">
      <c r="A146" s="1" t="n"/>
    </row>
    <row r="147">
      <c r="A147" s="1" t="n"/>
    </row>
    <row r="148">
      <c r="A148" s="1" t="n"/>
    </row>
    <row r="149">
      <c r="A149" s="1" t="n"/>
    </row>
    <row r="150">
      <c r="A150" s="1" t="n"/>
    </row>
    <row r="151">
      <c r="A151" s="1" t="n"/>
    </row>
    <row r="152">
      <c r="A152" s="1" t="n"/>
    </row>
    <row r="153">
      <c r="A153" s="1" t="n"/>
    </row>
    <row r="154">
      <c r="A154" s="1" t="n"/>
    </row>
    <row r="155">
      <c r="A155" s="1" t="n"/>
    </row>
  </sheetData>
  <pageMargins left="0.7874015748031497" right="0.1968503937007874" top="0.7874015748031497" bottom="0.7874015748031497" header="0.3149606299212598" footer="0.3149606299212598"/>
  <pageSetup orientation="portrait" paperSize="9"/>
  <headerFooter>
    <oddHeader/>
    <oddFooter>&amp;C&amp;9 Izgradnja zgrade područne osnovne škole sa školskom dvoranom te uređenjem okoliša Komin</oddFooter>
    <evenHeader/>
    <evenFooter/>
    <firstHeader/>
    <firstFooter/>
  </headerFooter>
  <rowBreaks count="2" manualBreakCount="2">
    <brk id="25" min="0" max="16383" man="1"/>
    <brk id="33" min="0" max="16383" man="1"/>
  </rowBreaks>
</worksheet>
</file>

<file path=xl/worksheets/sheet2.xml><?xml version="1.0" encoding="utf-8"?>
<worksheet xmlns="http://schemas.openxmlformats.org/spreadsheetml/2006/main">
  <sheetPr>
    <tabColor rgb="FF00B050"/>
    <outlinePr summaryBelow="1" summaryRight="1"/>
    <pageSetUpPr/>
  </sheetPr>
  <dimension ref="A1:F36"/>
  <sheetViews>
    <sheetView tabSelected="1" view="pageBreakPreview" zoomScaleNormal="100" zoomScaleSheetLayoutView="100" workbookViewId="0">
      <selection activeCell="H30" sqref="H30"/>
    </sheetView>
  </sheetViews>
  <sheetFormatPr baseColWidth="8" defaultColWidth="9.109375" defaultRowHeight="14.4"/>
  <cols>
    <col width="6.6640625" customWidth="1" style="45" min="1" max="1"/>
    <col width="51.6640625" customWidth="1" style="45" min="2" max="2"/>
    <col width="4.6640625" customWidth="1" style="45" min="3" max="3"/>
    <col width="9.6640625" customWidth="1" style="45" min="4" max="4"/>
    <col width="9.6640625" customWidth="1" style="279" min="5" max="6"/>
    <col width="9.109375" customWidth="1" style="45" min="7" max="16384"/>
  </cols>
  <sheetData>
    <row r="1" ht="15" customFormat="1" customHeight="1" s="47">
      <c r="A1" s="222" t="inlineStr">
        <is>
          <t>04.00 ZIDARSKI RADOVI</t>
        </is>
      </c>
      <c r="B1" s="280" t="n"/>
      <c r="C1" s="59" t="inlineStr">
        <is>
          <t>MJ</t>
        </is>
      </c>
      <c r="D1" s="60" t="inlineStr">
        <is>
          <t>KOLIČINA</t>
        </is>
      </c>
      <c r="E1" s="281" t="inlineStr">
        <is>
          <t>JED. CIJENA</t>
        </is>
      </c>
      <c r="F1" s="282" t="inlineStr">
        <is>
          <t>UKUPNO</t>
        </is>
      </c>
    </row>
    <row r="2" ht="12" customHeight="1">
      <c r="A2" s="48" t="n"/>
      <c r="B2" s="49" t="n"/>
      <c r="C2" s="50" t="n"/>
      <c r="D2" s="51" t="n"/>
      <c r="E2" s="283" t="n"/>
      <c r="F2" s="283" t="n"/>
    </row>
    <row r="3" ht="12" customFormat="1" customHeight="1" s="44">
      <c r="A3" s="161" t="inlineStr">
        <is>
          <t>04.01.</t>
        </is>
      </c>
      <c r="B3" s="160" t="inlineStr">
        <is>
          <t>Žbukanje zidova, VAPNENO CEMENTNA ŽBUKA.</t>
        </is>
      </c>
      <c r="C3" s="56" t="n"/>
      <c r="D3" s="113" t="n"/>
      <c r="E3" s="284" t="n"/>
      <c r="F3" s="284" t="n"/>
    </row>
    <row r="4" ht="84" customFormat="1" customHeight="1" s="44">
      <c r="A4" s="31" t="n"/>
      <c r="B4" s="91" t="inlineStr">
        <is>
          <t>Izrada grube i fine žbuke vidljivih zidova od armiranog betona i opeke, stupova, serklaža, greda i drugih elemenata sa vapneno cementnom žbukom uz prethodno prskanje rijetkim cementnim mortom. Uglovi moraju biti oštro obrađeni, pijesak mora biti oštar. Finu žbuku zagladiti daščicom. Zidovi visine od poda ili oslonca do najviše +410cm. Prilikom izvedbe nužno je zadovoljiti uvjete normi HRN DIN 18201, HRN DIN 18202 ili jednakovrijedno.</t>
        </is>
      </c>
      <c r="C4" s="56" t="n"/>
      <c r="D4" s="113" t="n"/>
      <c r="E4" s="284" t="n"/>
      <c r="F4" s="284" t="n"/>
    </row>
    <row r="5" ht="48" customFormat="1" customHeight="1" s="44">
      <c r="A5" s="31" t="n"/>
      <c r="B5" s="91" t="inlineStr">
        <is>
          <t>Slojevi:
1) prskanje cementnim mlijekom: podloga grube žbuke;
2) gruba žbuka 1,50-2,00cm;
3) fina žbuka debljine 0,50cm (granulacije do 1,00mm).</t>
        </is>
      </c>
      <c r="C5" s="56" t="n"/>
      <c r="D5" s="113" t="n"/>
      <c r="E5" s="284" t="n"/>
      <c r="F5" s="284" t="n"/>
    </row>
    <row r="6" ht="48" customFormat="1" customHeight="1" s="44">
      <c r="A6" s="31" t="n"/>
      <c r="B6" s="91" t="inlineStr">
        <is>
          <t xml:space="preserve">U cijeni sav potreban materijal, alati, kutne lajsne, rad, strojevi, uključujući potrebne radne skele, rabiciranje na sudaru opeke i betona, do postizanje potpune funkcionalne gotovosti, u svemu prema pravilima struke. </t>
        </is>
      </c>
      <c r="C6" s="56" t="n"/>
      <c r="D6" s="113" t="n"/>
      <c r="E6" s="284" t="n"/>
      <c r="F6" s="284" t="n"/>
    </row>
    <row r="7" ht="36" customFormat="1" customHeight="1" s="44">
      <c r="A7" s="31" t="n"/>
      <c r="B7" s="91" t="inlineStr">
        <is>
          <t>Izvedba, kontrola kvalitete te obračun prema Općim tehničkim uvjetima za zidarske radove, IGH 2010/OTU/8. Poglavlje; odredba 8-02 ili jednakovrijedno. Obračun po m2 gotove izvedene plohe.</t>
        </is>
      </c>
      <c r="C7" s="56" t="n"/>
      <c r="D7" s="113" t="n"/>
      <c r="E7" s="284" t="n"/>
      <c r="F7" s="284" t="n"/>
    </row>
    <row r="8" ht="12" customFormat="1" customHeight="1" s="44">
      <c r="A8" s="31" t="n"/>
      <c r="B8" s="91" t="n"/>
      <c r="C8" s="56" t="inlineStr">
        <is>
          <t>m2</t>
        </is>
      </c>
      <c r="D8" s="113" t="n">
        <v>5718</v>
      </c>
      <c r="E8" s="284" t="n">
        <v>16.28</v>
      </c>
      <c r="F8" s="284">
        <f>D8*E8</f>
        <v/>
      </c>
    </row>
    <row r="9" ht="12" customFormat="1" customHeight="1" s="44">
      <c r="A9" s="31" t="n"/>
      <c r="B9" s="285" t="inlineStr">
        <is>
          <t>NAPOMENA: Nudimo strojnu vapneno-cementnu žbuku, gruba+fina ~25 mm, s kutnim lajsnama i rabiciranjem.</t>
        </is>
      </c>
      <c r="C9" s="56" t="n"/>
      <c r="D9" s="113" t="n"/>
      <c r="E9" s="284" t="n"/>
      <c r="F9" s="284" t="n"/>
    </row>
    <row r="10" ht="12" customFormat="1" customHeight="1" s="44">
      <c r="A10" s="31" t="n"/>
      <c r="B10" s="46" t="n"/>
      <c r="C10" s="33" t="n"/>
      <c r="D10" s="43" t="n"/>
      <c r="E10" s="286" t="n"/>
      <c r="F10" s="286" t="n"/>
    </row>
    <row r="11" ht="12" customFormat="1" customHeight="1" s="44">
      <c r="A11" s="31" t="inlineStr">
        <is>
          <t>04.02.</t>
        </is>
      </c>
      <c r="B11" s="160" t="inlineStr">
        <is>
          <t>Žbukanje podgleda stubišnih krakova, VAPNENO CEMENTNA ŽBUKA.</t>
        </is>
      </c>
      <c r="C11" s="56" t="n"/>
      <c r="D11" s="159" t="n"/>
      <c r="E11" s="284" t="n"/>
      <c r="F11" s="284" t="n"/>
    </row>
    <row r="12" ht="84" customFormat="1" customHeight="1" s="44">
      <c r="A12" s="31" t="n"/>
      <c r="B12" s="91" t="inlineStr">
        <is>
          <t>Izrada grube i fine žbuke vidljivih stropova od betona, greda, podgleda stubišta i drugih horizotalnih elemenata sa vapneno cementnom žbukom uz prethodno prskanje rijetkim cementnim mortom. Uglovi moraju biti oštro obrađeni, pijesak mora biti oštar. Finu žbuku treba zagladiti daščicom. Stropovi na visini od podne ploče do +400cm. Prilikom izvedbe nužno je zadovoljiti uvjete normi HRN DIN 18201, HRN DIN 18202 ili jednakovrijedno.</t>
        </is>
      </c>
      <c r="C12" s="56" t="n"/>
      <c r="D12" s="113" t="n"/>
      <c r="E12" s="284" t="n"/>
      <c r="F12" s="284" t="n"/>
    </row>
    <row r="13" ht="48" customFormat="1" customHeight="1" s="44">
      <c r="A13" s="31" t="n"/>
      <c r="B13" s="91" t="inlineStr">
        <is>
          <t>Slojevi:
1) prskanje cementnim mlijekom: podloga grube žbuke;
2) gruba žbuka 1,50-2,00cm;
3) fina žbuka debljine 0,50cm (granulacije do 1,00mm).</t>
        </is>
      </c>
      <c r="C13" s="56" t="n"/>
      <c r="D13" s="113" t="n"/>
      <c r="E13" s="284" t="n"/>
      <c r="F13" s="284" t="n"/>
    </row>
    <row r="14" ht="48" customFormat="1" customHeight="1" s="44">
      <c r="A14" s="31" t="n"/>
      <c r="B14" s="91" t="inlineStr">
        <is>
          <t xml:space="preserve">U cijeni sav potreban materijal, alati, kutne lajsne, rad, strojevi, uključujući potrebne radne skele, rabiciranje na sudaru opeke i betona, do postizanje potpune funkcionalne gotovosti, u svemu prema pravilima struke. </t>
        </is>
      </c>
      <c r="C14" s="56" t="n"/>
      <c r="D14" s="113" t="n"/>
      <c r="E14" s="284" t="n"/>
      <c r="F14" s="284" t="n"/>
    </row>
    <row r="15" ht="36" customFormat="1" customHeight="1" s="44">
      <c r="A15" s="31" t="n"/>
      <c r="B15" s="91" t="inlineStr">
        <is>
          <t>Izvedba, kontrola kvalitete te obračun prema Općim tehničkim uvjetima za zidarske radove, IGH 2010/OTU/8. Poglavlje; odredba 8-02 ili jednakovrijedno. Obračun po m2 gotove izvedene plohe.</t>
        </is>
      </c>
      <c r="C15" s="56" t="inlineStr">
        <is>
          <t>m2</t>
        </is>
      </c>
      <c r="D15" s="53" t="n">
        <v>71</v>
      </c>
      <c r="E15" s="287" t="n">
        <v>17.33</v>
      </c>
      <c r="F15" s="287">
        <f>D15*E15</f>
        <v/>
      </c>
    </row>
    <row r="16" ht="12" customFormat="1" customHeight="1" s="44">
      <c r="A16" s="31" t="n"/>
      <c r="B16" s="285" t="inlineStr">
        <is>
          <t>NAPOMENA: Nudimo vapneno-cementnu žbuku podgleda stubišnih krakova, gruba+fina ~25 mm.</t>
        </is>
      </c>
      <c r="E16" s="288" t="n"/>
      <c r="F16" s="288" t="n"/>
    </row>
    <row r="17" ht="12" customFormat="1" customHeight="1" s="44">
      <c r="A17" s="31" t="inlineStr">
        <is>
          <t>04.03.</t>
        </is>
      </c>
      <c r="B17" s="158" t="inlineStr">
        <is>
          <t>Plivajući pod zatvorenih i vanjskih prostora.</t>
        </is>
      </c>
      <c r="C17" s="56" t="n"/>
      <c r="D17" s="113" t="n"/>
      <c r="E17" s="284" t="n"/>
      <c r="F17" s="284" t="n"/>
    </row>
    <row r="18" ht="96" customFormat="1" customHeight="1" s="44">
      <c r="A18" s="31" t="n"/>
      <c r="B18" s="155" t="inlineStr">
        <is>
          <t>Izrada plivajućih podova od mikroarmiranog cementnog estriha armiranog PP vlaknima prema statičkom proračunu. Debljina je 4,0 -6,0 cm , ovisno o prostoriji. Površinu je potrebno uredno zagladiti gleterom, strojno. Dilatirati na sve obodne zidove pjenastim PE trakama. Izrada te obrada dilatacija estriha u poljima max. površine 25m2. Površina estriha mora biti ravna i spremna za polaganje završnog poda (keramika, PVC pod). Dilatacije obavezno rezati ispod krila vrata  i uskladiti iste sa završnim podnim oblogama radi izbjegavanja pucanja.</t>
        </is>
      </c>
      <c r="C18" s="56" t="n"/>
      <c r="D18" s="157" t="n"/>
      <c r="E18" s="284" t="n"/>
      <c r="F18" s="286" t="n"/>
    </row>
    <row r="19" ht="24" customFormat="1" customHeight="1" s="44">
      <c r="A19" s="31" t="n"/>
      <c r="B19" s="30" t="inlineStr">
        <is>
          <t>NAPOMENA: Statički proračun PP vlakana uključen u cijenu stavke. Proračun PP vlakana dati nadzornom inženjeru na odobrenje.</t>
        </is>
      </c>
      <c r="C19" s="56" t="n"/>
      <c r="D19" s="113" t="n"/>
      <c r="E19" s="284" t="n"/>
      <c r="F19" s="284" t="n"/>
    </row>
    <row r="20" ht="36" customFormat="1" customHeight="1" s="44">
      <c r="A20" s="31" t="n"/>
      <c r="B20" s="155" t="inlineStr">
        <is>
          <t>U cijeni sav materijal, PP vlakna, dilatacijske trake, alat, rezanje dilatacija, rad, strojevi, izrada plana dilatazija i ostalo potrebno  za postizanje pune funkcionalne gotovosti, sve prema pravilima struke.</t>
        </is>
      </c>
      <c r="C20" s="56" t="n"/>
      <c r="D20" s="113" t="n"/>
      <c r="E20" s="284" t="n"/>
      <c r="F20" s="284" t="n"/>
    </row>
    <row r="21" ht="36" customFormat="1" customHeight="1" s="44">
      <c r="A21" s="31" t="n"/>
      <c r="B21" s="91" t="inlineStr">
        <is>
          <t>Prilikom izvedbe plivajućeg poda nužno je zadovoljiti uvjete normi HRN DIN 18201, HRN DIN 18202 ili jednakovrijedno. Obračun po m2 kompletno izvedenog poda.</t>
        </is>
      </c>
      <c r="C21" s="56" t="n"/>
      <c r="D21" s="113" t="n"/>
      <c r="E21" s="284" t="n"/>
      <c r="F21" s="284" t="n"/>
    </row>
    <row r="22" ht="12" customFormat="1" customHeight="1" s="44">
      <c r="A22" s="31" t="n"/>
      <c r="B22" s="117" t="n"/>
      <c r="C22" s="56" t="n"/>
      <c r="D22" s="113" t="n"/>
      <c r="E22" s="284" t="n"/>
      <c r="F22" s="284" t="n"/>
    </row>
    <row r="23" ht="12" customFormat="1" customHeight="1" s="44">
      <c r="A23" s="31" t="n"/>
      <c r="B23" s="52" t="inlineStr">
        <is>
          <t>Dvorana</t>
        </is>
      </c>
      <c r="C23" s="33" t="n"/>
      <c r="D23" s="43" t="n"/>
      <c r="E23" s="286" t="n"/>
      <c r="F23" s="286" t="n"/>
    </row>
    <row r="24" ht="12" customFormat="1" customHeight="1" s="44">
      <c r="A24" s="31" t="n"/>
      <c r="B24" s="46" t="inlineStr">
        <is>
          <t xml:space="preserve"> -  estrih debljine 6,0 cm - pod oznake tPp01, tPp04, mK02</t>
        </is>
      </c>
      <c r="C24" s="56" t="inlineStr">
        <is>
          <t>m2</t>
        </is>
      </c>
      <c r="D24" s="113" t="n">
        <v>1930</v>
      </c>
      <c r="E24" s="284" t="n">
        <v>26.18</v>
      </c>
      <c r="F24" s="284">
        <f>D24*E24</f>
        <v/>
      </c>
    </row>
    <row r="25" ht="12" customFormat="1" customHeight="1" s="44">
      <c r="B25" s="285" t="inlineStr">
        <is>
          <t>NAPOMENA: U stavci nedostaje vrsta izolacije — molimo pojašnjenje. Nudimo najbliži sustav prema većinskim pozicijama ovog troškovnika (kao stavka: „Žbukanje zidova, VAPNENO CEMENTNA ŽBUKA. Izrada grube i fine žbuke vidljivih zid…"); korekcija ±1,8 €/m² po cm debljine nakon pojašnjenja.</t>
        </is>
      </c>
    </row>
    <row r="26" ht="12" customFormat="1" customHeight="1" s="44">
      <c r="A26" s="31" t="n"/>
      <c r="B26" s="46" t="inlineStr">
        <is>
          <t xml:space="preserve"> -  estrih debljine 7,5 cm - pod oznake tPp02, mK01</t>
        </is>
      </c>
      <c r="C26" s="56" t="inlineStr">
        <is>
          <t>m2</t>
        </is>
      </c>
      <c r="D26" s="113" t="n">
        <v>1608</v>
      </c>
      <c r="E26" s="284" t="n"/>
      <c r="F26" s="284">
        <f>D26*E26</f>
        <v/>
      </c>
    </row>
    <row r="27" ht="12" customFormat="1" customHeight="1" s="44">
      <c r="A27" s="31" t="n"/>
      <c r="B27" s="46" t="inlineStr">
        <is>
          <t xml:space="preserve"> - estrih na vanjsokj terasi 4,0-6,0 cm - pod oznake tPp05</t>
        </is>
      </c>
      <c r="C27" s="56" t="inlineStr">
        <is>
          <t>m2</t>
        </is>
      </c>
      <c r="D27" s="113" t="n">
        <v>27</v>
      </c>
      <c r="E27" s="284" t="n"/>
      <c r="F27" s="284">
        <f>D27*E27</f>
        <v/>
      </c>
    </row>
    <row r="28" ht="12" customFormat="1" customHeight="1" s="44">
      <c r="A28" s="31" t="n"/>
      <c r="B28" s="46" t="n"/>
      <c r="C28" s="56" t="n"/>
      <c r="D28" s="113" t="n"/>
      <c r="E28" s="284" t="n"/>
      <c r="F28" s="284" t="n"/>
    </row>
    <row r="29">
      <c r="A29" s="31" t="n"/>
      <c r="B29" s="156" t="n"/>
      <c r="C29" s="56" t="n"/>
      <c r="D29" s="113" t="n"/>
      <c r="E29" s="284" t="n"/>
      <c r="F29" s="284" t="n"/>
    </row>
    <row r="30" ht="96" customHeight="1">
      <c r="A30" s="31" t="inlineStr">
        <is>
          <t>04.04.</t>
        </is>
      </c>
      <c r="B30" s="32" t="inlineStr">
        <is>
          <t>Obrada unutarnjih špaleta zidanih i AB otvora.</t>
        </is>
      </c>
      <c r="C30" s="56" t="n"/>
      <c r="D30" s="113" t="n"/>
      <c r="E30" s="284" t="n"/>
      <c r="F30" s="284" t="n"/>
    </row>
    <row r="31" ht="36.6" customHeight="1">
      <c r="A31" s="31" t="n"/>
      <c r="B31" s="156" t="inlineStr">
        <is>
          <t>Obrada otvora svih špaleta betonskih i zidanih zidova. Špalete je potrebno popraviti, tj. obložiti mortom, izravnati, zagladiti te pripremiti za montažu stolarskih i bravarskih stavki (stolarije). Nakon montaže  stavki (prozora i vrata), ostatak vidljive špalete obrađuje sa adekvatnom vapneno cementnom žbukom, tako da udara u profil stavke. Na kontaktu žbuke i stavki postavlja se tipska spojna lajsna sa mrežicom za ojačanje. Na uglovima se ugrađuju kutne lajsne za ojačanje. Špalete su širine do najviše 30cm.</t>
        </is>
      </c>
      <c r="C31" s="56" t="n"/>
      <c r="D31" s="113" t="n"/>
      <c r="E31" s="284" t="n"/>
      <c r="F31" s="284" t="n"/>
    </row>
    <row r="32" ht="48" customHeight="1">
      <c r="A32" s="31" t="n"/>
      <c r="B32" s="46" t="inlineStr">
        <is>
          <t xml:space="preserve">NAPOMENA: Stavka obuhvaća špalete koje nisu obračunate kroz žbukanje, prema Općim tehničkim uvjetima za zidarske radove, IGH 2010/OTU/8. Poglavlje; odredba 8-02 ili jednakovrijedno. </t>
        </is>
      </c>
      <c r="C32" s="56" t="n"/>
      <c r="D32" s="113" t="n"/>
      <c r="E32" s="284" t="n"/>
      <c r="F32" s="284" t="n"/>
    </row>
    <row r="33">
      <c r="A33" s="31" t="n"/>
      <c r="B33" s="55" t="inlineStr">
        <is>
          <t>U cijenu uračunati svi slojevi i sav potreban alat, materijal, rad i strojevi do potpune funkcionalne gotovosti i prema pravilima struke. Izravnavanje mortom, žbukanje, rabiciranje, kutne lajsne uključeni u jediničnu cijenu. Obračun po m1 obrađene špalete građ. otvora.</t>
        </is>
      </c>
      <c r="C33" s="56" t="n"/>
      <c r="D33" s="113" t="n"/>
      <c r="E33" s="284" t="n"/>
      <c r="F33" s="284">
        <f>E33*D33</f>
        <v/>
      </c>
    </row>
    <row r="34">
      <c r="A34" s="31" t="n"/>
      <c r="B34" s="55" t="n"/>
      <c r="C34" s="56" t="inlineStr">
        <is>
          <t>m1</t>
        </is>
      </c>
      <c r="D34" s="113" t="n">
        <v>1296</v>
      </c>
      <c r="E34" s="284" t="n">
        <v>15.75</v>
      </c>
      <c r="F34" s="284">
        <f>D34*E34</f>
        <v/>
      </c>
    </row>
    <row r="35">
      <c r="A35" s="31" t="n"/>
      <c r="B35" s="285" t="inlineStr">
        <is>
          <t>NAPOMENA: Nudimo obradu unutarnjih špaleta vapneno-cementnom žbukom do 30 cm širine, s kutnim i spojnim lajsnama.</t>
        </is>
      </c>
      <c r="C35" s="33" t="n"/>
      <c r="D35" s="43" t="n"/>
      <c r="E35" s="286" t="n"/>
      <c r="F35" s="286" t="n"/>
    </row>
    <row r="36">
      <c r="A36" s="61" t="inlineStr">
        <is>
          <t>04.</t>
        </is>
      </c>
      <c r="B36" s="62" t="inlineStr">
        <is>
          <t>Zidarski radovi</t>
        </is>
      </c>
      <c r="C36" s="64" t="n"/>
      <c r="D36" s="63" t="n"/>
      <c r="E36" s="289" t="inlineStr">
        <is>
          <t>UKUPNO:</t>
        </is>
      </c>
      <c r="F36" s="290">
        <f>SUM(F2:F35)</f>
        <v/>
      </c>
    </row>
  </sheetData>
  <mergeCells count="1">
    <mergeCell ref="A1:B1"/>
  </mergeCells>
  <pageMargins left="0.7874015748031497" right="0.1968503937007874" top="0.7874015748031497" bottom="0.7874015748031497" header="0.3149606299212598" footer="0.3149606299212598"/>
  <pageSetup orientation="portrait" paperSize="9"/>
  <headerFooter>
    <oddHeader/>
    <oddFooter>&amp;C&amp;9 Izgradnja zgrade područne osnovne škole sa školskom dvoranom te uređenjem okoliša Komin</oddFooter>
    <evenHeader/>
    <evenFooter/>
    <firstHeader/>
    <firstFooter/>
  </headerFooter>
  <rowBreaks count="1" manualBreakCount="1">
    <brk id="16" min="0" max="16383" man="1"/>
  </rowBreaks>
</worksheet>
</file>

<file path=xl/worksheets/sheet3.xml><?xml version="1.0" encoding="utf-8"?>
<worksheet xmlns="http://schemas.openxmlformats.org/spreadsheetml/2006/main">
  <sheetPr>
    <tabColor rgb="FF00B050"/>
    <outlinePr summaryBelow="1" summaryRight="1"/>
    <pageSetUpPr/>
  </sheetPr>
  <dimension ref="A1:F29"/>
  <sheetViews>
    <sheetView view="pageBreakPreview" zoomScaleNormal="100" zoomScaleSheetLayoutView="100" workbookViewId="0">
      <selection activeCell="M15" sqref="M15"/>
    </sheetView>
  </sheetViews>
  <sheetFormatPr baseColWidth="8" defaultColWidth="9.109375" defaultRowHeight="14.4"/>
  <cols>
    <col width="6.6640625" customWidth="1" style="45" min="1" max="1"/>
    <col width="51.6640625" customWidth="1" style="45" min="2" max="2"/>
    <col width="4.6640625" customWidth="1" style="45" min="3" max="3"/>
    <col width="9.6640625" customWidth="1" style="45" min="4" max="4"/>
    <col width="9.6640625" customWidth="1" style="279" min="5" max="6"/>
    <col width="9.109375" customWidth="1" style="45" min="7" max="16384"/>
  </cols>
  <sheetData>
    <row r="1" ht="15" customFormat="1" customHeight="1" s="47">
      <c r="A1" s="222" t="inlineStr">
        <is>
          <t>08.00 FASADERSKI  RADOVI</t>
        </is>
      </c>
      <c r="B1" s="280" t="n"/>
      <c r="C1" s="59" t="inlineStr">
        <is>
          <t>MJ</t>
        </is>
      </c>
      <c r="D1" s="60" t="inlineStr">
        <is>
          <t>KOLIČINA</t>
        </is>
      </c>
      <c r="E1" s="281" t="inlineStr">
        <is>
          <t>JED. CIJENA</t>
        </is>
      </c>
      <c r="F1" s="282" t="inlineStr">
        <is>
          <t>UKUPNO</t>
        </is>
      </c>
    </row>
    <row r="2">
      <c r="A2" s="48" t="n"/>
      <c r="B2" s="49" t="n"/>
      <c r="C2" s="50" t="n"/>
      <c r="D2" s="51" t="n"/>
      <c r="E2" s="283" t="n"/>
      <c r="F2" s="283" t="n"/>
    </row>
    <row r="3" ht="12" customFormat="1" customHeight="1" s="44">
      <c r="A3" s="31" t="inlineStr">
        <is>
          <t>08.01.</t>
        </is>
      </c>
      <c r="B3" s="52" t="inlineStr">
        <is>
          <t>Toplinska izolacija AB temeljnih zidova(sokl), XPS.</t>
        </is>
      </c>
      <c r="C3" s="33" t="n"/>
      <c r="D3" s="43" t="n"/>
      <c r="E3" s="286" t="n"/>
      <c r="F3" s="286" t="n"/>
    </row>
    <row r="4" ht="60" customFormat="1" customHeight="1" s="44">
      <c r="A4" s="31" t="n"/>
      <c r="B4" s="46" t="inlineStr">
        <is>
          <t>Dobava i izrada toplinske izolacije AB temeljnih greda (sokla) s vanjske strane u visini cca. 30cm  rebrastim pločama ekstrudirane polistirenske pjene (XPS), sa svim potrebnim slojevima te materijalom za pričvršćenje. Polaganje XPS ploča vrši se ljepljenjem na podlogu ljepilom bez otapala i tiplama.</t>
        </is>
      </c>
      <c r="C4" s="33" t="n"/>
      <c r="D4" s="43" t="n"/>
      <c r="E4" s="286" t="n"/>
      <c r="F4" s="291" t="n"/>
    </row>
    <row r="5" ht="48" customFormat="1" customHeight="1" s="44">
      <c r="A5" s="31" t="n"/>
      <c r="B5" s="55" t="inlineStr">
        <is>
          <t>Na vanjsku stranu izolacije koja će ostati vidljiva iznad razine tla nanosi se sloj polimer cementnog ljepila armiran sa staklenom mrežicom, impregnacijski premaz i završna obrada silikatnom žbukom fine granulacije do 1,00mm.</t>
        </is>
      </c>
      <c r="C5" s="33" t="n"/>
      <c r="D5" s="43" t="n"/>
      <c r="E5" s="286" t="n"/>
      <c r="F5" s="286" t="n"/>
    </row>
    <row r="6" ht="54" customFormat="1" customHeight="1" s="44">
      <c r="A6" s="31" t="n"/>
      <c r="B6" s="55" t="inlineStr">
        <is>
          <t>Izvedba u svemu prema uputstvima proizvođača. Ploče se  lijepe se polimer cementnim ljepilom na zid te dodatno pričvršćuju tipskim šarafima. XPS koji je u zemlji se dodatno oblaže sa zaštitnom prešanom profiliranom plastikom.</t>
        </is>
      </c>
      <c r="C6" s="33" t="n"/>
      <c r="D6" s="43" t="n"/>
      <c r="E6" s="286" t="n"/>
      <c r="F6" s="286" t="n"/>
    </row>
    <row r="7" ht="36" customFormat="1" customHeight="1" s="44">
      <c r="A7" s="31" t="n"/>
      <c r="B7" s="55" t="inlineStr">
        <is>
          <t>NAPOMENA: Obrada žbukom izvodi se na pojasu vidljivog sloja izolacije, a profilirana plastika postavlja se na pojasu donjeg (ukopanog) sloja izolacije.</t>
        </is>
      </c>
      <c r="C7" s="33" t="n"/>
      <c r="D7" s="43" t="n"/>
      <c r="E7" s="286" t="n"/>
      <c r="F7" s="286" t="n"/>
    </row>
    <row r="8" ht="108" customFormat="1" customHeight="1" s="44">
      <c r="A8" s="31" t="n"/>
      <c r="B8" s="55" t="inlineStr">
        <is>
          <t>Slojevi:
▪ polimercementno ljepilo;
▪ XPS ploče, d=10cm;
▪ polimercementno ljepilo armirano;
▪ polimercementno ljepilo - izravnavajući sloj;
▪ impregnacijski premaz;
▪ završna obrada silikatnom žbukom, boje prema standardnoj paleti tonova
▪ prešana profilirana plastika.</t>
        </is>
      </c>
      <c r="C8" s="33" t="n"/>
      <c r="D8" s="43" t="n"/>
      <c r="E8" s="286" t="n"/>
      <c r="F8" s="286" t="n"/>
    </row>
    <row r="9" ht="36" customFormat="1" customHeight="1" s="44">
      <c r="A9" s="31" t="n"/>
      <c r="B9" s="55" t="inlineStr">
        <is>
          <t>Izvedba sa svim nužnim alatom, materijalom, radom, strojevima, sve do potpune funkcionalne gotovosti, prema pravilima struke i tehničkim uputama. Obračun po m2.</t>
        </is>
      </c>
      <c r="C9" s="33" t="n"/>
      <c r="D9" s="43" t="n"/>
      <c r="E9" s="286" t="n"/>
      <c r="F9" s="286" t="n"/>
    </row>
    <row r="10" ht="12" customFormat="1" customHeight="1" s="44">
      <c r="A10" s="31" t="n"/>
      <c r="B10" s="46" t="inlineStr">
        <is>
          <t xml:space="preserve"> - toplinska izolacija t=10cm, XPS</t>
        </is>
      </c>
      <c r="C10" s="33" t="inlineStr">
        <is>
          <t>m2</t>
        </is>
      </c>
      <c r="D10" s="43" t="n">
        <v>129</v>
      </c>
      <c r="E10" s="286" t="n">
        <v>71.93000000000001</v>
      </c>
      <c r="F10" s="286">
        <f>D10*E10</f>
        <v/>
      </c>
    </row>
    <row r="11" ht="12" customFormat="1" customHeight="1" s="44">
      <c r="B11" s="285" t="inlineStr">
        <is>
          <t>NAPOMENA: Nudimo ETICS XPS d=10 cm (sokl) s armaturnim slojem i silikatnom završnom žbukom zrno 1 mm; zaštitna plastika na ukopanom dijelu uključena. Napomena: stavka [5] za isti m² naplaćuje završnu žbuku zasebno — molimo pojašnjenje naručitelja.</t>
        </is>
      </c>
      <c r="F11">
        <f>E11*D11</f>
        <v/>
      </c>
    </row>
    <row r="12" ht="12" customFormat="1" customHeight="1" s="44">
      <c r="A12" s="31" t="n"/>
      <c r="B12" s="46" t="inlineStr">
        <is>
          <t xml:space="preserve"> - obrada silikatnom žbukom (svi slojevi)</t>
        </is>
      </c>
      <c r="C12" s="33" t="inlineStr">
        <is>
          <t>m2</t>
        </is>
      </c>
      <c r="D12" s="43" t="n">
        <v>129</v>
      </c>
      <c r="E12" s="286" t="n">
        <v>19.85</v>
      </c>
      <c r="F12" s="286">
        <f>D12*E12</f>
        <v/>
      </c>
    </row>
    <row r="13" ht="12" customFormat="1" customHeight="1" s="44">
      <c r="A13" s="31" t="n"/>
      <c r="B13" s="285" t="inlineStr">
        <is>
          <t>NAPOMENA: Nudimo silikatnu završnu žbuku zrno ≤1 mm (svi slojevi završne obrade sokla).</t>
        </is>
      </c>
      <c r="C13" s="33" t="n"/>
      <c r="D13" s="43" t="n"/>
      <c r="E13" s="286" t="n"/>
      <c r="F13" s="286" t="n"/>
    </row>
    <row r="14" ht="60" customFormat="1" customHeight="1" s="44">
      <c r="A14" s="31" t="inlineStr">
        <is>
          <t>08.02.</t>
        </is>
      </c>
      <c r="B14" s="32" t="inlineStr">
        <is>
          <t>ETICS toplinska fasada zgrade</t>
        </is>
      </c>
      <c r="C14" s="33" t="n"/>
      <c r="D14" s="43" t="n"/>
      <c r="E14" s="286" t="n"/>
      <c r="F14" s="286" t="n"/>
    </row>
    <row r="15" ht="96" customFormat="1" customHeight="1" s="44">
      <c r="A15" s="31" t="n"/>
      <c r="B15" s="55" t="inlineStr">
        <is>
          <t>Dobava materijala i izvođenje komplet fasadnog ETICS sustava ili jednakovrijednog, sa termoizolacijskim pločama od mineralne vune i sa tankoslojnom silikatnom završnom fasadnom žbukom granulacije 1mm (obavezno treba donijeti uzorak na odobrenje investitoru).  
Ploče su od kamene vune, λ≤0,036W/mK.</t>
        </is>
      </c>
      <c r="C15" s="33" t="n"/>
      <c r="D15" s="43" t="n"/>
      <c r="E15" s="286" t="n"/>
      <c r="F15" s="291" t="n"/>
    </row>
    <row r="16" ht="96" customFormat="1" customHeight="1" s="44">
      <c r="A16" s="31" t="n"/>
      <c r="B16" s="55" t="inlineStr">
        <is>
          <t>Izvedba u svemu prema uputstvima proizvođača sustava. Ploče vune lijepe se polimer cementnim ljepilom na zid i podgled AB ploča te dodatno pričvršćuju tipskim šarafima (beton, opeka). Na vanjsku stranu izolacije nanosi se polimercementno ljepilo koje je armirano sa  staklenom mrežicom. Nakon sušenja istog se nanosi drugi sloj polimercementnog ljepila za izravnavanje površine. Finalno se po sušenju nanosi impregnacijski premaz, te završna silikatna žbuka, boje prema standardnoj paleti tonova.</t>
        </is>
      </c>
      <c r="C16" s="33" t="n"/>
      <c r="D16" s="53" t="n"/>
      <c r="E16" s="287" t="n"/>
      <c r="F16" s="287" t="n"/>
    </row>
    <row r="17" ht="36" customFormat="1" customHeight="1" s="44">
      <c r="A17" s="31" t="n"/>
      <c r="B17" s="55" t="inlineStr">
        <is>
          <t>Slojevi fasadnog sustava:
▪ temeljni premaz;
▪ polimercementno ljepilo;
▪ fasadne ploče od kamene vune 20 cm;
▪ polimercementno ljepilo armirano mrežicom;
▪ polimercementno ljepilo - izravnavajući sloj;
▪ impregnacijski premaz;
▪ završna obrada silikatnom žbukom, granulacije 1mm.</t>
        </is>
      </c>
      <c r="C17" s="33" t="n"/>
      <c r="D17" s="53" t="n"/>
      <c r="E17" s="287" t="n"/>
      <c r="F17" s="287" t="n"/>
    </row>
    <row r="18" ht="24" customFormat="1" customHeight="1" s="44">
      <c r="A18" s="31" t="n"/>
      <c r="B18" s="55" t="inlineStr">
        <is>
          <t>Špalete svih otvora potrebno je obložiti termoizolacijom d=3cm ili provući izolaciju fasade min. 3cm preko profila stolarije radi sprječavanja hladnog mosta.</t>
        </is>
      </c>
      <c r="C18" s="33" t="n"/>
      <c r="D18" s="53" t="n"/>
      <c r="E18" s="287" t="n"/>
      <c r="F18" s="287" t="n"/>
    </row>
    <row r="19" ht="72" customFormat="1" customHeight="1" s="44">
      <c r="A19" s="31" t="n"/>
      <c r="B19" s="91" t="inlineStr">
        <is>
          <t>NAPOMENA: Potrebna skela za izradu je obuhvaćena jediničnom cijenom stavke. Otvori se ne odbijaju, te je obrada špaleta u cijeni.</t>
        </is>
      </c>
      <c r="C19" s="33" t="n"/>
      <c r="D19" s="53" t="n"/>
      <c r="E19" s="287" t="n"/>
      <c r="F19" s="287" t="n"/>
    </row>
    <row r="20" ht="60" customFormat="1" customHeight="1" s="44">
      <c r="A20" s="31" t="n"/>
      <c r="B20" s="55" t="inlineStr">
        <is>
          <t>Stavka uključuje obradu svih uglova, špaleta i okapa sa limenim i plastičnim kutnim profilima. Dobava i postava ostalog pribora (kutni, razni okapni profili, špaletni gotovi elementi iz min. vune ploča debljine 3cm, i sl.) uključena u cijenu. Sve radove izvesti strogo prema uputama proizvođača sustava fasade. Završna obrada fasade u boji po izboru investitora.</t>
        </is>
      </c>
      <c r="C20" s="33" t="n"/>
      <c r="D20" s="53" t="n"/>
      <c r="E20" s="287" t="n"/>
      <c r="F20" s="287" t="n"/>
    </row>
    <row r="21" ht="12" customFormat="1" customHeight="1" s="44">
      <c r="A21" s="31" t="n"/>
      <c r="B21" s="55" t="inlineStr">
        <is>
          <t>Dobava materijala, transport do mjesta ugradnje, izrada fasade,  stropova, izrada i obrada špaleta, sve potrebne skele (visina do 11,5m), svi slojevi fasade te sav ostali alat i materijal za izradu su obuhvaćeni sa jediničnom cijenom. Obračun po m2 stvarno izvedene površine pročelja i podgleda do potpune funkcionalne gotovosti.</t>
        </is>
      </c>
      <c r="C21" s="33" t="n"/>
      <c r="D21" s="53" t="n"/>
      <c r="E21" s="287" t="n"/>
      <c r="F21" s="287" t="n"/>
    </row>
    <row r="22" ht="24" customFormat="1" customHeight="1" s="44">
      <c r="A22" s="31" t="n"/>
      <c r="B22" s="55" t="n"/>
      <c r="C22" s="33" t="n"/>
      <c r="D22" s="53" t="n"/>
      <c r="E22" s="287" t="n"/>
      <c r="F22" s="287">
        <f>E22*D22</f>
        <v/>
      </c>
    </row>
    <row r="23" ht="24" customFormat="1" customHeight="1" s="44">
      <c r="A23" s="31" t="n"/>
      <c r="B23" s="55" t="inlineStr">
        <is>
          <t xml:space="preserve"> - ETICS fasada ili jednakovrijedno, vuna t=20cm, boje prema standardnoj paleti tonova.</t>
        </is>
      </c>
      <c r="C23" s="54" t="inlineStr">
        <is>
          <t>m2</t>
        </is>
      </c>
      <c r="D23" s="53" t="n">
        <v>2130</v>
      </c>
      <c r="E23" s="53" t="n">
        <v>89.06</v>
      </c>
      <c r="F23" s="53">
        <f>D23*E23</f>
        <v/>
      </c>
    </row>
    <row r="24" ht="24" customFormat="1" customHeight="1" s="44">
      <c r="B24" s="285" t="inlineStr">
        <is>
          <t>NAPOMENA: Nudimo ETICS sustav MW d=20 cm, λ≤0,036 W/mK, sa silikatnom završnom žbukom zrno 1 mm; špalete d=3 cm obračunate zasebno u stavci [8].</t>
        </is>
      </c>
      <c r="F24">
        <f>E24*D24</f>
        <v/>
      </c>
    </row>
    <row r="25" ht="12.6" customFormat="1" customHeight="1" s="44" thickBot="1">
      <c r="A25" s="31" t="n"/>
      <c r="B25" s="55" t="inlineStr">
        <is>
          <t xml:space="preserve"> - ETICS fasada ili jednakovrijedno podgledi, vuna t=5cm, boje prema standardnoj paleti tonova.</t>
        </is>
      </c>
      <c r="C25" s="54" t="inlineStr">
        <is>
          <t>m2</t>
        </is>
      </c>
      <c r="D25" s="53" t="n">
        <v>244</v>
      </c>
      <c r="E25" s="53" t="n">
        <v>72.14</v>
      </c>
      <c r="F25" s="53">
        <f>D25*E25</f>
        <v/>
      </c>
    </row>
    <row r="26" ht="12.6" customFormat="1" customHeight="1" s="44" thickBot="1">
      <c r="B26" s="285" t="inlineStr">
        <is>
          <t>NAPOMENA: Nudimo ETICS sustav MW d=5 cm na podgledima, sa silikatnom završnom žbukom zrno 1 mm (rad iznad glave).</t>
        </is>
      </c>
    </row>
    <row r="27">
      <c r="A27" s="31" t="n"/>
      <c r="B27" s="55" t="inlineStr">
        <is>
          <t xml:space="preserve"> - ETICS špalete ili jednakovrijedno, vuna t=3cm, boje prema standardnoj paleti tonova.</t>
        </is>
      </c>
      <c r="C27" s="54" t="inlineStr">
        <is>
          <t>m2</t>
        </is>
      </c>
      <c r="D27" s="53" t="n">
        <v>1072</v>
      </c>
      <c r="E27" s="53" t="n">
        <v>55.65</v>
      </c>
      <c r="F27" s="53">
        <f>D27*E27</f>
        <v/>
      </c>
    </row>
    <row r="28">
      <c r="A28" s="31" t="n"/>
      <c r="B28" s="285" t="inlineStr">
        <is>
          <t>NAPOMENA: Nudimo obradu špaleta ETICS sustavom MW d=3 cm sa silikatnom završnom žbukom zrno 1 mm (obračun po m² plohe špalete).</t>
        </is>
      </c>
      <c r="C28" s="33" t="n"/>
      <c r="D28" s="43" t="n"/>
      <c r="E28" s="286" t="n"/>
      <c r="F28" s="286" t="n"/>
    </row>
    <row r="29">
      <c r="A29" s="65" t="inlineStr">
        <is>
          <t>08.</t>
        </is>
      </c>
      <c r="B29" s="66" t="inlineStr">
        <is>
          <t>Fasaderski radovi</t>
        </is>
      </c>
      <c r="C29" s="67" t="n"/>
      <c r="D29" s="68" t="n"/>
      <c r="E29" s="292" t="inlineStr">
        <is>
          <t>UKUPNO:</t>
        </is>
      </c>
      <c r="F29" s="293">
        <f>SUM(F2:F28)</f>
        <v/>
      </c>
    </row>
  </sheetData>
  <mergeCells count="1">
    <mergeCell ref="A1:B1"/>
  </mergeCells>
  <pageMargins left="0.7874015748031497" right="0.1968503937007874" top="0.7874015748031497" bottom="0.7874015748031497" header="0.3149606299212598" footer="0.3149606299212598"/>
  <pageSetup orientation="portrait" paperSize="9"/>
  <headerFooter>
    <oddHeader/>
    <oddFooter>&amp;C&amp;9 Izgradnja zgrade područne osnovne škole sa školskom dvoranom te uređenjem okoliša Komin</oddFooter>
    <evenHeader/>
    <evenFooter/>
    <firstHeader/>
    <firstFooter/>
  </headerFooter>
  <rowBreaks count="1" manualBreakCount="1">
    <brk id="12" min="0" max="16383" man="1"/>
  </rowBreaks>
</worksheet>
</file>

<file path=xl/worksheets/sheet4.xml><?xml version="1.0" encoding="utf-8"?>
<worksheet xmlns="http://schemas.openxmlformats.org/spreadsheetml/2006/main">
  <sheetPr>
    <tabColor rgb="FF00B050"/>
    <outlinePr summaryBelow="1" summaryRight="1"/>
    <pageSetUpPr/>
  </sheetPr>
  <dimension ref="A1:F9"/>
  <sheetViews>
    <sheetView view="pageBreakPreview" zoomScaleNormal="100" zoomScaleSheetLayoutView="100" workbookViewId="0">
      <selection activeCell="B12" sqref="B12"/>
    </sheetView>
  </sheetViews>
  <sheetFormatPr baseColWidth="8" defaultColWidth="9.109375" defaultRowHeight="14.4"/>
  <cols>
    <col width="6.5546875" customWidth="1" style="45" min="1" max="1"/>
    <col width="51.6640625" customWidth="1" style="45" min="2" max="2"/>
    <col width="4.6640625" customWidth="1" style="58" min="3" max="3"/>
    <col width="9.6640625" customWidth="1" style="45" min="4" max="4"/>
    <col width="9.6640625" customWidth="1" style="279" min="5" max="6"/>
    <col width="9.109375" customWidth="1" style="45" min="7" max="16384"/>
  </cols>
  <sheetData>
    <row r="1" ht="15" customFormat="1" customHeight="1" s="47">
      <c r="A1" s="222" t="inlineStr">
        <is>
          <t>13.00 KERAMIČARSKI RADOVI</t>
        </is>
      </c>
      <c r="B1" s="280" t="n"/>
      <c r="C1" s="59" t="inlineStr">
        <is>
          <t>MJ</t>
        </is>
      </c>
      <c r="D1" s="60" t="inlineStr">
        <is>
          <t>KOLIČINA</t>
        </is>
      </c>
      <c r="E1" s="281" t="inlineStr">
        <is>
          <t>JED. CIJENA</t>
        </is>
      </c>
      <c r="F1" s="282" t="inlineStr">
        <is>
          <t>UKUPNO</t>
        </is>
      </c>
    </row>
    <row r="2" ht="12" customFormat="1" customHeight="1" s="44">
      <c r="A2" s="57" t="inlineStr">
        <is>
          <t>13.04.</t>
        </is>
      </c>
      <c r="B2" s="52" t="inlineStr">
        <is>
          <t>Nivelirajuća masa.</t>
        </is>
      </c>
      <c r="C2" s="115" t="n"/>
      <c r="D2" s="29" t="n"/>
      <c r="E2" s="116" t="n"/>
      <c r="F2" s="284" t="n"/>
    </row>
    <row r="3" ht="24" customHeight="1">
      <c r="A3" s="31" t="n"/>
      <c r="B3" s="55" t="inlineStr">
        <is>
          <t>Postava:
Vanjski prostori škole</t>
        </is>
      </c>
      <c r="C3" s="33" t="n"/>
      <c r="D3" s="43" t="n"/>
      <c r="E3" s="286" t="n"/>
      <c r="F3" s="284" t="n"/>
    </row>
    <row r="4" ht="36" customFormat="1" customHeight="1" s="44">
      <c r="A4" s="57" t="n"/>
      <c r="B4" s="91" t="inlineStr">
        <is>
          <t>Dobava i kompletna izrada izravnavanja poda terasa masom za izravnavanje do odgovarajuće ravnosti ukupne površine, za postavu keramičkih pločica, debljine sloja 1cm.</t>
        </is>
      </c>
      <c r="C4" s="164" t="n"/>
      <c r="D4" s="163" t="n"/>
      <c r="E4" s="166" t="n"/>
      <c r="F4" s="284" t="n"/>
    </row>
    <row r="5" ht="48" customFormat="1" customHeight="1" s="44">
      <c r="A5" s="57" t="n"/>
      <c r="B5" s="114" t="inlineStr">
        <is>
          <t>U cijenu uračunat sav potreban materijal, alat, rad i strojevi za izradu, čišćenje nakon izvedbe radova, sve potrebne radove. Izvedba strogo prema uputstvima proizvođača do potpune funkcionalne gotovosti u skladu s pravilima struke. Obračun po m2 poda.</t>
        </is>
      </c>
      <c r="C5" s="164" t="n"/>
      <c r="D5" s="163" t="n"/>
      <c r="E5" s="166" t="n"/>
      <c r="F5" s="284" t="n"/>
    </row>
    <row r="6" ht="12" customFormat="1" customHeight="1" s="44">
      <c r="A6" s="57" t="n"/>
      <c r="B6" s="165" t="n"/>
      <c r="C6" s="164" t="inlineStr">
        <is>
          <t>m2</t>
        </is>
      </c>
      <c r="D6" s="163" t="n">
        <v>72</v>
      </c>
      <c r="E6" s="162" t="n"/>
      <c r="F6" s="284">
        <f>D6*E6</f>
        <v/>
      </c>
    </row>
    <row r="7" ht="12" customFormat="1" customHeight="1" s="44">
      <c r="A7" s="57" t="n"/>
      <c r="B7" s="165" t="n"/>
      <c r="C7" s="164" t="n"/>
      <c r="D7" s="163" t="n"/>
      <c r="E7" s="162" t="n"/>
      <c r="F7" s="162" t="n"/>
    </row>
    <row r="8" ht="12.6" customFormat="1" customHeight="1" s="44" thickBot="1">
      <c r="A8" s="57" t="n"/>
      <c r="B8" s="55" t="n"/>
      <c r="C8" s="33" t="n"/>
      <c r="D8" s="29" t="n"/>
      <c r="E8" s="284" t="n"/>
      <c r="F8" s="284" t="n"/>
    </row>
    <row r="9" ht="12.6" customFormat="1" customHeight="1" s="44" thickBot="1">
      <c r="A9" s="65" t="inlineStr">
        <is>
          <t>13.</t>
        </is>
      </c>
      <c r="B9" s="66" t="inlineStr">
        <is>
          <t>Keramičarski radovi</t>
        </is>
      </c>
      <c r="C9" s="67" t="n"/>
      <c r="D9" s="68" t="n"/>
      <c r="E9" s="292" t="inlineStr">
        <is>
          <t>UKUPNO:</t>
        </is>
      </c>
      <c r="F9" s="293">
        <f>SUM(F2:F8)</f>
        <v/>
      </c>
    </row>
  </sheetData>
  <mergeCells count="1">
    <mergeCell ref="A1:B1"/>
  </mergeCells>
  <pageMargins left="0.7874015748031497" right="0.1968503937007874" top="0.7874015748031497" bottom="0.7874015748031497" header="0.3149606299212598" footer="0.3149606299212598"/>
  <pageSetup orientation="portrait" paperSize="9"/>
  <headerFooter>
    <oddHeader/>
    <oddFooter>&amp;C&amp;9 Izgradnja zgrade područne osnovne škole sa školskom dvoranom te uređenjem okoliša Komin</oddFooter>
    <evenHeader/>
    <evenFooter/>
    <firstHeader/>
    <firstFooter/>
  </headerFooter>
</worksheet>
</file>

<file path=xl/worksheets/sheet5.xml><?xml version="1.0" encoding="utf-8"?>
<worksheet xmlns="http://schemas.openxmlformats.org/spreadsheetml/2006/main">
  <sheetPr>
    <tabColor rgb="FF00B050"/>
    <outlinePr summaryBelow="1" summaryRight="1"/>
    <pageSetUpPr/>
  </sheetPr>
  <dimension ref="A1:F17"/>
  <sheetViews>
    <sheetView view="pageBreakPreview" zoomScaleNormal="100" zoomScaleSheetLayoutView="100" workbookViewId="0">
      <selection activeCell="B14" sqref="B14"/>
    </sheetView>
  </sheetViews>
  <sheetFormatPr baseColWidth="8" defaultRowHeight="14.4"/>
  <cols>
    <col width="9.109375" customWidth="1" min="1" max="1"/>
    <col width="57" customWidth="1" min="2" max="2"/>
    <col width="25.88671875" customWidth="1" style="294" min="3" max="3"/>
    <col width="10.6640625" customWidth="1" style="27" min="4" max="4"/>
    <col width="26.5546875" customWidth="1" style="41" min="5" max="5"/>
    <col width="10.6640625" customWidth="1" min="6" max="6"/>
  </cols>
  <sheetData>
    <row r="1" ht="21" customHeight="1">
      <c r="A1" s="295" t="inlineStr">
        <is>
          <t>REKAPITULACIJA</t>
        </is>
      </c>
      <c r="B1" s="280" t="n"/>
      <c r="C1" s="296" t="n"/>
      <c r="D1" s="23" t="n"/>
      <c r="E1" s="37" t="n"/>
      <c r="F1" s="7" t="n"/>
    </row>
    <row r="2">
      <c r="A2" s="15" t="n"/>
      <c r="B2" s="6" t="n"/>
      <c r="C2" s="297" t="n"/>
      <c r="D2" s="23" t="n"/>
      <c r="E2" s="37" t="n"/>
      <c r="F2" s="7" t="n"/>
    </row>
    <row r="3" ht="15.6" customHeight="1">
      <c r="A3" s="35" t="inlineStr">
        <is>
          <t>04.00</t>
        </is>
      </c>
      <c r="B3" s="28" t="inlineStr">
        <is>
          <t>Zidarski radovi</t>
        </is>
      </c>
      <c r="C3" s="298">
        <f>'IŠ_04. Zidarski radovi'!F36</f>
        <v/>
      </c>
      <c r="D3" s="24" t="n"/>
      <c r="E3" s="34" t="n"/>
      <c r="F3" s="10" t="n"/>
    </row>
    <row r="4" ht="15.6" customHeight="1">
      <c r="A4" s="35" t="inlineStr">
        <is>
          <t>08.00</t>
        </is>
      </c>
      <c r="B4" s="28" t="inlineStr">
        <is>
          <t>Fasaderski radovi</t>
        </is>
      </c>
      <c r="C4" s="298">
        <f>'IŠ_08. Fasaderski radovi'!F29</f>
        <v/>
      </c>
      <c r="D4" s="24" t="n"/>
      <c r="E4" s="34" t="n"/>
      <c r="F4" s="10" t="n"/>
    </row>
    <row r="5" ht="15.6" customHeight="1">
      <c r="A5" s="35" t="inlineStr">
        <is>
          <t>13.00</t>
        </is>
      </c>
      <c r="B5" s="28" t="inlineStr">
        <is>
          <t>Keramičarski radovi</t>
        </is>
      </c>
      <c r="C5" s="298">
        <f>'IŠ_13. Keramičarski radovi '!F9</f>
        <v/>
      </c>
      <c r="D5" s="24" t="n"/>
      <c r="E5" s="34" t="n"/>
      <c r="F5" s="10" t="n"/>
    </row>
    <row r="6" ht="15.6" customHeight="1">
      <c r="A6" s="16" t="n"/>
      <c r="B6" s="17" t="n"/>
      <c r="C6" s="299" t="n"/>
      <c r="D6" s="25" t="n"/>
      <c r="E6" s="38" t="n"/>
      <c r="F6" s="12" t="n"/>
    </row>
    <row r="7" ht="16.2" customHeight="1" thickBot="1">
      <c r="A7" s="16" t="n"/>
      <c r="B7" s="17" t="n"/>
      <c r="C7" s="299" t="n"/>
      <c r="D7" s="24" t="n"/>
      <c r="E7" s="34" t="n"/>
      <c r="F7" s="10" t="n"/>
    </row>
    <row r="8" ht="16.2" customHeight="1" thickBot="1">
      <c r="A8" s="18" t="n"/>
      <c r="B8" s="36" t="inlineStr">
        <is>
          <t>UKUPNO [€] (bez PDV-a):</t>
        </is>
      </c>
      <c r="C8" s="300">
        <f>SUM(C3:C5)</f>
        <v/>
      </c>
      <c r="D8" s="24" t="n"/>
      <c r="E8" s="34" t="n"/>
      <c r="F8" s="10" t="n"/>
    </row>
    <row r="9" ht="15" customHeight="1" thickBot="1">
      <c r="A9" s="20" t="n"/>
      <c r="B9" s="11" t="n"/>
      <c r="C9" s="301" t="n"/>
      <c r="D9" s="24" t="n"/>
      <c r="E9" s="34" t="n"/>
      <c r="F9" s="10" t="n"/>
    </row>
    <row r="10" ht="16.2" customHeight="1" thickBot="1">
      <c r="A10" s="20" t="n"/>
      <c r="B10" s="19" t="inlineStr">
        <is>
          <t>PDV 25% [€]:</t>
        </is>
      </c>
      <c r="C10" s="302">
        <f>C11-C8</f>
        <v/>
      </c>
      <c r="D10" s="25" t="n"/>
      <c r="E10" s="38" t="n"/>
      <c r="F10" s="12" t="n"/>
    </row>
    <row r="11" ht="16.2" customHeight="1" thickBot="1">
      <c r="A11" s="15" t="n"/>
      <c r="B11" s="19" t="inlineStr">
        <is>
          <t>UKUPNO [€] (sa PDV-om):</t>
        </is>
      </c>
      <c r="C11" s="302">
        <f>C8*1.25</f>
        <v/>
      </c>
      <c r="D11" s="25" t="n"/>
      <c r="E11" s="38" t="n"/>
      <c r="F11" s="12" t="n"/>
    </row>
    <row r="12">
      <c r="A12" s="13" t="n"/>
      <c r="B12" s="1" t="n"/>
      <c r="C12" s="303" t="n"/>
      <c r="D12" s="25" t="n"/>
      <c r="E12" s="39" t="n"/>
      <c r="F12" s="14" t="n"/>
    </row>
    <row r="13">
      <c r="A13" s="13" t="n"/>
      <c r="B13" s="11" t="n"/>
      <c r="C13" s="303" t="n"/>
      <c r="D13" s="25" t="n"/>
      <c r="E13" s="39" t="n"/>
      <c r="F13" s="14" t="n"/>
    </row>
    <row r="14">
      <c r="A14" s="13" t="n"/>
      <c r="B14" s="11" t="n"/>
      <c r="C14" s="303" t="n"/>
      <c r="D14" s="25" t="n"/>
      <c r="E14" s="39" t="n"/>
      <c r="F14" s="14" t="n"/>
    </row>
    <row r="15">
      <c r="A15" s="13" t="n"/>
      <c r="B15" s="9" t="n"/>
      <c r="C15" s="304" t="n"/>
      <c r="D15" s="24" t="n"/>
      <c r="E15" s="34" t="n"/>
      <c r="F15" s="10" t="n"/>
    </row>
    <row r="16">
      <c r="A16" s="13" t="n"/>
      <c r="B16" s="9" t="n"/>
      <c r="C16" s="303" t="n"/>
      <c r="D16" s="25" t="n"/>
      <c r="E16" s="39" t="n"/>
      <c r="F16" s="14" t="n"/>
    </row>
    <row r="17">
      <c r="A17" s="21" t="n"/>
      <c r="B17" s="8" t="n"/>
      <c r="C17" s="305" t="n"/>
      <c r="D17" s="26" t="n"/>
      <c r="E17" s="40" t="n"/>
      <c r="F17" s="22" t="n"/>
    </row>
  </sheetData>
  <mergeCells count="1">
    <mergeCell ref="A1:C1"/>
  </mergeCells>
  <pageMargins left="0.7874015748031497" right="0.1968503937007874" top="0.7874015748031497" bottom="0.7874015748031497" header="0.3149606299212598" footer="0.3149606299212598"/>
  <pageSetup orientation="portrait" paperSize="9"/>
  <headerFooter>
    <oddHeader/>
    <oddFooter>&amp;C&amp;9 Izgradnja zgrade područne osnovne škole sa školskom dvoranom te uređenjem okoliša Komin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3:E42"/>
  <sheetViews>
    <sheetView view="pageBreakPreview" zoomScaleNormal="100" zoomScaleSheetLayoutView="100" workbookViewId="0">
      <selection activeCell="K36" sqref="K36"/>
    </sheetView>
  </sheetViews>
  <sheetFormatPr baseColWidth="8" defaultColWidth="9.109375" defaultRowHeight="13.8"/>
  <cols>
    <col width="26.33203125" customWidth="1" style="93" min="1" max="1"/>
    <col width="28.88671875" customWidth="1" style="93" min="2" max="2"/>
    <col width="17.5546875" customWidth="1" style="93" min="3" max="3"/>
    <col width="15.5546875" customWidth="1" style="93" min="4" max="4"/>
    <col width="17.5546875" customWidth="1" style="93" min="5" max="5"/>
    <col width="9.109375" customWidth="1" style="93" min="6" max="6"/>
    <col width="10.109375" bestFit="1" customWidth="1" style="93" min="7" max="7"/>
    <col width="9.109375" customWidth="1" style="93" min="8" max="16384"/>
  </cols>
  <sheetData>
    <row r="3" ht="21" customHeight="1">
      <c r="A3" s="256" t="inlineStr">
        <is>
          <t>UKUPNA REKAPITULACIJA</t>
        </is>
      </c>
    </row>
    <row r="4">
      <c r="A4" s="94" t="n"/>
      <c r="B4" s="95" t="n"/>
      <c r="C4" s="95" t="n"/>
    </row>
    <row r="5" ht="24" customHeight="1">
      <c r="A5" s="257" t="inlineStr">
        <is>
          <t>DIO: IZGRADNJA SPORTSKE DVORANE</t>
        </is>
      </c>
    </row>
    <row r="6" ht="18.75" customHeight="1">
      <c r="A6" s="96" t="n"/>
      <c r="B6" s="96" t="n"/>
      <c r="C6" s="96" t="n"/>
    </row>
    <row r="7">
      <c r="A7" s="94" t="n"/>
      <c r="B7" s="95" t="n"/>
      <c r="C7" s="95" t="n"/>
      <c r="E7" s="97" t="n"/>
    </row>
    <row r="8" ht="14.4" customHeight="1">
      <c r="A8" s="101" t="inlineStr">
        <is>
          <t>Investitor:</t>
        </is>
      </c>
      <c r="B8" s="306" t="inlineStr">
        <is>
          <t>Zagrebačka županija</t>
        </is>
      </c>
      <c r="C8" s="307" t="n"/>
      <c r="D8" s="307" t="n"/>
      <c r="E8" s="308" t="n"/>
    </row>
    <row r="9">
      <c r="A9" s="309" t="n"/>
      <c r="B9" s="310" t="inlineStr">
        <is>
          <t>Ulica grada Vukovara 72/V, 10 000 zagreb</t>
        </is>
      </c>
      <c r="C9" s="311" t="n"/>
      <c r="D9" s="311" t="n"/>
      <c r="E9" s="312" t="n"/>
    </row>
    <row r="10">
      <c r="A10" s="98" t="n"/>
      <c r="B10" s="99" t="n"/>
      <c r="C10" s="100" t="n"/>
    </row>
    <row r="11" ht="60" customHeight="1">
      <c r="A11" s="101" t="inlineStr">
        <is>
          <t>Naziv građevine:</t>
        </is>
      </c>
      <c r="B11" s="313" t="inlineStr">
        <is>
          <t>Izgradnja zgrade područne osnovne škole sa školskom dvoranom te uređenjem okoliša Komin</t>
        </is>
      </c>
      <c r="C11" s="280" t="n"/>
      <c r="D11" s="280" t="n"/>
      <c r="E11" s="296" t="n"/>
    </row>
    <row r="12">
      <c r="A12" s="98" t="n"/>
      <c r="B12" s="99" t="n"/>
      <c r="C12" s="100" t="n"/>
    </row>
    <row r="13" ht="30" customHeight="1">
      <c r="A13" s="101" t="inlineStr">
        <is>
          <t>Lokacija građevine:</t>
        </is>
      </c>
      <c r="B13" s="314" t="inlineStr">
        <is>
          <t>k.č. br. 21/50, k.o. Tomaševec</t>
        </is>
      </c>
      <c r="C13" s="280" t="n"/>
      <c r="D13" s="280" t="n"/>
      <c r="E13" s="296" t="n"/>
    </row>
    <row r="14">
      <c r="A14" s="98" t="n"/>
      <c r="B14" s="99" t="n"/>
      <c r="C14" s="100" t="n"/>
    </row>
    <row r="15" ht="30" customHeight="1">
      <c r="A15" s="101" t="inlineStr">
        <is>
          <t>Zajednička oznaka:</t>
        </is>
      </c>
      <c r="B15" s="315" t="inlineStr">
        <is>
          <t>2024/pšk</t>
        </is>
      </c>
      <c r="C15" s="280" t="n"/>
      <c r="D15" s="280" t="n"/>
      <c r="E15" s="296" t="n"/>
    </row>
    <row r="16">
      <c r="A16" s="98" t="n"/>
      <c r="B16" s="99" t="n"/>
      <c r="C16" s="100" t="n"/>
    </row>
    <row r="17" ht="30" customHeight="1">
      <c r="A17" s="101" t="inlineStr">
        <is>
          <t>Broj tehničkog dnevnika:</t>
        </is>
      </c>
      <c r="B17" s="316" t="inlineStr">
        <is>
          <t>2024/pšk</t>
        </is>
      </c>
      <c r="C17" s="280" t="n"/>
      <c r="D17" s="280" t="n"/>
      <c r="E17" s="296" t="n"/>
    </row>
    <row r="18">
      <c r="A18" s="98" t="n"/>
      <c r="B18" s="99" t="n"/>
      <c r="C18" s="100" t="n"/>
    </row>
    <row r="19" ht="30" customHeight="1">
      <c r="A19" s="101" t="inlineStr">
        <is>
          <t>Glavni projektant:</t>
        </is>
      </c>
      <c r="B19" s="313" t="inlineStr">
        <is>
          <t>Filip Cvitak, dipl.ing.arh.</t>
        </is>
      </c>
      <c r="C19" s="280" t="n"/>
      <c r="D19" s="280" t="n"/>
      <c r="E19" s="296" t="n"/>
    </row>
    <row r="20" ht="14.25" customHeight="1"/>
    <row r="21" ht="30" customHeight="1">
      <c r="A21" s="240" t="inlineStr">
        <is>
          <t>Napomena: Boja ispune ćelije mape povezana je s bojom kartice pojedine grupe radova te mape. 
Primjer: Zelena boja označava sve građevinsko obrtničke radove.</t>
        </is>
      </c>
    </row>
    <row r="22" ht="14.25" customHeight="1" thickBot="1"/>
    <row r="23" ht="14.25" customHeight="1">
      <c r="A23" s="104" t="inlineStr">
        <is>
          <t>MAPA</t>
        </is>
      </c>
      <c r="B23" s="105" t="inlineStr">
        <is>
          <t>GRUPA RADOVA</t>
        </is>
      </c>
      <c r="C23" s="141" t="inlineStr">
        <is>
          <t>IZNOS BEZ PDV-A</t>
        </is>
      </c>
      <c r="D23" s="141" t="inlineStr">
        <is>
          <t>PDV (25%)</t>
        </is>
      </c>
      <c r="E23" s="106" t="inlineStr">
        <is>
          <t>IZNOS S PDV-om</t>
        </is>
      </c>
    </row>
    <row r="24" ht="14.25" customHeight="1">
      <c r="A24" s="107" t="n">
        <v>1</v>
      </c>
      <c r="B24" s="93" t="inlineStr">
        <is>
          <t>Građevinsko obrtnički radovi</t>
        </is>
      </c>
      <c r="C24" s="317" t="n"/>
      <c r="D24" s="317">
        <f>C24*0.25</f>
        <v/>
      </c>
      <c r="E24" s="318">
        <f>C24+D24</f>
        <v/>
      </c>
    </row>
    <row r="25" ht="14.25" customHeight="1">
      <c r="A25" s="167" t="n">
        <v>4</v>
      </c>
      <c r="B25" s="93" t="inlineStr">
        <is>
          <t>Hidroinstalacija</t>
        </is>
      </c>
      <c r="C25" s="317" t="n"/>
      <c r="D25" s="317">
        <f>C25*0.25</f>
        <v/>
      </c>
      <c r="E25" s="318">
        <f>C25+D25</f>
        <v/>
      </c>
    </row>
    <row r="26" ht="14.25" customHeight="1">
      <c r="A26" s="168" t="n">
        <v>6</v>
      </c>
      <c r="B26" s="93" t="inlineStr">
        <is>
          <t>Strojarske instalacije</t>
        </is>
      </c>
      <c r="C26" s="317" t="n"/>
      <c r="D26" s="317">
        <f>C26*0.25</f>
        <v/>
      </c>
      <c r="E26" s="318">
        <f>C26+D26</f>
        <v/>
      </c>
    </row>
    <row r="27" ht="14.25" customHeight="1">
      <c r="A27" s="217" t="n">
        <v>7</v>
      </c>
      <c r="B27" s="93" t="inlineStr">
        <is>
          <t>Elektroinstalacije</t>
        </is>
      </c>
      <c r="C27" s="317" t="n"/>
      <c r="D27" s="317">
        <f>C27*0.25</f>
        <v/>
      </c>
      <c r="E27" s="318">
        <f>C27+D27</f>
        <v/>
      </c>
    </row>
    <row r="28" ht="14.25" customHeight="1" thickBot="1">
      <c r="A28" s="197" t="n">
        <v>9</v>
      </c>
      <c r="B28" s="143" t="inlineStr">
        <is>
          <t>Vatrodojava dvorane</t>
        </is>
      </c>
      <c r="C28" s="319" t="n"/>
      <c r="D28" s="317">
        <f>C28*0.25</f>
        <v/>
      </c>
      <c r="E28" s="318">
        <f>C28+D28</f>
        <v/>
      </c>
    </row>
    <row r="29" ht="14.25" customHeight="1">
      <c r="A29" s="241" t="inlineStr">
        <is>
          <t>Ukupna vrijednost radova bez PDV-a:</t>
        </is>
      </c>
      <c r="B29" s="320" t="n"/>
      <c r="C29" s="321">
        <f>SUM(C24:C28)</f>
        <v/>
      </c>
      <c r="D29" s="146" t="n"/>
      <c r="E29" s="147" t="n"/>
    </row>
    <row r="30" ht="14.25" customHeight="1">
      <c r="A30" s="140" t="n"/>
      <c r="B30" s="142" t="inlineStr">
        <is>
          <t>PDV (25%):</t>
        </is>
      </c>
      <c r="C30" s="322" t="n"/>
      <c r="D30" s="322">
        <f>SUM(D24:D28)</f>
        <v/>
      </c>
      <c r="E30" s="148" t="n"/>
    </row>
    <row r="31" ht="14.25" customHeight="1" thickBot="1">
      <c r="A31" s="243" t="inlineStr">
        <is>
          <t>Ukupna vrijednost radova s PDV-om:</t>
        </is>
      </c>
      <c r="B31" s="323" t="n"/>
      <c r="C31" s="324" t="n"/>
      <c r="D31" s="152" t="n"/>
      <c r="E31" s="325">
        <f>SUM(E24:E28)</f>
        <v/>
      </c>
    </row>
    <row r="32" ht="14.25" customHeight="1"/>
    <row r="33" ht="14.25" customHeight="1"/>
    <row r="34" ht="14.25" customHeight="1"/>
    <row r="35" ht="14.25" customHeight="1">
      <c r="A35" s="246" t="inlineStr">
        <is>
          <t>Glavni projektant:</t>
        </is>
      </c>
      <c r="B35" s="246" t="n"/>
      <c r="D35" s="246" t="n"/>
    </row>
    <row r="36" ht="14.25" customHeight="1">
      <c r="A36" s="109" t="inlineStr">
        <is>
          <t>Filip Cvitak, dipl.ing.arh.</t>
        </is>
      </c>
      <c r="B36" s="247" t="n"/>
      <c r="D36" s="247" t="n"/>
    </row>
    <row r="37" ht="14.25" customHeight="1">
      <c r="A37" s="246" t="n"/>
      <c r="B37" s="246" t="n"/>
      <c r="E37" s="246" t="n"/>
    </row>
    <row r="38" ht="27.75" customHeight="1">
      <c r="A38" s="246" t="n"/>
      <c r="B38" s="246" t="n"/>
      <c r="E38" s="246" t="n"/>
    </row>
    <row r="39" ht="14.25" customHeight="1">
      <c r="A39" s="246" t="inlineStr">
        <is>
          <t>_________________________</t>
        </is>
      </c>
      <c r="B39" s="246" t="n"/>
      <c r="D39" s="246" t="n"/>
    </row>
    <row r="40" ht="14.25" customHeight="1">
      <c r="A40" s="245" t="inlineStr">
        <is>
          <t>(potpis i pečat)</t>
        </is>
      </c>
      <c r="B40" s="245" t="n"/>
      <c r="D40" s="245" t="n"/>
    </row>
    <row r="41" ht="14.25" customHeight="1">
      <c r="A41" s="112" t="n"/>
      <c r="B41" s="95" t="n"/>
      <c r="C41" s="95" t="n"/>
    </row>
    <row r="42" ht="14.25" customHeight="1">
      <c r="A42" s="227" t="inlineStr">
        <is>
          <t>Zagreb, veljača 2025.</t>
        </is>
      </c>
    </row>
  </sheetData>
  <mergeCells count="18">
    <mergeCell ref="B11:E11"/>
    <mergeCell ref="A8:A9"/>
    <mergeCell ref="D39:E39"/>
    <mergeCell ref="A3:E3"/>
    <mergeCell ref="D36:E36"/>
    <mergeCell ref="A31:B31"/>
    <mergeCell ref="B15:E15"/>
    <mergeCell ref="A5:E5"/>
    <mergeCell ref="A42:E42"/>
    <mergeCell ref="B17:E17"/>
    <mergeCell ref="B8:E8"/>
    <mergeCell ref="B9:E9"/>
    <mergeCell ref="B13:E13"/>
    <mergeCell ref="D40:E40"/>
    <mergeCell ref="A21:E21"/>
    <mergeCell ref="A29:B29"/>
    <mergeCell ref="B19:E19"/>
    <mergeCell ref="D35:E35"/>
  </mergeCells>
  <pageMargins left="0.7874015748031497" right="0.3937007874015748" top="0.7874015748031497" bottom="0.7874015748031497" header="0.3149606299212598" footer="0.3149606299212598"/>
  <pageSetup orientation="portrait" paperSize="9" scale="85"/>
  <headerFooter>
    <oddHeader/>
    <oddFooter>&amp;C&amp;"Bahnschrift,Uobičajeno"&amp;9 &amp;K000000Izgradnja zgrade područne osnovne škole sa školskom dvoranom te uređenjem okoliša Komin</oddFooter>
    <evenHeader/>
    <evenFooter/>
    <firstHeader/>
    <firstFooter/>
  </headerFooter>
</worksheet>
</file>

<file path=xl/worksheets/sheet7.xml><?xml version="1.0" encoding="utf-8"?>
<worksheet xmlns="http://schemas.openxmlformats.org/spreadsheetml/2006/main">
  <sheetPr>
    <tabColor rgb="FF00B050"/>
    <outlinePr summaryBelow="1" summaryRight="1"/>
    <pageSetUpPr/>
  </sheetPr>
  <dimension ref="A1:A155"/>
  <sheetViews>
    <sheetView view="pageBreakPreview" zoomScaleNormal="100" zoomScaleSheetLayoutView="100" workbookViewId="0">
      <selection activeCell="A30" sqref="A30"/>
    </sheetView>
  </sheetViews>
  <sheetFormatPr baseColWidth="8" defaultRowHeight="14.4"/>
  <cols>
    <col width="87.6640625" customWidth="1" min="1" max="1"/>
    <col width="46.33203125" customWidth="1" min="2" max="2"/>
    <col width="8.33203125" customWidth="1" min="4" max="4"/>
    <col width="87.6640625" customWidth="1" min="257" max="257"/>
    <col width="46.33203125" customWidth="1" min="258" max="258"/>
    <col width="8.33203125" customWidth="1" min="260" max="260"/>
    <col width="87.6640625" customWidth="1" min="513" max="513"/>
    <col width="46.33203125" customWidth="1" min="514" max="514"/>
    <col width="8.33203125" customWidth="1" min="516" max="516"/>
    <col width="87.6640625" customWidth="1" min="769" max="769"/>
    <col width="46.33203125" customWidth="1" min="770" max="770"/>
    <col width="8.33203125" customWidth="1" min="772" max="772"/>
    <col width="87.6640625" customWidth="1" min="1025" max="1025"/>
    <col width="46.33203125" customWidth="1" min="1026" max="1026"/>
    <col width="8.33203125" customWidth="1" min="1028" max="1028"/>
    <col width="87.6640625" customWidth="1" min="1281" max="1281"/>
    <col width="46.33203125" customWidth="1" min="1282" max="1282"/>
    <col width="8.33203125" customWidth="1" min="1284" max="1284"/>
    <col width="87.6640625" customWidth="1" min="1537" max="1537"/>
    <col width="46.33203125" customWidth="1" min="1538" max="1538"/>
    <col width="8.33203125" customWidth="1" min="1540" max="1540"/>
    <col width="87.6640625" customWidth="1" min="1793" max="1793"/>
    <col width="46.33203125" customWidth="1" min="1794" max="1794"/>
    <col width="8.33203125" customWidth="1" min="1796" max="1796"/>
    <col width="87.6640625" customWidth="1" min="2049" max="2049"/>
    <col width="46.33203125" customWidth="1" min="2050" max="2050"/>
    <col width="8.33203125" customWidth="1" min="2052" max="2052"/>
    <col width="87.6640625" customWidth="1" min="2305" max="2305"/>
    <col width="46.33203125" customWidth="1" min="2306" max="2306"/>
    <col width="8.33203125" customWidth="1" min="2308" max="2308"/>
    <col width="87.6640625" customWidth="1" min="2561" max="2561"/>
    <col width="46.33203125" customWidth="1" min="2562" max="2562"/>
    <col width="8.33203125" customWidth="1" min="2564" max="2564"/>
    <col width="87.6640625" customWidth="1" min="2817" max="2817"/>
    <col width="46.33203125" customWidth="1" min="2818" max="2818"/>
    <col width="8.33203125" customWidth="1" min="2820" max="2820"/>
    <col width="87.6640625" customWidth="1" min="3073" max="3073"/>
    <col width="46.33203125" customWidth="1" min="3074" max="3074"/>
    <col width="8.33203125" customWidth="1" min="3076" max="3076"/>
    <col width="87.6640625" customWidth="1" min="3329" max="3329"/>
    <col width="46.33203125" customWidth="1" min="3330" max="3330"/>
    <col width="8.33203125" customWidth="1" min="3332" max="3332"/>
    <col width="87.6640625" customWidth="1" min="3585" max="3585"/>
    <col width="46.33203125" customWidth="1" min="3586" max="3586"/>
    <col width="8.33203125" customWidth="1" min="3588" max="3588"/>
    <col width="87.6640625" customWidth="1" min="3841" max="3841"/>
    <col width="46.33203125" customWidth="1" min="3842" max="3842"/>
    <col width="8.33203125" customWidth="1" min="3844" max="3844"/>
    <col width="87.6640625" customWidth="1" min="4097" max="4097"/>
    <col width="46.33203125" customWidth="1" min="4098" max="4098"/>
    <col width="8.33203125" customWidth="1" min="4100" max="4100"/>
    <col width="87.6640625" customWidth="1" min="4353" max="4353"/>
    <col width="46.33203125" customWidth="1" min="4354" max="4354"/>
    <col width="8.33203125" customWidth="1" min="4356" max="4356"/>
    <col width="87.6640625" customWidth="1" min="4609" max="4609"/>
    <col width="46.33203125" customWidth="1" min="4610" max="4610"/>
    <col width="8.33203125" customWidth="1" min="4612" max="4612"/>
    <col width="87.6640625" customWidth="1" min="4865" max="4865"/>
    <col width="46.33203125" customWidth="1" min="4866" max="4866"/>
    <col width="8.33203125" customWidth="1" min="4868" max="4868"/>
    <col width="87.6640625" customWidth="1" min="5121" max="5121"/>
    <col width="46.33203125" customWidth="1" min="5122" max="5122"/>
    <col width="8.33203125" customWidth="1" min="5124" max="5124"/>
    <col width="87.6640625" customWidth="1" min="5377" max="5377"/>
    <col width="46.33203125" customWidth="1" min="5378" max="5378"/>
    <col width="8.33203125" customWidth="1" min="5380" max="5380"/>
    <col width="87.6640625" customWidth="1" min="5633" max="5633"/>
    <col width="46.33203125" customWidth="1" min="5634" max="5634"/>
    <col width="8.33203125" customWidth="1" min="5636" max="5636"/>
    <col width="87.6640625" customWidth="1" min="5889" max="5889"/>
    <col width="46.33203125" customWidth="1" min="5890" max="5890"/>
    <col width="8.33203125" customWidth="1" min="5892" max="5892"/>
    <col width="87.6640625" customWidth="1" min="6145" max="6145"/>
    <col width="46.33203125" customWidth="1" min="6146" max="6146"/>
    <col width="8.33203125" customWidth="1" min="6148" max="6148"/>
    <col width="87.6640625" customWidth="1" min="6401" max="6401"/>
    <col width="46.33203125" customWidth="1" min="6402" max="6402"/>
    <col width="8.33203125" customWidth="1" min="6404" max="6404"/>
    <col width="87.6640625" customWidth="1" min="6657" max="6657"/>
    <col width="46.33203125" customWidth="1" min="6658" max="6658"/>
    <col width="8.33203125" customWidth="1" min="6660" max="6660"/>
    <col width="87.6640625" customWidth="1" min="6913" max="6913"/>
    <col width="46.33203125" customWidth="1" min="6914" max="6914"/>
    <col width="8.33203125" customWidth="1" min="6916" max="6916"/>
    <col width="87.6640625" customWidth="1" min="7169" max="7169"/>
    <col width="46.33203125" customWidth="1" min="7170" max="7170"/>
    <col width="8.33203125" customWidth="1" min="7172" max="7172"/>
    <col width="87.6640625" customWidth="1" min="7425" max="7425"/>
    <col width="46.33203125" customWidth="1" min="7426" max="7426"/>
    <col width="8.33203125" customWidth="1" min="7428" max="7428"/>
    <col width="87.6640625" customWidth="1" min="7681" max="7681"/>
    <col width="46.33203125" customWidth="1" min="7682" max="7682"/>
    <col width="8.33203125" customWidth="1" min="7684" max="7684"/>
    <col width="87.6640625" customWidth="1" min="7937" max="7937"/>
    <col width="46.33203125" customWidth="1" min="7938" max="7938"/>
    <col width="8.33203125" customWidth="1" min="7940" max="7940"/>
    <col width="87.6640625" customWidth="1" min="8193" max="8193"/>
    <col width="46.33203125" customWidth="1" min="8194" max="8194"/>
    <col width="8.33203125" customWidth="1" min="8196" max="8196"/>
    <col width="87.6640625" customWidth="1" min="8449" max="8449"/>
    <col width="46.33203125" customWidth="1" min="8450" max="8450"/>
    <col width="8.33203125" customWidth="1" min="8452" max="8452"/>
    <col width="87.6640625" customWidth="1" min="8705" max="8705"/>
    <col width="46.33203125" customWidth="1" min="8706" max="8706"/>
    <col width="8.33203125" customWidth="1" min="8708" max="8708"/>
    <col width="87.6640625" customWidth="1" min="8961" max="8961"/>
    <col width="46.33203125" customWidth="1" min="8962" max="8962"/>
    <col width="8.33203125" customWidth="1" min="8964" max="8964"/>
    <col width="87.6640625" customWidth="1" min="9217" max="9217"/>
    <col width="46.33203125" customWidth="1" min="9218" max="9218"/>
    <col width="8.33203125" customWidth="1" min="9220" max="9220"/>
    <col width="87.6640625" customWidth="1" min="9473" max="9473"/>
    <col width="46.33203125" customWidth="1" min="9474" max="9474"/>
    <col width="8.33203125" customWidth="1" min="9476" max="9476"/>
    <col width="87.6640625" customWidth="1" min="9729" max="9729"/>
    <col width="46.33203125" customWidth="1" min="9730" max="9730"/>
    <col width="8.33203125" customWidth="1" min="9732" max="9732"/>
    <col width="87.6640625" customWidth="1" min="9985" max="9985"/>
    <col width="46.33203125" customWidth="1" min="9986" max="9986"/>
    <col width="8.33203125" customWidth="1" min="9988" max="9988"/>
    <col width="87.6640625" customWidth="1" min="10241" max="10241"/>
    <col width="46.33203125" customWidth="1" min="10242" max="10242"/>
    <col width="8.33203125" customWidth="1" min="10244" max="10244"/>
    <col width="87.6640625" customWidth="1" min="10497" max="10497"/>
    <col width="46.33203125" customWidth="1" min="10498" max="10498"/>
    <col width="8.33203125" customWidth="1" min="10500" max="10500"/>
    <col width="87.6640625" customWidth="1" min="10753" max="10753"/>
    <col width="46.33203125" customWidth="1" min="10754" max="10754"/>
    <col width="8.33203125" customWidth="1" min="10756" max="10756"/>
    <col width="87.6640625" customWidth="1" min="11009" max="11009"/>
    <col width="46.33203125" customWidth="1" min="11010" max="11010"/>
    <col width="8.33203125" customWidth="1" min="11012" max="11012"/>
    <col width="87.6640625" customWidth="1" min="11265" max="11265"/>
    <col width="46.33203125" customWidth="1" min="11266" max="11266"/>
    <col width="8.33203125" customWidth="1" min="11268" max="11268"/>
    <col width="87.6640625" customWidth="1" min="11521" max="11521"/>
    <col width="46.33203125" customWidth="1" min="11522" max="11522"/>
    <col width="8.33203125" customWidth="1" min="11524" max="11524"/>
    <col width="87.6640625" customWidth="1" min="11777" max="11777"/>
    <col width="46.33203125" customWidth="1" min="11778" max="11778"/>
    <col width="8.33203125" customWidth="1" min="11780" max="11780"/>
    <col width="87.6640625" customWidth="1" min="12033" max="12033"/>
    <col width="46.33203125" customWidth="1" min="12034" max="12034"/>
    <col width="8.33203125" customWidth="1" min="12036" max="12036"/>
    <col width="87.6640625" customWidth="1" min="12289" max="12289"/>
    <col width="46.33203125" customWidth="1" min="12290" max="12290"/>
    <col width="8.33203125" customWidth="1" min="12292" max="12292"/>
    <col width="87.6640625" customWidth="1" min="12545" max="12545"/>
    <col width="46.33203125" customWidth="1" min="12546" max="12546"/>
    <col width="8.33203125" customWidth="1" min="12548" max="12548"/>
    <col width="87.6640625" customWidth="1" min="12801" max="12801"/>
    <col width="46.33203125" customWidth="1" min="12802" max="12802"/>
    <col width="8.33203125" customWidth="1" min="12804" max="12804"/>
    <col width="87.6640625" customWidth="1" min="13057" max="13057"/>
    <col width="46.33203125" customWidth="1" min="13058" max="13058"/>
    <col width="8.33203125" customWidth="1" min="13060" max="13060"/>
    <col width="87.6640625" customWidth="1" min="13313" max="13313"/>
    <col width="46.33203125" customWidth="1" min="13314" max="13314"/>
    <col width="8.33203125" customWidth="1" min="13316" max="13316"/>
    <col width="87.6640625" customWidth="1" min="13569" max="13569"/>
    <col width="46.33203125" customWidth="1" min="13570" max="13570"/>
    <col width="8.33203125" customWidth="1" min="13572" max="13572"/>
    <col width="87.6640625" customWidth="1" min="13825" max="13825"/>
    <col width="46.33203125" customWidth="1" min="13826" max="13826"/>
    <col width="8.33203125" customWidth="1" min="13828" max="13828"/>
    <col width="87.6640625" customWidth="1" min="14081" max="14081"/>
    <col width="46.33203125" customWidth="1" min="14082" max="14082"/>
    <col width="8.33203125" customWidth="1" min="14084" max="14084"/>
    <col width="87.6640625" customWidth="1" min="14337" max="14337"/>
    <col width="46.33203125" customWidth="1" min="14338" max="14338"/>
    <col width="8.33203125" customWidth="1" min="14340" max="14340"/>
    <col width="87.6640625" customWidth="1" min="14593" max="14593"/>
    <col width="46.33203125" customWidth="1" min="14594" max="14594"/>
    <col width="8.33203125" customWidth="1" min="14596" max="14596"/>
    <col width="87.6640625" customWidth="1" min="14849" max="14849"/>
    <col width="46.33203125" customWidth="1" min="14850" max="14850"/>
    <col width="8.33203125" customWidth="1" min="14852" max="14852"/>
    <col width="87.6640625" customWidth="1" min="15105" max="15105"/>
    <col width="46.33203125" customWidth="1" min="15106" max="15106"/>
    <col width="8.33203125" customWidth="1" min="15108" max="15108"/>
    <col width="87.6640625" customWidth="1" min="15361" max="15361"/>
    <col width="46.33203125" customWidth="1" min="15362" max="15362"/>
    <col width="8.33203125" customWidth="1" min="15364" max="15364"/>
    <col width="87.6640625" customWidth="1" min="15617" max="15617"/>
    <col width="46.33203125" customWidth="1" min="15618" max="15618"/>
    <col width="8.33203125" customWidth="1" min="15620" max="15620"/>
    <col width="87.6640625" customWidth="1" min="15873" max="15873"/>
    <col width="46.33203125" customWidth="1" min="15874" max="15874"/>
    <col width="8.33203125" customWidth="1" min="15876" max="15876"/>
    <col width="87.6640625" customWidth="1" min="16129" max="16129"/>
    <col width="46.33203125" customWidth="1" min="16130" max="16130"/>
    <col width="8.33203125" customWidth="1" min="16132" max="16132"/>
  </cols>
  <sheetData>
    <row r="1" ht="18" customHeight="1">
      <c r="A1" s="4" t="inlineStr">
        <is>
          <t>OPĆE NAPOMENE</t>
        </is>
      </c>
    </row>
    <row r="3" ht="27.6" customHeight="1">
      <c r="A3" s="153" t="inlineStr">
        <is>
          <t>Načelo “ne nanosi bitnu štetu” (''do no significant harm'') što znači da se ne podupiru i ne obavljaju gospodarske djelatnosti kojima se nanosi bitna šteta bilo kojem od okolišnih ciljeva.</t>
        </is>
      </c>
    </row>
    <row r="4" ht="41.4" customHeight="1">
      <c r="A4" s="154" t="inlineStr">
        <is>
          <t>Najmanje 70% (težinski) neopasnog građevinskog otpada i otpada od rušenja,iskopa i sl.. nastalog na gradilištu će biti pripremljeno za ponovnu uporabu, recikliranje i korištenje drugog materijala uključujući postupke zatrpavanja otpadom koji zamjenjuje druge materijale, u skladu s hijerarhijom otpada.</t>
        </is>
      </c>
    </row>
    <row r="5" ht="41.4" customHeight="1">
      <c r="A5" s="153" t="inlineStr">
        <is>
          <t>Svi uređaji za vodu koji će se instalirati/nuditi (tuševi s miješalicom, slavine, WC školjke i vodokotlići i slično) moraju biti svrstani u dva najbolja razreda potrošnje vode EU vodne oznake (oznaka EU Water Label - načelo "ne čini značajnu štetu").</t>
        </is>
      </c>
    </row>
    <row r="6" ht="41.4" customHeight="1">
      <c r="A6" s="153" t="inlineStr">
        <is>
          <t>Građevinski dijelovi i materijali koji se koriste u izgradnji zgrade ne sadrže/ne smiju sadržavati azbest niti tvari koje izazivaju veliku zabrinutost, kako je utvrđeno na temelju popisa tvari za koje je potrebno odobrenje.</t>
        </is>
      </c>
    </row>
    <row r="7" ht="55.2" customHeight="1">
      <c r="A7" s="154" t="inlineStr">
        <is>
          <t>Građevinski dijelovi i materijali korišteni u zgradi koji mogu doći u kontakt sa korisnicima emitiraju manje od 0,06 mg formaldehida po m3 materijala ili komponente i manje od 0,001 mg kategorija 1A i 1B kancerogeni hlapljivi organski spojevi po m3 materijala ili komponente, nakon ispitivanja u skladu s važećim propisima ili drugim usporedivim standardiziranim uvjetima ispitivanja i metodom određivanja.</t>
        </is>
      </c>
    </row>
    <row r="8" ht="27.6" customHeight="1">
      <c r="A8" s="153" t="inlineStr">
        <is>
          <t>Pri nuđenju u svakoj stavci ulaznih ili sobnih vata predvidjeti i u ponudu uračunati  i pločicu na Braillovom pismu, bez obzira da li je to specifično naznačeno u stavci ili nije.</t>
        </is>
      </c>
    </row>
    <row r="9" ht="27.6" customHeight="1">
      <c r="A9" s="153" t="inlineStr">
        <is>
          <t>Sve krovne obloge projektirane su kao takve da svojom mehaničkom otpornošću mogu izdržati udar tuče te ih kao takve treba nuditi.</t>
        </is>
      </c>
    </row>
    <row r="10" ht="27.6" customHeight="1">
      <c r="A10" s="153" t="inlineStr">
        <is>
          <t>Sve spojne elementi (vijci, sidra, sidrni vijci i sl.) treba nuditi takve da mogu izdržati nalete snažnog vjetra, pijavica i tornada.</t>
        </is>
      </c>
    </row>
    <row r="12" ht="76.5" customHeight="1">
      <c r="A12" s="3" t="inlineStr">
        <is>
          <t>Sve radove potrebno je izvoditi u skladu s pravomoćnom građevinskom dozvolom, projektnom dokumentacijom, Zakonom o gradnji, Tehničkim propisima i ostalim propisima i pravilnicima koji proizlaze iz njih, norme na koje upućuju te pravilima struke. Za formiranje što kvalitetnije ponude potrebno je koristiti se kompletnom projektnom dokumentacijom (tekstulni i grafički dijelovi projekata) dostavljenom zajedno sa troškovnikom, a prema potrebi izvršiti osobni pregled gradilišta.</t>
        </is>
      </c>
    </row>
    <row r="13">
      <c r="A13" s="2" t="n"/>
    </row>
    <row r="14" ht="72" customHeight="1">
      <c r="A14" s="1" t="inlineStr">
        <is>
          <t>ORGANIZACIJA GRADILIŠTA: Izvođač je dužan tokom čitavog vremena izvođenja radova gradilište održavati čistim i urednim. Odgovoran je da na propisan način zbrinjava otpad, a eventualne troškove ukalkulira u jedinične cijene, jer se neće posebno obračunavati. Priprema svih radnih površina i platoa (npr. izvedba šljunčanog nasipa za manipulativne površine), tornjeva, skela i rampi, sve za potrebe neometanog i pravilnog izvođenja radova obaveza su glavnog izvođača, te se neće dodatno obračunavati.</t>
        </is>
      </c>
    </row>
    <row r="15">
      <c r="A15" s="2" t="n"/>
    </row>
    <row r="16" ht="81.75" customHeight="1">
      <c r="A16" s="219" t="inlineStr">
        <is>
          <t xml:space="preserve">UGRADNJA MATERIJALA I OPREME: Za sav ugrađeni materijal i opremu potrebno je prije njihove ugradnje dostaviti nadzornom inženjeru odgovarajuće dokaze sukladnosti (Izjave o svojstvima, Certifikat o stalnosti svojstava, Tehnički list, Certifikat o sukladnosti tvorničke kontrole kvalitete, Izvještaj o isptivanju, ...) radi odobrenja materijala. Sav ugrađeni materijal i oprema za koji nije dostavljena sve potrebna i ispravna dokumentacija ili nije dano odobrenje od strane nadzornog inženjera za njihovu ugradnju, neće se priznati kao izvedeni rad. </t>
        </is>
      </c>
    </row>
    <row r="17">
      <c r="A17" s="1" t="n"/>
    </row>
    <row r="18" ht="60" customHeight="1">
      <c r="A18" s="1" t="inlineStr">
        <is>
          <t>ODOBRENJE TEHNIČKE DOKUMENTACIJE: Prije izvedbe radova potrebno je nadzornom inženjeru dostaviti na pregled i odobrenje: radioničke nacrte čelika, planove polaganja fasadnih panela, trapeznog krovnog lima, prpračune spojnih sredstavan, prijedlog tehnologije izvedbe podne ploče, prijedlog izvedbe radova na drugačiji način nego je to predviđeno projektom.</t>
        </is>
      </c>
    </row>
    <row r="19">
      <c r="A19" s="2" t="n"/>
    </row>
    <row r="20" ht="44.25" customHeight="1">
      <c r="A20" s="1" t="inlineStr">
        <is>
          <t xml:space="preserve">DODATNI RADOVI: Za sve dodatne radove koji nisu predviđeni projektom ili troškovnikom potrebno je tražiti odobrenje od strane nadzornog inženjera i investitora.  Bez navedenog odobrenja njihova izvedba se neće priznati niti obračunati. </t>
        </is>
      </c>
    </row>
    <row r="21">
      <c r="A21" s="2" t="n"/>
    </row>
    <row r="22" ht="207" customHeight="1">
      <c r="A22" s="1" t="inlineStr">
        <is>
          <t>OBRAČUN RADOVA: Jediničnim cijenama svih radova obuhvaćeni su troškovi kompletno opisanog rada i svih materijala koji će se koristiti za realizaciju pojedine stavke, potrebne radne skele, platforme, mehanizacija i transportna sredstava za izvođenje radova, sav alat i pomoćna sredstva rada, zaštitna oprema i sve ostalo nužno za dovršetka pojedinih radova do pune funkcionalne gotovosti, a sve u skladu sa važećim Zakonom o gradnji, Tehničkim propisima i Pravilnicima na koje upućuju. U cijenu radova su uključeni svi radovi zaštite opreme i proizvoda od prašine i oštećenje, premještanje namještaja i opreme iz prostorija u kojima se izvode radove u druge prostorije te vraćanje istog nakon završetka radova, radovi grubog i finog čišćenja tokom izvedbe radova i nakon završetka, očuvanja i zaštite postojećih materijala i ugrađene opreme, izrada i vođenje prateće obavezne dokumentacije (radionički nacrti čelika, program kontrole i osiguranja kvalitete betonske konstrukcije, planovi armature, sukcesivno prikupljanje dokaza sukladnosti ugrađenih materijala i opreme, vođenje građevinskog dnevnika u skladu s pravilnikom, vođenje građevinske knjige, dokazivanje kvalitete, ispitivanje modula stišljivosti tampona, vađenje uzoraka svježeg betona te isptivanje tlačne čvrstoće i drugih projektom traženih parametara, …). Gradilište tokom čitavog vremena treba održavati urednim, organiziranim i čistim te propisano zbrinjavati sav otpadni materijal uz predočenje dokaza o provoedenom zbrinjavanju.</t>
        </is>
      </c>
    </row>
    <row r="23">
      <c r="A23" s="2" t="n"/>
    </row>
    <row r="24">
      <c r="A24" s="2" t="n"/>
    </row>
    <row r="25">
      <c r="A25" s="2" t="n"/>
    </row>
    <row r="26">
      <c r="A26" s="2" t="n"/>
    </row>
    <row r="27">
      <c r="A27" s="2" t="n"/>
    </row>
    <row r="28" ht="18" customHeight="1">
      <c r="A28" s="5" t="inlineStr">
        <is>
          <t>KONTROLA I OSIGURANJE KVALITETE</t>
        </is>
      </c>
    </row>
    <row r="29">
      <c r="A29" s="1" t="n"/>
    </row>
    <row r="30" ht="193.2" customHeight="1">
      <c r="A30" s="42" t="inlineStr">
        <is>
          <t>Prema Zakonu o građevnim proizvodima NN 76/13, 30/14, 130/17, 39/19, 118/20  i tehničkom propisu o građevnim proizvodima NN 35/18, 104/19, tijekom građenja, a zbog osiguranja kvalitete ugrađenih materijala, mora se provesti kontrola materijala kao i proizvoda tako i dokaza na pojedinim vrstama materijala. Proizvodnu kontrolu ugrađenih materijala dokazuje se Izjavom o svojstvima dobivenom od proizvođača materijala, odnosno Certifikatom o stalnosti svojstava. Za materijale koji se izrađuju na gradilištu vrše se ispitivanja na temelju izrađenih probnih uzoraka. Ispitivanje vrše registrirane tvrtke. Dokazanu kontrolu provodi nadzorni inženjer na način da kontrolira dobivena izvješća izvršenim ispitivanjima materijala. Izvoditelj je dužan da izvrši odnosno provede sva ispitivanja ugrađenih materijala a u skladu sa važećim pravilnicima i standardima. Na zahtjev nadzornog inženjera i ukazane potrebe mogu se vršiti i ispitivanja ostalih materijala za koje se smatra da ne odgovaraju zahtijevanoj kvaliteti. Izvješće o dokazu kvalitete i dokazi sukladnosti ugrađenih materijala su sastavni dio dokumentacije za vršenje tehničkog pregleda građevine. Svi ugrađeni materijali, elementi i ugrađena oprema moraju svojim karakteristikama odgovarati, a kvalitetom zadovoljavati ispitivanja prema zahtjevima iz sljedećih tehničkih propisa te svih pravilnika i normi na koje oni upućuju:</t>
        </is>
      </c>
    </row>
    <row r="31" ht="165.6" customHeight="1">
      <c r="A31" s="42" t="inlineStr">
        <is>
          <t xml:space="preserve">• Tehnički propis za građevinske konstrukcije (NN 17/17, 75/20, 7/22),
• Tehnički propis za dimnjake u građevinama (NN 03/07),
• Tehnički propis za sustave zaštite od djelovanja munje na građevinama (NN 87/08, 33/10),
• Tehnički propis o racionalnoj uporabi energije i toplinskoj zaštiti u zgradama (NN 128/15, 70/18, 73/18,86/18, 102/20),
• Tehnički propis za prozore i vrata (NN 69/06),
• Tehnički propis o sustavim ventilacije, djelomične klimatizacije i klimatizacije zgrada (NN 03/07),
• Tehnički propis o sustavima grijanja i hlađenja zgrada (NN 110/08),
• Tehnički propis za niskonaponske električne instalacije (NN 05/10),
• Tehnički propis za staklene konstrukcije (NN 53/17),
• Tehnički propis kojim se utvrđuju teh. specifikacije za građ. proizvode u usklađenom području,
</t>
        </is>
      </c>
    </row>
    <row r="32">
      <c r="A32" s="1" t="n"/>
    </row>
    <row r="33" ht="156" customHeight="1">
      <c r="A33" s="1" t="inlineStr">
        <is>
          <t>Izvođenjem završnih radova na pojedinim elementima građevine (na građevini) mora se osigurati:
• funkcija,
• postojanost,
• stabilnost,
• sigurnost,
• preciznost,
• trajnost,
• estetski izgled,
• racionalnost i ekonomičnost,
• higijensko-tehnički uvjeti,
• kvaliteta.</t>
        </is>
      </c>
    </row>
    <row r="34" ht="29.25" customHeight="1">
      <c r="A34" s="1" t="n"/>
    </row>
    <row r="35" ht="138" customHeight="1">
      <c r="A35" s="1" t="inlineStr">
        <is>
          <t xml:space="preserve">Pod funkcijom elemenata smatra se prilagođavanje i usklađivanje s namjenom objekta i eksploatacijskim specifičnostima te klimatsko atmosferskim i drugim uvjetima utvrđenim za područje na kojem se nalazi građevina. Postojanost izvedenih radova smatra se nepromjenjivost boje, oblika i strukture materijala i elemenata u propisanom razdoblju. Stabilnost izvedenih završnih radova smatra se otpornost prema kemijskim i mehaničkim utjecajima elemenata sklopova građevine. Sigurnost u izvođenju završnih radova odnosi se na korisnike građevine, prolaze, promet, susjedne objekte i okolinu, te na prolaznike, pri izvedbi i održavanju objekata, osobito pri upotrebi materijala koji mogu ugroziti život i zdravlje ljudi. Pod preciznošću se podrazumijeva točnost u izvođenju završnih radova na elementima građevine u granicama dopuštenih odstupanja. Odstupanje mora biti definirano projektom, u skladu da odgovarajućim standardima za sve slučajeve kojima je preciznost uvjet ispravna funkcioniranja i elemenata građevine. </t>
        </is>
      </c>
    </row>
    <row r="36">
      <c r="A36" s="1" t="n"/>
    </row>
    <row r="37" ht="82.8" customHeight="1">
      <c r="A37" s="1" t="inlineStr">
        <is>
          <t>U odabiru materijala pri izvođenju završnih radova mora se voditi računa o higijensko tehničkim uvjetima, što podrazumijeva lako i jednostavno održavanje pri eksploataciji i sprječavanju ozljeda i eventualnih štetnih utjecaja za korisnike građevina. Izvođenjem završnih radova na građevinama (elementima) moraju se za svaku građevinu osigurati odgovarajuće karakteristike kvalitete. Materijali i sklopovi, pojedini elementi i njihovi dijelovi koji se upotrebljavaju za izvođenje elemenata građevina moraju biti opskrbljeni dokazom o kvaliteti.</t>
        </is>
      </c>
    </row>
    <row r="38">
      <c r="A38" s="1" t="n"/>
    </row>
    <row r="39">
      <c r="A39" s="1" t="n"/>
    </row>
    <row r="40">
      <c r="A40" s="1" t="n"/>
    </row>
    <row r="41">
      <c r="A41" s="1" t="n"/>
    </row>
    <row r="42">
      <c r="A42" s="1" t="n"/>
    </row>
    <row r="43">
      <c r="A43" s="1" t="n"/>
    </row>
    <row r="44">
      <c r="A44" s="1" t="n"/>
    </row>
    <row r="45">
      <c r="A45" s="1" t="n"/>
    </row>
    <row r="46">
      <c r="A46" s="1" t="n"/>
    </row>
    <row r="47">
      <c r="A47" s="1" t="n"/>
    </row>
    <row r="48">
      <c r="A48" s="1" t="n"/>
    </row>
    <row r="49">
      <c r="A49" s="1" t="n"/>
    </row>
    <row r="50">
      <c r="A50" s="1" t="n"/>
    </row>
    <row r="51">
      <c r="A51" s="1" t="n"/>
    </row>
    <row r="52">
      <c r="A52" s="1" t="n"/>
    </row>
    <row r="53">
      <c r="A53" s="1" t="n"/>
    </row>
    <row r="54">
      <c r="A54" s="1" t="n"/>
    </row>
    <row r="55">
      <c r="A55" s="1" t="n"/>
    </row>
    <row r="56">
      <c r="A56" s="1" t="n"/>
    </row>
    <row r="57">
      <c r="A57" s="1" t="n"/>
    </row>
    <row r="58">
      <c r="A58" s="1" t="n"/>
    </row>
    <row r="59">
      <c r="A59" s="1" t="n"/>
    </row>
    <row r="60">
      <c r="A60" s="1" t="n"/>
    </row>
    <row r="61">
      <c r="A61" s="1" t="n"/>
    </row>
    <row r="62">
      <c r="A62" s="1" t="n"/>
    </row>
    <row r="63">
      <c r="A63" s="1" t="n"/>
    </row>
    <row r="64">
      <c r="A64" s="1" t="n"/>
    </row>
    <row r="65">
      <c r="A65" s="1" t="n"/>
    </row>
    <row r="66">
      <c r="A66" s="1" t="n"/>
    </row>
    <row r="67">
      <c r="A67" s="1" t="n"/>
    </row>
    <row r="68">
      <c r="A68" s="1" t="n"/>
    </row>
    <row r="69">
      <c r="A69" s="1" t="n"/>
    </row>
    <row r="70">
      <c r="A70" s="1" t="n"/>
    </row>
    <row r="71">
      <c r="A71" s="1" t="n"/>
    </row>
    <row r="72">
      <c r="A72" s="1" t="n"/>
    </row>
    <row r="73">
      <c r="A73" s="1" t="n"/>
    </row>
    <row r="74">
      <c r="A74" s="1" t="n"/>
    </row>
    <row r="75">
      <c r="A75" s="1" t="n"/>
    </row>
    <row r="76">
      <c r="A76" s="1" t="n"/>
    </row>
    <row r="77">
      <c r="A77" s="1" t="n"/>
    </row>
    <row r="78">
      <c r="A78" s="1" t="n"/>
    </row>
    <row r="79">
      <c r="A79" s="1" t="n"/>
    </row>
    <row r="80">
      <c r="A80" s="1" t="n"/>
    </row>
    <row r="81">
      <c r="A81" s="1" t="n"/>
    </row>
    <row r="82">
      <c r="A82" s="1" t="n"/>
    </row>
    <row r="83">
      <c r="A83" s="1" t="n"/>
    </row>
    <row r="84">
      <c r="A84" s="1" t="n"/>
    </row>
    <row r="85">
      <c r="A85" s="1" t="n"/>
    </row>
    <row r="86">
      <c r="A86" s="1" t="n"/>
    </row>
    <row r="87">
      <c r="A87" s="1" t="n"/>
    </row>
    <row r="88">
      <c r="A88" s="1" t="n"/>
    </row>
    <row r="89">
      <c r="A89" s="1" t="n"/>
    </row>
    <row r="90">
      <c r="A90" s="1" t="n"/>
    </row>
    <row r="91">
      <c r="A91" s="1" t="n"/>
    </row>
    <row r="92">
      <c r="A92" s="1" t="n"/>
    </row>
    <row r="93">
      <c r="A93" s="1" t="n"/>
    </row>
    <row r="94">
      <c r="A94" s="1" t="n"/>
    </row>
    <row r="95">
      <c r="A95" s="1" t="n"/>
    </row>
    <row r="96">
      <c r="A96" s="1" t="n"/>
    </row>
    <row r="97">
      <c r="A97" s="1" t="n"/>
    </row>
    <row r="98">
      <c r="A98" s="1" t="n"/>
    </row>
    <row r="99">
      <c r="A99" s="1" t="n"/>
    </row>
    <row r="100">
      <c r="A100" s="1" t="n"/>
    </row>
    <row r="101">
      <c r="A101" s="1" t="n"/>
    </row>
    <row r="102">
      <c r="A102" s="1" t="n"/>
    </row>
    <row r="103">
      <c r="A103" s="1" t="n"/>
    </row>
    <row r="104">
      <c r="A104" s="1" t="n"/>
    </row>
    <row r="105">
      <c r="A105" s="1" t="n"/>
    </row>
    <row r="106">
      <c r="A106" s="1" t="n"/>
    </row>
    <row r="107">
      <c r="A107" s="1" t="n"/>
    </row>
    <row r="108">
      <c r="A108" s="1" t="n"/>
    </row>
    <row r="109">
      <c r="A109" s="1" t="n"/>
    </row>
    <row r="110">
      <c r="A110" s="1" t="n"/>
    </row>
    <row r="111">
      <c r="A111" s="1" t="n"/>
    </row>
    <row r="112">
      <c r="A112" s="1" t="n"/>
    </row>
    <row r="113">
      <c r="A113" s="1" t="n"/>
    </row>
    <row r="114">
      <c r="A114" s="1" t="n"/>
    </row>
    <row r="115">
      <c r="A115" s="1" t="n"/>
    </row>
    <row r="116">
      <c r="A116" s="1" t="n"/>
    </row>
    <row r="117">
      <c r="A117" s="1" t="n"/>
    </row>
    <row r="118">
      <c r="A118" s="1" t="n"/>
    </row>
    <row r="119">
      <c r="A119" s="1" t="n"/>
    </row>
    <row r="120">
      <c r="A120" s="1" t="n"/>
    </row>
    <row r="121">
      <c r="A121" s="1" t="n"/>
    </row>
    <row r="122">
      <c r="A122" s="1" t="n"/>
    </row>
    <row r="123">
      <c r="A123" s="1" t="n"/>
    </row>
    <row r="124">
      <c r="A124" s="1" t="n"/>
    </row>
    <row r="125">
      <c r="A125" s="1" t="n"/>
    </row>
    <row r="126">
      <c r="A126" s="1" t="n"/>
    </row>
    <row r="127">
      <c r="A127" s="1" t="n"/>
    </row>
    <row r="128">
      <c r="A128" s="1" t="n"/>
    </row>
    <row r="129">
      <c r="A129" s="1" t="n"/>
    </row>
    <row r="130">
      <c r="A130" s="1" t="n"/>
    </row>
    <row r="131">
      <c r="A131" s="1" t="n"/>
    </row>
    <row r="132">
      <c r="A132" s="1" t="n"/>
    </row>
    <row r="133">
      <c r="A133" s="1" t="n"/>
    </row>
    <row r="134">
      <c r="A134" s="1" t="n"/>
    </row>
    <row r="135">
      <c r="A135" s="1" t="n"/>
    </row>
    <row r="136">
      <c r="A136" s="1" t="n"/>
    </row>
    <row r="137">
      <c r="A137" s="1" t="n"/>
    </row>
    <row r="138">
      <c r="A138" s="1" t="n"/>
    </row>
    <row r="139">
      <c r="A139" s="1" t="n"/>
    </row>
    <row r="140">
      <c r="A140" s="1" t="n"/>
    </row>
    <row r="141">
      <c r="A141" s="1" t="n"/>
    </row>
    <row r="142">
      <c r="A142" s="1" t="n"/>
    </row>
    <row r="143">
      <c r="A143" s="1" t="n"/>
    </row>
    <row r="144">
      <c r="A144" s="1" t="n"/>
    </row>
    <row r="145">
      <c r="A145" s="1" t="n"/>
    </row>
    <row r="146">
      <c r="A146" s="1" t="n"/>
    </row>
    <row r="147">
      <c r="A147" s="1" t="n"/>
    </row>
    <row r="148">
      <c r="A148" s="1" t="n"/>
    </row>
    <row r="149">
      <c r="A149" s="1" t="n"/>
    </row>
    <row r="150">
      <c r="A150" s="1" t="n"/>
    </row>
    <row r="151">
      <c r="A151" s="1" t="n"/>
    </row>
    <row r="152">
      <c r="A152" s="1" t="n"/>
    </row>
    <row r="153">
      <c r="A153" s="1" t="n"/>
    </row>
    <row r="154">
      <c r="A154" s="1" t="n"/>
    </row>
    <row r="155">
      <c r="A155" s="1" t="n"/>
    </row>
  </sheetData>
  <pageMargins left="0.7874015748031497" right="0.1968503937007874" top="0.7874015748031497" bottom="0.7874015748031497" header="0.3149606299212598" footer="0.3149606299212598"/>
  <pageSetup orientation="portrait" paperSize="9"/>
  <headerFooter>
    <oddHeader/>
    <oddFooter>&amp;C&amp;9 Izgradnja zgrade područne osnovne škole sa školskom dvoranom te uređenjem okoliša Komin</oddFooter>
    <evenHeader/>
    <evenFooter/>
    <firstHeader/>
    <firstFooter/>
  </headerFooter>
  <rowBreaks count="2" manualBreakCount="2">
    <brk id="25" min="0" max="16383" man="1"/>
    <brk id="33" min="0" max="16383" man="1"/>
  </rowBreaks>
</worksheet>
</file>

<file path=xl/worksheets/sheet8.xml><?xml version="1.0" encoding="utf-8"?>
<worksheet xmlns="http://schemas.openxmlformats.org/spreadsheetml/2006/main">
  <sheetPr>
    <tabColor rgb="FF00B050"/>
    <outlinePr summaryBelow="1" summaryRight="1"/>
    <pageSetUpPr/>
  </sheetPr>
  <dimension ref="A1:F28"/>
  <sheetViews>
    <sheetView view="pageBreakPreview" zoomScaleNormal="100" zoomScaleSheetLayoutView="100" workbookViewId="0">
      <selection activeCell="K24" sqref="K24"/>
    </sheetView>
  </sheetViews>
  <sheetFormatPr baseColWidth="8" defaultRowHeight="14.4"/>
  <cols>
    <col width="6.6640625" customWidth="1" style="45" min="1" max="1"/>
    <col width="51.6640625" customWidth="1" style="45" min="2" max="2"/>
    <col width="4.6640625" customWidth="1" style="45" min="3" max="3"/>
    <col width="9.6640625" customWidth="1" style="45" min="4" max="4"/>
    <col width="9.6640625" customWidth="1" style="279" min="5" max="6"/>
    <col width="9.109375" customWidth="1" style="45" min="7" max="256"/>
    <col width="6.6640625" customWidth="1" style="45" min="257" max="257"/>
    <col width="51.6640625" customWidth="1" style="45" min="258" max="258"/>
    <col width="4.6640625" customWidth="1" style="45" min="259" max="259"/>
    <col width="9.6640625" customWidth="1" style="45" min="260" max="262"/>
    <col width="9.109375" customWidth="1" style="45" min="263" max="512"/>
    <col width="6.6640625" customWidth="1" style="45" min="513" max="513"/>
    <col width="51.6640625" customWidth="1" style="45" min="514" max="514"/>
    <col width="4.6640625" customWidth="1" style="45" min="515" max="515"/>
    <col width="9.6640625" customWidth="1" style="45" min="516" max="518"/>
    <col width="9.109375" customWidth="1" style="45" min="519" max="768"/>
    <col width="6.6640625" customWidth="1" style="45" min="769" max="769"/>
    <col width="51.6640625" customWidth="1" style="45" min="770" max="770"/>
    <col width="4.6640625" customWidth="1" style="45" min="771" max="771"/>
    <col width="9.6640625" customWidth="1" style="45" min="772" max="774"/>
    <col width="9.109375" customWidth="1" style="45" min="775" max="1024"/>
    <col width="6.6640625" customWidth="1" style="45" min="1025" max="1025"/>
    <col width="51.6640625" customWidth="1" style="45" min="1026" max="1026"/>
    <col width="4.6640625" customWidth="1" style="45" min="1027" max="1027"/>
    <col width="9.6640625" customWidth="1" style="45" min="1028" max="1030"/>
    <col width="9.109375" customWidth="1" style="45" min="1031" max="1280"/>
    <col width="6.6640625" customWidth="1" style="45" min="1281" max="1281"/>
    <col width="51.6640625" customWidth="1" style="45" min="1282" max="1282"/>
    <col width="4.6640625" customWidth="1" style="45" min="1283" max="1283"/>
    <col width="9.6640625" customWidth="1" style="45" min="1284" max="1286"/>
    <col width="9.109375" customWidth="1" style="45" min="1287" max="1536"/>
    <col width="6.6640625" customWidth="1" style="45" min="1537" max="1537"/>
    <col width="51.6640625" customWidth="1" style="45" min="1538" max="1538"/>
    <col width="4.6640625" customWidth="1" style="45" min="1539" max="1539"/>
    <col width="9.6640625" customWidth="1" style="45" min="1540" max="1542"/>
    <col width="9.109375" customWidth="1" style="45" min="1543" max="1792"/>
    <col width="6.6640625" customWidth="1" style="45" min="1793" max="1793"/>
    <col width="51.6640625" customWidth="1" style="45" min="1794" max="1794"/>
    <col width="4.6640625" customWidth="1" style="45" min="1795" max="1795"/>
    <col width="9.6640625" customWidth="1" style="45" min="1796" max="1798"/>
    <col width="9.109375" customWidth="1" style="45" min="1799" max="2048"/>
    <col width="6.6640625" customWidth="1" style="45" min="2049" max="2049"/>
    <col width="51.6640625" customWidth="1" style="45" min="2050" max="2050"/>
    <col width="4.6640625" customWidth="1" style="45" min="2051" max="2051"/>
    <col width="9.6640625" customWidth="1" style="45" min="2052" max="2054"/>
    <col width="9.109375" customWidth="1" style="45" min="2055" max="2304"/>
    <col width="6.6640625" customWidth="1" style="45" min="2305" max="2305"/>
    <col width="51.6640625" customWidth="1" style="45" min="2306" max="2306"/>
    <col width="4.6640625" customWidth="1" style="45" min="2307" max="2307"/>
    <col width="9.6640625" customWidth="1" style="45" min="2308" max="2310"/>
    <col width="9.109375" customWidth="1" style="45" min="2311" max="2560"/>
    <col width="6.6640625" customWidth="1" style="45" min="2561" max="2561"/>
    <col width="51.6640625" customWidth="1" style="45" min="2562" max="2562"/>
    <col width="4.6640625" customWidth="1" style="45" min="2563" max="2563"/>
    <col width="9.6640625" customWidth="1" style="45" min="2564" max="2566"/>
    <col width="9.109375" customWidth="1" style="45" min="2567" max="2816"/>
    <col width="6.6640625" customWidth="1" style="45" min="2817" max="2817"/>
    <col width="51.6640625" customWidth="1" style="45" min="2818" max="2818"/>
    <col width="4.6640625" customWidth="1" style="45" min="2819" max="2819"/>
    <col width="9.6640625" customWidth="1" style="45" min="2820" max="2822"/>
    <col width="9.109375" customWidth="1" style="45" min="2823" max="3072"/>
    <col width="6.6640625" customWidth="1" style="45" min="3073" max="3073"/>
    <col width="51.6640625" customWidth="1" style="45" min="3074" max="3074"/>
    <col width="4.6640625" customWidth="1" style="45" min="3075" max="3075"/>
    <col width="9.6640625" customWidth="1" style="45" min="3076" max="3078"/>
    <col width="9.109375" customWidth="1" style="45" min="3079" max="3328"/>
    <col width="6.6640625" customWidth="1" style="45" min="3329" max="3329"/>
    <col width="51.6640625" customWidth="1" style="45" min="3330" max="3330"/>
    <col width="4.6640625" customWidth="1" style="45" min="3331" max="3331"/>
    <col width="9.6640625" customWidth="1" style="45" min="3332" max="3334"/>
    <col width="9.109375" customWidth="1" style="45" min="3335" max="3584"/>
    <col width="6.6640625" customWidth="1" style="45" min="3585" max="3585"/>
    <col width="51.6640625" customWidth="1" style="45" min="3586" max="3586"/>
    <col width="4.6640625" customWidth="1" style="45" min="3587" max="3587"/>
    <col width="9.6640625" customWidth="1" style="45" min="3588" max="3590"/>
    <col width="9.109375" customWidth="1" style="45" min="3591" max="3840"/>
    <col width="6.6640625" customWidth="1" style="45" min="3841" max="3841"/>
    <col width="51.6640625" customWidth="1" style="45" min="3842" max="3842"/>
    <col width="4.6640625" customWidth="1" style="45" min="3843" max="3843"/>
    <col width="9.6640625" customWidth="1" style="45" min="3844" max="3846"/>
    <col width="9.109375" customWidth="1" style="45" min="3847" max="4096"/>
    <col width="6.6640625" customWidth="1" style="45" min="4097" max="4097"/>
    <col width="51.6640625" customWidth="1" style="45" min="4098" max="4098"/>
    <col width="4.6640625" customWidth="1" style="45" min="4099" max="4099"/>
    <col width="9.6640625" customWidth="1" style="45" min="4100" max="4102"/>
    <col width="9.109375" customWidth="1" style="45" min="4103" max="4352"/>
    <col width="6.6640625" customWidth="1" style="45" min="4353" max="4353"/>
    <col width="51.6640625" customWidth="1" style="45" min="4354" max="4354"/>
    <col width="4.6640625" customWidth="1" style="45" min="4355" max="4355"/>
    <col width="9.6640625" customWidth="1" style="45" min="4356" max="4358"/>
    <col width="9.109375" customWidth="1" style="45" min="4359" max="4608"/>
    <col width="6.6640625" customWidth="1" style="45" min="4609" max="4609"/>
    <col width="51.6640625" customWidth="1" style="45" min="4610" max="4610"/>
    <col width="4.6640625" customWidth="1" style="45" min="4611" max="4611"/>
    <col width="9.6640625" customWidth="1" style="45" min="4612" max="4614"/>
    <col width="9.109375" customWidth="1" style="45" min="4615" max="4864"/>
    <col width="6.6640625" customWidth="1" style="45" min="4865" max="4865"/>
    <col width="51.6640625" customWidth="1" style="45" min="4866" max="4866"/>
    <col width="4.6640625" customWidth="1" style="45" min="4867" max="4867"/>
    <col width="9.6640625" customWidth="1" style="45" min="4868" max="4870"/>
    <col width="9.109375" customWidth="1" style="45" min="4871" max="5120"/>
    <col width="6.6640625" customWidth="1" style="45" min="5121" max="5121"/>
    <col width="51.6640625" customWidth="1" style="45" min="5122" max="5122"/>
    <col width="4.6640625" customWidth="1" style="45" min="5123" max="5123"/>
    <col width="9.6640625" customWidth="1" style="45" min="5124" max="5126"/>
    <col width="9.109375" customWidth="1" style="45" min="5127" max="5376"/>
    <col width="6.6640625" customWidth="1" style="45" min="5377" max="5377"/>
    <col width="51.6640625" customWidth="1" style="45" min="5378" max="5378"/>
    <col width="4.6640625" customWidth="1" style="45" min="5379" max="5379"/>
    <col width="9.6640625" customWidth="1" style="45" min="5380" max="5382"/>
    <col width="9.109375" customWidth="1" style="45" min="5383" max="5632"/>
    <col width="6.6640625" customWidth="1" style="45" min="5633" max="5633"/>
    <col width="51.6640625" customWidth="1" style="45" min="5634" max="5634"/>
    <col width="4.6640625" customWidth="1" style="45" min="5635" max="5635"/>
    <col width="9.6640625" customWidth="1" style="45" min="5636" max="5638"/>
    <col width="9.109375" customWidth="1" style="45" min="5639" max="5888"/>
    <col width="6.6640625" customWidth="1" style="45" min="5889" max="5889"/>
    <col width="51.6640625" customWidth="1" style="45" min="5890" max="5890"/>
    <col width="4.6640625" customWidth="1" style="45" min="5891" max="5891"/>
    <col width="9.6640625" customWidth="1" style="45" min="5892" max="5894"/>
    <col width="9.109375" customWidth="1" style="45" min="5895" max="6144"/>
    <col width="6.6640625" customWidth="1" style="45" min="6145" max="6145"/>
    <col width="51.6640625" customWidth="1" style="45" min="6146" max="6146"/>
    <col width="4.6640625" customWidth="1" style="45" min="6147" max="6147"/>
    <col width="9.6640625" customWidth="1" style="45" min="6148" max="6150"/>
    <col width="9.109375" customWidth="1" style="45" min="6151" max="6400"/>
    <col width="6.6640625" customWidth="1" style="45" min="6401" max="6401"/>
    <col width="51.6640625" customWidth="1" style="45" min="6402" max="6402"/>
    <col width="4.6640625" customWidth="1" style="45" min="6403" max="6403"/>
    <col width="9.6640625" customWidth="1" style="45" min="6404" max="6406"/>
    <col width="9.109375" customWidth="1" style="45" min="6407" max="6656"/>
    <col width="6.6640625" customWidth="1" style="45" min="6657" max="6657"/>
    <col width="51.6640625" customWidth="1" style="45" min="6658" max="6658"/>
    <col width="4.6640625" customWidth="1" style="45" min="6659" max="6659"/>
    <col width="9.6640625" customWidth="1" style="45" min="6660" max="6662"/>
    <col width="9.109375" customWidth="1" style="45" min="6663" max="6912"/>
    <col width="6.6640625" customWidth="1" style="45" min="6913" max="6913"/>
    <col width="51.6640625" customWidth="1" style="45" min="6914" max="6914"/>
    <col width="4.6640625" customWidth="1" style="45" min="6915" max="6915"/>
    <col width="9.6640625" customWidth="1" style="45" min="6916" max="6918"/>
    <col width="9.109375" customWidth="1" style="45" min="6919" max="7168"/>
    <col width="6.6640625" customWidth="1" style="45" min="7169" max="7169"/>
    <col width="51.6640625" customWidth="1" style="45" min="7170" max="7170"/>
    <col width="4.6640625" customWidth="1" style="45" min="7171" max="7171"/>
    <col width="9.6640625" customWidth="1" style="45" min="7172" max="7174"/>
    <col width="9.109375" customWidth="1" style="45" min="7175" max="7424"/>
    <col width="6.6640625" customWidth="1" style="45" min="7425" max="7425"/>
    <col width="51.6640625" customWidth="1" style="45" min="7426" max="7426"/>
    <col width="4.6640625" customWidth="1" style="45" min="7427" max="7427"/>
    <col width="9.6640625" customWidth="1" style="45" min="7428" max="7430"/>
    <col width="9.109375" customWidth="1" style="45" min="7431" max="7680"/>
    <col width="6.6640625" customWidth="1" style="45" min="7681" max="7681"/>
    <col width="51.6640625" customWidth="1" style="45" min="7682" max="7682"/>
    <col width="4.6640625" customWidth="1" style="45" min="7683" max="7683"/>
    <col width="9.6640625" customWidth="1" style="45" min="7684" max="7686"/>
    <col width="9.109375" customWidth="1" style="45" min="7687" max="7936"/>
    <col width="6.6640625" customWidth="1" style="45" min="7937" max="7937"/>
    <col width="51.6640625" customWidth="1" style="45" min="7938" max="7938"/>
    <col width="4.6640625" customWidth="1" style="45" min="7939" max="7939"/>
    <col width="9.6640625" customWidth="1" style="45" min="7940" max="7942"/>
    <col width="9.109375" customWidth="1" style="45" min="7943" max="8192"/>
    <col width="6.6640625" customWidth="1" style="45" min="8193" max="8193"/>
    <col width="51.6640625" customWidth="1" style="45" min="8194" max="8194"/>
    <col width="4.6640625" customWidth="1" style="45" min="8195" max="8195"/>
    <col width="9.6640625" customWidth="1" style="45" min="8196" max="8198"/>
    <col width="9.109375" customWidth="1" style="45" min="8199" max="8448"/>
    <col width="6.6640625" customWidth="1" style="45" min="8449" max="8449"/>
    <col width="51.6640625" customWidth="1" style="45" min="8450" max="8450"/>
    <col width="4.6640625" customWidth="1" style="45" min="8451" max="8451"/>
    <col width="9.6640625" customWidth="1" style="45" min="8452" max="8454"/>
    <col width="9.109375" customWidth="1" style="45" min="8455" max="8704"/>
    <col width="6.6640625" customWidth="1" style="45" min="8705" max="8705"/>
    <col width="51.6640625" customWidth="1" style="45" min="8706" max="8706"/>
    <col width="4.6640625" customWidth="1" style="45" min="8707" max="8707"/>
    <col width="9.6640625" customWidth="1" style="45" min="8708" max="8710"/>
    <col width="9.109375" customWidth="1" style="45" min="8711" max="8960"/>
    <col width="6.6640625" customWidth="1" style="45" min="8961" max="8961"/>
    <col width="51.6640625" customWidth="1" style="45" min="8962" max="8962"/>
    <col width="4.6640625" customWidth="1" style="45" min="8963" max="8963"/>
    <col width="9.6640625" customWidth="1" style="45" min="8964" max="8966"/>
    <col width="9.109375" customWidth="1" style="45" min="8967" max="9216"/>
    <col width="6.6640625" customWidth="1" style="45" min="9217" max="9217"/>
    <col width="51.6640625" customWidth="1" style="45" min="9218" max="9218"/>
    <col width="4.6640625" customWidth="1" style="45" min="9219" max="9219"/>
    <col width="9.6640625" customWidth="1" style="45" min="9220" max="9222"/>
    <col width="9.109375" customWidth="1" style="45" min="9223" max="9472"/>
    <col width="6.6640625" customWidth="1" style="45" min="9473" max="9473"/>
    <col width="51.6640625" customWidth="1" style="45" min="9474" max="9474"/>
    <col width="4.6640625" customWidth="1" style="45" min="9475" max="9475"/>
    <col width="9.6640625" customWidth="1" style="45" min="9476" max="9478"/>
    <col width="9.109375" customWidth="1" style="45" min="9479" max="9728"/>
    <col width="6.6640625" customWidth="1" style="45" min="9729" max="9729"/>
    <col width="51.6640625" customWidth="1" style="45" min="9730" max="9730"/>
    <col width="4.6640625" customWidth="1" style="45" min="9731" max="9731"/>
    <col width="9.6640625" customWidth="1" style="45" min="9732" max="9734"/>
    <col width="9.109375" customWidth="1" style="45" min="9735" max="9984"/>
    <col width="6.6640625" customWidth="1" style="45" min="9985" max="9985"/>
    <col width="51.6640625" customWidth="1" style="45" min="9986" max="9986"/>
    <col width="4.6640625" customWidth="1" style="45" min="9987" max="9987"/>
    <col width="9.6640625" customWidth="1" style="45" min="9988" max="9990"/>
    <col width="9.109375" customWidth="1" style="45" min="9991" max="10240"/>
    <col width="6.6640625" customWidth="1" style="45" min="10241" max="10241"/>
    <col width="51.6640625" customWidth="1" style="45" min="10242" max="10242"/>
    <col width="4.6640625" customWidth="1" style="45" min="10243" max="10243"/>
    <col width="9.6640625" customWidth="1" style="45" min="10244" max="10246"/>
    <col width="9.109375" customWidth="1" style="45" min="10247" max="10496"/>
    <col width="6.6640625" customWidth="1" style="45" min="10497" max="10497"/>
    <col width="51.6640625" customWidth="1" style="45" min="10498" max="10498"/>
    <col width="4.6640625" customWidth="1" style="45" min="10499" max="10499"/>
    <col width="9.6640625" customWidth="1" style="45" min="10500" max="10502"/>
    <col width="9.109375" customWidth="1" style="45" min="10503" max="10752"/>
    <col width="6.6640625" customWidth="1" style="45" min="10753" max="10753"/>
    <col width="51.6640625" customWidth="1" style="45" min="10754" max="10754"/>
    <col width="4.6640625" customWidth="1" style="45" min="10755" max="10755"/>
    <col width="9.6640625" customWidth="1" style="45" min="10756" max="10758"/>
    <col width="9.109375" customWidth="1" style="45" min="10759" max="11008"/>
    <col width="6.6640625" customWidth="1" style="45" min="11009" max="11009"/>
    <col width="51.6640625" customWidth="1" style="45" min="11010" max="11010"/>
    <col width="4.6640625" customWidth="1" style="45" min="11011" max="11011"/>
    <col width="9.6640625" customWidth="1" style="45" min="11012" max="11014"/>
    <col width="9.109375" customWidth="1" style="45" min="11015" max="11264"/>
    <col width="6.6640625" customWidth="1" style="45" min="11265" max="11265"/>
    <col width="51.6640625" customWidth="1" style="45" min="11266" max="11266"/>
    <col width="4.6640625" customWidth="1" style="45" min="11267" max="11267"/>
    <col width="9.6640625" customWidth="1" style="45" min="11268" max="11270"/>
    <col width="9.109375" customWidth="1" style="45" min="11271" max="11520"/>
    <col width="6.6640625" customWidth="1" style="45" min="11521" max="11521"/>
    <col width="51.6640625" customWidth="1" style="45" min="11522" max="11522"/>
    <col width="4.6640625" customWidth="1" style="45" min="11523" max="11523"/>
    <col width="9.6640625" customWidth="1" style="45" min="11524" max="11526"/>
    <col width="9.109375" customWidth="1" style="45" min="11527" max="11776"/>
    <col width="6.6640625" customWidth="1" style="45" min="11777" max="11777"/>
    <col width="51.6640625" customWidth="1" style="45" min="11778" max="11778"/>
    <col width="4.6640625" customWidth="1" style="45" min="11779" max="11779"/>
    <col width="9.6640625" customWidth="1" style="45" min="11780" max="11782"/>
    <col width="9.109375" customWidth="1" style="45" min="11783" max="12032"/>
    <col width="6.6640625" customWidth="1" style="45" min="12033" max="12033"/>
    <col width="51.6640625" customWidth="1" style="45" min="12034" max="12034"/>
    <col width="4.6640625" customWidth="1" style="45" min="12035" max="12035"/>
    <col width="9.6640625" customWidth="1" style="45" min="12036" max="12038"/>
    <col width="9.109375" customWidth="1" style="45" min="12039" max="12288"/>
    <col width="6.6640625" customWidth="1" style="45" min="12289" max="12289"/>
    <col width="51.6640625" customWidth="1" style="45" min="12290" max="12290"/>
    <col width="4.6640625" customWidth="1" style="45" min="12291" max="12291"/>
    <col width="9.6640625" customWidth="1" style="45" min="12292" max="12294"/>
    <col width="9.109375" customWidth="1" style="45" min="12295" max="12544"/>
    <col width="6.6640625" customWidth="1" style="45" min="12545" max="12545"/>
    <col width="51.6640625" customWidth="1" style="45" min="12546" max="12546"/>
    <col width="4.6640625" customWidth="1" style="45" min="12547" max="12547"/>
    <col width="9.6640625" customWidth="1" style="45" min="12548" max="12550"/>
    <col width="9.109375" customWidth="1" style="45" min="12551" max="12800"/>
    <col width="6.6640625" customWidth="1" style="45" min="12801" max="12801"/>
    <col width="51.6640625" customWidth="1" style="45" min="12802" max="12802"/>
    <col width="4.6640625" customWidth="1" style="45" min="12803" max="12803"/>
    <col width="9.6640625" customWidth="1" style="45" min="12804" max="12806"/>
    <col width="9.109375" customWidth="1" style="45" min="12807" max="13056"/>
    <col width="6.6640625" customWidth="1" style="45" min="13057" max="13057"/>
    <col width="51.6640625" customWidth="1" style="45" min="13058" max="13058"/>
    <col width="4.6640625" customWidth="1" style="45" min="13059" max="13059"/>
    <col width="9.6640625" customWidth="1" style="45" min="13060" max="13062"/>
    <col width="9.109375" customWidth="1" style="45" min="13063" max="13312"/>
    <col width="6.6640625" customWidth="1" style="45" min="13313" max="13313"/>
    <col width="51.6640625" customWidth="1" style="45" min="13314" max="13314"/>
    <col width="4.6640625" customWidth="1" style="45" min="13315" max="13315"/>
    <col width="9.6640625" customWidth="1" style="45" min="13316" max="13318"/>
    <col width="9.109375" customWidth="1" style="45" min="13319" max="13568"/>
    <col width="6.6640625" customWidth="1" style="45" min="13569" max="13569"/>
    <col width="51.6640625" customWidth="1" style="45" min="13570" max="13570"/>
    <col width="4.6640625" customWidth="1" style="45" min="13571" max="13571"/>
    <col width="9.6640625" customWidth="1" style="45" min="13572" max="13574"/>
    <col width="9.109375" customWidth="1" style="45" min="13575" max="13824"/>
    <col width="6.6640625" customWidth="1" style="45" min="13825" max="13825"/>
    <col width="51.6640625" customWidth="1" style="45" min="13826" max="13826"/>
    <col width="4.6640625" customWidth="1" style="45" min="13827" max="13827"/>
    <col width="9.6640625" customWidth="1" style="45" min="13828" max="13830"/>
    <col width="9.109375" customWidth="1" style="45" min="13831" max="14080"/>
    <col width="6.6640625" customWidth="1" style="45" min="14081" max="14081"/>
    <col width="51.6640625" customWidth="1" style="45" min="14082" max="14082"/>
    <col width="4.6640625" customWidth="1" style="45" min="14083" max="14083"/>
    <col width="9.6640625" customWidth="1" style="45" min="14084" max="14086"/>
    <col width="9.109375" customWidth="1" style="45" min="14087" max="14336"/>
    <col width="6.6640625" customWidth="1" style="45" min="14337" max="14337"/>
    <col width="51.6640625" customWidth="1" style="45" min="14338" max="14338"/>
    <col width="4.6640625" customWidth="1" style="45" min="14339" max="14339"/>
    <col width="9.6640625" customWidth="1" style="45" min="14340" max="14342"/>
    <col width="9.109375" customWidth="1" style="45" min="14343" max="14592"/>
    <col width="6.6640625" customWidth="1" style="45" min="14593" max="14593"/>
    <col width="51.6640625" customWidth="1" style="45" min="14594" max="14594"/>
    <col width="4.6640625" customWidth="1" style="45" min="14595" max="14595"/>
    <col width="9.6640625" customWidth="1" style="45" min="14596" max="14598"/>
    <col width="9.109375" customWidth="1" style="45" min="14599" max="14848"/>
    <col width="6.6640625" customWidth="1" style="45" min="14849" max="14849"/>
    <col width="51.6640625" customWidth="1" style="45" min="14850" max="14850"/>
    <col width="4.6640625" customWidth="1" style="45" min="14851" max="14851"/>
    <col width="9.6640625" customWidth="1" style="45" min="14852" max="14854"/>
    <col width="9.109375" customWidth="1" style="45" min="14855" max="15104"/>
    <col width="6.6640625" customWidth="1" style="45" min="15105" max="15105"/>
    <col width="51.6640625" customWidth="1" style="45" min="15106" max="15106"/>
    <col width="4.6640625" customWidth="1" style="45" min="15107" max="15107"/>
    <col width="9.6640625" customWidth="1" style="45" min="15108" max="15110"/>
    <col width="9.109375" customWidth="1" style="45" min="15111" max="15360"/>
    <col width="6.6640625" customWidth="1" style="45" min="15361" max="15361"/>
    <col width="51.6640625" customWidth="1" style="45" min="15362" max="15362"/>
    <col width="4.6640625" customWidth="1" style="45" min="15363" max="15363"/>
    <col width="9.6640625" customWidth="1" style="45" min="15364" max="15366"/>
    <col width="9.109375" customWidth="1" style="45" min="15367" max="15616"/>
    <col width="6.6640625" customWidth="1" style="45" min="15617" max="15617"/>
    <col width="51.6640625" customWidth="1" style="45" min="15618" max="15618"/>
    <col width="4.6640625" customWidth="1" style="45" min="15619" max="15619"/>
    <col width="9.6640625" customWidth="1" style="45" min="15620" max="15622"/>
    <col width="9.109375" customWidth="1" style="45" min="15623" max="15872"/>
    <col width="6.6640625" customWidth="1" style="45" min="15873" max="15873"/>
    <col width="51.6640625" customWidth="1" style="45" min="15874" max="15874"/>
    <col width="4.6640625" customWidth="1" style="45" min="15875" max="15875"/>
    <col width="9.6640625" customWidth="1" style="45" min="15876" max="15878"/>
    <col width="9.109375" customWidth="1" style="45" min="15879" max="16128"/>
    <col width="6.6640625" customWidth="1" style="45" min="16129" max="16129"/>
    <col width="51.6640625" customWidth="1" style="45" min="16130" max="16130"/>
    <col width="4.6640625" customWidth="1" style="45" min="16131" max="16131"/>
    <col width="9.6640625" customWidth="1" style="45" min="16132" max="16134"/>
    <col width="9.109375" customWidth="1" style="45" min="16135" max="16384"/>
  </cols>
  <sheetData>
    <row r="1" ht="15" customFormat="1" customHeight="1" s="47">
      <c r="A1" s="222" t="inlineStr">
        <is>
          <t>04.00 ZIDARSKI RADOVI</t>
        </is>
      </c>
      <c r="B1" s="280" t="n"/>
      <c r="C1" s="59" t="inlineStr">
        <is>
          <t>MJ</t>
        </is>
      </c>
      <c r="D1" s="60" t="inlineStr">
        <is>
          <t>KOLIČINA</t>
        </is>
      </c>
      <c r="E1" s="281" t="inlineStr">
        <is>
          <t>JED. CIJENA</t>
        </is>
      </c>
      <c r="F1" s="282" t="inlineStr">
        <is>
          <t>UKUPNO</t>
        </is>
      </c>
    </row>
    <row r="2" ht="12" customHeight="1">
      <c r="A2" s="48" t="n"/>
      <c r="B2" s="49" t="n"/>
      <c r="C2" s="50" t="n"/>
      <c r="D2" s="51" t="n"/>
      <c r="E2" s="283" t="n"/>
      <c r="F2" s="283" t="n"/>
    </row>
    <row r="3" ht="12" customFormat="1" customHeight="1" s="44">
      <c r="A3" s="161" t="inlineStr">
        <is>
          <t>04.01.</t>
        </is>
      </c>
      <c r="B3" s="160" t="inlineStr">
        <is>
          <t>Žbukanje zidova, VAPNENO CEMENTNA ŽBUKA.</t>
        </is>
      </c>
      <c r="C3" s="56" t="n"/>
      <c r="D3" s="113" t="n"/>
      <c r="E3" s="284" t="n"/>
      <c r="F3" s="284" t="n"/>
    </row>
    <row r="4" ht="84" customFormat="1" customHeight="1" s="44">
      <c r="A4" s="31" t="n"/>
      <c r="B4" s="91" t="inlineStr">
        <is>
          <t>Izrada grube i fine žbuke vidljivih zidova od armiranog betona i opeke, stupova, serklaža, greda i drugih elemenata sa vapneno cementnom žbukom uz prethodno prskanje rijetkim cementnim mortom. Uglovi moraju biti oštro obrađeni, pijesak mora biti oštar. Finu žbuku zagladiti daščicom. Zidovi visine od poda ili oslonca do najviše +410cm. Prilikom izvedbe nužno je zadovoljiti uvjete normi HRN DIN 18201, HRN DIN 18202 ili jednakovrijedno.</t>
        </is>
      </c>
      <c r="C4" s="56" t="n"/>
      <c r="D4" s="113" t="n"/>
      <c r="E4" s="284" t="n"/>
      <c r="F4" s="284" t="n"/>
    </row>
    <row r="5" ht="48" customFormat="1" customHeight="1" s="44">
      <c r="A5" s="31" t="n"/>
      <c r="B5" s="91" t="inlineStr">
        <is>
          <t>Slojevi:
1) prskanje cementnim mlijekom: podloga grube žbuke;
2) gruba žbuka 1,50-2,00cm;
3) fina žbuka debljine 0,50cm (granulacije do 1,00mm).</t>
        </is>
      </c>
      <c r="C5" s="56" t="n"/>
      <c r="D5" s="113" t="n"/>
      <c r="E5" s="284" t="n"/>
      <c r="F5" s="284" t="n"/>
    </row>
    <row r="6" ht="48" customFormat="1" customHeight="1" s="44">
      <c r="A6" s="31" t="n"/>
      <c r="B6" s="91" t="inlineStr">
        <is>
          <t xml:space="preserve">U cijeni sav potreban materijal, alati, kutne lajsne, rad, strojevi, uključujući potrebne radne skele, rabiciranje na sudaru opeke i betona, do postizanje potpune funkcionalne gotovosti, u svemu prema pravilima struke. </t>
        </is>
      </c>
      <c r="C6" s="56" t="n"/>
      <c r="D6" s="113" t="n"/>
      <c r="E6" s="284" t="n"/>
      <c r="F6" s="284" t="n"/>
    </row>
    <row r="7" ht="36" customFormat="1" customHeight="1" s="44">
      <c r="A7" s="31" t="n"/>
      <c r="B7" s="91" t="inlineStr">
        <is>
          <t>Izvedba, kontrola kvalitete te obračun prema Općim tehničkim uvjetima za zidarske radove, IGH 2010/OTU/8. Poglavlje; odredba 8-02 ili jednakovrijedno. Obračun po m2 gotove izvedene plohe.</t>
        </is>
      </c>
      <c r="C7" s="56" t="n"/>
      <c r="D7" s="113" t="n"/>
      <c r="E7" s="284" t="n"/>
      <c r="F7" s="284" t="n"/>
    </row>
    <row r="8" ht="12" customFormat="1" customHeight="1" s="44">
      <c r="A8" s="31" t="n"/>
      <c r="B8" s="91" t="n"/>
      <c r="C8" s="56" t="inlineStr">
        <is>
          <t>m2</t>
        </is>
      </c>
      <c r="D8" s="113" t="n">
        <v>2037</v>
      </c>
      <c r="E8" s="284" t="n">
        <v>16.28</v>
      </c>
      <c r="F8" s="284">
        <f>D8*E8</f>
        <v/>
      </c>
    </row>
    <row r="9" ht="12" customFormat="1" customHeight="1" s="44">
      <c r="A9" s="31" t="n"/>
      <c r="B9" s="285" t="inlineStr">
        <is>
          <t>NAPOMENA: Nudimo strojnu vapneno-cementnu žbuku, gruba+fina ~25 mm, s kutnim lajsnama i rabiciranjem.</t>
        </is>
      </c>
      <c r="E9" s="288" t="n"/>
      <c r="F9" s="288" t="n"/>
    </row>
    <row r="10" ht="12" customFormat="1" customHeight="1" s="44">
      <c r="A10" s="31" t="inlineStr">
        <is>
          <t>04.02.</t>
        </is>
      </c>
      <c r="B10" s="158" t="inlineStr">
        <is>
          <t>Plivajući pod zatvorenih i vanjskih prostora.</t>
        </is>
      </c>
      <c r="C10" s="56" t="n"/>
      <c r="D10" s="113" t="n"/>
      <c r="E10" s="284" t="n"/>
      <c r="F10" s="284" t="n"/>
    </row>
    <row r="11" ht="96" customFormat="1" customHeight="1" s="44">
      <c r="A11" s="31" t="n"/>
      <c r="B11" s="155" t="inlineStr">
        <is>
          <t>Izrada plivajućih podova od mikroarmiranog cementnog estriha armiranog PP vlaknima prema statičkom proračunu. Debljina je 5,0 -10,0 cm , ovisno o prostoriji. Površinu je potrebno uredno zagladiti gleterom, strojno. Dilatirati na sve obodne zidove pjenastim PE trakama. Izrada te obrada dilatacija estriha u poljima max. površine 25m2. Površina estriha mora biti ravna i spremna za polaganje završnog poda (keramika, PVC pod). Dilatacije obavezno rezati ispod krila vrata  i uskladiti iste sa završnim podnim oblogama radi izbjegavanja pucanja.</t>
        </is>
      </c>
      <c r="C11" s="56" t="n"/>
      <c r="D11" s="157" t="n"/>
      <c r="E11" s="284" t="n"/>
      <c r="F11" s="284" t="n"/>
    </row>
    <row r="12" ht="24" customFormat="1" customHeight="1" s="44">
      <c r="A12" s="31" t="n"/>
      <c r="B12" s="30" t="inlineStr">
        <is>
          <t>NAPOMENA: Statički proračun PP vlakana uključen u cijenu stavke. Proračun PP vlakana dati nadzornom inženjeru na odobrenje.</t>
        </is>
      </c>
      <c r="C12" s="56" t="n"/>
      <c r="D12" s="113" t="n"/>
      <c r="E12" s="284" t="n"/>
      <c r="F12" s="284" t="n"/>
    </row>
    <row r="13" ht="36" customFormat="1" customHeight="1" s="44">
      <c r="A13" s="31" t="n"/>
      <c r="B13" s="155" t="inlineStr">
        <is>
          <t>U cijeni sav materijal, PP vlakna, dilatacijske trake, alat, rezanje dilatacija, rad, strojevi, izrada plana dilatazija i ostalo potrebno  za postizanje pune funkcionalne gotovosti, sve prema pravilima struke.</t>
        </is>
      </c>
      <c r="C13" s="56" t="n"/>
      <c r="D13" s="113" t="n"/>
      <c r="E13" s="284" t="n"/>
      <c r="F13" s="284" t="n"/>
    </row>
    <row r="14" ht="36" customFormat="1" customHeight="1" s="44">
      <c r="A14" s="31" t="n"/>
      <c r="B14" s="91" t="inlineStr">
        <is>
          <t>Prilikom izvedbe plivajućeg poda nužno je zadovoljiti uvjete normi HRN DIN 18201, HRN DIN 18202 ili jednakovrijedno. Obračun po m2 kompletno izvedenog poda.</t>
        </is>
      </c>
      <c r="C14" s="56" t="n"/>
      <c r="D14" s="113" t="n"/>
      <c r="E14" s="284" t="n"/>
      <c r="F14" s="284" t="n"/>
    </row>
    <row r="15" ht="12" customFormat="1" customHeight="1" s="44">
      <c r="A15" s="31" t="n"/>
      <c r="B15" s="117" t="n"/>
      <c r="C15" s="56" t="n"/>
      <c r="D15" s="113" t="n"/>
      <c r="E15" s="284" t="n"/>
      <c r="F15" s="284" t="n"/>
    </row>
    <row r="16" ht="12" customFormat="1" customHeight="1" s="44">
      <c r="A16" s="31" t="n"/>
      <c r="B16" s="46" t="inlineStr">
        <is>
          <t xml:space="preserve"> -  estrih debljine 6,0 cm - pod oznake tPp01</t>
        </is>
      </c>
      <c r="C16" s="56" t="inlineStr">
        <is>
          <t>m2</t>
        </is>
      </c>
      <c r="D16" s="113" t="n">
        <v>382</v>
      </c>
      <c r="E16" s="284" t="n">
        <v>26.18</v>
      </c>
      <c r="F16" s="284">
        <f>D16*E16</f>
        <v/>
      </c>
    </row>
    <row r="17" ht="12" customFormat="1" customHeight="1" s="44">
      <c r="B17" s="285" t="inlineStr">
        <is>
          <t>NAPOMENA: U stavci nedostaje vrsta izolacije — molimo pojašnjenje. Nudimo najbliži sustav prema većinskim pozicijama ovog troškovnika (kao stavka: „Plivajući pod zatvorenih i vanjskih prostora. Izrada plivajućih podova od mikroa…"); korekcija ±1,8 €/m² po cm debljine nakon pojašnjenja.</t>
        </is>
      </c>
    </row>
    <row r="18" ht="12" customFormat="1" customHeight="1" s="44">
      <c r="A18" s="31" t="n"/>
      <c r="B18" s="46" t="inlineStr">
        <is>
          <t xml:space="preserve"> -  estrih debljine 8,0 cm - pod oznake tPp03</t>
        </is>
      </c>
      <c r="C18" s="56" t="inlineStr">
        <is>
          <t>m2</t>
        </is>
      </c>
      <c r="D18" s="113" t="n">
        <v>717</v>
      </c>
      <c r="E18" s="284" t="n"/>
      <c r="F18" s="284">
        <f>D18*E18</f>
        <v/>
      </c>
    </row>
    <row r="19" ht="12" customFormat="1" customHeight="1" s="44">
      <c r="A19" s="31" t="n"/>
      <c r="B19" s="46" t="inlineStr">
        <is>
          <t xml:space="preserve"> - estrih na vanjsokj terasi 5,0-10 cm - pod oznake tPp05</t>
        </is>
      </c>
      <c r="C19" s="56" t="inlineStr">
        <is>
          <t>m2</t>
        </is>
      </c>
      <c r="D19" s="113" t="n">
        <v>80</v>
      </c>
      <c r="E19" s="284" t="n"/>
      <c r="F19" s="284">
        <f>D19*E19</f>
        <v/>
      </c>
    </row>
    <row r="20" ht="12" customFormat="1" customHeight="1" s="44">
      <c r="A20" s="31" t="n"/>
      <c r="B20" s="46" t="n"/>
      <c r="C20" s="56" t="n"/>
      <c r="D20" s="113" t="n"/>
      <c r="E20" s="284" t="n"/>
      <c r="F20" s="284" t="n"/>
    </row>
    <row r="21">
      <c r="A21" s="31" t="n"/>
      <c r="B21" s="156" t="n"/>
      <c r="C21" s="56" t="n"/>
      <c r="D21" s="113" t="n"/>
      <c r="E21" s="284" t="n"/>
      <c r="F21" s="284" t="n"/>
    </row>
    <row r="22" ht="96" customHeight="1">
      <c r="A22" s="31" t="inlineStr">
        <is>
          <t>04.03.</t>
        </is>
      </c>
      <c r="B22" s="32" t="inlineStr">
        <is>
          <t>Obrada unutarnjih špaleta zidanih i AB otvora.</t>
        </is>
      </c>
      <c r="C22" s="56" t="n"/>
      <c r="D22" s="113" t="n"/>
      <c r="E22" s="284" t="n"/>
      <c r="F22" s="284" t="n"/>
    </row>
    <row r="23" ht="36.6" customHeight="1">
      <c r="A23" s="31" t="n"/>
      <c r="B23" s="156" t="inlineStr">
        <is>
          <t>Obrada otvora svih špaleta betonskih i zidanih zidova. Špalete je potrebno popraviti, tj. obložiti mortom, izravnati, zagladiti te pripremiti za montažu stolarskih i bravarskih stavki (stolarije). Nakon montaže  stavki (prozora i vrata), ostatak vidljive špalete obrađuje sa adekvatnom vapneno cementnom žbukom, tako da udara u profil stavke. Na kontaktu žbuke i stavki postavlja se tipska spojna lajsna sa mrežicom za ojačanje. Na uglovima se ugrađuju kutne lajsne za ojačanje. Špalete su širine do najviše 30cm.</t>
        </is>
      </c>
      <c r="C23" s="56" t="n"/>
      <c r="D23" s="113" t="n"/>
      <c r="E23" s="284" t="n"/>
      <c r="F23" s="284" t="n"/>
    </row>
    <row r="24" ht="48" customHeight="1">
      <c r="A24" s="31" t="n"/>
      <c r="B24" s="46" t="inlineStr">
        <is>
          <t xml:space="preserve">NAPOMENA: Stavka obuhvaća špalete koje nisu obračunate kroz žbukanje, prema Općim tehničkim uvjetima za zidarske radove, IGH 2010/OTU/8. Poglavlje; odredba 8-02 ili jednakovrijedno. </t>
        </is>
      </c>
      <c r="C24" s="56" t="n"/>
      <c r="D24" s="113" t="n"/>
      <c r="E24" s="284" t="n"/>
      <c r="F24" s="284" t="n"/>
    </row>
    <row r="25">
      <c r="A25" s="31" t="n"/>
      <c r="B25" s="55" t="inlineStr">
        <is>
          <t>U cijenu uračunati svi slojevi i sav potreban alat, materijal, rad i strojevi do potpune funkcionalne gotovosti i prema pravilima struke. Izravnavanje mortom, žbukanje, rabiciranje, kutne lajsne uključeni u jediničnu cijenu. Obračun po m1 obrađene špalete građ. otvora.</t>
        </is>
      </c>
      <c r="C25" s="56" t="n"/>
      <c r="D25" s="113" t="n"/>
      <c r="E25" s="284" t="n"/>
      <c r="F25" s="284">
        <f>E25*D25</f>
        <v/>
      </c>
    </row>
    <row r="26">
      <c r="A26" s="31" t="n"/>
      <c r="B26" s="55" t="n"/>
      <c r="C26" s="56" t="inlineStr">
        <is>
          <t>m1</t>
        </is>
      </c>
      <c r="D26" s="113" t="n">
        <v>391</v>
      </c>
      <c r="E26" s="284" t="n">
        <v>15.75</v>
      </c>
      <c r="F26" s="284">
        <f>D26*E26</f>
        <v/>
      </c>
    </row>
    <row r="27">
      <c r="A27" s="31" t="n"/>
      <c r="B27" s="285" t="inlineStr">
        <is>
          <t>NAPOMENA: Nudimo obradu unutarnjih špaleta vapneno-cementnom žbukom do 30 cm širine, s kutnim i spojnim lajsnama.</t>
        </is>
      </c>
      <c r="C27" s="33" t="n"/>
      <c r="D27" s="43" t="n"/>
      <c r="E27" s="286" t="n"/>
      <c r="F27" s="286" t="n"/>
    </row>
    <row r="28">
      <c r="A28" s="61" t="inlineStr">
        <is>
          <t>04.</t>
        </is>
      </c>
      <c r="B28" s="62" t="inlineStr">
        <is>
          <t>Zidarski radovi</t>
        </is>
      </c>
      <c r="C28" s="64" t="n"/>
      <c r="D28" s="63" t="n"/>
      <c r="E28" s="289" t="inlineStr">
        <is>
          <t>UKUPNO:</t>
        </is>
      </c>
      <c r="F28" s="290">
        <f>SUM(F2:F27)</f>
        <v/>
      </c>
    </row>
  </sheetData>
  <mergeCells count="1">
    <mergeCell ref="A1:B1"/>
  </mergeCells>
  <pageMargins left="0.7874015748031497" right="0.1968503937007874" top="0.7874015748031497" bottom="0.7874015748031497" header="0.3149606299212598" footer="0.3149606299212598"/>
  <pageSetup orientation="portrait" paperSize="9"/>
  <headerFooter>
    <oddHeader/>
    <oddFooter>&amp;C&amp;9 Izgradnja zgrade područne osnovne škole sa školskom dvoranom te uređenjem okoliša Komin</oddFooter>
    <evenHeader/>
    <evenFooter/>
    <firstHeader/>
    <firstFooter/>
  </headerFooter>
  <rowBreaks count="1" manualBreakCount="1">
    <brk id="20" min="0" max="16383" man="1"/>
  </rowBreaks>
</worksheet>
</file>

<file path=xl/worksheets/sheet9.xml><?xml version="1.0" encoding="utf-8"?>
<worksheet xmlns="http://schemas.openxmlformats.org/spreadsheetml/2006/main">
  <sheetPr>
    <tabColor rgb="FF00B050"/>
    <outlinePr summaryBelow="1" summaryRight="1"/>
    <pageSetUpPr/>
  </sheetPr>
  <dimension ref="A1:F27"/>
  <sheetViews>
    <sheetView view="pageBreakPreview" zoomScaleNormal="100" zoomScaleSheetLayoutView="100" workbookViewId="0">
      <selection activeCell="N18" sqref="N18"/>
    </sheetView>
  </sheetViews>
  <sheetFormatPr baseColWidth="8" defaultRowHeight="14.4"/>
  <cols>
    <col width="6.5546875" customWidth="1" style="45" min="1" max="1"/>
    <col width="51.6640625" customWidth="1" style="45" min="2" max="2"/>
    <col width="4.6640625" customWidth="1" style="45" min="3" max="3"/>
    <col width="9.6640625" customWidth="1" style="45" min="4" max="4"/>
    <col width="9.6640625" customWidth="1" style="279" min="5" max="6"/>
    <col width="9.109375" customWidth="1" style="45" min="7" max="256"/>
    <col width="6.5546875" customWidth="1" style="45" min="257" max="257"/>
    <col width="51.6640625" customWidth="1" style="45" min="258" max="258"/>
    <col width="4.6640625" customWidth="1" style="45" min="259" max="259"/>
    <col width="9.6640625" customWidth="1" style="45" min="260" max="262"/>
    <col width="9.109375" customWidth="1" style="45" min="263" max="512"/>
    <col width="6.5546875" customWidth="1" style="45" min="513" max="513"/>
    <col width="51.6640625" customWidth="1" style="45" min="514" max="514"/>
    <col width="4.6640625" customWidth="1" style="45" min="515" max="515"/>
    <col width="9.6640625" customWidth="1" style="45" min="516" max="518"/>
    <col width="9.109375" customWidth="1" style="45" min="519" max="768"/>
    <col width="6.5546875" customWidth="1" style="45" min="769" max="769"/>
    <col width="51.6640625" customWidth="1" style="45" min="770" max="770"/>
    <col width="4.6640625" customWidth="1" style="45" min="771" max="771"/>
    <col width="9.6640625" customWidth="1" style="45" min="772" max="774"/>
    <col width="9.109375" customWidth="1" style="45" min="775" max="1024"/>
    <col width="6.5546875" customWidth="1" style="45" min="1025" max="1025"/>
    <col width="51.6640625" customWidth="1" style="45" min="1026" max="1026"/>
    <col width="4.6640625" customWidth="1" style="45" min="1027" max="1027"/>
    <col width="9.6640625" customWidth="1" style="45" min="1028" max="1030"/>
    <col width="9.109375" customWidth="1" style="45" min="1031" max="1280"/>
    <col width="6.5546875" customWidth="1" style="45" min="1281" max="1281"/>
    <col width="51.6640625" customWidth="1" style="45" min="1282" max="1282"/>
    <col width="4.6640625" customWidth="1" style="45" min="1283" max="1283"/>
    <col width="9.6640625" customWidth="1" style="45" min="1284" max="1286"/>
    <col width="9.109375" customWidth="1" style="45" min="1287" max="1536"/>
    <col width="6.5546875" customWidth="1" style="45" min="1537" max="1537"/>
    <col width="51.6640625" customWidth="1" style="45" min="1538" max="1538"/>
    <col width="4.6640625" customWidth="1" style="45" min="1539" max="1539"/>
    <col width="9.6640625" customWidth="1" style="45" min="1540" max="1542"/>
    <col width="9.109375" customWidth="1" style="45" min="1543" max="1792"/>
    <col width="6.5546875" customWidth="1" style="45" min="1793" max="1793"/>
    <col width="51.6640625" customWidth="1" style="45" min="1794" max="1794"/>
    <col width="4.6640625" customWidth="1" style="45" min="1795" max="1795"/>
    <col width="9.6640625" customWidth="1" style="45" min="1796" max="1798"/>
    <col width="9.109375" customWidth="1" style="45" min="1799" max="2048"/>
    <col width="6.5546875" customWidth="1" style="45" min="2049" max="2049"/>
    <col width="51.6640625" customWidth="1" style="45" min="2050" max="2050"/>
    <col width="4.6640625" customWidth="1" style="45" min="2051" max="2051"/>
    <col width="9.6640625" customWidth="1" style="45" min="2052" max="2054"/>
    <col width="9.109375" customWidth="1" style="45" min="2055" max="2304"/>
    <col width="6.5546875" customWidth="1" style="45" min="2305" max="2305"/>
    <col width="51.6640625" customWidth="1" style="45" min="2306" max="2306"/>
    <col width="4.6640625" customWidth="1" style="45" min="2307" max="2307"/>
    <col width="9.6640625" customWidth="1" style="45" min="2308" max="2310"/>
    <col width="9.109375" customWidth="1" style="45" min="2311" max="2560"/>
    <col width="6.5546875" customWidth="1" style="45" min="2561" max="2561"/>
    <col width="51.6640625" customWidth="1" style="45" min="2562" max="2562"/>
    <col width="4.6640625" customWidth="1" style="45" min="2563" max="2563"/>
    <col width="9.6640625" customWidth="1" style="45" min="2564" max="2566"/>
    <col width="9.109375" customWidth="1" style="45" min="2567" max="2816"/>
    <col width="6.5546875" customWidth="1" style="45" min="2817" max="2817"/>
    <col width="51.6640625" customWidth="1" style="45" min="2818" max="2818"/>
    <col width="4.6640625" customWidth="1" style="45" min="2819" max="2819"/>
    <col width="9.6640625" customWidth="1" style="45" min="2820" max="2822"/>
    <col width="9.109375" customWidth="1" style="45" min="2823" max="3072"/>
    <col width="6.5546875" customWidth="1" style="45" min="3073" max="3073"/>
    <col width="51.6640625" customWidth="1" style="45" min="3074" max="3074"/>
    <col width="4.6640625" customWidth="1" style="45" min="3075" max="3075"/>
    <col width="9.6640625" customWidth="1" style="45" min="3076" max="3078"/>
    <col width="9.109375" customWidth="1" style="45" min="3079" max="3328"/>
    <col width="6.5546875" customWidth="1" style="45" min="3329" max="3329"/>
    <col width="51.6640625" customWidth="1" style="45" min="3330" max="3330"/>
    <col width="4.6640625" customWidth="1" style="45" min="3331" max="3331"/>
    <col width="9.6640625" customWidth="1" style="45" min="3332" max="3334"/>
    <col width="9.109375" customWidth="1" style="45" min="3335" max="3584"/>
    <col width="6.5546875" customWidth="1" style="45" min="3585" max="3585"/>
    <col width="51.6640625" customWidth="1" style="45" min="3586" max="3586"/>
    <col width="4.6640625" customWidth="1" style="45" min="3587" max="3587"/>
    <col width="9.6640625" customWidth="1" style="45" min="3588" max="3590"/>
    <col width="9.109375" customWidth="1" style="45" min="3591" max="3840"/>
    <col width="6.5546875" customWidth="1" style="45" min="3841" max="3841"/>
    <col width="51.6640625" customWidth="1" style="45" min="3842" max="3842"/>
    <col width="4.6640625" customWidth="1" style="45" min="3843" max="3843"/>
    <col width="9.6640625" customWidth="1" style="45" min="3844" max="3846"/>
    <col width="9.109375" customWidth="1" style="45" min="3847" max="4096"/>
    <col width="6.5546875" customWidth="1" style="45" min="4097" max="4097"/>
    <col width="51.6640625" customWidth="1" style="45" min="4098" max="4098"/>
    <col width="4.6640625" customWidth="1" style="45" min="4099" max="4099"/>
    <col width="9.6640625" customWidth="1" style="45" min="4100" max="4102"/>
    <col width="9.109375" customWidth="1" style="45" min="4103" max="4352"/>
    <col width="6.5546875" customWidth="1" style="45" min="4353" max="4353"/>
    <col width="51.6640625" customWidth="1" style="45" min="4354" max="4354"/>
    <col width="4.6640625" customWidth="1" style="45" min="4355" max="4355"/>
    <col width="9.6640625" customWidth="1" style="45" min="4356" max="4358"/>
    <col width="9.109375" customWidth="1" style="45" min="4359" max="4608"/>
    <col width="6.5546875" customWidth="1" style="45" min="4609" max="4609"/>
    <col width="51.6640625" customWidth="1" style="45" min="4610" max="4610"/>
    <col width="4.6640625" customWidth="1" style="45" min="4611" max="4611"/>
    <col width="9.6640625" customWidth="1" style="45" min="4612" max="4614"/>
    <col width="9.109375" customWidth="1" style="45" min="4615" max="4864"/>
    <col width="6.5546875" customWidth="1" style="45" min="4865" max="4865"/>
    <col width="51.6640625" customWidth="1" style="45" min="4866" max="4866"/>
    <col width="4.6640625" customWidth="1" style="45" min="4867" max="4867"/>
    <col width="9.6640625" customWidth="1" style="45" min="4868" max="4870"/>
    <col width="9.109375" customWidth="1" style="45" min="4871" max="5120"/>
    <col width="6.5546875" customWidth="1" style="45" min="5121" max="5121"/>
    <col width="51.6640625" customWidth="1" style="45" min="5122" max="5122"/>
    <col width="4.6640625" customWidth="1" style="45" min="5123" max="5123"/>
    <col width="9.6640625" customWidth="1" style="45" min="5124" max="5126"/>
    <col width="9.109375" customWidth="1" style="45" min="5127" max="5376"/>
    <col width="6.5546875" customWidth="1" style="45" min="5377" max="5377"/>
    <col width="51.6640625" customWidth="1" style="45" min="5378" max="5378"/>
    <col width="4.6640625" customWidth="1" style="45" min="5379" max="5379"/>
    <col width="9.6640625" customWidth="1" style="45" min="5380" max="5382"/>
    <col width="9.109375" customWidth="1" style="45" min="5383" max="5632"/>
    <col width="6.5546875" customWidth="1" style="45" min="5633" max="5633"/>
    <col width="51.6640625" customWidth="1" style="45" min="5634" max="5634"/>
    <col width="4.6640625" customWidth="1" style="45" min="5635" max="5635"/>
    <col width="9.6640625" customWidth="1" style="45" min="5636" max="5638"/>
    <col width="9.109375" customWidth="1" style="45" min="5639" max="5888"/>
    <col width="6.5546875" customWidth="1" style="45" min="5889" max="5889"/>
    <col width="51.6640625" customWidth="1" style="45" min="5890" max="5890"/>
    <col width="4.6640625" customWidth="1" style="45" min="5891" max="5891"/>
    <col width="9.6640625" customWidth="1" style="45" min="5892" max="5894"/>
    <col width="9.109375" customWidth="1" style="45" min="5895" max="6144"/>
    <col width="6.5546875" customWidth="1" style="45" min="6145" max="6145"/>
    <col width="51.6640625" customWidth="1" style="45" min="6146" max="6146"/>
    <col width="4.6640625" customWidth="1" style="45" min="6147" max="6147"/>
    <col width="9.6640625" customWidth="1" style="45" min="6148" max="6150"/>
    <col width="9.109375" customWidth="1" style="45" min="6151" max="6400"/>
    <col width="6.5546875" customWidth="1" style="45" min="6401" max="6401"/>
    <col width="51.6640625" customWidth="1" style="45" min="6402" max="6402"/>
    <col width="4.6640625" customWidth="1" style="45" min="6403" max="6403"/>
    <col width="9.6640625" customWidth="1" style="45" min="6404" max="6406"/>
    <col width="9.109375" customWidth="1" style="45" min="6407" max="6656"/>
    <col width="6.5546875" customWidth="1" style="45" min="6657" max="6657"/>
    <col width="51.6640625" customWidth="1" style="45" min="6658" max="6658"/>
    <col width="4.6640625" customWidth="1" style="45" min="6659" max="6659"/>
    <col width="9.6640625" customWidth="1" style="45" min="6660" max="6662"/>
    <col width="9.109375" customWidth="1" style="45" min="6663" max="6912"/>
    <col width="6.5546875" customWidth="1" style="45" min="6913" max="6913"/>
    <col width="51.6640625" customWidth="1" style="45" min="6914" max="6914"/>
    <col width="4.6640625" customWidth="1" style="45" min="6915" max="6915"/>
    <col width="9.6640625" customWidth="1" style="45" min="6916" max="6918"/>
    <col width="9.109375" customWidth="1" style="45" min="6919" max="7168"/>
    <col width="6.5546875" customWidth="1" style="45" min="7169" max="7169"/>
    <col width="51.6640625" customWidth="1" style="45" min="7170" max="7170"/>
    <col width="4.6640625" customWidth="1" style="45" min="7171" max="7171"/>
    <col width="9.6640625" customWidth="1" style="45" min="7172" max="7174"/>
    <col width="9.109375" customWidth="1" style="45" min="7175" max="7424"/>
    <col width="6.5546875" customWidth="1" style="45" min="7425" max="7425"/>
    <col width="51.6640625" customWidth="1" style="45" min="7426" max="7426"/>
    <col width="4.6640625" customWidth="1" style="45" min="7427" max="7427"/>
    <col width="9.6640625" customWidth="1" style="45" min="7428" max="7430"/>
    <col width="9.109375" customWidth="1" style="45" min="7431" max="7680"/>
    <col width="6.5546875" customWidth="1" style="45" min="7681" max="7681"/>
    <col width="51.6640625" customWidth="1" style="45" min="7682" max="7682"/>
    <col width="4.6640625" customWidth="1" style="45" min="7683" max="7683"/>
    <col width="9.6640625" customWidth="1" style="45" min="7684" max="7686"/>
    <col width="9.109375" customWidth="1" style="45" min="7687" max="7936"/>
    <col width="6.5546875" customWidth="1" style="45" min="7937" max="7937"/>
    <col width="51.6640625" customWidth="1" style="45" min="7938" max="7938"/>
    <col width="4.6640625" customWidth="1" style="45" min="7939" max="7939"/>
    <col width="9.6640625" customWidth="1" style="45" min="7940" max="7942"/>
    <col width="9.109375" customWidth="1" style="45" min="7943" max="8192"/>
    <col width="6.5546875" customWidth="1" style="45" min="8193" max="8193"/>
    <col width="51.6640625" customWidth="1" style="45" min="8194" max="8194"/>
    <col width="4.6640625" customWidth="1" style="45" min="8195" max="8195"/>
    <col width="9.6640625" customWidth="1" style="45" min="8196" max="8198"/>
    <col width="9.109375" customWidth="1" style="45" min="8199" max="8448"/>
    <col width="6.5546875" customWidth="1" style="45" min="8449" max="8449"/>
    <col width="51.6640625" customWidth="1" style="45" min="8450" max="8450"/>
    <col width="4.6640625" customWidth="1" style="45" min="8451" max="8451"/>
    <col width="9.6640625" customWidth="1" style="45" min="8452" max="8454"/>
    <col width="9.109375" customWidth="1" style="45" min="8455" max="8704"/>
    <col width="6.5546875" customWidth="1" style="45" min="8705" max="8705"/>
    <col width="51.6640625" customWidth="1" style="45" min="8706" max="8706"/>
    <col width="4.6640625" customWidth="1" style="45" min="8707" max="8707"/>
    <col width="9.6640625" customWidth="1" style="45" min="8708" max="8710"/>
    <col width="9.109375" customWidth="1" style="45" min="8711" max="8960"/>
    <col width="6.5546875" customWidth="1" style="45" min="8961" max="8961"/>
    <col width="51.6640625" customWidth="1" style="45" min="8962" max="8962"/>
    <col width="4.6640625" customWidth="1" style="45" min="8963" max="8963"/>
    <col width="9.6640625" customWidth="1" style="45" min="8964" max="8966"/>
    <col width="9.109375" customWidth="1" style="45" min="8967" max="9216"/>
    <col width="6.5546875" customWidth="1" style="45" min="9217" max="9217"/>
    <col width="51.6640625" customWidth="1" style="45" min="9218" max="9218"/>
    <col width="4.6640625" customWidth="1" style="45" min="9219" max="9219"/>
    <col width="9.6640625" customWidth="1" style="45" min="9220" max="9222"/>
    <col width="9.109375" customWidth="1" style="45" min="9223" max="9472"/>
    <col width="6.5546875" customWidth="1" style="45" min="9473" max="9473"/>
    <col width="51.6640625" customWidth="1" style="45" min="9474" max="9474"/>
    <col width="4.6640625" customWidth="1" style="45" min="9475" max="9475"/>
    <col width="9.6640625" customWidth="1" style="45" min="9476" max="9478"/>
    <col width="9.109375" customWidth="1" style="45" min="9479" max="9728"/>
    <col width="6.5546875" customWidth="1" style="45" min="9729" max="9729"/>
    <col width="51.6640625" customWidth="1" style="45" min="9730" max="9730"/>
    <col width="4.6640625" customWidth="1" style="45" min="9731" max="9731"/>
    <col width="9.6640625" customWidth="1" style="45" min="9732" max="9734"/>
    <col width="9.109375" customWidth="1" style="45" min="9735" max="9984"/>
    <col width="6.5546875" customWidth="1" style="45" min="9985" max="9985"/>
    <col width="51.6640625" customWidth="1" style="45" min="9986" max="9986"/>
    <col width="4.6640625" customWidth="1" style="45" min="9987" max="9987"/>
    <col width="9.6640625" customWidth="1" style="45" min="9988" max="9990"/>
    <col width="9.109375" customWidth="1" style="45" min="9991" max="10240"/>
    <col width="6.5546875" customWidth="1" style="45" min="10241" max="10241"/>
    <col width="51.6640625" customWidth="1" style="45" min="10242" max="10242"/>
    <col width="4.6640625" customWidth="1" style="45" min="10243" max="10243"/>
    <col width="9.6640625" customWidth="1" style="45" min="10244" max="10246"/>
    <col width="9.109375" customWidth="1" style="45" min="10247" max="10496"/>
    <col width="6.5546875" customWidth="1" style="45" min="10497" max="10497"/>
    <col width="51.6640625" customWidth="1" style="45" min="10498" max="10498"/>
    <col width="4.6640625" customWidth="1" style="45" min="10499" max="10499"/>
    <col width="9.6640625" customWidth="1" style="45" min="10500" max="10502"/>
    <col width="9.109375" customWidth="1" style="45" min="10503" max="10752"/>
    <col width="6.5546875" customWidth="1" style="45" min="10753" max="10753"/>
    <col width="51.6640625" customWidth="1" style="45" min="10754" max="10754"/>
    <col width="4.6640625" customWidth="1" style="45" min="10755" max="10755"/>
    <col width="9.6640625" customWidth="1" style="45" min="10756" max="10758"/>
    <col width="9.109375" customWidth="1" style="45" min="10759" max="11008"/>
    <col width="6.5546875" customWidth="1" style="45" min="11009" max="11009"/>
    <col width="51.6640625" customWidth="1" style="45" min="11010" max="11010"/>
    <col width="4.6640625" customWidth="1" style="45" min="11011" max="11011"/>
    <col width="9.6640625" customWidth="1" style="45" min="11012" max="11014"/>
    <col width="9.109375" customWidth="1" style="45" min="11015" max="11264"/>
    <col width="6.5546875" customWidth="1" style="45" min="11265" max="11265"/>
    <col width="51.6640625" customWidth="1" style="45" min="11266" max="11266"/>
    <col width="4.6640625" customWidth="1" style="45" min="11267" max="11267"/>
    <col width="9.6640625" customWidth="1" style="45" min="11268" max="11270"/>
    <col width="9.109375" customWidth="1" style="45" min="11271" max="11520"/>
    <col width="6.5546875" customWidth="1" style="45" min="11521" max="11521"/>
    <col width="51.6640625" customWidth="1" style="45" min="11522" max="11522"/>
    <col width="4.6640625" customWidth="1" style="45" min="11523" max="11523"/>
    <col width="9.6640625" customWidth="1" style="45" min="11524" max="11526"/>
    <col width="9.109375" customWidth="1" style="45" min="11527" max="11776"/>
    <col width="6.5546875" customWidth="1" style="45" min="11777" max="11777"/>
    <col width="51.6640625" customWidth="1" style="45" min="11778" max="11778"/>
    <col width="4.6640625" customWidth="1" style="45" min="11779" max="11779"/>
    <col width="9.6640625" customWidth="1" style="45" min="11780" max="11782"/>
    <col width="9.109375" customWidth="1" style="45" min="11783" max="12032"/>
    <col width="6.5546875" customWidth="1" style="45" min="12033" max="12033"/>
    <col width="51.6640625" customWidth="1" style="45" min="12034" max="12034"/>
    <col width="4.6640625" customWidth="1" style="45" min="12035" max="12035"/>
    <col width="9.6640625" customWidth="1" style="45" min="12036" max="12038"/>
    <col width="9.109375" customWidth="1" style="45" min="12039" max="12288"/>
    <col width="6.5546875" customWidth="1" style="45" min="12289" max="12289"/>
    <col width="51.6640625" customWidth="1" style="45" min="12290" max="12290"/>
    <col width="4.6640625" customWidth="1" style="45" min="12291" max="12291"/>
    <col width="9.6640625" customWidth="1" style="45" min="12292" max="12294"/>
    <col width="9.109375" customWidth="1" style="45" min="12295" max="12544"/>
    <col width="6.5546875" customWidth="1" style="45" min="12545" max="12545"/>
    <col width="51.6640625" customWidth="1" style="45" min="12546" max="12546"/>
    <col width="4.6640625" customWidth="1" style="45" min="12547" max="12547"/>
    <col width="9.6640625" customWidth="1" style="45" min="12548" max="12550"/>
    <col width="9.109375" customWidth="1" style="45" min="12551" max="12800"/>
    <col width="6.5546875" customWidth="1" style="45" min="12801" max="12801"/>
    <col width="51.6640625" customWidth="1" style="45" min="12802" max="12802"/>
    <col width="4.6640625" customWidth="1" style="45" min="12803" max="12803"/>
    <col width="9.6640625" customWidth="1" style="45" min="12804" max="12806"/>
    <col width="9.109375" customWidth="1" style="45" min="12807" max="13056"/>
    <col width="6.5546875" customWidth="1" style="45" min="13057" max="13057"/>
    <col width="51.6640625" customWidth="1" style="45" min="13058" max="13058"/>
    <col width="4.6640625" customWidth="1" style="45" min="13059" max="13059"/>
    <col width="9.6640625" customWidth="1" style="45" min="13060" max="13062"/>
    <col width="9.109375" customWidth="1" style="45" min="13063" max="13312"/>
    <col width="6.5546875" customWidth="1" style="45" min="13313" max="13313"/>
    <col width="51.6640625" customWidth="1" style="45" min="13314" max="13314"/>
    <col width="4.6640625" customWidth="1" style="45" min="13315" max="13315"/>
    <col width="9.6640625" customWidth="1" style="45" min="13316" max="13318"/>
    <col width="9.109375" customWidth="1" style="45" min="13319" max="13568"/>
    <col width="6.5546875" customWidth="1" style="45" min="13569" max="13569"/>
    <col width="51.6640625" customWidth="1" style="45" min="13570" max="13570"/>
    <col width="4.6640625" customWidth="1" style="45" min="13571" max="13571"/>
    <col width="9.6640625" customWidth="1" style="45" min="13572" max="13574"/>
    <col width="9.109375" customWidth="1" style="45" min="13575" max="13824"/>
    <col width="6.5546875" customWidth="1" style="45" min="13825" max="13825"/>
    <col width="51.6640625" customWidth="1" style="45" min="13826" max="13826"/>
    <col width="4.6640625" customWidth="1" style="45" min="13827" max="13827"/>
    <col width="9.6640625" customWidth="1" style="45" min="13828" max="13830"/>
    <col width="9.109375" customWidth="1" style="45" min="13831" max="14080"/>
    <col width="6.5546875" customWidth="1" style="45" min="14081" max="14081"/>
    <col width="51.6640625" customWidth="1" style="45" min="14082" max="14082"/>
    <col width="4.6640625" customWidth="1" style="45" min="14083" max="14083"/>
    <col width="9.6640625" customWidth="1" style="45" min="14084" max="14086"/>
    <col width="9.109375" customWidth="1" style="45" min="14087" max="14336"/>
    <col width="6.5546875" customWidth="1" style="45" min="14337" max="14337"/>
    <col width="51.6640625" customWidth="1" style="45" min="14338" max="14338"/>
    <col width="4.6640625" customWidth="1" style="45" min="14339" max="14339"/>
    <col width="9.6640625" customWidth="1" style="45" min="14340" max="14342"/>
    <col width="9.109375" customWidth="1" style="45" min="14343" max="14592"/>
    <col width="6.5546875" customWidth="1" style="45" min="14593" max="14593"/>
    <col width="51.6640625" customWidth="1" style="45" min="14594" max="14594"/>
    <col width="4.6640625" customWidth="1" style="45" min="14595" max="14595"/>
    <col width="9.6640625" customWidth="1" style="45" min="14596" max="14598"/>
    <col width="9.109375" customWidth="1" style="45" min="14599" max="14848"/>
    <col width="6.5546875" customWidth="1" style="45" min="14849" max="14849"/>
    <col width="51.6640625" customWidth="1" style="45" min="14850" max="14850"/>
    <col width="4.6640625" customWidth="1" style="45" min="14851" max="14851"/>
    <col width="9.6640625" customWidth="1" style="45" min="14852" max="14854"/>
    <col width="9.109375" customWidth="1" style="45" min="14855" max="15104"/>
    <col width="6.5546875" customWidth="1" style="45" min="15105" max="15105"/>
    <col width="51.6640625" customWidth="1" style="45" min="15106" max="15106"/>
    <col width="4.6640625" customWidth="1" style="45" min="15107" max="15107"/>
    <col width="9.6640625" customWidth="1" style="45" min="15108" max="15110"/>
    <col width="9.109375" customWidth="1" style="45" min="15111" max="15360"/>
    <col width="6.5546875" customWidth="1" style="45" min="15361" max="15361"/>
    <col width="51.6640625" customWidth="1" style="45" min="15362" max="15362"/>
    <col width="4.6640625" customWidth="1" style="45" min="15363" max="15363"/>
    <col width="9.6640625" customWidth="1" style="45" min="15364" max="15366"/>
    <col width="9.109375" customWidth="1" style="45" min="15367" max="15616"/>
    <col width="6.5546875" customWidth="1" style="45" min="15617" max="15617"/>
    <col width="51.6640625" customWidth="1" style="45" min="15618" max="15618"/>
    <col width="4.6640625" customWidth="1" style="45" min="15619" max="15619"/>
    <col width="9.6640625" customWidth="1" style="45" min="15620" max="15622"/>
    <col width="9.109375" customWidth="1" style="45" min="15623" max="15872"/>
    <col width="6.5546875" customWidth="1" style="45" min="15873" max="15873"/>
    <col width="51.6640625" customWidth="1" style="45" min="15874" max="15874"/>
    <col width="4.6640625" customWidth="1" style="45" min="15875" max="15875"/>
    <col width="9.6640625" customWidth="1" style="45" min="15876" max="15878"/>
    <col width="9.109375" customWidth="1" style="45" min="15879" max="16128"/>
    <col width="6.5546875" customWidth="1" style="45" min="16129" max="16129"/>
    <col width="51.6640625" customWidth="1" style="45" min="16130" max="16130"/>
    <col width="4.6640625" customWidth="1" style="45" min="16131" max="16131"/>
    <col width="9.6640625" customWidth="1" style="45" min="16132" max="16134"/>
    <col width="9.109375" customWidth="1" style="45" min="16135" max="16384"/>
  </cols>
  <sheetData>
    <row r="1" ht="15" customFormat="1" customHeight="1" s="47">
      <c r="A1" s="222" t="inlineStr">
        <is>
          <t>09.00 FASADERSKI  RADOVI</t>
        </is>
      </c>
      <c r="B1" s="280" t="n"/>
      <c r="C1" s="59" t="inlineStr">
        <is>
          <t>MJ</t>
        </is>
      </c>
      <c r="D1" s="60" t="inlineStr">
        <is>
          <t>KOLIČINA</t>
        </is>
      </c>
      <c r="E1" s="281" t="inlineStr">
        <is>
          <t>JED. CIJENA</t>
        </is>
      </c>
      <c r="F1" s="282" t="inlineStr">
        <is>
          <t>UKUPNO</t>
        </is>
      </c>
    </row>
    <row r="2">
      <c r="A2" s="48" t="n"/>
      <c r="B2" s="49" t="n"/>
      <c r="C2" s="50" t="n"/>
      <c r="D2" s="51" t="n"/>
      <c r="E2" s="283" t="n"/>
      <c r="F2" s="283" t="n"/>
    </row>
    <row r="3" ht="12" customFormat="1" customHeight="1" s="44">
      <c r="A3" s="31" t="inlineStr">
        <is>
          <t>09.01.</t>
        </is>
      </c>
      <c r="B3" s="52" t="inlineStr">
        <is>
          <t>Toplinska izolacija AB temeljnih zidova(sokl), XPS.</t>
        </is>
      </c>
      <c r="C3" s="33" t="n"/>
      <c r="D3" s="43" t="n"/>
      <c r="E3" s="286" t="n"/>
      <c r="F3" s="286" t="n"/>
    </row>
    <row r="4" ht="60" customFormat="1" customHeight="1" s="44">
      <c r="A4" s="31" t="n"/>
      <c r="B4" s="46" t="inlineStr">
        <is>
          <t>Dobava i izrada toplinske izolacije AB temeljnih greda (sokla) s vanjske strane u visini cca. 30cm  rebrastim pločama ekstrudirane polistirenske pjene (XPS), debljine 150mm, sa svim potrebnim slojevima te materijalom za pričvršćenje. Polaganje XPS ploča vrši se ljepljenjem na podlogu ljepilom bez otapala i tiplama.</t>
        </is>
      </c>
      <c r="C4" s="33" t="n"/>
      <c r="D4" s="43" t="n"/>
      <c r="E4" s="286" t="n"/>
      <c r="F4" s="286" t="n"/>
    </row>
    <row r="5" ht="48" customFormat="1" customHeight="1" s="44">
      <c r="A5" s="31" t="n"/>
      <c r="B5" s="55" t="inlineStr">
        <is>
          <t>Na vanjsku stranu izolacije koja će ostati vidljiva iznad razine tla nanosi se sloj polimer cementnog ljepila armiran sa staklenom mrežicom, impregnacijski premaz i završna obrada silikatnom žbukom fine granulacije do 1,00mm.</t>
        </is>
      </c>
      <c r="C5" s="33" t="n"/>
      <c r="D5" s="43" t="n"/>
      <c r="E5" s="286" t="n"/>
      <c r="F5" s="286" t="n"/>
    </row>
    <row r="6" ht="54" customFormat="1" customHeight="1" s="44">
      <c r="A6" s="31" t="n"/>
      <c r="B6" s="55" t="inlineStr">
        <is>
          <t>Izvedba u svemu prema uputstvima proizvođača. Ploče se  lijepe se polimer cementnim ljepilom na zid te dodatno pričvršćuju tipskim šarafima. XPS koji je u zemlji se dodatno oblaže sa zaštitnom prešanom profiliranom plastikom.</t>
        </is>
      </c>
      <c r="C6" s="33" t="n"/>
      <c r="D6" s="43" t="n"/>
      <c r="E6" s="286" t="n"/>
      <c r="F6" s="286" t="n"/>
    </row>
    <row r="7" ht="36" customFormat="1" customHeight="1" s="44">
      <c r="A7" s="31" t="n"/>
      <c r="B7" s="55" t="inlineStr">
        <is>
          <t>NAPOMENA: Obrada žbukom izvodi se na pojasu vidljivog sloja izolacije, a profilirana plastika postavlja se na pojasu donjeg (ukopanog) sloja izolacije.</t>
        </is>
      </c>
      <c r="C7" s="33" t="n"/>
      <c r="D7" s="43" t="n"/>
      <c r="E7" s="286" t="n"/>
      <c r="F7" s="286" t="n"/>
    </row>
    <row r="8" ht="108" customFormat="1" customHeight="1" s="44">
      <c r="A8" s="31" t="n"/>
      <c r="B8" s="55" t="inlineStr">
        <is>
          <t>Slojevi:
▪ polimercementno ljepilo;
▪ XPS ploče, d=10cm;
▪ polimercementno ljepilo armirano;
▪ polimercementno ljepilo - izravnavajući sloj;
▪ impregnacijski premaz;
▪ završna obrada silikatnom žbukom, boje prema standardnoj paleti tonova
▪ prešana profilirana plastika.</t>
        </is>
      </c>
      <c r="C8" s="33" t="n"/>
      <c r="D8" s="43" t="n"/>
      <c r="E8" s="286" t="n"/>
      <c r="F8" s="286" t="n"/>
    </row>
    <row r="9" ht="36" customFormat="1" customHeight="1" s="44">
      <c r="A9" s="31" t="n"/>
      <c r="B9" s="55" t="inlineStr">
        <is>
          <t>Izvedba sa svim nužnim alatom, materijalom, radom, strojevima, sve do potpune funkcionalne gotovosti, prema pravilima struke i tehničkim uputama. Obračun po m2.</t>
        </is>
      </c>
      <c r="C9" s="33" t="n"/>
      <c r="D9" s="43" t="n"/>
      <c r="E9" s="286" t="n"/>
      <c r="F9" s="286" t="n"/>
    </row>
    <row r="10" ht="12" customFormat="1" customHeight="1" s="44">
      <c r="A10" s="31" t="n"/>
      <c r="B10" s="46" t="inlineStr">
        <is>
          <t xml:space="preserve"> - toplinska izolacija t=10cm, XPS</t>
        </is>
      </c>
      <c r="C10" s="33" t="inlineStr">
        <is>
          <t>m2</t>
        </is>
      </c>
      <c r="D10" s="43" t="n">
        <v>84</v>
      </c>
      <c r="E10" s="286" t="n">
        <v>68.72</v>
      </c>
      <c r="F10" s="286">
        <f>D10*E10</f>
        <v/>
      </c>
    </row>
    <row r="11" ht="12" customFormat="1" customHeight="1" s="44">
      <c r="B11" s="285" t="inlineStr">
        <is>
          <t>NAPOMENA: Nudimo ETICS XPS d=10 cm (sokl) s armaturnim slojem i silikatnom završnom žbukom zrno 1 mm; zaštitna plastika na ukopanom dijelu uključena. Napomena: stavka [13] za isti m² naplaćuje završnu žbuku zasebno — molimo pojašnjenje.</t>
        </is>
      </c>
      <c r="F11">
        <f>E11*D11</f>
        <v/>
      </c>
    </row>
    <row r="12" ht="12" customFormat="1" customHeight="1" s="44">
      <c r="A12" s="31" t="n"/>
      <c r="B12" s="46" t="inlineStr">
        <is>
          <t xml:space="preserve"> - obrada silikatnom žbukom (svi slojevi)</t>
        </is>
      </c>
      <c r="C12" s="33" t="inlineStr">
        <is>
          <t>m2</t>
        </is>
      </c>
      <c r="D12" s="43" t="n">
        <v>84</v>
      </c>
      <c r="E12" s="286" t="n">
        <v>19.85</v>
      </c>
      <c r="F12" s="286">
        <f>D12*E12</f>
        <v/>
      </c>
    </row>
    <row r="13" ht="12" customFormat="1" customHeight="1" s="44">
      <c r="A13" s="31" t="n"/>
      <c r="B13" s="285" t="inlineStr">
        <is>
          <t>NAPOMENA: Nudimo silikatnu završnu žbuku zrno ≤1 mm (svi slojevi završne obrade sokla).</t>
        </is>
      </c>
      <c r="C13" s="33" t="n"/>
      <c r="D13" s="43" t="n"/>
      <c r="E13" s="286" t="n"/>
      <c r="F13" s="286" t="n"/>
    </row>
    <row r="14" ht="60" customFormat="1" customHeight="1" s="44">
      <c r="A14" s="31" t="inlineStr">
        <is>
          <t>09.02.</t>
        </is>
      </c>
      <c r="B14" s="32" t="inlineStr">
        <is>
          <t>ETICS toplinska fasada zgrade</t>
        </is>
      </c>
      <c r="C14" s="33" t="n"/>
      <c r="D14" s="43" t="n"/>
      <c r="E14" s="286" t="n"/>
      <c r="F14" s="286" t="n"/>
    </row>
    <row r="15" ht="96" customFormat="1" customHeight="1" s="44">
      <c r="A15" s="31" t="n"/>
      <c r="B15" s="55" t="inlineStr">
        <is>
          <t>Dobava materijala i izvođenje komplet fasadnog ETICS sustava ili jednakovrijednog, sa termoizolacijskim pločama od mineralne vune i sa tankoslojnom silikatnom završnom fasadnom žbukom granulacije 1mm (obavezno treba donijeti uzorak na odobrenje investitoru).  
Ploče su od kamene vune, debljine  d=20cm, λ≤0,036W/mK.</t>
        </is>
      </c>
      <c r="C15" s="33" t="n"/>
      <c r="D15" s="43" t="n"/>
      <c r="E15" s="286" t="n"/>
      <c r="F15" s="286" t="n"/>
    </row>
    <row r="16" ht="96" customFormat="1" customHeight="1" s="44">
      <c r="A16" s="31" t="n"/>
      <c r="B16" s="55" t="inlineStr">
        <is>
          <t>Izvedba u svemu prema uputstvima proizvođača sustava. Ploče vune lijepe se polimer cementnim ljepilom na zid i podgled AB ploča te dodatno pričvršćuju tipskim šarafima (beton, opeka). Na vanjsku stranu izolacije nanosi se polimercementno ljepilo koje je armirano sa  staklenom mrežicom. Nakon sušenja istog se nanosi drugi sloj polimercementnog ljepila za izravnavanje površine. Finalno se po sušenju nanosi impregnacijski premaz, te završna silikatna žbuka, boje prema standardnoj paleti tonova.</t>
        </is>
      </c>
      <c r="C16" s="33" t="n"/>
      <c r="D16" s="53" t="n"/>
      <c r="E16" s="287" t="n"/>
      <c r="F16" s="287" t="n"/>
    </row>
    <row r="17" ht="36" customFormat="1" customHeight="1" s="44">
      <c r="A17" s="31" t="n"/>
      <c r="B17" s="55" t="inlineStr">
        <is>
          <t>Slojevi fasadnog sustava:
▪ temeljni premaz;
▪ polimercementno ljepilo;
▪ fasadne ploče od kamene vune 20 cm;
▪ polimercementno ljepilo armirano mrežicom;
▪ polimercementno ljepilo - izravnavajući sloj;
▪ impregnacijski premaz;
▪ završna obrada silikatnom žbukom, granulacije 1mm.</t>
        </is>
      </c>
      <c r="C17" s="33" t="n"/>
      <c r="D17" s="53" t="n"/>
      <c r="E17" s="287" t="n"/>
      <c r="F17" s="287" t="n"/>
    </row>
    <row r="18" ht="24" customFormat="1" customHeight="1" s="44">
      <c r="A18" s="31" t="n"/>
      <c r="B18" s="55" t="inlineStr">
        <is>
          <t>Špalete svih otvora potrebno je obložiti termoizolacijom d=3cm ili provući izolaciju fasade min. 3cm preko profila stolarije radi sprječavanja hladnog mosta.</t>
        </is>
      </c>
      <c r="C18" s="33" t="n"/>
      <c r="D18" s="53" t="n"/>
      <c r="E18" s="287" t="n"/>
      <c r="F18" s="287" t="n"/>
    </row>
    <row r="19" ht="72" customFormat="1" customHeight="1" s="44">
      <c r="A19" s="31" t="n"/>
      <c r="B19" s="91" t="inlineStr">
        <is>
          <t>NAPOMENA: Potrebna skela za izradu je obuhvaćena jediničnom cijenom stavke. Otvori se ne odbijaju, te je obrada špaleta u cijeni.</t>
        </is>
      </c>
      <c r="C19" s="33" t="n"/>
      <c r="D19" s="53" t="n"/>
      <c r="E19" s="287" t="n"/>
      <c r="F19" s="287" t="n"/>
    </row>
    <row r="20" ht="60" customFormat="1" customHeight="1" s="44">
      <c r="A20" s="31" t="n"/>
      <c r="B20" s="55" t="inlineStr">
        <is>
          <t>Stavka uključuje obradu svih uglova, špaleta i okapa sa limenim i plastičnim kutnim profilima. Dobava i postava ostalog pribora (kutni, razni okapni profili, špaletni gotovi elementi iz EPS ploča debljine 3cm, i sl.) uključena u cijenu. Sve radove izvesti strogo prema uputama proizvođača sustava fasade. Završna obrada fasade u boji po izboru investitora.</t>
        </is>
      </c>
      <c r="C20" s="33" t="n"/>
      <c r="D20" s="53" t="n"/>
      <c r="E20" s="287" t="n"/>
      <c r="F20" s="287" t="n"/>
    </row>
    <row r="21" ht="12" customFormat="1" customHeight="1" s="44">
      <c r="A21" s="31" t="n"/>
      <c r="B21" s="55" t="inlineStr">
        <is>
          <t>Dobava materijala, transport do mjesta ugradnje, izrada fasade,  stropova, izrada i obrada špaleta, sve potrebne skele (visina do 11,5m), svi slojevi fasade te sav ostali alat i materijal za izradu su obuhvaćeni sa jediničnom cijenom. Obračun po m2 stvarno izvedene površine pročelja i podgleda do potpune funkcionalne gotovosti.</t>
        </is>
      </c>
      <c r="C21" s="33" t="n"/>
      <c r="D21" s="53" t="n"/>
      <c r="E21" s="287" t="n"/>
      <c r="F21" s="287" t="n"/>
    </row>
    <row r="22" ht="24" customFormat="1" customHeight="1" s="44">
      <c r="A22" s="31" t="n"/>
      <c r="B22" s="55" t="n"/>
      <c r="C22" s="33" t="n"/>
      <c r="D22" s="53" t="n"/>
      <c r="E22" s="287" t="n"/>
      <c r="F22" s="287">
        <f>E22*D22</f>
        <v/>
      </c>
    </row>
    <row r="23" ht="24" customFormat="1" customHeight="1" s="44">
      <c r="A23" s="31" t="n"/>
      <c r="B23" s="55" t="inlineStr">
        <is>
          <t xml:space="preserve"> - ETICS fasada ili jednakovrijedno, vuna t=20cm, boje prema standardnoj paleti tonova.</t>
        </is>
      </c>
      <c r="C23" s="54" t="inlineStr">
        <is>
          <t>m2</t>
        </is>
      </c>
      <c r="D23" s="53" t="n">
        <v>754</v>
      </c>
      <c r="E23" s="53" t="n">
        <v>86.06</v>
      </c>
      <c r="F23" s="53">
        <f>D23*E23</f>
        <v/>
      </c>
    </row>
    <row r="24" ht="12.6" customFormat="1" customHeight="1" s="44" thickBot="1">
      <c r="B24" s="285" t="inlineStr">
        <is>
          <t>NAPOMENA: Nudimo ETICS sustav MW d=20 cm, λ≤0,036 W/mK, sa silikatnom završnom žbukom zrno 1 mm; špalete d=3 cm obračunate zasebno u stavci [15].</t>
        </is>
      </c>
    </row>
    <row r="25" ht="12.6" customFormat="1" customHeight="1" s="44" thickBot="1">
      <c r="A25" s="31" t="n"/>
      <c r="B25" s="55" t="inlineStr">
        <is>
          <t xml:space="preserve"> - ETICS špalete ili jednakovrijedno, vuna t=3cm, boje prema standardnoj paleti tonova.</t>
        </is>
      </c>
      <c r="C25" s="54" t="inlineStr">
        <is>
          <t>m2</t>
        </is>
      </c>
      <c r="D25" s="53" t="n">
        <v>253</v>
      </c>
      <c r="E25" s="53" t="n">
        <v>55.65</v>
      </c>
      <c r="F25" s="53">
        <f>D25*E25</f>
        <v/>
      </c>
    </row>
    <row r="26">
      <c r="A26" s="31" t="n"/>
      <c r="B26" s="285" t="inlineStr">
        <is>
          <t>NAPOMENA: Nudimo obradu špaleta ETICS sustavom MW d=3 cm sa silikatnom završnom žbukom zrno 1 mm (obračun po m² plohe špalete).</t>
        </is>
      </c>
      <c r="C26" s="33" t="n"/>
      <c r="D26" s="43" t="n"/>
      <c r="E26" s="286" t="n"/>
      <c r="F26" s="286" t="n"/>
    </row>
    <row r="27">
      <c r="A27" s="65" t="inlineStr">
        <is>
          <t>09.</t>
        </is>
      </c>
      <c r="B27" s="66" t="inlineStr">
        <is>
          <t>Fasaderski radovi</t>
        </is>
      </c>
      <c r="C27" s="67" t="n"/>
      <c r="D27" s="68" t="n"/>
      <c r="E27" s="292" t="inlineStr">
        <is>
          <t>UKUPNO:</t>
        </is>
      </c>
      <c r="F27" s="293">
        <f>SUM(F2:F26)</f>
        <v/>
      </c>
    </row>
  </sheetData>
  <mergeCells count="1">
    <mergeCell ref="A1:B1"/>
  </mergeCells>
  <pageMargins left="0.7874015748031497" right="0.1968503937007874" top="0.7874015748031497" bottom="0.7874015748031497" header="0.3149606299212598" footer="0.3149606299212598"/>
  <pageSetup orientation="portrait" paperSize="9"/>
  <headerFooter>
    <oddHeader/>
    <oddFooter>&amp;C&amp;9 Izgradnja zgrade područne osnovne škole sa školskom dvoranom te uređenjem okoliša Komin</oddFooter>
    <evenHeader/>
    <evenFooter/>
    <firstHeader/>
    <firstFooter/>
  </headerFooter>
  <rowBreaks count="1" manualBreakCount="1">
    <brk id="12" min="0" max="16383" man="1"/>
  </rowBreaks>
</worksheet>
</file>

<file path=xl/worksheets/sheet10.xml><?xml version="1.0" encoding="utf-8"?>
<worksheet xmlns="http://schemas.openxmlformats.org/spreadsheetml/2006/main">
  <sheetPr>
    <tabColor rgb="FF00B050"/>
    <outlinePr summaryBelow="1" summaryRight="1"/>
    <pageSetUpPr/>
  </sheetPr>
  <dimension ref="A1:F10"/>
  <sheetViews>
    <sheetView view="pageBreakPreview" zoomScaleNormal="100" zoomScaleSheetLayoutView="100" workbookViewId="0">
      <selection activeCell="F23" sqref="F23"/>
    </sheetView>
  </sheetViews>
  <sheetFormatPr baseColWidth="8" defaultRowHeight="14.4"/>
  <cols>
    <col width="6.44140625" customWidth="1" style="45" min="1" max="1"/>
    <col width="51.6640625" customWidth="1" style="45" min="2" max="2"/>
    <col width="4.6640625" customWidth="1" style="58" min="3" max="3"/>
    <col width="9.6640625" customWidth="1" style="45" min="4" max="4"/>
    <col width="9.6640625" customWidth="1" style="279" min="5" max="6"/>
    <col width="9.109375" customWidth="1" style="45" min="7" max="256"/>
    <col width="6.44140625" customWidth="1" style="45" min="257" max="257"/>
    <col width="51.6640625" customWidth="1" style="45" min="258" max="258"/>
    <col width="4.6640625" customWidth="1" style="45" min="259" max="259"/>
    <col width="9.6640625" customWidth="1" style="45" min="260" max="262"/>
    <col width="9.109375" customWidth="1" style="45" min="263" max="512"/>
    <col width="6.44140625" customWidth="1" style="45" min="513" max="513"/>
    <col width="51.6640625" customWidth="1" style="45" min="514" max="514"/>
    <col width="4.6640625" customWidth="1" style="45" min="515" max="515"/>
    <col width="9.6640625" customWidth="1" style="45" min="516" max="518"/>
    <col width="9.109375" customWidth="1" style="45" min="519" max="768"/>
    <col width="6.44140625" customWidth="1" style="45" min="769" max="769"/>
    <col width="51.6640625" customWidth="1" style="45" min="770" max="770"/>
    <col width="4.6640625" customWidth="1" style="45" min="771" max="771"/>
    <col width="9.6640625" customWidth="1" style="45" min="772" max="774"/>
    <col width="9.109375" customWidth="1" style="45" min="775" max="1024"/>
    <col width="6.44140625" customWidth="1" style="45" min="1025" max="1025"/>
    <col width="51.6640625" customWidth="1" style="45" min="1026" max="1026"/>
    <col width="4.6640625" customWidth="1" style="45" min="1027" max="1027"/>
    <col width="9.6640625" customWidth="1" style="45" min="1028" max="1030"/>
    <col width="9.109375" customWidth="1" style="45" min="1031" max="1280"/>
    <col width="6.44140625" customWidth="1" style="45" min="1281" max="1281"/>
    <col width="51.6640625" customWidth="1" style="45" min="1282" max="1282"/>
    <col width="4.6640625" customWidth="1" style="45" min="1283" max="1283"/>
    <col width="9.6640625" customWidth="1" style="45" min="1284" max="1286"/>
    <col width="9.109375" customWidth="1" style="45" min="1287" max="1536"/>
    <col width="6.44140625" customWidth="1" style="45" min="1537" max="1537"/>
    <col width="51.6640625" customWidth="1" style="45" min="1538" max="1538"/>
    <col width="4.6640625" customWidth="1" style="45" min="1539" max="1539"/>
    <col width="9.6640625" customWidth="1" style="45" min="1540" max="1542"/>
    <col width="9.109375" customWidth="1" style="45" min="1543" max="1792"/>
    <col width="6.44140625" customWidth="1" style="45" min="1793" max="1793"/>
    <col width="51.6640625" customWidth="1" style="45" min="1794" max="1794"/>
    <col width="4.6640625" customWidth="1" style="45" min="1795" max="1795"/>
    <col width="9.6640625" customWidth="1" style="45" min="1796" max="1798"/>
    <col width="9.109375" customWidth="1" style="45" min="1799" max="2048"/>
    <col width="6.44140625" customWidth="1" style="45" min="2049" max="2049"/>
    <col width="51.6640625" customWidth="1" style="45" min="2050" max="2050"/>
    <col width="4.6640625" customWidth="1" style="45" min="2051" max="2051"/>
    <col width="9.6640625" customWidth="1" style="45" min="2052" max="2054"/>
    <col width="9.109375" customWidth="1" style="45" min="2055" max="2304"/>
    <col width="6.44140625" customWidth="1" style="45" min="2305" max="2305"/>
    <col width="51.6640625" customWidth="1" style="45" min="2306" max="2306"/>
    <col width="4.6640625" customWidth="1" style="45" min="2307" max="2307"/>
    <col width="9.6640625" customWidth="1" style="45" min="2308" max="2310"/>
    <col width="9.109375" customWidth="1" style="45" min="2311" max="2560"/>
    <col width="6.44140625" customWidth="1" style="45" min="2561" max="2561"/>
    <col width="51.6640625" customWidth="1" style="45" min="2562" max="2562"/>
    <col width="4.6640625" customWidth="1" style="45" min="2563" max="2563"/>
    <col width="9.6640625" customWidth="1" style="45" min="2564" max="2566"/>
    <col width="9.109375" customWidth="1" style="45" min="2567" max="2816"/>
    <col width="6.44140625" customWidth="1" style="45" min="2817" max="2817"/>
    <col width="51.6640625" customWidth="1" style="45" min="2818" max="2818"/>
    <col width="4.6640625" customWidth="1" style="45" min="2819" max="2819"/>
    <col width="9.6640625" customWidth="1" style="45" min="2820" max="2822"/>
    <col width="9.109375" customWidth="1" style="45" min="2823" max="3072"/>
    <col width="6.44140625" customWidth="1" style="45" min="3073" max="3073"/>
    <col width="51.6640625" customWidth="1" style="45" min="3074" max="3074"/>
    <col width="4.6640625" customWidth="1" style="45" min="3075" max="3075"/>
    <col width="9.6640625" customWidth="1" style="45" min="3076" max="3078"/>
    <col width="9.109375" customWidth="1" style="45" min="3079" max="3328"/>
    <col width="6.44140625" customWidth="1" style="45" min="3329" max="3329"/>
    <col width="51.6640625" customWidth="1" style="45" min="3330" max="3330"/>
    <col width="4.6640625" customWidth="1" style="45" min="3331" max="3331"/>
    <col width="9.6640625" customWidth="1" style="45" min="3332" max="3334"/>
    <col width="9.109375" customWidth="1" style="45" min="3335" max="3584"/>
    <col width="6.44140625" customWidth="1" style="45" min="3585" max="3585"/>
    <col width="51.6640625" customWidth="1" style="45" min="3586" max="3586"/>
    <col width="4.6640625" customWidth="1" style="45" min="3587" max="3587"/>
    <col width="9.6640625" customWidth="1" style="45" min="3588" max="3590"/>
    <col width="9.109375" customWidth="1" style="45" min="3591" max="3840"/>
    <col width="6.44140625" customWidth="1" style="45" min="3841" max="3841"/>
    <col width="51.6640625" customWidth="1" style="45" min="3842" max="3842"/>
    <col width="4.6640625" customWidth="1" style="45" min="3843" max="3843"/>
    <col width="9.6640625" customWidth="1" style="45" min="3844" max="3846"/>
    <col width="9.109375" customWidth="1" style="45" min="3847" max="4096"/>
    <col width="6.44140625" customWidth="1" style="45" min="4097" max="4097"/>
    <col width="51.6640625" customWidth="1" style="45" min="4098" max="4098"/>
    <col width="4.6640625" customWidth="1" style="45" min="4099" max="4099"/>
    <col width="9.6640625" customWidth="1" style="45" min="4100" max="4102"/>
    <col width="9.109375" customWidth="1" style="45" min="4103" max="4352"/>
    <col width="6.44140625" customWidth="1" style="45" min="4353" max="4353"/>
    <col width="51.6640625" customWidth="1" style="45" min="4354" max="4354"/>
    <col width="4.6640625" customWidth="1" style="45" min="4355" max="4355"/>
    <col width="9.6640625" customWidth="1" style="45" min="4356" max="4358"/>
    <col width="9.109375" customWidth="1" style="45" min="4359" max="4608"/>
    <col width="6.44140625" customWidth="1" style="45" min="4609" max="4609"/>
    <col width="51.6640625" customWidth="1" style="45" min="4610" max="4610"/>
    <col width="4.6640625" customWidth="1" style="45" min="4611" max="4611"/>
    <col width="9.6640625" customWidth="1" style="45" min="4612" max="4614"/>
    <col width="9.109375" customWidth="1" style="45" min="4615" max="4864"/>
    <col width="6.44140625" customWidth="1" style="45" min="4865" max="4865"/>
    <col width="51.6640625" customWidth="1" style="45" min="4866" max="4866"/>
    <col width="4.6640625" customWidth="1" style="45" min="4867" max="4867"/>
    <col width="9.6640625" customWidth="1" style="45" min="4868" max="4870"/>
    <col width="9.109375" customWidth="1" style="45" min="4871" max="5120"/>
    <col width="6.44140625" customWidth="1" style="45" min="5121" max="5121"/>
    <col width="51.6640625" customWidth="1" style="45" min="5122" max="5122"/>
    <col width="4.6640625" customWidth="1" style="45" min="5123" max="5123"/>
    <col width="9.6640625" customWidth="1" style="45" min="5124" max="5126"/>
    <col width="9.109375" customWidth="1" style="45" min="5127" max="5376"/>
    <col width="6.44140625" customWidth="1" style="45" min="5377" max="5377"/>
    <col width="51.6640625" customWidth="1" style="45" min="5378" max="5378"/>
    <col width="4.6640625" customWidth="1" style="45" min="5379" max="5379"/>
    <col width="9.6640625" customWidth="1" style="45" min="5380" max="5382"/>
    <col width="9.109375" customWidth="1" style="45" min="5383" max="5632"/>
    <col width="6.44140625" customWidth="1" style="45" min="5633" max="5633"/>
    <col width="51.6640625" customWidth="1" style="45" min="5634" max="5634"/>
    <col width="4.6640625" customWidth="1" style="45" min="5635" max="5635"/>
    <col width="9.6640625" customWidth="1" style="45" min="5636" max="5638"/>
    <col width="9.109375" customWidth="1" style="45" min="5639" max="5888"/>
    <col width="6.44140625" customWidth="1" style="45" min="5889" max="5889"/>
    <col width="51.6640625" customWidth="1" style="45" min="5890" max="5890"/>
    <col width="4.6640625" customWidth="1" style="45" min="5891" max="5891"/>
    <col width="9.6640625" customWidth="1" style="45" min="5892" max="5894"/>
    <col width="9.109375" customWidth="1" style="45" min="5895" max="6144"/>
    <col width="6.44140625" customWidth="1" style="45" min="6145" max="6145"/>
    <col width="51.6640625" customWidth="1" style="45" min="6146" max="6146"/>
    <col width="4.6640625" customWidth="1" style="45" min="6147" max="6147"/>
    <col width="9.6640625" customWidth="1" style="45" min="6148" max="6150"/>
    <col width="9.109375" customWidth="1" style="45" min="6151" max="6400"/>
    <col width="6.44140625" customWidth="1" style="45" min="6401" max="6401"/>
    <col width="51.6640625" customWidth="1" style="45" min="6402" max="6402"/>
    <col width="4.6640625" customWidth="1" style="45" min="6403" max="6403"/>
    <col width="9.6640625" customWidth="1" style="45" min="6404" max="6406"/>
    <col width="9.109375" customWidth="1" style="45" min="6407" max="6656"/>
    <col width="6.44140625" customWidth="1" style="45" min="6657" max="6657"/>
    <col width="51.6640625" customWidth="1" style="45" min="6658" max="6658"/>
    <col width="4.6640625" customWidth="1" style="45" min="6659" max="6659"/>
    <col width="9.6640625" customWidth="1" style="45" min="6660" max="6662"/>
    <col width="9.109375" customWidth="1" style="45" min="6663" max="6912"/>
    <col width="6.44140625" customWidth="1" style="45" min="6913" max="6913"/>
    <col width="51.6640625" customWidth="1" style="45" min="6914" max="6914"/>
    <col width="4.6640625" customWidth="1" style="45" min="6915" max="6915"/>
    <col width="9.6640625" customWidth="1" style="45" min="6916" max="6918"/>
    <col width="9.109375" customWidth="1" style="45" min="6919" max="7168"/>
    <col width="6.44140625" customWidth="1" style="45" min="7169" max="7169"/>
    <col width="51.6640625" customWidth="1" style="45" min="7170" max="7170"/>
    <col width="4.6640625" customWidth="1" style="45" min="7171" max="7171"/>
    <col width="9.6640625" customWidth="1" style="45" min="7172" max="7174"/>
    <col width="9.109375" customWidth="1" style="45" min="7175" max="7424"/>
    <col width="6.44140625" customWidth="1" style="45" min="7425" max="7425"/>
    <col width="51.6640625" customWidth="1" style="45" min="7426" max="7426"/>
    <col width="4.6640625" customWidth="1" style="45" min="7427" max="7427"/>
    <col width="9.6640625" customWidth="1" style="45" min="7428" max="7430"/>
    <col width="9.109375" customWidth="1" style="45" min="7431" max="7680"/>
    <col width="6.44140625" customWidth="1" style="45" min="7681" max="7681"/>
    <col width="51.6640625" customWidth="1" style="45" min="7682" max="7682"/>
    <col width="4.6640625" customWidth="1" style="45" min="7683" max="7683"/>
    <col width="9.6640625" customWidth="1" style="45" min="7684" max="7686"/>
    <col width="9.109375" customWidth="1" style="45" min="7687" max="7936"/>
    <col width="6.44140625" customWidth="1" style="45" min="7937" max="7937"/>
    <col width="51.6640625" customWidth="1" style="45" min="7938" max="7938"/>
    <col width="4.6640625" customWidth="1" style="45" min="7939" max="7939"/>
    <col width="9.6640625" customWidth="1" style="45" min="7940" max="7942"/>
    <col width="9.109375" customWidth="1" style="45" min="7943" max="8192"/>
    <col width="6.44140625" customWidth="1" style="45" min="8193" max="8193"/>
    <col width="51.6640625" customWidth="1" style="45" min="8194" max="8194"/>
    <col width="4.6640625" customWidth="1" style="45" min="8195" max="8195"/>
    <col width="9.6640625" customWidth="1" style="45" min="8196" max="8198"/>
    <col width="9.109375" customWidth="1" style="45" min="8199" max="8448"/>
    <col width="6.44140625" customWidth="1" style="45" min="8449" max="8449"/>
    <col width="51.6640625" customWidth="1" style="45" min="8450" max="8450"/>
    <col width="4.6640625" customWidth="1" style="45" min="8451" max="8451"/>
    <col width="9.6640625" customWidth="1" style="45" min="8452" max="8454"/>
    <col width="9.109375" customWidth="1" style="45" min="8455" max="8704"/>
    <col width="6.44140625" customWidth="1" style="45" min="8705" max="8705"/>
    <col width="51.6640625" customWidth="1" style="45" min="8706" max="8706"/>
    <col width="4.6640625" customWidth="1" style="45" min="8707" max="8707"/>
    <col width="9.6640625" customWidth="1" style="45" min="8708" max="8710"/>
    <col width="9.109375" customWidth="1" style="45" min="8711" max="8960"/>
    <col width="6.44140625" customWidth="1" style="45" min="8961" max="8961"/>
    <col width="51.6640625" customWidth="1" style="45" min="8962" max="8962"/>
    <col width="4.6640625" customWidth="1" style="45" min="8963" max="8963"/>
    <col width="9.6640625" customWidth="1" style="45" min="8964" max="8966"/>
    <col width="9.109375" customWidth="1" style="45" min="8967" max="9216"/>
    <col width="6.44140625" customWidth="1" style="45" min="9217" max="9217"/>
    <col width="51.6640625" customWidth="1" style="45" min="9218" max="9218"/>
    <col width="4.6640625" customWidth="1" style="45" min="9219" max="9219"/>
    <col width="9.6640625" customWidth="1" style="45" min="9220" max="9222"/>
    <col width="9.109375" customWidth="1" style="45" min="9223" max="9472"/>
    <col width="6.44140625" customWidth="1" style="45" min="9473" max="9473"/>
    <col width="51.6640625" customWidth="1" style="45" min="9474" max="9474"/>
    <col width="4.6640625" customWidth="1" style="45" min="9475" max="9475"/>
    <col width="9.6640625" customWidth="1" style="45" min="9476" max="9478"/>
    <col width="9.109375" customWidth="1" style="45" min="9479" max="9728"/>
    <col width="6.44140625" customWidth="1" style="45" min="9729" max="9729"/>
    <col width="51.6640625" customWidth="1" style="45" min="9730" max="9730"/>
    <col width="4.6640625" customWidth="1" style="45" min="9731" max="9731"/>
    <col width="9.6640625" customWidth="1" style="45" min="9732" max="9734"/>
    <col width="9.109375" customWidth="1" style="45" min="9735" max="9984"/>
    <col width="6.44140625" customWidth="1" style="45" min="9985" max="9985"/>
    <col width="51.6640625" customWidth="1" style="45" min="9986" max="9986"/>
    <col width="4.6640625" customWidth="1" style="45" min="9987" max="9987"/>
    <col width="9.6640625" customWidth="1" style="45" min="9988" max="9990"/>
    <col width="9.109375" customWidth="1" style="45" min="9991" max="10240"/>
    <col width="6.44140625" customWidth="1" style="45" min="10241" max="10241"/>
    <col width="51.6640625" customWidth="1" style="45" min="10242" max="10242"/>
    <col width="4.6640625" customWidth="1" style="45" min="10243" max="10243"/>
    <col width="9.6640625" customWidth="1" style="45" min="10244" max="10246"/>
    <col width="9.109375" customWidth="1" style="45" min="10247" max="10496"/>
    <col width="6.44140625" customWidth="1" style="45" min="10497" max="10497"/>
    <col width="51.6640625" customWidth="1" style="45" min="10498" max="10498"/>
    <col width="4.6640625" customWidth="1" style="45" min="10499" max="10499"/>
    <col width="9.6640625" customWidth="1" style="45" min="10500" max="10502"/>
    <col width="9.109375" customWidth="1" style="45" min="10503" max="10752"/>
    <col width="6.44140625" customWidth="1" style="45" min="10753" max="10753"/>
    <col width="51.6640625" customWidth="1" style="45" min="10754" max="10754"/>
    <col width="4.6640625" customWidth="1" style="45" min="10755" max="10755"/>
    <col width="9.6640625" customWidth="1" style="45" min="10756" max="10758"/>
    <col width="9.109375" customWidth="1" style="45" min="10759" max="11008"/>
    <col width="6.44140625" customWidth="1" style="45" min="11009" max="11009"/>
    <col width="51.6640625" customWidth="1" style="45" min="11010" max="11010"/>
    <col width="4.6640625" customWidth="1" style="45" min="11011" max="11011"/>
    <col width="9.6640625" customWidth="1" style="45" min="11012" max="11014"/>
    <col width="9.109375" customWidth="1" style="45" min="11015" max="11264"/>
    <col width="6.44140625" customWidth="1" style="45" min="11265" max="11265"/>
    <col width="51.6640625" customWidth="1" style="45" min="11266" max="11266"/>
    <col width="4.6640625" customWidth="1" style="45" min="11267" max="11267"/>
    <col width="9.6640625" customWidth="1" style="45" min="11268" max="11270"/>
    <col width="9.109375" customWidth="1" style="45" min="11271" max="11520"/>
    <col width="6.44140625" customWidth="1" style="45" min="11521" max="11521"/>
    <col width="51.6640625" customWidth="1" style="45" min="11522" max="11522"/>
    <col width="4.6640625" customWidth="1" style="45" min="11523" max="11523"/>
    <col width="9.6640625" customWidth="1" style="45" min="11524" max="11526"/>
    <col width="9.109375" customWidth="1" style="45" min="11527" max="11776"/>
    <col width="6.44140625" customWidth="1" style="45" min="11777" max="11777"/>
    <col width="51.6640625" customWidth="1" style="45" min="11778" max="11778"/>
    <col width="4.6640625" customWidth="1" style="45" min="11779" max="11779"/>
    <col width="9.6640625" customWidth="1" style="45" min="11780" max="11782"/>
    <col width="9.109375" customWidth="1" style="45" min="11783" max="12032"/>
    <col width="6.44140625" customWidth="1" style="45" min="12033" max="12033"/>
    <col width="51.6640625" customWidth="1" style="45" min="12034" max="12034"/>
    <col width="4.6640625" customWidth="1" style="45" min="12035" max="12035"/>
    <col width="9.6640625" customWidth="1" style="45" min="12036" max="12038"/>
    <col width="9.109375" customWidth="1" style="45" min="12039" max="12288"/>
    <col width="6.44140625" customWidth="1" style="45" min="12289" max="12289"/>
    <col width="51.6640625" customWidth="1" style="45" min="12290" max="12290"/>
    <col width="4.6640625" customWidth="1" style="45" min="12291" max="12291"/>
    <col width="9.6640625" customWidth="1" style="45" min="12292" max="12294"/>
    <col width="9.109375" customWidth="1" style="45" min="12295" max="12544"/>
    <col width="6.44140625" customWidth="1" style="45" min="12545" max="12545"/>
    <col width="51.6640625" customWidth="1" style="45" min="12546" max="12546"/>
    <col width="4.6640625" customWidth="1" style="45" min="12547" max="12547"/>
    <col width="9.6640625" customWidth="1" style="45" min="12548" max="12550"/>
    <col width="9.109375" customWidth="1" style="45" min="12551" max="12800"/>
    <col width="6.44140625" customWidth="1" style="45" min="12801" max="12801"/>
    <col width="51.6640625" customWidth="1" style="45" min="12802" max="12802"/>
    <col width="4.6640625" customWidth="1" style="45" min="12803" max="12803"/>
    <col width="9.6640625" customWidth="1" style="45" min="12804" max="12806"/>
    <col width="9.109375" customWidth="1" style="45" min="12807" max="13056"/>
    <col width="6.44140625" customWidth="1" style="45" min="13057" max="13057"/>
    <col width="51.6640625" customWidth="1" style="45" min="13058" max="13058"/>
    <col width="4.6640625" customWidth="1" style="45" min="13059" max="13059"/>
    <col width="9.6640625" customWidth="1" style="45" min="13060" max="13062"/>
    <col width="9.109375" customWidth="1" style="45" min="13063" max="13312"/>
    <col width="6.44140625" customWidth="1" style="45" min="13313" max="13313"/>
    <col width="51.6640625" customWidth="1" style="45" min="13314" max="13314"/>
    <col width="4.6640625" customWidth="1" style="45" min="13315" max="13315"/>
    <col width="9.6640625" customWidth="1" style="45" min="13316" max="13318"/>
    <col width="9.109375" customWidth="1" style="45" min="13319" max="13568"/>
    <col width="6.44140625" customWidth="1" style="45" min="13569" max="13569"/>
    <col width="51.6640625" customWidth="1" style="45" min="13570" max="13570"/>
    <col width="4.6640625" customWidth="1" style="45" min="13571" max="13571"/>
    <col width="9.6640625" customWidth="1" style="45" min="13572" max="13574"/>
    <col width="9.109375" customWidth="1" style="45" min="13575" max="13824"/>
    <col width="6.44140625" customWidth="1" style="45" min="13825" max="13825"/>
    <col width="51.6640625" customWidth="1" style="45" min="13826" max="13826"/>
    <col width="4.6640625" customWidth="1" style="45" min="13827" max="13827"/>
    <col width="9.6640625" customWidth="1" style="45" min="13828" max="13830"/>
    <col width="9.109375" customWidth="1" style="45" min="13831" max="14080"/>
    <col width="6.44140625" customWidth="1" style="45" min="14081" max="14081"/>
    <col width="51.6640625" customWidth="1" style="45" min="14082" max="14082"/>
    <col width="4.6640625" customWidth="1" style="45" min="14083" max="14083"/>
    <col width="9.6640625" customWidth="1" style="45" min="14084" max="14086"/>
    <col width="9.109375" customWidth="1" style="45" min="14087" max="14336"/>
    <col width="6.44140625" customWidth="1" style="45" min="14337" max="14337"/>
    <col width="51.6640625" customWidth="1" style="45" min="14338" max="14338"/>
    <col width="4.6640625" customWidth="1" style="45" min="14339" max="14339"/>
    <col width="9.6640625" customWidth="1" style="45" min="14340" max="14342"/>
    <col width="9.109375" customWidth="1" style="45" min="14343" max="14592"/>
    <col width="6.44140625" customWidth="1" style="45" min="14593" max="14593"/>
    <col width="51.6640625" customWidth="1" style="45" min="14594" max="14594"/>
    <col width="4.6640625" customWidth="1" style="45" min="14595" max="14595"/>
    <col width="9.6640625" customWidth="1" style="45" min="14596" max="14598"/>
    <col width="9.109375" customWidth="1" style="45" min="14599" max="14848"/>
    <col width="6.44140625" customWidth="1" style="45" min="14849" max="14849"/>
    <col width="51.6640625" customWidth="1" style="45" min="14850" max="14850"/>
    <col width="4.6640625" customWidth="1" style="45" min="14851" max="14851"/>
    <col width="9.6640625" customWidth="1" style="45" min="14852" max="14854"/>
    <col width="9.109375" customWidth="1" style="45" min="14855" max="15104"/>
    <col width="6.44140625" customWidth="1" style="45" min="15105" max="15105"/>
    <col width="51.6640625" customWidth="1" style="45" min="15106" max="15106"/>
    <col width="4.6640625" customWidth="1" style="45" min="15107" max="15107"/>
    <col width="9.6640625" customWidth="1" style="45" min="15108" max="15110"/>
    <col width="9.109375" customWidth="1" style="45" min="15111" max="15360"/>
    <col width="6.44140625" customWidth="1" style="45" min="15361" max="15361"/>
    <col width="51.6640625" customWidth="1" style="45" min="15362" max="15362"/>
    <col width="4.6640625" customWidth="1" style="45" min="15363" max="15363"/>
    <col width="9.6640625" customWidth="1" style="45" min="15364" max="15366"/>
    <col width="9.109375" customWidth="1" style="45" min="15367" max="15616"/>
    <col width="6.44140625" customWidth="1" style="45" min="15617" max="15617"/>
    <col width="51.6640625" customWidth="1" style="45" min="15618" max="15618"/>
    <col width="4.6640625" customWidth="1" style="45" min="15619" max="15619"/>
    <col width="9.6640625" customWidth="1" style="45" min="15620" max="15622"/>
    <col width="9.109375" customWidth="1" style="45" min="15623" max="15872"/>
    <col width="6.44140625" customWidth="1" style="45" min="15873" max="15873"/>
    <col width="51.6640625" customWidth="1" style="45" min="15874" max="15874"/>
    <col width="4.6640625" customWidth="1" style="45" min="15875" max="15875"/>
    <col width="9.6640625" customWidth="1" style="45" min="15876" max="15878"/>
    <col width="9.109375" customWidth="1" style="45" min="15879" max="16128"/>
    <col width="6.44140625" customWidth="1" style="45" min="16129" max="16129"/>
    <col width="51.6640625" customWidth="1" style="45" min="16130" max="16130"/>
    <col width="4.6640625" customWidth="1" style="45" min="16131" max="16131"/>
    <col width="9.6640625" customWidth="1" style="45" min="16132" max="16134"/>
    <col width="9.109375" customWidth="1" style="45" min="16135" max="16384"/>
  </cols>
  <sheetData>
    <row r="1" ht="15" customFormat="1" customHeight="1" s="47">
      <c r="A1" s="222" t="inlineStr">
        <is>
          <t>14.00 KERAMIČARSKI RADOVI</t>
        </is>
      </c>
      <c r="B1" s="280" t="n"/>
      <c r="C1" s="59" t="inlineStr">
        <is>
          <t>MJ</t>
        </is>
      </c>
      <c r="D1" s="60" t="inlineStr">
        <is>
          <t>KOLIČINA</t>
        </is>
      </c>
      <c r="E1" s="281" t="inlineStr">
        <is>
          <t>JED. CIJENA</t>
        </is>
      </c>
      <c r="F1" s="282" t="inlineStr">
        <is>
          <t>UKUPNO</t>
        </is>
      </c>
    </row>
    <row r="2">
      <c r="A2" s="48" t="n"/>
      <c r="B2" s="49" t="n"/>
      <c r="C2" s="50" t="n"/>
      <c r="D2" s="51" t="n"/>
      <c r="E2" s="283" t="n"/>
      <c r="F2" s="283" t="n"/>
    </row>
    <row r="3" ht="12" customFormat="1" customHeight="1" s="44">
      <c r="A3" s="57" t="inlineStr">
        <is>
          <t>14.04.</t>
        </is>
      </c>
      <c r="B3" s="52" t="inlineStr">
        <is>
          <t>Nivelirajuća masa.</t>
        </is>
      </c>
      <c r="C3" s="115" t="n"/>
      <c r="D3" s="29" t="n"/>
      <c r="E3" s="116" t="n"/>
      <c r="F3" s="284" t="n"/>
    </row>
    <row r="4" ht="24" customHeight="1">
      <c r="A4" s="31" t="n"/>
      <c r="B4" s="55" t="inlineStr">
        <is>
          <t>Postava:
Vanjski prostori škole</t>
        </is>
      </c>
      <c r="C4" s="33" t="n"/>
      <c r="D4" s="43" t="n"/>
      <c r="E4" s="286" t="n"/>
      <c r="F4" s="284" t="n"/>
    </row>
    <row r="5" ht="36" customFormat="1" customHeight="1" s="44">
      <c r="A5" s="57" t="n"/>
      <c r="B5" s="91" t="inlineStr">
        <is>
          <t>Dobava i kompletna izrada izravnavanja poda terasa masom za izravnavanje do odgovarajuće ravnosti ukupne površine, za postavu keramičkih pločica, debljine sloja 1cm.</t>
        </is>
      </c>
      <c r="C5" s="164" t="n"/>
      <c r="D5" s="163" t="n"/>
      <c r="E5" s="166" t="n"/>
      <c r="F5" s="284" t="n"/>
    </row>
    <row r="6" ht="48" customFormat="1" customHeight="1" s="44">
      <c r="A6" s="57" t="n"/>
      <c r="B6" s="114" t="inlineStr">
        <is>
          <t>U cijenu uračunat sav potreban materijal, alat, rad i strojevi za izradu, čišćenje nakon izvedbe radova, sve potrebne radove. Izvedba strogo prema uputstvima proizvođača do potpune funkcionalne gotovosti u skladu s pravilima struke. Obračun po m2 poda.</t>
        </is>
      </c>
      <c r="C6" s="164" t="n"/>
      <c r="D6" s="163" t="n"/>
      <c r="E6" s="166" t="n"/>
      <c r="F6" s="284" t="n"/>
    </row>
    <row r="7" ht="12" customFormat="1" customHeight="1" s="44">
      <c r="A7" s="57" t="n"/>
      <c r="B7" s="165" t="n"/>
      <c r="C7" s="164" t="inlineStr">
        <is>
          <t>m2</t>
        </is>
      </c>
      <c r="D7" s="163" t="n">
        <v>21</v>
      </c>
      <c r="E7" s="162" t="n"/>
      <c r="F7" s="284">
        <f>D7*E7</f>
        <v/>
      </c>
    </row>
    <row r="8" ht="12" customFormat="1" customHeight="1" s="44">
      <c r="A8" s="57" t="n"/>
      <c r="B8" s="165" t="n"/>
      <c r="C8" s="164" t="n"/>
      <c r="D8" s="163" t="n"/>
      <c r="E8" s="162" t="n"/>
      <c r="F8" s="162" t="n"/>
    </row>
    <row r="9" ht="12.6" customFormat="1" customHeight="1" s="44" thickBot="1">
      <c r="A9" s="57" t="n"/>
      <c r="B9" s="55" t="n"/>
      <c r="C9" s="33" t="n"/>
      <c r="D9" s="29" t="n"/>
      <c r="E9" s="284" t="n"/>
      <c r="F9" s="284" t="n"/>
    </row>
    <row r="10" ht="12.6" customFormat="1" customHeight="1" s="44" thickBot="1">
      <c r="A10" s="65" t="inlineStr">
        <is>
          <t>14.</t>
        </is>
      </c>
      <c r="B10" s="66" t="inlineStr">
        <is>
          <t>Keramičarski radovi</t>
        </is>
      </c>
      <c r="C10" s="67" t="n"/>
      <c r="D10" s="68" t="n"/>
      <c r="E10" s="292" t="inlineStr">
        <is>
          <t>UKUPNO:</t>
        </is>
      </c>
      <c r="F10" s="293">
        <f>SUM(F2:F9)</f>
        <v/>
      </c>
    </row>
  </sheetData>
  <mergeCells count="1">
    <mergeCell ref="A1:B1"/>
  </mergeCells>
  <pageMargins left="0.7874015748031497" right="0.1968503937007874" top="0.7874015748031497" bottom="0.7874015748031497" header="0.3149606299212598" footer="0.3149606299212598"/>
  <pageSetup orientation="portrait" paperSize="9"/>
  <headerFooter>
    <oddHeader/>
    <oddFooter>&amp;C&amp;9 Izgradnja zgrade područne osnovne škole sa školskom dvoranom te uređenjem okoliša Komin</oddFooter>
    <evenHeader/>
    <evenFooter/>
    <firstHeader/>
    <firstFooter/>
  </headerFooter>
</worksheet>
</file>

<file path=xl/worksheets/sheet11.xml><?xml version="1.0" encoding="utf-8"?>
<worksheet xmlns="http://schemas.openxmlformats.org/spreadsheetml/2006/main">
  <sheetPr>
    <tabColor rgb="FF00B050"/>
    <outlinePr summaryBelow="1" summaryRight="1"/>
    <pageSetUpPr/>
  </sheetPr>
  <dimension ref="A1:B146"/>
  <sheetViews>
    <sheetView view="pageBreakPreview" zoomScale="85" zoomScaleNormal="100" zoomScaleSheetLayoutView="85" zoomScalePageLayoutView="90" workbookViewId="0">
      <selection activeCell="L13" sqref="L13"/>
    </sheetView>
  </sheetViews>
  <sheetFormatPr baseColWidth="8" defaultColWidth="9.109375" defaultRowHeight="13.8"/>
  <cols>
    <col width="90.6640625" customWidth="1" style="170" min="1" max="1"/>
    <col width="46.33203125" customWidth="1" style="170" min="2" max="2"/>
    <col width="9.109375" customWidth="1" style="170" min="3" max="3"/>
    <col width="8.33203125" customWidth="1" style="170" min="4" max="4"/>
    <col width="9.109375" customWidth="1" style="170" min="5" max="16384"/>
  </cols>
  <sheetData>
    <row r="1" ht="17.4" customHeight="1">
      <c r="A1" s="169" t="inlineStr">
        <is>
          <t>OPĆE NAPOMENE</t>
        </is>
      </c>
    </row>
    <row r="3" ht="72" customHeight="1">
      <c r="A3" s="171" t="inlineStr">
        <is>
          <t>Sve radove potrebno je izvoditi u skladu s pravomoćnom građevinskom dozvolom, projektnom dokumentacijom, Zakonom o gradnji, Tehničkim propisima i ostalim propisima i pravilnicima koji proizlaze iz njih, norme na koje upućuju te pravilima struke. Za formiranje što kvalitetnije ponude potrebno je koristiti se kompletnom projektnom dokumentacijom (tekstulni i grafički dijelovi projekata) dostavljenom zajedno sa troškovnikom, a prema potrebi izvršiti osobni pregled gradilišta.</t>
        </is>
      </c>
    </row>
    <row r="4">
      <c r="A4" s="172" t="n"/>
    </row>
    <row r="5" ht="77.25" customHeight="1">
      <c r="A5" s="173" t="inlineStr">
        <is>
          <t>ORGANIZACIJA GRADILIŠTA: Izvođač je dužan tokom čitavog vremena izvođenja radova gradilište održavati čistim i urednim. Odgovoran je da na propisan način zbrinjava otpad, a eventulane troškove ukalkulira u jedinične cijene, jer se neće posebno obračunavati. Priprema svih radnih površina i platoa (npr. izvedba šljunčanog nasipa za manipulativne površine), tornjeva, skela i rampi, sve za potrebe neometanog i pravilnog izvođenja radova obaveza su glavnog izvođača, te se ne će dodatno obračunavati.</t>
        </is>
      </c>
    </row>
    <row r="6">
      <c r="A6" s="172" t="n"/>
    </row>
    <row r="7" ht="97.5" customHeight="1">
      <c r="A7" s="173" t="inlineStr">
        <is>
          <t xml:space="preserve">UGRADNJA MATERIJALA I OPREME: Za sav ugrađeni materijal i opremu potrebno je prije njihove ugradnje dostaviti nadzornom inženjeru odgovarajuće dokaze sukladnosti (Izjave o svojstvima, Certifikat o stalnosti svojstava, Tehnički list, Certifikat o sukladnosti tvorničke kontrole kvalitete, Izvještaj o isptivanju, ...) radi odobrenja materijala. Sav ugrađeni materijal i oprema za koji nije dostavljena sve potrebna i ispravna dokumentacija ili nije dano odobrenje od strane nadzornog inženjera za njihovu ugradnju, neće se priznati kao izvedeni rad. </t>
        </is>
      </c>
    </row>
    <row r="8">
      <c r="A8" s="173" t="n"/>
    </row>
    <row r="9" ht="81.75" customHeight="1">
      <c r="A9" s="173" t="inlineStr">
        <is>
          <t>ODOBRENJE TEHNIČKE DOKUMENTACIJE: Sve eventualne promjene i odstupanja od projekta, potrebno je usuglasiti sa projektantom i nadzornim inženjerom. Potvrdu narudžbe prije definitivne isporuke specificirane opreme izvođač radova obavezno je dužan provjeriti kod projektanta. Izmjena pojedinih dijelova opreme “zamjenskim dijelovima” bez prethodne pismene suglasnosti projektanta isključuje odgovornost projektanta za predviđenu funkcionalnost postrojenja.</t>
        </is>
      </c>
      <c r="B9" s="218" t="n"/>
    </row>
    <row r="10">
      <c r="A10" s="172" t="n"/>
    </row>
    <row r="11" ht="54.75" customHeight="1">
      <c r="A11" s="173" t="inlineStr">
        <is>
          <t xml:space="preserve">DODATNI RADOVI: Za sve dodatne radove koji nisu predviđeni projektom ili troškovnikom potrebno je tražiti odobrenje od strane nadzornog inženjera i investitora.  Bez navedenog odobrenja njihova izvedba se ne će priznati niti obračunati. </t>
        </is>
      </c>
    </row>
    <row r="12" ht="14.25" customHeight="1">
      <c r="A12" s="172" t="n"/>
    </row>
    <row r="13" ht="145.2" customHeight="1">
      <c r="A13" s="173" t="inlineStr">
        <is>
          <t>OBRAČUN RADOVA: Jediničnim cijenama svih radova obuhvaćeni su troškovi kompletno opisanog rada i svih materijala koji će se koristiti za realizaciju pojedine stavke, potrebne radne skele, platforme, mehanizacija i transportna sredstava za izvođenje radova, sav alat i pomoćna sredstva rada, zaštitna oprema i sve ostalo nužno za dovršetka pojedinih radova do pune funkcionalne gotovosti, a sve u skladu sa važećim Zakonom o gradnji, Tehničkim propisima i Pravilnicima na koje upućuju. Cijena za svaku točku ovog troškovnika mora obuhvatiti dobavu, spajanje, te dovođenje stavke u stanje potpune funkcionalnosti. U cijenu treba također ukalkulirati sav potreban spojni, montažni, pridržni i ostali materijal potreban za potpuno funkcioniranje pojedine stavke. Prilikom izrade ponude treba imati u vidu najnovije važeće propise za pojedine vrste instalacije. Gradilište tokom čitavog vremena treba održavati urednim, organiziranim i čistim te propisano zbrinjavati sav otpadni materijal uz predočenje dokaza o provoedenom zbrinjavanju.</t>
        </is>
      </c>
    </row>
    <row r="14">
      <c r="A14" s="172" t="n"/>
    </row>
    <row r="15">
      <c r="A15" s="172" t="n"/>
    </row>
    <row r="16">
      <c r="A16" s="172" t="n"/>
    </row>
    <row r="17">
      <c r="A17" s="172" t="n"/>
    </row>
    <row r="18" ht="17.4" customHeight="1">
      <c r="A18" s="174" t="inlineStr">
        <is>
          <t>KONTROLA I OSIGURANJE KVALITETE</t>
        </is>
      </c>
    </row>
    <row r="19">
      <c r="A19" s="173" t="n"/>
    </row>
    <row r="20" ht="171.6" customHeight="1">
      <c r="A20" s="175" t="inlineStr">
        <is>
          <t>Prema Zakonu o građevnim proizvodima NN 76/13, 30/14, 130/17, 39/19, 118/20  i tehničkom propisu o građevnim proizvodima NN 35/18, 104/19, tijekom građenja, a zbog osiguranja kvalitete ugrađenih materijala, mora se provesti kontrola materijala kao i proizvoda tako i dokaza na pojedinim vrstama materijala. Proizvodnu kontrolu ugrađenih materijala dokazuje se Izjavom o svojstvima dobivenom od proizvođača materijala, odnosno Certifikatom o stalnosti svojstava. Dokazanu kontrolu provodi nadzorni inženjer na način da kontrolira dobivena izvješća izvršenim ispitivanjima materijala. Izvoditelj je dužan da izvrši odnosno provede sva ispitivanja ugrađenih materijala a u skladu sa važećim pravilnicima i standardima. Na zahtjev nadzornog inženjera i ukazane potrebe mogu se vršiti i ispitivanja ostalih materijala za koje se smatra da ne odgovaraju zahtijevanoj kvaliteti. Izvješće o dokazu kvalitete i dokazi sukladnosti ugrađenih materijala su sastavni dio dokumentacije za vršenje tehničkog pregleda građevine. Svi ugrađeni materijali, elementi i ugrađena oprema moraju svojim karakteristikama odgovarati, a kvalitetom zadovoljavati ispitivanja prema zahtjevima iz sljedećih tehničkih propisa te svih pravilnika i normi na koje oni upućuju:</t>
        </is>
      </c>
    </row>
    <row r="21" ht="298.5" customHeight="1">
      <c r="A21" s="175" t="inlineStr">
        <is>
          <t>1.	Zakon o gradnji (155/25),
2.	Zakon o zaštiti na radu (NN 71/14, 118/14, 154/14 , 94/18, 96/18),
3.	Zakon o zaštiti od požara (NN 92/10, 114/22),
4.	Zakon o normizaciji (NN 80/13),
5.	Zakon o zaštiti od buke (NN 30/09, 55/13, 153/13, 41/16, 114/18, 14/21),
6.	Zakon o zaštiti okoliša (NN 80/13, 153/13, 78/15, 12/18, 118/18),
7.	Zakon o zaštiti zraka (NN 127/19, 57/22, 136/24),
8.	Zakon o vodama (NN 66/19, 84/21, 47/23)
9.	Zakon o gospodarenju otpadom (NN 84/21, 142/23),
10.	Pravilnik o uvjetima za postupanje s otpadom (34/95),
11.	Pravilnik o zaštiti na radu za mjesta rada (NN 59/96, 94/96, 114/03, 100/04, 86/08, 116/08, 75/09 i 143/12),
12.	Pravilnik o hrvatskim normama (NN 53/91, 26/93, 29/94, 44/95 i 72/95),
13.	Pravilnik o  hidrantskoj mreži za gašenje požara (NN 8/06),
14.	HRN C.B5.221 Čelične bešavne cijevi za toplu i hladnu vodu,
15.	HRN U.J5.600 Tehnički uslovi za projektiranje i građenje zgrada,
16.	Smjernice za izvedbu interne kanalizacije (Sl.list 11/1969),
17.	Zakon o zaštiti pučanstva od zaraznih bolesti (NN 79/07, 13/08, 43/09, 130/17, 114/18, 47/20, 134/20, 143/21),
18.	Zakon o predmetima opće uporabe (NN 39/13, 47/14, 114/18, 53/22),
19.	Zakon o materijalima i predmetima koji dolaze u neposredan dodir s hranom (NN 25/13, 41/14, 114/18, 27/24),
20. Pravilnik o najvišim dopuštenim razinama buke u sredini u kojoj ljudi rade i borave  (NN 145/04 i 143/21),</t>
        </is>
      </c>
    </row>
    <row r="22" ht="15" customHeight="1">
      <c r="A22" s="173" t="n"/>
    </row>
    <row r="23" ht="25.5" customHeight="1">
      <c r="A23" s="173" t="n"/>
    </row>
    <row r="24" ht="148.5" customHeight="1">
      <c r="A24" s="173" t="inlineStr">
        <is>
          <t>Izvođenjem završnih radova na pojedinim elementima građevine (na građevini) mora se osigurati:
• funkcija,
• postojanost,
• stabilnost,
• sigurnost,
• preciznost,
• trajnost,
• estetski izgled,
• racionalnost i ekonomičnost,
• higijensko-tehnički uvjeti,
• kvaliteta.</t>
        </is>
      </c>
    </row>
    <row r="25" ht="18.75" customHeight="1">
      <c r="A25" s="173" t="n"/>
    </row>
    <row r="26" ht="153" customHeight="1">
      <c r="A26" s="173" t="inlineStr">
        <is>
          <t xml:space="preserve">Pod funkcijom elemenata smatra se prilagođavanje i usklađivanje s namjenom objekta i eksploatacijskim specifičnostima te klimatsko atmosferskim i drugim uvjetima utvrđenim za područje na kojem se nalazi građevina. Postojanost izvedenih radova smatra se nepromjenjivost boje, oblika i strukture materijala i elemenata u propisanom razdoblju. Stabilnost izvedenih završnih radova smatra se otpornost prema kemijskim i mehaničkim utjecajima elemenata sklopova građevine. Sigurnost u izvođenju završnih radova odnosi se na korisnike građevine, prolaze, promet, susjedne objekte i okolinu, te na prolaznike, pri izvedbi i održavanju objekata, osobito pri upotrebi materijala koji mogu ugroziti život i zdravlje ljudi. Pod preciznošću se podrazumijeva točnost u izvođenju završnih radova na elementima građevine u granicama dopuštenih odstupanja. Odstupanje mora biti definirano projektom, u skladu da odgovarajućim standardima za sve slučajeve kojima je preciznost uvjet ispravna funkcioniranja i elemenata građevine. </t>
        </is>
      </c>
    </row>
    <row r="27" ht="18" customHeight="1">
      <c r="A27" s="173" t="n"/>
    </row>
    <row r="28" ht="78" customHeight="1">
      <c r="A28" s="173" t="inlineStr">
        <is>
          <t>U odabiru materijala pri izvođenju završnih radova mora se voditi računa o higijensko tehničkim uvjetima, što podrazumijeva lako i jednostavno održavanje pri eksploataciji i sprječavanju ozljeda i eventualnih štetnih utjecaja za korisnike građevina. Izvođenjem završnih radova na građevinama (elementima) moraju se za svaku građevinu osigurati odgovarajuće karakteristike kvalitete. Materijali i sklopovi, pojedini elementi i njihovi dijelovi koji se upotrebljavaju za izvođenje elemenata građevina moraju biti opskrbljeni dokazom o kvaliteti.</t>
        </is>
      </c>
    </row>
    <row r="29">
      <c r="A29" s="173" t="n"/>
    </row>
    <row r="30">
      <c r="A30" s="173" t="n"/>
    </row>
    <row r="31">
      <c r="A31" s="173" t="n"/>
    </row>
    <row r="32">
      <c r="A32" s="173" t="n"/>
    </row>
    <row r="33">
      <c r="A33" s="173" t="n"/>
    </row>
    <row r="34">
      <c r="A34" s="173" t="n"/>
    </row>
    <row r="35">
      <c r="A35" s="173" t="n"/>
    </row>
    <row r="36">
      <c r="A36" s="173" t="n"/>
    </row>
    <row r="37">
      <c r="A37" s="173" t="n"/>
    </row>
    <row r="38">
      <c r="A38" s="173" t="n"/>
    </row>
    <row r="39">
      <c r="A39" s="173" t="n"/>
    </row>
    <row r="40">
      <c r="A40" s="173" t="n"/>
    </row>
    <row r="41">
      <c r="A41" s="173" t="n"/>
    </row>
    <row r="42">
      <c r="A42" s="173" t="n"/>
    </row>
    <row r="43">
      <c r="A43" s="173" t="n"/>
    </row>
    <row r="44">
      <c r="A44" s="173" t="n"/>
    </row>
    <row r="45">
      <c r="A45" s="173" t="n"/>
    </row>
    <row r="46">
      <c r="A46" s="173" t="n"/>
    </row>
    <row r="47">
      <c r="A47" s="173" t="n"/>
    </row>
    <row r="48">
      <c r="A48" s="173" t="n"/>
    </row>
    <row r="49">
      <c r="A49" s="173" t="n"/>
    </row>
    <row r="50">
      <c r="A50" s="173" t="n"/>
    </row>
    <row r="51">
      <c r="A51" s="173" t="n"/>
    </row>
    <row r="52">
      <c r="A52" s="173" t="n"/>
    </row>
    <row r="53">
      <c r="A53" s="173" t="n"/>
    </row>
    <row r="54">
      <c r="A54" s="173" t="n"/>
    </row>
    <row r="55">
      <c r="A55" s="173" t="n"/>
    </row>
    <row r="56">
      <c r="A56" s="173" t="n"/>
    </row>
    <row r="57">
      <c r="A57" s="173" t="n"/>
    </row>
    <row r="58">
      <c r="A58" s="173" t="n"/>
    </row>
    <row r="59">
      <c r="A59" s="173" t="n"/>
    </row>
    <row r="60">
      <c r="A60" s="173" t="n"/>
    </row>
    <row r="61">
      <c r="A61" s="173" t="n"/>
    </row>
    <row r="62">
      <c r="A62" s="173" t="n"/>
    </row>
    <row r="63">
      <c r="A63" s="173" t="n"/>
    </row>
    <row r="64">
      <c r="A64" s="173" t="n"/>
    </row>
    <row r="65">
      <c r="A65" s="173" t="n"/>
    </row>
    <row r="66">
      <c r="A66" s="173" t="n"/>
    </row>
    <row r="67">
      <c r="A67" s="173" t="n"/>
    </row>
    <row r="68">
      <c r="A68" s="173" t="n"/>
    </row>
    <row r="69">
      <c r="A69" s="173" t="n"/>
    </row>
    <row r="70">
      <c r="A70" s="173" t="n"/>
    </row>
    <row r="71">
      <c r="A71" s="173" t="n"/>
    </row>
    <row r="72">
      <c r="A72" s="173" t="n"/>
    </row>
    <row r="73">
      <c r="A73" s="173" t="n"/>
    </row>
    <row r="74">
      <c r="A74" s="173" t="n"/>
    </row>
    <row r="75">
      <c r="A75" s="173" t="n"/>
    </row>
    <row r="76">
      <c r="A76" s="173" t="n"/>
    </row>
    <row r="77">
      <c r="A77" s="173" t="n"/>
    </row>
    <row r="78">
      <c r="A78" s="173" t="n"/>
    </row>
    <row r="79">
      <c r="A79" s="173" t="n"/>
    </row>
    <row r="80">
      <c r="A80" s="173" t="n"/>
    </row>
    <row r="81">
      <c r="A81" s="173" t="n"/>
    </row>
    <row r="82">
      <c r="A82" s="173" t="n"/>
    </row>
    <row r="83">
      <c r="A83" s="173" t="n"/>
    </row>
    <row r="84">
      <c r="A84" s="173" t="n"/>
    </row>
    <row r="85">
      <c r="A85" s="173" t="n"/>
    </row>
    <row r="86">
      <c r="A86" s="173" t="n"/>
    </row>
    <row r="87">
      <c r="A87" s="173" t="n"/>
    </row>
    <row r="88">
      <c r="A88" s="173" t="n"/>
    </row>
    <row r="89">
      <c r="A89" s="173" t="n"/>
    </row>
    <row r="90">
      <c r="A90" s="173" t="n"/>
    </row>
    <row r="91">
      <c r="A91" s="173" t="n"/>
    </row>
    <row r="92">
      <c r="A92" s="173" t="n"/>
    </row>
    <row r="93">
      <c r="A93" s="173" t="n"/>
    </row>
    <row r="94">
      <c r="A94" s="173" t="n"/>
    </row>
    <row r="95">
      <c r="A95" s="173" t="n"/>
    </row>
    <row r="96">
      <c r="A96" s="173" t="n"/>
    </row>
    <row r="97">
      <c r="A97" s="173" t="n"/>
    </row>
    <row r="98">
      <c r="A98" s="173" t="n"/>
    </row>
    <row r="99">
      <c r="A99" s="173" t="n"/>
    </row>
    <row r="100">
      <c r="A100" s="173" t="n"/>
    </row>
    <row r="101">
      <c r="A101" s="173" t="n"/>
    </row>
    <row r="102">
      <c r="A102" s="173" t="n"/>
    </row>
    <row r="103">
      <c r="A103" s="173" t="n"/>
    </row>
    <row r="104">
      <c r="A104" s="173" t="n"/>
    </row>
    <row r="105">
      <c r="A105" s="173" t="n"/>
    </row>
    <row r="106">
      <c r="A106" s="173" t="n"/>
    </row>
    <row r="107">
      <c r="A107" s="173" t="n"/>
    </row>
    <row r="108">
      <c r="A108" s="173" t="n"/>
    </row>
    <row r="109">
      <c r="A109" s="173" t="n"/>
    </row>
    <row r="110">
      <c r="A110" s="173" t="n"/>
    </row>
    <row r="111">
      <c r="A111" s="173" t="n"/>
    </row>
    <row r="112">
      <c r="A112" s="173" t="n"/>
    </row>
    <row r="113">
      <c r="A113" s="173" t="n"/>
    </row>
    <row r="114">
      <c r="A114" s="173" t="n"/>
    </row>
    <row r="115">
      <c r="A115" s="173" t="n"/>
    </row>
    <row r="116">
      <c r="A116" s="173" t="n"/>
    </row>
    <row r="117">
      <c r="A117" s="173" t="n"/>
    </row>
    <row r="118">
      <c r="A118" s="173" t="n"/>
    </row>
    <row r="119">
      <c r="A119" s="173" t="n"/>
    </row>
    <row r="120">
      <c r="A120" s="173" t="n"/>
    </row>
    <row r="121">
      <c r="A121" s="173" t="n"/>
    </row>
    <row r="122">
      <c r="A122" s="173" t="n"/>
    </row>
    <row r="123">
      <c r="A123" s="173" t="n"/>
    </row>
    <row r="124">
      <c r="A124" s="173" t="n"/>
    </row>
    <row r="125">
      <c r="A125" s="173" t="n"/>
    </row>
    <row r="126">
      <c r="A126" s="173" t="n"/>
    </row>
    <row r="127">
      <c r="A127" s="173" t="n"/>
    </row>
    <row r="128">
      <c r="A128" s="173" t="n"/>
    </row>
    <row r="129">
      <c r="A129" s="173" t="n"/>
    </row>
    <row r="130">
      <c r="A130" s="173" t="n"/>
    </row>
    <row r="131">
      <c r="A131" s="173" t="n"/>
    </row>
    <row r="132">
      <c r="A132" s="173" t="n"/>
    </row>
    <row r="133">
      <c r="A133" s="173" t="n"/>
    </row>
    <row r="134">
      <c r="A134" s="173" t="n"/>
    </row>
    <row r="135">
      <c r="A135" s="173" t="n"/>
    </row>
    <row r="136">
      <c r="A136" s="173" t="n"/>
    </row>
    <row r="137">
      <c r="A137" s="173" t="n"/>
    </row>
    <row r="138">
      <c r="A138" s="173" t="n"/>
    </row>
    <row r="139">
      <c r="A139" s="173" t="n"/>
    </row>
    <row r="140">
      <c r="A140" s="173" t="n"/>
    </row>
    <row r="141">
      <c r="A141" s="173" t="n"/>
    </row>
    <row r="142">
      <c r="A142" s="173" t="n"/>
    </row>
    <row r="143">
      <c r="A143" s="173" t="n"/>
    </row>
    <row r="144">
      <c r="A144" s="173" t="n"/>
    </row>
    <row r="145">
      <c r="A145" s="173" t="n"/>
    </row>
    <row r="146">
      <c r="A146" s="173" t="n"/>
    </row>
  </sheetData>
  <pageMargins left="0.984251968503937" right="0.1968503937007874" top="0.7874015748031497" bottom="0.7874015748031497" header="0.3149606299212598" footer="0.3149606299212598"/>
  <pageSetup orientation="portrait" paperSize="9"/>
  <headerFooter>
    <oddHeader>&amp;L&amp;"Bahnschrift SemiLight,Uobičajeno"&amp;9 &amp;G_x000a_Jurja Križanića 6, 40305 Nedelišće&amp;R&amp;"Bahnschrift SemiLight,Uobičajeno"&amp;9 URED VARAŽDIN: Jalkovečka 2, 42000 Varaždin_x000a_tel. +385 42 421 096; fax. +385 42 421 097; e-mail: ivica.vizinger@viz-ex.hr</oddHeader>
    <oddFooter>&amp;C&amp;"Bahnschrift SemiLight,Uobičajeno"&amp;9 Izgradnja zgrade područne osnovne škole sa školskom dvoranom te uređenjem okoliša - Komin _x000a_k.č.br. 21/50; k.o. Tomaševec_x000a_br. TD: IP-10/2025</oddFooter>
    <evenHeader/>
    <evenFooter/>
    <firstHeader/>
    <firstFooter/>
  </headerFooter>
  <rowBreaks count="2" manualBreakCount="2">
    <brk id="16" min="0" max="16383" man="1"/>
    <brk id="22" min="0" max="16383" man="1"/>
  </rowBreaks>
</worksheet>
</file>

<file path=xl/worksheets/sheet12.xml><?xml version="1.0" encoding="utf-8"?>
<worksheet xmlns="http://schemas.openxmlformats.org/spreadsheetml/2006/main">
  <sheetPr>
    <outlinePr summaryBelow="1" summaryRight="1"/>
    <pageSetUpPr/>
  </sheetPr>
  <dimension ref="A1:F38"/>
  <sheetViews>
    <sheetView view="pageBreakPreview" zoomScaleNormal="100" zoomScaleSheetLayoutView="100" workbookViewId="0">
      <selection activeCell="C24" sqref="C24"/>
    </sheetView>
  </sheetViews>
  <sheetFormatPr baseColWidth="8" defaultRowHeight="13.2"/>
  <cols>
    <col width="25.109375" customWidth="1" style="119" min="1" max="1"/>
    <col width="45" customWidth="1" style="119" min="2" max="2"/>
    <col width="28.5546875" customWidth="1" style="119" min="3" max="3"/>
    <col width="8.88671875" customWidth="1" style="119" min="4" max="5"/>
    <col width="18.6640625" customWidth="1" style="119" min="6" max="6"/>
    <col width="8.88671875" customWidth="1" style="119" min="7" max="256"/>
    <col width="24.109375" customWidth="1" style="119" min="257" max="257"/>
    <col width="45" customWidth="1" style="119" min="258" max="258"/>
    <col width="28.5546875" customWidth="1" style="119" min="259" max="259"/>
    <col width="8.88671875" customWidth="1" style="119" min="260" max="512"/>
    <col width="24.109375" customWidth="1" style="119" min="513" max="513"/>
    <col width="45" customWidth="1" style="119" min="514" max="514"/>
    <col width="28.5546875" customWidth="1" style="119" min="515" max="515"/>
    <col width="8.88671875" customWidth="1" style="119" min="516" max="768"/>
    <col width="24.109375" customWidth="1" style="119" min="769" max="769"/>
    <col width="45" customWidth="1" style="119" min="770" max="770"/>
    <col width="28.5546875" customWidth="1" style="119" min="771" max="771"/>
    <col width="8.88671875" customWidth="1" style="119" min="772" max="1024"/>
    <col width="24.109375" customWidth="1" style="119" min="1025" max="1025"/>
    <col width="45" customWidth="1" style="119" min="1026" max="1026"/>
    <col width="28.5546875" customWidth="1" style="119" min="1027" max="1027"/>
    <col width="8.88671875" customWidth="1" style="119" min="1028" max="1280"/>
    <col width="24.109375" customWidth="1" style="119" min="1281" max="1281"/>
    <col width="45" customWidth="1" style="119" min="1282" max="1282"/>
    <col width="28.5546875" customWidth="1" style="119" min="1283" max="1283"/>
    <col width="8.88671875" customWidth="1" style="119" min="1284" max="1536"/>
    <col width="24.109375" customWidth="1" style="119" min="1537" max="1537"/>
    <col width="45" customWidth="1" style="119" min="1538" max="1538"/>
    <col width="28.5546875" customWidth="1" style="119" min="1539" max="1539"/>
    <col width="8.88671875" customWidth="1" style="119" min="1540" max="1792"/>
    <col width="24.109375" customWidth="1" style="119" min="1793" max="1793"/>
    <col width="45" customWidth="1" style="119" min="1794" max="1794"/>
    <col width="28.5546875" customWidth="1" style="119" min="1795" max="1795"/>
    <col width="8.88671875" customWidth="1" style="119" min="1796" max="2048"/>
    <col width="24.109375" customWidth="1" style="119" min="2049" max="2049"/>
    <col width="45" customWidth="1" style="119" min="2050" max="2050"/>
    <col width="28.5546875" customWidth="1" style="119" min="2051" max="2051"/>
    <col width="8.88671875" customWidth="1" style="119" min="2052" max="2304"/>
    <col width="24.109375" customWidth="1" style="119" min="2305" max="2305"/>
    <col width="45" customWidth="1" style="119" min="2306" max="2306"/>
    <col width="28.5546875" customWidth="1" style="119" min="2307" max="2307"/>
    <col width="8.88671875" customWidth="1" style="119" min="2308" max="2560"/>
    <col width="24.109375" customWidth="1" style="119" min="2561" max="2561"/>
    <col width="45" customWidth="1" style="119" min="2562" max="2562"/>
    <col width="28.5546875" customWidth="1" style="119" min="2563" max="2563"/>
    <col width="8.88671875" customWidth="1" style="119" min="2564" max="2816"/>
    <col width="24.109375" customWidth="1" style="119" min="2817" max="2817"/>
    <col width="45" customWidth="1" style="119" min="2818" max="2818"/>
    <col width="28.5546875" customWidth="1" style="119" min="2819" max="2819"/>
    <col width="8.88671875" customWidth="1" style="119" min="2820" max="3072"/>
    <col width="24.109375" customWidth="1" style="119" min="3073" max="3073"/>
    <col width="45" customWidth="1" style="119" min="3074" max="3074"/>
    <col width="28.5546875" customWidth="1" style="119" min="3075" max="3075"/>
    <col width="8.88671875" customWidth="1" style="119" min="3076" max="3328"/>
    <col width="24.109375" customWidth="1" style="119" min="3329" max="3329"/>
    <col width="45" customWidth="1" style="119" min="3330" max="3330"/>
    <col width="28.5546875" customWidth="1" style="119" min="3331" max="3331"/>
    <col width="8.88671875" customWidth="1" style="119" min="3332" max="3584"/>
    <col width="24.109375" customWidth="1" style="119" min="3585" max="3585"/>
    <col width="45" customWidth="1" style="119" min="3586" max="3586"/>
    <col width="28.5546875" customWidth="1" style="119" min="3587" max="3587"/>
    <col width="8.88671875" customWidth="1" style="119" min="3588" max="3840"/>
    <col width="24.109375" customWidth="1" style="119" min="3841" max="3841"/>
    <col width="45" customWidth="1" style="119" min="3842" max="3842"/>
    <col width="28.5546875" customWidth="1" style="119" min="3843" max="3843"/>
    <col width="8.88671875" customWidth="1" style="119" min="3844" max="4096"/>
    <col width="24.109375" customWidth="1" style="119" min="4097" max="4097"/>
    <col width="45" customWidth="1" style="119" min="4098" max="4098"/>
    <col width="28.5546875" customWidth="1" style="119" min="4099" max="4099"/>
    <col width="8.88671875" customWidth="1" style="119" min="4100" max="4352"/>
    <col width="24.109375" customWidth="1" style="119" min="4353" max="4353"/>
    <col width="45" customWidth="1" style="119" min="4354" max="4354"/>
    <col width="28.5546875" customWidth="1" style="119" min="4355" max="4355"/>
    <col width="8.88671875" customWidth="1" style="119" min="4356" max="4608"/>
    <col width="24.109375" customWidth="1" style="119" min="4609" max="4609"/>
    <col width="45" customWidth="1" style="119" min="4610" max="4610"/>
    <col width="28.5546875" customWidth="1" style="119" min="4611" max="4611"/>
    <col width="8.88671875" customWidth="1" style="119" min="4612" max="4864"/>
    <col width="24.109375" customWidth="1" style="119" min="4865" max="4865"/>
    <col width="45" customWidth="1" style="119" min="4866" max="4866"/>
    <col width="28.5546875" customWidth="1" style="119" min="4867" max="4867"/>
    <col width="8.88671875" customWidth="1" style="119" min="4868" max="5120"/>
    <col width="24.109375" customWidth="1" style="119" min="5121" max="5121"/>
    <col width="45" customWidth="1" style="119" min="5122" max="5122"/>
    <col width="28.5546875" customWidth="1" style="119" min="5123" max="5123"/>
    <col width="8.88671875" customWidth="1" style="119" min="5124" max="5376"/>
    <col width="24.109375" customWidth="1" style="119" min="5377" max="5377"/>
    <col width="45" customWidth="1" style="119" min="5378" max="5378"/>
    <col width="28.5546875" customWidth="1" style="119" min="5379" max="5379"/>
    <col width="8.88671875" customWidth="1" style="119" min="5380" max="5632"/>
    <col width="24.109375" customWidth="1" style="119" min="5633" max="5633"/>
    <col width="45" customWidth="1" style="119" min="5634" max="5634"/>
    <col width="28.5546875" customWidth="1" style="119" min="5635" max="5635"/>
    <col width="8.88671875" customWidth="1" style="119" min="5636" max="5888"/>
    <col width="24.109375" customWidth="1" style="119" min="5889" max="5889"/>
    <col width="45" customWidth="1" style="119" min="5890" max="5890"/>
    <col width="28.5546875" customWidth="1" style="119" min="5891" max="5891"/>
    <col width="8.88671875" customWidth="1" style="119" min="5892" max="6144"/>
    <col width="24.109375" customWidth="1" style="119" min="6145" max="6145"/>
    <col width="45" customWidth="1" style="119" min="6146" max="6146"/>
    <col width="28.5546875" customWidth="1" style="119" min="6147" max="6147"/>
    <col width="8.88671875" customWidth="1" style="119" min="6148" max="6400"/>
    <col width="24.109375" customWidth="1" style="119" min="6401" max="6401"/>
    <col width="45" customWidth="1" style="119" min="6402" max="6402"/>
    <col width="28.5546875" customWidth="1" style="119" min="6403" max="6403"/>
    <col width="8.88671875" customWidth="1" style="119" min="6404" max="6656"/>
    <col width="24.109375" customWidth="1" style="119" min="6657" max="6657"/>
    <col width="45" customWidth="1" style="119" min="6658" max="6658"/>
    <col width="28.5546875" customWidth="1" style="119" min="6659" max="6659"/>
    <col width="8.88671875" customWidth="1" style="119" min="6660" max="6912"/>
    <col width="24.109375" customWidth="1" style="119" min="6913" max="6913"/>
    <col width="45" customWidth="1" style="119" min="6914" max="6914"/>
    <col width="28.5546875" customWidth="1" style="119" min="6915" max="6915"/>
    <col width="8.88671875" customWidth="1" style="119" min="6916" max="7168"/>
    <col width="24.109375" customWidth="1" style="119" min="7169" max="7169"/>
    <col width="45" customWidth="1" style="119" min="7170" max="7170"/>
    <col width="28.5546875" customWidth="1" style="119" min="7171" max="7171"/>
    <col width="8.88671875" customWidth="1" style="119" min="7172" max="7424"/>
    <col width="24.109375" customWidth="1" style="119" min="7425" max="7425"/>
    <col width="45" customWidth="1" style="119" min="7426" max="7426"/>
    <col width="28.5546875" customWidth="1" style="119" min="7427" max="7427"/>
    <col width="8.88671875" customWidth="1" style="119" min="7428" max="7680"/>
    <col width="24.109375" customWidth="1" style="119" min="7681" max="7681"/>
    <col width="45" customWidth="1" style="119" min="7682" max="7682"/>
    <col width="28.5546875" customWidth="1" style="119" min="7683" max="7683"/>
    <col width="8.88671875" customWidth="1" style="119" min="7684" max="7936"/>
    <col width="24.109375" customWidth="1" style="119" min="7937" max="7937"/>
    <col width="45" customWidth="1" style="119" min="7938" max="7938"/>
    <col width="28.5546875" customWidth="1" style="119" min="7939" max="7939"/>
    <col width="8.88671875" customWidth="1" style="119" min="7940" max="8192"/>
    <col width="24.109375" customWidth="1" style="119" min="8193" max="8193"/>
    <col width="45" customWidth="1" style="119" min="8194" max="8194"/>
    <col width="28.5546875" customWidth="1" style="119" min="8195" max="8195"/>
    <col width="8.88671875" customWidth="1" style="119" min="8196" max="8448"/>
    <col width="24.109375" customWidth="1" style="119" min="8449" max="8449"/>
    <col width="45" customWidth="1" style="119" min="8450" max="8450"/>
    <col width="28.5546875" customWidth="1" style="119" min="8451" max="8451"/>
    <col width="8.88671875" customWidth="1" style="119" min="8452" max="8704"/>
    <col width="24.109375" customWidth="1" style="119" min="8705" max="8705"/>
    <col width="45" customWidth="1" style="119" min="8706" max="8706"/>
    <col width="28.5546875" customWidth="1" style="119" min="8707" max="8707"/>
    <col width="8.88671875" customWidth="1" style="119" min="8708" max="8960"/>
    <col width="24.109375" customWidth="1" style="119" min="8961" max="8961"/>
    <col width="45" customWidth="1" style="119" min="8962" max="8962"/>
    <col width="28.5546875" customWidth="1" style="119" min="8963" max="8963"/>
    <col width="8.88671875" customWidth="1" style="119" min="8964" max="9216"/>
    <col width="24.109375" customWidth="1" style="119" min="9217" max="9217"/>
    <col width="45" customWidth="1" style="119" min="9218" max="9218"/>
    <col width="28.5546875" customWidth="1" style="119" min="9219" max="9219"/>
    <col width="8.88671875" customWidth="1" style="119" min="9220" max="9472"/>
    <col width="24.109375" customWidth="1" style="119" min="9473" max="9473"/>
    <col width="45" customWidth="1" style="119" min="9474" max="9474"/>
    <col width="28.5546875" customWidth="1" style="119" min="9475" max="9475"/>
    <col width="8.88671875" customWidth="1" style="119" min="9476" max="9728"/>
    <col width="24.109375" customWidth="1" style="119" min="9729" max="9729"/>
    <col width="45" customWidth="1" style="119" min="9730" max="9730"/>
    <col width="28.5546875" customWidth="1" style="119" min="9731" max="9731"/>
    <col width="8.88671875" customWidth="1" style="119" min="9732" max="9984"/>
    <col width="24.109375" customWidth="1" style="119" min="9985" max="9985"/>
    <col width="45" customWidth="1" style="119" min="9986" max="9986"/>
    <col width="28.5546875" customWidth="1" style="119" min="9987" max="9987"/>
    <col width="8.88671875" customWidth="1" style="119" min="9988" max="10240"/>
    <col width="24.109375" customWidth="1" style="119" min="10241" max="10241"/>
    <col width="45" customWidth="1" style="119" min="10242" max="10242"/>
    <col width="28.5546875" customWidth="1" style="119" min="10243" max="10243"/>
    <col width="8.88671875" customWidth="1" style="119" min="10244" max="10496"/>
    <col width="24.109375" customWidth="1" style="119" min="10497" max="10497"/>
    <col width="45" customWidth="1" style="119" min="10498" max="10498"/>
    <col width="28.5546875" customWidth="1" style="119" min="10499" max="10499"/>
    <col width="8.88671875" customWidth="1" style="119" min="10500" max="10752"/>
    <col width="24.109375" customWidth="1" style="119" min="10753" max="10753"/>
    <col width="45" customWidth="1" style="119" min="10754" max="10754"/>
    <col width="28.5546875" customWidth="1" style="119" min="10755" max="10755"/>
    <col width="8.88671875" customWidth="1" style="119" min="10756" max="11008"/>
    <col width="24.109375" customWidth="1" style="119" min="11009" max="11009"/>
    <col width="45" customWidth="1" style="119" min="11010" max="11010"/>
    <col width="28.5546875" customWidth="1" style="119" min="11011" max="11011"/>
    <col width="8.88671875" customWidth="1" style="119" min="11012" max="11264"/>
    <col width="24.109375" customWidth="1" style="119" min="11265" max="11265"/>
    <col width="45" customWidth="1" style="119" min="11266" max="11266"/>
    <col width="28.5546875" customWidth="1" style="119" min="11267" max="11267"/>
    <col width="8.88671875" customWidth="1" style="119" min="11268" max="11520"/>
    <col width="24.109375" customWidth="1" style="119" min="11521" max="11521"/>
    <col width="45" customWidth="1" style="119" min="11522" max="11522"/>
    <col width="28.5546875" customWidth="1" style="119" min="11523" max="11523"/>
    <col width="8.88671875" customWidth="1" style="119" min="11524" max="11776"/>
    <col width="24.109375" customWidth="1" style="119" min="11777" max="11777"/>
    <col width="45" customWidth="1" style="119" min="11778" max="11778"/>
    <col width="28.5546875" customWidth="1" style="119" min="11779" max="11779"/>
    <col width="8.88671875" customWidth="1" style="119" min="11780" max="12032"/>
    <col width="24.109375" customWidth="1" style="119" min="12033" max="12033"/>
    <col width="45" customWidth="1" style="119" min="12034" max="12034"/>
    <col width="28.5546875" customWidth="1" style="119" min="12035" max="12035"/>
    <col width="8.88671875" customWidth="1" style="119" min="12036" max="12288"/>
    <col width="24.109375" customWidth="1" style="119" min="12289" max="12289"/>
    <col width="45" customWidth="1" style="119" min="12290" max="12290"/>
    <col width="28.5546875" customWidth="1" style="119" min="12291" max="12291"/>
    <col width="8.88671875" customWidth="1" style="119" min="12292" max="12544"/>
    <col width="24.109375" customWidth="1" style="119" min="12545" max="12545"/>
    <col width="45" customWidth="1" style="119" min="12546" max="12546"/>
    <col width="28.5546875" customWidth="1" style="119" min="12547" max="12547"/>
    <col width="8.88671875" customWidth="1" style="119" min="12548" max="12800"/>
    <col width="24.109375" customWidth="1" style="119" min="12801" max="12801"/>
    <col width="45" customWidth="1" style="119" min="12802" max="12802"/>
    <col width="28.5546875" customWidth="1" style="119" min="12803" max="12803"/>
    <col width="8.88671875" customWidth="1" style="119" min="12804" max="13056"/>
    <col width="24.109375" customWidth="1" style="119" min="13057" max="13057"/>
    <col width="45" customWidth="1" style="119" min="13058" max="13058"/>
    <col width="28.5546875" customWidth="1" style="119" min="13059" max="13059"/>
    <col width="8.88671875" customWidth="1" style="119" min="13060" max="13312"/>
    <col width="24.109375" customWidth="1" style="119" min="13313" max="13313"/>
    <col width="45" customWidth="1" style="119" min="13314" max="13314"/>
    <col width="28.5546875" customWidth="1" style="119" min="13315" max="13315"/>
    <col width="8.88671875" customWidth="1" style="119" min="13316" max="13568"/>
    <col width="24.109375" customWidth="1" style="119" min="13569" max="13569"/>
    <col width="45" customWidth="1" style="119" min="13570" max="13570"/>
    <col width="28.5546875" customWidth="1" style="119" min="13571" max="13571"/>
    <col width="8.88671875" customWidth="1" style="119" min="13572" max="13824"/>
    <col width="24.109375" customWidth="1" style="119" min="13825" max="13825"/>
    <col width="45" customWidth="1" style="119" min="13826" max="13826"/>
    <col width="28.5546875" customWidth="1" style="119" min="13827" max="13827"/>
    <col width="8.88671875" customWidth="1" style="119" min="13828" max="14080"/>
    <col width="24.109375" customWidth="1" style="119" min="14081" max="14081"/>
    <col width="45" customWidth="1" style="119" min="14082" max="14082"/>
    <col width="28.5546875" customWidth="1" style="119" min="14083" max="14083"/>
    <col width="8.88671875" customWidth="1" style="119" min="14084" max="14336"/>
    <col width="24.109375" customWidth="1" style="119" min="14337" max="14337"/>
    <col width="45" customWidth="1" style="119" min="14338" max="14338"/>
    <col width="28.5546875" customWidth="1" style="119" min="14339" max="14339"/>
    <col width="8.88671875" customWidth="1" style="119" min="14340" max="14592"/>
    <col width="24.109375" customWidth="1" style="119" min="14593" max="14593"/>
    <col width="45" customWidth="1" style="119" min="14594" max="14594"/>
    <col width="28.5546875" customWidth="1" style="119" min="14595" max="14595"/>
    <col width="8.88671875" customWidth="1" style="119" min="14596" max="14848"/>
    <col width="24.109375" customWidth="1" style="119" min="14849" max="14849"/>
    <col width="45" customWidth="1" style="119" min="14850" max="14850"/>
    <col width="28.5546875" customWidth="1" style="119" min="14851" max="14851"/>
    <col width="8.88671875" customWidth="1" style="119" min="14852" max="15104"/>
    <col width="24.109375" customWidth="1" style="119" min="15105" max="15105"/>
    <col width="45" customWidth="1" style="119" min="15106" max="15106"/>
    <col width="28.5546875" customWidth="1" style="119" min="15107" max="15107"/>
    <col width="8.88671875" customWidth="1" style="119" min="15108" max="15360"/>
    <col width="24.109375" customWidth="1" style="119" min="15361" max="15361"/>
    <col width="45" customWidth="1" style="119" min="15362" max="15362"/>
    <col width="28.5546875" customWidth="1" style="119" min="15363" max="15363"/>
    <col width="8.88671875" customWidth="1" style="119" min="15364" max="15616"/>
    <col width="24.109375" customWidth="1" style="119" min="15617" max="15617"/>
    <col width="45" customWidth="1" style="119" min="15618" max="15618"/>
    <col width="28.5546875" customWidth="1" style="119" min="15619" max="15619"/>
    <col width="8.88671875" customWidth="1" style="119" min="15620" max="15872"/>
    <col width="24.109375" customWidth="1" style="119" min="15873" max="15873"/>
    <col width="45" customWidth="1" style="119" min="15874" max="15874"/>
    <col width="28.5546875" customWidth="1" style="119" min="15875" max="15875"/>
    <col width="8.88671875" customWidth="1" style="119" min="15876" max="16128"/>
    <col width="24.109375" customWidth="1" style="119" min="16129" max="16129"/>
    <col width="45" customWidth="1" style="119" min="16130" max="16130"/>
    <col width="28.5546875" customWidth="1" style="119" min="16131" max="16131"/>
    <col width="8.88671875" customWidth="1" style="119" min="16132" max="16384"/>
  </cols>
  <sheetData>
    <row r="1" ht="13.8" customHeight="1">
      <c r="A1" s="118" t="n"/>
      <c r="B1" s="118" t="n"/>
      <c r="C1" s="118" t="n"/>
    </row>
    <row r="2" ht="13.8" customHeight="1">
      <c r="A2" s="118" t="n"/>
      <c r="B2" s="118" t="n"/>
      <c r="C2" s="118" t="n"/>
    </row>
    <row r="3" ht="20.4" customHeight="1">
      <c r="A3" s="260" t="inlineStr">
        <is>
          <t>UKUPNA REKAPITULACIJA</t>
        </is>
      </c>
    </row>
    <row r="4" ht="13.8" customHeight="1">
      <c r="A4" s="120" t="n"/>
      <c r="B4" s="121" t="n"/>
      <c r="C4" s="121" t="n"/>
    </row>
    <row r="5" ht="24.6" customHeight="1">
      <c r="A5" s="261" t="inlineStr">
        <is>
          <t>VANJSKO UREĐENJE</t>
        </is>
      </c>
    </row>
    <row r="6" ht="24.6" customHeight="1">
      <c r="A6" s="122" t="n"/>
      <c r="B6" s="122" t="n"/>
      <c r="C6" s="122" t="n"/>
    </row>
    <row r="7" ht="13.8" customHeight="1">
      <c r="A7" s="120" t="n"/>
      <c r="B7" s="121" t="n"/>
      <c r="C7" s="121" t="n"/>
    </row>
    <row r="8" ht="13.8" customHeight="1">
      <c r="A8" s="126" t="inlineStr">
        <is>
          <t>Investitor:</t>
        </is>
      </c>
      <c r="B8" s="326" t="inlineStr">
        <is>
          <t>Osnovna škola Dragutina Domjanića</t>
        </is>
      </c>
      <c r="C8" s="308" t="n"/>
    </row>
    <row r="9" ht="13.8" customHeight="1">
      <c r="A9" s="309" t="n"/>
      <c r="B9" s="327" t="inlineStr">
        <is>
          <t>Gundulićeva 2, 10380 Sv. Ivan Zelina; OIB: 19247339828</t>
        </is>
      </c>
      <c r="C9" s="312" t="n"/>
    </row>
    <row r="10" ht="13.8" customHeight="1">
      <c r="A10" s="123" t="n"/>
      <c r="B10" s="124" t="n"/>
      <c r="C10" s="125" t="n"/>
    </row>
    <row r="11" ht="33" customHeight="1">
      <c r="A11" s="126" t="inlineStr">
        <is>
          <t>Naziv građevine:</t>
        </is>
      </c>
      <c r="B11" s="328" t="inlineStr">
        <is>
          <t xml:space="preserve">Izgradnja zgrade područne osnovne škole sa školskom dvoranom te uređenjem okoliša - Komin </t>
        </is>
      </c>
      <c r="C11" s="296" t="n"/>
    </row>
    <row r="12" ht="13.8" customHeight="1">
      <c r="A12" s="123" t="n"/>
      <c r="B12" s="124" t="n"/>
      <c r="C12" s="125" t="n"/>
    </row>
    <row r="13" ht="13.8" customHeight="1">
      <c r="A13" s="126" t="inlineStr">
        <is>
          <t>Lokacija građevine:</t>
        </is>
      </c>
      <c r="B13" s="329" t="inlineStr">
        <is>
          <t>k.č.br. 21/50; k.o. Tomaševec</t>
        </is>
      </c>
      <c r="C13" s="296" t="n"/>
    </row>
    <row r="14" ht="13.8" customHeight="1">
      <c r="A14" s="123" t="n"/>
      <c r="B14" s="124" t="n"/>
      <c r="C14" s="125" t="n"/>
    </row>
    <row r="15" ht="13.8" customHeight="1">
      <c r="A15" s="126" t="inlineStr">
        <is>
          <t>Zajednička oznaka:</t>
        </is>
      </c>
      <c r="B15" s="330" t="inlineStr">
        <is>
          <t>2024/pšk</t>
        </is>
      </c>
      <c r="C15" s="296" t="n"/>
    </row>
    <row r="16" ht="13.8" customHeight="1">
      <c r="A16" s="123" t="n"/>
      <c r="B16" s="124" t="n"/>
      <c r="C16" s="125" t="n"/>
    </row>
    <row r="17" ht="13.8" customHeight="1">
      <c r="A17" s="126" t="inlineStr">
        <is>
          <t>Broj tehničkog dnevnika:</t>
        </is>
      </c>
      <c r="B17" s="331" t="inlineStr">
        <is>
          <t>IP-10/2025</t>
        </is>
      </c>
      <c r="C17" s="296" t="n"/>
    </row>
    <row r="18" ht="13.8" customHeight="1">
      <c r="A18" s="123" t="n"/>
      <c r="B18" s="124" t="n"/>
      <c r="C18" s="125" t="n"/>
    </row>
    <row r="19" ht="13.8" customHeight="1">
      <c r="A19" s="126" t="inlineStr">
        <is>
          <t>Glavni projektant:</t>
        </is>
      </c>
      <c r="B19" s="328" t="inlineStr">
        <is>
          <t>Ivica Vizinger, dipl. ing. građ.</t>
        </is>
      </c>
      <c r="C19" s="296" t="n"/>
    </row>
    <row r="20" ht="13.8" customHeight="1">
      <c r="A20" s="118" t="n"/>
      <c r="B20" s="118" t="n"/>
      <c r="C20" s="118" t="n"/>
    </row>
    <row r="21" ht="32.25" customHeight="1">
      <c r="A21" s="274" t="inlineStr">
        <is>
          <t>Napomena: Boja ispune ćelije mape povezana je s bojom kartice pojedine grupe radova te mape. 
Primjer: Zelena boja označavava vanjsko uređenje.</t>
        </is>
      </c>
    </row>
    <row r="22" ht="14.4" customHeight="1" thickBot="1">
      <c r="A22" s="118" t="n"/>
      <c r="B22" s="118" t="n"/>
      <c r="C22" s="118" t="n"/>
    </row>
    <row r="23" ht="13.8" customHeight="1">
      <c r="A23" s="128" t="inlineStr">
        <is>
          <t>MAPA</t>
        </is>
      </c>
      <c r="B23" s="129" t="inlineStr">
        <is>
          <t>GRUPA RADOVA</t>
        </is>
      </c>
      <c r="C23" s="130" t="inlineStr">
        <is>
          <t>IZNOS BEZ PDV-A</t>
        </is>
      </c>
    </row>
    <row r="24" ht="14.4" customHeight="1" thickBot="1">
      <c r="A24" s="201" t="n">
        <v>5</v>
      </c>
      <c r="B24" s="202" t="inlineStr">
        <is>
          <t>Vanjsko uređenje</t>
        </is>
      </c>
      <c r="C24" s="332">
        <f>'[2]VU_01. VANJSKO UREĐENJE'!F225</f>
        <v/>
      </c>
      <c r="F24" s="139" t="n"/>
    </row>
    <row r="25" ht="13.8" customHeight="1">
      <c r="A25" s="118" t="n"/>
      <c r="B25" s="199" t="inlineStr">
        <is>
          <t>Ukupna vrijednost radova bez PDV-a:</t>
        </is>
      </c>
      <c r="C25" s="333">
        <f>SUM(C24:C24)</f>
        <v/>
      </c>
    </row>
    <row r="26" ht="13.8" customHeight="1">
      <c r="A26" s="118" t="n"/>
      <c r="B26" s="131" t="inlineStr">
        <is>
          <t>PDV (25%):</t>
        </is>
      </c>
      <c r="C26" s="334">
        <f>C25*0.25</f>
        <v/>
      </c>
    </row>
    <row r="27" ht="14.4" customHeight="1" thickBot="1">
      <c r="A27" s="118" t="n"/>
      <c r="B27" s="133" t="inlineStr">
        <is>
          <t>Ukupna vrijednost radova s PDV-om:</t>
        </is>
      </c>
      <c r="C27" s="335">
        <f>SUM(C25:C26)</f>
        <v/>
      </c>
    </row>
    <row r="28" ht="13.8" customHeight="1">
      <c r="A28" s="118" t="n"/>
      <c r="B28" s="118" t="n"/>
      <c r="C28" s="118" t="n"/>
    </row>
    <row r="29" ht="13.8" customHeight="1">
      <c r="A29" s="198" t="inlineStr">
        <is>
          <t>Glavni projektant:</t>
        </is>
      </c>
      <c r="B29" s="198" t="n"/>
      <c r="C29" s="198" t="n"/>
    </row>
    <row r="30" hidden="1" ht="13.8" customHeight="1">
      <c r="A30" s="118" t="n"/>
      <c r="B30" s="118" t="n"/>
      <c r="C30" s="118" t="n"/>
    </row>
    <row r="31" hidden="1" ht="13.8" customHeight="1">
      <c r="A31" s="275" t="inlineStr">
        <is>
          <t>Glavni projektant:</t>
        </is>
      </c>
      <c r="B31" s="275" t="n"/>
      <c r="C31" s="275" t="n"/>
    </row>
    <row r="32" ht="19.5" customHeight="1">
      <c r="A32" s="135" t="inlineStr">
        <is>
          <t>Filip Cvitak, dipl. ing. arh.</t>
        </is>
      </c>
      <c r="B32" s="247" t="n"/>
      <c r="C32" s="135" t="n"/>
    </row>
    <row r="33" ht="13.8" customHeight="1">
      <c r="A33" s="275" t="n"/>
      <c r="B33" s="275" t="n"/>
      <c r="C33" s="275" t="n"/>
    </row>
    <row r="34" ht="13.8" customHeight="1">
      <c r="A34" s="275" t="n"/>
      <c r="B34" s="275" t="n"/>
      <c r="C34" s="275" t="n"/>
    </row>
    <row r="35" ht="29.25" customHeight="1">
      <c r="A35" s="275" t="inlineStr">
        <is>
          <t>________________________</t>
        </is>
      </c>
      <c r="B35" s="198" t="n"/>
      <c r="C35" s="275" t="n"/>
    </row>
    <row r="36">
      <c r="A36" s="136" t="inlineStr">
        <is>
          <t>(potpis i pečat)</t>
        </is>
      </c>
      <c r="B36" s="216" t="n"/>
      <c r="C36" s="136" t="n"/>
    </row>
    <row r="37" ht="13.8" customHeight="1">
      <c r="A37" s="137" t="n"/>
      <c r="B37" s="121" t="n"/>
      <c r="C37" s="121" t="n"/>
    </row>
    <row r="38" ht="13.8" customHeight="1">
      <c r="A38" s="137" t="n"/>
      <c r="B38" s="138" t="inlineStr">
        <is>
          <t>Varaždin, travanj 2025.</t>
        </is>
      </c>
      <c r="C38" s="121" t="n"/>
    </row>
  </sheetData>
  <mergeCells count="11">
    <mergeCell ref="A8:A9"/>
    <mergeCell ref="B15:C15"/>
    <mergeCell ref="A5:C5"/>
    <mergeCell ref="B17:C17"/>
    <mergeCell ref="B8:C8"/>
    <mergeCell ref="B13:C13"/>
    <mergeCell ref="B9:C9"/>
    <mergeCell ref="B19:C19"/>
    <mergeCell ref="B11:C11"/>
    <mergeCell ref="A21:C21"/>
    <mergeCell ref="A3:C3"/>
  </mergeCells>
  <pageMargins left="0.7086614173228347" right="0.7086614173228347" top="0.7480314960629921" bottom="0.7480314960629921" header="0.3149606299212598" footer="0.3149606299212598"/>
  <pageSetup orientation="portrait" paperSize="9" scale="77" horizontalDpi="360" verticalDpi="360"/>
  <headerFooter>
    <oddHeader/>
    <oddFooter>&amp;CIzgradnja zgrade područne osnovne škole sa školskom dvoranom te uređenjem okoliša Komin</oddFooter>
    <evenHeader/>
    <evenFooter/>
    <firstHeader/>
    <firstFooter/>
  </headerFooter>
</worksheet>
</file>

<file path=xl/worksheets/sheet13.xml><?xml version="1.0" encoding="utf-8"?>
<worksheet xmlns="http://schemas.openxmlformats.org/spreadsheetml/2006/main">
  <sheetPr>
    <tabColor rgb="FF00B050"/>
    <outlinePr summaryBelow="1" summaryRight="1"/>
    <pageSetUpPr/>
  </sheetPr>
  <dimension ref="A1:F18"/>
  <sheetViews>
    <sheetView view="pageBreakPreview" zoomScaleNormal="100" zoomScaleSheetLayoutView="100" zoomScalePageLayoutView="90" workbookViewId="0">
      <selection activeCell="L13" sqref="K13:L13"/>
    </sheetView>
  </sheetViews>
  <sheetFormatPr baseColWidth="8" defaultColWidth="9.109375" defaultRowHeight="13.8"/>
  <cols>
    <col width="5.6640625" customWidth="1" style="195" min="1" max="1"/>
    <col width="47.6640625" customWidth="1" style="187" min="2" max="2"/>
    <col width="4.6640625" customWidth="1" style="196" min="3" max="3"/>
    <col width="8.6640625" customWidth="1" style="187" min="4" max="4"/>
    <col width="10.109375" customWidth="1" style="187" min="5" max="5"/>
    <col width="12.88671875" customWidth="1" style="187" min="6" max="6"/>
    <col width="9.109375" customWidth="1" style="187" min="7" max="16384"/>
  </cols>
  <sheetData>
    <row r="1" ht="17.25" customFormat="1" customHeight="1" s="180">
      <c r="A1" s="276" t="inlineStr">
        <is>
          <t>01.00 VANJSKO UREĐENJE</t>
        </is>
      </c>
      <c r="B1" s="280" t="n"/>
      <c r="C1" s="176" t="inlineStr">
        <is>
          <t>MJ</t>
        </is>
      </c>
      <c r="D1" s="177" t="inlineStr">
        <is>
          <t>KOLIČINA</t>
        </is>
      </c>
      <c r="E1" s="178" t="inlineStr">
        <is>
          <t>JED. CIJENA</t>
        </is>
      </c>
      <c r="F1" s="179" t="inlineStr">
        <is>
          <t>UKUPNO</t>
        </is>
      </c>
    </row>
    <row r="2" ht="15.75" customHeight="1">
      <c r="A2" s="181" t="n"/>
      <c r="B2" s="182" t="n"/>
      <c r="C2" s="183" t="n"/>
      <c r="D2" s="184" t="n"/>
      <c r="E2" s="185" t="n"/>
      <c r="F2" s="336" t="n"/>
    </row>
    <row r="3" ht="13.2" customFormat="1" customHeight="1" s="220">
      <c r="A3" s="188" t="inlineStr">
        <is>
          <t>01.14.</t>
        </is>
      </c>
      <c r="B3" s="209" t="inlineStr">
        <is>
          <t>Priprema podloge za epoksidno - akrilni premaz</t>
        </is>
      </c>
      <c r="C3" s="205" t="n"/>
      <c r="D3" s="221" t="n"/>
      <c r="E3" s="206" t="n"/>
      <c r="F3" s="210" t="n"/>
    </row>
    <row r="4" ht="85.5" customFormat="1" customHeight="1" s="190">
      <c r="A4" s="188" t="n"/>
      <c r="B4" s="189" t="inlineStr">
        <is>
          <t>Priprema podloge strojno kugličnim sačmarenjem ili brušenjem. Priprema se izvodi u svrhu uklanjanja cementne skramice, ostataka ulja i drugih nečistoća. U cijeni je uklanjanje prašine postupkom usisavanja, a sve zbog potrebne prionjivosti podne obloge za podlogu (vlačna čvrstoća min. 1,5 N/mm). 
Obračun po m2 kompletno pripremljene podloge</t>
        </is>
      </c>
      <c r="C4" s="207" t="n"/>
      <c r="D4" s="212" t="n"/>
      <c r="E4" s="208" t="n"/>
      <c r="F4" s="211" t="n"/>
    </row>
    <row r="5" ht="13.2" customFormat="1" customHeight="1" s="190">
      <c r="A5" s="188" t="n"/>
      <c r="B5" s="204" t="n"/>
      <c r="C5" s="207" t="inlineStr">
        <is>
          <t>m²</t>
        </is>
      </c>
      <c r="D5" s="212" t="n">
        <v>1430</v>
      </c>
      <c r="E5" s="208" t="n"/>
      <c r="F5" s="211">
        <f>D5*E5</f>
        <v/>
      </c>
    </row>
    <row r="6" ht="13.2" customFormat="1" customHeight="1" s="190">
      <c r="A6" s="188" t="n"/>
      <c r="B6" s="189" t="n"/>
      <c r="C6" s="207" t="n"/>
      <c r="D6" s="212" t="n"/>
      <c r="E6" s="208" t="n"/>
      <c r="F6" s="211" t="n"/>
    </row>
    <row r="7" ht="13.2" customFormat="1" customHeight="1" s="220">
      <c r="A7" s="188" t="inlineStr">
        <is>
          <t>01.15.</t>
        </is>
      </c>
      <c r="B7" s="209" t="inlineStr">
        <is>
          <t>Završni epoksidno - akrilni premaz u boji</t>
        </is>
      </c>
      <c r="C7" s="205" t="n"/>
      <c r="D7" s="221" t="n"/>
      <c r="E7" s="206" t="n"/>
      <c r="F7" s="210" t="n"/>
    </row>
    <row r="8" ht="183.75" customFormat="1" customHeight="1" s="190">
      <c r="A8" s="188" t="n"/>
      <c r="B8" s="189" t="inlineStr">
        <is>
          <t xml:space="preserve">Dobava i ugradnja zaštitnog akrilnog sustava na pripremljenu betonsku ili bitumensku podlogu. Betonska podloga uključuje primjenu temeljnog premaza, prosječne potrošnje 0,2 kg/m2, potrebno vrijeme sušenja prije završnog sloja: 24 sati
Završni epoksidno-akrilni sloj  nanosi se u 2 sloja, valjkom ili strojno špricanjem.
Potrošnja: 0,8 kg/m2 (za 2 sloja ) - betonska podloga
bitumenska podloga 1,5 kg/m2 (za 2 sloja)
Boja prema izboru investitora.
Višenamjenska sportska podloga super soft Podloga za igralište, mali nogomet i obojkaško košarkaški dio. Sportska podloga za vanjske terene na osnovu akrilne smole za višenamjenske sportske terene na asfaltu. Podloga je nepropusna i neklizajuća, elastična i otporna na vremenske prilike. 
Obračun po m2 izvedene površine.
</t>
        </is>
      </c>
      <c r="C8" s="207" t="n"/>
      <c r="D8" s="212" t="n"/>
      <c r="E8" s="208" t="n"/>
      <c r="F8" s="211" t="n"/>
    </row>
    <row r="9" ht="58.5" customFormat="1" customHeight="1" s="190">
      <c r="A9" s="188" t="n"/>
      <c r="B9" s="189" t="inlineStr">
        <is>
          <t>Kriterij jednakovrijednosti:
- u skladu s normom EN 1504-2 ili jednakovrijedno
- temperatura primjene: od +5°C do +35°C
- otpornost na klizanje prema EN 13036-4 za vlažne površine: ≥ 55 ili jednakovrijedno.</t>
        </is>
      </c>
      <c r="C9" s="207" t="n"/>
      <c r="D9" s="212" t="n"/>
      <c r="E9" s="208" t="n"/>
      <c r="F9" s="211" t="n"/>
    </row>
    <row r="10" ht="13.2" customFormat="1" customHeight="1" s="190">
      <c r="A10" s="188" t="n"/>
      <c r="B10" s="204" t="n"/>
      <c r="C10" s="207" t="inlineStr">
        <is>
          <t>m²</t>
        </is>
      </c>
      <c r="D10" s="212" t="n">
        <v>1430</v>
      </c>
      <c r="E10" s="208" t="n"/>
      <c r="F10" s="211">
        <f>D10*E10</f>
        <v/>
      </c>
    </row>
    <row r="11" ht="13.2" customFormat="1" customHeight="1" s="190">
      <c r="A11" s="188" t="n"/>
      <c r="B11" s="189" t="n"/>
      <c r="C11" s="207" t="n"/>
      <c r="D11" s="212" t="n"/>
      <c r="E11" s="208" t="n"/>
      <c r="F11" s="211" t="n"/>
    </row>
    <row r="12" ht="13.2" customFormat="1" customHeight="1" s="220">
      <c r="A12" s="188" t="inlineStr">
        <is>
          <t>01.16.</t>
        </is>
      </c>
      <c r="B12" s="209" t="inlineStr">
        <is>
          <t>Višeslojni visokoelastični sustav</t>
        </is>
      </c>
      <c r="C12" s="205" t="n"/>
      <c r="D12" s="221" t="n"/>
      <c r="E12" s="206" t="n"/>
      <c r="F12" s="210" t="n"/>
    </row>
    <row r="13" ht="148.2" customFormat="1" customHeight="1" s="190">
      <c r="A13" s="188" t="n"/>
      <c r="B13" s="189" t="inlineStr">
        <is>
          <t xml:space="preserve">Dobava i izvedba višeslojnog viskooelastičnog sustava na bazi akrilnih smola za multifunkcionalne sportske terene, ukupne debljine 5,5 - 6,5 mm.
Pod se sastoji iz sljedećih slojeva:
lijepljenje gumene podloge d=4mm, dvokomponentnim epoksi-poliuretanskim ljepilom za vanjske prostore, nanošenje temeljnog premaza, nanošenje temeljnog sloja u jednom sloju, nanošenje završnog premaza u dva sloja, nanošenje boje za srednje brzu podlogu u dva sloja. Završna zaštita sustava lakom  Pod je namijenjen za vanjske i unutarnje prostore te je izrazito otporan na habanje . Izvodi se prema uputama proizvođača. Boja  prema izboru investitora. U cijenu uključiti sav rad i materijal. Obračun po m2 podne površine.                                                                                                                                                                                                                                                                                                              </t>
        </is>
      </c>
      <c r="C13" s="207" t="n"/>
      <c r="D13" s="212" t="n"/>
      <c r="E13" s="208" t="n"/>
      <c r="F13" s="211" t="n"/>
    </row>
    <row r="14" ht="71.25" customFormat="1" customHeight="1" s="190">
      <c r="A14" s="188" t="n"/>
      <c r="B14" s="189" t="inlineStr">
        <is>
          <t>Kriterij jednakovrijednosti:
Tvrdoća prema Shore A: 60 
Paropropusnost (µ) prema ISO 7783/2: 200 ili jednakovrijedno.
Izduženje pri slomu prema DIN 53504 nakon 7 dana pri +23°C: 110% ili jednakovrijedno.</t>
        </is>
      </c>
      <c r="C14" s="207" t="n"/>
      <c r="D14" s="212" t="n"/>
      <c r="E14" s="208" t="n"/>
      <c r="F14" s="211" t="n"/>
    </row>
    <row r="15" ht="13.2" customFormat="1" customHeight="1" s="190">
      <c r="A15" s="188" t="n"/>
      <c r="B15" s="204" t="n"/>
      <c r="C15" s="207" t="inlineStr">
        <is>
          <t>m²</t>
        </is>
      </c>
      <c r="D15" s="212" t="n">
        <v>430</v>
      </c>
      <c r="E15" s="208" t="n"/>
      <c r="F15" s="211">
        <f>D15*E15</f>
        <v/>
      </c>
    </row>
    <row r="16" ht="13.2" customFormat="1" customHeight="1" s="190">
      <c r="A16" s="188" t="n"/>
      <c r="B16" s="189" t="n"/>
      <c r="C16" s="207" t="n"/>
      <c r="D16" s="212" t="n"/>
      <c r="E16" s="208" t="n"/>
      <c r="F16" s="211" t="n"/>
    </row>
    <row r="17" ht="12" customFormat="1" customHeight="1" s="44">
      <c r="A17" s="215" t="n"/>
      <c r="B17" s="204" t="n"/>
      <c r="C17" s="213" t="n"/>
      <c r="D17" s="208" t="n"/>
      <c r="E17" s="208" t="n"/>
      <c r="F17" s="337" t="n"/>
    </row>
    <row r="18" customFormat="1" s="194">
      <c r="A18" s="191" t="n"/>
      <c r="B18" s="278" t="inlineStr">
        <is>
          <t>Vanjsko uređenje -</t>
        </is>
      </c>
      <c r="C18" s="280" t="n"/>
      <c r="D18" s="280" t="n"/>
      <c r="E18" s="192" t="inlineStr">
        <is>
          <t>UKUPNO:</t>
        </is>
      </c>
      <c r="F18" s="193">
        <f>SUM(F3:F17)</f>
        <v/>
      </c>
    </row>
  </sheetData>
  <mergeCells count="2">
    <mergeCell ref="B18:D18"/>
    <mergeCell ref="A1:B1"/>
  </mergeCells>
  <pageMargins left="0.984251968503937" right="0.1968503937007874" top="0.7874015748031497" bottom="0.7874015748031497" header="0.3149606299212598" footer="0.3149606299212598"/>
  <pageSetup orientation="portrait" paperSize="9" scale="98"/>
  <headerFooter>
    <oddHeader>&amp;L&amp;"Bahnschrift,Uobičajeno"&amp;9 &amp;G_x000a_Jurja Križanića 6, 40305 Nedelišće&amp;R&amp;"Bahnschrift,Uobičajeno"&amp;9 URED VARAŽDIN: Jalkovečka 2, 42000 Varaždin_x000a_tel. +385 42 421 096; fax. +385 42 421 097; e-mail: ivica.vizinger@viz-ex.hr</oddHeader>
    <oddFooter>&amp;C&amp;"Bahnschrift,Uobičajeno"&amp;9 Izgradnja zgrade područne osnovne škole sa školskom dvoranom te uređenjem okoliša - Komin _x000a_k.č.br. 21/50; k.o. Tomaševec_x000a_br. TD: IP-10/2025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Jigsaw</dc:creator>
  <dcterms:created xsi:type="dcterms:W3CDTF">2017-11-23T11:45:41Z</dcterms:created>
  <dcterms:modified xsi:type="dcterms:W3CDTF">2026-06-10T19:16:02Z</dcterms:modified>
  <cp:lastModifiedBy>Martina Starešinčić</cp:lastModifiedBy>
  <cp:lastPrinted>2026-05-04T18:50:48Z</cp:lastPrinted>
</cp:coreProperties>
</file>