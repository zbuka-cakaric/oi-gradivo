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7_PONUDE 2026\Horvatovac 24\"/>
    </mc:Choice>
  </mc:AlternateContent>
  <xr:revisionPtr revIDLastSave="0" documentId="13_ncr:1_{9312438B-FF36-4A53-9F96-9B4F3812CC9B}" xr6:coauthVersionLast="47" xr6:coauthVersionMax="47" xr10:uidLastSave="{00000000-0000-0000-0000-000000000000}"/>
  <bookViews>
    <workbookView xWindow="43875" yWindow="1020" windowWidth="26310" windowHeight="19080" tabRatio="836" activeTab="1" xr2:uid="{00000000-000D-0000-FFFF-FFFF00000000}"/>
  </bookViews>
  <sheets>
    <sheet name="nasl strana" sheetId="53" r:id="rId1"/>
    <sheet name="12_fasada" sheetId="32" r:id="rId2"/>
  </sheets>
  <definedNames>
    <definedName name="_xlnm.Print_Area" localSheetId="1">'12_fasada'!$A$1:$F$168</definedName>
    <definedName name="_xlnm.Print_Area" localSheetId="0">'nasl strana'!$A$1:$G$55</definedName>
  </definedNames>
  <calcPr calcId="191029"/>
</workbook>
</file>

<file path=xl/calcChain.xml><?xml version="1.0" encoding="utf-8"?>
<calcChain xmlns="http://schemas.openxmlformats.org/spreadsheetml/2006/main">
  <c r="F162" i="32" l="1"/>
  <c r="F158" i="32" l="1"/>
  <c r="F151" i="32" l="1"/>
  <c r="F140" i="32"/>
  <c r="F99" i="32"/>
  <c r="F129" i="32"/>
  <c r="F127" i="32" l="1"/>
  <c r="F168" i="32" s="1"/>
  <c r="F111" i="32"/>
  <c r="F88" i="32" l="1"/>
  <c r="F121" i="32" l="1"/>
  <c r="F75" i="32" l="1"/>
  <c r="F62" i="32"/>
  <c r="F105" i="32" l="1"/>
  <c r="F166" i="32" l="1"/>
</calcChain>
</file>

<file path=xl/sharedStrings.xml><?xml version="1.0" encoding="utf-8"?>
<sst xmlns="http://schemas.openxmlformats.org/spreadsheetml/2006/main" count="197" uniqueCount="156">
  <si>
    <t>12.</t>
  </si>
  <si>
    <t>FASADERSKI RADOVI</t>
  </si>
  <si>
    <t>Opći uvjeti i napomene</t>
  </si>
  <si>
    <t>m2</t>
  </si>
  <si>
    <t>Pravilnik o tehničkim mjerama i uvjetima za izvedbu zgrada, (Sl. br.: 17/70),</t>
  </si>
  <si>
    <t>Zakon o zaštiti na radu (NN 59/69, 94/96, 114/03 i 86/08)</t>
  </si>
  <si>
    <t>12.1</t>
  </si>
  <si>
    <t>12.2</t>
  </si>
  <si>
    <t>Pri izvedbi fasaderskih radova izvođač je dužan pridržavati se svih uvjeta i opisa u troškovniku, kao i važećih</t>
  </si>
  <si>
    <t>propisa i to posebno:</t>
  </si>
  <si>
    <t>Tehnički uvjeti za izvođenje fasaderskih radova</t>
  </si>
  <si>
    <t>Posebna uputstva proizvođača</t>
  </si>
  <si>
    <t>Pravilnik o zaštiti na radu u građevinarstvu, (Sl. br.: 42/68), Zidarski radovi, čl. 41 -55 i Skele, čl. 73 -112</t>
  </si>
  <si>
    <t>Materijali za žbuke od poliakrilne mase sastoje se iz agregata, postojanih pigmenata, te akrilnog veziva.</t>
  </si>
  <si>
    <t>Svi nanosi žbuke i premazi moraju imati:</t>
  </si>
  <si>
    <t>dobra fizičko - mehanička svojstva</t>
  </si>
  <si>
    <t>dobra vlažnosna svojstva</t>
  </si>
  <si>
    <t>visoku rezidentnost i vremensko postojanje</t>
  </si>
  <si>
    <t>povoljnu i laganu ugradljivost</t>
  </si>
  <si>
    <t>Fizičko - mehanička svojstva:</t>
  </si>
  <si>
    <t>otpornost na habanje</t>
  </si>
  <si>
    <t>otpornost na udarce</t>
  </si>
  <si>
    <t>prionjljivost na podlogu u suhom i mokrom stanju</t>
  </si>
  <si>
    <t>Vlažnosna svojstva:</t>
  </si>
  <si>
    <t>otpornost na ispiranje kišom</t>
  </si>
  <si>
    <t>otpornosti prema atmosferskoj vlazi</t>
  </si>
  <si>
    <t>otpornost na hidrostatki tlak</t>
  </si>
  <si>
    <t>paropropusnost</t>
  </si>
  <si>
    <t>Rezistentnost:</t>
  </si>
  <si>
    <t>otpornost prema povišenim temperaturama</t>
  </si>
  <si>
    <t>promjene boje pod djelovanjem sunca i kiše</t>
  </si>
  <si>
    <t>otpornost prema brzom starenju</t>
  </si>
  <si>
    <t>otpornost prema kemikalijama</t>
  </si>
  <si>
    <t>Podloga na koju se nanosi žbuka za fasadu od sintetičkih materijala treba biti suha, bez masnih mrlja i prašine.</t>
  </si>
  <si>
    <t>Fasaderski radovi NE smiju se izvoditi po lošem vremenu (kiša, snjeg, magla, vjetar, temperatura ispod +3 stupnja C), koje bi moglo utjecati na kvalitetu radova.</t>
  </si>
  <si>
    <t>Za radove na visini preko 2 m od poda mora se predhodno postaviti skela. Zaštitu od sunca izvesti pomoću jutene tkanine koja se pričvršćuje na fasadnu skelu.</t>
  </si>
  <si>
    <t>UKUPNO FASADERSKI RADOVI:</t>
  </si>
  <si>
    <t>Pravilnik o tehničkim normativima za projektiranje i izvođenje radova u građevinarstvu,    (Sl. br.: 21/90),</t>
  </si>
  <si>
    <t>Materijali za fasaderske radove u pogledu kakvoće moraju odgovarati svim važećim standardima</t>
  </si>
  <si>
    <t xml:space="preserve"> i pojedinačnim standardima i normama za svaki ugrađeni materijal koji je sastavni dio fasadne žbuke</t>
  </si>
  <si>
    <t xml:space="preserve">Materijali za vodoodbojne fasadne žbuke sastoje se iz žbuka na bazi cementa i vapna sa dodatkom </t>
  </si>
  <si>
    <t>raznih aditiva za dobivanje vodoodbojnih svojstava žbuke.</t>
  </si>
  <si>
    <t>Obračun fasaderskih radova vrši se po metru kvadratnom, uključujući sav materijal, rad, pribor za izvođenje i skelu, ako u opisu stavke nije drugačije navedeno.</t>
  </si>
  <si>
    <t xml:space="preserve">- bojanje završnog sloja silikatnom bojom </t>
  </si>
  <si>
    <t xml:space="preserve"> </t>
  </si>
  <si>
    <t>m`</t>
  </si>
  <si>
    <t>12.3</t>
  </si>
  <si>
    <r>
      <t>Temperatura okoline, podloge i materijala za vrijeme sušenja završnog sloja pročelja mora biti najmanje +5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C, a kod silikatnih žbuka najmanje +70C.</t>
    </r>
  </si>
  <si>
    <t>12.4</t>
  </si>
  <si>
    <t>12.5</t>
  </si>
  <si>
    <t>INVESTITOR:</t>
  </si>
  <si>
    <t>GRAĐEVINA:</t>
  </si>
  <si>
    <t>LOKACIJA:</t>
  </si>
  <si>
    <t>ZAJEDNIČKA OZNAKA PROJEKTA:</t>
  </si>
  <si>
    <t>TROŠKOVNIK GRAĐEVINSKIH I OBRTNIČKIH RADOVA</t>
  </si>
  <si>
    <t>GLAVNI PROJEKTANT:</t>
  </si>
  <si>
    <t>Nikola Miletić, dipl.ing.građ</t>
  </si>
  <si>
    <t>PROJEKTANT:</t>
  </si>
  <si>
    <t>DIREKTOR:</t>
  </si>
  <si>
    <t>Vanjske špalete</t>
  </si>
  <si>
    <t>U stavku uključene sve radnje, sav materijal, dobava, ugradnja, te sav pomoćni materijal do potpune gotovosti. U ovoj stavci posebnu pozornost posvetiti spoju vertikalnih i horizontalnih ETICS ploha odnosno ugradnju adekvatnih rubnih lajsni.  Obračun po m2.</t>
  </si>
  <si>
    <t>- impregnacija</t>
  </si>
  <si>
    <t>Fasadni sustav "etics" debljine 15,0 cm</t>
  </si>
  <si>
    <t>‐ impregnacija ‐ cm</t>
  </si>
  <si>
    <t>‐ polimer‐cementno ljepilo u dva sloja s utisnutom alkalno otpornom staklenom mrežicom 0,5 cm</t>
  </si>
  <si>
    <t>12.6</t>
  </si>
  <si>
    <t>12.7</t>
  </si>
  <si>
    <t>12.8</t>
  </si>
  <si>
    <t xml:space="preserve">‐ impregnacija </t>
  </si>
  <si>
    <t>Obračun po m2.</t>
  </si>
  <si>
    <t>-polimer-cementno ljepilo u debljini 0,50 cm</t>
  </si>
  <si>
    <t>-impregnacija</t>
  </si>
  <si>
    <t>-polimer-cementno ljepilo u dva sloja s utisnutom alkalno otpornom staklenom mrežicom u debljin 0,50 cm</t>
  </si>
  <si>
    <t>- završna obrada podgleda -glet+boja</t>
  </si>
  <si>
    <t>Ante Leko, Nikole Tomašića 8, Zagreb</t>
  </si>
  <si>
    <t xml:space="preserve">              Sonja Miletić, Pokornoga 9. Zagreb</t>
  </si>
  <si>
    <t>STAMBENA GRAĐEVINA Horvatovac 24, Grad Zagreb</t>
  </si>
  <si>
    <t>Grad Zagreb ,  k.č.4303/1,  k.o. Centar</t>
  </si>
  <si>
    <t>A - 680-21</t>
  </si>
  <si>
    <t xml:space="preserve">Jagoda Pevec Pale. ing.građ. </t>
  </si>
  <si>
    <t>ovlaštena arhitektica</t>
  </si>
  <si>
    <t xml:space="preserve">Zagreb,rujan 2022.            </t>
  </si>
  <si>
    <t>fasada debljine 15 cm (uz odbijanje otvora )</t>
  </si>
  <si>
    <t>‐ toplinska izolacija: ploče  kamene vune kao KI FKD‐N Thermal ili sl. 15,0 cm</t>
  </si>
  <si>
    <t xml:space="preserve"> Količina u stavci je računata bez svih otvora na fasadi, a u zasebnoj stavci je dana obrada špalete. Završna boja u RAL-u, nijansa bijele sukladno tonu susjedne poluugrađene kuće. Dobava materijala, transport do mjesta ugradbe, izrada fasade i sav pomoćni materijal je obuhvaćen ovom stavkom. Obračun po m2.</t>
  </si>
  <si>
    <t>‐ polimer‐cementno ljepilo u dva sloja s utisnutom alkalno otpornom staklenom mrežicom  0,5 cm</t>
  </si>
  <si>
    <t>‐ završna obrada ‐  fasadna silikatna žbuka  +boja</t>
  </si>
  <si>
    <t>Fasadu izvesti:</t>
  </si>
  <si>
    <t>- polimer-cementno ljepilo 0,5 cm</t>
  </si>
  <si>
    <t>Izrada kompaktnog fasadnog "etics" sustava preko AB zidova  i rubova ploča. 
Izvesti povezani sustav za vanjsku toplinsku izolaciju ''ETICS''  :</t>
  </si>
  <si>
    <t>Dobava i  izrada postava špaleta oko prozora i vrata izolacijskim pločama kamene vune (min. gustoća 110 kg/m3) prema HRN EN 13162, fasadni tip, debljina izolacije 2 cm. Ploče se naknadno lijepe građevinskim ljepilom na AB ili zidanu plohu. Rad uskladiti s ugradbom fasadne stolarije. Obračun po m` špalete.</t>
  </si>
  <si>
    <t>Fasada debljine 5 cm, visine 80 cm</t>
  </si>
  <si>
    <t xml:space="preserve">- toplinska izolacija: </t>
  </si>
  <si>
    <t>- polimer-cementno ljepilo u dva sloja s utisnutom alkalno otpornom staklenom mrežicom</t>
  </si>
  <si>
    <t>- jednoslojna hidroizolacijska TPO membrana,  0,15 cm</t>
  </si>
  <si>
    <t>- polimer-cementno ljepilo u dva sloja s utisnutom alkalno otpornom staklenom mrežicom 0,5 cm</t>
  </si>
  <si>
    <t>Bočna  i prednja obrada podnožja parapetnog zida terase u prizemlju i terase uv. eteže -  (VZ 9.1)</t>
  </si>
  <si>
    <t>. Završna boja u RAL-u po izboru investitora i projektanta. Dobava materijala, transport do mjesta ugradbe, izrada fasade i sav pomoćni materijal je obuhvaćen ovom stavkom. Obračun po m2.</t>
  </si>
  <si>
    <t xml:space="preserve"> - polimer-cementno ljepilo</t>
  </si>
  <si>
    <t>ploče kamene vune za eliminaciju toplinskih mostova 5,0 cm</t>
  </si>
  <si>
    <t>Bočna  i prednja obrada parapetnog zida terase u prizemlju i terase uv. eteže d=5cm   (VZ9)</t>
  </si>
  <si>
    <t xml:space="preserve">Izrada  fasade  preko AB parapetnih zidova s unutrašnje strane terase.
  </t>
  </si>
  <si>
    <t>Dobava materijala, transport do mjesta ugradbe, izrada fasade i sav pomoćni materijal je obuhvaćen ovom stavkom.</t>
  </si>
  <si>
    <t>završna obrada</t>
  </si>
  <si>
    <r>
      <t>Fasadne ploče</t>
    </r>
    <r>
      <rPr>
        <b/>
        <sz val="10"/>
        <rFont val="Arial"/>
        <family val="2"/>
      </rPr>
      <t xml:space="preserve"> XPS  3,0 cm</t>
    </r>
    <r>
      <rPr>
        <sz val="10"/>
        <rFont val="Arial"/>
        <family val="2"/>
      </rPr>
      <t>, visina podnožja 30 cm.</t>
    </r>
  </si>
  <si>
    <t>ploče debljine 12 cm</t>
  </si>
  <si>
    <t>- polimercementno ljepilo
-toplinska izolacija - sastavljene ploče od kamene vune 10  cm
- polimercementno ljepilo u dva sloja sa alkalno otpornom staklenom mrežicom
- impregnacija
 - završni sloj silikatna žbuka i bojanje</t>
  </si>
  <si>
    <t>- polimercementno ljepilo
-toplinska izolacija - sastavljene ploče od kamene vune 12  cm
- polimercementno ljepilo u dva sloja sa alkalno otpornom staklenom mrežicom
- impregnacija
 - završni sloj silikatna žbuka i bojanje</t>
  </si>
  <si>
    <t>Fasadni sustav za podgled predprostora stubišta i lifta ,  (oznaka fizike zgrade M1) - postavlja se ispod AB ploče (redoslijed od ploče prema dolje - van):</t>
  </si>
  <si>
    <t>-toplinska izolacija - lamele kamene vune  u debljini 12,00 cm</t>
  </si>
  <si>
    <t>12.9</t>
  </si>
  <si>
    <t xml:space="preserve">Izrada kompletnog fasadnog "etics"sustava s donje strane  ploča  . 
Izvesti povezani sustav za vanjsku toplinsku izolaciju ''ETICS''  </t>
  </si>
  <si>
    <r>
      <t xml:space="preserve">Fasadni sustav za podgled stropa   iznad terase prizemlja d=10 cm </t>
    </r>
    <r>
      <rPr>
        <sz val="10"/>
        <rFont val="Arial"/>
        <family val="2"/>
      </rPr>
      <t>(oznaka fizike M9)</t>
    </r>
  </si>
  <si>
    <r>
      <t>Fasadni sustav za podgled stropa  iznad natkrivenog  balkona , d=12 cm</t>
    </r>
    <r>
      <rPr>
        <sz val="10"/>
        <rFont val="Arial"/>
        <family val="2"/>
      </rPr>
      <t xml:space="preserve"> (znaka fizike M6b)</t>
    </r>
  </si>
  <si>
    <r>
      <t xml:space="preserve">Fasadni sustav za podgled predprostora stubišta i lifta , d=12cm  </t>
    </r>
    <r>
      <rPr>
        <sz val="10"/>
        <rFont val="Arial"/>
        <family val="2"/>
        <charset val="238"/>
      </rPr>
      <t>(oznaka fizike zgrade M1)</t>
    </r>
  </si>
  <si>
    <r>
      <t xml:space="preserve">Fasada za vanjski zid suterena prema otvorenom stubištu  d=5 cm </t>
    </r>
    <r>
      <rPr>
        <sz val="10"/>
        <rFont val="Arial"/>
        <family val="2"/>
      </rPr>
      <t>(oznaka fizike VZ3)</t>
    </r>
  </si>
  <si>
    <t xml:space="preserve">Izrada fasade zida suterena otvorenog stubišta  . 
</t>
  </si>
  <si>
    <t>-- hidroizolacija:  fleksibilna elastomerna polimerbitumenska HI traka za zavarivanje s uloškom od staklene tkanine na hladnom bitumenskom prednamazu d=1,0 cm
-toplinska izolacija - sastavljene ploče od kamene vune 5,0  cm
- polimercementno ljepilo u dva sloja sa alkalno otpornom staklenom mrežicom
- impregnacija
 - završni sloj silikatna žbuka i bojanje</t>
  </si>
  <si>
    <t>U stavku uključene sve radnje, sav materijal, dobava, ugradnja, te sav pomoćni materijal do potpune gotovosti. U ovoj stavci posebnu pozornost posvetiti spoju vertikalnih i horizontalnih  ploha odnosno ugradnju adekvatnih rubnih lajsni.  Obračun po m2.</t>
  </si>
  <si>
    <t>Obrada parapetnog zida ravnog neprohodnog krova  ( unutarnja strane atike-VZ10)</t>
  </si>
  <si>
    <t xml:space="preserve">Izrada  fasade  preko AB parapetnog zida atike.
  </t>
  </si>
  <si>
    <t>Obradu  izvesti:</t>
  </si>
  <si>
    <t xml:space="preserve"> Dobava materijala, transport do mjesta ugradbe, izrada  i sav pomoćni materijal je obuhvaćen ovom stavkom. Obračun po m2.</t>
  </si>
  <si>
    <t xml:space="preserve"> debljine 5 cm,</t>
  </si>
  <si>
    <t>polomercementna žbuka armirana staklenom mrežicom</t>
  </si>
  <si>
    <t xml:space="preserve">Izrada kompaktnog fasadnog "etics" sustava preko AB greda suterena 
Izvesti povezani sustav za vanjsku toplinsku izolaciju ''ETICS''  </t>
  </si>
  <si>
    <t>Fasadni sustav "etics" debljine 5,0 cm -
obloga greda u suterenu</t>
  </si>
  <si>
    <t>‐ toplinska izolacija: ploče kamene vune 5,0 cm</t>
  </si>
  <si>
    <t>polimer‐cementno ljepilo</t>
  </si>
  <si>
    <t xml:space="preserve">‐ završna obrada ‐ glet+boja </t>
  </si>
  <si>
    <t>. Završna boja u RAL-u po izboru investitora i projektanta. Dobava materijala, transport do mjesta ugradbe, izrada  i sav pomoćni materijal je obuhvaćen ovom stavkom. Obračun po m2.</t>
  </si>
  <si>
    <t>obloga  debljine 5 cm</t>
  </si>
  <si>
    <t xml:space="preserve">Izrada kompaktnog fasadnog "etics" sustava preko AB zidova. 
Izvesti povezani sustav za vanjsku toplinsku izolaciju ''ETICS''  </t>
  </si>
  <si>
    <t>Fasadni sustav "etics" debljine 5,0 cm -
sjeverno pročelje uz susjednu kuću (VZ7)</t>
  </si>
  <si>
    <t>. . Dobava materijala, transport do mjesta ugradbe, izrada  i sav pomoćni materijal je obuhvaćen ovom stavkom. Obračun po m2.</t>
  </si>
  <si>
    <t>debljina 5 cm</t>
  </si>
  <si>
    <r>
      <t>Obračun po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.</t>
    </r>
  </si>
  <si>
    <t>12.10</t>
  </si>
  <si>
    <t>12.11</t>
  </si>
  <si>
    <t>12.12</t>
  </si>
  <si>
    <t>12.13</t>
  </si>
  <si>
    <t xml:space="preserve"> Ovješena kamena ploča,sidrenje bušenjem kroz najviši dio vertikalne hidroizolacije, donji dio prislonjen i osiguran nanosom slojeva okolnog terena</t>
  </si>
  <si>
    <t>Dekorativni  kameni elementi-obloga zida  suterena ( VZ2)</t>
  </si>
  <si>
    <t>Obračun po  m2 .</t>
  </si>
  <si>
    <t xml:space="preserve">Dobava i ugradnja kamenih  ploča debljine 4 cm   kao obloga  zidova suterena. 
Ploče su  hrapave površine pune brazdi i neravnina, kako bi stvorili željeni osjećaj prirodnog kamena u svom izvornom, nepravilnom izdanju.  A sve  u svrhu stvaranja  kontekstualnog povezivanja s okolicom i njezinim urbanim elementima
</t>
  </si>
  <si>
    <t>Kamene ploče se izvode na sloj XPS .</t>
  </si>
  <si>
    <t xml:space="preserve">Obloga XPS  suterena kao podloge za postavu deekorativnog kamena </t>
  </si>
  <si>
    <r>
      <t xml:space="preserve">Dobava i ugradnja  ekstrudirane polistirenske pjene </t>
    </r>
    <r>
      <rPr>
        <b/>
        <sz val="11"/>
        <rFont val="Arial"/>
        <family val="2"/>
      </rPr>
      <t>(XPS )</t>
    </r>
    <r>
      <rPr>
        <sz val="11"/>
        <rFont val="Arial"/>
        <family val="2"/>
      </rPr>
      <t xml:space="preserve">prema normi HRN EN 13164, debljine d=10,0 cm, λ=0,033.  XPS se izvodi u suterenu na hidroizolaciju koja je iskazana u izolatrskim radovima.
</t>
    </r>
  </si>
  <si>
    <t>NAPOMENA: Skela je postavljena na gradilištu</t>
  </si>
  <si>
    <t>Nudimo EPS Roefix sustav sa Unistarlight, udarnim tiplama, impregnacijom i Sisiputz 2mm HBW iznad 25</t>
  </si>
  <si>
    <t>Nudimo Roefix XPS sustav sa Unistarlight, udarnim tiplama, impregnacijom i Sisiputz 2mm HBW iznad 25</t>
  </si>
  <si>
    <t>Ne nudimo</t>
  </si>
  <si>
    <t>Nudimo Roefix StoneEtics sustav</t>
  </si>
  <si>
    <t>Nudimo Roefix EPS sustav sa Unistarlight, udarnim tiplama, impregnacijom i Sisiputz 2mm HBW iznad 25</t>
  </si>
  <si>
    <t>Nudimo Roefix EPS sustav sa Unistarlight, udarnim tiplama, impregnacijom, priprema za soboslikara</t>
  </si>
  <si>
    <t>Nudimo u XPS-u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</si>
</sst>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k_n_-;\-* #,##0.00\ _k_n_-;_-* &quot;-&quot;??\ _k_n_-;_-@_-"/>
    <numFmt numFmtId="165" formatCode="_(&quot;$&quot;* #,##0.00_);_(&quot;$&quot;* \(#,##0.00\);_(&quot;$&quot;* &quot;-&quot;??_);_(@_)"/>
    <numFmt numFmtId="166" formatCode="#,##0.00\ [$EUR];[Red]#,##0.00\ [$EUR]"/>
    <numFmt numFmtId="167" formatCode="_(* #,##0.00_);_(* \(#,##0.00\);_(* &quot;-&quot;??_);_(@_)"/>
  </numFmts>
  <fonts count="36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9"/>
      <name val="Arial CE"/>
      <charset val="238"/>
    </font>
    <font>
      <b/>
      <sz val="10"/>
      <name val="Arial"/>
      <family val="2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"/>
      <family val="2"/>
      <charset val="238"/>
    </font>
    <font>
      <sz val="6.8"/>
      <color indexed="8"/>
      <name val="Arial Unicode MS"/>
      <family val="2"/>
      <charset val="238"/>
    </font>
    <font>
      <sz val="10"/>
      <color indexed="8"/>
      <name val="Century Gothic"/>
      <family val="2"/>
      <charset val="238"/>
    </font>
    <font>
      <sz val="10"/>
      <name val="Helv"/>
    </font>
    <font>
      <b/>
      <sz val="12"/>
      <color indexed="8"/>
      <name val="Century Gothic"/>
      <family val="2"/>
      <charset val="238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1"/>
      <name val="Times New Roman"/>
      <family val="1"/>
      <charset val="238"/>
    </font>
    <font>
      <vertAlign val="superscript"/>
      <sz val="10"/>
      <name val="Arial"/>
      <family val="2"/>
    </font>
    <font>
      <sz val="10"/>
      <name val="Arial"/>
      <family val="2"/>
      <charset val="1"/>
    </font>
    <font>
      <i/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10"/>
      <color rgb="FFFF0000"/>
      <name val="Arial"/>
      <family val="2"/>
      <charset val="238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20"/>
      <name val="Arial"/>
      <family val="2"/>
    </font>
    <font>
      <b/>
      <sz val="8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b/>
      <sz val="11"/>
      <name val="Arial"/>
      <family val="2"/>
    </font>
    <font>
      <sz val="11"/>
      <name val="Arial"/>
      <family val="2"/>
    </font>
    <font>
      <sz val="10"/>
      <name val="Calibri Light"/>
      <family val="2"/>
    </font>
    <font>
      <b/>
      <sz val="10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4">
    <xf numFmtId="0" fontId="0" fillId="0" borderId="0"/>
    <xf numFmtId="0" fontId="10" fillId="0" borderId="0" applyNumberFormat="0" applyFill="0" applyBorder="0" applyProtection="0">
      <alignment horizontal="left" vertical="top" wrapText="1"/>
    </xf>
    <xf numFmtId="49" fontId="7" fillId="0" borderId="0" applyBorder="0">
      <alignment horizontal="left" vertical="top" wrapText="1"/>
      <protection locked="0"/>
    </xf>
    <xf numFmtId="0" fontId="8" fillId="0" borderId="0" applyBorder="0" applyProtection="0">
      <alignment horizontal="right" vertical="top" wrapText="1"/>
    </xf>
    <xf numFmtId="0" fontId="8" fillId="0" borderId="0" applyBorder="0">
      <alignment horizontal="justify" vertical="top" wrapText="1"/>
      <protection locked="0"/>
    </xf>
    <xf numFmtId="0" fontId="7" fillId="0" borderId="0" applyNumberFormat="0" applyFill="0" applyBorder="0" applyProtection="0">
      <alignment horizontal="justify" vertical="top"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" fontId="8" fillId="0" borderId="0" applyFill="0" applyBorder="0" applyProtection="0">
      <alignment horizontal="center" vertical="top" wrapText="1"/>
    </xf>
    <xf numFmtId="0" fontId="9" fillId="0" borderId="0"/>
    <xf numFmtId="166" fontId="13" fillId="0" borderId="0"/>
    <xf numFmtId="0" fontId="4" fillId="0" borderId="0"/>
    <xf numFmtId="166" fontId="11" fillId="0" borderId="0"/>
    <xf numFmtId="0" fontId="4" fillId="0" borderId="0"/>
    <xf numFmtId="0" fontId="14" fillId="0" borderId="0" applyProtection="0"/>
    <xf numFmtId="165" fontId="4" fillId="0" borderId="0" applyFont="0" applyFill="0" applyBorder="0" applyAlignment="0" applyProtection="0"/>
    <xf numFmtId="166" fontId="13" fillId="0" borderId="0"/>
    <xf numFmtId="0" fontId="15" fillId="0" borderId="0"/>
    <xf numFmtId="0" fontId="15" fillId="0" borderId="0">
      <alignment horizontal="left"/>
    </xf>
    <xf numFmtId="0" fontId="6" fillId="0" borderId="0"/>
    <xf numFmtId="167" fontId="4" fillId="0" borderId="0" applyFont="0" applyFill="0" applyBorder="0" applyAlignment="0" applyProtection="0"/>
    <xf numFmtId="0" fontId="11" fillId="0" borderId="0"/>
    <xf numFmtId="0" fontId="4" fillId="0" borderId="0"/>
    <xf numFmtId="0" fontId="9" fillId="0" borderId="0"/>
    <xf numFmtId="166" fontId="11" fillId="0" borderId="0"/>
    <xf numFmtId="166" fontId="4" fillId="0" borderId="0"/>
    <xf numFmtId="166" fontId="4" fillId="0" borderId="0"/>
    <xf numFmtId="0" fontId="17" fillId="0" borderId="0"/>
    <xf numFmtId="0" fontId="11" fillId="0" borderId="0"/>
    <xf numFmtId="164" fontId="4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0" fontId="5" fillId="0" borderId="0" xfId="0" applyFont="1"/>
    <xf numFmtId="0" fontId="4" fillId="0" borderId="0" xfId="0" applyFont="1"/>
    <xf numFmtId="0" fontId="11" fillId="0" borderId="0" xfId="0" applyFont="1"/>
    <xf numFmtId="0" fontId="4" fillId="0" borderId="0" xfId="7"/>
    <xf numFmtId="0" fontId="18" fillId="0" borderId="0" xfId="9" applyFont="1" applyAlignment="1">
      <alignment wrapText="1"/>
    </xf>
    <xf numFmtId="0" fontId="4" fillId="0" borderId="0" xfId="6"/>
    <xf numFmtId="0" fontId="4" fillId="0" borderId="0" xfId="6" applyAlignment="1">
      <alignment horizontal="justify" vertical="top"/>
    </xf>
    <xf numFmtId="0" fontId="4" fillId="0" borderId="0" xfId="0" applyFont="1" applyAlignment="1">
      <alignment horizontal="left" vertical="top" wrapText="1"/>
    </xf>
    <xf numFmtId="0" fontId="4" fillId="0" borderId="0" xfId="6" applyAlignment="1">
      <alignment horizontal="left" vertical="top" wrapText="1"/>
    </xf>
    <xf numFmtId="4" fontId="4" fillId="0" borderId="0" xfId="6" applyNumberFormat="1"/>
    <xf numFmtId="0" fontId="2" fillId="0" borderId="0" xfId="0" applyFont="1"/>
    <xf numFmtId="0" fontId="2" fillId="0" borderId="0" xfId="0" applyFont="1" applyAlignment="1">
      <alignment horizontal="justify" vertical="top"/>
    </xf>
    <xf numFmtId="0" fontId="28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top"/>
    </xf>
    <xf numFmtId="49" fontId="30" fillId="0" borderId="0" xfId="2" applyFont="1" applyAlignment="1">
      <alignment vertical="top" wrapText="1"/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 applyProtection="1">
      <alignment horizontal="right"/>
      <protection locked="0"/>
    </xf>
    <xf numFmtId="0" fontId="31" fillId="0" borderId="0" xfId="4" applyFont="1" applyAlignment="1">
      <alignment vertical="top" wrapText="1"/>
      <protection locked="0"/>
    </xf>
    <xf numFmtId="0" fontId="31" fillId="0" borderId="0" xfId="4" applyFont="1">
      <alignment horizontal="justify" vertical="top" wrapText="1"/>
      <protection locked="0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4" fillId="0" borderId="0" xfId="0" applyFont="1" applyAlignment="1">
      <alignment horizontal="justify" vertical="top" wrapText="1"/>
    </xf>
    <xf numFmtId="49" fontId="4" fillId="0" borderId="0" xfId="6" applyNumberFormat="1" applyAlignment="1">
      <alignment horizontal="justify" vertical="top"/>
    </xf>
    <xf numFmtId="4" fontId="4" fillId="0" borderId="0" xfId="6" applyNumberFormat="1" applyAlignment="1">
      <alignment horizontal="left"/>
    </xf>
    <xf numFmtId="4" fontId="4" fillId="0" borderId="0" xfId="6" applyNumberFormat="1" applyAlignment="1" applyProtection="1">
      <alignment horizontal="left"/>
      <protection locked="0"/>
    </xf>
    <xf numFmtId="4" fontId="4" fillId="0" borderId="0" xfId="6" applyNumberFormat="1" applyAlignment="1">
      <alignment horizontal="right"/>
    </xf>
    <xf numFmtId="49" fontId="4" fillId="0" borderId="0" xfId="6" applyNumberFormat="1" applyAlignment="1">
      <alignment horizontal="left" vertical="top"/>
    </xf>
    <xf numFmtId="4" fontId="12" fillId="0" borderId="2" xfId="7" applyNumberFormat="1" applyFont="1" applyBorder="1" applyAlignment="1" applyProtection="1">
      <alignment horizontal="right"/>
      <protection locked="0"/>
    </xf>
    <xf numFmtId="4" fontId="4" fillId="0" borderId="0" xfId="7" applyNumberFormat="1" applyAlignment="1">
      <alignment horizontal="left"/>
    </xf>
    <xf numFmtId="4" fontId="4" fillId="0" borderId="0" xfId="7" applyNumberFormat="1" applyAlignment="1">
      <alignment horizontal="right"/>
    </xf>
    <xf numFmtId="49" fontId="12" fillId="0" borderId="0" xfId="7" applyNumberFormat="1" applyFont="1" applyAlignment="1">
      <alignment horizontal="left"/>
    </xf>
    <xf numFmtId="0" fontId="12" fillId="0" borderId="0" xfId="7" applyFont="1"/>
    <xf numFmtId="0" fontId="12" fillId="0" borderId="0" xfId="6" applyFont="1"/>
    <xf numFmtId="49" fontId="4" fillId="0" borderId="0" xfId="6" quotePrefix="1" applyNumberFormat="1" applyAlignment="1">
      <alignment horizontal="left" vertical="top" wrapText="1"/>
    </xf>
    <xf numFmtId="49" fontId="4" fillId="0" borderId="0" xfId="6" applyNumberFormat="1" applyAlignment="1">
      <alignment horizontal="justify" vertical="top" wrapText="1"/>
    </xf>
    <xf numFmtId="49" fontId="4" fillId="0" borderId="0" xfId="7" applyNumberFormat="1"/>
    <xf numFmtId="49" fontId="12" fillId="0" borderId="2" xfId="7" applyNumberFormat="1" applyFont="1" applyBorder="1" applyAlignment="1">
      <alignment horizontal="left" vertical="top"/>
    </xf>
    <xf numFmtId="0" fontId="12" fillId="0" borderId="2" xfId="7" applyFont="1" applyBorder="1" applyAlignment="1">
      <alignment horizontal="left" vertical="top" wrapText="1"/>
    </xf>
    <xf numFmtId="4" fontId="12" fillId="0" borderId="2" xfId="7" applyNumberFormat="1" applyFont="1" applyBorder="1" applyAlignment="1">
      <alignment horizontal="left"/>
    </xf>
    <xf numFmtId="4" fontId="12" fillId="0" borderId="2" xfId="7" applyNumberFormat="1" applyFont="1" applyBorder="1" applyAlignment="1" applyProtection="1">
      <alignment horizontal="left"/>
      <protection locked="0"/>
    </xf>
    <xf numFmtId="0" fontId="18" fillId="0" borderId="0" xfId="9" applyFont="1" applyAlignment="1">
      <alignment horizontal="left"/>
    </xf>
    <xf numFmtId="4" fontId="12" fillId="0" borderId="0" xfId="6" applyNumberFormat="1" applyFont="1" applyAlignment="1">
      <alignment horizontal="left"/>
    </xf>
    <xf numFmtId="4" fontId="12" fillId="0" borderId="0" xfId="6" applyNumberFormat="1" applyFont="1" applyAlignment="1">
      <alignment horizontal="right"/>
    </xf>
    <xf numFmtId="0" fontId="4" fillId="0" borderId="0" xfId="9" applyAlignment="1">
      <alignment horizontal="left"/>
    </xf>
    <xf numFmtId="0" fontId="4" fillId="0" borderId="0" xfId="9"/>
    <xf numFmtId="4" fontId="4" fillId="2" borderId="0" xfId="6" applyNumberFormat="1" applyFill="1" applyAlignment="1" applyProtection="1">
      <alignment horizontal="left"/>
      <protection locked="0"/>
    </xf>
    <xf numFmtId="0" fontId="12" fillId="3" borderId="0" xfId="6" applyFont="1" applyFill="1" applyAlignment="1">
      <alignment wrapText="1"/>
    </xf>
    <xf numFmtId="0" fontId="4" fillId="3" borderId="0" xfId="6" applyFill="1" applyAlignment="1">
      <alignment horizontal="left" vertical="top" wrapText="1"/>
    </xf>
    <xf numFmtId="49" fontId="4" fillId="3" borderId="0" xfId="6" applyNumberFormat="1" applyFill="1" applyAlignment="1">
      <alignment horizontal="left" vertical="top" wrapText="1"/>
    </xf>
    <xf numFmtId="49" fontId="4" fillId="3" borderId="0" xfId="6" applyNumberFormat="1" applyFill="1" applyAlignment="1">
      <alignment horizontal="justify" vertical="top" wrapText="1"/>
    </xf>
    <xf numFmtId="0" fontId="12" fillId="3" borderId="0" xfId="6" applyFont="1" applyFill="1"/>
    <xf numFmtId="4" fontId="4" fillId="0" borderId="0" xfId="6" applyNumberFormat="1" applyAlignment="1" applyProtection="1">
      <alignment horizontal="right"/>
      <protection locked="0"/>
    </xf>
    <xf numFmtId="0" fontId="22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2" fontId="4" fillId="0" borderId="0" xfId="0" applyNumberFormat="1" applyFont="1" applyAlignment="1">
      <alignment vertical="center"/>
    </xf>
    <xf numFmtId="4" fontId="12" fillId="0" borderId="0" xfId="0" applyNumberFormat="1" applyFont="1" applyAlignment="1">
      <alignment horizontal="right" vertical="center"/>
    </xf>
    <xf numFmtId="0" fontId="22" fillId="0" borderId="1" xfId="0" applyFont="1" applyBorder="1" applyAlignment="1">
      <alignment vertical="top"/>
    </xf>
    <xf numFmtId="0" fontId="23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top"/>
    </xf>
    <xf numFmtId="0" fontId="11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9" fillId="0" borderId="0" xfId="0" applyFont="1"/>
    <xf numFmtId="0" fontId="9" fillId="0" borderId="1" xfId="0" applyFont="1" applyBorder="1" applyAlignment="1">
      <alignment vertical="top"/>
    </xf>
    <xf numFmtId="0" fontId="25" fillId="0" borderId="1" xfId="0" applyFont="1" applyBorder="1"/>
    <xf numFmtId="0" fontId="26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/>
    <xf numFmtId="0" fontId="12" fillId="0" borderId="0" xfId="0" applyFont="1" applyAlignment="1">
      <alignment horizontal="right"/>
    </xf>
    <xf numFmtId="0" fontId="29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0" fontId="29" fillId="0" borderId="1" xfId="0" applyFont="1" applyBorder="1" applyAlignment="1">
      <alignment vertical="top"/>
    </xf>
    <xf numFmtId="0" fontId="20" fillId="0" borderId="1" xfId="0" applyFont="1" applyBorder="1" applyAlignment="1">
      <alignment horizontal="center" vertical="top"/>
    </xf>
    <xf numFmtId="0" fontId="19" fillId="0" borderId="0" xfId="0" applyFont="1"/>
    <xf numFmtId="0" fontId="12" fillId="0" borderId="1" xfId="0" applyFont="1" applyBorder="1" applyAlignment="1">
      <alignment vertical="top"/>
    </xf>
    <xf numFmtId="0" fontId="19" fillId="0" borderId="1" xfId="0" applyFont="1" applyBorder="1"/>
    <xf numFmtId="49" fontId="4" fillId="0" borderId="0" xfId="6" applyNumberFormat="1" applyAlignment="1">
      <alignment horizontal="left" vertical="top" wrapText="1"/>
    </xf>
    <xf numFmtId="0" fontId="12" fillId="0" borderId="0" xfId="6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4" fontId="11" fillId="0" borderId="0" xfId="7" applyNumberFormat="1" applyFont="1" applyAlignment="1">
      <alignment horizontal="left"/>
    </xf>
    <xf numFmtId="4" fontId="11" fillId="0" borderId="0" xfId="7" applyNumberFormat="1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6" quotePrefix="1" applyAlignment="1">
      <alignment horizontal="left" vertical="top" wrapText="1"/>
    </xf>
    <xf numFmtId="4" fontId="11" fillId="0" borderId="0" xfId="24" applyNumberFormat="1" applyAlignment="1">
      <alignment horizontal="left" wrapText="1"/>
    </xf>
    <xf numFmtId="4" fontId="11" fillId="0" borderId="0" xfId="24" applyNumberFormat="1" applyAlignment="1">
      <alignment horizontal="right" wrapText="1"/>
    </xf>
    <xf numFmtId="49" fontId="11" fillId="0" borderId="0" xfId="6" applyNumberFormat="1" applyFont="1" applyAlignment="1">
      <alignment horizontal="left" vertical="top" wrapText="1"/>
    </xf>
    <xf numFmtId="0" fontId="3" fillId="0" borderId="0" xfId="24" applyFont="1" applyAlignment="1">
      <alignment horizontal="left" vertical="top" wrapText="1"/>
    </xf>
    <xf numFmtId="0" fontId="12" fillId="0" borderId="0" xfId="6" applyFont="1" applyAlignment="1">
      <alignment wrapText="1"/>
    </xf>
    <xf numFmtId="0" fontId="11" fillId="0" borderId="0" xfId="0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49" fontId="34" fillId="0" borderId="0" xfId="0" applyNumberFormat="1" applyFont="1" applyAlignment="1">
      <alignment horizontal="right" vertical="center" wrapText="1"/>
    </xf>
    <xf numFmtId="0" fontId="11" fillId="0" borderId="0" xfId="6" quotePrefix="1" applyFont="1" applyAlignment="1">
      <alignment horizontal="left" vertical="top" wrapText="1"/>
    </xf>
    <xf numFmtId="0" fontId="21" fillId="0" borderId="0" xfId="6" applyFont="1"/>
    <xf numFmtId="4" fontId="21" fillId="0" borderId="0" xfId="6" applyNumberFormat="1" applyFont="1" applyAlignment="1">
      <alignment horizontal="left"/>
    </xf>
    <xf numFmtId="0" fontId="11" fillId="0" borderId="0" xfId="24" applyAlignment="1">
      <alignment horizontal="left" vertical="top"/>
    </xf>
    <xf numFmtId="49" fontId="11" fillId="0" borderId="0" xfId="6" applyNumberFormat="1" applyFont="1" applyAlignment="1">
      <alignment horizontal="center" vertical="top" wrapText="1"/>
    </xf>
    <xf numFmtId="4" fontId="11" fillId="0" borderId="0" xfId="6" applyNumberFormat="1" applyFont="1" applyAlignment="1" applyProtection="1">
      <alignment horizontal="center" vertical="top"/>
      <protection locked="0"/>
    </xf>
    <xf numFmtId="0" fontId="11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4" fontId="11" fillId="0" borderId="0" xfId="6" applyNumberFormat="1" applyFont="1" applyAlignment="1">
      <alignment horizontal="center" vertical="top"/>
    </xf>
    <xf numFmtId="4" fontId="11" fillId="0" borderId="0" xfId="7" applyNumberFormat="1" applyFont="1" applyAlignment="1">
      <alignment horizontal="center" vertical="top"/>
    </xf>
    <xf numFmtId="4" fontId="11" fillId="0" borderId="0" xfId="24" applyNumberFormat="1" applyAlignment="1">
      <alignment horizontal="center" vertical="top" wrapText="1"/>
    </xf>
    <xf numFmtId="4" fontId="23" fillId="0" borderId="0" xfId="24" applyNumberFormat="1" applyFont="1" applyAlignment="1">
      <alignment horizontal="center" vertical="top" wrapText="1"/>
    </xf>
    <xf numFmtId="0" fontId="3" fillId="0" borderId="1" xfId="0" applyFont="1" applyBorder="1" applyAlignment="1">
      <alignment horizontal="right"/>
    </xf>
    <xf numFmtId="0" fontId="22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24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27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4" fillId="0" borderId="0" xfId="9" applyAlignment="1">
      <alignment horizontal="left" wrapText="1"/>
    </xf>
    <xf numFmtId="0" fontId="4" fillId="0" borderId="0" xfId="6" applyAlignment="1">
      <alignment horizontal="left" wrapText="1"/>
    </xf>
    <xf numFmtId="0" fontId="18" fillId="0" borderId="0" xfId="9" applyFont="1" applyAlignment="1">
      <alignment horizontal="left" wrapText="1"/>
    </xf>
    <xf numFmtId="0" fontId="4" fillId="0" borderId="0" xfId="9" applyAlignment="1">
      <alignment horizontal="left" vertical="top" wrapText="1"/>
    </xf>
    <xf numFmtId="0" fontId="21" fillId="0" borderId="0" xfId="6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34">
    <cellStyle name="Comma 2" xfId="32" xr:uid="{00000000-0005-0000-0000-000000000000}"/>
    <cellStyle name="Excel Built-in Normal" xfId="30" xr:uid="{00000000-0005-0000-0000-000001000000}"/>
    <cellStyle name="Heading" xfId="1" xr:uid="{00000000-0005-0000-0000-000002000000}"/>
    <cellStyle name="Heading1" xfId="2" xr:uid="{00000000-0005-0000-0000-000003000000}"/>
    <cellStyle name="komadi" xfId="3" xr:uid="{00000000-0005-0000-0000-000004000000}"/>
    <cellStyle name="nabrajanje" xfId="4" xr:uid="{00000000-0005-0000-0000-000006000000}"/>
    <cellStyle name="napomene_2" xfId="5" xr:uid="{00000000-0005-0000-0000-000007000000}"/>
    <cellStyle name="Navadno_KALAMAR-PSO GREGORČIČEVA MS-16.11.04" xfId="15" xr:uid="{00000000-0005-0000-0000-000008000000}"/>
    <cellStyle name="Normal" xfId="0" builtinId="0"/>
    <cellStyle name="Normal 10" xfId="14" xr:uid="{00000000-0005-0000-0000-00000A000000}"/>
    <cellStyle name="Normal 11" xfId="16" xr:uid="{00000000-0005-0000-0000-00000B000000}"/>
    <cellStyle name="Normal 19 2" xfId="31" xr:uid="{00000000-0005-0000-0000-00000C000000}"/>
    <cellStyle name="Normal 2" xfId="6" xr:uid="{00000000-0005-0000-0000-00000D000000}"/>
    <cellStyle name="Normal 2 2" xfId="7" xr:uid="{00000000-0005-0000-0000-00000E000000}"/>
    <cellStyle name="Normal 3" xfId="8" xr:uid="{00000000-0005-0000-0000-00000F000000}"/>
    <cellStyle name="Normal 4" xfId="25" xr:uid="{00000000-0005-0000-0000-000010000000}"/>
    <cellStyle name="Normal 54" xfId="24" xr:uid="{00000000-0005-0000-0000-000011000000}"/>
    <cellStyle name="Normal_VLAšKA 69-A,B,C,D (2)" xfId="9" xr:uid="{00000000-0005-0000-0000-000013000000}"/>
    <cellStyle name="Normalno 2" xfId="10" xr:uid="{00000000-0005-0000-0000-000015000000}"/>
    <cellStyle name="Normalno 3" xfId="13" xr:uid="{00000000-0005-0000-0000-000016000000}"/>
    <cellStyle name="Normalno 3 2" xfId="17" xr:uid="{00000000-0005-0000-0000-000017000000}"/>
    <cellStyle name="Normalno 3 4" xfId="28" xr:uid="{00000000-0005-0000-0000-000018000000}"/>
    <cellStyle name="Normalno 4" xfId="19" xr:uid="{00000000-0005-0000-0000-000019000000}"/>
    <cellStyle name="Normalno 4 2" xfId="27" xr:uid="{00000000-0005-0000-0000-00001A000000}"/>
    <cellStyle name="Normalno 4 3" xfId="29" xr:uid="{00000000-0005-0000-0000-00001B000000}"/>
    <cellStyle name="Normalno 5" xfId="33" xr:uid="{00000000-0005-0000-0000-00001C000000}"/>
    <cellStyle name="Obično 2" xfId="21" xr:uid="{00000000-0005-0000-0000-00001D000000}"/>
    <cellStyle name="Obično 3" xfId="20" xr:uid="{00000000-0005-0000-0000-00001E000000}"/>
    <cellStyle name="Obično_KauflandRI 2" xfId="22" xr:uid="{00000000-0005-0000-0000-00001F000000}"/>
    <cellStyle name="redni brojevi" xfId="11" xr:uid="{00000000-0005-0000-0000-000020000000}"/>
    <cellStyle name="Stil 1" xfId="26" xr:uid="{00000000-0005-0000-0000-000021000000}"/>
    <cellStyle name="Style 1" xfId="12" xr:uid="{00000000-0005-0000-0000-000022000000}"/>
    <cellStyle name="Valuta 2" xfId="18" xr:uid="{00000000-0005-0000-0000-000023000000}"/>
    <cellStyle name="Zarez 2" xfId="23" xr:uid="{00000000-0005-0000-0000-00002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view="pageBreakPreview" topLeftCell="A31" zoomScaleNormal="100" zoomScaleSheetLayoutView="100" zoomScalePageLayoutView="120" workbookViewId="0">
      <selection activeCell="E7" sqref="E7"/>
    </sheetView>
  </sheetViews>
  <sheetFormatPr defaultColWidth="9.140625" defaultRowHeight="12"/>
  <cols>
    <col min="1" max="1" width="7.28515625" style="11" customWidth="1"/>
    <col min="2" max="2" width="31.140625" style="11" customWidth="1"/>
    <col min="3" max="3" width="7.28515625" style="20" customWidth="1"/>
    <col min="4" max="4" width="9.28515625" style="21" customWidth="1"/>
    <col min="5" max="5" width="10.7109375" style="21" customWidth="1"/>
    <col min="6" max="6" width="12.7109375" style="22" customWidth="1"/>
    <col min="7" max="7" width="13.28515625" style="11" customWidth="1"/>
    <col min="8" max="16384" width="9.140625" style="11"/>
  </cols>
  <sheetData>
    <row r="1" spans="1:7" ht="12.75">
      <c r="A1" s="54"/>
      <c r="B1" s="54"/>
      <c r="C1" s="54"/>
      <c r="D1" s="55"/>
      <c r="E1" s="55"/>
      <c r="F1" s="55"/>
      <c r="G1" s="2"/>
    </row>
    <row r="2" spans="1:7" s="1" customFormat="1" ht="12.75">
      <c r="A2" s="54"/>
      <c r="B2" s="54"/>
      <c r="C2" s="54"/>
      <c r="D2" s="55"/>
      <c r="E2" s="55"/>
      <c r="F2" s="55"/>
      <c r="G2" s="56"/>
    </row>
    <row r="3" spans="1:7" s="1" customFormat="1" ht="12.75">
      <c r="A3" s="54"/>
      <c r="B3" s="54"/>
      <c r="C3" s="54"/>
      <c r="D3" s="55"/>
      <c r="E3" s="55"/>
      <c r="F3" s="55"/>
      <c r="G3" s="56"/>
    </row>
    <row r="4" spans="1:7" s="1" customFormat="1" ht="12.75">
      <c r="A4" s="57"/>
      <c r="B4" s="58"/>
      <c r="C4" s="59"/>
      <c r="D4" s="23"/>
      <c r="E4" s="59"/>
      <c r="F4" s="60"/>
      <c r="G4" s="61"/>
    </row>
    <row r="5" spans="1:7" s="1" customFormat="1" ht="12.75">
      <c r="A5" s="54"/>
      <c r="B5" s="54"/>
      <c r="C5" s="54"/>
      <c r="D5" s="55"/>
      <c r="E5" s="55"/>
      <c r="F5" s="55"/>
      <c r="G5" s="56"/>
    </row>
    <row r="6" spans="1:7" s="1" customFormat="1" ht="12.75">
      <c r="A6" s="54"/>
      <c r="B6" s="54"/>
      <c r="C6" s="54"/>
      <c r="D6" s="55"/>
      <c r="E6" s="55"/>
      <c r="F6" s="55"/>
      <c r="G6" s="56"/>
    </row>
    <row r="7" spans="1:7" s="1" customFormat="1" ht="12.75">
      <c r="A7" s="54"/>
      <c r="B7" s="54"/>
      <c r="C7" s="54"/>
      <c r="D7" s="55"/>
      <c r="E7" s="55"/>
      <c r="F7" s="55"/>
      <c r="G7" s="56"/>
    </row>
    <row r="8" spans="1:7" s="1" customFormat="1" ht="12.75">
      <c r="A8" s="54"/>
      <c r="B8" s="54"/>
      <c r="C8" s="54"/>
      <c r="D8" s="55"/>
      <c r="E8" s="55"/>
      <c r="F8" s="55"/>
      <c r="G8" s="56"/>
    </row>
    <row r="9" spans="1:7" s="1" customFormat="1" ht="12.75">
      <c r="A9" s="54"/>
      <c r="B9" s="54"/>
      <c r="C9" s="54"/>
      <c r="D9" s="55"/>
      <c r="E9" s="55"/>
      <c r="F9" s="55"/>
      <c r="G9" s="56"/>
    </row>
    <row r="10" spans="1:7" s="1" customFormat="1" ht="12.75">
      <c r="A10" s="54"/>
      <c r="B10" s="54"/>
      <c r="C10" s="54"/>
      <c r="D10" s="55"/>
      <c r="E10" s="55"/>
      <c r="F10" s="55"/>
      <c r="G10" s="56"/>
    </row>
    <row r="11" spans="1:7" s="1" customFormat="1" ht="12.75">
      <c r="A11" s="54"/>
      <c r="B11" s="54"/>
      <c r="C11" s="54"/>
      <c r="D11" s="55"/>
      <c r="E11" s="55"/>
      <c r="F11" s="55"/>
      <c r="G11" s="56"/>
    </row>
    <row r="12" spans="1:7" s="12" customFormat="1" ht="12.75">
      <c r="A12" s="54"/>
      <c r="B12" s="54"/>
      <c r="C12" s="54"/>
      <c r="D12" s="55"/>
      <c r="E12" s="55"/>
      <c r="F12" s="55"/>
      <c r="G12" s="56"/>
    </row>
    <row r="13" spans="1:7" s="12" customFormat="1" ht="12.75">
      <c r="A13" s="54"/>
      <c r="B13" s="54"/>
      <c r="C13" s="54"/>
      <c r="D13" s="55"/>
      <c r="E13" s="55"/>
      <c r="F13" s="55"/>
      <c r="G13" s="56"/>
    </row>
    <row r="14" spans="1:7" s="12" customFormat="1" ht="12.75">
      <c r="A14" s="54"/>
      <c r="B14" s="54"/>
      <c r="C14" s="54"/>
      <c r="D14" s="55"/>
      <c r="E14" s="55"/>
      <c r="F14" s="55"/>
      <c r="G14" s="56"/>
    </row>
    <row r="15" spans="1:7" s="12" customFormat="1" ht="12.75">
      <c r="A15" s="54"/>
      <c r="B15" s="54"/>
      <c r="C15" s="54"/>
      <c r="D15" s="55"/>
      <c r="E15" s="55"/>
      <c r="F15" s="55"/>
      <c r="G15" s="56"/>
    </row>
    <row r="16" spans="1:7" s="12" customFormat="1" ht="12.75">
      <c r="A16" s="54"/>
      <c r="B16" s="54"/>
      <c r="C16" s="54"/>
      <c r="D16" s="55"/>
      <c r="E16" s="55"/>
      <c r="F16" s="55"/>
      <c r="G16" s="56"/>
    </row>
    <row r="17" spans="1:7" s="12" customFormat="1" ht="12.75">
      <c r="A17" s="54"/>
      <c r="B17" s="54"/>
      <c r="C17" s="54"/>
      <c r="D17" s="55"/>
      <c r="E17" s="55"/>
      <c r="F17" s="55"/>
      <c r="G17" s="56"/>
    </row>
    <row r="18" spans="1:7" s="12" customFormat="1" ht="12.75">
      <c r="A18" s="54"/>
      <c r="B18" s="54"/>
      <c r="C18" s="54"/>
      <c r="D18" s="55"/>
      <c r="E18" s="55"/>
      <c r="F18" s="55"/>
      <c r="G18" s="56"/>
    </row>
    <row r="19" spans="1:7" s="12" customFormat="1" ht="12.75">
      <c r="A19" s="54"/>
      <c r="B19" s="54"/>
      <c r="C19" s="54"/>
      <c r="D19" s="55"/>
      <c r="E19" s="55"/>
      <c r="F19" s="55"/>
      <c r="G19" s="56"/>
    </row>
    <row r="20" spans="1:7" s="12" customFormat="1" ht="12.75">
      <c r="A20" s="54"/>
      <c r="B20" s="54"/>
      <c r="C20" s="54"/>
      <c r="D20" s="55"/>
      <c r="E20" s="55"/>
      <c r="F20" s="55"/>
      <c r="G20" s="56"/>
    </row>
    <row r="21" spans="1:7" s="12" customFormat="1" ht="12.75">
      <c r="A21" s="54"/>
      <c r="B21" s="54"/>
      <c r="C21" s="54"/>
      <c r="D21" s="55"/>
      <c r="E21" s="55"/>
      <c r="F21" s="55"/>
      <c r="G21" s="56"/>
    </row>
    <row r="22" spans="1:7" s="12" customFormat="1" ht="12.75">
      <c r="A22" s="54"/>
      <c r="B22" s="54"/>
      <c r="C22" s="54"/>
      <c r="D22" s="55"/>
      <c r="E22" s="55"/>
      <c r="F22" s="55"/>
      <c r="G22" s="56"/>
    </row>
    <row r="23" spans="1:7" s="12" customFormat="1" ht="12.75">
      <c r="A23" s="54"/>
      <c r="B23" s="54"/>
      <c r="C23" s="54"/>
      <c r="D23" s="117"/>
      <c r="E23" s="117"/>
      <c r="F23" s="117"/>
      <c r="G23" s="56"/>
    </row>
    <row r="24" spans="1:7" s="12" customFormat="1" ht="12.75">
      <c r="A24" s="54"/>
      <c r="B24" s="54"/>
      <c r="C24" s="54"/>
      <c r="D24" s="55"/>
      <c r="E24" s="55"/>
      <c r="F24" s="55"/>
      <c r="G24" s="56"/>
    </row>
    <row r="25" spans="1:7" s="12" customFormat="1" ht="12.75">
      <c r="A25" s="62"/>
      <c r="B25" s="62"/>
      <c r="C25" s="62"/>
      <c r="D25" s="63"/>
      <c r="E25" s="63"/>
      <c r="F25" s="63"/>
      <c r="G25" s="64"/>
    </row>
    <row r="26" spans="1:7" s="12" customFormat="1" ht="12.75">
      <c r="A26" s="54"/>
      <c r="B26" s="54"/>
      <c r="C26" s="54"/>
      <c r="D26" s="55"/>
      <c r="E26" s="55"/>
      <c r="F26" s="55"/>
      <c r="G26" s="56"/>
    </row>
    <row r="27" spans="1:7" s="12" customFormat="1" ht="12.75">
      <c r="A27" s="118" t="s">
        <v>50</v>
      </c>
      <c r="B27" s="118"/>
      <c r="C27" s="118"/>
      <c r="D27" s="119" t="s">
        <v>74</v>
      </c>
      <c r="E27" s="119"/>
      <c r="F27" s="119"/>
      <c r="G27" s="119"/>
    </row>
    <row r="28" spans="1:7" s="12" customFormat="1" ht="12.75">
      <c r="A28" s="65"/>
      <c r="B28" s="65"/>
      <c r="C28" s="65"/>
      <c r="D28" s="123" t="s">
        <v>75</v>
      </c>
      <c r="E28" s="123"/>
      <c r="F28" s="123"/>
      <c r="G28" s="123"/>
    </row>
    <row r="29" spans="1:7" s="12" customFormat="1" ht="12.75">
      <c r="A29" s="66"/>
      <c r="B29" s="66"/>
      <c r="C29" s="66"/>
      <c r="D29" s="3"/>
      <c r="E29" s="3"/>
      <c r="F29" s="3"/>
      <c r="G29" s="56"/>
    </row>
    <row r="30" spans="1:7" s="12" customFormat="1" ht="27" customHeight="1">
      <c r="A30" s="120" t="s">
        <v>51</v>
      </c>
      <c r="B30" s="120"/>
      <c r="C30" s="121" t="s">
        <v>76</v>
      </c>
      <c r="D30" s="122"/>
      <c r="E30" s="122"/>
      <c r="F30" s="122"/>
      <c r="G30" s="122"/>
    </row>
    <row r="31" spans="1:7" s="12" customFormat="1" ht="11.25" customHeight="1">
      <c r="A31" s="67"/>
      <c r="B31" s="67"/>
      <c r="C31" s="67"/>
      <c r="D31" s="116"/>
      <c r="E31" s="116"/>
      <c r="F31" s="116"/>
      <c r="G31" s="64"/>
    </row>
    <row r="32" spans="1:7" s="12" customFormat="1" ht="12.75">
      <c r="A32" s="68"/>
      <c r="B32" s="68"/>
      <c r="C32" s="68"/>
      <c r="D32" s="69"/>
      <c r="E32" s="69"/>
      <c r="F32" s="69"/>
      <c r="G32" s="56"/>
    </row>
    <row r="33" spans="1:7" s="12" customFormat="1" ht="12.75">
      <c r="A33" s="118" t="s">
        <v>52</v>
      </c>
      <c r="B33" s="118"/>
      <c r="C33" s="118"/>
      <c r="D33" s="125" t="s">
        <v>77</v>
      </c>
      <c r="E33" s="125"/>
      <c r="F33" s="125"/>
      <c r="G33" s="125"/>
    </row>
    <row r="34" spans="1:7" s="12" customFormat="1" ht="12.75">
      <c r="A34" s="70"/>
      <c r="B34" s="70"/>
      <c r="C34" s="70"/>
      <c r="D34" s="71"/>
      <c r="E34" s="72"/>
      <c r="F34" s="72"/>
      <c r="G34" s="64"/>
    </row>
    <row r="35" spans="1:7" s="12" customFormat="1" ht="12.75">
      <c r="A35" s="73"/>
      <c r="B35" s="73"/>
      <c r="C35" s="73"/>
      <c r="D35" s="74"/>
      <c r="E35" s="74"/>
      <c r="F35" s="74"/>
      <c r="G35" s="56"/>
    </row>
    <row r="36" spans="1:7" s="12" customFormat="1" ht="12.75">
      <c r="A36" s="126" t="s">
        <v>53</v>
      </c>
      <c r="B36" s="126"/>
      <c r="C36" s="126"/>
      <c r="D36" s="127" t="s">
        <v>78</v>
      </c>
      <c r="E36" s="127"/>
      <c r="F36" s="127"/>
      <c r="G36" s="127"/>
    </row>
    <row r="37" spans="1:7" s="12" customFormat="1" ht="15">
      <c r="A37" s="75"/>
      <c r="B37" s="75"/>
      <c r="C37" s="75"/>
      <c r="D37" s="76"/>
      <c r="E37" s="76"/>
      <c r="F37" s="76"/>
      <c r="G37" s="64"/>
    </row>
    <row r="38" spans="1:7" s="12" customFormat="1" ht="12.75">
      <c r="A38" s="77"/>
      <c r="B38" s="77"/>
      <c r="C38" s="77"/>
      <c r="D38" s="74"/>
      <c r="E38" s="74"/>
      <c r="F38" s="74"/>
      <c r="G38" s="56"/>
    </row>
    <row r="39" spans="1:7" s="13" customFormat="1" ht="25.5">
      <c r="A39" s="128" t="s">
        <v>54</v>
      </c>
      <c r="B39" s="128"/>
      <c r="C39" s="128"/>
      <c r="D39" s="128"/>
      <c r="E39" s="128"/>
      <c r="F39" s="128"/>
      <c r="G39" s="128"/>
    </row>
    <row r="40" spans="1:7" s="12" customFormat="1" ht="12.75">
      <c r="A40" s="62"/>
      <c r="B40" s="62"/>
      <c r="C40" s="62"/>
      <c r="D40" s="63"/>
      <c r="E40" s="63"/>
      <c r="F40" s="63"/>
      <c r="G40" s="64"/>
    </row>
    <row r="41" spans="1:7" s="12" customFormat="1" ht="12.75">
      <c r="A41" s="54"/>
      <c r="B41" s="54"/>
      <c r="C41" s="54"/>
      <c r="D41" s="55"/>
      <c r="E41" s="55"/>
      <c r="F41" s="55"/>
      <c r="G41" s="56"/>
    </row>
    <row r="42" spans="1:7" s="12" customFormat="1" ht="12.75">
      <c r="A42" s="78" t="s">
        <v>55</v>
      </c>
      <c r="B42" s="78"/>
      <c r="C42" s="78"/>
      <c r="D42" s="79"/>
      <c r="E42" s="124" t="s">
        <v>56</v>
      </c>
      <c r="F42" s="124"/>
      <c r="G42" s="124"/>
    </row>
    <row r="43" spans="1:7" s="12" customFormat="1" ht="12.75">
      <c r="A43" s="78"/>
      <c r="B43" s="78"/>
      <c r="C43" s="78"/>
      <c r="D43" s="79"/>
      <c r="E43" s="80"/>
      <c r="F43" s="124"/>
      <c r="G43" s="129"/>
    </row>
    <row r="44" spans="1:7" s="12" customFormat="1" ht="12.75">
      <c r="A44" s="81"/>
      <c r="B44" s="81"/>
      <c r="C44" s="81"/>
      <c r="D44" s="82"/>
      <c r="E44" s="82"/>
      <c r="F44" s="82"/>
      <c r="G44" s="56"/>
    </row>
    <row r="45" spans="1:7" s="12" customFormat="1" ht="12.75">
      <c r="A45" s="81"/>
      <c r="B45" s="81"/>
      <c r="C45" s="81"/>
      <c r="D45" s="82"/>
      <c r="E45" s="82"/>
      <c r="F45" s="82"/>
      <c r="G45" s="56"/>
    </row>
    <row r="46" spans="1:7" s="12" customFormat="1" ht="12.75">
      <c r="A46" s="78" t="s">
        <v>57</v>
      </c>
      <c r="B46" s="78"/>
      <c r="C46" s="78"/>
      <c r="D46" s="79"/>
      <c r="E46" s="124" t="s">
        <v>79</v>
      </c>
      <c r="F46" s="124"/>
      <c r="G46" s="124"/>
    </row>
    <row r="47" spans="1:7" s="12" customFormat="1" ht="12.75">
      <c r="A47" s="78"/>
      <c r="B47" s="81"/>
      <c r="C47" s="81"/>
      <c r="D47" s="82"/>
      <c r="E47" s="80"/>
      <c r="F47" s="124" t="s">
        <v>80</v>
      </c>
      <c r="G47" s="129"/>
    </row>
    <row r="48" spans="1:7" ht="12.75">
      <c r="A48" s="81"/>
      <c r="B48" s="81"/>
      <c r="C48" s="81"/>
      <c r="D48" s="82"/>
      <c r="E48" s="82"/>
      <c r="F48" s="82"/>
      <c r="G48" s="56"/>
    </row>
    <row r="49" spans="1:7" ht="12.75">
      <c r="A49" s="83"/>
      <c r="B49" s="83"/>
      <c r="C49" s="83"/>
      <c r="D49" s="84"/>
      <c r="E49" s="84"/>
      <c r="F49" s="84"/>
      <c r="G49" s="64"/>
    </row>
    <row r="50" spans="1:7" ht="15.75">
      <c r="A50" s="78"/>
      <c r="B50" s="78"/>
      <c r="C50" s="78"/>
      <c r="D50" s="85"/>
      <c r="E50" s="85"/>
      <c r="F50" s="85"/>
      <c r="G50" s="56"/>
    </row>
    <row r="51" spans="1:7" ht="12.75">
      <c r="A51" s="78" t="s">
        <v>58</v>
      </c>
      <c r="B51" s="78"/>
      <c r="C51" s="78"/>
      <c r="D51" s="79"/>
      <c r="E51" s="124" t="s">
        <v>56</v>
      </c>
      <c r="F51" s="124"/>
      <c r="G51" s="124"/>
    </row>
    <row r="52" spans="1:7" ht="12.75">
      <c r="A52" s="81"/>
      <c r="B52" s="81"/>
      <c r="C52" s="81"/>
      <c r="D52" s="82"/>
      <c r="E52" s="82"/>
      <c r="F52" s="82"/>
      <c r="G52" s="56"/>
    </row>
    <row r="53" spans="1:7" ht="12.75">
      <c r="A53" s="81"/>
      <c r="B53" s="81"/>
      <c r="C53" s="81"/>
      <c r="D53" s="82"/>
      <c r="E53" s="82"/>
      <c r="F53" s="82"/>
      <c r="G53" s="56"/>
    </row>
    <row r="54" spans="1:7" ht="15.75">
      <c r="A54" s="86"/>
      <c r="B54" s="86"/>
      <c r="C54" s="86"/>
      <c r="D54" s="87"/>
      <c r="E54" s="87"/>
      <c r="F54" s="87"/>
      <c r="G54" s="64"/>
    </row>
    <row r="55" spans="1:7" ht="15.75">
      <c r="A55" s="118" t="s">
        <v>81</v>
      </c>
      <c r="B55" s="118"/>
      <c r="C55" s="118"/>
      <c r="D55" s="85"/>
      <c r="E55" s="85"/>
      <c r="F55" s="85"/>
      <c r="G55" s="56"/>
    </row>
    <row r="56" spans="1:7">
      <c r="A56" s="14"/>
      <c r="B56" s="15"/>
      <c r="C56" s="16"/>
      <c r="D56" s="17"/>
      <c r="E56" s="17"/>
      <c r="F56" s="17"/>
    </row>
    <row r="57" spans="1:7">
      <c r="A57" s="14"/>
      <c r="B57" s="18"/>
      <c r="C57" s="16"/>
      <c r="D57" s="17"/>
      <c r="E57" s="17"/>
      <c r="F57" s="17"/>
    </row>
    <row r="58" spans="1:7">
      <c r="A58" s="14"/>
      <c r="B58" s="19"/>
      <c r="C58" s="16"/>
      <c r="D58" s="17"/>
      <c r="E58" s="17"/>
      <c r="F58" s="17"/>
    </row>
    <row r="59" spans="1:7">
      <c r="A59" s="14"/>
      <c r="B59" s="19"/>
      <c r="C59" s="16"/>
      <c r="D59" s="17"/>
      <c r="E59" s="17"/>
      <c r="F59" s="17"/>
    </row>
    <row r="60" spans="1:7">
      <c r="A60" s="14"/>
      <c r="B60" s="18"/>
      <c r="C60" s="16"/>
      <c r="D60" s="17"/>
      <c r="E60" s="17"/>
      <c r="F60" s="17"/>
    </row>
    <row r="61" spans="1:7">
      <c r="A61" s="14"/>
      <c r="B61" s="15"/>
      <c r="C61" s="16"/>
      <c r="D61" s="17"/>
      <c r="E61" s="17"/>
      <c r="F61" s="17"/>
    </row>
    <row r="62" spans="1:7">
      <c r="B62" s="18"/>
    </row>
    <row r="63" spans="1:7">
      <c r="B63" s="19"/>
    </row>
    <row r="64" spans="1:7">
      <c r="B64" s="19"/>
      <c r="C64" s="11"/>
      <c r="D64" s="11"/>
      <c r="E64" s="11"/>
      <c r="F64" s="11"/>
    </row>
    <row r="65" spans="2:6">
      <c r="B65" s="19"/>
      <c r="C65" s="11"/>
      <c r="D65" s="11"/>
      <c r="E65" s="11"/>
      <c r="F65" s="11"/>
    </row>
    <row r="66" spans="2:6">
      <c r="B66" s="19"/>
      <c r="C66" s="11"/>
      <c r="D66" s="11"/>
      <c r="E66" s="11"/>
      <c r="F66" s="11"/>
    </row>
    <row r="67" spans="2:6">
      <c r="B67" s="18"/>
      <c r="C67" s="11"/>
      <c r="D67" s="11"/>
      <c r="E67" s="11"/>
      <c r="F67" s="11"/>
    </row>
    <row r="68" spans="2:6">
      <c r="B68" s="15"/>
      <c r="C68" s="11"/>
      <c r="D68" s="11"/>
      <c r="E68" s="11"/>
      <c r="F68" s="11"/>
    </row>
    <row r="69" spans="2:6">
      <c r="B69" s="18"/>
      <c r="C69" s="11"/>
      <c r="D69" s="11"/>
      <c r="E69" s="11"/>
      <c r="F69" s="11"/>
    </row>
    <row r="70" spans="2:6">
      <c r="B70" s="19"/>
      <c r="C70" s="11"/>
      <c r="D70" s="11"/>
      <c r="E70" s="11"/>
      <c r="F70" s="11"/>
    </row>
    <row r="71" spans="2:6">
      <c r="B71" s="19"/>
      <c r="C71" s="11"/>
      <c r="D71" s="11"/>
      <c r="E71" s="11"/>
      <c r="F71" s="11"/>
    </row>
    <row r="72" spans="2:6">
      <c r="B72" s="19"/>
      <c r="C72" s="11"/>
      <c r="D72" s="11"/>
      <c r="E72" s="11"/>
      <c r="F72" s="11"/>
    </row>
    <row r="73" spans="2:6">
      <c r="B73" s="15"/>
      <c r="C73" s="11"/>
      <c r="D73" s="11"/>
      <c r="E73" s="11"/>
      <c r="F73" s="11"/>
    </row>
    <row r="74" spans="2:6">
      <c r="B74" s="18"/>
      <c r="C74" s="11"/>
      <c r="D74" s="11"/>
      <c r="E74" s="11"/>
      <c r="F74" s="11"/>
    </row>
    <row r="75" spans="2:6">
      <c r="B75" s="19"/>
      <c r="C75" s="11"/>
      <c r="D75" s="11"/>
      <c r="E75" s="11"/>
      <c r="F75" s="11"/>
    </row>
    <row r="76" spans="2:6">
      <c r="B76" s="19"/>
      <c r="C76" s="11"/>
      <c r="D76" s="11"/>
      <c r="E76" s="11"/>
      <c r="F76" s="11"/>
    </row>
    <row r="77" spans="2:6">
      <c r="B77" s="19"/>
      <c r="C77" s="11"/>
      <c r="D77" s="11"/>
      <c r="E77" s="11"/>
      <c r="F77" s="11"/>
    </row>
    <row r="78" spans="2:6">
      <c r="B78" s="19"/>
      <c r="C78" s="11"/>
      <c r="D78" s="11"/>
      <c r="E78" s="11"/>
      <c r="F78" s="11"/>
    </row>
    <row r="79" spans="2:6">
      <c r="B79" s="19"/>
      <c r="C79" s="11"/>
      <c r="D79" s="11"/>
      <c r="E79" s="11"/>
      <c r="F79" s="11"/>
    </row>
    <row r="80" spans="2:6">
      <c r="B80" s="19"/>
      <c r="C80" s="11"/>
      <c r="D80" s="11"/>
      <c r="E80" s="11"/>
      <c r="F80" s="11"/>
    </row>
  </sheetData>
  <mergeCells count="18">
    <mergeCell ref="E46:G46"/>
    <mergeCell ref="E51:G51"/>
    <mergeCell ref="A55:C55"/>
    <mergeCell ref="A33:C33"/>
    <mergeCell ref="D33:G33"/>
    <mergeCell ref="A36:C36"/>
    <mergeCell ref="D36:G36"/>
    <mergeCell ref="A39:G39"/>
    <mergeCell ref="E42:G42"/>
    <mergeCell ref="F43:G43"/>
    <mergeCell ref="F47:G47"/>
    <mergeCell ref="D31:F31"/>
    <mergeCell ref="D23:F23"/>
    <mergeCell ref="A27:C27"/>
    <mergeCell ref="D27:G27"/>
    <mergeCell ref="A30:B30"/>
    <mergeCell ref="C30:G30"/>
    <mergeCell ref="D28:G28"/>
  </mergeCells>
  <pageMargins left="0.78740157480314965" right="0" top="0.98425196850393704" bottom="0.98425196850393704" header="0.39370078740157483" footer="0.31496062992125984"/>
  <pageSetup paperSize="9" scale="95" orientation="portrait" r:id="rId1"/>
  <headerFooter alignWithMargins="0">
    <oddHeader>&amp;L&amp;9&amp;G&amp;C&amp;9STAMBENA GRAĐEVINA Horvatovac 24
Grad Zagreb,k.č. 4303/1, k.o. Centar,
Troškovnik građevinsko-obrtničkih radova &amp;R&amp;9&amp;P / &amp;N</oddHeader>
  </headerFooter>
  <rowBreaks count="1" manualBreakCount="1">
    <brk id="65" max="6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3:J187"/>
  <sheetViews>
    <sheetView tabSelected="1" view="pageBreakPreview" topLeftCell="A43" zoomScaleNormal="100" zoomScaleSheetLayoutView="100" workbookViewId="0">
      <selection activeCell="E162" sqref="E162"/>
    </sheetView>
  </sheetViews>
  <sheetFormatPr defaultColWidth="9.140625" defaultRowHeight="12.75"/>
  <cols>
    <col min="1" max="1" width="7.28515625" style="37" customWidth="1"/>
    <col min="2" max="2" width="40.7109375" style="4" customWidth="1"/>
    <col min="3" max="3" width="7.28515625" style="30" customWidth="1"/>
    <col min="4" max="5" width="10.7109375" style="30" customWidth="1"/>
    <col min="6" max="6" width="16.5703125" style="31" customWidth="1"/>
    <col min="7" max="16384" width="9.140625" style="4"/>
  </cols>
  <sheetData>
    <row r="3" spans="1:7">
      <c r="A3" s="32" t="s">
        <v>0</v>
      </c>
      <c r="B3" s="33" t="s">
        <v>1</v>
      </c>
    </row>
    <row r="4" spans="1:7">
      <c r="A4" s="32"/>
    </row>
    <row r="5" spans="1:7" ht="21.75" customHeight="1">
      <c r="A5" s="34" t="s">
        <v>2</v>
      </c>
      <c r="B5" s="34"/>
      <c r="C5" s="25"/>
      <c r="D5" s="25"/>
      <c r="E5" s="25"/>
      <c r="F5" s="27"/>
    </row>
    <row r="6" spans="1:7" ht="16.5" customHeight="1">
      <c r="A6" s="131" t="s">
        <v>8</v>
      </c>
      <c r="B6" s="131"/>
      <c r="C6" s="131"/>
      <c r="D6" s="131"/>
      <c r="E6" s="131"/>
      <c r="F6" s="131"/>
    </row>
    <row r="7" spans="1:7">
      <c r="A7" s="131" t="s">
        <v>9</v>
      </c>
      <c r="B7" s="131"/>
      <c r="C7" s="131"/>
      <c r="D7" s="131"/>
      <c r="E7" s="131"/>
      <c r="F7" s="131"/>
    </row>
    <row r="8" spans="1:7" ht="17.25" customHeight="1">
      <c r="A8" s="34"/>
      <c r="B8" s="42" t="s">
        <v>4</v>
      </c>
      <c r="C8" s="43"/>
      <c r="D8" s="43"/>
      <c r="E8" s="43"/>
      <c r="F8" s="44"/>
    </row>
    <row r="9" spans="1:7" ht="30.75" customHeight="1">
      <c r="A9" s="34"/>
      <c r="B9" s="132" t="s">
        <v>37</v>
      </c>
      <c r="C9" s="132"/>
      <c r="D9" s="132"/>
      <c r="E9" s="132"/>
      <c r="F9" s="132"/>
      <c r="G9" s="5"/>
    </row>
    <row r="10" spans="1:7">
      <c r="A10" s="34"/>
      <c r="B10" s="42" t="s">
        <v>10</v>
      </c>
      <c r="C10" s="25"/>
      <c r="D10" s="25"/>
      <c r="E10" s="25"/>
      <c r="F10" s="27"/>
    </row>
    <row r="11" spans="1:7">
      <c r="A11" s="34"/>
      <c r="B11" s="42" t="s">
        <v>11</v>
      </c>
      <c r="C11" s="25"/>
      <c r="D11" s="25"/>
      <c r="E11" s="25"/>
      <c r="F11" s="27"/>
    </row>
    <row r="12" spans="1:7" ht="30" customHeight="1">
      <c r="A12" s="34"/>
      <c r="B12" s="132" t="s">
        <v>12</v>
      </c>
      <c r="C12" s="132"/>
      <c r="D12" s="132"/>
      <c r="E12" s="132"/>
      <c r="F12" s="132"/>
    </row>
    <row r="13" spans="1:7">
      <c r="A13" s="34"/>
      <c r="B13" s="42" t="s">
        <v>5</v>
      </c>
      <c r="C13" s="25"/>
      <c r="D13" s="25"/>
      <c r="E13" s="25"/>
      <c r="F13" s="27"/>
    </row>
    <row r="14" spans="1:7">
      <c r="A14" s="45" t="s">
        <v>38</v>
      </c>
      <c r="B14" s="34"/>
      <c r="C14" s="25"/>
      <c r="D14" s="25"/>
      <c r="E14" s="25"/>
      <c r="F14" s="27"/>
    </row>
    <row r="15" spans="1:7">
      <c r="A15" s="46" t="s">
        <v>39</v>
      </c>
      <c r="B15" s="34"/>
      <c r="C15" s="25"/>
      <c r="D15" s="25"/>
      <c r="E15" s="25"/>
      <c r="F15" s="27"/>
    </row>
    <row r="16" spans="1:7">
      <c r="A16" s="34"/>
      <c r="B16" s="34"/>
      <c r="C16" s="25"/>
      <c r="D16" s="25"/>
      <c r="E16" s="25"/>
      <c r="F16" s="27"/>
    </row>
    <row r="17" spans="1:6">
      <c r="A17" s="45" t="s">
        <v>13</v>
      </c>
      <c r="B17" s="34"/>
      <c r="C17" s="25"/>
      <c r="D17" s="25"/>
      <c r="E17" s="25"/>
      <c r="F17" s="27"/>
    </row>
    <row r="18" spans="1:6" ht="17.25" customHeight="1">
      <c r="A18" s="45" t="s">
        <v>40</v>
      </c>
      <c r="B18" s="34"/>
      <c r="C18" s="25"/>
      <c r="D18" s="25"/>
      <c r="E18" s="25"/>
      <c r="F18" s="27"/>
    </row>
    <row r="19" spans="1:6">
      <c r="A19" s="46" t="s">
        <v>41</v>
      </c>
      <c r="B19" s="34"/>
      <c r="C19" s="25"/>
      <c r="D19" s="25"/>
      <c r="E19" s="25"/>
      <c r="F19" s="27"/>
    </row>
    <row r="20" spans="1:6">
      <c r="A20" s="34"/>
      <c r="B20" s="34"/>
      <c r="C20" s="25"/>
      <c r="D20" s="25"/>
      <c r="E20" s="25"/>
      <c r="F20" s="27"/>
    </row>
    <row r="21" spans="1:6">
      <c r="A21" s="45" t="s">
        <v>14</v>
      </c>
      <c r="B21" s="34"/>
      <c r="C21" s="25"/>
      <c r="D21" s="25"/>
      <c r="E21" s="25"/>
      <c r="F21" s="27"/>
    </row>
    <row r="22" spans="1:6">
      <c r="A22" s="34"/>
      <c r="B22" s="45" t="s">
        <v>15</v>
      </c>
      <c r="C22" s="25"/>
      <c r="D22" s="25"/>
      <c r="E22" s="25"/>
      <c r="F22" s="27"/>
    </row>
    <row r="23" spans="1:6">
      <c r="A23" s="34"/>
      <c r="B23" s="45" t="s">
        <v>16</v>
      </c>
      <c r="C23" s="25"/>
      <c r="D23" s="25"/>
      <c r="E23" s="25"/>
      <c r="F23" s="27"/>
    </row>
    <row r="24" spans="1:6">
      <c r="A24" s="34"/>
      <c r="B24" s="45" t="s">
        <v>17</v>
      </c>
      <c r="C24" s="25"/>
      <c r="D24" s="25"/>
      <c r="E24" s="25"/>
      <c r="F24" s="27"/>
    </row>
    <row r="25" spans="1:6">
      <c r="A25" s="34"/>
      <c r="B25" s="45" t="s">
        <v>18</v>
      </c>
      <c r="C25" s="25"/>
      <c r="D25" s="25"/>
      <c r="E25" s="25"/>
      <c r="F25" s="27"/>
    </row>
    <row r="26" spans="1:6">
      <c r="A26" s="34"/>
      <c r="B26" s="34"/>
      <c r="C26" s="25"/>
      <c r="D26" s="25"/>
      <c r="E26" s="25"/>
      <c r="F26" s="27"/>
    </row>
    <row r="27" spans="1:6">
      <c r="A27" s="45" t="s">
        <v>19</v>
      </c>
      <c r="B27" s="34"/>
      <c r="C27" s="25"/>
      <c r="D27" s="25"/>
      <c r="E27" s="25"/>
      <c r="F27" s="27"/>
    </row>
    <row r="28" spans="1:6">
      <c r="A28" s="34"/>
      <c r="B28" s="45" t="s">
        <v>20</v>
      </c>
      <c r="C28" s="25"/>
      <c r="D28" s="25"/>
      <c r="E28" s="25"/>
      <c r="F28" s="27"/>
    </row>
    <row r="29" spans="1:6">
      <c r="A29" s="34"/>
      <c r="B29" s="45" t="s">
        <v>21</v>
      </c>
      <c r="C29" s="25"/>
      <c r="D29" s="25"/>
      <c r="E29" s="25"/>
      <c r="F29" s="27"/>
    </row>
    <row r="30" spans="1:6">
      <c r="A30" s="34"/>
      <c r="B30" s="45" t="s">
        <v>22</v>
      </c>
      <c r="C30" s="25"/>
      <c r="D30" s="25"/>
      <c r="E30" s="25"/>
      <c r="F30" s="27"/>
    </row>
    <row r="31" spans="1:6">
      <c r="A31" s="34"/>
      <c r="B31" s="34"/>
      <c r="C31" s="25"/>
      <c r="D31" s="25"/>
      <c r="E31" s="25"/>
      <c r="F31" s="27"/>
    </row>
    <row r="32" spans="1:6">
      <c r="A32" s="45" t="s">
        <v>23</v>
      </c>
      <c r="B32" s="34"/>
      <c r="C32" s="25"/>
      <c r="D32" s="25"/>
      <c r="E32" s="25"/>
      <c r="F32" s="27"/>
    </row>
    <row r="33" spans="1:6">
      <c r="A33" s="34"/>
      <c r="B33" s="45" t="s">
        <v>24</v>
      </c>
      <c r="C33" s="25"/>
      <c r="D33" s="25"/>
      <c r="E33" s="25"/>
      <c r="F33" s="27"/>
    </row>
    <row r="34" spans="1:6">
      <c r="A34" s="34"/>
      <c r="B34" s="45" t="s">
        <v>25</v>
      </c>
      <c r="C34" s="25"/>
      <c r="D34" s="25"/>
      <c r="E34" s="25"/>
      <c r="F34" s="27"/>
    </row>
    <row r="35" spans="1:6">
      <c r="A35" s="34"/>
      <c r="B35" s="45" t="s">
        <v>26</v>
      </c>
      <c r="C35" s="25"/>
      <c r="D35" s="25"/>
      <c r="E35" s="25"/>
      <c r="F35" s="27"/>
    </row>
    <row r="36" spans="1:6">
      <c r="A36" s="34"/>
      <c r="B36" s="45" t="s">
        <v>27</v>
      </c>
      <c r="C36" s="25"/>
      <c r="D36" s="25"/>
      <c r="E36" s="25"/>
      <c r="F36" s="27"/>
    </row>
    <row r="37" spans="1:6">
      <c r="A37" s="34"/>
      <c r="B37" s="34"/>
      <c r="C37" s="25"/>
      <c r="D37" s="25"/>
      <c r="E37" s="25"/>
      <c r="F37" s="27"/>
    </row>
    <row r="38" spans="1:6">
      <c r="A38" s="45" t="s">
        <v>28</v>
      </c>
      <c r="B38" s="34"/>
      <c r="C38" s="25"/>
      <c r="D38" s="25"/>
      <c r="E38" s="25"/>
      <c r="F38" s="27"/>
    </row>
    <row r="39" spans="1:6">
      <c r="A39" s="34"/>
      <c r="B39" s="45" t="s">
        <v>29</v>
      </c>
      <c r="C39" s="25"/>
      <c r="D39" s="25"/>
      <c r="E39" s="25"/>
      <c r="F39" s="27"/>
    </row>
    <row r="40" spans="1:6">
      <c r="A40" s="34"/>
      <c r="B40" s="45" t="s">
        <v>30</v>
      </c>
      <c r="C40" s="25"/>
      <c r="D40" s="25"/>
      <c r="E40" s="25"/>
      <c r="F40" s="27"/>
    </row>
    <row r="41" spans="1:6">
      <c r="A41" s="34"/>
      <c r="B41" s="45" t="s">
        <v>31</v>
      </c>
      <c r="C41" s="25"/>
      <c r="D41" s="25"/>
      <c r="E41" s="25"/>
      <c r="F41" s="27"/>
    </row>
    <row r="42" spans="1:6">
      <c r="A42" s="34"/>
      <c r="B42" s="45" t="s">
        <v>32</v>
      </c>
      <c r="C42" s="25"/>
      <c r="D42" s="25"/>
      <c r="E42" s="25"/>
      <c r="F42" s="27"/>
    </row>
    <row r="43" spans="1:6" ht="3" customHeight="1">
      <c r="A43" s="34"/>
      <c r="B43" s="34"/>
      <c r="C43" s="25"/>
      <c r="D43" s="25"/>
      <c r="E43" s="25"/>
      <c r="F43" s="27"/>
    </row>
    <row r="44" spans="1:6">
      <c r="A44" s="133" t="s">
        <v>33</v>
      </c>
      <c r="B44" s="133"/>
      <c r="C44" s="133"/>
      <c r="D44" s="133"/>
      <c r="E44" s="133"/>
      <c r="F44" s="133"/>
    </row>
    <row r="45" spans="1:6" ht="27.75" customHeight="1">
      <c r="A45" s="130" t="s">
        <v>47</v>
      </c>
      <c r="B45" s="130"/>
      <c r="C45" s="130"/>
      <c r="D45" s="130"/>
      <c r="E45" s="130"/>
      <c r="F45" s="130"/>
    </row>
    <row r="46" spans="1:6" ht="28.5" customHeight="1">
      <c r="A46" s="131" t="s">
        <v>34</v>
      </c>
      <c r="B46" s="131"/>
      <c r="C46" s="131"/>
      <c r="D46" s="131"/>
      <c r="E46" s="131"/>
      <c r="F46" s="131"/>
    </row>
    <row r="47" spans="1:6" ht="26.25" customHeight="1">
      <c r="A47" s="131" t="s">
        <v>35</v>
      </c>
      <c r="B47" s="131"/>
      <c r="C47" s="131"/>
      <c r="D47" s="131"/>
      <c r="E47" s="131"/>
      <c r="F47" s="131"/>
    </row>
    <row r="48" spans="1:6" ht="27.75" customHeight="1">
      <c r="A48" s="130" t="s">
        <v>42</v>
      </c>
      <c r="B48" s="130"/>
      <c r="C48" s="130"/>
      <c r="D48" s="130"/>
      <c r="E48" s="130"/>
      <c r="F48" s="130"/>
    </row>
    <row r="49" spans="1:10">
      <c r="A49" s="34"/>
      <c r="B49" s="34"/>
      <c r="C49" s="25"/>
      <c r="D49" s="25"/>
      <c r="E49" s="25"/>
      <c r="F49" s="27"/>
    </row>
    <row r="50" spans="1:10">
      <c r="A50" s="34" t="s">
        <v>148</v>
      </c>
      <c r="B50" s="34"/>
      <c r="C50" s="25"/>
      <c r="D50" s="25"/>
      <c r="E50" s="25"/>
      <c r="F50" s="27"/>
    </row>
    <row r="51" spans="1:10">
      <c r="A51" s="34"/>
      <c r="B51" s="34"/>
      <c r="C51" s="25"/>
      <c r="D51" s="25"/>
      <c r="E51" s="25"/>
      <c r="F51" s="27"/>
    </row>
    <row r="52" spans="1:10" ht="12.75" customHeight="1">
      <c r="A52" s="34"/>
      <c r="B52" s="34"/>
      <c r="C52" s="25"/>
      <c r="D52" s="25"/>
      <c r="E52" s="25"/>
      <c r="F52" s="27"/>
    </row>
    <row r="53" spans="1:10">
      <c r="A53" s="24" t="s">
        <v>6</v>
      </c>
      <c r="B53" s="34" t="s">
        <v>62</v>
      </c>
      <c r="C53" s="25"/>
      <c r="D53" s="25"/>
      <c r="E53" s="25"/>
      <c r="F53" s="27"/>
    </row>
    <row r="54" spans="1:10" s="6" customFormat="1" ht="51">
      <c r="B54" s="9" t="s">
        <v>89</v>
      </c>
      <c r="C54" s="25"/>
      <c r="D54" s="26"/>
      <c r="E54" s="26"/>
      <c r="F54" s="53"/>
      <c r="G54" s="7"/>
    </row>
    <row r="55" spans="1:10" s="6" customFormat="1">
      <c r="B55" s="102" t="s">
        <v>88</v>
      </c>
      <c r="C55" s="25"/>
      <c r="D55" s="26"/>
      <c r="E55" s="26"/>
      <c r="F55" s="53"/>
      <c r="G55" s="7"/>
    </row>
    <row r="56" spans="1:10" s="6" customFormat="1" ht="25.5" customHeight="1">
      <c r="B56" s="9" t="s">
        <v>83</v>
      </c>
      <c r="C56" s="25"/>
      <c r="D56" s="109"/>
      <c r="E56" s="26"/>
      <c r="F56" s="53"/>
      <c r="G56" s="7"/>
    </row>
    <row r="57" spans="1:10" s="6" customFormat="1" ht="38.25">
      <c r="B57" s="9" t="s">
        <v>85</v>
      </c>
      <c r="C57" s="25"/>
      <c r="D57" s="109"/>
      <c r="E57" s="26"/>
      <c r="F57" s="53"/>
      <c r="G57" s="7"/>
    </row>
    <row r="58" spans="1:10" s="6" customFormat="1">
      <c r="B58" s="9" t="s">
        <v>68</v>
      </c>
      <c r="C58" s="25"/>
      <c r="D58" s="109"/>
      <c r="E58" s="26"/>
      <c r="F58" s="53"/>
      <c r="G58" s="7"/>
    </row>
    <row r="59" spans="1:10" s="6" customFormat="1" ht="27" customHeight="1">
      <c r="A59" s="24"/>
      <c r="B59" s="88" t="s">
        <v>86</v>
      </c>
      <c r="C59" s="25"/>
      <c r="D59" s="109"/>
      <c r="E59" s="26"/>
      <c r="F59" s="53"/>
      <c r="G59" s="7"/>
    </row>
    <row r="60" spans="1:10" s="6" customFormat="1" ht="14.25" customHeight="1">
      <c r="A60" s="24"/>
      <c r="B60" s="36" t="s">
        <v>43</v>
      </c>
      <c r="C60" s="25"/>
      <c r="D60" s="109"/>
      <c r="E60" s="26"/>
      <c r="F60" s="53"/>
      <c r="G60" s="7"/>
    </row>
    <row r="61" spans="1:10" s="6" customFormat="1" ht="94.5" customHeight="1">
      <c r="A61" s="24"/>
      <c r="B61" s="9" t="s">
        <v>84</v>
      </c>
      <c r="C61" s="25"/>
      <c r="D61" s="109"/>
      <c r="E61" s="26"/>
      <c r="F61" s="53"/>
      <c r="G61" s="7"/>
      <c r="J61" s="6" t="s">
        <v>44</v>
      </c>
    </row>
    <row r="62" spans="1:10" s="6" customFormat="1">
      <c r="A62" s="28"/>
      <c r="B62" s="9" t="s">
        <v>82</v>
      </c>
      <c r="C62" s="25" t="s">
        <v>3</v>
      </c>
      <c r="D62" s="109">
        <v>404</v>
      </c>
      <c r="E62" s="25">
        <v>54.9</v>
      </c>
      <c r="F62" s="27">
        <f>D62*E62</f>
        <v>22179.599999999999</v>
      </c>
    </row>
    <row r="63" spans="1:10" s="6" customFormat="1" ht="38.25">
      <c r="A63" s="28"/>
      <c r="B63" s="134" t="s">
        <v>149</v>
      </c>
      <c r="C63" s="25"/>
      <c r="D63" s="109"/>
      <c r="E63" s="25"/>
      <c r="F63" s="27"/>
    </row>
    <row r="64" spans="1:10" s="6" customFormat="1">
      <c r="A64" s="28"/>
      <c r="B64" s="102"/>
      <c r="C64" s="103"/>
      <c r="E64" s="25"/>
      <c r="F64" s="27"/>
    </row>
    <row r="65" spans="1:8" s="6" customFormat="1" ht="39.75" customHeight="1">
      <c r="A65" s="28" t="s">
        <v>7</v>
      </c>
      <c r="B65" s="89" t="s">
        <v>100</v>
      </c>
      <c r="C65" s="25"/>
      <c r="D65" s="109"/>
      <c r="E65" s="25"/>
      <c r="F65" s="27"/>
    </row>
    <row r="66" spans="1:8" s="6" customFormat="1" ht="30.75" customHeight="1">
      <c r="A66" s="28"/>
      <c r="B66" s="9" t="s">
        <v>101</v>
      </c>
      <c r="C66" s="25"/>
      <c r="D66" s="109"/>
      <c r="E66" s="26"/>
      <c r="F66" s="53"/>
    </row>
    <row r="67" spans="1:8" s="6" customFormat="1">
      <c r="A67" s="28"/>
      <c r="B67" s="104" t="s">
        <v>87</v>
      </c>
      <c r="C67" s="25"/>
      <c r="D67" s="109"/>
      <c r="E67" s="26"/>
      <c r="F67" s="53"/>
    </row>
    <row r="68" spans="1:8" s="6" customFormat="1" ht="17.25" customHeight="1">
      <c r="A68" s="28"/>
      <c r="B68" s="101" t="s">
        <v>98</v>
      </c>
      <c r="C68" s="25"/>
      <c r="D68" s="109"/>
      <c r="E68" s="26"/>
      <c r="F68" s="53"/>
    </row>
    <row r="69" spans="1:8" s="6" customFormat="1" ht="17.25" customHeight="1">
      <c r="A69" s="28"/>
      <c r="B69" s="101" t="s">
        <v>92</v>
      </c>
      <c r="C69" s="25"/>
      <c r="D69" s="109"/>
      <c r="E69" s="26"/>
      <c r="F69" s="53"/>
    </row>
    <row r="70" spans="1:8" s="6" customFormat="1" ht="26.25" customHeight="1">
      <c r="A70" s="28"/>
      <c r="B70" s="101" t="s">
        <v>99</v>
      </c>
      <c r="C70" s="25"/>
      <c r="D70" s="109"/>
      <c r="E70" s="26"/>
      <c r="F70" s="53"/>
    </row>
    <row r="71" spans="1:8" s="6" customFormat="1" ht="38.25">
      <c r="A71" s="28"/>
      <c r="B71" s="101" t="s">
        <v>93</v>
      </c>
      <c r="C71" s="25"/>
      <c r="D71" s="109"/>
      <c r="E71" s="26"/>
      <c r="F71" s="53"/>
    </row>
    <row r="72" spans="1:8" s="6" customFormat="1">
      <c r="A72" s="28"/>
      <c r="B72" s="101" t="s">
        <v>61</v>
      </c>
      <c r="C72" s="25"/>
      <c r="D72" s="109"/>
      <c r="E72" s="26"/>
      <c r="F72" s="53"/>
    </row>
    <row r="73" spans="1:8" s="6" customFormat="1">
      <c r="A73" s="28"/>
      <c r="B73" s="102" t="s">
        <v>103</v>
      </c>
      <c r="C73" s="25"/>
      <c r="D73" s="109"/>
      <c r="E73" s="26"/>
      <c r="F73" s="53"/>
    </row>
    <row r="74" spans="1:8" s="6" customFormat="1" ht="63.75">
      <c r="A74" s="28"/>
      <c r="B74" s="9" t="s">
        <v>97</v>
      </c>
      <c r="C74" s="25"/>
      <c r="D74" s="109"/>
      <c r="E74" s="26"/>
      <c r="F74" s="53"/>
    </row>
    <row r="75" spans="1:8" s="6" customFormat="1">
      <c r="A75" s="28"/>
      <c r="B75" s="9" t="s">
        <v>91</v>
      </c>
      <c r="C75" s="25" t="s">
        <v>3</v>
      </c>
      <c r="D75" s="109">
        <v>16.5</v>
      </c>
      <c r="E75" s="25">
        <v>50.2</v>
      </c>
      <c r="F75" s="27">
        <f>D75*E75</f>
        <v>828.30000000000007</v>
      </c>
      <c r="G75" s="47"/>
      <c r="H75" s="10"/>
    </row>
    <row r="76" spans="1:8" s="6" customFormat="1" ht="38.25">
      <c r="A76" s="28"/>
      <c r="B76" s="134" t="s">
        <v>153</v>
      </c>
      <c r="C76" s="25"/>
      <c r="D76" s="109"/>
      <c r="E76" s="25"/>
      <c r="F76" s="27"/>
    </row>
    <row r="77" spans="1:8" s="6" customFormat="1" ht="38.25">
      <c r="A77" s="28" t="s">
        <v>46</v>
      </c>
      <c r="B77" s="89" t="s">
        <v>96</v>
      </c>
      <c r="C77" s="9"/>
      <c r="D77" s="110"/>
      <c r="E77" s="9"/>
      <c r="F77" s="27"/>
    </row>
    <row r="78" spans="1:8" s="6" customFormat="1" ht="28.5" customHeight="1">
      <c r="A78" s="28"/>
      <c r="B78" s="9" t="s">
        <v>101</v>
      </c>
      <c r="C78" s="25"/>
      <c r="D78" s="109"/>
      <c r="E78" s="25"/>
      <c r="F78" s="27"/>
    </row>
    <row r="79" spans="1:8" s="6" customFormat="1" ht="17.25" customHeight="1">
      <c r="A79" s="28"/>
      <c r="B79" s="104" t="s">
        <v>87</v>
      </c>
      <c r="C79" s="25"/>
      <c r="D79" s="109"/>
      <c r="E79" s="25"/>
      <c r="F79" s="27"/>
    </row>
    <row r="80" spans="1:8" s="6" customFormat="1" ht="25.5" customHeight="1">
      <c r="A80" s="28"/>
      <c r="B80" s="102" t="s">
        <v>94</v>
      </c>
      <c r="C80" s="25"/>
      <c r="D80" s="109"/>
      <c r="E80" s="25"/>
      <c r="F80" s="27"/>
    </row>
    <row r="81" spans="1:6" s="6" customFormat="1" ht="17.25" customHeight="1">
      <c r="A81" s="28"/>
      <c r="B81" s="102" t="s">
        <v>88</v>
      </c>
      <c r="C81" s="25"/>
      <c r="D81" s="109"/>
      <c r="E81" s="25"/>
      <c r="F81" s="27"/>
    </row>
    <row r="82" spans="1:6" s="6" customFormat="1" ht="17.25" customHeight="1">
      <c r="A82" s="28"/>
      <c r="B82" s="102" t="s">
        <v>92</v>
      </c>
      <c r="C82" s="25"/>
      <c r="D82" s="109"/>
      <c r="E82" s="25"/>
      <c r="F82" s="27"/>
    </row>
    <row r="83" spans="1:6" s="6" customFormat="1" ht="24" customHeight="1">
      <c r="A83" s="28"/>
      <c r="B83" s="102" t="s">
        <v>104</v>
      </c>
      <c r="C83" s="25"/>
      <c r="D83" s="109"/>
      <c r="E83" s="25"/>
      <c r="F83" s="27"/>
    </row>
    <row r="84" spans="1:6" s="6" customFormat="1" ht="38.25" customHeight="1">
      <c r="A84" s="28"/>
      <c r="B84" s="102" t="s">
        <v>95</v>
      </c>
      <c r="C84" s="25"/>
      <c r="D84" s="109"/>
      <c r="E84" s="25"/>
      <c r="F84" s="27"/>
    </row>
    <row r="85" spans="1:6" s="6" customFormat="1" ht="15.75" customHeight="1">
      <c r="A85" s="28"/>
      <c r="B85" s="101" t="s">
        <v>61</v>
      </c>
      <c r="C85" s="25"/>
      <c r="D85" s="109"/>
      <c r="E85" s="25"/>
      <c r="F85" s="27"/>
    </row>
    <row r="86" spans="1:6" s="6" customFormat="1" ht="12.75" customHeight="1">
      <c r="A86" s="28"/>
      <c r="B86" s="102" t="s">
        <v>103</v>
      </c>
      <c r="C86" s="25"/>
      <c r="D86" s="109"/>
      <c r="E86" s="25"/>
      <c r="F86" s="27"/>
    </row>
    <row r="87" spans="1:6" s="6" customFormat="1" ht="42" customHeight="1">
      <c r="A87" s="28"/>
      <c r="B87" s="9" t="s">
        <v>102</v>
      </c>
      <c r="C87" s="25"/>
      <c r="D87" s="109"/>
      <c r="E87" s="25"/>
      <c r="F87" s="27"/>
    </row>
    <row r="88" spans="1:6" s="6" customFormat="1">
      <c r="A88" s="28"/>
      <c r="B88" s="9" t="s">
        <v>69</v>
      </c>
      <c r="C88" s="25" t="s">
        <v>3</v>
      </c>
      <c r="D88" s="109">
        <v>6.5</v>
      </c>
      <c r="E88" s="25">
        <v>54</v>
      </c>
      <c r="F88" s="27">
        <f>D88*E88</f>
        <v>351</v>
      </c>
    </row>
    <row r="89" spans="1:6" s="6" customFormat="1" ht="38.25">
      <c r="A89" s="28"/>
      <c r="B89" s="134" t="s">
        <v>150</v>
      </c>
      <c r="C89" s="25"/>
      <c r="D89" s="109"/>
      <c r="E89" s="25"/>
      <c r="F89" s="27"/>
    </row>
    <row r="90" spans="1:6" s="6" customFormat="1" ht="38.25">
      <c r="A90" s="28" t="s">
        <v>48</v>
      </c>
      <c r="B90" s="99" t="s">
        <v>119</v>
      </c>
      <c r="C90" s="25"/>
      <c r="D90" s="109"/>
      <c r="E90" s="25"/>
      <c r="F90" s="27"/>
    </row>
    <row r="91" spans="1:6" s="6" customFormat="1" ht="18" customHeight="1">
      <c r="A91" s="28"/>
      <c r="B91" s="9" t="s">
        <v>120</v>
      </c>
      <c r="C91" s="25"/>
      <c r="D91" s="109"/>
      <c r="E91" s="26"/>
      <c r="F91" s="53"/>
    </row>
    <row r="92" spans="1:6" s="6" customFormat="1">
      <c r="A92" s="28"/>
      <c r="B92" s="104" t="s">
        <v>121</v>
      </c>
      <c r="C92" s="25"/>
      <c r="D92" s="109"/>
      <c r="E92" s="26"/>
      <c r="F92" s="53"/>
    </row>
    <row r="93" spans="1:6" s="6" customFormat="1">
      <c r="A93" s="28"/>
      <c r="B93" s="101" t="s">
        <v>98</v>
      </c>
      <c r="C93" s="25"/>
      <c r="D93" s="109"/>
      <c r="E93" s="26"/>
      <c r="F93" s="53"/>
    </row>
    <row r="94" spans="1:6" s="6" customFormat="1">
      <c r="A94" s="28"/>
      <c r="B94" s="101" t="s">
        <v>92</v>
      </c>
      <c r="C94" s="25"/>
      <c r="D94" s="109"/>
      <c r="E94" s="26"/>
      <c r="F94" s="53"/>
    </row>
    <row r="95" spans="1:6" s="6" customFormat="1" ht="25.5">
      <c r="A95" s="28"/>
      <c r="B95" s="101" t="s">
        <v>99</v>
      </c>
      <c r="C95" s="25"/>
      <c r="D95" s="109"/>
      <c r="E95" s="26"/>
      <c r="F95" s="53"/>
    </row>
    <row r="96" spans="1:6" s="6" customFormat="1" ht="25.5">
      <c r="A96" s="28"/>
      <c r="B96" s="101" t="s">
        <v>124</v>
      </c>
      <c r="C96" s="25"/>
      <c r="D96" s="109"/>
      <c r="E96" s="26"/>
      <c r="F96" s="53"/>
    </row>
    <row r="97" spans="1:8" s="6" customFormat="1">
      <c r="A97" s="28"/>
      <c r="B97" s="102" t="s">
        <v>103</v>
      </c>
      <c r="C97" s="25"/>
      <c r="D97" s="109"/>
      <c r="E97" s="26"/>
      <c r="F97" s="53"/>
    </row>
    <row r="98" spans="1:8" s="6" customFormat="1" ht="38.25">
      <c r="A98" s="28"/>
      <c r="B98" s="9" t="s">
        <v>122</v>
      </c>
      <c r="C98" s="25"/>
      <c r="D98" s="109"/>
      <c r="E98" s="26"/>
      <c r="F98" s="53"/>
    </row>
    <row r="99" spans="1:8" s="6" customFormat="1">
      <c r="A99" s="28"/>
      <c r="B99" s="9" t="s">
        <v>123</v>
      </c>
      <c r="C99" s="25" t="s">
        <v>3</v>
      </c>
      <c r="D99" s="109">
        <v>20</v>
      </c>
      <c r="E99" s="25">
        <v>50.2</v>
      </c>
      <c r="F99" s="27">
        <f>D99*E99</f>
        <v>1004</v>
      </c>
    </row>
    <row r="100" spans="1:8" s="6" customFormat="1" ht="38.25">
      <c r="A100" s="28"/>
      <c r="B100" s="134" t="s">
        <v>153</v>
      </c>
      <c r="C100" s="25"/>
      <c r="D100" s="109"/>
      <c r="E100" s="25"/>
      <c r="F100" s="27"/>
    </row>
    <row r="101" spans="1:8" s="6" customFormat="1" ht="25.5">
      <c r="A101" s="24" t="s">
        <v>49</v>
      </c>
      <c r="B101" s="94" t="s">
        <v>112</v>
      </c>
      <c r="C101" s="25"/>
      <c r="D101" s="109"/>
      <c r="E101" s="25"/>
      <c r="F101" s="27"/>
    </row>
    <row r="102" spans="1:8" s="6" customFormat="1" ht="51">
      <c r="B102" s="9" t="s">
        <v>111</v>
      </c>
      <c r="C102" s="25"/>
      <c r="D102" s="109"/>
      <c r="E102" s="26"/>
      <c r="F102" s="53"/>
      <c r="G102" s="7"/>
      <c r="H102" s="105"/>
    </row>
    <row r="103" spans="1:8" s="6" customFormat="1" ht="93" customHeight="1">
      <c r="A103" s="24"/>
      <c r="B103" s="35" t="s">
        <v>106</v>
      </c>
      <c r="C103" s="25"/>
      <c r="D103" s="109"/>
      <c r="E103" s="26"/>
      <c r="F103" s="53"/>
      <c r="G103" s="7"/>
    </row>
    <row r="104" spans="1:8" s="6" customFormat="1" ht="76.5">
      <c r="A104" s="24"/>
      <c r="B104" s="9" t="s">
        <v>60</v>
      </c>
      <c r="D104" s="111"/>
      <c r="G104" s="7"/>
    </row>
    <row r="105" spans="1:8" s="6" customFormat="1">
      <c r="A105" s="28"/>
      <c r="B105" s="9"/>
      <c r="C105" s="25" t="s">
        <v>3</v>
      </c>
      <c r="D105" s="109">
        <v>18.5</v>
      </c>
      <c r="E105" s="25">
        <v>53.15</v>
      </c>
      <c r="F105" s="27">
        <f>D105*E105</f>
        <v>983.27499999999998</v>
      </c>
    </row>
    <row r="106" spans="1:8" s="6" customFormat="1" ht="38.25">
      <c r="A106" s="28"/>
      <c r="B106" s="134" t="s">
        <v>153</v>
      </c>
      <c r="C106" s="25"/>
      <c r="D106" s="109"/>
      <c r="E106" s="25"/>
      <c r="F106" s="27"/>
    </row>
    <row r="107" spans="1:8" s="6" customFormat="1" ht="38.25">
      <c r="A107" s="24" t="s">
        <v>65</v>
      </c>
      <c r="B107" s="94" t="s">
        <v>113</v>
      </c>
      <c r="C107" s="25"/>
      <c r="D107" s="109"/>
      <c r="E107" s="25"/>
      <c r="F107" s="27"/>
    </row>
    <row r="108" spans="1:8" s="6" customFormat="1" ht="51">
      <c r="A108" s="28"/>
      <c r="B108" s="9" t="s">
        <v>111</v>
      </c>
      <c r="C108" s="25"/>
      <c r="D108" s="109"/>
      <c r="E108" s="26"/>
      <c r="F108" s="53"/>
    </row>
    <row r="109" spans="1:8" s="6" customFormat="1" ht="93" customHeight="1">
      <c r="A109" s="28"/>
      <c r="B109" s="35" t="s">
        <v>107</v>
      </c>
      <c r="C109" s="25"/>
      <c r="D109" s="109"/>
      <c r="E109" s="26"/>
      <c r="F109" s="53"/>
    </row>
    <row r="110" spans="1:8" s="6" customFormat="1" ht="76.5">
      <c r="A110" s="28"/>
      <c r="B110" s="9" t="s">
        <v>60</v>
      </c>
      <c r="D110" s="111"/>
    </row>
    <row r="111" spans="1:8" s="6" customFormat="1">
      <c r="A111" s="28"/>
      <c r="B111" s="9"/>
      <c r="C111" s="25" t="s">
        <v>3</v>
      </c>
      <c r="D111" s="109">
        <v>11.5</v>
      </c>
      <c r="E111" s="25">
        <v>53.8</v>
      </c>
      <c r="F111" s="27">
        <f>D111*E111</f>
        <v>618.69999999999993</v>
      </c>
    </row>
    <row r="112" spans="1:8" s="6" customFormat="1" ht="38.25">
      <c r="A112" s="28"/>
      <c r="B112" s="134" t="s">
        <v>153</v>
      </c>
      <c r="C112" s="25"/>
      <c r="D112" s="109"/>
      <c r="E112" s="25"/>
      <c r="F112" s="27"/>
      <c r="H112" s="105"/>
    </row>
    <row r="113" spans="1:6" s="6" customFormat="1" ht="38.25">
      <c r="A113" s="28" t="s">
        <v>66</v>
      </c>
      <c r="B113" s="93" t="s">
        <v>114</v>
      </c>
      <c r="C113" s="25"/>
      <c r="D113" s="109"/>
      <c r="E113" s="25"/>
      <c r="F113" s="27"/>
    </row>
    <row r="114" spans="1:6" s="6" customFormat="1" ht="51">
      <c r="A114" s="28"/>
      <c r="B114" s="8" t="s">
        <v>108</v>
      </c>
      <c r="C114" s="25"/>
      <c r="D114" s="109"/>
      <c r="E114" s="25"/>
      <c r="F114" s="27"/>
    </row>
    <row r="115" spans="1:6" s="6" customFormat="1">
      <c r="A115" s="28"/>
      <c r="B115" s="95" t="s">
        <v>70</v>
      </c>
      <c r="C115" s="25"/>
      <c r="D115" s="109"/>
      <c r="E115" s="25"/>
      <c r="F115" s="27"/>
    </row>
    <row r="116" spans="1:6" s="6" customFormat="1" ht="25.5">
      <c r="A116" s="28"/>
      <c r="B116" s="95" t="s">
        <v>109</v>
      </c>
      <c r="C116" s="25"/>
      <c r="D116" s="109"/>
      <c r="E116" s="25"/>
      <c r="F116" s="27"/>
    </row>
    <row r="117" spans="1:6" s="6" customFormat="1" ht="38.25">
      <c r="A117" s="28"/>
      <c r="B117" s="95" t="s">
        <v>72</v>
      </c>
      <c r="C117" s="25"/>
      <c r="D117" s="109"/>
      <c r="E117" s="25"/>
      <c r="F117" s="27"/>
    </row>
    <row r="118" spans="1:6" s="6" customFormat="1">
      <c r="A118" s="28"/>
      <c r="B118" s="95" t="s">
        <v>71</v>
      </c>
      <c r="C118" s="25"/>
      <c r="D118" s="109"/>
      <c r="E118" s="25"/>
      <c r="F118" s="27"/>
    </row>
    <row r="119" spans="1:6" s="6" customFormat="1">
      <c r="A119" s="28"/>
      <c r="B119" s="95" t="s">
        <v>73</v>
      </c>
      <c r="C119" s="25"/>
      <c r="D119" s="109"/>
      <c r="E119" s="25"/>
      <c r="F119" s="27"/>
    </row>
    <row r="120" spans="1:6" s="6" customFormat="1" ht="76.5">
      <c r="A120" s="28"/>
      <c r="B120" s="9" t="s">
        <v>60</v>
      </c>
      <c r="C120" s="25"/>
      <c r="D120" s="109"/>
      <c r="E120" s="25"/>
      <c r="F120" s="27"/>
    </row>
    <row r="121" spans="1:6" s="6" customFormat="1">
      <c r="A121" s="28"/>
      <c r="B121" s="9" t="s">
        <v>69</v>
      </c>
      <c r="C121" s="25" t="s">
        <v>3</v>
      </c>
      <c r="D121" s="109">
        <v>24</v>
      </c>
      <c r="E121" s="25">
        <v>40</v>
      </c>
      <c r="F121" s="27">
        <f>D121*E121</f>
        <v>960</v>
      </c>
    </row>
    <row r="122" spans="1:6" s="6" customFormat="1" ht="38.25">
      <c r="A122" s="28"/>
      <c r="B122" s="134" t="s">
        <v>154</v>
      </c>
      <c r="C122" s="25"/>
      <c r="D122" s="109"/>
      <c r="E122" s="25"/>
      <c r="F122" s="27"/>
    </row>
    <row r="123" spans="1:6" s="6" customFormat="1" ht="38.25">
      <c r="A123" s="28" t="s">
        <v>67</v>
      </c>
      <c r="B123" s="94" t="s">
        <v>115</v>
      </c>
      <c r="C123" s="25"/>
      <c r="D123" s="109"/>
      <c r="E123" s="25"/>
      <c r="F123" s="27"/>
    </row>
    <row r="124" spans="1:6" s="6" customFormat="1" ht="18" customHeight="1">
      <c r="A124" s="28"/>
      <c r="B124" s="9" t="s">
        <v>116</v>
      </c>
      <c r="C124" s="25"/>
      <c r="D124" s="109"/>
      <c r="E124" s="26"/>
      <c r="F124" s="53"/>
    </row>
    <row r="125" spans="1:6" s="6" customFormat="1" ht="130.5" customHeight="1">
      <c r="A125" s="28"/>
      <c r="B125" s="35" t="s">
        <v>117</v>
      </c>
      <c r="C125" s="25"/>
      <c r="D125" s="109"/>
      <c r="E125" s="26"/>
      <c r="F125" s="53"/>
    </row>
    <row r="126" spans="1:6" s="6" customFormat="1" ht="76.5">
      <c r="A126" s="28"/>
      <c r="B126" s="9" t="s">
        <v>118</v>
      </c>
      <c r="D126" s="111"/>
    </row>
    <row r="127" spans="1:6" s="6" customFormat="1">
      <c r="A127" s="28"/>
      <c r="B127" s="9"/>
      <c r="C127" s="25" t="s">
        <v>3</v>
      </c>
      <c r="D127" s="109">
        <v>17</v>
      </c>
      <c r="E127" s="25">
        <v>50.2</v>
      </c>
      <c r="F127" s="27">
        <f>D127*E127</f>
        <v>853.40000000000009</v>
      </c>
    </row>
    <row r="128" spans="1:6" s="6" customFormat="1">
      <c r="A128" s="28"/>
      <c r="B128" s="9"/>
      <c r="C128" s="25"/>
      <c r="D128" s="109"/>
      <c r="E128" s="25"/>
      <c r="F128" s="27"/>
    </row>
    <row r="129" spans="1:6" s="6" customFormat="1">
      <c r="A129" s="28"/>
      <c r="B129" s="9" t="s">
        <v>105</v>
      </c>
      <c r="C129" s="25" t="s">
        <v>3</v>
      </c>
      <c r="D129" s="109">
        <v>131.5</v>
      </c>
      <c r="E129" s="25">
        <v>53.8</v>
      </c>
      <c r="F129" s="27">
        <f>D129*E129</f>
        <v>7074.7</v>
      </c>
    </row>
    <row r="130" spans="1:6" s="6" customFormat="1" ht="46.5" customHeight="1">
      <c r="A130" s="28"/>
      <c r="B130" s="134" t="s">
        <v>153</v>
      </c>
      <c r="D130" s="111"/>
    </row>
    <row r="131" spans="1:6" s="6" customFormat="1" ht="25.5">
      <c r="A131" s="28" t="s">
        <v>110</v>
      </c>
      <c r="B131" s="100" t="s">
        <v>126</v>
      </c>
      <c r="C131" s="25"/>
      <c r="D131" s="112"/>
      <c r="E131" s="25"/>
      <c r="F131" s="27"/>
    </row>
    <row r="132" spans="1:6" s="6" customFormat="1" ht="51">
      <c r="A132" s="28"/>
      <c r="B132" s="9" t="s">
        <v>125</v>
      </c>
      <c r="C132" s="25"/>
      <c r="D132" s="109"/>
      <c r="E132" s="26"/>
      <c r="F132" s="53"/>
    </row>
    <row r="133" spans="1:6" s="6" customFormat="1">
      <c r="A133" s="28"/>
      <c r="B133" s="9" t="s">
        <v>128</v>
      </c>
      <c r="C133" s="25"/>
      <c r="D133" s="109"/>
      <c r="E133" s="26"/>
      <c r="F133" s="53"/>
    </row>
    <row r="134" spans="1:6" s="6" customFormat="1" ht="13.5" customHeight="1">
      <c r="A134" s="28"/>
      <c r="B134" s="9" t="s">
        <v>127</v>
      </c>
      <c r="C134" s="25"/>
      <c r="D134" s="109"/>
      <c r="E134" s="26"/>
      <c r="F134" s="53"/>
    </row>
    <row r="135" spans="1:6" s="6" customFormat="1" ht="38.25">
      <c r="A135" s="28"/>
      <c r="B135" s="9" t="s">
        <v>64</v>
      </c>
      <c r="C135" s="25"/>
      <c r="D135" s="109"/>
      <c r="E135" s="26"/>
      <c r="F135" s="53"/>
    </row>
    <row r="136" spans="1:6" s="6" customFormat="1">
      <c r="A136" s="28"/>
      <c r="B136" s="9" t="s">
        <v>63</v>
      </c>
      <c r="C136" s="25"/>
      <c r="D136" s="109"/>
      <c r="E136" s="26"/>
      <c r="F136" s="53"/>
    </row>
    <row r="137" spans="1:6" s="6" customFormat="1">
      <c r="A137" s="28"/>
      <c r="B137" s="88" t="s">
        <v>129</v>
      </c>
      <c r="C137" s="25"/>
      <c r="D137" s="109"/>
      <c r="E137" s="26"/>
      <c r="F137" s="53"/>
    </row>
    <row r="138" spans="1:6" s="6" customFormat="1">
      <c r="A138" s="28"/>
      <c r="B138" s="36" t="s">
        <v>43</v>
      </c>
      <c r="C138" s="25"/>
      <c r="D138" s="109"/>
      <c r="E138" s="26"/>
      <c r="F138" s="53"/>
    </row>
    <row r="139" spans="1:6" s="6" customFormat="1" ht="51">
      <c r="A139" s="28"/>
      <c r="B139" s="9" t="s">
        <v>130</v>
      </c>
      <c r="C139" s="25"/>
      <c r="D139" s="109"/>
      <c r="E139" s="26"/>
      <c r="F139" s="53"/>
    </row>
    <row r="140" spans="1:6" s="6" customFormat="1">
      <c r="A140" s="28"/>
      <c r="B140" s="9" t="s">
        <v>131</v>
      </c>
      <c r="C140" s="25" t="s">
        <v>3</v>
      </c>
      <c r="D140" s="109">
        <v>10</v>
      </c>
      <c r="E140" s="25">
        <v>38.1</v>
      </c>
      <c r="F140" s="27">
        <f>D140*E140</f>
        <v>381</v>
      </c>
    </row>
    <row r="141" spans="1:6" s="6" customFormat="1" ht="38.25">
      <c r="A141" s="28"/>
      <c r="B141" s="134" t="s">
        <v>154</v>
      </c>
      <c r="C141" s="30"/>
      <c r="D141" s="113"/>
      <c r="E141" s="30"/>
      <c r="F141" s="31"/>
    </row>
    <row r="142" spans="1:6" s="6" customFormat="1" ht="25.5">
      <c r="A142" s="28" t="s">
        <v>137</v>
      </c>
      <c r="B142" s="100" t="s">
        <v>133</v>
      </c>
      <c r="C142" s="25"/>
      <c r="D142" s="112"/>
      <c r="E142" s="106"/>
      <c r="F142" s="27"/>
    </row>
    <row r="143" spans="1:6" s="6" customFormat="1" ht="51">
      <c r="A143" s="28"/>
      <c r="B143" s="9" t="s">
        <v>132</v>
      </c>
      <c r="C143" s="25"/>
      <c r="D143" s="109"/>
      <c r="E143" s="26"/>
      <c r="F143" s="53"/>
    </row>
    <row r="144" spans="1:6" s="6" customFormat="1">
      <c r="A144" s="28"/>
      <c r="B144" s="9" t="s">
        <v>128</v>
      </c>
      <c r="C144" s="25"/>
      <c r="D144" s="109"/>
      <c r="E144" s="26"/>
      <c r="F144" s="53"/>
    </row>
    <row r="145" spans="1:6" s="6" customFormat="1" ht="15.75" customHeight="1">
      <c r="A145" s="28"/>
      <c r="B145" s="9" t="s">
        <v>127</v>
      </c>
      <c r="C145" s="25"/>
      <c r="D145" s="109"/>
      <c r="E145" s="26"/>
      <c r="F145" s="53"/>
    </row>
    <row r="146" spans="1:6" s="6" customFormat="1" ht="38.25">
      <c r="A146" s="28"/>
      <c r="B146" s="9" t="s">
        <v>64</v>
      </c>
      <c r="C146" s="25"/>
      <c r="D146" s="109"/>
      <c r="E146" s="26"/>
      <c r="F146" s="53"/>
    </row>
    <row r="147" spans="1:6" s="6" customFormat="1">
      <c r="A147" s="28"/>
      <c r="B147" s="9" t="s">
        <v>63</v>
      </c>
      <c r="C147" s="25"/>
      <c r="D147" s="109"/>
      <c r="E147" s="26"/>
      <c r="F147" s="53"/>
    </row>
    <row r="148" spans="1:6" s="6" customFormat="1">
      <c r="A148" s="28"/>
      <c r="B148" s="88" t="s">
        <v>129</v>
      </c>
      <c r="C148" s="25"/>
      <c r="D148" s="109"/>
      <c r="E148" s="26"/>
      <c r="F148" s="53"/>
    </row>
    <row r="149" spans="1:6" s="6" customFormat="1">
      <c r="A149" s="28"/>
      <c r="B149" s="36" t="s">
        <v>43</v>
      </c>
      <c r="C149" s="25"/>
      <c r="D149" s="109"/>
      <c r="E149" s="26"/>
      <c r="F149" s="53"/>
    </row>
    <row r="150" spans="1:6" s="6" customFormat="1" ht="38.25">
      <c r="A150" s="28"/>
      <c r="B150" s="9" t="s">
        <v>134</v>
      </c>
      <c r="C150" s="25"/>
      <c r="D150" s="109"/>
      <c r="E150" s="26"/>
      <c r="F150" s="53"/>
    </row>
    <row r="151" spans="1:6" s="6" customFormat="1">
      <c r="A151" s="28"/>
      <c r="B151" s="9" t="s">
        <v>135</v>
      </c>
      <c r="C151" s="25" t="s">
        <v>3</v>
      </c>
      <c r="D151" s="109">
        <v>60</v>
      </c>
      <c r="E151" s="25">
        <v>38.1</v>
      </c>
      <c r="F151" s="27">
        <f>D151*E151</f>
        <v>2286</v>
      </c>
    </row>
    <row r="152" spans="1:6" s="6" customFormat="1" ht="38.25">
      <c r="A152" s="28"/>
      <c r="B152" s="134" t="s">
        <v>154</v>
      </c>
      <c r="C152" s="30"/>
      <c r="D152" s="113"/>
      <c r="E152" s="30"/>
      <c r="F152" s="31"/>
    </row>
    <row r="153" spans="1:6" s="6" customFormat="1">
      <c r="A153" s="28"/>
      <c r="B153" s="107"/>
      <c r="C153" s="96"/>
      <c r="D153" s="114"/>
      <c r="E153" s="96"/>
      <c r="F153" s="97"/>
    </row>
    <row r="154" spans="1:6" s="6" customFormat="1" ht="25.5">
      <c r="A154" s="28" t="s">
        <v>138</v>
      </c>
      <c r="B154" s="100" t="s">
        <v>142</v>
      </c>
      <c r="C154" s="9"/>
      <c r="D154" s="110"/>
      <c r="E154" s="9"/>
      <c r="F154" s="27"/>
    </row>
    <row r="155" spans="1:6" s="6" customFormat="1" ht="102" customHeight="1">
      <c r="A155" s="28"/>
      <c r="B155" s="90" t="s">
        <v>144</v>
      </c>
      <c r="C155" s="25"/>
      <c r="D155" s="109"/>
      <c r="E155" s="106"/>
      <c r="F155" s="27"/>
    </row>
    <row r="156" spans="1:6" s="6" customFormat="1" ht="51" customHeight="1">
      <c r="A156" s="28"/>
      <c r="B156" s="9" t="s">
        <v>141</v>
      </c>
      <c r="C156" s="25"/>
      <c r="D156" s="109"/>
      <c r="E156" s="106"/>
      <c r="F156" s="27"/>
    </row>
    <row r="157" spans="1:6" s="6" customFormat="1">
      <c r="A157" s="28"/>
      <c r="B157" s="9" t="s">
        <v>145</v>
      </c>
      <c r="C157" s="25"/>
      <c r="D157" s="109"/>
      <c r="E157" s="106"/>
      <c r="F157" s="27"/>
    </row>
    <row r="158" spans="1:6" s="6" customFormat="1">
      <c r="A158" s="28"/>
      <c r="B158" s="9" t="s">
        <v>143</v>
      </c>
      <c r="C158" s="96" t="s">
        <v>3</v>
      </c>
      <c r="D158" s="114">
        <v>22</v>
      </c>
      <c r="E158" s="96"/>
      <c r="F158" s="97">
        <f>D158*E158</f>
        <v>0</v>
      </c>
    </row>
    <row r="159" spans="1:6" s="6" customFormat="1">
      <c r="A159" s="28"/>
      <c r="B159" s="135" t="s">
        <v>151</v>
      </c>
      <c r="C159" s="96"/>
      <c r="D159" s="114"/>
      <c r="E159" s="96"/>
      <c r="F159" s="97"/>
    </row>
    <row r="160" spans="1:6" s="6" customFormat="1" ht="25.5">
      <c r="A160" s="28" t="s">
        <v>139</v>
      </c>
      <c r="B160" s="99" t="s">
        <v>146</v>
      </c>
      <c r="C160" s="91"/>
      <c r="D160" s="113"/>
      <c r="E160" s="91"/>
      <c r="F160" s="92"/>
    </row>
    <row r="161" spans="1:6" s="6" customFormat="1" ht="74.25" customHeight="1">
      <c r="A161" s="28"/>
      <c r="B161" s="98" t="s">
        <v>147</v>
      </c>
      <c r="C161" s="98"/>
      <c r="D161" s="108"/>
      <c r="E161" s="98"/>
      <c r="F161" s="92"/>
    </row>
    <row r="162" spans="1:6" s="6" customFormat="1" ht="14.25">
      <c r="A162" s="28"/>
      <c r="B162" s="107" t="s">
        <v>136</v>
      </c>
      <c r="C162" s="96" t="s">
        <v>3</v>
      </c>
      <c r="D162" s="114">
        <v>22</v>
      </c>
      <c r="E162" s="96">
        <v>70</v>
      </c>
      <c r="F162" s="97">
        <f>D162*E162</f>
        <v>1540</v>
      </c>
    </row>
    <row r="163" spans="1:6" s="6" customFormat="1">
      <c r="A163" s="28"/>
      <c r="B163" s="134" t="s">
        <v>152</v>
      </c>
      <c r="C163" s="96"/>
      <c r="D163" s="114"/>
      <c r="E163" s="96"/>
      <c r="F163" s="97"/>
    </row>
    <row r="164" spans="1:6" s="6" customFormat="1">
      <c r="A164" s="28" t="s">
        <v>140</v>
      </c>
      <c r="B164" s="89" t="s">
        <v>59</v>
      </c>
      <c r="C164" s="25"/>
      <c r="D164" s="109"/>
      <c r="E164" s="25"/>
      <c r="F164" s="27"/>
    </row>
    <row r="165" spans="1:6" s="6" customFormat="1" ht="92.25" customHeight="1">
      <c r="B165" s="8" t="s">
        <v>90</v>
      </c>
      <c r="D165" s="111"/>
    </row>
    <row r="166" spans="1:6" s="6" customFormat="1">
      <c r="B166" s="136" t="s">
        <v>155</v>
      </c>
      <c r="C166" s="25" t="s">
        <v>45</v>
      </c>
      <c r="D166" s="115">
        <v>162</v>
      </c>
      <c r="E166" s="25">
        <v>50</v>
      </c>
      <c r="F166" s="27">
        <f>D166*E166</f>
        <v>8100</v>
      </c>
    </row>
    <row r="167" spans="1:6" s="6" customFormat="1">
      <c r="A167" s="28"/>
      <c r="B167" s="9"/>
      <c r="C167" s="25"/>
      <c r="D167" s="109"/>
      <c r="E167" s="25"/>
      <c r="F167" s="27"/>
    </row>
    <row r="168" spans="1:6">
      <c r="A168" s="38" t="s">
        <v>0</v>
      </c>
      <c r="B168" s="39" t="s">
        <v>36</v>
      </c>
      <c r="C168" s="40"/>
      <c r="D168" s="41"/>
      <c r="E168" s="41"/>
      <c r="F168" s="29">
        <f>SUM(F60:F167)</f>
        <v>47159.974999999999</v>
      </c>
    </row>
    <row r="171" spans="1:6">
      <c r="B171" s="48"/>
    </row>
    <row r="172" spans="1:6">
      <c r="B172" s="49"/>
    </row>
    <row r="173" spans="1:6">
      <c r="B173" s="50"/>
    </row>
    <row r="174" spans="1:6">
      <c r="B174" s="50"/>
    </row>
    <row r="175" spans="1:6">
      <c r="B175" s="49"/>
    </row>
    <row r="176" spans="1:6">
      <c r="B176" s="51"/>
    </row>
    <row r="177" spans="2:6">
      <c r="B177" s="49"/>
    </row>
    <row r="178" spans="2:6">
      <c r="C178" s="25"/>
      <c r="D178" s="26"/>
      <c r="E178" s="25"/>
      <c r="F178" s="27"/>
    </row>
    <row r="180" spans="2:6">
      <c r="B180" s="52"/>
    </row>
    <row r="181" spans="2:6">
      <c r="B181" s="49"/>
    </row>
    <row r="182" spans="2:6">
      <c r="B182" s="50"/>
    </row>
    <row r="183" spans="2:6">
      <c r="B183" s="50"/>
    </row>
    <row r="184" spans="2:6">
      <c r="B184" s="49"/>
    </row>
    <row r="185" spans="2:6">
      <c r="B185" s="51"/>
    </row>
    <row r="186" spans="2:6">
      <c r="B186" s="49"/>
    </row>
    <row r="187" spans="2:6">
      <c r="B187" s="9"/>
      <c r="C187" s="25"/>
      <c r="D187" s="26"/>
      <c r="E187" s="25"/>
      <c r="F187" s="27"/>
    </row>
  </sheetData>
  <mergeCells count="9">
    <mergeCell ref="A48:F48"/>
    <mergeCell ref="A6:F6"/>
    <mergeCell ref="A7:F7"/>
    <mergeCell ref="A46:F46"/>
    <mergeCell ref="A47:F47"/>
    <mergeCell ref="B9:F9"/>
    <mergeCell ref="B12:F12"/>
    <mergeCell ref="A44:F44"/>
    <mergeCell ref="A45:F45"/>
  </mergeCells>
  <pageMargins left="0.78740157480314965" right="0" top="0.98425196850393704" bottom="0.98425196850393704" header="0.39370078740157483" footer="0.31496062992125984"/>
  <pageSetup paperSize="9" scale="46" orientation="portrait" r:id="rId1"/>
  <headerFooter alignWithMargins="0">
    <oddHeader>&amp;L&amp;9&amp;G&amp;C&amp;9STAMBENA GRAĐEVINA  Horvatovac 24
Grad Zagreb k.č 4303/1, k.o. Centar
Troškovnik građevinsko-obrtničkih radova&amp;R&amp;9&amp;P / &amp;N</oddHeader>
  </headerFooter>
  <rowBreaks count="4" manualBreakCount="4">
    <brk id="48" max="5" man="1"/>
    <brk id="64" max="5" man="1"/>
    <brk id="99" max="5" man="1"/>
    <brk id="130" max="5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ACD4D7-91F0-48F8-949B-635A0B5D1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nasl strana</vt:lpstr>
      <vt:lpstr>12_fasada</vt:lpstr>
      <vt:lpstr>'12_fasada'!Print_Area</vt:lpstr>
      <vt:lpstr>'nasl strana'!Print_Area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Ivan Cakaric</cp:lastModifiedBy>
  <cp:lastPrinted>2023-01-03T10:48:53Z</cp:lastPrinted>
  <dcterms:created xsi:type="dcterms:W3CDTF">2013-01-21T14:15:20Z</dcterms:created>
  <dcterms:modified xsi:type="dcterms:W3CDTF">2026-03-02T17:55:13Z</dcterms:modified>
</cp:coreProperties>
</file>