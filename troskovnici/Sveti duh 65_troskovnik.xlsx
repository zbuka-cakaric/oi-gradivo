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24226"/>
  <mc:AlternateContent xmlns:mc="http://schemas.openxmlformats.org/markup-compatibility/2006">
    <mc:Choice Requires="x15">
      <x15ac:absPath xmlns:x15ac="http://schemas.microsoft.com/office/spreadsheetml/2010/11/ac" url="C:\Users\User\Desktop\Mateja\Sveti Duh 65\05 Sveti Duh 65\Sv.Duh 65 - StambeniZG - DomInvest\"/>
    </mc:Choice>
  </mc:AlternateContent>
  <xr:revisionPtr revIDLastSave="0" documentId="8_{AB43E6C3-A0ED-485D-921F-3DA6FD3EF560}" xr6:coauthVersionLast="47" xr6:coauthVersionMax="47" xr10:uidLastSave="{00000000-0000-0000-0000-000000000000}"/>
  <bookViews>
    <workbookView xWindow="-120" yWindow="-120" windowWidth="29040" windowHeight="15720" tabRatio="1000" activeTab="1" xr2:uid="{00000000-000D-0000-FFFF-FFFF00000000}"/>
  </bookViews>
  <sheets>
    <sheet name="nas" sheetId="21" r:id="rId1"/>
    <sheet name="sve rekap" sheetId="115" r:id="rId2"/>
    <sheet name="rekap" sheetId="4" r:id="rId3"/>
    <sheet name="opći" sheetId="39" r:id="rId4"/>
    <sheet name="A.I.pri" sheetId="1" r:id="rId5"/>
    <sheet name="A.II.dem" sheetId="129" r:id="rId6"/>
    <sheet name="A.III.zidarski" sheetId="102" r:id="rId7"/>
    <sheet name="A.IV.izo" sheetId="44" r:id="rId8"/>
    <sheet name="B.I.lim" sheetId="46" r:id="rId9"/>
    <sheet name="B.II.1.PVC" sheetId="128" r:id="rId10"/>
    <sheet name="B.II.2.ALU" sheetId="108" r:id="rId11"/>
    <sheet name="B.II.3.ČEL" sheetId="116" r:id="rId12"/>
    <sheet name="B.III._zz" sheetId="52" r:id="rId13"/>
    <sheet name="B.IV.lič" sheetId="109" r:id="rId14"/>
  </sheets>
  <definedNames>
    <definedName name="_xlnm.Print_Area" localSheetId="4">'A.I.pri'!$A$1:$F$36</definedName>
    <definedName name="_xlnm.Print_Area" localSheetId="6">'A.III.zidarski'!$A$1:$F$69</definedName>
    <definedName name="_xlnm.Print_Area" localSheetId="7">'A.IV.izo'!$A$1:$F$79</definedName>
    <definedName name="_xlnm.Print_Area" localSheetId="11">'B.II.3.ČEL'!$A$1:$F$39</definedName>
    <definedName name="_xlnm.Print_Area" localSheetId="12">'B.III._zz'!$A$1:$F$101</definedName>
    <definedName name="_xlnm.Print_Area" localSheetId="13">'B.IV.lič'!$A$1:$F$73</definedName>
    <definedName name="_xlnm.Print_Area" localSheetId="0">nas!$A$1:$B$74</definedName>
    <definedName name="_xlnm.Print_Area" localSheetId="3">opći!$A$1:$G$61</definedName>
    <definedName name="_xlnm.Print_Area" localSheetId="2">rekap!$A$1:$F$42</definedName>
    <definedName name="_xlnm.Print_Area" localSheetId="1">'sve rekap'!$A$1:$D$38</definedName>
    <definedName name="_xlnm.Print_Titles" localSheetId="4">'A.I.pri'!$A:$F,'A.I.pri'!$2:$5</definedName>
    <definedName name="_xlnm.Print_Titles" localSheetId="5">'A.II.dem'!$A:$F,'A.II.dem'!$2:$5</definedName>
    <definedName name="_xlnm.Print_Titles" localSheetId="6">'A.III.zidarski'!$A:$F,'A.III.zidarski'!$2:$5</definedName>
    <definedName name="_xlnm.Print_Titles" localSheetId="7">'A.IV.izo'!$A:$F,'A.IV.izo'!$2:$5</definedName>
    <definedName name="_xlnm.Print_Titles" localSheetId="8">'B.I.lim'!$A:$F,'B.I.lim'!$2:$5</definedName>
    <definedName name="_xlnm.Print_Titles" localSheetId="9">'B.II.1.PVC'!$A:$F,'B.II.1.PVC'!$2:$5</definedName>
    <definedName name="_xlnm.Print_Titles" localSheetId="10">'B.II.2.ALU'!$A:$F,'B.II.2.ALU'!$2:$5</definedName>
    <definedName name="_xlnm.Print_Titles" localSheetId="11">'B.II.3.ČEL'!$A:$F,'B.II.3.ČEL'!$2:$5</definedName>
    <definedName name="_xlnm.Print_Titles" localSheetId="12">'B.III._zz'!$A:$F,'B.III._zz'!$2:$5</definedName>
    <definedName name="_xlnm.Print_Titles" localSheetId="13">'B.IV.lič'!$A:$F,'B.IV.lič'!$2:$5</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9" i="44" l="1"/>
  <c r="F47" i="108" l="1"/>
  <c r="F91" i="129" l="1"/>
  <c r="F87" i="129"/>
  <c r="F82" i="129"/>
  <c r="F81" i="129"/>
  <c r="F77" i="129"/>
  <c r="F73" i="129"/>
  <c r="F72" i="129"/>
  <c r="F68" i="129"/>
  <c r="F64" i="129"/>
  <c r="F60" i="129"/>
  <c r="F59" i="129"/>
  <c r="F55" i="129"/>
  <c r="F51" i="129"/>
  <c r="F47" i="129"/>
  <c r="F46" i="129"/>
  <c r="F45" i="129"/>
  <c r="F41" i="129"/>
  <c r="F40" i="129"/>
  <c r="F36" i="129"/>
  <c r="F32" i="129"/>
  <c r="F28" i="129"/>
  <c r="F93" i="129" l="1"/>
  <c r="F13" i="4" s="1"/>
  <c r="F67" i="102"/>
  <c r="F76" i="44"/>
  <c r="F49" i="44"/>
  <c r="F48" i="44"/>
  <c r="F47" i="44"/>
  <c r="F46" i="44"/>
  <c r="F45" i="44"/>
  <c r="F44" i="44"/>
  <c r="F43" i="44"/>
  <c r="F42" i="44"/>
  <c r="F63" i="102"/>
  <c r="F63" i="128" l="1"/>
  <c r="F62" i="128"/>
  <c r="F61" i="128"/>
  <c r="F60" i="128"/>
  <c r="F59" i="128"/>
  <c r="F58" i="128"/>
  <c r="F57" i="128"/>
  <c r="F56" i="128"/>
  <c r="F55" i="128"/>
  <c r="F54" i="128"/>
  <c r="F53" i="128"/>
  <c r="F52" i="128"/>
  <c r="F51" i="128"/>
  <c r="F50" i="128"/>
  <c r="F49" i="128"/>
  <c r="F48" i="128"/>
  <c r="F47" i="128"/>
  <c r="F65" i="128" l="1"/>
  <c r="F22" i="4" s="1"/>
  <c r="F88" i="52" l="1"/>
  <c r="F66" i="46"/>
  <c r="F67" i="46"/>
  <c r="F51" i="46" l="1"/>
  <c r="F58" i="46"/>
  <c r="F57" i="46"/>
  <c r="F56" i="46"/>
  <c r="F62" i="46"/>
  <c r="F47" i="46"/>
  <c r="F43" i="46"/>
  <c r="F65" i="44"/>
  <c r="F89" i="52" l="1"/>
  <c r="F87" i="52"/>
  <c r="F35" i="46" l="1"/>
  <c r="F59" i="102" l="1"/>
  <c r="F67" i="52" l="1"/>
  <c r="F68" i="52"/>
  <c r="F71" i="46" l="1"/>
  <c r="F35" i="116" l="1"/>
  <c r="F38" i="116" s="1"/>
  <c r="F24" i="4" s="1"/>
  <c r="F31" i="46" l="1"/>
  <c r="F53" i="44"/>
  <c r="F58" i="44"/>
  <c r="F60" i="44"/>
  <c r="F77" i="52" l="1"/>
  <c r="F48" i="108"/>
  <c r="F55" i="46"/>
  <c r="F70" i="109"/>
  <c r="F97" i="52"/>
  <c r="F79" i="52"/>
  <c r="F78" i="52"/>
  <c r="F76" i="52"/>
  <c r="F39" i="46"/>
  <c r="F49" i="108"/>
  <c r="F66" i="109"/>
  <c r="F66" i="52"/>
  <c r="F69" i="52"/>
  <c r="F70" i="52"/>
  <c r="F93" i="52"/>
  <c r="F27" i="46"/>
  <c r="F70" i="44"/>
  <c r="F71" i="44"/>
  <c r="F55" i="102"/>
  <c r="F28" i="1"/>
  <c r="F33" i="1"/>
  <c r="F36" i="1" l="1"/>
  <c r="F72" i="109"/>
  <c r="F26" i="4" s="1"/>
  <c r="F73" i="46"/>
  <c r="F21" i="4" s="1"/>
  <c r="F69" i="102"/>
  <c r="F14" i="4" s="1"/>
  <c r="F100" i="52"/>
  <c r="F25" i="4" s="1"/>
  <c r="F52" i="108"/>
  <c r="F23" i="4" s="1"/>
  <c r="F78" i="44"/>
  <c r="F15" i="4" s="1"/>
  <c r="F12" i="4"/>
  <c r="F27" i="4" l="1"/>
  <c r="F16" i="4"/>
  <c r="F29" i="4" l="1"/>
  <c r="D27" i="115" s="1"/>
  <c r="D30" i="115" s="1"/>
</calcChain>
</file>

<file path=xl/sharedStrings.xml><?xml version="1.0" encoding="utf-8"?>
<sst xmlns="http://schemas.openxmlformats.org/spreadsheetml/2006/main" count="782" uniqueCount="492">
  <si>
    <t>Prije početka izvedbe radova izvoditelj je dužan projektantu predočiti uzorke boja odgovarajuće za određen tip obrade i izvesti probna bojanja s uzorcima na plohama koje se obrađuju, i to u više nijansi boja, na osnovu čega će projektant odabrati boju i način nanošenja odnosno tip valjka. Tek po izboru i odobrenju projektanta može se otpočeti sa radovima na tako odabran način. Gore navedeno neće se posebno platiti već predstavlja trošak i obvezu izvoditelja i ulazi u jediničnu cijenu izvedbe radova.</t>
  </si>
  <si>
    <t>Tijekom dostave proizvoda (uglavnom na paletama), isti se NIKAKO ne smiju položiti direktno na ploče toplinske izolacije (i hidroizolaciju), već ISKLJUČIVO na prethodno položenu podlogu (daske, ploče od iverice i sl.) preko sloja izolacije.</t>
  </si>
  <si>
    <t xml:space="preserve">Ukoliko se vrši transport materijala i opreme direktno preko sloja toplinsko-izolacijskih ploča, obavezna je postava hodnih staza od dasaka ili ploča od iverica ili sl., preko spomenutog sloja.
Potrebno je poduzeti mjere za sprečavanje oštećenja izolacijskog materijala (izrada privremenih transportnih putova).
</t>
  </si>
  <si>
    <t>Izvođač građevinskih radova izvodi sve privremene instalacije vode, struje i ostalih  potrebnih instalacija. On je dužan dozvoliti priključak ostalim svojim izvođačima (kooperantima) na te vodove. Utrošak vode i električne energije za jedinicu proizvoda uključuje se u analizu cijena proizvoda prema normativima utroška, a utrošak za potrebe ureda, gradilišta, pranje vozila i strojeva, rasvjetu gradilišta i ostalo uključuje se u faktor gradilišta.</t>
  </si>
  <si>
    <t xml:space="preserve">Projekt energetske obnove zgrade izrađen je temeljem mogućih izmjera i pretpostavljenih zidnih, stropnih i krovnih slojeva. Dužnost je izvođača da sondiranjem utvrdi stvarni sastav konstrukcija i u slučaju odstupanja sastava upozori nadzornog inženjera i investitora na odstupanje. </t>
  </si>
  <si>
    <t>Sva rušenja i demontaže konstruktivnih elemenata treba izvršiti pod nadzorom projektanta i statičara. Kod vršenja proboja ili vođenja instalacija u nosivim konstrukcijama zahvat vršiti maksimalno precizno bez narušavanja nosivih svojstava konstrukcije. Prilikom zahvata na nosivim konstrukcijama obavezno je podupiranje. Sva rušenja, probijanja, bušenja i dubljenja treba u pravilu izvoditi ručnim alatom bez upotrebe vibracionih uređaja, s osobitom pažnjom.</t>
  </si>
  <si>
    <t>U slučaju  nastalih šteta, radi nepravodobno zaštićene lokacije na kojoj se vrše rušenja i demontaže, sve troškove nastalih šteta snosi izvođač. Izvođač je dužan striktno se držati mjera zaštite na radu.</t>
  </si>
  <si>
    <t>jed.</t>
  </si>
  <si>
    <t>kol.</t>
  </si>
  <si>
    <t>jed.cijena</t>
  </si>
  <si>
    <t>ukupno</t>
  </si>
  <si>
    <t>r.b.</t>
  </si>
  <si>
    <t>Investitor:</t>
  </si>
  <si>
    <t>Građevina:</t>
  </si>
  <si>
    <t xml:space="preserve">Sadržaj: </t>
  </si>
  <si>
    <t>Glavni projektant:</t>
  </si>
  <si>
    <t xml:space="preserve">TROŠKOVNIK GRAĐEVINSKO ZANATSKIH RADOVA </t>
  </si>
  <si>
    <t>A.</t>
  </si>
  <si>
    <t>opis stavke</t>
  </si>
  <si>
    <t>B.</t>
  </si>
  <si>
    <t>A.I.</t>
  </si>
  <si>
    <t>B.I.</t>
  </si>
  <si>
    <t>B.IV.</t>
  </si>
  <si>
    <t xml:space="preserve">HIDROIZOLACIJA
Sve hidroizolaterske radove treba izvesti solidno i stručno držeći se projektne dokumentacije, propisa, opisa iz troškovnika, uputama proizvođača i pravilima dobrog zanata. Prije početka radova izvođač mora ustanoviti kvalitetu podloge na koju se izvodi izolacija i ako nije pogodna za rad mora o tome izvijestiti naručitelja radova kako bi se podloga na vrijeme popravila i pripremila za izvođenje izolacije.
</t>
  </si>
  <si>
    <t xml:space="preserve">HRN EN 14351-1:2006, prozori i vrata - norma za proizvod, izvedbene značajke
HRN EN 12207:2001, prozori i vrata - propusnost zraka
HRN EN 12208:2001, prozori i vrata - vodonepropusnost 
HRN EN 12210:2001+AC:2005, prozori i vrata - otpornost na opterećenje vjetrom
HRN EN ISO 140-3, akustika - mjerenje razine zvuka u zgradama i elementima zgrada
HRN EN ISO 717-1, akustika - određivanje razine zvuka u zgradama
HRN EN 410:1998, staklo u graditeljstvu - određivanje svjetlosnih i sunčanih značajka ostakljenja
HRN EN 572-9:2005, staklo u graditeljstvu - proizvodi od osnovnog natrij-kalcij-silikatnog stakla
HRN D.E1.012, vanjska stolarija
HRN D.E8.193. i 235., vodonepropusnost i hermetičnost
</t>
  </si>
  <si>
    <t xml:space="preserve">Ukoliko ne postoje adekvatni standardi za materijale koji se ugrađuju, obavezno je pribaviti odgovarajući atest kao dokaz kvalitete.
</t>
  </si>
  <si>
    <t>Prije početka radova potrebno je konstrukcije u koje ne zadiru radovi zaštititi od mogućeg oštećenja. Sve otvore na pročeljima zgrade treba odmah nakon postave skele zaštititi PVC folijom debljine 0,20 mm kako ne bi došlo do njihovog oštećenja.</t>
  </si>
  <si>
    <t xml:space="preserve">Prilikom ugradnje ploča mineralne (kamene) vune potrebno je pridržavati se sljedećeg:
Ugrađivati se smije samo suh i neoštećen proizvod. Proizvod se polaže na pripremljenu suhu podlogu. Prilikom polaganja proizvoda na otvorenom potrebno je spriječiti moguće
oštećenje uslijed djelovanja atmosferilija (kiša, snijeg). 
</t>
  </si>
  <si>
    <t>Prilikom ugradnje proizvoda, potrebno je pridržavati se redoslijeda ugradnje pojedinih slojeva konstrukcije danih u projektnoj dokumentaciji, odnosno projektu u odnosu na toplinsku zaštitu i uštedu energije, te prospektnoj dokumentaciji i preporukama od strane proizvođača.</t>
  </si>
  <si>
    <t xml:space="preserve">HRN U.M3 210, bitumenska traka s uloškom jutene tkanine
HRN U.M3 220, neposuti, bitumenom impregnirani ravni krov
HRN U.M3 221, bitumenom obostrano obloženi papir
HRN U.M3.224, vrući premaz
HRN U.M3 226, bitumenska traka s uloškom krovnog kartona
HRN U.M3 227, bitumenizirani stakleni voal
HRN U.M3.229, bitumenom obložena al.folija
HRN U.M3.230, bit. traka s uloškom al.folije
HRN U.M3 231, bit. traka s uloškom staklenog voala
HRN U.M3 232, bitumenizirani krovni karton
HRN U.M3 234, bit. traka s uloškom staklene tkanine
HRN U.M3.240, bit. hidroizolac.materijal s organskom zatvaračem za hladni post.
HRN U.M3 242, hidroizolac. materijal na osnovi bit.emulzija za hladni postupak
HRN U.M3 244, hidroizolac. materijal za topli postupak
HRN U.M3 246, hidroizolac. materijal od mastiksa
HRN U.M3 248, bitumenizirani perforirani stakleni voal
HRN U.M3 300, bit.trake za varenje
</t>
  </si>
  <si>
    <t xml:space="preserve">Svi dijelovi konstrukcije i elementi pojedinih pozicija moraju biti proračunati i dimenzionirani tako da sigurno prihvaćaju opterećenja posebice vjetra (tlak, usis) i drugih atmosferskih utjecaja. Sile koje se javljaju u elementima i fasadi u cjelini moraju se prenijeti na monolitni dio zgrade, dok se deformacije i opterećenja (sile) sa zgrade ne smiju nikako prenositi na fasadu i/ili njene elemente.
</t>
  </si>
  <si>
    <t xml:space="preserve">Na spoju raznih kvaliteta lima izvesti potrebno galvansko razdvajanje. Izvedba razdvajanja mora biti otporna i postojana na atmosferilije i smrzavanje.
</t>
  </si>
  <si>
    <t>Pri radu treba se strogo pridržavati pravila zaštite na radu, uz primjenu odgovarajućih zaštitnih sredstava. Sve prostorije po završetku radova treba dobro prozračiti ili ventilirati.
Prilikom izvođenja radova izvoditelj treba zaštititi sve susjedne plohe i dijelove konstrukcije na takav način da ne dođe do njihovog prljanja i oštećenja i isto uračunati u cijeni. Ukoliko do prljanja i oštećenja ipak dođe, isto će izvoditelj očistiti i popraviti na svoj trošak.</t>
  </si>
  <si>
    <t>Čišćenje i raščišćavanje</t>
  </si>
  <si>
    <t>Priprema gradilišta</t>
  </si>
  <si>
    <t>Prije početka radova izvođač mora ustanoviti kvalitetu podloge za izvođenje soboslikarskih radova i ako ona nije pogodna za taj rad, mora o tome pismeno obavijestiti svog naručioca radova, kako bi se na vrijeme mogla popraviti i prirediti za soboslikanje i ličenje. Kasnije povezivanje i opravdanje da kvalitet nije dobar radi loše podloge, neće se uzimati u obzir. Na neurednoj podlozi ne može se izvoditi rad dok se podloga ne uredi. Predviđa se da se svi monolitni armiranobetonski zidovi i stropovi, koji se ne oblažu drugim oblogama, prije bojenja obrade i pripreme za bojenje, te gletaju glet masom i potpuno zaglade, a zatim da ih se boji  bojom prema opisu stavke. Gipskartonski zidovi / obloge / stropovi trebaju biti gletani i obrađeni za ličenje, ti radovi su uključeni u stavke izrade zida / obloge / spuštenog stropa.</t>
  </si>
  <si>
    <t>Svi premazi izvode se najmanje s tri premazivanja i to: osnovnim ili podložnim slojem, zaštitnim premazom i završnim premazom, ako to u troškovniku nije drugačije označeno. Svako od tih premazivanja mora biti čvrsto povezano za podlogu na koju se nanosi.</t>
  </si>
  <si>
    <t>HRN EN 14063-1:2008, na mjestu primjene oblikovani proizvodi od lakoagregatne ekspandirane gline 
HRN EN 14064-1:2010, nevezani proizvodi od mineralne vune (MW) oblikovani na mjestu primjene
HRN EN 14064-2:2010, nevezani proizvodi od mineralne vune (MW) oblikovani na mjestu primjene
HRN EN 14316-1:2008, oblikovanje toplinske izolacije na mjestu primjene od proizvoda na bazi eksp. perlita (EP)</t>
  </si>
  <si>
    <t>Izvoditelj je dužan osigurati i zaštititi sve dijelove građevine na kojima se izvode radovi, radi sprečavanja oštećenja tijekom izvedbe. Pojava svih oštećenja na dijelovima na kojima se ne izvode radovi ili koji su nastupili nepažnjom izvoditelja isti je dužan otkloniti o vlastitom trošku. Naročitu pažnju treba posvetiti zaštiti prozorskih stakala koje treba zaštititi PVC građevinskom folijom. Ta zaštita ulazi u jediničnu cijenu izvedbe pročelja zgrade.</t>
  </si>
  <si>
    <t>HRN B.C1.030, B.C8.030, građevinski gips
HRN B.C1.020, B.C8.030, građevinsko vapno
HRN B.C8.015,022 – 026, cement
HRN B.C8.011, portland cement
HRN B.C8.030, pijesak
HRN U.M2.010, U.M2.012, mortovi
HRN U.F2.010, tehički normativi za izvođenje fasaderskih radova</t>
  </si>
  <si>
    <t>SOBOSLIKARSKO-LIČILAČKI RADOVI UKUPNO:</t>
  </si>
  <si>
    <t>Jedinična cijena uključuje sve pripremne i završne radovi, tehnološku razradu svih detalja, postavu i skidanje radne skele, sve posredne i neposredne troškove za rad, materijal, alat i građevinske, ispiranje i otprašivanje površine zida, sav otežani rad na izvedbi, zaštitu izvedenog dijela pročelja, zaštitu PVC građ. folijom prozorskih stakala, sav potrebni horizontalni i vertikalni prijevoz kao i prijevoz do gradilišta, čišćenje tokom rada, odvoz i zbrinjavanje smeća, završno čišćenje prije primopredaje radova, nadoknadu eventualne štete nastale iz nepažnje na svojim ili tuđim radovima, usklađenje organizacije rada s operativnim planom, primjenu svih mjera zaštite na radu.</t>
  </si>
  <si>
    <t xml:space="preserve">HRN EN 13707:2005+A1:2008, bitumenske hidroizolacijske krovne trake sa uloškom 
HRN EN 13859-1:2008, podložne trake za prijeklopno pokrivanje krovova
HRN EN 13859-2:2008, podložne trake za zidove
HRN EN 13956:2005+1:2008, plastične i elastomerne hidroizolacijske trake za krovove
HRN EN 13967:2005+A1:2008, plastične i elastomerne trake za zaštitu od vlage i vode iz tla
HRN EN 13969:2005+A1:2008, bitumenske trake za zaštitu od vlage i vode iz tla
HRN EN 13970:2005+A1:2008, bitumenske paronepropusne trake
HRN EN 13984:2005+A1:2008, plastične i elastomerne paronepropusne trake
HRN EN 14909:2008, plastične i elastomerne trake za sprečavanje kapilarnog podizanja vode
HRN EN 14967:2008, bitumenske trake za sprečavanje kapilarnog podizanja vode
</t>
  </si>
  <si>
    <t>Zabranjeno je bacati u kanalizaciju i sanitarne uređaje ostatke boje, vapna, gipsa, kita i drugog materijala.</t>
  </si>
  <si>
    <t>ZIDOVI</t>
  </si>
  <si>
    <t xml:space="preserve">Izvođač radova mora za sve materijale koje će upotrijebiti za izvedbu izolacije pribaviti odgovarajuće ateste ne starije od 6 mjeseci i dostaviti ih nadzornom inženjeru na uvid. Hidroizolaciju, toplinsku ili zvučnu izolaciju treba izvoditi točno prema specifikaciji radova, uputama, preporukama proizvođača, kao i prema tehničkim uvjetima izvođenja. </t>
  </si>
  <si>
    <t>Skladištenje materijala na gradilištu mora biti stručno kako bi se isključila bilo kakva mogućnost propadanja. Nepravilno i nekvalitetno izvedene radove izvođač mora na svoj trošak ukloniti i izvesti pravilno.</t>
  </si>
  <si>
    <t>Sav materijal za izolaciju treba biti prvorazredne kvalitete, te odgovarati tekućim propisima i normativima. Izolacijsku ljepenku i ostale vrste izolacijskih traka i ploča treba rezati ravno i pravokutno. Zaderani i krpani komadi ne smiju se ugrađivati. Svi preklopi moraju biti najmanje 10 cm široki i lijepljeni varenjem. Kod polaganja dvaju ili više slojeva izolacijskih traka ili ploča preklopi ne smiju ležati jedan na drugom, već moraju biti pomaknuti.</t>
  </si>
  <si>
    <t>Kod hidroizolacije zidova ljepenka treba na svaku stranu zida imati prihvat širine od 10 cm, koji treba spojiti s horizontalnom izolacijom podova. Površine na koje se polaže izolacija, trebaju biti posve ravne, suhe, očišćene od prašine i nečistoće i dovoljno glatke kako bi izolacija dobro prionula. Izolacija treba prilegnuti na površinu ravno, bez nabora i mjehura.</t>
  </si>
  <si>
    <t xml:space="preserve">Posebnu pažnju obratiti na zaštitu od požara kod rada s vrućim bitumenskim premazima i varenim ljepenkama zbog velike zapaljivosti bitumena. U slučaju požara gasiti pijeskom ili pjenom. Gašenje vodom je opasno zbog prskanja vrelog bitumena. </t>
  </si>
  <si>
    <t xml:space="preserve">Izvođač je dužan pridržavati se svih propisa javnog prometa. Dozvolu za korištenje javnih prometnih površina izvođač je dužan zatražiti od nadležnih službi, prema svojim potrebama za organizaciju gradilišta i platiti eventualne takse za ishođenje odobrenja za korištenje površina. Ovi troškovi su također u faktoru i ne naplaćuju se posebno.
</t>
  </si>
  <si>
    <t xml:space="preserve">Prije pristupanju izvođenju radova izvoditelj je dužan izvršiti detaljan pregled svih stolarskih elemenata, prozora i vrata koji se mijenjaju. Stolarski elementi ili njihovi dijelovi, kao i pripadajući okov, koji su oštećeni, moraju se zamijeniti novima. Pri izradi novog elementa, u jediničnu cijenu uračunat je gotov stolarski element sa pripadajućim okovom i ugradnjom na građevinu. </t>
  </si>
  <si>
    <t>OBRTNIČKI RADOVI</t>
  </si>
  <si>
    <t xml:space="preserve">Za elemente za učvršćivanje (kuke, zakovice, jahači, čavli, vijci i sl.) treba primijeniti:
za čelični lim - čelična spojna sredstva,
za pocinčani i olovni lim - dobro pocinčana spojna sredstva,
za bakreni lim - bakrena spojna sredstva,
za alu lim - alu ili galvanizirana Čn spojna sredstva.
</t>
  </si>
  <si>
    <t>Zajednička oznaka projekta:</t>
  </si>
  <si>
    <t>Tehnički dnevnik:</t>
  </si>
  <si>
    <t>Lokacija:</t>
  </si>
  <si>
    <t xml:space="preserve"> </t>
  </si>
  <si>
    <t xml:space="preserve">Zaokretna vrata ili prozorsko krilo je lijevo ako je okovano s lijeve strane, odnosno ako se otvara u smjeru negativne rotacije (kazaljke na satu). Stolarski elementi se izrađuju prema shemama i detaljima, te u dogovoru s projektantom i nadzornim inženjerom, a označavaju brojem troškovničke stavke.
</t>
  </si>
  <si>
    <t>Izradio:</t>
  </si>
  <si>
    <t xml:space="preserve">HRN C.B4.081, pocinčani lim
HRN C.C4.020, 025, 030, 051, 060, 120, 150, aluminijski lim
HRN C.D4.020, bakreni lim
</t>
  </si>
  <si>
    <t>Mort za žbukanja mora odgovarati HRN U.M2.012. Prije žbukanja sve zidne površine potrebno je očistiti i pošpricati rijetkim cementnim mortom u omjeru 1:1. Završne plohe zida moraju biti ravne, fine i jednolično zaglađene. Mort treba biti miješan u omjerima materijala kako je određeno projektom morta, a koji je dužan dostaviti izvođač. Navedenim projektom se mora postići projektirana marka morta. Sav pribor koji se koristi pri mješanju i transportu se treba održavati čistim. Nakon što se mort izvadi iz mješalice ne smije mu se dodavati nikakav materijal. Mort mora biti upotrebljen prije nego počne vezivanje. Mort mora imati plastičnu konzistenciju određenu normama za mort. Unaprijed pripremljeni mort treba rabiti u skladu s uputama proizvođača i prije kraja roka uporabe deklariranog od proizvođača.</t>
  </si>
  <si>
    <t>Zidarska pripomoć obrtnicima, instalaterima, nošenje izuzetno teških predmeta i pripomoć kod raznih ugradnji obračunava se u radnim satima, a u cijenu je uključen i sav potreban materijal za pripomoć (za krpanja, ugradnju i sl.).</t>
  </si>
  <si>
    <t>Izvođač će pristupiti izvedbi završnih zidarskih radova tek nakon što projektant potpisom potvrdi tehnološku razradu svih detalja.</t>
  </si>
  <si>
    <t>OPĆI UVJETI</t>
  </si>
  <si>
    <t>4.</t>
  </si>
  <si>
    <t>kom</t>
  </si>
  <si>
    <t>RUŠENJA I DEMONTAŽE</t>
  </si>
  <si>
    <t>U sklopu slojeva izolacije uz sve bočne vertikalne ili kose plohe treba obavezno izvesti holkere, visine min 15 cm bez posebne naplate. Tako izveden prelazni detalj sa svim slojevima izolacije treba završno zaštititi. Ukoliko nije posebno predviđen detalj holker treba izvesti cem. mortom 1:1 M-10 d= 3-4-cm po HRN – u U.M2.010, armiran pocinč. rabic. mrežicom, dilatiran svaka 2 cm ili po detalju izvedbe izolacije. Nakon izvedbe svakog sloja izolacije nadzorni organ treba izvršiti pregled, a tek nakon pozitivnog mišljenja i upisa u građevinski dnevnik može se nastaviti sa radom.</t>
  </si>
  <si>
    <t>Obračun:
- zidovi se obračunavaju po površini izraženoj u m2 na način:
• otvori veličine do 3,0 m² ne odbijaju se, a njihove špalete se posebno ne obračunavaju
• kod otvora veličine 3,0 do 5,0 m²  odbija se površina preko 3,0 m², a špalete se posebno ne obračunavaju
• kod otvora preko 5,0 m² odbija se površina preko 3,0 m², a špalete oko otvora se obračunavaju posebno
• špalete širine veće od 20 cm obračunavanju se posebno
• normativi za zidove površine ispod 10 m² povećavaju se za 1,20
- stolarija / bravarija se obračunava po površini izraženoj u m2 na način:
• pune površine otvora i opšava bez odbijanja površine stakla) množeno koeficijentima:
o 2,90 = dvostruki prozor (bez prečki, sa kutijom za roletu i opšavom)
o 1,45 = kod jednostrukih prozora bez opšava
o 1,60 = kod jednostrukih prozora sa opšavom
o dodatno 5% kvadrature prozora za svaku prečku, kod dvostrukih prozora posebno
za vanjske, a posebno za unutrašnje prozore
• stakleni izlog - uzima se površina izloga umanjeno za:
o 45% za površine stakla do 3,00 m2
o 30% za površine stakla 3,00 do 5,00 m2
o 25% za površine stakla preko 5,00 m2
• puna vrata s dovratnikom - uzima se dvostruka površina, mjereno od vanjskog ruba opšavnih letvi
• puna vrata s opšavom špaleta obračunava se dvostruka površina
• tradicionalna stolarija - površina se uvećava za profilacije, zavisno od složenosti, s faktorom od 1,7 do 3,2.
• prozorske klupčice, parapeti, kutije za rolete, okviri, opšavi i sl. po površini izraženoj u m2</t>
  </si>
  <si>
    <t>SOBOSLIKARSKO - LIČILAČKI RADOVI ukupno</t>
  </si>
  <si>
    <t>ZAVRŠNI ZIDARSK0 - FASADERSKI RADOVI ukupno</t>
  </si>
  <si>
    <t>Tijekom izvođenja radova treba obratiti pažnju na atmosferske prilike. Vanjski radovi se ne smiju izvoditi u slučaju oborina, magle, zraka prezasićenog vlagom, te jakog vjetra i temperature ispod +5°C.</t>
  </si>
  <si>
    <t>Premazi i boje moraju biti postojani na svjetlo i otporni na pranje vodom, a na vanjskim plohama otporni na atmosferilije. Svi soboslikarski radovi moraju se izvesti prema izabranim uzorcima.</t>
  </si>
  <si>
    <t>Izvođač je dužan prije početka rada pregledati podloge i ustanoviti da li su primjerene za predviđenu obradu. Ako na podlozi postoje bilo kakvi nedostaci koji se mogu odraziti na kvalitetu radova, izvođač je dužan na to upozoriti naručitelja radova jer se naknadno pozivanje na lošu podlogu neće uvažiti.</t>
  </si>
  <si>
    <t>Izvođač može započeti radove tek kad su iz prostorije odstranjeni svi otpaci i drugo što bi moglo smetati izvedbi. Za sve vrste soboslikarsko-ličilačkih radova podloge moraju biti čiste od prašine i druge prljavštine kao što su: smole, ulja, masti, čađa, gar, bitumen, cement, mort i dr. Bojati ili ličiti dopušteno je samo na suhu i pripremljenu podlogu. Vanjski ličilački radovi ne smiju se izvoditi po lošem vremenu, koje bi moglo štetiti kvaliteti radova (npr. hladnoća, oborine, magla, jak vjetar i sl.).</t>
  </si>
  <si>
    <t>Sredstva za premazivanje, s obzirom na sastav i vrstu, moraju biti međusobno usklađena. Za podloge iz gips kartonskih ploča sredstva za premazivanje na osnovi vapna, vodenog stakla i silikata nisu primjerena. Kod disperzijskih silikatnih boja potrebno se pridržavati savjeta proizvođača sredstva. Kod gips kartonskih ploča koje su duže vrijeme bez zaštite izložene djelovanju svjetla može se pojaviti požutjelost i zato se prije nanošenja premaza preporučuje probni premaz preko više ploča, uključivo s fugiranim mjestima.</t>
  </si>
  <si>
    <t>Ličenje unutarnjih zidova izvodi se slijedećim redoslijedom:
0. namakanje i struganje starog naliča,
1. impregnacija (grundiranje) – penetrirajući premaz podloge radi konsolidacije,
2. kitanje i zatvaranje pojedinačnih rupa, uključivo bandažiranje većih pukotina
3. gletanje – prevlačenje cijele površine ličilačkim kitom u nekoliko slojeva ovisno o zahtijevanoj kvaliteti površine uključivo brušenje i otprašivanje između slojeva,
4. brušenje i otprašivanje,
5. ovisno o vrsti boje i uputi proizvođača – nanošenje primera kako bi se smanjila upojnost
6. dvokratno ili trokratno ličenje – nanošenje boje četkama, valjcima ili prskanjem.</t>
  </si>
  <si>
    <t>STOLARIJA</t>
  </si>
  <si>
    <t>LIČENJE
Ličenje stolarije radi se samo na unutarnjoj stolariji, a izuzetno na vanjskoj ako je već bila ličena. Vratna krila mogu se ličiti u radionici kompresorom. Ličiti se može stolarija koja ima francuske ili cilindar petlje, odnosno drugi okov predviđen za ličenje, ali ne i roto okov.
Stolariju je prije ličenja uvijek potrebno pripremiti prema uputama proizvođača boje!</t>
  </si>
  <si>
    <t>Ličenje unutarnje stolarije izvodi se u sljedećim fazama:
0. paljenje, kemijsko ili mehaničko skidanje postojeće boje (u slučajevima obnove postojećih vrata),
1. impregnacija (u radionici),
2. kitanje,
3. brušenje,
4. temeljni nalič,
5. dodatno kitanje i brušenje,
6. lakiranje (min. 2 sloja).</t>
  </si>
  <si>
    <t>Vrste lakova za unutarnje / vanjske prostore:
- nitro lakovi – za unutrašnje prostore (na bazi celuloznih nitrata, sintetskih smola i organskih otapala)
- poliuretanski lakovi (mat, polumat, sjajni) – za unutrašnje prostore (na bazi uljem modificirane poliuretanske smole u organskim otapalima)
- alkidni lakovi – za unutrašnje i vanjske prostore (na bazi modificirane alkidne smole u organskim otapalima uz
dodak punila i pigmenata)
- akrilni lakovi – za unutrašnje i vanjske prostore (na bazi akrilnih smola i organskih otapala / ili topivi u vodi)
- uljni premazi – za unutrašnje prostore (na bazi biljnih ulja i voskova)</t>
  </si>
  <si>
    <t xml:space="preserve">Dijelovi različitog materijala ne smiju se dodirivati jer bi uslijed toga moglo doći do korozije. Elementi od čelika za pričvršćivanje cinčanog ili pocinčanog lima moraju se pocinčati, ako u opisu radova nije predviđena neka druga zaštita (postavljanje podmetača od olova ili plastike otpornih na kiseline ili lužine). Za bakreni lim treba primijeniti učvršćivanje od bakra ili bakrenog čelika.
</t>
  </si>
  <si>
    <t>Sve vidljive spojeve lima i betonskih ili ožbukanih ploha pročelja treba brtviti po cijeloj dužini spoja trajno elastičnim (plastičnim) bezbojnim kitom. Sve spojeve lima treba obvezno izvesti nepropusno. Plohe izvedene limom moraju biti izvedene pravilno i u ravnini, po nagibima odvodnje i kosinama definiranim u projektu.</t>
  </si>
  <si>
    <t>Izvedeni rad i upotrebljeni materijal mora u svemu (vrsti, boji i kvaliteti) biti jednak uzorku, što ga odabere projektant od najmanje 5 uzoraka, koje proizvođač izrađuje bez naplate. Materijal za izvedbu soboslikarsko-ličilačkih radova je naveden u stavkama troškovnika. Od primjenjenih se materijala traži da imaju prionjivost za podlogu, po mogućnosti da penetriraju u podlogu, da se njima jednostavno radi, da dobro "pokrivaju", da su im boje stalne, da su otporni na utjecaje sredine kojima su izloženi, da se ne brišu s ploha na koje su naneseni, da su bezopasni za okolinu, da se premazi njima mogu obnavljati bez posebnih prethodnika i sl.</t>
  </si>
  <si>
    <r>
      <t xml:space="preserve">Materijal koji će se upotrijebiti, pomoćni materijal, rad i pomoćni rad mora u svemu odgovarati standardima, propisima, Pravilniku o tehničkim mjerama i uvjetima za završne radove u građevinarstvu (Sl. list SFRJ 21/90) i </t>
    </r>
    <r>
      <rPr>
        <i/>
        <sz val="9"/>
        <rFont val="Calibri"/>
        <family val="2"/>
        <charset val="238"/>
      </rPr>
      <t xml:space="preserve">Tehničkim uvjetima za izvođenje ličilačkih radova HRN U.F2.O12/78. </t>
    </r>
    <r>
      <rPr>
        <sz val="9"/>
        <rFont val="Calibri"/>
        <family val="2"/>
        <charset val="238"/>
      </rPr>
      <t>Sav vezivni materijal, ljepila, materijal za brtvljenje i pomoćna sredstva prema HRN U.F1.011.</t>
    </r>
  </si>
  <si>
    <t xml:space="preserve">Sve radove treba izvoditi po izvedbenim nacrtima, opisima radova u troškovniku, te uputama projektanta i nadzornog inženjera. </t>
  </si>
  <si>
    <t xml:space="preserve">TROŠKOVNIK GRAĐEVINSKO OBRTNIČKIH RADOVA </t>
  </si>
  <si>
    <t>LIMARSKI RADOVI ukupno</t>
  </si>
  <si>
    <t>SADRŽAJ :</t>
  </si>
  <si>
    <t>PRIPREMNI RADOVI ukupno</t>
  </si>
  <si>
    <t>RUŠENJA I DEMONTAŽE ukupno</t>
  </si>
  <si>
    <t xml:space="preserve">OPĆI UVJETI </t>
  </si>
  <si>
    <t>OPĆI  OPIS  UZ  TROŠKOVNIK</t>
  </si>
  <si>
    <t>1.</t>
  </si>
  <si>
    <t>2.</t>
  </si>
  <si>
    <t>3.</t>
  </si>
  <si>
    <t>5.</t>
  </si>
  <si>
    <t>6.</t>
  </si>
  <si>
    <t>7.</t>
  </si>
  <si>
    <t>GRAĐEVINSKI RADOVI</t>
  </si>
  <si>
    <t>PRIPREMNI RADOVI</t>
  </si>
  <si>
    <t>LAZURNI PREMAZ
Vanjska stolarija zaštićuje se lazurnim premazima kojima prethodi zaštita fungicidno-insekticidnom impregnacijom (uglavnom na bazi uljne alkidne smole u organskim otapalima uz dodatke aktivnih tvari). Impregnacija i prvi sloj lazurnog premaza nanose se u tvornici / radionici potapanjem, drugi sloj lazurnog premaza na gradilištu nakon ugradnje i treći na gradilištu po završetku svih ličilačkih radova. Impregnacija i prvi premaz (potapanje) obavlja se bez okova i ostakljenja, a drugi i treći sa brtvama i ostakljenjem pri čemu vidljivi okov i staklo treba zaštititi ljepljivom trakom.</t>
  </si>
  <si>
    <t>Ličenje stolarije lazurnim bojama
1. impregnacija i fungicidni premazi (u radionici)
2. kitanje,
3. brušenje,
4. lazurni premazi,
5. brušenje,
6. završni premaz lazurom / lak – lazurom.</t>
  </si>
  <si>
    <t>Vrste lazura za unutarnje / vanjske prostore:
- lazure – za unutrašnje prostore (na bazi dugouljne alkidne smole u organskim otapalima uz dodatak svjetlosnih pigmenata)
- lak lazure – za unutrašnje i vanjske prostore (na bazi alkidnih smola u organskim otapalima uz dodatak svjetlosnih pigmenata, UV absorbera i specijalnih voskova / ili na bazi specijalne akrilatne smole, aditiva i vode uz dodatak vodoodbojnog sredstva)</t>
  </si>
  <si>
    <t>BRAVARIJA
Bravarija se liči u slijedećim fazama:
1. čišćenje (mehaničko – pjeskarenje ili kiselinama),
2. temeljni nalič - minij-alkidni / epoxy / akril
3. završni nalič - emajl-alkidni / poliuretan / akril
(trajnost: do 10 g. / do 20 g. / do 20 g.)
Samo unutarnja bravarija može se kitati autokitom nakon postave temeljnog naliča.</t>
  </si>
  <si>
    <t xml:space="preserve">Pripremni radovi koje je izvođač dužan izvesti bez posebnog iskaza troškova, a koji ulaze u cijenu zgrade kroz faktor nisu prikazani u posebnim stavkama troškovnika. Ovo se odnosi na izradu plana organizacije gradilišta, organizaciju prilaznih i privremenih puteva, staza, gradilišnih nastambi za radnike, upravu, skladišta, nadstrešnice, te privremene priključke i razvode vodovoda, elektrike, telefona i ostalih instalacija na gradilištu, a za potrebe funkcioniranja gradilišta, zatim čuvarske službe, uređenja skladišta, geodetsko snimanje visina i vanjskog terena, radove na osiguranju gradilišta i radnika, za obeštećenja na gradilištu, kao i štete naknade prema trećim osobama, osiguranje prostorija za nadzornu službu, kao i ostale radove koji po pravilu terete režiju uprave izvođača i koji se ne naplaćuju posebno.
</t>
  </si>
  <si>
    <t>Mjesto i datum:</t>
  </si>
  <si>
    <t xml:space="preserve">Svi materijali za izvedbu hidroizolaterskih radova moraju u pogledu kvalitete odgovarati priznatim tehničkim pravilima, a osobito:
</t>
  </si>
  <si>
    <t>Ukoliko ne postoje adekvatni standardi za materijale koji se ugrađuju, obavezno je pribaviti odgovarajući atest kao dokaz kvalitete.</t>
  </si>
  <si>
    <t>Jedinična cijena uključuje uzimanje mjera na gradilištu i definiranje ugradbenih dimenzija, tehnološku razradu svih detalja, izradu radioničkih nacrta, sav spojni materijal, sidrene ploče, mort za podlijevanje ležaja, zaštitu od korozije, postavu i skidanje radne skele, striktnu primjenu mjera zaštite od požara, sve posredne i neposredne troškove za rad, materijal, alat i građevinske strojeve, sve transporte, čišćenje tokom rada, odvoz i zbrinjavanje smeća, završno čišćenje prije primopredaje radova, nadoknadu eventualne štete nastale iz nepažnje na svojim ili tuđim radovima.</t>
  </si>
  <si>
    <t>LIMARSKI RADOVI</t>
  </si>
  <si>
    <t>GRAĐEVINSKI RADOVI UKUPNO:</t>
  </si>
  <si>
    <t xml:space="preserve">OBRTNIČKI RADOVI </t>
  </si>
  <si>
    <t>OBRTNIČKI RADOVI UKUPNO:</t>
  </si>
  <si>
    <t>A+B UKUPNO:</t>
  </si>
  <si>
    <t xml:space="preserve">A. GRAĐEVINSKI RADOVI / A.I. PRIPREMNI RADOVI </t>
  </si>
  <si>
    <t>Zbog specifičnosti zadatka - sanacija - sve stavke opisane su zidarskom mjerom. Zidarska mjera je razmak konstruktivnih elemenata. Modularna mjera je razmak modularnih ravnina koji je manji od zidarske mjere. Stolarska mjera je stvarna vanjska mjera stolarskog elementa koja treba biti manja od modularne mjere. Svjetla stolarska mjera koristi se kod vrata i označava čisti razmak između dovratnika, odnosno poda i nadvratnika. Razlika između zidarske i modularne mjere kod mokre gradnje treba biti 1 – 2 cm, a kod montažne može biti i 0,5. Razlika između modularne i stolarske mjere treba biti od 0,3 do 1 cm. Stvake su opisane zidarskim (građevinskim) mjerama.</t>
  </si>
  <si>
    <t>Izrada troškovnika:</t>
  </si>
  <si>
    <t>Kod obrade fasade plemenitom žbukom bila to šerana ili prskana (hirofa), žbuka mora biti kvalitetna, tvorničke izvedbe u izabranoj boji i kvaliteti. Kod izrade fasadnih žbuka raditi prema uputstvu proizvođača. Grebana se žbuka zove i šerana, a prskana hirofa.
Izrada strojne žbuke na zidovima:
na zidovima kuhinja i kupaonica izvodi se žbuka na bazi cementa, a u ostalim prostorijama na bazi gipsa. Prilikom izrade postavljaju se alu vodilice i kutne letvice. Stropovi nisu predviđeni za žbukanje. U cijenu stavke uključene su sve potrebne predradnje koje je potrebno izvršiti na AB zidovima i spojnim zidovima cigle i AB (premaz, impregnacija, bandažiranje) kao i sav potreban rad, materijal i radna skela.</t>
  </si>
  <si>
    <t xml:space="preserve">B. OBRTNIČKI RADOVI / B.I. LIMARSKI RADOVI </t>
  </si>
  <si>
    <t>B.III.</t>
  </si>
  <si>
    <t>IZOLATERSKI RADOVI</t>
  </si>
  <si>
    <t>Pri kalkulaciji ponuda ponuđač treba voditi računa o uvjetu investitora da zgrada za vrijeme radova mora biti u funkciji te da se radovi moraju planirati tako da se omogući boravak u svim dijelovima zgrade uz što manje i kraće poremećaje.</t>
  </si>
  <si>
    <t>U faktor ulaze i troškovi potrebnih ispitivanja materijala i konstrukcija te ishođenje atesta.</t>
  </si>
  <si>
    <t xml:space="preserve">- čišćenje reški                      </t>
  </si>
  <si>
    <t xml:space="preserve">- cementni špric 1:1 (HRN U.M2.010)   </t>
  </si>
  <si>
    <t xml:space="preserve">- gruba žbuka M-5 (HRN U.M2.010)      </t>
  </si>
  <si>
    <t xml:space="preserve">- fina žbuka istog sastava samo prosijani pijesak       </t>
  </si>
  <si>
    <t>A.IV.</t>
  </si>
  <si>
    <t>ZIDARSKI RADOVI</t>
  </si>
  <si>
    <t>Opći uvjeti su sastavni dio svake pojedine stavke. Sve što je navedeno u njima, a nije u pojedinačnom opisu stavke smatra se uključenim u jediničnu cijenu.</t>
  </si>
  <si>
    <t>EN 1015-7, zapreminska masa i poroznost svježeg morta
EN 1015-3, konzistencija svježeg morta
EN 1015-11, tlačna i savojna vlačna čvrstoča morta
EN 771-1, EN 772-1, EN 7723, EN 772-13, EN 772-16, HRN EN 14063-1:2008,
tlačna čvrstoća opeke, na mjestu primjene oblikovani proizvodi od lakoagregatne eksp. gline</t>
  </si>
  <si>
    <t>HRN EN 1008, HRN EN 13139;2003+AC;2006, voda i pijesak 
HRN EN 197-1:2003, cement
HRN EN 459-1:2001, vapno</t>
  </si>
  <si>
    <t>Svi upotrebljeni materijali za izvedbu zidarskih radova moraju odgovarati gore spomenutim standardima i HRN-u. Posebno se skreće pažnja da izvođač mora prije izvedbe izvršiti pregled podloge te prodora u zidu prema nacrtu u prisutnosti nadzornog inženjera, voditi računa o uzidavanju pojedinih građ. elemenata, te upisati napomenu u građevinski dnevnik, kako ne bi kasnije došlo do naknadnih radova. Navedene radnje uključene su u jediničnu cijenu.</t>
  </si>
  <si>
    <t>Prije uporabe određenih materijala treba predočiti nadzornom inženjeru atest o kakvoći i kvaliteti materijala. Ukoliko ne postoje adekvatni standardi za materijale koji se ugrađuju, obavezno je pribaviti odgovarajući atest kao dokaz kvalitete. Izvoditelj radova mora tijekom izvođenja radova stalno obavljati kontrolu kakvoće rada.</t>
  </si>
  <si>
    <t>Prilikom izvođenja zidova zgrada izvođač se mora pridržavati slijedećih mjera:
- zidanje se mora izvoditi sa pravilnim zidarskim vezovima, a preklop mora iznositi najmanje jednu četvrtinu dužine zidnog elementa,
- debljina ležajnica ne smije biti veća od 15 mm, a širina sudarnica ne smije biti manja od 10 mm niti veća od 15 mm,
- ako se zida za vrijeme zime treba zidove zaštiti od mraza,
- zidovi čije izvođenje nije završeno prije nastupanja zimskih mrazova moraju se zaštiti na odgovarajući način,
- svako naknadno bušenje ili izrada užljebina u zidovima zgrade koje nije bilo predviđeno projektom, može se izvoditi samo ako je prethodnim statičkim proračunom utvrđeno da nosivost zida poslije tog bušenja odnosno izrade žlijeba nije manja od propisane nosivosti.
- poprečni i uzdužni zidovi moraju na spoju biti međusobno povezani zidarskim vezom, tj. za pregradne zidove treba ispustiti zupce u masivnom zidu na svaki drugi red za ½ opeke.
- zidove uz vertikalni serklaž također zupčasto izvesti.
- vanjske fuge ostaviti prazne od 1,5 do 2 cm za vezu žbuke prigodom žbukanja zidova.
- za vrijeme zidanja opeku kvasiti vodom, a pri zidanju cementnim mortom opeka mora 
ležati u vodi neposredno prije zidanja
- reške dimnjaka i ventilacionih kanala zagladiti.
- prilikom zidanja pravovremeno ostaviti otvore prema zidarskim mjerama, 
voditi računa o uzidavanju pojedinih građevinskih elemenata, 
o ostavljanju žljebova za kanalizaciju, za centralno grijanje ako su ucrtani 
(ne plaća se posebno, ulazi u jediničnu cijenu)</t>
  </si>
  <si>
    <t>Posebno se ne naplaćuje ni zatvaranje (žbukanje šliceva, žljebova i sl.) iza položene instalacije.
Zazidavanje (zatvaranje) žljebova u zidovima ostavljenih za instalacije kanalizacije i grijanja nakon izvođenja tih instalacija, opekom, rabicom ili na drugi način, ne plaća se posebno, ukoliko troškovnikom nije posebno propisano. Obračun nosivih zidova, stupova i dimnjaka je zapreminski (m3), pregradnih zidova i žbuka površinski (m2).</t>
  </si>
  <si>
    <t>Žbukati tek kada se zidovi osuše i slegne zgrada. Ne smije se žbukati kad postoji opasnost od smrzavanja ili ekstremno visokih temperatura 30° ili više. Zidovi moraju biti prije žbukanja čisti, a fuge udubljene, da se žbuka može dobro primiti. Prije žbukanja dobro je da se zidovi navlaže, a osobito kod cementnog morta. Ukoliko na zidovima izbija salitra – treba ih četkom očistiti i oprati rastvorom solne kiseline u vodi (omjer 1:10) o trošku izvođača i dodavati sredstvo protiv izbijanja salitre u mort.</t>
  </si>
  <si>
    <t>Kod obrade fasade plemenitom žbukom bila to šerana ili prskana (hirofa), žbuka mora biti kvalitetna, tvorničke izvedbe u izabranoj boji i kvaliteti. Kod izrade fasadnih žbuka raditi prema uputstvu proizvođača. Grebana se žbuka zove i šerana, a prskana hirofa.</t>
  </si>
  <si>
    <t>Izrada strojne žbuke na zidovima:
na zidovima kuhinja i kupaonica izvodi se žbuka na bazi cementa, a u ostalim prostorijama na bazi gipsa. Prilikom izrade postavljaju se alu vodilice i kutne letvice. Stropovi nisu predviđeni za žbukanje. U cijenu stavke uključene su sve potrebne predradnje koje je potrebno izvršiti na AB zidovima i spojnim zidovima cigle i AB (premaz, impregnacija, bandažiranje) kao i sav potreban rad, materijal i radna skela.</t>
  </si>
  <si>
    <t xml:space="preserve">IZOLATERSKI RADOVI ukupno </t>
  </si>
  <si>
    <t xml:space="preserve">ZIDARSKI RADOVI ukupno </t>
  </si>
  <si>
    <t>Ukoliko se izvodi ventilirano pročelje, radove treba uskladiti s radovima na izvedbi ventiliranog pročelja i ugradnjom prozora i vrata u sklopu istog ventiliranog pročelja (vidi odgovarajuće grupe radova). To se odnosi kako na izvedbu detalja spojeva i potkonstrukcije te brtvljenja i kitanja (odnosno obrada spojeva), tako i na vremensko usklađenje izvođenja radova (koordinacija izvođenja). Potrebno je koordinirati svoje aktivnosti sa ostalim sudionicima u projektu a prema terminskom planu.</t>
  </si>
  <si>
    <t>1. Glavni projekt energetske obnove i pripadajući troškovnik temelje se na obavljenom uvidu na postojećoj zgradi. Slojevi konstrukcija definirani u postojećoj projektnoj tehničkoj dokumentaciji preuzeti su kao stvarno izvedeni. Nevidljivi slojevi konstrukcija, koji nisu definirani postojećom dokumentacijom, pretpostavljeni su temeljem dosadašnjeg iskustva prema vremenu gradnje zgrade. Prije izvedbe potrebno je izvršiti detaljni uvid na licu mjesta te utvrditi slojeve konstrukcije vizualnim ispitivanjem i otvaranjem konstrukcija koje se rekonstruiraju.</t>
  </si>
  <si>
    <t>4. U fazi izvedbe, zbog činjenice da se radi o obnovi (rekonstrukciji), a ne izgradnji nove zgrade, bit će potrebna dodatna razrada detalja izvedbe u suradnji s izvođačem radova, te ukoliko se nakon uklanjanja pojedinih slojeva i uvida u postojeće slojeve i stanje konstrukcije utvrdi odstupanje odnosno različitost u odnosu na postojeće stanje prikazano projektom obnove, potrebno je napraviti reviziju glavnog projekta. U slučaju nužnosti odstupanja od glavnog projekta prilikom izvođenja radova potrebno je izraditi izmjene i dopune glavnog projekta.</t>
  </si>
  <si>
    <t xml:space="preserve">Sastav i učvršćenja moraju biti tako izvedeni da elementi pri toplotnim promjenama mogu nesmetano dilatirati, a da pri tom ostanu nepropusni. Moraju se osigurati od oštećenja koje može izazvati vjetar i sl. Ispod lima koji se postavlja na beton, drvo ili žbuku treba postaviti sloj bitumenske ljepenke, čija su dobava i postava uključene u jediničnu cijenu ako u stavci nije opisano drugačije. Nakon obrade, može se ugraditi samo neoštećeni lim. </t>
  </si>
  <si>
    <t>Hrvoje Bilandžić, dipl. ing. arh.</t>
  </si>
  <si>
    <t xml:space="preserve">Čišćenje i raščišćavanje terena oko zgrade, a prije početka radova na rušenjima i demontaži. Stavka uključuje sva čišćenja od smeća i otpadnog materijala, kao i ostale nespecificirane radove, zajedno s utovarom, odvozom, istovarom i planiranjem otpadnog materijala na odlagalištu. </t>
  </si>
  <si>
    <t>m2</t>
  </si>
  <si>
    <t>A.III.</t>
  </si>
  <si>
    <t>hidroizolacijski premaz</t>
  </si>
  <si>
    <t>B.II.1.</t>
  </si>
  <si>
    <t xml:space="preserve">Ostale izvedbene detalje dogovoriti s projektantom.
U cijenu stavke uračunato je uzimanje mjera na licu mjesta, dobava i ugradnja. Obračun prema kompletno izvedenim i montiranim prozorima. </t>
  </si>
  <si>
    <t>Vanjska alu klupčica opisana je u limarskim radovima.</t>
  </si>
  <si>
    <t xml:space="preserve">HRN EN 13162:2012, tvornički izrađeni proizvodi od mineralne vune (MW)
HRN EN 13163:2012, tvornički izrađeni proizvodi od ekspandiranog polistirena (ESP)
HRN EN 13164:2012, tvornički izrađeni proizvodi od ekstrudirane polistirenske pjene (XPS)
HRN EN 13165:2012, tvornički izrađeni proizvodi od tvrde poliuretanske pjene (PUR)
HRN EN 13166:2012, tvornički izrađeni proizvodi od fenolne pjene (PF) 
HRN EN 13167:2012, tvornički izrađeni proizvodi od ćelijastog (pjenastog) stakla (CG) 
HRN EN 13168:2012, tvornički izrađeni proizvodi od drvene vune (WW) 
HRN EN 13169:2012, tvornički izrađeni proizvodi od ekspandiranog perlita (EPB) 
HRN EN 13170:2012, tvornički izrađeni proizvodi od ekspandiranog pluta (ICB)
HRN EN 13171:2012, tvornički izrađeni proizvodi od drvenih vlakana (WF) -- Specifikacija (EN 13171:2008)
ETAG 004, 03/00, 06/08,  EXTERNAL THERMAL INSULATION COMPOSITE SYSTEMS WITH RENDERING
ETAG 014, 01/02, 12/08, 02/11, PLASTIC ANCHORS FOR FIXING OF EXTERNAL THERMAL INSULATION COMPOSITE SYSTEMS WITH RENDERINGS
HRN EN 13499:2004, povezani sustavi za vanjsku toplinsku izolaciju (ETICS) na osnovi EPS 
HRN EN 13500:2004, povezani sustavi za vanjsku toplinsku izolaciju (ETICS) na osnovi MW
HRN EN 13172:2012, toplinsko - izoalcijski proizvodi, vrednovanje sukladnosti
HRN EN 13495, toplinsko-izolacijski proizvodi za primjenu u zgradarstvu - određivanje otpornosti na čupanje povezanih sustava za vanjsku toplinsku izolaciju (ETICS)
HRN DIN 18 516, ventilirane fasade
HRN EN 13501-1, razredba građevnih proizvoda i građevnih elemenata prema ponašanju u požaru
HRN EN 998-1, specifikacija morta za ziđe
HRN EN 15824, specifikacije za vanjske i unutarnje žbuke  na osnovi organskih veziva
HRN EN 1991-1-4: Eurocod 1 - Djelovanja na konstrukcije - Dio 1-4: Opća djelovanja - Djelovanja vjetra - nacionalni dodatak
</t>
  </si>
  <si>
    <t>U cijenu su uključeni svi potrebni profili za žbukanje i profili za pročelje, alu i/ili PVC kutnici (s mrežicom), sokl profili, okapni profili na nadvojima otvora, ojačanja za rubove, otvore, uglove i dr., te brtvljenje spojeva pročelja i vanjske stolarije i bravarije brtvom Sd=0,50.</t>
  </si>
  <si>
    <t xml:space="preserve"> žbuka</t>
  </si>
  <si>
    <t>teren oko zgrade</t>
  </si>
  <si>
    <t>Sve mjere obavezno je provjeriti na licu mjesta prije izrade stolarije.</t>
  </si>
  <si>
    <t>Miljenko Kukić, dipl. ing. arh.</t>
  </si>
  <si>
    <t>S.P.A.C.E. d.o.o.</t>
  </si>
  <si>
    <t xml:space="preserve">Miljenko Kukić, direktor   
</t>
  </si>
  <si>
    <t xml:space="preserve">1. TROŠKOVNIK  GRAĐEVINSKO - OBRTNIČKIH  RADOVA </t>
  </si>
  <si>
    <t xml:space="preserve">TROŠKOVNIK  GRAĐEVINSKO - OBRTNIČKIH  RADOVA 
</t>
  </si>
  <si>
    <t xml:space="preserve">Priprema gradilišta koja uključuje zaštitu zgrade na način da tijekom radova ne dođe do oštećenja iste, osiguranje koridora za prolaz korisnika zgrade i njegova zaštita od šute i prašine te osiguranje okoline kojom se sprečava prilaz nezaposlenima tijekom radova. Sav prostor za vrijeme i nakon rušenja i demontaža, te prilikom izvođenja novih konstrukcija zaštititi od vremenskih nepogoda  (vlaženja, prokišnjavanja, rashlađivanja) te osigurati i zaštititi od ostalih uvjeta koji bi mogli ometati izvođenje radova vezanih za postojeće instalacije (vodovod, odvodnja, grijanje, ventilacija, elektrika, plin i drugo). Sve radove treba izvoditi sukladno propisanim higijensko tehničkim mjerama zaštite na radu, tj. paziti na rad strojeva i alata, predvidjeti moguća urušavanja te postaviti i održavati zaštitne oplate, ograde i skele, postaviti znakove upozorenja na opasnosti te zaštititi  fizičke osobe i zgradu tijekom izvođenja radova. </t>
  </si>
  <si>
    <t>Demontaža postojećih prozora i vrata</t>
  </si>
  <si>
    <t>A.II.</t>
  </si>
  <si>
    <t>m'</t>
  </si>
  <si>
    <t xml:space="preserve">HRN EN 13162:2012, tvornički izrađeni proizvodi od mineralne vune (MW)
HRN EN 13163:2012, tvornički izrađeni proizvodi od ekspandiranog polistirena (EPS)
HRN EN 13164:2012, tvornički izrađeni proizvodi od ekstrudirane polistirenske pjene (XPS)
HRN EN 13165:2012, tvornički izrađeni proizvodi od tvrde poliuretanske pjene (PUR)
ETAG 004, 03/00, 06/08,  EXTERNAL THERMAL INSULATION COMPOSITE SYSTEMS WITH RENDERING
HRN EN 13499:2004, povezani sustavi za vanjsku toplinsku izolaciju (ETICS) na osnovi EPS 
HRN EN 13500:2004, povezani sustavi za vanjsku toplinsku izolaciju (ETICS) na osnovi MW
HRN EN 13172:2012, vrednovanje sukladnosti
HRN EN 29052-1 (ISO 9052-1; EN 29052-1), materijali koji se upotrebljavaju u stanovima ispod plivajućih podova </t>
  </si>
  <si>
    <t>toplinska izolacija (XPS) d=2,0 cm</t>
  </si>
  <si>
    <t>Okapnica na parapetima prozora</t>
  </si>
  <si>
    <t>Sav rad, sve komunikacije i sav transport vrši se isključivo sa vanjske strane građevine, tj. preko skele. Zidarsko-fasaderski radovi se izvode na dobro očišćenoj i otprašenoj površini zida te ih treba izvoditi samo u povoljnim vremenskim uvjetima, uz odgovarajuće osiguranje i zaštitu svježe ožbukanih površina od štetnog utjecaja djelovanja sunca i oborina. Sve detalje izvedbe na pročelju potrebno je dogovoriti i na njih ishoditi suglasnost nadzornog inženjera, a prije pristupanja izvedbi radova. Obračun svih radova vršiti se kako je to naznačeno u opisu stavke.</t>
  </si>
  <si>
    <t>Stijena grijanog prostora</t>
  </si>
  <si>
    <t>Izvesti prema shemi stolarije.</t>
  </si>
  <si>
    <t xml:space="preserve">B. OBRTNIČKI RADOVI / B.III. ZAVRŠNI ZIDARSKO - FASADERSKI RADOVI </t>
  </si>
  <si>
    <t xml:space="preserve">Vanjski zidovi, MV=15 cm </t>
  </si>
  <si>
    <t>Doprema, montaža, demontaža i otprema cijevne skele. Skela mora biti izvedena prema pravilima struke i važećim mjerama zaštite na radu i osiguranjima. U stavku su uključene radne platforme i zaštitne ograde, sva potrebna ukrućenja i sidrenja. Cijenom je obuhvaćena dobava i postava na vanjski dio skele, jutenih ili plastificiranih traka kao zaštita od pada predmeta, prašenja i sl. Trake se međusobno vežu i fiksiraju na nosivu konstrukciju skele. Prije izvedbe skele izvođač je dužan izraditi projekt i statički proračun skele sa svim mjerama zaštite radnika. Obračun po m² skele visine 1,0 m iznad gornjeg ruba krova.</t>
  </si>
  <si>
    <t>Najam i postava cijevne skele</t>
  </si>
  <si>
    <t xml:space="preserve">B. OBRTNIČKI RADOVI / B.IV. SOBOSLIKARSKO-LIČILAČKI RADOVI </t>
  </si>
  <si>
    <t>Sva bojanja i ličenja treba izvesti samo na suhim, čistim, ravnim ili ravnomjerno zakrivljenim (po projektu) i odmašćenim plohama. Podlogu treba prije početka radova pregledati i kod većih oštećenja ili zaprljanja i zamašćenja na isto upozoriti nadzornog inženjera i radove prekinuti dok se podloga odgovarajuće ne pripremi. Kod manjih oštećenja treba izvoditelj podlogu dovesti u potrebno stanje za kvalitetan rad brušenjem manjih neravnina, kitanjem i zapunjavanjem pukotina i manjih udubina kitom za zapunjavanje i izravnanje. Nakon toga treba obavezno izvesti gletanje odgovarajućom glet masom za određeni tip podloge do potrebne glatkoće, ako nije u stavci troškovnika drugačije navedeno. Sve gore navedeno treba uračunati u jediničnu cijenu.</t>
  </si>
  <si>
    <t>Vrste boja za unutarnje / vanjske prostore:
- vapno – zastarjela tehnologija koja se danas uglavnom više ne primjenjuje
- uljena boja – zastarjela tehnologija koja se danas uglavnom više ne primjenjuje
- disperzivne - disperzije bazirane na polimernim vezivima, kao npr. akrilna smola, silikatne, silikonske...
- disperzivne latex -disperzije na bazi vinilacetatnog polimera, izuzetno čvrste i otporne na pranje / ribanje
- dekorativne stucco boje - na bazi gašenog vapna i finih zrnaca mramornog praha sa specijalnim aditivima</t>
  </si>
  <si>
    <t>ZAVRŠNI ZIDARSKO - FASADERSKI RADOVI</t>
  </si>
  <si>
    <t>Unutrašnji zidovi prostorija prvo se izravnavaju, gletaju specijalnim postavama koje moraju dobro prilijegati na podlogu i nakon sušenja činiti vrlo čvrstu podlogu za bojanje disperzivnim bojama. 
U obračunu su posebno iskazane žbukane / betonske površine od gipskartonskih površina.
Grundiranje površine izvodi se i obračunava za cijelu površinu podloga od gipskartonskih ploča.
Kvaliteta kitanja i ličenja kontrolira se noću ili u zamračenoj prostoriji reflektorom prislonjenim uz plohu zida odnosno stropa. Kod ličenja vanjskih zidova treba se izbjegavati faza kitanja (2), a nikako ne predviđati fazu gletanja (3).</t>
  </si>
  <si>
    <t>Investitor ima pravo na kontrolu kvalitete materijala kojim se radovi izvode. Ustanovi li da taj materijal ne odgovara propisanoj kvaliteti izvođač radova dužan je odstraniti lošu izvedbu i na vlastiti trošak izvesti radove sa kvalitetnim materijalom. O ispravnosti izvedenih površina mjerodavna je izjava nadzornog inženjera.</t>
  </si>
  <si>
    <t>toplinska izolacija zidova pročelja (mv) d=15 cm</t>
  </si>
  <si>
    <t xml:space="preserve">3. Grafički dio (nacrti), tekstualni dio (opći i tehnički),  kao i Program kontrole i osiguranja kvalitete dijelovi su arhitektonskog glavnog projekta, koji zajedno s pripadajućim troškovnikom čine cjelinu arhitektonskog projekta energetske obnove zgrade. Projektom energetske obnove dani su osnovni detalji izvedbe. </t>
  </si>
  <si>
    <t>9. Izvođač će prilikom uvođenja u posao preuzeti nekretninu i obavijestiti nadležne službe o otvaranju gradilišta i početku radova. Od tog trenutka pa do primopredaje zgrade, izvođač je odgovoran za stvari i osobe koje se nalaze unutar gradilišta. Od ulaska na gradilište izvođač je obavezan voditi građevinski dnevnik u kojem bilježi opis radnih procesa i građevinsku knjigu u kojoj bilježi i dokumentira mjerenja, sve faze izvršenog posla prema stavkama troškovnika i projektu. Izvođač će na gradilištu čuvati građevnu dozvolu ukoliko je to zakonom određeno, glavni i izvedbeni projekt i dati ih na uvid ovlaštenim inspekcijskim službama.</t>
  </si>
  <si>
    <t>10. Izvođač će ugraditi projektom predviđen i prema hrvatskim normama atestiran materijal. Sve radove izvesti će od kvalitetnog materijala prema opisu, detaljima, pismenim naređenjima, ali sve u okviru ponuđene jedinične cijene. Svi nekvalitetni radovi imaju se otkloniti i zamijeniti ispravnima, bez bilo kakve odštete od strane investitora.</t>
  </si>
  <si>
    <r>
      <t xml:space="preserve">11. Klasifikacija materijala prema gorivosti određena je normama </t>
    </r>
    <r>
      <rPr>
        <i/>
        <sz val="9"/>
        <rFont val="Calibri"/>
        <family val="2"/>
        <charset val="238"/>
      </rPr>
      <t xml:space="preserve">HRN EN 13501-1 </t>
    </r>
    <r>
      <rPr>
        <sz val="9"/>
        <rFont val="Calibri"/>
        <family val="2"/>
        <charset val="238"/>
      </rPr>
      <t xml:space="preserve">i </t>
    </r>
    <r>
      <rPr>
        <i/>
        <sz val="9"/>
        <rFont val="Calibri"/>
        <family val="2"/>
        <charset val="238"/>
      </rPr>
      <t>HRN EN 13501-5</t>
    </r>
    <r>
      <rPr>
        <sz val="9"/>
        <rFont val="Calibri"/>
        <family val="2"/>
        <charset val="238"/>
      </rPr>
      <t xml:space="preserve">, dok se ispitivanja vrše prema hrvatskim normama (HRN) koje se odnose na ispitivanju otpornosti na požar, a koje su navedene Pravilnikom i prema </t>
    </r>
    <r>
      <rPr>
        <i/>
        <sz val="9"/>
        <rFont val="Calibri"/>
        <family val="2"/>
        <charset val="238"/>
      </rPr>
      <t>ETAG 004, 03/00, 06/08.</t>
    </r>
  </si>
  <si>
    <t>12. Izvođač će prema projektom određenom planu ispitivanja materijala, kontrolirati ugrađeni konstruktivni materijal.</t>
  </si>
  <si>
    <t>13. Za instalacijske sustave izvođač će, osim atesta o kvaliteti ugrađenih materijala, dati i ateste za instalacijske sustave. Izvođač će naročitu pažnju posvetiti usklađenju građevinskih i instalaterskih nacrta i radova. Ukoliko ustanovi razlike u mjerama, nedostatke ili neusklađenost dužan je o tome pravovremeno obavijestiti nadzornog inženjera.</t>
  </si>
  <si>
    <t>14. Izvođač je dužan prije narudžbe pojedinih materijala dostaviti projektantu uzorke radi odabira vrste, kvalitete i finalne obrade istih.</t>
  </si>
  <si>
    <t>6. Preporuka projektanta je izvođenje cjelovitog rješenja energetske obnove zgrade iz sljedećih razloga: 
1. tehnički ispravno izvođenje detalja,
2. tehnički ispravan redoslijed izvođenja radova,
3. suzbijanje selektivnih intervencija na pročeljima zgrade,
4. zaštita arhitektonskog djela u smislu estetske i tehničke cjelovitosti oblikovanja, 
5. očuvanje i unapređenje bitnih zahtjeva građevine,
6. ušteda sredstava i vremena (u slučaju fazne gradnje pojedini radovi se umnožavaju, kao što su postava skele, limarski radovi i sl.),
7. ostvarivanje tržišnih popusta (cijena pojedinačnog proizvoda manja je što je količina veća),
8. integralna rješenja podupiru se bespovratnim sredstvima Fonda za zaštitu okoliša i energetsku učinkovitost.
U slučaju nužnosti odstupanja od glavnog projekta prilikom izvođenja radova potrebno je izraditi izmjene i dopune glavnog projekta te ih uskladiti zahtjevima korisnika sukladno pravilima dobrog zanata i inženjerske etike. 
U slučaju fazne izgradnje predlaže se tehnički ispravan slijed radova i to:
1. rekonstrukcija ostakljenih konstrukcija vanjske ovojnice grijanih prostora, 
2. rekonstrukcija ostakljenih konstrukcija vanjske ovojnice negrijanih prostora, 
3. rekonstrukcija ravnog neprohodnog krova, 
4. rekonstrukcija zidova pročelja.</t>
  </si>
  <si>
    <t>A. GRAĐEVINSKI RADOVI / A.II. RUŠENJA I DEMONTAŽE</t>
  </si>
  <si>
    <t xml:space="preserve">Prva faza žbukanja je bacanje grubog šprica (oštri pijesak, cement, voda) i to zidarskom žlicom, a ne tavom. Na grubi špric bacati grubu žbuku kojom se definira ravnina žbukane plohe. Fina žbuka služi samo za zaglađivanje površina. Treba je izraditi tako da površine budu posve ravne i glatke, a uglovi i bridovi, te spojevi zida i stropa izvedeni oštro ukoliko u troškovniku nije drugačije označeno. Rabiciranje žbuke izvodi se pomoću tekstilno staklene mrežice otporne na alkalije ili sitno pletene mreže od nehrđajućeg čelika. </t>
  </si>
  <si>
    <t>Prilikom izrade fasadnih skela potrebno se je pridržavati propisa zaštite na radu po pitanjima radnih ploha, zaštitnih ograda i prilaza. Materijal za izradu skela mora biti potpuno ispravan. Odgovorna osoba dužna je izvršiti pregled materijala prije ugradnje. Skele moraju biti izvedene po mjerama i na način označen u statičkom računu i nacrtima za skele. Izvedene skele moraju biti sposobne podnijeti predviđeno opterećenje i moraju biti stabilne. Fasadne skele obračunavaju se po m2 projekcije skele u ravnini pročelja, mjereno po vanjskom rubu i 1 m′ nad najvišom površinom.</t>
  </si>
  <si>
    <t>Jedinična cijena uključuje sve pripremne i završne radove, tehnološku razradu svih detalja, postavu i skidanje radne skele, sve posredne i neposredne troškove za rad, materijal, alat i građevinske, ispiranje i otprašivanje površine zida, sav otežani rad na izvedbi, zaštitu izvedenog dijela pročelja, zaštitu PVC građ. folijom prozorskih stakala, sav potrebni horizontalni i vertikalni prijevoz kao i prijevoz do gradilišta, čišćenje tokom rada, odvoz i zbrinjavanje smeća, završno čišćenje prije primopredaje radova, nadoknadu eventualne štete nastale iz nepažnje na svojim ili tuđim radovima, usklađenje organizacije rada s operativnim planom, primjenu svih mjera zaštite na radu.</t>
  </si>
  <si>
    <t>Sve kuteve i bridove učvrstiti kutnim profilima.Sve spojeve različitih materijala potrebno je rabicirati rabic pletivom. Kod popravaka  postojeće žbuke, za zapunjavanje otvora, reški i šliceva upotrijebiti prikladan materijal što je uključeno u stavku. Obračun za kompletan rad, materijal i radnu skelu.</t>
  </si>
  <si>
    <t xml:space="preserve">A. GRAĐEVINSKI RADOVI / A.IV. IZOLATERSKI RADOVI </t>
  </si>
  <si>
    <t>TERMOIZOLACIJA</t>
  </si>
  <si>
    <t xml:space="preserve">Prilikom ugradnje ploča mineralne (kamene) vune kod prohodnih krovova potrebno je pridržavati se sljedećeg:
Obavezna je primjena drenažnih slojeva (geotekstila ili sl.) iznad  sloja hidroizolacije. Obavezna je primjena armaturnih mreža nosivih u oba smjera u  vlažnoj zoni armirano-betonske ploče (ili estriha), kao nosivih slojeva završne obloge. </t>
  </si>
  <si>
    <t>Izvođač je dužan prije početka radova predočiti projektantu detalje izvedbe i savijanja limova. Tek po odobrenju i nakon ovjere istih od strane projektanta izvođač može pristupiti izvedbi radova. Izvođač je dužan prije početka radova provjeriti sve građevinske elemente na koje, ili za koje se pričvršćuje limarija i pismeno dostaviti naručitelju svoje primjedbe u vezi eventualnih nedostataka posebno u slučaju: neodgovarajućeg izbora projektiranog materijala i loše riješenog načina vezivanja limarije za građevinske radove. Izrada rješenja neće se posebno platiti već predstavlja trošak i obvezu izvođača. Prilikom izvođenja limarije izvođač se mora striktno pridržavati usvojenih i od strane projektanta ovjerenih detalja. Izvođač će pristupiti izvedbi tek nakon što projektant potpisom potvrdi radioničke nacrte i tehnološku razradu svih detalja.</t>
  </si>
  <si>
    <t xml:space="preserve">Cijenom izvedbe radova treba obvezno uključiti sve materijale koji se ugrađuju i koriste (osnovne i pomoćne materijale), sav potreban rad (osnovni i pomoćni) na izvedbi radova do potpune gotovosti i funkcionalnosti istih, sve transporte i prijenose do i na gradilištu sve do mjesta ugradnje, sva potrebna skladištenja i zaštite, sav alat i građevinske strojeve, čišćenje tokom rada, odvoz i zbrinjavanje smeća, završno čišćenje prije primopredaje radova, nadoknadu eventualne štete nastale iz nepažnje na svojim ili tuđim radovima, sve potrebne zaštitne konstrukcije i skele, kao i sve drugo predviđeno mjerama zaštite na radu i pravilima struke. U cijeni treba također uključiti izvedbu i obradu raznih detalja limarije kod spojeva, prijelaza, lomova i sudara ploha, završetaka limarije i drugo, sve obvezno usklađeno sa drugim različitim materijalima i radovima uz limariju, do potpune gotovosti i funkcionalnosti.
</t>
  </si>
  <si>
    <t>Jedinična cijena uključuje uzimanje mjera na gradilištu i definiranje ugradbenih dimenzija, tehnološku razradu svih detalja, pripremu podloga, izradu radioničkih nacrta, sav spojni materijal, sve posredne i neposredne troškove za rad, materijal, sva manja potrebna usijecanja utora nužna za ugradnju i savijanje lima i izvedbu detalja, kao i sva sitnija usijecanja ploha te potrebne popravke i zapunjavanja nastalih međuprostora i pukotina cem. mortom.</t>
  </si>
  <si>
    <t>Žbukati tek kada se zidovi osuše i slegne zgrada. Ne smije se žbukati kad postoji opasnost od smrzavanja ili ekstremno visokih temperatura 30° ili više. Zidovi moraju biti prije žbukanja čisti, a fuge udubljene, da se žbuka može dobro primiti. Prije žbukanja dobro je da se zidovi navlaže, a osobito kod cementnog morta. Ukoliko na zidovima izbija salitra – treba ih četkom očistiti i oprati rastvorom solne kiseline u vodi (omjer 1:10) o trošku izvođača i dodavati sredstvo protiv izbijanja salitre u mort. Prva faza žbukanja je bacanje grubog šprica (oštri pijesak, cement, voda) i to zidarskom žlicom, a ne tavom. Na grubi špric bacati grubu žbuku kojom se definira ravnina žbukane plohe. Fina žbuka služi samo za zaglađivanje površina. Treba je izraditi tako da površine budu posve ravne i glatke, a uglovi i bridovi, te spojevi zida i stropa izvedeni oštro ukoliko u troškovniku nije drugačije označeno. Rabiciranje žbuke izvodi se pomoću tekstilno staklene mrežice otporne na alkalije ili sitno pletene mreže od nehrđajućeg čelika.</t>
  </si>
  <si>
    <r>
      <t xml:space="preserve">ETICS (the external thermal insulation composite system), odnosno povezani sustav za vanjsku toplinsku izolaciju sastoji se od ljepila, toplinske izolacije (EPS, mineralna vuna), polimercementne armirane žbuke, impregnacijskog premaza i završne žbuke u odabranoj boji i teksturi (silikatna, akrilna, silikonska). ETICS sustav treba izvoditi komponentama jednog, odabranog sustava. Kod ugradnje svih komponenti pridržavati se uputa proizvođača (način ugradnje, sušenje). Pri izvedbi ETICS-a, odnosno povezanog sustava za vanjsku toplinsku izolaciju potrebno je pridržavati se Smjernica za izradu ETICS sustava (HUPFAS). 
Izbor pričvrsnica mora odgovarati kategoriji opterećenja za postojeću podlogu u skladu sa smjernicom ETAG 014. Svaka pričvrsnica koja se koristi treba imati dokaz uporabljivosti u skladu s europskom smjernicom ETAG 014 prema kojoj treba biti izdana tehnička ocjena. Ako podloga ne odgovara niti jednoj kategoriji prema ETAG 014, potrebno je izvesti ispitivanje nosivosti pričvrsnice na gradilištu (pull-off) test. Tip i broj pričvrsnica po m² određuje se na temelju proračuna negativnih tlakova u skladu s važećom hrvatskom normom HRN EN 1991-1-4:2012/NA: 2012: Eurokod 1- Djelovanja na konstrukcije – dio 1-4: Opća djelovanja – Djelovanja vjetra – nacionalni dodatak i nosivosti pričvrsnice na postojećoj podlozi. Norma vrijedi za zgrade visine do 22 m, omjera visine i manje strane objekta h/d≤2, nadmorske visine do 500 mnm, te nazivne brzine vjetra do vref,0 35 m/s. Za sve ostale slučajeve obavezno je izraditi proračun broja pričvrsnica u skladu s važećim hrvatskim tehničkim propisima. Duljinu pričvrsnica je potrebno odrediti na način da se osigura, od proizvođača propisana, dubina sidrenja. Pričvrsnice ne smiju biti sidrene u žbuku, već isključivo u nosivu podlogu (beton, opeka). Lijepljenje toplinske izolacije na podlogu treba vršiti na način kako je to opisano  u nacionalnim Smjernicama za izradu ETICS sustava (HUPFAS-a). Pričvrsnica može efikasno pružiti negativno opterećenje vjetrom jedino ako se ispod nje nalazi sloj ljepila.
Temeljem važeće hrvatske i europske građevne regulative svi su ponuđači sustava dužni nuditi kompletni toplinsko - izolacijski sustav za koji je proveden postupak ocijenjivanja sukladnosti i izdane isprave o sukladnosti u skladu s odredbama </t>
    </r>
    <r>
      <rPr>
        <i/>
        <sz val="9"/>
        <rFont val="Calibri"/>
        <family val="2"/>
        <charset val="238"/>
      </rPr>
      <t>Pravilnika za ocijenjivanje sukladnosti, isprave o sukladnosti i označavanje građevnih proizvoda (NN 103/08, 147/09, 87/10, 129/11)</t>
    </r>
    <r>
      <rPr>
        <sz val="9"/>
        <rFont val="Calibri"/>
        <family val="2"/>
        <charset val="238"/>
      </rPr>
      <t>. Izvođači su dužni iste ugraditi prema tehničkoj uputi proizvođača i smjernicama HUPFAS-a te kontrolirati jesu li proizvodi koji su isporučeni na gradilište dio sustava. Izvođač sustava i nadzorni inženjer na gradilištu obavezni su kontrolirati jesu li isporučeni elementi odgovarajućeg sustava za koji je proveden postupak ocjenjivanja sukladnosti u skladu s važećim zakonima i propisima, te na gradilištu imati svu pripadajuću dokumentaciju (tehničke upute, potvrde, izjave o sukladnosti i dr.).</t>
    </r>
  </si>
  <si>
    <t>Prilikom izrade fasadnih skela potrebno se je pridržavati propisa zaštite na radu po pitanjima radnih ploha, zaštitnih ograda i prilaza. Materijal za izradu skela mora biti potpuno ispravan. Odgovorna osoba dužna je izvršiti pregled materijala prije ugradnje. Skele moraju biti izvedene po mjerama i na način označen u statičkom računu i nacrtima za skele. Izvedene skele moraju biti sposobne podnijeti predviđeno opterećenje i moraju biti stabilne. Fasadne skele obračunavaju se po m² projekcije skele u ravnini pročelja, mjereno po vanjskom rubu i 1 m′ nad najvišom površinom.</t>
  </si>
  <si>
    <t>Dok radovi traju, izvođač je dužan zaštititi od oštećenja ili prljanja sve ostale građevinske dijelove i opremu (podove, stakla, vrata i sl.).</t>
  </si>
  <si>
    <t>Površine na koje se polaže izolacija trebaju biti posve ravne, očišćene od prašine ili drugih nečistoća, dovoljno glatke da izolacija dobro prione uz podlogu. Toplinsku ili zvučnu izolaciju potrebno je izvesti kontinuirano bez fuga kako bi se spriječili toplinski ili zvučni mostovi. Horizontalna ili vertikalna izolacija podova ili zidova treba prilegnuti uz površinu ravno, bez nabora ili mjehura. Sve spojeve PE ili PVC traka ili folija treba spajati samoljepivom trakom širine min 4 cm ili po detalju izolacije. U cijenu također treba uključiti obradu slojeva izolacije i  izvedbu holkera oko raznih prodora kroz slojeve izolacije (instalacije), kao i ugradnje završnih profila, putz lajsni i sl.</t>
  </si>
  <si>
    <t xml:space="preserve">Sav rad, sve komunikacije i sav transport vrši se isključivo s vanjske strane građevine, tj. preko skele. Zidarsko-fasaderski radovi se izvode na dobro očišćenoj i otprašenoj površini zida te ih treba izvoditi samo u povoljnim vremenskim uvjetima, uz odgovarajuće osiguranje i zaštitu svježe ožbukanih površina od štetnog utjecaja djelovanja sunca i oborina. Sve detalje izvedbe na pročelju potrebno je dogovoriti i na njih ishoditi suglasnost nadzornog inženjera, a prije pristupanja izvedbi radova. Obračun svih radova vršiti će se kako je to naznačeno u opisu stavke.
</t>
  </si>
  <si>
    <t>Jedinična cijena treba obuhvatiti:
- bojanje u više boja prema izboru projektanta
- sav materijal, dobavu, izradu i dopremu alata, mehanizaciju i uskladištenje
- troškove radne snage za kompletan rad opisan u troškovniku
- sve horizontalne i vertikalne transporte do mjesta montaže
- potrebnu radnu skelu (izuzima se fasadna skela)
- čišćenje nakon završetka radova
- svu štetu kao i troškove popravka kao posljedica nepažnje u toku izvedbe
- troškove zaštite na radu
- troškove atesta
- zaštitu okolnih konstrukcija od prljanja
- čišćenje po završenom radu uključivo odvoz viška materijala na gradsku deponiju</t>
  </si>
  <si>
    <t>toplinska izolacija zidova pročelja (XPS) d=15 cm</t>
  </si>
  <si>
    <t>Demontaža i ponovna montaža elemenata na pročelju</t>
  </si>
  <si>
    <t>A. GRAĐEVINSKI RADOVI / A.III. ZIDARSKI RADOVI</t>
  </si>
  <si>
    <t>Svi materijali za izvedbu termoizolaterskih radova moraju u pogledu kvalitete odgovarati HRN EN na koje upućuju priznata tehnička pravila koji se odnose na specifikacije građevnih proizvoda HRN U.M9.015 (mineralna vuna) i HRN G.C7.202 (lake ploče za termoizolaciju).</t>
  </si>
  <si>
    <t>m3</t>
  </si>
  <si>
    <r>
      <t xml:space="preserve">Kod obračuna toplinske izolacije i završne žbuke (armirana polimercementna žbuka, impregnacijski premaz i završna žbuka) otvori se odbijaju u čitavoj površini, dok se špalete iskazuju zasebno u metrima dužnim. </t>
    </r>
    <r>
      <rPr>
        <b/>
        <sz val="9"/>
        <rFont val="Calibri"/>
        <family val="2"/>
        <charset val="238"/>
      </rPr>
      <t>Kod obračuna se NE koristi građevinska norma GN 421.</t>
    </r>
  </si>
  <si>
    <t>PRIPREMNI RADOVI UKUPNO:</t>
  </si>
  <si>
    <t>RUŠENJA I DEMONTAŽE UKUPNO:</t>
  </si>
  <si>
    <t>ZIDARSKI RADOVI UKUPNO:</t>
  </si>
  <si>
    <t>IZOLATERSKI RADOVI UKUPNO:</t>
  </si>
  <si>
    <t xml:space="preserve">Prozori i vrata ugrađuju se u građevinski pripremljeni i obrađeni otvor u AB zidu ili zidu od blok opeka pomoću vijaka primjerenih za ovakvu vrstu montaže. U cijenu je uključen sav potreban rubni opšav (vanjski i unutarnji), vanjska hidroizolacija - paropropusna i vodonepropusna folija, unutarnja - paronepropusna folija (parna brana), toplinska izolacija te sav pričvrsni pribor. Kod ugradnje stolarije potrebno je obraditi i toplinski izolirati špalete otvora sa slojem toplinske izolacije minimalno 4 cm (obrađeno u Završnim zidarsko fasaderskim radovima). </t>
  </si>
  <si>
    <t>LIMARSKI RADOVI UKUPNO:</t>
  </si>
  <si>
    <t>SOBOSLIKARSKO LIČILAČKI RADOVI UKUPNO:</t>
  </si>
  <si>
    <t>ZAVRŠNI ZIDARSKO FASADERSKI RADOVI UKUPNO:</t>
  </si>
  <si>
    <r>
      <t>Stavkom je obuhvaćeno žbukanje zidova od opeke</t>
    </r>
    <r>
      <rPr>
        <sz val="9"/>
        <rFont val="Calibri"/>
        <family val="2"/>
        <charset val="238"/>
      </rPr>
      <t xml:space="preserve"> i armiranog betona, produžnim mortom M-25 (1:2:6; 1800kg/m</t>
    </r>
    <r>
      <rPr>
        <sz val="9"/>
        <rFont val="Arial"/>
        <family val="2"/>
        <charset val="238"/>
      </rPr>
      <t>³</t>
    </r>
    <r>
      <rPr>
        <sz val="9"/>
        <rFont val="Calibri"/>
        <family val="2"/>
        <charset val="238"/>
      </rPr>
      <t xml:space="preserve">, HRN U.M2.012), a u sanitarijama cementnom žbukom (1:3; HRN U.M2.010). Žbuku izvesti potpuno ravnu, s ravnim bridovima, oštrim i zaštićenim limenim kutnicima. Stavka uključuje:   </t>
    </r>
  </si>
  <si>
    <t>unutrašnja špaleta širine cca 25 cm</t>
  </si>
  <si>
    <r>
      <t xml:space="preserve">Sve radove treba izvesti isključivo po uputama, koristeći materijale, alate i način izvođenja po tehnologiji proizvođača slojeva pročelja, prema gl. arhitektonskom projektu i detaljima, te projektu racionalne uporabe energije i toplinske zaštite.
</t>
    </r>
    <r>
      <rPr>
        <b/>
        <sz val="9"/>
        <rFont val="Calibri"/>
        <family val="2"/>
        <charset val="238"/>
      </rPr>
      <t/>
    </r>
  </si>
  <si>
    <t>Vertikalni oluk</t>
  </si>
  <si>
    <t>Zidovi na podnožju pročelja, XPS=15,0 cm</t>
  </si>
  <si>
    <t>OBJEDINJENI TROŠKOVNIK SVIH VRSTA RADOVA</t>
  </si>
  <si>
    <t xml:space="preserve">2. Projekt je napravljen na temelju pravila dobrog zanata i preporuke o cjelovitoj obnovi koju podupire Fond za energetsku učinkovitost. Projekt će se u smislu cjelovite obnove adaptirati na zahtjeve korisnika uz poštivanje ispravnog redoslijeda radova kako bi se tehnički organizirale FAZE koje u konačnici vode cjelovitom rješenju.                                 </t>
  </si>
  <si>
    <t>Stavka obuhvaća pregled, kontrolu mjera i veličina postojećeg stanja građevinske konstrukcije zgrade, pregled postojećeg stanja opreme, instalacija, te utvrđivanje točnih koridora instalacija u objektu i izvan objekta. Pripremne radove je obavezan izvršavati izvođač radova prije nego pristupi izvođenju i za vrijeme izvođenja radova. U pripremne radove uključiti i pregled projektne dokumentacije s pripadajućim troškovnicima, a o svim nejasnoćama ili neusklađenostima pravovremeno izvjestiti investitora i projektanta. Obračun za izvođenje kompletnih pripremnih radove iz opisa stavke, po procjeni.</t>
  </si>
  <si>
    <t xml:space="preserve">Miljenko Kukić, direktor   </t>
  </si>
  <si>
    <t>SVEUKUPNA REKAPITULACIJA</t>
  </si>
  <si>
    <t>GRAĐEVINSKI I OBRTNIČKI RADOVI</t>
  </si>
  <si>
    <t>SVEUKUPNO</t>
  </si>
  <si>
    <t>VANJSKA ALUMINIJSKA STOLARIJA</t>
  </si>
  <si>
    <t>VANJSKA ALUMINIJSKA STOLARIJA UKUPNO:</t>
  </si>
  <si>
    <t>VANJSKA ALUMINIJSKA STOLARIJA ukupno</t>
  </si>
  <si>
    <t xml:space="preserve">Prostor između zidanog dijela i profila izveden prema normama struke. Svi navedeni spojevi moraju imati vrhunsku hidroizolaciju i termoizolaciju međuprostora kako ne bi došlo do prodora vode, zraka ili prolaza topline. S vanjske strane dodatno izvesti silikoniranje kvalitetnim silikonom otpornim na atmosferske utjecaje i u boji profila.
</t>
  </si>
  <si>
    <t>B.II.1</t>
  </si>
  <si>
    <t>Demontaža vanjskih klupčica na parapetima prozora</t>
  </si>
  <si>
    <t>vertikalni oluk</t>
  </si>
  <si>
    <t>Prethodno predaji ponude izvođač može pregledati lokaciju i zgradu, provjeriti snimak zgrade i okolnog terena, pregledati stanje u zgradi, upoznati se sa stanjem postojećih instalacija, uputiti se u funkciju zgrade kako bi mogao dati realnu cijenu za pripremne i ostale radove. Ukoliko izvođač prethodnim uvidom primijeti da je potrebno izvesti još neke pripremne radove, dužan je iste uvrstiti u cijenu koštanja putem obračuna u faktoru, jer se naknadni pripremni radovi neće posebno priznavati.</t>
  </si>
  <si>
    <t>Izvođač će pristupiti izvedbi tek nakon što projektant potpisom potvrdi tehnološku razradu svih detalja. Izrada rješenja neće se posebno naplatiti. Izvođač može predložiti druge proizvode za izolaciju od onih opisanih troškovnikom uz uvjet istih svojstava i kvalitete. Izvođač je dužan sve izvoditi prema uputama proizvođača, isporučitelja materijala te ovjerenih detalja.</t>
  </si>
  <si>
    <r>
      <t>Obračun se vrši po m</t>
    </r>
    <r>
      <rPr>
        <sz val="9"/>
        <rFont val="Arial"/>
        <family val="2"/>
        <charset val="238"/>
      </rPr>
      <t>²</t>
    </r>
    <r>
      <rPr>
        <sz val="9"/>
        <rFont val="Calibri"/>
        <family val="2"/>
        <charset val="238"/>
      </rPr>
      <t xml:space="preserve"> gotove površine. U cijenu stavke uključena je tehnološka razrada svih detalja, priprema podloga, čišćenje zaprljanih podloga vodom pod tlakom i sredstvima / impregnacijama koja propisuje proizvođač, dobava i ugradnja svih opisanih materijala i elemenata, alat i mehanizacija, troškovi radne snage za kompletan rad propisan troškovnikom, troškovi vertikalnog i horizontalnog prijenosa, postava i skidanje potrebne radne skele sa zaštitnom tkaninom, troškovi deponiranja materijala i alata te čišćenje po završetku rada, odvoz i zbrinjavanje smeća, troškove popravke nastalih zbog nepažljive izvedbe ili učinjene štete drugim izvođačima, troškovi zaštite na radu, troškovi atestiranja.</t>
    </r>
  </si>
  <si>
    <t xml:space="preserve">Sve mjere provjeriti na terenu. Ukoliko je to moguće izvršiti provjeru postojećeg stanja konstrukcije. Nakon demontaže i uvida u postojeće stanje nosive konstrukcije napraviti provjeru opterećenja, izračun opterećenja uklonjenih slojeva u odnosu na slojeve novog krova mora biti odobren od strane inženjera konstrukcije. U slučaju potrebe za odstupanjem od predviđenih slojeva, isti se neće obračunavati kao dodatni rad. U cijeni predvidjeti eventualno potrebne izmjene na licu mjesta zbog specifičnosti zadatka (sanacija). </t>
  </si>
  <si>
    <t>Sve mjere provjeriti na terenu. Ukoliko je to moguće izvršiti provjeru postojećeg stanja konstrukcije. Nakon demontaže i uvida u postojeće stanje nosive konstrukcije napraviti provjeru opterećenja, izračun opterećenja novih slojeva mora biti odobren od strane inženjera konstrukcije i nadzornog inženjera. U slučaju potrebe za odstupanjem od predviđenih slojeva, isti se neće obračunavati kao dodatni rad. U cijeni predvidjeti eventualno potrebne izmjene na licu mjesta zbog specifičnosti zadatka (sanacija).</t>
  </si>
  <si>
    <t>Termografsko snimanje</t>
  </si>
  <si>
    <t>Ispitivanje kvalitete izvedbe toplinske izolacije. Stavka uključuje termografsko snimanje novougrađene toplinske izolacije zgrade u svrhu otkrivanja nepravilnosti u izvedbi. Termografsko snimanje provodi certificirani Level I Termografist. Infracrvena kamera koja se koristi prilikom snimanja mora imati zadovoljene minimalno sljedeće zahtjeve: Geometrijska rezolucija barem 320×240; Temperaturna rezolucija (NETD) &lt;0,10 °C. Mjerenje je potrebno provesti u skladu s normom HRN EN 13187:2000 (Toplinske značajke zgrada -- Kvalitativno otkrivanje toplinskih mostova u obodnim konstrukcijama zgrada -- Metoda infracrvenog snimanja (ISO 6781:1983 preinačen; EN 13187:1998)). Osim izvještaja o provedenom ispitivanju, naručitelju je potrebno dostaviti i izvorne termograme. 
Ukoliko rezultati ispitivanja ne odgovaraju pravilima struke, smjernicama proizvođača toplinskih sustava i propisanim vrijednostima, izvođač je dužan nedostatke otkloniti.</t>
  </si>
  <si>
    <t>Stavka obuhvaća sve popravke oštećene, dotrajale ili otpale postojeće unutarnje žbuke špaleta oko otvora u prostorima obuhvaćenih rekonstrukcijom koji su oštećeni prilikom izvođenja radova rušenja ili demontaže fasadnih stavki, instalacija i sl, te popravci otpale žbuke, a nakon ugradnje novih stolarskih stavki. Postojeću podlogu potrebno je prethodno impregnirati i obraditi reparaturnim mortom, a vlažne dijelove premazati hidrofobnim sredstvom. Širine unutarnjih špaleta su cca 20 cm.</t>
  </si>
  <si>
    <t>Popravak boje - ličenje unutarnjih zidova i stropova nakon ugradnje nove stolarije</t>
  </si>
  <si>
    <t>Priprema postojećih ožbukanih površina  zidova i stropova za bojanje i ličenje. Priprema se sastoji od impregnacije, kitanja i zatvaranja pojedinačnih rupa, gletanja u dva sloja s bandažiranjem svih pukotina i spojeva raznih materijala, brušenja i otprašivanja. Pripremljena površina mora biti glatka i ravna, bez neravnina. 
Popravak boje i ličenje izvesti disperzivnom sjajnom perivom bojom za žbukane ili betonske podloge u minimalno 2 sloja.</t>
  </si>
  <si>
    <r>
      <t xml:space="preserve">Demontaža postojećih drvenih, aluminijskih i čeličnih </t>
    </r>
    <r>
      <rPr>
        <sz val="9"/>
        <rFont val="Calibri"/>
        <family val="2"/>
        <charset val="238"/>
      </rPr>
      <t>prozora i vrata</t>
    </r>
    <r>
      <rPr>
        <sz val="9"/>
        <rFont val="Calibri"/>
        <family val="2"/>
        <charset val="238"/>
      </rPr>
      <t xml:space="preserve">. Stavka uključuje demontažu pripadajućih okvira. Demontaža vanjskih klupčica je obračunata zasebno. Stavka uključuje demontažu i ponovnu montažu postojećih unutrašnjih zastora, ako ih je potrebno ukloniti zbog demontaže postojeće i montaže nove stolarije. Stavka uključuje transport na gradilišnu deponiju. Količinom je iskazan ukupan broj  stijena koje se demontiraju. Točne dimenzije i broj komada svake pojedine stijene iskazani su u radovima B.II.1. i B.II.2. </t>
    </r>
  </si>
  <si>
    <t>8.</t>
  </si>
  <si>
    <t>7. Za eventualne promjene pojedinih projektnih rješenja u svrhu ekonomičnosti izvedbe, izvođač je dužan o svom trošku izraditi projekt izvedenog stanja promijenjenog dijela i dati na odobrenje glavnom projektantu i nadzornom inženjeru. Pod  izradom dokumentacije smatra se izrada izmjena i dopuna u smislu iskaza FAZA izvedbe i provodi se kroz troškovnički opis.</t>
  </si>
  <si>
    <r>
      <t xml:space="preserve">8. Izvođač će se pridržavati svih važećih zakona i propisa i to: </t>
    </r>
    <r>
      <rPr>
        <i/>
        <sz val="9"/>
        <rFont val="Calibri"/>
        <family val="2"/>
        <charset val="238"/>
      </rPr>
      <t>Zakona o prostornom uređenju (NN 153/13, 65/17, 114/18, 39/19), Zakona o gradnji (NN 153/13, 20/17, 39/19), Zakona o građevinskoj inspekciji (NN 153/13), Zakona o zaštiti na radu (NN 71/14, 118/14, 94/18, 96/18), Zakona o zaštiti od buke (NN 30/09, 55/13, 153/13, 41/16, 114/18), Zakona o zaštiti od požara (NN 92/10),</t>
    </r>
    <r>
      <rPr>
        <sz val="9"/>
        <rFont val="Calibri"/>
        <family val="2"/>
        <charset val="238"/>
      </rPr>
      <t xml:space="preserve"> svih pravilnika koji iz tih zakona proizlaze, kao i svih drugih zakona iz područja gradnje, tehničkih propisa, priznatih tehničkih pravila i hrvatskih normi (HRN).</t>
    </r>
  </si>
  <si>
    <t xml:space="preserve">15. Ukoliko je tekst pojedinih stavki nepotpun ili nejasan, prije predaje ponude pojašnjenja se traže od naručitelja. </t>
  </si>
  <si>
    <t>16. Glavni izvođač je u okviru ugovorene cijene dužan izvršiti koordinaciju radova svih kooperanata tako da omogući kontinuirano odvijanje posla i zaštitu već izvedenih radova. Opći uvjeti se odnose i na radove kooperanata, te je zbog toga potrebno da izvođač ugovara radove s kooperantima u smislu ovih općih uvjeta.</t>
  </si>
  <si>
    <t>17. Sva oštećenja nastala tijekom građenja na vlastitim ili tuđim radovima otkloniti će izvođač o svom trošku.</t>
  </si>
  <si>
    <t>18. Izvođač će, u okviru ugovorene cijene, osigurati gradilište od djelovanja više sile i krađe.</t>
  </si>
  <si>
    <t xml:space="preserve">19. Sav rad i materijal vezan uz organizaciju građevinske proizvodnje: ograde, vrata gradilišta, putevi na gradilištu, uredi, blagovaonice, svlačionice, sanitarije gradilišta, spremišta materijala i alata, telefonski, električni, vodovodni i sl. priključci gradilišta kao i cijena korištenja priključaka uključeni su u ugovorenu cijenu. 
</t>
  </si>
  <si>
    <t>20. Jedinične cijene trebaju uključivati: materijalne troškove, tj. nabavnu cijenu materijala uvećanu za visinu cijene transporta (utovar, prijevoz, istovar i skladištenje na gradilištu). Skladištenje treba provesti na način da materijal bude osiguran od vlaženja i lomova, jer samo neoštećen i kvalitetan materijal smije biti ugrađen. Rad obuhvaća, osim onog opisanog u troškovniku, još i prijenose, prijevoze, dizanje, utovar i istovar materijala, zaštićivanje od štetnih atmosferskih utjecaja, sve pomoćne radove kao: sakupljanje rasutog materijala, održavanje čistoće gradilišta, čišćenje zgrade za vrijeme i nakon gradnje i sl. Skele, podupore, razupore također treba predvidjeti u cijeni. Skele moraju biti izvedene u skladu sa propisima. U cijenu treba uključiti i ispitivanja materijala i sve troškove u vezi sa dobavljanjem potrebnih atesta.</t>
  </si>
  <si>
    <t>21. Izvođač će čistiti gradilište barem tri puta tokom građenja, što se neće posebno naplaćivati, a na kraju će izvesti sva fina čišćenja zidova, podova, vrata, prozora, stijena, stakala i dr. U cijenu treba biti uključen utovar i odvoz otpadnog materijala, ambalaže i sl. na deponiju, uključivo svi troškovi prijevoza i komunalne naknade deponije.</t>
  </si>
  <si>
    <t>22. Izvođač će  izraditi vremenski plan (terminski plan, gantogram) aktivnosti na gradilištu i njime odrediti dinamiku financiranja, dobave materijala i opreme i sl.</t>
  </si>
  <si>
    <t>* SVI PRIPREMNI RADOVI PREDVIĐENI TROŠKOVNIKOM SU U SKLADU S POPISOM I ODREDBAMA OPRAVDANIH TROŠKOVA .</t>
  </si>
  <si>
    <t>* SVI RADOVI DEMONTAŽA I RUŠENJA PREDVIĐENI TROŠKOVNIKOM SU U SKLADU S POPISOM I ODREDBAMA OPRAVDANIH TROŠKOVA.</t>
  </si>
  <si>
    <t>* SVI ZIDARSKI RADOVI PREDVIĐENI TROŠKOVNIKOM SU U SKLADU S POPISOM I ODREDBAMA OPRAVDANIH TROŠKOVA .</t>
  </si>
  <si>
    <t>* SVI IZOLATERSKI  RADOVI PREDVIĐENI TROŠKOVNIKOM SU U SKLADU S POPISOM I ODREDBAMA OPRAVDANIH TROŠKOVA.</t>
  </si>
  <si>
    <t>* SVI LIMARSKI RADOVI PREDVIĐENI TROŠKOVNIKOM SU U SKLADU S POPISOM I ODREDBAMA OPRAVDANIH TROŠKOVA.</t>
  </si>
  <si>
    <t>* SVI ZAVRŠNI ZIDARSKO - FASADERSKI RADOVI PREDVIĐENI TROŠKOVNIKOM SU U SKLADU S POPISOM I ODREDBAMA OPRAVDANIH TROŠKOVA .</t>
  </si>
  <si>
    <t>* SVI SOBOSLIKARSKO LIČILAČKI RADOVI PREDVIĐENI TROŠKOVNIKOM SU U SKLADU S POPISOM I ODREDBAMA OPRAVDANIH TROŠKOVA.</t>
  </si>
  <si>
    <t>Nakon provedenih pripremnih radova, svih potrebnih rasterećenja i potrebnih osiguranja, rušenja na građevini vrše se prema unaprijed utvrđenom redoslijedu dogovorenom s nadzornim inženjerom na način kojim se ne ugrožava stabilnost zgrade, sigurnost radnika i ljudi koji borave u zgradi. Demontaže i rušenja izvode se u pravilu od krova prema podrumu.</t>
  </si>
  <si>
    <r>
      <t xml:space="preserve">Demontažu i ponovnu montažu gromobrana izvođač treba izvoditi prema </t>
    </r>
    <r>
      <rPr>
        <b/>
        <i/>
        <sz val="9"/>
        <rFont val="Calibri"/>
        <family val="2"/>
        <charset val="238"/>
      </rPr>
      <t>Tehničkom propisu za sustave zaštite od djelovanja munje na građevinama (NN 87/08, 33/10).</t>
    </r>
  </si>
  <si>
    <r>
      <t xml:space="preserve">U cijenu radova trebaju biti uključene sve podupore, skele i privremene (zamjenske konstrukcije) koje osiguravaju stabilnost u toku radova, te se zahtjevi za nadoplate radi izvedbe privremenih konstrukcija neće priznavati kao i svi horizontalni i vertikalni prijenosi materijala dobivenih rušenjem i demontažom, odvozom na privremenu gradilišnu deponiju, gradsku planirku ili pohranu elemenata na mjesto po dogovoru s investitorom. To vrijedi i za čišćenje gradilišta i dovođenje javne površine u prvobitno stanje. U cijenu radova je uključeno i sigurno zbrinjavanje opasnih materijala (azbest, freoni). Ukoliko se uklanjaju elementi koji sadrže azbest to se mora učiniti u skladu sa </t>
    </r>
    <r>
      <rPr>
        <b/>
        <i/>
        <sz val="9"/>
        <rFont val="Calibri"/>
        <family val="2"/>
        <charset val="238"/>
      </rPr>
      <t>Pravilnikom o građevnom otpadu i otpadu koji sadrži azbest  (NN 69/16).</t>
    </r>
  </si>
  <si>
    <t xml:space="preserve">Demontaža i privremeno deponiranje natpisnih ploča i sl. treba pohraniti na gradilištu ili kod korisnika. Izvođač snosi sve troškove ponovne dobave ili izrade pojedinih elemenata u slučaju oštećenja ili otuđenja sa gradilišta. Demontaža postojećih limenih elemenata, uključujući i prozorske klupčice na pročelju obavezno izvodi limar koji je dužan uzeti mjere i uzorke te snimiti detalje izvedbe, što je uključeno u cijenu stavke. Demontažu i ponovnu montažu postojećih vanjskih jedinica rashladnih uređaja na pročelju izvodi ovlašteni serviser. Demontažu i ponovnu montažu postojećeg gromobrana, strujnih ormarića i sl. na pročelju izvodi ovlaštena osoba. Demontaža vanjskih jedinica rashladnih uređaja, gromobrana, strujnih ormarića i sl. uključuje i njihovu sigurnu pohranu.
</t>
  </si>
  <si>
    <r>
      <t>Sve radove izvođač mora izvoditi prema troškovniku i izvedbenoj dokumentaciji, solidno i stručno, prema pravilima dobrog zanata, P</t>
    </r>
    <r>
      <rPr>
        <i/>
        <sz val="9"/>
        <rFont val="Calibri"/>
        <family val="2"/>
        <charset val="238"/>
      </rPr>
      <t>ravilniku o ocjenjivanju sukladnosti, ispravama o sukladnosti i označavanju građevinskih proizvoda (NN 103/08, 147/09, 87/10, 129/11), Pravilniku o tehničkim mjerama i uvjetima za završne radove u zgradarstvu (Sl.list br. 21/90), Tehničkom propisu o racionalnoj upotrebi energije i toplinskoj zaštiti u zgradama (NN  128/15, 70/18, 73/18, 86/18)</t>
    </r>
    <r>
      <rPr>
        <sz val="9"/>
        <rFont val="Calibri"/>
        <family val="2"/>
        <charset val="238"/>
      </rPr>
      <t xml:space="preserve"> sa pripadajućim normama, </t>
    </r>
    <r>
      <rPr>
        <i/>
        <sz val="9"/>
        <rFont val="Calibri"/>
        <family val="2"/>
        <charset val="238"/>
      </rPr>
      <t xml:space="preserve">Tehničkom propisu o građevnim proizvodima (NN 35/18) </t>
    </r>
    <r>
      <rPr>
        <sz val="9"/>
        <rFont val="Calibri"/>
        <family val="2"/>
        <charset val="238"/>
      </rPr>
      <t xml:space="preserve">i </t>
    </r>
    <r>
      <rPr>
        <i/>
        <sz val="9"/>
        <rFont val="Calibri"/>
        <family val="2"/>
        <charset val="238"/>
      </rPr>
      <t xml:space="preserve">Tehničkim uvjetima za projektiranje i građenje zgrada - Akustika u građevinarstvu (HRN U.J6.201/89), </t>
    </r>
    <r>
      <rPr>
        <sz val="9"/>
        <rFont val="Calibri"/>
        <family val="2"/>
        <charset val="238"/>
      </rPr>
      <t xml:space="preserve">te svim ostalim tehničkim propisima, priznatim tehničkim pravilima i HR normama. 
</t>
    </r>
  </si>
  <si>
    <r>
      <t xml:space="preserve">Sve radove izvođač mora izvoditi prema troškovniku i izvedbenoj projektnoj dokumentaciji, solidno i stručno, prema pravilima dobrog zanata, </t>
    </r>
    <r>
      <rPr>
        <i/>
        <sz val="9"/>
        <rFont val="Calibri"/>
        <family val="2"/>
        <charset val="238"/>
      </rPr>
      <t>Pravilniku o ocjenjivanju sukladnosti, ispravama o sukladnosti i označavanju građevinskih proizvoda (NN 103/08, 147/09, 87/10, 129/11), Pravilniku o tehničkim mjerama i uvjetima za završne radove u zgradarstvu (Sl.list br. 21/90)</t>
    </r>
    <r>
      <rPr>
        <sz val="9"/>
        <rFont val="Calibri"/>
        <family val="2"/>
        <charset val="238"/>
      </rPr>
      <t xml:space="preserve">, </t>
    </r>
    <r>
      <rPr>
        <i/>
        <sz val="9"/>
        <rFont val="Calibri"/>
        <family val="2"/>
        <charset val="238"/>
      </rPr>
      <t xml:space="preserve">Tehničkom propisu o racionalnoj upotrebi energije i toplinskoj zaštiti u zgradama ( 128/15, 70/18, 73/18, 86/18) </t>
    </r>
    <r>
      <rPr>
        <sz val="9"/>
        <rFont val="Calibri"/>
        <family val="2"/>
        <charset val="238"/>
      </rPr>
      <t xml:space="preserve">sa pripadajućim normama, </t>
    </r>
    <r>
      <rPr>
        <i/>
        <sz val="9"/>
        <rFont val="Calibri"/>
        <family val="2"/>
        <charset val="238"/>
      </rPr>
      <t xml:space="preserve">Tehničkom propisu o građevnim proizvodima (NN 35/18) </t>
    </r>
    <r>
      <rPr>
        <sz val="9"/>
        <rFont val="Calibri"/>
        <family val="2"/>
        <charset val="238"/>
      </rPr>
      <t xml:space="preserve">i </t>
    </r>
    <r>
      <rPr>
        <i/>
        <sz val="9"/>
        <rFont val="Calibri"/>
        <family val="2"/>
        <charset val="238"/>
      </rPr>
      <t>Tehničkim uvjetima za izvođenje limarskih radova (HRN U.N9.055.)</t>
    </r>
    <r>
      <rPr>
        <sz val="9"/>
        <rFont val="Calibri"/>
        <family val="2"/>
        <charset val="238"/>
      </rPr>
      <t>, te svim ostalim tehničkim propisima, priznatim tehničkim pravilima i HR normama, a osobito:</t>
    </r>
  </si>
  <si>
    <r>
      <t xml:space="preserve">Sve radove izvođač mora izvoditi prema troškovniku i izvedbenoj projektnoj dokumentaciji, solidno i stručno, prema pravilima dobrog zanata i mjerama uzetima na licu mjesta, </t>
    </r>
    <r>
      <rPr>
        <i/>
        <sz val="9"/>
        <rFont val="Calibri"/>
        <family val="2"/>
        <charset val="238"/>
      </rPr>
      <t>Pravilniku o ocjenjivanju sukladnosti, ispravama o sukladnosti i označavanju građevinskih proizvoda (NN 103/08, 147/09, 87/10, 129/11), Pravilniku o tehničkim mjerama i uvjetima za završne radove u zgradarstvu (Sl.list br. 21/90),</t>
    </r>
    <r>
      <rPr>
        <sz val="9"/>
        <rFont val="Calibri"/>
        <family val="2"/>
        <charset val="238"/>
      </rPr>
      <t xml:space="preserve"> </t>
    </r>
    <r>
      <rPr>
        <i/>
        <sz val="9"/>
        <rFont val="Calibri"/>
        <family val="2"/>
        <charset val="238"/>
      </rPr>
      <t>Tehničkom propisu o racionalnoj upotrebi energije i toplinskoj zaštiti u zgradama (NN  128/15, 70/18, 73/18, 86/18)</t>
    </r>
    <r>
      <rPr>
        <sz val="9"/>
        <rFont val="Calibri"/>
        <family val="2"/>
        <charset val="238"/>
      </rPr>
      <t xml:space="preserve"> sa pripadajućim normama, </t>
    </r>
    <r>
      <rPr>
        <i/>
        <sz val="9"/>
        <rFont val="Calibri"/>
        <family val="2"/>
        <charset val="238"/>
      </rPr>
      <t>Tehničkom propisu o građevnim proizvodima (NN 35/18),</t>
    </r>
    <r>
      <rPr>
        <sz val="9"/>
        <rFont val="Calibri"/>
        <family val="2"/>
        <charset val="238"/>
      </rPr>
      <t xml:space="preserve"> prema </t>
    </r>
    <r>
      <rPr>
        <i/>
        <sz val="9"/>
        <rFont val="Calibri"/>
        <family val="2"/>
        <charset val="238"/>
      </rPr>
      <t>Tehničkim propisima za prozore i vrata (NN 69/06)</t>
    </r>
    <r>
      <rPr>
        <sz val="9"/>
        <rFont val="Calibri"/>
        <family val="2"/>
        <charset val="238"/>
      </rPr>
      <t xml:space="preserve"> sa pripadajućim noramama i ostalim normama prema Odluci o popisu normi bitnih za primjenu Tehničkog propisa za prozore i vrata, te svim ostalim tehničkim propisima, priznatim tehničkim pravilima i HR normama, a osobito:</t>
    </r>
  </si>
  <si>
    <t xml:space="preserve">Izvođač radova obavezan je izraditi i ugraditi aluminijske elemente u već provjerenim i certificiranim sustavima te se od njega očekuje visoka kvaliteta izvedbe. Prije početka radova Izvođač je obvezan dostaviti na uvid glavnom projektantu uzorke profila i okova na odobrenje, prihvatit će se isključivo kvalitetni profili i okovi. Nakon prihvaćanja uzoraka izvođač je obvezan nacrtati karakteristične presjeke i detalje ugradnje te i njih dostaviti na odobrenje. Tek nakon što dobije odobrenje glavnog projektanta na uzorke, detalje i presjeke, Izvođač smije započeti s radovima.
Izvođač mora dati jamstvo u minimalnom trajanju jamstvenog roka na aluminijske profile, brtve i završnu obradu (plastifikacija ili eloksaža) te na pokretne dijelove (okov). Jamstvo na završnu obradu uključuje ljuštenje boje ili gubitak sjaja, a plastifikacija mora biti debljine najmanje 60 µm. Površinska zaštita mora biti izvršena sukladno Qualicoat i Qualianod smjernicama.
</t>
  </si>
  <si>
    <t>Radovi uključuju izradu, dobavu i montažu do potpune gotovosti  prozora ili vrata. Brtvljenje i spajanje prema sistemskim rješenjima propisanim od proizvođača sistema. Sav potreban okov za otvaranje potrebno je da je izrađen od INOX-a ili plastificiran u boji profila (prema rješenju projektanata). Odabrani okov prilagoditi težini i geometriji krila, tako da nesmetano zadovoljava funkciju otvaranja (otklopni, zaokretni ili zaokretno otklopni). U cijenu stavaka uključeno je i staklo.</t>
  </si>
  <si>
    <t xml:space="preserve">U cijenu  treba biti uključena i izrada unutarnje klupčice, na potkonstrukciji, prema RAL ton karti-prema odabiru projektanta, osim ako stavkom nije opisano drugačije. </t>
  </si>
  <si>
    <r>
      <t xml:space="preserve">Sve radove izvođač mora izvoditi prema troškovniku i izvedbenoj projektnoj dokumentaciji, solidno i stručno, prema pravilima dobrog zanata, </t>
    </r>
    <r>
      <rPr>
        <i/>
        <sz val="9"/>
        <rFont val="Calibri"/>
        <family val="2"/>
        <charset val="238"/>
      </rPr>
      <t>Zakonu o građevnim proizvodima (NN 76/13, 130/17, 39/19)</t>
    </r>
    <r>
      <rPr>
        <sz val="9"/>
        <rFont val="Calibri"/>
        <family val="2"/>
        <charset val="238"/>
      </rPr>
      <t xml:space="preserve">, </t>
    </r>
    <r>
      <rPr>
        <i/>
        <sz val="9"/>
        <rFont val="Calibri"/>
        <family val="2"/>
        <charset val="238"/>
      </rPr>
      <t>Pravilniku o ocjenjivanju sukladnosti, ispravama o sukladnosti i označavanju građevinskih proizvoda (NN 103/08, 147/09, 87/10, 129/11), Pravilniku o tehničkim mjerama i uvjetima za završne radove u zgradarstvu (Sl.list br. 21/90)</t>
    </r>
    <r>
      <rPr>
        <sz val="9"/>
        <rFont val="Calibri"/>
        <family val="2"/>
        <charset val="238"/>
      </rPr>
      <t xml:space="preserve">, </t>
    </r>
    <r>
      <rPr>
        <i/>
        <sz val="9"/>
        <rFont val="Calibri"/>
        <family val="2"/>
        <charset val="238"/>
      </rPr>
      <t xml:space="preserve">Tehničkom propisu o racionalnoj upotrebi energije i toplinskoj zaštiti u zgradama (NN  128/15, 70/18, 73/18, 86/18) </t>
    </r>
    <r>
      <rPr>
        <sz val="9"/>
        <rFont val="Calibri"/>
        <family val="2"/>
        <charset val="238"/>
      </rPr>
      <t xml:space="preserve">s pripadajućim normama, </t>
    </r>
    <r>
      <rPr>
        <i/>
        <sz val="9"/>
        <rFont val="Calibri"/>
        <family val="2"/>
        <charset val="238"/>
      </rPr>
      <t>Tehničkom propisu o građevnim proizvodima (NN 35/18),</t>
    </r>
    <r>
      <rPr>
        <sz val="9"/>
        <rFont val="Calibri"/>
        <family val="2"/>
        <charset val="238"/>
      </rPr>
      <t xml:space="preserve"> te svim ostalim hrvatskim i europskim tehničkim propisima i normama i priznatim tehničkim pravilima, a osobito :</t>
    </r>
  </si>
  <si>
    <t>Bilo kakva ugradnja prije odobrenja uzorka i dokumentacije, nije dozvoljena. Konačan odabir boje prema izboru glavnog projektanta.</t>
  </si>
  <si>
    <t>5. Također je potrebno, prije izvedbe ETICS sustava, napraviti statičku provjeru vanjskih zidova koja mora biti odobrena od strane inženjera konstrukcije i nadzornog inženjera. Odgovarajućim upisom u građevinski dnevnik potrebno je verificirati projektno rješenje ili po potrebi izvršiti korekciju. Izvođač je dužan proučiti sve gore navedene dijelove projekta, te u slučaju nejasnoća ili eventualnih odstupanja od stvarnog stanja na terenu tražiti mišljenje projektanta i nadzornog inženjera. Prije početka radova izvođač je obavezan kontrolirati na postojećoj zgradi sve potrebne mjere za svoj rad.</t>
  </si>
  <si>
    <t>Stavka uključuje vanjske aluminijske žaluzine, ukoliko u shemama nije drugačije definirano.</t>
  </si>
  <si>
    <t>komplet</t>
  </si>
  <si>
    <r>
      <t>Sve radove izvođač mora izvoditi prema troškovniku i glavnom projektu, solidno i stručno, prema pravilima dobrog zanata, Pravilniku o ocjenjivanju sukladnosti, ispravama o sukladnosti i označavanju građevinskih proizvoda (NN 103/08, 147/09, 87/10, 129/11), Pravilniku o tehničkim mjerama i uvjetima za završne radove u zgradarstvu (Sl.list br. 21/90), Tehničkom propisu za zidane konstrukcije (NN 01/07),</t>
    </r>
    <r>
      <rPr>
        <sz val="9"/>
        <color indexed="10"/>
        <rFont val="Calibri"/>
        <family val="2"/>
        <charset val="238"/>
      </rPr>
      <t xml:space="preserve"> </t>
    </r>
    <r>
      <rPr>
        <sz val="9"/>
        <rFont val="Calibri"/>
        <family val="2"/>
        <charset val="238"/>
      </rPr>
      <t>Tehničkom propisu o racionalnoj upotrebi energije i toplinskoj zaštiti u zgradama (NN 128/15, 70/18, 73/18, 86/18) sa pripadajućim normama, Tehničkom propisu o građevnim proizvodima (NN 35/18), te svim ostalim hrvatskim i europskim tehničkim propisima i normama i priznatim tehničkim pravilima, a osobito:</t>
    </r>
  </si>
  <si>
    <r>
      <t xml:space="preserve">Svi materijali za izvedbu hidroizolaterskih radova moraju u pogledu kvalitete odgovarati HR normama koje propisuje </t>
    </r>
    <r>
      <rPr>
        <i/>
        <sz val="9"/>
        <rFont val="Calibri"/>
        <family val="2"/>
        <charset val="238"/>
      </rPr>
      <t>Tehnički propis o građevnim proizvodima (NN 35/18),</t>
    </r>
    <r>
      <rPr>
        <sz val="9"/>
        <rFont val="Calibri"/>
        <family val="2"/>
        <charset val="238"/>
      </rPr>
      <t xml:space="preserve"> sukladno HRN EN koja se odnosi na određeni proizvod, a osobito:
</t>
    </r>
  </si>
  <si>
    <r>
      <t xml:space="preserve">Svi materijali za izvedbu termoizolaterskih radova moraju u pogledu kvalitete odgovarati HR normama koje propisuje </t>
    </r>
    <r>
      <rPr>
        <i/>
        <sz val="9"/>
        <rFont val="Calibri"/>
        <family val="2"/>
        <charset val="238"/>
      </rPr>
      <t>Tehnički propis o racionalnoj uporabi energije i toplinskoj zaštiti u zgradama (NN 128/15, 70/18, 73/18, 86/18),</t>
    </r>
    <r>
      <rPr>
        <sz val="9"/>
        <rFont val="Calibri"/>
        <family val="2"/>
        <charset val="238"/>
      </rPr>
      <t xml:space="preserve"> sukladno HRN EN koja se odnosi na određeni proizvod, uključujući i sve važeće europske tehničke propise i norme, a osobito:</t>
    </r>
  </si>
  <si>
    <t xml:space="preserve">23. Odredba o normama:
U dokumentaciji su navedena tehnička pravila koja opisuju predmet nabave pomoću hrvatskih odnosno europskih odnosno međunarodnih normi. Ponuditelj treba ponuditi predmet nabave u skladu s normama iz dokumentacije o nabavi ili jednakovrijednim normama. S toga za svaku navedenu normu navedenu pod dotičnom  normizacijskom sustavu dozvoljeno je nuditi jednakovrijednu normu, tehničko odobrenje odnosno uputu iz odgovarajuće hrvatske, europske ili međunarodne nomenklature.
</t>
  </si>
  <si>
    <t>Demontaža vanjskih rešetki na parapetima prozora</t>
  </si>
  <si>
    <r>
      <t xml:space="preserve">Demontaža postojećih vanjskih </t>
    </r>
    <r>
      <rPr>
        <b/>
        <sz val="9"/>
        <rFont val="Calibri"/>
        <family val="2"/>
      </rPr>
      <t xml:space="preserve">limenih </t>
    </r>
    <r>
      <rPr>
        <sz val="9"/>
        <rFont val="Calibri"/>
        <family val="2"/>
        <charset val="238"/>
      </rPr>
      <t>klupčica na parapetima prozora, radi izvedbe nove toplinske izolacije. Stavka uključuje transport na građevinsku deponiju.</t>
    </r>
  </si>
  <si>
    <t>9.</t>
  </si>
  <si>
    <t>10.</t>
  </si>
  <si>
    <t>Demontaža postojećih fasadnih odzračnika i zamjena novima</t>
  </si>
  <si>
    <t>11.</t>
  </si>
  <si>
    <t>limenih klupčica</t>
  </si>
  <si>
    <t>Popravci unutarnje žbuke</t>
  </si>
  <si>
    <t>Rušenje dotrajalog i oštećenog postojećeg sloja fasadne žbuke do sloja nosivog zida od opeke</t>
  </si>
  <si>
    <t xml:space="preserve">Obračun po m2 površine poda, sve komplet. </t>
  </si>
  <si>
    <t>paropropusna i vodonepropusna hidroizolacija</t>
  </si>
  <si>
    <t>toplinska izolacija (MW) d=16,0 cm</t>
  </si>
  <si>
    <t>alu. lim d=1,0mm, razvijena širina 30 cm</t>
  </si>
  <si>
    <t>BRAVARSKI RADOVI</t>
  </si>
  <si>
    <t xml:space="preserve">Prije početka izrade bravarije obavezno se moraju uskladiti mjere i količine iz nacrta prema </t>
  </si>
  <si>
    <t xml:space="preserve">stvarnom stanju na gradilištu.Željezni dijelovi konstrukcije spajaju se varenjem ili vijčanim </t>
  </si>
  <si>
    <t>spojevima.</t>
  </si>
  <si>
    <t xml:space="preserve">Svaki vijčani spoj mora biti tako riješen da na vidljivim vanjskim površinama nema vidljivih vijaka. </t>
  </si>
  <si>
    <t xml:space="preserve">Ovisno o vrsti materijala od kojih se izvode bravarski radovi, spojna sredstava moraju se </t>
  </si>
  <si>
    <t>odabrati iz iste grupe materijala. Posebni umetci od PVC materijala moraju osigurati kvalitetan</t>
  </si>
  <si>
    <t>i čist sastav dvaju elemenata.</t>
  </si>
  <si>
    <t xml:space="preserve">Radioničke nacrte i detalje izrađuje izvoditelj i obavezno ih daje na suglasnost projektantu. </t>
  </si>
  <si>
    <t>Svi tehnički i fizikalni zahtjevi trebaju biti ispunjeni prema propisima ili prema posebnim</t>
  </si>
  <si>
    <t xml:space="preserve">traženjima projektanta. </t>
  </si>
  <si>
    <t>Konstrukcija mora biti dimenzionirana tako da sigurno prihvaća opterečenje i funkcije eleme -</t>
  </si>
  <si>
    <t>nata. Svi nosivi dijelovi moraju biti statički provjereni.</t>
  </si>
  <si>
    <r>
      <t xml:space="preserve">Svi bravarski elementi u pravilu trebaju se ugrađivati </t>
    </r>
    <r>
      <rPr>
        <i/>
        <sz val="9"/>
        <rFont val="Calibri"/>
        <family val="2"/>
        <charset val="238"/>
      </rPr>
      <t xml:space="preserve">suhim </t>
    </r>
    <r>
      <rPr>
        <sz val="9"/>
        <rFont val="Calibri"/>
        <family val="2"/>
        <charset val="238"/>
      </rPr>
      <t>postupkom bez uporabe morta, tj.</t>
    </r>
  </si>
  <si>
    <t xml:space="preserve">na predhodno postavljena sidra varenjem ili vijcima ili pak pomoću plastičnih ili metalnih čepova. </t>
  </si>
  <si>
    <t xml:space="preserve">Sve sudarnice između matala i betona moraju biti brtvljene ili kitane akrilnim, silikonskim ili </t>
  </si>
  <si>
    <t>TIO kitom.</t>
  </si>
  <si>
    <t xml:space="preserve">Za sve predviđene bravarske radove izvođač je dužan pribaviti odgovarajuće ateste, izjave o </t>
  </si>
  <si>
    <t>sukladnosti.</t>
  </si>
  <si>
    <t>* SVI BRAVARSKI RADOVI PREDVIĐENI TROŠKOVNIKOM SU U SKLADU S POPISOM I ODREDBAMA OPRAVDANIH TROŠKOVA.</t>
  </si>
  <si>
    <t>BRAVARSKI RADOVI UKUPNO:</t>
  </si>
  <si>
    <t>Ventilacijske rešetke na fasadi</t>
  </si>
  <si>
    <t>12.</t>
  </si>
  <si>
    <t>13.</t>
  </si>
  <si>
    <t>Hidroizolacija i toplinska izolacija ispod limenih klupčica na parapetima prozora i istacima</t>
  </si>
  <si>
    <t xml:space="preserve"> falcani aluminijski lim (krovni pokrov) d=0,8 mm</t>
  </si>
  <si>
    <t xml:space="preserve">Okapnica na vijencu kosog krova </t>
  </si>
  <si>
    <t>B.II.2</t>
  </si>
  <si>
    <t>ČELIČNA BRAVARIJA ukupno</t>
  </si>
  <si>
    <t>0. SVEUKUPNA REKAPITULACIJA</t>
  </si>
  <si>
    <t>Demontaža postojećih vanjskih čeličnih rešetki na parapetima prozora, radi izvedbe nove toplinske izolacije. Rešetke potrebno zamijeniti novima, što je opisano u radovima B.III. Stavka uključuje transport na građevinsku deponiju.</t>
  </si>
  <si>
    <t>Dobava materijala i izvedba toplinske izolacije podgleda ulazne nadstrešnice izvedbom:</t>
  </si>
  <si>
    <r>
      <t xml:space="preserve">Slojevi toplinske iizolacije se polažu na podgled postojećeg betona. Rubove ravnog krova izvesti prema </t>
    </r>
    <r>
      <rPr>
        <b/>
        <sz val="9"/>
        <rFont val="Calibri"/>
        <family val="2"/>
      </rPr>
      <t>detalju D11</t>
    </r>
    <r>
      <rPr>
        <sz val="9"/>
        <rFont val="Calibri"/>
        <family val="2"/>
      </rPr>
      <t>. Obračun po m2 površine krova, sve komplet.</t>
    </r>
  </si>
  <si>
    <t xml:space="preserve">Popravak boje - ličenje unutarnjih ožbukanih špaleta nakon ugradnje nove stolarije </t>
  </si>
  <si>
    <t>Priprema postojećih i novo ožbukanih površina špaleta za bojanje i ličenje. Priprema se sastoji od impregnacije, kitanja i zatvaranja pojedinačnih rupa, gletanja u dva sloja s bandažiranjem svih pukotina i spojeva raznih materijala, brušenja i otprašivanja. Pripremljena površina mora biti glatka i ravna, bez neravnina. 
Popravak boje i ličenje izvesti disperzivnom sjajnom perivom bojom za žbukane ili betonske podloge u minimalno 2 sloja.</t>
  </si>
  <si>
    <t>Drvena građa mora biti izrađena su od suhog drveta zaštićenog pokrovnim fungicidnim premazima koji štite drvo od vanjskih utjecaja, a sadržavaju antifungicidna i antiinsekticidna svojstva.</t>
  </si>
  <si>
    <t>rešetke dimenzija cca 60x150 cm</t>
  </si>
  <si>
    <t>rešetke dimenzija cca 110x150 cm</t>
  </si>
  <si>
    <t>Demontaža limova na rubovima fasadnih istaka i balkona</t>
  </si>
  <si>
    <t>Demontaža postojećih limova na rubovima fasadnih istaka i balkona te opšava krova uključivo sav pričvrsni materijal i podkonstrukciju, radi izvedbe toplinske izolacije na zidovima. Širina limova je cca 15 - 35 cm . Stavka uključuje transport na građevinsku deponiju.</t>
  </si>
  <si>
    <t>opšav balkona, r.š. cca. 30cm</t>
  </si>
  <si>
    <t>limovi vjenca zabata, r.š. cca. 40cm</t>
  </si>
  <si>
    <t>limovi nadstrešnice, r.š. cca. 50cm</t>
  </si>
  <si>
    <t>Demontaža zidne i krovne limene obloge krovne kućice i ulazne nadstrešnice</t>
  </si>
  <si>
    <t>falcani lim</t>
  </si>
  <si>
    <t>Demontaža postojećih ograda balkona</t>
  </si>
  <si>
    <t>čelična ograda h=100 cm</t>
  </si>
  <si>
    <t>Demontaža postojećih čeličnih ograda balkona visine 100 cm, izrađenih od vertikalnih nosača Č 40x40 mm na razmaku cca 100 cm usidrenih u ab ploču, te ispune ograde od flaha Č 40x5 mm na razmaku od cca 20 cm navarenih na vertikale i horizontalnih nosača za prostiranje rublja od Č L40 x40 cm duljine cca 2.0 m, navarenih bočno na vrh ograde, sve zbog dotrajalosti i dodavanja toplinske izolacije na zidovima. Stavka uključuje transport na građevinsku deponiju.</t>
  </si>
  <si>
    <t>žljeb</t>
  </si>
  <si>
    <t>Demontaža žljebova i vertikalnih oluka</t>
  </si>
  <si>
    <t>Demontaža postojećih limenih visećih žljebova i vertikalnih oluka na svim pročeljima, uključivo sav pričvrsni materijal i podkonstrukciju. Stavka uključuje transport na građevinsku deponiju.</t>
  </si>
  <si>
    <t>Demontaža potkonstrukcije i pokrova kosog krova</t>
  </si>
  <si>
    <t xml:space="preserve">Rušenje zidova od opeke </t>
  </si>
  <si>
    <t>Demontaža postojećih fasadnih odzračnika plinskih bojlera i zamjena novima radi izvedbe nove toplinske izolacije pročelja. Novi odzračnici su tipski limeni elementi, s ugrađenim zaštitnim mrežicama. Ukupnu duljinu prilagoditi debljini zida i novoj toplinskoj izolaciji. Nove rešetke su opisane u radovima B.I. Stavka uključuje transport na građevinsku deponiju.</t>
  </si>
  <si>
    <r>
      <t xml:space="preserve">odzračnik dimenzija </t>
    </r>
    <r>
      <rPr>
        <sz val="9"/>
        <rFont val="Calibri"/>
        <family val="2"/>
      </rPr>
      <t xml:space="preserve">Ø </t>
    </r>
    <r>
      <rPr>
        <sz val="9"/>
        <rFont val="Calibri"/>
        <family val="2"/>
        <charset val="238"/>
      </rPr>
      <t>20 cm</t>
    </r>
  </si>
  <si>
    <t>Rušenje dotrajalog i oštećenog postojećeg sloja fasadne žbuke debljine cca 3 cm do sloja nosivog zida od opeke ili armiranog betona, kako bi se toplinska izolacija mogla ugraditi u cijelosti na ravnu podlogu. U stavku uračunati i skidanje žbuke s podgleda balkona i zidnih istaka. Stavka uključuje transport na građevinsku deponiju.</t>
  </si>
  <si>
    <t>zid debljine 10 cm</t>
  </si>
  <si>
    <t>zid debljine 30 cm</t>
  </si>
  <si>
    <t xml:space="preserve">Demontaža postojećeg krovnog pokrova crijepom i pripadajuće podkonstrukcije od drvenih letvi. Demontiraju se svi slojevi do drvene nosive konstrukcije kosog krova. Stavka uključuje transport na građevinsku deponiju. Sve radove izvoditi pažljivo i bez velikih vibracija kako se ne bi oštetile okolne konstrukcije. Sve izvoditi u skladu sa propisanim higijensko-tehničkim mjerama zaštite na radu, sa potrebnim radnim skelama i podupiranjima, te pod nadzorom stručne osobe. </t>
  </si>
  <si>
    <r>
      <t>Demontaža zidne i krovne limene obloge krovne kućice i ulazne nadstrešnice</t>
    </r>
    <r>
      <rPr>
        <sz val="9"/>
        <rFont val="Calibri"/>
        <family val="2"/>
        <scheme val="minor"/>
      </rPr>
      <t xml:space="preserve"> radi izvedbe toplinske izolacije.</t>
    </r>
    <r>
      <rPr>
        <sz val="9"/>
        <rFont val="Calibri"/>
        <family val="2"/>
        <charset val="238"/>
        <scheme val="minor"/>
      </rPr>
      <t xml:space="preserve"> U stavku je uključena i demontaža dijela potkonstrukcije pokrova. Stavka uključuje transport na građevinsku deponiju. Demontiraju se svi slojevi do drvene nosive konstrukcije kosog krova. Stavka uključuje transport na građevinsku deponiju. Sve radove izvoditi pažljivo i bez velikih vibracija kako se ne bi oštetile okolne konstrukcije. Sve izvoditi u skladu sa propisanim higijensko-tehničkim mjerama zaštite na radu, sa potrebnim radnim skelama i podupiranjima, te pod nadzorom stručne osobe. 
</t>
    </r>
  </si>
  <si>
    <t>Demontaža slojeva ispune drvenog grednog stropa</t>
  </si>
  <si>
    <t>Dozidavanje unutarnjeg zida blok opekom</t>
  </si>
  <si>
    <t xml:space="preserve">Dozidavanje unutarnjeg zida blok opekom debljine 20 cm i visine do 150 cm u prostoru potkrovlja. Blokovi moraju biti I razreda kakvoće, zidani tankoslojnim mortom M10. Zid od opeke sidriti u nosivu konstrukciju pomoću čeličnih ankera - prema preporukama odabranog proizvođača. Obračun po m3 izvedenog zida </t>
  </si>
  <si>
    <r>
      <t>toplinska izolacija (MW) d=20</t>
    </r>
    <r>
      <rPr>
        <sz val="9"/>
        <rFont val="Calibri"/>
        <family val="2"/>
      </rPr>
      <t>,0 cm</t>
    </r>
  </si>
  <si>
    <t>parna kočnica</t>
  </si>
  <si>
    <r>
      <t>OSB ploče na krovnoj plohi d=1</t>
    </r>
    <r>
      <rPr>
        <sz val="9"/>
        <rFont val="Calibri"/>
        <family val="2"/>
      </rPr>
      <t>,8 cm</t>
    </r>
  </si>
  <si>
    <t>drveni grednici 10x20cm, 
na razmacima od cca. 80 cm</t>
  </si>
  <si>
    <t>gipskartonske ploče, 1,2 cm</t>
  </si>
  <si>
    <t>Toplinska izolacija grijanog prostora prema negrijanoj terasi</t>
  </si>
  <si>
    <r>
      <t>Dobava materijala i izvedba toplinske izolacije stropa grijanog prostora prema negrijanoj terasi, izolacijom od mineralne vune d=16 cm s</t>
    </r>
    <r>
      <rPr>
        <sz val="9"/>
        <color rgb="FFFF0000"/>
        <rFont val="Calibri"/>
        <family val="2"/>
        <scheme val="minor"/>
      </rPr>
      <t xml:space="preserve"> </t>
    </r>
    <r>
      <rPr>
        <sz val="9"/>
        <rFont val="Calibri"/>
        <family val="2"/>
        <scheme val="minor"/>
      </rPr>
      <t xml:space="preserve">λ ≤  0,035 W/mK. </t>
    </r>
    <r>
      <rPr>
        <sz val="9"/>
        <color rgb="FFFF0000"/>
        <rFont val="Calibri"/>
        <family val="2"/>
        <scheme val="minor"/>
      </rPr>
      <t xml:space="preserve"> </t>
    </r>
    <r>
      <rPr>
        <sz val="9"/>
        <rFont val="Calibri"/>
        <family val="2"/>
        <scheme val="minor"/>
      </rPr>
      <t>Stavka uključuje  ugradnju gipskartonske ploče debljine 1,2 cm na pocinčanoj potkonstrukciji.</t>
    </r>
    <r>
      <rPr>
        <sz val="9"/>
        <rFont val="Calibri"/>
        <family val="2"/>
        <charset val="238"/>
        <scheme val="minor"/>
      </rPr>
      <t xml:space="preserve">
</t>
    </r>
  </si>
  <si>
    <t xml:space="preserve">Toplinska izolacija grijanog prostora prema negrijanom podrumu </t>
  </si>
  <si>
    <t xml:space="preserve">Obračun po m2 površine stropa, sve komplet. </t>
  </si>
  <si>
    <t>Toplinska i hidroizolacija kosog krova i krovnih kućica</t>
  </si>
  <si>
    <t>Dobava materijala, izrada i montaža limenih okapnica na parapetima prozora, od aluminijskog lima d=0,8 mm plastificiranima u bijeloj boji, na kukama od plosnog čelika. Prosječna razvijena širina lima je 40 cm. Boja lima prema ton karti proizvođača i odabiru projektanta.
Izvedba prema detaljima D1 - D6. Obračun po m' limene okapnice.</t>
  </si>
  <si>
    <t>Okapnica na zabatnom zidu</t>
  </si>
  <si>
    <t>Dobava materijala, izrada i montaža limenih okapnica na zabatnom zidu, od aluminijskog lima d=0,8 mm, na kukama od plosnog čelika. Prosječna razvijena širina lima je 30 cm. Limena okapnica se montira na drvenu potkonsktrukciju ispod pokrova od crijepa. Boja lima prema ton karti proizvođača i odabiru projektanta.
Obračun po m' limene okapnice.</t>
  </si>
  <si>
    <t>Limeni opšav ruba balkona i terasa</t>
  </si>
  <si>
    <t>alu. lim d=1,0mm, razvijena širina 20 cm</t>
  </si>
  <si>
    <t>Limeni opšav krovne uvale</t>
  </si>
  <si>
    <t xml:space="preserve">Limeni opšav spoja krova i zida </t>
  </si>
  <si>
    <r>
      <t xml:space="preserve">Dobava materijala, izrada i montaža limenih okapnica na vijencu kosog krova, od aluminijskog lima d=0,8 mm. Prosječna razvijena širina lima je 15 cm. Limena okapnica je montira na drvene grednike ispod hidroizolacijske folije. Boja lima prema ton karti proizvođača i odabiru projektanta. Stavka uključuje i postavu mrežice za kukce duljine 25 cm. </t>
    </r>
    <r>
      <rPr>
        <b/>
        <sz val="9"/>
        <rFont val="Calibri"/>
        <family val="2"/>
      </rPr>
      <t>Sve izvesti prema detalju 9.</t>
    </r>
    <r>
      <rPr>
        <sz val="9"/>
        <rFont val="Calibri"/>
        <family val="2"/>
        <charset val="238"/>
      </rPr>
      <t xml:space="preserve">
Izvedba prema detaljima D8. Obračun po m' limene okapnice.</t>
    </r>
  </si>
  <si>
    <t>Dobava materijala, izrada i montaža limenog opšava krovne uvale od aluminijskog lima d=1,0 mm, prosječne razvijene širine lima 50 cm,  lim se učvršćuje na drvene letve ispod pokrova od crijepa. Stavka uključuje sva pričvrsna sredstva. Obračun po m1 opšava.</t>
  </si>
  <si>
    <t>Nova limena obloga krova od falcanog aluminijskog lima iznad krovnih kućica i nadstrešnice</t>
  </si>
  <si>
    <t>bitumenska membrana</t>
  </si>
  <si>
    <t xml:space="preserve">drvene letve 5x8 cm </t>
  </si>
  <si>
    <t>daščana obloga 2,4 cm</t>
  </si>
  <si>
    <t>Limeni opšav ruba krovne kućice</t>
  </si>
  <si>
    <t>Horizontalni žlijebovi na vijencu kosog krova</t>
  </si>
  <si>
    <t>aluminijski lim d=0,8mm, razvijena širina 18 cm</t>
  </si>
  <si>
    <t>horizontalni žlijeb</t>
  </si>
  <si>
    <t>alu. lim d=1,0mm, razvijena širina 40 cm</t>
  </si>
  <si>
    <t>Izrada i ugradnja odzračnika plinskih bojlera radi izvedbe nove toplinske izolacije pročelja. Novi odzračnici su tipski limeni elementi, s ugrađenim zaštitnim mrežicama. Ukupnu duljinu prilagoditi debljini zida i novoj toplinskoj izolaciji. Stavka uključuje sva potrebna spojna sredstva.</t>
  </si>
  <si>
    <t>Boja ograde - prema ton karti proizvođača i odabiru projektanta</t>
  </si>
  <si>
    <t>toplinska izolacija podgleda pročelja (mv) d=16 cm</t>
  </si>
  <si>
    <t xml:space="preserve">topl. izolacija špaleta prozora (mv) d = 4 cm, prosječna širina špalete 30 cm </t>
  </si>
  <si>
    <t xml:space="preserve">žbuka na špaletama prozora, prosječna širina špalete 30 cm  </t>
  </si>
  <si>
    <t>Toplinska izolacija podgleda balkona, nadstrešnica i vijenaca</t>
  </si>
  <si>
    <t>toplinska izolacija podgleda pročelja (mv) d=4 cm</t>
  </si>
  <si>
    <r>
      <rPr>
        <b/>
        <sz val="9"/>
        <rFont val="Calibri"/>
        <family val="2"/>
        <charset val="238"/>
      </rPr>
      <t>ST.01</t>
    </r>
    <r>
      <rPr>
        <sz val="9"/>
        <rFont val="Calibri"/>
        <family val="2"/>
        <charset val="238"/>
      </rPr>
      <t xml:space="preserve"> - Jednokrilni zaokretno otklopni prozor u građevinskom otvoru 80 x 40 cm.</t>
    </r>
  </si>
  <si>
    <r>
      <rPr>
        <b/>
        <sz val="9"/>
        <rFont val="Calibri"/>
        <family val="2"/>
        <charset val="238"/>
      </rPr>
      <t>ST.02</t>
    </r>
    <r>
      <rPr>
        <sz val="9"/>
        <rFont val="Calibri"/>
        <family val="2"/>
        <charset val="238"/>
      </rPr>
      <t xml:space="preserve"> - Trokrilni zaokretno otklopni prozor.
 u građevinskom otvoru 210 x 175 cm.</t>
    </r>
  </si>
  <si>
    <r>
      <rPr>
        <b/>
        <sz val="9"/>
        <rFont val="Calibri"/>
        <family val="2"/>
        <charset val="238"/>
      </rPr>
      <t>ST.03</t>
    </r>
    <r>
      <rPr>
        <sz val="9"/>
        <rFont val="Calibri"/>
        <family val="2"/>
        <charset val="238"/>
      </rPr>
      <t xml:space="preserve"> - Četverodijelna stijena koja se sastoji od jednih vrata i tri fiksna ostakljena dijelau građevinskom otvoru 210 x 240 cm</t>
    </r>
  </si>
  <si>
    <r>
      <rPr>
        <b/>
        <sz val="9"/>
        <rFont val="Calibri"/>
        <family val="2"/>
        <charset val="238"/>
      </rPr>
      <t>ST.04</t>
    </r>
    <r>
      <rPr>
        <sz val="9"/>
        <rFont val="Calibri"/>
        <family val="2"/>
        <charset val="238"/>
      </rPr>
      <t xml:space="preserve"> - Dvokrilni zaokretno otklopni prozor u građevinskom otvoru 120 x 130 cm</t>
    </r>
  </si>
  <si>
    <r>
      <rPr>
        <b/>
        <sz val="9"/>
        <rFont val="Calibri"/>
        <family val="2"/>
        <charset val="238"/>
      </rPr>
      <t>ST.06</t>
    </r>
    <r>
      <rPr>
        <sz val="9"/>
        <rFont val="Calibri"/>
        <family val="2"/>
        <charset val="238"/>
      </rPr>
      <t xml:space="preserve"> - Dvokrilni zaokretno otklopni prozor.
 u građevinskom otvoru 110 x 160 cm</t>
    </r>
  </si>
  <si>
    <r>
      <rPr>
        <b/>
        <sz val="9"/>
        <rFont val="Calibri"/>
        <family val="2"/>
        <charset val="238"/>
      </rPr>
      <t>ST.07</t>
    </r>
    <r>
      <rPr>
        <sz val="9"/>
        <rFont val="Calibri"/>
        <family val="2"/>
        <charset val="238"/>
      </rPr>
      <t xml:space="preserve"> - Jednokrilni zaokretno otklopni prozor.
 u građevinskom otvoru 40 x 160 cm</t>
    </r>
  </si>
  <si>
    <r>
      <rPr>
        <b/>
        <sz val="9"/>
        <rFont val="Calibri"/>
        <family val="2"/>
        <charset val="238"/>
      </rPr>
      <t>ST.08</t>
    </r>
    <r>
      <rPr>
        <sz val="9"/>
        <rFont val="Calibri"/>
        <family val="2"/>
        <charset val="238"/>
      </rPr>
      <t xml:space="preserve"> - Jednokrilni zaokretno otklopni prozor u građevinskom otvoru 60 x 150 cm</t>
    </r>
  </si>
  <si>
    <r>
      <rPr>
        <b/>
        <sz val="9"/>
        <rFont val="Calibri"/>
        <family val="2"/>
        <charset val="238"/>
      </rPr>
      <t>ST.09</t>
    </r>
    <r>
      <rPr>
        <sz val="9"/>
        <rFont val="Calibri"/>
        <family val="2"/>
        <charset val="238"/>
      </rPr>
      <t xml:space="preserve"> - Jednokrilni zaokretno otklopni prozor u građevinskom otvoru 50 x 150 cm</t>
    </r>
  </si>
  <si>
    <r>
      <rPr>
        <b/>
        <sz val="9"/>
        <rFont val="Calibri"/>
        <family val="2"/>
        <charset val="238"/>
      </rPr>
      <t>ST.11</t>
    </r>
    <r>
      <rPr>
        <sz val="9"/>
        <rFont val="Calibri"/>
        <family val="2"/>
        <charset val="238"/>
      </rPr>
      <t xml:space="preserve"> - Jednokrilni ovalni otklopni prozor u građevinskom otvoru 120 x 85 cm</t>
    </r>
  </si>
  <si>
    <r>
      <rPr>
        <b/>
        <sz val="9"/>
        <rFont val="Calibri"/>
        <family val="2"/>
        <charset val="238"/>
      </rPr>
      <t>ST.12</t>
    </r>
    <r>
      <rPr>
        <sz val="9"/>
        <rFont val="Calibri"/>
        <family val="2"/>
        <charset val="238"/>
      </rPr>
      <t xml:space="preserve"> - Jednokrilni zaokretno otklopni prozor u građevinskom otvoru 50 x 160 cm</t>
    </r>
  </si>
  <si>
    <r>
      <rPr>
        <b/>
        <sz val="9"/>
        <rFont val="Calibri"/>
        <family val="2"/>
        <charset val="238"/>
      </rPr>
      <t>ST.13</t>
    </r>
    <r>
      <rPr>
        <sz val="9"/>
        <rFont val="Calibri"/>
        <family val="2"/>
        <charset val="238"/>
      </rPr>
      <t xml:space="preserve"> - Dvokrilni zaokretno otklopni prozor.
 u građevinskom otvoru 120 x 150 cm </t>
    </r>
  </si>
  <si>
    <r>
      <rPr>
        <b/>
        <sz val="9"/>
        <rFont val="Calibri"/>
        <family val="2"/>
        <charset val="238"/>
      </rPr>
      <t>ST.15</t>
    </r>
    <r>
      <rPr>
        <sz val="9"/>
        <rFont val="Calibri"/>
        <family val="2"/>
        <charset val="238"/>
      </rPr>
      <t>- Jednokrilni zaokretno otklopni prozor u građevinskom otvoru 80 x 160 cm</t>
    </r>
  </si>
  <si>
    <r>
      <rPr>
        <b/>
        <sz val="9"/>
        <rFont val="Calibri"/>
        <family val="2"/>
        <charset val="238"/>
      </rPr>
      <t>ST.16</t>
    </r>
    <r>
      <rPr>
        <sz val="9"/>
        <rFont val="Calibri"/>
        <family val="2"/>
        <charset val="238"/>
      </rPr>
      <t xml:space="preserve"> - Jednokrilni zaokretno otklopni prozor u građevinskom otvoru 50 x 160 cm</t>
    </r>
  </si>
  <si>
    <r>
      <rPr>
        <b/>
        <sz val="9"/>
        <rFont val="Calibri"/>
        <family val="2"/>
        <charset val="238"/>
      </rPr>
      <t>ST.17</t>
    </r>
    <r>
      <rPr>
        <sz val="9"/>
        <rFont val="Calibri"/>
        <family val="2"/>
        <charset val="238"/>
      </rPr>
      <t xml:space="preserve"> - Dvokrilni zaokretno otklopni prozor.
 u građevinskom otvoru 115 x 160 cm</t>
    </r>
  </si>
  <si>
    <r>
      <rPr>
        <b/>
        <sz val="9"/>
        <rFont val="Calibri"/>
        <family val="2"/>
        <charset val="238"/>
      </rPr>
      <t>ST.18</t>
    </r>
    <r>
      <rPr>
        <sz val="9"/>
        <rFont val="Calibri"/>
        <family val="2"/>
        <charset val="238"/>
      </rPr>
      <t xml:space="preserve"> - Dvokrilni zaokretno otklopni prozor u građevinskom otvoru 115 x 110 cm</t>
    </r>
  </si>
  <si>
    <r>
      <rPr>
        <b/>
        <sz val="9"/>
        <rFont val="Calibri"/>
        <family val="2"/>
        <charset val="238"/>
      </rPr>
      <t>ST.19</t>
    </r>
    <r>
      <rPr>
        <sz val="9"/>
        <rFont val="Calibri"/>
        <family val="2"/>
        <charset val="238"/>
      </rPr>
      <t xml:space="preserve"> - Dvokrilni zaokretno otklopni prozor u građevinskom otvoru 200 x 135 cm</t>
    </r>
  </si>
  <si>
    <r>
      <rPr>
        <b/>
        <sz val="9"/>
        <rFont val="Calibri"/>
        <family val="2"/>
        <charset val="238"/>
      </rPr>
      <t>ST.20</t>
    </r>
    <r>
      <rPr>
        <sz val="9"/>
        <rFont val="Calibri"/>
        <family val="2"/>
        <charset val="238"/>
      </rPr>
      <t xml:space="preserve"> - Jednokrilni krovni otklopni prozor.
 u građevinskom otvoru 80 x 100 cm </t>
    </r>
  </si>
  <si>
    <t>toplinska izolacija zidova pročelja, vijenca i dimnjaka (mv) d=4 cm</t>
  </si>
  <si>
    <t xml:space="preserve">žbuka na špaletama prozora, prosječna širina špalete 30cm  </t>
  </si>
  <si>
    <t>B.II.2.</t>
  </si>
  <si>
    <t>B.II.3</t>
  </si>
  <si>
    <t>B. OBRTNIČKI RADOVI / B.II.3. ČELIČNA BRAVARIJA</t>
  </si>
  <si>
    <t>B. OBRTNIČKI RADOVI / B.II.2. VANJSKA ALUMINIJSKA STOLARIJA</t>
  </si>
  <si>
    <t>VANJSKA PVC STOLARIJA</t>
  </si>
  <si>
    <t>Stambena zgrada u Zagrebu, Sveti Duh 65</t>
  </si>
  <si>
    <t>Sveti Duh 65, 10000 Zagreb</t>
  </si>
  <si>
    <t>Suvlasnici stambene zgrade u Zagrebu</t>
  </si>
  <si>
    <t xml:space="preserve">Sveti Duh 65 </t>
  </si>
  <si>
    <t>02-2020</t>
  </si>
  <si>
    <t>k.č.br. 1488, k.o. Črnomerec</t>
  </si>
  <si>
    <t>B. OBRTNIČKI RADOVI / B.II.1. VANJSKA PVC STOLARIJA</t>
  </si>
  <si>
    <t>VANJSKA PVC STOLARIJA UKUPNO:</t>
  </si>
  <si>
    <t>VANJSKA PVC  STOLARIJA ukupno</t>
  </si>
  <si>
    <t>Demontaža i uklanjanje elemenata na vanjskim zidovima i krovu: 
- instalacijskih kablova i cijevi
- pločice s adresom i sl., 
te ponovna montaža dijela elemenata u dogovoru s korisnikom. 
Sve demontirane elemente potrebno je sigurno pohraniti na gradilištu ili kod korisnika. Nakon izvedbe pročelja demontirane elemente potrebno je  odvesti na deponij ili predati korisniku. U stavku je uključeno otpajanje i ponovno spajanje svih vodova, uzemljenja i sl.</t>
  </si>
  <si>
    <t>Rušenje ožbukanih zidova od pune opeke debljine cca 30 cm u punoj visini u prostoru potkrovlja. Zidovi se uklanjaju kako bi se mogla izvesti toplinska izolacija kosog krova. Stavka uključuje transport na građevinsku deponiju.</t>
  </si>
  <si>
    <t xml:space="preserve">Demontaža ispune postojećeg drvenog grednog stropa   potkrovlja do sloja nosivih drvenih greda i rogova. Demontaža sadrži uklanjanje podgleda od ožbukane trstike na drvenim letvama debljine 5 cm, drvene oplate debljine 2 cm, sloja šute između greda visine cca 20 cm, drvenog sljepog poda debljine 2 cm i sloja estriha debljine cca 4 cm. slojevi se uklanjaju kako bi se mogla izvesti novi slojevi kosog krova. Stavka uključuje transport na građevinsku deponiju. Sve radove izvoditi pažljivo i bez velikih vibracija kako se ne bi oštetile okolne konstrukcije. Sve izvoditi u skladu sa propisanim higijensko-tehničkim mjerama zaštite na radu, sa potrebnim radnim skelama i podupiranjima, te pod nadzorom stručne osobe. </t>
  </si>
  <si>
    <t xml:space="preserve">Izvedba završnog sloja podnožja zgrade s tankoslojnom polimercementnom žbukom debljine 0,5 cm, armiranom staklenom alkalnootpornom mrežicom, te završnim vodoodbojnim slojem teraplasta za korištenje u podnožju i na blago zakošenim površinama, u granulaciji i boji prema odabiru projektanta. U cijenu su uključeni svi potrebni profili i okapi, te brtvene trake na spoju dijela zida izoliranog XPS-om i dijela zida izoliranog mineralnom (kamenom) vunom. 
Uz vanjski rub zgrade podnožje je potrebno armirati dvostrukom mrežicom te izvesti antigrafitnu zaštitu.
 </t>
  </si>
  <si>
    <t>Dobava materijala, izrada i montaža limenog opšava na rubu balkona i terasa od aluminijskog lima d=1,0 mm, prosječne razvijene širine lima 20 cm,  lim se polaže u sloj morta ispod keramičke obloge poda. Boja lima prema ton karti proizvođača i odabiru projektanta. Stavka uključuje sva pričvrsna sredstva. Obračun po m1 opšava.</t>
  </si>
  <si>
    <t>Dobava materijala, izrada i montaža limenog opšava spoja kosog krova i zida kod krovnih kućica i spoja zgrade s krovištem susjedne zgrade od aluminijskog lima d=1,0 mm, prosječne razvijene širine lima 30 cm,  lim se učvršćuje na drvene letve ispod pokrova od crijepa. Boja lima prema ton karti proizvođača i odabiru projektanta. Sve izvesti prema detalju 8 i 13. Stavka uključuje sva pričvrsna sredstva i sloj bitumenizirane ljepenke. Obračun po m1 opšava.</t>
  </si>
  <si>
    <t>Dobava materijala, izrada i montaža limenog opšava  ruba krovne kućice od aluminijskog lima d=1,0 mm, prosječne razvijene širine lima 40 cm, lim se učvršćuje na daščanu oplatu. Boja lima prema ton karti proizvođača i odabiru projektanta. Sve izvesti prema detalju 11 i 13. Stavka uključuje sva pričvrsna sredstva i sloj bitumenenske membrane. Obračun po m1 opšava.</t>
  </si>
  <si>
    <t xml:space="preserve">Dobava materijala i izvedba obloge krova krovnih kućica i nadstrešnice od aluminijskog falcanog lima d=0,8 mm s izvedenim okapnicama. Stavka uključuje drvene letve 5x8 cm, dašćanu oplatu 2,4 cm, sloj bitumenske membrane iznad te tipske odzrake za ventilirane krovove, snjegobrane, te sav potreban pribor za pravilnu izvedbu obloge. Boja lima prema ton karti proizvođača i odabiru projektanta. Sve izvesti prema detalju 11, 12 i 13. Boja lima prema ton karti proizvođača i odabiru projektanta. </t>
  </si>
  <si>
    <t>Stavka uključuje dobavu materijala i izvedbu  novog vertikalnog oluka za odvodnju vode te sve potrebne opšave, od aluminijskog lima d=0,8 mm, na kukama od plosnog čelika. Boja lima prema ton karti proizvođača i odabiru projektanta. Stavka uključuje dobavu materijala i ugradnju novih spojnih fazonskih elemenata između horizontalnih žlijebova i vertikalnih oluka i s vertikalnim ljevano željeznim cijevima u tlu.</t>
  </si>
  <si>
    <r>
      <t xml:space="preserve">Stavka uključuje dobavu materijala i izvedbu novog horizontalnog žlijeba za odvodnju vode te sve potrebne opšave prema </t>
    </r>
    <r>
      <rPr>
        <b/>
        <sz val="9"/>
        <rFont val="Calibri"/>
        <family val="2"/>
      </rPr>
      <t xml:space="preserve">detaljima D9,D10 i D11 </t>
    </r>
    <r>
      <rPr>
        <sz val="9"/>
        <rFont val="Calibri"/>
        <family val="2"/>
      </rPr>
      <t>, od aluminijskog lima d=0,8 mm, na kukama od plosnog čelika. Boja lima prema ton karti proizvođača i odabiru projektanta. Horizontalni žlijeb se spaja na nove vertikalne oluke. Stavka uključuje dobavu materijala i ugradnju novih spojnih fazonskih elemenata između novih horizontalnih žlijebova i novih vertikalnih oluka (prosječna duljina spojnih elemenata je 80 cm). Kuke se učvršćuju u nove drvene kontraletve koje su obračunate u stavci limenog pokrova ili pokrova crijepom.
Stavka uključuje sva potrebna spojna sredstva.</t>
    </r>
  </si>
  <si>
    <t>Izrada čeličnih ograda balkona visine 110 cm, izrađenih od vertikalnih nosača Č 40x40 mm duljine 120 cm na razmaku cca 100 cm usidrenih bočno u ab ploču, te ispune ograde od flaha Č 40x5 mm na razmaku od cca 13 cm navarenih na vertikale i horizontalnih nosača za prostiranje rublja od Č L 40 x40 mm duljine cca 2.0 m, navarenih bočno na vrh ograde. Ograda se pričvršćuje za fasadni zid preko predhodno usidrenog Č L 100x200 širine 40 mm, varenjem na horizontalu rukohvata. Čelik zaštiti protiv korozije pocinčavanjem, ličiti lakom, boja prema odabiru projektanta.</t>
  </si>
  <si>
    <t xml:space="preserve">drvene letve 3x5 cm </t>
  </si>
  <si>
    <t>Demontaža i rekonstrukcija krovne drvene nosive konstrukcije</t>
  </si>
  <si>
    <t xml:space="preserve">Demontaža i rekonstrukcija postojeće krovne drvene nosive konstrukcije nakon uvida u postojeće stanje  drvenog krovišta po izvršenoj demontaži pokrova. Stavka uključuje provjeru opterećenja od strane inženjera konstrukcije i po potrebi zamjenu postojeće konstrukcije (drveni rogovi dimenzija 12x12 cm i vezne grede 12x20 cm) novom drvenom konstrukcijom istih dimenzija. Zbog nemogućnosti pristupa cijelom krovištu, nije moguće točno pretpostaviti stvarno stanje konstrukcije i drvene građe, te odrediti točnu količinu potrebnih radova. Za potrebe troškovnika obračunata je količina od cca 15 % ukupne drvene građe krovišta, a točna količina će se utvrditi po izvršenoj procjeni inžinjera konstrukcija. Stavka uključuje transport na građevinsku deponiju. Sve radove izvoditi pažljivo i bez velikih vibracija kako se ne bi oštetile okolne konstrukcije. Sve izvoditi u skladu sa propisanim higijensko-tehničkim mjerama zaštite na radu, sa potrebnim radnim skelama i podupiranjima, te pod nadzorom stručne osobe. </t>
  </si>
  <si>
    <t xml:space="preserve">demontaža drvenih rogova dimenzija 12x12 cm  </t>
  </si>
  <si>
    <t xml:space="preserve">postava novih drvenih rogova dimenzija 12x12 cm  </t>
  </si>
  <si>
    <t>14.</t>
  </si>
  <si>
    <t>15.</t>
  </si>
  <si>
    <t>Demontaža postojećih slojeva balkona i terasa</t>
  </si>
  <si>
    <t xml:space="preserve">Demontaža postojećih podnih slojeva balkona i terasa koji se sastoje od podne obloge, cementne glazure i estriha do postojeće hidroizolacije(kod ravnog prohodnog krova). Stavka uključuje transport na građevinsku deponiju. Sve radove izvoditi pažljivo i bez velikih vibracija kako se ne bi oštetile okolne konstrukcije i postojeća hidroizolacija. Sve izvoditi u skladu sa propisanim higijensko-tehničkim mjerama zaštite na radu, sa potrebnim radnim skelama i podupiranjima, te pod nadzorom stručne osobe. </t>
  </si>
  <si>
    <t>Izrada cementnog estriha</t>
  </si>
  <si>
    <t xml:space="preserve">Izvedba lagano armiranog cementnog estriha u padu, zaglađene (2000 kg/m³) - debljine 6,0-4,0 cm iznad ab stropne ploče balkona i terase. Gornju površinu fino zagladiti. Rad obuhvaća dobavu materijala, unutrašnji transport. Podloga se izvodi od sitnozrnog betona C12/15 te se armira PP vlakancima. U stavku je uključena i izrada reške na mjestima sudara sa zidovima,  i ostalim vertikalnim elementima konstrukcije s umetkom od ekspandiranog polistirena d=1 cm. </t>
  </si>
  <si>
    <t xml:space="preserve">glineni crijep </t>
  </si>
  <si>
    <t>Toplinska izolacija na neprohodnim ravnim krovovima - ulazna nadstrešnica</t>
  </si>
  <si>
    <t>Hidroizolacija prohodnog ravnog krova -  terasa</t>
  </si>
  <si>
    <t>Dobava materijala i izvedba hidroizolacije prohodnog ravnog krova -  terasa</t>
  </si>
  <si>
    <t xml:space="preserve">toplinska izolacija (MW) d=4,0 cm  </t>
  </si>
  <si>
    <t>Dobava i polaganje podnih gres protukliznih keramičkih pločica po izboru projektanta na podove balkona i terasa u fleksibilno građevinsko ljepilo za postavljanje podne keramike. Fuge između pločica debljine 1-3 mm, sukladno tipu pločica. Masa za fugiranje sukladna tipu ljepila, u boji po izboru projektanta. U stavku je uključena i postava sokla od keramike te prethodna izvedba hidroizolacijskog premaza podloge i zidova do visine sokla.  Iskazane su stvarne podne površine. Obračun po
m2 izvedenih radova.</t>
  </si>
  <si>
    <t>Postava podne keramike i hidroizolacijskog premaza</t>
  </si>
  <si>
    <t>Stavka uključuje vanjske aluminijske žaluzine boje prema odabiru projektanta, ukoliko u shemama nije drugačije definirano.</t>
  </si>
  <si>
    <t>čelična ograda h=110 cm</t>
  </si>
  <si>
    <t>Izvedba i montaža  ograda balkona</t>
  </si>
  <si>
    <r>
      <rPr>
        <b/>
        <sz val="9"/>
        <rFont val="Calibri"/>
        <family val="2"/>
        <charset val="238"/>
      </rPr>
      <t>ST.10</t>
    </r>
    <r>
      <rPr>
        <sz val="9"/>
        <rFont val="Calibri"/>
        <family val="2"/>
        <charset val="238"/>
      </rPr>
      <t xml:space="preserve"> -Jednokrilna zaokretno otklopna vrata u građevinskom otvoru 90 x 240 cm</t>
    </r>
  </si>
  <si>
    <r>
      <rPr>
        <b/>
        <sz val="9"/>
        <rFont val="Calibri"/>
        <family val="2"/>
        <charset val="238"/>
      </rPr>
      <t>ST.05</t>
    </r>
    <r>
      <rPr>
        <sz val="9"/>
        <rFont val="Calibri"/>
        <family val="2"/>
        <charset val="238"/>
      </rPr>
      <t xml:space="preserve"> - Jednokrilni zaokretno otklopni prozor.
 u građevinskom otvoru 60 x 160 cm</t>
    </r>
  </si>
  <si>
    <r>
      <rPr>
        <b/>
        <sz val="9"/>
        <rFont val="Calibri"/>
        <family val="2"/>
        <charset val="238"/>
      </rPr>
      <t>ST.14</t>
    </r>
    <r>
      <rPr>
        <sz val="9"/>
        <rFont val="Calibri"/>
        <family val="2"/>
        <charset val="238"/>
      </rPr>
      <t xml:space="preserve"> - Jednokrilna zaokretno otklopna vrata
 u građevinskom otvoru 100 x 250 cm</t>
    </r>
  </si>
  <si>
    <r>
      <rPr>
        <sz val="9"/>
        <color indexed="8"/>
        <rFont val="Calibri"/>
        <family val="2"/>
        <charset val="238"/>
      </rPr>
      <t>Izrada, doprema i ugradnja vanjskih ALU stijena, od tipskih ALU profila prema shemama koje su sastavni dio ove stavke.</t>
    </r>
    <r>
      <rPr>
        <sz val="9"/>
        <color indexed="10"/>
        <rFont val="Calibri"/>
        <family val="2"/>
        <charset val="238"/>
      </rPr>
      <t xml:space="preserve"> </t>
    </r>
    <r>
      <rPr>
        <sz val="9"/>
        <rFont val="Calibri"/>
        <family val="2"/>
        <charset val="238"/>
      </rPr>
      <t>Ostakljenje trostrukim IZO staklom</t>
    </r>
    <r>
      <rPr>
        <sz val="9"/>
        <rFont val="Calibri"/>
        <family val="2"/>
      </rPr>
      <t xml:space="preserve"> 33,2+15A+4+15A+44,2 – s vanjske strane laminirano, ispuna između stakala argonom, s proračunskim dokazom koeficijenta prolaska topline stakla jednakog ili nižeg od 0,60 W/m²K i sa proračunskim dokazom koeficijenta prolaska topline prozora jednakog ili nižeg od 1,04 W/m²K - prema projektu racionalne uporabe energije i toplinske zaštite.</t>
    </r>
    <r>
      <rPr>
        <sz val="9"/>
        <color indexed="10"/>
        <rFont val="Calibri"/>
        <family val="2"/>
        <charset val="238"/>
      </rPr>
      <t xml:space="preserve">
</t>
    </r>
    <r>
      <rPr>
        <sz val="9"/>
        <color indexed="8"/>
        <rFont val="Calibri"/>
        <family val="2"/>
        <charset val="238"/>
      </rPr>
      <t>U stavku je uključena obrada spoja na susjedne plohe zida i druge elemente u sklopu obloge pročelja, kao i sva potrebna prilagođenja i podešavanja kao i izrada radioničke dokumentacije koja se daje na uvid i odobrenje osobi koja vrši nadzor na objektu. Uz dokumentaciju potrebno je dostaviti uzorak profila i ostakljenja koji također treba odobriti nadzorna osoba.</t>
    </r>
  </si>
  <si>
    <t>TROŠKOVNIK GRAĐEVINSKO-OBRTNIČKIH RADOVA</t>
  </si>
  <si>
    <t xml:space="preserve">Dobava materijala i izvedba toplinske izolacije kosog krova i krovnih kućica izolacijom od mineralne vune d=20,0 cm s λ ≤  0,035 W/mK. Stavka uključuje dobavu materijala i izvedbu paropropusne i vodonepropusne hidroizolacije iznad toplinske izolacije, te drvenih grednika dim. 10 x 20 cm na razmacima od oko 80 cm. Drveni grednici se preko novih OSB ploča pričvršćuju na postojeću konstrukciju krova. Stavka uključuje OSB ploče, debljine 1,8 cm i parnu kočnicu koja se postavi između OSB ploča i toplinske izolacije. Završni pokrov limom te pripadajuće letvanje su obrađeni u Limarskim radovima B.I. dok je predmet ove stavke i izvedba dvostrukog letvanja (3x5cm i 5x8 cm) te postava glinenog kontinentalnog crijepa, tipa i boje prema izboru projektanta. Skidanje postojećih slojeva krova do konstrukcije je obrađeno u Rušenjima i demontažama. Obaveza izvođača je da nakon uvida u stanje postojeće konstrukcije napravi statičku provjeru za novo opterećenje krova. Dodatna pojačanja konstrukcije treba izvesti u dogovoru s nadzornim inženjerom i projektantom konstrukcije. Izvedba prema detaljima D9, D10, D 11, D 12 i D13. </t>
  </si>
  <si>
    <t>parna brana</t>
  </si>
  <si>
    <r>
      <t xml:space="preserve">Dobava materijala i izvedba toplinske izolacije podgleda stropa negrijanog prostora podruma prema grijanom prostoru u prizemlju, izolacijom od mineralne vune d=16,0 cm s λ ≤  0,035 W/mK učvršćenjem tipskim pričvrsnicama na drvene štafle sitnorebričastog armiranobetonskog stropa. Stavka uključuje dobavu materijala i izvedbu toplinske izolacije sa svim pričvrsnim sredstvima prema uputi proizvođača. </t>
    </r>
    <r>
      <rPr>
        <b/>
        <sz val="9"/>
        <rFont val="Calibri"/>
        <family val="2"/>
        <scheme val="minor"/>
      </rPr>
      <t>Sve izvesti prema detalju D6.</t>
    </r>
    <r>
      <rPr>
        <sz val="9"/>
        <rFont val="Calibri"/>
        <family val="2"/>
        <charset val="238"/>
        <scheme val="minor"/>
      </rPr>
      <t xml:space="preserve">
</t>
    </r>
  </si>
  <si>
    <r>
      <t>Dobava materijala i izvedba toplinske izolacije i hidroizolacije ispod limenih klupčica na parapetima prozora, istacima i vijencu zabata. Toplinska izolacija se izvodi od XPS-a u nagibu prema van u debljini</t>
    </r>
    <r>
      <rPr>
        <sz val="9"/>
        <rFont val="Calibri"/>
        <family val="2"/>
        <charset val="238"/>
      </rPr>
      <t xml:space="preserve"> min. 2 cm. Prosječna širina toplinske i hidroizolacije je 35 cm. Hidroizolacija se izvodi hidroizolacijskim premazom. Izvedba prema detaljima D2 - D6. Obračun po m' toplinske i hidroizolacije.</t>
    </r>
  </si>
  <si>
    <t>Izvedba certificiranog (prema normi HRN EN 13500:2004) ETICS sustava toplinske izolacije vanjskih zidova, klasificiranje otpornosti na požar (prema normi HRN EN 13501-1) sa svim potrebnim predradnjama i pripremom podloge. Toplinska izolacija se izvodi mineralnom (kamenom) vunom (λ≤0,036 W/mK, A2, B-d1), debljine 15 i 4 cm, s tankoslojnim polimer cementnim mortom debljine min 0,5 cm nanesenim u dva sloja i armiranim staklenom alkalnootpornom mrežicom između slojeva. Završni dekorativni sloj izvesti od tankoslojne silikatne žbuke debljine 1,5 mm s dodatkom fungicida na prethodno impregniranu podlogu prema odabranom proizvođaču i tipu završnog sloja. Izbor završne žbuke, boja, granulacija i tekstura žbuke prema odabiru projektanta - nikakva dodatna obrada ploha nije potrebna. U stavku je uljučena izvedba probnih uzoraka boja na pročelju zgrade prije odabira završne nijanse boje. 
Ploče mineralne (kamene) vune su lijepljene na podlogu i mehanički učvršćene plastičnim pričvrsnicama sa širokim glavama, sve prema preporuci proizvođača.U stavku je uključena izvedba rondela za pričvrsnice i impregnacijski premaz. Minimalni broj pričvrsnica je 6, a maksimalni 12 kom/m². Izbor pričvrsnica i potrebni broj kom po m² je opisan u općim uvjetima.</t>
  </si>
  <si>
    <r>
      <t xml:space="preserve">Dobava materijala i izvedba toplinske izolacije zidova u podnožju zgrade pločama od ekstrudiranog polistirena XPS, ploče s rubnim preklopima s </t>
    </r>
    <r>
      <rPr>
        <sz val="9"/>
        <rFont val="Calibri"/>
        <family val="2"/>
        <charset val="238"/>
      </rPr>
      <t>λ ≤ 0,035 W/mK, zahrapavljene vanjske površine debljine 15 cm, proizvod po svemu mora zadovoljavati uvjete norme HRN EN 13164. Izvedba prema detaljima D1 i D2.</t>
    </r>
  </si>
  <si>
    <t>Izvedba certificiranog (prema normi HRN EN 13500:2004) ETICS sustava toplinske izolacije vanjskih zidova, klasificiranje otpornosti na požar (prema normi HRN EN 13501-1) sa svim potrebnim predradnjama i pripremom podloge. Toplinska izolacija se izvodi mineralnom (kamenom) vunom (λ≤0,036 W/mK, A2, B-d1), debljine 4 cm i 16 cm, s tankoslojnim polimer cementnim mortom debljine min 0,5 cm nanesenim u dva sloja i armiranim staklenom alkalnootpornom mrežicom između slojeva. Završni dekorativni sloj izvesti od tankoslojne silikatne žbuke debljine 1,5 mm s dodatkom fungicida na prethodno impregniranu podlogu prema odabranom proizvođaču i tipu završnog sloja. Izbor završne žbuke, boja, granulacija i tekstura žbuke prema odabiru projektanta - nikakva dodatna obrada ploha nije potrebna. Jediničnom cijenom uključeni svi spojni elementi: otvoreni, zatvoreni i kutni prelazi i završni elementi.  Izvoditelj treba imati radnike s odgovarajućim iskustvom, obučene i ovlaštene od proizvođača materijala.</t>
  </si>
  <si>
    <t>-Toplinske izolacije mineralne vune d=4 cm s λ ≤ 0,036 W/mK u podgledu</t>
  </si>
  <si>
    <t>-Toplinske izolacije mineralne vune d=16 cm s λ ≤ 0,036 W/mK u podgledu</t>
  </si>
  <si>
    <t>Obračun po m' izvedene ograde.</t>
  </si>
  <si>
    <t xml:space="preserve">24. Izvođač je dužan ponuditi sve stavke po opisu troškovnika, a eventualne alternative posebno opisati i izdvojiti. Promjene pojedinih stavki moguće su samo uz prethodno odobrenje projektanta ili nadzornog inženjera.
</t>
  </si>
  <si>
    <t>Dobava materijala i izvedba toplinske izolacije na neprohodnim ravnim krovovima - ulazna nadstrešnica od mineralne vune d=4,0 cm s λ ≤  0,036 W/mK kao prekid toplinskog mosta, slobodnom postavom na betonsku konzolnu ploču.</t>
  </si>
  <si>
    <t>Prije izrade sve mjere kontolirati u naravi. Minimalne visine parapeta prozora nakon ugradnje nove stolarije trebaju biti 100 cm.</t>
  </si>
  <si>
    <r>
      <rPr>
        <sz val="9"/>
        <color indexed="8"/>
        <rFont val="Calibri"/>
        <family val="2"/>
        <charset val="238"/>
      </rPr>
      <t>Izrada, doprema i ugradnja vanjskih PVC stijena, od tipskih PVC profila prema shemama koje su sastavni dio ove stavke.</t>
    </r>
    <r>
      <rPr>
        <sz val="9"/>
        <rFont val="Calibri"/>
        <family val="2"/>
      </rPr>
      <t xml:space="preserve"> Ostakljenje trostrukim IZO staklom 33,2+15A+4+15A+44,2 – s vanjske strane laminirano, ispuna između stakala argonom, s proračunskim dokazom koeficijenta prolaska topline stakla jednakog ili nižeg od 0,60 W/m²K i sa proračunskim dokazom koeficijenta prolaska topline prozora jednakog ili nižeg od 0,83 W/m²K - prema projektu racionalne uporabe energije i toplinske zaštite.</t>
    </r>
    <r>
      <rPr>
        <sz val="9"/>
        <color indexed="10"/>
        <rFont val="Calibri"/>
        <family val="2"/>
        <charset val="238"/>
      </rPr>
      <t xml:space="preserve">
</t>
    </r>
    <r>
      <rPr>
        <sz val="9"/>
        <color indexed="8"/>
        <rFont val="Calibri"/>
        <family val="2"/>
        <charset val="238"/>
      </rPr>
      <t>U stavku je uključena obrada spoja na susjedne plohe zida i druge elemente u sklopu obloge pročelja, kao i sva potrebna prilagođenja i podešavanja kao i izrada radioničke dokumentacije koja se daje na uvid i odobrenje osobi koja vrši nadzor na objektu. Uz dokumentaciju potrebno je dostaviti uzorak profila i ostakljenja koji također treba odobriti nadzorna osoba.</t>
    </r>
  </si>
  <si>
    <t>-Krovne sintetske višeslojne izolacijske PVC trake za  ravne krovove, slobodno položena. Polaganje hidroizolacije izvesti u svemu prema uputstvima proizvođača, prema detaljima. Jediničnom cijenom uključeni svi spojni elementi: otvoreni, zatvoreni i kutni prelazi i završni elementi. Osobitu pažnju posvetiti holkeru i završnom učvršćenju i brtvljenju hidroizolacije. Hidroizolacijske membrane se polažu na betonsku ploču. (sve prema uputama proizvođača). Rubovi membrana se međusobno preklapaju i zavaruju vrućim zrakom kako bi se postigao potpuno homogen spoj (min preklapanje prema uputama proizvođača). Na svojim završetcima membrana se vari na kaširane aluminijske limove. Sve spojeve izvesti na način da se osigura vodotijesnost membrane. Izvoditelj treba imati radnike s odgovarajućim iskustvom, obučene i ovlaštene od proizvođača materijala.</t>
  </si>
  <si>
    <t>hidroizolacija (PVC) za prohodne krovove</t>
  </si>
  <si>
    <t>Zagreb, svibanj 2022.</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</si>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</sst>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 &quot;kn&quot;_-;\-* #,##0.00\ &quot;kn&quot;_-;_-* &quot;-&quot;??\ &quot;kn&quot;_-;_-@_-"/>
    <numFmt numFmtId="165" formatCode="_-* #,##0.00\ _k_n_-;\-* #,##0.00\ _k_n_-;_-* &quot;-&quot;??\ _k_n_-;_-@_-"/>
    <numFmt numFmtId="166" formatCode="#,##0.0"/>
    <numFmt numFmtId="167" formatCode="#,##0.00_ ;[Red]\-#,##0.00\ "/>
    <numFmt numFmtId="168" formatCode="_-* #,##0.00\ _k_n_-;\-* #,##0.00\ _k_n_-;_-* \-??\ _k_n_-;_-@_-"/>
    <numFmt numFmtId="169" formatCode="_(&quot;kn&quot;\ * #,##0.00_);_(&quot;kn&quot;\ * \(#,##0.00\);_(&quot;kn&quot;\ * &quot;-&quot;??_);_(@_)"/>
    <numFmt numFmtId="170" formatCode="[$-41A]General"/>
    <numFmt numFmtId="171" formatCode="#,##0.00&quot; kn&quot;"/>
    <numFmt numFmtId="172" formatCode="_-* #,##0.00_-;\-* #,##0.00_-;_-* \-??_-;_-@_-"/>
  </numFmts>
  <fonts count="135" x14ac:knownFonts="1">
    <font>
      <sz val="11"/>
      <color theme="1"/>
      <name val="Calibri"/>
      <family val="2"/>
      <charset val="238"/>
      <scheme val="minor"/>
    </font>
    <font>
      <sz val="11"/>
      <color indexed="8"/>
      <name val="Calibri"/>
      <family val="2"/>
      <charset val="238"/>
    </font>
    <font>
      <sz val="11"/>
      <color indexed="8"/>
      <name val="Calibri"/>
      <family val="2"/>
      <charset val="238"/>
    </font>
    <font>
      <sz val="9"/>
      <name val="Arial"/>
      <family val="2"/>
    </font>
    <font>
      <b/>
      <sz val="9"/>
      <name val="Arial CE"/>
      <charset val="238"/>
    </font>
    <font>
      <sz val="9"/>
      <name val="Arial CE"/>
      <charset val="238"/>
    </font>
    <font>
      <sz val="9"/>
      <name val="Arial"/>
      <family val="2"/>
      <charset val="238"/>
    </font>
    <font>
      <b/>
      <sz val="9"/>
      <name val="Arial"/>
      <family val="2"/>
      <charset val="238"/>
    </font>
    <font>
      <i/>
      <sz val="9"/>
      <name val="Arial"/>
      <family val="2"/>
      <charset val="238"/>
    </font>
    <font>
      <sz val="10"/>
      <name val="Arial CE"/>
      <charset val="238"/>
    </font>
    <font>
      <b/>
      <sz val="10"/>
      <name val="Arial CE"/>
      <charset val="238"/>
    </font>
    <font>
      <b/>
      <sz val="10"/>
      <name val="Arial CE"/>
      <family val="2"/>
      <charset val="238"/>
    </font>
    <font>
      <sz val="12"/>
      <name val="Arial CE"/>
      <family val="2"/>
      <charset val="238"/>
    </font>
    <font>
      <b/>
      <sz val="10"/>
      <name val="Arial"/>
      <family val="2"/>
      <charset val="238"/>
    </font>
    <font>
      <sz val="11"/>
      <name val="Arial CE"/>
      <family val="2"/>
      <charset val="238"/>
    </font>
    <font>
      <b/>
      <sz val="11"/>
      <name val="Arial CE"/>
      <charset val="238"/>
    </font>
    <font>
      <sz val="10"/>
      <name val="Arial CE"/>
      <family val="2"/>
      <charset val="238"/>
    </font>
    <font>
      <b/>
      <sz val="11"/>
      <name val="Arial"/>
      <family val="2"/>
      <charset val="238"/>
    </font>
    <font>
      <sz val="9"/>
      <color indexed="8"/>
      <name val="Arial"/>
      <family val="2"/>
      <charset val="238"/>
    </font>
    <font>
      <sz val="10"/>
      <name val="Arial"/>
      <family val="2"/>
      <charset val="238"/>
    </font>
    <font>
      <b/>
      <sz val="12"/>
      <name val="Arial CE"/>
      <charset val="238"/>
    </font>
    <font>
      <b/>
      <sz val="11"/>
      <color indexed="8"/>
      <name val="Calibri"/>
      <family val="2"/>
      <charset val="238"/>
    </font>
    <font>
      <sz val="11"/>
      <color indexed="10"/>
      <name val="Calibri"/>
      <family val="2"/>
      <charset val="238"/>
    </font>
    <font>
      <sz val="11"/>
      <color indexed="8"/>
      <name val="Arial"/>
      <family val="2"/>
      <charset val="238"/>
    </font>
    <font>
      <sz val="9"/>
      <color indexed="8"/>
      <name val="Arial"/>
      <family val="2"/>
      <charset val="238"/>
    </font>
    <font>
      <b/>
      <sz val="9"/>
      <color indexed="8"/>
      <name val="Arial"/>
      <family val="2"/>
      <charset val="238"/>
    </font>
    <font>
      <b/>
      <sz val="10"/>
      <color indexed="10"/>
      <name val="Arial"/>
      <family val="2"/>
      <charset val="238"/>
    </font>
    <font>
      <b/>
      <sz val="12"/>
      <color indexed="8"/>
      <name val="Arial"/>
      <family val="2"/>
      <charset val="238"/>
    </font>
    <font>
      <sz val="10"/>
      <color indexed="10"/>
      <name val="Arial CE"/>
      <charset val="238"/>
    </font>
    <font>
      <b/>
      <sz val="10"/>
      <color indexed="10"/>
      <name val="Arial CE"/>
      <charset val="238"/>
    </font>
    <font>
      <sz val="10"/>
      <color indexed="10"/>
      <name val="Arial"/>
      <family val="2"/>
      <charset val="238"/>
    </font>
    <font>
      <b/>
      <sz val="12"/>
      <color indexed="10"/>
      <name val="Arial"/>
      <family val="2"/>
      <charset val="238"/>
    </font>
    <font>
      <sz val="8"/>
      <name val="Calibri"/>
      <family val="2"/>
      <charset val="238"/>
    </font>
    <font>
      <sz val="11"/>
      <color indexed="8"/>
      <name val="Arial"/>
      <family val="2"/>
      <charset val="238"/>
    </font>
    <font>
      <sz val="11"/>
      <color indexed="10"/>
      <name val="Calibri"/>
      <family val="2"/>
      <charset val="238"/>
    </font>
    <font>
      <sz val="11"/>
      <color indexed="10"/>
      <name val="Arial"/>
      <family val="2"/>
      <charset val="238"/>
    </font>
    <font>
      <sz val="11"/>
      <name val="Calibri"/>
      <family val="2"/>
      <charset val="238"/>
    </font>
    <font>
      <i/>
      <sz val="11"/>
      <color indexed="8"/>
      <name val="Calibri"/>
      <family val="2"/>
      <charset val="238"/>
    </font>
    <font>
      <sz val="10"/>
      <color indexed="8"/>
      <name val="Calibri"/>
      <family val="2"/>
      <charset val="238"/>
    </font>
    <font>
      <sz val="10"/>
      <name val="Calibri"/>
      <family val="2"/>
      <charset val="238"/>
    </font>
    <font>
      <b/>
      <sz val="12"/>
      <color indexed="8"/>
      <name val="Calibri"/>
      <family val="2"/>
      <charset val="238"/>
    </font>
    <font>
      <b/>
      <sz val="10"/>
      <name val="Calibri"/>
      <family val="2"/>
      <charset val="238"/>
    </font>
    <font>
      <b/>
      <sz val="12"/>
      <name val="Calibri"/>
      <family val="2"/>
      <charset val="238"/>
    </font>
    <font>
      <sz val="11"/>
      <color indexed="8"/>
      <name val="Calibri"/>
      <family val="2"/>
      <charset val="238"/>
    </font>
    <font>
      <b/>
      <sz val="11"/>
      <name val="Calibri"/>
      <family val="2"/>
      <charset val="238"/>
    </font>
    <font>
      <b/>
      <sz val="10"/>
      <color indexed="8"/>
      <name val="Calibri"/>
      <family val="2"/>
      <charset val="238"/>
    </font>
    <font>
      <i/>
      <sz val="10"/>
      <color indexed="8"/>
      <name val="Calibri"/>
      <family val="2"/>
      <charset val="238"/>
    </font>
    <font>
      <b/>
      <sz val="14"/>
      <color indexed="8"/>
      <name val="Calibri"/>
      <family val="2"/>
      <charset val="238"/>
    </font>
    <font>
      <b/>
      <sz val="14"/>
      <name val="Calibri"/>
      <family val="2"/>
      <charset val="238"/>
    </font>
    <font>
      <sz val="12"/>
      <name val="Calibri"/>
      <family val="2"/>
      <charset val="238"/>
    </font>
    <font>
      <sz val="11"/>
      <color indexed="8"/>
      <name val="Calibri"/>
      <family val="2"/>
      <charset val="238"/>
    </font>
    <font>
      <b/>
      <sz val="9"/>
      <color indexed="8"/>
      <name val="Calibri"/>
      <family val="2"/>
      <charset val="238"/>
    </font>
    <font>
      <b/>
      <sz val="9"/>
      <name val="Calibri"/>
      <family val="2"/>
      <charset val="238"/>
    </font>
    <font>
      <sz val="9"/>
      <name val="Calibri"/>
      <family val="2"/>
      <charset val="238"/>
    </font>
    <font>
      <sz val="9"/>
      <color indexed="10"/>
      <name val="Calibri"/>
      <family val="2"/>
      <charset val="238"/>
    </font>
    <font>
      <sz val="11"/>
      <color indexed="8"/>
      <name val="Calibri"/>
      <family val="2"/>
      <charset val="238"/>
    </font>
    <font>
      <sz val="9"/>
      <color indexed="8"/>
      <name val="Calibri"/>
      <family val="2"/>
      <charset val="238"/>
    </font>
    <font>
      <sz val="11"/>
      <color indexed="8"/>
      <name val="Calibri"/>
      <family val="2"/>
      <charset val="238"/>
    </font>
    <font>
      <i/>
      <sz val="9"/>
      <name val="Calibri"/>
      <family val="2"/>
      <charset val="238"/>
    </font>
    <font>
      <i/>
      <sz val="10"/>
      <name val="Calibri"/>
      <family val="2"/>
      <charset val="238"/>
    </font>
    <font>
      <sz val="10"/>
      <name val="Calibri"/>
      <family val="2"/>
      <charset val="238"/>
    </font>
    <font>
      <b/>
      <i/>
      <sz val="9"/>
      <name val="Calibri"/>
      <family val="2"/>
      <charset val="238"/>
    </font>
    <font>
      <sz val="9"/>
      <color indexed="8"/>
      <name val="Calibri"/>
      <family val="2"/>
      <charset val="238"/>
    </font>
    <font>
      <sz val="9"/>
      <color indexed="8"/>
      <name val="Calibri"/>
      <family val="2"/>
    </font>
    <font>
      <sz val="9"/>
      <color indexed="14"/>
      <name val="Calibri"/>
      <family val="2"/>
      <charset val="238"/>
    </font>
    <font>
      <sz val="11"/>
      <color indexed="14"/>
      <name val="Calibri"/>
      <family val="2"/>
      <charset val="238"/>
    </font>
    <font>
      <sz val="11"/>
      <name val="Arial"/>
      <family val="2"/>
      <charset val="238"/>
    </font>
    <font>
      <b/>
      <sz val="9"/>
      <color indexed="8"/>
      <name val="Calibri"/>
      <family val="2"/>
    </font>
    <font>
      <b/>
      <sz val="16"/>
      <name val="Calibri"/>
      <family val="2"/>
      <charset val="238"/>
    </font>
    <font>
      <b/>
      <sz val="12"/>
      <name val="Arial"/>
      <family val="2"/>
      <charset val="238"/>
    </font>
    <font>
      <sz val="12"/>
      <name val="Arial"/>
      <family val="2"/>
      <charset val="238"/>
    </font>
    <font>
      <sz val="11"/>
      <name val="Arial Narrow"/>
      <family val="2"/>
      <charset val="238"/>
    </font>
    <font>
      <sz val="11"/>
      <color indexed="17"/>
      <name val="Calibri"/>
      <family val="2"/>
      <charset val="238"/>
    </font>
    <font>
      <u/>
      <sz val="11"/>
      <color indexed="12"/>
      <name val="Calibri"/>
      <family val="2"/>
      <charset val="238"/>
    </font>
    <font>
      <b/>
      <sz val="11"/>
      <color indexed="63"/>
      <name val="Calibri"/>
      <family val="2"/>
      <charset val="238"/>
    </font>
    <font>
      <b/>
      <sz val="18"/>
      <color indexed="56"/>
      <name val="Cambria"/>
      <family val="2"/>
      <charset val="238"/>
    </font>
    <font>
      <sz val="10"/>
      <name val="Arial"/>
      <family val="2"/>
    </font>
    <font>
      <u/>
      <sz val="10"/>
      <color indexed="12"/>
      <name val="Arial"/>
      <family val="2"/>
      <charset val="238"/>
    </font>
    <font>
      <sz val="10"/>
      <name val="Helv"/>
    </font>
    <font>
      <sz val="12"/>
      <name val="Arial"/>
      <family val="2"/>
    </font>
    <font>
      <sz val="10"/>
      <name val="Times New Roman CE"/>
      <family val="1"/>
      <charset val="238"/>
    </font>
    <font>
      <sz val="12"/>
      <name val="Times New Roman CE"/>
      <family val="1"/>
      <charset val="238"/>
    </font>
    <font>
      <sz val="10"/>
      <name val="Helv"/>
      <family val="2"/>
    </font>
    <font>
      <sz val="10"/>
      <color indexed="8"/>
      <name val="Arial CE"/>
      <charset val="238"/>
    </font>
    <font>
      <i/>
      <sz val="11"/>
      <color indexed="8"/>
      <name val="Arial"/>
      <family val="2"/>
      <charset val="238"/>
    </font>
    <font>
      <sz val="12"/>
      <name val="Arial CE"/>
      <charset val="238"/>
    </font>
    <font>
      <sz val="11"/>
      <color indexed="9"/>
      <name val="Calibri"/>
      <family val="2"/>
      <charset val="238"/>
    </font>
    <font>
      <sz val="11"/>
      <color indexed="20"/>
      <name val="Calibri"/>
      <family val="2"/>
      <charset val="238"/>
    </font>
    <font>
      <b/>
      <sz val="11"/>
      <color indexed="52"/>
      <name val="Calibri"/>
      <family val="2"/>
      <charset val="238"/>
    </font>
    <font>
      <b/>
      <sz val="11"/>
      <color indexed="9"/>
      <name val="Calibri"/>
      <family val="2"/>
      <charset val="238"/>
    </font>
    <font>
      <i/>
      <sz val="11"/>
      <color indexed="23"/>
      <name val="Calibri"/>
      <family val="2"/>
      <charset val="238"/>
    </font>
    <font>
      <b/>
      <sz val="15"/>
      <color indexed="56"/>
      <name val="Calibri"/>
      <family val="2"/>
      <charset val="238"/>
    </font>
    <font>
      <b/>
      <sz val="13"/>
      <color indexed="56"/>
      <name val="Calibri"/>
      <family val="2"/>
      <charset val="238"/>
    </font>
    <font>
      <b/>
      <sz val="11"/>
      <color indexed="56"/>
      <name val="Calibri"/>
      <family val="2"/>
      <charset val="238"/>
    </font>
    <font>
      <sz val="11"/>
      <color indexed="62"/>
      <name val="Calibri"/>
      <family val="2"/>
      <charset val="238"/>
    </font>
    <font>
      <sz val="11"/>
      <color indexed="52"/>
      <name val="Calibri"/>
      <family val="2"/>
      <charset val="238"/>
    </font>
    <font>
      <sz val="11"/>
      <color indexed="60"/>
      <name val="Calibri"/>
      <family val="2"/>
      <charset val="238"/>
    </font>
    <font>
      <sz val="10"/>
      <name val="Mangal"/>
      <family val="2"/>
      <charset val="238"/>
    </font>
    <font>
      <sz val="10"/>
      <name val="MS Sans Serif"/>
      <family val="2"/>
      <charset val="238"/>
    </font>
    <font>
      <sz val="11"/>
      <color theme="1"/>
      <name val="Calibri"/>
      <family val="2"/>
      <charset val="238"/>
      <scheme val="minor"/>
    </font>
    <font>
      <sz val="9"/>
      <color theme="1"/>
      <name val="Tahoma"/>
      <family val="2"/>
      <charset val="238"/>
    </font>
    <font>
      <u/>
      <sz val="11"/>
      <color theme="10"/>
      <name val="Calibri"/>
      <family val="2"/>
      <charset val="238"/>
    </font>
    <font>
      <u/>
      <sz val="10"/>
      <color theme="10"/>
      <name val="Arial"/>
      <family val="2"/>
    </font>
    <font>
      <sz val="10"/>
      <color rgb="FF000000"/>
      <name val="Arial"/>
      <family val="2"/>
      <charset val="238"/>
    </font>
    <font>
      <sz val="11"/>
      <color theme="1"/>
      <name val="Calibri"/>
      <family val="2"/>
      <scheme val="minor"/>
    </font>
    <font>
      <sz val="10"/>
      <color theme="1"/>
      <name val="Arial"/>
      <family val="2"/>
      <charset val="238"/>
    </font>
    <font>
      <sz val="11"/>
      <color rgb="FFFF0000"/>
      <name val="Arial"/>
      <family val="2"/>
      <charset val="238"/>
    </font>
    <font>
      <sz val="9"/>
      <color theme="1"/>
      <name val="Calibri"/>
      <family val="2"/>
      <charset val="238"/>
    </font>
    <font>
      <sz val="11"/>
      <name val="Calibri"/>
      <family val="2"/>
      <charset val="238"/>
      <scheme val="minor"/>
    </font>
    <font>
      <sz val="9"/>
      <name val="Calibri"/>
      <family val="2"/>
      <charset val="238"/>
      <scheme val="minor"/>
    </font>
    <font>
      <b/>
      <sz val="9"/>
      <name val="Calibri"/>
      <family val="2"/>
      <charset val="238"/>
      <scheme val="minor"/>
    </font>
    <font>
      <sz val="11"/>
      <color theme="5" tint="-0.249977111117893"/>
      <name val="Calibri"/>
      <family val="2"/>
      <charset val="238"/>
    </font>
    <font>
      <b/>
      <sz val="9"/>
      <color theme="1"/>
      <name val="Calibri"/>
      <family val="2"/>
    </font>
    <font>
      <sz val="10"/>
      <name val="Calibri"/>
      <family val="2"/>
      <charset val="238"/>
      <scheme val="minor"/>
    </font>
    <font>
      <sz val="9"/>
      <color rgb="FFFF0000"/>
      <name val="Calibri"/>
      <family val="2"/>
      <charset val="238"/>
    </font>
    <font>
      <sz val="9"/>
      <color theme="5" tint="-0.249977111117893"/>
      <name val="Calibri"/>
      <family val="2"/>
      <charset val="238"/>
    </font>
    <font>
      <sz val="10"/>
      <color rgb="FF222222"/>
      <name val="Arial"/>
      <family val="2"/>
      <charset val="238"/>
    </font>
    <font>
      <sz val="10"/>
      <color theme="1"/>
      <name val="Calibri"/>
      <family val="2"/>
      <charset val="238"/>
      <scheme val="minor"/>
    </font>
    <font>
      <sz val="9"/>
      <color theme="1"/>
      <name val="Calibri"/>
      <family val="2"/>
      <charset val="238"/>
      <scheme val="minor"/>
    </font>
    <font>
      <b/>
      <sz val="11"/>
      <name val="Calibri"/>
      <family val="2"/>
      <charset val="238"/>
      <scheme val="minor"/>
    </font>
    <font>
      <b/>
      <sz val="9"/>
      <name val="Calibri"/>
      <family val="2"/>
    </font>
    <font>
      <sz val="9"/>
      <name val="Calibri"/>
      <family val="2"/>
    </font>
    <font>
      <b/>
      <sz val="9"/>
      <color rgb="FFFF0000"/>
      <name val="Calibri"/>
      <family val="2"/>
      <charset val="238"/>
    </font>
    <font>
      <sz val="9"/>
      <name val="Calibri"/>
      <family val="2"/>
      <scheme val="minor"/>
    </font>
    <font>
      <sz val="9"/>
      <color rgb="FFFF0000"/>
      <name val="Calibri"/>
      <family val="2"/>
      <scheme val="minor"/>
    </font>
    <font>
      <sz val="11"/>
      <name val="Calibri"/>
      <family val="2"/>
    </font>
    <font>
      <i/>
      <sz val="9"/>
      <name val="Calibri"/>
      <family val="2"/>
    </font>
    <font>
      <i/>
      <sz val="9"/>
      <color indexed="10"/>
      <name val="Calibri"/>
      <family val="2"/>
      <charset val="238"/>
    </font>
    <font>
      <b/>
      <sz val="9"/>
      <color indexed="10"/>
      <name val="Calibri"/>
      <family val="2"/>
      <charset val="238"/>
    </font>
    <font>
      <sz val="10"/>
      <name val="Calibri"/>
      <family val="2"/>
    </font>
    <font>
      <b/>
      <sz val="10"/>
      <name val="Calibri"/>
      <family val="2"/>
    </font>
    <font>
      <b/>
      <sz val="9"/>
      <name val="Calibri"/>
      <family val="2"/>
      <scheme val="minor"/>
    </font>
    <font>
      <sz val="9"/>
      <color rgb="FFFF0000"/>
      <name val="Calibri"/>
      <family val="2"/>
    </font>
    <font>
      <sz val="11"/>
      <color theme="0"/>
      <name val="Calibri"/>
      <family val="2"/>
      <charset val="238"/>
      <scheme val="minor"/>
    </font>
    <font>
      <sz val="9"/>
      <color theme="1"/>
      <name val="Calibri"/>
      <family val="2"/>
    </font>
  </fonts>
  <fills count="48">
    <fill>
      <patternFill patternType="none"/>
    </fill>
    <fill>
      <patternFill patternType="gray125"/>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6"/>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bgColor indexed="9"/>
      </patternFill>
    </fill>
    <fill>
      <patternFill patternType="solid">
        <fgColor indexed="22"/>
        <bgColor indexed="64"/>
      </patternFill>
    </fill>
    <fill>
      <patternFill patternType="solid">
        <fgColor rgb="FFFFFFCC"/>
      </patternFill>
    </fill>
  </fills>
  <borders count="23">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style="thin">
        <color indexed="62"/>
      </top>
      <bottom style="double">
        <color indexed="62"/>
      </bottom>
      <diagonal/>
    </border>
    <border>
      <left/>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s>
  <cellStyleXfs count="1054">
    <xf numFmtId="0" fontId="0" fillId="0" borderId="0"/>
    <xf numFmtId="0" fontId="19" fillId="0" borderId="0"/>
    <xf numFmtId="0" fontId="19" fillId="0" borderId="0"/>
    <xf numFmtId="0" fontId="78"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14"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23"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22"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7"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6"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19"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18"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5"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7"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29"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28"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1"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0"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3"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2"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35"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3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5"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4"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7"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26"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6" fillId="37"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6" fillId="36"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87" fillId="5"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87" fillId="4" borderId="0" applyNumberFormat="0" applyBorder="0" applyAlignment="0" applyProtection="0"/>
    <xf numFmtId="0" fontId="76" fillId="38" borderId="1" applyNumberFormat="0" applyFont="0" applyAlignment="0" applyProtection="0"/>
    <xf numFmtId="0" fontId="76" fillId="38" borderId="1" applyNumberFormat="0" applyFont="0" applyAlignment="0" applyProtection="0"/>
    <xf numFmtId="0" fontId="88" fillId="39" borderId="2" applyNumberFormat="0" applyAlignment="0" applyProtection="0"/>
    <xf numFmtId="0" fontId="88" fillId="39" borderId="2" applyNumberFormat="0" applyAlignment="0" applyProtection="0"/>
    <xf numFmtId="0" fontId="88" fillId="39" borderId="2" applyNumberFormat="0" applyAlignment="0" applyProtection="0"/>
    <xf numFmtId="0" fontId="88" fillId="39" borderId="2" applyNumberFormat="0" applyAlignment="0" applyProtection="0"/>
    <xf numFmtId="0" fontId="88" fillId="39" borderId="2" applyNumberFormat="0" applyAlignment="0" applyProtection="0"/>
    <xf numFmtId="0" fontId="88" fillId="39" borderId="2" applyNumberFormat="0" applyAlignment="0" applyProtection="0"/>
    <xf numFmtId="0" fontId="88" fillId="39" borderId="2" applyNumberFormat="0" applyAlignment="0" applyProtection="0"/>
    <xf numFmtId="0" fontId="88" fillId="39" borderId="2" applyNumberFormat="0" applyAlignment="0" applyProtection="0"/>
    <xf numFmtId="0" fontId="88" fillId="40" borderId="2" applyNumberFormat="0" applyAlignment="0" applyProtection="0"/>
    <xf numFmtId="0" fontId="88" fillId="39" borderId="2" applyNumberFormat="0" applyAlignment="0" applyProtection="0"/>
    <xf numFmtId="0" fontId="88" fillId="39" borderId="2" applyNumberFormat="0" applyAlignment="0" applyProtection="0"/>
    <xf numFmtId="0" fontId="88" fillId="39" borderId="2" applyNumberFormat="0" applyAlignment="0" applyProtection="0"/>
    <xf numFmtId="0" fontId="88" fillId="39" borderId="2" applyNumberFormat="0" applyAlignment="0" applyProtection="0"/>
    <xf numFmtId="0" fontId="88" fillId="39" borderId="2" applyNumberFormat="0" applyAlignment="0" applyProtection="0"/>
    <xf numFmtId="0" fontId="88" fillId="39" borderId="2" applyNumberFormat="0" applyAlignment="0" applyProtection="0"/>
    <xf numFmtId="0" fontId="88" fillId="39" borderId="2" applyNumberFormat="0" applyAlignment="0" applyProtection="0"/>
    <xf numFmtId="0" fontId="88" fillId="39" borderId="2" applyNumberFormat="0" applyAlignment="0" applyProtection="0"/>
    <xf numFmtId="0" fontId="89" fillId="41" borderId="3" applyNumberFormat="0" applyAlignment="0" applyProtection="0"/>
    <xf numFmtId="0" fontId="89" fillId="41" borderId="3" applyNumberFormat="0" applyAlignment="0" applyProtection="0"/>
    <xf numFmtId="0" fontId="89" fillId="41" borderId="3" applyNumberFormat="0" applyAlignment="0" applyProtection="0"/>
    <xf numFmtId="0" fontId="89" fillId="41" borderId="3" applyNumberFormat="0" applyAlignment="0" applyProtection="0"/>
    <xf numFmtId="0" fontId="89" fillId="41" borderId="3" applyNumberFormat="0" applyAlignment="0" applyProtection="0"/>
    <xf numFmtId="0" fontId="89" fillId="41" borderId="3" applyNumberFormat="0" applyAlignment="0" applyProtection="0"/>
    <xf numFmtId="0" fontId="89" fillId="41" borderId="3" applyNumberFormat="0" applyAlignment="0" applyProtection="0"/>
    <xf numFmtId="0" fontId="89" fillId="41" borderId="3" applyNumberFormat="0" applyAlignment="0" applyProtection="0"/>
    <xf numFmtId="0" fontId="89" fillId="42" borderId="3" applyNumberFormat="0" applyAlignment="0" applyProtection="0"/>
    <xf numFmtId="0" fontId="89" fillId="41" borderId="3" applyNumberFormat="0" applyAlignment="0" applyProtection="0"/>
    <xf numFmtId="0" fontId="89" fillId="41" borderId="3" applyNumberFormat="0" applyAlignment="0" applyProtection="0"/>
    <xf numFmtId="0" fontId="89" fillId="41" borderId="3" applyNumberFormat="0" applyAlignment="0" applyProtection="0"/>
    <xf numFmtId="0" fontId="89" fillId="41" borderId="3" applyNumberFormat="0" applyAlignment="0" applyProtection="0"/>
    <xf numFmtId="0" fontId="89" fillId="41" borderId="3" applyNumberFormat="0" applyAlignment="0" applyProtection="0"/>
    <xf numFmtId="0" fontId="89" fillId="41" borderId="3" applyNumberFormat="0" applyAlignment="0" applyProtection="0"/>
    <xf numFmtId="0" fontId="89" fillId="41" borderId="3" applyNumberFormat="0" applyAlignment="0" applyProtection="0"/>
    <xf numFmtId="0" fontId="89" fillId="41" borderId="3" applyNumberFormat="0" applyAlignment="0" applyProtection="0"/>
    <xf numFmtId="172" fontId="19" fillId="0" borderId="0" applyFill="0" applyBorder="0" applyAlignment="0" applyProtection="0"/>
    <xf numFmtId="172" fontId="19" fillId="0" borderId="0" applyFill="0" applyBorder="0" applyAlignment="0" applyProtection="0"/>
    <xf numFmtId="43" fontId="19" fillId="0" borderId="0" applyFill="0" applyBorder="0" applyAlignment="0" applyProtection="0"/>
    <xf numFmtId="43" fontId="19" fillId="0" borderId="0" applyFill="0" applyBorder="0" applyAlignment="0" applyProtection="0"/>
    <xf numFmtId="43" fontId="19" fillId="0" borderId="0" applyFill="0" applyBorder="0" applyAlignment="0" applyProtection="0"/>
    <xf numFmtId="172" fontId="19" fillId="0" borderId="0" applyFill="0" applyBorder="0" applyAlignment="0" applyProtection="0"/>
    <xf numFmtId="172" fontId="19" fillId="0" borderId="0" applyFill="0" applyBorder="0" applyAlignment="0" applyProtection="0"/>
    <xf numFmtId="43" fontId="19" fillId="0" borderId="0" applyFill="0" applyBorder="0" applyAlignment="0" applyProtection="0"/>
    <xf numFmtId="166" fontId="97" fillId="0" borderId="0" applyFill="0" applyBorder="0" applyAlignment="0" applyProtection="0"/>
    <xf numFmtId="172" fontId="19" fillId="0" borderId="0" applyFill="0" applyBorder="0" applyAlignment="0" applyProtection="0"/>
    <xf numFmtId="168" fontId="97" fillId="0" borderId="0" applyFill="0" applyBorder="0" applyAlignment="0" applyProtection="0"/>
    <xf numFmtId="171" fontId="97" fillId="0" borderId="0" applyFill="0" applyBorder="0" applyAlignment="0" applyProtection="0"/>
    <xf numFmtId="172" fontId="97" fillId="0" borderId="0" applyFill="0" applyBorder="0" applyAlignment="0" applyProtection="0"/>
    <xf numFmtId="172" fontId="97" fillId="0" borderId="0" applyFill="0" applyBorder="0" applyAlignment="0" applyProtection="0"/>
    <xf numFmtId="172" fontId="97" fillId="0" borderId="0" applyFill="0" applyBorder="0" applyAlignment="0" applyProtection="0"/>
    <xf numFmtId="172" fontId="97" fillId="0" borderId="0" applyFill="0" applyBorder="0" applyAlignment="0" applyProtection="0"/>
    <xf numFmtId="172" fontId="97" fillId="0" borderId="0" applyFill="0" applyBorder="0" applyAlignment="0" applyProtection="0"/>
    <xf numFmtId="165" fontId="7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ill="0" applyBorder="0" applyAlignment="0" applyProtection="0"/>
    <xf numFmtId="40" fontId="76" fillId="0" borderId="0" applyFill="0" applyBorder="0" applyAlignment="0" applyProtection="0"/>
    <xf numFmtId="168" fontId="97" fillId="0" borderId="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1" fontId="97" fillId="0" borderId="0" applyFill="0" applyBorder="0" applyAlignment="0" applyProtection="0"/>
    <xf numFmtId="171" fontId="97" fillId="0" borderId="0" applyFill="0" applyBorder="0" applyAlignment="0" applyProtection="0"/>
    <xf numFmtId="168" fontId="97" fillId="0" borderId="0" applyFill="0" applyBorder="0" applyAlignment="0" applyProtection="0"/>
    <xf numFmtId="168" fontId="97" fillId="0" borderId="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97" fillId="0" borderId="0" applyFill="0" applyBorder="0" applyAlignment="0" applyProtection="0"/>
    <xf numFmtId="168" fontId="97" fillId="0" borderId="0" applyFill="0" applyBorder="0" applyAlignment="0" applyProtection="0"/>
    <xf numFmtId="168" fontId="97" fillId="0" borderId="0" applyFill="0" applyBorder="0" applyAlignment="0" applyProtection="0"/>
    <xf numFmtId="168" fontId="97" fillId="0" borderId="0" applyFill="0" applyBorder="0" applyAlignment="0" applyProtection="0"/>
    <xf numFmtId="165" fontId="76" fillId="0" borderId="0" applyFont="0" applyFill="0" applyBorder="0" applyAlignment="0" applyProtection="0"/>
    <xf numFmtId="165" fontId="76" fillId="0" borderId="0" applyFont="0" applyFill="0" applyBorder="0" applyAlignment="0" applyProtection="0"/>
    <xf numFmtId="168" fontId="97" fillId="0" borderId="0" applyFill="0" applyBorder="0" applyAlignment="0" applyProtection="0"/>
    <xf numFmtId="168" fontId="97" fillId="0" borderId="0" applyFill="0" applyBorder="0" applyAlignment="0" applyProtection="0"/>
    <xf numFmtId="171" fontId="97" fillId="0" borderId="0" applyFill="0" applyBorder="0" applyAlignment="0" applyProtection="0"/>
    <xf numFmtId="171" fontId="97" fillId="0" borderId="0" applyFill="0" applyBorder="0" applyAlignment="0" applyProtection="0"/>
    <xf numFmtId="165" fontId="76" fillId="0" borderId="0" applyFont="0" applyFill="0" applyBorder="0" applyAlignment="0" applyProtection="0"/>
    <xf numFmtId="171" fontId="97" fillId="0" borderId="0" applyFill="0" applyBorder="0" applyAlignment="0" applyProtection="0"/>
    <xf numFmtId="165" fontId="76" fillId="0" borderId="0" applyFont="0" applyFill="0" applyBorder="0" applyAlignment="0" applyProtection="0"/>
    <xf numFmtId="171" fontId="97" fillId="0" borderId="0" applyFill="0" applyBorder="0" applyAlignment="0" applyProtection="0"/>
    <xf numFmtId="171" fontId="97" fillId="0" borderId="0" applyFill="0" applyBorder="0" applyAlignment="0" applyProtection="0"/>
    <xf numFmtId="171" fontId="97" fillId="0" borderId="0" applyFill="0" applyBorder="0" applyAlignment="0" applyProtection="0"/>
    <xf numFmtId="165" fontId="76" fillId="0" borderId="0" applyFont="0" applyFill="0" applyBorder="0" applyAlignment="0" applyProtection="0"/>
    <xf numFmtId="168" fontId="76" fillId="0" borderId="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76" fillId="0" borderId="0" applyFill="0" applyBorder="0" applyAlignment="0" applyProtection="0"/>
    <xf numFmtId="168" fontId="76" fillId="0" borderId="0" applyFill="0" applyBorder="0" applyAlignment="0" applyProtection="0"/>
    <xf numFmtId="165" fontId="19" fillId="0" borderId="0" applyFont="0" applyFill="0" applyBorder="0" applyAlignment="0" applyProtection="0"/>
    <xf numFmtId="168" fontId="19" fillId="0" borderId="0" applyFill="0" applyBorder="0" applyAlignment="0" applyProtection="0"/>
    <xf numFmtId="165" fontId="19" fillId="0" borderId="0" applyFont="0" applyFill="0" applyBorder="0" applyAlignment="0" applyProtection="0"/>
    <xf numFmtId="165" fontId="76" fillId="0" borderId="0" applyFont="0" applyFill="0" applyBorder="0" applyAlignment="0" applyProtection="0"/>
    <xf numFmtId="165" fontId="7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97" fillId="0" borderId="0" applyFill="0" applyBorder="0" applyAlignment="0" applyProtection="0"/>
    <xf numFmtId="172" fontId="97" fillId="0" borderId="0" applyFill="0" applyBorder="0" applyAlignment="0" applyProtection="0"/>
    <xf numFmtId="172" fontId="97" fillId="0" borderId="0" applyFill="0" applyBorder="0" applyAlignment="0" applyProtection="0"/>
    <xf numFmtId="172" fontId="97" fillId="0" borderId="0" applyFill="0" applyBorder="0" applyAlignment="0" applyProtection="0"/>
    <xf numFmtId="168" fontId="19" fillId="0" borderId="0" applyFill="0" applyBorder="0" applyAlignment="0" applyProtection="0"/>
    <xf numFmtId="165" fontId="19" fillId="0" borderId="0" applyFont="0" applyFill="0" applyBorder="0" applyAlignment="0" applyProtection="0"/>
    <xf numFmtId="171" fontId="19" fillId="0" borderId="0" applyFill="0" applyBorder="0" applyAlignment="0" applyProtection="0"/>
    <xf numFmtId="168" fontId="19" fillId="0" borderId="0" applyFill="0" applyBorder="0" applyAlignment="0" applyProtection="0"/>
    <xf numFmtId="172" fontId="19" fillId="0" borderId="0" applyFill="0" applyBorder="0" applyAlignment="0" applyProtection="0"/>
    <xf numFmtId="165" fontId="19" fillId="0" borderId="0" applyFont="0" applyFill="0" applyBorder="0" applyAlignment="0" applyProtection="0"/>
    <xf numFmtId="172" fontId="19" fillId="0" borderId="0" applyFill="0" applyBorder="0" applyAlignment="0" applyProtection="0"/>
    <xf numFmtId="172" fontId="19" fillId="0" borderId="0" applyFill="0" applyBorder="0" applyAlignment="0" applyProtection="0"/>
    <xf numFmtId="168" fontId="19" fillId="0" borderId="0" applyFill="0" applyBorder="0" applyAlignment="0" applyProtection="0"/>
    <xf numFmtId="168" fontId="19" fillId="0" borderId="0" applyFill="0" applyBorder="0" applyAlignment="0" applyProtection="0"/>
    <xf numFmtId="172" fontId="19" fillId="0" borderId="0" applyFill="0" applyBorder="0" applyAlignment="0" applyProtection="0"/>
    <xf numFmtId="172" fontId="19" fillId="0" borderId="0" applyFill="0" applyBorder="0" applyAlignment="0" applyProtection="0"/>
    <xf numFmtId="168" fontId="19" fillId="0" borderId="0" applyFill="0" applyBorder="0" applyAlignment="0" applyProtection="0"/>
    <xf numFmtId="168" fontId="19" fillId="0" borderId="0" applyFill="0" applyBorder="0" applyAlignment="0" applyProtection="0"/>
    <xf numFmtId="172" fontId="19" fillId="0" borderId="0" applyFill="0" applyBorder="0" applyAlignment="0" applyProtection="0"/>
    <xf numFmtId="172" fontId="19" fillId="0" borderId="0" applyFill="0" applyBorder="0" applyAlignment="0" applyProtection="0"/>
    <xf numFmtId="172" fontId="19" fillId="0" borderId="0" applyFill="0" applyBorder="0" applyAlignment="0" applyProtection="0"/>
    <xf numFmtId="172" fontId="19" fillId="0" borderId="0" applyFill="0" applyBorder="0" applyAlignment="0" applyProtection="0"/>
    <xf numFmtId="168" fontId="76" fillId="0" borderId="0" applyFont="0" applyFill="0" applyBorder="0" applyAlignment="0" applyProtection="0"/>
    <xf numFmtId="168" fontId="19" fillId="0" borderId="0" applyFill="0" applyBorder="0" applyAlignment="0" applyProtection="0"/>
    <xf numFmtId="43" fontId="97" fillId="0" borderId="0" applyFill="0" applyBorder="0" applyAlignment="0" applyProtection="0"/>
    <xf numFmtId="43" fontId="97" fillId="0" borderId="0" applyFill="0" applyBorder="0" applyAlignment="0" applyProtection="0"/>
    <xf numFmtId="43" fontId="97" fillId="0" borderId="0" applyFill="0" applyBorder="0" applyAlignment="0" applyProtection="0"/>
    <xf numFmtId="172" fontId="19" fillId="0" borderId="0" applyFill="0" applyBorder="0" applyAlignment="0" applyProtection="0"/>
    <xf numFmtId="172" fontId="19" fillId="0" borderId="0" applyFill="0" applyBorder="0" applyAlignment="0" applyProtection="0"/>
    <xf numFmtId="172" fontId="19" fillId="0" borderId="0" applyFill="0" applyBorder="0" applyAlignment="0" applyProtection="0"/>
    <xf numFmtId="172" fontId="19" fillId="0" borderId="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6" fillId="0" borderId="0" applyFont="0" applyFill="0" applyBorder="0" applyAlignment="0" applyProtection="0"/>
    <xf numFmtId="165" fontId="19" fillId="0" borderId="0" applyFont="0" applyFill="0" applyBorder="0" applyAlignment="0" applyProtection="0"/>
    <xf numFmtId="165" fontId="76" fillId="0" borderId="0" applyFont="0" applyFill="0" applyBorder="0" applyAlignment="0" applyProtection="0"/>
    <xf numFmtId="165" fontId="76" fillId="0" borderId="0" applyFont="0" applyFill="0" applyBorder="0" applyAlignment="0" applyProtection="0"/>
    <xf numFmtId="172" fontId="19" fillId="0" borderId="0" applyFill="0" applyBorder="0" applyAlignment="0" applyProtection="0"/>
    <xf numFmtId="172" fontId="19" fillId="0" borderId="0" applyFill="0" applyBorder="0" applyAlignment="0" applyProtection="0"/>
    <xf numFmtId="172" fontId="19" fillId="0" borderId="0" applyFill="0" applyBorder="0" applyAlignment="0" applyProtection="0"/>
    <xf numFmtId="172" fontId="19" fillId="0" borderId="0" applyFill="0" applyBorder="0" applyAlignment="0" applyProtection="0"/>
    <xf numFmtId="165" fontId="76" fillId="0" borderId="0" applyFont="0" applyFill="0" applyBorder="0" applyAlignment="0" applyProtection="0"/>
    <xf numFmtId="172" fontId="19" fillId="0" borderId="0" applyFill="0" applyBorder="0" applyAlignment="0" applyProtection="0"/>
    <xf numFmtId="165" fontId="76" fillId="0" borderId="0" applyFont="0" applyFill="0" applyBorder="0" applyAlignment="0" applyProtection="0"/>
    <xf numFmtId="172" fontId="19" fillId="0" borderId="0" applyFill="0" applyBorder="0" applyAlignment="0" applyProtection="0"/>
    <xf numFmtId="172" fontId="19" fillId="0" borderId="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2" fontId="19" fillId="0" borderId="0" applyFill="0" applyBorder="0" applyAlignment="0" applyProtection="0"/>
    <xf numFmtId="172" fontId="19" fillId="0" borderId="0" applyFill="0" applyBorder="0" applyAlignment="0" applyProtection="0"/>
    <xf numFmtId="165" fontId="19" fillId="0" borderId="0" applyFont="0" applyFill="0" applyBorder="0" applyAlignment="0" applyProtection="0"/>
    <xf numFmtId="172" fontId="19" fillId="0" borderId="0" applyFill="0" applyBorder="0" applyAlignment="0" applyProtection="0"/>
    <xf numFmtId="165" fontId="19" fillId="0" borderId="0" applyFont="0" applyFill="0" applyBorder="0" applyAlignment="0" applyProtection="0"/>
    <xf numFmtId="172" fontId="19" fillId="0" borderId="0" applyFill="0" applyBorder="0" applyAlignment="0" applyProtection="0"/>
    <xf numFmtId="172" fontId="19" fillId="0" borderId="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2" fontId="19" fillId="0" borderId="0" applyFill="0" applyBorder="0" applyAlignment="0" applyProtection="0"/>
    <xf numFmtId="172" fontId="19" fillId="0" borderId="0" applyFill="0" applyBorder="0" applyAlignment="0" applyProtection="0"/>
    <xf numFmtId="165" fontId="19" fillId="0" borderId="0" applyFont="0" applyFill="0" applyBorder="0" applyAlignment="0" applyProtection="0"/>
    <xf numFmtId="172" fontId="19" fillId="0" borderId="0" applyFill="0" applyBorder="0" applyAlignment="0" applyProtection="0"/>
    <xf numFmtId="165" fontId="19" fillId="0" borderId="0" applyFont="0" applyFill="0" applyBorder="0" applyAlignment="0" applyProtection="0"/>
    <xf numFmtId="172" fontId="19" fillId="0" borderId="0" applyFill="0" applyBorder="0" applyAlignment="0" applyProtection="0"/>
    <xf numFmtId="172" fontId="19" fillId="0" borderId="0" applyFill="0" applyBorder="0" applyAlignment="0" applyProtection="0"/>
    <xf numFmtId="168" fontId="19" fillId="0" borderId="0" applyFill="0" applyBorder="0" applyAlignment="0" applyProtection="0"/>
    <xf numFmtId="172" fontId="19" fillId="0" borderId="0" applyFill="0" applyBorder="0" applyAlignment="0" applyProtection="0"/>
    <xf numFmtId="172" fontId="19" fillId="0" borderId="0" applyFill="0" applyBorder="0" applyAlignment="0" applyProtection="0"/>
    <xf numFmtId="172" fontId="19" fillId="0" borderId="0" applyFill="0" applyBorder="0" applyAlignment="0" applyProtection="0"/>
    <xf numFmtId="172" fontId="19" fillId="0" borderId="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9" fontId="19" fillId="0" borderId="0" applyFont="0" applyFill="0" applyBorder="0" applyAlignment="0" applyProtection="0"/>
    <xf numFmtId="170" fontId="100" fillId="0" borderId="0">
      <alignment horizontal="left" wrapText="1" indent="1"/>
    </xf>
    <xf numFmtId="0" fontId="72" fillId="6" borderId="0" applyNumberFormat="0" applyBorder="0" applyAlignment="0" applyProtection="0"/>
    <xf numFmtId="0" fontId="1" fillId="0" borderId="0"/>
    <xf numFmtId="0" fontId="19" fillId="0" borderId="0"/>
    <xf numFmtId="0" fontId="19" fillId="0" borderId="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72" fillId="6" borderId="0" applyNumberFormat="0" applyBorder="0" applyAlignment="0" applyProtection="0"/>
    <xf numFmtId="0" fontId="72" fillId="6" borderId="0" applyNumberFormat="0" applyBorder="0" applyAlignment="0" applyProtection="0"/>
    <xf numFmtId="0" fontId="72" fillId="6" borderId="0" applyNumberFormat="0" applyBorder="0" applyAlignment="0" applyProtection="0"/>
    <xf numFmtId="0" fontId="72" fillId="6" borderId="0" applyNumberFormat="0" applyBorder="0" applyAlignment="0" applyProtection="0"/>
    <xf numFmtId="0" fontId="72" fillId="6" borderId="0" applyNumberFormat="0" applyBorder="0" applyAlignment="0" applyProtection="0"/>
    <xf numFmtId="0" fontId="72" fillId="6" borderId="0" applyNumberFormat="0" applyBorder="0" applyAlignment="0" applyProtection="0"/>
    <xf numFmtId="0" fontId="72" fillId="6" borderId="0" applyNumberFormat="0" applyBorder="0" applyAlignment="0" applyProtection="0"/>
    <xf numFmtId="0" fontId="72" fillId="6" borderId="0" applyNumberFormat="0" applyBorder="0" applyAlignment="0" applyProtection="0"/>
    <xf numFmtId="0" fontId="72" fillId="7" borderId="0" applyNumberFormat="0" applyBorder="0" applyAlignment="0" applyProtection="0"/>
    <xf numFmtId="0" fontId="72" fillId="6" borderId="0" applyNumberFormat="0" applyBorder="0" applyAlignment="0" applyProtection="0"/>
    <xf numFmtId="0" fontId="72" fillId="6" borderId="0" applyNumberFormat="0" applyBorder="0" applyAlignment="0" applyProtection="0"/>
    <xf numFmtId="0" fontId="72" fillId="6" borderId="0" applyNumberFormat="0" applyBorder="0" applyAlignment="0" applyProtection="0"/>
    <xf numFmtId="0" fontId="72" fillId="6" borderId="0" applyNumberFormat="0" applyBorder="0" applyAlignment="0" applyProtection="0"/>
    <xf numFmtId="0" fontId="72" fillId="6" borderId="0" applyNumberFormat="0" applyBorder="0" applyAlignment="0" applyProtection="0"/>
    <xf numFmtId="0" fontId="72" fillId="6" borderId="0" applyNumberFormat="0" applyBorder="0" applyAlignment="0" applyProtection="0"/>
    <xf numFmtId="0" fontId="72" fillId="6" borderId="0" applyNumberFormat="0" applyBorder="0" applyAlignment="0" applyProtection="0"/>
    <xf numFmtId="0" fontId="72" fillId="6" borderId="0" applyNumberFormat="0" applyBorder="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1" fillId="0" borderId="4"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2" fillId="0" borderId="5"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6" applyNumberFormat="0" applyFill="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73"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102" fillId="0" borderId="0" applyNumberFormat="0" applyFill="0" applyBorder="0" applyAlignment="0" applyProtection="0"/>
    <xf numFmtId="0" fontId="102" fillId="0" borderId="0" applyNumberFormat="0" applyFill="0" applyBorder="0" applyAlignment="0" applyProtection="0"/>
    <xf numFmtId="0" fontId="77" fillId="0" borderId="0" applyNumberFormat="0" applyFill="0" applyBorder="0" applyAlignment="0" applyProtection="0">
      <alignment vertical="top"/>
      <protection locked="0"/>
    </xf>
    <xf numFmtId="0" fontId="94" fillId="12" borderId="2" applyNumberFormat="0" applyAlignment="0" applyProtection="0"/>
    <xf numFmtId="0" fontId="94" fillId="12" borderId="2" applyNumberFormat="0" applyAlignment="0" applyProtection="0"/>
    <xf numFmtId="0" fontId="94" fillId="12" borderId="2" applyNumberFormat="0" applyAlignment="0" applyProtection="0"/>
    <xf numFmtId="0" fontId="94" fillId="12" borderId="2" applyNumberFormat="0" applyAlignment="0" applyProtection="0"/>
    <xf numFmtId="0" fontId="94" fillId="12" borderId="2" applyNumberFormat="0" applyAlignment="0" applyProtection="0"/>
    <xf numFmtId="0" fontId="94" fillId="12" borderId="2" applyNumberFormat="0" applyAlignment="0" applyProtection="0"/>
    <xf numFmtId="0" fontId="94" fillId="12" borderId="2" applyNumberFormat="0" applyAlignment="0" applyProtection="0"/>
    <xf numFmtId="0" fontId="94" fillId="12" borderId="2" applyNumberFormat="0" applyAlignment="0" applyProtection="0"/>
    <xf numFmtId="0" fontId="94" fillId="13" borderId="2" applyNumberFormat="0" applyAlignment="0" applyProtection="0"/>
    <xf numFmtId="0" fontId="94" fillId="12" borderId="2" applyNumberFormat="0" applyAlignment="0" applyProtection="0"/>
    <xf numFmtId="0" fontId="94" fillId="12" borderId="2" applyNumberFormat="0" applyAlignment="0" applyProtection="0"/>
    <xf numFmtId="0" fontId="94" fillId="12" borderId="2" applyNumberFormat="0" applyAlignment="0" applyProtection="0"/>
    <xf numFmtId="0" fontId="94" fillId="12" borderId="2" applyNumberFormat="0" applyAlignment="0" applyProtection="0"/>
    <xf numFmtId="0" fontId="94" fillId="12" borderId="2" applyNumberFormat="0" applyAlignment="0" applyProtection="0"/>
    <xf numFmtId="0" fontId="94" fillId="12" borderId="2" applyNumberFormat="0" applyAlignment="0" applyProtection="0"/>
    <xf numFmtId="0" fontId="94" fillId="12" borderId="2" applyNumberFormat="0" applyAlignment="0" applyProtection="0"/>
    <xf numFmtId="0" fontId="94" fillId="12" borderId="2" applyNumberFormat="0" applyAlignment="0" applyProtection="0"/>
    <xf numFmtId="0" fontId="74" fillId="39" borderId="7" applyNumberFormat="0" applyAlignment="0" applyProtection="0"/>
    <xf numFmtId="0" fontId="80" fillId="0" borderId="0">
      <alignment horizontal="right" vertical="top"/>
    </xf>
    <xf numFmtId="0" fontId="81" fillId="0" borderId="0">
      <alignment horizontal="justify" vertical="top" wrapText="1"/>
    </xf>
    <xf numFmtId="0" fontId="80" fillId="0" borderId="0">
      <alignment horizontal="left"/>
    </xf>
    <xf numFmtId="4" fontId="81" fillId="0" borderId="0">
      <alignment horizontal="right"/>
    </xf>
    <xf numFmtId="0" fontId="81" fillId="0" borderId="0">
      <alignment horizontal="right"/>
    </xf>
    <xf numFmtId="4" fontId="81" fillId="0" borderId="0">
      <alignment horizontal="right" wrapText="1"/>
    </xf>
    <xf numFmtId="0" fontId="81" fillId="0" borderId="0">
      <alignment horizontal="right"/>
    </xf>
    <xf numFmtId="4" fontId="81" fillId="0" borderId="0">
      <alignment horizontal="right"/>
    </xf>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95" fillId="0" borderId="8" applyNumberFormat="0" applyFill="0" applyAlignment="0" applyProtection="0"/>
    <xf numFmtId="0" fontId="75" fillId="0" borderId="0" applyNumberFormat="0" applyFill="0" applyBorder="0" applyAlignment="0" applyProtection="0"/>
    <xf numFmtId="0" fontId="85" fillId="0" borderId="0"/>
    <xf numFmtId="0" fontId="96" fillId="43" borderId="0" applyNumberFormat="0" applyBorder="0" applyAlignment="0" applyProtection="0"/>
    <xf numFmtId="0" fontId="96" fillId="43" borderId="0" applyNumberFormat="0" applyBorder="0" applyAlignment="0" applyProtection="0"/>
    <xf numFmtId="0" fontId="96" fillId="43" borderId="0" applyNumberFormat="0" applyBorder="0" applyAlignment="0" applyProtection="0"/>
    <xf numFmtId="0" fontId="96" fillId="43" borderId="0" applyNumberFormat="0" applyBorder="0" applyAlignment="0" applyProtection="0"/>
    <xf numFmtId="0" fontId="96" fillId="43" borderId="0" applyNumberFormat="0" applyBorder="0" applyAlignment="0" applyProtection="0"/>
    <xf numFmtId="0" fontId="96" fillId="43" borderId="0" applyNumberFormat="0" applyBorder="0" applyAlignment="0" applyProtection="0"/>
    <xf numFmtId="0" fontId="96" fillId="43" borderId="0" applyNumberFormat="0" applyBorder="0" applyAlignment="0" applyProtection="0"/>
    <xf numFmtId="0" fontId="96" fillId="43" borderId="0" applyNumberFormat="0" applyBorder="0" applyAlignment="0" applyProtection="0"/>
    <xf numFmtId="0" fontId="96" fillId="44" borderId="0" applyNumberFormat="0" applyBorder="0" applyAlignment="0" applyProtection="0"/>
    <xf numFmtId="0" fontId="96" fillId="43" borderId="0" applyNumberFormat="0" applyBorder="0" applyAlignment="0" applyProtection="0"/>
    <xf numFmtId="0" fontId="96" fillId="43" borderId="0" applyNumberFormat="0" applyBorder="0" applyAlignment="0" applyProtection="0"/>
    <xf numFmtId="0" fontId="96" fillId="43" borderId="0" applyNumberFormat="0" applyBorder="0" applyAlignment="0" applyProtection="0"/>
    <xf numFmtId="0" fontId="96" fillId="43" borderId="0" applyNumberFormat="0" applyBorder="0" applyAlignment="0" applyProtection="0"/>
    <xf numFmtId="0" fontId="96" fillId="43" borderId="0" applyNumberFormat="0" applyBorder="0" applyAlignment="0" applyProtection="0"/>
    <xf numFmtId="0" fontId="96" fillId="43" borderId="0" applyNumberFormat="0" applyBorder="0" applyAlignment="0" applyProtection="0"/>
    <xf numFmtId="0" fontId="96" fillId="43" borderId="0" applyNumberFormat="0" applyBorder="0" applyAlignment="0" applyProtection="0"/>
    <xf numFmtId="0" fontId="96" fillId="43" borderId="0" applyNumberFormat="0" applyBorder="0" applyAlignment="0" applyProtection="0"/>
    <xf numFmtId="0" fontId="79" fillId="0" borderId="0"/>
    <xf numFmtId="0" fontId="19" fillId="0" borderId="0"/>
    <xf numFmtId="0" fontId="103" fillId="0" borderId="0" applyNumberFormat="0" applyBorder="0" applyProtection="0"/>
    <xf numFmtId="0" fontId="19" fillId="0" borderId="0"/>
    <xf numFmtId="0" fontId="76" fillId="0" borderId="0"/>
    <xf numFmtId="0" fontId="19" fillId="0" borderId="0"/>
    <xf numFmtId="0" fontId="19" fillId="0" borderId="0"/>
    <xf numFmtId="0" fontId="19" fillId="0" borderId="0"/>
    <xf numFmtId="0" fontId="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3" fillId="0" borderId="0" applyNumberFormat="0" applyBorder="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6" fillId="0" borderId="0"/>
    <xf numFmtId="0" fontId="19" fillId="0" borderId="0"/>
    <xf numFmtId="0" fontId="19" fillId="0" borderId="0"/>
    <xf numFmtId="0" fontId="19" fillId="0" borderId="0"/>
    <xf numFmtId="0" fontId="19" fillId="0" borderId="0"/>
    <xf numFmtId="0" fontId="76" fillId="0" borderId="0"/>
    <xf numFmtId="0" fontId="99" fillId="0" borderId="0"/>
    <xf numFmtId="0" fontId="19" fillId="0" borderId="0"/>
    <xf numFmtId="0" fontId="76" fillId="0" borderId="0"/>
    <xf numFmtId="0" fontId="19" fillId="0" borderId="0"/>
    <xf numFmtId="0" fontId="19" fillId="0" borderId="0"/>
    <xf numFmtId="0" fontId="19" fillId="0" borderId="0"/>
    <xf numFmtId="0" fontId="19" fillId="0" borderId="0"/>
    <xf numFmtId="0" fontId="76" fillId="0" borderId="0"/>
    <xf numFmtId="0" fontId="76" fillId="0" borderId="0"/>
    <xf numFmtId="0" fontId="76" fillId="0" borderId="0"/>
    <xf numFmtId="0" fontId="19" fillId="0" borderId="0"/>
    <xf numFmtId="0" fontId="76" fillId="0" borderId="0"/>
    <xf numFmtId="0" fontId="19" fillId="0" borderId="0"/>
    <xf numFmtId="0" fontId="19" fillId="0" borderId="0"/>
    <xf numFmtId="0" fontId="19" fillId="0" borderId="0"/>
    <xf numFmtId="0" fontId="19" fillId="0" borderId="0"/>
    <xf numFmtId="0" fontId="19" fillId="0" borderId="0"/>
    <xf numFmtId="0" fontId="19" fillId="0" borderId="0"/>
    <xf numFmtId="0" fontId="99" fillId="0" borderId="0"/>
    <xf numFmtId="0" fontId="19" fillId="0" borderId="0"/>
    <xf numFmtId="0" fontId="19" fillId="0" borderId="0"/>
    <xf numFmtId="0" fontId="99" fillId="0" borderId="0"/>
    <xf numFmtId="0" fontId="99" fillId="0" borderId="0"/>
    <xf numFmtId="0" fontId="99" fillId="0" borderId="0"/>
    <xf numFmtId="0" fontId="99" fillId="0" borderId="0"/>
    <xf numFmtId="0" fontId="99" fillId="0" borderId="0"/>
    <xf numFmtId="0" fontId="19" fillId="0" borderId="0"/>
    <xf numFmtId="0" fontId="19" fillId="0" borderId="0"/>
    <xf numFmtId="0" fontId="99" fillId="0" borderId="0"/>
    <xf numFmtId="0" fontId="99" fillId="0" borderId="0"/>
    <xf numFmtId="0" fontId="19" fillId="0" borderId="0"/>
    <xf numFmtId="0" fontId="99" fillId="0" borderId="0"/>
    <xf numFmtId="0" fontId="99" fillId="0" borderId="0"/>
    <xf numFmtId="0" fontId="99" fillId="0" borderId="0"/>
    <xf numFmtId="0" fontId="19" fillId="0" borderId="0"/>
    <xf numFmtId="0" fontId="19" fillId="0" borderId="0"/>
    <xf numFmtId="0" fontId="19" fillId="0" borderId="0"/>
    <xf numFmtId="0" fontId="99" fillId="0" borderId="0"/>
    <xf numFmtId="0" fontId="99" fillId="0" borderId="0"/>
    <xf numFmtId="0" fontId="99" fillId="0" borderId="0"/>
    <xf numFmtId="0" fontId="99" fillId="0" borderId="0"/>
    <xf numFmtId="0" fontId="99" fillId="0" borderId="0"/>
    <xf numFmtId="0" fontId="99" fillId="0" borderId="0"/>
    <xf numFmtId="0" fontId="1" fillId="0" borderId="0"/>
    <xf numFmtId="0" fontId="19" fillId="0" borderId="0"/>
    <xf numFmtId="0" fontId="19" fillId="0" borderId="0"/>
    <xf numFmtId="0" fontId="19" fillId="0" borderId="0"/>
    <xf numFmtId="0" fontId="19" fillId="0" borderId="0"/>
    <xf numFmtId="0" fontId="9" fillId="0" borderId="0"/>
    <xf numFmtId="0" fontId="76" fillId="0" borderId="0"/>
    <xf numFmtId="0" fontId="19" fillId="0" borderId="0"/>
    <xf numFmtId="0" fontId="76" fillId="0" borderId="0"/>
    <xf numFmtId="0" fontId="7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9" fillId="0" borderId="0"/>
    <xf numFmtId="0" fontId="19" fillId="0" borderId="0"/>
    <xf numFmtId="0" fontId="19" fillId="0" borderId="0"/>
    <xf numFmtId="0" fontId="19" fillId="0" borderId="0"/>
    <xf numFmtId="0" fontId="104" fillId="0" borderId="0"/>
    <xf numFmtId="0" fontId="19" fillId="0" borderId="0"/>
    <xf numFmtId="0" fontId="19" fillId="0" borderId="0"/>
    <xf numFmtId="0" fontId="99" fillId="0" borderId="0"/>
    <xf numFmtId="0" fontId="99" fillId="0" borderId="0"/>
    <xf numFmtId="0" fontId="99" fillId="0" borderId="0"/>
    <xf numFmtId="0" fontId="99" fillId="0" borderId="0"/>
    <xf numFmtId="0" fontId="99" fillId="0" borderId="0"/>
    <xf numFmtId="0" fontId="19" fillId="0" borderId="0"/>
    <xf numFmtId="0" fontId="99" fillId="0" borderId="0"/>
    <xf numFmtId="0" fontId="99" fillId="0" borderId="0"/>
    <xf numFmtId="0" fontId="19" fillId="0" borderId="0"/>
    <xf numFmtId="0" fontId="19" fillId="0" borderId="0"/>
    <xf numFmtId="0" fontId="19" fillId="0" borderId="0"/>
    <xf numFmtId="0" fontId="99" fillId="0" borderId="0"/>
    <xf numFmtId="0" fontId="99" fillId="0" borderId="0"/>
    <xf numFmtId="0" fontId="99" fillId="0" borderId="0"/>
    <xf numFmtId="0" fontId="99" fillId="0" borderId="0"/>
    <xf numFmtId="0" fontId="105" fillId="0" borderId="0"/>
    <xf numFmtId="0" fontId="19" fillId="0" borderId="0"/>
    <xf numFmtId="0" fontId="19" fillId="0" borderId="0"/>
    <xf numFmtId="0" fontId="9" fillId="0" borderId="0"/>
    <xf numFmtId="0" fontId="1" fillId="0" borderId="0"/>
    <xf numFmtId="0" fontId="99" fillId="0" borderId="0"/>
    <xf numFmtId="0" fontId="99" fillId="0" borderId="0"/>
    <xf numFmtId="0" fontId="19" fillId="0" borderId="0"/>
    <xf numFmtId="0" fontId="99" fillId="0" borderId="0"/>
    <xf numFmtId="0" fontId="99" fillId="0" borderId="0"/>
    <xf numFmtId="0" fontId="19" fillId="0" borderId="0"/>
    <xf numFmtId="0" fontId="104" fillId="0" borderId="0"/>
    <xf numFmtId="0" fontId="19" fillId="0" borderId="0"/>
    <xf numFmtId="0" fontId="19" fillId="0" borderId="0"/>
    <xf numFmtId="0" fontId="1" fillId="38" borderId="1" applyNumberFormat="0" applyFont="0" applyAlignment="0" applyProtection="0"/>
    <xf numFmtId="0" fontId="1" fillId="38" borderId="1" applyNumberFormat="0" applyFont="0" applyAlignment="0" applyProtection="0"/>
    <xf numFmtId="0" fontId="1" fillId="38" borderId="1" applyNumberFormat="0" applyFont="0" applyAlignment="0" applyProtection="0"/>
    <xf numFmtId="0" fontId="1" fillId="38" borderId="1" applyNumberFormat="0" applyFont="0" applyAlignment="0" applyProtection="0"/>
    <xf numFmtId="0" fontId="1" fillId="38" borderId="1" applyNumberFormat="0" applyFont="0" applyAlignment="0" applyProtection="0"/>
    <xf numFmtId="0" fontId="1" fillId="38" borderId="1" applyNumberFormat="0" applyFont="0" applyAlignment="0" applyProtection="0"/>
    <xf numFmtId="0" fontId="1" fillId="38" borderId="1" applyNumberFormat="0" applyFont="0" applyAlignment="0" applyProtection="0"/>
    <xf numFmtId="0" fontId="1" fillId="38" borderId="1" applyNumberFormat="0" applyFont="0" applyAlignment="0" applyProtection="0"/>
    <xf numFmtId="0" fontId="99" fillId="47" borderId="22" applyNumberFormat="0" applyFont="0" applyAlignment="0" applyProtection="0"/>
    <xf numFmtId="0" fontId="99" fillId="47" borderId="22" applyNumberFormat="0" applyFont="0" applyAlignment="0" applyProtection="0"/>
    <xf numFmtId="0" fontId="19" fillId="45" borderId="1" applyNumberFormat="0" applyAlignment="0" applyProtection="0"/>
    <xf numFmtId="0" fontId="1" fillId="38" borderId="1" applyNumberFormat="0" applyFont="0" applyAlignment="0" applyProtection="0"/>
    <xf numFmtId="0" fontId="1" fillId="38" borderId="1" applyNumberFormat="0" applyFont="0" applyAlignment="0" applyProtection="0"/>
    <xf numFmtId="0" fontId="1" fillId="38" borderId="1" applyNumberFormat="0" applyFont="0" applyAlignment="0" applyProtection="0"/>
    <xf numFmtId="0" fontId="1" fillId="38" borderId="1" applyNumberFormat="0" applyFont="0" applyAlignment="0" applyProtection="0"/>
    <xf numFmtId="0" fontId="1" fillId="38" borderId="1" applyNumberFormat="0" applyFont="0" applyAlignment="0" applyProtection="0"/>
    <xf numFmtId="0" fontId="1" fillId="38" borderId="1" applyNumberFormat="0" applyFont="0" applyAlignment="0" applyProtection="0"/>
    <xf numFmtId="0" fontId="1" fillId="38" borderId="1" applyNumberFormat="0" applyFont="0" applyAlignment="0" applyProtection="0"/>
    <xf numFmtId="0" fontId="1" fillId="38" borderId="1" applyNumberFormat="0" applyFont="0" applyAlignment="0" applyProtection="0"/>
    <xf numFmtId="0" fontId="82" fillId="0" borderId="0"/>
    <xf numFmtId="0" fontId="19" fillId="0" borderId="0"/>
    <xf numFmtId="0" fontId="19" fillId="0" borderId="0"/>
    <xf numFmtId="0" fontId="98" fillId="0" borderId="0"/>
    <xf numFmtId="0" fontId="74" fillId="39" borderId="7" applyNumberFormat="0" applyAlignment="0" applyProtection="0"/>
    <xf numFmtId="0" fontId="74" fillId="39" borderId="7" applyNumberFormat="0" applyAlignment="0" applyProtection="0"/>
    <xf numFmtId="0" fontId="74" fillId="39" borderId="7" applyNumberFormat="0" applyAlignment="0" applyProtection="0"/>
    <xf numFmtId="0" fontId="74" fillId="39" borderId="7" applyNumberFormat="0" applyAlignment="0" applyProtection="0"/>
    <xf numFmtId="0" fontId="74" fillId="39" borderId="7" applyNumberFormat="0" applyAlignment="0" applyProtection="0"/>
    <xf numFmtId="0" fontId="74" fillId="39" borderId="7" applyNumberFormat="0" applyAlignment="0" applyProtection="0"/>
    <xf numFmtId="0" fontId="74" fillId="39" borderId="7" applyNumberFormat="0" applyAlignment="0" applyProtection="0"/>
    <xf numFmtId="0" fontId="74" fillId="39" borderId="7" applyNumberFormat="0" applyAlignment="0" applyProtection="0"/>
    <xf numFmtId="0" fontId="74" fillId="40" borderId="7" applyNumberFormat="0" applyAlignment="0" applyProtection="0"/>
    <xf numFmtId="0" fontId="74" fillId="39" borderId="7" applyNumberFormat="0" applyAlignment="0" applyProtection="0"/>
    <xf numFmtId="0" fontId="74" fillId="39" borderId="7" applyNumberFormat="0" applyAlignment="0" applyProtection="0"/>
    <xf numFmtId="0" fontId="74" fillId="39" borderId="7" applyNumberFormat="0" applyAlignment="0" applyProtection="0"/>
    <xf numFmtId="0" fontId="74" fillId="39" borderId="7" applyNumberFormat="0" applyAlignment="0" applyProtection="0"/>
    <xf numFmtId="0" fontId="74" fillId="39" borderId="7" applyNumberFormat="0" applyAlignment="0" applyProtection="0"/>
    <xf numFmtId="0" fontId="74" fillId="39" borderId="7" applyNumberFormat="0" applyAlignment="0" applyProtection="0"/>
    <xf numFmtId="0" fontId="74" fillId="39" borderId="7" applyNumberFormat="0" applyAlignment="0" applyProtection="0"/>
    <xf numFmtId="0" fontId="74" fillId="39" borderId="7" applyNumberFormat="0" applyAlignment="0" applyProtection="0"/>
    <xf numFmtId="9" fontId="76" fillId="0" borderId="0" applyFont="0" applyFill="0" applyBorder="0" applyAlignment="0" applyProtection="0"/>
    <xf numFmtId="9" fontId="76"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83" fillId="0" borderId="0"/>
    <xf numFmtId="0" fontId="83" fillId="0" borderId="0"/>
    <xf numFmtId="0" fontId="78" fillId="0" borderId="0" applyBorder="0"/>
    <xf numFmtId="0" fontId="78" fillId="0" borderId="0"/>
    <xf numFmtId="0" fontId="19" fillId="0" borderId="0"/>
    <xf numFmtId="0" fontId="19" fillId="0" borderId="0"/>
    <xf numFmtId="0" fontId="76" fillId="0" borderId="0"/>
    <xf numFmtId="0" fontId="19" fillId="0" borderId="0"/>
    <xf numFmtId="0" fontId="76" fillId="0" borderId="0"/>
    <xf numFmtId="0" fontId="78" fillId="0" borderId="0"/>
    <xf numFmtId="0" fontId="78" fillId="0" borderId="0"/>
    <xf numFmtId="0" fontId="76" fillId="0" borderId="0"/>
    <xf numFmtId="0" fontId="76" fillId="0" borderId="0"/>
    <xf numFmtId="0" fontId="78" fillId="0" borderId="0"/>
    <xf numFmtId="0" fontId="76" fillId="0" borderId="0"/>
    <xf numFmtId="0" fontId="76" fillId="0" borderId="0"/>
    <xf numFmtId="0" fontId="19" fillId="0" borderId="0"/>
    <xf numFmtId="0" fontId="19" fillId="0" borderId="0"/>
    <xf numFmtId="0" fontId="22"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164" fontId="19"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19" fillId="0" borderId="0"/>
  </cellStyleXfs>
  <cellXfs count="415">
    <xf numFmtId="0" fontId="0" fillId="0" borderId="0" xfId="0"/>
    <xf numFmtId="2" fontId="9" fillId="0" borderId="0" xfId="0" applyNumberFormat="1" applyFont="1" applyAlignment="1">
      <alignment horizontal="left" vertical="top"/>
    </xf>
    <xf numFmtId="4" fontId="9" fillId="0" borderId="0" xfId="0" applyNumberFormat="1" applyFont="1" applyAlignment="1">
      <alignment horizontal="right" vertical="top"/>
    </xf>
    <xf numFmtId="2" fontId="10" fillId="0" borderId="0" xfId="0" applyNumberFormat="1" applyFont="1" applyAlignment="1">
      <alignment horizontal="left"/>
    </xf>
    <xf numFmtId="2" fontId="10" fillId="0" borderId="0" xfId="0" applyNumberFormat="1" applyFont="1" applyAlignment="1">
      <alignment horizontal="left" vertical="top"/>
    </xf>
    <xf numFmtId="49" fontId="9" fillId="0" borderId="0" xfId="0" applyNumberFormat="1" applyFont="1" applyAlignment="1">
      <alignment horizontal="left" vertical="top"/>
    </xf>
    <xf numFmtId="2" fontId="10" fillId="0" borderId="0" xfId="0" applyNumberFormat="1" applyFont="1" applyAlignment="1">
      <alignment horizontal="right"/>
    </xf>
    <xf numFmtId="2" fontId="9" fillId="0" borderId="0" xfId="0" applyNumberFormat="1" applyFont="1" applyAlignment="1">
      <alignment horizontal="left"/>
    </xf>
    <xf numFmtId="2" fontId="12" fillId="0" borderId="0" xfId="0" applyNumberFormat="1" applyFont="1" applyAlignment="1">
      <alignment horizontal="left" vertical="top"/>
    </xf>
    <xf numFmtId="4" fontId="12" fillId="0" borderId="0" xfId="0" applyNumberFormat="1" applyFont="1" applyAlignment="1">
      <alignment horizontal="right" vertical="top"/>
    </xf>
    <xf numFmtId="2" fontId="0" fillId="0" borderId="0" xfId="0" applyNumberFormat="1" applyAlignment="1">
      <alignment horizontal="left" vertical="top"/>
    </xf>
    <xf numFmtId="2" fontId="16" fillId="0" borderId="0" xfId="0" applyNumberFormat="1" applyFont="1" applyAlignment="1">
      <alignment horizontal="left" vertical="top"/>
    </xf>
    <xf numFmtId="2" fontId="15" fillId="0" borderId="0" xfId="0" applyNumberFormat="1" applyFont="1" applyAlignment="1">
      <alignment horizontal="right" vertical="top"/>
    </xf>
    <xf numFmtId="2" fontId="11" fillId="0" borderId="0" xfId="0" applyNumberFormat="1" applyFont="1" applyAlignment="1">
      <alignment horizontal="left" vertical="top"/>
    </xf>
    <xf numFmtId="4" fontId="4" fillId="0" borderId="0" xfId="0" applyNumberFormat="1" applyFont="1" applyAlignment="1">
      <alignment horizontal="right" vertical="top"/>
    </xf>
    <xf numFmtId="0" fontId="21" fillId="0" borderId="0" xfId="0" applyFont="1" applyAlignment="1">
      <alignment horizontal="center"/>
    </xf>
    <xf numFmtId="0" fontId="21" fillId="0" borderId="0" xfId="0" applyFont="1"/>
    <xf numFmtId="4" fontId="10" fillId="0" borderId="0" xfId="0" applyNumberFormat="1" applyFont="1" applyAlignment="1">
      <alignment horizontal="right" vertical="top"/>
    </xf>
    <xf numFmtId="2" fontId="14" fillId="0" borderId="0" xfId="0" applyNumberFormat="1" applyFont="1" applyAlignment="1">
      <alignment horizontal="left" vertical="top"/>
    </xf>
    <xf numFmtId="2" fontId="20" fillId="0" borderId="0" xfId="0" applyNumberFormat="1" applyFont="1" applyAlignment="1">
      <alignment horizontal="left" vertical="top"/>
    </xf>
    <xf numFmtId="0" fontId="26" fillId="0" borderId="0" xfId="0" applyFont="1"/>
    <xf numFmtId="0" fontId="27" fillId="0" borderId="0" xfId="0" applyFont="1"/>
    <xf numFmtId="4" fontId="0" fillId="0" borderId="0" xfId="0" applyNumberFormat="1" applyAlignment="1">
      <alignment horizontal="right" vertical="top"/>
    </xf>
    <xf numFmtId="2" fontId="14" fillId="0" borderId="0" xfId="0" applyNumberFormat="1" applyFont="1" applyAlignment="1">
      <alignment horizontal="right" vertical="top"/>
    </xf>
    <xf numFmtId="4" fontId="101" fillId="0" borderId="0" xfId="726" applyNumberFormat="1" applyFill="1" applyBorder="1" applyAlignment="1" applyProtection="1"/>
    <xf numFmtId="4" fontId="101" fillId="0" borderId="0" xfId="726" applyNumberFormat="1" applyBorder="1" applyAlignment="1" applyProtection="1">
      <alignment horizontal="right" vertical="top"/>
    </xf>
    <xf numFmtId="4" fontId="25" fillId="0" borderId="0" xfId="0" applyNumberFormat="1" applyFont="1"/>
    <xf numFmtId="2" fontId="28" fillId="0" borderId="0" xfId="0" applyNumberFormat="1" applyFont="1" applyAlignment="1">
      <alignment horizontal="left"/>
    </xf>
    <xf numFmtId="2" fontId="29" fillId="0" borderId="0" xfId="0" applyNumberFormat="1" applyFont="1" applyAlignment="1">
      <alignment horizontal="left"/>
    </xf>
    <xf numFmtId="2" fontId="28" fillId="0" borderId="0" xfId="0" applyNumberFormat="1" applyFont="1" applyAlignment="1">
      <alignment horizontal="left" vertical="top"/>
    </xf>
    <xf numFmtId="4" fontId="28" fillId="0" borderId="0" xfId="0" applyNumberFormat="1" applyFont="1" applyAlignment="1">
      <alignment horizontal="right" vertical="top"/>
    </xf>
    <xf numFmtId="2" fontId="29" fillId="0" borderId="0" xfId="0" applyNumberFormat="1" applyFont="1" applyAlignment="1">
      <alignment horizontal="left" vertical="top"/>
    </xf>
    <xf numFmtId="0" fontId="22" fillId="0" borderId="0" xfId="0" applyFont="1"/>
    <xf numFmtId="0" fontId="26" fillId="0" borderId="0" xfId="0" applyFont="1" applyAlignment="1">
      <alignment horizontal="left"/>
    </xf>
    <xf numFmtId="4" fontId="28" fillId="0" borderId="0" xfId="0" applyNumberFormat="1" applyFont="1" applyAlignment="1">
      <alignment horizontal="left" vertical="top"/>
    </xf>
    <xf numFmtId="0" fontId="30" fillId="0" borderId="0" xfId="0" applyFont="1"/>
    <xf numFmtId="0" fontId="31" fillId="0" borderId="0" xfId="0" applyFont="1"/>
    <xf numFmtId="2" fontId="19" fillId="0" borderId="0" xfId="0" applyNumberFormat="1" applyFont="1" applyAlignment="1">
      <alignment horizontal="left" vertical="top"/>
    </xf>
    <xf numFmtId="2" fontId="19" fillId="0" borderId="0" xfId="0" applyNumberFormat="1" applyFont="1" applyAlignment="1">
      <alignment horizontal="left" vertical="center"/>
    </xf>
    <xf numFmtId="4" fontId="7" fillId="0" borderId="0" xfId="0" applyNumberFormat="1" applyFont="1"/>
    <xf numFmtId="2" fontId="13" fillId="0" borderId="0" xfId="0" applyNumberFormat="1" applyFont="1" applyAlignment="1">
      <alignment horizontal="left" vertical="center"/>
    </xf>
    <xf numFmtId="0" fontId="0" fillId="0" borderId="0" xfId="0" applyAlignment="1">
      <alignment horizontal="left" vertical="center"/>
    </xf>
    <xf numFmtId="2" fontId="9" fillId="0" borderId="0" xfId="0" applyNumberFormat="1" applyFont="1" applyAlignment="1">
      <alignment horizontal="left" vertical="center"/>
    </xf>
    <xf numFmtId="4" fontId="19" fillId="0" borderId="0" xfId="0" applyNumberFormat="1" applyFont="1" applyAlignment="1">
      <alignment horizontal="left" vertical="center"/>
    </xf>
    <xf numFmtId="0" fontId="33" fillId="0" borderId="0" xfId="0" applyFont="1" applyAlignment="1">
      <alignment horizontal="left" vertical="center"/>
    </xf>
    <xf numFmtId="4" fontId="9" fillId="0" borderId="0" xfId="0" applyNumberFormat="1" applyFont="1" applyAlignment="1">
      <alignment horizontal="left" vertical="center"/>
    </xf>
    <xf numFmtId="2" fontId="9" fillId="0" borderId="0" xfId="0" applyNumberFormat="1" applyFont="1" applyAlignment="1">
      <alignment horizontal="left" vertical="top" wrapText="1"/>
    </xf>
    <xf numFmtId="0" fontId="36" fillId="0" borderId="0" xfId="0" applyFont="1" applyAlignment="1">
      <alignment vertical="top"/>
    </xf>
    <xf numFmtId="0" fontId="34" fillId="0" borderId="0" xfId="0" applyFont="1"/>
    <xf numFmtId="0" fontId="37" fillId="0" borderId="0" xfId="0" applyFont="1"/>
    <xf numFmtId="2" fontId="39" fillId="0" borderId="0" xfId="0" applyNumberFormat="1" applyFont="1" applyAlignment="1">
      <alignment horizontal="left" vertical="center"/>
    </xf>
    <xf numFmtId="0" fontId="40" fillId="0" borderId="0" xfId="0" applyFont="1" applyAlignment="1">
      <alignment horizontal="left" vertical="center"/>
    </xf>
    <xf numFmtId="0" fontId="38" fillId="0" borderId="0" xfId="0" applyFont="1" applyAlignment="1">
      <alignment horizontal="left" vertical="center"/>
    </xf>
    <xf numFmtId="2" fontId="41" fillId="0" borderId="0" xfId="0" applyNumberFormat="1" applyFont="1" applyAlignment="1">
      <alignment horizontal="left" vertical="center"/>
    </xf>
    <xf numFmtId="2" fontId="42" fillId="0" borderId="0" xfId="0" applyNumberFormat="1" applyFont="1" applyAlignment="1">
      <alignment horizontal="left" vertical="center"/>
    </xf>
    <xf numFmtId="0" fontId="45" fillId="0" borderId="0" xfId="0" applyFont="1" applyAlignment="1">
      <alignment horizontal="left" vertical="center"/>
    </xf>
    <xf numFmtId="0" fontId="43" fillId="0" borderId="0" xfId="0" applyFont="1"/>
    <xf numFmtId="2" fontId="39" fillId="0" borderId="0" xfId="0" applyNumberFormat="1" applyFont="1" applyAlignment="1">
      <alignment horizontal="left" vertical="top"/>
    </xf>
    <xf numFmtId="0" fontId="40" fillId="0" borderId="0" xfId="0" applyFont="1" applyAlignment="1">
      <alignment horizontal="left" vertical="center" indent="1"/>
    </xf>
    <xf numFmtId="0" fontId="42" fillId="0" borderId="0" xfId="0" applyFont="1" applyAlignment="1">
      <alignment horizontal="left" vertical="center" indent="1"/>
    </xf>
    <xf numFmtId="4" fontId="39" fillId="0" borderId="0" xfId="0" applyNumberFormat="1" applyFont="1" applyAlignment="1">
      <alignment horizontal="right" vertical="top"/>
    </xf>
    <xf numFmtId="2" fontId="41" fillId="0" borderId="0" xfId="0" applyNumberFormat="1" applyFont="1" applyAlignment="1">
      <alignment horizontal="left"/>
    </xf>
    <xf numFmtId="2" fontId="39" fillId="0" borderId="0" xfId="0" applyNumberFormat="1" applyFont="1" applyAlignment="1">
      <alignment horizontal="left" vertical="center" wrapText="1"/>
    </xf>
    <xf numFmtId="2" fontId="49" fillId="0" borderId="0" xfId="0" applyNumberFormat="1" applyFont="1" applyAlignment="1">
      <alignment horizontal="left" vertical="top"/>
    </xf>
    <xf numFmtId="2" fontId="41" fillId="0" borderId="0" xfId="0" applyNumberFormat="1" applyFont="1" applyAlignment="1">
      <alignment horizontal="left" vertical="top"/>
    </xf>
    <xf numFmtId="2" fontId="48" fillId="0" borderId="0" xfId="0" applyNumberFormat="1" applyFont="1" applyAlignment="1">
      <alignment horizontal="left"/>
    </xf>
    <xf numFmtId="2" fontId="41" fillId="0" borderId="0" xfId="0" applyNumberFormat="1" applyFont="1" applyAlignment="1">
      <alignment horizontal="right"/>
    </xf>
    <xf numFmtId="2" fontId="43" fillId="0" borderId="0" xfId="0" applyNumberFormat="1" applyFont="1" applyAlignment="1">
      <alignment horizontal="left" vertical="top"/>
    </xf>
    <xf numFmtId="2" fontId="36" fillId="0" borderId="0" xfId="0" applyNumberFormat="1" applyFont="1" applyAlignment="1">
      <alignment horizontal="right" vertical="top"/>
    </xf>
    <xf numFmtId="2" fontId="50" fillId="0" borderId="0" xfId="0" applyNumberFormat="1" applyFont="1" applyAlignment="1">
      <alignment horizontal="left" vertical="top"/>
    </xf>
    <xf numFmtId="4" fontId="43" fillId="0" borderId="0" xfId="0" applyNumberFormat="1" applyFont="1" applyAlignment="1">
      <alignment horizontal="right" vertical="top"/>
    </xf>
    <xf numFmtId="2" fontId="41" fillId="0" borderId="10" xfId="0" applyNumberFormat="1" applyFont="1" applyBorder="1" applyAlignment="1">
      <alignment horizontal="left"/>
    </xf>
    <xf numFmtId="2" fontId="43" fillId="0" borderId="10" xfId="0" applyNumberFormat="1" applyFont="1" applyBorder="1" applyAlignment="1">
      <alignment horizontal="left" vertical="top"/>
    </xf>
    <xf numFmtId="2" fontId="36" fillId="0" borderId="10" xfId="0" applyNumberFormat="1" applyFont="1" applyBorder="1" applyAlignment="1">
      <alignment horizontal="right" vertical="top"/>
    </xf>
    <xf numFmtId="4" fontId="43" fillId="0" borderId="10" xfId="0" applyNumberFormat="1" applyFont="1" applyBorder="1" applyAlignment="1">
      <alignment horizontal="right" vertical="top"/>
    </xf>
    <xf numFmtId="2" fontId="21" fillId="0" borderId="0" xfId="0" applyNumberFormat="1" applyFont="1" applyAlignment="1">
      <alignment horizontal="right" vertical="top"/>
    </xf>
    <xf numFmtId="4" fontId="43" fillId="0" borderId="11" xfId="0" applyNumberFormat="1" applyFont="1" applyBorder="1" applyAlignment="1">
      <alignment horizontal="right" vertical="top"/>
    </xf>
    <xf numFmtId="2" fontId="36" fillId="0" borderId="0" xfId="0" applyNumberFormat="1" applyFont="1" applyAlignment="1">
      <alignment horizontal="right"/>
    </xf>
    <xf numFmtId="2" fontId="49" fillId="0" borderId="10" xfId="0" applyNumberFormat="1" applyFont="1" applyBorder="1" applyAlignment="1">
      <alignment horizontal="left" vertical="top"/>
    </xf>
    <xf numFmtId="2" fontId="36" fillId="0" borderId="0" xfId="0" applyNumberFormat="1" applyFont="1" applyAlignment="1">
      <alignment horizontal="left" vertical="top"/>
    </xf>
    <xf numFmtId="4" fontId="52" fillId="0" borderId="0" xfId="0" applyNumberFormat="1" applyFont="1" applyAlignment="1">
      <alignment horizontal="right" vertical="top"/>
    </xf>
    <xf numFmtId="2" fontId="44" fillId="46" borderId="12" xfId="0" applyNumberFormat="1" applyFont="1" applyFill="1" applyBorder="1" applyAlignment="1">
      <alignment horizontal="right" vertical="top"/>
    </xf>
    <xf numFmtId="2" fontId="41" fillId="46" borderId="13" xfId="0" applyNumberFormat="1" applyFont="1" applyFill="1" applyBorder="1" applyAlignment="1">
      <alignment horizontal="left" vertical="top"/>
    </xf>
    <xf numFmtId="2" fontId="49" fillId="46" borderId="13" xfId="0" applyNumberFormat="1" applyFont="1" applyFill="1" applyBorder="1" applyAlignment="1">
      <alignment horizontal="left" vertical="top"/>
    </xf>
    <xf numFmtId="2" fontId="44" fillId="46" borderId="13" xfId="0" applyNumberFormat="1" applyFont="1" applyFill="1" applyBorder="1" applyAlignment="1">
      <alignment horizontal="right" vertical="top"/>
    </xf>
    <xf numFmtId="4" fontId="52" fillId="0" borderId="0" xfId="0" applyNumberFormat="1" applyFont="1"/>
    <xf numFmtId="4" fontId="49" fillId="0" borderId="0" xfId="0" applyNumberFormat="1" applyFont="1" applyAlignment="1">
      <alignment horizontal="right" vertical="top"/>
    </xf>
    <xf numFmtId="2" fontId="53" fillId="0" borderId="0" xfId="0" applyNumberFormat="1" applyFont="1" applyAlignment="1">
      <alignment horizontal="left" vertical="top" wrapText="1"/>
    </xf>
    <xf numFmtId="2" fontId="36" fillId="0" borderId="0" xfId="0" applyNumberFormat="1" applyFont="1" applyAlignment="1">
      <alignment horizontal="left" vertical="center"/>
    </xf>
    <xf numFmtId="2" fontId="36" fillId="0" borderId="0" xfId="0" applyNumberFormat="1" applyFont="1" applyAlignment="1">
      <alignment horizontal="left" vertical="top" wrapText="1"/>
    </xf>
    <xf numFmtId="2" fontId="59" fillId="0" borderId="0" xfId="0" applyNumberFormat="1" applyFont="1" applyAlignment="1">
      <alignment horizontal="left" vertical="top" wrapText="1"/>
    </xf>
    <xf numFmtId="0" fontId="53" fillId="0" borderId="0" xfId="0" applyFont="1" applyAlignment="1">
      <alignment horizontal="left" vertical="top"/>
    </xf>
    <xf numFmtId="1" fontId="53" fillId="0" borderId="0" xfId="0" applyNumberFormat="1" applyFont="1" applyAlignment="1">
      <alignment horizontal="right"/>
    </xf>
    <xf numFmtId="0" fontId="1" fillId="0" borderId="0" xfId="0" applyFont="1"/>
    <xf numFmtId="4" fontId="56" fillId="0" borderId="0" xfId="0" applyNumberFormat="1" applyFont="1" applyAlignment="1" applyProtection="1">
      <alignment horizontal="right"/>
      <protection locked="0"/>
    </xf>
    <xf numFmtId="2" fontId="60" fillId="0" borderId="0" xfId="0" applyNumberFormat="1" applyFont="1" applyAlignment="1">
      <alignment horizontal="left" vertical="center"/>
    </xf>
    <xf numFmtId="0" fontId="53" fillId="0" borderId="0" xfId="0" applyFont="1" applyAlignment="1">
      <alignment horizontal="right" wrapText="1"/>
    </xf>
    <xf numFmtId="2" fontId="53" fillId="0" borderId="0" xfId="0" applyNumberFormat="1" applyFont="1" applyAlignment="1">
      <alignment horizontal="right"/>
    </xf>
    <xf numFmtId="4" fontId="56" fillId="0" borderId="0" xfId="0" applyNumberFormat="1" applyFont="1" applyAlignment="1">
      <alignment horizontal="right"/>
    </xf>
    <xf numFmtId="4" fontId="49" fillId="0" borderId="10" xfId="0" applyNumberFormat="1" applyFont="1" applyBorder="1" applyAlignment="1">
      <alignment horizontal="right" vertical="top"/>
    </xf>
    <xf numFmtId="4" fontId="49" fillId="0" borderId="14" xfId="0" applyNumberFormat="1" applyFont="1" applyBorder="1" applyAlignment="1">
      <alignment horizontal="right" vertical="top"/>
    </xf>
    <xf numFmtId="0" fontId="53" fillId="0" borderId="0" xfId="0" applyFont="1" applyAlignment="1">
      <alignment horizontal="left" vertical="top" wrapText="1"/>
    </xf>
    <xf numFmtId="0" fontId="23" fillId="0" borderId="0" xfId="0" applyFont="1"/>
    <xf numFmtId="0" fontId="46" fillId="0" borderId="0" xfId="0" applyFont="1" applyAlignment="1">
      <alignment horizontal="left" vertical="top" wrapText="1"/>
    </xf>
    <xf numFmtId="4" fontId="51" fillId="0" borderId="15" xfId="0" applyNumberFormat="1" applyFont="1" applyBorder="1"/>
    <xf numFmtId="0" fontId="36" fillId="0" borderId="0" xfId="0" applyFont="1" applyAlignment="1">
      <alignment horizontal="left" vertical="top" wrapText="1"/>
    </xf>
    <xf numFmtId="2" fontId="38" fillId="0" borderId="0" xfId="0" applyNumberFormat="1" applyFont="1" applyAlignment="1">
      <alignment horizontal="left" vertical="top"/>
    </xf>
    <xf numFmtId="4" fontId="49" fillId="0" borderId="0" xfId="0" applyNumberFormat="1" applyFont="1" applyAlignment="1">
      <alignment horizontal="left" vertical="top"/>
    </xf>
    <xf numFmtId="4" fontId="51" fillId="0" borderId="16" xfId="0" applyNumberFormat="1" applyFont="1" applyBorder="1"/>
    <xf numFmtId="4" fontId="52" fillId="0" borderId="16" xfId="0" applyNumberFormat="1" applyFont="1" applyBorder="1"/>
    <xf numFmtId="0" fontId="53" fillId="0" borderId="0" xfId="0" applyFont="1" applyAlignment="1">
      <alignment horizontal="justify" vertical="top" wrapText="1"/>
    </xf>
    <xf numFmtId="2" fontId="53" fillId="0" borderId="0" xfId="0" applyNumberFormat="1" applyFont="1" applyAlignment="1">
      <alignment horizontal="right" vertical="top"/>
    </xf>
    <xf numFmtId="1" fontId="56" fillId="0" borderId="0" xfId="0" applyNumberFormat="1" applyFont="1"/>
    <xf numFmtId="0" fontId="57" fillId="0" borderId="0" xfId="0" applyFont="1"/>
    <xf numFmtId="4" fontId="56" fillId="0" borderId="0" xfId="0" applyNumberFormat="1" applyFont="1"/>
    <xf numFmtId="0" fontId="56" fillId="0" borderId="0" xfId="0" applyFont="1"/>
    <xf numFmtId="0" fontId="51" fillId="0" borderId="0" xfId="0" applyFont="1" applyAlignment="1">
      <alignment horizontal="left"/>
    </xf>
    <xf numFmtId="4" fontId="56" fillId="0" borderId="0" xfId="0" applyNumberFormat="1" applyFont="1" applyProtection="1">
      <protection locked="0"/>
    </xf>
    <xf numFmtId="4" fontId="24" fillId="0" borderId="0" xfId="0" applyNumberFormat="1" applyFont="1"/>
    <xf numFmtId="4" fontId="18" fillId="0" borderId="0" xfId="0" applyNumberFormat="1" applyFont="1"/>
    <xf numFmtId="4" fontId="58" fillId="0" borderId="0" xfId="0" applyNumberFormat="1" applyFont="1"/>
    <xf numFmtId="4" fontId="8" fillId="0" borderId="0" xfId="0" applyNumberFormat="1" applyFont="1"/>
    <xf numFmtId="1" fontId="53" fillId="0" borderId="0" xfId="0" applyNumberFormat="1" applyFont="1" applyAlignment="1">
      <alignment horizontal="left" vertical="top"/>
    </xf>
    <xf numFmtId="0" fontId="53" fillId="0" borderId="0" xfId="0" applyFont="1" applyAlignment="1" applyProtection="1">
      <alignment horizontal="left" vertical="top"/>
      <protection locked="0"/>
    </xf>
    <xf numFmtId="2" fontId="39" fillId="0" borderId="0" xfId="0" applyNumberFormat="1" applyFont="1" applyAlignment="1">
      <alignment vertical="top"/>
    </xf>
    <xf numFmtId="2" fontId="53" fillId="0" borderId="0" xfId="0" applyNumberFormat="1" applyFont="1" applyAlignment="1">
      <alignment horizontal="left"/>
    </xf>
    <xf numFmtId="0" fontId="55" fillId="0" borderId="0" xfId="0" applyFont="1" applyAlignment="1">
      <alignment horizontal="right"/>
    </xf>
    <xf numFmtId="4" fontId="23" fillId="0" borderId="0" xfId="0" applyNumberFormat="1" applyFont="1"/>
    <xf numFmtId="49" fontId="53" fillId="0" borderId="0" xfId="0" applyNumberFormat="1" applyFont="1" applyAlignment="1">
      <alignment horizontal="justify" vertical="top" wrapText="1"/>
    </xf>
    <xf numFmtId="4" fontId="3" fillId="0" borderId="0" xfId="0" applyNumberFormat="1" applyFont="1" applyAlignment="1">
      <alignment horizontal="right" vertical="top"/>
    </xf>
    <xf numFmtId="2" fontId="53" fillId="0" borderId="0" xfId="0" applyNumberFormat="1" applyFont="1" applyAlignment="1">
      <alignment horizontal="left" vertical="top"/>
    </xf>
    <xf numFmtId="2" fontId="53" fillId="0" borderId="0" xfId="0" applyNumberFormat="1" applyFont="1" applyAlignment="1">
      <alignment horizontal="right" vertical="top" wrapText="1"/>
    </xf>
    <xf numFmtId="2" fontId="53" fillId="0" borderId="0" xfId="0" applyNumberFormat="1" applyFont="1" applyAlignment="1">
      <alignment horizontal="right" wrapText="1"/>
    </xf>
    <xf numFmtId="2" fontId="41" fillId="0" borderId="12" xfId="0" applyNumberFormat="1" applyFont="1" applyBorder="1" applyAlignment="1">
      <alignment vertical="top"/>
    </xf>
    <xf numFmtId="0" fontId="43" fillId="0" borderId="13" xfId="0" applyFont="1" applyBorder="1"/>
    <xf numFmtId="1" fontId="56" fillId="0" borderId="13" xfId="0" applyNumberFormat="1" applyFont="1" applyBorder="1"/>
    <xf numFmtId="2" fontId="41" fillId="0" borderId="17" xfId="0" applyNumberFormat="1" applyFont="1" applyBorder="1" applyAlignment="1">
      <alignment horizontal="right"/>
    </xf>
    <xf numFmtId="0" fontId="23" fillId="0" borderId="0" xfId="0" applyFont="1" applyAlignment="1">
      <alignment horizontal="right"/>
    </xf>
    <xf numFmtId="1" fontId="24" fillId="0" borderId="0" xfId="0" applyNumberFormat="1" applyFont="1"/>
    <xf numFmtId="0" fontId="25" fillId="0" borderId="0" xfId="0" applyFont="1" applyAlignment="1">
      <alignment horizontal="center"/>
    </xf>
    <xf numFmtId="0" fontId="53" fillId="0" borderId="16" xfId="0" applyFont="1" applyBorder="1" applyAlignment="1">
      <alignment horizontal="center" vertical="top" wrapText="1"/>
    </xf>
    <xf numFmtId="1" fontId="53" fillId="0" borderId="16" xfId="0" applyNumberFormat="1" applyFont="1" applyBorder="1" applyAlignment="1">
      <alignment horizontal="center" vertical="top" wrapText="1"/>
    </xf>
    <xf numFmtId="0" fontId="5" fillId="0" borderId="0" xfId="0" applyFont="1" applyAlignment="1">
      <alignment horizontal="center" vertical="top" wrapText="1"/>
    </xf>
    <xf numFmtId="0" fontId="53" fillId="0" borderId="0" xfId="0" applyFont="1" applyAlignment="1">
      <alignment horizontal="center" vertical="top" wrapText="1"/>
    </xf>
    <xf numFmtId="1" fontId="53" fillId="0" borderId="0" xfId="0" applyNumberFormat="1" applyFont="1" applyAlignment="1">
      <alignment horizontal="center" vertical="top" wrapText="1"/>
    </xf>
    <xf numFmtId="0" fontId="47" fillId="0" borderId="0" xfId="0" applyFont="1" applyAlignment="1">
      <alignment horizontal="right"/>
    </xf>
    <xf numFmtId="0" fontId="47" fillId="0" borderId="0" xfId="0" applyFont="1"/>
    <xf numFmtId="0" fontId="50" fillId="0" borderId="0" xfId="0" applyFont="1" applyAlignment="1">
      <alignment horizontal="right"/>
    </xf>
    <xf numFmtId="4" fontId="57" fillId="0" borderId="0" xfId="0" applyNumberFormat="1" applyFont="1"/>
    <xf numFmtId="0" fontId="57" fillId="0" borderId="0" xfId="0" applyFont="1" applyAlignment="1">
      <alignment horizontal="right"/>
    </xf>
    <xf numFmtId="0" fontId="44" fillId="0" borderId="10" xfId="0" applyFont="1" applyBorder="1"/>
    <xf numFmtId="0" fontId="17" fillId="0" borderId="0" xfId="0" applyFont="1" applyAlignment="1">
      <alignment horizontal="left"/>
    </xf>
    <xf numFmtId="0" fontId="53" fillId="0" borderId="0" xfId="0" applyFont="1"/>
    <xf numFmtId="0" fontId="53" fillId="0" borderId="0" xfId="0" applyFont="1" applyAlignment="1">
      <alignment horizontal="justify" vertical="top"/>
    </xf>
    <xf numFmtId="0" fontId="53" fillId="0" borderId="0" xfId="0" applyFont="1" applyAlignment="1">
      <alignment horizontal="right"/>
    </xf>
    <xf numFmtId="0" fontId="53" fillId="0" borderId="0" xfId="0" applyFont="1" applyAlignment="1">
      <alignment horizontal="right" vertical="top"/>
    </xf>
    <xf numFmtId="4" fontId="53" fillId="0" borderId="0" xfId="0" applyNumberFormat="1" applyFont="1" applyAlignment="1">
      <alignment horizontal="right" vertical="top"/>
    </xf>
    <xf numFmtId="4" fontId="6" fillId="0" borderId="0" xfId="0" applyNumberFormat="1" applyFont="1" applyAlignment="1">
      <alignment horizontal="right" vertical="top"/>
    </xf>
    <xf numFmtId="0" fontId="52" fillId="0" borderId="0" xfId="0" applyFont="1" applyAlignment="1">
      <alignment vertical="top"/>
    </xf>
    <xf numFmtId="0" fontId="58" fillId="0" borderId="0" xfId="0" applyFont="1" applyAlignment="1">
      <alignment horizontal="justify" vertical="top"/>
    </xf>
    <xf numFmtId="0" fontId="58" fillId="0" borderId="0" xfId="0" applyFont="1" applyAlignment="1">
      <alignment horizontal="right"/>
    </xf>
    <xf numFmtId="1" fontId="58" fillId="0" borderId="0" xfId="0" applyNumberFormat="1" applyFont="1" applyAlignment="1">
      <alignment horizontal="right"/>
    </xf>
    <xf numFmtId="0" fontId="58" fillId="0" borderId="0" xfId="0" applyFont="1"/>
    <xf numFmtId="0" fontId="55" fillId="0" borderId="0" xfId="0" applyFont="1" applyAlignment="1">
      <alignment horizontal="left" vertical="top" wrapText="1"/>
    </xf>
    <xf numFmtId="1" fontId="55" fillId="0" borderId="0" xfId="0" applyNumberFormat="1" applyFont="1" applyAlignment="1">
      <alignment horizontal="left" vertical="top" wrapText="1"/>
    </xf>
    <xf numFmtId="0" fontId="55" fillId="0" borderId="0" xfId="0" applyFont="1"/>
    <xf numFmtId="0" fontId="2" fillId="0" borderId="0" xfId="0" applyFont="1"/>
    <xf numFmtId="0" fontId="2" fillId="0" borderId="0" xfId="0" applyFont="1" applyAlignment="1">
      <alignment horizontal="right"/>
    </xf>
    <xf numFmtId="0" fontId="52" fillId="0" borderId="0" xfId="0" applyFont="1" applyAlignment="1">
      <alignment horizontal="left"/>
    </xf>
    <xf numFmtId="1" fontId="53" fillId="0" borderId="0" xfId="0" applyNumberFormat="1" applyFont="1"/>
    <xf numFmtId="4" fontId="53" fillId="0" borderId="0" xfId="0" applyNumberFormat="1" applyFont="1" applyProtection="1">
      <protection locked="0"/>
    </xf>
    <xf numFmtId="4" fontId="53" fillId="0" borderId="0" xfId="0" applyNumberFormat="1" applyFont="1"/>
    <xf numFmtId="4" fontId="53" fillId="0" borderId="0" xfId="0" applyNumberFormat="1" applyFont="1" applyAlignment="1" applyProtection="1">
      <alignment horizontal="right"/>
      <protection locked="0"/>
    </xf>
    <xf numFmtId="0" fontId="53" fillId="0" borderId="0" xfId="0" applyFont="1" applyAlignment="1">
      <alignment wrapText="1"/>
    </xf>
    <xf numFmtId="4" fontId="53" fillId="0" borderId="0" xfId="0" applyNumberFormat="1" applyFont="1" applyAlignment="1">
      <alignment horizontal="right"/>
    </xf>
    <xf numFmtId="0" fontId="53" fillId="0" borderId="0" xfId="0" applyFont="1" applyAlignment="1">
      <alignment vertical="top" wrapText="1"/>
    </xf>
    <xf numFmtId="0" fontId="52" fillId="0" borderId="0" xfId="0" applyFont="1" applyAlignment="1">
      <alignment horizontal="left" vertical="top" wrapText="1"/>
    </xf>
    <xf numFmtId="0" fontId="36" fillId="0" borderId="0" xfId="0" applyFont="1" applyAlignment="1">
      <alignment horizontal="right"/>
    </xf>
    <xf numFmtId="0" fontId="52" fillId="0" borderId="0" xfId="0" applyFont="1" applyAlignment="1">
      <alignment horizontal="left" wrapText="1"/>
    </xf>
    <xf numFmtId="0" fontId="1" fillId="0" borderId="0" xfId="0" applyFont="1" applyAlignment="1">
      <alignment horizontal="right"/>
    </xf>
    <xf numFmtId="4" fontId="1" fillId="0" borderId="0" xfId="0" applyNumberFormat="1" applyFont="1"/>
    <xf numFmtId="0" fontId="53" fillId="0" borderId="0" xfId="0" applyFont="1" applyAlignment="1">
      <alignment horizontal="right" vertical="center" wrapText="1"/>
    </xf>
    <xf numFmtId="0" fontId="36" fillId="0" borderId="0" xfId="0" applyFont="1"/>
    <xf numFmtId="0" fontId="52" fillId="0" borderId="0" xfId="0" applyFont="1" applyAlignment="1">
      <alignment vertical="top" wrapText="1"/>
    </xf>
    <xf numFmtId="2" fontId="52" fillId="0" borderId="0" xfId="0" applyNumberFormat="1" applyFont="1" applyAlignment="1">
      <alignment horizontal="left" vertical="top" wrapText="1"/>
    </xf>
    <xf numFmtId="0" fontId="0" fillId="0" borderId="0" xfId="0" applyAlignment="1">
      <alignment wrapText="1"/>
    </xf>
    <xf numFmtId="0" fontId="0" fillId="0" borderId="0" xfId="0" applyAlignment="1">
      <alignment horizontal="left" vertical="top" wrapText="1"/>
    </xf>
    <xf numFmtId="0" fontId="1" fillId="0" borderId="0" xfId="0" applyFont="1" applyAlignment="1">
      <alignment horizontal="left" vertical="top" wrapText="1"/>
    </xf>
    <xf numFmtId="0" fontId="66" fillId="0" borderId="0" xfId="0" applyFont="1"/>
    <xf numFmtId="0" fontId="45" fillId="0" borderId="0" xfId="0" applyFont="1"/>
    <xf numFmtId="1" fontId="18" fillId="0" borderId="0" xfId="0" applyNumberFormat="1" applyFont="1"/>
    <xf numFmtId="1" fontId="1" fillId="0" borderId="0" xfId="0" applyNumberFormat="1" applyFont="1" applyAlignment="1">
      <alignment horizontal="left" vertical="top" wrapText="1"/>
    </xf>
    <xf numFmtId="0" fontId="54" fillId="0" borderId="0" xfId="0" applyFont="1" applyAlignment="1">
      <alignment horizontal="left" vertical="top" wrapText="1"/>
    </xf>
    <xf numFmtId="0" fontId="22" fillId="0" borderId="0" xfId="0" applyFont="1" applyAlignment="1">
      <alignment horizontal="left" vertical="top" wrapText="1"/>
    </xf>
    <xf numFmtId="0" fontId="64" fillId="0" borderId="0" xfId="0" applyFont="1" applyAlignment="1">
      <alignment horizontal="left" vertical="top" wrapText="1"/>
    </xf>
    <xf numFmtId="0" fontId="65" fillId="0" borderId="0" xfId="0" applyFont="1" applyAlignment="1">
      <alignment horizontal="left" vertical="top" wrapText="1"/>
    </xf>
    <xf numFmtId="0" fontId="65" fillId="0" borderId="0" xfId="0" applyFont="1" applyAlignment="1">
      <alignment horizontal="right" wrapText="1"/>
    </xf>
    <xf numFmtId="4" fontId="58" fillId="0" borderId="0" xfId="0" applyNumberFormat="1" applyFont="1" applyAlignment="1">
      <alignment horizontal="right"/>
    </xf>
    <xf numFmtId="0" fontId="1" fillId="0" borderId="13" xfId="0" applyFont="1" applyBorder="1"/>
    <xf numFmtId="0" fontId="53" fillId="0" borderId="0" xfId="0" applyFont="1" applyAlignment="1">
      <alignment horizontal="right" vertical="top" wrapText="1"/>
    </xf>
    <xf numFmtId="0" fontId="55" fillId="0" borderId="0" xfId="0" applyFont="1" applyAlignment="1">
      <alignment wrapText="1"/>
    </xf>
    <xf numFmtId="0" fontId="52" fillId="0" borderId="0" xfId="0" applyFont="1" applyAlignment="1">
      <alignment horizontal="left" vertical="center" wrapText="1"/>
    </xf>
    <xf numFmtId="4" fontId="36" fillId="0" borderId="0" xfId="0" applyNumberFormat="1" applyFont="1"/>
    <xf numFmtId="1" fontId="53" fillId="0" borderId="0" xfId="0" applyNumberFormat="1" applyFont="1" applyAlignment="1">
      <alignment horizontal="right" wrapText="1"/>
    </xf>
    <xf numFmtId="4" fontId="53" fillId="0" borderId="0" xfId="0" applyNumberFormat="1" applyFont="1" applyAlignment="1">
      <alignment horizontal="right" vertical="top" wrapText="1"/>
    </xf>
    <xf numFmtId="0" fontId="44" fillId="0" borderId="0" xfId="0" applyFont="1" applyAlignment="1">
      <alignment horizontal="left" vertical="top" wrapText="1"/>
    </xf>
    <xf numFmtId="0" fontId="36" fillId="0" borderId="0" xfId="0" applyFont="1" applyAlignment="1">
      <alignment horizontal="left" vertical="top"/>
    </xf>
    <xf numFmtId="1" fontId="36" fillId="0" borderId="0" xfId="0" applyNumberFormat="1" applyFont="1" applyAlignment="1">
      <alignment horizontal="left" vertical="top"/>
    </xf>
    <xf numFmtId="0" fontId="35" fillId="0" borderId="0" xfId="0" applyFont="1"/>
    <xf numFmtId="0" fontId="58" fillId="0" borderId="0" xfId="0" applyFont="1" applyProtection="1">
      <protection locked="0"/>
    </xf>
    <xf numFmtId="0" fontId="106" fillId="0" borderId="0" xfId="0" applyFont="1" applyAlignment="1">
      <alignment horizontal="right"/>
    </xf>
    <xf numFmtId="4" fontId="107" fillId="0" borderId="0" xfId="0" applyNumberFormat="1" applyFont="1"/>
    <xf numFmtId="4" fontId="67" fillId="0" borderId="0" xfId="0" applyNumberFormat="1" applyFont="1" applyAlignment="1">
      <alignment horizontal="right"/>
    </xf>
    <xf numFmtId="0" fontId="108" fillId="0" borderId="0" xfId="0" applyFont="1"/>
    <xf numFmtId="0" fontId="68" fillId="0" borderId="0" xfId="0" applyFont="1"/>
    <xf numFmtId="0" fontId="44" fillId="0" borderId="0" xfId="0" applyFont="1"/>
    <xf numFmtId="0" fontId="69" fillId="0" borderId="0" xfId="0" applyFont="1"/>
    <xf numFmtId="0" fontId="69" fillId="0" borderId="0" xfId="0" applyFont="1" applyAlignment="1">
      <alignment horizontal="left" indent="1"/>
    </xf>
    <xf numFmtId="0" fontId="69" fillId="0" borderId="0" xfId="0" applyFont="1" applyAlignment="1">
      <alignment horizontal="left" indent="5"/>
    </xf>
    <xf numFmtId="0" fontId="17" fillId="0" borderId="0" xfId="0" applyFont="1" applyAlignment="1">
      <alignment horizontal="left" indent="11"/>
    </xf>
    <xf numFmtId="0" fontId="44" fillId="0" borderId="0" xfId="0" applyFont="1" applyAlignment="1">
      <alignment horizontal="left" indent="15"/>
    </xf>
    <xf numFmtId="0" fontId="70" fillId="0" borderId="0" xfId="0" applyFont="1"/>
    <xf numFmtId="0" fontId="71" fillId="0" borderId="0" xfId="0" applyFont="1"/>
    <xf numFmtId="0" fontId="13" fillId="0" borderId="0" xfId="0" applyFont="1" applyAlignment="1">
      <alignment horizontal="left"/>
    </xf>
    <xf numFmtId="4" fontId="9" fillId="0" borderId="0" xfId="0" applyNumberFormat="1" applyFont="1" applyAlignment="1">
      <alignment horizontal="left" vertical="top"/>
    </xf>
    <xf numFmtId="0" fontId="13" fillId="0" borderId="0" xfId="0" applyFont="1"/>
    <xf numFmtId="0" fontId="19" fillId="0" borderId="0" xfId="0" applyFont="1"/>
    <xf numFmtId="2" fontId="109" fillId="0" borderId="0" xfId="811" applyNumberFormat="1" applyFont="1" applyAlignment="1">
      <alignment horizontal="right" vertical="top" wrapText="1"/>
    </xf>
    <xf numFmtId="0" fontId="109" fillId="0" borderId="0" xfId="811" applyFont="1" applyAlignment="1">
      <alignment horizontal="center" vertical="top" wrapText="1"/>
    </xf>
    <xf numFmtId="4" fontId="109" fillId="0" borderId="0" xfId="496" applyNumberFormat="1" applyFont="1" applyFill="1" applyBorder="1" applyAlignment="1" applyProtection="1">
      <alignment horizontal="right" vertical="top" wrapText="1"/>
    </xf>
    <xf numFmtId="0" fontId="53" fillId="0" borderId="0" xfId="0" applyFont="1" applyAlignment="1" applyProtection="1">
      <alignment horizontal="right"/>
      <protection locked="0"/>
    </xf>
    <xf numFmtId="49" fontId="63" fillId="0" borderId="0" xfId="0" applyNumberFormat="1" applyFont="1"/>
    <xf numFmtId="2" fontId="56" fillId="0" borderId="0" xfId="0" applyNumberFormat="1" applyFont="1" applyAlignment="1" applyProtection="1">
      <alignment horizontal="right"/>
      <protection locked="0"/>
    </xf>
    <xf numFmtId="2" fontId="56" fillId="0" borderId="0" xfId="0" applyNumberFormat="1" applyFont="1" applyAlignment="1">
      <alignment horizontal="right"/>
    </xf>
    <xf numFmtId="0" fontId="110" fillId="0" borderId="0" xfId="811" applyFont="1" applyAlignment="1">
      <alignment vertical="top" wrapText="1"/>
    </xf>
    <xf numFmtId="0" fontId="109" fillId="0" borderId="0" xfId="811" applyFont="1" applyAlignment="1">
      <alignment horizontal="left" vertical="top" wrapText="1"/>
    </xf>
    <xf numFmtId="16" fontId="109" fillId="0" borderId="0" xfId="811" applyNumberFormat="1" applyFont="1" applyAlignment="1">
      <alignment horizontal="left" vertical="top" wrapText="1"/>
    </xf>
    <xf numFmtId="167" fontId="109" fillId="0" borderId="0" xfId="923" applyNumberFormat="1" applyFont="1" applyAlignment="1">
      <alignment horizontal="right" wrapText="1"/>
    </xf>
    <xf numFmtId="4" fontId="109" fillId="0" borderId="0" xfId="496" applyNumberFormat="1" applyFont="1" applyFill="1" applyBorder="1" applyAlignment="1" applyProtection="1">
      <alignment horizontal="right" wrapText="1"/>
    </xf>
    <xf numFmtId="4" fontId="109" fillId="0" borderId="0" xfId="811" applyNumberFormat="1" applyFont="1" applyAlignment="1" applyProtection="1">
      <alignment horizontal="right" wrapText="1"/>
      <protection locked="0"/>
    </xf>
    <xf numFmtId="0" fontId="53" fillId="0" borderId="0" xfId="0" applyFont="1" applyAlignment="1">
      <alignment horizontal="left" wrapText="1"/>
    </xf>
    <xf numFmtId="49" fontId="53" fillId="0" borderId="0" xfId="0" applyNumberFormat="1" applyFont="1" applyAlignment="1">
      <alignment horizontal="justify" wrapText="1"/>
    </xf>
    <xf numFmtId="0" fontId="110" fillId="0" borderId="0" xfId="811" applyFont="1" applyAlignment="1">
      <alignment horizontal="right" vertical="top" wrapText="1"/>
    </xf>
    <xf numFmtId="4" fontId="109" fillId="0" borderId="0" xfId="811" applyNumberFormat="1" applyFont="1" applyAlignment="1">
      <alignment vertical="top" wrapText="1"/>
    </xf>
    <xf numFmtId="4" fontId="52" fillId="0" borderId="0" xfId="0" applyNumberFormat="1" applyFont="1" applyAlignment="1">
      <alignment horizontal="right"/>
    </xf>
    <xf numFmtId="0" fontId="111" fillId="0" borderId="0" xfId="0" applyFont="1"/>
    <xf numFmtId="0" fontId="109" fillId="0" borderId="0" xfId="496" applyNumberFormat="1" applyFont="1" applyFill="1" applyBorder="1" applyAlignment="1" applyProtection="1">
      <alignment horizontal="right" wrapText="1"/>
    </xf>
    <xf numFmtId="4" fontId="112" fillId="0" borderId="0" xfId="0" applyNumberFormat="1" applyFont="1" applyAlignment="1">
      <alignment horizontal="right"/>
    </xf>
    <xf numFmtId="0" fontId="109" fillId="0" borderId="0" xfId="811" applyFont="1" applyAlignment="1">
      <alignment vertical="top" wrapText="1"/>
    </xf>
    <xf numFmtId="4" fontId="109" fillId="0" borderId="0" xfId="811" applyNumberFormat="1" applyFont="1" applyAlignment="1" applyProtection="1">
      <alignment horizontal="right" vertical="top" wrapText="1"/>
      <protection locked="0"/>
    </xf>
    <xf numFmtId="49" fontId="63" fillId="0" borderId="0" xfId="0" applyNumberFormat="1" applyFont="1" applyAlignment="1">
      <alignment horizontal="left"/>
    </xf>
    <xf numFmtId="0" fontId="40" fillId="0" borderId="0" xfId="0" applyFont="1" applyAlignment="1">
      <alignment horizontal="left" vertical="center" wrapText="1"/>
    </xf>
    <xf numFmtId="2" fontId="53" fillId="0" borderId="0" xfId="0" applyNumberFormat="1" applyFont="1" applyAlignment="1">
      <alignment horizontal="left" wrapText="1"/>
    </xf>
    <xf numFmtId="2" fontId="53" fillId="0" borderId="0" xfId="0" applyNumberFormat="1" applyFont="1" applyAlignment="1" applyProtection="1">
      <alignment horizontal="right"/>
      <protection locked="0"/>
    </xf>
    <xf numFmtId="2" fontId="41" fillId="0" borderId="13" xfId="0" applyNumberFormat="1" applyFont="1" applyBorder="1" applyAlignment="1">
      <alignment horizontal="left" vertical="top"/>
    </xf>
    <xf numFmtId="0" fontId="109" fillId="0" borderId="0" xfId="811" applyFont="1" applyAlignment="1">
      <alignment horizontal="right" wrapText="1"/>
    </xf>
    <xf numFmtId="0" fontId="109" fillId="0" borderId="0" xfId="811" applyFont="1" applyAlignment="1">
      <alignment horizontal="center" wrapText="1"/>
    </xf>
    <xf numFmtId="0" fontId="109" fillId="0" borderId="0" xfId="794" applyFont="1" applyAlignment="1">
      <alignment horizontal="left" vertical="top" wrapText="1"/>
    </xf>
    <xf numFmtId="2" fontId="21" fillId="0" borderId="10" xfId="0" applyNumberFormat="1" applyFont="1" applyBorder="1" applyAlignment="1">
      <alignment horizontal="right"/>
    </xf>
    <xf numFmtId="0" fontId="110" fillId="0" borderId="0" xfId="811" applyFont="1" applyAlignment="1">
      <alignment horizontal="right" wrapText="1"/>
    </xf>
    <xf numFmtId="49" fontId="44" fillId="0" borderId="10" xfId="0" applyNumberFormat="1" applyFont="1" applyBorder="1"/>
    <xf numFmtId="49" fontId="44" fillId="0" borderId="10" xfId="0" applyNumberFormat="1" applyFont="1" applyBorder="1" applyAlignment="1">
      <alignment vertical="center"/>
    </xf>
    <xf numFmtId="0" fontId="53" fillId="0" borderId="0" xfId="0" applyFont="1" applyAlignment="1">
      <alignment horizontal="center" wrapText="1"/>
    </xf>
    <xf numFmtId="2" fontId="53" fillId="0" borderId="0" xfId="0" applyNumberFormat="1" applyFont="1" applyAlignment="1">
      <alignment vertical="top" wrapText="1"/>
    </xf>
    <xf numFmtId="0" fontId="109" fillId="0" borderId="0" xfId="0" applyFont="1" applyAlignment="1">
      <alignment vertical="top" wrapText="1"/>
    </xf>
    <xf numFmtId="2" fontId="109" fillId="0" borderId="0" xfId="811" applyNumberFormat="1" applyFont="1" applyAlignment="1" applyProtection="1">
      <alignment horizontal="right" wrapText="1"/>
      <protection locked="0"/>
    </xf>
    <xf numFmtId="0" fontId="55" fillId="0" borderId="0" xfId="0" applyFont="1" applyAlignment="1" applyProtection="1">
      <alignment horizontal="left" vertical="top" wrapText="1"/>
      <protection locked="0"/>
    </xf>
    <xf numFmtId="0" fontId="23" fillId="0" borderId="0" xfId="0" applyFont="1" applyProtection="1">
      <protection locked="0"/>
    </xf>
    <xf numFmtId="0" fontId="109" fillId="0" borderId="0" xfId="794" applyFont="1" applyAlignment="1" applyProtection="1">
      <alignment horizontal="right" vertical="top" wrapText="1"/>
      <protection locked="0"/>
    </xf>
    <xf numFmtId="0" fontId="0" fillId="0" borderId="0" xfId="0" applyAlignment="1" applyProtection="1">
      <alignment wrapText="1"/>
      <protection locked="0"/>
    </xf>
    <xf numFmtId="0" fontId="55" fillId="0" borderId="0" xfId="0" applyFont="1" applyAlignment="1" applyProtection="1">
      <alignment wrapText="1"/>
      <protection locked="0"/>
    </xf>
    <xf numFmtId="2" fontId="53" fillId="0" borderId="0" xfId="0" applyNumberFormat="1" applyFont="1" applyAlignment="1">
      <alignment vertical="top"/>
    </xf>
    <xf numFmtId="2" fontId="113" fillId="0" borderId="0" xfId="0" applyNumberFormat="1" applyFont="1" applyAlignment="1">
      <alignment horizontal="left" vertical="top"/>
    </xf>
    <xf numFmtId="0" fontId="21" fillId="0" borderId="0" xfId="0" applyFont="1" applyAlignment="1">
      <alignment horizontal="left" vertical="top" wrapText="1"/>
    </xf>
    <xf numFmtId="4" fontId="51" fillId="0" borderId="15" xfId="0" applyNumberFormat="1" applyFont="1" applyBorder="1" applyAlignment="1">
      <alignment vertical="top"/>
    </xf>
    <xf numFmtId="2" fontId="41" fillId="0" borderId="17" xfId="0" applyNumberFormat="1" applyFont="1" applyBorder="1" applyAlignment="1">
      <alignment horizontal="right" vertical="top"/>
    </xf>
    <xf numFmtId="0" fontId="55" fillId="0" borderId="0" xfId="0" applyFont="1" applyAlignment="1">
      <alignment horizontal="right" vertical="top" wrapText="1"/>
    </xf>
    <xf numFmtId="4" fontId="114" fillId="0" borderId="0" xfId="0" applyNumberFormat="1" applyFont="1" applyAlignment="1" applyProtection="1">
      <alignment horizontal="right"/>
      <protection locked="0"/>
    </xf>
    <xf numFmtId="0" fontId="84" fillId="0" borderId="0" xfId="0" applyFont="1"/>
    <xf numFmtId="0" fontId="36" fillId="0" borderId="0" xfId="0" applyFont="1" applyAlignment="1">
      <alignment horizontal="left" vertical="center"/>
    </xf>
    <xf numFmtId="0" fontId="36" fillId="0" borderId="0" xfId="0" applyFont="1" applyAlignment="1">
      <alignment horizontal="left" vertical="center" wrapText="1"/>
    </xf>
    <xf numFmtId="0" fontId="19" fillId="0" borderId="0" xfId="0" applyFont="1" applyAlignment="1">
      <alignment horizontal="left" vertical="center"/>
    </xf>
    <xf numFmtId="0" fontId="39" fillId="0" borderId="0" xfId="0" applyFont="1" applyAlignment="1">
      <alignment horizontal="left" vertical="center"/>
    </xf>
    <xf numFmtId="49" fontId="36" fillId="0" borderId="0" xfId="0" applyNumberFormat="1" applyFont="1" applyAlignment="1">
      <alignment horizontal="left" vertical="center"/>
    </xf>
    <xf numFmtId="0" fontId="41" fillId="0" borderId="0" xfId="0" applyFont="1"/>
    <xf numFmtId="4" fontId="115" fillId="0" borderId="0" xfId="0" applyNumberFormat="1" applyFont="1" applyAlignment="1">
      <alignment horizontal="right"/>
    </xf>
    <xf numFmtId="0" fontId="116" fillId="0" borderId="0" xfId="0" applyFont="1" applyAlignment="1">
      <alignment wrapText="1"/>
    </xf>
    <xf numFmtId="0" fontId="110" fillId="0" borderId="0" xfId="811" applyFont="1" applyAlignment="1">
      <alignment horizontal="left" vertical="top" wrapText="1"/>
    </xf>
    <xf numFmtId="0" fontId="109" fillId="0" borderId="0" xfId="930" applyFont="1"/>
    <xf numFmtId="0" fontId="109" fillId="0" borderId="0" xfId="811" applyFont="1" applyAlignment="1">
      <alignment wrapText="1"/>
    </xf>
    <xf numFmtId="2" fontId="48" fillId="0" borderId="0" xfId="0" applyNumberFormat="1" applyFont="1" applyAlignment="1">
      <alignment horizontal="left" vertical="center"/>
    </xf>
    <xf numFmtId="0" fontId="44" fillId="0" borderId="0" xfId="0" applyFont="1" applyAlignment="1">
      <alignment horizontal="left" vertical="center"/>
    </xf>
    <xf numFmtId="0" fontId="1" fillId="0" borderId="0" xfId="0" applyFont="1" applyAlignment="1">
      <alignment horizontal="left" vertical="center"/>
    </xf>
    <xf numFmtId="0" fontId="23" fillId="0" borderId="0" xfId="0" applyFont="1" applyAlignment="1">
      <alignment horizontal="left" vertical="center"/>
    </xf>
    <xf numFmtId="2" fontId="44" fillId="0" borderId="10" xfId="0" applyNumberFormat="1" applyFont="1" applyBorder="1" applyAlignment="1">
      <alignment horizontal="left" vertical="center"/>
    </xf>
    <xf numFmtId="0" fontId="41" fillId="0" borderId="10" xfId="0" applyFont="1" applyBorder="1" applyAlignment="1">
      <alignment horizontal="left" vertical="center"/>
    </xf>
    <xf numFmtId="2" fontId="10" fillId="0" borderId="10" xfId="0" applyNumberFormat="1" applyFont="1" applyBorder="1" applyAlignment="1">
      <alignment horizontal="left" vertical="center"/>
    </xf>
    <xf numFmtId="2" fontId="9" fillId="0" borderId="10" xfId="0" applyNumberFormat="1" applyFont="1" applyBorder="1" applyAlignment="1">
      <alignment horizontal="left" vertical="center"/>
    </xf>
    <xf numFmtId="2" fontId="113" fillId="0" borderId="0" xfId="0" applyNumberFormat="1" applyFont="1" applyAlignment="1">
      <alignment horizontal="center" vertical="center"/>
    </xf>
    <xf numFmtId="4" fontId="109" fillId="0" borderId="16" xfId="0" applyNumberFormat="1" applyFont="1" applyBorder="1" applyAlignment="1">
      <alignment horizontal="right" vertical="center"/>
    </xf>
    <xf numFmtId="2" fontId="39" fillId="0" borderId="18" xfId="0" applyNumberFormat="1" applyFont="1" applyBorder="1" applyAlignment="1">
      <alignment horizontal="left" vertical="center"/>
    </xf>
    <xf numFmtId="0" fontId="117" fillId="0" borderId="18" xfId="0" applyFont="1" applyBorder="1" applyAlignment="1">
      <alignment horizontal="left" vertical="center"/>
    </xf>
    <xf numFmtId="4" fontId="118" fillId="0" borderId="18" xfId="0" applyNumberFormat="1" applyFont="1" applyBorder="1" applyAlignment="1">
      <alignment horizontal="right" vertical="center"/>
    </xf>
    <xf numFmtId="0" fontId="117" fillId="0" borderId="0" xfId="0" applyFont="1" applyAlignment="1">
      <alignment horizontal="left" vertical="center"/>
    </xf>
    <xf numFmtId="4" fontId="118" fillId="0" borderId="0" xfId="0" applyNumberFormat="1" applyFont="1" applyAlignment="1">
      <alignment horizontal="right" vertical="center"/>
    </xf>
    <xf numFmtId="4" fontId="109" fillId="0" borderId="15" xfId="0" applyNumberFormat="1" applyFont="1" applyBorder="1" applyAlignment="1">
      <alignment horizontal="right" vertical="center"/>
    </xf>
    <xf numFmtId="2" fontId="113" fillId="0" borderId="0" xfId="0" applyNumberFormat="1" applyFont="1" applyAlignment="1">
      <alignment horizontal="left" vertical="center"/>
    </xf>
    <xf numFmtId="0" fontId="106" fillId="0" borderId="0" xfId="0" applyFont="1"/>
    <xf numFmtId="2" fontId="107" fillId="0" borderId="0" xfId="0" applyNumberFormat="1" applyFont="1" applyAlignment="1">
      <alignment horizontal="right"/>
    </xf>
    <xf numFmtId="2" fontId="56" fillId="0" borderId="0" xfId="0" applyNumberFormat="1" applyFont="1"/>
    <xf numFmtId="2" fontId="54" fillId="0" borderId="0" xfId="0" applyNumberFormat="1" applyFont="1" applyAlignment="1">
      <alignment horizontal="right"/>
    </xf>
    <xf numFmtId="2" fontId="55" fillId="0" borderId="0" xfId="0" applyNumberFormat="1" applyFont="1" applyAlignment="1">
      <alignment horizontal="left" vertical="top" wrapText="1"/>
    </xf>
    <xf numFmtId="2" fontId="53" fillId="0" borderId="0" xfId="0" applyNumberFormat="1" applyFont="1"/>
    <xf numFmtId="2" fontId="23" fillId="0" borderId="0" xfId="0" applyNumberFormat="1" applyFont="1"/>
    <xf numFmtId="0" fontId="42" fillId="0" borderId="0" xfId="0" applyFont="1" applyAlignment="1">
      <alignment horizontal="left" vertical="center"/>
    </xf>
    <xf numFmtId="4" fontId="109" fillId="0" borderId="0" xfId="0" applyNumberFormat="1" applyFont="1" applyAlignment="1">
      <alignment horizontal="right" vertical="center"/>
    </xf>
    <xf numFmtId="0" fontId="1" fillId="0" borderId="0" xfId="0" applyFont="1" applyAlignment="1">
      <alignment wrapText="1"/>
    </xf>
    <xf numFmtId="1" fontId="1" fillId="0" borderId="0" xfId="0" applyNumberFormat="1" applyFont="1" applyAlignment="1">
      <alignment wrapText="1"/>
    </xf>
    <xf numFmtId="1" fontId="53" fillId="0" borderId="0" xfId="0" applyNumberFormat="1" applyFont="1" applyAlignment="1">
      <alignment horizontal="left" vertical="top" wrapText="1"/>
    </xf>
    <xf numFmtId="4" fontId="109" fillId="0" borderId="0" xfId="496" applyNumberFormat="1" applyFont="1" applyAlignment="1">
      <alignment horizontal="right" wrapText="1"/>
    </xf>
    <xf numFmtId="0" fontId="109" fillId="0" borderId="0" xfId="0" applyFont="1" applyAlignment="1">
      <alignment horizontal="justify" vertical="top" wrapText="1"/>
    </xf>
    <xf numFmtId="0" fontId="114" fillId="0" borderId="0" xfId="0" applyFont="1" applyAlignment="1">
      <alignment vertical="top" wrapText="1"/>
    </xf>
    <xf numFmtId="1" fontId="54" fillId="0" borderId="0" xfId="0" applyNumberFormat="1" applyFont="1" applyAlignment="1">
      <alignment horizontal="left" vertical="top" wrapText="1"/>
    </xf>
    <xf numFmtId="1" fontId="115" fillId="0" borderId="0" xfId="0" applyNumberFormat="1" applyFont="1" applyAlignment="1">
      <alignment horizontal="right"/>
    </xf>
    <xf numFmtId="4" fontId="115" fillId="0" borderId="0" xfId="0" applyNumberFormat="1" applyFont="1" applyAlignment="1" applyProtection="1">
      <alignment horizontal="right"/>
      <protection locked="0"/>
    </xf>
    <xf numFmtId="2" fontId="121" fillId="0" borderId="0" xfId="0" applyNumberFormat="1" applyFont="1" applyAlignment="1">
      <alignment horizontal="right" wrapText="1"/>
    </xf>
    <xf numFmtId="0" fontId="114" fillId="0" borderId="0" xfId="0" applyFont="1" applyAlignment="1">
      <alignment horizontal="left" vertical="top" wrapText="1"/>
    </xf>
    <xf numFmtId="2" fontId="114" fillId="0" borderId="0" xfId="0" applyNumberFormat="1" applyFont="1" applyAlignment="1">
      <alignment horizontal="right" wrapText="1"/>
    </xf>
    <xf numFmtId="2" fontId="114" fillId="0" borderId="0" xfId="0" applyNumberFormat="1" applyFont="1" applyAlignment="1">
      <alignment horizontal="right"/>
    </xf>
    <xf numFmtId="4" fontId="122" fillId="0" borderId="0" xfId="0" applyNumberFormat="1" applyFont="1" applyAlignment="1">
      <alignment horizontal="right"/>
    </xf>
    <xf numFmtId="0" fontId="36" fillId="0" borderId="0" xfId="0" applyFont="1" applyAlignment="1">
      <alignment horizontal="right" vertical="top" wrapText="1"/>
    </xf>
    <xf numFmtId="0" fontId="36" fillId="0" borderId="0" xfId="0" applyFont="1" applyAlignment="1" applyProtection="1">
      <alignment horizontal="left" vertical="top" wrapText="1"/>
      <protection locked="0"/>
    </xf>
    <xf numFmtId="0" fontId="123" fillId="0" borderId="0" xfId="811" applyFont="1" applyAlignment="1">
      <alignment vertical="top" wrapText="1"/>
    </xf>
    <xf numFmtId="0" fontId="53" fillId="0" borderId="0" xfId="811" applyFont="1" applyAlignment="1">
      <alignment vertical="top" wrapText="1"/>
    </xf>
    <xf numFmtId="1" fontId="121" fillId="0" borderId="0" xfId="0" applyNumberFormat="1" applyFont="1" applyAlignment="1">
      <alignment horizontal="right"/>
    </xf>
    <xf numFmtId="4" fontId="121" fillId="0" borderId="0" xfId="0" applyNumberFormat="1" applyFont="1" applyAlignment="1" applyProtection="1">
      <alignment horizontal="right"/>
      <protection locked="0"/>
    </xf>
    <xf numFmtId="4" fontId="120" fillId="0" borderId="0" xfId="0" applyNumberFormat="1" applyFont="1" applyAlignment="1">
      <alignment horizontal="right"/>
    </xf>
    <xf numFmtId="49" fontId="121" fillId="0" borderId="0" xfId="811" applyNumberFormat="1" applyFont="1" applyAlignment="1">
      <alignment horizontal="left" vertical="top" wrapText="1"/>
    </xf>
    <xf numFmtId="0" fontId="120" fillId="0" borderId="0" xfId="811" applyFont="1" applyAlignment="1">
      <alignment vertical="top" wrapText="1"/>
    </xf>
    <xf numFmtId="0" fontId="125" fillId="0" borderId="0" xfId="0" applyFont="1" applyAlignment="1">
      <alignment wrapText="1"/>
    </xf>
    <xf numFmtId="4" fontId="126" fillId="0" borderId="0" xfId="0" applyNumberFormat="1" applyFont="1"/>
    <xf numFmtId="49" fontId="121" fillId="0" borderId="0" xfId="811" applyNumberFormat="1" applyFont="1" applyAlignment="1">
      <alignment horizontal="center" wrapText="1"/>
    </xf>
    <xf numFmtId="49" fontId="121" fillId="0" borderId="0" xfId="930" applyNumberFormat="1" applyFont="1"/>
    <xf numFmtId="49" fontId="121" fillId="0" borderId="0" xfId="811" applyNumberFormat="1" applyFont="1" applyAlignment="1" applyProtection="1">
      <alignment horizontal="right" vertical="top" wrapText="1"/>
      <protection locked="0"/>
    </xf>
    <xf numFmtId="49" fontId="121" fillId="0" borderId="0" xfId="923" applyNumberFormat="1" applyFont="1" applyAlignment="1">
      <alignment horizontal="right" wrapText="1"/>
    </xf>
    <xf numFmtId="2" fontId="121" fillId="0" borderId="0" xfId="811" quotePrefix="1" applyNumberFormat="1" applyFont="1" applyAlignment="1">
      <alignment horizontal="left" vertical="top" wrapText="1"/>
    </xf>
    <xf numFmtId="2" fontId="121" fillId="0" borderId="0" xfId="811" applyNumberFormat="1" applyFont="1" applyAlignment="1">
      <alignment horizontal="left" vertical="top" wrapText="1"/>
    </xf>
    <xf numFmtId="0" fontId="121" fillId="0" borderId="0" xfId="811" applyFont="1" applyAlignment="1">
      <alignment horizontal="right" wrapText="1"/>
    </xf>
    <xf numFmtId="0" fontId="53" fillId="0" borderId="0" xfId="1052" applyFont="1" applyAlignment="1">
      <alignment horizontal="left"/>
    </xf>
    <xf numFmtId="0" fontId="53" fillId="0" borderId="0" xfId="1052" applyFont="1"/>
    <xf numFmtId="4" fontId="127" fillId="0" borderId="0" xfId="0" applyNumberFormat="1" applyFont="1"/>
    <xf numFmtId="0" fontId="121" fillId="0" borderId="0" xfId="0" applyFont="1" applyAlignment="1">
      <alignment horizontal="left" vertical="top" wrapText="1"/>
    </xf>
    <xf numFmtId="4" fontId="128" fillId="0" borderId="0" xfId="0" applyNumberFormat="1" applyFont="1" applyAlignment="1">
      <alignment horizontal="right"/>
    </xf>
    <xf numFmtId="0" fontId="121" fillId="0" borderId="0" xfId="0" applyFont="1" applyAlignment="1">
      <alignment horizontal="justify" vertical="top" wrapText="1"/>
    </xf>
    <xf numFmtId="0" fontId="120" fillId="0" borderId="0" xfId="0" applyFont="1" applyAlignment="1">
      <alignment horizontal="left" vertical="top" wrapText="1"/>
    </xf>
    <xf numFmtId="2" fontId="121" fillId="0" borderId="0" xfId="0" applyNumberFormat="1" applyFont="1" applyAlignment="1">
      <alignment horizontal="right"/>
    </xf>
    <xf numFmtId="4" fontId="121" fillId="0" borderId="0" xfId="0" applyNumberFormat="1" applyFont="1" applyAlignment="1">
      <alignment horizontal="right"/>
    </xf>
    <xf numFmtId="0" fontId="125" fillId="0" borderId="0" xfId="0" applyFont="1"/>
    <xf numFmtId="0" fontId="121" fillId="0" borderId="0" xfId="0" applyFont="1" applyAlignment="1">
      <alignment horizontal="right" wrapText="1"/>
    </xf>
    <xf numFmtId="2" fontId="129" fillId="0" borderId="0" xfId="0" applyNumberFormat="1" applyFont="1" applyAlignment="1">
      <alignment vertical="top"/>
    </xf>
    <xf numFmtId="2" fontId="130" fillId="0" borderId="12" xfId="0" applyNumberFormat="1" applyFont="1" applyBorder="1" applyAlignment="1">
      <alignment vertical="top"/>
    </xf>
    <xf numFmtId="2" fontId="130" fillId="0" borderId="17" xfId="0" applyNumberFormat="1" applyFont="1" applyBorder="1" applyAlignment="1">
      <alignment horizontal="right" vertical="top"/>
    </xf>
    <xf numFmtId="4" fontId="120" fillId="0" borderId="15" xfId="0" applyNumberFormat="1" applyFont="1" applyBorder="1" applyAlignment="1">
      <alignment vertical="top"/>
    </xf>
    <xf numFmtId="2" fontId="36" fillId="0" borderId="0" xfId="0" applyNumberFormat="1" applyFont="1" applyAlignment="1">
      <alignment horizontal="left" vertical="center" wrapText="1"/>
    </xf>
    <xf numFmtId="0" fontId="123" fillId="0" borderId="0" xfId="811" applyFont="1" applyAlignment="1">
      <alignment horizontal="right" wrapText="1"/>
    </xf>
    <xf numFmtId="2" fontId="41" fillId="0" borderId="0" xfId="0" applyNumberFormat="1" applyFont="1" applyAlignment="1">
      <alignment vertical="top"/>
    </xf>
    <xf numFmtId="2" fontId="121" fillId="0" borderId="0" xfId="0" applyNumberFormat="1" applyFont="1" applyAlignment="1">
      <alignment horizontal="left" vertical="top" wrapText="1"/>
    </xf>
    <xf numFmtId="4" fontId="132" fillId="0" borderId="0" xfId="0" applyNumberFormat="1" applyFont="1" applyAlignment="1" applyProtection="1">
      <alignment horizontal="right"/>
      <protection locked="0"/>
    </xf>
    <xf numFmtId="0" fontId="133" fillId="0" borderId="0" xfId="0" applyFont="1" applyAlignment="1">
      <alignment wrapText="1"/>
    </xf>
    <xf numFmtId="4" fontId="107" fillId="0" borderId="0" xfId="0" applyNumberFormat="1" applyFont="1" applyAlignment="1" applyProtection="1">
      <alignment horizontal="right"/>
      <protection locked="0"/>
    </xf>
    <xf numFmtId="4" fontId="118" fillId="0" borderId="0" xfId="811" applyNumberFormat="1" applyFont="1" applyAlignment="1" applyProtection="1">
      <alignment horizontal="right" wrapText="1"/>
      <protection locked="0"/>
    </xf>
    <xf numFmtId="4" fontId="134" fillId="0" borderId="0" xfId="0" applyNumberFormat="1" applyFont="1" applyAlignment="1" applyProtection="1">
      <alignment horizontal="right"/>
      <protection locked="0"/>
    </xf>
    <xf numFmtId="0" fontId="47" fillId="0" borderId="0" xfId="0" applyFont="1" applyAlignment="1">
      <alignment horizontal="left" vertical="top" wrapText="1"/>
    </xf>
    <xf numFmtId="2" fontId="53" fillId="0" borderId="0" xfId="0" applyNumberFormat="1" applyFont="1" applyAlignment="1">
      <alignment vertical="top" wrapText="1"/>
    </xf>
    <xf numFmtId="0" fontId="109" fillId="0" borderId="0" xfId="0" applyFont="1" applyAlignment="1">
      <alignment vertical="top" wrapText="1"/>
    </xf>
    <xf numFmtId="0" fontId="53" fillId="0" borderId="0" xfId="0" applyFont="1" applyAlignment="1">
      <alignment vertical="top" wrapText="1"/>
    </xf>
    <xf numFmtId="0" fontId="71" fillId="0" borderId="0" xfId="0" applyFont="1" applyAlignment="1">
      <alignment horizontal="left" vertical="top" wrapText="1"/>
    </xf>
    <xf numFmtId="0" fontId="71" fillId="0" borderId="0" xfId="0" applyFont="1" applyAlignment="1">
      <alignment horizontal="left" vertical="top"/>
    </xf>
    <xf numFmtId="0" fontId="71" fillId="0" borderId="0" xfId="0" applyFont="1" applyAlignment="1">
      <alignment horizontal="center"/>
    </xf>
    <xf numFmtId="2" fontId="109" fillId="0" borderId="0" xfId="0" applyNumberFormat="1" applyFont="1" applyAlignment="1">
      <alignment vertical="top" wrapText="1"/>
    </xf>
    <xf numFmtId="0" fontId="56" fillId="0" borderId="19" xfId="0" applyFont="1" applyBorder="1"/>
    <xf numFmtId="0" fontId="62" fillId="0" borderId="19" xfId="0" applyFont="1" applyBorder="1"/>
    <xf numFmtId="0" fontId="52" fillId="0" borderId="0" xfId="0" applyFont="1" applyAlignment="1">
      <alignment horizontal="left" vertical="top" wrapText="1"/>
    </xf>
    <xf numFmtId="0" fontId="44" fillId="0" borderId="0" xfId="0" applyFont="1" applyAlignment="1">
      <alignment horizontal="left" vertical="top" wrapText="1"/>
    </xf>
    <xf numFmtId="0" fontId="53" fillId="0" borderId="0" xfId="0" applyFont="1" applyAlignment="1">
      <alignment horizontal="left" vertical="top" wrapText="1"/>
    </xf>
    <xf numFmtId="0" fontId="55" fillId="0" borderId="0" xfId="0" applyFont="1" applyAlignment="1">
      <alignment horizontal="left" vertical="top" wrapText="1"/>
    </xf>
    <xf numFmtId="0" fontId="53" fillId="0" borderId="0" xfId="0" applyFont="1" applyAlignment="1">
      <alignment horizontal="left" vertical="top"/>
    </xf>
    <xf numFmtId="0" fontId="51" fillId="0" borderId="20" xfId="0" applyFont="1" applyBorder="1" applyAlignment="1">
      <alignment horizontal="center"/>
    </xf>
    <xf numFmtId="0" fontId="51" fillId="0" borderId="19" xfId="0" applyFont="1" applyBorder="1" applyAlignment="1">
      <alignment horizontal="center"/>
    </xf>
    <xf numFmtId="0" fontId="51" fillId="0" borderId="21" xfId="0" applyFont="1" applyBorder="1" applyAlignment="1">
      <alignment horizontal="center"/>
    </xf>
    <xf numFmtId="0" fontId="44" fillId="0" borderId="10" xfId="0" applyFont="1" applyBorder="1" applyAlignment="1">
      <alignment horizontal="left"/>
    </xf>
    <xf numFmtId="2" fontId="41" fillId="0" borderId="13" xfId="0" applyNumberFormat="1" applyFont="1" applyBorder="1" applyAlignment="1">
      <alignment horizontal="justify" vertical="top"/>
    </xf>
    <xf numFmtId="0" fontId="0" fillId="0" borderId="13" xfId="0" applyBorder="1"/>
    <xf numFmtId="0" fontId="36" fillId="0" borderId="0" xfId="0" applyFont="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wrapText="1"/>
    </xf>
    <xf numFmtId="0" fontId="36" fillId="0" borderId="0" xfId="0" applyFont="1" applyAlignment="1">
      <alignment wrapText="1"/>
    </xf>
    <xf numFmtId="0" fontId="52" fillId="0" borderId="0" xfId="0" applyFont="1" applyAlignment="1">
      <alignment vertical="top" wrapText="1"/>
    </xf>
    <xf numFmtId="0" fontId="119" fillId="0" borderId="0" xfId="0" applyFont="1" applyAlignment="1">
      <alignment wrapText="1"/>
    </xf>
    <xf numFmtId="0" fontId="0" fillId="0" borderId="0" xfId="0" applyAlignment="1">
      <alignment wrapText="1"/>
    </xf>
    <xf numFmtId="0" fontId="44" fillId="0" borderId="0" xfId="0" applyFont="1" applyAlignment="1">
      <alignment wrapText="1"/>
    </xf>
    <xf numFmtId="0" fontId="54" fillId="0" borderId="0" xfId="0" applyFont="1" applyAlignment="1">
      <alignment horizontal="left" vertical="top" wrapText="1"/>
    </xf>
    <xf numFmtId="2" fontId="130" fillId="0" borderId="13" xfId="0" applyNumberFormat="1" applyFont="1" applyBorder="1" applyAlignment="1">
      <alignment horizontal="left" vertical="top"/>
    </xf>
    <xf numFmtId="0" fontId="52" fillId="0" borderId="0" xfId="0" applyFont="1" applyAlignment="1">
      <alignment horizontal="left" vertical="top"/>
    </xf>
    <xf numFmtId="0" fontId="108" fillId="0" borderId="0" xfId="0" applyFont="1" applyAlignment="1">
      <alignment horizontal="left" vertical="top"/>
    </xf>
    <xf numFmtId="2" fontId="41" fillId="0" borderId="13" xfId="0" applyNumberFormat="1" applyFont="1" applyBorder="1" applyAlignment="1">
      <alignment horizontal="left" vertical="top"/>
    </xf>
    <xf numFmtId="0" fontId="0" fillId="0" borderId="13" xfId="0" applyBorder="1" applyAlignment="1">
      <alignment horizontal="left"/>
    </xf>
    <xf numFmtId="0" fontId="52" fillId="0" borderId="20" xfId="0" applyFont="1" applyBorder="1" applyAlignment="1">
      <alignment horizontal="center"/>
    </xf>
    <xf numFmtId="0" fontId="52" fillId="0" borderId="19" xfId="0" applyFont="1" applyBorder="1" applyAlignment="1">
      <alignment horizontal="center"/>
    </xf>
    <xf numFmtId="0" fontId="52" fillId="0" borderId="21" xfId="0" applyFont="1" applyBorder="1" applyAlignment="1">
      <alignment horizontal="center"/>
    </xf>
    <xf numFmtId="0" fontId="108" fillId="0" borderId="0" xfId="0" applyFont="1" applyAlignment="1">
      <alignment horizontal="left" vertical="top" wrapText="1"/>
    </xf>
    <xf numFmtId="0" fontId="36" fillId="0" borderId="0" xfId="0" applyFont="1"/>
    <xf numFmtId="0" fontId="0" fillId="0" borderId="0" xfId="0"/>
    <xf numFmtId="0" fontId="56" fillId="0" borderId="0" xfId="0" applyFont="1"/>
  </cellXfs>
  <cellStyles count="1054">
    <cellStyle name=" 1" xfId="1" xr:uid="{00000000-0005-0000-0000-000000000000}"/>
    <cellStyle name=" 1 2" xfId="2" xr:uid="{00000000-0005-0000-0000-000001000000}"/>
    <cellStyle name=" 1 3" xfId="3" xr:uid="{00000000-0005-0000-0000-000002000000}"/>
    <cellStyle name="20% - Accent1 10" xfId="4" xr:uid="{00000000-0005-0000-0000-000003000000}"/>
    <cellStyle name="20% - Accent1 11" xfId="5" xr:uid="{00000000-0005-0000-0000-000004000000}"/>
    <cellStyle name="20% - Accent1 12" xfId="6" xr:uid="{00000000-0005-0000-0000-000005000000}"/>
    <cellStyle name="20% - Accent1 13" xfId="7" xr:uid="{00000000-0005-0000-0000-000006000000}"/>
    <cellStyle name="20% - Accent1 14" xfId="8" xr:uid="{00000000-0005-0000-0000-000007000000}"/>
    <cellStyle name="20% - Accent1 15" xfId="9" xr:uid="{00000000-0005-0000-0000-000008000000}"/>
    <cellStyle name="20% - Accent1 16" xfId="10" xr:uid="{00000000-0005-0000-0000-000009000000}"/>
    <cellStyle name="20% - Accent1 17" xfId="11" xr:uid="{00000000-0005-0000-0000-00000A000000}"/>
    <cellStyle name="20% - Accent1 18" xfId="12" xr:uid="{00000000-0005-0000-0000-00000B000000}"/>
    <cellStyle name="20% - Accent1 2" xfId="13" xr:uid="{00000000-0005-0000-0000-00000C000000}"/>
    <cellStyle name="20% - Accent1 3" xfId="14" xr:uid="{00000000-0005-0000-0000-00000D000000}"/>
    <cellStyle name="20% - Accent1 4" xfId="15" xr:uid="{00000000-0005-0000-0000-00000E000000}"/>
    <cellStyle name="20% - Accent1 5" xfId="16" xr:uid="{00000000-0005-0000-0000-00000F000000}"/>
    <cellStyle name="20% - Accent1 6" xfId="17" xr:uid="{00000000-0005-0000-0000-000010000000}"/>
    <cellStyle name="20% - Accent1 7" xfId="18" xr:uid="{00000000-0005-0000-0000-000011000000}"/>
    <cellStyle name="20% - Accent1 8" xfId="19" xr:uid="{00000000-0005-0000-0000-000012000000}"/>
    <cellStyle name="20% - Accent1 9" xfId="20" xr:uid="{00000000-0005-0000-0000-000013000000}"/>
    <cellStyle name="20% - Accent2 10" xfId="21" xr:uid="{00000000-0005-0000-0000-000014000000}"/>
    <cellStyle name="20% - Accent2 11" xfId="22" xr:uid="{00000000-0005-0000-0000-000015000000}"/>
    <cellStyle name="20% - Accent2 12" xfId="23" xr:uid="{00000000-0005-0000-0000-000016000000}"/>
    <cellStyle name="20% - Accent2 13" xfId="24" xr:uid="{00000000-0005-0000-0000-000017000000}"/>
    <cellStyle name="20% - Accent2 14" xfId="25" xr:uid="{00000000-0005-0000-0000-000018000000}"/>
    <cellStyle name="20% - Accent2 15" xfId="26" xr:uid="{00000000-0005-0000-0000-000019000000}"/>
    <cellStyle name="20% - Accent2 16" xfId="27" xr:uid="{00000000-0005-0000-0000-00001A000000}"/>
    <cellStyle name="20% - Accent2 17" xfId="28" xr:uid="{00000000-0005-0000-0000-00001B000000}"/>
    <cellStyle name="20% - Accent2 18" xfId="29" xr:uid="{00000000-0005-0000-0000-00001C000000}"/>
    <cellStyle name="20% - Accent2 2" xfId="30" xr:uid="{00000000-0005-0000-0000-00001D000000}"/>
    <cellStyle name="20% - Accent2 3" xfId="31" xr:uid="{00000000-0005-0000-0000-00001E000000}"/>
    <cellStyle name="20% - Accent2 4" xfId="32" xr:uid="{00000000-0005-0000-0000-00001F000000}"/>
    <cellStyle name="20% - Accent2 5" xfId="33" xr:uid="{00000000-0005-0000-0000-000020000000}"/>
    <cellStyle name="20% - Accent2 6" xfId="34" xr:uid="{00000000-0005-0000-0000-000021000000}"/>
    <cellStyle name="20% - Accent2 7" xfId="35" xr:uid="{00000000-0005-0000-0000-000022000000}"/>
    <cellStyle name="20% - Accent2 8" xfId="36" xr:uid="{00000000-0005-0000-0000-000023000000}"/>
    <cellStyle name="20% - Accent2 9" xfId="37" xr:uid="{00000000-0005-0000-0000-000024000000}"/>
    <cellStyle name="20% - Accent3 10" xfId="38" xr:uid="{00000000-0005-0000-0000-000025000000}"/>
    <cellStyle name="20% - Accent3 11" xfId="39" xr:uid="{00000000-0005-0000-0000-000026000000}"/>
    <cellStyle name="20% - Accent3 12" xfId="40" xr:uid="{00000000-0005-0000-0000-000027000000}"/>
    <cellStyle name="20% - Accent3 13" xfId="41" xr:uid="{00000000-0005-0000-0000-000028000000}"/>
    <cellStyle name="20% - Accent3 14" xfId="42" xr:uid="{00000000-0005-0000-0000-000029000000}"/>
    <cellStyle name="20% - Accent3 15" xfId="43" xr:uid="{00000000-0005-0000-0000-00002A000000}"/>
    <cellStyle name="20% - Accent3 16" xfId="44" xr:uid="{00000000-0005-0000-0000-00002B000000}"/>
    <cellStyle name="20% - Accent3 17" xfId="45" xr:uid="{00000000-0005-0000-0000-00002C000000}"/>
    <cellStyle name="20% - Accent3 18" xfId="46" xr:uid="{00000000-0005-0000-0000-00002D000000}"/>
    <cellStyle name="20% - Accent3 2" xfId="47" xr:uid="{00000000-0005-0000-0000-00002E000000}"/>
    <cellStyle name="20% - Accent3 3" xfId="48" xr:uid="{00000000-0005-0000-0000-00002F000000}"/>
    <cellStyle name="20% - Accent3 4" xfId="49" xr:uid="{00000000-0005-0000-0000-000030000000}"/>
    <cellStyle name="20% - Accent3 5" xfId="50" xr:uid="{00000000-0005-0000-0000-000031000000}"/>
    <cellStyle name="20% - Accent3 6" xfId="51" xr:uid="{00000000-0005-0000-0000-000032000000}"/>
    <cellStyle name="20% - Accent3 7" xfId="52" xr:uid="{00000000-0005-0000-0000-000033000000}"/>
    <cellStyle name="20% - Accent3 8" xfId="53" xr:uid="{00000000-0005-0000-0000-000034000000}"/>
    <cellStyle name="20% - Accent3 9" xfId="54" xr:uid="{00000000-0005-0000-0000-000035000000}"/>
    <cellStyle name="20% - Accent4 10" xfId="55" xr:uid="{00000000-0005-0000-0000-000036000000}"/>
    <cellStyle name="20% - Accent4 11" xfId="56" xr:uid="{00000000-0005-0000-0000-000037000000}"/>
    <cellStyle name="20% - Accent4 12" xfId="57" xr:uid="{00000000-0005-0000-0000-000038000000}"/>
    <cellStyle name="20% - Accent4 13" xfId="58" xr:uid="{00000000-0005-0000-0000-000039000000}"/>
    <cellStyle name="20% - Accent4 14" xfId="59" xr:uid="{00000000-0005-0000-0000-00003A000000}"/>
    <cellStyle name="20% - Accent4 15" xfId="60" xr:uid="{00000000-0005-0000-0000-00003B000000}"/>
    <cellStyle name="20% - Accent4 16" xfId="61" xr:uid="{00000000-0005-0000-0000-00003C000000}"/>
    <cellStyle name="20% - Accent4 17" xfId="62" xr:uid="{00000000-0005-0000-0000-00003D000000}"/>
    <cellStyle name="20% - Accent4 18" xfId="63" xr:uid="{00000000-0005-0000-0000-00003E000000}"/>
    <cellStyle name="20% - Accent4 2" xfId="64" xr:uid="{00000000-0005-0000-0000-00003F000000}"/>
    <cellStyle name="20% - Accent4 3" xfId="65" xr:uid="{00000000-0005-0000-0000-000040000000}"/>
    <cellStyle name="20% - Accent4 4" xfId="66" xr:uid="{00000000-0005-0000-0000-000041000000}"/>
    <cellStyle name="20% - Accent4 5" xfId="67" xr:uid="{00000000-0005-0000-0000-000042000000}"/>
    <cellStyle name="20% - Accent4 6" xfId="68" xr:uid="{00000000-0005-0000-0000-000043000000}"/>
    <cellStyle name="20% - Accent4 7" xfId="69" xr:uid="{00000000-0005-0000-0000-000044000000}"/>
    <cellStyle name="20% - Accent4 8" xfId="70" xr:uid="{00000000-0005-0000-0000-000045000000}"/>
    <cellStyle name="20% - Accent4 9" xfId="71" xr:uid="{00000000-0005-0000-0000-000046000000}"/>
    <cellStyle name="20% - Accent5 10" xfId="72" xr:uid="{00000000-0005-0000-0000-000047000000}"/>
    <cellStyle name="20% - Accent5 11" xfId="73" xr:uid="{00000000-0005-0000-0000-000048000000}"/>
    <cellStyle name="20% - Accent5 12" xfId="74" xr:uid="{00000000-0005-0000-0000-000049000000}"/>
    <cellStyle name="20% - Accent5 13" xfId="75" xr:uid="{00000000-0005-0000-0000-00004A000000}"/>
    <cellStyle name="20% - Accent5 14" xfId="76" xr:uid="{00000000-0005-0000-0000-00004B000000}"/>
    <cellStyle name="20% - Accent5 15" xfId="77" xr:uid="{00000000-0005-0000-0000-00004C000000}"/>
    <cellStyle name="20% - Accent5 16" xfId="78" xr:uid="{00000000-0005-0000-0000-00004D000000}"/>
    <cellStyle name="20% - Accent5 17" xfId="79" xr:uid="{00000000-0005-0000-0000-00004E000000}"/>
    <cellStyle name="20% - Accent5 18" xfId="80" xr:uid="{00000000-0005-0000-0000-00004F000000}"/>
    <cellStyle name="20% - Accent5 2" xfId="81" xr:uid="{00000000-0005-0000-0000-000050000000}"/>
    <cellStyle name="20% - Accent5 3" xfId="82" xr:uid="{00000000-0005-0000-0000-000051000000}"/>
    <cellStyle name="20% - Accent5 4" xfId="83" xr:uid="{00000000-0005-0000-0000-000052000000}"/>
    <cellStyle name="20% - Accent5 5" xfId="84" xr:uid="{00000000-0005-0000-0000-000053000000}"/>
    <cellStyle name="20% - Accent5 6" xfId="85" xr:uid="{00000000-0005-0000-0000-000054000000}"/>
    <cellStyle name="20% - Accent5 7" xfId="86" xr:uid="{00000000-0005-0000-0000-000055000000}"/>
    <cellStyle name="20% - Accent5 8" xfId="87" xr:uid="{00000000-0005-0000-0000-000056000000}"/>
    <cellStyle name="20% - Accent5 9" xfId="88" xr:uid="{00000000-0005-0000-0000-000057000000}"/>
    <cellStyle name="20% - Accent6 10" xfId="89" xr:uid="{00000000-0005-0000-0000-000058000000}"/>
    <cellStyle name="20% - Accent6 11" xfId="90" xr:uid="{00000000-0005-0000-0000-000059000000}"/>
    <cellStyle name="20% - Accent6 12" xfId="91" xr:uid="{00000000-0005-0000-0000-00005A000000}"/>
    <cellStyle name="20% - Accent6 13" xfId="92" xr:uid="{00000000-0005-0000-0000-00005B000000}"/>
    <cellStyle name="20% - Accent6 14" xfId="93" xr:uid="{00000000-0005-0000-0000-00005C000000}"/>
    <cellStyle name="20% - Accent6 15" xfId="94" xr:uid="{00000000-0005-0000-0000-00005D000000}"/>
    <cellStyle name="20% - Accent6 16" xfId="95" xr:uid="{00000000-0005-0000-0000-00005E000000}"/>
    <cellStyle name="20% - Accent6 17" xfId="96" xr:uid="{00000000-0005-0000-0000-00005F000000}"/>
    <cellStyle name="20% - Accent6 18" xfId="97" xr:uid="{00000000-0005-0000-0000-000060000000}"/>
    <cellStyle name="20% - Accent6 2" xfId="98" xr:uid="{00000000-0005-0000-0000-000061000000}"/>
    <cellStyle name="20% - Accent6 3" xfId="99" xr:uid="{00000000-0005-0000-0000-000062000000}"/>
    <cellStyle name="20% - Accent6 4" xfId="100" xr:uid="{00000000-0005-0000-0000-000063000000}"/>
    <cellStyle name="20% - Accent6 5" xfId="101" xr:uid="{00000000-0005-0000-0000-000064000000}"/>
    <cellStyle name="20% - Accent6 6" xfId="102" xr:uid="{00000000-0005-0000-0000-000065000000}"/>
    <cellStyle name="20% - Accent6 7" xfId="103" xr:uid="{00000000-0005-0000-0000-000066000000}"/>
    <cellStyle name="20% - Accent6 8" xfId="104" xr:uid="{00000000-0005-0000-0000-000067000000}"/>
    <cellStyle name="20% - Accent6 9" xfId="105" xr:uid="{00000000-0005-0000-0000-000068000000}"/>
    <cellStyle name="40% - Accent1 10" xfId="106" xr:uid="{00000000-0005-0000-0000-000069000000}"/>
    <cellStyle name="40% - Accent1 11" xfId="107" xr:uid="{00000000-0005-0000-0000-00006A000000}"/>
    <cellStyle name="40% - Accent1 12" xfId="108" xr:uid="{00000000-0005-0000-0000-00006B000000}"/>
    <cellStyle name="40% - Accent1 13" xfId="109" xr:uid="{00000000-0005-0000-0000-00006C000000}"/>
    <cellStyle name="40% - Accent1 14" xfId="110" xr:uid="{00000000-0005-0000-0000-00006D000000}"/>
    <cellStyle name="40% - Accent1 15" xfId="111" xr:uid="{00000000-0005-0000-0000-00006E000000}"/>
    <cellStyle name="40% - Accent1 16" xfId="112" xr:uid="{00000000-0005-0000-0000-00006F000000}"/>
    <cellStyle name="40% - Accent1 17" xfId="113" xr:uid="{00000000-0005-0000-0000-000070000000}"/>
    <cellStyle name="40% - Accent1 18" xfId="114" xr:uid="{00000000-0005-0000-0000-000071000000}"/>
    <cellStyle name="40% - Accent1 2" xfId="115" xr:uid="{00000000-0005-0000-0000-000072000000}"/>
    <cellStyle name="40% - Accent1 3" xfId="116" xr:uid="{00000000-0005-0000-0000-000073000000}"/>
    <cellStyle name="40% - Accent1 4" xfId="117" xr:uid="{00000000-0005-0000-0000-000074000000}"/>
    <cellStyle name="40% - Accent1 5" xfId="118" xr:uid="{00000000-0005-0000-0000-000075000000}"/>
    <cellStyle name="40% - Accent1 6" xfId="119" xr:uid="{00000000-0005-0000-0000-000076000000}"/>
    <cellStyle name="40% - Accent1 7" xfId="120" xr:uid="{00000000-0005-0000-0000-000077000000}"/>
    <cellStyle name="40% - Accent1 8" xfId="121" xr:uid="{00000000-0005-0000-0000-000078000000}"/>
    <cellStyle name="40% - Accent1 9" xfId="122" xr:uid="{00000000-0005-0000-0000-000079000000}"/>
    <cellStyle name="40% - Accent2 10" xfId="123" xr:uid="{00000000-0005-0000-0000-00007A000000}"/>
    <cellStyle name="40% - Accent2 11" xfId="124" xr:uid="{00000000-0005-0000-0000-00007B000000}"/>
    <cellStyle name="40% - Accent2 12" xfId="125" xr:uid="{00000000-0005-0000-0000-00007C000000}"/>
    <cellStyle name="40% - Accent2 13" xfId="126" xr:uid="{00000000-0005-0000-0000-00007D000000}"/>
    <cellStyle name="40% - Accent2 14" xfId="127" xr:uid="{00000000-0005-0000-0000-00007E000000}"/>
    <cellStyle name="40% - Accent2 15" xfId="128" xr:uid="{00000000-0005-0000-0000-00007F000000}"/>
    <cellStyle name="40% - Accent2 16" xfId="129" xr:uid="{00000000-0005-0000-0000-000080000000}"/>
    <cellStyle name="40% - Accent2 17" xfId="130" xr:uid="{00000000-0005-0000-0000-000081000000}"/>
    <cellStyle name="40% - Accent2 18" xfId="131" xr:uid="{00000000-0005-0000-0000-000082000000}"/>
    <cellStyle name="40% - Accent2 2" xfId="132" xr:uid="{00000000-0005-0000-0000-000083000000}"/>
    <cellStyle name="40% - Accent2 3" xfId="133" xr:uid="{00000000-0005-0000-0000-000084000000}"/>
    <cellStyle name="40% - Accent2 4" xfId="134" xr:uid="{00000000-0005-0000-0000-000085000000}"/>
    <cellStyle name="40% - Accent2 5" xfId="135" xr:uid="{00000000-0005-0000-0000-000086000000}"/>
    <cellStyle name="40% - Accent2 6" xfId="136" xr:uid="{00000000-0005-0000-0000-000087000000}"/>
    <cellStyle name="40% - Accent2 7" xfId="137" xr:uid="{00000000-0005-0000-0000-000088000000}"/>
    <cellStyle name="40% - Accent2 8" xfId="138" xr:uid="{00000000-0005-0000-0000-000089000000}"/>
    <cellStyle name="40% - Accent2 9" xfId="139" xr:uid="{00000000-0005-0000-0000-00008A000000}"/>
    <cellStyle name="40% - Accent3 10" xfId="140" xr:uid="{00000000-0005-0000-0000-00008B000000}"/>
    <cellStyle name="40% - Accent3 11" xfId="141" xr:uid="{00000000-0005-0000-0000-00008C000000}"/>
    <cellStyle name="40% - Accent3 12" xfId="142" xr:uid="{00000000-0005-0000-0000-00008D000000}"/>
    <cellStyle name="40% - Accent3 13" xfId="143" xr:uid="{00000000-0005-0000-0000-00008E000000}"/>
    <cellStyle name="40% - Accent3 14" xfId="144" xr:uid="{00000000-0005-0000-0000-00008F000000}"/>
    <cellStyle name="40% - Accent3 15" xfId="145" xr:uid="{00000000-0005-0000-0000-000090000000}"/>
    <cellStyle name="40% - Accent3 16" xfId="146" xr:uid="{00000000-0005-0000-0000-000091000000}"/>
    <cellStyle name="40% - Accent3 17" xfId="147" xr:uid="{00000000-0005-0000-0000-000092000000}"/>
    <cellStyle name="40% - Accent3 18" xfId="148" xr:uid="{00000000-0005-0000-0000-000093000000}"/>
    <cellStyle name="40% - Accent3 2" xfId="149" xr:uid="{00000000-0005-0000-0000-000094000000}"/>
    <cellStyle name="40% - Accent3 3" xfId="150" xr:uid="{00000000-0005-0000-0000-000095000000}"/>
    <cellStyle name="40% - Accent3 4" xfId="151" xr:uid="{00000000-0005-0000-0000-000096000000}"/>
    <cellStyle name="40% - Accent3 5" xfId="152" xr:uid="{00000000-0005-0000-0000-000097000000}"/>
    <cellStyle name="40% - Accent3 6" xfId="153" xr:uid="{00000000-0005-0000-0000-000098000000}"/>
    <cellStyle name="40% - Accent3 7" xfId="154" xr:uid="{00000000-0005-0000-0000-000099000000}"/>
    <cellStyle name="40% - Accent3 8" xfId="155" xr:uid="{00000000-0005-0000-0000-00009A000000}"/>
    <cellStyle name="40% - Accent3 9" xfId="156" xr:uid="{00000000-0005-0000-0000-00009B000000}"/>
    <cellStyle name="40% - Accent4 10" xfId="157" xr:uid="{00000000-0005-0000-0000-00009C000000}"/>
    <cellStyle name="40% - Accent4 11" xfId="158" xr:uid="{00000000-0005-0000-0000-00009D000000}"/>
    <cellStyle name="40% - Accent4 12" xfId="159" xr:uid="{00000000-0005-0000-0000-00009E000000}"/>
    <cellStyle name="40% - Accent4 13" xfId="160" xr:uid="{00000000-0005-0000-0000-00009F000000}"/>
    <cellStyle name="40% - Accent4 14" xfId="161" xr:uid="{00000000-0005-0000-0000-0000A0000000}"/>
    <cellStyle name="40% - Accent4 15" xfId="162" xr:uid="{00000000-0005-0000-0000-0000A1000000}"/>
    <cellStyle name="40% - Accent4 16" xfId="163" xr:uid="{00000000-0005-0000-0000-0000A2000000}"/>
    <cellStyle name="40% - Accent4 17" xfId="164" xr:uid="{00000000-0005-0000-0000-0000A3000000}"/>
    <cellStyle name="40% - Accent4 18" xfId="165" xr:uid="{00000000-0005-0000-0000-0000A4000000}"/>
    <cellStyle name="40% - Accent4 2" xfId="166" xr:uid="{00000000-0005-0000-0000-0000A5000000}"/>
    <cellStyle name="40% - Accent4 3" xfId="167" xr:uid="{00000000-0005-0000-0000-0000A6000000}"/>
    <cellStyle name="40% - Accent4 4" xfId="168" xr:uid="{00000000-0005-0000-0000-0000A7000000}"/>
    <cellStyle name="40% - Accent4 5" xfId="169" xr:uid="{00000000-0005-0000-0000-0000A8000000}"/>
    <cellStyle name="40% - Accent4 6" xfId="170" xr:uid="{00000000-0005-0000-0000-0000A9000000}"/>
    <cellStyle name="40% - Accent4 7" xfId="171" xr:uid="{00000000-0005-0000-0000-0000AA000000}"/>
    <cellStyle name="40% - Accent4 8" xfId="172" xr:uid="{00000000-0005-0000-0000-0000AB000000}"/>
    <cellStyle name="40% - Accent4 9" xfId="173" xr:uid="{00000000-0005-0000-0000-0000AC000000}"/>
    <cellStyle name="40% - Accent5 10" xfId="174" xr:uid="{00000000-0005-0000-0000-0000AD000000}"/>
    <cellStyle name="40% - Accent5 11" xfId="175" xr:uid="{00000000-0005-0000-0000-0000AE000000}"/>
    <cellStyle name="40% - Accent5 12" xfId="176" xr:uid="{00000000-0005-0000-0000-0000AF000000}"/>
    <cellStyle name="40% - Accent5 13" xfId="177" xr:uid="{00000000-0005-0000-0000-0000B0000000}"/>
    <cellStyle name="40% - Accent5 14" xfId="178" xr:uid="{00000000-0005-0000-0000-0000B1000000}"/>
    <cellStyle name="40% - Accent5 15" xfId="179" xr:uid="{00000000-0005-0000-0000-0000B2000000}"/>
    <cellStyle name="40% - Accent5 16" xfId="180" xr:uid="{00000000-0005-0000-0000-0000B3000000}"/>
    <cellStyle name="40% - Accent5 17" xfId="181" xr:uid="{00000000-0005-0000-0000-0000B4000000}"/>
    <cellStyle name="40% - Accent5 18" xfId="182" xr:uid="{00000000-0005-0000-0000-0000B5000000}"/>
    <cellStyle name="40% - Accent5 2" xfId="183" xr:uid="{00000000-0005-0000-0000-0000B6000000}"/>
    <cellStyle name="40% - Accent5 3" xfId="184" xr:uid="{00000000-0005-0000-0000-0000B7000000}"/>
    <cellStyle name="40% - Accent5 4" xfId="185" xr:uid="{00000000-0005-0000-0000-0000B8000000}"/>
    <cellStyle name="40% - Accent5 5" xfId="186" xr:uid="{00000000-0005-0000-0000-0000B9000000}"/>
    <cellStyle name="40% - Accent5 6" xfId="187" xr:uid="{00000000-0005-0000-0000-0000BA000000}"/>
    <cellStyle name="40% - Accent5 7" xfId="188" xr:uid="{00000000-0005-0000-0000-0000BB000000}"/>
    <cellStyle name="40% - Accent5 8" xfId="189" xr:uid="{00000000-0005-0000-0000-0000BC000000}"/>
    <cellStyle name="40% - Accent5 9" xfId="190" xr:uid="{00000000-0005-0000-0000-0000BD000000}"/>
    <cellStyle name="40% - Accent6 10" xfId="191" xr:uid="{00000000-0005-0000-0000-0000BE000000}"/>
    <cellStyle name="40% - Accent6 11" xfId="192" xr:uid="{00000000-0005-0000-0000-0000BF000000}"/>
    <cellStyle name="40% - Accent6 12" xfId="193" xr:uid="{00000000-0005-0000-0000-0000C0000000}"/>
    <cellStyle name="40% - Accent6 13" xfId="194" xr:uid="{00000000-0005-0000-0000-0000C1000000}"/>
    <cellStyle name="40% - Accent6 14" xfId="195" xr:uid="{00000000-0005-0000-0000-0000C2000000}"/>
    <cellStyle name="40% - Accent6 15" xfId="196" xr:uid="{00000000-0005-0000-0000-0000C3000000}"/>
    <cellStyle name="40% - Accent6 16" xfId="197" xr:uid="{00000000-0005-0000-0000-0000C4000000}"/>
    <cellStyle name="40% - Accent6 17" xfId="198" xr:uid="{00000000-0005-0000-0000-0000C5000000}"/>
    <cellStyle name="40% - Accent6 18" xfId="199" xr:uid="{00000000-0005-0000-0000-0000C6000000}"/>
    <cellStyle name="40% - Accent6 2" xfId="200" xr:uid="{00000000-0005-0000-0000-0000C7000000}"/>
    <cellStyle name="40% - Accent6 3" xfId="201" xr:uid="{00000000-0005-0000-0000-0000C8000000}"/>
    <cellStyle name="40% - Accent6 4" xfId="202" xr:uid="{00000000-0005-0000-0000-0000C9000000}"/>
    <cellStyle name="40% - Accent6 5" xfId="203" xr:uid="{00000000-0005-0000-0000-0000CA000000}"/>
    <cellStyle name="40% - Accent6 6" xfId="204" xr:uid="{00000000-0005-0000-0000-0000CB000000}"/>
    <cellStyle name="40% - Accent6 7" xfId="205" xr:uid="{00000000-0005-0000-0000-0000CC000000}"/>
    <cellStyle name="40% - Accent6 8" xfId="206" xr:uid="{00000000-0005-0000-0000-0000CD000000}"/>
    <cellStyle name="40% - Accent6 9" xfId="207" xr:uid="{00000000-0005-0000-0000-0000CE000000}"/>
    <cellStyle name="40% - Naglasak1" xfId="208" xr:uid="{00000000-0005-0000-0000-0000CF000000}"/>
    <cellStyle name="60% - Accent1 10" xfId="209" xr:uid="{00000000-0005-0000-0000-0000D0000000}"/>
    <cellStyle name="60% - Accent1 11" xfId="210" xr:uid="{00000000-0005-0000-0000-0000D1000000}"/>
    <cellStyle name="60% - Accent1 12" xfId="211" xr:uid="{00000000-0005-0000-0000-0000D2000000}"/>
    <cellStyle name="60% - Accent1 13" xfId="212" xr:uid="{00000000-0005-0000-0000-0000D3000000}"/>
    <cellStyle name="60% - Accent1 14" xfId="213" xr:uid="{00000000-0005-0000-0000-0000D4000000}"/>
    <cellStyle name="60% - Accent1 15" xfId="214" xr:uid="{00000000-0005-0000-0000-0000D5000000}"/>
    <cellStyle name="60% - Accent1 16" xfId="215" xr:uid="{00000000-0005-0000-0000-0000D6000000}"/>
    <cellStyle name="60% - Accent1 17" xfId="216" xr:uid="{00000000-0005-0000-0000-0000D7000000}"/>
    <cellStyle name="60% - Accent1 18" xfId="217" xr:uid="{00000000-0005-0000-0000-0000D8000000}"/>
    <cellStyle name="60% - Accent1 2" xfId="218" xr:uid="{00000000-0005-0000-0000-0000D9000000}"/>
    <cellStyle name="60% - Accent1 3" xfId="219" xr:uid="{00000000-0005-0000-0000-0000DA000000}"/>
    <cellStyle name="60% - Accent1 4" xfId="220" xr:uid="{00000000-0005-0000-0000-0000DB000000}"/>
    <cellStyle name="60% - Accent1 5" xfId="221" xr:uid="{00000000-0005-0000-0000-0000DC000000}"/>
    <cellStyle name="60% - Accent1 6" xfId="222" xr:uid="{00000000-0005-0000-0000-0000DD000000}"/>
    <cellStyle name="60% - Accent1 7" xfId="223" xr:uid="{00000000-0005-0000-0000-0000DE000000}"/>
    <cellStyle name="60% - Accent1 8" xfId="224" xr:uid="{00000000-0005-0000-0000-0000DF000000}"/>
    <cellStyle name="60% - Accent1 9" xfId="225" xr:uid="{00000000-0005-0000-0000-0000E0000000}"/>
    <cellStyle name="60% - Accent2 10" xfId="226" xr:uid="{00000000-0005-0000-0000-0000E1000000}"/>
    <cellStyle name="60% - Accent2 11" xfId="227" xr:uid="{00000000-0005-0000-0000-0000E2000000}"/>
    <cellStyle name="60% - Accent2 12" xfId="228" xr:uid="{00000000-0005-0000-0000-0000E3000000}"/>
    <cellStyle name="60% - Accent2 13" xfId="229" xr:uid="{00000000-0005-0000-0000-0000E4000000}"/>
    <cellStyle name="60% - Accent2 14" xfId="230" xr:uid="{00000000-0005-0000-0000-0000E5000000}"/>
    <cellStyle name="60% - Accent2 15" xfId="231" xr:uid="{00000000-0005-0000-0000-0000E6000000}"/>
    <cellStyle name="60% - Accent2 16" xfId="232" xr:uid="{00000000-0005-0000-0000-0000E7000000}"/>
    <cellStyle name="60% - Accent2 17" xfId="233" xr:uid="{00000000-0005-0000-0000-0000E8000000}"/>
    <cellStyle name="60% - Accent2 18" xfId="234" xr:uid="{00000000-0005-0000-0000-0000E9000000}"/>
    <cellStyle name="60% - Accent2 2" xfId="235" xr:uid="{00000000-0005-0000-0000-0000EA000000}"/>
    <cellStyle name="60% - Accent2 3" xfId="236" xr:uid="{00000000-0005-0000-0000-0000EB000000}"/>
    <cellStyle name="60% - Accent2 4" xfId="237" xr:uid="{00000000-0005-0000-0000-0000EC000000}"/>
    <cellStyle name="60% - Accent2 5" xfId="238" xr:uid="{00000000-0005-0000-0000-0000ED000000}"/>
    <cellStyle name="60% - Accent2 6" xfId="239" xr:uid="{00000000-0005-0000-0000-0000EE000000}"/>
    <cellStyle name="60% - Accent2 7" xfId="240" xr:uid="{00000000-0005-0000-0000-0000EF000000}"/>
    <cellStyle name="60% - Accent2 8" xfId="241" xr:uid="{00000000-0005-0000-0000-0000F0000000}"/>
    <cellStyle name="60% - Accent2 9" xfId="242" xr:uid="{00000000-0005-0000-0000-0000F1000000}"/>
    <cellStyle name="60% - Accent3 10" xfId="243" xr:uid="{00000000-0005-0000-0000-0000F2000000}"/>
    <cellStyle name="60% - Accent3 11" xfId="244" xr:uid="{00000000-0005-0000-0000-0000F3000000}"/>
    <cellStyle name="60% - Accent3 12" xfId="245" xr:uid="{00000000-0005-0000-0000-0000F4000000}"/>
    <cellStyle name="60% - Accent3 13" xfId="246" xr:uid="{00000000-0005-0000-0000-0000F5000000}"/>
    <cellStyle name="60% - Accent3 14" xfId="247" xr:uid="{00000000-0005-0000-0000-0000F6000000}"/>
    <cellStyle name="60% - Accent3 15" xfId="248" xr:uid="{00000000-0005-0000-0000-0000F7000000}"/>
    <cellStyle name="60% - Accent3 16" xfId="249" xr:uid="{00000000-0005-0000-0000-0000F8000000}"/>
    <cellStyle name="60% - Accent3 17" xfId="250" xr:uid="{00000000-0005-0000-0000-0000F9000000}"/>
    <cellStyle name="60% - Accent3 18" xfId="251" xr:uid="{00000000-0005-0000-0000-0000FA000000}"/>
    <cellStyle name="60% - Accent3 2" xfId="252" xr:uid="{00000000-0005-0000-0000-0000FB000000}"/>
    <cellStyle name="60% - Accent3 3" xfId="253" xr:uid="{00000000-0005-0000-0000-0000FC000000}"/>
    <cellStyle name="60% - Accent3 4" xfId="254" xr:uid="{00000000-0005-0000-0000-0000FD000000}"/>
    <cellStyle name="60% - Accent3 5" xfId="255" xr:uid="{00000000-0005-0000-0000-0000FE000000}"/>
    <cellStyle name="60% - Accent3 6" xfId="256" xr:uid="{00000000-0005-0000-0000-0000FF000000}"/>
    <cellStyle name="60% - Accent3 7" xfId="257" xr:uid="{00000000-0005-0000-0000-000000010000}"/>
    <cellStyle name="60% - Accent3 8" xfId="258" xr:uid="{00000000-0005-0000-0000-000001010000}"/>
    <cellStyle name="60% - Accent3 9" xfId="259" xr:uid="{00000000-0005-0000-0000-000002010000}"/>
    <cellStyle name="60% - Accent4 10" xfId="260" xr:uid="{00000000-0005-0000-0000-000003010000}"/>
    <cellStyle name="60% - Accent4 11" xfId="261" xr:uid="{00000000-0005-0000-0000-000004010000}"/>
    <cellStyle name="60% - Accent4 12" xfId="262" xr:uid="{00000000-0005-0000-0000-000005010000}"/>
    <cellStyle name="60% - Accent4 13" xfId="263" xr:uid="{00000000-0005-0000-0000-000006010000}"/>
    <cellStyle name="60% - Accent4 14" xfId="264" xr:uid="{00000000-0005-0000-0000-000007010000}"/>
    <cellStyle name="60% - Accent4 15" xfId="265" xr:uid="{00000000-0005-0000-0000-000008010000}"/>
    <cellStyle name="60% - Accent4 16" xfId="266" xr:uid="{00000000-0005-0000-0000-000009010000}"/>
    <cellStyle name="60% - Accent4 17" xfId="267" xr:uid="{00000000-0005-0000-0000-00000A010000}"/>
    <cellStyle name="60% - Accent4 18" xfId="268" xr:uid="{00000000-0005-0000-0000-00000B010000}"/>
    <cellStyle name="60% - Accent4 2" xfId="269" xr:uid="{00000000-0005-0000-0000-00000C010000}"/>
    <cellStyle name="60% - Accent4 3" xfId="270" xr:uid="{00000000-0005-0000-0000-00000D010000}"/>
    <cellStyle name="60% - Accent4 4" xfId="271" xr:uid="{00000000-0005-0000-0000-00000E010000}"/>
    <cellStyle name="60% - Accent4 5" xfId="272" xr:uid="{00000000-0005-0000-0000-00000F010000}"/>
    <cellStyle name="60% - Accent4 6" xfId="273" xr:uid="{00000000-0005-0000-0000-000010010000}"/>
    <cellStyle name="60% - Accent4 7" xfId="274" xr:uid="{00000000-0005-0000-0000-000011010000}"/>
    <cellStyle name="60% - Accent4 8" xfId="275" xr:uid="{00000000-0005-0000-0000-000012010000}"/>
    <cellStyle name="60% - Accent4 9" xfId="276" xr:uid="{00000000-0005-0000-0000-000013010000}"/>
    <cellStyle name="60% - Accent5 10" xfId="277" xr:uid="{00000000-0005-0000-0000-000014010000}"/>
    <cellStyle name="60% - Accent5 11" xfId="278" xr:uid="{00000000-0005-0000-0000-000015010000}"/>
    <cellStyle name="60% - Accent5 12" xfId="279" xr:uid="{00000000-0005-0000-0000-000016010000}"/>
    <cellStyle name="60% - Accent5 13" xfId="280" xr:uid="{00000000-0005-0000-0000-000017010000}"/>
    <cellStyle name="60% - Accent5 14" xfId="281" xr:uid="{00000000-0005-0000-0000-000018010000}"/>
    <cellStyle name="60% - Accent5 15" xfId="282" xr:uid="{00000000-0005-0000-0000-000019010000}"/>
    <cellStyle name="60% - Accent5 16" xfId="283" xr:uid="{00000000-0005-0000-0000-00001A010000}"/>
    <cellStyle name="60% - Accent5 17" xfId="284" xr:uid="{00000000-0005-0000-0000-00001B010000}"/>
    <cellStyle name="60% - Accent5 18" xfId="285" xr:uid="{00000000-0005-0000-0000-00001C010000}"/>
    <cellStyle name="60% - Accent5 2" xfId="286" xr:uid="{00000000-0005-0000-0000-00001D010000}"/>
    <cellStyle name="60% - Accent5 3" xfId="287" xr:uid="{00000000-0005-0000-0000-00001E010000}"/>
    <cellStyle name="60% - Accent5 4" xfId="288" xr:uid="{00000000-0005-0000-0000-00001F010000}"/>
    <cellStyle name="60% - Accent5 5" xfId="289" xr:uid="{00000000-0005-0000-0000-000020010000}"/>
    <cellStyle name="60% - Accent5 6" xfId="290" xr:uid="{00000000-0005-0000-0000-000021010000}"/>
    <cellStyle name="60% - Accent5 7" xfId="291" xr:uid="{00000000-0005-0000-0000-000022010000}"/>
    <cellStyle name="60% - Accent5 8" xfId="292" xr:uid="{00000000-0005-0000-0000-000023010000}"/>
    <cellStyle name="60% - Accent5 9" xfId="293" xr:uid="{00000000-0005-0000-0000-000024010000}"/>
    <cellStyle name="60% - Accent6 10" xfId="294" xr:uid="{00000000-0005-0000-0000-000025010000}"/>
    <cellStyle name="60% - Accent6 11" xfId="295" xr:uid="{00000000-0005-0000-0000-000026010000}"/>
    <cellStyle name="60% - Accent6 12" xfId="296" xr:uid="{00000000-0005-0000-0000-000027010000}"/>
    <cellStyle name="60% - Accent6 13" xfId="297" xr:uid="{00000000-0005-0000-0000-000028010000}"/>
    <cellStyle name="60% - Accent6 14" xfId="298" xr:uid="{00000000-0005-0000-0000-000029010000}"/>
    <cellStyle name="60% - Accent6 15" xfId="299" xr:uid="{00000000-0005-0000-0000-00002A010000}"/>
    <cellStyle name="60% - Accent6 16" xfId="300" xr:uid="{00000000-0005-0000-0000-00002B010000}"/>
    <cellStyle name="60% - Accent6 17" xfId="301" xr:uid="{00000000-0005-0000-0000-00002C010000}"/>
    <cellStyle name="60% - Accent6 18" xfId="302" xr:uid="{00000000-0005-0000-0000-00002D010000}"/>
    <cellStyle name="60% - Accent6 2" xfId="303" xr:uid="{00000000-0005-0000-0000-00002E010000}"/>
    <cellStyle name="60% - Accent6 3" xfId="304" xr:uid="{00000000-0005-0000-0000-00002F010000}"/>
    <cellStyle name="60% - Accent6 4" xfId="305" xr:uid="{00000000-0005-0000-0000-000030010000}"/>
    <cellStyle name="60% - Accent6 5" xfId="306" xr:uid="{00000000-0005-0000-0000-000031010000}"/>
    <cellStyle name="60% - Accent6 6" xfId="307" xr:uid="{00000000-0005-0000-0000-000032010000}"/>
    <cellStyle name="60% - Accent6 7" xfId="308" xr:uid="{00000000-0005-0000-0000-000033010000}"/>
    <cellStyle name="60% - Accent6 8" xfId="309" xr:uid="{00000000-0005-0000-0000-000034010000}"/>
    <cellStyle name="60% - Accent6 9" xfId="310" xr:uid="{00000000-0005-0000-0000-000035010000}"/>
    <cellStyle name="Accent1 10" xfId="311" xr:uid="{00000000-0005-0000-0000-000036010000}"/>
    <cellStyle name="Accent1 11" xfId="312" xr:uid="{00000000-0005-0000-0000-000037010000}"/>
    <cellStyle name="Accent1 12" xfId="313" xr:uid="{00000000-0005-0000-0000-000038010000}"/>
    <cellStyle name="Accent1 13" xfId="314" xr:uid="{00000000-0005-0000-0000-000039010000}"/>
    <cellStyle name="Accent1 14" xfId="315" xr:uid="{00000000-0005-0000-0000-00003A010000}"/>
    <cellStyle name="Accent1 15" xfId="316" xr:uid="{00000000-0005-0000-0000-00003B010000}"/>
    <cellStyle name="Accent1 16" xfId="317" xr:uid="{00000000-0005-0000-0000-00003C010000}"/>
    <cellStyle name="Accent1 17" xfId="318" xr:uid="{00000000-0005-0000-0000-00003D010000}"/>
    <cellStyle name="Accent1 18" xfId="319" xr:uid="{00000000-0005-0000-0000-00003E010000}"/>
    <cellStyle name="Accent1 2" xfId="320" xr:uid="{00000000-0005-0000-0000-00003F010000}"/>
    <cellStyle name="Accent1 3" xfId="321" xr:uid="{00000000-0005-0000-0000-000040010000}"/>
    <cellStyle name="Accent1 4" xfId="322" xr:uid="{00000000-0005-0000-0000-000041010000}"/>
    <cellStyle name="Accent1 5" xfId="323" xr:uid="{00000000-0005-0000-0000-000042010000}"/>
    <cellStyle name="Accent1 6" xfId="324" xr:uid="{00000000-0005-0000-0000-000043010000}"/>
    <cellStyle name="Accent1 7" xfId="325" xr:uid="{00000000-0005-0000-0000-000044010000}"/>
    <cellStyle name="Accent1 8" xfId="326" xr:uid="{00000000-0005-0000-0000-000045010000}"/>
    <cellStyle name="Accent1 9" xfId="327" xr:uid="{00000000-0005-0000-0000-000046010000}"/>
    <cellStyle name="Accent2 10" xfId="328" xr:uid="{00000000-0005-0000-0000-000047010000}"/>
    <cellStyle name="Accent2 11" xfId="329" xr:uid="{00000000-0005-0000-0000-000048010000}"/>
    <cellStyle name="Accent2 12" xfId="330" xr:uid="{00000000-0005-0000-0000-000049010000}"/>
    <cellStyle name="Accent2 13" xfId="331" xr:uid="{00000000-0005-0000-0000-00004A010000}"/>
    <cellStyle name="Accent2 14" xfId="332" xr:uid="{00000000-0005-0000-0000-00004B010000}"/>
    <cellStyle name="Accent2 15" xfId="333" xr:uid="{00000000-0005-0000-0000-00004C010000}"/>
    <cellStyle name="Accent2 16" xfId="334" xr:uid="{00000000-0005-0000-0000-00004D010000}"/>
    <cellStyle name="Accent2 17" xfId="335" xr:uid="{00000000-0005-0000-0000-00004E010000}"/>
    <cellStyle name="Accent2 18" xfId="336" xr:uid="{00000000-0005-0000-0000-00004F010000}"/>
    <cellStyle name="Accent2 2" xfId="337" xr:uid="{00000000-0005-0000-0000-000050010000}"/>
    <cellStyle name="Accent2 3" xfId="338" xr:uid="{00000000-0005-0000-0000-000051010000}"/>
    <cellStyle name="Accent2 4" xfId="339" xr:uid="{00000000-0005-0000-0000-000052010000}"/>
    <cellStyle name="Accent2 5" xfId="340" xr:uid="{00000000-0005-0000-0000-000053010000}"/>
    <cellStyle name="Accent2 6" xfId="341" xr:uid="{00000000-0005-0000-0000-000054010000}"/>
    <cellStyle name="Accent2 7" xfId="342" xr:uid="{00000000-0005-0000-0000-000055010000}"/>
    <cellStyle name="Accent2 8" xfId="343" xr:uid="{00000000-0005-0000-0000-000056010000}"/>
    <cellStyle name="Accent2 9" xfId="344" xr:uid="{00000000-0005-0000-0000-000057010000}"/>
    <cellStyle name="Accent3 10" xfId="345" xr:uid="{00000000-0005-0000-0000-000058010000}"/>
    <cellStyle name="Accent3 11" xfId="346" xr:uid="{00000000-0005-0000-0000-000059010000}"/>
    <cellStyle name="Accent3 12" xfId="347" xr:uid="{00000000-0005-0000-0000-00005A010000}"/>
    <cellStyle name="Accent3 13" xfId="348" xr:uid="{00000000-0005-0000-0000-00005B010000}"/>
    <cellStyle name="Accent3 14" xfId="349" xr:uid="{00000000-0005-0000-0000-00005C010000}"/>
    <cellStyle name="Accent3 15" xfId="350" xr:uid="{00000000-0005-0000-0000-00005D010000}"/>
    <cellStyle name="Accent3 16" xfId="351" xr:uid="{00000000-0005-0000-0000-00005E010000}"/>
    <cellStyle name="Accent3 17" xfId="352" xr:uid="{00000000-0005-0000-0000-00005F010000}"/>
    <cellStyle name="Accent3 18" xfId="353" xr:uid="{00000000-0005-0000-0000-000060010000}"/>
    <cellStyle name="Accent3 2" xfId="354" xr:uid="{00000000-0005-0000-0000-000061010000}"/>
    <cellStyle name="Accent3 3" xfId="355" xr:uid="{00000000-0005-0000-0000-000062010000}"/>
    <cellStyle name="Accent3 4" xfId="356" xr:uid="{00000000-0005-0000-0000-000063010000}"/>
    <cellStyle name="Accent3 5" xfId="357" xr:uid="{00000000-0005-0000-0000-000064010000}"/>
    <cellStyle name="Accent3 6" xfId="358" xr:uid="{00000000-0005-0000-0000-000065010000}"/>
    <cellStyle name="Accent3 7" xfId="359" xr:uid="{00000000-0005-0000-0000-000066010000}"/>
    <cellStyle name="Accent3 8" xfId="360" xr:uid="{00000000-0005-0000-0000-000067010000}"/>
    <cellStyle name="Accent3 9" xfId="361" xr:uid="{00000000-0005-0000-0000-000068010000}"/>
    <cellStyle name="Accent4 10" xfId="362" xr:uid="{00000000-0005-0000-0000-000069010000}"/>
    <cellStyle name="Accent4 11" xfId="363" xr:uid="{00000000-0005-0000-0000-00006A010000}"/>
    <cellStyle name="Accent4 12" xfId="364" xr:uid="{00000000-0005-0000-0000-00006B010000}"/>
    <cellStyle name="Accent4 13" xfId="365" xr:uid="{00000000-0005-0000-0000-00006C010000}"/>
    <cellStyle name="Accent4 14" xfId="366" xr:uid="{00000000-0005-0000-0000-00006D010000}"/>
    <cellStyle name="Accent4 15" xfId="367" xr:uid="{00000000-0005-0000-0000-00006E010000}"/>
    <cellStyle name="Accent4 16" xfId="368" xr:uid="{00000000-0005-0000-0000-00006F010000}"/>
    <cellStyle name="Accent4 17" xfId="369" xr:uid="{00000000-0005-0000-0000-000070010000}"/>
    <cellStyle name="Accent4 18" xfId="370" xr:uid="{00000000-0005-0000-0000-000071010000}"/>
    <cellStyle name="Accent4 2" xfId="371" xr:uid="{00000000-0005-0000-0000-000072010000}"/>
    <cellStyle name="Accent4 3" xfId="372" xr:uid="{00000000-0005-0000-0000-000073010000}"/>
    <cellStyle name="Accent4 4" xfId="373" xr:uid="{00000000-0005-0000-0000-000074010000}"/>
    <cellStyle name="Accent4 5" xfId="374" xr:uid="{00000000-0005-0000-0000-000075010000}"/>
    <cellStyle name="Accent4 6" xfId="375" xr:uid="{00000000-0005-0000-0000-000076010000}"/>
    <cellStyle name="Accent4 7" xfId="376" xr:uid="{00000000-0005-0000-0000-000077010000}"/>
    <cellStyle name="Accent4 8" xfId="377" xr:uid="{00000000-0005-0000-0000-000078010000}"/>
    <cellStyle name="Accent4 9" xfId="378" xr:uid="{00000000-0005-0000-0000-000079010000}"/>
    <cellStyle name="Accent5 10" xfId="379" xr:uid="{00000000-0005-0000-0000-00007A010000}"/>
    <cellStyle name="Accent5 11" xfId="380" xr:uid="{00000000-0005-0000-0000-00007B010000}"/>
    <cellStyle name="Accent5 12" xfId="381" xr:uid="{00000000-0005-0000-0000-00007C010000}"/>
    <cellStyle name="Accent5 13" xfId="382" xr:uid="{00000000-0005-0000-0000-00007D010000}"/>
    <cellStyle name="Accent5 14" xfId="383" xr:uid="{00000000-0005-0000-0000-00007E010000}"/>
    <cellStyle name="Accent5 15" xfId="384" xr:uid="{00000000-0005-0000-0000-00007F010000}"/>
    <cellStyle name="Accent5 16" xfId="385" xr:uid="{00000000-0005-0000-0000-000080010000}"/>
    <cellStyle name="Accent5 17" xfId="386" xr:uid="{00000000-0005-0000-0000-000081010000}"/>
    <cellStyle name="Accent5 18" xfId="387" xr:uid="{00000000-0005-0000-0000-000082010000}"/>
    <cellStyle name="Accent5 2" xfId="388" xr:uid="{00000000-0005-0000-0000-000083010000}"/>
    <cellStyle name="Accent5 3" xfId="389" xr:uid="{00000000-0005-0000-0000-000084010000}"/>
    <cellStyle name="Accent5 4" xfId="390" xr:uid="{00000000-0005-0000-0000-000085010000}"/>
    <cellStyle name="Accent5 5" xfId="391" xr:uid="{00000000-0005-0000-0000-000086010000}"/>
    <cellStyle name="Accent5 6" xfId="392" xr:uid="{00000000-0005-0000-0000-000087010000}"/>
    <cellStyle name="Accent5 7" xfId="393" xr:uid="{00000000-0005-0000-0000-000088010000}"/>
    <cellStyle name="Accent5 8" xfId="394" xr:uid="{00000000-0005-0000-0000-000089010000}"/>
    <cellStyle name="Accent5 9" xfId="395" xr:uid="{00000000-0005-0000-0000-00008A010000}"/>
    <cellStyle name="Accent6 10" xfId="396" xr:uid="{00000000-0005-0000-0000-00008B010000}"/>
    <cellStyle name="Accent6 11" xfId="397" xr:uid="{00000000-0005-0000-0000-00008C010000}"/>
    <cellStyle name="Accent6 12" xfId="398" xr:uid="{00000000-0005-0000-0000-00008D010000}"/>
    <cellStyle name="Accent6 13" xfId="399" xr:uid="{00000000-0005-0000-0000-00008E010000}"/>
    <cellStyle name="Accent6 14" xfId="400" xr:uid="{00000000-0005-0000-0000-00008F010000}"/>
    <cellStyle name="Accent6 15" xfId="401" xr:uid="{00000000-0005-0000-0000-000090010000}"/>
    <cellStyle name="Accent6 16" xfId="402" xr:uid="{00000000-0005-0000-0000-000091010000}"/>
    <cellStyle name="Accent6 17" xfId="403" xr:uid="{00000000-0005-0000-0000-000092010000}"/>
    <cellStyle name="Accent6 18" xfId="404" xr:uid="{00000000-0005-0000-0000-000093010000}"/>
    <cellStyle name="Accent6 2" xfId="405" xr:uid="{00000000-0005-0000-0000-000094010000}"/>
    <cellStyle name="Accent6 3" xfId="406" xr:uid="{00000000-0005-0000-0000-000095010000}"/>
    <cellStyle name="Accent6 4" xfId="407" xr:uid="{00000000-0005-0000-0000-000096010000}"/>
    <cellStyle name="Accent6 5" xfId="408" xr:uid="{00000000-0005-0000-0000-000097010000}"/>
    <cellStyle name="Accent6 6" xfId="409" xr:uid="{00000000-0005-0000-0000-000098010000}"/>
    <cellStyle name="Accent6 7" xfId="410" xr:uid="{00000000-0005-0000-0000-000099010000}"/>
    <cellStyle name="Accent6 8" xfId="411" xr:uid="{00000000-0005-0000-0000-00009A010000}"/>
    <cellStyle name="Accent6 9" xfId="412" xr:uid="{00000000-0005-0000-0000-00009B010000}"/>
    <cellStyle name="Bad 10" xfId="413" xr:uid="{00000000-0005-0000-0000-00009C010000}"/>
    <cellStyle name="Bad 11" xfId="414" xr:uid="{00000000-0005-0000-0000-00009D010000}"/>
    <cellStyle name="Bad 12" xfId="415" xr:uid="{00000000-0005-0000-0000-00009E010000}"/>
    <cellStyle name="Bad 13" xfId="416" xr:uid="{00000000-0005-0000-0000-00009F010000}"/>
    <cellStyle name="Bad 14" xfId="417" xr:uid="{00000000-0005-0000-0000-0000A0010000}"/>
    <cellStyle name="Bad 15" xfId="418" xr:uid="{00000000-0005-0000-0000-0000A1010000}"/>
    <cellStyle name="Bad 16" xfId="419" xr:uid="{00000000-0005-0000-0000-0000A2010000}"/>
    <cellStyle name="Bad 17" xfId="420" xr:uid="{00000000-0005-0000-0000-0000A3010000}"/>
    <cellStyle name="Bad 18" xfId="421" xr:uid="{00000000-0005-0000-0000-0000A4010000}"/>
    <cellStyle name="Bad 2" xfId="422" xr:uid="{00000000-0005-0000-0000-0000A5010000}"/>
    <cellStyle name="Bad 3" xfId="423" xr:uid="{00000000-0005-0000-0000-0000A6010000}"/>
    <cellStyle name="Bad 4" xfId="424" xr:uid="{00000000-0005-0000-0000-0000A7010000}"/>
    <cellStyle name="Bad 5" xfId="425" xr:uid="{00000000-0005-0000-0000-0000A8010000}"/>
    <cellStyle name="Bad 6" xfId="426" xr:uid="{00000000-0005-0000-0000-0000A9010000}"/>
    <cellStyle name="Bad 7" xfId="427" xr:uid="{00000000-0005-0000-0000-0000AA010000}"/>
    <cellStyle name="Bad 8" xfId="428" xr:uid="{00000000-0005-0000-0000-0000AB010000}"/>
    <cellStyle name="Bad 9" xfId="429" xr:uid="{00000000-0005-0000-0000-0000AC010000}"/>
    <cellStyle name="Bilješka 2" xfId="430" xr:uid="{00000000-0005-0000-0000-0000AD010000}"/>
    <cellStyle name="Bilješka 3" xfId="431" xr:uid="{00000000-0005-0000-0000-0000AE010000}"/>
    <cellStyle name="Calculation 10" xfId="432" xr:uid="{00000000-0005-0000-0000-0000AF010000}"/>
    <cellStyle name="Calculation 11" xfId="433" xr:uid="{00000000-0005-0000-0000-0000B0010000}"/>
    <cellStyle name="Calculation 12" xfId="434" xr:uid="{00000000-0005-0000-0000-0000B1010000}"/>
    <cellStyle name="Calculation 13" xfId="435" xr:uid="{00000000-0005-0000-0000-0000B2010000}"/>
    <cellStyle name="Calculation 14" xfId="436" xr:uid="{00000000-0005-0000-0000-0000B3010000}"/>
    <cellStyle name="Calculation 15" xfId="437" xr:uid="{00000000-0005-0000-0000-0000B4010000}"/>
    <cellStyle name="Calculation 16" xfId="438" xr:uid="{00000000-0005-0000-0000-0000B5010000}"/>
    <cellStyle name="Calculation 17" xfId="439" xr:uid="{00000000-0005-0000-0000-0000B6010000}"/>
    <cellStyle name="Calculation 18" xfId="440" xr:uid="{00000000-0005-0000-0000-0000B7010000}"/>
    <cellStyle name="Calculation 2" xfId="441" xr:uid="{00000000-0005-0000-0000-0000B8010000}"/>
    <cellStyle name="Calculation 3" xfId="442" xr:uid="{00000000-0005-0000-0000-0000B9010000}"/>
    <cellStyle name="Calculation 4" xfId="443" xr:uid="{00000000-0005-0000-0000-0000BA010000}"/>
    <cellStyle name="Calculation 5" xfId="444" xr:uid="{00000000-0005-0000-0000-0000BB010000}"/>
    <cellStyle name="Calculation 6" xfId="445" xr:uid="{00000000-0005-0000-0000-0000BC010000}"/>
    <cellStyle name="Calculation 7" xfId="446" xr:uid="{00000000-0005-0000-0000-0000BD010000}"/>
    <cellStyle name="Calculation 8" xfId="447" xr:uid="{00000000-0005-0000-0000-0000BE010000}"/>
    <cellStyle name="Calculation 9" xfId="448" xr:uid="{00000000-0005-0000-0000-0000BF010000}"/>
    <cellStyle name="Check Cell 10" xfId="449" xr:uid="{00000000-0005-0000-0000-0000C0010000}"/>
    <cellStyle name="Check Cell 11" xfId="450" xr:uid="{00000000-0005-0000-0000-0000C1010000}"/>
    <cellStyle name="Check Cell 12" xfId="451" xr:uid="{00000000-0005-0000-0000-0000C2010000}"/>
    <cellStyle name="Check Cell 13" xfId="452" xr:uid="{00000000-0005-0000-0000-0000C3010000}"/>
    <cellStyle name="Check Cell 14" xfId="453" xr:uid="{00000000-0005-0000-0000-0000C4010000}"/>
    <cellStyle name="Check Cell 15" xfId="454" xr:uid="{00000000-0005-0000-0000-0000C5010000}"/>
    <cellStyle name="Check Cell 16" xfId="455" xr:uid="{00000000-0005-0000-0000-0000C6010000}"/>
    <cellStyle name="Check Cell 17" xfId="456" xr:uid="{00000000-0005-0000-0000-0000C7010000}"/>
    <cellStyle name="Check Cell 18" xfId="457" xr:uid="{00000000-0005-0000-0000-0000C8010000}"/>
    <cellStyle name="Check Cell 2" xfId="458" xr:uid="{00000000-0005-0000-0000-0000C9010000}"/>
    <cellStyle name="Check Cell 3" xfId="459" xr:uid="{00000000-0005-0000-0000-0000CA010000}"/>
    <cellStyle name="Check Cell 4" xfId="460" xr:uid="{00000000-0005-0000-0000-0000CB010000}"/>
    <cellStyle name="Check Cell 5" xfId="461" xr:uid="{00000000-0005-0000-0000-0000CC010000}"/>
    <cellStyle name="Check Cell 6" xfId="462" xr:uid="{00000000-0005-0000-0000-0000CD010000}"/>
    <cellStyle name="Check Cell 7" xfId="463" xr:uid="{00000000-0005-0000-0000-0000CE010000}"/>
    <cellStyle name="Check Cell 8" xfId="464" xr:uid="{00000000-0005-0000-0000-0000CF010000}"/>
    <cellStyle name="Check Cell 9" xfId="465" xr:uid="{00000000-0005-0000-0000-0000D0010000}"/>
    <cellStyle name="Comma 10" xfId="466" xr:uid="{00000000-0005-0000-0000-0000D1010000}"/>
    <cellStyle name="Comma 11" xfId="467" xr:uid="{00000000-0005-0000-0000-0000D2010000}"/>
    <cellStyle name="Comma 11 2" xfId="468" xr:uid="{00000000-0005-0000-0000-0000D3010000}"/>
    <cellStyle name="Comma 11 2 2" xfId="469" xr:uid="{00000000-0005-0000-0000-0000D4010000}"/>
    <cellStyle name="Comma 11 2 3" xfId="470" xr:uid="{00000000-0005-0000-0000-0000D5010000}"/>
    <cellStyle name="Comma 12" xfId="471" xr:uid="{00000000-0005-0000-0000-0000D6010000}"/>
    <cellStyle name="Comma 12 2" xfId="472" xr:uid="{00000000-0005-0000-0000-0000D7010000}"/>
    <cellStyle name="Comma 12 2 2" xfId="473" xr:uid="{00000000-0005-0000-0000-0000D8010000}"/>
    <cellStyle name="Comma 13" xfId="474" xr:uid="{00000000-0005-0000-0000-0000D9010000}"/>
    <cellStyle name="Comma 13 2" xfId="475" xr:uid="{00000000-0005-0000-0000-0000DA010000}"/>
    <cellStyle name="Comma 14" xfId="476" xr:uid="{00000000-0005-0000-0000-0000DB010000}"/>
    <cellStyle name="Comma 14 2" xfId="477" xr:uid="{00000000-0005-0000-0000-0000DC010000}"/>
    <cellStyle name="Comma 15" xfId="478" xr:uid="{00000000-0005-0000-0000-0000DD010000}"/>
    <cellStyle name="Comma 16" xfId="479" xr:uid="{00000000-0005-0000-0000-0000DE010000}"/>
    <cellStyle name="Comma 17" xfId="480" xr:uid="{00000000-0005-0000-0000-0000DF010000}"/>
    <cellStyle name="Comma 18" xfId="481" xr:uid="{00000000-0005-0000-0000-0000E0010000}"/>
    <cellStyle name="Comma 19" xfId="482" xr:uid="{00000000-0005-0000-0000-0000E1010000}"/>
    <cellStyle name="Comma 2" xfId="483" xr:uid="{00000000-0005-0000-0000-0000E2010000}"/>
    <cellStyle name="Comma 2 10" xfId="484" xr:uid="{00000000-0005-0000-0000-0000E3010000}"/>
    <cellStyle name="Comma 2 10 2" xfId="485" xr:uid="{00000000-0005-0000-0000-0000E4010000}"/>
    <cellStyle name="Comma 2 10 3" xfId="486" xr:uid="{00000000-0005-0000-0000-0000E5010000}"/>
    <cellStyle name="Comma 2 11" xfId="487" xr:uid="{00000000-0005-0000-0000-0000E6010000}"/>
    <cellStyle name="Comma 2 11 2" xfId="488" xr:uid="{00000000-0005-0000-0000-0000E7010000}"/>
    <cellStyle name="Comma 2 11 3" xfId="489" xr:uid="{00000000-0005-0000-0000-0000E8010000}"/>
    <cellStyle name="Comma 2 12" xfId="490" xr:uid="{00000000-0005-0000-0000-0000E9010000}"/>
    <cellStyle name="Comma 2 12 2" xfId="491" xr:uid="{00000000-0005-0000-0000-0000EA010000}"/>
    <cellStyle name="Comma 2 12 3" xfId="492" xr:uid="{00000000-0005-0000-0000-0000EB010000}"/>
    <cellStyle name="Comma 2 13" xfId="493" xr:uid="{00000000-0005-0000-0000-0000EC010000}"/>
    <cellStyle name="Comma 2 14" xfId="494" xr:uid="{00000000-0005-0000-0000-0000ED010000}"/>
    <cellStyle name="Comma 2 15" xfId="495" xr:uid="{00000000-0005-0000-0000-0000EE010000}"/>
    <cellStyle name="Comma 2 2" xfId="496" xr:uid="{00000000-0005-0000-0000-0000EF010000}"/>
    <cellStyle name="Comma 2 2 2" xfId="497" xr:uid="{00000000-0005-0000-0000-0000F0010000}"/>
    <cellStyle name="Comma 2 2 2 2" xfId="498" xr:uid="{00000000-0005-0000-0000-0000F1010000}"/>
    <cellStyle name="Comma 2 2 2_Stroj_ostalo" xfId="499" xr:uid="{00000000-0005-0000-0000-0000F2010000}"/>
    <cellStyle name="Comma 2 2 3" xfId="500" xr:uid="{00000000-0005-0000-0000-0000F3010000}"/>
    <cellStyle name="Comma 2 2 3 2" xfId="501" xr:uid="{00000000-0005-0000-0000-0000F4010000}"/>
    <cellStyle name="Comma 2 2 3 3" xfId="502" xr:uid="{00000000-0005-0000-0000-0000F5010000}"/>
    <cellStyle name="Comma 2 2 3 4" xfId="503" xr:uid="{00000000-0005-0000-0000-0000F6010000}"/>
    <cellStyle name="Comma 2 2 4" xfId="504" xr:uid="{00000000-0005-0000-0000-0000F7010000}"/>
    <cellStyle name="Comma 2 2 5" xfId="505" xr:uid="{00000000-0005-0000-0000-0000F8010000}"/>
    <cellStyle name="Comma 2 2 6" xfId="506" xr:uid="{00000000-0005-0000-0000-0000F9010000}"/>
    <cellStyle name="Comma 2 2_Stroj_ostalo" xfId="507" xr:uid="{00000000-0005-0000-0000-0000FA010000}"/>
    <cellStyle name="Comma 2 3" xfId="508" xr:uid="{00000000-0005-0000-0000-0000FB010000}"/>
    <cellStyle name="Comma 2 3 2" xfId="509" xr:uid="{00000000-0005-0000-0000-0000FC010000}"/>
    <cellStyle name="Comma 2 3 2 2" xfId="510" xr:uid="{00000000-0005-0000-0000-0000FD010000}"/>
    <cellStyle name="Comma 2 3 2_Stroj_ostalo" xfId="511" xr:uid="{00000000-0005-0000-0000-0000FE010000}"/>
    <cellStyle name="Comma 2 3 3" xfId="512" xr:uid="{00000000-0005-0000-0000-0000FF010000}"/>
    <cellStyle name="Comma 2 3 3 2" xfId="513" xr:uid="{00000000-0005-0000-0000-000000020000}"/>
    <cellStyle name="Comma 2 3 3 3" xfId="514" xr:uid="{00000000-0005-0000-0000-000001020000}"/>
    <cellStyle name="Comma 2 3 3 4" xfId="515" xr:uid="{00000000-0005-0000-0000-000002020000}"/>
    <cellStyle name="Comma 2 3 3 5" xfId="516" xr:uid="{00000000-0005-0000-0000-000003020000}"/>
    <cellStyle name="Comma 2 3 4" xfId="517" xr:uid="{00000000-0005-0000-0000-000004020000}"/>
    <cellStyle name="Comma 2 3 5" xfId="518" xr:uid="{00000000-0005-0000-0000-000005020000}"/>
    <cellStyle name="Comma 2 3_Stroj_ostalo" xfId="519" xr:uid="{00000000-0005-0000-0000-000006020000}"/>
    <cellStyle name="Comma 2 4" xfId="520" xr:uid="{00000000-0005-0000-0000-000007020000}"/>
    <cellStyle name="Comma 2 4 2" xfId="521" xr:uid="{00000000-0005-0000-0000-000008020000}"/>
    <cellStyle name="Comma 2 4 3" xfId="522" xr:uid="{00000000-0005-0000-0000-000009020000}"/>
    <cellStyle name="Comma 2 4 4" xfId="523" xr:uid="{00000000-0005-0000-0000-00000A020000}"/>
    <cellStyle name="Comma 2 4 5" xfId="524" xr:uid="{00000000-0005-0000-0000-00000B020000}"/>
    <cellStyle name="Comma 2 4_Stroj_ostalo" xfId="525" xr:uid="{00000000-0005-0000-0000-00000C020000}"/>
    <cellStyle name="Comma 2 5" xfId="526" xr:uid="{00000000-0005-0000-0000-00000D020000}"/>
    <cellStyle name="Comma 2 5 2" xfId="527" xr:uid="{00000000-0005-0000-0000-00000E020000}"/>
    <cellStyle name="Comma 2 5 3" xfId="528" xr:uid="{00000000-0005-0000-0000-00000F020000}"/>
    <cellStyle name="Comma 2 5 4" xfId="529" xr:uid="{00000000-0005-0000-0000-000010020000}"/>
    <cellStyle name="Comma 2 5 5" xfId="530" xr:uid="{00000000-0005-0000-0000-000011020000}"/>
    <cellStyle name="Comma 2 6" xfId="531" xr:uid="{00000000-0005-0000-0000-000012020000}"/>
    <cellStyle name="Comma 2 6 2" xfId="532" xr:uid="{00000000-0005-0000-0000-000013020000}"/>
    <cellStyle name="Comma 2 6 3" xfId="533" xr:uid="{00000000-0005-0000-0000-000014020000}"/>
    <cellStyle name="Comma 2 7" xfId="534" xr:uid="{00000000-0005-0000-0000-000015020000}"/>
    <cellStyle name="Comma 2 7 2" xfId="535" xr:uid="{00000000-0005-0000-0000-000016020000}"/>
    <cellStyle name="Comma 2 7 3" xfId="536" xr:uid="{00000000-0005-0000-0000-000017020000}"/>
    <cellStyle name="Comma 2 8" xfId="537" xr:uid="{00000000-0005-0000-0000-000018020000}"/>
    <cellStyle name="Comma 2 8 2" xfId="538" xr:uid="{00000000-0005-0000-0000-000019020000}"/>
    <cellStyle name="Comma 2 8 3" xfId="539" xr:uid="{00000000-0005-0000-0000-00001A020000}"/>
    <cellStyle name="Comma 2 9" xfId="540" xr:uid="{00000000-0005-0000-0000-00001B020000}"/>
    <cellStyle name="Comma 2 9 2" xfId="541" xr:uid="{00000000-0005-0000-0000-00001C020000}"/>
    <cellStyle name="Comma 2 9 3" xfId="542" xr:uid="{00000000-0005-0000-0000-00001D020000}"/>
    <cellStyle name="Comma 2_Stroj_ostalo" xfId="543" xr:uid="{00000000-0005-0000-0000-00001E020000}"/>
    <cellStyle name="Comma 20" xfId="544" xr:uid="{00000000-0005-0000-0000-00001F020000}"/>
    <cellStyle name="Comma 21" xfId="545" xr:uid="{00000000-0005-0000-0000-000020020000}"/>
    <cellStyle name="Comma 22" xfId="546" xr:uid="{00000000-0005-0000-0000-000021020000}"/>
    <cellStyle name="Comma 23" xfId="547" xr:uid="{00000000-0005-0000-0000-000022020000}"/>
    <cellStyle name="Comma 23 2" xfId="548" xr:uid="{00000000-0005-0000-0000-000023020000}"/>
    <cellStyle name="Comma 23 2 2" xfId="549" xr:uid="{00000000-0005-0000-0000-000024020000}"/>
    <cellStyle name="Comma 23 2 3" xfId="550" xr:uid="{00000000-0005-0000-0000-000025020000}"/>
    <cellStyle name="Comma 23 3" xfId="551" xr:uid="{00000000-0005-0000-0000-000026020000}"/>
    <cellStyle name="Comma 23 4" xfId="552" xr:uid="{00000000-0005-0000-0000-000027020000}"/>
    <cellStyle name="Comma 24" xfId="553" xr:uid="{00000000-0005-0000-0000-000028020000}"/>
    <cellStyle name="Comma 24 2" xfId="554" xr:uid="{00000000-0005-0000-0000-000029020000}"/>
    <cellStyle name="Comma 24 3" xfId="555" xr:uid="{00000000-0005-0000-0000-00002A020000}"/>
    <cellStyle name="Comma 24 4" xfId="556" xr:uid="{00000000-0005-0000-0000-00002B020000}"/>
    <cellStyle name="Comma 25" xfId="557" xr:uid="{00000000-0005-0000-0000-00002C020000}"/>
    <cellStyle name="Comma 25 2" xfId="558" xr:uid="{00000000-0005-0000-0000-00002D020000}"/>
    <cellStyle name="Comma 25 3" xfId="559" xr:uid="{00000000-0005-0000-0000-00002E020000}"/>
    <cellStyle name="Comma 25 4" xfId="560" xr:uid="{00000000-0005-0000-0000-00002F020000}"/>
    <cellStyle name="Comma 26" xfId="561" xr:uid="{00000000-0005-0000-0000-000030020000}"/>
    <cellStyle name="Comma 27" xfId="562" xr:uid="{00000000-0005-0000-0000-000031020000}"/>
    <cellStyle name="Comma 28" xfId="563" xr:uid="{00000000-0005-0000-0000-000032020000}"/>
    <cellStyle name="Comma 29" xfId="564" xr:uid="{00000000-0005-0000-0000-000033020000}"/>
    <cellStyle name="Comma 3" xfId="565" xr:uid="{00000000-0005-0000-0000-000034020000}"/>
    <cellStyle name="Comma 3 2" xfId="566" xr:uid="{00000000-0005-0000-0000-000035020000}"/>
    <cellStyle name="Comma 3 3" xfId="567" xr:uid="{00000000-0005-0000-0000-000036020000}"/>
    <cellStyle name="Comma 3 3 2" xfId="568" xr:uid="{00000000-0005-0000-0000-000037020000}"/>
    <cellStyle name="Comma 3 4" xfId="569" xr:uid="{00000000-0005-0000-0000-000038020000}"/>
    <cellStyle name="Comma 3 5" xfId="570" xr:uid="{00000000-0005-0000-0000-000039020000}"/>
    <cellStyle name="Comma 3 6" xfId="571" xr:uid="{00000000-0005-0000-0000-00003A020000}"/>
    <cellStyle name="Comma 3 7" xfId="572" xr:uid="{00000000-0005-0000-0000-00003B020000}"/>
    <cellStyle name="Comma 3_Stroj_ostalo" xfId="573" xr:uid="{00000000-0005-0000-0000-00003C020000}"/>
    <cellStyle name="Comma 30" xfId="574" xr:uid="{00000000-0005-0000-0000-00003D020000}"/>
    <cellStyle name="Comma 30 2" xfId="575" xr:uid="{00000000-0005-0000-0000-00003E020000}"/>
    <cellStyle name="Comma 31" xfId="576" xr:uid="{00000000-0005-0000-0000-00003F020000}"/>
    <cellStyle name="Comma 32" xfId="577" xr:uid="{00000000-0005-0000-0000-000040020000}"/>
    <cellStyle name="Comma 4" xfId="578" xr:uid="{00000000-0005-0000-0000-000041020000}"/>
    <cellStyle name="Comma 4 2" xfId="579" xr:uid="{00000000-0005-0000-0000-000042020000}"/>
    <cellStyle name="Comma 4 2 2" xfId="580" xr:uid="{00000000-0005-0000-0000-000043020000}"/>
    <cellStyle name="Comma 4 2_Stroj_ostalo" xfId="581" xr:uid="{00000000-0005-0000-0000-000044020000}"/>
    <cellStyle name="Comma 4 3" xfId="582" xr:uid="{00000000-0005-0000-0000-000045020000}"/>
    <cellStyle name="Comma 4 3 2" xfId="583" xr:uid="{00000000-0005-0000-0000-000046020000}"/>
    <cellStyle name="Comma 4 3 3" xfId="584" xr:uid="{00000000-0005-0000-0000-000047020000}"/>
    <cellStyle name="Comma 4 3 4" xfId="585" xr:uid="{00000000-0005-0000-0000-000048020000}"/>
    <cellStyle name="Comma 4 3 5" xfId="586" xr:uid="{00000000-0005-0000-0000-000049020000}"/>
    <cellStyle name="Comma 4 4" xfId="587" xr:uid="{00000000-0005-0000-0000-00004A020000}"/>
    <cellStyle name="Comma 4_Stroj_ostalo" xfId="588" xr:uid="{00000000-0005-0000-0000-00004B020000}"/>
    <cellStyle name="Comma 5" xfId="589" xr:uid="{00000000-0005-0000-0000-00004C020000}"/>
    <cellStyle name="Comma 5 2" xfId="590" xr:uid="{00000000-0005-0000-0000-00004D020000}"/>
    <cellStyle name="Comma 5 3" xfId="591" xr:uid="{00000000-0005-0000-0000-00004E020000}"/>
    <cellStyle name="Comma 5 3 2" xfId="592" xr:uid="{00000000-0005-0000-0000-00004F020000}"/>
    <cellStyle name="Comma 5 3 3" xfId="593" xr:uid="{00000000-0005-0000-0000-000050020000}"/>
    <cellStyle name="Comma 5 3 4" xfId="594" xr:uid="{00000000-0005-0000-0000-000051020000}"/>
    <cellStyle name="Comma 5 3 5" xfId="595" xr:uid="{00000000-0005-0000-0000-000052020000}"/>
    <cellStyle name="Comma 5 4" xfId="596" xr:uid="{00000000-0005-0000-0000-000053020000}"/>
    <cellStyle name="Comma 5_Stroj_ostalo" xfId="597" xr:uid="{00000000-0005-0000-0000-000054020000}"/>
    <cellStyle name="Comma 6" xfId="598" xr:uid="{00000000-0005-0000-0000-000055020000}"/>
    <cellStyle name="Comma 6 2" xfId="599" xr:uid="{00000000-0005-0000-0000-000056020000}"/>
    <cellStyle name="Comma 6 2 2" xfId="600" xr:uid="{00000000-0005-0000-0000-000057020000}"/>
    <cellStyle name="Comma 6 2 3" xfId="601" xr:uid="{00000000-0005-0000-0000-000058020000}"/>
    <cellStyle name="Comma 6 3" xfId="602" xr:uid="{00000000-0005-0000-0000-000059020000}"/>
    <cellStyle name="Comma 6 4" xfId="603" xr:uid="{00000000-0005-0000-0000-00005A020000}"/>
    <cellStyle name="Comma 6 4 2" xfId="604" xr:uid="{00000000-0005-0000-0000-00005B020000}"/>
    <cellStyle name="Comma 6 4 3" xfId="605" xr:uid="{00000000-0005-0000-0000-00005C020000}"/>
    <cellStyle name="Comma 6 4 4" xfId="606" xr:uid="{00000000-0005-0000-0000-00005D020000}"/>
    <cellStyle name="Comma 6 4 5" xfId="607" xr:uid="{00000000-0005-0000-0000-00005E020000}"/>
    <cellStyle name="Comma 6 5" xfId="608" xr:uid="{00000000-0005-0000-0000-00005F020000}"/>
    <cellStyle name="Comma 6_Stroj_ostalo" xfId="609" xr:uid="{00000000-0005-0000-0000-000060020000}"/>
    <cellStyle name="Comma 7" xfId="610" xr:uid="{00000000-0005-0000-0000-000061020000}"/>
    <cellStyle name="Comma 7 2" xfId="611" xr:uid="{00000000-0005-0000-0000-000062020000}"/>
    <cellStyle name="Comma 7_Stroj_ostalo" xfId="612" xr:uid="{00000000-0005-0000-0000-000063020000}"/>
    <cellStyle name="Comma 8" xfId="613" xr:uid="{00000000-0005-0000-0000-000064020000}"/>
    <cellStyle name="Comma 9" xfId="614" xr:uid="{00000000-0005-0000-0000-000065020000}"/>
    <cellStyle name="Currency 2" xfId="615" xr:uid="{00000000-0005-0000-0000-000066020000}"/>
    <cellStyle name="Currency 2 2" xfId="616" xr:uid="{00000000-0005-0000-0000-000067020000}"/>
    <cellStyle name="Currency 2 2 2" xfId="617" xr:uid="{00000000-0005-0000-0000-000068020000}"/>
    <cellStyle name="Currency 2 3" xfId="618" xr:uid="{00000000-0005-0000-0000-000069020000}"/>
    <cellStyle name="Currency 2 4" xfId="619" xr:uid="{00000000-0005-0000-0000-00006A020000}"/>
    <cellStyle name="Currency 3" xfId="620" xr:uid="{00000000-0005-0000-0000-00006B020000}"/>
    <cellStyle name="Default_Uvuceni" xfId="621" xr:uid="{00000000-0005-0000-0000-00006C020000}"/>
    <cellStyle name="Dobro 2" xfId="622" xr:uid="{00000000-0005-0000-0000-00006D020000}"/>
    <cellStyle name="Excel Built-in Normal" xfId="623" xr:uid="{00000000-0005-0000-0000-00006E020000}"/>
    <cellStyle name="Excel Built-in Normal 1" xfId="624" xr:uid="{00000000-0005-0000-0000-00006F020000}"/>
    <cellStyle name="Excel Built-in Normal 1 2" xfId="625" xr:uid="{00000000-0005-0000-0000-000070020000}"/>
    <cellStyle name="Explanatory Text 10" xfId="626" xr:uid="{00000000-0005-0000-0000-000071020000}"/>
    <cellStyle name="Explanatory Text 11" xfId="627" xr:uid="{00000000-0005-0000-0000-000072020000}"/>
    <cellStyle name="Explanatory Text 12" xfId="628" xr:uid="{00000000-0005-0000-0000-000073020000}"/>
    <cellStyle name="Explanatory Text 13" xfId="629" xr:uid="{00000000-0005-0000-0000-000074020000}"/>
    <cellStyle name="Explanatory Text 14" xfId="630" xr:uid="{00000000-0005-0000-0000-000075020000}"/>
    <cellStyle name="Explanatory Text 15" xfId="631" xr:uid="{00000000-0005-0000-0000-000076020000}"/>
    <cellStyle name="Explanatory Text 16" xfId="632" xr:uid="{00000000-0005-0000-0000-000077020000}"/>
    <cellStyle name="Explanatory Text 17" xfId="633" xr:uid="{00000000-0005-0000-0000-000078020000}"/>
    <cellStyle name="Explanatory Text 2" xfId="634" xr:uid="{00000000-0005-0000-0000-000079020000}"/>
    <cellStyle name="Explanatory Text 3" xfId="635" xr:uid="{00000000-0005-0000-0000-00007A020000}"/>
    <cellStyle name="Explanatory Text 4" xfId="636" xr:uid="{00000000-0005-0000-0000-00007B020000}"/>
    <cellStyle name="Explanatory Text 5" xfId="637" xr:uid="{00000000-0005-0000-0000-00007C020000}"/>
    <cellStyle name="Explanatory Text 6" xfId="638" xr:uid="{00000000-0005-0000-0000-00007D020000}"/>
    <cellStyle name="Explanatory Text 7" xfId="639" xr:uid="{00000000-0005-0000-0000-00007E020000}"/>
    <cellStyle name="Explanatory Text 8" xfId="640" xr:uid="{00000000-0005-0000-0000-00007F020000}"/>
    <cellStyle name="Explanatory Text 9" xfId="641" xr:uid="{00000000-0005-0000-0000-000080020000}"/>
    <cellStyle name="Good 10" xfId="642" xr:uid="{00000000-0005-0000-0000-000081020000}"/>
    <cellStyle name="Good 11" xfId="643" xr:uid="{00000000-0005-0000-0000-000082020000}"/>
    <cellStyle name="Good 12" xfId="644" xr:uid="{00000000-0005-0000-0000-000083020000}"/>
    <cellStyle name="Good 13" xfId="645" xr:uid="{00000000-0005-0000-0000-000084020000}"/>
    <cellStyle name="Good 14" xfId="646" xr:uid="{00000000-0005-0000-0000-000085020000}"/>
    <cellStyle name="Good 15" xfId="647" xr:uid="{00000000-0005-0000-0000-000086020000}"/>
    <cellStyle name="Good 16" xfId="648" xr:uid="{00000000-0005-0000-0000-000087020000}"/>
    <cellStyle name="Good 17" xfId="649" xr:uid="{00000000-0005-0000-0000-000088020000}"/>
    <cellStyle name="Good 18" xfId="650" xr:uid="{00000000-0005-0000-0000-000089020000}"/>
    <cellStyle name="Good 2" xfId="651" xr:uid="{00000000-0005-0000-0000-00008A020000}"/>
    <cellStyle name="Good 3" xfId="652" xr:uid="{00000000-0005-0000-0000-00008B020000}"/>
    <cellStyle name="Good 4" xfId="653" xr:uid="{00000000-0005-0000-0000-00008C020000}"/>
    <cellStyle name="Good 5" xfId="654" xr:uid="{00000000-0005-0000-0000-00008D020000}"/>
    <cellStyle name="Good 6" xfId="655" xr:uid="{00000000-0005-0000-0000-00008E020000}"/>
    <cellStyle name="Good 7" xfId="656" xr:uid="{00000000-0005-0000-0000-00008F020000}"/>
    <cellStyle name="Good 8" xfId="657" xr:uid="{00000000-0005-0000-0000-000090020000}"/>
    <cellStyle name="Good 9" xfId="658" xr:uid="{00000000-0005-0000-0000-000091020000}"/>
    <cellStyle name="Heading 1 10" xfId="659" xr:uid="{00000000-0005-0000-0000-000092020000}"/>
    <cellStyle name="Heading 1 11" xfId="660" xr:uid="{00000000-0005-0000-0000-000093020000}"/>
    <cellStyle name="Heading 1 12" xfId="661" xr:uid="{00000000-0005-0000-0000-000094020000}"/>
    <cellStyle name="Heading 1 13" xfId="662" xr:uid="{00000000-0005-0000-0000-000095020000}"/>
    <cellStyle name="Heading 1 14" xfId="663" xr:uid="{00000000-0005-0000-0000-000096020000}"/>
    <cellStyle name="Heading 1 15" xfId="664" xr:uid="{00000000-0005-0000-0000-000097020000}"/>
    <cellStyle name="Heading 1 16" xfId="665" xr:uid="{00000000-0005-0000-0000-000098020000}"/>
    <cellStyle name="Heading 1 17" xfId="666" xr:uid="{00000000-0005-0000-0000-000099020000}"/>
    <cellStyle name="Heading 1 2" xfId="667" xr:uid="{00000000-0005-0000-0000-00009A020000}"/>
    <cellStyle name="Heading 1 3" xfId="668" xr:uid="{00000000-0005-0000-0000-00009B020000}"/>
    <cellStyle name="Heading 1 4" xfId="669" xr:uid="{00000000-0005-0000-0000-00009C020000}"/>
    <cellStyle name="Heading 1 5" xfId="670" xr:uid="{00000000-0005-0000-0000-00009D020000}"/>
    <cellStyle name="Heading 1 6" xfId="671" xr:uid="{00000000-0005-0000-0000-00009E020000}"/>
    <cellStyle name="Heading 1 7" xfId="672" xr:uid="{00000000-0005-0000-0000-00009F020000}"/>
    <cellStyle name="Heading 1 8" xfId="673" xr:uid="{00000000-0005-0000-0000-0000A0020000}"/>
    <cellStyle name="Heading 1 9" xfId="674" xr:uid="{00000000-0005-0000-0000-0000A1020000}"/>
    <cellStyle name="Heading 2 10" xfId="675" xr:uid="{00000000-0005-0000-0000-0000A2020000}"/>
    <cellStyle name="Heading 2 11" xfId="676" xr:uid="{00000000-0005-0000-0000-0000A3020000}"/>
    <cellStyle name="Heading 2 12" xfId="677" xr:uid="{00000000-0005-0000-0000-0000A4020000}"/>
    <cellStyle name="Heading 2 13" xfId="678" xr:uid="{00000000-0005-0000-0000-0000A5020000}"/>
    <cellStyle name="Heading 2 14" xfId="679" xr:uid="{00000000-0005-0000-0000-0000A6020000}"/>
    <cellStyle name="Heading 2 15" xfId="680" xr:uid="{00000000-0005-0000-0000-0000A7020000}"/>
    <cellStyle name="Heading 2 16" xfId="681" xr:uid="{00000000-0005-0000-0000-0000A8020000}"/>
    <cellStyle name="Heading 2 17" xfId="682" xr:uid="{00000000-0005-0000-0000-0000A9020000}"/>
    <cellStyle name="Heading 2 2" xfId="683" xr:uid="{00000000-0005-0000-0000-0000AA020000}"/>
    <cellStyle name="Heading 2 3" xfId="684" xr:uid="{00000000-0005-0000-0000-0000AB020000}"/>
    <cellStyle name="Heading 2 4" xfId="685" xr:uid="{00000000-0005-0000-0000-0000AC020000}"/>
    <cellStyle name="Heading 2 5" xfId="686" xr:uid="{00000000-0005-0000-0000-0000AD020000}"/>
    <cellStyle name="Heading 2 6" xfId="687" xr:uid="{00000000-0005-0000-0000-0000AE020000}"/>
    <cellStyle name="Heading 2 7" xfId="688" xr:uid="{00000000-0005-0000-0000-0000AF020000}"/>
    <cellStyle name="Heading 2 8" xfId="689" xr:uid="{00000000-0005-0000-0000-0000B0020000}"/>
    <cellStyle name="Heading 2 9" xfId="690" xr:uid="{00000000-0005-0000-0000-0000B1020000}"/>
    <cellStyle name="Heading 3 10" xfId="691" xr:uid="{00000000-0005-0000-0000-0000B2020000}"/>
    <cellStyle name="Heading 3 11" xfId="692" xr:uid="{00000000-0005-0000-0000-0000B3020000}"/>
    <cellStyle name="Heading 3 12" xfId="693" xr:uid="{00000000-0005-0000-0000-0000B4020000}"/>
    <cellStyle name="Heading 3 13" xfId="694" xr:uid="{00000000-0005-0000-0000-0000B5020000}"/>
    <cellStyle name="Heading 3 14" xfId="695" xr:uid="{00000000-0005-0000-0000-0000B6020000}"/>
    <cellStyle name="Heading 3 15" xfId="696" xr:uid="{00000000-0005-0000-0000-0000B7020000}"/>
    <cellStyle name="Heading 3 16" xfId="697" xr:uid="{00000000-0005-0000-0000-0000B8020000}"/>
    <cellStyle name="Heading 3 17" xfId="698" xr:uid="{00000000-0005-0000-0000-0000B9020000}"/>
    <cellStyle name="Heading 3 2" xfId="699" xr:uid="{00000000-0005-0000-0000-0000BA020000}"/>
    <cellStyle name="Heading 3 3" xfId="700" xr:uid="{00000000-0005-0000-0000-0000BB020000}"/>
    <cellStyle name="Heading 3 4" xfId="701" xr:uid="{00000000-0005-0000-0000-0000BC020000}"/>
    <cellStyle name="Heading 3 5" xfId="702" xr:uid="{00000000-0005-0000-0000-0000BD020000}"/>
    <cellStyle name="Heading 3 6" xfId="703" xr:uid="{00000000-0005-0000-0000-0000BE020000}"/>
    <cellStyle name="Heading 3 7" xfId="704" xr:uid="{00000000-0005-0000-0000-0000BF020000}"/>
    <cellStyle name="Heading 3 8" xfId="705" xr:uid="{00000000-0005-0000-0000-0000C0020000}"/>
    <cellStyle name="Heading 3 9" xfId="706" xr:uid="{00000000-0005-0000-0000-0000C1020000}"/>
    <cellStyle name="Heading 4 10" xfId="707" xr:uid="{00000000-0005-0000-0000-0000C2020000}"/>
    <cellStyle name="Heading 4 11" xfId="708" xr:uid="{00000000-0005-0000-0000-0000C3020000}"/>
    <cellStyle name="Heading 4 12" xfId="709" xr:uid="{00000000-0005-0000-0000-0000C4020000}"/>
    <cellStyle name="Heading 4 13" xfId="710" xr:uid="{00000000-0005-0000-0000-0000C5020000}"/>
    <cellStyle name="Heading 4 14" xfId="711" xr:uid="{00000000-0005-0000-0000-0000C6020000}"/>
    <cellStyle name="Heading 4 15" xfId="712" xr:uid="{00000000-0005-0000-0000-0000C7020000}"/>
    <cellStyle name="Heading 4 16" xfId="713" xr:uid="{00000000-0005-0000-0000-0000C8020000}"/>
    <cellStyle name="Heading 4 17" xfId="714" xr:uid="{00000000-0005-0000-0000-0000C9020000}"/>
    <cellStyle name="Heading 4 2" xfId="715" xr:uid="{00000000-0005-0000-0000-0000CA020000}"/>
    <cellStyle name="Heading 4 3" xfId="716" xr:uid="{00000000-0005-0000-0000-0000CB020000}"/>
    <cellStyle name="Heading 4 4" xfId="717" xr:uid="{00000000-0005-0000-0000-0000CC020000}"/>
    <cellStyle name="Heading 4 5" xfId="718" xr:uid="{00000000-0005-0000-0000-0000CD020000}"/>
    <cellStyle name="Heading 4 6" xfId="719" xr:uid="{00000000-0005-0000-0000-0000CE020000}"/>
    <cellStyle name="Heading 4 7" xfId="720" xr:uid="{00000000-0005-0000-0000-0000CF020000}"/>
    <cellStyle name="Heading 4 8" xfId="721" xr:uid="{00000000-0005-0000-0000-0000D0020000}"/>
    <cellStyle name="Heading 4 9" xfId="722" xr:uid="{00000000-0005-0000-0000-0000D1020000}"/>
    <cellStyle name="Hiperveza 2" xfId="723" xr:uid="{00000000-0005-0000-0000-0000D2020000}"/>
    <cellStyle name="Hiperveza 3" xfId="724" xr:uid="{00000000-0005-0000-0000-0000D3020000}"/>
    <cellStyle name="Hiperveza 4" xfId="725" xr:uid="{00000000-0005-0000-0000-0000D4020000}"/>
    <cellStyle name="Hyperlink" xfId="726" builtinId="8"/>
    <cellStyle name="Hyperlink 2" xfId="727" xr:uid="{00000000-0005-0000-0000-0000D6020000}"/>
    <cellStyle name="Hyperlink 2 2" xfId="728" xr:uid="{00000000-0005-0000-0000-0000D7020000}"/>
    <cellStyle name="Hyperlink 2 3" xfId="729" xr:uid="{00000000-0005-0000-0000-0000D8020000}"/>
    <cellStyle name="Hyperlink 2_Stroj_ostalo" xfId="730" xr:uid="{00000000-0005-0000-0000-0000D9020000}"/>
    <cellStyle name="Hyperlink 3" xfId="731" xr:uid="{00000000-0005-0000-0000-0000DA020000}"/>
    <cellStyle name="Input 10" xfId="732" xr:uid="{00000000-0005-0000-0000-0000DB020000}"/>
    <cellStyle name="Input 11" xfId="733" xr:uid="{00000000-0005-0000-0000-0000DC020000}"/>
    <cellStyle name="Input 12" xfId="734" xr:uid="{00000000-0005-0000-0000-0000DD020000}"/>
    <cellStyle name="Input 13" xfId="735" xr:uid="{00000000-0005-0000-0000-0000DE020000}"/>
    <cellStyle name="Input 14" xfId="736" xr:uid="{00000000-0005-0000-0000-0000DF020000}"/>
    <cellStyle name="Input 15" xfId="737" xr:uid="{00000000-0005-0000-0000-0000E0020000}"/>
    <cellStyle name="Input 16" xfId="738" xr:uid="{00000000-0005-0000-0000-0000E1020000}"/>
    <cellStyle name="Input 17" xfId="739" xr:uid="{00000000-0005-0000-0000-0000E2020000}"/>
    <cellStyle name="Input 18" xfId="740" xr:uid="{00000000-0005-0000-0000-0000E3020000}"/>
    <cellStyle name="Input 2" xfId="741" xr:uid="{00000000-0005-0000-0000-0000E4020000}"/>
    <cellStyle name="Input 3" xfId="742" xr:uid="{00000000-0005-0000-0000-0000E5020000}"/>
    <cellStyle name="Input 4" xfId="743" xr:uid="{00000000-0005-0000-0000-0000E6020000}"/>
    <cellStyle name="Input 5" xfId="744" xr:uid="{00000000-0005-0000-0000-0000E7020000}"/>
    <cellStyle name="Input 6" xfId="745" xr:uid="{00000000-0005-0000-0000-0000E8020000}"/>
    <cellStyle name="Input 7" xfId="746" xr:uid="{00000000-0005-0000-0000-0000E9020000}"/>
    <cellStyle name="Input 8" xfId="747" xr:uid="{00000000-0005-0000-0000-0000EA020000}"/>
    <cellStyle name="Input 9" xfId="748" xr:uid="{00000000-0005-0000-0000-0000EB020000}"/>
    <cellStyle name="Izlaz 2" xfId="749" xr:uid="{00000000-0005-0000-0000-0000EC020000}"/>
    <cellStyle name="kolona A" xfId="750" xr:uid="{00000000-0005-0000-0000-0000ED020000}"/>
    <cellStyle name="kolona B" xfId="751" xr:uid="{00000000-0005-0000-0000-0000EE020000}"/>
    <cellStyle name="kolona C" xfId="752" xr:uid="{00000000-0005-0000-0000-0000EF020000}"/>
    <cellStyle name="kolona D" xfId="753" xr:uid="{00000000-0005-0000-0000-0000F0020000}"/>
    <cellStyle name="kolona E" xfId="754" xr:uid="{00000000-0005-0000-0000-0000F1020000}"/>
    <cellStyle name="kolona F" xfId="755" xr:uid="{00000000-0005-0000-0000-0000F2020000}"/>
    <cellStyle name="kolona G" xfId="756" xr:uid="{00000000-0005-0000-0000-0000F3020000}"/>
    <cellStyle name="kolona H" xfId="757" xr:uid="{00000000-0005-0000-0000-0000F4020000}"/>
    <cellStyle name="Linked Cell 10" xfId="758" xr:uid="{00000000-0005-0000-0000-0000F5020000}"/>
    <cellStyle name="Linked Cell 11" xfId="759" xr:uid="{00000000-0005-0000-0000-0000F6020000}"/>
    <cellStyle name="Linked Cell 12" xfId="760" xr:uid="{00000000-0005-0000-0000-0000F7020000}"/>
    <cellStyle name="Linked Cell 13" xfId="761" xr:uid="{00000000-0005-0000-0000-0000F8020000}"/>
    <cellStyle name="Linked Cell 14" xfId="762" xr:uid="{00000000-0005-0000-0000-0000F9020000}"/>
    <cellStyle name="Linked Cell 15" xfId="763" xr:uid="{00000000-0005-0000-0000-0000FA020000}"/>
    <cellStyle name="Linked Cell 16" xfId="764" xr:uid="{00000000-0005-0000-0000-0000FB020000}"/>
    <cellStyle name="Linked Cell 17" xfId="765" xr:uid="{00000000-0005-0000-0000-0000FC020000}"/>
    <cellStyle name="Linked Cell 2" xfId="766" xr:uid="{00000000-0005-0000-0000-0000FD020000}"/>
    <cellStyle name="Linked Cell 3" xfId="767" xr:uid="{00000000-0005-0000-0000-0000FE020000}"/>
    <cellStyle name="Linked Cell 4" xfId="768" xr:uid="{00000000-0005-0000-0000-0000FF020000}"/>
    <cellStyle name="Linked Cell 5" xfId="769" xr:uid="{00000000-0005-0000-0000-000000030000}"/>
    <cellStyle name="Linked Cell 6" xfId="770" xr:uid="{00000000-0005-0000-0000-000001030000}"/>
    <cellStyle name="Linked Cell 7" xfId="771" xr:uid="{00000000-0005-0000-0000-000002030000}"/>
    <cellStyle name="Linked Cell 8" xfId="772" xr:uid="{00000000-0005-0000-0000-000003030000}"/>
    <cellStyle name="Linked Cell 9" xfId="773" xr:uid="{00000000-0005-0000-0000-000004030000}"/>
    <cellStyle name="Naslov 5" xfId="774" xr:uid="{00000000-0005-0000-0000-000005030000}"/>
    <cellStyle name="Navadno_List1" xfId="775" xr:uid="{00000000-0005-0000-0000-000006030000}"/>
    <cellStyle name="Neutral 10" xfId="776" xr:uid="{00000000-0005-0000-0000-000007030000}"/>
    <cellStyle name="Neutral 11" xfId="777" xr:uid="{00000000-0005-0000-0000-000008030000}"/>
    <cellStyle name="Neutral 12" xfId="778" xr:uid="{00000000-0005-0000-0000-000009030000}"/>
    <cellStyle name="Neutral 13" xfId="779" xr:uid="{00000000-0005-0000-0000-00000A030000}"/>
    <cellStyle name="Neutral 14" xfId="780" xr:uid="{00000000-0005-0000-0000-00000B030000}"/>
    <cellStyle name="Neutral 15" xfId="781" xr:uid="{00000000-0005-0000-0000-00000C030000}"/>
    <cellStyle name="Neutral 16" xfId="782" xr:uid="{00000000-0005-0000-0000-00000D030000}"/>
    <cellStyle name="Neutral 17" xfId="783" xr:uid="{00000000-0005-0000-0000-00000E030000}"/>
    <cellStyle name="Neutral 18" xfId="784" xr:uid="{00000000-0005-0000-0000-00000F030000}"/>
    <cellStyle name="Neutral 2" xfId="785" xr:uid="{00000000-0005-0000-0000-000010030000}"/>
    <cellStyle name="Neutral 3" xfId="786" xr:uid="{00000000-0005-0000-0000-000011030000}"/>
    <cellStyle name="Neutral 4" xfId="787" xr:uid="{00000000-0005-0000-0000-000012030000}"/>
    <cellStyle name="Neutral 5" xfId="788" xr:uid="{00000000-0005-0000-0000-000013030000}"/>
    <cellStyle name="Neutral 6" xfId="789" xr:uid="{00000000-0005-0000-0000-000014030000}"/>
    <cellStyle name="Neutral 7" xfId="790" xr:uid="{00000000-0005-0000-0000-000015030000}"/>
    <cellStyle name="Neutral 8" xfId="791" xr:uid="{00000000-0005-0000-0000-000016030000}"/>
    <cellStyle name="Neutral 9" xfId="792" xr:uid="{00000000-0005-0000-0000-000017030000}"/>
    <cellStyle name="Normal" xfId="0" builtinId="0"/>
    <cellStyle name="Normal 10" xfId="793" xr:uid="{00000000-0005-0000-0000-000019030000}"/>
    <cellStyle name="Normal 10 2" xfId="794" xr:uid="{00000000-0005-0000-0000-00001A030000}"/>
    <cellStyle name="Normal 10 3" xfId="795" xr:uid="{00000000-0005-0000-0000-00001B030000}"/>
    <cellStyle name="Normal 10_Stroj_ostalo" xfId="796" xr:uid="{00000000-0005-0000-0000-00001C030000}"/>
    <cellStyle name="Normal 11" xfId="797" xr:uid="{00000000-0005-0000-0000-00001D030000}"/>
    <cellStyle name="Normal 11 2" xfId="798" xr:uid="{00000000-0005-0000-0000-00001E030000}"/>
    <cellStyle name="Normal 11 3" xfId="799" xr:uid="{00000000-0005-0000-0000-00001F030000}"/>
    <cellStyle name="Normal 11_Stroj_ostalo" xfId="800" xr:uid="{00000000-0005-0000-0000-000020030000}"/>
    <cellStyle name="Normal 12" xfId="801" xr:uid="{00000000-0005-0000-0000-000021030000}"/>
    <cellStyle name="Normal 12 2" xfId="802" xr:uid="{00000000-0005-0000-0000-000022030000}"/>
    <cellStyle name="Normal 12_Stroj_ostalo" xfId="803" xr:uid="{00000000-0005-0000-0000-000023030000}"/>
    <cellStyle name="Normal 13" xfId="804" xr:uid="{00000000-0005-0000-0000-000024030000}"/>
    <cellStyle name="Normal 14" xfId="805" xr:uid="{00000000-0005-0000-0000-000025030000}"/>
    <cellStyle name="Normal 15" xfId="806" xr:uid="{00000000-0005-0000-0000-000026030000}"/>
    <cellStyle name="Normal 16" xfId="807" xr:uid="{00000000-0005-0000-0000-000027030000}"/>
    <cellStyle name="Normal 17" xfId="808" xr:uid="{00000000-0005-0000-0000-000028030000}"/>
    <cellStyle name="Normal 18" xfId="809" xr:uid="{00000000-0005-0000-0000-000029030000}"/>
    <cellStyle name="Normal 19" xfId="810" xr:uid="{00000000-0005-0000-0000-00002A030000}"/>
    <cellStyle name="Normal 2" xfId="811" xr:uid="{00000000-0005-0000-0000-00002B030000}"/>
    <cellStyle name="Normal 2 10" xfId="812" xr:uid="{00000000-0005-0000-0000-00002C030000}"/>
    <cellStyle name="Normal 2 11" xfId="813" xr:uid="{00000000-0005-0000-0000-00002D030000}"/>
    <cellStyle name="Normal 2 12" xfId="814" xr:uid="{00000000-0005-0000-0000-00002E030000}"/>
    <cellStyle name="Normal 2 13" xfId="815" xr:uid="{00000000-0005-0000-0000-00002F030000}"/>
    <cellStyle name="Normal 2 13 2" xfId="816" xr:uid="{00000000-0005-0000-0000-000030030000}"/>
    <cellStyle name="Normal 2 13_Stroj_ostalo" xfId="817" xr:uid="{00000000-0005-0000-0000-000031030000}"/>
    <cellStyle name="Normal 2 14" xfId="818" xr:uid="{00000000-0005-0000-0000-000032030000}"/>
    <cellStyle name="Normal 2 15" xfId="819" xr:uid="{00000000-0005-0000-0000-000033030000}"/>
    <cellStyle name="Normal 2 16" xfId="820" xr:uid="{00000000-0005-0000-0000-000034030000}"/>
    <cellStyle name="Normal 2 17" xfId="821" xr:uid="{00000000-0005-0000-0000-000035030000}"/>
    <cellStyle name="Normal 2 18" xfId="822" xr:uid="{00000000-0005-0000-0000-000036030000}"/>
    <cellStyle name="Normal 2 19" xfId="823" xr:uid="{00000000-0005-0000-0000-000037030000}"/>
    <cellStyle name="Normal 2 2" xfId="824" xr:uid="{00000000-0005-0000-0000-000038030000}"/>
    <cellStyle name="Normal 2 2 2" xfId="825" xr:uid="{00000000-0005-0000-0000-000039030000}"/>
    <cellStyle name="Normal 2 2 2 2" xfId="826" xr:uid="{00000000-0005-0000-0000-00003A030000}"/>
    <cellStyle name="Normal 2 2 3" xfId="827" xr:uid="{00000000-0005-0000-0000-00003B030000}"/>
    <cellStyle name="Normal 2 2 4" xfId="828" xr:uid="{00000000-0005-0000-0000-00003C030000}"/>
    <cellStyle name="Normal 2 2 5" xfId="829" xr:uid="{00000000-0005-0000-0000-00003D030000}"/>
    <cellStyle name="Normal 2 2 6" xfId="830" xr:uid="{00000000-0005-0000-0000-00003E030000}"/>
    <cellStyle name="Normal 2 2_Stroj_ostalo" xfId="831" xr:uid="{00000000-0005-0000-0000-00003F030000}"/>
    <cellStyle name="Normal 2 20" xfId="832" xr:uid="{00000000-0005-0000-0000-000040030000}"/>
    <cellStyle name="Normal 2 3" xfId="833" xr:uid="{00000000-0005-0000-0000-000041030000}"/>
    <cellStyle name="Normal 2 4" xfId="834" xr:uid="{00000000-0005-0000-0000-000042030000}"/>
    <cellStyle name="Normal 2 4 2" xfId="835" xr:uid="{00000000-0005-0000-0000-000043030000}"/>
    <cellStyle name="Normal 2 4 3" xfId="836" xr:uid="{00000000-0005-0000-0000-000044030000}"/>
    <cellStyle name="Normal 2 4 4" xfId="837" xr:uid="{00000000-0005-0000-0000-000045030000}"/>
    <cellStyle name="Normal 2 4_Stroj_ostalo" xfId="838" xr:uid="{00000000-0005-0000-0000-000046030000}"/>
    <cellStyle name="Normal 2 5" xfId="839" xr:uid="{00000000-0005-0000-0000-000047030000}"/>
    <cellStyle name="Normal 2 5 2" xfId="840" xr:uid="{00000000-0005-0000-0000-000048030000}"/>
    <cellStyle name="Normal 2 5 3" xfId="841" xr:uid="{00000000-0005-0000-0000-000049030000}"/>
    <cellStyle name="Normal 2 5_Stroj_ostalo" xfId="842" xr:uid="{00000000-0005-0000-0000-00004A030000}"/>
    <cellStyle name="Normal 2 6" xfId="843" xr:uid="{00000000-0005-0000-0000-00004B030000}"/>
    <cellStyle name="Normal 2 7" xfId="844" xr:uid="{00000000-0005-0000-0000-00004C030000}"/>
    <cellStyle name="Normal 2 8" xfId="845" xr:uid="{00000000-0005-0000-0000-00004D030000}"/>
    <cellStyle name="Normal 2 9" xfId="846" xr:uid="{00000000-0005-0000-0000-00004E030000}"/>
    <cellStyle name="Normal 2_12_09_21 troskovnik_Bratus" xfId="847" xr:uid="{00000000-0005-0000-0000-00004F030000}"/>
    <cellStyle name="Normal 20" xfId="848" xr:uid="{00000000-0005-0000-0000-000050030000}"/>
    <cellStyle name="Normal 20 2" xfId="849" xr:uid="{00000000-0005-0000-0000-000051030000}"/>
    <cellStyle name="Normal 20 2 2" xfId="850" xr:uid="{00000000-0005-0000-0000-000052030000}"/>
    <cellStyle name="Normal 20 3" xfId="851" xr:uid="{00000000-0005-0000-0000-000053030000}"/>
    <cellStyle name="Normal 20 3 2" xfId="852" xr:uid="{00000000-0005-0000-0000-000054030000}"/>
    <cellStyle name="Normal 20 4" xfId="853" xr:uid="{00000000-0005-0000-0000-000055030000}"/>
    <cellStyle name="Normal 20 5" xfId="854" xr:uid="{00000000-0005-0000-0000-000056030000}"/>
    <cellStyle name="Normal 21" xfId="855" xr:uid="{00000000-0005-0000-0000-000057030000}"/>
    <cellStyle name="Normal 21 2" xfId="856" xr:uid="{00000000-0005-0000-0000-000058030000}"/>
    <cellStyle name="Normal 21 3" xfId="857" xr:uid="{00000000-0005-0000-0000-000059030000}"/>
    <cellStyle name="Normal 22" xfId="858" xr:uid="{00000000-0005-0000-0000-00005A030000}"/>
    <cellStyle name="Normal 22 2" xfId="859" xr:uid="{00000000-0005-0000-0000-00005B030000}"/>
    <cellStyle name="Normal 22 2 2" xfId="860" xr:uid="{00000000-0005-0000-0000-00005C030000}"/>
    <cellStyle name="Normal 22 3" xfId="861" xr:uid="{00000000-0005-0000-0000-00005D030000}"/>
    <cellStyle name="Normal 22 4" xfId="862" xr:uid="{00000000-0005-0000-0000-00005E030000}"/>
    <cellStyle name="Normal 22 5" xfId="863" xr:uid="{00000000-0005-0000-0000-00005F030000}"/>
    <cellStyle name="Normal 23" xfId="864" xr:uid="{00000000-0005-0000-0000-000060030000}"/>
    <cellStyle name="Normal 24" xfId="865" xr:uid="{00000000-0005-0000-0000-000061030000}"/>
    <cellStyle name="Normal 25" xfId="866" xr:uid="{00000000-0005-0000-0000-000062030000}"/>
    <cellStyle name="Normal 25 2" xfId="867" xr:uid="{00000000-0005-0000-0000-000063030000}"/>
    <cellStyle name="Normal 26" xfId="868" xr:uid="{00000000-0005-0000-0000-000064030000}"/>
    <cellStyle name="Normal 26 2" xfId="869" xr:uid="{00000000-0005-0000-0000-000065030000}"/>
    <cellStyle name="Normal 27" xfId="870" xr:uid="{00000000-0005-0000-0000-000066030000}"/>
    <cellStyle name="Normal 28" xfId="871" xr:uid="{00000000-0005-0000-0000-000067030000}"/>
    <cellStyle name="Normal 29" xfId="872" xr:uid="{00000000-0005-0000-0000-000068030000}"/>
    <cellStyle name="Normal 3" xfId="873" xr:uid="{00000000-0005-0000-0000-000069030000}"/>
    <cellStyle name="Normal 3 10" xfId="874" xr:uid="{00000000-0005-0000-0000-00006A030000}"/>
    <cellStyle name="Normal 3 11" xfId="875" xr:uid="{00000000-0005-0000-0000-00006B030000}"/>
    <cellStyle name="Normal 3 12" xfId="876" xr:uid="{00000000-0005-0000-0000-00006C030000}"/>
    <cellStyle name="Normal 3 13" xfId="877" xr:uid="{00000000-0005-0000-0000-00006D030000}"/>
    <cellStyle name="Normal 3 2" xfId="878" xr:uid="{00000000-0005-0000-0000-00006E030000}"/>
    <cellStyle name="Normal 3 2 2" xfId="879" xr:uid="{00000000-0005-0000-0000-00006F030000}"/>
    <cellStyle name="Normal 3 2 3" xfId="880" xr:uid="{00000000-0005-0000-0000-000070030000}"/>
    <cellStyle name="Normal 3 2 4" xfId="881" xr:uid="{00000000-0005-0000-0000-000071030000}"/>
    <cellStyle name="Normal 3 2_Stroj_ostalo" xfId="882" xr:uid="{00000000-0005-0000-0000-000072030000}"/>
    <cellStyle name="Normal 3 3" xfId="883" xr:uid="{00000000-0005-0000-0000-000073030000}"/>
    <cellStyle name="Normal 3 4" xfId="884" xr:uid="{00000000-0005-0000-0000-000074030000}"/>
    <cellStyle name="Normal 3 5" xfId="885" xr:uid="{00000000-0005-0000-0000-000075030000}"/>
    <cellStyle name="Normal 3 6" xfId="886" xr:uid="{00000000-0005-0000-0000-000076030000}"/>
    <cellStyle name="Normal 3 7" xfId="887" xr:uid="{00000000-0005-0000-0000-000077030000}"/>
    <cellStyle name="Normal 3 8" xfId="888" xr:uid="{00000000-0005-0000-0000-000078030000}"/>
    <cellStyle name="Normal 3 9" xfId="889" xr:uid="{00000000-0005-0000-0000-000079030000}"/>
    <cellStyle name="Normal 3_Stroj_ostalo" xfId="890" xr:uid="{00000000-0005-0000-0000-00007A030000}"/>
    <cellStyle name="Normal 33" xfId="891" xr:uid="{00000000-0005-0000-0000-00007B030000}"/>
    <cellStyle name="Normal 33 2" xfId="892" xr:uid="{00000000-0005-0000-0000-00007C030000}"/>
    <cellStyle name="Normal 4" xfId="893" xr:uid="{00000000-0005-0000-0000-00007D030000}"/>
    <cellStyle name="Normal 4 2" xfId="894" xr:uid="{00000000-0005-0000-0000-00007E030000}"/>
    <cellStyle name="Normal 4 3" xfId="895" xr:uid="{00000000-0005-0000-0000-00007F030000}"/>
    <cellStyle name="Normal 49" xfId="1053" xr:uid="{00000000-0005-0000-0000-000080030000}"/>
    <cellStyle name="Normal 5" xfId="896" xr:uid="{00000000-0005-0000-0000-000081030000}"/>
    <cellStyle name="Normal 5 2" xfId="897" xr:uid="{00000000-0005-0000-0000-000082030000}"/>
    <cellStyle name="Normal 5 3" xfId="898" xr:uid="{00000000-0005-0000-0000-000083030000}"/>
    <cellStyle name="Normal 5 3 2" xfId="899" xr:uid="{00000000-0005-0000-0000-000084030000}"/>
    <cellStyle name="Normal 5 3_Stroj_ostalo" xfId="900" xr:uid="{00000000-0005-0000-0000-000085030000}"/>
    <cellStyle name="Normal 6" xfId="901" xr:uid="{00000000-0005-0000-0000-000086030000}"/>
    <cellStyle name="Normal 6 2" xfId="902" xr:uid="{00000000-0005-0000-0000-000087030000}"/>
    <cellStyle name="Normal 7" xfId="903" xr:uid="{00000000-0005-0000-0000-000088030000}"/>
    <cellStyle name="Normal 7 2" xfId="904" xr:uid="{00000000-0005-0000-0000-000089030000}"/>
    <cellStyle name="Normal 7 3" xfId="905" xr:uid="{00000000-0005-0000-0000-00008A030000}"/>
    <cellStyle name="Normal 7 3 2" xfId="906" xr:uid="{00000000-0005-0000-0000-00008B030000}"/>
    <cellStyle name="Normal 7 3 3" xfId="907" xr:uid="{00000000-0005-0000-0000-00008C030000}"/>
    <cellStyle name="Normal 7 4" xfId="908" xr:uid="{00000000-0005-0000-0000-00008D030000}"/>
    <cellStyle name="Normal 7 4 2" xfId="909" xr:uid="{00000000-0005-0000-0000-00008E030000}"/>
    <cellStyle name="Normal 7 5" xfId="910" xr:uid="{00000000-0005-0000-0000-00008F030000}"/>
    <cellStyle name="Normal 7 6" xfId="911" xr:uid="{00000000-0005-0000-0000-000090030000}"/>
    <cellStyle name="Normal 7_Stroj_ostalo" xfId="912" xr:uid="{00000000-0005-0000-0000-000091030000}"/>
    <cellStyle name="Normal 8" xfId="913" xr:uid="{00000000-0005-0000-0000-000092030000}"/>
    <cellStyle name="Normal 8 2" xfId="914" xr:uid="{00000000-0005-0000-0000-000093030000}"/>
    <cellStyle name="Normal 8 3" xfId="915" xr:uid="{00000000-0005-0000-0000-000094030000}"/>
    <cellStyle name="Normal 8 3 2" xfId="916" xr:uid="{00000000-0005-0000-0000-000095030000}"/>
    <cellStyle name="Normal 8 3 3" xfId="917" xr:uid="{00000000-0005-0000-0000-000096030000}"/>
    <cellStyle name="Normal 8 4" xfId="918" xr:uid="{00000000-0005-0000-0000-000097030000}"/>
    <cellStyle name="Normal 8 4 2" xfId="919" xr:uid="{00000000-0005-0000-0000-000098030000}"/>
    <cellStyle name="Normal 9" xfId="920" xr:uid="{00000000-0005-0000-0000-000099030000}"/>
    <cellStyle name="Normal 9 2" xfId="921" xr:uid="{00000000-0005-0000-0000-00009A030000}"/>
    <cellStyle name="Normal 9_Stroj_ostalo" xfId="922" xr:uid="{00000000-0005-0000-0000-00009B030000}"/>
    <cellStyle name="Normal_TROŠKOVNIK - KAM - ŽUTO" xfId="923" xr:uid="{00000000-0005-0000-0000-00009C030000}"/>
    <cellStyle name="Normal_VLAšKA 69-A,B,C,D (2)" xfId="1052" xr:uid="{00000000-0005-0000-0000-00009D030000}"/>
    <cellStyle name="Normalno 2" xfId="924" xr:uid="{00000000-0005-0000-0000-00009E030000}"/>
    <cellStyle name="Normalno 2 2" xfId="925" xr:uid="{00000000-0005-0000-0000-00009F030000}"/>
    <cellStyle name="Normalno 2_Stroj_ostalo" xfId="926" xr:uid="{00000000-0005-0000-0000-0000A0030000}"/>
    <cellStyle name="Normalno 3" xfId="927" xr:uid="{00000000-0005-0000-0000-0000A1030000}"/>
    <cellStyle name="Normalno 3 2" xfId="928" xr:uid="{00000000-0005-0000-0000-0000A2030000}"/>
    <cellStyle name="Normalno 3_Stroj_ostalo" xfId="929" xr:uid="{00000000-0005-0000-0000-0000A3030000}"/>
    <cellStyle name="Normalno 4" xfId="930" xr:uid="{00000000-0005-0000-0000-0000A4030000}"/>
    <cellStyle name="Normalno 5" xfId="931" xr:uid="{00000000-0005-0000-0000-0000A5030000}"/>
    <cellStyle name="Normalno 6" xfId="932" xr:uid="{00000000-0005-0000-0000-0000A6030000}"/>
    <cellStyle name="Normalno 7" xfId="933" xr:uid="{00000000-0005-0000-0000-0000A7030000}"/>
    <cellStyle name="Note 10" xfId="934" xr:uid="{00000000-0005-0000-0000-0000A8030000}"/>
    <cellStyle name="Note 11" xfId="935" xr:uid="{00000000-0005-0000-0000-0000A9030000}"/>
    <cellStyle name="Note 12" xfId="936" xr:uid="{00000000-0005-0000-0000-0000AA030000}"/>
    <cellStyle name="Note 13" xfId="937" xr:uid="{00000000-0005-0000-0000-0000AB030000}"/>
    <cellStyle name="Note 14" xfId="938" xr:uid="{00000000-0005-0000-0000-0000AC030000}"/>
    <cellStyle name="Note 15" xfId="939" xr:uid="{00000000-0005-0000-0000-0000AD030000}"/>
    <cellStyle name="Note 16" xfId="940" xr:uid="{00000000-0005-0000-0000-0000AE030000}"/>
    <cellStyle name="Note 17" xfId="941" xr:uid="{00000000-0005-0000-0000-0000AF030000}"/>
    <cellStyle name="Note 18" xfId="942" xr:uid="{00000000-0005-0000-0000-0000B0030000}"/>
    <cellStyle name="Note 18 2" xfId="943" xr:uid="{00000000-0005-0000-0000-0000B1030000}"/>
    <cellStyle name="Note 19" xfId="944" xr:uid="{00000000-0005-0000-0000-0000B2030000}"/>
    <cellStyle name="Note 2" xfId="945" xr:uid="{00000000-0005-0000-0000-0000B3030000}"/>
    <cellStyle name="Note 3" xfId="946" xr:uid="{00000000-0005-0000-0000-0000B4030000}"/>
    <cellStyle name="Note 4" xfId="947" xr:uid="{00000000-0005-0000-0000-0000B5030000}"/>
    <cellStyle name="Note 5" xfId="948" xr:uid="{00000000-0005-0000-0000-0000B6030000}"/>
    <cellStyle name="Note 6" xfId="949" xr:uid="{00000000-0005-0000-0000-0000B7030000}"/>
    <cellStyle name="Note 7" xfId="950" xr:uid="{00000000-0005-0000-0000-0000B8030000}"/>
    <cellStyle name="Note 8" xfId="951" xr:uid="{00000000-0005-0000-0000-0000B9030000}"/>
    <cellStyle name="Note 9" xfId="952" xr:uid="{00000000-0005-0000-0000-0000BA030000}"/>
    <cellStyle name="Obično 2" xfId="953" xr:uid="{00000000-0005-0000-0000-0000BB030000}"/>
    <cellStyle name="Obično 2 2" xfId="954" xr:uid="{00000000-0005-0000-0000-0000BC030000}"/>
    <cellStyle name="Obično 3" xfId="955" xr:uid="{00000000-0005-0000-0000-0000BD030000}"/>
    <cellStyle name="Obično_A" xfId="956" xr:uid="{00000000-0005-0000-0000-0000BE030000}"/>
    <cellStyle name="Output 10" xfId="957" xr:uid="{00000000-0005-0000-0000-0000BF030000}"/>
    <cellStyle name="Output 11" xfId="958" xr:uid="{00000000-0005-0000-0000-0000C0030000}"/>
    <cellStyle name="Output 12" xfId="959" xr:uid="{00000000-0005-0000-0000-0000C1030000}"/>
    <cellStyle name="Output 13" xfId="960" xr:uid="{00000000-0005-0000-0000-0000C2030000}"/>
    <cellStyle name="Output 14" xfId="961" xr:uid="{00000000-0005-0000-0000-0000C3030000}"/>
    <cellStyle name="Output 15" xfId="962" xr:uid="{00000000-0005-0000-0000-0000C4030000}"/>
    <cellStyle name="Output 16" xfId="963" xr:uid="{00000000-0005-0000-0000-0000C5030000}"/>
    <cellStyle name="Output 17" xfId="964" xr:uid="{00000000-0005-0000-0000-0000C6030000}"/>
    <cellStyle name="Output 18" xfId="965" xr:uid="{00000000-0005-0000-0000-0000C7030000}"/>
    <cellStyle name="Output 2" xfId="966" xr:uid="{00000000-0005-0000-0000-0000C8030000}"/>
    <cellStyle name="Output 3" xfId="967" xr:uid="{00000000-0005-0000-0000-0000C9030000}"/>
    <cellStyle name="Output 4" xfId="968" xr:uid="{00000000-0005-0000-0000-0000CA030000}"/>
    <cellStyle name="Output 5" xfId="969" xr:uid="{00000000-0005-0000-0000-0000CB030000}"/>
    <cellStyle name="Output 6" xfId="970" xr:uid="{00000000-0005-0000-0000-0000CC030000}"/>
    <cellStyle name="Output 7" xfId="971" xr:uid="{00000000-0005-0000-0000-0000CD030000}"/>
    <cellStyle name="Output 8" xfId="972" xr:uid="{00000000-0005-0000-0000-0000CE030000}"/>
    <cellStyle name="Output 9" xfId="973" xr:uid="{00000000-0005-0000-0000-0000CF030000}"/>
    <cellStyle name="Percent 2" xfId="974" xr:uid="{00000000-0005-0000-0000-0000D0030000}"/>
    <cellStyle name="Percent 2 2" xfId="975" xr:uid="{00000000-0005-0000-0000-0000D1030000}"/>
    <cellStyle name="Percent 2 2 2" xfId="976" xr:uid="{00000000-0005-0000-0000-0000D2030000}"/>
    <cellStyle name="Percent 2 3" xfId="977" xr:uid="{00000000-0005-0000-0000-0000D3030000}"/>
    <cellStyle name="Standard" xfId="978" xr:uid="{00000000-0005-0000-0000-0000D4030000}"/>
    <cellStyle name="Standard 2" xfId="979" xr:uid="{00000000-0005-0000-0000-0000D5030000}"/>
    <cellStyle name="Stil 1" xfId="980" xr:uid="{00000000-0005-0000-0000-0000D6030000}"/>
    <cellStyle name="Style 1" xfId="981" xr:uid="{00000000-0005-0000-0000-0000D7030000}"/>
    <cellStyle name="Style 1 2" xfId="982" xr:uid="{00000000-0005-0000-0000-0000D8030000}"/>
    <cellStyle name="Style 1 2 2" xfId="983" xr:uid="{00000000-0005-0000-0000-0000D9030000}"/>
    <cellStyle name="Style 1 2 3" xfId="984" xr:uid="{00000000-0005-0000-0000-0000DA030000}"/>
    <cellStyle name="Style 1 3" xfId="985" xr:uid="{00000000-0005-0000-0000-0000DB030000}"/>
    <cellStyle name="Style 1 3 2" xfId="986" xr:uid="{00000000-0005-0000-0000-0000DC030000}"/>
    <cellStyle name="Style 1 4" xfId="987" xr:uid="{00000000-0005-0000-0000-0000DD030000}"/>
    <cellStyle name="Style 1 4 2" xfId="988" xr:uid="{00000000-0005-0000-0000-0000DE030000}"/>
    <cellStyle name="Style 1 4 2 2" xfId="989" xr:uid="{00000000-0005-0000-0000-0000DF030000}"/>
    <cellStyle name="Style 1 4 2 3" xfId="990" xr:uid="{00000000-0005-0000-0000-0000E0030000}"/>
    <cellStyle name="Style 1 4 2 4" xfId="991" xr:uid="{00000000-0005-0000-0000-0000E1030000}"/>
    <cellStyle name="Style 1 4 3" xfId="992" xr:uid="{00000000-0005-0000-0000-0000E2030000}"/>
    <cellStyle name="Style 1 5" xfId="993" xr:uid="{00000000-0005-0000-0000-0000E3030000}"/>
    <cellStyle name="Style 1_Stroj_ostalo" xfId="994" xr:uid="{00000000-0005-0000-0000-0000E4030000}"/>
    <cellStyle name="TableStyleLight1" xfId="995" xr:uid="{00000000-0005-0000-0000-0000E5030000}"/>
    <cellStyle name="Tekst upozorenja 2" xfId="996" xr:uid="{00000000-0005-0000-0000-0000E6030000}"/>
    <cellStyle name="Title 10" xfId="997" xr:uid="{00000000-0005-0000-0000-0000E7030000}"/>
    <cellStyle name="Title 11" xfId="998" xr:uid="{00000000-0005-0000-0000-0000E8030000}"/>
    <cellStyle name="Title 12" xfId="999" xr:uid="{00000000-0005-0000-0000-0000E9030000}"/>
    <cellStyle name="Title 13" xfId="1000" xr:uid="{00000000-0005-0000-0000-0000EA030000}"/>
    <cellStyle name="Title 14" xfId="1001" xr:uid="{00000000-0005-0000-0000-0000EB030000}"/>
    <cellStyle name="Title 15" xfId="1002" xr:uid="{00000000-0005-0000-0000-0000EC030000}"/>
    <cellStyle name="Title 16" xfId="1003" xr:uid="{00000000-0005-0000-0000-0000ED030000}"/>
    <cellStyle name="Title 17" xfId="1004" xr:uid="{00000000-0005-0000-0000-0000EE030000}"/>
    <cellStyle name="Title 2" xfId="1005" xr:uid="{00000000-0005-0000-0000-0000EF030000}"/>
    <cellStyle name="Title 3" xfId="1006" xr:uid="{00000000-0005-0000-0000-0000F0030000}"/>
    <cellStyle name="Title 4" xfId="1007" xr:uid="{00000000-0005-0000-0000-0000F1030000}"/>
    <cellStyle name="Title 5" xfId="1008" xr:uid="{00000000-0005-0000-0000-0000F2030000}"/>
    <cellStyle name="Title 6" xfId="1009" xr:uid="{00000000-0005-0000-0000-0000F3030000}"/>
    <cellStyle name="Title 7" xfId="1010" xr:uid="{00000000-0005-0000-0000-0000F4030000}"/>
    <cellStyle name="Title 8" xfId="1011" xr:uid="{00000000-0005-0000-0000-0000F5030000}"/>
    <cellStyle name="Title 9" xfId="1012" xr:uid="{00000000-0005-0000-0000-0000F6030000}"/>
    <cellStyle name="Total 10" xfId="1013" xr:uid="{00000000-0005-0000-0000-0000F7030000}"/>
    <cellStyle name="Total 11" xfId="1014" xr:uid="{00000000-0005-0000-0000-0000F8030000}"/>
    <cellStyle name="Total 12" xfId="1015" xr:uid="{00000000-0005-0000-0000-0000F9030000}"/>
    <cellStyle name="Total 13" xfId="1016" xr:uid="{00000000-0005-0000-0000-0000FA030000}"/>
    <cellStyle name="Total 14" xfId="1017" xr:uid="{00000000-0005-0000-0000-0000FB030000}"/>
    <cellStyle name="Total 15" xfId="1018" xr:uid="{00000000-0005-0000-0000-0000FC030000}"/>
    <cellStyle name="Total 16" xfId="1019" xr:uid="{00000000-0005-0000-0000-0000FD030000}"/>
    <cellStyle name="Total 17" xfId="1020" xr:uid="{00000000-0005-0000-0000-0000FE030000}"/>
    <cellStyle name="Total 2" xfId="1021" xr:uid="{00000000-0005-0000-0000-0000FF030000}"/>
    <cellStyle name="Total 3" xfId="1022" xr:uid="{00000000-0005-0000-0000-000000040000}"/>
    <cellStyle name="Total 4" xfId="1023" xr:uid="{00000000-0005-0000-0000-000001040000}"/>
    <cellStyle name="Total 5" xfId="1024" xr:uid="{00000000-0005-0000-0000-000002040000}"/>
    <cellStyle name="Total 6" xfId="1025" xr:uid="{00000000-0005-0000-0000-000003040000}"/>
    <cellStyle name="Total 7" xfId="1026" xr:uid="{00000000-0005-0000-0000-000004040000}"/>
    <cellStyle name="Total 8" xfId="1027" xr:uid="{00000000-0005-0000-0000-000005040000}"/>
    <cellStyle name="Total 9" xfId="1028" xr:uid="{00000000-0005-0000-0000-000006040000}"/>
    <cellStyle name="Valuta 2" xfId="1029" xr:uid="{00000000-0005-0000-0000-000007040000}"/>
    <cellStyle name="Warning Text 10" xfId="1030" xr:uid="{00000000-0005-0000-0000-000008040000}"/>
    <cellStyle name="Warning Text 11" xfId="1031" xr:uid="{00000000-0005-0000-0000-000009040000}"/>
    <cellStyle name="Warning Text 12" xfId="1032" xr:uid="{00000000-0005-0000-0000-00000A040000}"/>
    <cellStyle name="Warning Text 13" xfId="1033" xr:uid="{00000000-0005-0000-0000-00000B040000}"/>
    <cellStyle name="Warning Text 14" xfId="1034" xr:uid="{00000000-0005-0000-0000-00000C040000}"/>
    <cellStyle name="Warning Text 15" xfId="1035" xr:uid="{00000000-0005-0000-0000-00000D040000}"/>
    <cellStyle name="Warning Text 16" xfId="1036" xr:uid="{00000000-0005-0000-0000-00000E040000}"/>
    <cellStyle name="Warning Text 17" xfId="1037" xr:uid="{00000000-0005-0000-0000-00000F040000}"/>
    <cellStyle name="Warning Text 2" xfId="1038" xr:uid="{00000000-0005-0000-0000-000010040000}"/>
    <cellStyle name="Warning Text 3" xfId="1039" xr:uid="{00000000-0005-0000-0000-000011040000}"/>
    <cellStyle name="Warning Text 4" xfId="1040" xr:uid="{00000000-0005-0000-0000-000012040000}"/>
    <cellStyle name="Warning Text 5" xfId="1041" xr:uid="{00000000-0005-0000-0000-000013040000}"/>
    <cellStyle name="Warning Text 6" xfId="1042" xr:uid="{00000000-0005-0000-0000-000014040000}"/>
    <cellStyle name="Warning Text 7" xfId="1043" xr:uid="{00000000-0005-0000-0000-000015040000}"/>
    <cellStyle name="Warning Text 8" xfId="1044" xr:uid="{00000000-0005-0000-0000-000016040000}"/>
    <cellStyle name="Warning Text 9" xfId="1045" xr:uid="{00000000-0005-0000-0000-000017040000}"/>
    <cellStyle name="Zarez 2" xfId="1046" xr:uid="{00000000-0005-0000-0000-000018040000}"/>
    <cellStyle name="Zarez 2 2" xfId="1047" xr:uid="{00000000-0005-0000-0000-000019040000}"/>
    <cellStyle name="Zarez 2 2 2" xfId="1048" xr:uid="{00000000-0005-0000-0000-00001A040000}"/>
    <cellStyle name="Zarez 2 2 3" xfId="1049" xr:uid="{00000000-0005-0000-0000-00001B040000}"/>
    <cellStyle name="Zarez 2 3" xfId="1050" xr:uid="{00000000-0005-0000-0000-00001C040000}"/>
    <cellStyle name="Zarez 2 4" xfId="1051" xr:uid="{00000000-0005-0000-0000-00001D04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sheetPr>
  <dimension ref="A3:E189"/>
  <sheetViews>
    <sheetView view="pageLayout" topLeftCell="A28" zoomScaleNormal="90" zoomScaleSheetLayoutView="85" workbookViewId="0">
      <selection activeCell="B10" sqref="B10"/>
    </sheetView>
  </sheetViews>
  <sheetFormatPr defaultRowHeight="15" x14ac:dyDescent="0.25"/>
  <cols>
    <col min="1" max="1" width="22.7109375" customWidth="1"/>
    <col min="2" max="2" width="55.5703125" customWidth="1"/>
    <col min="5" max="5" width="44.140625" customWidth="1"/>
  </cols>
  <sheetData>
    <row r="3" spans="1:5" x14ac:dyDescent="0.25">
      <c r="A3" s="1"/>
      <c r="B3" s="1"/>
      <c r="C3" s="1"/>
      <c r="D3" s="1"/>
      <c r="E3" s="2"/>
    </row>
    <row r="4" spans="1:5" x14ac:dyDescent="0.25">
      <c r="A4" s="1"/>
      <c r="B4" s="1"/>
      <c r="C4" s="1"/>
      <c r="D4" s="1"/>
      <c r="E4" s="2"/>
    </row>
    <row r="5" spans="1:5" x14ac:dyDescent="0.25">
      <c r="A5" s="1"/>
      <c r="B5" s="1"/>
      <c r="C5" s="1"/>
      <c r="D5" s="1"/>
      <c r="E5" s="2"/>
    </row>
    <row r="6" spans="1:5" x14ac:dyDescent="0.25">
      <c r="A6" s="1"/>
      <c r="B6" s="1"/>
      <c r="C6" s="1"/>
      <c r="D6" s="1"/>
      <c r="E6" s="2"/>
    </row>
    <row r="7" spans="1:5" x14ac:dyDescent="0.25">
      <c r="A7" s="1"/>
      <c r="B7" s="1"/>
      <c r="C7" s="1"/>
      <c r="D7" s="1"/>
      <c r="E7" s="2"/>
    </row>
    <row r="8" spans="1:5" x14ac:dyDescent="0.25">
      <c r="A8" s="1"/>
      <c r="B8" s="1"/>
      <c r="C8" s="1"/>
      <c r="D8" s="1"/>
      <c r="E8" s="2"/>
    </row>
    <row r="9" spans="1:5" x14ac:dyDescent="0.25">
      <c r="A9" s="7"/>
      <c r="B9" s="1"/>
      <c r="C9" s="1"/>
      <c r="D9" s="1"/>
      <c r="E9" s="2"/>
    </row>
    <row r="10" spans="1:5" ht="15.75" x14ac:dyDescent="0.25">
      <c r="A10" s="50" t="s">
        <v>13</v>
      </c>
      <c r="B10" s="251" t="s">
        <v>428</v>
      </c>
      <c r="C10" s="1"/>
      <c r="D10" s="1"/>
      <c r="E10" s="2"/>
    </row>
    <row r="11" spans="1:5" s="41" customFormat="1" ht="15.75" x14ac:dyDescent="0.25">
      <c r="A11" s="50"/>
      <c r="B11" s="314"/>
      <c r="C11" s="38" t="s">
        <v>57</v>
      </c>
      <c r="D11" s="38"/>
      <c r="E11" s="43"/>
    </row>
    <row r="12" spans="1:5" s="41" customFormat="1" x14ac:dyDescent="0.25">
      <c r="A12" s="50"/>
      <c r="C12" s="38"/>
      <c r="D12" s="38"/>
      <c r="E12" s="43"/>
    </row>
    <row r="13" spans="1:5" s="41" customFormat="1" x14ac:dyDescent="0.25">
      <c r="A13" s="95" t="s">
        <v>56</v>
      </c>
      <c r="B13" s="279" t="s">
        <v>429</v>
      </c>
      <c r="C13" s="38"/>
      <c r="D13" s="38"/>
      <c r="E13" s="43"/>
    </row>
    <row r="14" spans="1:5" s="41" customFormat="1" x14ac:dyDescent="0.25">
      <c r="A14" s="95"/>
      <c r="B14" s="280" t="s">
        <v>433</v>
      </c>
      <c r="C14" s="38"/>
      <c r="D14" s="38"/>
      <c r="E14" s="43"/>
    </row>
    <row r="15" spans="1:5" s="41" customFormat="1" x14ac:dyDescent="0.25">
      <c r="A15" s="38"/>
      <c r="B15" s="281"/>
      <c r="C15" s="38"/>
      <c r="D15" s="38"/>
      <c r="E15" s="43"/>
    </row>
    <row r="16" spans="1:5" s="41" customFormat="1" x14ac:dyDescent="0.25">
      <c r="A16" s="50" t="s">
        <v>12</v>
      </c>
      <c r="B16" s="279" t="s">
        <v>430</v>
      </c>
      <c r="C16" s="38"/>
      <c r="D16" s="38"/>
      <c r="E16" s="43"/>
    </row>
    <row r="17" spans="1:5" s="41" customFormat="1" x14ac:dyDescent="0.25">
      <c r="A17" s="50"/>
      <c r="B17" s="292" t="s">
        <v>429</v>
      </c>
      <c r="C17" s="38"/>
      <c r="D17" s="40"/>
      <c r="E17" s="40"/>
    </row>
    <row r="18" spans="1:5" s="41" customFormat="1" x14ac:dyDescent="0.25">
      <c r="A18" s="50"/>
      <c r="B18" s="55"/>
      <c r="C18" s="40"/>
      <c r="D18" s="40"/>
      <c r="E18" s="40"/>
    </row>
    <row r="19" spans="1:5" s="41" customFormat="1" ht="18.75" x14ac:dyDescent="0.25">
      <c r="A19" s="50" t="s">
        <v>14</v>
      </c>
      <c r="B19" s="290" t="s">
        <v>473</v>
      </c>
      <c r="C19" s="40"/>
      <c r="D19" s="40"/>
      <c r="E19" s="40"/>
    </row>
    <row r="20" spans="1:5" s="41" customFormat="1" ht="15.75" x14ac:dyDescent="0.25">
      <c r="A20" s="50"/>
      <c r="B20" s="54"/>
      <c r="C20" s="38"/>
      <c r="D20" s="44"/>
      <c r="E20" s="43"/>
    </row>
    <row r="21" spans="1:5" s="41" customFormat="1" ht="15.75" x14ac:dyDescent="0.25">
      <c r="A21" s="50"/>
      <c r="B21" s="54"/>
      <c r="C21" s="38"/>
      <c r="D21" s="44"/>
      <c r="E21" s="43"/>
    </row>
    <row r="22" spans="1:5" s="41" customFormat="1" ht="15.75" x14ac:dyDescent="0.25">
      <c r="A22" s="50"/>
      <c r="B22" s="54"/>
      <c r="C22" s="38"/>
      <c r="D22" s="44"/>
      <c r="E22" s="43"/>
    </row>
    <row r="23" spans="1:5" s="41" customFormat="1" x14ac:dyDescent="0.25">
      <c r="A23" s="50"/>
      <c r="B23" s="55"/>
      <c r="C23" s="38"/>
      <c r="D23" s="44"/>
      <c r="E23" s="43"/>
    </row>
    <row r="24" spans="1:5" s="41" customFormat="1" ht="25.5" x14ac:dyDescent="0.25">
      <c r="A24" s="62" t="s">
        <v>54</v>
      </c>
      <c r="B24" s="279" t="s">
        <v>431</v>
      </c>
      <c r="C24" s="38"/>
      <c r="D24" s="44"/>
      <c r="E24" s="43"/>
    </row>
    <row r="25" spans="1:5" s="41" customFormat="1" x14ac:dyDescent="0.25">
      <c r="A25" s="50"/>
      <c r="B25" s="282"/>
      <c r="C25" s="42"/>
      <c r="D25" s="42"/>
      <c r="E25" s="45"/>
    </row>
    <row r="26" spans="1:5" s="41" customFormat="1" x14ac:dyDescent="0.25">
      <c r="A26" s="50"/>
      <c r="B26" s="282"/>
      <c r="C26" s="42"/>
      <c r="D26" s="42"/>
      <c r="E26" s="45"/>
    </row>
    <row r="27" spans="1:5" s="41" customFormat="1" x14ac:dyDescent="0.25">
      <c r="A27" s="50" t="s">
        <v>55</v>
      </c>
      <c r="B27" s="283" t="s">
        <v>432</v>
      </c>
      <c r="C27" s="42"/>
      <c r="D27" s="42"/>
      <c r="E27" s="45"/>
    </row>
    <row r="28" spans="1:5" s="41" customFormat="1" x14ac:dyDescent="0.25">
      <c r="A28" s="50"/>
      <c r="B28" s="52"/>
      <c r="C28" s="42"/>
      <c r="D28" s="42"/>
      <c r="E28" s="45"/>
    </row>
    <row r="29" spans="1:5" s="41" customFormat="1" x14ac:dyDescent="0.25">
      <c r="A29" s="50"/>
      <c r="B29" s="88"/>
      <c r="C29" s="42"/>
      <c r="D29" s="42"/>
      <c r="E29" s="45"/>
    </row>
    <row r="30" spans="1:5" s="41" customFormat="1" x14ac:dyDescent="0.25">
      <c r="A30" s="50" t="s">
        <v>118</v>
      </c>
      <c r="B30" s="88" t="s">
        <v>147</v>
      </c>
      <c r="E30" s="45"/>
    </row>
    <row r="31" spans="1:5" s="41" customFormat="1" x14ac:dyDescent="0.25">
      <c r="A31" s="50"/>
      <c r="B31" s="88"/>
      <c r="E31" s="45"/>
    </row>
    <row r="32" spans="1:5" s="41" customFormat="1" x14ac:dyDescent="0.25">
      <c r="A32" s="50"/>
      <c r="E32" s="45"/>
    </row>
    <row r="33" spans="1:5" s="41" customFormat="1" x14ac:dyDescent="0.25">
      <c r="A33" s="50"/>
      <c r="B33" s="88"/>
      <c r="C33" s="42"/>
      <c r="D33" s="42"/>
      <c r="E33" s="45"/>
    </row>
    <row r="34" spans="1:5" s="41" customFormat="1" x14ac:dyDescent="0.25">
      <c r="A34" s="50" t="s">
        <v>15</v>
      </c>
      <c r="B34" s="88" t="s">
        <v>160</v>
      </c>
      <c r="C34" s="42"/>
      <c r="D34" s="42"/>
      <c r="E34" s="45"/>
    </row>
    <row r="35" spans="1:5" s="41" customFormat="1" x14ac:dyDescent="0.25">
      <c r="A35" s="50"/>
      <c r="B35" s="88"/>
      <c r="C35" s="42"/>
      <c r="D35" s="42"/>
      <c r="E35" s="45"/>
    </row>
    <row r="36" spans="1:5" s="41" customFormat="1" x14ac:dyDescent="0.25">
      <c r="A36" s="50"/>
      <c r="B36" s="50"/>
      <c r="C36" s="42"/>
      <c r="D36" s="42"/>
      <c r="E36" s="42"/>
    </row>
    <row r="37" spans="1:5" s="41" customFormat="1" ht="15.75" x14ac:dyDescent="0.25">
      <c r="A37" s="50" t="s">
        <v>59</v>
      </c>
      <c r="B37" s="54" t="s">
        <v>161</v>
      </c>
      <c r="C37" s="42"/>
      <c r="D37" s="42"/>
      <c r="E37" s="42"/>
    </row>
    <row r="38" spans="1:5" s="41" customFormat="1" ht="30" x14ac:dyDescent="0.25">
      <c r="A38" s="50"/>
      <c r="B38" s="89" t="s">
        <v>162</v>
      </c>
      <c r="C38" s="42"/>
      <c r="D38" s="42"/>
      <c r="E38" s="45"/>
    </row>
    <row r="39" spans="1:5" s="41" customFormat="1" x14ac:dyDescent="0.25">
      <c r="A39" s="42"/>
      <c r="B39" s="46"/>
      <c r="C39" s="42"/>
      <c r="D39" s="42"/>
      <c r="E39" s="45"/>
    </row>
    <row r="40" spans="1:5" s="41" customFormat="1" x14ac:dyDescent="0.25">
      <c r="A40"/>
      <c r="B40" s="42"/>
      <c r="C40" s="42"/>
      <c r="D40" s="42"/>
      <c r="E40" s="45"/>
    </row>
    <row r="41" spans="1:5" s="41" customFormat="1" x14ac:dyDescent="0.25">
      <c r="A41" s="50" t="s">
        <v>107</v>
      </c>
      <c r="B41" s="363" t="s">
        <v>490</v>
      </c>
      <c r="C41" s="42"/>
      <c r="D41" s="42"/>
      <c r="E41" s="45"/>
    </row>
    <row r="42" spans="1:5" s="41" customFormat="1" x14ac:dyDescent="0.25">
      <c r="A42" s="50"/>
      <c r="B42" s="88"/>
      <c r="C42" s="42"/>
      <c r="D42" s="42"/>
      <c r="E42" s="45"/>
    </row>
    <row r="43" spans="1:5" s="41" customFormat="1" x14ac:dyDescent="0.25">
      <c r="A43" s="50"/>
      <c r="B43" s="88"/>
      <c r="C43" s="42"/>
      <c r="D43" s="42"/>
      <c r="E43" s="45"/>
    </row>
    <row r="44" spans="1:5" s="41" customFormat="1" x14ac:dyDescent="0.25">
      <c r="A44" s="52"/>
      <c r="B44" s="52"/>
      <c r="C44" s="42"/>
      <c r="D44" s="42"/>
      <c r="E44" s="45"/>
    </row>
    <row r="45" spans="1:5" s="41" customFormat="1" x14ac:dyDescent="0.25">
      <c r="A45" s="50"/>
      <c r="B45" s="53"/>
      <c r="C45" s="42"/>
      <c r="D45" s="42"/>
      <c r="E45" s="45"/>
    </row>
    <row r="46" spans="1:5" s="41" customFormat="1" x14ac:dyDescent="0.25">
      <c r="A46" s="4"/>
      <c r="B46" s="1"/>
      <c r="C46" s="42"/>
      <c r="D46" s="42"/>
      <c r="E46" s="45"/>
    </row>
    <row r="47" spans="1:5" x14ac:dyDescent="0.25">
      <c r="A47" s="3"/>
      <c r="B47" s="1"/>
      <c r="C47" s="1"/>
      <c r="D47" s="1"/>
      <c r="E47" s="2"/>
    </row>
    <row r="48" spans="1:5" x14ac:dyDescent="0.25">
      <c r="A48" s="3"/>
      <c r="B48" s="1"/>
      <c r="C48" s="1"/>
      <c r="D48" s="1"/>
      <c r="E48" s="2"/>
    </row>
    <row r="49" spans="1:5" x14ac:dyDescent="0.25">
      <c r="A49" s="3"/>
      <c r="B49" s="1"/>
      <c r="C49" s="1"/>
      <c r="D49" s="1"/>
      <c r="E49" s="2"/>
    </row>
    <row r="50" spans="1:5" x14ac:dyDescent="0.25">
      <c r="A50" s="3"/>
      <c r="B50" s="1"/>
      <c r="C50" s="1"/>
      <c r="D50" s="1"/>
      <c r="E50" s="2"/>
    </row>
    <row r="51" spans="1:5" x14ac:dyDescent="0.25">
      <c r="A51" s="3"/>
      <c r="B51" s="1"/>
      <c r="C51" s="1"/>
      <c r="D51" s="1"/>
      <c r="E51" s="2" t="s">
        <v>57</v>
      </c>
    </row>
    <row r="52" spans="1:5" x14ac:dyDescent="0.25">
      <c r="A52" s="3"/>
      <c r="B52" s="1"/>
      <c r="C52" s="1"/>
      <c r="D52" s="1"/>
      <c r="E52" s="2"/>
    </row>
    <row r="53" spans="1:5" x14ac:dyDescent="0.25">
      <c r="A53" s="3"/>
      <c r="B53" s="1"/>
      <c r="C53" s="1"/>
      <c r="D53" s="1"/>
      <c r="E53" s="2"/>
    </row>
    <row r="54" spans="1:5" x14ac:dyDescent="0.25">
      <c r="A54" s="3"/>
      <c r="B54" s="1"/>
      <c r="C54" s="1"/>
      <c r="D54" s="1"/>
      <c r="E54" s="2"/>
    </row>
    <row r="55" spans="1:5" ht="15.75" x14ac:dyDescent="0.25">
      <c r="A55" s="51" t="s">
        <v>89</v>
      </c>
      <c r="B55" s="56"/>
      <c r="E55" s="2"/>
    </row>
    <row r="56" spans="1:5" ht="15.75" x14ac:dyDescent="0.25">
      <c r="A56" s="51"/>
      <c r="B56" s="57"/>
      <c r="C56" s="1"/>
      <c r="D56" s="1"/>
      <c r="E56" s="2"/>
    </row>
    <row r="57" spans="1:5" ht="15.75" x14ac:dyDescent="0.25">
      <c r="A57" s="58" t="s">
        <v>335</v>
      </c>
      <c r="B57" s="57"/>
      <c r="C57" s="1"/>
      <c r="D57" s="1"/>
      <c r="E57" s="2"/>
    </row>
    <row r="58" spans="1:5" ht="15.75" x14ac:dyDescent="0.25">
      <c r="A58" s="51"/>
      <c r="B58" s="57"/>
      <c r="C58" s="1"/>
      <c r="D58" s="1"/>
      <c r="E58" s="2"/>
    </row>
    <row r="59" spans="1:5" ht="15.75" x14ac:dyDescent="0.25">
      <c r="A59" s="58" t="s">
        <v>163</v>
      </c>
      <c r="B59" s="56"/>
    </row>
    <row r="60" spans="1:5" ht="15.75" x14ac:dyDescent="0.25">
      <c r="A60" s="59"/>
      <c r="B60" s="57"/>
      <c r="C60" s="1"/>
      <c r="D60" s="1"/>
      <c r="E60" s="2"/>
    </row>
    <row r="61" spans="1:5" ht="15.75" x14ac:dyDescent="0.25">
      <c r="A61" s="59"/>
      <c r="B61" s="57"/>
      <c r="C61" s="1"/>
      <c r="D61" s="1"/>
      <c r="E61" s="2"/>
    </row>
    <row r="62" spans="1:5" x14ac:dyDescent="0.25">
      <c r="A62" s="49"/>
      <c r="B62" s="57"/>
      <c r="C62" s="1"/>
      <c r="D62" s="1"/>
      <c r="E62" s="2"/>
    </row>
    <row r="63" spans="1:5" ht="15.75" customHeight="1" x14ac:dyDescent="0.25">
      <c r="A63" s="59"/>
      <c r="B63" s="103"/>
      <c r="C63" s="29"/>
      <c r="D63" s="29"/>
      <c r="E63" s="30"/>
    </row>
    <row r="64" spans="1:5" x14ac:dyDescent="0.25">
      <c r="B64" s="90"/>
      <c r="C64" s="29"/>
      <c r="D64" s="29"/>
      <c r="E64" s="30"/>
    </row>
    <row r="65" spans="1:5" ht="15.75" customHeight="1" x14ac:dyDescent="0.25">
      <c r="B65" s="90"/>
      <c r="C65" s="29"/>
      <c r="D65" s="32"/>
      <c r="E65" s="30"/>
    </row>
    <row r="66" spans="1:5" ht="13.5" customHeight="1" x14ac:dyDescent="0.25">
      <c r="A66" s="27"/>
      <c r="B66" s="90"/>
      <c r="C66" s="29"/>
      <c r="D66" s="29"/>
      <c r="E66" s="30"/>
    </row>
    <row r="67" spans="1:5" x14ac:dyDescent="0.25">
      <c r="A67" s="27"/>
      <c r="B67" s="90"/>
      <c r="C67" s="33"/>
      <c r="D67" s="33"/>
      <c r="E67" s="34"/>
    </row>
    <row r="68" spans="1:5" x14ac:dyDescent="0.25">
      <c r="A68" s="27"/>
      <c r="B68" s="90"/>
      <c r="C68" s="33"/>
      <c r="D68" s="33"/>
      <c r="E68" s="34"/>
    </row>
    <row r="69" spans="1:5" x14ac:dyDescent="0.25">
      <c r="A69" s="27"/>
      <c r="B69" s="33"/>
      <c r="C69" s="20"/>
      <c r="D69" s="20"/>
      <c r="E69" s="30"/>
    </row>
    <row r="70" spans="1:5" x14ac:dyDescent="0.25">
      <c r="A70" s="27"/>
      <c r="B70" s="33"/>
      <c r="C70" s="20"/>
      <c r="D70" s="20"/>
      <c r="E70" s="30"/>
    </row>
    <row r="71" spans="1:5" x14ac:dyDescent="0.25">
      <c r="A71" s="27"/>
      <c r="B71" s="33"/>
      <c r="C71" s="20"/>
      <c r="D71" s="35"/>
      <c r="E71" s="30"/>
    </row>
    <row r="72" spans="1:5" x14ac:dyDescent="0.25">
      <c r="A72" s="7"/>
      <c r="B72" s="4"/>
      <c r="C72" s="1"/>
      <c r="D72" s="1"/>
      <c r="E72" s="2"/>
    </row>
    <row r="73" spans="1:5" x14ac:dyDescent="0.25">
      <c r="A73" s="7"/>
      <c r="B73" s="4"/>
      <c r="C73" s="1"/>
      <c r="D73" s="1"/>
      <c r="E73" s="2"/>
    </row>
    <row r="74" spans="1:5" x14ac:dyDescent="0.25">
      <c r="A74" s="7"/>
      <c r="B74" s="4"/>
      <c r="C74" s="1"/>
      <c r="D74" s="1"/>
      <c r="E74" s="2"/>
    </row>
    <row r="75" spans="1:5" x14ac:dyDescent="0.25">
      <c r="A75" s="7"/>
      <c r="B75" s="1"/>
      <c r="C75" s="1"/>
      <c r="D75" s="1"/>
      <c r="E75" s="2"/>
    </row>
    <row r="76" spans="1:5" x14ac:dyDescent="0.25">
      <c r="A76" s="7"/>
      <c r="B76" s="4"/>
      <c r="C76" s="1"/>
      <c r="D76" s="1"/>
      <c r="E76" s="1"/>
    </row>
    <row r="77" spans="1:5" x14ac:dyDescent="0.25">
      <c r="A77" s="7"/>
      <c r="B77" s="1"/>
      <c r="C77" s="1"/>
      <c r="D77" s="1"/>
      <c r="E77" s="1"/>
    </row>
    <row r="78" spans="1:5" x14ac:dyDescent="0.25">
      <c r="A78" s="7"/>
      <c r="B78" s="1"/>
      <c r="C78" s="1"/>
      <c r="D78" s="1"/>
      <c r="E78" s="2"/>
    </row>
    <row r="79" spans="1:5" x14ac:dyDescent="0.25">
      <c r="A79" s="7"/>
      <c r="B79" s="1"/>
      <c r="C79" s="1"/>
      <c r="D79" s="1"/>
      <c r="E79" s="2"/>
    </row>
    <row r="80" spans="1:5" x14ac:dyDescent="0.25">
      <c r="A80" s="7"/>
      <c r="B80" s="4"/>
      <c r="C80" s="1"/>
      <c r="D80" s="1"/>
      <c r="E80" s="2"/>
    </row>
    <row r="81" spans="1:5" x14ac:dyDescent="0.25">
      <c r="A81" s="7"/>
      <c r="B81" s="4"/>
      <c r="C81" s="1"/>
      <c r="D81" s="1"/>
      <c r="E81" s="2"/>
    </row>
    <row r="82" spans="1:5" x14ac:dyDescent="0.25">
      <c r="A82" s="7"/>
      <c r="B82" s="4"/>
      <c r="C82" s="1"/>
      <c r="D82" s="1"/>
      <c r="E82" s="2"/>
    </row>
    <row r="83" spans="1:5" x14ac:dyDescent="0.25">
      <c r="A83" s="7"/>
      <c r="B83" s="1"/>
      <c r="C83" s="1"/>
      <c r="D83" s="1"/>
      <c r="E83" s="2"/>
    </row>
    <row r="84" spans="1:5" x14ac:dyDescent="0.25">
      <c r="A84" s="7"/>
      <c r="B84" s="1"/>
      <c r="C84" s="1"/>
      <c r="D84" s="1"/>
      <c r="E84" s="2"/>
    </row>
    <row r="85" spans="1:5" x14ac:dyDescent="0.25">
      <c r="A85" s="7"/>
      <c r="B85" s="4"/>
      <c r="C85" s="1"/>
      <c r="D85" s="1"/>
      <c r="E85" s="2"/>
    </row>
    <row r="86" spans="1:5" x14ac:dyDescent="0.25">
      <c r="A86" s="7"/>
      <c r="B86" s="5"/>
      <c r="C86" s="1"/>
      <c r="D86" s="1"/>
      <c r="E86" s="2"/>
    </row>
    <row r="87" spans="1:5" x14ac:dyDescent="0.25">
      <c r="A87" s="1"/>
      <c r="B87" s="4"/>
      <c r="C87" s="1"/>
      <c r="D87" s="1"/>
      <c r="E87" s="2"/>
    </row>
    <row r="88" spans="1:5" x14ac:dyDescent="0.25">
      <c r="A88" s="1"/>
      <c r="B88" s="1"/>
      <c r="C88" s="1"/>
      <c r="D88" s="1"/>
      <c r="E88" s="2"/>
    </row>
    <row r="89" spans="1:5" x14ac:dyDescent="0.25">
      <c r="A89" s="1"/>
      <c r="B89" s="1"/>
      <c r="C89" s="1"/>
      <c r="D89" s="1"/>
      <c r="E89" s="2"/>
    </row>
    <row r="90" spans="1:5" x14ac:dyDescent="0.25">
      <c r="A90" s="1"/>
      <c r="B90" s="1"/>
      <c r="C90" s="1"/>
      <c r="D90" s="1"/>
      <c r="E90" s="2"/>
    </row>
    <row r="91" spans="1:5" x14ac:dyDescent="0.25">
      <c r="A91" s="1"/>
      <c r="B91" s="1"/>
      <c r="C91" s="1"/>
      <c r="D91" s="1"/>
      <c r="E91" s="2"/>
    </row>
    <row r="92" spans="1:5" x14ac:dyDescent="0.25">
      <c r="A92" s="7"/>
      <c r="B92" s="3"/>
      <c r="C92" s="1"/>
      <c r="D92" s="1"/>
      <c r="E92" s="2"/>
    </row>
    <row r="93" spans="1:5" x14ac:dyDescent="0.25">
      <c r="A93" s="7"/>
      <c r="B93" s="7"/>
      <c r="C93" s="1"/>
      <c r="D93" s="1"/>
      <c r="E93" s="2"/>
    </row>
    <row r="94" spans="1:5" x14ac:dyDescent="0.25">
      <c r="A94" s="7"/>
      <c r="B94" s="1"/>
      <c r="C94" s="1"/>
      <c r="D94" s="4"/>
      <c r="E94" s="4"/>
    </row>
    <row r="95" spans="1:5" x14ac:dyDescent="0.25">
      <c r="A95" s="7"/>
      <c r="B95" s="1"/>
      <c r="C95" s="1"/>
      <c r="D95" s="4"/>
      <c r="E95" s="4"/>
    </row>
    <row r="96" spans="1:5" x14ac:dyDescent="0.25">
      <c r="A96" s="7"/>
      <c r="B96" s="1"/>
      <c r="C96" s="1"/>
      <c r="D96" s="1"/>
      <c r="E96" s="2"/>
    </row>
    <row r="97" spans="1:5" x14ac:dyDescent="0.25">
      <c r="A97" s="7"/>
      <c r="B97" s="7"/>
      <c r="C97" s="1"/>
      <c r="D97" s="1"/>
      <c r="E97" s="2"/>
    </row>
    <row r="98" spans="1:5" x14ac:dyDescent="0.25">
      <c r="A98" s="7"/>
      <c r="B98" s="3"/>
      <c r="C98" s="1"/>
      <c r="D98" s="1"/>
      <c r="E98" s="2"/>
    </row>
    <row r="99" spans="1:5" x14ac:dyDescent="0.25">
      <c r="A99" s="7"/>
      <c r="B99" s="7"/>
      <c r="C99" s="1"/>
      <c r="D99" s="1"/>
      <c r="E99" s="2"/>
    </row>
    <row r="100" spans="1:5" x14ac:dyDescent="0.25">
      <c r="A100" s="7"/>
      <c r="B100" s="1"/>
      <c r="C100" s="1"/>
      <c r="D100" s="1"/>
      <c r="E100" s="2"/>
    </row>
    <row r="101" spans="1:5" x14ac:dyDescent="0.25">
      <c r="A101" s="7"/>
      <c r="B101" s="1"/>
      <c r="C101" s="1"/>
      <c r="D101" s="1"/>
      <c r="E101" s="2"/>
    </row>
    <row r="102" spans="1:5" ht="15.75" x14ac:dyDescent="0.25">
      <c r="A102" s="7"/>
      <c r="B102" s="21"/>
      <c r="C102" s="7"/>
      <c r="D102" s="3"/>
      <c r="E102" s="3"/>
    </row>
    <row r="103" spans="1:5" x14ac:dyDescent="0.25">
      <c r="A103" s="7"/>
      <c r="B103" s="7"/>
      <c r="C103" s="3"/>
      <c r="D103" s="3"/>
      <c r="E103" s="3"/>
    </row>
    <row r="104" spans="1:5" x14ac:dyDescent="0.25">
      <c r="B104" s="7"/>
      <c r="C104" s="3"/>
      <c r="D104" s="7"/>
      <c r="E104" s="3"/>
    </row>
    <row r="105" spans="1:5" x14ac:dyDescent="0.25">
      <c r="A105" s="7"/>
      <c r="C105" s="1"/>
      <c r="E105" s="2"/>
    </row>
    <row r="106" spans="1:5" x14ac:dyDescent="0.25">
      <c r="A106" s="7"/>
      <c r="B106" s="1"/>
      <c r="C106" s="1"/>
      <c r="D106" s="1"/>
      <c r="E106" s="2"/>
    </row>
    <row r="107" spans="1:5" x14ac:dyDescent="0.25">
      <c r="A107" s="7"/>
      <c r="B107" s="1"/>
      <c r="C107" s="1"/>
      <c r="D107" s="1"/>
      <c r="E107" s="2"/>
    </row>
    <row r="108" spans="1:5" x14ac:dyDescent="0.25">
      <c r="A108" s="7"/>
      <c r="B108" s="4"/>
      <c r="C108" s="1"/>
      <c r="D108" s="1"/>
      <c r="E108" s="2"/>
    </row>
    <row r="109" spans="1:5" ht="15.75" x14ac:dyDescent="0.25">
      <c r="A109" s="7"/>
      <c r="B109" s="19"/>
      <c r="C109" s="1"/>
      <c r="D109" s="1"/>
      <c r="E109" s="2"/>
    </row>
    <row r="110" spans="1:5" ht="15.75" x14ac:dyDescent="0.25">
      <c r="A110" s="7"/>
      <c r="B110" s="19"/>
      <c r="C110" s="1"/>
      <c r="D110" s="1"/>
      <c r="E110" s="2"/>
    </row>
    <row r="111" spans="1:5" x14ac:dyDescent="0.25">
      <c r="A111" s="7"/>
      <c r="B111" s="4"/>
      <c r="C111" s="1"/>
      <c r="D111" s="1"/>
      <c r="E111" s="2"/>
    </row>
    <row r="112" spans="1:5" x14ac:dyDescent="0.25">
      <c r="A112" s="7"/>
      <c r="B112" s="4"/>
      <c r="C112" s="1"/>
      <c r="D112" s="1"/>
      <c r="E112" s="2"/>
    </row>
    <row r="113" spans="1:5" x14ac:dyDescent="0.25">
      <c r="A113" s="7"/>
      <c r="B113" s="4"/>
      <c r="C113" s="1"/>
      <c r="D113" s="1"/>
      <c r="E113" s="2"/>
    </row>
    <row r="114" spans="1:5" x14ac:dyDescent="0.25">
      <c r="A114" s="7"/>
      <c r="B114" s="4"/>
      <c r="C114" s="1"/>
      <c r="D114" s="1"/>
      <c r="E114" s="2"/>
    </row>
    <row r="115" spans="1:5" x14ac:dyDescent="0.25">
      <c r="A115" s="7"/>
      <c r="B115" s="1"/>
      <c r="C115" s="1"/>
      <c r="D115" s="1"/>
      <c r="E115" s="2"/>
    </row>
    <row r="116" spans="1:5" x14ac:dyDescent="0.25">
      <c r="A116" s="7"/>
      <c r="B116" s="1"/>
      <c r="C116" s="1"/>
      <c r="D116" s="1"/>
      <c r="E116" s="2"/>
    </row>
    <row r="117" spans="1:5" x14ac:dyDescent="0.25">
      <c r="A117" s="7"/>
      <c r="B117" s="1"/>
      <c r="C117" s="1"/>
      <c r="D117" s="1"/>
      <c r="E117" s="2"/>
    </row>
    <row r="118" spans="1:5" x14ac:dyDescent="0.25">
      <c r="A118" s="7"/>
      <c r="B118" s="1"/>
      <c r="C118" s="1"/>
      <c r="D118" s="1"/>
      <c r="E118" s="2"/>
    </row>
    <row r="119" spans="1:5" x14ac:dyDescent="0.25">
      <c r="A119" s="7"/>
      <c r="B119" s="1"/>
      <c r="C119" s="1"/>
      <c r="D119" s="1"/>
      <c r="E119" s="1"/>
    </row>
    <row r="120" spans="1:5" x14ac:dyDescent="0.25">
      <c r="A120" s="7"/>
      <c r="B120" s="1"/>
      <c r="C120" s="1"/>
      <c r="D120" s="1"/>
      <c r="E120" s="1"/>
    </row>
    <row r="121" spans="1:5" x14ac:dyDescent="0.25">
      <c r="A121" s="7"/>
      <c r="B121" s="1"/>
      <c r="C121" s="1"/>
      <c r="D121" s="1"/>
      <c r="E121" s="2"/>
    </row>
    <row r="122" spans="1:5" x14ac:dyDescent="0.25">
      <c r="A122" s="7"/>
      <c r="B122" s="1"/>
      <c r="C122" s="1"/>
      <c r="D122" s="1"/>
      <c r="E122" s="2"/>
    </row>
    <row r="123" spans="1:5" x14ac:dyDescent="0.25">
      <c r="A123" s="7"/>
      <c r="B123" s="1"/>
      <c r="C123" s="1"/>
      <c r="D123" s="1"/>
      <c r="E123" s="2"/>
    </row>
    <row r="124" spans="1:5" x14ac:dyDescent="0.25">
      <c r="A124" s="7"/>
      <c r="B124" s="1"/>
      <c r="C124" s="1"/>
      <c r="D124" s="1"/>
      <c r="E124" s="2"/>
    </row>
    <row r="125" spans="1:5" x14ac:dyDescent="0.25">
      <c r="A125" s="7"/>
      <c r="B125" s="1"/>
      <c r="C125" s="1"/>
      <c r="D125" s="1"/>
      <c r="E125" s="2"/>
    </row>
    <row r="126" spans="1:5" x14ac:dyDescent="0.25">
      <c r="A126" s="7"/>
      <c r="B126" s="1"/>
      <c r="C126" s="1"/>
      <c r="D126" s="1"/>
      <c r="E126" s="2"/>
    </row>
    <row r="127" spans="1:5" x14ac:dyDescent="0.25">
      <c r="A127" s="7"/>
      <c r="B127" s="1"/>
      <c r="C127" s="1"/>
      <c r="D127" s="1"/>
      <c r="E127" s="2"/>
    </row>
    <row r="128" spans="1:5" x14ac:dyDescent="0.25">
      <c r="A128" s="7"/>
      <c r="B128" s="1"/>
      <c r="C128" s="1"/>
      <c r="D128" s="1"/>
      <c r="E128" s="2"/>
    </row>
    <row r="129" spans="1:5" x14ac:dyDescent="0.25">
      <c r="A129" s="7"/>
      <c r="B129" s="5"/>
      <c r="C129" s="1"/>
      <c r="D129" s="1"/>
      <c r="E129" s="2"/>
    </row>
    <row r="130" spans="1:5" x14ac:dyDescent="0.25">
      <c r="A130" s="1"/>
      <c r="B130" s="1"/>
      <c r="C130" s="1"/>
      <c r="D130" s="1"/>
      <c r="E130" s="2"/>
    </row>
    <row r="131" spans="1:5" x14ac:dyDescent="0.25">
      <c r="A131" s="4"/>
      <c r="B131" s="1"/>
      <c r="C131" s="1"/>
      <c r="D131" s="1"/>
      <c r="E131" s="2"/>
    </row>
    <row r="132" spans="1:5" x14ac:dyDescent="0.25">
      <c r="A132" s="3"/>
      <c r="B132" s="1"/>
      <c r="C132" s="1"/>
      <c r="D132" s="1"/>
      <c r="E132" s="2"/>
    </row>
    <row r="133" spans="1:5" x14ac:dyDescent="0.25">
      <c r="A133" s="3"/>
      <c r="B133" s="1"/>
      <c r="C133" s="1"/>
      <c r="D133" s="1"/>
      <c r="E133" s="2"/>
    </row>
    <row r="134" spans="1:5" x14ac:dyDescent="0.25">
      <c r="A134" s="3"/>
      <c r="B134" s="1"/>
      <c r="C134" s="1"/>
      <c r="D134" s="1"/>
      <c r="E134" s="2"/>
    </row>
    <row r="135" spans="1:5" x14ac:dyDescent="0.25">
      <c r="E135" s="2"/>
    </row>
    <row r="136" spans="1:5" x14ac:dyDescent="0.25">
      <c r="A136" s="6"/>
      <c r="B136" s="1"/>
      <c r="C136" s="1"/>
      <c r="D136" s="1"/>
      <c r="E136" s="2"/>
    </row>
    <row r="137" spans="1:5" x14ac:dyDescent="0.25">
      <c r="A137" s="6"/>
      <c r="B137" s="1"/>
      <c r="C137" s="1"/>
      <c r="D137" s="1"/>
      <c r="E137" s="2"/>
    </row>
    <row r="138" spans="1:5" x14ac:dyDescent="0.25">
      <c r="B138" s="1"/>
      <c r="C138" s="1"/>
      <c r="D138" s="1"/>
      <c r="E138" s="2"/>
    </row>
    <row r="140" spans="1:5" x14ac:dyDescent="0.25">
      <c r="A140" s="7"/>
    </row>
    <row r="141" spans="1:5" x14ac:dyDescent="0.25">
      <c r="A141" s="1"/>
      <c r="B141" s="1"/>
      <c r="C141" s="1"/>
      <c r="D141" s="1"/>
      <c r="E141" s="2"/>
    </row>
    <row r="142" spans="1:5" x14ac:dyDescent="0.25">
      <c r="A142" s="1"/>
      <c r="B142" s="1"/>
      <c r="C142" s="1"/>
      <c r="D142" s="1"/>
      <c r="E142" s="2"/>
    </row>
    <row r="143" spans="1:5" x14ac:dyDescent="0.25">
      <c r="A143" s="1"/>
      <c r="B143" s="1"/>
      <c r="C143" s="1"/>
      <c r="D143" s="1"/>
      <c r="E143" s="2"/>
    </row>
    <row r="144" spans="1:5" x14ac:dyDescent="0.25">
      <c r="A144" s="29"/>
      <c r="B144" s="29"/>
      <c r="C144" s="29"/>
      <c r="D144" s="29"/>
      <c r="E144" s="30"/>
    </row>
    <row r="145" spans="1:5" x14ac:dyDescent="0.25">
      <c r="A145" s="27"/>
      <c r="B145" s="28"/>
      <c r="C145" s="29"/>
      <c r="D145" s="29"/>
      <c r="E145" s="30"/>
    </row>
    <row r="146" spans="1:5" x14ac:dyDescent="0.25">
      <c r="A146" s="27"/>
      <c r="B146" s="27"/>
      <c r="C146" s="29"/>
      <c r="D146" s="29"/>
      <c r="E146" s="30"/>
    </row>
    <row r="147" spans="1:5" x14ac:dyDescent="0.25">
      <c r="A147" s="27"/>
      <c r="B147" s="29"/>
      <c r="C147" s="29"/>
      <c r="D147" s="31"/>
      <c r="E147" s="31"/>
    </row>
    <row r="148" spans="1:5" x14ac:dyDescent="0.25">
      <c r="A148" s="27"/>
      <c r="B148" s="29"/>
      <c r="C148" s="29"/>
      <c r="D148" s="31"/>
      <c r="E148" s="31"/>
    </row>
    <row r="149" spans="1:5" x14ac:dyDescent="0.25">
      <c r="A149" s="27"/>
      <c r="B149" s="29"/>
      <c r="C149" s="29"/>
      <c r="D149" s="29"/>
      <c r="E149" s="30"/>
    </row>
    <row r="150" spans="1:5" x14ac:dyDescent="0.25">
      <c r="A150" s="27"/>
      <c r="B150" s="27"/>
      <c r="C150" s="29"/>
      <c r="D150" s="29"/>
      <c r="E150" s="30"/>
    </row>
    <row r="151" spans="1:5" x14ac:dyDescent="0.25">
      <c r="A151" s="27"/>
      <c r="B151" s="28"/>
      <c r="C151" s="29"/>
      <c r="D151" s="29"/>
      <c r="E151" s="30"/>
    </row>
    <row r="152" spans="1:5" x14ac:dyDescent="0.25">
      <c r="A152" s="27"/>
      <c r="B152" s="27"/>
      <c r="C152" s="29"/>
      <c r="D152" s="29"/>
      <c r="E152" s="30"/>
    </row>
    <row r="153" spans="1:5" x14ac:dyDescent="0.25">
      <c r="A153" s="27"/>
      <c r="B153" s="29"/>
      <c r="C153" s="29"/>
      <c r="D153" s="29"/>
      <c r="E153" s="30"/>
    </row>
    <row r="154" spans="1:5" x14ac:dyDescent="0.25">
      <c r="A154" s="27"/>
      <c r="B154" s="29"/>
      <c r="C154" s="29"/>
      <c r="D154" s="29"/>
      <c r="E154" s="30"/>
    </row>
    <row r="155" spans="1:5" ht="15.75" x14ac:dyDescent="0.25">
      <c r="A155" s="27"/>
      <c r="B155" s="36"/>
      <c r="C155" s="28"/>
      <c r="D155" s="28"/>
      <c r="E155" s="28"/>
    </row>
    <row r="156" spans="1:5" x14ac:dyDescent="0.25">
      <c r="A156" s="27"/>
      <c r="B156" s="27"/>
      <c r="C156" s="28"/>
      <c r="D156" s="28"/>
      <c r="E156" s="28"/>
    </row>
    <row r="157" spans="1:5" x14ac:dyDescent="0.25">
      <c r="A157" s="32"/>
      <c r="B157" s="27"/>
      <c r="C157" s="28"/>
      <c r="D157" s="28"/>
      <c r="E157" s="28"/>
    </row>
    <row r="158" spans="1:5" x14ac:dyDescent="0.25">
      <c r="A158" s="7"/>
      <c r="C158" s="1"/>
      <c r="E158" s="2"/>
    </row>
    <row r="159" spans="1:5" x14ac:dyDescent="0.25">
      <c r="A159" s="7"/>
      <c r="C159" s="1"/>
      <c r="E159" s="2"/>
    </row>
    <row r="160" spans="1:5" x14ac:dyDescent="0.25">
      <c r="A160" s="7"/>
      <c r="C160" s="1"/>
      <c r="E160" s="2"/>
    </row>
    <row r="161" spans="1:5" x14ac:dyDescent="0.25">
      <c r="A161" s="7"/>
      <c r="C161" s="1"/>
      <c r="E161" s="2"/>
    </row>
    <row r="162" spans="1:5" x14ac:dyDescent="0.25">
      <c r="A162" s="7"/>
      <c r="C162" s="1"/>
      <c r="E162" s="2"/>
    </row>
    <row r="163" spans="1:5" x14ac:dyDescent="0.25">
      <c r="A163" s="7"/>
      <c r="C163" s="1"/>
      <c r="E163" s="2"/>
    </row>
    <row r="164" spans="1:5" x14ac:dyDescent="0.25">
      <c r="A164" s="7"/>
      <c r="B164" s="1"/>
      <c r="C164" s="1"/>
      <c r="D164" s="1"/>
      <c r="E164" s="2"/>
    </row>
    <row r="165" spans="1:5" x14ac:dyDescent="0.25">
      <c r="A165" s="27"/>
      <c r="B165" s="33"/>
      <c r="C165" s="33"/>
      <c r="D165" s="33"/>
      <c r="E165" s="34"/>
    </row>
    <row r="166" spans="1:5" x14ac:dyDescent="0.25">
      <c r="A166" s="27"/>
      <c r="B166" s="33"/>
      <c r="C166" s="33"/>
      <c r="D166" s="33"/>
      <c r="E166" s="34"/>
    </row>
    <row r="167" spans="1:5" x14ac:dyDescent="0.25">
      <c r="A167" s="27"/>
      <c r="B167" s="33"/>
      <c r="C167" s="20"/>
      <c r="D167" s="20"/>
      <c r="E167" s="30"/>
    </row>
    <row r="168" spans="1:5" x14ac:dyDescent="0.25">
      <c r="A168" s="27"/>
      <c r="B168" s="33"/>
      <c r="C168" s="20"/>
      <c r="D168" s="20"/>
      <c r="E168" s="30"/>
    </row>
    <row r="169" spans="1:5" x14ac:dyDescent="0.25">
      <c r="A169" s="27"/>
      <c r="B169" s="33"/>
      <c r="C169" s="20"/>
      <c r="D169" s="20"/>
      <c r="E169" s="30"/>
    </row>
    <row r="170" spans="1:5" x14ac:dyDescent="0.25">
      <c r="A170" s="27"/>
      <c r="B170" s="33"/>
      <c r="C170" s="20"/>
      <c r="D170" s="20"/>
      <c r="E170" s="30"/>
    </row>
    <row r="171" spans="1:5" x14ac:dyDescent="0.25">
      <c r="A171" s="27"/>
      <c r="B171" s="33"/>
      <c r="C171" s="20"/>
      <c r="D171" s="20"/>
      <c r="E171" s="30"/>
    </row>
    <row r="172" spans="1:5" x14ac:dyDescent="0.25">
      <c r="A172" s="27"/>
      <c r="B172" s="33"/>
      <c r="C172" s="20"/>
      <c r="D172" s="35"/>
      <c r="E172" s="30"/>
    </row>
    <row r="173" spans="1:5" x14ac:dyDescent="0.25">
      <c r="A173" s="7"/>
      <c r="B173" s="4"/>
      <c r="C173" s="1"/>
      <c r="D173" s="1"/>
      <c r="E173" s="2"/>
    </row>
    <row r="174" spans="1:5" x14ac:dyDescent="0.25">
      <c r="A174" s="7"/>
      <c r="B174" s="4"/>
      <c r="C174" s="1"/>
      <c r="D174" s="1"/>
      <c r="E174" s="2"/>
    </row>
    <row r="175" spans="1:5" x14ac:dyDescent="0.25">
      <c r="A175" s="7"/>
      <c r="B175" s="4"/>
      <c r="C175" s="1"/>
      <c r="D175" s="1"/>
      <c r="E175" s="2"/>
    </row>
    <row r="176" spans="1:5" x14ac:dyDescent="0.25">
      <c r="A176" s="7"/>
      <c r="B176" s="1"/>
      <c r="C176" s="1"/>
      <c r="D176" s="1"/>
      <c r="E176" s="2"/>
    </row>
    <row r="177" spans="1:5" x14ac:dyDescent="0.25">
      <c r="A177" s="7"/>
      <c r="B177" s="4"/>
      <c r="C177" s="1"/>
      <c r="D177" s="1"/>
      <c r="E177" s="1"/>
    </row>
    <row r="178" spans="1:5" x14ac:dyDescent="0.25">
      <c r="A178" s="7"/>
      <c r="B178" s="1"/>
      <c r="C178" s="1"/>
      <c r="D178" s="1"/>
      <c r="E178" s="1"/>
    </row>
    <row r="179" spans="1:5" x14ac:dyDescent="0.25">
      <c r="A179" s="7"/>
      <c r="B179" s="1"/>
      <c r="C179" s="1"/>
      <c r="D179" s="1"/>
      <c r="E179" s="2"/>
    </row>
    <row r="180" spans="1:5" x14ac:dyDescent="0.25">
      <c r="A180" s="7"/>
      <c r="B180" s="1"/>
      <c r="C180" s="1"/>
      <c r="D180" s="1"/>
      <c r="E180" s="2"/>
    </row>
    <row r="181" spans="1:5" x14ac:dyDescent="0.25">
      <c r="A181" s="7"/>
      <c r="B181" s="4"/>
      <c r="C181" s="1"/>
      <c r="D181" s="1"/>
      <c r="E181" s="2"/>
    </row>
    <row r="182" spans="1:5" x14ac:dyDescent="0.25">
      <c r="A182" s="7"/>
      <c r="B182" s="4"/>
      <c r="C182" s="1"/>
      <c r="D182" s="1"/>
      <c r="E182" s="2"/>
    </row>
    <row r="183" spans="1:5" x14ac:dyDescent="0.25">
      <c r="A183" s="7"/>
      <c r="B183" s="4"/>
      <c r="C183" s="1"/>
      <c r="D183" s="1"/>
      <c r="E183" s="2"/>
    </row>
    <row r="184" spans="1:5" x14ac:dyDescent="0.25">
      <c r="A184" s="7"/>
      <c r="B184" s="1"/>
      <c r="C184" s="1"/>
      <c r="D184" s="1"/>
      <c r="E184" s="2"/>
    </row>
    <row r="185" spans="1:5" x14ac:dyDescent="0.25">
      <c r="A185" s="7"/>
      <c r="B185" s="1"/>
      <c r="C185" s="1"/>
      <c r="D185" s="1"/>
      <c r="E185" s="2"/>
    </row>
    <row r="186" spans="1:5" x14ac:dyDescent="0.25">
      <c r="A186" s="7"/>
      <c r="B186" s="4"/>
      <c r="C186" s="1"/>
      <c r="D186" s="1"/>
      <c r="E186" s="2"/>
    </row>
    <row r="187" spans="1:5" x14ac:dyDescent="0.25">
      <c r="A187" s="7"/>
      <c r="B187" s="5"/>
      <c r="C187" s="1"/>
      <c r="D187" s="1"/>
      <c r="E187" s="2"/>
    </row>
    <row r="188" spans="1:5" x14ac:dyDescent="0.25">
      <c r="A188" s="1"/>
      <c r="B188" s="4"/>
      <c r="C188" s="1"/>
      <c r="D188" s="1"/>
      <c r="E188" s="2"/>
    </row>
    <row r="189" spans="1:5" x14ac:dyDescent="0.25">
      <c r="A189" s="1"/>
      <c r="B189" s="1"/>
      <c r="C189" s="1"/>
      <c r="D189" s="1"/>
      <c r="E189" s="2"/>
    </row>
  </sheetData>
  <phoneticPr fontId="32" type="noConversion"/>
  <pageMargins left="0.70866141732283472" right="0.19685039370078741" top="0.74803149606299213" bottom="0.74803149606299213" header="0.31496062992125984" footer="0.31496062992125984"/>
  <pageSetup paperSize="9" fitToHeight="0" orientation="portrait" r:id="rId1"/>
  <headerFooter alignWithMargins="0">
    <oddFooter xml:space="preserve">&amp;L&amp;"Calibri,Regular"&amp;9Radovi prema čl. 5 Pravilnika o jednostavnim i drugim građevinama i radovima (NN 112/17, 34/18, 36/19, 98/19) 
</oddFooter>
  </headerFooter>
  <rowBreaks count="1" manualBreakCount="1">
    <brk id="44" max="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3:D43"/>
  <sheetViews>
    <sheetView tabSelected="1" view="pageLayout" topLeftCell="A19" zoomScaleNormal="100" zoomScaleSheetLayoutView="85" workbookViewId="0">
      <selection activeCell="C36" sqref="C36"/>
    </sheetView>
  </sheetViews>
  <sheetFormatPr defaultRowHeight="15" x14ac:dyDescent="0.25"/>
  <cols>
    <col min="1" max="1" width="22.7109375" customWidth="1"/>
    <col min="2" max="2" width="42" customWidth="1"/>
    <col min="4" max="4" width="14" customWidth="1"/>
  </cols>
  <sheetData>
    <row r="3" spans="1:4" x14ac:dyDescent="0.25">
      <c r="A3" s="1"/>
      <c r="B3" s="1"/>
      <c r="C3" s="1"/>
      <c r="D3" s="1"/>
    </row>
    <row r="4" spans="1:4" x14ac:dyDescent="0.25">
      <c r="A4" s="7"/>
      <c r="B4" s="1"/>
      <c r="C4" s="1"/>
      <c r="D4" s="1"/>
    </row>
    <row r="5" spans="1:4" ht="31.5" x14ac:dyDescent="0.25">
      <c r="A5" s="50" t="s">
        <v>13</v>
      </c>
      <c r="B5" s="251" t="s">
        <v>428</v>
      </c>
      <c r="C5" s="1"/>
      <c r="D5" s="1"/>
    </row>
    <row r="6" spans="1:4" ht="15.75" x14ac:dyDescent="0.25">
      <c r="A6" s="50"/>
      <c r="B6" s="314"/>
      <c r="C6" s="38" t="s">
        <v>57</v>
      </c>
      <c r="D6" s="38"/>
    </row>
    <row r="7" spans="1:4" x14ac:dyDescent="0.25">
      <c r="A7" s="50"/>
      <c r="B7" s="41"/>
      <c r="C7" s="38"/>
      <c r="D7" s="38"/>
    </row>
    <row r="8" spans="1:4" x14ac:dyDescent="0.25">
      <c r="A8" s="50" t="s">
        <v>56</v>
      </c>
      <c r="B8" s="279" t="s">
        <v>429</v>
      </c>
      <c r="C8" s="38"/>
      <c r="D8" s="38"/>
    </row>
    <row r="9" spans="1:4" x14ac:dyDescent="0.25">
      <c r="A9" s="50"/>
      <c r="B9" s="280" t="s">
        <v>433</v>
      </c>
      <c r="C9" s="38"/>
      <c r="D9" s="38"/>
    </row>
    <row r="10" spans="1:4" x14ac:dyDescent="0.25">
      <c r="A10" s="50"/>
      <c r="B10" s="281"/>
      <c r="C10" s="38"/>
      <c r="D10" s="38"/>
    </row>
    <row r="11" spans="1:4" x14ac:dyDescent="0.25">
      <c r="A11" s="38"/>
      <c r="C11" s="38"/>
      <c r="D11" s="38"/>
    </row>
    <row r="12" spans="1:4" x14ac:dyDescent="0.25">
      <c r="A12" s="50" t="s">
        <v>12</v>
      </c>
      <c r="B12" s="279" t="s">
        <v>430</v>
      </c>
      <c r="C12" s="38"/>
      <c r="D12" s="38"/>
    </row>
    <row r="13" spans="1:4" x14ac:dyDescent="0.25">
      <c r="A13" s="50"/>
      <c r="B13" s="292" t="s">
        <v>429</v>
      </c>
      <c r="C13" s="38"/>
      <c r="D13" s="38"/>
    </row>
    <row r="14" spans="1:4" x14ac:dyDescent="0.25">
      <c r="A14" s="50"/>
      <c r="B14" s="279"/>
      <c r="C14" s="38"/>
      <c r="D14" s="38"/>
    </row>
    <row r="16" spans="1:4" x14ac:dyDescent="0.25">
      <c r="A16" s="50" t="s">
        <v>59</v>
      </c>
      <c r="B16" s="291" t="s">
        <v>161</v>
      </c>
      <c r="C16" s="38"/>
      <c r="D16" s="38"/>
    </row>
    <row r="17" spans="1:4" x14ac:dyDescent="0.25">
      <c r="A17" s="50"/>
      <c r="B17" s="279" t="s">
        <v>234</v>
      </c>
      <c r="C17" s="38"/>
      <c r="D17" s="38"/>
    </row>
    <row r="18" spans="1:4" x14ac:dyDescent="0.25">
      <c r="A18" s="50"/>
      <c r="B18" s="292"/>
      <c r="C18" s="38"/>
      <c r="D18" s="40"/>
    </row>
    <row r="19" spans="1:4" x14ac:dyDescent="0.25">
      <c r="A19" s="50"/>
      <c r="B19" s="55"/>
      <c r="C19" s="40"/>
      <c r="D19" s="40"/>
    </row>
    <row r="20" spans="1:4" ht="18.75" x14ac:dyDescent="0.25">
      <c r="A20" s="50"/>
      <c r="B20" s="290" t="s">
        <v>231</v>
      </c>
      <c r="C20" s="40"/>
      <c r="D20" s="40"/>
    </row>
    <row r="21" spans="1:4" ht="15.75" x14ac:dyDescent="0.25">
      <c r="A21" s="50"/>
      <c r="B21" s="54"/>
      <c r="C21" s="38"/>
      <c r="D21" s="293"/>
    </row>
    <row r="22" spans="1:4" x14ac:dyDescent="0.25">
      <c r="A22" s="50"/>
      <c r="B22" s="55"/>
      <c r="C22" s="38"/>
      <c r="D22" s="293"/>
    </row>
    <row r="23" spans="1:4" x14ac:dyDescent="0.25">
      <c r="A23" s="62"/>
      <c r="B23" s="279"/>
      <c r="C23" s="38"/>
      <c r="D23" s="293"/>
    </row>
    <row r="24" spans="1:4" x14ac:dyDescent="0.25">
      <c r="A24" s="50"/>
      <c r="B24" s="282"/>
      <c r="C24" s="42"/>
      <c r="D24" s="42"/>
    </row>
    <row r="25" spans="1:4" ht="15.75" thickBot="1" x14ac:dyDescent="0.3">
      <c r="A25" s="294" t="s">
        <v>235</v>
      </c>
      <c r="B25" s="295"/>
      <c r="C25" s="296"/>
      <c r="D25" s="297"/>
    </row>
    <row r="26" spans="1:4" x14ac:dyDescent="0.25">
      <c r="A26" s="50"/>
      <c r="B26" s="283"/>
      <c r="C26" s="42"/>
      <c r="D26" s="42"/>
    </row>
    <row r="27" spans="1:4" x14ac:dyDescent="0.25">
      <c r="A27" s="50"/>
      <c r="B27" s="55" t="s">
        <v>236</v>
      </c>
      <c r="C27" s="298" t="s">
        <v>491</v>
      </c>
      <c r="D27" s="299">
        <f>rekap!F29</f>
        <v>0</v>
      </c>
    </row>
    <row r="28" spans="1:4" x14ac:dyDescent="0.25">
      <c r="A28" s="300"/>
      <c r="B28" s="300"/>
      <c r="C28" s="301"/>
      <c r="D28" s="302"/>
    </row>
    <row r="29" spans="1:4" ht="15.75" thickBot="1" x14ac:dyDescent="0.3">
      <c r="A29" s="50"/>
      <c r="B29" s="303"/>
      <c r="C29" s="303"/>
      <c r="D29" s="304"/>
    </row>
    <row r="30" spans="1:4" ht="15.75" thickBot="1" x14ac:dyDescent="0.3">
      <c r="A30" s="50"/>
      <c r="B30" s="53" t="s">
        <v>237</v>
      </c>
      <c r="C30" s="298" t="s">
        <v>491</v>
      </c>
      <c r="D30" s="305">
        <f>SUM(D27:D27)</f>
        <v>0</v>
      </c>
    </row>
    <row r="31" spans="1:4" x14ac:dyDescent="0.25">
      <c r="A31" s="50"/>
      <c r="B31" s="50"/>
      <c r="C31" s="298"/>
      <c r="D31" s="315"/>
    </row>
    <row r="32" spans="1:4" x14ac:dyDescent="0.25">
      <c r="A32" s="50"/>
      <c r="B32" s="53"/>
      <c r="C32" s="298"/>
      <c r="D32" s="315"/>
    </row>
    <row r="33" spans="1:4" x14ac:dyDescent="0.25">
      <c r="A33" s="50"/>
      <c r="B33" s="50"/>
      <c r="C33" s="306"/>
      <c r="D33" s="42"/>
    </row>
    <row r="34" spans="1:4" ht="15.75" x14ac:dyDescent="0.25">
      <c r="A34" s="50"/>
      <c r="B34" s="54"/>
      <c r="C34" s="42"/>
      <c r="D34" s="42"/>
    </row>
    <row r="35" spans="1:4" x14ac:dyDescent="0.25">
      <c r="A35" s="50"/>
      <c r="B35" s="89"/>
      <c r="C35" s="42"/>
      <c r="D35" s="42"/>
    </row>
    <row r="36" spans="1:4" x14ac:dyDescent="0.25">
      <c r="A36" s="42"/>
      <c r="B36" s="46"/>
      <c r="C36" s="42"/>
      <c r="D36" s="42"/>
    </row>
    <row r="37" spans="1:4" x14ac:dyDescent="0.25">
      <c r="B37" s="42"/>
      <c r="C37" s="42"/>
      <c r="D37" s="42"/>
    </row>
    <row r="38" spans="1:4" x14ac:dyDescent="0.25">
      <c r="A38" s="50"/>
      <c r="B38" s="88"/>
      <c r="C38" s="42"/>
      <c r="D38" s="42"/>
    </row>
    <row r="39" spans="1:4" x14ac:dyDescent="0.25">
      <c r="A39" s="53"/>
      <c r="B39" s="88"/>
      <c r="C39" s="50"/>
      <c r="D39" s="42"/>
    </row>
    <row r="40" spans="1:4" x14ac:dyDescent="0.25">
      <c r="A40" s="41"/>
      <c r="B40" s="88"/>
      <c r="C40" s="42"/>
      <c r="D40" s="42"/>
    </row>
    <row r="41" spans="1:4" x14ac:dyDescent="0.25">
      <c r="A41" s="50"/>
      <c r="B41" s="88"/>
      <c r="C41" s="42"/>
      <c r="D41" s="42"/>
    </row>
    <row r="42" spans="1:4" x14ac:dyDescent="0.25">
      <c r="A42" s="52"/>
      <c r="B42" s="52"/>
      <c r="C42" s="42"/>
      <c r="D42" s="42"/>
    </row>
    <row r="43" spans="1:4" x14ac:dyDescent="0.25">
      <c r="A43" s="52"/>
      <c r="B43" s="52"/>
      <c r="C43" s="42"/>
      <c r="D43" s="42"/>
    </row>
  </sheetData>
  <pageMargins left="0.70866141732283472" right="0.19685039370078741" top="0.74803149606299213" bottom="0.74803149606299213" header="0.31496062992125984" footer="0.31496062992125984"/>
  <pageSetup paperSize="9" orientation="portrait" r:id="rId1"/>
  <headerFooter alignWithMargins="0">
    <oddHeader xml:space="preserve">&amp;L&amp;"Calibri,Regular"&amp;9Investitor: Suvlasnici stambene zgrade u Zagrebu, Sveti Duh 65, 10000 Zagreb
Građevina: Stambena zgrada u Zagrebu, Sveti Duh 65&amp;R&amp;"Calibri,Regular"&amp;9&amp;K000000z.o.p.: Sveti Duh 65
t.d.: 02-2020&amp;K01+000
</oddHeader>
    <oddFooter xml:space="preserve">&amp;L&amp;"Calibri,Regular"&amp;9Radovi prema čl. 5 Pravilnika o jednostavnim i drugim građevinama i radovima (NN 112/17, 34/18, 36/19, 98/19, 31/20)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tabColor rgb="FF92D050"/>
  </sheetPr>
  <dimension ref="A4:G75"/>
  <sheetViews>
    <sheetView view="pageLayout" topLeftCell="A4" zoomScaleNormal="100" zoomScaleSheetLayoutView="85" workbookViewId="0">
      <selection activeCell="C35" sqref="C35"/>
    </sheetView>
  </sheetViews>
  <sheetFormatPr defaultRowHeight="15" x14ac:dyDescent="0.25"/>
  <cols>
    <col min="2" max="2" width="34.140625" customWidth="1"/>
    <col min="3" max="3" width="7.140625" customWidth="1"/>
    <col min="4" max="4" width="12.42578125" customWidth="1"/>
    <col min="5" max="5" width="8.28515625" customWidth="1"/>
    <col min="6" max="6" width="14.85546875" customWidth="1"/>
  </cols>
  <sheetData>
    <row r="4" spans="1:7" x14ac:dyDescent="0.25">
      <c r="A4" s="1"/>
      <c r="B4" s="3"/>
      <c r="C4" s="1"/>
      <c r="D4" s="1"/>
      <c r="E4" s="1"/>
      <c r="F4" s="2"/>
    </row>
    <row r="5" spans="1:7" x14ac:dyDescent="0.25">
      <c r="A5" s="372" t="s">
        <v>164</v>
      </c>
      <c r="B5" s="372"/>
      <c r="C5" s="372"/>
      <c r="D5" s="372"/>
      <c r="E5" s="372"/>
      <c r="F5" s="372"/>
    </row>
    <row r="6" spans="1:7" x14ac:dyDescent="0.25">
      <c r="A6" s="372"/>
      <c r="B6" s="372"/>
      <c r="C6" s="372"/>
      <c r="D6" s="372"/>
      <c r="E6" s="372"/>
      <c r="F6" s="372"/>
    </row>
    <row r="7" spans="1:7" x14ac:dyDescent="0.25">
      <c r="A7" s="57"/>
      <c r="B7" s="61"/>
      <c r="C7" s="64"/>
      <c r="D7" s="57"/>
      <c r="E7" s="57"/>
      <c r="F7" s="60"/>
    </row>
    <row r="8" spans="1:7" ht="18.75" x14ac:dyDescent="0.3">
      <c r="A8" s="65"/>
      <c r="B8" s="93"/>
      <c r="C8" s="93"/>
      <c r="D8" s="93"/>
      <c r="E8" s="93"/>
      <c r="F8" s="93"/>
    </row>
    <row r="9" spans="1:7" x14ac:dyDescent="0.25">
      <c r="A9" s="69"/>
      <c r="B9" s="64"/>
      <c r="C9" s="67"/>
      <c r="D9" s="67"/>
      <c r="E9" s="67"/>
      <c r="F9" s="70"/>
    </row>
    <row r="10" spans="1:7" ht="15.75" thickBot="1" x14ac:dyDescent="0.3">
      <c r="A10" s="258" t="s">
        <v>17</v>
      </c>
      <c r="B10" s="71" t="s">
        <v>100</v>
      </c>
      <c r="C10" s="72"/>
      <c r="D10" s="72"/>
      <c r="E10" s="73"/>
      <c r="F10" s="74"/>
    </row>
    <row r="11" spans="1:7" x14ac:dyDescent="0.25">
      <c r="A11" s="75"/>
      <c r="B11" s="64"/>
      <c r="C11" s="67"/>
      <c r="D11" s="67"/>
      <c r="E11" s="68"/>
      <c r="F11" s="76"/>
      <c r="G11" s="67"/>
    </row>
    <row r="12" spans="1:7" x14ac:dyDescent="0.25">
      <c r="A12" s="57" t="s">
        <v>20</v>
      </c>
      <c r="B12" s="57" t="s">
        <v>90</v>
      </c>
      <c r="D12" s="106"/>
      <c r="E12" s="68" t="s">
        <v>491</v>
      </c>
      <c r="F12" s="108">
        <f>'A.I.pri'!F36</f>
        <v>0</v>
      </c>
      <c r="G12" s="106"/>
    </row>
    <row r="13" spans="1:7" x14ac:dyDescent="0.25">
      <c r="A13" s="57" t="s">
        <v>167</v>
      </c>
      <c r="B13" s="57" t="s">
        <v>91</v>
      </c>
      <c r="D13" s="106"/>
      <c r="E13" s="68" t="s">
        <v>491</v>
      </c>
      <c r="F13" s="108">
        <f>'A.II.dem'!F93</f>
        <v>0</v>
      </c>
      <c r="G13" s="106"/>
    </row>
    <row r="14" spans="1:7" x14ac:dyDescent="0.25">
      <c r="A14" s="57" t="s">
        <v>150</v>
      </c>
      <c r="B14" s="57" t="s">
        <v>142</v>
      </c>
      <c r="D14" s="106"/>
      <c r="E14" s="68" t="s">
        <v>491</v>
      </c>
      <c r="F14" s="108">
        <f>'A.III.zidarski'!F69</f>
        <v>0</v>
      </c>
      <c r="G14" s="106"/>
    </row>
    <row r="15" spans="1:7" ht="15.75" thickBot="1" x14ac:dyDescent="0.3">
      <c r="A15" s="57" t="s">
        <v>129</v>
      </c>
      <c r="B15" s="57" t="s">
        <v>141</v>
      </c>
      <c r="D15" s="106"/>
      <c r="E15" s="68" t="s">
        <v>491</v>
      </c>
      <c r="F15" s="108">
        <f>'A.IV.izo'!F78</f>
        <v>0</v>
      </c>
      <c r="G15" s="106"/>
    </row>
    <row r="16" spans="1:7" ht="20.100000000000001" customHeight="1" thickBot="1" x14ac:dyDescent="0.3">
      <c r="A16" s="66" t="s">
        <v>17</v>
      </c>
      <c r="B16" s="61" t="s">
        <v>112</v>
      </c>
      <c r="C16" s="67"/>
      <c r="D16" s="63"/>
      <c r="E16" s="77" t="s">
        <v>491</v>
      </c>
      <c r="F16" s="104">
        <f>SUM(F12:F15)</f>
        <v>0</v>
      </c>
      <c r="G16" s="63"/>
    </row>
    <row r="17" spans="1:7" ht="15.75" x14ac:dyDescent="0.25">
      <c r="A17" s="63"/>
      <c r="B17" s="63"/>
      <c r="C17" s="63"/>
      <c r="D17" s="63"/>
      <c r="E17" s="63"/>
      <c r="F17" s="86"/>
      <c r="G17" s="63"/>
    </row>
    <row r="18" spans="1:7" ht="15.75" x14ac:dyDescent="0.25">
      <c r="A18" s="63"/>
      <c r="B18" s="63"/>
      <c r="C18" s="63"/>
      <c r="D18" s="63"/>
      <c r="E18" s="63"/>
      <c r="F18" s="86"/>
      <c r="G18" s="63"/>
    </row>
    <row r="19" spans="1:7" ht="16.5" thickBot="1" x14ac:dyDescent="0.3">
      <c r="A19" s="258" t="s">
        <v>19</v>
      </c>
      <c r="B19" s="71" t="s">
        <v>113</v>
      </c>
      <c r="C19" s="78"/>
      <c r="D19" s="78"/>
      <c r="E19" s="78"/>
      <c r="F19" s="99"/>
      <c r="G19" s="63"/>
    </row>
    <row r="20" spans="1:7" ht="15.75" x14ac:dyDescent="0.25">
      <c r="A20" s="75"/>
      <c r="B20" s="64"/>
      <c r="C20" s="63"/>
      <c r="D20" s="63"/>
      <c r="E20" s="63"/>
      <c r="F20" s="100"/>
      <c r="G20" s="107"/>
    </row>
    <row r="21" spans="1:7" x14ac:dyDescent="0.25">
      <c r="A21" s="57" t="s">
        <v>21</v>
      </c>
      <c r="B21" s="57" t="s">
        <v>88</v>
      </c>
      <c r="D21" s="57"/>
      <c r="E21" s="68" t="s">
        <v>491</v>
      </c>
      <c r="F21" s="108">
        <f>'B.I.lim'!F73</f>
        <v>0</v>
      </c>
      <c r="G21" s="57"/>
    </row>
    <row r="22" spans="1:7" ht="15.75" x14ac:dyDescent="0.25">
      <c r="A22" s="57" t="s">
        <v>242</v>
      </c>
      <c r="B22" s="57" t="s">
        <v>436</v>
      </c>
      <c r="C22" s="63"/>
      <c r="D22" s="57"/>
      <c r="E22" s="68" t="s">
        <v>491</v>
      </c>
      <c r="F22" s="109">
        <f>'B.II.1.PVC'!F65</f>
        <v>0</v>
      </c>
      <c r="G22" s="57"/>
    </row>
    <row r="23" spans="1:7" ht="15.75" x14ac:dyDescent="0.25">
      <c r="A23" s="57" t="s">
        <v>333</v>
      </c>
      <c r="B23" s="57" t="s">
        <v>240</v>
      </c>
      <c r="C23" s="63"/>
      <c r="D23" s="57"/>
      <c r="E23" s="68" t="s">
        <v>491</v>
      </c>
      <c r="F23" s="109">
        <f>'B.II.2.ALU'!F52</f>
        <v>0</v>
      </c>
      <c r="G23" s="57"/>
    </row>
    <row r="24" spans="1:7" ht="15.75" x14ac:dyDescent="0.25">
      <c r="A24" s="57" t="s">
        <v>424</v>
      </c>
      <c r="B24" s="57" t="s">
        <v>334</v>
      </c>
      <c r="C24" s="63"/>
      <c r="D24" s="57"/>
      <c r="E24" s="68" t="s">
        <v>491</v>
      </c>
      <c r="F24" s="109">
        <f>'B.II.3.ČEL'!F38</f>
        <v>0</v>
      </c>
      <c r="G24" s="57"/>
    </row>
    <row r="25" spans="1:7" ht="15.75" x14ac:dyDescent="0.25">
      <c r="A25" s="57" t="s">
        <v>121</v>
      </c>
      <c r="B25" s="57" t="s">
        <v>71</v>
      </c>
      <c r="C25" s="63"/>
      <c r="D25" s="57"/>
      <c r="E25" s="68" t="s">
        <v>491</v>
      </c>
      <c r="F25" s="109">
        <f>'B.III._zz'!F100</f>
        <v>0</v>
      </c>
      <c r="G25" s="57"/>
    </row>
    <row r="26" spans="1:7" ht="16.5" thickBot="1" x14ac:dyDescent="0.3">
      <c r="A26" s="57" t="s">
        <v>22</v>
      </c>
      <c r="B26" s="57" t="s">
        <v>70</v>
      </c>
      <c r="C26" s="63"/>
      <c r="D26" s="63"/>
      <c r="E26" s="68" t="s">
        <v>491</v>
      </c>
      <c r="F26" s="109">
        <f>'B.IV.lič'!F72</f>
        <v>0</v>
      </c>
      <c r="G26" s="57"/>
    </row>
    <row r="27" spans="1:7" ht="20.100000000000001" customHeight="1" thickBot="1" x14ac:dyDescent="0.3">
      <c r="A27" s="66" t="s">
        <v>19</v>
      </c>
      <c r="B27" s="61" t="s">
        <v>114</v>
      </c>
      <c r="C27" s="63"/>
      <c r="D27" s="63"/>
      <c r="E27" s="77" t="s">
        <v>491</v>
      </c>
      <c r="F27" s="104">
        <f>SUM(F21:F26)</f>
        <v>0</v>
      </c>
      <c r="G27" s="63"/>
    </row>
    <row r="28" spans="1:7" ht="16.5" thickBot="1" x14ac:dyDescent="0.3">
      <c r="A28" s="79"/>
      <c r="B28" s="64"/>
      <c r="C28" s="63"/>
      <c r="D28" s="63"/>
      <c r="E28" s="68"/>
      <c r="F28" s="80"/>
    </row>
    <row r="29" spans="1:7" ht="16.5" thickBot="1" x14ac:dyDescent="0.3">
      <c r="A29" s="81"/>
      <c r="B29" s="82" t="s">
        <v>115</v>
      </c>
      <c r="C29" s="83"/>
      <c r="D29" s="83"/>
      <c r="E29" s="84" t="s">
        <v>491</v>
      </c>
      <c r="F29" s="104">
        <f>F16+F27</f>
        <v>0</v>
      </c>
    </row>
    <row r="30" spans="1:7" ht="15.75" x14ac:dyDescent="0.25">
      <c r="A30" s="79"/>
      <c r="B30" s="64"/>
      <c r="C30" s="63"/>
      <c r="D30" s="63"/>
      <c r="E30" s="68"/>
      <c r="F30" s="80"/>
    </row>
    <row r="31" spans="1:7" s="48" customFormat="1" x14ac:dyDescent="0.25">
      <c r="A31" s="64"/>
      <c r="B31" s="47"/>
      <c r="C31" s="47"/>
      <c r="D31" s="47"/>
      <c r="E31" s="68"/>
      <c r="F31" s="85"/>
    </row>
    <row r="32" spans="1:7" ht="15.75" x14ac:dyDescent="0.25">
      <c r="A32" s="63"/>
      <c r="B32" s="63"/>
      <c r="C32" s="63"/>
      <c r="D32" s="63"/>
      <c r="E32" s="63"/>
      <c r="F32" s="86"/>
    </row>
    <row r="33" spans="1:6" s="48" customFormat="1" x14ac:dyDescent="0.25">
      <c r="A33" s="12"/>
      <c r="B33" s="13"/>
      <c r="C33" s="8"/>
      <c r="D33" s="8"/>
      <c r="E33" s="12"/>
      <c r="F33" s="39"/>
    </row>
    <row r="34" spans="1:6" x14ac:dyDescent="0.25">
      <c r="A34" s="10"/>
      <c r="B34" s="13"/>
      <c r="C34" s="10"/>
      <c r="D34" s="10"/>
      <c r="E34" s="10"/>
      <c r="F34" s="22"/>
    </row>
    <row r="35" spans="1:6" x14ac:dyDescent="0.25">
      <c r="A35" s="11"/>
      <c r="B35" s="272"/>
      <c r="C35" s="10"/>
      <c r="D35" s="8"/>
      <c r="E35" s="23"/>
      <c r="F35" s="24"/>
    </row>
    <row r="36" spans="1:6" x14ac:dyDescent="0.25">
      <c r="A36" s="11"/>
      <c r="B36" s="272"/>
      <c r="C36" s="10"/>
      <c r="D36" s="8"/>
      <c r="E36" s="23"/>
      <c r="F36" s="25"/>
    </row>
    <row r="37" spans="1:6" x14ac:dyDescent="0.25">
      <c r="A37" s="11"/>
      <c r="B37" s="272"/>
      <c r="C37" s="10"/>
      <c r="D37" s="10"/>
      <c r="E37" s="23"/>
      <c r="F37" s="24"/>
    </row>
    <row r="38" spans="1:6" x14ac:dyDescent="0.25">
      <c r="A38" s="11"/>
      <c r="B38" s="272"/>
      <c r="C38" s="10"/>
      <c r="D38" s="8"/>
      <c r="E38" s="23"/>
      <c r="F38" s="25"/>
    </row>
    <row r="39" spans="1:6" x14ac:dyDescent="0.25">
      <c r="A39" s="11"/>
      <c r="B39" s="272"/>
      <c r="C39" s="10"/>
      <c r="D39" s="8"/>
      <c r="E39" s="23"/>
      <c r="F39" s="25"/>
    </row>
    <row r="40" spans="1:6" x14ac:dyDescent="0.25">
      <c r="A40" s="11"/>
      <c r="B40" s="272"/>
      <c r="C40" s="10"/>
      <c r="D40" s="8"/>
      <c r="E40" s="23"/>
      <c r="F40" s="25"/>
    </row>
    <row r="41" spans="1:6" x14ac:dyDescent="0.25">
      <c r="B41" s="272"/>
      <c r="C41" s="10"/>
      <c r="D41" s="8"/>
      <c r="E41" s="23"/>
      <c r="F41" s="26"/>
    </row>
    <row r="42" spans="1:6" x14ac:dyDescent="0.25">
      <c r="A42" s="8"/>
      <c r="B42" s="272"/>
      <c r="C42" s="8"/>
      <c r="D42" s="8"/>
      <c r="E42" s="8"/>
      <c r="F42" s="9"/>
    </row>
    <row r="43" spans="1:6" x14ac:dyDescent="0.25">
      <c r="A43" s="8"/>
      <c r="B43" s="272"/>
      <c r="C43" s="8"/>
      <c r="D43" s="8"/>
      <c r="E43" s="8"/>
      <c r="F43" s="9"/>
    </row>
    <row r="44" spans="1:6" x14ac:dyDescent="0.25">
      <c r="A44" s="23"/>
      <c r="B44" s="13"/>
      <c r="C44" s="8"/>
      <c r="D44" s="8"/>
      <c r="E44" s="8"/>
      <c r="F44" s="9"/>
    </row>
    <row r="45" spans="1:6" x14ac:dyDescent="0.25">
      <c r="A45" s="11"/>
      <c r="B45" s="11"/>
      <c r="C45" s="8"/>
      <c r="D45" s="8"/>
      <c r="E45" s="23"/>
      <c r="F45" s="25"/>
    </row>
    <row r="46" spans="1:6" x14ac:dyDescent="0.25">
      <c r="A46" s="11"/>
      <c r="B46" s="11"/>
      <c r="E46" s="23"/>
      <c r="F46" s="25"/>
    </row>
    <row r="47" spans="1:6" x14ac:dyDescent="0.25">
      <c r="A47" s="11"/>
      <c r="B47" s="11"/>
      <c r="E47" s="23"/>
      <c r="F47" s="25"/>
    </row>
    <row r="48" spans="1:6" x14ac:dyDescent="0.25">
      <c r="A48" s="11"/>
      <c r="B48" s="11"/>
      <c r="C48" s="8"/>
      <c r="D48" s="8"/>
      <c r="E48" s="23"/>
    </row>
    <row r="49" spans="1:6" x14ac:dyDescent="0.25">
      <c r="A49" s="18"/>
      <c r="B49" s="4"/>
      <c r="C49" s="8"/>
      <c r="D49" s="8"/>
      <c r="E49" s="23"/>
      <c r="F49" s="14"/>
    </row>
    <row r="50" spans="1:6" x14ac:dyDescent="0.25">
      <c r="A50" s="18"/>
      <c r="B50" s="4"/>
      <c r="C50" s="8"/>
      <c r="D50" s="8"/>
      <c r="E50" s="23"/>
      <c r="F50" s="14"/>
    </row>
    <row r="51" spans="1:6" x14ac:dyDescent="0.25">
      <c r="A51" s="11"/>
      <c r="B51" s="4"/>
      <c r="C51" s="8"/>
      <c r="D51" s="8"/>
      <c r="E51" s="23"/>
      <c r="F51" s="14"/>
    </row>
    <row r="52" spans="1:6" x14ac:dyDescent="0.25">
      <c r="A52" s="11"/>
      <c r="B52" s="11"/>
      <c r="C52" s="8"/>
      <c r="D52" s="8"/>
      <c r="E52" s="23"/>
      <c r="F52" s="14"/>
    </row>
    <row r="53" spans="1:6" x14ac:dyDescent="0.25">
      <c r="A53" s="18"/>
      <c r="B53" s="4"/>
      <c r="C53" s="8"/>
      <c r="D53" s="8"/>
      <c r="E53" s="23"/>
      <c r="F53" s="14"/>
    </row>
    <row r="54" spans="1:6" x14ac:dyDescent="0.25">
      <c r="A54" s="18"/>
      <c r="C54" s="8"/>
      <c r="D54" s="8"/>
      <c r="E54" s="8"/>
      <c r="F54" s="9"/>
    </row>
    <row r="55" spans="1:6" x14ac:dyDescent="0.25">
      <c r="A55" s="12"/>
      <c r="B55" s="13"/>
      <c r="C55" s="8"/>
      <c r="D55" s="8"/>
      <c r="E55" s="12"/>
      <c r="F55" s="14"/>
    </row>
    <row r="56" spans="1:6" x14ac:dyDescent="0.25">
      <c r="A56" s="11"/>
      <c r="B56" s="11"/>
      <c r="C56" s="8"/>
      <c r="D56" s="8"/>
      <c r="E56" s="8"/>
      <c r="F56" s="9"/>
    </row>
    <row r="57" spans="1:6" x14ac:dyDescent="0.25">
      <c r="A57" s="11"/>
      <c r="B57" s="11"/>
      <c r="C57" s="8"/>
      <c r="D57" s="8"/>
      <c r="E57" s="8"/>
      <c r="F57" s="9"/>
    </row>
    <row r="58" spans="1:6" x14ac:dyDescent="0.25">
      <c r="A58" s="11"/>
      <c r="B58" s="11"/>
      <c r="C58" s="8"/>
      <c r="D58" s="8"/>
      <c r="E58" s="8"/>
      <c r="F58" s="9"/>
    </row>
    <row r="59" spans="1:6" x14ac:dyDescent="0.25">
      <c r="A59" s="11"/>
      <c r="B59" s="11"/>
      <c r="C59" s="8"/>
      <c r="D59" s="8"/>
      <c r="E59" s="8"/>
      <c r="F59" s="9"/>
    </row>
    <row r="60" spans="1:6" x14ac:dyDescent="0.25">
      <c r="A60" s="11"/>
      <c r="B60" s="11"/>
      <c r="C60" s="8"/>
      <c r="D60" s="8"/>
      <c r="E60" s="8"/>
      <c r="F60" s="9"/>
    </row>
    <row r="61" spans="1:6" x14ac:dyDescent="0.25">
      <c r="A61" s="11"/>
      <c r="B61" s="11"/>
      <c r="C61" s="8"/>
      <c r="D61" s="8"/>
      <c r="E61" s="8"/>
      <c r="F61" s="9"/>
    </row>
    <row r="62" spans="1:6" x14ac:dyDescent="0.25">
      <c r="A62" s="11"/>
      <c r="B62" s="11"/>
      <c r="C62" s="8"/>
      <c r="D62" s="8"/>
      <c r="E62" s="8"/>
      <c r="F62" s="9"/>
    </row>
    <row r="63" spans="1:6" x14ac:dyDescent="0.25">
      <c r="A63" s="11"/>
      <c r="B63" s="11"/>
      <c r="C63" s="8"/>
      <c r="D63" s="8"/>
      <c r="E63" s="8"/>
      <c r="F63" s="9"/>
    </row>
    <row r="64" spans="1:6" x14ac:dyDescent="0.25">
      <c r="A64" s="11"/>
      <c r="B64" s="11"/>
      <c r="C64" s="8"/>
      <c r="D64" s="8"/>
      <c r="E64" s="8"/>
      <c r="F64" s="9"/>
    </row>
    <row r="65" spans="1:6" x14ac:dyDescent="0.25">
      <c r="A65" s="11"/>
      <c r="B65" s="11"/>
      <c r="C65" s="8"/>
      <c r="D65" s="8"/>
      <c r="E65" s="8"/>
      <c r="F65" s="9"/>
    </row>
    <row r="66" spans="1:6" x14ac:dyDescent="0.25">
      <c r="A66" s="11"/>
      <c r="B66" s="11"/>
      <c r="C66" s="8"/>
      <c r="D66" s="8"/>
      <c r="E66" s="8"/>
      <c r="F66" s="9"/>
    </row>
    <row r="67" spans="1:6" x14ac:dyDescent="0.25">
      <c r="A67" s="11"/>
      <c r="B67" s="11"/>
      <c r="C67" s="8"/>
      <c r="D67" s="8"/>
      <c r="E67" s="8"/>
      <c r="F67" s="9"/>
    </row>
    <row r="68" spans="1:6" x14ac:dyDescent="0.25">
      <c r="A68" s="18"/>
      <c r="B68" s="4"/>
      <c r="C68" s="8"/>
      <c r="D68" s="8"/>
      <c r="E68" s="8"/>
      <c r="F68" s="14"/>
    </row>
    <row r="69" spans="1:6" x14ac:dyDescent="0.25">
      <c r="A69" s="18"/>
      <c r="C69" s="8"/>
      <c r="D69" s="8"/>
      <c r="E69" s="8"/>
      <c r="F69" s="9"/>
    </row>
    <row r="70" spans="1:6" x14ac:dyDescent="0.25">
      <c r="A70" s="12"/>
      <c r="B70" s="13"/>
      <c r="C70" s="8"/>
      <c r="D70" s="8"/>
      <c r="E70" s="8"/>
      <c r="F70" s="17"/>
    </row>
    <row r="73" spans="1:6" x14ac:dyDescent="0.25">
      <c r="A73" s="15"/>
      <c r="B73" s="16"/>
      <c r="F73" s="17"/>
    </row>
    <row r="74" spans="1:6" x14ac:dyDescent="0.25">
      <c r="A74" s="15"/>
      <c r="B74" s="16"/>
      <c r="F74" s="17"/>
    </row>
    <row r="75" spans="1:6" x14ac:dyDescent="0.25">
      <c r="B75" s="16"/>
      <c r="F75" s="14"/>
    </row>
  </sheetData>
  <mergeCells count="1">
    <mergeCell ref="A5:F6"/>
  </mergeCells>
  <phoneticPr fontId="32" type="noConversion"/>
  <pageMargins left="0.70866141732283472" right="0.19685039370078741" top="0.74803149606299213" bottom="0.74803149606299213" header="0.31496062992125984" footer="0.31496062992125984"/>
  <pageSetup paperSize="9" orientation="portrait" r:id="rId1"/>
  <headerFooter alignWithMargins="0">
    <oddHeader xml:space="preserve">&amp;L&amp;"Calibri,Regular"&amp;9Investitor: Suvlasnici stambene zgrade u Zagrebu, Sveti Duh 65, 10000 Zagreb
Građevina: Stambena zgrada u Zagrebu, Sveti Duh 65&amp;R&amp;"Calibri,Regular"&amp;9&amp;K000000z.o.p.: Sveti Duh 65
t.d.: 02-2020&amp;K01+000
</oddHeader>
    <oddFooter xml:space="preserve">&amp;L&amp;"Calibri,Regular"&amp;9Radovi prema čl. 5 Pravilnika o jednostavnim i drugim građevinama i radovima (NN 112/17, 34/18, 36/19, 98/19, 31/20) 
</oddFooter>
  </headerFooter>
  <rowBreaks count="1" manualBreakCount="1">
    <brk id="65" max="16383" man="1"/>
  </rowBreaks>
  <colBreaks count="1" manualBreakCount="1">
    <brk id="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rgb="FF92D050"/>
  </sheetPr>
  <dimension ref="A2:F227"/>
  <sheetViews>
    <sheetView view="pageBreakPreview" topLeftCell="A43" zoomScale="85" zoomScaleNormal="100" zoomScaleSheetLayoutView="85" zoomScalePageLayoutView="90" workbookViewId="0">
      <selection activeCell="B39" sqref="B39"/>
    </sheetView>
  </sheetViews>
  <sheetFormatPr defaultColWidth="9.140625" defaultRowHeight="15" x14ac:dyDescent="0.25"/>
  <cols>
    <col min="1" max="1" width="5.28515625" style="213" customWidth="1"/>
    <col min="2" max="2" width="20.28515625" style="213" customWidth="1"/>
    <col min="3" max="3" width="4.140625" style="213" customWidth="1"/>
    <col min="4" max="4" width="9.140625" style="213"/>
    <col min="5" max="5" width="9.140625" style="213" customWidth="1"/>
    <col min="6" max="6" width="23.28515625" style="213" customWidth="1"/>
    <col min="7" max="7" width="9.140625" style="213" customWidth="1"/>
    <col min="8" max="16384" width="9.140625" style="213"/>
  </cols>
  <sheetData>
    <row r="2" spans="1:6" ht="21" x14ac:dyDescent="0.35">
      <c r="A2" s="1"/>
      <c r="B2" s="214" t="s">
        <v>92</v>
      </c>
      <c r="C2" s="57"/>
      <c r="D2" s="57"/>
      <c r="E2" s="57"/>
      <c r="F2" s="60"/>
    </row>
    <row r="3" spans="1:6" x14ac:dyDescent="0.25">
      <c r="A3" s="1"/>
      <c r="B3" s="57"/>
      <c r="C3" s="57"/>
      <c r="D3" s="57"/>
      <c r="E3" s="57"/>
      <c r="F3" s="60"/>
    </row>
    <row r="4" spans="1:6" x14ac:dyDescent="0.25">
      <c r="A4" s="1"/>
      <c r="B4" s="215" t="s">
        <v>93</v>
      </c>
      <c r="C4" s="57"/>
      <c r="D4" s="57"/>
      <c r="E4" s="57"/>
      <c r="F4" s="60"/>
    </row>
    <row r="5" spans="1:6" x14ac:dyDescent="0.25">
      <c r="A5" s="1"/>
      <c r="B5" s="215"/>
      <c r="C5" s="57"/>
      <c r="D5" s="57"/>
      <c r="E5" s="57"/>
      <c r="F5" s="60"/>
    </row>
    <row r="6" spans="1:6" s="188" customFormat="1" ht="103.5" customHeight="1" x14ac:dyDescent="0.2">
      <c r="A6" s="37"/>
      <c r="B6" s="373" t="s">
        <v>144</v>
      </c>
      <c r="C6" s="375"/>
      <c r="D6" s="375"/>
      <c r="E6" s="375"/>
      <c r="F6" s="375"/>
    </row>
    <row r="7" spans="1:6" s="188" customFormat="1" ht="14.25" x14ac:dyDescent="0.2">
      <c r="A7" s="37"/>
      <c r="B7" s="263"/>
      <c r="C7" s="175"/>
      <c r="D7" s="175"/>
      <c r="E7" s="175"/>
      <c r="F7" s="175"/>
    </row>
    <row r="8" spans="1:6" s="188" customFormat="1" ht="68.25" customHeight="1" x14ac:dyDescent="0.2">
      <c r="A8" s="37"/>
      <c r="B8" s="373" t="s">
        <v>232</v>
      </c>
      <c r="C8" s="374"/>
      <c r="D8" s="374"/>
      <c r="E8" s="374"/>
      <c r="F8" s="374"/>
    </row>
    <row r="9" spans="1:6" s="188" customFormat="1" ht="14.25" x14ac:dyDescent="0.2">
      <c r="A9" s="37"/>
      <c r="B9" s="263"/>
      <c r="C9" s="175"/>
      <c r="D9" s="175"/>
      <c r="E9" s="175"/>
      <c r="F9" s="175"/>
    </row>
    <row r="10" spans="1:6" s="188" customFormat="1" ht="62.25" customHeight="1" x14ac:dyDescent="0.2">
      <c r="A10" s="37"/>
      <c r="B10" s="373" t="s">
        <v>186</v>
      </c>
      <c r="C10" s="375"/>
      <c r="D10" s="375"/>
      <c r="E10" s="375"/>
      <c r="F10" s="375"/>
    </row>
    <row r="11" spans="1:6" s="188" customFormat="1" ht="15.75" customHeight="1" x14ac:dyDescent="0.2">
      <c r="A11" s="37"/>
      <c r="B11" s="263"/>
      <c r="C11" s="175"/>
      <c r="D11" s="175"/>
      <c r="E11" s="175"/>
      <c r="F11" s="175"/>
    </row>
    <row r="12" spans="1:6" s="188" customFormat="1" ht="101.25" customHeight="1" x14ac:dyDescent="0.2">
      <c r="A12" s="37"/>
      <c r="B12" s="373" t="s">
        <v>145</v>
      </c>
      <c r="C12" s="375"/>
      <c r="D12" s="375"/>
      <c r="E12" s="375"/>
      <c r="F12" s="375"/>
    </row>
    <row r="13" spans="1:6" s="188" customFormat="1" ht="14.25" x14ac:dyDescent="0.2">
      <c r="A13" s="37"/>
      <c r="B13" s="263"/>
      <c r="C13" s="264"/>
      <c r="D13" s="264"/>
      <c r="E13" s="264"/>
      <c r="F13" s="264"/>
    </row>
    <row r="14" spans="1:6" s="188" customFormat="1" ht="102.75" customHeight="1" x14ac:dyDescent="0.2">
      <c r="A14" s="37"/>
      <c r="B14" s="373" t="s">
        <v>286</v>
      </c>
      <c r="C14" s="375"/>
      <c r="D14" s="375"/>
      <c r="E14" s="375"/>
      <c r="F14" s="375"/>
    </row>
    <row r="15" spans="1:6" s="188" customFormat="1" ht="18.75" customHeight="1" x14ac:dyDescent="0.2">
      <c r="A15" s="37"/>
      <c r="B15" s="263"/>
      <c r="C15" s="263"/>
      <c r="D15" s="263"/>
      <c r="E15" s="263"/>
      <c r="F15" s="263"/>
    </row>
    <row r="16" spans="1:6" s="188" customFormat="1" ht="279" customHeight="1" x14ac:dyDescent="0.2">
      <c r="A16" s="37"/>
      <c r="B16" s="373" t="s">
        <v>193</v>
      </c>
      <c r="C16" s="379"/>
      <c r="D16" s="379"/>
      <c r="E16" s="379"/>
      <c r="F16" s="379"/>
    </row>
    <row r="17" spans="1:6" s="188" customFormat="1" ht="15" customHeight="1" x14ac:dyDescent="0.2">
      <c r="A17" s="37"/>
      <c r="B17" s="263"/>
      <c r="C17" s="175"/>
      <c r="D17" s="175"/>
      <c r="E17" s="175"/>
      <c r="F17" s="175"/>
    </row>
    <row r="18" spans="1:6" s="188" customFormat="1" ht="71.25" customHeight="1" x14ac:dyDescent="0.2">
      <c r="A18" s="37"/>
      <c r="B18" s="373" t="s">
        <v>257</v>
      </c>
      <c r="C18" s="375"/>
      <c r="D18" s="375"/>
      <c r="E18" s="375"/>
      <c r="F18" s="375"/>
    </row>
    <row r="19" spans="1:6" s="188" customFormat="1" ht="15" customHeight="1" x14ac:dyDescent="0.2">
      <c r="A19" s="37"/>
      <c r="B19" s="263"/>
      <c r="C19" s="175"/>
      <c r="D19" s="175"/>
      <c r="E19" s="175"/>
      <c r="F19" s="175"/>
    </row>
    <row r="20" spans="1:6" s="188" customFormat="1" ht="91.5" customHeight="1" x14ac:dyDescent="0.2">
      <c r="A20" s="37"/>
      <c r="B20" s="373" t="s">
        <v>258</v>
      </c>
      <c r="C20" s="373"/>
      <c r="D20" s="373"/>
      <c r="E20" s="373"/>
      <c r="F20" s="373"/>
    </row>
    <row r="21" spans="1:6" s="188" customFormat="1" ht="15" customHeight="1" x14ac:dyDescent="0.2">
      <c r="A21" s="37"/>
      <c r="B21" s="263"/>
      <c r="C21" s="263"/>
      <c r="D21" s="263"/>
      <c r="E21" s="263"/>
      <c r="F21" s="263"/>
    </row>
    <row r="22" spans="1:6" s="188" customFormat="1" ht="114.75" customHeight="1" x14ac:dyDescent="0.2">
      <c r="A22" s="37"/>
      <c r="B22" s="373" t="s">
        <v>187</v>
      </c>
      <c r="C22" s="373"/>
      <c r="D22" s="373"/>
      <c r="E22" s="373"/>
      <c r="F22" s="373"/>
    </row>
    <row r="23" spans="1:6" s="188" customFormat="1" ht="15" customHeight="1" x14ac:dyDescent="0.2">
      <c r="A23" s="37"/>
      <c r="B23" s="263"/>
      <c r="C23" s="263"/>
      <c r="D23" s="263"/>
      <c r="E23" s="263"/>
      <c r="F23" s="263"/>
    </row>
    <row r="24" spans="1:6" s="188" customFormat="1" ht="66" customHeight="1" x14ac:dyDescent="0.2">
      <c r="A24" s="37"/>
      <c r="B24" s="373" t="s">
        <v>188</v>
      </c>
      <c r="C24" s="375"/>
      <c r="D24" s="375"/>
      <c r="E24" s="375"/>
      <c r="F24" s="375"/>
    </row>
    <row r="25" spans="1:6" s="188" customFormat="1" ht="14.25" customHeight="1" x14ac:dyDescent="0.2">
      <c r="A25" s="37"/>
      <c r="B25" s="263"/>
      <c r="C25" s="175"/>
      <c r="D25" s="175"/>
      <c r="E25" s="175"/>
      <c r="F25" s="175"/>
    </row>
    <row r="26" spans="1:6" s="188" customFormat="1" ht="51" customHeight="1" x14ac:dyDescent="0.2">
      <c r="A26" s="37"/>
      <c r="B26" s="373" t="s">
        <v>189</v>
      </c>
      <c r="C26" s="375"/>
      <c r="D26" s="375"/>
      <c r="E26" s="375"/>
      <c r="F26" s="375"/>
    </row>
    <row r="27" spans="1:6" s="188" customFormat="1" ht="15" customHeight="1" x14ac:dyDescent="0.2">
      <c r="A27" s="37"/>
      <c r="B27" s="263"/>
      <c r="C27" s="175"/>
      <c r="D27" s="175"/>
      <c r="E27" s="175"/>
      <c r="F27" s="175"/>
    </row>
    <row r="28" spans="1:6" s="188" customFormat="1" ht="26.25" customHeight="1" x14ac:dyDescent="0.2">
      <c r="A28" s="37"/>
      <c r="B28" s="373" t="s">
        <v>190</v>
      </c>
      <c r="C28" s="375"/>
      <c r="D28" s="375"/>
      <c r="E28" s="375"/>
      <c r="F28" s="375"/>
    </row>
    <row r="29" spans="1:6" s="188" customFormat="1" ht="14.25" x14ac:dyDescent="0.2">
      <c r="A29" s="37"/>
      <c r="B29" s="263"/>
      <c r="C29" s="175"/>
      <c r="D29" s="175"/>
      <c r="E29" s="175"/>
      <c r="F29" s="175"/>
    </row>
    <row r="30" spans="1:6" s="188" customFormat="1" ht="66" customHeight="1" x14ac:dyDescent="0.2">
      <c r="A30" s="37"/>
      <c r="B30" s="373" t="s">
        <v>191</v>
      </c>
      <c r="C30" s="375"/>
      <c r="D30" s="375"/>
      <c r="E30" s="375"/>
      <c r="F30" s="375"/>
    </row>
    <row r="31" spans="1:6" s="188" customFormat="1" ht="14.25" x14ac:dyDescent="0.2">
      <c r="A31" s="37"/>
      <c r="B31" s="263"/>
      <c r="C31" s="175"/>
      <c r="D31" s="175"/>
      <c r="E31" s="175"/>
      <c r="F31" s="175"/>
    </row>
    <row r="32" spans="1:6" s="188" customFormat="1" ht="26.25" customHeight="1" x14ac:dyDescent="0.2">
      <c r="A32" s="37"/>
      <c r="B32" s="373" t="s">
        <v>192</v>
      </c>
      <c r="C32" s="374"/>
      <c r="D32" s="374"/>
      <c r="E32" s="374"/>
      <c r="F32" s="374"/>
    </row>
    <row r="33" spans="1:6" s="188" customFormat="1" ht="15" customHeight="1" x14ac:dyDescent="0.2">
      <c r="A33" s="37"/>
      <c r="B33" s="263"/>
      <c r="C33" s="175"/>
      <c r="D33" s="175"/>
      <c r="E33" s="175"/>
      <c r="F33" s="175"/>
    </row>
    <row r="34" spans="1:6" s="188" customFormat="1" ht="30" customHeight="1" x14ac:dyDescent="0.2">
      <c r="A34" s="37"/>
      <c r="B34" s="373" t="s">
        <v>259</v>
      </c>
      <c r="C34" s="374"/>
      <c r="D34" s="374"/>
      <c r="E34" s="374"/>
      <c r="F34" s="374"/>
    </row>
    <row r="35" spans="1:6" s="188" customFormat="1" ht="15" customHeight="1" x14ac:dyDescent="0.2">
      <c r="A35" s="37"/>
      <c r="B35" s="263"/>
      <c r="C35" s="175"/>
      <c r="D35" s="175"/>
      <c r="E35" s="175"/>
      <c r="F35" s="175"/>
    </row>
    <row r="36" spans="1:6" s="188" customFormat="1" ht="52.5" customHeight="1" x14ac:dyDescent="0.2">
      <c r="A36" s="37"/>
      <c r="B36" s="373" t="s">
        <v>260</v>
      </c>
      <c r="C36" s="375"/>
      <c r="D36" s="375"/>
      <c r="E36" s="375"/>
      <c r="F36" s="375"/>
    </row>
    <row r="37" spans="1:6" s="188" customFormat="1" ht="13.5" customHeight="1" x14ac:dyDescent="0.2">
      <c r="A37" s="37"/>
      <c r="B37" s="263"/>
      <c r="C37" s="175"/>
      <c r="D37" s="175"/>
      <c r="E37" s="175"/>
      <c r="F37" s="175"/>
    </row>
    <row r="38" spans="1:6" s="188" customFormat="1" ht="29.25" customHeight="1" x14ac:dyDescent="0.2">
      <c r="A38" s="37"/>
      <c r="B38" s="373" t="s">
        <v>261</v>
      </c>
      <c r="C38" s="375"/>
      <c r="D38" s="375"/>
      <c r="E38" s="375"/>
      <c r="F38" s="375"/>
    </row>
    <row r="39" spans="1:6" s="188" customFormat="1" ht="14.25" x14ac:dyDescent="0.2">
      <c r="A39" s="37"/>
      <c r="B39" s="263"/>
      <c r="C39" s="175"/>
      <c r="D39" s="175"/>
      <c r="E39" s="175"/>
      <c r="F39" s="175"/>
    </row>
    <row r="40" spans="1:6" s="188" customFormat="1" ht="30" customHeight="1" x14ac:dyDescent="0.2">
      <c r="A40" s="37"/>
      <c r="B40" s="373" t="s">
        <v>262</v>
      </c>
      <c r="C40" s="375"/>
      <c r="D40" s="375"/>
      <c r="E40" s="375"/>
      <c r="F40" s="375"/>
    </row>
    <row r="41" spans="1:6" s="188" customFormat="1" ht="14.25" x14ac:dyDescent="0.2">
      <c r="A41" s="37"/>
      <c r="B41" s="263"/>
      <c r="C41" s="175"/>
      <c r="D41" s="175"/>
      <c r="E41" s="175"/>
      <c r="F41" s="175"/>
    </row>
    <row r="42" spans="1:6" s="188" customFormat="1" ht="64.5" customHeight="1" x14ac:dyDescent="0.2">
      <c r="A42" s="37"/>
      <c r="B42" s="373" t="s">
        <v>263</v>
      </c>
      <c r="C42" s="375"/>
      <c r="D42" s="375"/>
      <c r="E42" s="375"/>
      <c r="F42" s="375"/>
    </row>
    <row r="43" spans="1:6" s="188" customFormat="1" ht="14.25" x14ac:dyDescent="0.2">
      <c r="A43" s="37"/>
      <c r="B43" s="263"/>
      <c r="C43" s="175"/>
      <c r="D43" s="175"/>
      <c r="E43" s="175"/>
      <c r="F43" s="175"/>
    </row>
    <row r="44" spans="1:6" s="188" customFormat="1" ht="140.25" customHeight="1" x14ac:dyDescent="0.2">
      <c r="A44" s="37"/>
      <c r="B44" s="373" t="s">
        <v>264</v>
      </c>
      <c r="C44" s="375"/>
      <c r="D44" s="375"/>
      <c r="E44" s="375"/>
      <c r="F44" s="375"/>
    </row>
    <row r="45" spans="1:6" s="188" customFormat="1" ht="14.25" x14ac:dyDescent="0.2">
      <c r="A45" s="37"/>
      <c r="B45" s="263"/>
      <c r="C45" s="175"/>
      <c r="D45" s="175"/>
      <c r="E45" s="175"/>
      <c r="F45" s="175"/>
    </row>
    <row r="46" spans="1:6" s="188" customFormat="1" ht="65.25" customHeight="1" x14ac:dyDescent="0.2">
      <c r="A46" s="37"/>
      <c r="B46" s="373" t="s">
        <v>265</v>
      </c>
      <c r="C46" s="375"/>
      <c r="D46" s="375"/>
      <c r="E46" s="375"/>
      <c r="F46" s="375"/>
    </row>
    <row r="47" spans="1:6" s="188" customFormat="1" ht="14.25" x14ac:dyDescent="0.2">
      <c r="A47" s="37"/>
      <c r="B47" s="263"/>
      <c r="C47" s="175"/>
      <c r="D47" s="175"/>
      <c r="E47" s="175"/>
      <c r="F47" s="175"/>
    </row>
    <row r="48" spans="1:6" s="188" customFormat="1" ht="40.5" customHeight="1" x14ac:dyDescent="0.2">
      <c r="A48" s="37"/>
      <c r="B48" s="373" t="s">
        <v>266</v>
      </c>
      <c r="C48" s="375"/>
      <c r="D48" s="375"/>
      <c r="E48" s="375"/>
      <c r="F48" s="375"/>
    </row>
    <row r="49" spans="1:6" s="188" customFormat="1" ht="102" customHeight="1" x14ac:dyDescent="0.2">
      <c r="A49" s="37"/>
      <c r="B49" s="373" t="s">
        <v>292</v>
      </c>
      <c r="C49" s="375"/>
      <c r="D49" s="375"/>
      <c r="E49" s="375"/>
      <c r="F49" s="375"/>
    </row>
    <row r="50" spans="1:6" ht="51" customHeight="1" x14ac:dyDescent="0.25">
      <c r="A50" s="1"/>
      <c r="B50" s="373" t="s">
        <v>484</v>
      </c>
      <c r="C50" s="375"/>
      <c r="D50" s="375"/>
      <c r="E50" s="375"/>
      <c r="F50" s="375"/>
    </row>
    <row r="51" spans="1:6" x14ac:dyDescent="0.25">
      <c r="A51" s="1"/>
      <c r="C51" s="1"/>
      <c r="D51" s="1"/>
      <c r="E51" s="1"/>
      <c r="F51" s="1"/>
    </row>
    <row r="52" spans="1:6" ht="15.75" x14ac:dyDescent="0.25">
      <c r="A52" s="1"/>
      <c r="B52" s="7"/>
      <c r="C52" s="216"/>
      <c r="D52" s="1"/>
      <c r="E52" s="1"/>
      <c r="F52" s="1"/>
    </row>
    <row r="53" spans="1:6" x14ac:dyDescent="0.25">
      <c r="A53" s="1"/>
      <c r="D53" s="1"/>
      <c r="E53" s="1"/>
      <c r="F53" s="2"/>
    </row>
    <row r="54" spans="1:6" ht="15.75" x14ac:dyDescent="0.25">
      <c r="A54" s="1"/>
      <c r="B54" s="7"/>
      <c r="C54" s="216"/>
      <c r="D54" s="1"/>
      <c r="E54" s="1"/>
      <c r="F54" s="2"/>
    </row>
    <row r="55" spans="1:6" x14ac:dyDescent="0.25">
      <c r="A55" s="1"/>
      <c r="D55" s="1"/>
      <c r="E55" s="1"/>
      <c r="F55" s="2"/>
    </row>
    <row r="56" spans="1:6" x14ac:dyDescent="0.25">
      <c r="A56" s="1"/>
      <c r="D56" s="1"/>
      <c r="E56" s="1"/>
      <c r="F56" s="2"/>
    </row>
    <row r="57" spans="1:6" x14ac:dyDescent="0.25">
      <c r="A57" s="1"/>
      <c r="D57" s="1"/>
      <c r="E57" s="1"/>
      <c r="F57" s="2"/>
    </row>
    <row r="58" spans="1:6" x14ac:dyDescent="0.25">
      <c r="A58" s="1"/>
      <c r="D58" s="1"/>
      <c r="E58" s="1"/>
      <c r="F58" s="2"/>
    </row>
    <row r="59" spans="1:6" x14ac:dyDescent="0.25">
      <c r="A59" s="1"/>
      <c r="D59" s="1"/>
      <c r="E59" s="1"/>
      <c r="F59" s="2"/>
    </row>
    <row r="60" spans="1:6" x14ac:dyDescent="0.25">
      <c r="A60" s="1"/>
      <c r="D60" s="1"/>
      <c r="E60" s="1"/>
      <c r="F60" s="2"/>
    </row>
    <row r="61" spans="1:6" x14ac:dyDescent="0.25">
      <c r="A61" s="1"/>
      <c r="B61" s="7"/>
      <c r="D61" s="1"/>
      <c r="E61" s="1"/>
      <c r="F61" s="2"/>
    </row>
    <row r="62" spans="1:6" x14ac:dyDescent="0.25">
      <c r="A62" s="1"/>
      <c r="B62" s="7"/>
      <c r="C62" s="1"/>
      <c r="D62" s="1"/>
      <c r="E62" s="1"/>
      <c r="F62" s="2"/>
    </row>
    <row r="63" spans="1:6" x14ac:dyDescent="0.25">
      <c r="A63" s="1"/>
      <c r="B63" s="7"/>
      <c r="C63" s="1"/>
      <c r="D63" s="1"/>
      <c r="E63" s="1"/>
      <c r="F63" s="2"/>
    </row>
    <row r="64" spans="1:6" x14ac:dyDescent="0.25">
      <c r="A64" s="1"/>
      <c r="B64" s="7"/>
      <c r="C64" s="1"/>
      <c r="D64" s="1"/>
      <c r="E64" s="1"/>
      <c r="F64" s="2"/>
    </row>
    <row r="65" spans="1:6" x14ac:dyDescent="0.25">
      <c r="A65" s="1"/>
      <c r="B65" s="7"/>
      <c r="C65" s="5"/>
      <c r="D65" s="1"/>
      <c r="E65" s="1"/>
      <c r="F65" s="2"/>
    </row>
    <row r="66" spans="1:6" x14ac:dyDescent="0.25">
      <c r="A66" s="1"/>
      <c r="B66" s="1"/>
      <c r="C66" s="1"/>
      <c r="D66" s="1"/>
      <c r="E66" s="1"/>
      <c r="F66" s="2"/>
    </row>
    <row r="67" spans="1:6" x14ac:dyDescent="0.25">
      <c r="A67" s="1"/>
      <c r="B67" s="4"/>
      <c r="C67" s="1"/>
      <c r="D67" s="1"/>
      <c r="E67" s="1"/>
      <c r="F67" s="2"/>
    </row>
    <row r="68" spans="1:6" x14ac:dyDescent="0.25">
      <c r="A68" s="1"/>
      <c r="B68" s="3"/>
      <c r="C68" s="1"/>
      <c r="D68" s="1"/>
      <c r="E68" s="1"/>
      <c r="F68" s="2"/>
    </row>
    <row r="69" spans="1:6" x14ac:dyDescent="0.25">
      <c r="A69" s="1"/>
      <c r="B69" s="3"/>
      <c r="C69" s="1"/>
      <c r="D69" s="1"/>
      <c r="E69" s="1"/>
      <c r="F69" s="2"/>
    </row>
    <row r="70" spans="1:6" x14ac:dyDescent="0.25">
      <c r="A70" s="1"/>
      <c r="B70" s="3"/>
      <c r="C70" s="1"/>
      <c r="D70" s="1"/>
      <c r="E70" s="1"/>
      <c r="F70" s="2"/>
    </row>
    <row r="71" spans="1:6" x14ac:dyDescent="0.25">
      <c r="A71" s="1"/>
      <c r="B71" s="3"/>
      <c r="C71" s="1"/>
      <c r="D71" s="1"/>
      <c r="E71" s="1"/>
      <c r="F71" s="2"/>
    </row>
    <row r="72" spans="1:6" x14ac:dyDescent="0.25">
      <c r="A72" s="1"/>
      <c r="B72" s="3"/>
      <c r="C72" s="1"/>
      <c r="D72" s="1"/>
      <c r="E72" s="1"/>
      <c r="F72" s="2"/>
    </row>
    <row r="73" spans="1:6" x14ac:dyDescent="0.25">
      <c r="A73" s="1"/>
      <c r="B73" s="3"/>
      <c r="C73" s="1"/>
      <c r="D73" s="1"/>
      <c r="E73" s="1"/>
      <c r="F73" s="2"/>
    </row>
    <row r="74" spans="1:6" x14ac:dyDescent="0.25">
      <c r="A74" s="1"/>
      <c r="B74" s="3"/>
      <c r="C74" s="1"/>
      <c r="D74" s="1"/>
      <c r="E74" s="1"/>
      <c r="F74" s="2"/>
    </row>
    <row r="75" spans="1:6" ht="15.75" x14ac:dyDescent="0.25">
      <c r="A75" s="216"/>
      <c r="F75" s="2"/>
    </row>
    <row r="76" spans="1:6" ht="15.75" x14ac:dyDescent="0.25">
      <c r="A76" s="216"/>
      <c r="C76" s="1"/>
      <c r="D76" s="1"/>
      <c r="E76" s="1"/>
      <c r="F76" s="2"/>
    </row>
    <row r="77" spans="1:6" ht="15.75" x14ac:dyDescent="0.25">
      <c r="A77" s="216"/>
      <c r="C77" s="1"/>
      <c r="D77" s="1"/>
      <c r="E77" s="1"/>
      <c r="F77" s="2"/>
    </row>
    <row r="78" spans="1:6" ht="15.75" x14ac:dyDescent="0.25">
      <c r="A78" s="216"/>
      <c r="C78" s="1"/>
      <c r="D78" s="1"/>
      <c r="E78" s="1"/>
      <c r="F78" s="2"/>
    </row>
    <row r="79" spans="1:6" ht="15.75" x14ac:dyDescent="0.25">
      <c r="A79" s="217"/>
    </row>
    <row r="80" spans="1:6" ht="15.75" x14ac:dyDescent="0.25">
      <c r="A80" s="218"/>
    </row>
    <row r="81" spans="1:6" ht="15.75" x14ac:dyDescent="0.25">
      <c r="A81" s="217"/>
      <c r="C81" s="1"/>
      <c r="D81" s="1"/>
      <c r="E81" s="1"/>
      <c r="F81" s="2"/>
    </row>
    <row r="82" spans="1:6" x14ac:dyDescent="0.25">
      <c r="A82" s="219"/>
      <c r="C82" s="1"/>
      <c r="D82" s="1"/>
      <c r="E82" s="1"/>
      <c r="F82" s="2"/>
    </row>
    <row r="83" spans="1:6" x14ac:dyDescent="0.25">
      <c r="A83" s="219"/>
      <c r="C83" s="1"/>
      <c r="D83" s="1"/>
      <c r="E83" s="1"/>
      <c r="F83" s="2"/>
    </row>
    <row r="84" spans="1:6" x14ac:dyDescent="0.25">
      <c r="A84" s="219"/>
      <c r="C84" s="1"/>
      <c r="D84" s="1"/>
      <c r="E84" s="1"/>
      <c r="F84" s="2"/>
    </row>
    <row r="85" spans="1:6" x14ac:dyDescent="0.25">
      <c r="A85" s="220"/>
      <c r="B85" s="220"/>
      <c r="C85" s="3"/>
      <c r="D85" s="1"/>
      <c r="E85" s="1"/>
      <c r="F85" s="2"/>
    </row>
    <row r="86" spans="1:6" x14ac:dyDescent="0.25">
      <c r="A86" s="220"/>
      <c r="B86" s="220"/>
      <c r="C86" s="7"/>
      <c r="D86" s="1"/>
      <c r="E86" s="1"/>
      <c r="F86" s="2"/>
    </row>
    <row r="87" spans="1:6" x14ac:dyDescent="0.25">
      <c r="A87" s="220"/>
      <c r="B87" s="220"/>
      <c r="C87" s="1"/>
      <c r="D87" s="1"/>
      <c r="E87" s="4"/>
      <c r="F87" s="4"/>
    </row>
    <row r="88" spans="1:6" x14ac:dyDescent="0.25">
      <c r="A88" s="220"/>
      <c r="B88" s="220"/>
      <c r="C88" s="1"/>
      <c r="D88" s="1"/>
      <c r="E88" s="4"/>
      <c r="F88" s="4"/>
    </row>
    <row r="89" spans="1:6" x14ac:dyDescent="0.25">
      <c r="A89" s="219"/>
      <c r="C89" s="1"/>
      <c r="D89" s="1"/>
      <c r="E89" s="1"/>
      <c r="F89" s="2"/>
    </row>
    <row r="90" spans="1:6" x14ac:dyDescent="0.25">
      <c r="A90" s="219"/>
      <c r="C90" s="7"/>
      <c r="D90" s="1"/>
      <c r="E90" s="1"/>
      <c r="F90" s="2"/>
    </row>
    <row r="91" spans="1:6" ht="15.75" x14ac:dyDescent="0.25">
      <c r="A91" s="216"/>
      <c r="C91" s="3"/>
      <c r="D91" s="1"/>
      <c r="E91" s="1"/>
      <c r="F91" s="2"/>
    </row>
    <row r="92" spans="1:6" ht="15.75" x14ac:dyDescent="0.25">
      <c r="A92" s="216"/>
      <c r="C92" s="7"/>
      <c r="D92" s="1"/>
      <c r="E92" s="1"/>
      <c r="F92" s="2"/>
    </row>
    <row r="93" spans="1:6" ht="15.75" x14ac:dyDescent="0.25">
      <c r="A93" s="216"/>
      <c r="C93" s="1"/>
      <c r="D93" s="1"/>
      <c r="E93" s="1"/>
      <c r="F93" s="2"/>
    </row>
    <row r="94" spans="1:6" ht="15.75" x14ac:dyDescent="0.25">
      <c r="A94" s="216"/>
      <c r="C94" s="1"/>
      <c r="D94" s="1"/>
      <c r="E94" s="1"/>
      <c r="F94" s="2"/>
    </row>
    <row r="95" spans="1:6" ht="15.75" x14ac:dyDescent="0.25">
      <c r="A95" s="221"/>
      <c r="C95" s="7"/>
      <c r="D95" s="3"/>
      <c r="E95" s="3"/>
      <c r="F95" s="3"/>
    </row>
    <row r="96" spans="1:6" ht="36" customHeight="1" x14ac:dyDescent="0.25">
      <c r="A96" s="376"/>
      <c r="B96" s="377"/>
      <c r="C96" s="377"/>
      <c r="D96" s="377"/>
      <c r="E96" s="377"/>
      <c r="F96" s="377"/>
    </row>
    <row r="97" spans="1:6" ht="16.5" x14ac:dyDescent="0.3">
      <c r="A97" s="222"/>
      <c r="C97" s="7"/>
      <c r="D97" s="3"/>
      <c r="E97" s="3"/>
      <c r="F97" s="3"/>
    </row>
    <row r="98" spans="1:6" ht="16.5" x14ac:dyDescent="0.3">
      <c r="A98" s="378"/>
      <c r="B98" s="378"/>
      <c r="C98" s="378"/>
      <c r="D98" s="378"/>
      <c r="E98" s="378"/>
      <c r="F98" s="378"/>
    </row>
    <row r="99" spans="1:6" ht="16.5" x14ac:dyDescent="0.3">
      <c r="A99" s="222"/>
      <c r="C99" s="182"/>
      <c r="D99" s="1"/>
      <c r="E99" s="182"/>
      <c r="F99" s="2"/>
    </row>
    <row r="100" spans="1:6" ht="35.25" customHeight="1" x14ac:dyDescent="0.25">
      <c r="A100" s="376"/>
      <c r="B100" s="377"/>
      <c r="C100" s="377"/>
      <c r="D100" s="377"/>
      <c r="E100" s="377"/>
      <c r="F100" s="377"/>
    </row>
    <row r="101" spans="1:6" x14ac:dyDescent="0.25">
      <c r="A101" s="1"/>
      <c r="B101" s="7"/>
      <c r="C101" s="182"/>
      <c r="D101" s="1"/>
      <c r="E101" s="182"/>
      <c r="F101" s="2"/>
    </row>
    <row r="102" spans="1:6" x14ac:dyDescent="0.25">
      <c r="A102" s="1"/>
      <c r="B102" s="7"/>
      <c r="C102" s="182"/>
      <c r="D102" s="1"/>
      <c r="E102" s="182"/>
      <c r="F102" s="2"/>
    </row>
    <row r="103" spans="1:6" x14ac:dyDescent="0.25">
      <c r="A103" s="1"/>
      <c r="B103" s="7"/>
      <c r="C103" s="182"/>
      <c r="D103" s="1"/>
      <c r="E103" s="182"/>
      <c r="F103" s="2"/>
    </row>
    <row r="104" spans="1:6" x14ac:dyDescent="0.25">
      <c r="A104" s="1"/>
      <c r="B104" s="7"/>
      <c r="C104" s="1"/>
      <c r="D104" s="1"/>
      <c r="E104" s="1"/>
      <c r="F104" s="2"/>
    </row>
    <row r="105" spans="1:6" x14ac:dyDescent="0.25">
      <c r="A105" s="1"/>
      <c r="B105" s="7"/>
      <c r="C105" s="223"/>
      <c r="D105" s="223"/>
      <c r="E105" s="223"/>
      <c r="F105" s="224"/>
    </row>
    <row r="106" spans="1:6" x14ac:dyDescent="0.25">
      <c r="A106" s="1"/>
      <c r="B106" s="7"/>
      <c r="C106" s="223"/>
      <c r="D106" s="223"/>
      <c r="E106" s="223"/>
      <c r="F106" s="224"/>
    </row>
    <row r="107" spans="1:6" x14ac:dyDescent="0.25">
      <c r="A107" s="1"/>
      <c r="B107" s="7"/>
      <c r="C107" s="223"/>
      <c r="D107" s="225"/>
      <c r="E107" s="225"/>
      <c r="F107" s="2"/>
    </row>
    <row r="108" spans="1:6" x14ac:dyDescent="0.25">
      <c r="A108" s="1"/>
      <c r="B108" s="7"/>
      <c r="C108" s="223"/>
      <c r="D108" s="225"/>
      <c r="E108" s="225"/>
      <c r="F108" s="2"/>
    </row>
    <row r="109" spans="1:6" x14ac:dyDescent="0.25">
      <c r="A109" s="1"/>
      <c r="B109" s="7"/>
      <c r="C109" s="223"/>
      <c r="D109" s="225"/>
      <c r="E109" s="226"/>
      <c r="F109" s="2"/>
    </row>
    <row r="110" spans="1:6" x14ac:dyDescent="0.25">
      <c r="A110" s="1"/>
      <c r="B110" s="7"/>
      <c r="C110" s="4"/>
      <c r="D110" s="1"/>
      <c r="E110" s="1"/>
      <c r="F110" s="2"/>
    </row>
    <row r="111" spans="1:6" x14ac:dyDescent="0.25">
      <c r="A111" s="1"/>
      <c r="B111" s="7"/>
      <c r="C111" s="4"/>
      <c r="D111" s="1"/>
      <c r="E111" s="1"/>
      <c r="F111" s="2"/>
    </row>
    <row r="112" spans="1:6" x14ac:dyDescent="0.25">
      <c r="A112" s="1"/>
      <c r="B112" s="7"/>
      <c r="C112" s="4"/>
      <c r="D112" s="1"/>
      <c r="E112" s="1"/>
      <c r="F112" s="2"/>
    </row>
    <row r="113" spans="1:6" x14ac:dyDescent="0.25">
      <c r="A113" s="1"/>
      <c r="B113" s="7"/>
      <c r="C113" s="1"/>
      <c r="D113" s="1"/>
      <c r="E113" s="1"/>
      <c r="F113" s="2"/>
    </row>
    <row r="114" spans="1:6" x14ac:dyDescent="0.25">
      <c r="A114" s="1"/>
      <c r="B114" s="7"/>
      <c r="C114" s="4"/>
      <c r="D114" s="1"/>
      <c r="E114" s="1"/>
      <c r="F114" s="1"/>
    </row>
    <row r="115" spans="1:6" x14ac:dyDescent="0.25">
      <c r="A115" s="1"/>
      <c r="B115" s="7"/>
      <c r="C115" s="1"/>
      <c r="D115" s="1"/>
      <c r="E115" s="1"/>
      <c r="F115" s="1"/>
    </row>
    <row r="116" spans="1:6" x14ac:dyDescent="0.25">
      <c r="A116" s="1"/>
      <c r="B116" s="7"/>
      <c r="C116" s="1"/>
      <c r="D116" s="1"/>
      <c r="E116" s="1"/>
      <c r="F116" s="2"/>
    </row>
    <row r="117" spans="1:6" x14ac:dyDescent="0.25">
      <c r="A117" s="1"/>
      <c r="B117" s="7"/>
      <c r="C117" s="1"/>
      <c r="D117" s="1"/>
      <c r="E117" s="1"/>
      <c r="F117" s="2"/>
    </row>
    <row r="118" spans="1:6" x14ac:dyDescent="0.25">
      <c r="A118" s="1"/>
      <c r="B118" s="7"/>
      <c r="C118" s="4"/>
      <c r="D118" s="1"/>
      <c r="E118" s="1"/>
      <c r="F118" s="2"/>
    </row>
    <row r="119" spans="1:6" x14ac:dyDescent="0.25">
      <c r="A119" s="1"/>
      <c r="B119" s="7"/>
      <c r="C119" s="4"/>
      <c r="D119" s="1"/>
      <c r="E119" s="1"/>
      <c r="F119" s="2"/>
    </row>
    <row r="120" spans="1:6" x14ac:dyDescent="0.25">
      <c r="A120" s="1"/>
      <c r="B120" s="7"/>
      <c r="C120" s="4"/>
      <c r="D120" s="1"/>
      <c r="E120" s="1"/>
      <c r="F120" s="2"/>
    </row>
    <row r="121" spans="1:6" x14ac:dyDescent="0.25">
      <c r="A121" s="1"/>
      <c r="B121" s="7"/>
      <c r="C121" s="1"/>
      <c r="D121" s="1"/>
      <c r="E121" s="1"/>
      <c r="F121" s="2"/>
    </row>
    <row r="122" spans="1:6" x14ac:dyDescent="0.25">
      <c r="A122" s="1"/>
      <c r="B122" s="7"/>
      <c r="C122" s="1"/>
      <c r="D122" s="1"/>
      <c r="E122" s="1"/>
      <c r="F122" s="2"/>
    </row>
    <row r="123" spans="1:6" x14ac:dyDescent="0.25">
      <c r="A123" s="1"/>
      <c r="B123" s="7"/>
      <c r="C123" s="4"/>
      <c r="D123" s="1"/>
      <c r="E123" s="1"/>
      <c r="F123" s="2"/>
    </row>
    <row r="124" spans="1:6" x14ac:dyDescent="0.25">
      <c r="A124" s="1"/>
      <c r="B124" s="7"/>
      <c r="C124" s="5"/>
      <c r="D124" s="1"/>
      <c r="E124" s="1"/>
      <c r="F124" s="2"/>
    </row>
    <row r="125" spans="1:6" x14ac:dyDescent="0.25">
      <c r="A125" s="1"/>
      <c r="B125" s="1"/>
      <c r="C125" s="4"/>
      <c r="D125" s="1"/>
      <c r="E125" s="1"/>
      <c r="F125" s="2"/>
    </row>
    <row r="126" spans="1:6" x14ac:dyDescent="0.25">
      <c r="A126" s="1"/>
      <c r="B126" s="1"/>
      <c r="C126" s="1"/>
      <c r="D126" s="1"/>
      <c r="E126" s="1"/>
      <c r="F126" s="2"/>
    </row>
    <row r="127" spans="1:6" x14ac:dyDescent="0.25">
      <c r="A127" s="1"/>
      <c r="B127" s="1"/>
      <c r="C127" s="1"/>
      <c r="D127" s="1"/>
      <c r="E127" s="1"/>
      <c r="F127" s="2"/>
    </row>
    <row r="128" spans="1:6" x14ac:dyDescent="0.25">
      <c r="A128" s="1"/>
      <c r="B128" s="1"/>
      <c r="C128" s="1"/>
      <c r="D128" s="1"/>
      <c r="E128" s="1"/>
      <c r="F128" s="2"/>
    </row>
    <row r="129" spans="1:6" x14ac:dyDescent="0.25">
      <c r="A129" s="1"/>
      <c r="B129" s="1"/>
      <c r="C129" s="1"/>
      <c r="D129" s="1"/>
      <c r="E129" s="1"/>
      <c r="F129" s="2"/>
    </row>
    <row r="130" spans="1:6" x14ac:dyDescent="0.25">
      <c r="A130" s="1"/>
      <c r="B130" s="7"/>
      <c r="C130" s="3"/>
      <c r="D130" s="1"/>
      <c r="E130" s="1"/>
      <c r="F130" s="2"/>
    </row>
    <row r="131" spans="1:6" x14ac:dyDescent="0.25">
      <c r="A131" s="1"/>
      <c r="B131" s="7"/>
      <c r="C131" s="7"/>
      <c r="D131" s="1"/>
      <c r="E131" s="1"/>
      <c r="F131" s="2"/>
    </row>
    <row r="132" spans="1:6" x14ac:dyDescent="0.25">
      <c r="A132" s="1"/>
      <c r="B132" s="7"/>
      <c r="C132" s="1"/>
      <c r="D132" s="1"/>
      <c r="E132" s="4"/>
      <c r="F132" s="4"/>
    </row>
    <row r="133" spans="1:6" x14ac:dyDescent="0.25">
      <c r="A133" s="1"/>
      <c r="B133" s="7"/>
      <c r="C133" s="1"/>
      <c r="D133" s="1"/>
      <c r="E133" s="4"/>
      <c r="F133" s="4"/>
    </row>
    <row r="134" spans="1:6" x14ac:dyDescent="0.25">
      <c r="A134" s="1"/>
      <c r="B134" s="7"/>
      <c r="C134" s="1"/>
      <c r="D134" s="1"/>
      <c r="E134" s="1"/>
      <c r="F134" s="2"/>
    </row>
    <row r="135" spans="1:6" x14ac:dyDescent="0.25">
      <c r="A135" s="1"/>
      <c r="B135" s="7"/>
      <c r="C135" s="7"/>
      <c r="D135" s="1"/>
      <c r="E135" s="1"/>
      <c r="F135" s="2"/>
    </row>
    <row r="136" spans="1:6" x14ac:dyDescent="0.25">
      <c r="A136" s="1"/>
      <c r="B136" s="7"/>
      <c r="C136" s="3"/>
      <c r="D136" s="1"/>
      <c r="E136" s="1"/>
      <c r="F136" s="2"/>
    </row>
    <row r="137" spans="1:6" x14ac:dyDescent="0.25">
      <c r="A137" s="1"/>
      <c r="B137" s="7"/>
      <c r="C137" s="7"/>
      <c r="D137" s="1"/>
      <c r="E137" s="1"/>
      <c r="F137" s="2"/>
    </row>
    <row r="138" spans="1:6" x14ac:dyDescent="0.25">
      <c r="A138" s="1"/>
      <c r="B138" s="7"/>
      <c r="C138" s="1"/>
      <c r="D138" s="1"/>
      <c r="E138" s="1"/>
      <c r="F138" s="2"/>
    </row>
    <row r="139" spans="1:6" x14ac:dyDescent="0.25">
      <c r="A139" s="1"/>
      <c r="B139" s="7"/>
      <c r="C139" s="1"/>
      <c r="D139" s="1"/>
      <c r="E139" s="1"/>
      <c r="F139" s="2"/>
    </row>
    <row r="140" spans="1:6" ht="15.75" x14ac:dyDescent="0.25">
      <c r="A140" s="1"/>
      <c r="B140" s="7"/>
      <c r="C140" s="216"/>
      <c r="D140" s="7"/>
      <c r="E140" s="3"/>
      <c r="F140" s="3"/>
    </row>
    <row r="141" spans="1:6" x14ac:dyDescent="0.25">
      <c r="A141" s="1"/>
      <c r="B141" s="7"/>
      <c r="C141" s="7"/>
      <c r="D141" s="3"/>
      <c r="E141" s="3"/>
      <c r="F141" s="3"/>
    </row>
    <row r="142" spans="1:6" x14ac:dyDescent="0.25">
      <c r="A142" s="1"/>
      <c r="C142" s="7"/>
      <c r="D142" s="3"/>
      <c r="E142" s="7"/>
      <c r="F142" s="3"/>
    </row>
    <row r="143" spans="1:6" x14ac:dyDescent="0.25">
      <c r="A143" s="1"/>
      <c r="B143" s="7"/>
      <c r="D143" s="1"/>
      <c r="F143" s="2"/>
    </row>
    <row r="144" spans="1:6" x14ac:dyDescent="0.25">
      <c r="A144" s="1"/>
      <c r="B144" s="7"/>
      <c r="C144" s="1"/>
      <c r="D144" s="1"/>
      <c r="E144" s="1"/>
      <c r="F144" s="2"/>
    </row>
    <row r="145" spans="1:6" x14ac:dyDescent="0.25">
      <c r="A145" s="1"/>
      <c r="B145" s="7"/>
      <c r="C145" s="1"/>
      <c r="D145" s="1"/>
      <c r="E145" s="1"/>
      <c r="F145" s="2"/>
    </row>
    <row r="146" spans="1:6" x14ac:dyDescent="0.25">
      <c r="A146" s="1"/>
      <c r="B146" s="7"/>
      <c r="C146" s="4"/>
      <c r="D146" s="1"/>
      <c r="E146" s="1"/>
      <c r="F146" s="2"/>
    </row>
    <row r="147" spans="1:6" ht="15.75" x14ac:dyDescent="0.25">
      <c r="A147" s="1"/>
      <c r="B147" s="7"/>
      <c r="C147" s="19"/>
      <c r="D147" s="1"/>
      <c r="E147" s="1"/>
      <c r="F147" s="2"/>
    </row>
    <row r="148" spans="1:6" ht="15.75" x14ac:dyDescent="0.25">
      <c r="A148" s="1"/>
      <c r="B148" s="7"/>
      <c r="C148" s="19"/>
      <c r="D148" s="1"/>
      <c r="E148" s="1"/>
      <c r="F148" s="2"/>
    </row>
    <row r="149" spans="1:6" x14ac:dyDescent="0.25">
      <c r="A149" s="1"/>
      <c r="B149" s="7"/>
      <c r="C149" s="4"/>
      <c r="D149" s="1"/>
      <c r="E149" s="1"/>
      <c r="F149" s="2"/>
    </row>
    <row r="150" spans="1:6" x14ac:dyDescent="0.25">
      <c r="A150" s="1"/>
      <c r="B150" s="7"/>
      <c r="C150" s="4"/>
      <c r="D150" s="1"/>
      <c r="E150" s="1"/>
      <c r="F150" s="2"/>
    </row>
    <row r="151" spans="1:6" x14ac:dyDescent="0.25">
      <c r="A151" s="1"/>
      <c r="B151" s="7"/>
      <c r="C151" s="4"/>
      <c r="D151" s="1"/>
      <c r="E151" s="1"/>
      <c r="F151" s="2"/>
    </row>
    <row r="152" spans="1:6" x14ac:dyDescent="0.25">
      <c r="A152" s="1"/>
      <c r="B152" s="7"/>
      <c r="C152" s="4"/>
      <c r="D152" s="1"/>
      <c r="E152" s="1"/>
      <c r="F152" s="2"/>
    </row>
    <row r="153" spans="1:6" x14ac:dyDescent="0.25">
      <c r="A153" s="1"/>
      <c r="B153" s="7"/>
      <c r="C153" s="1"/>
      <c r="D153" s="1"/>
      <c r="E153" s="1"/>
      <c r="F153" s="2"/>
    </row>
    <row r="154" spans="1:6" x14ac:dyDescent="0.25">
      <c r="A154" s="1"/>
      <c r="B154" s="7"/>
      <c r="C154" s="1"/>
      <c r="D154" s="1"/>
      <c r="E154" s="1"/>
      <c r="F154" s="2"/>
    </row>
    <row r="155" spans="1:6" x14ac:dyDescent="0.25">
      <c r="A155" s="1"/>
      <c r="B155" s="7"/>
      <c r="C155" s="1"/>
      <c r="D155" s="1"/>
      <c r="E155" s="1"/>
      <c r="F155" s="2"/>
    </row>
    <row r="156" spans="1:6" x14ac:dyDescent="0.25">
      <c r="A156" s="1"/>
      <c r="B156" s="7"/>
      <c r="C156" s="1"/>
      <c r="D156" s="1"/>
      <c r="E156" s="1"/>
      <c r="F156" s="2"/>
    </row>
    <row r="157" spans="1:6" x14ac:dyDescent="0.25">
      <c r="A157" s="1"/>
      <c r="B157" s="7"/>
      <c r="C157" s="1"/>
      <c r="D157" s="1"/>
      <c r="E157" s="1"/>
      <c r="F157" s="1"/>
    </row>
    <row r="158" spans="1:6" x14ac:dyDescent="0.25">
      <c r="A158" s="1"/>
      <c r="B158" s="7"/>
      <c r="C158" s="1"/>
      <c r="D158" s="1"/>
      <c r="E158" s="1"/>
      <c r="F158" s="1"/>
    </row>
    <row r="159" spans="1:6" x14ac:dyDescent="0.25">
      <c r="A159" s="1"/>
      <c r="B159" s="7"/>
      <c r="C159" s="1"/>
      <c r="D159" s="1"/>
      <c r="E159" s="1"/>
      <c r="F159" s="2"/>
    </row>
    <row r="160" spans="1:6" x14ac:dyDescent="0.25">
      <c r="A160" s="1"/>
      <c r="B160" s="7"/>
      <c r="C160" s="1"/>
      <c r="D160" s="1"/>
      <c r="E160" s="1"/>
      <c r="F160" s="2"/>
    </row>
    <row r="161" spans="1:6" x14ac:dyDescent="0.25">
      <c r="A161" s="1"/>
      <c r="B161" s="7"/>
      <c r="C161" s="1"/>
      <c r="D161" s="1"/>
      <c r="E161" s="1"/>
      <c r="F161" s="2"/>
    </row>
    <row r="162" spans="1:6" x14ac:dyDescent="0.25">
      <c r="A162" s="1"/>
      <c r="B162" s="7"/>
      <c r="C162" s="1"/>
      <c r="D162" s="1"/>
      <c r="E162" s="1"/>
      <c r="F162" s="2"/>
    </row>
    <row r="163" spans="1:6" x14ac:dyDescent="0.25">
      <c r="A163" s="1"/>
      <c r="B163" s="7"/>
      <c r="C163" s="1"/>
      <c r="D163" s="1"/>
      <c r="E163" s="1"/>
      <c r="F163" s="2"/>
    </row>
    <row r="164" spans="1:6" x14ac:dyDescent="0.25">
      <c r="A164" s="1"/>
      <c r="B164" s="7"/>
      <c r="C164" s="1"/>
      <c r="D164" s="1"/>
      <c r="E164" s="1"/>
      <c r="F164" s="2"/>
    </row>
    <row r="165" spans="1:6" x14ac:dyDescent="0.25">
      <c r="A165" s="1"/>
      <c r="B165" s="7"/>
      <c r="C165" s="1"/>
      <c r="D165" s="1"/>
      <c r="E165" s="1"/>
      <c r="F165" s="2"/>
    </row>
    <row r="166" spans="1:6" x14ac:dyDescent="0.25">
      <c r="A166" s="1"/>
      <c r="B166" s="7"/>
      <c r="C166" s="1"/>
      <c r="D166" s="1"/>
      <c r="E166" s="1"/>
      <c r="F166" s="2"/>
    </row>
    <row r="167" spans="1:6" x14ac:dyDescent="0.25">
      <c r="A167" s="1"/>
      <c r="B167" s="7"/>
      <c r="C167" s="5"/>
      <c r="D167" s="1"/>
      <c r="E167" s="1"/>
      <c r="F167" s="2"/>
    </row>
    <row r="168" spans="1:6" x14ac:dyDescent="0.25">
      <c r="A168" s="1"/>
      <c r="B168" s="1"/>
      <c r="C168" s="1"/>
      <c r="D168" s="1"/>
      <c r="E168" s="1"/>
      <c r="F168" s="2"/>
    </row>
    <row r="169" spans="1:6" x14ac:dyDescent="0.25">
      <c r="A169" s="1"/>
      <c r="B169" s="4"/>
      <c r="C169" s="1"/>
      <c r="D169" s="1"/>
      <c r="E169" s="1"/>
      <c r="F169" s="2"/>
    </row>
    <row r="170" spans="1:6" x14ac:dyDescent="0.25">
      <c r="A170" s="1"/>
      <c r="B170" s="3"/>
      <c r="C170" s="1"/>
      <c r="D170" s="1"/>
      <c r="E170" s="1"/>
      <c r="F170" s="2"/>
    </row>
    <row r="171" spans="1:6" x14ac:dyDescent="0.25">
      <c r="A171" s="1"/>
      <c r="B171" s="3"/>
      <c r="C171" s="1"/>
      <c r="D171" s="1"/>
      <c r="E171" s="1"/>
      <c r="F171" s="2"/>
    </row>
    <row r="172" spans="1:6" x14ac:dyDescent="0.25">
      <c r="A172" s="1"/>
      <c r="B172" s="3"/>
      <c r="C172" s="1"/>
      <c r="D172" s="1"/>
      <c r="E172" s="1"/>
      <c r="F172" s="2"/>
    </row>
    <row r="173" spans="1:6" x14ac:dyDescent="0.25">
      <c r="A173" s="1"/>
      <c r="F173" s="2"/>
    </row>
    <row r="174" spans="1:6" x14ac:dyDescent="0.25">
      <c r="A174" s="1"/>
      <c r="B174" s="6"/>
      <c r="C174" s="1"/>
      <c r="D174" s="1"/>
      <c r="E174" s="1"/>
      <c r="F174" s="2"/>
    </row>
    <row r="175" spans="1:6" x14ac:dyDescent="0.25">
      <c r="A175" s="1"/>
      <c r="B175" s="6"/>
      <c r="C175" s="1"/>
      <c r="D175" s="1"/>
      <c r="E175" s="1"/>
      <c r="F175" s="2"/>
    </row>
    <row r="176" spans="1:6" x14ac:dyDescent="0.25">
      <c r="A176" s="1"/>
      <c r="C176" s="1"/>
      <c r="D176" s="1"/>
      <c r="E176" s="1"/>
      <c r="F176" s="2"/>
    </row>
    <row r="178" spans="1:6" x14ac:dyDescent="0.25">
      <c r="B178" s="7"/>
    </row>
    <row r="179" spans="1:6" x14ac:dyDescent="0.25">
      <c r="A179" s="1"/>
      <c r="B179" s="1"/>
      <c r="C179" s="1"/>
      <c r="D179" s="1"/>
      <c r="E179" s="1"/>
      <c r="F179" s="2"/>
    </row>
    <row r="180" spans="1:6" x14ac:dyDescent="0.25">
      <c r="A180" s="1"/>
      <c r="B180" s="1"/>
      <c r="C180" s="1"/>
      <c r="D180" s="1"/>
      <c r="E180" s="1"/>
      <c r="F180" s="2"/>
    </row>
    <row r="181" spans="1:6" x14ac:dyDescent="0.25">
      <c r="A181" s="1"/>
      <c r="B181" s="1"/>
      <c r="C181" s="1"/>
      <c r="D181" s="1"/>
      <c r="E181" s="1"/>
      <c r="F181" s="2"/>
    </row>
    <row r="182" spans="1:6" x14ac:dyDescent="0.25">
      <c r="A182" s="1"/>
      <c r="B182" s="1"/>
      <c r="C182" s="1"/>
      <c r="D182" s="1"/>
      <c r="E182" s="1"/>
      <c r="F182" s="2"/>
    </row>
    <row r="183" spans="1:6" x14ac:dyDescent="0.25">
      <c r="A183" s="1"/>
      <c r="B183" s="7"/>
      <c r="C183" s="3"/>
      <c r="D183" s="1"/>
      <c r="E183" s="1"/>
      <c r="F183" s="2"/>
    </row>
    <row r="184" spans="1:6" x14ac:dyDescent="0.25">
      <c r="A184" s="1"/>
      <c r="B184" s="7"/>
      <c r="C184" s="7"/>
      <c r="D184" s="1"/>
      <c r="E184" s="1"/>
      <c r="F184" s="2"/>
    </row>
    <row r="185" spans="1:6" x14ac:dyDescent="0.25">
      <c r="A185" s="1"/>
      <c r="B185" s="7"/>
      <c r="C185" s="1"/>
      <c r="D185" s="1"/>
      <c r="E185" s="4"/>
      <c r="F185" s="4"/>
    </row>
    <row r="186" spans="1:6" x14ac:dyDescent="0.25">
      <c r="A186" s="1"/>
      <c r="B186" s="7"/>
      <c r="C186" s="1"/>
      <c r="D186" s="1"/>
      <c r="E186" s="4"/>
      <c r="F186" s="4"/>
    </row>
    <row r="187" spans="1:6" x14ac:dyDescent="0.25">
      <c r="A187" s="1"/>
      <c r="B187" s="7"/>
      <c r="C187" s="1"/>
      <c r="D187" s="1"/>
      <c r="E187" s="1"/>
      <c r="F187" s="2"/>
    </row>
    <row r="188" spans="1:6" x14ac:dyDescent="0.25">
      <c r="A188" s="1"/>
      <c r="B188" s="7"/>
      <c r="C188" s="7"/>
      <c r="D188" s="1"/>
      <c r="E188" s="1"/>
      <c r="F188" s="2"/>
    </row>
    <row r="189" spans="1:6" x14ac:dyDescent="0.25">
      <c r="A189" s="1"/>
      <c r="B189" s="7"/>
      <c r="C189" s="3"/>
      <c r="D189" s="1"/>
      <c r="E189" s="1"/>
      <c r="F189" s="2"/>
    </row>
    <row r="190" spans="1:6" x14ac:dyDescent="0.25">
      <c r="A190" s="1"/>
      <c r="B190" s="7"/>
      <c r="C190" s="7"/>
      <c r="D190" s="1"/>
      <c r="E190" s="1"/>
      <c r="F190" s="2"/>
    </row>
    <row r="191" spans="1:6" x14ac:dyDescent="0.25">
      <c r="A191" s="1"/>
      <c r="B191" s="7"/>
      <c r="C191" s="1"/>
      <c r="D191" s="1"/>
      <c r="E191" s="1"/>
      <c r="F191" s="2"/>
    </row>
    <row r="192" spans="1:6" x14ac:dyDescent="0.25">
      <c r="A192" s="1"/>
      <c r="B192" s="7"/>
      <c r="C192" s="1"/>
      <c r="D192" s="1"/>
      <c r="E192" s="1"/>
      <c r="F192" s="2"/>
    </row>
    <row r="193" spans="1:6" ht="15.75" x14ac:dyDescent="0.25">
      <c r="A193" s="1"/>
      <c r="B193" s="7"/>
      <c r="C193" s="216"/>
      <c r="D193" s="3"/>
      <c r="E193" s="3"/>
      <c r="F193" s="3"/>
    </row>
    <row r="194" spans="1:6" x14ac:dyDescent="0.25">
      <c r="A194" s="1"/>
      <c r="B194" s="7"/>
      <c r="C194" s="7"/>
      <c r="D194" s="3"/>
      <c r="E194" s="3"/>
      <c r="F194" s="3"/>
    </row>
    <row r="195" spans="1:6" x14ac:dyDescent="0.25">
      <c r="A195" s="1"/>
      <c r="B195" s="182"/>
      <c r="C195" s="7"/>
      <c r="D195" s="3"/>
      <c r="E195" s="3"/>
      <c r="F195" s="3"/>
    </row>
    <row r="196" spans="1:6" x14ac:dyDescent="0.25">
      <c r="A196" s="1"/>
      <c r="B196" s="7"/>
      <c r="D196" s="1"/>
      <c r="F196" s="2"/>
    </row>
    <row r="197" spans="1:6" x14ac:dyDescent="0.25">
      <c r="A197" s="1"/>
      <c r="B197" s="7"/>
      <c r="D197" s="1"/>
      <c r="F197" s="2"/>
    </row>
    <row r="198" spans="1:6" x14ac:dyDescent="0.25">
      <c r="A198" s="1"/>
      <c r="B198" s="7"/>
      <c r="D198" s="1"/>
      <c r="F198" s="2"/>
    </row>
    <row r="199" spans="1:6" x14ac:dyDescent="0.25">
      <c r="A199" s="1"/>
      <c r="B199" s="7"/>
      <c r="D199" s="1"/>
      <c r="F199" s="2"/>
    </row>
    <row r="200" spans="1:6" x14ac:dyDescent="0.25">
      <c r="A200" s="1"/>
      <c r="B200" s="7"/>
      <c r="D200" s="1"/>
      <c r="F200" s="2"/>
    </row>
    <row r="201" spans="1:6" x14ac:dyDescent="0.25">
      <c r="A201" s="1"/>
      <c r="B201" s="7"/>
      <c r="D201" s="1"/>
      <c r="F201" s="2"/>
    </row>
    <row r="202" spans="1:6" x14ac:dyDescent="0.25">
      <c r="A202" s="1"/>
      <c r="B202" s="7"/>
      <c r="C202" s="1"/>
      <c r="D202" s="1"/>
      <c r="E202" s="1"/>
      <c r="F202" s="2"/>
    </row>
    <row r="203" spans="1:6" x14ac:dyDescent="0.25">
      <c r="A203" s="1"/>
      <c r="B203" s="7"/>
      <c r="C203" s="223"/>
      <c r="D203" s="223"/>
      <c r="E203" s="223"/>
      <c r="F203" s="224"/>
    </row>
    <row r="204" spans="1:6" x14ac:dyDescent="0.25">
      <c r="A204" s="1"/>
      <c r="B204" s="7"/>
      <c r="C204" s="223"/>
      <c r="D204" s="223"/>
      <c r="E204" s="223"/>
      <c r="F204" s="224"/>
    </row>
    <row r="205" spans="1:6" x14ac:dyDescent="0.25">
      <c r="A205" s="1"/>
      <c r="B205" s="7"/>
      <c r="C205" s="223"/>
      <c r="D205" s="225"/>
      <c r="E205" s="225"/>
      <c r="F205" s="2"/>
    </row>
    <row r="206" spans="1:6" x14ac:dyDescent="0.25">
      <c r="A206" s="1"/>
      <c r="B206" s="7"/>
      <c r="C206" s="223"/>
      <c r="D206" s="225"/>
      <c r="E206" s="225"/>
      <c r="F206" s="2"/>
    </row>
    <row r="207" spans="1:6" x14ac:dyDescent="0.25">
      <c r="A207" s="1"/>
      <c r="B207" s="7"/>
      <c r="C207" s="223"/>
      <c r="D207" s="225"/>
      <c r="E207" s="225"/>
      <c r="F207" s="2"/>
    </row>
    <row r="208" spans="1:6" x14ac:dyDescent="0.25">
      <c r="A208" s="1"/>
      <c r="B208" s="7"/>
      <c r="C208" s="223"/>
      <c r="D208" s="225"/>
      <c r="E208" s="225"/>
      <c r="F208" s="2"/>
    </row>
    <row r="209" spans="1:6" x14ac:dyDescent="0.25">
      <c r="A209" s="1"/>
      <c r="B209" s="7"/>
      <c r="C209" s="223"/>
      <c r="D209" s="225"/>
      <c r="E209" s="225"/>
      <c r="F209" s="2"/>
    </row>
    <row r="210" spans="1:6" x14ac:dyDescent="0.25">
      <c r="A210" s="1"/>
      <c r="B210" s="7"/>
      <c r="C210" s="223"/>
      <c r="D210" s="225"/>
      <c r="E210" s="226"/>
      <c r="F210" s="2"/>
    </row>
    <row r="211" spans="1:6" x14ac:dyDescent="0.25">
      <c r="A211" s="1"/>
      <c r="B211" s="7"/>
      <c r="C211" s="4"/>
      <c r="D211" s="1"/>
      <c r="E211" s="1"/>
      <c r="F211" s="2"/>
    </row>
    <row r="212" spans="1:6" x14ac:dyDescent="0.25">
      <c r="A212" s="1"/>
      <c r="B212" s="7"/>
      <c r="C212" s="4"/>
      <c r="D212" s="1"/>
      <c r="E212" s="1"/>
      <c r="F212" s="2"/>
    </row>
    <row r="213" spans="1:6" x14ac:dyDescent="0.25">
      <c r="A213" s="1"/>
      <c r="B213" s="7"/>
      <c r="C213" s="4"/>
      <c r="D213" s="1"/>
      <c r="E213" s="1"/>
      <c r="F213" s="2"/>
    </row>
    <row r="214" spans="1:6" x14ac:dyDescent="0.25">
      <c r="A214" s="1"/>
      <c r="B214" s="7"/>
      <c r="C214" s="1"/>
      <c r="D214" s="1"/>
      <c r="E214" s="1"/>
      <c r="F214" s="2"/>
    </row>
    <row r="215" spans="1:6" x14ac:dyDescent="0.25">
      <c r="A215" s="1"/>
      <c r="B215" s="7"/>
      <c r="C215" s="4"/>
      <c r="D215" s="1"/>
      <c r="E215" s="1"/>
      <c r="F215" s="1"/>
    </row>
    <row r="216" spans="1:6" x14ac:dyDescent="0.25">
      <c r="A216" s="1"/>
      <c r="B216" s="7"/>
      <c r="C216" s="1"/>
      <c r="D216" s="1"/>
      <c r="E216" s="1"/>
      <c r="F216" s="1"/>
    </row>
    <row r="217" spans="1:6" x14ac:dyDescent="0.25">
      <c r="A217" s="1"/>
      <c r="B217" s="7"/>
      <c r="C217" s="1"/>
      <c r="D217" s="1"/>
      <c r="E217" s="1"/>
      <c r="F217" s="2"/>
    </row>
    <row r="218" spans="1:6" x14ac:dyDescent="0.25">
      <c r="A218" s="1"/>
      <c r="B218" s="7"/>
      <c r="C218" s="1"/>
      <c r="D218" s="1"/>
      <c r="E218" s="1"/>
      <c r="F218" s="2"/>
    </row>
    <row r="219" spans="1:6" x14ac:dyDescent="0.25">
      <c r="A219" s="1"/>
      <c r="B219" s="7"/>
      <c r="C219" s="4"/>
      <c r="D219" s="1"/>
      <c r="E219" s="1"/>
      <c r="F219" s="2"/>
    </row>
    <row r="220" spans="1:6" x14ac:dyDescent="0.25">
      <c r="A220" s="1"/>
      <c r="B220" s="7"/>
      <c r="C220" s="4"/>
      <c r="D220" s="1"/>
      <c r="E220" s="1"/>
      <c r="F220" s="2"/>
    </row>
    <row r="221" spans="1:6" x14ac:dyDescent="0.25">
      <c r="A221" s="1"/>
      <c r="B221" s="7"/>
      <c r="C221" s="4"/>
      <c r="D221" s="1"/>
      <c r="E221" s="1"/>
      <c r="F221" s="2"/>
    </row>
    <row r="222" spans="1:6" x14ac:dyDescent="0.25">
      <c r="A222" s="1"/>
      <c r="B222" s="7"/>
      <c r="C222" s="1"/>
      <c r="D222" s="1"/>
      <c r="E222" s="1"/>
      <c r="F222" s="2"/>
    </row>
    <row r="223" spans="1:6" x14ac:dyDescent="0.25">
      <c r="A223" s="1"/>
      <c r="B223" s="7"/>
      <c r="C223" s="1"/>
      <c r="D223" s="1"/>
      <c r="E223" s="1"/>
      <c r="F223" s="2"/>
    </row>
    <row r="224" spans="1:6" x14ac:dyDescent="0.25">
      <c r="A224" s="1"/>
      <c r="B224" s="7"/>
      <c r="C224" s="4"/>
      <c r="D224" s="1"/>
      <c r="E224" s="1"/>
      <c r="F224" s="2"/>
    </row>
    <row r="225" spans="1:6" x14ac:dyDescent="0.25">
      <c r="A225" s="1"/>
      <c r="B225" s="7"/>
      <c r="C225" s="5"/>
      <c r="D225" s="1"/>
      <c r="E225" s="1"/>
      <c r="F225" s="2"/>
    </row>
    <row r="226" spans="1:6" x14ac:dyDescent="0.25">
      <c r="A226" s="1"/>
      <c r="B226" s="1"/>
      <c r="C226" s="4"/>
      <c r="D226" s="1"/>
      <c r="E226" s="1"/>
      <c r="F226" s="2"/>
    </row>
    <row r="227" spans="1:6" x14ac:dyDescent="0.25">
      <c r="A227" s="1"/>
      <c r="B227" s="1"/>
      <c r="C227" s="1"/>
      <c r="D227" s="1"/>
      <c r="E227" s="1"/>
      <c r="F227" s="2"/>
    </row>
  </sheetData>
  <mergeCells count="27">
    <mergeCell ref="B18:F18"/>
    <mergeCell ref="B20:F20"/>
    <mergeCell ref="B16:F16"/>
    <mergeCell ref="B6:F6"/>
    <mergeCell ref="B8:F8"/>
    <mergeCell ref="B10:F10"/>
    <mergeCell ref="B12:F12"/>
    <mergeCell ref="B14:F14"/>
    <mergeCell ref="A100:F100"/>
    <mergeCell ref="A96:F96"/>
    <mergeCell ref="A98:F98"/>
    <mergeCell ref="B36:F36"/>
    <mergeCell ref="B48:F48"/>
    <mergeCell ref="B40:F40"/>
    <mergeCell ref="B42:F42"/>
    <mergeCell ref="B44:F44"/>
    <mergeCell ref="B38:F38"/>
    <mergeCell ref="B46:F46"/>
    <mergeCell ref="B49:F49"/>
    <mergeCell ref="B50:F50"/>
    <mergeCell ref="B34:F34"/>
    <mergeCell ref="B22:F22"/>
    <mergeCell ref="B24:F24"/>
    <mergeCell ref="B26:F26"/>
    <mergeCell ref="B28:F28"/>
    <mergeCell ref="B30:F30"/>
    <mergeCell ref="B32:F32"/>
  </mergeCells>
  <phoneticPr fontId="32" type="noConversion"/>
  <pageMargins left="0.70866141732283472" right="0.19685039370078741" top="0.74803149606299213" bottom="0.74803149606299213" header="0.31496062992125984" footer="0.31496062992125984"/>
  <pageSetup paperSize="9" orientation="portrait" r:id="rId1"/>
  <headerFooter alignWithMargins="0">
    <oddHeader xml:space="preserve">&amp;L&amp;"Calibri,Regular"&amp;9Investitor: Suvlasnici stambene zgrade u Zagrebu, Sveti Duh 65, 10000 Zagreb
Građevina: Stambena zgrada u Zagrebu, Sveti Duh 65&amp;R&amp;"Calibri,Regular"&amp;9&amp;K000000z.o.p.: Sveti Duh 65
t.d.: 02-2020&amp;K01+000
</oddHeader>
    <oddFooter xml:space="preserve">&amp;L&amp;"Calibri,Regular"&amp;9Radovi prema čl. 5 Pravilnika o jednostavnim i drugim građevinama i radovima (NN 112/17, 34/18, 36/19, 98/19, 31/20)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rgb="FF92D050"/>
  </sheetPr>
  <dimension ref="A2:G36"/>
  <sheetViews>
    <sheetView view="pageBreakPreview" topLeftCell="A31" zoomScaleNormal="100" zoomScaleSheetLayoutView="100" workbookViewId="0">
      <selection activeCell="G32" sqref="G32"/>
    </sheetView>
  </sheetViews>
  <sheetFormatPr defaultColWidth="9.140625" defaultRowHeight="14.25" x14ac:dyDescent="0.2"/>
  <cols>
    <col min="1" max="1" width="5.7109375" style="102" customWidth="1"/>
    <col min="2" max="2" width="40.7109375" style="102" customWidth="1"/>
    <col min="3" max="3" width="7.7109375" style="137" customWidth="1"/>
    <col min="4" max="4" width="10.7109375" style="138" customWidth="1"/>
    <col min="5" max="5" width="10.7109375" style="102" customWidth="1"/>
    <col min="6" max="6" width="10.7109375" style="127" customWidth="1"/>
    <col min="7" max="7" width="5.7109375" style="127" customWidth="1"/>
    <col min="8" max="8" width="36.7109375" style="102" customWidth="1"/>
    <col min="9" max="16384" width="9.140625" style="102"/>
  </cols>
  <sheetData>
    <row r="2" spans="1:7" x14ac:dyDescent="0.2">
      <c r="A2" s="387" t="s">
        <v>87</v>
      </c>
      <c r="B2" s="388"/>
      <c r="C2" s="388"/>
      <c r="D2" s="388"/>
      <c r="E2" s="388"/>
      <c r="F2" s="389"/>
      <c r="G2" s="139"/>
    </row>
    <row r="3" spans="1:7" x14ac:dyDescent="0.2">
      <c r="A3" s="380" t="s">
        <v>116</v>
      </c>
      <c r="B3" s="381"/>
      <c r="C3" s="381"/>
      <c r="D3" s="381"/>
      <c r="E3" s="381"/>
      <c r="F3" s="381"/>
    </row>
    <row r="4" spans="1:7" x14ac:dyDescent="0.2">
      <c r="A4" s="140" t="s">
        <v>11</v>
      </c>
      <c r="B4" s="140" t="s">
        <v>18</v>
      </c>
      <c r="C4" s="140" t="s">
        <v>7</v>
      </c>
      <c r="D4" s="141" t="s">
        <v>8</v>
      </c>
      <c r="E4" s="140" t="s">
        <v>9</v>
      </c>
      <c r="F4" s="140" t="s">
        <v>10</v>
      </c>
      <c r="G4" s="142"/>
    </row>
    <row r="5" spans="1:7" x14ac:dyDescent="0.2">
      <c r="A5" s="143"/>
      <c r="B5" s="143"/>
      <c r="C5" s="143"/>
      <c r="D5" s="144"/>
      <c r="E5" s="143"/>
      <c r="F5" s="143"/>
      <c r="G5" s="142"/>
    </row>
    <row r="6" spans="1:7" ht="18.75" x14ac:dyDescent="0.3">
      <c r="A6" s="145" t="s">
        <v>17</v>
      </c>
      <c r="B6" s="146" t="s">
        <v>100</v>
      </c>
      <c r="C6" s="147"/>
      <c r="D6" s="112"/>
      <c r="E6" s="113"/>
      <c r="F6" s="148"/>
    </row>
    <row r="7" spans="1:7" ht="15" x14ac:dyDescent="0.25">
      <c r="A7" s="113"/>
      <c r="B7" s="113"/>
      <c r="C7" s="149"/>
      <c r="D7" s="112"/>
      <c r="E7" s="113"/>
      <c r="F7" s="148"/>
    </row>
    <row r="8" spans="1:7" ht="15.75" thickBot="1" x14ac:dyDescent="0.3">
      <c r="A8" s="150" t="s">
        <v>20</v>
      </c>
      <c r="B8" s="390" t="s">
        <v>101</v>
      </c>
      <c r="C8" s="390"/>
      <c r="D8" s="390"/>
      <c r="E8" s="390"/>
      <c r="F8" s="390"/>
      <c r="G8" s="151"/>
    </row>
    <row r="9" spans="1:7" ht="14.25" customHeight="1" x14ac:dyDescent="0.2">
      <c r="A9" s="152"/>
      <c r="B9" s="153"/>
      <c r="C9" s="154"/>
      <c r="D9" s="92"/>
      <c r="E9" s="155"/>
      <c r="F9" s="156"/>
      <c r="G9" s="157"/>
    </row>
    <row r="10" spans="1:7" x14ac:dyDescent="0.2">
      <c r="A10" s="158" t="s">
        <v>64</v>
      </c>
      <c r="B10" s="159"/>
      <c r="C10" s="160"/>
      <c r="D10" s="161"/>
      <c r="E10" s="162"/>
      <c r="F10" s="120"/>
      <c r="G10" s="121"/>
    </row>
    <row r="11" spans="1:7" x14ac:dyDescent="0.2">
      <c r="A11" s="158"/>
      <c r="B11" s="159"/>
      <c r="C11" s="160"/>
      <c r="D11" s="161"/>
      <c r="E11" s="162"/>
      <c r="F11" s="120"/>
      <c r="G11" s="121"/>
    </row>
    <row r="12" spans="1:7" ht="37.5" customHeight="1" x14ac:dyDescent="0.2">
      <c r="A12" s="384" t="s">
        <v>123</v>
      </c>
      <c r="B12" s="386"/>
      <c r="C12" s="386"/>
      <c r="D12" s="386"/>
      <c r="E12" s="386"/>
      <c r="F12" s="120"/>
      <c r="G12" s="121"/>
    </row>
    <row r="13" spans="1:7" x14ac:dyDescent="0.2">
      <c r="A13" s="101"/>
      <c r="B13" s="91"/>
      <c r="C13" s="91"/>
      <c r="D13" s="122"/>
      <c r="E13" s="91"/>
      <c r="F13" s="120"/>
      <c r="G13" s="121"/>
    </row>
    <row r="14" spans="1:7" ht="74.25" customHeight="1" x14ac:dyDescent="0.2">
      <c r="A14" s="384" t="s">
        <v>245</v>
      </c>
      <c r="B14" s="385"/>
      <c r="C14" s="385"/>
      <c r="D14" s="385"/>
      <c r="E14" s="385"/>
      <c r="F14" s="120"/>
      <c r="G14" s="121"/>
    </row>
    <row r="15" spans="1:7" ht="15" x14ac:dyDescent="0.2">
      <c r="A15" s="101"/>
      <c r="B15" s="163"/>
      <c r="C15" s="163"/>
      <c r="D15" s="164"/>
      <c r="E15" s="163"/>
      <c r="F15" s="120"/>
      <c r="G15" s="121"/>
    </row>
    <row r="16" spans="1:7" ht="109.5" customHeight="1" x14ac:dyDescent="0.2">
      <c r="A16" s="384" t="s">
        <v>106</v>
      </c>
      <c r="B16" s="386"/>
      <c r="C16" s="386"/>
      <c r="D16" s="386"/>
      <c r="E16" s="386"/>
      <c r="F16" s="120"/>
      <c r="G16" s="121"/>
    </row>
    <row r="17" spans="1:7" x14ac:dyDescent="0.2">
      <c r="A17" s="101"/>
      <c r="B17" s="91"/>
      <c r="C17" s="91"/>
      <c r="D17" s="122"/>
      <c r="E17" s="91"/>
      <c r="F17" s="120"/>
      <c r="G17" s="121"/>
    </row>
    <row r="18" spans="1:7" ht="15" x14ac:dyDescent="0.2">
      <c r="A18" s="384" t="s">
        <v>124</v>
      </c>
      <c r="B18" s="385"/>
      <c r="C18" s="385"/>
      <c r="D18" s="385"/>
      <c r="E18" s="385"/>
      <c r="F18" s="120"/>
      <c r="G18" s="121"/>
    </row>
    <row r="19" spans="1:7" ht="11.25" customHeight="1" x14ac:dyDescent="0.2">
      <c r="A19" s="101"/>
      <c r="B19" s="163"/>
      <c r="C19" s="163"/>
      <c r="D19" s="164"/>
      <c r="E19" s="163"/>
      <c r="F19" s="120"/>
      <c r="G19" s="121"/>
    </row>
    <row r="20" spans="1:7" ht="48.75" customHeight="1" x14ac:dyDescent="0.2">
      <c r="A20" s="384" t="s">
        <v>50</v>
      </c>
      <c r="B20" s="386"/>
      <c r="C20" s="386"/>
      <c r="D20" s="386"/>
      <c r="E20" s="386"/>
      <c r="F20" s="120"/>
      <c r="G20" s="121"/>
    </row>
    <row r="21" spans="1:7" x14ac:dyDescent="0.2">
      <c r="A21" s="101"/>
      <c r="B21" s="91"/>
      <c r="C21" s="91"/>
      <c r="D21" s="122"/>
      <c r="E21" s="91"/>
      <c r="F21" s="120"/>
      <c r="G21" s="121"/>
    </row>
    <row r="22" spans="1:7" ht="62.25" customHeight="1" x14ac:dyDescent="0.2">
      <c r="A22" s="384" t="s">
        <v>3</v>
      </c>
      <c r="B22" s="385"/>
      <c r="C22" s="385"/>
      <c r="D22" s="385"/>
      <c r="E22" s="385"/>
      <c r="F22" s="120"/>
      <c r="G22" s="121"/>
    </row>
    <row r="23" spans="1:7" ht="15" customHeight="1" x14ac:dyDescent="0.2">
      <c r="A23" s="101"/>
      <c r="B23" s="163"/>
      <c r="C23" s="163"/>
      <c r="D23" s="163"/>
      <c r="E23" s="163"/>
      <c r="F23" s="120"/>
      <c r="G23" s="121"/>
    </row>
    <row r="24" spans="1:7" ht="50.25" customHeight="1" x14ac:dyDescent="0.2">
      <c r="A24" s="382" t="s">
        <v>267</v>
      </c>
      <c r="B24" s="383"/>
      <c r="C24" s="383"/>
      <c r="D24" s="383"/>
      <c r="E24" s="383"/>
      <c r="F24" s="120"/>
      <c r="G24" s="121"/>
    </row>
    <row r="25" spans="1:7" x14ac:dyDescent="0.2">
      <c r="A25" s="101"/>
      <c r="B25" s="91"/>
      <c r="C25" s="91"/>
      <c r="D25" s="122"/>
      <c r="E25" s="123"/>
      <c r="F25" s="120"/>
      <c r="G25" s="121"/>
    </row>
    <row r="26" spans="1:7" x14ac:dyDescent="0.2">
      <c r="A26" s="115" t="s">
        <v>94</v>
      </c>
      <c r="B26" s="116" t="s">
        <v>33</v>
      </c>
      <c r="C26" s="96"/>
      <c r="D26" s="112"/>
      <c r="E26" s="117"/>
      <c r="F26" s="114"/>
      <c r="G26" s="118"/>
    </row>
    <row r="27" spans="1:7" ht="72" x14ac:dyDescent="0.2">
      <c r="A27" s="110"/>
      <c r="B27" s="87" t="s">
        <v>148</v>
      </c>
      <c r="C27" s="96"/>
      <c r="D27" s="233"/>
      <c r="E27" s="94"/>
      <c r="F27" s="98"/>
      <c r="G27" s="118"/>
    </row>
    <row r="28" spans="1:7" x14ac:dyDescent="0.2">
      <c r="A28" s="110"/>
      <c r="B28" s="97" t="s">
        <v>158</v>
      </c>
      <c r="C28" s="96" t="s">
        <v>149</v>
      </c>
      <c r="D28" s="97">
        <v>110</v>
      </c>
      <c r="E28" s="94"/>
      <c r="F28" s="212">
        <f>D28*E28</f>
        <v>0</v>
      </c>
      <c r="G28" s="118"/>
    </row>
    <row r="29" spans="1:7" ht="13.5" customHeight="1" x14ac:dyDescent="0.2">
      <c r="A29" s="110"/>
      <c r="B29" s="111"/>
      <c r="C29" s="96"/>
      <c r="D29" s="97"/>
      <c r="E29" s="94"/>
      <c r="F29" s="98"/>
      <c r="G29" s="119"/>
    </row>
    <row r="30" spans="1:7" x14ac:dyDescent="0.2">
      <c r="A30" s="115" t="s">
        <v>95</v>
      </c>
      <c r="B30" s="116" t="s">
        <v>34</v>
      </c>
      <c r="C30" s="96"/>
      <c r="D30" s="309"/>
      <c r="E30" s="117"/>
      <c r="F30" s="114"/>
      <c r="G30" s="118"/>
    </row>
    <row r="31" spans="1:7" ht="232.5" customHeight="1" x14ac:dyDescent="0.2">
      <c r="A31" s="110"/>
      <c r="B31" s="87" t="s">
        <v>165</v>
      </c>
      <c r="C31" s="96"/>
      <c r="D31" s="310"/>
      <c r="E31" s="94"/>
      <c r="F31" s="98"/>
      <c r="G31" s="118"/>
    </row>
    <row r="32" spans="1:7" ht="165" customHeight="1" x14ac:dyDescent="0.2">
      <c r="A32" s="110"/>
      <c r="B32" s="87" t="s">
        <v>233</v>
      </c>
      <c r="C32" s="96"/>
      <c r="D32" s="310"/>
      <c r="E32" s="94"/>
      <c r="F32" s="98"/>
      <c r="G32" s="118"/>
    </row>
    <row r="33" spans="1:7" ht="15" x14ac:dyDescent="0.25">
      <c r="A33" s="113"/>
      <c r="B33" s="252"/>
      <c r="C33" s="97" t="s">
        <v>66</v>
      </c>
      <c r="D33" s="97">
        <v>1</v>
      </c>
      <c r="E33" s="94"/>
      <c r="F33" s="212">
        <f>D33*E33</f>
        <v>0</v>
      </c>
      <c r="G33" s="119"/>
    </row>
    <row r="34" spans="1:7" ht="15" x14ac:dyDescent="0.25">
      <c r="A34" s="113"/>
      <c r="B34" s="125"/>
      <c r="C34" s="97"/>
      <c r="D34" s="92"/>
      <c r="E34" s="94"/>
      <c r="F34" s="212"/>
      <c r="G34" s="119"/>
    </row>
    <row r="35" spans="1:7" ht="15" thickBot="1" x14ac:dyDescent="0.25">
      <c r="A35" s="130"/>
      <c r="B35" s="131"/>
      <c r="C35" s="132"/>
      <c r="D35" s="92"/>
      <c r="E35" s="253"/>
      <c r="F35" s="174"/>
      <c r="G35" s="129"/>
    </row>
    <row r="36" spans="1:7" ht="15.75" thickBot="1" x14ac:dyDescent="0.3">
      <c r="A36" s="133" t="s">
        <v>20</v>
      </c>
      <c r="B36" s="254" t="s">
        <v>218</v>
      </c>
      <c r="C36" s="134"/>
      <c r="D36" s="135"/>
      <c r="E36" s="136" t="s">
        <v>491</v>
      </c>
      <c r="F36" s="104">
        <f>SUM(F28:F35)</f>
        <v>0</v>
      </c>
      <c r="G36" s="26"/>
    </row>
  </sheetData>
  <mergeCells count="10">
    <mergeCell ref="A3:F3"/>
    <mergeCell ref="A24:E24"/>
    <mergeCell ref="A22:E22"/>
    <mergeCell ref="A20:E20"/>
    <mergeCell ref="A2:F2"/>
    <mergeCell ref="B8:F8"/>
    <mergeCell ref="A12:E12"/>
    <mergeCell ref="A16:E16"/>
    <mergeCell ref="A14:E14"/>
    <mergeCell ref="A18:E18"/>
  </mergeCells>
  <phoneticPr fontId="32" type="noConversion"/>
  <pageMargins left="0.70866141732283472" right="0.19685039370078741" top="0.74803149606299213" bottom="0.74803149606299213" header="0.31496062992125984" footer="0.31496062992125984"/>
  <pageSetup paperSize="9" orientation="portrait" r:id="rId1"/>
  <headerFooter alignWithMargins="0">
    <oddHeader xml:space="preserve">&amp;L&amp;"Calibri,Regular"&amp;9Investitor: Suvlasnici stambene zgrade u Zagrebu, Sveti Duh 65, 10000 Zagreb
Građevina: Stambena zgrada u Zagrebu, Sveti Duh 65&amp;R&amp;"Calibri,Regular"&amp;9&amp;K000000z.o.p.: Sveti Duh 65
t.d.: 02-2020&amp;K01+000
</oddHeader>
    <oddFooter xml:space="preserve">&amp;L&amp;"Calibri,Regular"&amp;9Radovi prema čl. 5 Pravilnika o jednostavnim i drugim građevinama i radovima (NN 112/17, 34/18, 36/19, 98/19, 31/20) 
</oddFooter>
  </headerFooter>
  <rowBreaks count="1" manualBreakCount="1">
    <brk id="24"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2:G93"/>
  <sheetViews>
    <sheetView view="pageBreakPreview" topLeftCell="A87" zoomScaleNormal="100" zoomScaleSheetLayoutView="100" workbookViewId="0">
      <selection activeCell="E81" sqref="E81:E82"/>
    </sheetView>
  </sheetViews>
  <sheetFormatPr defaultColWidth="9.140625" defaultRowHeight="14.25" x14ac:dyDescent="0.2"/>
  <cols>
    <col min="1" max="1" width="5.7109375" style="102" customWidth="1"/>
    <col min="2" max="2" width="40.7109375" style="102" customWidth="1"/>
    <col min="3" max="3" width="7.7109375" style="137" customWidth="1"/>
    <col min="4" max="4" width="10.7109375" style="138" customWidth="1"/>
    <col min="5" max="5" width="10.7109375" style="102" customWidth="1"/>
    <col min="6" max="6" width="10.7109375" style="127" customWidth="1"/>
    <col min="7" max="7" width="5.7109375" style="127" customWidth="1"/>
    <col min="8" max="8" width="36.7109375" style="102" customWidth="1"/>
    <col min="9" max="16384" width="9.140625" style="102"/>
  </cols>
  <sheetData>
    <row r="2" spans="1:7" x14ac:dyDescent="0.2">
      <c r="A2" s="387" t="s">
        <v>87</v>
      </c>
      <c r="B2" s="388"/>
      <c r="C2" s="388"/>
      <c r="D2" s="388"/>
      <c r="E2" s="388"/>
      <c r="F2" s="389"/>
      <c r="G2" s="139"/>
    </row>
    <row r="3" spans="1:7" x14ac:dyDescent="0.2">
      <c r="A3" s="380" t="s">
        <v>194</v>
      </c>
      <c r="B3" s="381"/>
      <c r="C3" s="381"/>
      <c r="D3" s="381"/>
      <c r="E3" s="381"/>
      <c r="F3" s="381"/>
    </row>
    <row r="4" spans="1:7" x14ac:dyDescent="0.2">
      <c r="A4" s="140" t="s">
        <v>11</v>
      </c>
      <c r="B4" s="140" t="s">
        <v>18</v>
      </c>
      <c r="C4" s="140" t="s">
        <v>7</v>
      </c>
      <c r="D4" s="141" t="s">
        <v>8</v>
      </c>
      <c r="E4" s="140" t="s">
        <v>9</v>
      </c>
      <c r="F4" s="140" t="s">
        <v>10</v>
      </c>
      <c r="G4" s="142"/>
    </row>
    <row r="5" spans="1:7" x14ac:dyDescent="0.2">
      <c r="A5" s="143"/>
      <c r="B5" s="143"/>
      <c r="C5" s="143"/>
      <c r="D5" s="144"/>
      <c r="E5" s="143"/>
      <c r="F5" s="143"/>
      <c r="G5" s="142"/>
    </row>
    <row r="6" spans="1:7" ht="15.75" thickBot="1" x14ac:dyDescent="0.3">
      <c r="A6" s="150" t="s">
        <v>167</v>
      </c>
      <c r="B6" s="390" t="s">
        <v>67</v>
      </c>
      <c r="C6" s="390"/>
      <c r="D6" s="390"/>
      <c r="E6" s="390"/>
      <c r="F6" s="390"/>
    </row>
    <row r="7" spans="1:7" x14ac:dyDescent="0.2">
      <c r="A7" s="152"/>
      <c r="B7" s="153"/>
      <c r="C7" s="154"/>
      <c r="D7" s="92"/>
      <c r="E7" s="155"/>
      <c r="F7" s="156"/>
    </row>
    <row r="8" spans="1:7" ht="15" x14ac:dyDescent="0.25">
      <c r="A8" s="158" t="s">
        <v>64</v>
      </c>
      <c r="B8" s="159"/>
      <c r="C8" s="160"/>
      <c r="D8" s="161"/>
      <c r="E8" s="162"/>
      <c r="F8" s="120"/>
      <c r="G8" s="151"/>
    </row>
    <row r="9" spans="1:7" ht="14.25" customHeight="1" x14ac:dyDescent="0.2">
      <c r="A9" s="158"/>
      <c r="B9" s="159"/>
      <c r="C9" s="160"/>
      <c r="D9" s="161"/>
      <c r="E9" s="162"/>
      <c r="F9" s="120"/>
      <c r="G9" s="157"/>
    </row>
    <row r="10" spans="1:7" ht="39.6" customHeight="1" x14ac:dyDescent="0.2">
      <c r="A10" s="384" t="s">
        <v>4</v>
      </c>
      <c r="B10" s="386"/>
      <c r="C10" s="386"/>
      <c r="D10" s="386"/>
      <c r="E10" s="386"/>
      <c r="F10" s="120"/>
      <c r="G10" s="121"/>
    </row>
    <row r="11" spans="1:7" x14ac:dyDescent="0.2">
      <c r="A11" s="101"/>
      <c r="B11" s="91"/>
      <c r="C11" s="91"/>
      <c r="D11" s="122"/>
      <c r="E11" s="91"/>
      <c r="F11" s="120"/>
      <c r="G11" s="121"/>
    </row>
    <row r="12" spans="1:7" ht="37.5" customHeight="1" x14ac:dyDescent="0.2">
      <c r="A12" s="384" t="s">
        <v>26</v>
      </c>
      <c r="B12" s="394"/>
      <c r="C12" s="394"/>
      <c r="D12" s="394"/>
      <c r="E12" s="394"/>
      <c r="F12" s="120"/>
      <c r="G12" s="121"/>
    </row>
    <row r="13" spans="1:7" ht="15" x14ac:dyDescent="0.2">
      <c r="A13" s="101"/>
      <c r="B13" s="187"/>
      <c r="C13" s="187"/>
      <c r="D13" s="191"/>
      <c r="E13" s="187"/>
      <c r="F13" s="120"/>
      <c r="G13" s="121"/>
    </row>
    <row r="14" spans="1:7" ht="51.6" customHeight="1" x14ac:dyDescent="0.2">
      <c r="A14" s="384" t="s">
        <v>274</v>
      </c>
      <c r="B14" s="394"/>
      <c r="C14" s="394"/>
      <c r="D14" s="394"/>
      <c r="E14" s="394"/>
      <c r="F14" s="120"/>
      <c r="G14" s="121"/>
    </row>
    <row r="15" spans="1:7" ht="15" x14ac:dyDescent="0.2">
      <c r="A15" s="101"/>
      <c r="B15" s="187"/>
      <c r="C15" s="187"/>
      <c r="D15" s="191"/>
      <c r="E15" s="187"/>
      <c r="F15" s="120"/>
      <c r="G15" s="121"/>
    </row>
    <row r="16" spans="1:7" ht="70.150000000000006" customHeight="1" x14ac:dyDescent="0.2">
      <c r="A16" s="384" t="s">
        <v>5</v>
      </c>
      <c r="B16" s="394"/>
      <c r="C16" s="394"/>
      <c r="D16" s="394"/>
      <c r="E16" s="394"/>
      <c r="F16" s="120"/>
      <c r="G16" s="121"/>
    </row>
    <row r="17" spans="1:7" ht="15" x14ac:dyDescent="0.2">
      <c r="A17" s="101"/>
      <c r="B17" s="187"/>
      <c r="C17" s="187"/>
      <c r="D17" s="191"/>
      <c r="E17" s="187"/>
      <c r="F17" s="120"/>
      <c r="G17" s="121"/>
    </row>
    <row r="18" spans="1:7" ht="14.45" customHeight="1" x14ac:dyDescent="0.2">
      <c r="A18" s="384" t="s">
        <v>275</v>
      </c>
      <c r="B18" s="393"/>
      <c r="C18" s="393"/>
      <c r="D18" s="393"/>
      <c r="E18" s="393"/>
      <c r="F18" s="120"/>
      <c r="G18" s="121"/>
    </row>
    <row r="19" spans="1:7" ht="11.25" customHeight="1" x14ac:dyDescent="0.2">
      <c r="A19" s="101"/>
      <c r="B19" s="187"/>
      <c r="C19" s="187"/>
      <c r="D19" s="191"/>
      <c r="E19" s="187"/>
      <c r="F19" s="120"/>
      <c r="G19" s="121"/>
    </row>
    <row r="20" spans="1:7" ht="48.75" customHeight="1" x14ac:dyDescent="0.2">
      <c r="A20" s="384" t="s">
        <v>276</v>
      </c>
      <c r="B20" s="394"/>
      <c r="C20" s="394"/>
      <c r="D20" s="394"/>
      <c r="E20" s="394"/>
      <c r="F20" s="120"/>
      <c r="G20" s="121"/>
    </row>
    <row r="21" spans="1:7" ht="15" x14ac:dyDescent="0.2">
      <c r="A21" s="101"/>
      <c r="B21" s="187"/>
      <c r="C21" s="187"/>
      <c r="D21" s="191"/>
      <c r="E21" s="187"/>
      <c r="F21" s="120"/>
      <c r="G21" s="121"/>
    </row>
    <row r="22" spans="1:7" ht="91.15" customHeight="1" x14ac:dyDescent="0.2">
      <c r="A22" s="384" t="s">
        <v>277</v>
      </c>
      <c r="B22" s="394"/>
      <c r="C22" s="394"/>
      <c r="D22" s="394"/>
      <c r="E22" s="394"/>
      <c r="F22" s="120"/>
      <c r="G22" s="121"/>
    </row>
    <row r="23" spans="1:7" ht="15" customHeight="1" x14ac:dyDescent="0.2">
      <c r="A23" s="384" t="s">
        <v>6</v>
      </c>
      <c r="B23" s="394"/>
      <c r="C23" s="394"/>
      <c r="D23" s="394"/>
      <c r="E23" s="394"/>
      <c r="F23" s="120"/>
      <c r="G23" s="121"/>
    </row>
    <row r="24" spans="1:7" ht="50.25" customHeight="1" x14ac:dyDescent="0.2">
      <c r="A24" s="382" t="s">
        <v>268</v>
      </c>
      <c r="B24" s="383"/>
      <c r="C24" s="383"/>
      <c r="D24" s="383"/>
      <c r="E24" s="383"/>
      <c r="F24" s="120"/>
      <c r="G24" s="121"/>
    </row>
    <row r="25" spans="1:7" ht="15" x14ac:dyDescent="0.2">
      <c r="A25" s="176"/>
      <c r="B25" s="273"/>
      <c r="C25" s="273"/>
      <c r="D25" s="273"/>
      <c r="E25" s="273"/>
      <c r="F25" s="120"/>
      <c r="G25" s="121"/>
    </row>
    <row r="26" spans="1:7" ht="15" x14ac:dyDescent="0.2">
      <c r="A26" s="240" t="s">
        <v>94</v>
      </c>
      <c r="B26" s="178" t="s">
        <v>166</v>
      </c>
      <c r="C26" s="163"/>
      <c r="D26" s="311"/>
      <c r="E26" s="163"/>
      <c r="F26" s="120"/>
      <c r="G26" s="118"/>
    </row>
    <row r="27" spans="1:7" ht="144" x14ac:dyDescent="0.2">
      <c r="A27" s="101"/>
      <c r="B27" s="235" t="s">
        <v>255</v>
      </c>
      <c r="C27" s="163"/>
      <c r="D27" s="311"/>
      <c r="E27" s="163"/>
      <c r="F27" s="102"/>
      <c r="G27" s="118"/>
    </row>
    <row r="28" spans="1:7" x14ac:dyDescent="0.2">
      <c r="A28" s="101"/>
      <c r="B28" s="252"/>
      <c r="C28" s="97" t="s">
        <v>66</v>
      </c>
      <c r="D28" s="97">
        <v>41</v>
      </c>
      <c r="E28" s="94"/>
      <c r="F28" s="212">
        <f>D28*E28</f>
        <v>0</v>
      </c>
      <c r="G28" s="118"/>
    </row>
    <row r="29" spans="1:7" ht="13.5" customHeight="1" x14ac:dyDescent="0.2">
      <c r="A29" s="101"/>
      <c r="B29" s="163"/>
      <c r="C29" s="163"/>
      <c r="D29" s="311"/>
      <c r="E29" s="163"/>
      <c r="F29" s="171"/>
      <c r="G29" s="119"/>
    </row>
    <row r="30" spans="1:7" x14ac:dyDescent="0.2">
      <c r="A30" s="240" t="s">
        <v>95</v>
      </c>
      <c r="B30" s="168" t="s">
        <v>213</v>
      </c>
      <c r="C30" s="96"/>
      <c r="D30" s="312"/>
      <c r="E30" s="170"/>
      <c r="F30" s="171"/>
      <c r="G30" s="118"/>
    </row>
    <row r="31" spans="1:7" ht="138.6" customHeight="1" x14ac:dyDescent="0.2">
      <c r="A31" s="110"/>
      <c r="B31" s="87" t="s">
        <v>437</v>
      </c>
      <c r="C31" s="96"/>
      <c r="D31" s="312"/>
      <c r="E31" s="170"/>
      <c r="F31" s="102"/>
      <c r="G31" s="118"/>
    </row>
    <row r="32" spans="1:7" ht="17.45" customHeight="1" x14ac:dyDescent="0.2">
      <c r="A32" s="110"/>
      <c r="B32" s="252"/>
      <c r="C32" s="97" t="s">
        <v>288</v>
      </c>
      <c r="D32" s="97">
        <v>1</v>
      </c>
      <c r="E32" s="94"/>
      <c r="F32" s="244">
        <f>D32*E32</f>
        <v>0</v>
      </c>
      <c r="G32" s="118"/>
    </row>
    <row r="33" spans="1:7" ht="15" x14ac:dyDescent="0.2">
      <c r="A33" s="101"/>
      <c r="B33" s="163"/>
      <c r="C33" s="163"/>
      <c r="D33" s="311"/>
      <c r="E33" s="266"/>
      <c r="F33" s="244"/>
      <c r="G33" s="119"/>
    </row>
    <row r="34" spans="1:7" ht="15" x14ac:dyDescent="0.2">
      <c r="A34" s="173" t="s">
        <v>96</v>
      </c>
      <c r="B34" s="176" t="s">
        <v>243</v>
      </c>
      <c r="C34" s="163"/>
      <c r="D34" s="311"/>
      <c r="E34" s="266"/>
      <c r="F34" s="244"/>
      <c r="G34" s="119"/>
    </row>
    <row r="35" spans="1:7" ht="48" x14ac:dyDescent="0.2">
      <c r="A35" s="101"/>
      <c r="B35" s="87" t="s">
        <v>294</v>
      </c>
      <c r="C35" s="228"/>
      <c r="D35" s="227"/>
      <c r="E35" s="268"/>
      <c r="F35" s="244"/>
      <c r="G35" s="129"/>
    </row>
    <row r="36" spans="1:7" x14ac:dyDescent="0.2">
      <c r="A36" s="110"/>
      <c r="B36" s="132" t="s">
        <v>299</v>
      </c>
      <c r="C36" s="255" t="s">
        <v>168</v>
      </c>
      <c r="D36" s="97">
        <v>54</v>
      </c>
      <c r="E36" s="172"/>
      <c r="F36" s="244">
        <f>D36*E36</f>
        <v>0</v>
      </c>
      <c r="G36" s="26"/>
    </row>
    <row r="37" spans="1:7" x14ac:dyDescent="0.2">
      <c r="A37" s="110"/>
      <c r="B37" s="252"/>
      <c r="C37" s="255"/>
      <c r="D37" s="97"/>
      <c r="E37" s="172"/>
      <c r="F37" s="244"/>
    </row>
    <row r="38" spans="1:7" ht="15" x14ac:dyDescent="0.2">
      <c r="A38" s="173" t="s">
        <v>65</v>
      </c>
      <c r="B38" s="178" t="s">
        <v>293</v>
      </c>
      <c r="C38" s="163"/>
      <c r="D38" s="311"/>
      <c r="E38" s="266"/>
      <c r="F38" s="244"/>
    </row>
    <row r="39" spans="1:7" ht="60" x14ac:dyDescent="0.2">
      <c r="A39" s="101"/>
      <c r="B39" s="87" t="s">
        <v>336</v>
      </c>
      <c r="C39" s="228"/>
      <c r="D39" s="227"/>
      <c r="E39" s="268"/>
      <c r="F39" s="244"/>
    </row>
    <row r="40" spans="1:7" x14ac:dyDescent="0.2">
      <c r="A40" s="110"/>
      <c r="B40" s="325" t="s">
        <v>342</v>
      </c>
      <c r="C40" s="255" t="s">
        <v>66</v>
      </c>
      <c r="D40" s="97">
        <v>3</v>
      </c>
      <c r="E40" s="172"/>
      <c r="F40" s="244">
        <f>D40*E40</f>
        <v>0</v>
      </c>
    </row>
    <row r="41" spans="1:7" x14ac:dyDescent="0.2">
      <c r="A41" s="110"/>
      <c r="B41" s="325" t="s">
        <v>343</v>
      </c>
      <c r="C41" s="255" t="s">
        <v>66</v>
      </c>
      <c r="D41" s="97">
        <v>2</v>
      </c>
      <c r="E41" s="172"/>
      <c r="F41" s="244">
        <f t="shared" ref="F41" si="0">D41*E41</f>
        <v>0</v>
      </c>
    </row>
    <row r="42" spans="1:7" x14ac:dyDescent="0.2">
      <c r="A42" s="110"/>
      <c r="B42" s="96"/>
      <c r="C42" s="96"/>
      <c r="D42" s="97"/>
      <c r="E42" s="172"/>
      <c r="F42" s="212"/>
    </row>
    <row r="43" spans="1:7" ht="24" x14ac:dyDescent="0.2">
      <c r="A43" s="175" t="s">
        <v>97</v>
      </c>
      <c r="B43" s="176" t="s">
        <v>344</v>
      </c>
      <c r="C43" s="96"/>
      <c r="D43" s="97"/>
      <c r="E43" s="94"/>
      <c r="F43" s="212"/>
    </row>
    <row r="44" spans="1:7" ht="72" x14ac:dyDescent="0.2">
      <c r="A44" s="110"/>
      <c r="B44" s="87" t="s">
        <v>345</v>
      </c>
      <c r="C44" s="96"/>
      <c r="D44" s="97"/>
      <c r="E44" s="94"/>
      <c r="F44" s="102"/>
    </row>
    <row r="45" spans="1:7" x14ac:dyDescent="0.2">
      <c r="A45" s="110"/>
      <c r="B45" s="132" t="s">
        <v>346</v>
      </c>
      <c r="C45" s="255" t="s">
        <v>168</v>
      </c>
      <c r="D45" s="97">
        <v>25</v>
      </c>
      <c r="E45" s="172"/>
      <c r="F45" s="244">
        <f>D45*E45</f>
        <v>0</v>
      </c>
    </row>
    <row r="46" spans="1:7" x14ac:dyDescent="0.2">
      <c r="A46" s="110"/>
      <c r="B46" s="132" t="s">
        <v>347</v>
      </c>
      <c r="C46" s="255" t="s">
        <v>168</v>
      </c>
      <c r="D46" s="97">
        <v>17</v>
      </c>
      <c r="E46" s="172"/>
      <c r="F46" s="244">
        <f t="shared" ref="F46:F47" si="1">D46*E46</f>
        <v>0</v>
      </c>
    </row>
    <row r="47" spans="1:7" x14ac:dyDescent="0.2">
      <c r="A47" s="110"/>
      <c r="B47" s="132" t="s">
        <v>348</v>
      </c>
      <c r="C47" s="255" t="s">
        <v>168</v>
      </c>
      <c r="D47" s="97">
        <v>2</v>
      </c>
      <c r="E47" s="172"/>
      <c r="F47" s="244">
        <f t="shared" si="1"/>
        <v>0</v>
      </c>
    </row>
    <row r="48" spans="1:7" x14ac:dyDescent="0.2">
      <c r="B48" s="307"/>
      <c r="C48" s="102"/>
      <c r="D48" s="313"/>
      <c r="E48" s="267"/>
      <c r="F48" s="211"/>
    </row>
    <row r="49" spans="1:6" x14ac:dyDescent="0.2">
      <c r="A49" s="175" t="s">
        <v>98</v>
      </c>
      <c r="B49" s="176" t="s">
        <v>351</v>
      </c>
      <c r="C49" s="96"/>
      <c r="D49" s="97"/>
      <c r="E49" s="94"/>
      <c r="F49" s="212"/>
    </row>
    <row r="50" spans="1:6" ht="120" x14ac:dyDescent="0.2">
      <c r="A50" s="110"/>
      <c r="B50" s="87" t="s">
        <v>353</v>
      </c>
      <c r="C50" s="96"/>
      <c r="D50" s="97"/>
      <c r="E50" s="94"/>
      <c r="F50" s="102"/>
    </row>
    <row r="51" spans="1:6" x14ac:dyDescent="0.2">
      <c r="A51" s="110"/>
      <c r="B51" s="132" t="s">
        <v>352</v>
      </c>
      <c r="C51" s="255" t="s">
        <v>168</v>
      </c>
      <c r="D51" s="97">
        <v>25</v>
      </c>
      <c r="E51" s="172"/>
      <c r="F51" s="244">
        <f>D51*E51</f>
        <v>0</v>
      </c>
    </row>
    <row r="52" spans="1:6" x14ac:dyDescent="0.2">
      <c r="B52" s="307"/>
      <c r="C52" s="102"/>
      <c r="D52" s="313"/>
      <c r="E52" s="267"/>
      <c r="F52" s="211"/>
    </row>
    <row r="53" spans="1:6" ht="24" x14ac:dyDescent="0.2">
      <c r="A53" s="110" t="s">
        <v>99</v>
      </c>
      <c r="B53" s="176" t="s">
        <v>349</v>
      </c>
      <c r="C53" s="276"/>
      <c r="D53" s="311"/>
      <c r="E53" s="266"/>
      <c r="F53" s="120"/>
    </row>
    <row r="54" spans="1:6" ht="180" x14ac:dyDescent="0.2">
      <c r="A54" s="175"/>
      <c r="B54" s="257" t="s">
        <v>365</v>
      </c>
      <c r="C54" s="276"/>
      <c r="D54" s="311"/>
      <c r="E54" s="266"/>
      <c r="F54" s="102"/>
    </row>
    <row r="55" spans="1:6" x14ac:dyDescent="0.2">
      <c r="A55" s="101"/>
      <c r="B55" s="132" t="s">
        <v>350</v>
      </c>
      <c r="C55" s="255" t="s">
        <v>149</v>
      </c>
      <c r="D55" s="308">
        <v>31</v>
      </c>
      <c r="E55" s="172"/>
      <c r="F55" s="244">
        <f>D55*E55</f>
        <v>0</v>
      </c>
    </row>
    <row r="56" spans="1:6" x14ac:dyDescent="0.2">
      <c r="A56" s="101"/>
      <c r="B56" s="132"/>
      <c r="C56" s="255"/>
      <c r="D56" s="308"/>
      <c r="E56" s="172"/>
      <c r="F56" s="244"/>
    </row>
    <row r="57" spans="1:6" ht="15" x14ac:dyDescent="0.2">
      <c r="A57" s="110" t="s">
        <v>256</v>
      </c>
      <c r="B57" s="176" t="s">
        <v>355</v>
      </c>
      <c r="C57" s="276"/>
      <c r="D57" s="311"/>
      <c r="E57" s="266"/>
      <c r="F57" s="120"/>
    </row>
    <row r="58" spans="1:6" ht="48" x14ac:dyDescent="0.2">
      <c r="A58" s="175"/>
      <c r="B58" s="257" t="s">
        <v>356</v>
      </c>
      <c r="C58" s="276"/>
      <c r="D58" s="311"/>
      <c r="E58" s="266"/>
      <c r="F58" s="102"/>
    </row>
    <row r="59" spans="1:6" x14ac:dyDescent="0.2">
      <c r="A59" s="101"/>
      <c r="B59" s="132" t="s">
        <v>354</v>
      </c>
      <c r="C59" s="255" t="s">
        <v>168</v>
      </c>
      <c r="D59" s="97">
        <v>33</v>
      </c>
      <c r="E59" s="172"/>
      <c r="F59" s="244">
        <f>D59*E59</f>
        <v>0</v>
      </c>
    </row>
    <row r="60" spans="1:6" x14ac:dyDescent="0.2">
      <c r="A60" s="101"/>
      <c r="B60" s="132" t="s">
        <v>244</v>
      </c>
      <c r="C60" s="255" t="s">
        <v>168</v>
      </c>
      <c r="D60" s="97">
        <v>35</v>
      </c>
      <c r="E60" s="172"/>
      <c r="F60" s="244">
        <f>D60*E60</f>
        <v>0</v>
      </c>
    </row>
    <row r="61" spans="1:6" x14ac:dyDescent="0.2">
      <c r="A61" s="101"/>
      <c r="B61" s="132"/>
      <c r="C61" s="255"/>
      <c r="D61" s="97"/>
      <c r="E61" s="172"/>
      <c r="F61" s="244"/>
    </row>
    <row r="62" spans="1:6" ht="24" x14ac:dyDescent="0.2">
      <c r="A62" s="110" t="s">
        <v>295</v>
      </c>
      <c r="B62" s="176" t="s">
        <v>297</v>
      </c>
      <c r="C62" s="276"/>
      <c r="D62" s="311"/>
      <c r="E62" s="266"/>
      <c r="F62" s="120"/>
    </row>
    <row r="63" spans="1:6" ht="96" x14ac:dyDescent="0.2">
      <c r="A63" s="175"/>
      <c r="B63" s="257" t="s">
        <v>359</v>
      </c>
      <c r="C63" s="276"/>
      <c r="D63" s="311"/>
      <c r="E63" s="266"/>
      <c r="F63" s="102"/>
    </row>
    <row r="64" spans="1:6" x14ac:dyDescent="0.2">
      <c r="A64" s="101"/>
      <c r="B64" s="132" t="s">
        <v>360</v>
      </c>
      <c r="C64" s="255" t="s">
        <v>66</v>
      </c>
      <c r="D64" s="308">
        <v>3</v>
      </c>
      <c r="E64" s="172"/>
      <c r="F64" s="244">
        <f>D64*E64</f>
        <v>0</v>
      </c>
    </row>
    <row r="65" spans="1:6" x14ac:dyDescent="0.2">
      <c r="A65" s="101"/>
      <c r="B65" s="132"/>
      <c r="C65" s="255"/>
      <c r="D65" s="308"/>
      <c r="E65" s="172"/>
      <c r="F65" s="244"/>
    </row>
    <row r="66" spans="1:6" ht="24" x14ac:dyDescent="0.2">
      <c r="A66" s="110" t="s">
        <v>296</v>
      </c>
      <c r="B66" s="176" t="s">
        <v>301</v>
      </c>
      <c r="C66" s="330"/>
      <c r="D66" s="89"/>
      <c r="E66" s="331"/>
      <c r="F66" s="120"/>
    </row>
    <row r="67" spans="1:6" ht="84" x14ac:dyDescent="0.2">
      <c r="A67" s="110"/>
      <c r="B67" s="351" t="s">
        <v>361</v>
      </c>
      <c r="C67" s="330"/>
      <c r="D67" s="89"/>
      <c r="E67" s="331"/>
      <c r="F67" s="120"/>
    </row>
    <row r="68" spans="1:6" x14ac:dyDescent="0.2">
      <c r="A68" s="101"/>
      <c r="B68" s="132"/>
      <c r="C68" s="255" t="s">
        <v>149</v>
      </c>
      <c r="D68" s="97">
        <v>560</v>
      </c>
      <c r="E68" s="172"/>
      <c r="F68" s="244">
        <f>D68*E68</f>
        <v>0</v>
      </c>
    </row>
    <row r="69" spans="1:6" x14ac:dyDescent="0.2">
      <c r="A69" s="326"/>
      <c r="B69" s="327"/>
      <c r="C69" s="255"/>
      <c r="D69" s="328"/>
      <c r="E69" s="277"/>
      <c r="F69" s="329"/>
    </row>
    <row r="70" spans="1:6" ht="15" x14ac:dyDescent="0.2">
      <c r="A70" s="110" t="s">
        <v>298</v>
      </c>
      <c r="B70" s="176" t="s">
        <v>358</v>
      </c>
      <c r="C70" s="330"/>
      <c r="D70" s="89"/>
      <c r="E70" s="331"/>
      <c r="F70" s="120"/>
    </row>
    <row r="71" spans="1:6" ht="60" x14ac:dyDescent="0.2">
      <c r="A71" s="175"/>
      <c r="B71" s="257" t="s">
        <v>438</v>
      </c>
      <c r="C71" s="330"/>
      <c r="D71" s="89"/>
      <c r="E71" s="331"/>
      <c r="F71" s="188"/>
    </row>
    <row r="72" spans="1:6" x14ac:dyDescent="0.2">
      <c r="A72" s="101"/>
      <c r="B72" s="132" t="s">
        <v>362</v>
      </c>
      <c r="C72" s="255" t="s">
        <v>216</v>
      </c>
      <c r="D72" s="97">
        <v>2</v>
      </c>
      <c r="E72" s="172"/>
      <c r="F72" s="244">
        <f>D72*E72</f>
        <v>0</v>
      </c>
    </row>
    <row r="73" spans="1:6" x14ac:dyDescent="0.2">
      <c r="A73" s="101"/>
      <c r="B73" s="132" t="s">
        <v>363</v>
      </c>
      <c r="C73" s="255" t="s">
        <v>216</v>
      </c>
      <c r="D73" s="97">
        <v>10</v>
      </c>
      <c r="E73" s="172"/>
      <c r="F73" s="244">
        <f>D73*E73</f>
        <v>0</v>
      </c>
    </row>
    <row r="74" spans="1:6" x14ac:dyDescent="0.2">
      <c r="A74" s="101"/>
      <c r="B74" s="132"/>
      <c r="C74" s="255"/>
      <c r="D74" s="97"/>
      <c r="E74" s="172"/>
      <c r="F74" s="244"/>
    </row>
    <row r="75" spans="1:6" ht="15" x14ac:dyDescent="0.2">
      <c r="A75" s="110" t="s">
        <v>328</v>
      </c>
      <c r="B75" s="176" t="s">
        <v>357</v>
      </c>
      <c r="C75" s="330"/>
      <c r="D75" s="89"/>
      <c r="E75" s="331"/>
      <c r="F75" s="120"/>
    </row>
    <row r="76" spans="1:6" ht="132" x14ac:dyDescent="0.2">
      <c r="A76" s="175"/>
      <c r="B76" s="257" t="s">
        <v>364</v>
      </c>
      <c r="C76" s="330"/>
      <c r="D76" s="89"/>
      <c r="E76" s="331"/>
      <c r="F76" s="188"/>
    </row>
    <row r="77" spans="1:6" x14ac:dyDescent="0.2">
      <c r="A77" s="101"/>
      <c r="B77" s="132"/>
      <c r="C77" s="255" t="s">
        <v>149</v>
      </c>
      <c r="D77" s="97">
        <v>230</v>
      </c>
      <c r="E77" s="369"/>
      <c r="F77" s="244">
        <f>D77*E77</f>
        <v>0</v>
      </c>
    </row>
    <row r="78" spans="1:6" x14ac:dyDescent="0.2">
      <c r="A78" s="101"/>
      <c r="B78" s="132"/>
      <c r="C78" s="255"/>
      <c r="D78" s="97"/>
      <c r="E78" s="277"/>
      <c r="F78" s="244"/>
    </row>
    <row r="79" spans="1:6" ht="24" x14ac:dyDescent="0.2">
      <c r="A79" s="110" t="s">
        <v>329</v>
      </c>
      <c r="B79" s="176" t="s">
        <v>449</v>
      </c>
      <c r="C79" s="330"/>
      <c r="D79" s="89"/>
      <c r="E79" s="331"/>
      <c r="F79" s="120"/>
    </row>
    <row r="80" spans="1:6" ht="264" x14ac:dyDescent="0.2">
      <c r="A80" s="175"/>
      <c r="B80" s="257" t="s">
        <v>450</v>
      </c>
      <c r="C80" s="330"/>
      <c r="D80" s="89"/>
      <c r="E80" s="331"/>
      <c r="F80" s="188"/>
    </row>
    <row r="81" spans="1:6" x14ac:dyDescent="0.2">
      <c r="A81" s="101"/>
      <c r="B81" s="132" t="s">
        <v>451</v>
      </c>
      <c r="C81" s="255" t="s">
        <v>216</v>
      </c>
      <c r="D81" s="97">
        <v>1</v>
      </c>
      <c r="E81" s="369"/>
      <c r="F81" s="244">
        <f>D81*E81</f>
        <v>0</v>
      </c>
    </row>
    <row r="82" spans="1:6" x14ac:dyDescent="0.2">
      <c r="A82" s="101"/>
      <c r="B82" s="132" t="s">
        <v>452</v>
      </c>
      <c r="C82" s="255" t="s">
        <v>216</v>
      </c>
      <c r="D82" s="97">
        <v>1</v>
      </c>
      <c r="E82" s="369"/>
      <c r="F82" s="244">
        <f>D82*E82</f>
        <v>0</v>
      </c>
    </row>
    <row r="83" spans="1:6" x14ac:dyDescent="0.2">
      <c r="A83" s="101"/>
      <c r="B83" s="132"/>
      <c r="C83" s="255"/>
      <c r="D83" s="97"/>
      <c r="E83" s="277"/>
      <c r="F83" s="244"/>
    </row>
    <row r="84" spans="1:6" x14ac:dyDescent="0.2">
      <c r="A84" s="101"/>
      <c r="B84" s="132"/>
      <c r="C84" s="255"/>
      <c r="D84" s="97"/>
      <c r="E84" s="172"/>
      <c r="F84" s="244"/>
    </row>
    <row r="85" spans="1:6" ht="15" x14ac:dyDescent="0.2">
      <c r="A85" s="110" t="s">
        <v>453</v>
      </c>
      <c r="B85" s="176" t="s">
        <v>366</v>
      </c>
      <c r="C85" s="330"/>
      <c r="D85" s="89"/>
      <c r="E85" s="331"/>
      <c r="F85" s="120"/>
    </row>
    <row r="86" spans="1:6" ht="192" x14ac:dyDescent="0.2">
      <c r="A86" s="175"/>
      <c r="B86" s="257" t="s">
        <v>439</v>
      </c>
      <c r="C86" s="330"/>
      <c r="D86" s="89"/>
      <c r="E86" s="331"/>
      <c r="F86" s="188"/>
    </row>
    <row r="87" spans="1:6" x14ac:dyDescent="0.2">
      <c r="A87" s="101"/>
      <c r="B87" s="132"/>
      <c r="C87" s="255" t="s">
        <v>149</v>
      </c>
      <c r="D87" s="97">
        <v>214</v>
      </c>
      <c r="E87" s="369"/>
      <c r="F87" s="244">
        <f>D87*E87</f>
        <v>0</v>
      </c>
    </row>
    <row r="88" spans="1:6" x14ac:dyDescent="0.2">
      <c r="A88" s="101"/>
      <c r="B88" s="132"/>
      <c r="C88" s="255"/>
      <c r="D88" s="97"/>
      <c r="E88" s="172"/>
      <c r="F88" s="244"/>
    </row>
    <row r="89" spans="1:6" ht="15" x14ac:dyDescent="0.2">
      <c r="A89" s="110" t="s">
        <v>454</v>
      </c>
      <c r="B89" s="176" t="s">
        <v>455</v>
      </c>
      <c r="C89" s="330"/>
      <c r="D89" s="89"/>
      <c r="E89" s="331"/>
      <c r="F89" s="120"/>
    </row>
    <row r="90" spans="1:6" ht="144" x14ac:dyDescent="0.2">
      <c r="A90" s="175"/>
      <c r="B90" s="257" t="s">
        <v>456</v>
      </c>
      <c r="C90" s="330"/>
      <c r="D90" s="89"/>
      <c r="E90" s="331"/>
      <c r="F90" s="188"/>
    </row>
    <row r="91" spans="1:6" x14ac:dyDescent="0.2">
      <c r="A91" s="101"/>
      <c r="B91" s="132"/>
      <c r="C91" s="255" t="s">
        <v>149</v>
      </c>
      <c r="D91" s="97">
        <v>16</v>
      </c>
      <c r="E91" s="369"/>
      <c r="F91" s="244">
        <f>D91*E91</f>
        <v>0</v>
      </c>
    </row>
    <row r="92" spans="1:6" ht="15" thickBot="1" x14ac:dyDescent="0.25">
      <c r="A92" s="101"/>
      <c r="B92" s="132"/>
      <c r="C92" s="255"/>
      <c r="D92" s="97"/>
      <c r="E92" s="172"/>
      <c r="F92" s="244"/>
    </row>
    <row r="93" spans="1:6" ht="15.75" thickBot="1" x14ac:dyDescent="0.3">
      <c r="A93" s="133" t="s">
        <v>167</v>
      </c>
      <c r="B93" s="391" t="s">
        <v>219</v>
      </c>
      <c r="C93" s="392"/>
      <c r="D93" s="392"/>
      <c r="E93" s="136" t="s">
        <v>491</v>
      </c>
      <c r="F93" s="104">
        <f>SUM(F28:F92)</f>
        <v>0</v>
      </c>
    </row>
  </sheetData>
  <mergeCells count="13">
    <mergeCell ref="B6:F6"/>
    <mergeCell ref="A10:E10"/>
    <mergeCell ref="A23:E23"/>
    <mergeCell ref="A2:F2"/>
    <mergeCell ref="A3:F3"/>
    <mergeCell ref="A12:E12"/>
    <mergeCell ref="A14:E14"/>
    <mergeCell ref="A16:E16"/>
    <mergeCell ref="B93:D93"/>
    <mergeCell ref="A18:E18"/>
    <mergeCell ref="A20:E20"/>
    <mergeCell ref="A22:E22"/>
    <mergeCell ref="A24:E24"/>
  </mergeCells>
  <pageMargins left="0.70866141732283472" right="0.19685039370078741" top="0.74803149606299213" bottom="0.74803149606299213" header="0.31496062992125984" footer="0.31496062992125984"/>
  <pageSetup paperSize="9" orientation="portrait" r:id="rId1"/>
  <headerFooter alignWithMargins="0">
    <oddHeader xml:space="preserve">&amp;L&amp;"Calibri,Regular"&amp;9Investitor: Suvlasnici stambene zgrade u Zagrebu, Sveti Duh 65, 10000 Zagreb
Građevina: Stambena zgrada u Zagrebu, Sveti Duh 65&amp;R&amp;"Calibri,Regular"&amp;9&amp;K000000z.o.p.: Sveti Duh 65
t.d.: 02-2020&amp;K01+000
</oddHeader>
    <oddFooter xml:space="preserve">&amp;L&amp;"Calibri,Regular"&amp;9Radovi prema čl. 5 Pravilnika o jednostavnim i drugim građevinama i radovima (NN 112/17, 34/18, 36/19, 98/19, 31/20) 
</oddFooter>
  </headerFooter>
  <rowBreaks count="4" manualBreakCount="4">
    <brk id="24" max="16383" man="1"/>
    <brk id="41" max="16383" man="1"/>
    <brk id="60" max="16383" man="1"/>
    <brk id="77"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G70"/>
  <sheetViews>
    <sheetView view="pageBreakPreview" topLeftCell="A62" zoomScaleNormal="150" zoomScaleSheetLayoutView="100" workbookViewId="0">
      <selection activeCell="E55" sqref="E55"/>
    </sheetView>
  </sheetViews>
  <sheetFormatPr defaultColWidth="9.140625" defaultRowHeight="14.25" x14ac:dyDescent="0.2"/>
  <cols>
    <col min="1" max="1" width="5.7109375" style="102" customWidth="1"/>
    <col min="2" max="2" width="40.7109375" style="102" customWidth="1"/>
    <col min="3" max="3" width="7.7109375" style="137" customWidth="1"/>
    <col min="4" max="4" width="10.7109375" style="190" customWidth="1"/>
    <col min="5" max="5" width="10.7109375" style="102" customWidth="1"/>
    <col min="6" max="6" width="10.7109375" style="127" customWidth="1"/>
    <col min="7" max="7" width="11.28515625" style="102" bestFit="1" customWidth="1"/>
    <col min="8" max="16384" width="9.140625" style="102"/>
  </cols>
  <sheetData>
    <row r="1" spans="1:6" ht="15" x14ac:dyDescent="0.25">
      <c r="A1" s="93"/>
      <c r="B1" s="93"/>
      <c r="C1" s="179"/>
      <c r="D1" s="112"/>
      <c r="E1" s="93"/>
      <c r="F1" s="180"/>
    </row>
    <row r="2" spans="1:6" x14ac:dyDescent="0.2">
      <c r="A2" s="387" t="s">
        <v>87</v>
      </c>
      <c r="B2" s="388"/>
      <c r="C2" s="388"/>
      <c r="D2" s="388"/>
      <c r="E2" s="388"/>
      <c r="F2" s="389"/>
    </row>
    <row r="3" spans="1:6" x14ac:dyDescent="0.2">
      <c r="A3" s="380" t="s">
        <v>214</v>
      </c>
      <c r="B3" s="381"/>
      <c r="C3" s="381"/>
      <c r="D3" s="381"/>
      <c r="E3" s="381"/>
      <c r="F3" s="381"/>
    </row>
    <row r="4" spans="1:6" x14ac:dyDescent="0.2">
      <c r="A4" s="140" t="s">
        <v>11</v>
      </c>
      <c r="B4" s="140" t="s">
        <v>18</v>
      </c>
      <c r="C4" s="140" t="s">
        <v>7</v>
      </c>
      <c r="D4" s="141" t="s">
        <v>8</v>
      </c>
      <c r="E4" s="140" t="s">
        <v>9</v>
      </c>
      <c r="F4" s="140" t="s">
        <v>10</v>
      </c>
    </row>
    <row r="5" spans="1:6" x14ac:dyDescent="0.2">
      <c r="A5" s="143"/>
      <c r="B5" s="143"/>
      <c r="C5" s="143"/>
      <c r="D5" s="144"/>
      <c r="E5" s="143"/>
      <c r="F5" s="143"/>
    </row>
    <row r="6" spans="1:6" ht="15.75" thickBot="1" x14ac:dyDescent="0.3">
      <c r="A6" s="150" t="s">
        <v>150</v>
      </c>
      <c r="B6" s="390" t="s">
        <v>130</v>
      </c>
      <c r="C6" s="390"/>
      <c r="D6" s="390"/>
      <c r="E6" s="390"/>
      <c r="F6" s="390"/>
    </row>
    <row r="7" spans="1:6" x14ac:dyDescent="0.2">
      <c r="A7" s="152"/>
      <c r="B7" s="153"/>
      <c r="C7" s="154"/>
      <c r="D7" s="92"/>
      <c r="E7" s="155"/>
      <c r="F7" s="156"/>
    </row>
    <row r="8" spans="1:6" x14ac:dyDescent="0.2">
      <c r="A8" s="158" t="s">
        <v>64</v>
      </c>
      <c r="B8" s="159"/>
      <c r="C8" s="160"/>
      <c r="D8" s="161"/>
      <c r="E8" s="162"/>
      <c r="F8" s="120"/>
    </row>
    <row r="9" spans="1:6" x14ac:dyDescent="0.2">
      <c r="A9" s="158"/>
      <c r="B9" s="159"/>
      <c r="C9" s="160"/>
      <c r="D9" s="161"/>
      <c r="E9" s="162"/>
      <c r="F9" s="120"/>
    </row>
    <row r="10" spans="1:6" ht="27.75" customHeight="1" x14ac:dyDescent="0.2">
      <c r="A10" s="384" t="s">
        <v>131</v>
      </c>
      <c r="B10" s="386"/>
      <c r="C10" s="386"/>
      <c r="D10" s="386"/>
      <c r="E10" s="386"/>
      <c r="F10" s="120"/>
    </row>
    <row r="11" spans="1:6" x14ac:dyDescent="0.2">
      <c r="A11" s="101"/>
      <c r="B11" s="91"/>
      <c r="C11" s="91"/>
      <c r="D11" s="122"/>
      <c r="E11" s="91"/>
      <c r="F11" s="120"/>
    </row>
    <row r="12" spans="1:6" ht="108" customHeight="1" x14ac:dyDescent="0.2">
      <c r="A12" s="384" t="s">
        <v>289</v>
      </c>
      <c r="B12" s="384"/>
      <c r="C12" s="384"/>
      <c r="D12" s="384"/>
      <c r="E12" s="384"/>
      <c r="F12" s="120"/>
    </row>
    <row r="13" spans="1:6" ht="66" customHeight="1" x14ac:dyDescent="0.2">
      <c r="A13" s="384" t="s">
        <v>132</v>
      </c>
      <c r="B13" s="393"/>
      <c r="C13" s="393"/>
      <c r="D13" s="393"/>
      <c r="E13" s="393"/>
      <c r="F13" s="120"/>
    </row>
    <row r="14" spans="1:6" ht="85.5" customHeight="1" x14ac:dyDescent="0.2">
      <c r="A14" s="384" t="s">
        <v>39</v>
      </c>
      <c r="B14" s="393"/>
      <c r="C14" s="393"/>
      <c r="D14" s="393"/>
      <c r="E14" s="393"/>
      <c r="F14" s="120"/>
    </row>
    <row r="15" spans="1:6" ht="37.5" customHeight="1" x14ac:dyDescent="0.2">
      <c r="A15" s="384" t="s">
        <v>133</v>
      </c>
      <c r="B15" s="395"/>
      <c r="C15" s="395"/>
      <c r="D15" s="395"/>
      <c r="E15" s="395"/>
      <c r="F15" s="120"/>
    </row>
    <row r="16" spans="1:6" ht="15" x14ac:dyDescent="0.2">
      <c r="A16" s="101"/>
      <c r="B16" s="187"/>
      <c r="C16" s="187"/>
      <c r="D16" s="191"/>
      <c r="E16" s="187"/>
      <c r="F16" s="120"/>
    </row>
    <row r="17" spans="1:6" ht="63" customHeight="1" x14ac:dyDescent="0.2">
      <c r="A17" s="384" t="s">
        <v>134</v>
      </c>
      <c r="B17" s="393"/>
      <c r="C17" s="393"/>
      <c r="D17" s="393"/>
      <c r="E17" s="393"/>
      <c r="F17" s="120"/>
    </row>
    <row r="18" spans="1:6" ht="15" x14ac:dyDescent="0.2">
      <c r="A18" s="101"/>
      <c r="B18" s="187"/>
      <c r="C18" s="187"/>
      <c r="D18" s="191"/>
      <c r="E18" s="187"/>
      <c r="F18" s="120"/>
    </row>
    <row r="19" spans="1:6" ht="52.5" customHeight="1" x14ac:dyDescent="0.2">
      <c r="A19" s="384" t="s">
        <v>135</v>
      </c>
      <c r="B19" s="393"/>
      <c r="C19" s="393"/>
      <c r="D19" s="393"/>
      <c r="E19" s="393"/>
      <c r="F19" s="120"/>
    </row>
    <row r="20" spans="1:6" ht="15" x14ac:dyDescent="0.2">
      <c r="A20" s="192"/>
      <c r="B20" s="193"/>
      <c r="C20" s="193"/>
      <c r="D20" s="193"/>
      <c r="E20" s="193"/>
      <c r="F20" s="120"/>
    </row>
    <row r="21" spans="1:6" ht="64.5" customHeight="1" x14ac:dyDescent="0.2">
      <c r="A21" s="384" t="s">
        <v>38</v>
      </c>
      <c r="B21" s="393"/>
      <c r="C21" s="393"/>
      <c r="D21" s="393"/>
      <c r="E21" s="393"/>
      <c r="F21" s="120"/>
    </row>
    <row r="22" spans="1:6" ht="15" x14ac:dyDescent="0.2">
      <c r="A22" s="101"/>
      <c r="B22" s="105"/>
      <c r="C22" s="105"/>
      <c r="D22" s="105"/>
      <c r="E22" s="105"/>
      <c r="F22" s="120"/>
    </row>
    <row r="23" spans="1:6" ht="77.25" customHeight="1" x14ac:dyDescent="0.2">
      <c r="A23" s="384" t="s">
        <v>172</v>
      </c>
      <c r="B23" s="393"/>
      <c r="C23" s="393"/>
      <c r="D23" s="393"/>
      <c r="E23" s="393"/>
      <c r="F23" s="120"/>
    </row>
    <row r="24" spans="1:6" ht="15" x14ac:dyDescent="0.2">
      <c r="A24" s="101"/>
      <c r="B24" s="105"/>
      <c r="C24" s="105"/>
      <c r="D24" s="105"/>
      <c r="E24" s="105"/>
      <c r="F24" s="120"/>
    </row>
    <row r="25" spans="1:6" ht="269.25" customHeight="1" x14ac:dyDescent="0.2">
      <c r="A25" s="384" t="s">
        <v>136</v>
      </c>
      <c r="B25" s="395"/>
      <c r="C25" s="395"/>
      <c r="D25" s="395"/>
      <c r="E25" s="395"/>
      <c r="F25" s="120"/>
    </row>
    <row r="26" spans="1:6" ht="15" x14ac:dyDescent="0.2">
      <c r="A26" s="101"/>
      <c r="B26" s="186"/>
      <c r="C26" s="186"/>
      <c r="D26" s="186"/>
      <c r="E26" s="186"/>
      <c r="F26" s="120"/>
    </row>
    <row r="27" spans="1:6" ht="66.75" customHeight="1" x14ac:dyDescent="0.2">
      <c r="A27" s="384" t="s">
        <v>137</v>
      </c>
      <c r="B27" s="395"/>
      <c r="C27" s="395"/>
      <c r="D27" s="395"/>
      <c r="E27" s="395"/>
      <c r="F27" s="120"/>
    </row>
    <row r="28" spans="1:6" ht="15" x14ac:dyDescent="0.2">
      <c r="A28" s="101"/>
      <c r="B28" s="105"/>
      <c r="C28" s="105"/>
      <c r="D28" s="105"/>
      <c r="E28" s="105"/>
      <c r="F28" s="120"/>
    </row>
    <row r="29" spans="1:6" ht="74.25" customHeight="1" x14ac:dyDescent="0.2">
      <c r="A29" s="384" t="s">
        <v>138</v>
      </c>
      <c r="B29" s="393"/>
      <c r="C29" s="393"/>
      <c r="D29" s="393"/>
      <c r="E29" s="393"/>
      <c r="F29" s="120"/>
    </row>
    <row r="30" spans="1:6" ht="15" x14ac:dyDescent="0.2">
      <c r="A30" s="101"/>
      <c r="B30" s="186"/>
      <c r="C30" s="186"/>
      <c r="D30" s="186"/>
      <c r="E30" s="186"/>
      <c r="F30" s="120"/>
    </row>
    <row r="31" spans="1:6" ht="76.5" customHeight="1" x14ac:dyDescent="0.2">
      <c r="A31" s="384" t="s">
        <v>195</v>
      </c>
      <c r="B31" s="393"/>
      <c r="C31" s="393"/>
      <c r="D31" s="393"/>
      <c r="E31" s="393"/>
      <c r="F31" s="120"/>
    </row>
    <row r="32" spans="1:6" ht="15" x14ac:dyDescent="0.2">
      <c r="A32" s="101"/>
      <c r="B32" s="186"/>
      <c r="C32" s="186"/>
      <c r="D32" s="186"/>
      <c r="E32" s="186"/>
      <c r="F32" s="120"/>
    </row>
    <row r="33" spans="1:6" ht="38.25" customHeight="1" x14ac:dyDescent="0.2">
      <c r="A33" s="384" t="s">
        <v>139</v>
      </c>
      <c r="B33" s="393"/>
      <c r="C33" s="393"/>
      <c r="D33" s="393"/>
      <c r="E33" s="393"/>
      <c r="F33" s="120"/>
    </row>
    <row r="34" spans="1:6" ht="15" x14ac:dyDescent="0.2">
      <c r="A34" s="194"/>
      <c r="B34" s="195"/>
      <c r="C34" s="195"/>
      <c r="D34" s="195"/>
      <c r="E34" s="195"/>
      <c r="F34" s="120"/>
    </row>
    <row r="35" spans="1:6" ht="75" customHeight="1" x14ac:dyDescent="0.2">
      <c r="A35" s="384" t="s">
        <v>140</v>
      </c>
      <c r="B35" s="393"/>
      <c r="C35" s="393"/>
      <c r="D35" s="393"/>
      <c r="E35" s="393"/>
      <c r="F35" s="120"/>
    </row>
    <row r="36" spans="1:6" ht="15" x14ac:dyDescent="0.2">
      <c r="A36" s="101"/>
      <c r="B36" s="186"/>
      <c r="C36" s="186"/>
      <c r="D36" s="186"/>
      <c r="E36" s="186"/>
      <c r="F36" s="120"/>
    </row>
    <row r="37" spans="1:6" ht="112.5" customHeight="1" x14ac:dyDescent="0.2">
      <c r="A37" s="384" t="s">
        <v>61</v>
      </c>
      <c r="B37" s="393"/>
      <c r="C37" s="393"/>
      <c r="D37" s="393"/>
      <c r="E37" s="393"/>
      <c r="F37" s="120"/>
    </row>
    <row r="38" spans="1:6" ht="15" x14ac:dyDescent="0.2">
      <c r="A38" s="101"/>
      <c r="B38" s="186"/>
      <c r="C38" s="186"/>
      <c r="D38" s="186"/>
      <c r="E38" s="186"/>
      <c r="F38" s="120"/>
    </row>
    <row r="39" spans="1:6" ht="39" customHeight="1" x14ac:dyDescent="0.2">
      <c r="A39" s="384" t="s">
        <v>62</v>
      </c>
      <c r="B39" s="393"/>
      <c r="C39" s="393"/>
      <c r="D39" s="393"/>
      <c r="E39" s="393"/>
      <c r="F39" s="120"/>
    </row>
    <row r="40" spans="1:6" ht="15" x14ac:dyDescent="0.2">
      <c r="A40" s="101"/>
      <c r="B40" s="186"/>
      <c r="C40" s="186"/>
      <c r="D40" s="186"/>
      <c r="E40" s="186"/>
      <c r="F40" s="120"/>
    </row>
    <row r="41" spans="1:6" ht="86.25" customHeight="1" x14ac:dyDescent="0.2">
      <c r="A41" s="384" t="s">
        <v>196</v>
      </c>
      <c r="B41" s="393"/>
      <c r="C41" s="393"/>
      <c r="D41" s="393"/>
      <c r="E41" s="393"/>
      <c r="F41" s="120"/>
    </row>
    <row r="42" spans="1:6" ht="15" x14ac:dyDescent="0.2">
      <c r="A42" s="101"/>
      <c r="B42" s="186"/>
      <c r="C42" s="186"/>
      <c r="D42" s="186"/>
      <c r="E42" s="186"/>
      <c r="F42" s="120"/>
    </row>
    <row r="43" spans="1:6" ht="32.25" customHeight="1" x14ac:dyDescent="0.2">
      <c r="A43" s="384" t="s">
        <v>63</v>
      </c>
      <c r="B43" s="393"/>
      <c r="C43" s="393"/>
      <c r="D43" s="393"/>
      <c r="E43" s="393"/>
      <c r="F43" s="120"/>
    </row>
    <row r="44" spans="1:6" ht="103.5" customHeight="1" x14ac:dyDescent="0.2">
      <c r="A44" s="384" t="s">
        <v>197</v>
      </c>
      <c r="B44" s="393"/>
      <c r="C44" s="393"/>
      <c r="D44" s="393"/>
      <c r="E44" s="393"/>
      <c r="F44" s="120"/>
    </row>
    <row r="45" spans="1:6" ht="53.25" customHeight="1" x14ac:dyDescent="0.2">
      <c r="A45" s="382" t="s">
        <v>269</v>
      </c>
      <c r="B45" s="383"/>
      <c r="C45" s="383"/>
      <c r="D45" s="383"/>
      <c r="E45" s="383"/>
      <c r="F45" s="120"/>
    </row>
    <row r="46" spans="1:6" ht="15" x14ac:dyDescent="0.25">
      <c r="A46" s="194"/>
      <c r="C46" s="195"/>
      <c r="D46" s="196"/>
      <c r="E46" s="196"/>
      <c r="F46" s="197"/>
    </row>
    <row r="47" spans="1:6" x14ac:dyDescent="0.2">
      <c r="A47" s="173" t="s">
        <v>94</v>
      </c>
      <c r="B47" s="168" t="s">
        <v>300</v>
      </c>
      <c r="C47" s="96"/>
      <c r="D47" s="169"/>
      <c r="E47" s="170"/>
      <c r="F47" s="171"/>
    </row>
    <row r="48" spans="1:6" ht="132" x14ac:dyDescent="0.2">
      <c r="A48" s="101"/>
      <c r="B48" s="101" t="s">
        <v>252</v>
      </c>
      <c r="C48" s="91"/>
      <c r="D48" s="92"/>
      <c r="E48" s="230"/>
      <c r="F48" s="197"/>
    </row>
    <row r="49" spans="1:7" ht="84" x14ac:dyDescent="0.2">
      <c r="A49" s="101"/>
      <c r="B49" s="101" t="s">
        <v>198</v>
      </c>
      <c r="C49" s="91"/>
      <c r="D49" s="97"/>
      <c r="E49" s="230"/>
      <c r="F49" s="197"/>
    </row>
    <row r="50" spans="1:7" ht="75" customHeight="1" x14ac:dyDescent="0.2">
      <c r="A50" s="110"/>
      <c r="B50" s="87" t="s">
        <v>226</v>
      </c>
      <c r="C50" s="96"/>
      <c r="D50" s="97"/>
      <c r="E50" s="94"/>
      <c r="F50" s="98"/>
    </row>
    <row r="51" spans="1:7" x14ac:dyDescent="0.2">
      <c r="A51" s="110"/>
      <c r="B51" s="231" t="s">
        <v>125</v>
      </c>
      <c r="C51" s="96"/>
      <c r="D51" s="97"/>
      <c r="E51" s="232"/>
      <c r="F51" s="233"/>
    </row>
    <row r="52" spans="1:7" x14ac:dyDescent="0.2">
      <c r="A52" s="110"/>
      <c r="B52" s="231" t="s">
        <v>126</v>
      </c>
      <c r="C52" s="96"/>
      <c r="D52" s="97"/>
      <c r="E52" s="232"/>
      <c r="F52" s="233"/>
    </row>
    <row r="53" spans="1:7" x14ac:dyDescent="0.2">
      <c r="A53" s="110"/>
      <c r="B53" s="231" t="s">
        <v>127</v>
      </c>
      <c r="C53" s="96"/>
      <c r="D53" s="97"/>
      <c r="E53" s="232"/>
      <c r="F53" s="233"/>
    </row>
    <row r="54" spans="1:7" x14ac:dyDescent="0.2">
      <c r="A54" s="110"/>
      <c r="B54" s="231" t="s">
        <v>128</v>
      </c>
      <c r="C54" s="96"/>
      <c r="D54" s="97"/>
      <c r="E54" s="232"/>
      <c r="F54" s="233"/>
    </row>
    <row r="55" spans="1:7" x14ac:dyDescent="0.2">
      <c r="A55" s="110"/>
      <c r="B55" s="252"/>
      <c r="C55" s="256" t="s">
        <v>168</v>
      </c>
      <c r="D55" s="97">
        <v>170</v>
      </c>
      <c r="E55" s="172"/>
      <c r="F55" s="244">
        <f>D55*E55</f>
        <v>0</v>
      </c>
    </row>
    <row r="56" spans="1:7" x14ac:dyDescent="0.2">
      <c r="A56" s="110"/>
      <c r="B56" s="252"/>
      <c r="C56" s="256"/>
      <c r="D56" s="97"/>
      <c r="E56" s="172"/>
      <c r="F56" s="244"/>
    </row>
    <row r="57" spans="1:7" ht="15" x14ac:dyDescent="0.2">
      <c r="A57" s="240" t="s">
        <v>95</v>
      </c>
      <c r="B57" s="178" t="s">
        <v>367</v>
      </c>
      <c r="C57" s="187"/>
      <c r="D57" s="187"/>
      <c r="E57" s="187"/>
      <c r="F57" s="120"/>
    </row>
    <row r="58" spans="1:7" ht="84" x14ac:dyDescent="0.2">
      <c r="A58" s="101"/>
      <c r="B58" s="320" t="s">
        <v>368</v>
      </c>
      <c r="C58" s="187"/>
      <c r="D58" s="187"/>
      <c r="E58" s="187"/>
      <c r="F58" s="102"/>
      <c r="G58" s="127"/>
    </row>
    <row r="59" spans="1:7" x14ac:dyDescent="0.2">
      <c r="A59" s="101"/>
      <c r="B59" s="252"/>
      <c r="C59" s="97" t="s">
        <v>216</v>
      </c>
      <c r="D59" s="97">
        <v>3</v>
      </c>
      <c r="E59" s="94"/>
      <c r="F59" s="212">
        <f>D59*E59</f>
        <v>0</v>
      </c>
    </row>
    <row r="60" spans="1:7" x14ac:dyDescent="0.2">
      <c r="A60" s="101"/>
      <c r="B60" s="252"/>
      <c r="C60" s="97"/>
      <c r="D60" s="97"/>
      <c r="E60" s="94"/>
      <c r="F60" s="212"/>
    </row>
    <row r="61" spans="1:7" ht="15" x14ac:dyDescent="0.2">
      <c r="A61" s="240" t="s">
        <v>96</v>
      </c>
      <c r="B61" s="178" t="s">
        <v>457</v>
      </c>
      <c r="C61" s="187"/>
      <c r="D61" s="187"/>
      <c r="E61" s="187"/>
      <c r="F61" s="120"/>
    </row>
    <row r="62" spans="1:7" ht="115.5" customHeight="1" x14ac:dyDescent="0.2">
      <c r="A62" s="101"/>
      <c r="B62" s="320" t="s">
        <v>458</v>
      </c>
      <c r="C62" s="187"/>
      <c r="D62" s="187"/>
      <c r="E62" s="187"/>
      <c r="F62" s="102"/>
    </row>
    <row r="63" spans="1:7" x14ac:dyDescent="0.2">
      <c r="A63" s="101"/>
      <c r="B63" s="252"/>
      <c r="C63" s="97" t="s">
        <v>216</v>
      </c>
      <c r="D63" s="97">
        <v>3</v>
      </c>
      <c r="E63" s="94"/>
      <c r="F63" s="212">
        <f>D63*E63</f>
        <v>0</v>
      </c>
    </row>
    <row r="64" spans="1:7" x14ac:dyDescent="0.2">
      <c r="A64" s="101"/>
      <c r="B64" s="252"/>
      <c r="C64" s="97"/>
      <c r="D64" s="97"/>
      <c r="E64" s="94"/>
      <c r="F64" s="212"/>
    </row>
    <row r="65" spans="1:6" ht="15" x14ac:dyDescent="0.2">
      <c r="A65" s="240" t="s">
        <v>65</v>
      </c>
      <c r="B65" s="178" t="s">
        <v>465</v>
      </c>
      <c r="C65" s="187"/>
      <c r="D65" s="187"/>
      <c r="E65" s="187"/>
      <c r="F65" s="120"/>
    </row>
    <row r="66" spans="1:6" ht="122.25" customHeight="1" x14ac:dyDescent="0.2">
      <c r="A66" s="101"/>
      <c r="B66" s="320" t="s">
        <v>464</v>
      </c>
      <c r="C66" s="187"/>
      <c r="D66" s="187"/>
      <c r="E66" s="187"/>
      <c r="F66" s="102"/>
    </row>
    <row r="67" spans="1:6" x14ac:dyDescent="0.2">
      <c r="A67" s="101"/>
      <c r="B67" s="252"/>
      <c r="C67" s="97" t="s">
        <v>149</v>
      </c>
      <c r="D67" s="97">
        <v>16</v>
      </c>
      <c r="E67" s="94"/>
      <c r="F67" s="212">
        <f>D67*E67</f>
        <v>0</v>
      </c>
    </row>
    <row r="68" spans="1:6" ht="15" thickBot="1" x14ac:dyDescent="0.25">
      <c r="A68" s="101"/>
      <c r="B68" s="252"/>
      <c r="C68" s="97"/>
      <c r="D68" s="97"/>
      <c r="E68" s="94"/>
      <c r="F68" s="212"/>
    </row>
    <row r="69" spans="1:6" ht="15.75" thickBot="1" x14ac:dyDescent="0.3">
      <c r="A69" s="133" t="s">
        <v>150</v>
      </c>
      <c r="B69" s="254" t="s">
        <v>220</v>
      </c>
      <c r="C69" s="198"/>
      <c r="D69" s="135"/>
      <c r="E69" s="136" t="s">
        <v>491</v>
      </c>
      <c r="F69" s="104">
        <f>SUM(F55:F68)</f>
        <v>0</v>
      </c>
    </row>
    <row r="70" spans="1:6" ht="15" x14ac:dyDescent="0.25">
      <c r="A70" s="93"/>
      <c r="B70" s="93"/>
      <c r="C70" s="179"/>
      <c r="D70" s="112"/>
      <c r="E70" s="93"/>
      <c r="F70" s="180"/>
    </row>
  </sheetData>
  <mergeCells count="24">
    <mergeCell ref="A45:E45"/>
    <mergeCell ref="A3:F3"/>
    <mergeCell ref="A2:F2"/>
    <mergeCell ref="B6:F6"/>
    <mergeCell ref="A10:E10"/>
    <mergeCell ref="A12:E12"/>
    <mergeCell ref="A13:E13"/>
    <mergeCell ref="A35:E35"/>
    <mergeCell ref="A14:E14"/>
    <mergeCell ref="A15:E15"/>
    <mergeCell ref="A17:E17"/>
    <mergeCell ref="A19:E19"/>
    <mergeCell ref="A21:E21"/>
    <mergeCell ref="A23:E23"/>
    <mergeCell ref="A37:E37"/>
    <mergeCell ref="A39:E39"/>
    <mergeCell ref="A41:E41"/>
    <mergeCell ref="A43:E43"/>
    <mergeCell ref="A44:E44"/>
    <mergeCell ref="A25:E25"/>
    <mergeCell ref="A27:E27"/>
    <mergeCell ref="A29:E29"/>
    <mergeCell ref="A31:E31"/>
    <mergeCell ref="A33:E33"/>
  </mergeCells>
  <pageMargins left="0.70866141732283472" right="0.19685039370078741" top="0.74803149606299213" bottom="0.74803149606299213" header="0.31496062992125984" footer="0.31496062992125984"/>
  <pageSetup paperSize="9" orientation="portrait" r:id="rId1"/>
  <headerFooter alignWithMargins="0">
    <oddHeader xml:space="preserve">&amp;L&amp;"Calibri,Regular"&amp;9Investitor: Suvlasnici stambene zgrade u Zagrebu, Sveti Duh 65, 10000 Zagreb
Građevina: Stambena zgrada u Zagrebu, Sveti Duh 65&amp;R&amp;"Calibri,Regular"&amp;9&amp;K000000z.o.p.: Sveti Duh 65
t.d.: 02-2020&amp;K01+000
</oddHeader>
    <oddFooter xml:space="preserve">&amp;L&amp;"Calibri,Regular"&amp;9Radovi prema čl. 5 Pravilnika o jednostavnim i drugim građevinama i radovima (NN 112/17, 34/18, 36/19, 98/19, 31/20) 
</oddFooter>
  </headerFooter>
  <rowBreaks count="2" manualBreakCount="2">
    <brk id="45" max="5" man="1"/>
    <brk id="63"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tabColor rgb="FF92D050"/>
  </sheetPr>
  <dimension ref="A1:G79"/>
  <sheetViews>
    <sheetView view="pageBreakPreview" topLeftCell="A68" zoomScaleNormal="136" zoomScaleSheetLayoutView="100" zoomScalePageLayoutView="130" workbookViewId="0">
      <selection activeCell="E49" sqref="E42:E49"/>
    </sheetView>
  </sheetViews>
  <sheetFormatPr defaultColWidth="9.140625" defaultRowHeight="14.25" x14ac:dyDescent="0.2"/>
  <cols>
    <col min="1" max="1" width="5.7109375" style="102" customWidth="1"/>
    <col min="2" max="2" width="40.7109375" style="102" customWidth="1"/>
    <col min="3" max="3" width="7.7109375" style="137" customWidth="1"/>
    <col min="4" max="4" width="10.7109375" style="138" customWidth="1"/>
    <col min="5" max="5" width="10.7109375" style="102" customWidth="1"/>
    <col min="6" max="6" width="10.7109375" style="127" customWidth="1"/>
    <col min="7" max="16384" width="9.140625" style="102"/>
  </cols>
  <sheetData>
    <row r="1" spans="1:7" ht="15" x14ac:dyDescent="0.25">
      <c r="A1" s="166"/>
      <c r="B1" s="166"/>
      <c r="C1" s="167"/>
      <c r="D1" s="112"/>
      <c r="E1" s="113"/>
      <c r="F1" s="148"/>
    </row>
    <row r="2" spans="1:7" x14ac:dyDescent="0.2">
      <c r="A2" s="387" t="s">
        <v>16</v>
      </c>
      <c r="B2" s="388"/>
      <c r="C2" s="388"/>
      <c r="D2" s="388"/>
      <c r="E2" s="388"/>
      <c r="F2" s="389"/>
    </row>
    <row r="3" spans="1:7" x14ac:dyDescent="0.2">
      <c r="A3" s="380" t="s">
        <v>199</v>
      </c>
      <c r="B3" s="381"/>
      <c r="C3" s="381"/>
      <c r="D3" s="381"/>
      <c r="E3" s="381"/>
      <c r="F3" s="381"/>
      <c r="G3" s="127"/>
    </row>
    <row r="4" spans="1:7" x14ac:dyDescent="0.2">
      <c r="A4" s="140" t="s">
        <v>11</v>
      </c>
      <c r="B4" s="140" t="s">
        <v>18</v>
      </c>
      <c r="C4" s="140" t="s">
        <v>7</v>
      </c>
      <c r="D4" s="141" t="s">
        <v>8</v>
      </c>
      <c r="E4" s="140" t="s">
        <v>9</v>
      </c>
      <c r="F4" s="140" t="s">
        <v>10</v>
      </c>
    </row>
    <row r="5" spans="1:7" x14ac:dyDescent="0.2">
      <c r="A5" s="143"/>
      <c r="B5" s="143"/>
      <c r="C5" s="143"/>
      <c r="D5" s="144"/>
      <c r="E5" s="143"/>
      <c r="F5" s="143"/>
    </row>
    <row r="6" spans="1:7" ht="15.75" thickBot="1" x14ac:dyDescent="0.3">
      <c r="A6" s="150" t="s">
        <v>129</v>
      </c>
      <c r="B6" s="390" t="s">
        <v>122</v>
      </c>
      <c r="C6" s="390"/>
      <c r="D6" s="390"/>
      <c r="E6" s="390"/>
      <c r="F6" s="390"/>
    </row>
    <row r="7" spans="1:7" x14ac:dyDescent="0.2">
      <c r="A7" s="152"/>
      <c r="B7" s="153"/>
      <c r="C7" s="154"/>
      <c r="D7" s="92"/>
      <c r="E7" s="155"/>
      <c r="F7" s="156"/>
    </row>
    <row r="8" spans="1:7" x14ac:dyDescent="0.2">
      <c r="A8" s="158" t="s">
        <v>64</v>
      </c>
      <c r="B8" s="159"/>
      <c r="C8" s="160"/>
      <c r="D8" s="161"/>
      <c r="E8" s="162"/>
      <c r="F8" s="120"/>
    </row>
    <row r="9" spans="1:7" x14ac:dyDescent="0.2">
      <c r="A9" s="158"/>
      <c r="B9" s="159"/>
      <c r="C9" s="160"/>
      <c r="D9" s="161"/>
      <c r="E9" s="162"/>
      <c r="F9" s="120"/>
    </row>
    <row r="10" spans="1:7" ht="101.25" customHeight="1" x14ac:dyDescent="0.2">
      <c r="A10" s="384" t="s">
        <v>278</v>
      </c>
      <c r="B10" s="386"/>
      <c r="C10" s="386"/>
      <c r="D10" s="386"/>
      <c r="E10" s="386"/>
      <c r="F10" s="120"/>
    </row>
    <row r="11" spans="1:7" ht="53.25" customHeight="1" x14ac:dyDescent="0.2">
      <c r="A11" s="384" t="s">
        <v>45</v>
      </c>
      <c r="B11" s="384"/>
      <c r="C11" s="384"/>
      <c r="D11" s="384"/>
      <c r="E11" s="384"/>
      <c r="F11" s="120"/>
    </row>
    <row r="12" spans="1:7" ht="97.5" customHeight="1" x14ac:dyDescent="0.2">
      <c r="A12" s="384" t="s">
        <v>209</v>
      </c>
      <c r="B12" s="384"/>
      <c r="C12" s="384"/>
      <c r="D12" s="384"/>
      <c r="E12" s="384"/>
      <c r="F12" s="120"/>
    </row>
    <row r="13" spans="1:7" ht="27.75" customHeight="1" x14ac:dyDescent="0.2">
      <c r="A13" s="384" t="s">
        <v>341</v>
      </c>
      <c r="B13" s="384"/>
      <c r="C13" s="384"/>
      <c r="D13" s="384"/>
      <c r="E13" s="384"/>
      <c r="F13" s="120"/>
    </row>
    <row r="14" spans="1:7" ht="84" customHeight="1" x14ac:dyDescent="0.25">
      <c r="A14" s="375" t="s">
        <v>68</v>
      </c>
      <c r="B14" s="396"/>
      <c r="C14" s="396"/>
      <c r="D14" s="396"/>
      <c r="E14" s="396"/>
      <c r="F14" s="120"/>
    </row>
    <row r="15" spans="1:7" ht="36" customHeight="1" x14ac:dyDescent="0.25">
      <c r="A15" s="375" t="s">
        <v>46</v>
      </c>
      <c r="B15" s="396"/>
      <c r="C15" s="396"/>
      <c r="D15" s="396"/>
      <c r="E15" s="396"/>
      <c r="F15" s="120"/>
    </row>
    <row r="16" spans="1:7" ht="61.5" customHeight="1" x14ac:dyDescent="0.25">
      <c r="A16" s="375" t="s">
        <v>246</v>
      </c>
      <c r="B16" s="396"/>
      <c r="C16" s="396"/>
      <c r="D16" s="396"/>
      <c r="E16" s="396"/>
      <c r="F16" s="120"/>
    </row>
    <row r="17" spans="1:6" ht="99" customHeight="1" x14ac:dyDescent="0.25">
      <c r="A17" s="375" t="s">
        <v>247</v>
      </c>
      <c r="B17" s="396"/>
      <c r="C17" s="396"/>
      <c r="D17" s="396"/>
      <c r="E17" s="396"/>
      <c r="F17" s="120"/>
    </row>
    <row r="18" spans="1:6" ht="15" x14ac:dyDescent="0.25">
      <c r="A18" s="175"/>
      <c r="B18" s="316"/>
      <c r="C18" s="316"/>
      <c r="D18" s="317"/>
      <c r="E18" s="316"/>
      <c r="F18" s="120"/>
    </row>
    <row r="19" spans="1:6" ht="86.25" customHeight="1" x14ac:dyDescent="0.25">
      <c r="A19" s="375" t="s">
        <v>23</v>
      </c>
      <c r="B19" s="396"/>
      <c r="C19" s="396"/>
      <c r="D19" s="396"/>
      <c r="E19" s="396"/>
      <c r="F19" s="120"/>
    </row>
    <row r="20" spans="1:6" ht="62.25" customHeight="1" x14ac:dyDescent="0.25">
      <c r="A20" s="375" t="s">
        <v>47</v>
      </c>
      <c r="B20" s="396"/>
      <c r="C20" s="396"/>
      <c r="D20" s="396"/>
      <c r="E20" s="396"/>
      <c r="F20" s="120"/>
    </row>
    <row r="21" spans="1:6" ht="48.75" customHeight="1" x14ac:dyDescent="0.25">
      <c r="A21" s="375" t="s">
        <v>48</v>
      </c>
      <c r="B21" s="396"/>
      <c r="C21" s="396"/>
      <c r="D21" s="396"/>
      <c r="E21" s="396"/>
      <c r="F21" s="120"/>
    </row>
    <row r="22" spans="1:6" ht="38.25" customHeight="1" x14ac:dyDescent="0.25">
      <c r="A22" s="375" t="s">
        <v>49</v>
      </c>
      <c r="B22" s="396"/>
      <c r="C22" s="396"/>
      <c r="D22" s="396"/>
      <c r="E22" s="396"/>
      <c r="F22" s="120"/>
    </row>
    <row r="23" spans="1:6" ht="38.25" customHeight="1" x14ac:dyDescent="0.25">
      <c r="A23" s="375" t="s">
        <v>290</v>
      </c>
      <c r="B23" s="396"/>
      <c r="C23" s="396"/>
      <c r="D23" s="396"/>
      <c r="E23" s="396"/>
      <c r="F23" s="120"/>
    </row>
    <row r="24" spans="1:6" ht="122.25" customHeight="1" x14ac:dyDescent="0.25">
      <c r="A24" s="375" t="s">
        <v>42</v>
      </c>
      <c r="B24" s="397"/>
      <c r="C24" s="397"/>
      <c r="D24" s="397"/>
      <c r="E24" s="397"/>
      <c r="F24" s="120"/>
    </row>
    <row r="25" spans="1:6" ht="24.75" customHeight="1" x14ac:dyDescent="0.25">
      <c r="A25" s="375" t="s">
        <v>108</v>
      </c>
      <c r="B25" s="397"/>
      <c r="C25" s="397"/>
      <c r="D25" s="397"/>
      <c r="E25" s="397"/>
      <c r="F25" s="120"/>
    </row>
    <row r="26" spans="1:6" ht="222.75" customHeight="1" x14ac:dyDescent="0.25">
      <c r="A26" s="375" t="s">
        <v>29</v>
      </c>
      <c r="B26" s="396"/>
      <c r="C26" s="396"/>
      <c r="D26" s="396"/>
      <c r="E26" s="396"/>
      <c r="F26" s="120"/>
    </row>
    <row r="27" spans="1:6" ht="15" customHeight="1" x14ac:dyDescent="0.25">
      <c r="A27" s="375" t="s">
        <v>200</v>
      </c>
      <c r="B27" s="396"/>
      <c r="C27" s="396"/>
      <c r="D27" s="396"/>
      <c r="E27" s="396"/>
      <c r="F27" s="120"/>
    </row>
    <row r="28" spans="1:6" ht="48.75" customHeight="1" x14ac:dyDescent="0.25">
      <c r="A28" s="375" t="s">
        <v>291</v>
      </c>
      <c r="B28" s="396"/>
      <c r="C28" s="396"/>
      <c r="D28" s="396"/>
      <c r="E28" s="396"/>
      <c r="F28" s="120"/>
    </row>
    <row r="29" spans="1:6" ht="145.5" customHeight="1" x14ac:dyDescent="0.25">
      <c r="A29" s="375" t="s">
        <v>169</v>
      </c>
      <c r="B29" s="396"/>
      <c r="C29" s="396"/>
      <c r="D29" s="396"/>
      <c r="E29" s="396"/>
      <c r="F29" s="120"/>
    </row>
    <row r="30" spans="1:6" ht="37.5" customHeight="1" x14ac:dyDescent="0.25">
      <c r="A30" s="375" t="s">
        <v>215</v>
      </c>
      <c r="B30" s="396"/>
      <c r="C30" s="396"/>
      <c r="D30" s="396"/>
      <c r="E30" s="396"/>
      <c r="F30" s="120"/>
    </row>
    <row r="31" spans="1:6" ht="50.25" customHeight="1" x14ac:dyDescent="0.25">
      <c r="A31" s="375" t="s">
        <v>27</v>
      </c>
      <c r="B31" s="400"/>
      <c r="C31" s="400"/>
      <c r="D31" s="400"/>
      <c r="E31" s="400"/>
      <c r="F31" s="120"/>
    </row>
    <row r="32" spans="1:6" ht="64.5" customHeight="1" x14ac:dyDescent="0.25">
      <c r="A32" s="375" t="s">
        <v>201</v>
      </c>
      <c r="B32" s="400"/>
      <c r="C32" s="400"/>
      <c r="D32" s="400"/>
      <c r="E32" s="400"/>
      <c r="F32" s="120"/>
    </row>
    <row r="33" spans="1:6" ht="41.25" customHeight="1" x14ac:dyDescent="0.25">
      <c r="A33" s="375" t="s">
        <v>28</v>
      </c>
      <c r="B33" s="400"/>
      <c r="C33" s="400"/>
      <c r="D33" s="400"/>
      <c r="E33" s="400"/>
      <c r="F33" s="120"/>
    </row>
    <row r="34" spans="1:6" ht="41.25" customHeight="1" x14ac:dyDescent="0.25">
      <c r="A34" s="375" t="s">
        <v>1</v>
      </c>
      <c r="B34" s="400"/>
      <c r="C34" s="400"/>
      <c r="D34" s="400"/>
      <c r="E34" s="400"/>
      <c r="F34" s="120"/>
    </row>
    <row r="35" spans="1:6" ht="51.75" customHeight="1" x14ac:dyDescent="0.25">
      <c r="A35" s="375" t="s">
        <v>2</v>
      </c>
      <c r="B35" s="400"/>
      <c r="C35" s="400"/>
      <c r="D35" s="400"/>
      <c r="E35" s="400"/>
      <c r="F35" s="120"/>
    </row>
    <row r="36" spans="1:6" ht="85.5" customHeight="1" x14ac:dyDescent="0.25">
      <c r="A36" s="375" t="s">
        <v>248</v>
      </c>
      <c r="B36" s="400"/>
      <c r="C36" s="400"/>
      <c r="D36" s="400"/>
      <c r="E36" s="400"/>
      <c r="F36" s="120"/>
    </row>
    <row r="37" spans="1:6" ht="28.5" customHeight="1" x14ac:dyDescent="0.25">
      <c r="A37" s="398" t="s">
        <v>270</v>
      </c>
      <c r="B37" s="399"/>
      <c r="C37" s="399"/>
      <c r="D37" s="399"/>
      <c r="E37" s="399"/>
      <c r="F37" s="120"/>
    </row>
    <row r="38" spans="1:6" ht="15" x14ac:dyDescent="0.25">
      <c r="A38" s="175"/>
      <c r="B38" s="185"/>
      <c r="C38" s="185"/>
      <c r="D38" s="185"/>
      <c r="E38" s="185"/>
      <c r="F38" s="120"/>
    </row>
    <row r="39" spans="1:6" ht="15" x14ac:dyDescent="0.25">
      <c r="A39" s="175"/>
      <c r="B39" s="185"/>
      <c r="C39" s="185"/>
      <c r="D39" s="185"/>
      <c r="E39" s="185"/>
      <c r="F39" s="120"/>
    </row>
    <row r="40" spans="1:6" ht="15" x14ac:dyDescent="0.25">
      <c r="A40" s="236" t="s">
        <v>94</v>
      </c>
      <c r="B40" s="234" t="s">
        <v>378</v>
      </c>
      <c r="C40" s="185"/>
      <c r="D40" s="185"/>
      <c r="E40" s="185"/>
      <c r="F40" s="120"/>
    </row>
    <row r="41" spans="1:6" ht="274.5" customHeight="1" x14ac:dyDescent="0.25">
      <c r="A41" s="236"/>
      <c r="B41" s="332" t="s">
        <v>474</v>
      </c>
      <c r="C41" s="185"/>
      <c r="D41" s="185"/>
      <c r="E41" s="368"/>
      <c r="F41" s="120"/>
    </row>
    <row r="42" spans="1:6" ht="15" customHeight="1" x14ac:dyDescent="0.2">
      <c r="A42" s="236"/>
      <c r="B42" s="364" t="s">
        <v>459</v>
      </c>
      <c r="C42" s="256" t="s">
        <v>149</v>
      </c>
      <c r="D42" s="97">
        <v>215</v>
      </c>
      <c r="E42" s="239"/>
      <c r="F42" s="247">
        <f t="shared" ref="F42:F49" si="0">D42*E42</f>
        <v>0</v>
      </c>
    </row>
    <row r="43" spans="1:6" ht="14.25" customHeight="1" x14ac:dyDescent="0.2">
      <c r="A43" s="236"/>
      <c r="B43" s="364" t="s">
        <v>448</v>
      </c>
      <c r="C43" s="256" t="s">
        <v>216</v>
      </c>
      <c r="D43" s="97">
        <v>1</v>
      </c>
      <c r="E43" s="239"/>
      <c r="F43" s="247">
        <f t="shared" si="0"/>
        <v>0</v>
      </c>
    </row>
    <row r="44" spans="1:6" ht="13.5" customHeight="1" x14ac:dyDescent="0.2">
      <c r="A44" s="236"/>
      <c r="B44" s="364" t="s">
        <v>390</v>
      </c>
      <c r="C44" s="256" t="s">
        <v>216</v>
      </c>
      <c r="D44" s="97">
        <v>1.5</v>
      </c>
      <c r="E44" s="239"/>
      <c r="F44" s="247">
        <f t="shared" si="0"/>
        <v>0</v>
      </c>
    </row>
    <row r="45" spans="1:6" x14ac:dyDescent="0.2">
      <c r="A45" s="236"/>
      <c r="B45" s="364" t="s">
        <v>303</v>
      </c>
      <c r="C45" s="256" t="s">
        <v>149</v>
      </c>
      <c r="D45" s="97">
        <v>250</v>
      </c>
      <c r="E45" s="239"/>
      <c r="F45" s="247">
        <f t="shared" si="0"/>
        <v>0</v>
      </c>
    </row>
    <row r="46" spans="1:6" x14ac:dyDescent="0.2">
      <c r="A46" s="236"/>
      <c r="B46" s="364" t="s">
        <v>369</v>
      </c>
      <c r="C46" s="256" t="s">
        <v>149</v>
      </c>
      <c r="D46" s="97">
        <v>230</v>
      </c>
      <c r="E46" s="239"/>
      <c r="F46" s="247">
        <f t="shared" si="0"/>
        <v>0</v>
      </c>
    </row>
    <row r="47" spans="1:6" ht="24" x14ac:dyDescent="0.2">
      <c r="A47" s="236"/>
      <c r="B47" s="364" t="s">
        <v>372</v>
      </c>
      <c r="C47" s="256" t="s">
        <v>216</v>
      </c>
      <c r="D47" s="97">
        <v>7</v>
      </c>
      <c r="E47" s="239"/>
      <c r="F47" s="247">
        <f t="shared" si="0"/>
        <v>0</v>
      </c>
    </row>
    <row r="48" spans="1:6" x14ac:dyDescent="0.2">
      <c r="A48" s="236"/>
      <c r="B48" s="364" t="s">
        <v>370</v>
      </c>
      <c r="C48" s="256" t="s">
        <v>149</v>
      </c>
      <c r="D48" s="97">
        <v>230</v>
      </c>
      <c r="E48" s="239"/>
      <c r="F48" s="247">
        <f t="shared" si="0"/>
        <v>0</v>
      </c>
    </row>
    <row r="49" spans="1:7" x14ac:dyDescent="0.2">
      <c r="A49" s="236"/>
      <c r="B49" s="364" t="s">
        <v>371</v>
      </c>
      <c r="C49" s="256" t="s">
        <v>149</v>
      </c>
      <c r="D49" s="97">
        <v>230</v>
      </c>
      <c r="E49" s="239"/>
      <c r="F49" s="247">
        <f t="shared" si="0"/>
        <v>0</v>
      </c>
    </row>
    <row r="50" spans="1:7" x14ac:dyDescent="0.2">
      <c r="A50" s="236"/>
      <c r="B50" s="97"/>
      <c r="C50" s="256"/>
      <c r="D50" s="97"/>
      <c r="E50" s="239"/>
      <c r="F50" s="247"/>
      <c r="G50" s="92"/>
    </row>
    <row r="51" spans="1:7" ht="24" x14ac:dyDescent="0.25">
      <c r="A51" s="337" t="s">
        <v>95</v>
      </c>
      <c r="B51" s="338" t="s">
        <v>460</v>
      </c>
      <c r="C51" s="339"/>
      <c r="D51" s="339"/>
      <c r="E51" s="339"/>
      <c r="F51" s="340"/>
      <c r="G51" s="92"/>
    </row>
    <row r="52" spans="1:7" ht="64.150000000000006" customHeight="1" x14ac:dyDescent="0.2">
      <c r="A52" s="337"/>
      <c r="B52" s="345" t="s">
        <v>485</v>
      </c>
      <c r="C52" s="341"/>
      <c r="D52" s="342"/>
      <c r="E52" s="343"/>
      <c r="F52" s="344"/>
    </row>
    <row r="53" spans="1:7" x14ac:dyDescent="0.2">
      <c r="A53" s="337"/>
      <c r="B53" s="347" t="s">
        <v>463</v>
      </c>
      <c r="C53" s="347" t="s">
        <v>149</v>
      </c>
      <c r="D53" s="334">
        <v>2</v>
      </c>
      <c r="E53" s="335"/>
      <c r="F53" s="336">
        <f>D53*E53</f>
        <v>0</v>
      </c>
    </row>
    <row r="54" spans="1:7" x14ac:dyDescent="0.2">
      <c r="A54" s="236"/>
      <c r="B54" s="97"/>
      <c r="C54" s="256"/>
      <c r="D54" s="97"/>
      <c r="E54" s="239"/>
      <c r="F54" s="247"/>
    </row>
    <row r="55" spans="1:7" ht="24" x14ac:dyDescent="0.2">
      <c r="A55" s="236" t="s">
        <v>96</v>
      </c>
      <c r="B55" s="234" t="s">
        <v>374</v>
      </c>
      <c r="C55" s="102"/>
      <c r="D55" s="102"/>
      <c r="E55" s="267"/>
      <c r="F55" s="102"/>
    </row>
    <row r="56" spans="1:7" ht="77.25" customHeight="1" x14ac:dyDescent="0.2">
      <c r="B56" s="235" t="s">
        <v>375</v>
      </c>
      <c r="C56" s="102"/>
      <c r="D56" s="102"/>
      <c r="E56" s="267"/>
      <c r="F56" s="102"/>
    </row>
    <row r="57" spans="1:7" x14ac:dyDescent="0.2">
      <c r="B57" s="248" t="s">
        <v>302</v>
      </c>
      <c r="C57" s="102"/>
      <c r="D57" s="102"/>
      <c r="E57" s="267"/>
      <c r="F57" s="102"/>
    </row>
    <row r="58" spans="1:7" x14ac:dyDescent="0.2">
      <c r="A58" s="236"/>
      <c r="B58" s="255" t="s">
        <v>304</v>
      </c>
      <c r="C58" s="256" t="s">
        <v>149</v>
      </c>
      <c r="D58" s="92">
        <v>4</v>
      </c>
      <c r="E58" s="172"/>
      <c r="F58" s="244">
        <f>E58*D58</f>
        <v>0</v>
      </c>
    </row>
    <row r="59" spans="1:7" x14ac:dyDescent="0.2">
      <c r="A59" s="236"/>
      <c r="B59" s="255" t="s">
        <v>475</v>
      </c>
      <c r="C59" s="256" t="s">
        <v>149</v>
      </c>
      <c r="D59" s="92">
        <v>4</v>
      </c>
      <c r="E59" s="172"/>
      <c r="F59" s="244">
        <f>E59*D59</f>
        <v>0</v>
      </c>
    </row>
    <row r="60" spans="1:7" x14ac:dyDescent="0.2">
      <c r="A60" s="236"/>
      <c r="B60" s="255" t="s">
        <v>373</v>
      </c>
      <c r="C60" s="256" t="s">
        <v>149</v>
      </c>
      <c r="D60" s="92">
        <v>4</v>
      </c>
      <c r="E60" s="172"/>
      <c r="F60" s="244">
        <f>E60*D60</f>
        <v>0</v>
      </c>
    </row>
    <row r="61" spans="1:7" x14ac:dyDescent="0.2">
      <c r="A61" s="236"/>
      <c r="B61" s="255"/>
      <c r="C61" s="256"/>
      <c r="D61" s="92"/>
      <c r="E61" s="172"/>
      <c r="F61" s="244"/>
    </row>
    <row r="62" spans="1:7" ht="24" x14ac:dyDescent="0.2">
      <c r="A62" s="236" t="s">
        <v>65</v>
      </c>
      <c r="B62" s="234" t="s">
        <v>376</v>
      </c>
      <c r="C62" s="102"/>
      <c r="D62" s="102"/>
      <c r="E62" s="267"/>
      <c r="F62" s="102"/>
    </row>
    <row r="63" spans="1:7" ht="111" customHeight="1" x14ac:dyDescent="0.2">
      <c r="B63" s="235" t="s">
        <v>476</v>
      </c>
      <c r="C63" s="102"/>
      <c r="D63" s="102"/>
      <c r="E63" s="267"/>
      <c r="F63" s="102"/>
    </row>
    <row r="64" spans="1:7" x14ac:dyDescent="0.2">
      <c r="B64" s="333" t="s">
        <v>377</v>
      </c>
      <c r="C64" s="102"/>
      <c r="D64" s="102"/>
      <c r="E64" s="267"/>
      <c r="F64" s="102"/>
    </row>
    <row r="65" spans="1:6" x14ac:dyDescent="0.2">
      <c r="A65" s="236"/>
      <c r="B65" s="255" t="s">
        <v>304</v>
      </c>
      <c r="C65" s="256" t="s">
        <v>149</v>
      </c>
      <c r="D65" s="92">
        <v>12</v>
      </c>
      <c r="E65" s="172"/>
      <c r="F65" s="244">
        <f>E65*D65</f>
        <v>0</v>
      </c>
    </row>
    <row r="66" spans="1:6" x14ac:dyDescent="0.2">
      <c r="A66" s="236"/>
      <c r="B66" s="255"/>
      <c r="C66" s="256"/>
      <c r="D66" s="92"/>
      <c r="E66" s="172"/>
      <c r="F66" s="244"/>
    </row>
    <row r="67" spans="1:6" x14ac:dyDescent="0.2">
      <c r="A67" s="236"/>
      <c r="B67" s="255"/>
      <c r="C67" s="256"/>
      <c r="D67" s="92"/>
      <c r="E67" s="172"/>
      <c r="F67" s="244"/>
    </row>
    <row r="68" spans="1:6" ht="24" x14ac:dyDescent="0.25">
      <c r="A68" s="236" t="s">
        <v>97</v>
      </c>
      <c r="B68" s="234" t="s">
        <v>330</v>
      </c>
      <c r="C68" s="185"/>
      <c r="D68" s="185"/>
      <c r="E68" s="269"/>
      <c r="F68" s="120"/>
    </row>
    <row r="69" spans="1:6" ht="104.45" customHeight="1" x14ac:dyDescent="0.25">
      <c r="A69" s="175"/>
      <c r="B69" s="248" t="s">
        <v>477</v>
      </c>
      <c r="C69" s="185"/>
      <c r="D69" s="185"/>
      <c r="E69" s="269"/>
      <c r="F69" s="120"/>
    </row>
    <row r="70" spans="1:6" x14ac:dyDescent="0.2">
      <c r="A70" s="236"/>
      <c r="B70" s="255" t="s">
        <v>170</v>
      </c>
      <c r="C70" s="256" t="s">
        <v>168</v>
      </c>
      <c r="D70" s="97">
        <v>54</v>
      </c>
      <c r="E70" s="239"/>
      <c r="F70" s="247">
        <f>D70*E70</f>
        <v>0</v>
      </c>
    </row>
    <row r="71" spans="1:6" x14ac:dyDescent="0.2">
      <c r="A71" s="236"/>
      <c r="B71" s="255" t="s">
        <v>151</v>
      </c>
      <c r="C71" s="256" t="s">
        <v>168</v>
      </c>
      <c r="D71" s="97">
        <v>54</v>
      </c>
      <c r="E71" s="239"/>
      <c r="F71" s="247">
        <f>D71*E71</f>
        <v>0</v>
      </c>
    </row>
    <row r="72" spans="1:6" x14ac:dyDescent="0.2">
      <c r="A72" s="236"/>
      <c r="B72" s="125"/>
      <c r="C72" s="96"/>
      <c r="D72" s="92"/>
      <c r="E72" s="94"/>
      <c r="F72" s="212"/>
    </row>
    <row r="73" spans="1:6" ht="15" x14ac:dyDescent="0.25">
      <c r="A73" s="337" t="s">
        <v>98</v>
      </c>
      <c r="B73" s="338" t="s">
        <v>461</v>
      </c>
      <c r="C73" s="339"/>
      <c r="D73" s="339"/>
      <c r="E73" s="339"/>
      <c r="F73" s="340"/>
    </row>
    <row r="74" spans="1:6" ht="24" x14ac:dyDescent="0.2">
      <c r="A74" s="337"/>
      <c r="B74" s="337" t="s">
        <v>462</v>
      </c>
      <c r="C74" s="341"/>
      <c r="D74" s="342"/>
      <c r="E74" s="343"/>
      <c r="F74" s="344"/>
    </row>
    <row r="75" spans="1:6" ht="205.15" customHeight="1" x14ac:dyDescent="0.2">
      <c r="A75" s="337"/>
      <c r="B75" s="345" t="s">
        <v>488</v>
      </c>
      <c r="C75" s="341"/>
      <c r="D75" s="342"/>
      <c r="E75" s="343"/>
      <c r="F75" s="344"/>
    </row>
    <row r="76" spans="1:6" x14ac:dyDescent="0.2">
      <c r="A76" s="337"/>
      <c r="B76" s="347" t="s">
        <v>489</v>
      </c>
      <c r="C76" s="347" t="s">
        <v>149</v>
      </c>
      <c r="D76" s="334">
        <v>8</v>
      </c>
      <c r="E76" s="335"/>
      <c r="F76" s="336">
        <f>D76*E76</f>
        <v>0</v>
      </c>
    </row>
    <row r="77" spans="1:6" ht="15" thickBot="1" x14ac:dyDescent="0.25">
      <c r="A77" s="236"/>
      <c r="B77" s="255"/>
      <c r="C77" s="256"/>
      <c r="D77" s="97"/>
      <c r="E77" s="239"/>
      <c r="F77" s="247"/>
    </row>
    <row r="78" spans="1:6" ht="15.75" thickBot="1" x14ac:dyDescent="0.3">
      <c r="A78" s="133" t="s">
        <v>129</v>
      </c>
      <c r="B78" s="254" t="s">
        <v>221</v>
      </c>
      <c r="C78" s="198"/>
      <c r="D78" s="135"/>
      <c r="E78" s="136" t="s">
        <v>491</v>
      </c>
      <c r="F78" s="104">
        <f>SUM(F45:F77)</f>
        <v>0</v>
      </c>
    </row>
    <row r="79" spans="1:6" x14ac:dyDescent="0.2">
      <c r="A79" s="236"/>
      <c r="B79" s="125"/>
      <c r="C79" s="96"/>
      <c r="D79" s="92"/>
      <c r="E79" s="94"/>
      <c r="F79" s="212"/>
    </row>
  </sheetData>
  <mergeCells count="30">
    <mergeCell ref="A37:E37"/>
    <mergeCell ref="A3:F3"/>
    <mergeCell ref="A36:E36"/>
    <mergeCell ref="A31:E31"/>
    <mergeCell ref="A32:E32"/>
    <mergeCell ref="A33:E33"/>
    <mergeCell ref="A34:E34"/>
    <mergeCell ref="A35:E35"/>
    <mergeCell ref="A12:E12"/>
    <mergeCell ref="A11:E11"/>
    <mergeCell ref="A30:E30"/>
    <mergeCell ref="A29:E29"/>
    <mergeCell ref="A27:E27"/>
    <mergeCell ref="A13:E13"/>
    <mergeCell ref="A2:F2"/>
    <mergeCell ref="B6:F6"/>
    <mergeCell ref="A10:E10"/>
    <mergeCell ref="A28:E28"/>
    <mergeCell ref="A19:E19"/>
    <mergeCell ref="A20:E20"/>
    <mergeCell ref="A21:E21"/>
    <mergeCell ref="A22:E22"/>
    <mergeCell ref="A14:E14"/>
    <mergeCell ref="A15:E15"/>
    <mergeCell ref="A16:E16"/>
    <mergeCell ref="A17:E17"/>
    <mergeCell ref="A23:E23"/>
    <mergeCell ref="A24:E24"/>
    <mergeCell ref="A25:E25"/>
    <mergeCell ref="A26:E26"/>
  </mergeCells>
  <phoneticPr fontId="32" type="noConversion"/>
  <pageMargins left="0.70866141732283472" right="0.19685039370078741" top="0.74803149606299213" bottom="0.74803149606299213" header="0.31496062992125984" footer="0.31496062992125984"/>
  <pageSetup paperSize="9" orientation="portrait" r:id="rId1"/>
  <headerFooter alignWithMargins="0">
    <oddHeader xml:space="preserve">&amp;L&amp;"Calibri,Regular"&amp;9Investitor: Suvlasnici stambene zgrade u Zagrebu, Sveti Duh 65, 10000 Zagreb
Građevina: Stambena zgrada u Zagrebu, Sveti Duh 65&amp;R&amp;"Calibri,Regular"&amp;9&amp;K000000z.o.p.: Sveti Duh 65
t.d.: 02-2020&amp;K01+000
</oddHeader>
    <oddFooter xml:space="preserve">&amp;L&amp;"Calibri,Regular"&amp;9Radovi prema čl. 5 Pravilnika o jednostavnim i drugim građevinama i radovima (NN 112/17, 34/18, 36/19, 98/19, 31/20) 
</oddFooter>
  </headerFooter>
  <rowBreaks count="3" manualBreakCount="3">
    <brk id="38" max="16383" man="1"/>
    <brk id="53" max="16383" man="1"/>
    <brk id="71" max="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tabColor rgb="FF92D050"/>
  </sheetPr>
  <dimension ref="A1:G73"/>
  <sheetViews>
    <sheetView view="pageBreakPreview" topLeftCell="A61" zoomScale="85" zoomScaleNormal="110" zoomScaleSheetLayoutView="85" workbookViewId="0">
      <selection activeCell="E27" sqref="E27"/>
    </sheetView>
  </sheetViews>
  <sheetFormatPr defaultColWidth="9.140625" defaultRowHeight="14.25" x14ac:dyDescent="0.2"/>
  <cols>
    <col min="1" max="1" width="5.7109375" style="102" customWidth="1"/>
    <col min="2" max="2" width="40.7109375" style="102" customWidth="1"/>
    <col min="3" max="3" width="7.7109375" style="137" customWidth="1"/>
    <col min="4" max="4" width="10.7109375" style="138" customWidth="1"/>
    <col min="5" max="5" width="10.7109375" style="102" customWidth="1"/>
    <col min="6" max="6" width="10.85546875" style="127" customWidth="1"/>
    <col min="7" max="7" width="22.5703125" style="102" customWidth="1"/>
    <col min="8" max="8" width="10.140625" style="102" bestFit="1" customWidth="1"/>
    <col min="9" max="16384" width="9.140625" style="102"/>
  </cols>
  <sheetData>
    <row r="1" spans="1:7" x14ac:dyDescent="0.2">
      <c r="A1" s="380"/>
      <c r="B1" s="381"/>
      <c r="C1" s="381"/>
      <c r="D1" s="381"/>
      <c r="E1" s="381"/>
      <c r="F1" s="381"/>
      <c r="G1" s="127"/>
    </row>
    <row r="2" spans="1:7" x14ac:dyDescent="0.2">
      <c r="A2" s="387" t="s">
        <v>87</v>
      </c>
      <c r="B2" s="388"/>
      <c r="C2" s="388"/>
      <c r="D2" s="388"/>
      <c r="E2" s="388"/>
      <c r="F2" s="389"/>
    </row>
    <row r="3" spans="1:7" ht="15" x14ac:dyDescent="0.25">
      <c r="A3" s="93" t="s">
        <v>120</v>
      </c>
      <c r="B3" s="165"/>
      <c r="C3" s="126"/>
      <c r="D3" s="112"/>
      <c r="E3" s="113"/>
      <c r="F3" s="148"/>
    </row>
    <row r="4" spans="1:7" x14ac:dyDescent="0.2">
      <c r="A4" s="140" t="s">
        <v>11</v>
      </c>
      <c r="B4" s="140" t="s">
        <v>18</v>
      </c>
      <c r="C4" s="140" t="s">
        <v>7</v>
      </c>
      <c r="D4" s="141" t="s">
        <v>8</v>
      </c>
      <c r="E4" s="140" t="s">
        <v>9</v>
      </c>
      <c r="F4" s="140" t="s">
        <v>10</v>
      </c>
    </row>
    <row r="5" spans="1:7" x14ac:dyDescent="0.2">
      <c r="A5" s="143"/>
      <c r="B5" s="143"/>
      <c r="C5" s="143"/>
      <c r="D5" s="144"/>
      <c r="E5" s="143"/>
      <c r="F5" s="143"/>
    </row>
    <row r="6" spans="1:7" ht="18.75" x14ac:dyDescent="0.3">
      <c r="A6" s="145" t="s">
        <v>19</v>
      </c>
      <c r="B6" s="146" t="s">
        <v>52</v>
      </c>
      <c r="C6" s="147"/>
      <c r="D6" s="112"/>
      <c r="E6" s="113"/>
      <c r="F6" s="148"/>
    </row>
    <row r="7" spans="1:7" ht="15" x14ac:dyDescent="0.25">
      <c r="A7" s="113"/>
      <c r="B7" s="113"/>
      <c r="C7" s="149"/>
      <c r="D7" s="112"/>
      <c r="E7" s="113"/>
      <c r="F7" s="148"/>
    </row>
    <row r="8" spans="1:7" ht="15.75" thickBot="1" x14ac:dyDescent="0.3">
      <c r="A8" s="150" t="s">
        <v>21</v>
      </c>
      <c r="B8" s="390" t="s">
        <v>111</v>
      </c>
      <c r="C8" s="390"/>
      <c r="D8" s="390"/>
      <c r="E8" s="390"/>
      <c r="F8" s="390"/>
    </row>
    <row r="9" spans="1:7" x14ac:dyDescent="0.2">
      <c r="A9" s="152"/>
      <c r="B9" s="153"/>
      <c r="C9" s="154"/>
      <c r="D9" s="92"/>
      <c r="E9" s="155"/>
      <c r="F9" s="156"/>
    </row>
    <row r="10" spans="1:7" x14ac:dyDescent="0.2">
      <c r="A10" s="158" t="s">
        <v>64</v>
      </c>
      <c r="B10" s="159"/>
      <c r="C10" s="160"/>
      <c r="D10" s="161"/>
      <c r="E10" s="162"/>
      <c r="F10" s="120"/>
    </row>
    <row r="11" spans="1:7" x14ac:dyDescent="0.2">
      <c r="A11" s="158"/>
      <c r="B11" s="159"/>
      <c r="C11" s="160"/>
      <c r="D11" s="161"/>
      <c r="E11" s="162"/>
      <c r="F11" s="120"/>
    </row>
    <row r="12" spans="1:7" ht="100.5" customHeight="1" x14ac:dyDescent="0.25">
      <c r="A12" s="375" t="s">
        <v>279</v>
      </c>
      <c r="B12" s="396"/>
      <c r="C12" s="396"/>
      <c r="D12" s="396"/>
      <c r="E12" s="396"/>
      <c r="F12" s="120"/>
    </row>
    <row r="13" spans="1:7" ht="36" customHeight="1" x14ac:dyDescent="0.25">
      <c r="A13" s="375" t="s">
        <v>60</v>
      </c>
      <c r="B13" s="397"/>
      <c r="C13" s="397"/>
      <c r="D13" s="397"/>
      <c r="E13" s="397"/>
      <c r="F13" s="120"/>
    </row>
    <row r="14" spans="1:7" ht="23.25" customHeight="1" x14ac:dyDescent="0.25">
      <c r="A14" s="375" t="s">
        <v>109</v>
      </c>
      <c r="B14" s="396"/>
      <c r="C14" s="396"/>
      <c r="D14" s="396"/>
      <c r="E14" s="396"/>
      <c r="F14" s="120"/>
    </row>
    <row r="15" spans="1:7" ht="120" customHeight="1" x14ac:dyDescent="0.25">
      <c r="A15" s="375" t="s">
        <v>202</v>
      </c>
      <c r="B15" s="396"/>
      <c r="C15" s="396"/>
      <c r="D15" s="396"/>
      <c r="E15" s="396"/>
      <c r="F15" s="120"/>
    </row>
    <row r="16" spans="1:7" ht="63" customHeight="1" x14ac:dyDescent="0.25">
      <c r="A16" s="375" t="s">
        <v>82</v>
      </c>
      <c r="B16" s="396"/>
      <c r="C16" s="396"/>
      <c r="D16" s="396"/>
      <c r="E16" s="396"/>
      <c r="F16" s="120"/>
    </row>
    <row r="17" spans="1:6" ht="28.5" customHeight="1" x14ac:dyDescent="0.2">
      <c r="A17" s="384" t="s">
        <v>341</v>
      </c>
      <c r="B17" s="384"/>
      <c r="C17" s="384"/>
      <c r="D17" s="384"/>
      <c r="E17" s="384"/>
      <c r="F17" s="120"/>
    </row>
    <row r="18" spans="1:6" ht="63" customHeight="1" x14ac:dyDescent="0.25">
      <c r="A18" s="375" t="s">
        <v>146</v>
      </c>
      <c r="B18" s="396"/>
      <c r="C18" s="396"/>
      <c r="D18" s="396"/>
      <c r="E18" s="396"/>
      <c r="F18" s="120"/>
    </row>
    <row r="19" spans="1:6" ht="63" customHeight="1" x14ac:dyDescent="0.25">
      <c r="A19" s="375" t="s">
        <v>53</v>
      </c>
      <c r="B19" s="396"/>
      <c r="C19" s="396"/>
      <c r="D19" s="396"/>
      <c r="E19" s="396"/>
      <c r="F19" s="120"/>
    </row>
    <row r="20" spans="1:6" ht="48.75" customHeight="1" x14ac:dyDescent="0.25">
      <c r="A20" s="375" t="s">
        <v>83</v>
      </c>
      <c r="B20" s="396"/>
      <c r="C20" s="396"/>
      <c r="D20" s="396"/>
      <c r="E20" s="396"/>
      <c r="F20" s="120"/>
    </row>
    <row r="21" spans="1:6" ht="122.25" customHeight="1" x14ac:dyDescent="0.25">
      <c r="A21" s="375" t="s">
        <v>203</v>
      </c>
      <c r="B21" s="396"/>
      <c r="C21" s="396"/>
      <c r="D21" s="396"/>
      <c r="E21" s="396"/>
      <c r="F21" s="120"/>
    </row>
    <row r="22" spans="1:6" ht="62.25" customHeight="1" x14ac:dyDescent="0.25">
      <c r="A22" s="375" t="s">
        <v>204</v>
      </c>
      <c r="B22" s="396"/>
      <c r="C22" s="396"/>
      <c r="D22" s="396"/>
      <c r="E22" s="396"/>
      <c r="F22" s="120"/>
    </row>
    <row r="23" spans="1:6" ht="53.25" customHeight="1" x14ac:dyDescent="0.25">
      <c r="A23" s="398" t="s">
        <v>271</v>
      </c>
      <c r="B23" s="401"/>
      <c r="C23" s="401"/>
      <c r="D23" s="401"/>
      <c r="E23" s="401"/>
      <c r="F23" s="120"/>
    </row>
    <row r="24" spans="1:6" ht="15" x14ac:dyDescent="0.25">
      <c r="A24" s="175"/>
      <c r="B24" s="200"/>
      <c r="C24" s="200"/>
      <c r="D24" s="200"/>
      <c r="E24" s="200"/>
      <c r="F24" s="120"/>
    </row>
    <row r="25" spans="1:6" ht="15" x14ac:dyDescent="0.25">
      <c r="A25" s="241" t="s">
        <v>94</v>
      </c>
      <c r="B25" s="201" t="s">
        <v>171</v>
      </c>
      <c r="C25" s="200"/>
      <c r="D25" s="200"/>
      <c r="E25" s="200"/>
      <c r="F25" s="120"/>
    </row>
    <row r="26" spans="1:6" ht="97.9" customHeight="1" x14ac:dyDescent="0.25">
      <c r="A26" s="175"/>
      <c r="B26" s="101" t="s">
        <v>379</v>
      </c>
      <c r="C26" s="200"/>
      <c r="D26" s="200"/>
      <c r="E26" s="270"/>
      <c r="F26" s="120"/>
    </row>
    <row r="27" spans="1:6" x14ac:dyDescent="0.2">
      <c r="A27" s="175"/>
      <c r="B27" s="252"/>
      <c r="C27" s="256" t="s">
        <v>168</v>
      </c>
      <c r="D27" s="97">
        <v>54</v>
      </c>
      <c r="E27" s="239"/>
      <c r="F27" s="247">
        <f>D27*E27</f>
        <v>0</v>
      </c>
    </row>
    <row r="28" spans="1:6" x14ac:dyDescent="0.2">
      <c r="A28" s="175"/>
      <c r="B28" s="252"/>
      <c r="C28" s="256"/>
      <c r="D28" s="97"/>
      <c r="E28" s="239"/>
      <c r="F28" s="247"/>
    </row>
    <row r="29" spans="1:6" ht="15" x14ac:dyDescent="0.25">
      <c r="A29" s="241" t="s">
        <v>95</v>
      </c>
      <c r="B29" s="201" t="s">
        <v>380</v>
      </c>
      <c r="C29" s="200"/>
      <c r="D29" s="200"/>
      <c r="E29" s="200"/>
      <c r="F29" s="120"/>
    </row>
    <row r="30" spans="1:6" ht="96" x14ac:dyDescent="0.25">
      <c r="A30" s="175"/>
      <c r="B30" s="101" t="s">
        <v>381</v>
      </c>
      <c r="C30" s="200"/>
      <c r="D30" s="200"/>
      <c r="E30" s="270"/>
      <c r="F30" s="120"/>
    </row>
    <row r="31" spans="1:6" x14ac:dyDescent="0.2">
      <c r="A31" s="175"/>
      <c r="B31" s="252"/>
      <c r="C31" s="256" t="s">
        <v>168</v>
      </c>
      <c r="D31" s="97">
        <v>36</v>
      </c>
      <c r="E31" s="239"/>
      <c r="F31" s="247">
        <f>D31*E31</f>
        <v>0</v>
      </c>
    </row>
    <row r="32" spans="1:6" x14ac:dyDescent="0.2">
      <c r="A32" s="175"/>
      <c r="B32" s="252"/>
      <c r="C32" s="256"/>
      <c r="D32" s="97"/>
      <c r="E32" s="239"/>
      <c r="F32" s="247"/>
    </row>
    <row r="33" spans="1:6" ht="15" x14ac:dyDescent="0.25">
      <c r="A33" s="241" t="s">
        <v>96</v>
      </c>
      <c r="B33" s="201" t="s">
        <v>332</v>
      </c>
      <c r="C33" s="200"/>
      <c r="D33" s="200"/>
      <c r="E33" s="200"/>
      <c r="F33" s="120"/>
    </row>
    <row r="34" spans="1:6" ht="119.45" customHeight="1" x14ac:dyDescent="0.25">
      <c r="A34" s="175"/>
      <c r="B34" s="101" t="s">
        <v>386</v>
      </c>
      <c r="C34" s="200"/>
      <c r="D34" s="200"/>
      <c r="E34" s="270"/>
      <c r="F34" s="120"/>
    </row>
    <row r="35" spans="1:6" x14ac:dyDescent="0.2">
      <c r="A35" s="175"/>
      <c r="B35" s="252"/>
      <c r="C35" s="256" t="s">
        <v>168</v>
      </c>
      <c r="D35" s="97">
        <v>30</v>
      </c>
      <c r="E35" s="239"/>
      <c r="F35" s="247">
        <f>D35*E35</f>
        <v>0</v>
      </c>
    </row>
    <row r="36" spans="1:6" x14ac:dyDescent="0.2">
      <c r="A36" s="175"/>
      <c r="B36" s="252"/>
      <c r="C36" s="256"/>
      <c r="D36" s="97"/>
      <c r="E36" s="239"/>
      <c r="F36" s="247"/>
    </row>
    <row r="37" spans="1:6" x14ac:dyDescent="0.2">
      <c r="A37" s="128" t="s">
        <v>65</v>
      </c>
      <c r="B37" s="201" t="s">
        <v>382</v>
      </c>
      <c r="C37" s="96"/>
      <c r="D37" s="97"/>
      <c r="E37" s="94"/>
      <c r="F37" s="212"/>
    </row>
    <row r="38" spans="1:6" ht="96" x14ac:dyDescent="0.2">
      <c r="A38" s="175"/>
      <c r="B38" s="101" t="s">
        <v>441</v>
      </c>
      <c r="C38" s="96"/>
      <c r="D38" s="97"/>
      <c r="E38" s="94"/>
      <c r="F38" s="212"/>
    </row>
    <row r="39" spans="1:6" x14ac:dyDescent="0.2">
      <c r="A39" s="175"/>
      <c r="B39" s="255" t="s">
        <v>383</v>
      </c>
      <c r="C39" s="256" t="s">
        <v>168</v>
      </c>
      <c r="D39" s="97">
        <v>25</v>
      </c>
      <c r="E39" s="239"/>
      <c r="F39" s="247">
        <f>D39*E39</f>
        <v>0</v>
      </c>
    </row>
    <row r="40" spans="1:6" x14ac:dyDescent="0.2">
      <c r="A40" s="175"/>
      <c r="B40" s="255"/>
      <c r="C40" s="256"/>
      <c r="D40" s="97"/>
      <c r="E40" s="239"/>
      <c r="F40" s="247"/>
    </row>
    <row r="41" spans="1:6" x14ac:dyDescent="0.2">
      <c r="A41" s="128" t="s">
        <v>97</v>
      </c>
      <c r="B41" s="201" t="s">
        <v>384</v>
      </c>
      <c r="C41" s="96"/>
      <c r="D41" s="97"/>
      <c r="E41" s="94"/>
      <c r="F41" s="212"/>
    </row>
    <row r="42" spans="1:6" ht="72" x14ac:dyDescent="0.2">
      <c r="A42" s="175"/>
      <c r="B42" s="101" t="s">
        <v>387</v>
      </c>
      <c r="C42" s="96"/>
      <c r="D42" s="97"/>
      <c r="E42" s="94"/>
      <c r="F42" s="212"/>
    </row>
    <row r="43" spans="1:6" x14ac:dyDescent="0.2">
      <c r="A43" s="175"/>
      <c r="B43" s="255" t="s">
        <v>383</v>
      </c>
      <c r="C43" s="256" t="s">
        <v>168</v>
      </c>
      <c r="D43" s="97">
        <v>8</v>
      </c>
      <c r="E43" s="239"/>
      <c r="F43" s="247">
        <f>D43*E43</f>
        <v>0</v>
      </c>
    </row>
    <row r="44" spans="1:6" x14ac:dyDescent="0.2">
      <c r="A44" s="175"/>
      <c r="B44" s="255"/>
      <c r="C44" s="256"/>
      <c r="D44" s="97"/>
      <c r="E44" s="239"/>
      <c r="F44" s="247"/>
    </row>
    <row r="45" spans="1:6" x14ac:dyDescent="0.2">
      <c r="A45" s="128" t="s">
        <v>98</v>
      </c>
      <c r="B45" s="201" t="s">
        <v>385</v>
      </c>
      <c r="C45" s="96"/>
      <c r="D45" s="97"/>
      <c r="E45" s="94"/>
      <c r="F45" s="212"/>
    </row>
    <row r="46" spans="1:6" ht="119.25" customHeight="1" x14ac:dyDescent="0.2">
      <c r="A46" s="175"/>
      <c r="B46" s="101" t="s">
        <v>442</v>
      </c>
      <c r="C46" s="96"/>
      <c r="D46" s="97"/>
      <c r="E46" s="94"/>
      <c r="F46" s="212"/>
    </row>
    <row r="47" spans="1:6" x14ac:dyDescent="0.2">
      <c r="A47" s="175"/>
      <c r="B47" s="255" t="s">
        <v>305</v>
      </c>
      <c r="C47" s="256" t="s">
        <v>168</v>
      </c>
      <c r="D47" s="97">
        <v>27</v>
      </c>
      <c r="E47" s="239"/>
      <c r="F47" s="247">
        <f>D47*E47</f>
        <v>0</v>
      </c>
    </row>
    <row r="48" spans="1:6" x14ac:dyDescent="0.2">
      <c r="A48" s="175"/>
      <c r="B48" s="255"/>
      <c r="C48" s="256"/>
      <c r="D48" s="97"/>
      <c r="E48" s="239"/>
      <c r="F48" s="247"/>
    </row>
    <row r="49" spans="1:6" x14ac:dyDescent="0.2">
      <c r="A49" s="128" t="s">
        <v>99</v>
      </c>
      <c r="B49" s="201" t="s">
        <v>392</v>
      </c>
      <c r="C49" s="96"/>
      <c r="D49" s="97"/>
      <c r="E49" s="94"/>
      <c r="F49" s="212"/>
    </row>
    <row r="50" spans="1:6" ht="89.25" customHeight="1" x14ac:dyDescent="0.2">
      <c r="A50" s="175"/>
      <c r="B50" s="101" t="s">
        <v>443</v>
      </c>
      <c r="C50" s="96"/>
      <c r="D50" s="97"/>
      <c r="E50" s="94"/>
      <c r="F50" s="212"/>
    </row>
    <row r="51" spans="1:6" x14ac:dyDescent="0.2">
      <c r="A51" s="175"/>
      <c r="B51" s="255" t="s">
        <v>396</v>
      </c>
      <c r="C51" s="256" t="s">
        <v>168</v>
      </c>
      <c r="D51" s="97">
        <v>17</v>
      </c>
      <c r="E51" s="239"/>
      <c r="F51" s="247">
        <f>D51*E51</f>
        <v>0</v>
      </c>
    </row>
    <row r="52" spans="1:6" x14ac:dyDescent="0.2">
      <c r="A52" s="175"/>
      <c r="B52" s="255"/>
      <c r="C52" s="256"/>
      <c r="D52" s="97"/>
      <c r="E52" s="239"/>
      <c r="F52" s="247"/>
    </row>
    <row r="53" spans="1:6" ht="24" x14ac:dyDescent="0.2">
      <c r="A53" s="128" t="s">
        <v>256</v>
      </c>
      <c r="B53" s="201" t="s">
        <v>388</v>
      </c>
      <c r="C53" s="96"/>
      <c r="D53" s="97"/>
      <c r="E53" s="94"/>
      <c r="F53" s="212"/>
    </row>
    <row r="54" spans="1:6" ht="113.25" customHeight="1" x14ac:dyDescent="0.2">
      <c r="A54" s="128"/>
      <c r="B54" s="101" t="s">
        <v>444</v>
      </c>
      <c r="C54" s="96"/>
      <c r="D54" s="97"/>
      <c r="E54" s="94"/>
      <c r="F54" s="212"/>
    </row>
    <row r="55" spans="1:6" x14ac:dyDescent="0.2">
      <c r="A55" s="128"/>
      <c r="B55" s="255" t="s">
        <v>331</v>
      </c>
      <c r="C55" s="256" t="s">
        <v>149</v>
      </c>
      <c r="D55" s="97">
        <v>18</v>
      </c>
      <c r="E55" s="239"/>
      <c r="F55" s="247">
        <f t="shared" ref="F55" si="0">D55*E55</f>
        <v>0</v>
      </c>
    </row>
    <row r="56" spans="1:6" x14ac:dyDescent="0.2">
      <c r="B56" s="364" t="s">
        <v>389</v>
      </c>
      <c r="C56" s="256" t="s">
        <v>149</v>
      </c>
      <c r="D56" s="97">
        <v>18</v>
      </c>
      <c r="E56" s="370"/>
      <c r="F56" s="247">
        <f>D56*E56</f>
        <v>0</v>
      </c>
    </row>
    <row r="57" spans="1:6" x14ac:dyDescent="0.2">
      <c r="A57" s="175"/>
      <c r="B57" s="364" t="s">
        <v>391</v>
      </c>
      <c r="C57" s="256" t="s">
        <v>149</v>
      </c>
      <c r="D57" s="97">
        <v>18</v>
      </c>
      <c r="E57" s="239"/>
      <c r="F57" s="247">
        <f>D57*E57</f>
        <v>0</v>
      </c>
    </row>
    <row r="58" spans="1:6" x14ac:dyDescent="0.2">
      <c r="A58" s="128"/>
      <c r="B58" s="364" t="s">
        <v>390</v>
      </c>
      <c r="C58" s="256" t="s">
        <v>216</v>
      </c>
      <c r="D58" s="97">
        <v>0.2</v>
      </c>
      <c r="E58" s="239"/>
      <c r="F58" s="247">
        <f>D58*E58</f>
        <v>0</v>
      </c>
    </row>
    <row r="59" spans="1:6" x14ac:dyDescent="0.2">
      <c r="A59" s="175"/>
      <c r="B59" s="125"/>
      <c r="C59" s="96"/>
      <c r="D59" s="92"/>
      <c r="E59" s="94"/>
      <c r="F59" s="212"/>
    </row>
    <row r="60" spans="1:6" x14ac:dyDescent="0.2">
      <c r="A60" s="128" t="s">
        <v>295</v>
      </c>
      <c r="B60" s="201" t="s">
        <v>229</v>
      </c>
      <c r="C60" s="96"/>
      <c r="D60" s="92"/>
      <c r="E60" s="94"/>
      <c r="F60" s="212"/>
    </row>
    <row r="61" spans="1:6" ht="102" customHeight="1" x14ac:dyDescent="0.2">
      <c r="A61" s="175"/>
      <c r="B61" s="101" t="s">
        <v>445</v>
      </c>
      <c r="C61" s="96"/>
      <c r="D61" s="92"/>
      <c r="E61" s="94"/>
      <c r="F61" s="212"/>
    </row>
    <row r="62" spans="1:6" x14ac:dyDescent="0.2">
      <c r="A62" s="175"/>
      <c r="B62" s="255"/>
      <c r="C62" s="256" t="s">
        <v>168</v>
      </c>
      <c r="D62" s="97">
        <v>35</v>
      </c>
      <c r="E62" s="239"/>
      <c r="F62" s="247">
        <f>D62*E62</f>
        <v>0</v>
      </c>
    </row>
    <row r="63" spans="1:6" x14ac:dyDescent="0.2">
      <c r="A63" s="175"/>
      <c r="B63" s="255"/>
      <c r="C63" s="256"/>
      <c r="D63" s="97"/>
      <c r="E63" s="239"/>
      <c r="F63" s="247"/>
    </row>
    <row r="64" spans="1:6" x14ac:dyDescent="0.2">
      <c r="A64" s="128" t="s">
        <v>296</v>
      </c>
      <c r="B64" s="178" t="s">
        <v>393</v>
      </c>
      <c r="C64" s="96"/>
      <c r="D64" s="92"/>
      <c r="E64" s="94"/>
      <c r="F64" s="212"/>
    </row>
    <row r="65" spans="1:6" ht="167.25" customHeight="1" x14ac:dyDescent="0.2">
      <c r="A65" s="175"/>
      <c r="B65" s="366" t="s">
        <v>446</v>
      </c>
      <c r="C65" s="96"/>
      <c r="D65" s="92"/>
      <c r="E65" s="94"/>
      <c r="F65" s="212"/>
    </row>
    <row r="66" spans="1:6" x14ac:dyDescent="0.2">
      <c r="A66" s="175"/>
      <c r="B66" s="347" t="s">
        <v>394</v>
      </c>
      <c r="C66" s="256" t="s">
        <v>168</v>
      </c>
      <c r="D66" s="97">
        <v>33</v>
      </c>
      <c r="E66" s="239"/>
      <c r="F66" s="247">
        <f>D66*E66</f>
        <v>0</v>
      </c>
    </row>
    <row r="67" spans="1:6" x14ac:dyDescent="0.2">
      <c r="A67" s="175"/>
      <c r="B67" s="325" t="s">
        <v>395</v>
      </c>
      <c r="C67" s="256" t="s">
        <v>168</v>
      </c>
      <c r="D67" s="97">
        <v>33</v>
      </c>
      <c r="E67" s="239"/>
      <c r="F67" s="247">
        <f>D67*E67</f>
        <v>0</v>
      </c>
    </row>
    <row r="68" spans="1:6" x14ac:dyDescent="0.2">
      <c r="A68" s="175"/>
      <c r="B68" s="255"/>
      <c r="C68" s="256"/>
      <c r="D68" s="97"/>
      <c r="E68" s="239"/>
      <c r="F68" s="247"/>
    </row>
    <row r="69" spans="1:6" x14ac:dyDescent="0.2">
      <c r="A69" s="128" t="s">
        <v>298</v>
      </c>
      <c r="B69" s="201" t="s">
        <v>327</v>
      </c>
      <c r="C69" s="96"/>
      <c r="D69" s="92"/>
      <c r="E69" s="94"/>
      <c r="F69" s="212"/>
    </row>
    <row r="70" spans="1:6" ht="76.5" customHeight="1" x14ac:dyDescent="0.2">
      <c r="A70" s="365"/>
      <c r="B70" s="101" t="s">
        <v>397</v>
      </c>
      <c r="C70" s="96"/>
      <c r="D70" s="92"/>
      <c r="E70" s="94"/>
      <c r="F70" s="212"/>
    </row>
    <row r="71" spans="1:6" x14ac:dyDescent="0.2">
      <c r="B71" s="132" t="s">
        <v>360</v>
      </c>
      <c r="C71" s="255" t="s">
        <v>66</v>
      </c>
      <c r="D71" s="308">
        <v>3</v>
      </c>
      <c r="E71" s="239"/>
      <c r="F71" s="247">
        <f>D71*E71</f>
        <v>0</v>
      </c>
    </row>
    <row r="72" spans="1:6" ht="15" thickBot="1" x14ac:dyDescent="0.25">
      <c r="B72" s="255"/>
      <c r="C72" s="256"/>
      <c r="D72" s="92"/>
      <c r="E72" s="239"/>
      <c r="F72" s="247"/>
    </row>
    <row r="73" spans="1:6" ht="15.75" thickBot="1" x14ac:dyDescent="0.3">
      <c r="A73" s="133" t="s">
        <v>21</v>
      </c>
      <c r="B73" s="254" t="s">
        <v>223</v>
      </c>
      <c r="C73" s="198"/>
      <c r="D73" s="135"/>
      <c r="E73" s="136" t="s">
        <v>491</v>
      </c>
      <c r="F73" s="104">
        <f>SUM(F27:F72)</f>
        <v>0</v>
      </c>
    </row>
  </sheetData>
  <mergeCells count="15">
    <mergeCell ref="A19:E19"/>
    <mergeCell ref="A20:E20"/>
    <mergeCell ref="A21:E21"/>
    <mergeCell ref="A23:E23"/>
    <mergeCell ref="A15:E15"/>
    <mergeCell ref="A16:E16"/>
    <mergeCell ref="A22:E22"/>
    <mergeCell ref="A18:E18"/>
    <mergeCell ref="A17:E17"/>
    <mergeCell ref="A1:F1"/>
    <mergeCell ref="A14:E14"/>
    <mergeCell ref="A2:F2"/>
    <mergeCell ref="B8:F8"/>
    <mergeCell ref="A12:E12"/>
    <mergeCell ref="A13:E13"/>
  </mergeCells>
  <phoneticPr fontId="32" type="noConversion"/>
  <pageMargins left="0.70866141732283472" right="0.19685039370078741" top="0.74803149606299213" bottom="0.74803149606299213" header="0.31496062992125984" footer="0.31496062992125984"/>
  <pageSetup paperSize="9" orientation="portrait" r:id="rId1"/>
  <headerFooter alignWithMargins="0">
    <oddHeader xml:space="preserve">&amp;L&amp;"Calibri,Regular"&amp;9Investitor: Suvlasnici stambene zgrade u Zagrebu, Sveti Duh 65, 10000 Zagreb
Građevina: Stambena zgrada u Zagrebu, Sveti Duh 65&amp;R&amp;"Calibri,Regular"&amp;9&amp;K000000z.o.p.: Sveti Duh 65
t.d.: 02-2020&amp;K01+000
</oddHeader>
    <oddFooter xml:space="preserve">&amp;L&amp;"Calibri,Regular"&amp;9Radovi prema čl. 5 Pravilnika o jednostavnim i drugim građevinama i radovima (NN 112/17, 34/18, 36/19, 98/19, 31/20) 
</oddFooter>
  </headerFooter>
  <rowBreaks count="3" manualBreakCount="3">
    <brk id="23" max="16383" man="1"/>
    <brk id="43" max="16383" man="1"/>
    <brk id="62"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G68"/>
  <sheetViews>
    <sheetView view="pageBreakPreview" topLeftCell="A46" zoomScale="85" zoomScaleNormal="150" zoomScaleSheetLayoutView="85" workbookViewId="0">
      <selection activeCell="E47" sqref="E47:E63"/>
    </sheetView>
  </sheetViews>
  <sheetFormatPr defaultColWidth="9.140625" defaultRowHeight="14.25" x14ac:dyDescent="0.2"/>
  <cols>
    <col min="1" max="1" width="5.7109375" style="102" customWidth="1"/>
    <col min="2" max="2" width="42.85546875" style="102" customWidth="1"/>
    <col min="3" max="3" width="7.140625" style="137" customWidth="1"/>
    <col min="4" max="4" width="10.7109375" style="190" customWidth="1"/>
    <col min="5" max="5" width="10.7109375" style="102" customWidth="1"/>
    <col min="6" max="6" width="10.7109375" style="127" customWidth="1"/>
    <col min="7" max="7" width="9.140625" style="102"/>
    <col min="8" max="8" width="34" style="102" customWidth="1"/>
    <col min="9" max="16384" width="9.140625" style="102"/>
  </cols>
  <sheetData>
    <row r="1" spans="1:7" ht="15" x14ac:dyDescent="0.25">
      <c r="A1" s="93"/>
      <c r="B1" s="93"/>
      <c r="C1" s="179"/>
      <c r="D1" s="112"/>
      <c r="E1" s="93"/>
      <c r="F1" s="180"/>
    </row>
    <row r="2" spans="1:7" x14ac:dyDescent="0.2">
      <c r="A2" s="387" t="s">
        <v>87</v>
      </c>
      <c r="B2" s="388"/>
      <c r="C2" s="388"/>
      <c r="D2" s="388"/>
      <c r="E2" s="388"/>
      <c r="F2" s="389"/>
    </row>
    <row r="3" spans="1:7" x14ac:dyDescent="0.2">
      <c r="A3" s="380" t="s">
        <v>434</v>
      </c>
      <c r="B3" s="380"/>
      <c r="C3" s="380"/>
      <c r="D3" s="380"/>
      <c r="E3" s="380"/>
      <c r="F3" s="380"/>
      <c r="G3" s="127"/>
    </row>
    <row r="4" spans="1:7" x14ac:dyDescent="0.2">
      <c r="A4" s="140" t="s">
        <v>11</v>
      </c>
      <c r="B4" s="140" t="s">
        <v>18</v>
      </c>
      <c r="C4" s="140" t="s">
        <v>7</v>
      </c>
      <c r="D4" s="141" t="s">
        <v>8</v>
      </c>
      <c r="E4" s="140" t="s">
        <v>9</v>
      </c>
      <c r="F4" s="140" t="s">
        <v>10</v>
      </c>
    </row>
    <row r="5" spans="1:7" x14ac:dyDescent="0.2">
      <c r="A5" s="143"/>
      <c r="B5" s="143"/>
      <c r="C5" s="143"/>
      <c r="D5" s="144"/>
      <c r="E5" s="143"/>
      <c r="F5" s="143"/>
    </row>
    <row r="6" spans="1:7" ht="15.75" thickBot="1" x14ac:dyDescent="0.3">
      <c r="A6" s="150" t="s">
        <v>152</v>
      </c>
      <c r="B6" s="390" t="s">
        <v>427</v>
      </c>
      <c r="C6" s="390"/>
      <c r="D6" s="390"/>
      <c r="E6" s="390"/>
      <c r="F6" s="390"/>
    </row>
    <row r="7" spans="1:7" x14ac:dyDescent="0.2">
      <c r="A7" s="152"/>
      <c r="B7" s="153"/>
      <c r="C7" s="154"/>
      <c r="D7" s="92"/>
      <c r="E7" s="155"/>
      <c r="F7" s="156"/>
    </row>
    <row r="8" spans="1:7" ht="15" x14ac:dyDescent="0.25">
      <c r="A8" s="110"/>
      <c r="B8" s="284" t="s">
        <v>92</v>
      </c>
      <c r="C8" s="181"/>
      <c r="D8" s="169"/>
      <c r="E8" s="182"/>
      <c r="F8" s="171"/>
    </row>
    <row r="9" spans="1:7" ht="15" x14ac:dyDescent="0.25">
      <c r="A9" s="110"/>
      <c r="B9" s="189"/>
      <c r="C9" s="181"/>
      <c r="D9" s="112"/>
      <c r="E9" s="113"/>
      <c r="F9" s="114"/>
    </row>
    <row r="10" spans="1:7" ht="132" customHeight="1" x14ac:dyDescent="0.2">
      <c r="A10" s="110"/>
      <c r="B10" s="384" t="s">
        <v>280</v>
      </c>
      <c r="C10" s="384"/>
      <c r="D10" s="384"/>
      <c r="E10" s="384"/>
      <c r="F10" s="114"/>
    </row>
    <row r="11" spans="1:7" x14ac:dyDescent="0.2">
      <c r="A11" s="110"/>
      <c r="B11" s="192"/>
      <c r="C11" s="192"/>
      <c r="D11" s="322"/>
      <c r="E11" s="192"/>
      <c r="F11" s="114"/>
    </row>
    <row r="12" spans="1:7" ht="144.75" customHeight="1" x14ac:dyDescent="0.2">
      <c r="A12" s="110"/>
      <c r="B12" s="384" t="s">
        <v>24</v>
      </c>
      <c r="C12" s="384"/>
      <c r="D12" s="384"/>
      <c r="E12" s="384"/>
      <c r="F12" s="114"/>
    </row>
    <row r="13" spans="1:7" x14ac:dyDescent="0.2">
      <c r="A13" s="110"/>
      <c r="B13" s="192"/>
      <c r="C13" s="192"/>
      <c r="D13" s="322"/>
      <c r="E13" s="192"/>
      <c r="F13" s="114"/>
    </row>
    <row r="14" spans="1:7" ht="24.75" customHeight="1" x14ac:dyDescent="0.2">
      <c r="A14" s="110"/>
      <c r="B14" s="384" t="s">
        <v>25</v>
      </c>
      <c r="C14" s="384"/>
      <c r="D14" s="384"/>
      <c r="E14" s="384"/>
      <c r="F14" s="114"/>
    </row>
    <row r="15" spans="1:7" ht="147.75" customHeight="1" x14ac:dyDescent="0.2">
      <c r="A15" s="110"/>
      <c r="B15" s="384" t="s">
        <v>281</v>
      </c>
      <c r="C15" s="384"/>
      <c r="D15" s="384"/>
      <c r="E15" s="384"/>
      <c r="F15" s="114"/>
    </row>
    <row r="16" spans="1:7" ht="14.25" customHeight="1" x14ac:dyDescent="0.2">
      <c r="A16" s="110"/>
      <c r="B16" s="192"/>
      <c r="C16" s="192"/>
      <c r="D16" s="322"/>
      <c r="E16" s="192"/>
      <c r="F16" s="114"/>
    </row>
    <row r="17" spans="1:6" ht="60.75" customHeight="1" x14ac:dyDescent="0.2">
      <c r="A17" s="110"/>
      <c r="B17" s="384" t="s">
        <v>51</v>
      </c>
      <c r="C17" s="384"/>
      <c r="D17" s="384"/>
      <c r="E17" s="384"/>
      <c r="F17" s="114"/>
    </row>
    <row r="18" spans="1:6" ht="14.25" customHeight="1" x14ac:dyDescent="0.2">
      <c r="A18" s="110"/>
      <c r="B18" s="192"/>
      <c r="C18" s="192"/>
      <c r="D18" s="322"/>
      <c r="E18" s="192"/>
      <c r="F18" s="114"/>
    </row>
    <row r="19" spans="1:6" ht="72" customHeight="1" x14ac:dyDescent="0.2">
      <c r="A19" s="110"/>
      <c r="B19" s="384" t="s">
        <v>282</v>
      </c>
      <c r="C19" s="384"/>
      <c r="D19" s="384"/>
      <c r="E19" s="384"/>
      <c r="F19" s="114"/>
    </row>
    <row r="20" spans="1:6" ht="14.25" customHeight="1" x14ac:dyDescent="0.2">
      <c r="A20" s="110"/>
      <c r="B20" s="192"/>
      <c r="C20" s="192"/>
      <c r="D20" s="322"/>
      <c r="E20" s="192"/>
      <c r="F20" s="114"/>
    </row>
    <row r="21" spans="1:6" ht="12" customHeight="1" x14ac:dyDescent="0.2">
      <c r="A21" s="110"/>
      <c r="B21" s="382" t="s">
        <v>159</v>
      </c>
      <c r="C21" s="382"/>
      <c r="D21" s="382"/>
      <c r="E21" s="382"/>
      <c r="F21" s="114"/>
    </row>
    <row r="22" spans="1:6" ht="14.25" customHeight="1" x14ac:dyDescent="0.2">
      <c r="A22" s="110"/>
      <c r="B22" s="192"/>
      <c r="C22" s="192"/>
      <c r="D22" s="322"/>
      <c r="E22" s="192"/>
      <c r="F22" s="114"/>
    </row>
    <row r="23" spans="1:6" ht="89.25" customHeight="1" x14ac:dyDescent="0.2">
      <c r="A23" s="110"/>
      <c r="B23" s="384" t="s">
        <v>222</v>
      </c>
      <c r="C23" s="384"/>
      <c r="D23" s="384"/>
      <c r="E23" s="384"/>
      <c r="F23" s="114"/>
    </row>
    <row r="24" spans="1:6" x14ac:dyDescent="0.2">
      <c r="A24" s="110"/>
      <c r="B24" s="192"/>
      <c r="C24" s="192"/>
      <c r="D24" s="322"/>
      <c r="E24" s="192"/>
      <c r="F24" s="114"/>
    </row>
    <row r="25" spans="1:6" ht="29.25" customHeight="1" x14ac:dyDescent="0.2">
      <c r="A25" s="110"/>
      <c r="B25" s="384" t="s">
        <v>283</v>
      </c>
      <c r="C25" s="402"/>
      <c r="D25" s="402"/>
      <c r="E25" s="402"/>
      <c r="F25" s="114"/>
    </row>
    <row r="26" spans="1:6" ht="14.25" customHeight="1" x14ac:dyDescent="0.2">
      <c r="A26" s="110"/>
      <c r="B26" s="192"/>
      <c r="C26" s="192"/>
      <c r="D26" s="322"/>
      <c r="E26" s="192"/>
      <c r="F26" s="114"/>
    </row>
    <row r="27" spans="1:6" ht="99.75" customHeight="1" x14ac:dyDescent="0.2">
      <c r="A27" s="110"/>
      <c r="B27" s="384" t="s">
        <v>117</v>
      </c>
      <c r="C27" s="384"/>
      <c r="D27" s="384"/>
      <c r="E27" s="384"/>
      <c r="F27" s="114"/>
    </row>
    <row r="28" spans="1:6" ht="14.25" customHeight="1" x14ac:dyDescent="0.2">
      <c r="A28" s="110"/>
      <c r="B28" s="192"/>
      <c r="C28" s="192"/>
      <c r="D28" s="322"/>
      <c r="E28" s="192"/>
      <c r="F28" s="114"/>
    </row>
    <row r="29" spans="1:6" ht="48.75" customHeight="1" x14ac:dyDescent="0.2">
      <c r="A29" s="110"/>
      <c r="B29" s="384" t="s">
        <v>58</v>
      </c>
      <c r="C29" s="384"/>
      <c r="D29" s="384"/>
      <c r="E29" s="384"/>
      <c r="F29" s="114"/>
    </row>
    <row r="30" spans="1:6" ht="14.25" customHeight="1" x14ac:dyDescent="0.2">
      <c r="A30" s="110"/>
      <c r="B30" s="192"/>
      <c r="C30" s="192"/>
      <c r="D30" s="322"/>
      <c r="E30" s="192"/>
      <c r="F30" s="114"/>
    </row>
    <row r="31" spans="1:6" ht="60.75" customHeight="1" x14ac:dyDescent="0.2">
      <c r="A31" s="110"/>
      <c r="B31" s="384" t="s">
        <v>30</v>
      </c>
      <c r="C31" s="384"/>
      <c r="D31" s="384"/>
      <c r="E31" s="384"/>
      <c r="F31" s="114"/>
    </row>
    <row r="32" spans="1:6" ht="14.25" customHeight="1" x14ac:dyDescent="0.2">
      <c r="A32" s="110"/>
      <c r="B32" s="192"/>
      <c r="C32" s="192"/>
      <c r="D32" s="322"/>
      <c r="E32" s="192"/>
      <c r="F32" s="114"/>
    </row>
    <row r="33" spans="1:6" ht="24.75" customHeight="1" x14ac:dyDescent="0.2">
      <c r="A33" s="110"/>
      <c r="B33" s="384" t="s">
        <v>31</v>
      </c>
      <c r="C33" s="384"/>
      <c r="D33" s="384"/>
      <c r="E33" s="384"/>
      <c r="F33" s="114"/>
    </row>
    <row r="34" spans="1:6" ht="14.25" customHeight="1" x14ac:dyDescent="0.2">
      <c r="A34" s="110"/>
      <c r="B34" s="192"/>
      <c r="C34" s="192"/>
      <c r="D34" s="322"/>
      <c r="E34" s="192"/>
      <c r="F34" s="114"/>
    </row>
    <row r="35" spans="1:6" ht="84.75" customHeight="1" x14ac:dyDescent="0.2">
      <c r="A35" s="110"/>
      <c r="B35" s="384" t="s">
        <v>110</v>
      </c>
      <c r="C35" s="384"/>
      <c r="D35" s="384"/>
      <c r="E35" s="384"/>
      <c r="F35" s="114"/>
    </row>
    <row r="36" spans="1:6" ht="14.25" customHeight="1" x14ac:dyDescent="0.2">
      <c r="A36" s="110"/>
      <c r="B36" s="101"/>
      <c r="C36" s="101"/>
      <c r="D36" s="101"/>
      <c r="E36" s="101"/>
      <c r="F36" s="114"/>
    </row>
    <row r="37" spans="1:6" ht="14.25" customHeight="1" x14ac:dyDescent="0.2">
      <c r="A37" s="271" t="s">
        <v>94</v>
      </c>
      <c r="B37" s="184" t="s">
        <v>173</v>
      </c>
      <c r="C37" s="181"/>
      <c r="D37" s="92"/>
      <c r="E37" s="172"/>
      <c r="F37" s="174"/>
    </row>
    <row r="38" spans="1:6" ht="199.9" customHeight="1" x14ac:dyDescent="0.25">
      <c r="A38" s="245"/>
      <c r="B38" s="321" t="s">
        <v>487</v>
      </c>
      <c r="C38" s="245"/>
      <c r="D38" s="323"/>
      <c r="E38" s="324"/>
      <c r="F38" s="285"/>
    </row>
    <row r="39" spans="1:6" ht="96" x14ac:dyDescent="0.25">
      <c r="A39" s="93"/>
      <c r="B39" s="175" t="s">
        <v>241</v>
      </c>
      <c r="C39" s="182"/>
      <c r="D39" s="92"/>
      <c r="E39" s="172"/>
      <c r="F39" s="174"/>
    </row>
    <row r="40" spans="1:6" ht="40.5" customHeight="1" x14ac:dyDescent="0.25">
      <c r="A40" s="93"/>
      <c r="B40" s="175" t="s">
        <v>466</v>
      </c>
      <c r="C40" s="182"/>
      <c r="D40" s="92"/>
      <c r="E40" s="172"/>
      <c r="F40" s="174"/>
    </row>
    <row r="41" spans="1:6" ht="48" x14ac:dyDescent="0.25">
      <c r="A41" s="93"/>
      <c r="B41" s="175" t="s">
        <v>153</v>
      </c>
      <c r="C41" s="182"/>
      <c r="D41" s="92"/>
      <c r="E41" s="172"/>
      <c r="F41" s="174"/>
    </row>
    <row r="42" spans="1:6" ht="36" x14ac:dyDescent="0.25">
      <c r="A42" s="93"/>
      <c r="B42" s="175" t="s">
        <v>285</v>
      </c>
      <c r="C42" s="182"/>
      <c r="D42" s="92"/>
      <c r="E42" s="172"/>
      <c r="F42" s="174"/>
    </row>
    <row r="43" spans="1:6" ht="24" x14ac:dyDescent="0.25">
      <c r="A43" s="93"/>
      <c r="B43" s="175" t="s">
        <v>154</v>
      </c>
      <c r="C43" s="182"/>
      <c r="D43" s="239"/>
      <c r="E43" s="172"/>
      <c r="F43" s="174"/>
    </row>
    <row r="44" spans="1:6" ht="36" x14ac:dyDescent="0.25">
      <c r="A44" s="93"/>
      <c r="B44" s="183" t="s">
        <v>486</v>
      </c>
      <c r="C44" s="182"/>
      <c r="D44" s="92"/>
      <c r="E44" s="172"/>
      <c r="F44" s="174"/>
    </row>
    <row r="45" spans="1:6" ht="15" x14ac:dyDescent="0.25">
      <c r="A45" s="124"/>
      <c r="B45" s="175" t="s">
        <v>174</v>
      </c>
      <c r="C45" s="182"/>
      <c r="D45" s="92"/>
      <c r="E45" s="172"/>
      <c r="F45" s="174"/>
    </row>
    <row r="46" spans="1:6" ht="15" x14ac:dyDescent="0.25">
      <c r="A46" s="124"/>
      <c r="B46" s="175"/>
      <c r="C46" s="182"/>
      <c r="D46" s="92"/>
      <c r="E46" s="172"/>
      <c r="F46" s="174"/>
    </row>
    <row r="47" spans="1:6" ht="24" x14ac:dyDescent="0.2">
      <c r="A47" s="124"/>
      <c r="B47" s="101" t="s">
        <v>405</v>
      </c>
      <c r="C47" s="96" t="s">
        <v>66</v>
      </c>
      <c r="D47" s="92">
        <v>5</v>
      </c>
      <c r="E47" s="239"/>
      <c r="F47" s="247">
        <f>D47*E47</f>
        <v>0</v>
      </c>
    </row>
    <row r="48" spans="1:6" ht="24" x14ac:dyDescent="0.2">
      <c r="A48" s="124"/>
      <c r="B48" s="101" t="s">
        <v>407</v>
      </c>
      <c r="C48" s="96" t="s">
        <v>66</v>
      </c>
      <c r="D48" s="92">
        <v>1</v>
      </c>
      <c r="E48" s="239"/>
      <c r="F48" s="247">
        <f t="shared" ref="F48:F63" si="0">D48*E48</f>
        <v>0</v>
      </c>
    </row>
    <row r="49" spans="1:6" ht="24" x14ac:dyDescent="0.2">
      <c r="A49" s="124"/>
      <c r="B49" s="101" t="s">
        <v>470</v>
      </c>
      <c r="C49" s="96" t="s">
        <v>66</v>
      </c>
      <c r="D49" s="92">
        <v>2</v>
      </c>
      <c r="E49" s="239"/>
      <c r="F49" s="247">
        <f t="shared" si="0"/>
        <v>0</v>
      </c>
    </row>
    <row r="50" spans="1:6" ht="24" x14ac:dyDescent="0.2">
      <c r="A50" s="124"/>
      <c r="B50" s="101" t="s">
        <v>408</v>
      </c>
      <c r="C50" s="96" t="s">
        <v>66</v>
      </c>
      <c r="D50" s="92">
        <v>1</v>
      </c>
      <c r="E50" s="239"/>
      <c r="F50" s="247">
        <f>D50*E50</f>
        <v>0</v>
      </c>
    </row>
    <row r="51" spans="1:6" ht="24" x14ac:dyDescent="0.2">
      <c r="A51" s="124"/>
      <c r="B51" s="101" t="s">
        <v>409</v>
      </c>
      <c r="C51" s="96" t="s">
        <v>66</v>
      </c>
      <c r="D51" s="92">
        <v>2</v>
      </c>
      <c r="E51" s="239"/>
      <c r="F51" s="247">
        <f t="shared" si="0"/>
        <v>0</v>
      </c>
    </row>
    <row r="52" spans="1:6" ht="24" x14ac:dyDescent="0.2">
      <c r="A52" s="124"/>
      <c r="B52" s="101" t="s">
        <v>410</v>
      </c>
      <c r="C52" s="96" t="s">
        <v>66</v>
      </c>
      <c r="D52" s="92">
        <v>4</v>
      </c>
      <c r="E52" s="239"/>
      <c r="F52" s="247">
        <f>D52*E52</f>
        <v>0</v>
      </c>
    </row>
    <row r="53" spans="1:6" ht="24" x14ac:dyDescent="0.2">
      <c r="A53" s="124"/>
      <c r="B53" s="101" t="s">
        <v>411</v>
      </c>
      <c r="C53" s="96" t="s">
        <v>66</v>
      </c>
      <c r="D53" s="92">
        <v>4</v>
      </c>
      <c r="E53" s="239"/>
      <c r="F53" s="247">
        <f>D53*E53</f>
        <v>0</v>
      </c>
    </row>
    <row r="54" spans="1:6" ht="24" x14ac:dyDescent="0.2">
      <c r="A54" s="124"/>
      <c r="B54" s="101" t="s">
        <v>469</v>
      </c>
      <c r="C54" s="96" t="s">
        <v>66</v>
      </c>
      <c r="D54" s="92">
        <v>2</v>
      </c>
      <c r="E54" s="239"/>
      <c r="F54" s="247">
        <f>D54*E54</f>
        <v>0</v>
      </c>
    </row>
    <row r="55" spans="1:6" ht="24" x14ac:dyDescent="0.2">
      <c r="A55" s="124"/>
      <c r="B55" s="101" t="s">
        <v>412</v>
      </c>
      <c r="C55" s="96" t="s">
        <v>66</v>
      </c>
      <c r="D55" s="92">
        <v>1</v>
      </c>
      <c r="E55" s="239"/>
      <c r="F55" s="247">
        <f t="shared" si="0"/>
        <v>0</v>
      </c>
    </row>
    <row r="56" spans="1:6" ht="24" x14ac:dyDescent="0.2">
      <c r="A56" s="124"/>
      <c r="B56" s="101" t="s">
        <v>413</v>
      </c>
      <c r="C56" s="96" t="s">
        <v>66</v>
      </c>
      <c r="D56" s="92">
        <v>1</v>
      </c>
      <c r="E56" s="239"/>
      <c r="F56" s="247">
        <f t="shared" si="0"/>
        <v>0</v>
      </c>
    </row>
    <row r="57" spans="1:6" ht="24" x14ac:dyDescent="0.2">
      <c r="A57" s="124"/>
      <c r="B57" s="101" t="s">
        <v>414</v>
      </c>
      <c r="C57" s="96" t="s">
        <v>66</v>
      </c>
      <c r="D57" s="92">
        <v>2</v>
      </c>
      <c r="E57" s="239"/>
      <c r="F57" s="247">
        <f t="shared" si="0"/>
        <v>0</v>
      </c>
    </row>
    <row r="58" spans="1:6" ht="24" x14ac:dyDescent="0.2">
      <c r="A58" s="124"/>
      <c r="B58" s="101" t="s">
        <v>471</v>
      </c>
      <c r="C58" s="96" t="s">
        <v>66</v>
      </c>
      <c r="D58" s="92">
        <v>1</v>
      </c>
      <c r="E58" s="239"/>
      <c r="F58" s="247">
        <f t="shared" si="0"/>
        <v>0</v>
      </c>
    </row>
    <row r="59" spans="1:6" ht="24" x14ac:dyDescent="0.2">
      <c r="A59" s="124"/>
      <c r="B59" s="101" t="s">
        <v>415</v>
      </c>
      <c r="C59" s="96" t="s">
        <v>66</v>
      </c>
      <c r="D59" s="92">
        <v>1</v>
      </c>
      <c r="E59" s="239"/>
      <c r="F59" s="247">
        <f t="shared" si="0"/>
        <v>0</v>
      </c>
    </row>
    <row r="60" spans="1:6" ht="24" x14ac:dyDescent="0.2">
      <c r="A60" s="124"/>
      <c r="B60" s="101" t="s">
        <v>416</v>
      </c>
      <c r="C60" s="96" t="s">
        <v>66</v>
      </c>
      <c r="D60" s="92">
        <v>1</v>
      </c>
      <c r="E60" s="239"/>
      <c r="F60" s="247">
        <f t="shared" si="0"/>
        <v>0</v>
      </c>
    </row>
    <row r="61" spans="1:6" ht="24" x14ac:dyDescent="0.2">
      <c r="A61" s="124"/>
      <c r="B61" s="101" t="s">
        <v>417</v>
      </c>
      <c r="C61" s="96" t="s">
        <v>66</v>
      </c>
      <c r="D61" s="92">
        <v>1</v>
      </c>
      <c r="E61" s="239"/>
      <c r="F61" s="247">
        <f>D61*E61</f>
        <v>0</v>
      </c>
    </row>
    <row r="62" spans="1:6" ht="24" x14ac:dyDescent="0.2">
      <c r="A62" s="124"/>
      <c r="B62" s="101" t="s">
        <v>418</v>
      </c>
      <c r="C62" s="96" t="s">
        <v>66</v>
      </c>
      <c r="D62" s="92">
        <v>1</v>
      </c>
      <c r="E62" s="239"/>
      <c r="F62" s="247">
        <f t="shared" si="0"/>
        <v>0</v>
      </c>
    </row>
    <row r="63" spans="1:6" ht="24" x14ac:dyDescent="0.2">
      <c r="A63" s="124"/>
      <c r="B63" s="101" t="s">
        <v>419</v>
      </c>
      <c r="C63" s="96" t="s">
        <v>66</v>
      </c>
      <c r="D63" s="92">
        <v>1</v>
      </c>
      <c r="E63" s="239"/>
      <c r="F63" s="247">
        <f t="shared" si="0"/>
        <v>0</v>
      </c>
    </row>
    <row r="64" spans="1:6" ht="15" thickBot="1" x14ac:dyDescent="0.25">
      <c r="A64" s="110"/>
      <c r="B64" s="101"/>
      <c r="C64" s="96"/>
      <c r="D64" s="92"/>
      <c r="E64" s="239"/>
      <c r="F64" s="247"/>
    </row>
    <row r="65" spans="1:6" ht="15.75" thickBot="1" x14ac:dyDescent="0.3">
      <c r="A65" s="133" t="s">
        <v>152</v>
      </c>
      <c r="B65" s="254" t="s">
        <v>435</v>
      </c>
      <c r="C65" s="198"/>
      <c r="D65" s="135"/>
      <c r="E65" s="136" t="s">
        <v>491</v>
      </c>
      <c r="F65" s="104">
        <f>SUM(F47:F64)</f>
        <v>0</v>
      </c>
    </row>
    <row r="66" spans="1:6" x14ac:dyDescent="0.2">
      <c r="A66" s="110"/>
      <c r="B66" s="101"/>
      <c r="C66" s="101"/>
      <c r="D66" s="101"/>
      <c r="E66" s="101"/>
      <c r="F66" s="114"/>
    </row>
    <row r="67" spans="1:6" x14ac:dyDescent="0.2">
      <c r="A67" s="242"/>
      <c r="B67" s="235"/>
      <c r="C67" s="228"/>
      <c r="D67" s="243"/>
      <c r="E67" s="239"/>
      <c r="F67" s="237"/>
    </row>
    <row r="68" spans="1:6" x14ac:dyDescent="0.2">
      <c r="A68" s="242"/>
      <c r="B68" s="235"/>
      <c r="C68" s="228"/>
      <c r="D68" s="243"/>
      <c r="E68" s="239"/>
      <c r="F68" s="237"/>
    </row>
  </sheetData>
  <mergeCells count="17">
    <mergeCell ref="B27:E27"/>
    <mergeCell ref="B29:E29"/>
    <mergeCell ref="B31:E31"/>
    <mergeCell ref="B33:E33"/>
    <mergeCell ref="B35:E35"/>
    <mergeCell ref="B25:E25"/>
    <mergeCell ref="A2:F2"/>
    <mergeCell ref="A3:F3"/>
    <mergeCell ref="B6:F6"/>
    <mergeCell ref="B10:E10"/>
    <mergeCell ref="B12:E12"/>
    <mergeCell ref="B14:E14"/>
    <mergeCell ref="B15:E15"/>
    <mergeCell ref="B17:E17"/>
    <mergeCell ref="B19:E19"/>
    <mergeCell ref="B21:E21"/>
    <mergeCell ref="B23:E23"/>
  </mergeCells>
  <pageMargins left="0.70866141732283472" right="0.19685039370078741" top="0.74803149606299213" bottom="0.74803149606299213" header="0.31496062992125984" footer="0.31496062992125984"/>
  <pageSetup paperSize="9" orientation="portrait" r:id="rId1"/>
  <headerFooter alignWithMargins="0">
    <oddHeader xml:space="preserve">&amp;L&amp;"Calibri,Regular"&amp;9Investitor: Suvlasnici stambene zgrade u Zagrebu, Sveti Duh 65, 10000 Zagreb
Građevina: Stambena zgrada u Zagrebu, Sveti Duh 65&amp;R&amp;"Calibri,Regular"&amp;9&amp;K000000z.o.p.: Sveti Duh 65
t.d.: 02-2020&amp;K01+000
</oddHeader>
    <oddFooter xml:space="preserve">&amp;L&amp;"Calibri,Regular"&amp;9Radovi prema čl. 5 Pravilnika o jednostavnim i drugim građevinama i radovima (NN 112/17, 34/18, 36/19, 98/19, 31/20) 
</oddFooter>
  </headerFooter>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G55"/>
  <sheetViews>
    <sheetView showWhiteSpace="0" view="pageBreakPreview" topLeftCell="A48" zoomScale="85" zoomScaleNormal="150" zoomScaleSheetLayoutView="85" zoomScalePageLayoutView="130" workbookViewId="0">
      <selection activeCell="E47" sqref="E47"/>
    </sheetView>
  </sheetViews>
  <sheetFormatPr defaultColWidth="9.140625" defaultRowHeight="14.25" x14ac:dyDescent="0.2"/>
  <cols>
    <col min="1" max="1" width="5.7109375" style="102" customWidth="1"/>
    <col min="2" max="2" width="42.85546875" style="102" customWidth="1"/>
    <col min="3" max="3" width="7.140625" style="137" customWidth="1"/>
    <col min="4" max="4" width="10.7109375" style="190" customWidth="1"/>
    <col min="5" max="5" width="10.7109375" style="102" customWidth="1"/>
    <col min="6" max="6" width="10.7109375" style="127" customWidth="1"/>
    <col min="7" max="7" width="9.140625" style="102"/>
    <col min="8" max="8" width="34" style="102" customWidth="1"/>
    <col min="9" max="16384" width="9.140625" style="102"/>
  </cols>
  <sheetData>
    <row r="1" spans="1:7" ht="15" x14ac:dyDescent="0.25">
      <c r="A1" s="93"/>
      <c r="B1" s="93"/>
      <c r="C1" s="179"/>
      <c r="D1" s="112"/>
      <c r="E1" s="93"/>
      <c r="F1" s="180"/>
    </row>
    <row r="2" spans="1:7" x14ac:dyDescent="0.2">
      <c r="A2" s="387" t="s">
        <v>87</v>
      </c>
      <c r="B2" s="388"/>
      <c r="C2" s="388"/>
      <c r="D2" s="388"/>
      <c r="E2" s="388"/>
      <c r="F2" s="389"/>
    </row>
    <row r="3" spans="1:7" x14ac:dyDescent="0.2">
      <c r="A3" s="380" t="s">
        <v>426</v>
      </c>
      <c r="B3" s="380"/>
      <c r="C3" s="380"/>
      <c r="D3" s="380"/>
      <c r="E3" s="380"/>
      <c r="F3" s="380"/>
      <c r="G3" s="127"/>
    </row>
    <row r="4" spans="1:7" x14ac:dyDescent="0.2">
      <c r="A4" s="140" t="s">
        <v>11</v>
      </c>
      <c r="B4" s="140" t="s">
        <v>18</v>
      </c>
      <c r="C4" s="140" t="s">
        <v>7</v>
      </c>
      <c r="D4" s="141" t="s">
        <v>8</v>
      </c>
      <c r="E4" s="140" t="s">
        <v>9</v>
      </c>
      <c r="F4" s="140" t="s">
        <v>10</v>
      </c>
    </row>
    <row r="5" spans="1:7" x14ac:dyDescent="0.2">
      <c r="A5" s="143"/>
      <c r="B5" s="143"/>
      <c r="C5" s="143"/>
      <c r="D5" s="144"/>
      <c r="E5" s="143"/>
      <c r="F5" s="143"/>
    </row>
    <row r="6" spans="1:7" ht="15.75" thickBot="1" x14ac:dyDescent="0.3">
      <c r="A6" s="150" t="s">
        <v>423</v>
      </c>
      <c r="B6" s="390" t="s">
        <v>238</v>
      </c>
      <c r="C6" s="390"/>
      <c r="D6" s="390"/>
      <c r="E6" s="390"/>
      <c r="F6" s="390"/>
    </row>
    <row r="7" spans="1:7" x14ac:dyDescent="0.2">
      <c r="A7" s="152"/>
      <c r="B7" s="153"/>
      <c r="C7" s="154"/>
      <c r="D7" s="92"/>
      <c r="E7" s="155"/>
      <c r="F7" s="156"/>
    </row>
    <row r="8" spans="1:7" ht="15" x14ac:dyDescent="0.25">
      <c r="A8" s="110"/>
      <c r="B8" s="284" t="s">
        <v>92</v>
      </c>
      <c r="C8" s="181"/>
      <c r="D8" s="169"/>
      <c r="E8" s="182"/>
      <c r="F8" s="171"/>
    </row>
    <row r="9" spans="1:7" ht="15" x14ac:dyDescent="0.25">
      <c r="A9" s="110"/>
      <c r="B9" s="189"/>
      <c r="C9" s="181"/>
      <c r="D9" s="112"/>
      <c r="E9" s="113"/>
      <c r="F9" s="114"/>
    </row>
    <row r="10" spans="1:7" ht="132" customHeight="1" x14ac:dyDescent="0.2">
      <c r="A10" s="110"/>
      <c r="B10" s="384" t="s">
        <v>280</v>
      </c>
      <c r="C10" s="384"/>
      <c r="D10" s="384"/>
      <c r="E10" s="384"/>
      <c r="F10" s="114"/>
    </row>
    <row r="11" spans="1:7" x14ac:dyDescent="0.2">
      <c r="A11" s="110"/>
      <c r="B11" s="192"/>
      <c r="C11" s="192"/>
      <c r="D11" s="322"/>
      <c r="E11" s="192"/>
      <c r="F11" s="114"/>
    </row>
    <row r="12" spans="1:7" ht="144.75" customHeight="1" x14ac:dyDescent="0.2">
      <c r="A12" s="110"/>
      <c r="B12" s="384" t="s">
        <v>24</v>
      </c>
      <c r="C12" s="384"/>
      <c r="D12" s="384"/>
      <c r="E12" s="384"/>
      <c r="F12" s="114"/>
    </row>
    <row r="13" spans="1:7" x14ac:dyDescent="0.2">
      <c r="A13" s="110"/>
      <c r="B13" s="192"/>
      <c r="C13" s="192"/>
      <c r="D13" s="322"/>
      <c r="E13" s="192"/>
      <c r="F13" s="114"/>
    </row>
    <row r="14" spans="1:7" ht="24.75" customHeight="1" x14ac:dyDescent="0.2">
      <c r="A14" s="110"/>
      <c r="B14" s="384" t="s">
        <v>25</v>
      </c>
      <c r="C14" s="384"/>
      <c r="D14" s="384"/>
      <c r="E14" s="384"/>
      <c r="F14" s="114"/>
    </row>
    <row r="15" spans="1:7" ht="147.75" customHeight="1" x14ac:dyDescent="0.2">
      <c r="A15" s="110"/>
      <c r="B15" s="384" t="s">
        <v>281</v>
      </c>
      <c r="C15" s="384"/>
      <c r="D15" s="384"/>
      <c r="E15" s="384"/>
      <c r="F15" s="114"/>
    </row>
    <row r="16" spans="1:7" ht="14.25" customHeight="1" x14ac:dyDescent="0.2">
      <c r="A16" s="110"/>
      <c r="B16" s="192"/>
      <c r="C16" s="192"/>
      <c r="D16" s="322"/>
      <c r="E16" s="192"/>
      <c r="F16" s="114"/>
    </row>
    <row r="17" spans="1:6" ht="60.75" customHeight="1" x14ac:dyDescent="0.2">
      <c r="A17" s="110"/>
      <c r="B17" s="384" t="s">
        <v>51</v>
      </c>
      <c r="C17" s="384"/>
      <c r="D17" s="384"/>
      <c r="E17" s="384"/>
      <c r="F17" s="114"/>
    </row>
    <row r="18" spans="1:6" ht="14.25" customHeight="1" x14ac:dyDescent="0.2">
      <c r="A18" s="110"/>
      <c r="B18" s="192"/>
      <c r="C18" s="192"/>
      <c r="D18" s="322"/>
      <c r="E18" s="192"/>
      <c r="F18" s="114"/>
    </row>
    <row r="19" spans="1:6" ht="72" customHeight="1" x14ac:dyDescent="0.2">
      <c r="A19" s="110"/>
      <c r="B19" s="384" t="s">
        <v>282</v>
      </c>
      <c r="C19" s="384"/>
      <c r="D19" s="384"/>
      <c r="E19" s="384"/>
      <c r="F19" s="114"/>
    </row>
    <row r="20" spans="1:6" ht="14.25" customHeight="1" x14ac:dyDescent="0.2">
      <c r="A20" s="110"/>
      <c r="B20" s="192"/>
      <c r="C20" s="192"/>
      <c r="D20" s="322"/>
      <c r="E20" s="192"/>
      <c r="F20" s="114"/>
    </row>
    <row r="21" spans="1:6" ht="12" customHeight="1" x14ac:dyDescent="0.2">
      <c r="A21" s="110"/>
      <c r="B21" s="382" t="s">
        <v>159</v>
      </c>
      <c r="C21" s="382"/>
      <c r="D21" s="382"/>
      <c r="E21" s="382"/>
      <c r="F21" s="114"/>
    </row>
    <row r="22" spans="1:6" ht="14.25" customHeight="1" x14ac:dyDescent="0.2">
      <c r="A22" s="110"/>
      <c r="B22" s="192"/>
      <c r="C22" s="192"/>
      <c r="D22" s="322"/>
      <c r="E22" s="192"/>
      <c r="F22" s="114"/>
    </row>
    <row r="23" spans="1:6" ht="89.25" customHeight="1" x14ac:dyDescent="0.2">
      <c r="A23" s="110"/>
      <c r="B23" s="384" t="s">
        <v>222</v>
      </c>
      <c r="C23" s="384"/>
      <c r="D23" s="384"/>
      <c r="E23" s="384"/>
      <c r="F23" s="114"/>
    </row>
    <row r="24" spans="1:6" x14ac:dyDescent="0.2">
      <c r="A24" s="110"/>
      <c r="B24" s="192"/>
      <c r="C24" s="192"/>
      <c r="D24" s="322"/>
      <c r="E24" s="192"/>
      <c r="F24" s="114"/>
    </row>
    <row r="25" spans="1:6" ht="29.25" customHeight="1" x14ac:dyDescent="0.2">
      <c r="A25" s="110"/>
      <c r="B25" s="384" t="s">
        <v>283</v>
      </c>
      <c r="C25" s="402"/>
      <c r="D25" s="402"/>
      <c r="E25" s="402"/>
      <c r="F25" s="114"/>
    </row>
    <row r="26" spans="1:6" ht="14.25" customHeight="1" x14ac:dyDescent="0.2">
      <c r="A26" s="110"/>
      <c r="B26" s="192"/>
      <c r="C26" s="192"/>
      <c r="D26" s="322"/>
      <c r="E26" s="192"/>
      <c r="F26" s="114"/>
    </row>
    <row r="27" spans="1:6" ht="99.75" customHeight="1" x14ac:dyDescent="0.2">
      <c r="A27" s="110"/>
      <c r="B27" s="384" t="s">
        <v>117</v>
      </c>
      <c r="C27" s="384"/>
      <c r="D27" s="384"/>
      <c r="E27" s="384"/>
      <c r="F27" s="114"/>
    </row>
    <row r="28" spans="1:6" ht="14.25" customHeight="1" x14ac:dyDescent="0.2">
      <c r="A28" s="110"/>
      <c r="B28" s="192"/>
      <c r="C28" s="192"/>
      <c r="D28" s="322"/>
      <c r="E28" s="192"/>
      <c r="F28" s="114"/>
    </row>
    <row r="29" spans="1:6" ht="48.75" customHeight="1" x14ac:dyDescent="0.2">
      <c r="A29" s="110"/>
      <c r="B29" s="384" t="s">
        <v>58</v>
      </c>
      <c r="C29" s="384"/>
      <c r="D29" s="384"/>
      <c r="E29" s="384"/>
      <c r="F29" s="114"/>
    </row>
    <row r="30" spans="1:6" ht="14.25" customHeight="1" x14ac:dyDescent="0.2">
      <c r="A30" s="110"/>
      <c r="B30" s="192"/>
      <c r="C30" s="192"/>
      <c r="D30" s="322"/>
      <c r="E30" s="192"/>
      <c r="F30" s="114"/>
    </row>
    <row r="31" spans="1:6" ht="60.75" customHeight="1" x14ac:dyDescent="0.2">
      <c r="A31" s="110"/>
      <c r="B31" s="384" t="s">
        <v>30</v>
      </c>
      <c r="C31" s="384"/>
      <c r="D31" s="384"/>
      <c r="E31" s="384"/>
      <c r="F31" s="114"/>
    </row>
    <row r="32" spans="1:6" ht="14.25" customHeight="1" x14ac:dyDescent="0.2">
      <c r="A32" s="110"/>
      <c r="B32" s="192"/>
      <c r="C32" s="192"/>
      <c r="D32" s="322"/>
      <c r="E32" s="192"/>
      <c r="F32" s="114"/>
    </row>
    <row r="33" spans="1:6" ht="24.75" customHeight="1" x14ac:dyDescent="0.2">
      <c r="A33" s="110"/>
      <c r="B33" s="384" t="s">
        <v>31</v>
      </c>
      <c r="C33" s="384"/>
      <c r="D33" s="384"/>
      <c r="E33" s="384"/>
      <c r="F33" s="114"/>
    </row>
    <row r="34" spans="1:6" ht="14.25" customHeight="1" x14ac:dyDescent="0.2">
      <c r="A34" s="110"/>
      <c r="B34" s="192"/>
      <c r="C34" s="192"/>
      <c r="D34" s="322"/>
      <c r="E34" s="192"/>
      <c r="F34" s="114"/>
    </row>
    <row r="35" spans="1:6" ht="84.75" customHeight="1" x14ac:dyDescent="0.2">
      <c r="A35" s="110"/>
      <c r="B35" s="384" t="s">
        <v>110</v>
      </c>
      <c r="C35" s="384"/>
      <c r="D35" s="384"/>
      <c r="E35" s="384"/>
      <c r="F35" s="114"/>
    </row>
    <row r="36" spans="1:6" ht="14.25" customHeight="1" x14ac:dyDescent="0.2">
      <c r="A36" s="110"/>
      <c r="B36" s="101"/>
      <c r="C36" s="101"/>
      <c r="D36" s="101"/>
      <c r="E36" s="101"/>
      <c r="F36" s="114"/>
    </row>
    <row r="37" spans="1:6" ht="14.25" customHeight="1" x14ac:dyDescent="0.2">
      <c r="A37" s="271" t="s">
        <v>94</v>
      </c>
      <c r="B37" s="184" t="s">
        <v>173</v>
      </c>
      <c r="C37" s="181"/>
      <c r="D37" s="92"/>
      <c r="E37" s="172"/>
      <c r="F37" s="174"/>
    </row>
    <row r="38" spans="1:6" ht="194.45" customHeight="1" x14ac:dyDescent="0.25">
      <c r="A38" s="245"/>
      <c r="B38" s="321" t="s">
        <v>472</v>
      </c>
      <c r="C38" s="245"/>
      <c r="D38" s="323"/>
      <c r="E38" s="324"/>
      <c r="F38" s="285"/>
    </row>
    <row r="39" spans="1:6" ht="96" x14ac:dyDescent="0.25">
      <c r="A39" s="93"/>
      <c r="B39" s="175" t="s">
        <v>241</v>
      </c>
      <c r="C39" s="182"/>
      <c r="D39" s="92"/>
      <c r="E39" s="172"/>
      <c r="F39" s="174"/>
    </row>
    <row r="40" spans="1:6" ht="24" x14ac:dyDescent="0.25">
      <c r="A40" s="93"/>
      <c r="B40" s="175" t="s">
        <v>287</v>
      </c>
      <c r="C40" s="182"/>
      <c r="D40" s="92"/>
      <c r="E40" s="172"/>
      <c r="F40" s="174"/>
    </row>
    <row r="41" spans="1:6" ht="48" x14ac:dyDescent="0.25">
      <c r="A41" s="93"/>
      <c r="B41" s="175" t="s">
        <v>153</v>
      </c>
      <c r="C41" s="182"/>
      <c r="D41" s="92"/>
      <c r="E41" s="172"/>
      <c r="F41" s="174"/>
    </row>
    <row r="42" spans="1:6" ht="36" x14ac:dyDescent="0.25">
      <c r="A42" s="93"/>
      <c r="B42" s="175" t="s">
        <v>285</v>
      </c>
      <c r="C42" s="182"/>
      <c r="D42" s="92"/>
      <c r="E42" s="172"/>
      <c r="F42" s="174"/>
    </row>
    <row r="43" spans="1:6" ht="24" x14ac:dyDescent="0.25">
      <c r="A43" s="93"/>
      <c r="B43" s="175" t="s">
        <v>154</v>
      </c>
      <c r="C43" s="182"/>
      <c r="D43" s="239"/>
      <c r="E43" s="172"/>
      <c r="F43" s="174"/>
    </row>
    <row r="44" spans="1:6" ht="36" x14ac:dyDescent="0.25">
      <c r="A44" s="93"/>
      <c r="B44" s="183" t="s">
        <v>486</v>
      </c>
      <c r="C44" s="182"/>
      <c r="D44" s="92"/>
      <c r="E44" s="172"/>
      <c r="F44" s="174"/>
    </row>
    <row r="45" spans="1:6" ht="15" x14ac:dyDescent="0.25">
      <c r="A45" s="124"/>
      <c r="B45" s="175" t="s">
        <v>174</v>
      </c>
      <c r="C45" s="182"/>
      <c r="D45" s="92"/>
      <c r="E45" s="172"/>
      <c r="F45" s="174"/>
    </row>
    <row r="46" spans="1:6" ht="15" x14ac:dyDescent="0.25">
      <c r="A46" s="124"/>
      <c r="B46" s="175"/>
      <c r="C46" s="182"/>
      <c r="D46" s="92"/>
      <c r="E46" s="172"/>
      <c r="F46" s="174"/>
    </row>
    <row r="47" spans="1:6" ht="24" x14ac:dyDescent="0.2">
      <c r="A47" s="124"/>
      <c r="B47" s="101" t="s">
        <v>404</v>
      </c>
      <c r="C47" s="96" t="s">
        <v>66</v>
      </c>
      <c r="D47" s="92">
        <v>2</v>
      </c>
      <c r="E47" s="239"/>
      <c r="F47" s="247">
        <f>D47*E47</f>
        <v>0</v>
      </c>
    </row>
    <row r="48" spans="1:6" ht="36" x14ac:dyDescent="0.2">
      <c r="A48" s="124"/>
      <c r="B48" s="101" t="s">
        <v>406</v>
      </c>
      <c r="C48" s="96" t="s">
        <v>66</v>
      </c>
      <c r="D48" s="92">
        <v>1</v>
      </c>
      <c r="E48" s="239"/>
      <c r="F48" s="247">
        <f>D48*E48</f>
        <v>0</v>
      </c>
    </row>
    <row r="49" spans="1:6" ht="24" x14ac:dyDescent="0.2">
      <c r="A49" s="124"/>
      <c r="B49" s="101" t="s">
        <v>420</v>
      </c>
      <c r="C49" s="96" t="s">
        <v>66</v>
      </c>
      <c r="D49" s="92">
        <v>5</v>
      </c>
      <c r="E49" s="370"/>
      <c r="F49" s="247">
        <f t="shared" ref="F49" si="0">D49*E49</f>
        <v>0</v>
      </c>
    </row>
    <row r="50" spans="1:6" x14ac:dyDescent="0.2">
      <c r="A50" s="124"/>
      <c r="B50" s="101"/>
      <c r="C50" s="96"/>
      <c r="D50" s="92"/>
      <c r="E50" s="239"/>
      <c r="F50" s="247"/>
    </row>
    <row r="51" spans="1:6" ht="15" thickBot="1" x14ac:dyDescent="0.25">
      <c r="A51" s="110"/>
      <c r="B51" s="101"/>
      <c r="C51" s="96"/>
      <c r="D51" s="92"/>
      <c r="E51" s="239"/>
      <c r="F51" s="247"/>
    </row>
    <row r="52" spans="1:6" ht="15.75" thickBot="1" x14ac:dyDescent="0.3">
      <c r="A52" s="133" t="s">
        <v>423</v>
      </c>
      <c r="B52" s="254" t="s">
        <v>239</v>
      </c>
      <c r="C52" s="198"/>
      <c r="D52" s="135"/>
      <c r="E52" s="136" t="s">
        <v>491</v>
      </c>
      <c r="F52" s="104">
        <f>SUM(F48:F51)</f>
        <v>0</v>
      </c>
    </row>
    <row r="53" spans="1:6" x14ac:dyDescent="0.2">
      <c r="A53" s="110"/>
      <c r="B53" s="101"/>
      <c r="C53" s="101"/>
      <c r="D53" s="101"/>
      <c r="E53" s="101"/>
      <c r="F53" s="114"/>
    </row>
    <row r="54" spans="1:6" x14ac:dyDescent="0.2">
      <c r="A54" s="242"/>
      <c r="B54" s="235"/>
      <c r="C54" s="228"/>
      <c r="D54" s="243"/>
      <c r="E54" s="239"/>
      <c r="F54" s="237"/>
    </row>
    <row r="55" spans="1:6" x14ac:dyDescent="0.2">
      <c r="A55" s="242"/>
      <c r="B55" s="235"/>
      <c r="C55" s="228"/>
      <c r="D55" s="243"/>
      <c r="E55" s="239"/>
      <c r="F55" s="237"/>
    </row>
  </sheetData>
  <mergeCells count="17">
    <mergeCell ref="B31:E31"/>
    <mergeCell ref="B33:E33"/>
    <mergeCell ref="B35:E35"/>
    <mergeCell ref="B25:E25"/>
    <mergeCell ref="B15:E15"/>
    <mergeCell ref="B17:E17"/>
    <mergeCell ref="B19:E19"/>
    <mergeCell ref="B21:E21"/>
    <mergeCell ref="B23:E23"/>
    <mergeCell ref="B27:E27"/>
    <mergeCell ref="B29:E29"/>
    <mergeCell ref="B14:E14"/>
    <mergeCell ref="A2:F2"/>
    <mergeCell ref="A3:F3"/>
    <mergeCell ref="B6:F6"/>
    <mergeCell ref="B10:E10"/>
    <mergeCell ref="B12:E12"/>
  </mergeCells>
  <pageMargins left="0.70866141732283472" right="0.19685039370078741" top="0.74803149606299213" bottom="0.74803149606299213" header="0.31496062992125984" footer="0.31496062992125984"/>
  <pageSetup paperSize="9" orientation="portrait" r:id="rId1"/>
  <headerFooter alignWithMargins="0">
    <oddHeader xml:space="preserve">&amp;L&amp;"Calibri,Regular"&amp;9Investitor: Suvlasnici stambene zgrade u Zagrebu, Sveti Duh 65, 10000 Zagreb
Građevina: Stambena zgrada u Zagrebu, Sveti Duh 65&amp;R&amp;"Calibri,Regular"&amp;9&amp;K000000z.o.p.: Sveti Duh 65
t.d.: 02-2020&amp;K01+000
</oddHeader>
    <oddFooter xml:space="preserve">&amp;L&amp;"Calibri,Regular"&amp;9Radovi prema čl. 5 Pravilnika o jednostavnim i drugim građevinama i radovima (NN 112/17, 34/18, 36/19, 98/19, 31/20) 
</oddFooter>
  </headerFooter>
  <rowBreaks count="1" manualBreakCount="1">
    <brk id="3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G38"/>
  <sheetViews>
    <sheetView view="pageBreakPreview" topLeftCell="A16" zoomScale="85" zoomScaleNormal="180" zoomScaleSheetLayoutView="85" workbookViewId="0">
      <selection activeCell="E35" sqref="E35"/>
    </sheetView>
  </sheetViews>
  <sheetFormatPr defaultColWidth="9.140625" defaultRowHeight="14.25" x14ac:dyDescent="0.2"/>
  <cols>
    <col min="1" max="1" width="5.7109375" style="102" customWidth="1"/>
    <col min="2" max="2" width="42.85546875" style="102" customWidth="1"/>
    <col min="3" max="3" width="7.140625" style="137" customWidth="1"/>
    <col min="4" max="4" width="10.7109375" style="190" customWidth="1"/>
    <col min="5" max="5" width="10.7109375" style="102" customWidth="1"/>
    <col min="6" max="6" width="10.7109375" style="127" customWidth="1"/>
    <col min="7" max="7" width="9.140625" style="102"/>
    <col min="8" max="8" width="34" style="102" customWidth="1"/>
    <col min="9" max="16384" width="9.140625" style="102"/>
  </cols>
  <sheetData>
    <row r="1" spans="1:7" ht="15" x14ac:dyDescent="0.25">
      <c r="A1" s="93"/>
      <c r="B1" s="93"/>
      <c r="C1" s="179"/>
      <c r="D1" s="112"/>
      <c r="E1" s="93"/>
      <c r="F1" s="180"/>
    </row>
    <row r="2" spans="1:7" x14ac:dyDescent="0.2">
      <c r="A2" s="387" t="s">
        <v>87</v>
      </c>
      <c r="B2" s="388"/>
      <c r="C2" s="388"/>
      <c r="D2" s="388"/>
      <c r="E2" s="388"/>
      <c r="F2" s="389"/>
    </row>
    <row r="3" spans="1:7" x14ac:dyDescent="0.2">
      <c r="A3" s="380" t="s">
        <v>425</v>
      </c>
      <c r="B3" s="380"/>
      <c r="C3" s="380"/>
      <c r="D3" s="380"/>
      <c r="E3" s="380"/>
      <c r="F3" s="380"/>
      <c r="G3" s="127"/>
    </row>
    <row r="4" spans="1:7" x14ac:dyDescent="0.2">
      <c r="A4" s="140" t="s">
        <v>11</v>
      </c>
      <c r="B4" s="140" t="s">
        <v>18</v>
      </c>
      <c r="C4" s="140" t="s">
        <v>7</v>
      </c>
      <c r="D4" s="141" t="s">
        <v>8</v>
      </c>
      <c r="E4" s="140" t="s">
        <v>9</v>
      </c>
      <c r="F4" s="140" t="s">
        <v>10</v>
      </c>
    </row>
    <row r="5" spans="1:7" x14ac:dyDescent="0.2">
      <c r="A5" s="143"/>
      <c r="B5" s="143"/>
      <c r="C5" s="143"/>
      <c r="D5" s="144"/>
      <c r="E5" s="143"/>
      <c r="F5" s="143"/>
    </row>
    <row r="6" spans="1:7" ht="15.75" thickBot="1" x14ac:dyDescent="0.3">
      <c r="A6" s="260" t="s">
        <v>424</v>
      </c>
      <c r="B6" s="261" t="s">
        <v>306</v>
      </c>
      <c r="C6" s="261"/>
      <c r="D6" s="261"/>
      <c r="E6" s="261"/>
      <c r="F6" s="261"/>
    </row>
    <row r="7" spans="1:7" x14ac:dyDescent="0.2">
      <c r="A7" s="152"/>
      <c r="B7" s="153"/>
      <c r="C7" s="154"/>
      <c r="D7" s="92"/>
      <c r="E7" s="155"/>
      <c r="F7" s="156"/>
    </row>
    <row r="8" spans="1:7" ht="15" x14ac:dyDescent="0.2">
      <c r="A8" s="158" t="s">
        <v>64</v>
      </c>
      <c r="B8" s="205"/>
      <c r="C8" s="160"/>
      <c r="D8" s="161"/>
      <c r="E8" s="162"/>
      <c r="F8" s="120"/>
    </row>
    <row r="9" spans="1:7" x14ac:dyDescent="0.2">
      <c r="A9" s="382"/>
      <c r="B9" s="382"/>
      <c r="C9" s="382"/>
      <c r="D9" s="382"/>
      <c r="E9" s="382"/>
      <c r="F9" s="120"/>
    </row>
    <row r="10" spans="1:7" x14ac:dyDescent="0.2">
      <c r="A10" s="348" t="s">
        <v>307</v>
      </c>
      <c r="B10" s="101"/>
      <c r="C10" s="101"/>
      <c r="D10" s="101"/>
      <c r="E10" s="101"/>
      <c r="F10" s="120"/>
    </row>
    <row r="11" spans="1:7" x14ac:dyDescent="0.2">
      <c r="A11" s="349" t="s">
        <v>308</v>
      </c>
      <c r="B11" s="101"/>
      <c r="C11" s="101"/>
      <c r="D11" s="101"/>
      <c r="E11" s="101"/>
      <c r="F11" s="120"/>
    </row>
    <row r="12" spans="1:7" x14ac:dyDescent="0.2">
      <c r="A12" s="348" t="s">
        <v>309</v>
      </c>
      <c r="B12" s="101"/>
      <c r="C12" s="101"/>
      <c r="D12" s="101"/>
      <c r="E12" s="101"/>
      <c r="F12" s="120"/>
    </row>
    <row r="13" spans="1:7" x14ac:dyDescent="0.2">
      <c r="A13" s="348" t="s">
        <v>310</v>
      </c>
      <c r="B13" s="101"/>
      <c r="C13" s="101"/>
      <c r="D13" s="101"/>
      <c r="E13" s="101"/>
      <c r="F13" s="350"/>
    </row>
    <row r="14" spans="1:7" x14ac:dyDescent="0.2">
      <c r="A14" s="349" t="s">
        <v>311</v>
      </c>
      <c r="B14" s="101"/>
      <c r="C14" s="101"/>
      <c r="D14" s="101"/>
      <c r="E14" s="101"/>
      <c r="F14" s="350"/>
    </row>
    <row r="15" spans="1:7" x14ac:dyDescent="0.2">
      <c r="A15" s="349" t="s">
        <v>312</v>
      </c>
      <c r="B15" s="101"/>
      <c r="C15" s="101"/>
      <c r="D15" s="101"/>
      <c r="E15" s="101"/>
      <c r="F15" s="350"/>
    </row>
    <row r="16" spans="1:7" x14ac:dyDescent="0.2">
      <c r="A16" s="348" t="s">
        <v>313</v>
      </c>
      <c r="B16" s="101"/>
      <c r="C16" s="101"/>
      <c r="D16" s="101"/>
      <c r="E16" s="101"/>
      <c r="F16" s="350"/>
    </row>
    <row r="17" spans="1:6" x14ac:dyDescent="0.2">
      <c r="A17" s="348"/>
      <c r="B17" s="101"/>
      <c r="C17" s="101"/>
      <c r="D17" s="101"/>
      <c r="E17" s="101"/>
      <c r="F17" s="350"/>
    </row>
    <row r="18" spans="1:6" x14ac:dyDescent="0.2">
      <c r="A18" s="348" t="s">
        <v>314</v>
      </c>
      <c r="B18" s="101"/>
      <c r="C18" s="101"/>
      <c r="D18" s="101"/>
      <c r="E18" s="101"/>
      <c r="F18" s="120"/>
    </row>
    <row r="19" spans="1:6" x14ac:dyDescent="0.2">
      <c r="A19" s="348" t="s">
        <v>315</v>
      </c>
      <c r="B19" s="101"/>
      <c r="C19" s="101"/>
      <c r="D19" s="101"/>
      <c r="E19" s="101"/>
      <c r="F19" s="120"/>
    </row>
    <row r="20" spans="1:6" x14ac:dyDescent="0.2">
      <c r="A20" s="348" t="s">
        <v>316</v>
      </c>
      <c r="B20" s="101"/>
      <c r="C20" s="101"/>
      <c r="D20" s="101"/>
      <c r="E20" s="101"/>
      <c r="F20" s="120"/>
    </row>
    <row r="21" spans="1:6" x14ac:dyDescent="0.2">
      <c r="A21" s="348" t="s">
        <v>317</v>
      </c>
      <c r="B21" s="101"/>
      <c r="C21" s="101"/>
      <c r="D21" s="101"/>
      <c r="E21" s="101"/>
      <c r="F21" s="120"/>
    </row>
    <row r="22" spans="1:6" x14ac:dyDescent="0.2">
      <c r="A22" s="349" t="s">
        <v>318</v>
      </c>
      <c r="B22" s="101"/>
      <c r="C22" s="101"/>
      <c r="D22" s="101"/>
      <c r="E22" s="101"/>
      <c r="F22" s="350"/>
    </row>
    <row r="23" spans="1:6" x14ac:dyDescent="0.2">
      <c r="A23" s="348" t="s">
        <v>319</v>
      </c>
      <c r="B23" s="101"/>
      <c r="C23" s="101"/>
      <c r="D23" s="101"/>
      <c r="E23" s="101"/>
      <c r="F23" s="350"/>
    </row>
    <row r="24" spans="1:6" x14ac:dyDescent="0.2">
      <c r="A24" s="349" t="s">
        <v>320</v>
      </c>
      <c r="B24" s="101"/>
      <c r="C24" s="101"/>
      <c r="D24" s="101"/>
      <c r="E24" s="101"/>
      <c r="F24" s="350"/>
    </row>
    <row r="25" spans="1:6" x14ac:dyDescent="0.2">
      <c r="A25" s="349" t="s">
        <v>321</v>
      </c>
      <c r="B25" s="101"/>
      <c r="C25" s="101"/>
      <c r="D25" s="101"/>
      <c r="E25" s="101"/>
      <c r="F25" s="350"/>
    </row>
    <row r="26" spans="1:6" x14ac:dyDescent="0.2">
      <c r="A26" s="348" t="s">
        <v>322</v>
      </c>
      <c r="B26" s="101"/>
      <c r="C26" s="101"/>
      <c r="D26" s="101"/>
      <c r="E26" s="101"/>
      <c r="F26" s="350"/>
    </row>
    <row r="27" spans="1:6" x14ac:dyDescent="0.2">
      <c r="A27" s="348" t="s">
        <v>323</v>
      </c>
      <c r="B27" s="101"/>
      <c r="C27" s="101"/>
      <c r="D27" s="101"/>
      <c r="E27" s="101"/>
      <c r="F27" s="350"/>
    </row>
    <row r="28" spans="1:6" x14ac:dyDescent="0.2">
      <c r="A28" s="349" t="s">
        <v>324</v>
      </c>
      <c r="B28" s="101"/>
      <c r="C28" s="101"/>
      <c r="D28" s="101"/>
      <c r="E28" s="101"/>
      <c r="F28" s="350"/>
    </row>
    <row r="29" spans="1:6" ht="28.5" customHeight="1" x14ac:dyDescent="0.2">
      <c r="A29" s="382" t="s">
        <v>325</v>
      </c>
      <c r="B29" s="382"/>
      <c r="C29" s="382"/>
      <c r="D29" s="382"/>
      <c r="E29" s="382"/>
      <c r="F29" s="120"/>
    </row>
    <row r="30" spans="1:6" x14ac:dyDescent="0.2">
      <c r="A30" s="110"/>
      <c r="B30" s="351"/>
      <c r="C30" s="96"/>
      <c r="D30" s="92"/>
      <c r="E30" s="172"/>
      <c r="F30" s="352"/>
    </row>
    <row r="31" spans="1:6" x14ac:dyDescent="0.2">
      <c r="A31" s="353" t="s">
        <v>94</v>
      </c>
      <c r="B31" s="176" t="s">
        <v>468</v>
      </c>
      <c r="C31" s="354"/>
      <c r="D31" s="355"/>
      <c r="E31" s="335"/>
      <c r="F31" s="356"/>
    </row>
    <row r="32" spans="1:6" ht="127.15" customHeight="1" x14ac:dyDescent="0.25">
      <c r="A32" s="357"/>
      <c r="B32" s="87" t="s">
        <v>447</v>
      </c>
      <c r="C32" s="358"/>
      <c r="D32" s="334"/>
      <c r="E32" s="335"/>
      <c r="F32" s="356"/>
    </row>
    <row r="33" spans="1:6" ht="24" x14ac:dyDescent="0.25">
      <c r="A33" s="357"/>
      <c r="B33" s="351" t="s">
        <v>398</v>
      </c>
      <c r="C33" s="358"/>
      <c r="D33" s="334"/>
      <c r="E33" s="335"/>
      <c r="F33" s="356"/>
    </row>
    <row r="34" spans="1:6" ht="15" x14ac:dyDescent="0.25">
      <c r="A34" s="357"/>
      <c r="B34" s="351" t="s">
        <v>483</v>
      </c>
      <c r="C34" s="358"/>
      <c r="D34" s="334"/>
      <c r="E34" s="335"/>
      <c r="F34" s="356"/>
    </row>
    <row r="35" spans="1:6" x14ac:dyDescent="0.2">
      <c r="A35" s="359"/>
      <c r="B35" s="132" t="s">
        <v>467</v>
      </c>
      <c r="C35" s="255" t="s">
        <v>168</v>
      </c>
      <c r="D35" s="334">
        <v>25</v>
      </c>
      <c r="E35" s="371"/>
      <c r="F35" s="336">
        <f t="shared" ref="F35" si="0">D35*E35</f>
        <v>0</v>
      </c>
    </row>
    <row r="36" spans="1:6" x14ac:dyDescent="0.2">
      <c r="A36" s="359"/>
      <c r="B36" s="132"/>
      <c r="C36" s="255"/>
      <c r="D36" s="334"/>
      <c r="E36" s="367"/>
      <c r="F36" s="336"/>
    </row>
    <row r="37" spans="1:6" ht="15" thickBot="1" x14ac:dyDescent="0.25">
      <c r="A37" s="351"/>
      <c r="B37" s="358"/>
      <c r="C37" s="358"/>
      <c r="D37" s="334"/>
      <c r="E37" s="335"/>
      <c r="F37" s="336"/>
    </row>
    <row r="38" spans="1:6" ht="15" thickBot="1" x14ac:dyDescent="0.25">
      <c r="A38" s="360" t="s">
        <v>424</v>
      </c>
      <c r="B38" s="403" t="s">
        <v>326</v>
      </c>
      <c r="C38" s="403"/>
      <c r="D38" s="403"/>
      <c r="E38" s="361" t="s">
        <v>491</v>
      </c>
      <c r="F38" s="362">
        <f>SUM(F35:F37)</f>
        <v>0</v>
      </c>
    </row>
  </sheetData>
  <mergeCells count="5">
    <mergeCell ref="B38:D38"/>
    <mergeCell ref="A2:F2"/>
    <mergeCell ref="A3:F3"/>
    <mergeCell ref="A9:E9"/>
    <mergeCell ref="A29:E29"/>
  </mergeCells>
  <pageMargins left="0.70866141732283472" right="0.19685039370078741" top="0.74803149606299213" bottom="0.74803149606299213" header="0.31496062992125984" footer="0.31496062992125984"/>
  <pageSetup paperSize="9" orientation="portrait" r:id="rId1"/>
  <headerFooter alignWithMargins="0">
    <oddHeader xml:space="preserve">&amp;L&amp;"Calibri,Regular"&amp;9Investitor: Suvlasnici stambene zgrade u Zagrebu, Sveti Duh 65, 10000 Zagreb
Građevina: Stambena zgrada u Zagrebu, Sveti Duh 65&amp;R&amp;"Calibri,Regular"&amp;9&amp;K000000z.o.p.: Sveti Duh 65
t.d.: 02-2020&amp;K01+000
</oddHeader>
    <oddFooter xml:space="preserve">&amp;L&amp;"Calibri,Regular"&amp;9Radovi prema čl. 5 Pravilnika o jednostavnim i drugim građevinama i radovima (NN 112/17, 34/18, 36/19, 98/19, 31/20)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tabColor rgb="FF92D050"/>
  </sheetPr>
  <dimension ref="A1:I100"/>
  <sheetViews>
    <sheetView view="pageBreakPreview" topLeftCell="A89" zoomScale="85" zoomScaleNormal="130" zoomScaleSheetLayoutView="85" zoomScalePageLayoutView="120" workbookViewId="0">
      <selection activeCell="E66" sqref="E66:E70"/>
    </sheetView>
  </sheetViews>
  <sheetFormatPr defaultColWidth="9.140625" defaultRowHeight="14.25" x14ac:dyDescent="0.2"/>
  <cols>
    <col min="1" max="1" width="5.7109375" style="102" customWidth="1"/>
    <col min="2" max="2" width="40.7109375" style="102" customWidth="1"/>
    <col min="3" max="3" width="7.7109375" style="137" customWidth="1"/>
    <col min="4" max="4" width="10.7109375" style="138" customWidth="1"/>
    <col min="5" max="5" width="10.7109375" style="102" customWidth="1"/>
    <col min="6" max="6" width="10.7109375" style="127" customWidth="1"/>
    <col min="7" max="7" width="20.42578125" style="102" customWidth="1"/>
    <col min="8" max="8" width="9.140625" style="102"/>
    <col min="9" max="9" width="56.42578125" style="102" customWidth="1"/>
    <col min="10" max="16384" width="9.140625" style="102"/>
  </cols>
  <sheetData>
    <row r="1" spans="1:7" ht="15" x14ac:dyDescent="0.25">
      <c r="A1" s="182"/>
      <c r="B1" s="182"/>
      <c r="C1" s="177"/>
      <c r="D1" s="169"/>
      <c r="E1" s="182"/>
      <c r="F1" s="202"/>
    </row>
    <row r="2" spans="1:7" x14ac:dyDescent="0.2">
      <c r="A2" s="408" t="s">
        <v>87</v>
      </c>
      <c r="B2" s="409"/>
      <c r="C2" s="409"/>
      <c r="D2" s="409"/>
      <c r="E2" s="409"/>
      <c r="F2" s="410"/>
    </row>
    <row r="3" spans="1:7" x14ac:dyDescent="0.2">
      <c r="A3" s="380" t="s">
        <v>175</v>
      </c>
      <c r="B3" s="381"/>
      <c r="C3" s="381"/>
      <c r="D3" s="381"/>
      <c r="E3" s="381"/>
      <c r="F3" s="381"/>
      <c r="G3" s="127"/>
    </row>
    <row r="4" spans="1:7" x14ac:dyDescent="0.2">
      <c r="A4" s="140" t="s">
        <v>11</v>
      </c>
      <c r="B4" s="140" t="s">
        <v>18</v>
      </c>
      <c r="C4" s="140" t="s">
        <v>7</v>
      </c>
      <c r="D4" s="141" t="s">
        <v>8</v>
      </c>
      <c r="E4" s="140" t="s">
        <v>9</v>
      </c>
      <c r="F4" s="140" t="s">
        <v>10</v>
      </c>
    </row>
    <row r="5" spans="1:7" x14ac:dyDescent="0.2">
      <c r="A5" s="143"/>
      <c r="B5" s="143"/>
      <c r="C5" s="143"/>
      <c r="D5" s="144"/>
      <c r="E5" s="143"/>
      <c r="F5" s="143"/>
    </row>
    <row r="6" spans="1:7" ht="15.75" thickBot="1" x14ac:dyDescent="0.3">
      <c r="A6" s="260" t="s">
        <v>121</v>
      </c>
      <c r="B6" s="261" t="s">
        <v>182</v>
      </c>
      <c r="C6" s="261"/>
      <c r="D6" s="261"/>
      <c r="E6" s="261"/>
      <c r="F6" s="261"/>
    </row>
    <row r="7" spans="1:7" x14ac:dyDescent="0.2">
      <c r="A7" s="173"/>
      <c r="B7" s="110"/>
      <c r="C7" s="96"/>
      <c r="D7" s="203"/>
      <c r="E7" s="199"/>
      <c r="F7" s="204"/>
    </row>
    <row r="8" spans="1:7" ht="20.25" customHeight="1" x14ac:dyDescent="0.2">
      <c r="A8" s="383" t="s">
        <v>92</v>
      </c>
      <c r="B8" s="383"/>
      <c r="C8" s="160"/>
      <c r="D8" s="161"/>
      <c r="E8" s="162"/>
      <c r="F8" s="120"/>
    </row>
    <row r="9" spans="1:7" ht="15" x14ac:dyDescent="0.2">
      <c r="A9" s="205"/>
      <c r="B9" s="205"/>
      <c r="C9" s="160"/>
      <c r="D9" s="161"/>
      <c r="E9" s="162"/>
      <c r="F9" s="120"/>
    </row>
    <row r="10" spans="1:7" s="188" customFormat="1" ht="95.45" customHeight="1" x14ac:dyDescent="0.2">
      <c r="A10" s="384" t="s">
        <v>284</v>
      </c>
      <c r="B10" s="384"/>
      <c r="C10" s="384"/>
      <c r="D10" s="384"/>
      <c r="E10" s="384"/>
      <c r="F10" s="120"/>
    </row>
    <row r="11" spans="1:7" s="188" customFormat="1" x14ac:dyDescent="0.2">
      <c r="A11" s="101"/>
      <c r="B11" s="101"/>
      <c r="C11" s="101"/>
      <c r="D11" s="318"/>
      <c r="E11" s="101"/>
      <c r="F11" s="120"/>
    </row>
    <row r="12" spans="1:7" s="188" customFormat="1" ht="363.75" customHeight="1" x14ac:dyDescent="0.2">
      <c r="A12" s="384" t="s">
        <v>155</v>
      </c>
      <c r="B12" s="384"/>
      <c r="C12" s="384"/>
      <c r="D12" s="384"/>
      <c r="E12" s="384"/>
      <c r="F12" s="120"/>
    </row>
    <row r="13" spans="1:7" s="188" customFormat="1" x14ac:dyDescent="0.2">
      <c r="A13" s="101"/>
      <c r="B13" s="91"/>
      <c r="C13" s="91"/>
      <c r="D13" s="122"/>
      <c r="E13" s="91"/>
      <c r="F13" s="120"/>
    </row>
    <row r="14" spans="1:7" s="188" customFormat="1" ht="59.45" customHeight="1" x14ac:dyDescent="0.2">
      <c r="A14" s="384" t="s">
        <v>37</v>
      </c>
      <c r="B14" s="386"/>
      <c r="C14" s="386"/>
      <c r="D14" s="386"/>
      <c r="E14" s="386"/>
      <c r="F14" s="120"/>
    </row>
    <row r="15" spans="1:7" s="188" customFormat="1" x14ac:dyDescent="0.2">
      <c r="A15" s="101"/>
      <c r="B15" s="91"/>
      <c r="C15" s="91"/>
      <c r="D15" s="122"/>
      <c r="E15" s="91"/>
      <c r="F15" s="120"/>
    </row>
    <row r="16" spans="1:7" s="188" customFormat="1" ht="85.5" customHeight="1" x14ac:dyDescent="0.2">
      <c r="A16" s="384" t="s">
        <v>39</v>
      </c>
      <c r="B16" s="386"/>
      <c r="C16" s="386"/>
      <c r="D16" s="386"/>
      <c r="E16" s="386"/>
      <c r="F16" s="120"/>
    </row>
    <row r="17" spans="1:6" s="188" customFormat="1" x14ac:dyDescent="0.2">
      <c r="A17" s="101"/>
      <c r="B17" s="91"/>
      <c r="C17" s="91"/>
      <c r="D17" s="122"/>
      <c r="E17" s="91"/>
      <c r="F17" s="120"/>
    </row>
    <row r="18" spans="1:6" s="188" customFormat="1" ht="24.75" customHeight="1" x14ac:dyDescent="0.2">
      <c r="A18" s="384" t="s">
        <v>109</v>
      </c>
      <c r="B18" s="386"/>
      <c r="C18" s="386"/>
      <c r="D18" s="386"/>
      <c r="E18" s="386"/>
      <c r="F18" s="120"/>
    </row>
    <row r="19" spans="1:6" s="188" customFormat="1" x14ac:dyDescent="0.2">
      <c r="A19" s="101"/>
      <c r="B19" s="91"/>
      <c r="C19" s="91"/>
      <c r="D19" s="122"/>
      <c r="E19" s="91"/>
      <c r="F19" s="120"/>
    </row>
    <row r="20" spans="1:6" s="188" customFormat="1" ht="62.25" customHeight="1" x14ac:dyDescent="0.2">
      <c r="A20" s="384" t="s">
        <v>38</v>
      </c>
      <c r="B20" s="386"/>
      <c r="C20" s="386"/>
      <c r="D20" s="386"/>
      <c r="E20" s="386"/>
      <c r="F20" s="120"/>
    </row>
    <row r="21" spans="1:6" s="188" customFormat="1" x14ac:dyDescent="0.2">
      <c r="A21" s="101"/>
      <c r="B21" s="91"/>
      <c r="C21" s="91"/>
      <c r="D21" s="122"/>
      <c r="E21" s="91"/>
      <c r="F21" s="120"/>
    </row>
    <row r="22" spans="1:6" s="188" customFormat="1" ht="72.75" customHeight="1" x14ac:dyDescent="0.2">
      <c r="A22" s="384" t="s">
        <v>210</v>
      </c>
      <c r="B22" s="386"/>
      <c r="C22" s="386"/>
      <c r="D22" s="386"/>
      <c r="E22" s="386"/>
      <c r="F22" s="120"/>
    </row>
    <row r="23" spans="1:6" s="188" customFormat="1" x14ac:dyDescent="0.2">
      <c r="A23" s="101"/>
      <c r="B23" s="91"/>
      <c r="C23" s="91"/>
      <c r="D23" s="122"/>
      <c r="E23" s="91"/>
      <c r="F23" s="120"/>
    </row>
    <row r="24" spans="1:6" s="188" customFormat="1" ht="135.75" customHeight="1" x14ac:dyDescent="0.25">
      <c r="A24" s="384" t="s">
        <v>205</v>
      </c>
      <c r="B24" s="412"/>
      <c r="C24" s="412"/>
      <c r="D24" s="412"/>
      <c r="E24" s="412"/>
      <c r="F24" s="120"/>
    </row>
    <row r="25" spans="1:6" s="188" customFormat="1" ht="15" x14ac:dyDescent="0.2">
      <c r="A25" s="101"/>
      <c r="B25" s="206"/>
      <c r="C25" s="206"/>
      <c r="D25" s="207"/>
      <c r="E25" s="206"/>
      <c r="F25" s="120"/>
    </row>
    <row r="26" spans="1:6" s="188" customFormat="1" ht="113.25" customHeight="1" x14ac:dyDescent="0.2">
      <c r="A26" s="384" t="s">
        <v>119</v>
      </c>
      <c r="B26" s="393"/>
      <c r="C26" s="393"/>
      <c r="D26" s="393"/>
      <c r="E26" s="393"/>
      <c r="F26" s="120"/>
    </row>
    <row r="27" spans="1:6" s="188" customFormat="1" ht="15" x14ac:dyDescent="0.2">
      <c r="A27" s="101"/>
      <c r="B27" s="105"/>
      <c r="C27" s="105"/>
      <c r="D27" s="105"/>
      <c r="E27" s="105"/>
      <c r="F27" s="120"/>
    </row>
    <row r="28" spans="1:6" s="188" customFormat="1" ht="109.5" customHeight="1" x14ac:dyDescent="0.2">
      <c r="A28" s="384" t="s">
        <v>61</v>
      </c>
      <c r="B28" s="386"/>
      <c r="C28" s="386"/>
      <c r="D28" s="386"/>
      <c r="E28" s="386"/>
      <c r="F28" s="120"/>
    </row>
    <row r="29" spans="1:6" s="188" customFormat="1" x14ac:dyDescent="0.2">
      <c r="A29" s="101"/>
      <c r="B29" s="91"/>
      <c r="C29" s="91"/>
      <c r="D29" s="122"/>
      <c r="E29" s="91"/>
      <c r="F29" s="120"/>
    </row>
    <row r="30" spans="1:6" s="188" customFormat="1" ht="14.25" customHeight="1" x14ac:dyDescent="0.2">
      <c r="A30" s="384" t="s">
        <v>206</v>
      </c>
      <c r="B30" s="405"/>
      <c r="C30" s="405"/>
      <c r="D30" s="405"/>
      <c r="E30" s="405"/>
      <c r="F30" s="120"/>
    </row>
    <row r="31" spans="1:6" s="188" customFormat="1" ht="14.25" customHeight="1" x14ac:dyDescent="0.2">
      <c r="A31" s="384"/>
      <c r="B31" s="405"/>
      <c r="C31" s="405"/>
      <c r="D31" s="405"/>
      <c r="E31" s="405"/>
      <c r="F31" s="120"/>
    </row>
    <row r="32" spans="1:6" s="188" customFormat="1" ht="14.25" customHeight="1" x14ac:dyDescent="0.2">
      <c r="A32" s="384"/>
      <c r="B32" s="405"/>
      <c r="C32" s="405"/>
      <c r="D32" s="405"/>
      <c r="E32" s="405"/>
      <c r="F32" s="120"/>
    </row>
    <row r="33" spans="1:6" s="188" customFormat="1" ht="14.25" customHeight="1" x14ac:dyDescent="0.2">
      <c r="A33" s="384"/>
      <c r="B33" s="405"/>
      <c r="C33" s="405"/>
      <c r="D33" s="405"/>
      <c r="E33" s="405"/>
      <c r="F33" s="120"/>
    </row>
    <row r="34" spans="1:6" s="188" customFormat="1" ht="14.25" customHeight="1" x14ac:dyDescent="0.2">
      <c r="A34" s="384"/>
      <c r="B34" s="405"/>
      <c r="C34" s="405"/>
      <c r="D34" s="405"/>
      <c r="E34" s="405"/>
      <c r="F34" s="120"/>
    </row>
    <row r="35" spans="1:6" s="188" customFormat="1" ht="14.25" customHeight="1" x14ac:dyDescent="0.2">
      <c r="A35" s="384"/>
      <c r="B35" s="405"/>
      <c r="C35" s="405"/>
      <c r="D35" s="405"/>
      <c r="E35" s="405"/>
      <c r="F35" s="120"/>
    </row>
    <row r="36" spans="1:6" s="188" customFormat="1" ht="14.25" customHeight="1" x14ac:dyDescent="0.2">
      <c r="A36" s="384"/>
      <c r="B36" s="405"/>
      <c r="C36" s="405"/>
      <c r="D36" s="405"/>
      <c r="E36" s="405"/>
      <c r="F36" s="120"/>
    </row>
    <row r="37" spans="1:6" s="188" customFormat="1" ht="14.25" customHeight="1" x14ac:dyDescent="0.2">
      <c r="A37" s="384"/>
      <c r="B37" s="405"/>
      <c r="C37" s="405"/>
      <c r="D37" s="405"/>
      <c r="E37" s="405"/>
      <c r="F37" s="120"/>
    </row>
    <row r="38" spans="1:6" s="188" customFormat="1" ht="14.25" customHeight="1" x14ac:dyDescent="0.2">
      <c r="A38" s="384"/>
      <c r="B38" s="405"/>
      <c r="C38" s="405"/>
      <c r="D38" s="405"/>
      <c r="E38" s="405"/>
      <c r="F38" s="120"/>
    </row>
    <row r="39" spans="1:6" s="188" customFormat="1" ht="14.25" customHeight="1" x14ac:dyDescent="0.2">
      <c r="A39" s="384"/>
      <c r="B39" s="405"/>
      <c r="C39" s="405"/>
      <c r="D39" s="405"/>
      <c r="E39" s="405"/>
      <c r="F39" s="120"/>
    </row>
    <row r="40" spans="1:6" s="188" customFormat="1" ht="14.25" customHeight="1" x14ac:dyDescent="0.2">
      <c r="A40" s="384"/>
      <c r="B40" s="405"/>
      <c r="C40" s="405"/>
      <c r="D40" s="405"/>
      <c r="E40" s="405"/>
      <c r="F40" s="120"/>
    </row>
    <row r="41" spans="1:6" s="188" customFormat="1" ht="14.25" customHeight="1" x14ac:dyDescent="0.2">
      <c r="A41" s="384"/>
      <c r="B41" s="405"/>
      <c r="C41" s="405"/>
      <c r="D41" s="405"/>
      <c r="E41" s="405"/>
      <c r="F41" s="120"/>
    </row>
    <row r="42" spans="1:6" s="188" customFormat="1" ht="14.25" customHeight="1" x14ac:dyDescent="0.2">
      <c r="A42" s="384"/>
      <c r="B42" s="405"/>
      <c r="C42" s="405"/>
      <c r="D42" s="405"/>
      <c r="E42" s="405"/>
      <c r="F42" s="120"/>
    </row>
    <row r="43" spans="1:6" s="188" customFormat="1" ht="14.25" customHeight="1" x14ac:dyDescent="0.2">
      <c r="A43" s="384"/>
      <c r="B43" s="405"/>
      <c r="C43" s="405"/>
      <c r="D43" s="405"/>
      <c r="E43" s="405"/>
      <c r="F43" s="120"/>
    </row>
    <row r="44" spans="1:6" s="188" customFormat="1" ht="14.25" customHeight="1" x14ac:dyDescent="0.2">
      <c r="A44" s="384"/>
      <c r="B44" s="405"/>
      <c r="C44" s="405"/>
      <c r="D44" s="405"/>
      <c r="E44" s="405"/>
      <c r="F44" s="120"/>
    </row>
    <row r="45" spans="1:6" s="188" customFormat="1" ht="14.25" customHeight="1" x14ac:dyDescent="0.2">
      <c r="A45" s="384"/>
      <c r="B45" s="405"/>
      <c r="C45" s="405"/>
      <c r="D45" s="405"/>
      <c r="E45" s="405"/>
      <c r="F45" s="120"/>
    </row>
    <row r="46" spans="1:6" s="188" customFormat="1" ht="14.25" customHeight="1" x14ac:dyDescent="0.2">
      <c r="A46" s="384"/>
      <c r="B46" s="405"/>
      <c r="C46" s="405"/>
      <c r="D46" s="405"/>
      <c r="E46" s="405"/>
      <c r="F46" s="120"/>
    </row>
    <row r="47" spans="1:6" s="188" customFormat="1" ht="14.25" customHeight="1" x14ac:dyDescent="0.2">
      <c r="A47" s="384"/>
      <c r="B47" s="405"/>
      <c r="C47" s="405"/>
      <c r="D47" s="405"/>
      <c r="E47" s="405"/>
      <c r="F47" s="120"/>
    </row>
    <row r="48" spans="1:6" s="188" customFormat="1" ht="14.25" customHeight="1" x14ac:dyDescent="0.2">
      <c r="A48" s="384"/>
      <c r="B48" s="405"/>
      <c r="C48" s="405"/>
      <c r="D48" s="405"/>
      <c r="E48" s="405"/>
      <c r="F48" s="120"/>
    </row>
    <row r="49" spans="1:9" s="188" customFormat="1" ht="14.25" customHeight="1" x14ac:dyDescent="0.2">
      <c r="A49" s="384"/>
      <c r="B49" s="405"/>
      <c r="C49" s="405"/>
      <c r="D49" s="405"/>
      <c r="E49" s="405"/>
      <c r="F49" s="120"/>
    </row>
    <row r="50" spans="1:9" s="188" customFormat="1" ht="90.6" customHeight="1" x14ac:dyDescent="0.2">
      <c r="A50" s="405"/>
      <c r="B50" s="405"/>
      <c r="C50" s="405"/>
      <c r="D50" s="405"/>
      <c r="E50" s="405"/>
      <c r="F50" s="120"/>
    </row>
    <row r="51" spans="1:9" s="188" customFormat="1" ht="72.75" customHeight="1" x14ac:dyDescent="0.25">
      <c r="A51" s="384" t="s">
        <v>143</v>
      </c>
      <c r="B51" s="397"/>
      <c r="C51" s="397"/>
      <c r="D51" s="397"/>
      <c r="E51" s="397"/>
      <c r="F51" s="120"/>
    </row>
    <row r="52" spans="1:9" s="188" customFormat="1" x14ac:dyDescent="0.2">
      <c r="A52" s="101"/>
      <c r="B52" s="91"/>
      <c r="C52" s="91"/>
      <c r="D52" s="122"/>
      <c r="E52" s="91"/>
      <c r="F52" s="120"/>
    </row>
    <row r="53" spans="1:9" s="188" customFormat="1" ht="37.5" customHeight="1" x14ac:dyDescent="0.2">
      <c r="A53" s="384" t="s">
        <v>62</v>
      </c>
      <c r="B53" s="386"/>
      <c r="C53" s="386"/>
      <c r="D53" s="386"/>
      <c r="E53" s="386"/>
      <c r="F53" s="120"/>
    </row>
    <row r="54" spans="1:9" s="188" customFormat="1" x14ac:dyDescent="0.2">
      <c r="A54" s="101"/>
      <c r="B54" s="91"/>
      <c r="C54" s="91"/>
      <c r="D54" s="122"/>
      <c r="E54" s="91"/>
      <c r="F54" s="120"/>
    </row>
    <row r="55" spans="1:9" s="188" customFormat="1" ht="85.5" customHeight="1" x14ac:dyDescent="0.2">
      <c r="A55" s="384" t="s">
        <v>207</v>
      </c>
      <c r="B55" s="393"/>
      <c r="C55" s="393"/>
      <c r="D55" s="393"/>
      <c r="E55" s="393"/>
      <c r="F55" s="120"/>
    </row>
    <row r="56" spans="1:9" s="188" customFormat="1" ht="24" customHeight="1" x14ac:dyDescent="0.2">
      <c r="A56" s="384" t="s">
        <v>63</v>
      </c>
      <c r="B56" s="393"/>
      <c r="C56" s="393"/>
      <c r="D56" s="393"/>
      <c r="E56" s="393"/>
      <c r="F56" s="120"/>
    </row>
    <row r="57" spans="1:9" s="188" customFormat="1" ht="96.75" customHeight="1" x14ac:dyDescent="0.2">
      <c r="A57" s="384" t="s">
        <v>41</v>
      </c>
      <c r="B57" s="382"/>
      <c r="C57" s="382"/>
      <c r="D57" s="382"/>
      <c r="E57" s="382"/>
      <c r="F57" s="120"/>
    </row>
    <row r="58" spans="1:9" s="188" customFormat="1" ht="77.25" customHeight="1" x14ac:dyDescent="0.2">
      <c r="A58" s="384" t="s">
        <v>249</v>
      </c>
      <c r="B58" s="411"/>
      <c r="C58" s="411"/>
      <c r="D58" s="411"/>
      <c r="E58" s="411"/>
      <c r="F58" s="120"/>
    </row>
    <row r="59" spans="1:9" s="188" customFormat="1" ht="44.25" customHeight="1" x14ac:dyDescent="0.2">
      <c r="A59" s="384" t="s">
        <v>217</v>
      </c>
      <c r="B59" s="386"/>
      <c r="C59" s="386"/>
      <c r="D59" s="386"/>
      <c r="E59" s="386"/>
      <c r="F59" s="120"/>
    </row>
    <row r="60" spans="1:9" s="188" customFormat="1" ht="32.25" customHeight="1" x14ac:dyDescent="0.2">
      <c r="A60" s="382" t="s">
        <v>272</v>
      </c>
      <c r="B60" s="404"/>
      <c r="C60" s="404"/>
      <c r="D60" s="404"/>
      <c r="E60" s="404"/>
      <c r="F60" s="120"/>
    </row>
    <row r="61" spans="1:9" x14ac:dyDescent="0.2">
      <c r="A61" s="110"/>
      <c r="B61" s="111"/>
      <c r="C61" s="96"/>
      <c r="D61" s="92"/>
      <c r="E61" s="172"/>
      <c r="F61" s="244"/>
      <c r="G61" s="137"/>
      <c r="I61" s="210"/>
    </row>
    <row r="62" spans="1:9" x14ac:dyDescent="0.2">
      <c r="A62" s="110" t="s">
        <v>94</v>
      </c>
      <c r="B62" s="176" t="s">
        <v>176</v>
      </c>
      <c r="C62" s="176"/>
      <c r="D62" s="97"/>
      <c r="E62" s="172"/>
      <c r="F62" s="174"/>
      <c r="G62" s="137"/>
      <c r="I62" s="210"/>
    </row>
    <row r="63" spans="1:9" ht="293.45" customHeight="1" x14ac:dyDescent="0.25">
      <c r="A63" s="182"/>
      <c r="B63" s="87" t="s">
        <v>478</v>
      </c>
      <c r="C63" s="96"/>
      <c r="D63" s="92"/>
      <c r="E63" s="172"/>
      <c r="F63" s="174"/>
      <c r="G63" s="286"/>
      <c r="I63" s="210"/>
    </row>
    <row r="64" spans="1:9" ht="72" x14ac:dyDescent="0.25">
      <c r="A64" s="182"/>
      <c r="B64" s="87" t="s">
        <v>156</v>
      </c>
      <c r="C64" s="96"/>
      <c r="D64" s="92"/>
      <c r="E64" s="172"/>
      <c r="F64" s="174"/>
      <c r="G64" s="137"/>
      <c r="I64" s="210"/>
    </row>
    <row r="65" spans="1:9" ht="66" customHeight="1" x14ac:dyDescent="0.2">
      <c r="A65" s="110"/>
      <c r="B65" s="87" t="s">
        <v>228</v>
      </c>
      <c r="C65" s="96"/>
      <c r="D65" s="92"/>
      <c r="E65" s="172"/>
      <c r="F65" s="174"/>
      <c r="G65" s="137"/>
      <c r="I65" s="210"/>
    </row>
    <row r="66" spans="1:9" x14ac:dyDescent="0.2">
      <c r="A66" s="110"/>
      <c r="B66" s="132" t="s">
        <v>185</v>
      </c>
      <c r="C66" s="256" t="s">
        <v>149</v>
      </c>
      <c r="D66" s="238">
        <v>485</v>
      </c>
      <c r="E66" s="172"/>
      <c r="F66" s="244">
        <f t="shared" ref="F66:F70" si="0">D66*E66</f>
        <v>0</v>
      </c>
      <c r="G66" s="137"/>
      <c r="I66" s="210"/>
    </row>
    <row r="67" spans="1:9" ht="24" x14ac:dyDescent="0.2">
      <c r="A67" s="110"/>
      <c r="B67" s="132" t="s">
        <v>421</v>
      </c>
      <c r="C67" s="256" t="s">
        <v>149</v>
      </c>
      <c r="D67" s="238">
        <v>44</v>
      </c>
      <c r="E67" s="172"/>
      <c r="F67" s="244">
        <f t="shared" si="0"/>
        <v>0</v>
      </c>
      <c r="G67" s="210"/>
      <c r="I67" s="210"/>
    </row>
    <row r="68" spans="1:9" ht="24" x14ac:dyDescent="0.2">
      <c r="A68" s="110"/>
      <c r="B68" s="132" t="s">
        <v>400</v>
      </c>
      <c r="C68" s="262" t="s">
        <v>168</v>
      </c>
      <c r="D68" s="238">
        <v>203</v>
      </c>
      <c r="E68" s="172"/>
      <c r="F68" s="244">
        <f t="shared" si="0"/>
        <v>0</v>
      </c>
      <c r="G68" s="210"/>
      <c r="I68" s="210"/>
    </row>
    <row r="69" spans="1:9" x14ac:dyDescent="0.2">
      <c r="A69" s="110"/>
      <c r="B69" s="132" t="s">
        <v>157</v>
      </c>
      <c r="C69" s="256" t="s">
        <v>149</v>
      </c>
      <c r="D69" s="238">
        <v>560</v>
      </c>
      <c r="E69" s="172"/>
      <c r="F69" s="244">
        <f t="shared" si="0"/>
        <v>0</v>
      </c>
      <c r="G69" s="137"/>
      <c r="I69" s="210"/>
    </row>
    <row r="70" spans="1:9" ht="24" x14ac:dyDescent="0.2">
      <c r="A70" s="110"/>
      <c r="B70" s="132" t="s">
        <v>422</v>
      </c>
      <c r="C70" s="262" t="s">
        <v>168</v>
      </c>
      <c r="D70" s="238">
        <v>203</v>
      </c>
      <c r="E70" s="172"/>
      <c r="F70" s="244">
        <f t="shared" si="0"/>
        <v>0</v>
      </c>
      <c r="G70" s="137"/>
      <c r="I70" s="210"/>
    </row>
    <row r="71" spans="1:9" x14ac:dyDescent="0.2">
      <c r="A71" s="110"/>
      <c r="B71" s="132"/>
      <c r="C71" s="256"/>
      <c r="D71" s="238"/>
      <c r="E71" s="172"/>
      <c r="F71" s="244"/>
      <c r="G71" s="137"/>
      <c r="I71" s="210"/>
    </row>
    <row r="72" spans="1:9" x14ac:dyDescent="0.2">
      <c r="A72" s="236" t="s">
        <v>95</v>
      </c>
      <c r="B72" s="287" t="s">
        <v>230</v>
      </c>
      <c r="C72" s="256"/>
      <c r="D72" s="288"/>
      <c r="E72" s="249"/>
      <c r="F72" s="237"/>
      <c r="G72" s="137"/>
      <c r="I72" s="210"/>
    </row>
    <row r="73" spans="1:9" ht="84" x14ac:dyDescent="0.2">
      <c r="A73" s="289"/>
      <c r="B73" s="248" t="s">
        <v>479</v>
      </c>
      <c r="C73" s="256"/>
      <c r="D73" s="288"/>
      <c r="E73" s="249"/>
      <c r="F73" s="248"/>
      <c r="G73" s="137"/>
      <c r="I73" s="210"/>
    </row>
    <row r="74" spans="1:9" ht="136.15" customHeight="1" x14ac:dyDescent="0.2">
      <c r="A74" s="289"/>
      <c r="B74" s="87" t="s">
        <v>440</v>
      </c>
      <c r="C74" s="256"/>
      <c r="D74" s="288"/>
      <c r="E74" s="249"/>
      <c r="F74" s="248"/>
      <c r="I74" s="210"/>
    </row>
    <row r="75" spans="1:9" ht="64.5" customHeight="1" x14ac:dyDescent="0.2">
      <c r="A75" s="289"/>
      <c r="B75" s="87" t="s">
        <v>228</v>
      </c>
      <c r="C75" s="256"/>
      <c r="D75" s="288"/>
      <c r="E75" s="249"/>
      <c r="F75" s="248"/>
      <c r="G75" s="137"/>
      <c r="I75" s="210"/>
    </row>
    <row r="76" spans="1:9" x14ac:dyDescent="0.2">
      <c r="A76" s="289"/>
      <c r="B76" s="132" t="s">
        <v>212</v>
      </c>
      <c r="C76" s="256" t="s">
        <v>149</v>
      </c>
      <c r="D76" s="238">
        <v>55</v>
      </c>
      <c r="E76" s="172"/>
      <c r="F76" s="244">
        <f>D76*E76</f>
        <v>0</v>
      </c>
      <c r="G76" s="137"/>
      <c r="I76" s="210"/>
    </row>
    <row r="77" spans="1:9" ht="24" x14ac:dyDescent="0.2">
      <c r="A77" s="110"/>
      <c r="B77" s="132" t="s">
        <v>400</v>
      </c>
      <c r="C77" s="262" t="s">
        <v>168</v>
      </c>
      <c r="D77" s="238">
        <v>4</v>
      </c>
      <c r="E77" s="172"/>
      <c r="F77" s="244">
        <f>D77*E77</f>
        <v>0</v>
      </c>
      <c r="G77" s="210"/>
      <c r="I77" s="210"/>
    </row>
    <row r="78" spans="1:9" x14ac:dyDescent="0.2">
      <c r="A78" s="289"/>
      <c r="B78" s="132" t="s">
        <v>157</v>
      </c>
      <c r="C78" s="256" t="s">
        <v>149</v>
      </c>
      <c r="D78" s="238">
        <v>58</v>
      </c>
      <c r="E78" s="172"/>
      <c r="F78" s="244">
        <f>D78*E78</f>
        <v>0</v>
      </c>
      <c r="G78" s="137"/>
      <c r="I78" s="210"/>
    </row>
    <row r="79" spans="1:9" ht="24" x14ac:dyDescent="0.2">
      <c r="A79" s="289"/>
      <c r="B79" s="132" t="s">
        <v>401</v>
      </c>
      <c r="C79" s="262" t="s">
        <v>168</v>
      </c>
      <c r="D79" s="238">
        <v>4</v>
      </c>
      <c r="E79" s="172"/>
      <c r="F79" s="244">
        <f>D79*E79</f>
        <v>0</v>
      </c>
      <c r="G79" s="137"/>
      <c r="I79" s="210"/>
    </row>
    <row r="80" spans="1:9" x14ac:dyDescent="0.2">
      <c r="A80" s="259"/>
      <c r="B80" s="252"/>
      <c r="C80" s="256"/>
      <c r="D80" s="92"/>
      <c r="E80" s="265"/>
      <c r="F80" s="244"/>
      <c r="G80" s="137"/>
      <c r="I80" s="210"/>
    </row>
    <row r="81" spans="1:9" ht="24" x14ac:dyDescent="0.25">
      <c r="A81" s="337" t="s">
        <v>96</v>
      </c>
      <c r="B81" s="338" t="s">
        <v>402</v>
      </c>
      <c r="C81" s="339"/>
      <c r="D81" s="339"/>
      <c r="E81" s="339"/>
      <c r="F81" s="340"/>
      <c r="G81" s="137"/>
      <c r="I81" s="210"/>
    </row>
    <row r="82" spans="1:9" ht="24" x14ac:dyDescent="0.2">
      <c r="A82" s="337"/>
      <c r="B82" s="337" t="s">
        <v>337</v>
      </c>
      <c r="C82" s="341"/>
      <c r="D82" s="342"/>
      <c r="E82" s="343"/>
      <c r="F82" s="344"/>
      <c r="G82" s="137"/>
      <c r="I82" s="210"/>
    </row>
    <row r="83" spans="1:9" ht="237.6" customHeight="1" x14ac:dyDescent="0.2">
      <c r="A83" s="337"/>
      <c r="B83" s="345" t="s">
        <v>480</v>
      </c>
      <c r="C83" s="341"/>
      <c r="D83" s="342"/>
      <c r="E83" s="343"/>
      <c r="F83" s="344"/>
      <c r="G83" s="137"/>
      <c r="I83" s="210"/>
    </row>
    <row r="84" spans="1:9" ht="24" x14ac:dyDescent="0.2">
      <c r="A84" s="337"/>
      <c r="B84" s="337" t="s">
        <v>481</v>
      </c>
      <c r="C84" s="341"/>
      <c r="D84" s="342"/>
      <c r="E84" s="343"/>
      <c r="F84" s="344"/>
      <c r="G84" s="137"/>
      <c r="I84" s="210"/>
    </row>
    <row r="85" spans="1:9" ht="24" x14ac:dyDescent="0.2">
      <c r="A85" s="337"/>
      <c r="B85" s="337" t="s">
        <v>482</v>
      </c>
      <c r="C85" s="341"/>
      <c r="D85" s="342"/>
      <c r="E85" s="343"/>
      <c r="F85" s="344"/>
      <c r="G85" s="137"/>
      <c r="I85" s="210"/>
    </row>
    <row r="86" spans="1:9" ht="48" x14ac:dyDescent="0.2">
      <c r="A86" s="337"/>
      <c r="B86" s="346" t="s">
        <v>338</v>
      </c>
      <c r="C86" s="341"/>
      <c r="D86" s="342"/>
      <c r="E86" s="343"/>
      <c r="F86" s="344"/>
      <c r="G86" s="137"/>
      <c r="I86" s="210"/>
    </row>
    <row r="87" spans="1:9" x14ac:dyDescent="0.2">
      <c r="A87" s="337"/>
      <c r="B87" s="132" t="s">
        <v>403</v>
      </c>
      <c r="C87" s="347" t="s">
        <v>149</v>
      </c>
      <c r="D87" s="334">
        <v>20</v>
      </c>
      <c r="E87" s="335"/>
      <c r="F87" s="336">
        <f>D87*E87</f>
        <v>0</v>
      </c>
      <c r="G87" s="278"/>
    </row>
    <row r="88" spans="1:9" ht="15.75" customHeight="1" x14ac:dyDescent="0.2">
      <c r="A88" s="337"/>
      <c r="B88" s="131" t="s">
        <v>399</v>
      </c>
      <c r="C88" s="347" t="s">
        <v>149</v>
      </c>
      <c r="D88" s="334">
        <v>6</v>
      </c>
      <c r="E88" s="335"/>
      <c r="F88" s="336">
        <f>D88*E88</f>
        <v>0</v>
      </c>
      <c r="G88" s="278"/>
    </row>
    <row r="89" spans="1:9" x14ac:dyDescent="0.2">
      <c r="A89" s="259"/>
      <c r="B89" s="132" t="s">
        <v>157</v>
      </c>
      <c r="C89" s="255" t="s">
        <v>149</v>
      </c>
      <c r="D89" s="238">
        <v>28</v>
      </c>
      <c r="E89" s="172"/>
      <c r="F89" s="244">
        <f t="shared" ref="F89" si="1">D89*E89</f>
        <v>0</v>
      </c>
    </row>
    <row r="90" spans="1:9" x14ac:dyDescent="0.2">
      <c r="A90" s="259"/>
      <c r="B90" s="252"/>
      <c r="C90" s="256"/>
      <c r="D90" s="92"/>
      <c r="E90" s="265"/>
      <c r="F90" s="244"/>
    </row>
    <row r="91" spans="1:9" x14ac:dyDescent="0.2">
      <c r="A91" s="128" t="s">
        <v>65</v>
      </c>
      <c r="B91" s="184" t="s">
        <v>178</v>
      </c>
      <c r="C91" s="96"/>
      <c r="D91" s="92"/>
      <c r="E91" s="172"/>
      <c r="F91" s="244"/>
    </row>
    <row r="92" spans="1:9" ht="168" x14ac:dyDescent="0.2">
      <c r="A92" s="110"/>
      <c r="B92" s="87" t="s">
        <v>177</v>
      </c>
      <c r="C92" s="96"/>
      <c r="D92" s="92"/>
      <c r="E92" s="172"/>
      <c r="F92" s="174"/>
    </row>
    <row r="93" spans="1:9" x14ac:dyDescent="0.2">
      <c r="A93" s="110"/>
      <c r="B93" s="252"/>
      <c r="C93" s="256" t="s">
        <v>149</v>
      </c>
      <c r="D93" s="238">
        <v>790</v>
      </c>
      <c r="E93" s="172"/>
      <c r="F93" s="244">
        <f>D93*E93</f>
        <v>0</v>
      </c>
    </row>
    <row r="94" spans="1:9" x14ac:dyDescent="0.2">
      <c r="A94" s="110"/>
      <c r="B94" s="248"/>
      <c r="C94" s="96"/>
      <c r="D94" s="229"/>
      <c r="E94" s="249"/>
      <c r="F94" s="247"/>
    </row>
    <row r="95" spans="1:9" x14ac:dyDescent="0.2">
      <c r="A95" s="128" t="s">
        <v>97</v>
      </c>
      <c r="B95" s="184" t="s">
        <v>250</v>
      </c>
      <c r="C95" s="96"/>
      <c r="D95" s="92"/>
      <c r="E95" s="94"/>
      <c r="F95" s="212"/>
    </row>
    <row r="96" spans="1:9" ht="264" x14ac:dyDescent="0.2">
      <c r="A96" s="128"/>
      <c r="B96" s="87" t="s">
        <v>251</v>
      </c>
      <c r="C96" s="96"/>
      <c r="D96" s="92"/>
      <c r="E96" s="172"/>
      <c r="F96" s="174"/>
    </row>
    <row r="97" spans="1:6" x14ac:dyDescent="0.2">
      <c r="A97" s="128"/>
      <c r="B97" s="252"/>
      <c r="C97" s="256" t="s">
        <v>66</v>
      </c>
      <c r="D97" s="319">
        <v>1</v>
      </c>
      <c r="E97" s="172"/>
      <c r="F97" s="244">
        <f>D97*E97</f>
        <v>0</v>
      </c>
    </row>
    <row r="98" spans="1:6" x14ac:dyDescent="0.2">
      <c r="A98" s="128"/>
      <c r="B98" s="252"/>
      <c r="C98" s="256"/>
      <c r="D98" s="319"/>
      <c r="E98" s="172"/>
      <c r="F98" s="244"/>
    </row>
    <row r="99" spans="1:6" ht="15" thickBot="1" x14ac:dyDescent="0.25">
      <c r="A99" s="110"/>
      <c r="B99" s="248"/>
      <c r="C99" s="96"/>
      <c r="D99" s="229"/>
      <c r="E99" s="249"/>
      <c r="F99" s="247"/>
    </row>
    <row r="100" spans="1:6" ht="15.75" thickBot="1" x14ac:dyDescent="0.3">
      <c r="A100" s="133" t="s">
        <v>121</v>
      </c>
      <c r="B100" s="406" t="s">
        <v>225</v>
      </c>
      <c r="C100" s="407"/>
      <c r="D100" s="407"/>
      <c r="E100" s="275" t="s">
        <v>491</v>
      </c>
      <c r="F100" s="274">
        <f>SUM(F66:F99)</f>
        <v>0</v>
      </c>
    </row>
  </sheetData>
  <mergeCells count="23">
    <mergeCell ref="B100:D100"/>
    <mergeCell ref="A2:F2"/>
    <mergeCell ref="A8:B8"/>
    <mergeCell ref="A3:F3"/>
    <mergeCell ref="A26:E26"/>
    <mergeCell ref="A20:E20"/>
    <mergeCell ref="A28:E28"/>
    <mergeCell ref="A22:E22"/>
    <mergeCell ref="A18:E18"/>
    <mergeCell ref="A14:E14"/>
    <mergeCell ref="A10:E10"/>
    <mergeCell ref="A58:E58"/>
    <mergeCell ref="A56:E56"/>
    <mergeCell ref="A55:E55"/>
    <mergeCell ref="A24:E24"/>
    <mergeCell ref="A53:E53"/>
    <mergeCell ref="A12:E12"/>
    <mergeCell ref="A16:E16"/>
    <mergeCell ref="A60:E60"/>
    <mergeCell ref="A57:E57"/>
    <mergeCell ref="A59:E59"/>
    <mergeCell ref="A51:E51"/>
    <mergeCell ref="A30:E50"/>
  </mergeCells>
  <phoneticPr fontId="32" type="noConversion"/>
  <pageMargins left="0.70866141732283472" right="0.19685039370078741" top="0.74803149606299213" bottom="0.74803149606299213" header="0.31496062992125984" footer="0.31496062992125984"/>
  <pageSetup paperSize="9" orientation="portrait" r:id="rId1"/>
  <headerFooter alignWithMargins="0">
    <oddHeader xml:space="preserve">&amp;L&amp;"Calibri,Regular"&amp;9Investitor: Suvlasnici stambene zgrade u Zagrebu, Sveti Duh 65, 10000 Zagreb
Građevina: Stambena zgrada u Zagrebu, Sveti Duh 65&amp;R&amp;"Calibri,Regular"&amp;9&amp;K000000z.o.p.: Sveti Duh 65
t.d.: 02-2020&amp;K01+000
</oddHeader>
    <oddFooter xml:space="preserve">&amp;L&amp;"Calibri,Regular"&amp;9Radovi prema čl. 5 Pravilnika o jednostavnim i drugim građevinama i radovima (NN 112/17, 34/18, 36/19, 98/19, 31/20) 
</oddFooter>
  </headerFooter>
  <rowBreaks count="2" manualBreakCount="2">
    <brk id="60" max="16383" man="1"/>
    <brk id="71" max="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K72"/>
  <sheetViews>
    <sheetView view="pageBreakPreview" topLeftCell="A68" zoomScale="85" zoomScaleNormal="140" zoomScaleSheetLayoutView="85" workbookViewId="0">
      <selection activeCell="E66" sqref="E66"/>
    </sheetView>
  </sheetViews>
  <sheetFormatPr defaultColWidth="9.140625" defaultRowHeight="14.25" x14ac:dyDescent="0.2"/>
  <cols>
    <col min="1" max="1" width="5.7109375" style="102" customWidth="1"/>
    <col min="2" max="2" width="40.7109375" style="102" customWidth="1"/>
    <col min="3" max="3" width="7.7109375" style="137" customWidth="1"/>
    <col min="4" max="4" width="10.7109375" style="190" customWidth="1"/>
    <col min="5" max="5" width="10.5703125" style="102" customWidth="1"/>
    <col min="6" max="6" width="10.7109375" style="127" customWidth="1"/>
    <col min="7" max="8" width="9.140625" style="102"/>
    <col min="9" max="9" width="56.42578125" style="102" customWidth="1"/>
    <col min="10" max="16384" width="9.140625" style="102"/>
  </cols>
  <sheetData>
    <row r="1" spans="1:7" x14ac:dyDescent="0.2">
      <c r="A1" s="380"/>
      <c r="B1" s="380"/>
      <c r="C1" s="380"/>
      <c r="D1" s="380"/>
      <c r="E1" s="380"/>
      <c r="F1" s="380"/>
      <c r="G1" s="127"/>
    </row>
    <row r="2" spans="1:7" x14ac:dyDescent="0.2">
      <c r="A2" s="408" t="s">
        <v>87</v>
      </c>
      <c r="B2" s="409"/>
      <c r="C2" s="409"/>
      <c r="D2" s="409"/>
      <c r="E2" s="409"/>
      <c r="F2" s="410"/>
    </row>
    <row r="3" spans="1:7" ht="15" x14ac:dyDescent="0.25">
      <c r="A3" s="182" t="s">
        <v>179</v>
      </c>
      <c r="B3" s="182"/>
      <c r="C3" s="177"/>
      <c r="D3" s="169"/>
      <c r="E3" s="182"/>
      <c r="F3" s="202"/>
    </row>
    <row r="4" spans="1:7" x14ac:dyDescent="0.2">
      <c r="A4" s="140" t="s">
        <v>11</v>
      </c>
      <c r="B4" s="140" t="s">
        <v>18</v>
      </c>
      <c r="C4" s="140" t="s">
        <v>7</v>
      </c>
      <c r="D4" s="141" t="s">
        <v>8</v>
      </c>
      <c r="E4" s="140" t="s">
        <v>9</v>
      </c>
      <c r="F4" s="140" t="s">
        <v>10</v>
      </c>
    </row>
    <row r="5" spans="1:7" x14ac:dyDescent="0.2">
      <c r="A5" s="143"/>
      <c r="B5" s="143"/>
      <c r="C5" s="143"/>
      <c r="D5" s="144"/>
      <c r="E5" s="143"/>
      <c r="F5" s="143"/>
    </row>
    <row r="6" spans="1:7" ht="15.75" thickBot="1" x14ac:dyDescent="0.3">
      <c r="A6" s="150" t="s">
        <v>22</v>
      </c>
      <c r="B6" s="390" t="s">
        <v>40</v>
      </c>
      <c r="C6" s="390"/>
      <c r="D6" s="390"/>
      <c r="E6" s="390"/>
      <c r="F6" s="390"/>
    </row>
    <row r="7" spans="1:7" x14ac:dyDescent="0.2">
      <c r="A7" s="152"/>
      <c r="B7" s="153"/>
      <c r="C7" s="154"/>
      <c r="D7" s="92"/>
      <c r="E7" s="155"/>
      <c r="F7" s="156"/>
    </row>
    <row r="8" spans="1:7" ht="20.25" customHeight="1" x14ac:dyDescent="0.2">
      <c r="A8" s="383" t="s">
        <v>92</v>
      </c>
      <c r="B8" s="383"/>
      <c r="C8" s="160"/>
      <c r="D8" s="161"/>
      <c r="E8" s="162"/>
      <c r="F8" s="120"/>
    </row>
    <row r="9" spans="1:7" ht="15" x14ac:dyDescent="0.2">
      <c r="A9" s="205"/>
      <c r="B9" s="205"/>
      <c r="C9" s="160"/>
      <c r="D9" s="161"/>
      <c r="E9" s="162"/>
      <c r="F9" s="120"/>
    </row>
    <row r="10" spans="1:7" ht="62.25" customHeight="1" x14ac:dyDescent="0.2">
      <c r="A10" s="384" t="s">
        <v>85</v>
      </c>
      <c r="B10" s="414"/>
      <c r="C10" s="414"/>
      <c r="D10" s="414"/>
      <c r="E10" s="414"/>
      <c r="F10" s="120"/>
    </row>
    <row r="11" spans="1:7" ht="15" x14ac:dyDescent="0.2">
      <c r="A11" s="205"/>
      <c r="B11" s="205"/>
      <c r="C11" s="160"/>
      <c r="D11" s="161"/>
      <c r="E11" s="162"/>
      <c r="F11" s="120"/>
    </row>
    <row r="12" spans="1:7" ht="72.75" customHeight="1" x14ac:dyDescent="0.25">
      <c r="A12" s="384" t="s">
        <v>0</v>
      </c>
      <c r="B12" s="413"/>
      <c r="C12" s="413"/>
      <c r="D12" s="413"/>
      <c r="E12" s="413"/>
      <c r="F12" s="120"/>
    </row>
    <row r="13" spans="1:7" ht="15" x14ac:dyDescent="0.2">
      <c r="A13" s="205"/>
      <c r="B13" s="205"/>
      <c r="C13" s="160"/>
      <c r="D13" s="161"/>
      <c r="E13" s="162"/>
      <c r="F13" s="120"/>
    </row>
    <row r="14" spans="1:7" ht="94.9" customHeight="1" x14ac:dyDescent="0.25">
      <c r="A14" s="384" t="s">
        <v>180</v>
      </c>
      <c r="B14" s="413"/>
      <c r="C14" s="413"/>
      <c r="D14" s="413"/>
      <c r="E14" s="413"/>
      <c r="F14" s="120"/>
    </row>
    <row r="15" spans="1:7" ht="15" x14ac:dyDescent="0.2">
      <c r="A15" s="205"/>
      <c r="B15" s="205"/>
      <c r="C15" s="160"/>
      <c r="D15" s="161"/>
      <c r="E15" s="162"/>
      <c r="F15" s="120"/>
    </row>
    <row r="16" spans="1:7" ht="63.75" customHeight="1" x14ac:dyDescent="0.25">
      <c r="A16" s="384" t="s">
        <v>32</v>
      </c>
      <c r="B16" s="413"/>
      <c r="C16" s="413"/>
      <c r="D16" s="413"/>
      <c r="E16" s="413"/>
      <c r="F16" s="120"/>
    </row>
    <row r="17" spans="1:6" ht="15" x14ac:dyDescent="0.2">
      <c r="A17" s="205"/>
      <c r="B17" s="205"/>
      <c r="C17" s="160"/>
      <c r="D17" s="161"/>
      <c r="E17" s="162"/>
      <c r="F17" s="120"/>
    </row>
    <row r="18" spans="1:6" ht="37.5" customHeight="1" x14ac:dyDescent="0.25">
      <c r="A18" s="384" t="s">
        <v>72</v>
      </c>
      <c r="B18" s="413"/>
      <c r="C18" s="413"/>
      <c r="D18" s="413"/>
      <c r="E18" s="413"/>
      <c r="F18" s="120"/>
    </row>
    <row r="19" spans="1:6" ht="39" customHeight="1" x14ac:dyDescent="0.25">
      <c r="A19" s="384" t="s">
        <v>73</v>
      </c>
      <c r="B19" s="413"/>
      <c r="C19" s="413"/>
      <c r="D19" s="413"/>
      <c r="E19" s="413"/>
      <c r="F19" s="120"/>
    </row>
    <row r="20" spans="1:6" ht="51.75" customHeight="1" x14ac:dyDescent="0.25">
      <c r="A20" s="384" t="s">
        <v>74</v>
      </c>
      <c r="B20" s="413"/>
      <c r="C20" s="413"/>
      <c r="D20" s="413"/>
      <c r="E20" s="413"/>
      <c r="F20" s="120"/>
    </row>
    <row r="21" spans="1:6" ht="15" x14ac:dyDescent="0.25">
      <c r="A21" s="101"/>
      <c r="B21"/>
      <c r="C21"/>
      <c r="D21"/>
      <c r="E21"/>
      <c r="F21" s="120"/>
    </row>
    <row r="22" spans="1:6" ht="75" customHeight="1" x14ac:dyDescent="0.25">
      <c r="A22" s="384" t="s">
        <v>75</v>
      </c>
      <c r="B22" s="413"/>
      <c r="C22" s="413"/>
      <c r="D22" s="413"/>
      <c r="E22" s="413"/>
      <c r="F22" s="120"/>
    </row>
    <row r="23" spans="1:6" ht="15" x14ac:dyDescent="0.25">
      <c r="A23" s="101"/>
      <c r="B23"/>
      <c r="C23"/>
      <c r="D23"/>
      <c r="E23"/>
      <c r="F23" s="120"/>
    </row>
    <row r="24" spans="1:6" ht="24.75" customHeight="1" x14ac:dyDescent="0.25">
      <c r="A24" s="384" t="s">
        <v>43</v>
      </c>
      <c r="B24" s="413"/>
      <c r="C24" s="413"/>
      <c r="D24" s="413"/>
      <c r="E24" s="413"/>
      <c r="F24" s="120"/>
    </row>
    <row r="25" spans="1:6" ht="15" x14ac:dyDescent="0.25">
      <c r="A25" s="101"/>
      <c r="B25"/>
      <c r="C25"/>
      <c r="D25"/>
      <c r="E25"/>
      <c r="F25" s="120"/>
    </row>
    <row r="26" spans="1:6" ht="15" x14ac:dyDescent="0.25">
      <c r="A26" s="384" t="s">
        <v>44</v>
      </c>
      <c r="B26" s="413"/>
      <c r="C26" s="413"/>
      <c r="D26" s="413"/>
      <c r="E26" s="413"/>
      <c r="F26" s="120"/>
    </row>
    <row r="27" spans="1:6" ht="98.25" customHeight="1" x14ac:dyDescent="0.25">
      <c r="A27" s="384" t="s">
        <v>183</v>
      </c>
      <c r="B27" s="413"/>
      <c r="C27" s="413"/>
      <c r="D27" s="413"/>
      <c r="E27" s="413"/>
      <c r="F27" s="120"/>
    </row>
    <row r="28" spans="1:6" ht="15" x14ac:dyDescent="0.25">
      <c r="A28" s="101"/>
      <c r="B28"/>
      <c r="C28"/>
      <c r="D28"/>
      <c r="E28"/>
      <c r="F28" s="120"/>
    </row>
    <row r="29" spans="1:6" ht="110.25" customHeight="1" x14ac:dyDescent="0.25">
      <c r="A29" s="384" t="s">
        <v>181</v>
      </c>
      <c r="B29" s="413"/>
      <c r="C29" s="413"/>
      <c r="D29" s="413"/>
      <c r="E29" s="413"/>
      <c r="F29" s="120"/>
    </row>
    <row r="30" spans="1:6" ht="15" x14ac:dyDescent="0.25">
      <c r="A30" s="101"/>
      <c r="B30"/>
      <c r="C30"/>
      <c r="D30"/>
      <c r="E30"/>
      <c r="F30" s="120"/>
    </row>
    <row r="31" spans="1:6" ht="77.25" customHeight="1" x14ac:dyDescent="0.25">
      <c r="A31" s="384" t="s">
        <v>76</v>
      </c>
      <c r="B31" s="413"/>
      <c r="C31" s="413"/>
      <c r="D31" s="413"/>
      <c r="E31" s="413"/>
      <c r="F31" s="120"/>
    </row>
    <row r="32" spans="1:6" ht="15" x14ac:dyDescent="0.25">
      <c r="A32" s="101"/>
      <c r="B32"/>
      <c r="C32"/>
      <c r="D32"/>
      <c r="E32"/>
      <c r="F32" s="120"/>
    </row>
    <row r="33" spans="1:6" ht="110.25" customHeight="1" x14ac:dyDescent="0.25">
      <c r="A33" s="384" t="s">
        <v>77</v>
      </c>
      <c r="B33" s="413"/>
      <c r="C33" s="413"/>
      <c r="D33" s="413"/>
      <c r="E33" s="413"/>
      <c r="F33" s="120"/>
    </row>
    <row r="34" spans="1:6" ht="15" x14ac:dyDescent="0.25">
      <c r="A34" s="101"/>
      <c r="B34"/>
      <c r="C34"/>
      <c r="D34"/>
      <c r="E34"/>
      <c r="F34" s="120"/>
    </row>
    <row r="35" spans="1:6" ht="15" x14ac:dyDescent="0.25">
      <c r="A35" s="384" t="s">
        <v>78</v>
      </c>
      <c r="B35" s="413"/>
      <c r="C35" s="413"/>
      <c r="D35" s="413"/>
      <c r="E35" s="413"/>
      <c r="F35" s="120"/>
    </row>
    <row r="36" spans="1:6" ht="63" customHeight="1" x14ac:dyDescent="0.25">
      <c r="A36" s="384" t="s">
        <v>79</v>
      </c>
      <c r="B36" s="413"/>
      <c r="C36" s="413"/>
      <c r="D36" s="413"/>
      <c r="E36" s="413"/>
      <c r="F36" s="120"/>
    </row>
    <row r="37" spans="1:6" ht="15" x14ac:dyDescent="0.25">
      <c r="A37" s="101"/>
      <c r="B37"/>
      <c r="C37"/>
      <c r="D37"/>
      <c r="E37"/>
      <c r="F37" s="120"/>
    </row>
    <row r="38" spans="1:6" ht="113.25" customHeight="1" x14ac:dyDescent="0.25">
      <c r="A38" s="384" t="s">
        <v>80</v>
      </c>
      <c r="B38" s="413"/>
      <c r="C38" s="413"/>
      <c r="D38" s="413"/>
      <c r="E38" s="413"/>
      <c r="F38" s="120"/>
    </row>
    <row r="39" spans="1:6" ht="15" x14ac:dyDescent="0.25">
      <c r="A39" s="101"/>
      <c r="B39"/>
      <c r="C39"/>
      <c r="D39"/>
      <c r="E39"/>
      <c r="F39" s="120"/>
    </row>
    <row r="40" spans="1:6" ht="135" customHeight="1" x14ac:dyDescent="0.25">
      <c r="A40" s="384" t="s">
        <v>81</v>
      </c>
      <c r="B40" s="413"/>
      <c r="C40" s="413"/>
      <c r="D40" s="413"/>
      <c r="E40" s="413"/>
      <c r="F40" s="120"/>
    </row>
    <row r="41" spans="1:6" ht="15" x14ac:dyDescent="0.25">
      <c r="A41" s="101"/>
      <c r="B41"/>
      <c r="C41"/>
      <c r="D41"/>
      <c r="E41"/>
      <c r="F41" s="120"/>
    </row>
    <row r="42" spans="1:6" ht="101.25" customHeight="1" x14ac:dyDescent="0.25">
      <c r="A42" s="384" t="s">
        <v>102</v>
      </c>
      <c r="B42" s="413"/>
      <c r="C42" s="413"/>
      <c r="D42" s="413"/>
      <c r="E42" s="413"/>
      <c r="F42" s="120"/>
    </row>
    <row r="43" spans="1:6" ht="15" x14ac:dyDescent="0.25">
      <c r="A43" s="101"/>
      <c r="B43"/>
      <c r="C43"/>
      <c r="D43"/>
      <c r="E43"/>
      <c r="F43" s="120"/>
    </row>
    <row r="44" spans="1:6" ht="87" customHeight="1" x14ac:dyDescent="0.25">
      <c r="A44" s="384" t="s">
        <v>103</v>
      </c>
      <c r="B44" s="413"/>
      <c r="C44" s="413"/>
      <c r="D44" s="413"/>
      <c r="E44" s="413"/>
      <c r="F44" s="120"/>
    </row>
    <row r="45" spans="1:6" ht="15" x14ac:dyDescent="0.25">
      <c r="A45" s="101"/>
      <c r="B45"/>
      <c r="C45"/>
      <c r="D45"/>
      <c r="E45"/>
      <c r="F45" s="120"/>
    </row>
    <row r="46" spans="1:6" ht="77.25" customHeight="1" x14ac:dyDescent="0.25">
      <c r="A46" s="384" t="s">
        <v>104</v>
      </c>
      <c r="B46" s="413"/>
      <c r="C46" s="413"/>
      <c r="D46" s="413"/>
      <c r="E46" s="413"/>
      <c r="F46" s="120"/>
    </row>
    <row r="47" spans="1:6" ht="15" x14ac:dyDescent="0.25">
      <c r="A47" s="101"/>
      <c r="B47"/>
      <c r="C47"/>
      <c r="D47"/>
      <c r="E47"/>
      <c r="F47" s="120"/>
    </row>
    <row r="48" spans="1:6" ht="88.5" customHeight="1" x14ac:dyDescent="0.25">
      <c r="A48" s="384" t="s">
        <v>105</v>
      </c>
      <c r="B48" s="413"/>
      <c r="C48" s="413"/>
      <c r="D48" s="413"/>
      <c r="E48" s="413"/>
      <c r="F48" s="120"/>
    </row>
    <row r="49" spans="1:11" ht="15" x14ac:dyDescent="0.25">
      <c r="A49" s="101"/>
      <c r="B49"/>
      <c r="C49"/>
      <c r="D49"/>
      <c r="E49"/>
      <c r="F49" s="120"/>
    </row>
    <row r="50" spans="1:11" ht="321" customHeight="1" x14ac:dyDescent="0.25">
      <c r="A50" s="384" t="s">
        <v>69</v>
      </c>
      <c r="B50" s="413"/>
      <c r="C50" s="413"/>
      <c r="D50" s="413"/>
      <c r="E50" s="413"/>
      <c r="F50" s="120"/>
    </row>
    <row r="51" spans="1:11" ht="15" x14ac:dyDescent="0.2">
      <c r="A51" s="205"/>
      <c r="B51" s="205"/>
      <c r="C51" s="160"/>
      <c r="D51" s="161"/>
      <c r="E51" s="162"/>
      <c r="F51" s="120"/>
    </row>
    <row r="52" spans="1:11" ht="50.25" customHeight="1" x14ac:dyDescent="0.2">
      <c r="A52" s="384" t="s">
        <v>184</v>
      </c>
      <c r="B52" s="384"/>
      <c r="C52" s="384"/>
      <c r="D52" s="384"/>
      <c r="E52" s="384"/>
      <c r="F52" s="120"/>
    </row>
    <row r="53" spans="1:11" x14ac:dyDescent="0.2">
      <c r="A53" s="101"/>
      <c r="B53" s="91"/>
      <c r="C53" s="91"/>
      <c r="D53" s="122"/>
      <c r="E53" s="91"/>
      <c r="F53" s="120"/>
    </row>
    <row r="54" spans="1:11" ht="27.75" customHeight="1" x14ac:dyDescent="0.2">
      <c r="A54" s="384" t="s">
        <v>208</v>
      </c>
      <c r="B54" s="384"/>
      <c r="C54" s="384"/>
      <c r="D54" s="384"/>
      <c r="E54" s="384"/>
      <c r="F54" s="120"/>
    </row>
    <row r="55" spans="1:11" ht="27" customHeight="1" x14ac:dyDescent="0.2">
      <c r="A55" s="384" t="s">
        <v>86</v>
      </c>
      <c r="B55" s="384"/>
      <c r="C55" s="384"/>
      <c r="D55" s="384"/>
      <c r="E55" s="384"/>
      <c r="F55" s="120"/>
    </row>
    <row r="56" spans="1:11" ht="86.25" customHeight="1" x14ac:dyDescent="0.2">
      <c r="A56" s="384" t="s">
        <v>84</v>
      </c>
      <c r="B56" s="384"/>
      <c r="C56" s="384"/>
      <c r="D56" s="384"/>
      <c r="E56" s="384"/>
      <c r="F56" s="120"/>
    </row>
    <row r="57" spans="1:11" ht="15" x14ac:dyDescent="0.2">
      <c r="A57" s="101"/>
      <c r="B57" s="206"/>
      <c r="C57" s="206"/>
      <c r="D57" s="207"/>
      <c r="E57" s="206"/>
      <c r="F57" s="120"/>
    </row>
    <row r="58" spans="1:11" ht="111.75" customHeight="1" x14ac:dyDescent="0.2">
      <c r="A58" s="384" t="s">
        <v>35</v>
      </c>
      <c r="B58" s="384"/>
      <c r="C58" s="384"/>
      <c r="D58" s="384"/>
      <c r="E58" s="384"/>
      <c r="F58" s="120"/>
    </row>
    <row r="59" spans="1:11" ht="38.25" customHeight="1" x14ac:dyDescent="0.2">
      <c r="A59" s="384" t="s">
        <v>36</v>
      </c>
      <c r="B59" s="384"/>
      <c r="C59" s="384"/>
      <c r="D59" s="384"/>
      <c r="E59" s="384"/>
      <c r="F59" s="120"/>
    </row>
    <row r="60" spans="1:11" x14ac:dyDescent="0.2">
      <c r="A60" s="101"/>
      <c r="B60" s="91"/>
      <c r="C60" s="91"/>
      <c r="D60" s="122"/>
      <c r="E60" s="91"/>
      <c r="F60" s="120"/>
      <c r="K60" s="208"/>
    </row>
    <row r="61" spans="1:11" ht="150" customHeight="1" x14ac:dyDescent="0.2">
      <c r="A61" s="384" t="s">
        <v>211</v>
      </c>
      <c r="B61" s="384"/>
      <c r="C61" s="384"/>
      <c r="D61" s="384"/>
      <c r="E61" s="384"/>
      <c r="F61" s="120"/>
    </row>
    <row r="62" spans="1:11" ht="42.75" customHeight="1" x14ac:dyDescent="0.2">
      <c r="A62" s="382" t="s">
        <v>273</v>
      </c>
      <c r="B62" s="404"/>
      <c r="C62" s="404"/>
      <c r="D62" s="404"/>
      <c r="E62" s="404"/>
      <c r="F62" s="247"/>
    </row>
    <row r="63" spans="1:11" ht="13.5" customHeight="1" x14ac:dyDescent="0.25">
      <c r="A63" s="182"/>
      <c r="B63" s="250"/>
      <c r="C63" s="256"/>
      <c r="D63" s="246"/>
      <c r="E63" s="239"/>
      <c r="F63" s="247"/>
    </row>
    <row r="64" spans="1:11" ht="24" x14ac:dyDescent="0.2">
      <c r="A64" s="110" t="s">
        <v>94</v>
      </c>
      <c r="B64" s="183" t="s">
        <v>339</v>
      </c>
      <c r="C64" s="176"/>
      <c r="D64" s="92"/>
      <c r="E64" s="209"/>
      <c r="F64" s="120"/>
    </row>
    <row r="65" spans="1:7" ht="120" x14ac:dyDescent="0.25">
      <c r="A65" s="182"/>
      <c r="B65" s="87" t="s">
        <v>340</v>
      </c>
      <c r="C65" s="96"/>
      <c r="D65" s="92"/>
      <c r="E65" s="172"/>
      <c r="F65" s="174"/>
    </row>
    <row r="66" spans="1:7" ht="15" x14ac:dyDescent="0.25">
      <c r="A66" s="182"/>
      <c r="B66" s="132" t="s">
        <v>227</v>
      </c>
      <c r="C66" s="256" t="s">
        <v>168</v>
      </c>
      <c r="D66" s="238">
        <v>170</v>
      </c>
      <c r="E66" s="265"/>
      <c r="F66" s="244">
        <f>D66*E66</f>
        <v>0</v>
      </c>
      <c r="G66" s="92"/>
    </row>
    <row r="67" spans="1:7" ht="15" x14ac:dyDescent="0.25">
      <c r="A67" s="182"/>
      <c r="B67" s="132"/>
      <c r="C67" s="256"/>
      <c r="D67" s="238"/>
      <c r="E67" s="265"/>
      <c r="F67" s="244"/>
      <c r="G67" s="92"/>
    </row>
    <row r="68" spans="1:7" ht="24" x14ac:dyDescent="0.2">
      <c r="A68" s="110" t="s">
        <v>95</v>
      </c>
      <c r="B68" s="183" t="s">
        <v>253</v>
      </c>
      <c r="C68" s="256"/>
      <c r="D68" s="92"/>
      <c r="E68" s="265"/>
      <c r="F68" s="244"/>
      <c r="G68" s="92"/>
    </row>
    <row r="69" spans="1:7" ht="120" x14ac:dyDescent="0.25">
      <c r="A69"/>
      <c r="B69" s="87" t="s">
        <v>254</v>
      </c>
      <c r="C69" s="256"/>
      <c r="D69" s="92"/>
      <c r="E69" s="265"/>
      <c r="F69" s="244"/>
      <c r="G69" s="92"/>
    </row>
    <row r="70" spans="1:7" ht="15" x14ac:dyDescent="0.25">
      <c r="A70"/>
      <c r="B70" s="252"/>
      <c r="C70" s="256" t="s">
        <v>149</v>
      </c>
      <c r="D70" s="97">
        <v>200</v>
      </c>
      <c r="E70" s="265"/>
      <c r="F70" s="244">
        <f>D70*E70</f>
        <v>0</v>
      </c>
      <c r="G70" s="92"/>
    </row>
    <row r="71" spans="1:7" ht="15.75" thickBot="1" x14ac:dyDescent="0.3">
      <c r="A71"/>
      <c r="B71" s="252"/>
      <c r="C71" s="256"/>
      <c r="D71" s="97"/>
      <c r="E71" s="265"/>
      <c r="F71" s="244"/>
      <c r="G71" s="92"/>
    </row>
    <row r="72" spans="1:7" ht="15.75" thickBot="1" x14ac:dyDescent="0.3">
      <c r="A72" s="133" t="s">
        <v>22</v>
      </c>
      <c r="B72" s="391" t="s">
        <v>224</v>
      </c>
      <c r="C72" s="392"/>
      <c r="D72" s="392"/>
      <c r="E72" s="136" t="s">
        <v>491</v>
      </c>
      <c r="F72" s="104">
        <f>SUM(F66:F71)</f>
        <v>0</v>
      </c>
    </row>
  </sheetData>
  <mergeCells count="36">
    <mergeCell ref="B72:D72"/>
    <mergeCell ref="A50:E50"/>
    <mergeCell ref="A38:E38"/>
    <mergeCell ref="A1:F1"/>
    <mergeCell ref="A20:E20"/>
    <mergeCell ref="A22:E22"/>
    <mergeCell ref="A24:E24"/>
    <mergeCell ref="A18:E18"/>
    <mergeCell ref="A2:F2"/>
    <mergeCell ref="B6:F6"/>
    <mergeCell ref="A8:B8"/>
    <mergeCell ref="A52:E52"/>
    <mergeCell ref="A10:E10"/>
    <mergeCell ref="A12:E12"/>
    <mergeCell ref="A33:E33"/>
    <mergeCell ref="A35:E35"/>
    <mergeCell ref="A36:E36"/>
    <mergeCell ref="A16:E16"/>
    <mergeCell ref="A31:E31"/>
    <mergeCell ref="A14:E14"/>
    <mergeCell ref="A19:E19"/>
    <mergeCell ref="A26:E26"/>
    <mergeCell ref="A27:E27"/>
    <mergeCell ref="A29:E29"/>
    <mergeCell ref="A48:E48"/>
    <mergeCell ref="A40:E40"/>
    <mergeCell ref="A42:E42"/>
    <mergeCell ref="A44:E44"/>
    <mergeCell ref="A46:E46"/>
    <mergeCell ref="A62:E62"/>
    <mergeCell ref="A61:E61"/>
    <mergeCell ref="A54:E54"/>
    <mergeCell ref="A55:E55"/>
    <mergeCell ref="A56:E56"/>
    <mergeCell ref="A59:E59"/>
    <mergeCell ref="A58:E58"/>
  </mergeCells>
  <pageMargins left="0.70866141732283472" right="0.19685039370078741" top="0.74803149606299213" bottom="0.74803149606299213" header="0.31496062992125984" footer="0.31496062992125984"/>
  <pageSetup paperSize="9" orientation="portrait" r:id="rId1"/>
  <headerFooter alignWithMargins="0">
    <oddHeader xml:space="preserve">&amp;L&amp;"Calibri,Regular"&amp;9Investitor: Suvlasnici stambene zgrade u Zagrebu, Sveti Duh 65, 10000 Zagreb
Građevina: Stambena zgrada u Zagrebu, Sveti Duh 65&amp;R&amp;"Calibri,Regular"&amp;9&amp;K000000z.o.p.: Sveti Duh 65
t.d.: 02-2020&amp;K01+000
</oddHeader>
    <oddFooter xml:space="preserve">&amp;L&amp;"Calibri,Regular"&amp;9Radovi prema čl. 5 Pravilnika o jednostavnim i drugim građevinama i radovima (NN 112/17, 34/18, 36/19, 98/19, 31/20) 
</oddFooter>
  </headerFooter>
  <rowBreaks count="1" manualBreakCount="1">
    <brk id="62"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20</vt:i4>
      </vt:variant>
    </vt:vector>
  </HeadingPairs>
  <TitlesOfParts>
    <vt:vector size="34" baseType="lpstr">
      <vt:lpstr>nas</vt:lpstr>
      <vt:lpstr>sve rekap</vt:lpstr>
      <vt:lpstr>rekap</vt:lpstr>
      <vt:lpstr>opći</vt:lpstr>
      <vt:lpstr>A.I.pri</vt:lpstr>
      <vt:lpstr>A.II.dem</vt:lpstr>
      <vt:lpstr>A.III.zidarski</vt:lpstr>
      <vt:lpstr>A.IV.izo</vt:lpstr>
      <vt:lpstr>B.I.lim</vt:lpstr>
      <vt:lpstr>B.II.1.PVC</vt:lpstr>
      <vt:lpstr>B.II.2.ALU</vt:lpstr>
      <vt:lpstr>B.II.3.ČEL</vt:lpstr>
      <vt:lpstr>B.III._zz</vt:lpstr>
      <vt:lpstr>B.IV.lič</vt:lpstr>
      <vt:lpstr>A.I.pri!Print_Area</vt:lpstr>
      <vt:lpstr>A.III.zidarski!Print_Area</vt:lpstr>
      <vt:lpstr>A.IV.izo!Print_Area</vt:lpstr>
      <vt:lpstr>B.II.3.ČEL!Print_Area</vt:lpstr>
      <vt:lpstr>B.III._zz!Print_Area</vt:lpstr>
      <vt:lpstr>B.IV.lič!Print_Area</vt:lpstr>
      <vt:lpstr>nas!Print_Area</vt:lpstr>
      <vt:lpstr>opći!Print_Area</vt:lpstr>
      <vt:lpstr>rekap!Print_Area</vt:lpstr>
      <vt:lpstr>'sve rekap'!Print_Area</vt:lpstr>
      <vt:lpstr>A.I.pri!Print_Titles</vt:lpstr>
      <vt:lpstr>A.II.dem!Print_Titles</vt:lpstr>
      <vt:lpstr>A.III.zidarski!Print_Titles</vt:lpstr>
      <vt:lpstr>A.IV.izo!Print_Titles</vt:lpstr>
      <vt:lpstr>B.I.lim!Print_Titles</vt:lpstr>
      <vt:lpstr>B.II.1.PVC!Print_Titles</vt:lpstr>
      <vt:lpstr>B.II.2.ALU!Print_Titles</vt:lpstr>
      <vt:lpstr>B.II.3.ČEL!Print_Titles</vt:lpstr>
      <vt:lpstr>B.III._zz!Print_Titles</vt:lpstr>
      <vt:lpstr>B.IV.lič!Print_Titles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Hrvoje</dc:creator>
  <cp:lastModifiedBy>Office 02</cp:lastModifiedBy>
  <cp:lastPrinted>2022-05-09T13:08:06Z</cp:lastPrinted>
  <dcterms:created xsi:type="dcterms:W3CDTF">2012-01-25T10:15:07Z</dcterms:created>
  <dcterms:modified xsi:type="dcterms:W3CDTF">2024-11-26T07:28:55Z</dcterms:modified>
</cp:coreProperties>
</file>