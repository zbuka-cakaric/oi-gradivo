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T:\7_PONUDE 2026\PROJEKTGRADNJA NNS CZ Jastrebarsko\"/>
    </mc:Choice>
  </mc:AlternateContent>
  <xr:revisionPtr revIDLastSave="0" documentId="13_ncr:1_{A59531FA-2ED1-432F-802B-AE7085436436}" xr6:coauthVersionLast="47" xr6:coauthVersionMax="47" xr10:uidLastSave="{00000000-0000-0000-0000-000000000000}"/>
  <bookViews>
    <workbookView xWindow="12780" yWindow="555" windowWidth="37155" windowHeight="20115" activeTab="9" xr2:uid="{00000000-000D-0000-FFFF-FFFF00000000}"/>
  </bookViews>
  <sheets>
    <sheet name="Opći uvjeti i napomene" sheetId="1" r:id="rId1"/>
    <sheet name="Zgrada 11" sheetId="2" r:id="rId2"/>
    <sheet name="Zgrada 12" sheetId="3" r:id="rId3"/>
    <sheet name="Zgrada 13" sheetId="4" r:id="rId4"/>
    <sheet name="Zgrada 14" sheetId="5" r:id="rId5"/>
    <sheet name="Zgrada 15" sheetId="6" r:id="rId6"/>
    <sheet name="Zgrada 20" sheetId="7" r:id="rId7"/>
    <sheet name="Zgrada 21" sheetId="8" r:id="rId8"/>
    <sheet name="Zgrade 61 i 62" sheetId="9" r:id="rId9"/>
    <sheet name="RKPT" sheetId="10" r:id="rId10"/>
  </sheets>
  <calcPr calcId="191029"/>
</workbook>
</file>

<file path=xl/calcChain.xml><?xml version="1.0" encoding="utf-8"?>
<calcChain xmlns="http://schemas.openxmlformats.org/spreadsheetml/2006/main">
  <c r="F142" i="2" l="1"/>
  <c r="F15" i="10"/>
  <c r="F14" i="10"/>
  <c r="F13" i="10"/>
  <c r="F12" i="10"/>
  <c r="F11" i="10"/>
  <c r="F10" i="10"/>
  <c r="F9" i="10"/>
  <c r="F8" i="10"/>
  <c r="F81" i="9"/>
  <c r="F80" i="9"/>
  <c r="F79" i="9"/>
  <c r="F78" i="9"/>
  <c r="F69" i="9"/>
  <c r="F60" i="9"/>
  <c r="F59" i="9"/>
  <c r="F58" i="9"/>
  <c r="F57" i="9"/>
  <c r="F47" i="9"/>
  <c r="F82" i="9" s="1"/>
  <c r="F35" i="9"/>
  <c r="F34" i="9"/>
  <c r="F33" i="9"/>
  <c r="F32" i="9"/>
  <c r="F31" i="9"/>
  <c r="F25" i="9"/>
  <c r="F24" i="9"/>
  <c r="F23" i="9"/>
  <c r="F21" i="9"/>
  <c r="F20" i="9"/>
  <c r="F15" i="9"/>
  <c r="F14" i="9"/>
  <c r="F16" i="9" s="1"/>
  <c r="F10" i="9"/>
  <c r="F9" i="9"/>
  <c r="F11" i="9" s="1"/>
  <c r="F83" i="8"/>
  <c r="F82" i="8"/>
  <c r="F81" i="8"/>
  <c r="F80" i="8"/>
  <c r="F79" i="8"/>
  <c r="F70" i="8"/>
  <c r="F61" i="8"/>
  <c r="F60" i="8"/>
  <c r="F59" i="8"/>
  <c r="F58" i="8"/>
  <c r="F84" i="8" s="1"/>
  <c r="F57" i="8"/>
  <c r="F47" i="8"/>
  <c r="F33" i="8"/>
  <c r="F32" i="8"/>
  <c r="F31" i="8"/>
  <c r="F30" i="8"/>
  <c r="F29" i="8"/>
  <c r="F34" i="8" s="1"/>
  <c r="F23" i="8"/>
  <c r="F22" i="8"/>
  <c r="F21" i="8"/>
  <c r="F19" i="8"/>
  <c r="F18" i="8"/>
  <c r="F13" i="8"/>
  <c r="F12" i="8"/>
  <c r="F14" i="8" s="1"/>
  <c r="F8" i="8"/>
  <c r="F9" i="8" s="1"/>
  <c r="F77" i="7"/>
  <c r="F76" i="7"/>
  <c r="F75" i="7"/>
  <c r="F74" i="7"/>
  <c r="F73" i="7"/>
  <c r="F64" i="7"/>
  <c r="F55" i="7"/>
  <c r="F54" i="7"/>
  <c r="F53" i="7"/>
  <c r="F52" i="7"/>
  <c r="F51" i="7"/>
  <c r="F41" i="7"/>
  <c r="F78" i="7" s="1"/>
  <c r="F27" i="7"/>
  <c r="F26" i="7"/>
  <c r="F25" i="7"/>
  <c r="F24" i="7"/>
  <c r="F28" i="7" s="1"/>
  <c r="F19" i="7"/>
  <c r="F18" i="7"/>
  <c r="F16" i="7"/>
  <c r="F15" i="7"/>
  <c r="F9" i="7"/>
  <c r="F8" i="7"/>
  <c r="F86" i="6"/>
  <c r="F87" i="6" s="1"/>
  <c r="F81" i="6"/>
  <c r="F80" i="6"/>
  <c r="F79" i="6"/>
  <c r="F78" i="6"/>
  <c r="F77" i="6"/>
  <c r="F68" i="6"/>
  <c r="F59" i="6"/>
  <c r="F58" i="6"/>
  <c r="F57" i="6"/>
  <c r="F56" i="6"/>
  <c r="F55" i="6"/>
  <c r="F45" i="6"/>
  <c r="F82" i="6" s="1"/>
  <c r="F31" i="6"/>
  <c r="F30" i="6"/>
  <c r="F29" i="6"/>
  <c r="F28" i="6"/>
  <c r="F32" i="6" s="1"/>
  <c r="F22" i="6"/>
  <c r="F21" i="6"/>
  <c r="F20" i="6"/>
  <c r="F23" i="6" s="1"/>
  <c r="F15" i="6"/>
  <c r="F16" i="6" s="1"/>
  <c r="F14" i="6"/>
  <c r="F11" i="6"/>
  <c r="F8" i="6"/>
  <c r="F9" i="6" s="1"/>
  <c r="F84" i="5"/>
  <c r="F83" i="5"/>
  <c r="F82" i="5"/>
  <c r="F81" i="5"/>
  <c r="F80" i="5"/>
  <c r="F71" i="5"/>
  <c r="F85" i="5" s="1"/>
  <c r="F62" i="5"/>
  <c r="F61" i="5"/>
  <c r="F60" i="5"/>
  <c r="F59" i="5"/>
  <c r="F58" i="5"/>
  <c r="F48" i="5"/>
  <c r="F34" i="5"/>
  <c r="F33" i="5"/>
  <c r="F32" i="5"/>
  <c r="F31" i="5"/>
  <c r="F35" i="5" s="1"/>
  <c r="F25" i="5"/>
  <c r="F24" i="5"/>
  <c r="F22" i="5"/>
  <c r="F21" i="5"/>
  <c r="F26" i="5" s="1"/>
  <c r="F16" i="5"/>
  <c r="F15" i="5"/>
  <c r="F17" i="5" s="1"/>
  <c r="F11" i="5"/>
  <c r="F9" i="5"/>
  <c r="F8" i="5"/>
  <c r="F95" i="4"/>
  <c r="F89" i="4"/>
  <c r="F88" i="4"/>
  <c r="F87" i="4"/>
  <c r="F86" i="4"/>
  <c r="F85" i="4"/>
  <c r="F76" i="4"/>
  <c r="F67" i="4"/>
  <c r="F66" i="4"/>
  <c r="F65" i="4"/>
  <c r="F64" i="4"/>
  <c r="F63" i="4"/>
  <c r="F53" i="4"/>
  <c r="F90" i="4" s="1"/>
  <c r="F36" i="4"/>
  <c r="F35" i="4"/>
  <c r="F34" i="4"/>
  <c r="F37" i="4" s="1"/>
  <c r="F29" i="4"/>
  <c r="F28" i="4"/>
  <c r="F26" i="4"/>
  <c r="F25" i="4"/>
  <c r="F30" i="4" s="1"/>
  <c r="F20" i="4"/>
  <c r="F19" i="4"/>
  <c r="F21" i="4" s="1"/>
  <c r="F14" i="4"/>
  <c r="F13" i="4"/>
  <c r="F12" i="4"/>
  <c r="F9" i="4"/>
  <c r="F8" i="4"/>
  <c r="F101" i="3"/>
  <c r="F102" i="3" s="1"/>
  <c r="F96" i="3"/>
  <c r="F95" i="3"/>
  <c r="F94" i="3"/>
  <c r="F93" i="3"/>
  <c r="F92" i="3"/>
  <c r="F83" i="3"/>
  <c r="F74" i="3"/>
  <c r="F73" i="3"/>
  <c r="F72" i="3"/>
  <c r="F71" i="3"/>
  <c r="F70" i="3"/>
  <c r="F60" i="3"/>
  <c r="F97" i="3" s="1"/>
  <c r="F44" i="3"/>
  <c r="F43" i="3"/>
  <c r="F42" i="3"/>
  <c r="F41" i="3"/>
  <c r="F33" i="3"/>
  <c r="F32" i="3"/>
  <c r="F31" i="3"/>
  <c r="F29" i="3"/>
  <c r="F28" i="3"/>
  <c r="F23" i="3"/>
  <c r="F22" i="3"/>
  <c r="F24" i="3" s="1"/>
  <c r="F14" i="3"/>
  <c r="F15" i="3" s="1"/>
  <c r="F13" i="3"/>
  <c r="F9" i="3"/>
  <c r="F8" i="3"/>
  <c r="F110" i="2"/>
  <c r="F111" i="2" s="1"/>
  <c r="F141" i="2" s="1"/>
  <c r="F105" i="2"/>
  <c r="F104" i="2"/>
  <c r="F102" i="2"/>
  <c r="F101" i="2"/>
  <c r="F100" i="2"/>
  <c r="F99" i="2"/>
  <c r="F97" i="2"/>
  <c r="F96" i="2"/>
  <c r="F95" i="2"/>
  <c r="F106" i="2" s="1"/>
  <c r="F139" i="2" s="1"/>
  <c r="F92" i="2"/>
  <c r="F138" i="2" s="1"/>
  <c r="F91" i="2"/>
  <c r="F90" i="2"/>
  <c r="F89" i="2"/>
  <c r="F88" i="2"/>
  <c r="F87" i="2"/>
  <c r="F78" i="2"/>
  <c r="F69" i="2"/>
  <c r="F68" i="2"/>
  <c r="F67" i="2"/>
  <c r="F66" i="2"/>
  <c r="F65" i="2"/>
  <c r="F55" i="2"/>
  <c r="F40" i="2"/>
  <c r="F39" i="2"/>
  <c r="F38" i="2"/>
  <c r="F41" i="2" s="1"/>
  <c r="F128" i="2" s="1"/>
  <c r="F30" i="2"/>
  <c r="F29" i="2"/>
  <c r="F28" i="2"/>
  <c r="F27" i="2"/>
  <c r="F26" i="2"/>
  <c r="F25" i="2"/>
  <c r="F23" i="2"/>
  <c r="F22" i="2"/>
  <c r="F17" i="2"/>
  <c r="F18" i="2" s="1"/>
  <c r="F123" i="2" s="1"/>
  <c r="F16" i="2"/>
  <c r="F9" i="2"/>
  <c r="F116" i="2" s="1"/>
  <c r="F8" i="2"/>
  <c r="F18" i="10" l="1"/>
  <c r="F26" i="9"/>
  <c r="F24" i="8"/>
  <c r="F34" i="3"/>
  <c r="F15" i="4"/>
  <c r="F45" i="3"/>
  <c r="F31" i="2"/>
  <c r="F124" i="2" s="1"/>
  <c r="F19" i="10" l="1"/>
  <c r="F20" i="10" s="1"/>
</calcChain>
</file>

<file path=xl/sharedStrings.xml><?xml version="1.0" encoding="utf-8"?>
<sst xmlns="http://schemas.openxmlformats.org/spreadsheetml/2006/main" count="1652" uniqueCount="599">
  <si>
    <t xml:space="preserve">INVESTITOR:      MINISTARSTVO UNUTARNJIH POSLOVA RH </t>
  </si>
  <si>
    <t>LOKACIJA:         JASTREBARSKO, ZRINSKI-FRANKOPANSKA ULICA BB</t>
  </si>
  <si>
    <t xml:space="preserve">GRAĐEVINA:      ZGRADE BR. 11, 12, 13, 14, 15, 20, 21, 61, 62 I VANJSKI PROSTOR </t>
  </si>
  <si>
    <t>RADOVI:              UREĐENJE  GRAĐEVINA, VANJ. PROSTORA I INFRASTRUKTURE</t>
  </si>
  <si>
    <t>PROJEKTANT:   APG-INŽENJERING d.o.o. DUGO SELO</t>
  </si>
  <si>
    <t>TROŠKOVNIK GRAĐEVINSKO-OBRTNIČKIH I INSTALATERSKIH RADOVA</t>
  </si>
  <si>
    <t>ožujak 2026. godine</t>
  </si>
  <si>
    <t>stavka</t>
  </si>
  <si>
    <t>opis stavke</t>
  </si>
  <si>
    <t>jedin. mjere</t>
  </si>
  <si>
    <t>količina</t>
  </si>
  <si>
    <t>edinična 
cijena (euro)</t>
  </si>
  <si>
    <t>ukupno (euro)</t>
  </si>
  <si>
    <t>OPĆI UVJETI I NAPOMENE</t>
  </si>
  <si>
    <t>JEDINIČNA CIJENA</t>
  </si>
  <si>
    <t>U jediničnim cijenama za sve stavke troškovnika, ponuda mora sadržavati ukupne troškove materijala i rada do potpunog dovršenja cjelokupnog posla odnosno do pune funkcionalnosti.
Jedinična cijena, također, uključuje sva potrebna ispitivanja, kontrole i mjerenja za sve izvedene radove, ugrađene materijale i opremu.
Sve predmetno je obuhvaćeno jediničnom cijenom i ne navodi se kao zasebna stavka.
Trošak pribavljanja sve atestne dokumentacije uključiti u cijenu nuđenih stavki, jer se posebni troškovi neće priznati.
Izvođač treba kvalitetu ugrađenih materijala i stručnosti radnika dokazati odgovarajućim atestima i uvjerenjima izdanim od strane za to ovlaštene organizacije i to uračunati u cijenu pojedinih stavaka.
Kod cijene nuđenja voditi računa da je za vrijeme građenja raskriveni dio građevine zaštićen od oborina.</t>
  </si>
  <si>
    <t>Izvođač je dužan kod nuđenja voditi računa da otpad mora razvrstati i takav razvrstan deponirati na specijaliziranim odlagalištima, pa kod izrade ponude ponuditelj treba voditi računa o udaljenostima za najbliže specijalizirane deponije kao i troškove taksi na njima (deponija metal-staklo-građevinska plastika-stiropor i drugo), uključiti u pojedinoj stavci.
Sve navedene radnje uključiti s cijenom u pojedinim stavkama, jer se posebna plaćanja neće priznati.
U svim stavkama uključiti i sav potreban horizontalni i vertikalni transport do mjesta ugradnje.
Za sve stavke građevinsko-obrtničkih i instalaterskih radova potrebno je uključiti sva gruba i fina čišćenja prilikom i nakon izvođenja radova, jer se dodatni troškovi neće dodatno naplaćivati.</t>
  </si>
  <si>
    <t>OBILAZAK PREDMETNE LOKACIJE</t>
  </si>
  <si>
    <t>Ponuditelj može obići i detaljno pregledati lokaciju (građevinsku česticu, građevinu/e, zonu obuhvata). Neovisno o tome je li ponudtitelj obišao lokaciju, naručitelj će smatrati da je ponuditelj obišao i detaljno pregledao lokaciju (građevinsku česticu, građevinu/e, zonu obuhvata), te je dobro upoznat sa svim uvjetima, faktorima i resursima u odnosu i u vezi s lokacijom ili onim koji mogu utjecati na izvršenje radova, te da je na temelju navedenog podnio svoju ponudu. Stoga odabrani ponuditelj nema pravo zahtjevati povećanje cijene ili drugu naknadu, pozivajući se da u vrijeme davanja ponude nije bio upoznat s okolnostima vezanim uz lokaciju (građevnu česticu, građevinu/e, zonu obuhvata).
U slučaju kakvih nejasnoća illi ocijene ponuditelja da je neko od rješenja neprihvatljivo, postaviti upit naručitelju radi razrješenja detalja.
U protivnom od izvođača će se zahtjevati izvođenje detalja kao što je projektant predložio.</t>
  </si>
  <si>
    <t>Za pojedine elemente dani su normativi važeći na dan pisanja ovog troškovnika. U slučaju da isti u razdoblju do početka realizacije ovih radova ili u njihovom tijeku budu izmijenjeni, primjenjuju se normativi važeći u vrijeme izvođenja radova.
Sav ugrađeni materijal treba odgovarati uvjetima iz opisa troškovnika i nacrta, te odgovarajućim normama ili tehničkim uvjetima za izvođenje istih radova, a ukoliko se to posebno traži opisom i drugim propisima. Ugrađeni materijali se mogu razlikovati od predviđenih tehničkih uvjeta ili normi ukoliko zadovoljavaju tehničke uvjete i norma koje su jednakovrijedne ili slične navedenima.
Prije početka izvođenja pojedine vrste radova izvođač mora dokumentacijom dokazati da je ovlašten za izvođenje tih radova odnosno ugradnju materijala odabranog proizvođača.</t>
  </si>
  <si>
    <t>Prije početka radova potrebno je izvesti pripremne radove sve u skladu sa zakonskom regulativom s područja zaštite na radu i područja kompletne građevinske regulative, a naročito radove niže navedene. Trošak ovih radova potrebno ukalkulirati u cijenu građenja jer se isti neće posebno obračunavati.
- Dobava i montaža privremene ograde u svrhu zaštite prostora samoga gradilišta vizualno i sigurnosno od prostora ostatka parcele, koja mora udovoljavati svim uvjetima važećeg zakona o zaštiti na radu
- Izrada plana organizacije gradilišta.</t>
  </si>
  <si>
    <t>Izvođač je sukladno važećem Zakonu o zaštiti na radu dužan poduzimati sve propisane mjere i radnje tijekom izvođenja radova proizašle iz tog zakona i cijelokupne pozitivne regulative s područja zaštite na radu, a naročito sljedeće:
1. Osigurati kontenjere na gradilištu za:
a/ kontenjer - garderobni za radnike
b/ kontenjer - za odmor radnika
c/ kontenjeri - za sanitarne potrebe radnika sa suhim WC-ima
d/ kontenjer - za tehničku službu gradilišta
e/ kontenjer - za nadzornu službu
Kontenjeri moraju biti izrađeni i postavljeni u skladu s regulativom s područja zaštite na radu.
2. Postaviti sve potrebne znakove.
3. Postaviti sve zaštitne ograde u svrhu zaštite prostora gradilišta (vizualna i sigurnosna zaštita).
4. Adekvatno razupirati, osigurati i zaštititi sve iskope.
5. Osigurati i zaštititi sve okolne građevine kao cijeline i pojedine njihove dijelove.
6. Plan organizacije gradilišta.
Sve navedeno uključiti u pojedine stavke jer se isto neće posebno naplaćivati.</t>
  </si>
  <si>
    <t>Za potrebe izvođenja radova izvođač je dužan osigurati privremene priključke na infrastrukturu po na osob niskonaponsku električnu mrežu i vodovodnu mrežu, te isto mora biti uključeno u jediničnu cijenu.
Odabir za sve materijale gdje će to biti potrebno odabir dezena boja i slično vršit će projektan uz suglasnost korisnika i odobrenje investitora.
Prije nabave i ugradnje svih materijala, proizvoda i opreme, karakteristike istih moraju biti pregledane i odobrene od strane stručnog nadzora (kako bi se utvrdilo da iste odgovaraju traženim karakteristikama u predmetnoj stavci troškovnika).</t>
  </si>
  <si>
    <t>POPIS PRIMJENJENIH ZAKONA, PRAVILNIKA I TEHNIČKIH PROPISA</t>
  </si>
  <si>
    <t>1. Zakon o gradnji (NN 153/13, 20/17, 39/19, 125/19, 145/24)
2. Zakon o prostornom uređenju (NN 153/13, 65/17, 114/18, 39/19, 98/19, 67/23)
3. Zakon o komori arhitekata i komorama inženjera u graditeljstvu i prostornom uređenju
(NN 78/15, 114/18, 110/19)
4. Zakon o poslovima i djelatnostima prostornog uređenja i gradnje (NN RH 78/15, 118/18, 110/19)
5. Zakon o građevnim proizvodima (NN 76/13, 30/14, 130/17, 39/19, 118/20)
6. Zakon o normizaciji (NN 80/13)
7. Zakon o tehničkim zahtjevima za proizvode i ocjenjivanju sukladnosti (NN 80/13, 14/14, 32/19)
8. Zakon o zaštiti okoliša (NN 80/13, 153/13, 78/15, 12/18, 118/18)
9. Zakon o zaštiti od požara (NN 92/10)
10. Zakon o energetskoj učinkovitosti (NN 127/14, 116/18, 25/20)
11. Zakon o zaštiti od buke (NN 30/09, 55/13, 153/13, 41/16, 114/18)
12. Zakon o zaštiti na radu (NN 71/14, 118/14, 154/14, 94/18, 96/18)
13. Zakon o zaštiti na radu na privremenim gradilištima (NN 48/18)</t>
  </si>
  <si>
    <t>14. Pravilnik o načinu utvrđivanja obujma i površine građevina u svrhu obračuna komunalnog
doprinosa (NN 15/19)
15. Pravilnik o obračunavanju i plaćanju vodnog doprinosa (NN 107/14)
16. Pravilnik o načinu izračuna građevinske (bruto) površine (NN 93/17)
17. Pravilnik o obveznom sadržaju i opremanju projekata građevina (NN 118/19)
18. Pravilnik o održavanju građevina (NN 122/14, 98/19)
19. Pravilnik o tehničkom pregledu građevine (NN 46/18, 98/19)
20. Pravilnik o kontroli projekata (NN 032/14)
21. Pravilnik o jednostavnim i drugim građevinama i radovima (NN 112/17, 34/18, 36/19, 31/20)
22. Pravilnik o sigurnosti i zaštiti zdravlja pri radu s računalom (NN 69/05)
23. Pravilnik o otpornosti na požar i drugim zahtjevima koje građevine moraju zadovoljiti u slučaju požara (NN 29/13, 87/15)
24. Pravilnik o provjeri tehničkog rješenja zaštite od požara u glavnom projektu (NN 88/11)</t>
  </si>
  <si>
    <t>25. Pravilnik o razvrstavanju građevina u skupine po zahtjevnosti mjera zaštite od požara (NN 56/12, 61/12)
26. Pravilnik o sadržaju elaborata zaštite od požara (NN 51/12)
27. Pravilnik o ovlaštenjima za izradu elaborata zaštite od požara (NN 141/11)
28. Pravilnik o uvjetima za vatrogasne pristupe (NN 35/94, 55/94, 142/03)
29. Pravilnik o vatrogasnim aparatima (NN 101/2011 i 74/2013)
30. Pravilnik o hidrantskoj mreži za gašenje požara (NN 08/06)
31. Pravilnik o mjerama zaštite od požara kod građenja (NN 141/11)
32. Pravilnik o sustavima za dojavu požara (NN 56/99)</t>
  </si>
  <si>
    <t>33. Pravilnik o energetskom pregledu zgrade i energetskom certificiranju (NN 88/17)
34. Pravilnik o osobama ovlaštenim za energetsko certificiranje, energetski pregled zgrade i redoviti pregled sustava grijanja i sustava hlađenja ili klimatizacije u zgradi (NN 73/15, 133/15)
35. Pravilnik o kontroli energetskih certifikata zgrada i izvješća o redovitom pregledu sustava grijanja i sustava hlađenja ili klimatizacije u zgradi (NN 73/15)
36. Pravilnik o najvišim dopuštenim razinama buke u sredini u kojoj ljudi rade i borave (NN 145/04.)
37. Pravilnik o mjerama zaštite od buke izvora na otvorenom prostoru (NN 156/08)
38. Pravilnik o zaštiti na radu za mjesta rada (NN 29/13)</t>
  </si>
  <si>
    <t>39. Tehnički propis o osiguranju pristupačnosti građevinama osobama s invaliditetom i smanjene pokretljivosti (NN 12/2023)
40. Tehnički propis za prozore i vrata (NN 69/06)
41. Tehnički propis o sustavima ventilacije, djelomične klimatizacije i klimatizacije zgrada (NN 3/07, 76/07)
42. Tehnički propis o sustavima grijanja i hlađenja zgrada (NN 110/08)
43. Tehnički propis za dimnjake u građevinama (NN 3/07)
44. Tehnički propis za sustave zaštite od djelovanja munje na građevinama (NN 87/08 i 33/10, 153/13)
45. Tehnički propis za niskonaponske električne instalacije (NN 5/10, 150/13)
46. Tehnički propis o građevnim proizvodima (NN 35/18, 104/19)
47. Tehnički propis za građevinske konstrukcije (NN 17/17, 75/20)
48. Tehnički propis za staklene konstrukcije (NN 53/17)
49. Tehnički propis o racionalnoj uporabi energije i toplinskoj zaštiti u zgradama (NN 128/15, 70/18, 73/18, 86/18, 102/20)</t>
  </si>
  <si>
    <t>NAPOMENA:
Pravilnici i standardi preuzeti su po članu 2. Zakona o preuzimanju Zakona i standarda (NN 53/91)</t>
  </si>
  <si>
    <t>OPĆI UVJETI</t>
  </si>
  <si>
    <t>SKELA</t>
  </si>
  <si>
    <t>Skela se izvodi od čeličnih elemenata, cijevi promjera 48,25 mm, debljine stjenke 4,25 mm, od vruće valjanih profila. Oslanjanje skele na nosivu podlogu izvesti preko metalnih podložnih papuča, površine nalijeganja minimalno 250 cm2. Podloga na koju se postavlja fasadna skela mora biti čvrsta i stabilna. Minimalna širina skele mora biti 80 cm. Skelu je potrebno udaljiti od zida pročelja od radne platforme za 15-20 cm. Visina zaštitne ograde iznosi 100 cm, a elemente ograde postaviti na maksimalni razmak 35cm. U razini radne platforme uz zaštitnu ogradu potrebno je postaviti dasku minimalne visine 20 cm. Radnu platformu izvesti mosnicama  od zdrave piljene crnogorične građe II.klase, minimalne širine 25 cm i minimalne debljine 4,8 cm. Visinski razmak između radnih platformi treba prolagoditi horizontalnim profiliranim vijencima pročelja. Skela mora biti opremljena penjalicama maksimalne dužine 4 m u jednom komadu, postavljenih naizmjenično. Fasadnu skelu potrebno je s vanjske strane zaštititi jutenim zastorom koji se učvršćuje za konstrukciju skele.</t>
  </si>
  <si>
    <t>Skelu treba od podnožja do vrha, kao i na krajevima ukrutiti dijagonalno kosnicima pod kutem od 45°. Skelu je potrebno osigurati od prevrtanja sidrenjem u samu građevinu. Razmak točki sidrenja mora biti manji od 6,0 m u horizontalnom i vertikalnom smjeru. Izvedena skela ne smije imati visinu stupova veću od 4,0 m. Skelu je potrebno uzemljiti i osigurati od udara groma. Izvoditelj je dužan prije postavljanja skele predočiti nacrt skele sa statičkim računom na odobrenje.</t>
  </si>
  <si>
    <t>U jediničnu cijenu treba uključiti:
Sav rad oko postava i skidanja skele, izradu statičkog računa i nacrta montaže skele, dostavu svog potrebnog materijala za postavu skele te čišćenje i odvoz istog nakon skidanja, postavu svjetlosne signalizacije i njeno održavanje, amortizaciju materijala za vrijeme izvođenja svih radova, sve društvene obveze vezane za radnu snagu i materijal, održavanje skele za vrijeme trajanja radova, pripremno-završne radove, naknadu za zauzimanje javno-prometne površine. Amortizacija skele obračunava se za vrijeme ukupnog trajanja radova s time da skelu mogu koristiti svi izvoditelji bez posebne nadoplate. Terminskim planom je potrebno uskladiti sve aktivnosti kako bi se izbjeglo međusobno ometanje izvoditelja.</t>
  </si>
  <si>
    <t>Svi materijali moraju odgovarati važećim propisima i normama:
- HRN C.B3.021. ili jednakovrijedna  - čelik
- HRN C.B5.021.  ili jednakovrijedna  - valjani čelični profili 
- HRN D.C1.021.-041.  ili jednakovrijedna – rezana građa
- HRN M.B4.020.-100.  ili jednakovrijedna – čavli
- HRN G.D9.220 ili jednakovrijedna  – čavli za pištolj</t>
  </si>
  <si>
    <t>ZEMLJANI RADOVI</t>
  </si>
  <si>
    <t>Prije početka gradnje treba gradilište očistiti od suvišne vegetacije, smeća, otpadaka i sl., te odvesti na gradsku deponiju.
Sve iskope, iskop za temelje i sl. izvesti točno prema projektu.
Predviđenu kategoriju tla u troškovniku izvođač treba provjeriti na licu mjesta. Ukoliko kategorija u troškovniku ne odgovara, ustanoviti ispravnu i to unijeti u građevinski dnevnik, a što obostrano potpisuju nadzorni  inženjer i rukovodilac gradnje, te zajedno sa projektantom (statičarom) izvršiti korekciju dimenzija temelja. Za sve štete koje bi nastale uslijed pogrešnog temeljenja odgovoran je izvođač.
Ukoliko se prilikom iskopa naiđe na podzemnu vodu, o tome će se obavijestiti investitor upisom u građevinski dnevnik. Crpljenje vode za normalan rad snosi investitor kao i naknadu za otežan rad. Eventualne štete nastale prodiranjem podzemne vode moraju se prijaviti osiguravatelju.</t>
  </si>
  <si>
    <t>Kod zatrpavanja oko građevine i unutar građevine, nakon iskopa temelja, postave i zaštitite vertikalne hidroizolacije, horizontalne kanalizacije itd. treba materijal (za zatrpavanje) polijevati, kako bi se mogao bolje nabiti i kako bi se dobila potrebna zbijenost. Nabijanje izvesti u slojevima debljine do najviše 30 cm, sa vibro-nabijačima ili žabama.
Po završetku gradnje izvršiti planiranje terena, zatrpavanje vapnenih i fekalnih jama, te uklanjanje svega nepotrebnog sa gradilišta.</t>
  </si>
  <si>
    <t>Sav iskopani materijal treba odvesti do mjesta utovara u prevozno sredstvo radi odvoza na gradsku planirku, odnosno do mjesta odakle će se ponovo upotrijebiti za ugradbu.
Batuda za sloj ispod betonskih podloga dobije se prosijavanjem šljunka kroz sito, tako da se ukloni pijesak i šljunak sitniji od 10 mm. Može se upotrijebiti i tucanik veličine 10-80 mm. Sloj batude ili tucanika treba fino isplanirati i nabiti, Ms = 60 Mpa.</t>
  </si>
  <si>
    <t>BETONSKI I ARMIRANO-BETONSKI RADOVI</t>
  </si>
  <si>
    <t>Betonske i armirano-betonske radove izvesti u skladu sa važećim normama za armirane i nearmirane betone, prema Tehničkom propisu za građevinske konstrukcije (NN 17/17, 75/20).
Sav materijal za izradu betona mora zadovoljavati odgovarajuće norme:</t>
  </si>
  <si>
    <t>Beton:
HRN EN 206-1:2006 ili jednakovrijedna Beton -- 1. dio: Specifikacije, svojstva, proizvodnja i sukladnost (uključuje amandmane A1:2004 i A2:2005) (EN 206-1:2000+A1:2004+A2:2005 ili jednakovrijedna) 
HRN 1128:2007 ili jednakovrijedna Beton – Smjernice za primjenu norme HRN EN 206-1 ili jednakovrijedna
Cement:
HRN CR 14245:2004 ili jednakovrijedna
Smjernice za primjenu EN 197-2 »Vrednovanje sukladnosti« (CR 14245:2001)
HRN EN 197-1:2005 ili jednakovrijedna
Cement -- 1. dio: Sastav, specifikacije i kriteriji sukladnosti cementa opće namjene (uključuje amandman A1:2004) (EN 197-1:2000+A1:2004)
HRN EN 197-1:2005/A3:2008 ili jednakovrijedna
Cement -- 1. dio: Sastav, specifikacije i kriteriji sukladnosti cementa opće namjene (EN 197-1:2000/A3:2007)
HRN EN 197-2:2004 ili jednakovrijedna
Cement -- 2. dio: Vrednovanje sukladnosti (EN 197-2:2000)
HRN EN 197-4: 2006 ili jednakovrijedna</t>
  </si>
  <si>
    <t>Cement -- 4. dio: Sastav, specifikacije i kriteriji sukladnosti metalurškog cementa niske rane čvrstoće (EN 197-4:2004)
HRN EN 14216:2006 ili jednakovrijedna
Cement -- Sastav, specifikacije i kriteriji sukladnosti za posebne vrste cemenata vrlo niske topline hidratacije (EN 14216:2004)
HRN EN 14647:2006 ili jednakovrijedna
Kalcijev aluminatni cement -- Sastav, specifikacije i kriteriji sukladnosti (EN 14647:2005)
HRN EN 14647:2006/AC:2007 ili jednakovrijedna
Kalcijev aluminatni cement -- Sastav, specifikacije i kriteriji sukladnosti (EN 14647:2005/AC:2006)«
HRN EN 12620:2008 ili jednakovrijedna
Agregati za beton (EN 12620:2002+A1:2008)
HRN EN 13055-1:2003 ili jednakovrijedna
Lagani agregati – 1. dio: Lagani agregati za beton, mort i mort za zalijevanje (EN 13055-1:2002)
HRN EN 13055-1:2003/AC:2006 ili jednakovrijedna</t>
  </si>
  <si>
    <t>Lagani agregati -- 1. dio: Lagani agregati za beton, mort i mort za zalijevanje (EN 13055-1:2002/AC:2004)
HRN EN 206-1:2006 ili jednakovrijedna</t>
  </si>
  <si>
    <t>Beton – 1. dio: Specifikacije, svojstva, proizvodnja i sukladnost (uključuje amandmane A1:2004 i A2:2005) (EN 206-1:2000+A1:2004+A2:2005)
rpHRN CR 1901 ili jednakovrijedna
Regional Specifications and Recommendations for the avoidance of damiging alkali silica reactions in concrete (CR 1901:1995)«
HRN EN 934-1:2008 ili jednakovrijedna
Dodaci betonu, mortu i mortu za injektiranje -- 1. dio: Opći zahtjevi (EN 934-1:2008)
HRN EN 934-2:2010 ili jednakovrijedna
Dodaci betonu, mortu i smjesi za injektiranje -- 2. dio: Dodaci betonu -- Definicije, zahtjevi, sukladnost, označivanje i obilježavanje (EN 934-2:2009)
HRN EN 934-4:2010 ili jednakovrijedna</t>
  </si>
  <si>
    <t>Dodaci betonu, mortu i smjesi za injektiranje -- 4. dio: Dodaci mortu za injektiranje prednapetih kabela -- Definicije, zahtjevi, sukladnost, označivanje i obilježavanje (EN 934-4:2009)
HRN EN 934-5:2008 ili jednakovrijedna
Dodaci betonu, mortu i mortu za injektiranje -- 5. dio: Dodaci mlaznom betonu -- Definicije, zahtjevi, sukladnost, označivanje i obilježavanje (EN 934-5:2007)
HRN EN 934-6:2004 ili jednakovrijedna
Dodaci betonu, mortu i mortu za injektiranje -- 6. dio: Uzorkovanje, kontrola sukladnosti i vrednovanje sukladnosti (EN 934-6:2001)
HRN EN 934-6:2004/A1:2008 ili jednakovrijedna
Dodaci betonu, mortu i mortu za injektiranje -- 6. dio: Uzorkovanje, kontrola sukladnosti i vrednovanje sukladnost (EN 934-6:2001/A1:2005)
HRN U.M1.035 ili jednakovrijedna</t>
  </si>
  <si>
    <t>Beton, Dodaci betonu – Kvaliteta i provjeravanje kvalitete
HRN EN 450-1:2008 ili jednakovrijedna
Leteći pepeo za beton -- 1. dio: Definicije, specifikacije i kriteriji sukladnost (EN 450-1:2005+A1:2007)
HRN EN 450-2:2005 ili jednakovrijedna
Leteći pepeo za beton -- 2. dio: Vrednovanje sukladnosti (EN 450-2:2005)
HRN EN 13263-1:2009 ili jednakovrijedna
Silicijska prašina za beton -- 1. dio: Definicije, zahtjevi i kriteriji sukladnosti (EN 13263-1:2005+A1:2009)
HRN EN 13263-2:2009 ili jednakovrijedna
Silicijska prašina za beton -- 2. dio: Vrednovanje sukladnosti (EN 13263-2:2005+A1:2009)
HRN EN 12878:2005 ili jednakovrijedna</t>
  </si>
  <si>
    <t>Pigmenti za bojenje građevnih materijala na bazi cementa i/ili vapna -- Specifikacije i metode ispitivanja (EN 12878:2005)
HRN EN 1008:2002 ili jednakovrijedna
Voda za pripremu betona -- Specifikacije za uzorkovanje, ispitivanje i potvrđivanje prikladnosti vode, uključujući vodu za pranje iz instalacija za otpadnu vodu u industriji betona, kao vode za pripremu betona (EN 1008:2002)
HRN EN 446:2008 ili jednakovrijedna</t>
  </si>
  <si>
    <t>Smjesa za injektiranje natega za prednapinjanje -- Postupci injektiranja (EN 446:2007 ili jednakovrijedna)
HRN EN 447:2008 ili jednakovrijedna
Smjesa za injektiranje natega za prednapinjanje -- Osnovni zahtjevi (EN 447:2007 ili jednakovrijedna)
HRN EN 197-1:2005 ili jednakovrijedna
Cement -- 1. dio: Sastav, specifikacije i kriteriji sukladnosti cementa opće namjene (uključuje amandman A1:2004) (EN 197-1:2000+A1:2004 ili jednakovrijedna)
HRN EN 197-1:2005/A3:2008 ili jednakovrijedna
Cement -- 1. dio: Sastav, specifikacije i kriteriji sukladnosti cementa opće namjene (EN 197-1:2000/A3:2007 ili jednakovrijedna)«
HRN EN 1008:2002 ili jednakovrijedna
Voda za pripremu betona -- Specifikacije za uzorkovanje, ispitivanje i potvrđivanje prikladnosti vode, uključujući vodu za pranje iz instalacija za otpadnu vodu u industriji betona, kao vode za pripremu betona (EN 1008:2002 ili jednakovrijedna)
HRN EN 206-1:2006 ili jednakovrijedna</t>
  </si>
  <si>
    <t>Beton -- 1. dio: Specifikacije, svojstva, proizvodnja i sukladnost (uključuje amandmane A1:2004 i A2:2005) (EN 206-1:2000+A1:2004+A2:2005 ili jednakovrijedna)
HRN EN 197-1:2005 ili jednakovrijedna
Cement -- 1. dio: Sastav, specifikacije i kriteriji sukladnosti cementa opće namjene (uključuje amandman A1:2004) (EN 197-1:2000+A1:2004 ili jednakovrijedna)
HRN EN 197-1:2005/A3:2008 ili jednakovrijedna
Cement -- 1. dio: Sastav, specifikacije i kriteriji sukladnosti cementa opće namjene (EN 197-1:2000/A3:2007 ili jednakovrijedna)«
HRN EN 13369:2004 ili jednakovrijedna
Opća pravila za predgotovljene betonske elemente (EN 13369:2004 ili jednakovrijedna)
HRN EN 13369:2004/Ispr.1:2008 ili jednakovrijedna</t>
  </si>
  <si>
    <t>Opća pravila za predgotovljene betonske elemente (EN 13369:2004/AC:2007 ili jednakovrijedna)
HRN EN 13369:2004/A1:2008 ili jednakovrijedna
Opća pravila za predgotovljene betonske elemente (EN 13369:2004/A1:2006 ili jednakovrijedna)
HRN EN 639:2005 ili jednakovrijedna</t>
  </si>
  <si>
    <t>Opći zahtjevi za betonske tlačne cijevi, uključujući spojeve i fitinge (EN 639:1994 ili jednakovrijedna)
HRN EN 640:2005 ili jednakovrijedna
Armiranobetonske tlačne cijevi i betonske tlačne cijevi s jednoliko raspoređenom armaturom (bez unutarnje cijevi), uključujući spojeve i fitinge (EN 640:1994 ili jednakovrijedna)
HRN EN 641:2005 ili jednakovrijedna
Armiranobetonske tlačne cijevi s čeličnom unutarnjom cijevi, uključujući spojeve i fitinge (EN 641:1994 ili jednakovrijedna)
HRN EN 642:2005 ili jednakovrijedna
Prednapete betonske tlačne cijevi s čeličnom unutarnjom cijevi ili bez nje, uključujući spojeve, fitinge i posebne zahtjeve za prednapeti čelik za cijevi (EN 642:1994 ili jednakovrijedna)
HRN EN 1168:2009 ili jednakovrijedna</t>
  </si>
  <si>
    <t>Predgotovljeni betonski proizvodi -- Ploče sa šupljinama (EN 1168:2005+A2:2009 ili jednakovrijedna)
HRN EN 1338:2004 ili jednakovrijedna
Betonski blokovi za popločivanje -- Zahtjevi i ispitne metode (EN 1338:2003 ili jednakovrijedna)
HRN EN 1338:2004/AC:2007 ili jednakovrijedna
Betonski blokovi za popločivanje -- Zahtjevi i ispitne metode (EN 1338:2003/AC:2006 ili jednakovrijedna)
HRN EN 1339:2004 ili jednakovrijedna
Betonske ploče za popločivanje -- Zahtjevi i ispitne metode (EN 1339:2003 ili jednakovrijedna)
HRN EN 1339:2004/AC:2007 ili jednakovrijedna
Betonske ploče za popločivanje -- Zahtjevi i ispitne metode (EN 1339:2003 ili jednakovrijedna)
HRN EN 1340:2004 ili jednakovrijedna
Betonski rubnjaci -- Zahtjevi i ispitne metode (EN 1340:2003 ili jednakovrijedna)
HRN EN 1340:2004/AC:2007 ili jednakovrijedna</t>
  </si>
  <si>
    <t>Betonski rubnjaci -- Zahtjevi i ispitne metode (EN 1340:2003/AC:2006 ili jednakovrijedna)
HRN EN 1916:2005 ili jednakovrijedna
Betonske cijevi i oblikovni komadi, nearmirani, s čeličnim vlaknima i armirani (EN 1916:2002+AC:2003 ili jednakovrijedna)
HRN EN 1916:2005/Ispr.1:2008 ili jednakovrijedna
Betonske cijevi i oblikovni komadi, nearmirani, s čeličnim vlaknima i armirani (EN 1916:2002/AC:2008 ili jednakovrijedna)
HRN EN 1917:2005 ili jednakovrijedna
Betonska kontrolna okna i komore, nearmirana, s čeličnim vlaknima i armirana (EN 1917:2002+AC:2003 ili jednakovrijedna)
HRN EN 1917:2005/Ispr.1:2008 ili jednakovrijedna
Betonska kontrolna okna i komore, nearmirana, s čeličnim vlaknima i armirana (EN 1917:2002/AC:2008 ili jednakovrijedna)
HRN EN 12737:2008 ili jednakovrijedna</t>
  </si>
  <si>
    <t>Predgotovljeni betonski proizvodi -- Stajske podnice (EN 12737:2004+A1:2007 ili jednakovrijedna)
HRN EN 12794:2008 ili jednakovrijedna
Predgotovljeni betonski proizvodi -- Piloti za temelje (EN 12794:2005+A1:2007+AC:2008 ili jednakovrijedna)
HRN EN 12839:2004 ili jednakovrijedna
Predgotovljeni betonski proizvodi -- Elementi za ograde (EN 12839:2001 ili jednakovrijedna)
HRN EN 12843:2004 ili jednakovrijedna
Predgotovljeni betonski proizvodi -- Stupovi i motke (EN 12843:2004 ili jednakovrijedna)
HRN EN 13198:2004 ili jednakovrijedna</t>
  </si>
  <si>
    <t>Predgotovljeni betonski proizvodi -- Namještaj za ulice i vrtove (EN 13198:2003 ili jednakovrijedna)
HRN EN 13224:2008 ili jednakovrijedna
Predgotovljeni betonski proizvodi -- Rebrasti stropni elementi (EN 13224:2004+A1:2007 ili jednakovrijedna)
HRN EN 13225:2005 ili jednakovrijedna
Predgotovljeni betonski proizvodi -- Linijski konstrukcijski elementi (EN 13225:2004 ili jednakovrijedna)
HRN EN 13225:2005/Ispr.1:2008 ili jednakovrijedna</t>
  </si>
  <si>
    <t>Predgotovljeni betonski proizvodi -- Linijski konstrukcijski elementi (EN 13225:2004/AC:2006 ili jednakovrijedna)
HRN EN 13693:2010 ili jednakovrijedna
Predgotovljeni betonski proizvodi -- Posebni krovni elementi (EN 13693:2004+A1:2009 ili jednakovrijedna)
HRN EN 13748-1:2004 ili jednakovrijedna
Teraco pločice -- 1. dio: Teraco pločice za unutrašnju uporabu (EN 13748-1:2004 ili jednakovrijedna)
HRN EN 13748-1:2004/A1:2008 ili jednakovrijedna
Teraco pločice -- 1. dio: Teraco pločice za unutrašnju uporabu (EN 13748-1:2004/A1:2005 ili jednakovrijedna)
HRN EN 13748-1/AC:2007 ili jednakovrijedna:
Teraco pločice -- 1. dio: Teraco pločice za unutrašnju uporabu (EN 13748-1:2004/AC:2005 ili jednakovrijedna)
HRN EN 13748-2:2004 ili jednakovrijedna
Teraco pločice -- 2. dio: Teraco pločice za vanjsku uporabu (EN 13748-2:2004 ili jednakovrijedna)
HRN DIN 4102-1:2000 ili jednakovrijedna</t>
  </si>
  <si>
    <t>Ponašanje građevnih materijala i elemenata u požaru -- 1. dio: Građevni materijali -- Pojmovi, zahtjevi i ispitivanja (DIN 4102-1:1998 + Ispravak 1:1998 ili jednakovrijedna)
HRN EN 13747:2010 ili jednakovrijedna
Predgotovljeni betonski proizvodi -- Podne pločice za podne sustave (EN 13747:2005+A2:2010 ili jednakovrijedna)
HRN EN 13224:2008 ili jednakovrijedna
Predgotovljeni betonski proizvodi -- Rebrasti stropni elementi (EN 13224:2004+A1:2007 ili jednakovrijedna)
HRN EN 13978-1:2008 ili jednakovrijedna</t>
  </si>
  <si>
    <t>Predgotovljeni betonski proizvodi -- Predgotovljene betonske garaže -- 1. dio: Zahtjevi za armiranobetonske garaže monolitne ili sastavljene iz zasebnih elemenata sobnih dimenzija (EN 13978-1:2005 ili jednakovrijedna)
HRN EN 14843:2008 ili jednakovrijedna
Predgotovljeni betonski proizvodi -- Stube (EN 14843:2007 ili jednakovrijedna)
HRN EN 14844:2008 ili jednakovrijedna
Predgotovljeni betonski proizvodi -- Okvirni propusti (EN 14844:2006+A1:2008 ili jednakovrijedna)
HRN EN 14991:2008 ili jednakovrijedna
Predgotovljeni betonski proizvodi -- Elementi za temelje (EN 14991:2007 ili jednakovrijedna)
HRN EN 14992:2008 ili jednakovrijedna
Predgotovljeni betonski proizvodi -- Elementi za zidove (EN 14992:2007 ili jednakovrijedna)
HRN EN 15037-1:2008 ili jednakovrijedna</t>
  </si>
  <si>
    <t>Predgotovljeni betonski proizvodi -- Stropni sustavi sastavljeni od nosača i blokova (ispune) -- 1. dio: Nosači (EN 15037-1:2008 ili jednakovrijedna)
HRN EN 15037-2:2009 ili jednakovrijedna</t>
  </si>
  <si>
    <t>Predgotovljeni betonski proizvodi -- Stropni sustavi sastavljeni od nosača i blokova (ispune) -- 2. dio: Betonski blokovi (EN 15037-2:2009 ili jednakovrijedna)
HRN EN 15037-3:2009 ili jednakovrijedna
Predgotovljeni betonski proizvodi -- Stropni sustavi sastavljeni od nosača i blokova (ispune) -- 3. dio: Glineni blokovi (EN 15037-3:2009 ili jednakovrijedna)
HRN EN 15050:2008 ili jednakovrijedna
Predgotovljeni betonski proizvodi -- Elementi za mostove (EN 15050:2007 ili jednakovrijedna)
HRN EN 15258:2008 ili jednakovrijedna
Predgotovljeni betonski proizvodi -- Elementi za potporne zidove (EN 15258:2008 ili jednakovrijedna)«
HRN EN 1990:2008 ili jednakovrijedna</t>
  </si>
  <si>
    <t>HRN EN 1504-1:2005 ili jednakovrijedna. Proizvodi i sustavi za zaštitu i popravak betonskih konstrukcija – Definicije, zahtjevi, kontrola kvalitete i vrednovanje sukladnosti – 1. dio: Definicije (EN 1504-1:2005 ili jednakovrijedna)
HRN EN 1504-2:2004 ili jednakovrijedna. Proizvodi i sustavi za zaštitu i popravak betonskih konstrukcija – Definicije, zahtjevi, kontrola kvalitete i vrednovanje sukladnosti – 2. dio: Sustavi površinske zaštite (EN 1504-2:2004 ili jednakovrijedna)
HRN EN 1504-3:2005 ili jednakovrijedna. Proizvodi i sustavi za zaštitu i popravak betonskih konstrukcija – Definicije, zahtjevi, kontrola kvalitete i vrednovanje sukladnosti – 3. dio: Konstrukcijski i nekonstrukcijski popravak (EN 1504-3:2005 ili jednakovrijedna)</t>
  </si>
  <si>
    <t>HRN EN 1504-4:2004 ili jednakovrijedna. Proizvodi i sustavi za zaštitu i popravak betonskih konstrukcija – Definicije, zahtjevi, kontrola kvalitete i vrednovanje sukladnosti – 4. dio: Konstrukcijsko lijepljenje (EN 1504-4:2004 ili jednakovrijedna)
HRN EN 1504-5:2005 ili jednakovrijedna. Proizvodi i sustavi za zaštitu i popravak betonskih konstrukcija – Definicije, zahtjevi, kontrola kvalitete i vrednovanje sukladnosti – 5. dio: Injektiranje betona (EN 1504-5:2004 ili jednakovrijedna)
HRN EN 1504-6:2007 ili jednakovrijedna. Proizvodi i sustavi za zaštitu i popravak betonskih konstrukcija – Definicije, zahtjevi, kontrola kvalitete i vrednovanje sukladnosti – 6. dio: Sidrenje čelične armature (EN 1504-6:2006 ili jednakovrijedna)
HRN EN 1504-7:2007 ili jednakovrijedna. Proizvodi i sustavi za zaštitu i popravak betonskih konstrukcija – Definicije, zahtjevi, kontrola kvalitete i vrednovanje sukladnosti – 7. dio: Zaštita armature od korozije (EN 1504-7:2006 ili jednakovrijedna)</t>
  </si>
  <si>
    <t>HRN EN 1504-8:2005 ili jednakovrijedna. Proizvodi i sustavi za zaštitu i popravak betonskih konstrukcija – Definicije, zahtjevi, kontrola kvalitete i vrednovanje sukladnosti – 8. dio: Kontrola kvalitete i vrednovanje sukladnosti (EN 1504-8:2004 ili jednakovrijedna)
HRN EN 1504-9:2008 ili jednakovrijedna. Proizvodi i sustavi za zaštitu i popravak betonskih konstrukcija – Definicije, zahtjevi, kontrola kvalitete i vrednovanje sukladnosti – 9. dio: Opća načela za uporabu proizvoda i sustava (EN 1504-9:2008 ili jednakovrijedna)
HRN EN 1504-10:2004 ili jednakovrijedna. Proizvodi i sustavi za zaštitu i popravak betonskih konstrukcija – Definicije, zahtjevi, kontrola kvalitete i vrednovanje sukladnosti – 10. dio: Primjena proizvoda i sustava na gradilištu i kontrola kvalitete radova (EN 1504-10:2003 ili jednakovrijedna)
HRN EN 1504-10/AC:2007 ili jednakovrijedna. Proizvodi i sustavi za zaštitu i popravak betonskih konstrukcija – Definicije, zahtjevi, kontrola kvalitete i vrednovanje sukladnosti – 10. dio: Primjena proizvoda i sustava na gradilištu i kontrola kvalitete radova (EN 1504-10:2003/AC:2005 ili jednakovrijedna)</t>
  </si>
  <si>
    <t>Eurokod -- Osnove projektiranja konstrukcija (EN 1990:2002+A1:2005+AC:2008 ili jednakovrijedna)
HRN EN 1991-1-1:2008 ili jednakovrijedna
Eurokod 1 -- Djelovanja na konstrukcije -- Dio 1-1: Opća djelovanja -- Prostorne težine, vlastita težina i uporabna opterećenja za zgrade (EN 1991-1-1:2002 ili jednakovrijedna)
HRN EN 1991-1-2:2008 ili jednakovrijedna
Eurokod 1 -- Djelovanja na konstrukcije -- Dio 1-2: Opća djelovanja -- Djelovanja na konstrukcije izložene požaru (EN 1991-1-2:2002 ili jednakovrijedna)
HRN EN 1991-1-3:2008 ili jednakovrijedna
Eurokod 1 -- Djelovanja na konstrukcije -- Dio 1-3: Opća djelovanja -- Opterećenje snijegom (EN 1991-1-3:2003 ili jednakovrijedna)
HRN EN 1991-1-4:2008 ili jednakovrijedna
Eurokod 1 -- Djelovanja na konstrukcije -- Dio 1-4: Opća djelovanja -- Djelovanja vjetra (EN 1991-1-4:2005 ili jednakovrijedna)
HRN EN 1991-1-5:2008 ili jednakovrijedna
Eurokod 1 -- Djelovanja na konstrukcije -- Dio 1-5: Opća djelovanja -- Toplinska djelovanja (EN 1991-1-5:2003 ili jednakovrijedna)
HRN EN 1991-1-6:2008 ili jednakovrijedna</t>
  </si>
  <si>
    <t>Eurokod 1 -- Djelovanja na konstrukcije -- Dio 1-6: Opća djelovanja -- Djelovanja tijekom izvedbe (EN 1991-1-6:2005+AC:2008 ili jednakovrijedna)
HRN EN 1991-1-7:2008 ili jednakovrijedna
Eurokod 1 -- Djelovanja na konstrukcije -- Dio 1-7: Opća djelovanja -- Izvanredna djelovanja (EN 1991-1-7:2006 ili jednakovrijedna)
HRN EN 1991-2:2008 ili jednakovrijedna
Eurokod 1 -- Djelovanja na konstrukcije -- 2. dio: Prometna opterećenja mostova (EN 1991-2:2003 ili jednakovrijedna)
HRN EN 1991-3:2008 ili jednakovrijedna
Eurokod 1 -- Djelovanja na konstrukcije -- 3. dio: Djelovanja prouzročena kranovima i strojevima (EN 1991-3:2006 ili jednakovrijedna)
HRN EN 1991-4:2008 ili jednakovrijedna
Eurokod 1 -- Djelovanja na konstrukcije -- 4. dio: Silosi i spremnici tekućina (EN 1991-4:2006 ili jednakovrijedna)
HRN EN 1992-1-1:2008 ili jednakovrijedna</t>
  </si>
  <si>
    <t>Eurokod 2 -- Projektiranje betonskih konstrukcija -- Dio 1-1: Opća pravila i pravila za zgrade (EN 1992-1-1:2004+AC:2008 ili jednakovrijedna)
HRN EN 1992-1-2:2008 ili jednakovrijedna
Eurokod 2 -- Projektiranje betonskih konstrukcija -- Dio 1-2: Opća pravila -- Projektiranje konstrukcija na djelovanje požara (EN 1992-1-2:2004+AC:2008 ili jednakovrijedna)
HRN EN 1992-2:2008 ili jednakovrijedna
Eurokod 2 -- Projektiranje betonskih konstrukcija -- 2. dio: Betonski mostovi -- Proračun i pravila oblikovanja pojedinosti (EN 1992-2:2005+AC:2008 ili jednakovrijedna)
HRN EN 1992-3:2008 ili jednakovrijedna
Eurokod 2 -- Projektiranje betonskih konstrukcija -- 3. dio: Spremnici tekućina i rastresitih materijala (EN 1992-3:2006 ili jednakovrijedna)
HRN EN 1997-1:2008 ili jednakovrijedna
Eurokod 7 -- Geotehničko projektiranje -- 1. dio: Opća pravila (EN 1997-1:2004 ili jednakovrijedna)
HRN EN 1997-2:2008 ili jednakovrijedna</t>
  </si>
  <si>
    <t>Eurokod 7 -- Geotehničko projektiranje -- 2. dio: Istraživanje i ispitivanje temeljnoga tla (EN 1997-2:2007 ili jednakovrijedna)
HRN EN 1998-1:2008 ili jednakovrijedna
Eurokod 8 -- Projektiranje konstrukcija otpornih na potres -- 1. dio: Opća pravila, potresna djelovanja i pravila za zgrade (EN 1998-1:2004 ili jednakovrijedna)
HRN EN 1998-2:2008 ili jednakovrijedna
Eurokod 8 -- Projektiranje konstrukcija otpornih na potres -- 2. dio: Mostovi (EN 1998-2:2005 ili jednakovrijedna)
HRN EN 1998-3:2008 ili jednakovrijedna
Eurokod 8 -- Projektiranje konstrukcija otpornih na potres -- 3. dio: Ocjenjivanje i obnova zgrada (EN 1998-3:2005 ili jednakovrijedna)
HRN EN 1998-4:2008 ili jednakovrijedna
Eurokod 8 -- Projektiranje konstrukcija otpornih na potres -- 4. dio: Silosi, spremnici i cjevovodi (EN 1998-4:2006 ili jednakovrijedna)
HRN EN 1998-5:2008 ili jednakovrijedna
Eurokod 8 -- Projektiranje konstrukcija otpornih na potres -- 5. dio: Temelji, potporne konstrukcije i geotehnička pitanja (EN 1998-5:2004 ili jednakovrijedna)«
HRN EN 13670:2010 ili jednakovrijedna</t>
  </si>
  <si>
    <t>Izvedba betonskih konstrukcija (EN 13670:2009 ili jednakovrijedna)
HRN U.M1.046:1984 ili jednakovrijedna
Ispitivanje mostova pokusnim opterećenjem
HRN U.M1.047:1987 ili jednakovrijedna
Ispitivanje konstrukcija visokogradnje pokusnim opterećenjem i ispitivanje do sloma
HRN ISO 4866:1999 ili jednakovrijedna
Mehaničke vibracije i udari -- Vibracije građevina -- Smjernice za mjerenje vibracija i ocjenjivanje njihova utjecaja na građevine (ISO 4866:1990+Amd 1:1994+Amd 2:1996 ili jednakovrijedna)
HRN EN 13791:2007 ili jednakovrijedna</t>
  </si>
  <si>
    <t>Ocjena in-situ tlačne čvrstoće u konstrukcijama i predgotovljenim betonskim dijelovima (EN 13791:2007 ili jednakovrijedna)
HRN ISO 15686-1:2002 ili jednakovrijedna
Zgrade i druge građevine -- Planiranje vijeka uporabe -- 1. dio: Opća načela (ISO 15686-1:2000 ili jednakovrijedna)
HRN ISO 15686-2:2002 ili jednakovrijedna
Zgrade i druge građevine -- Planiranje vijeka uporabe -- 2. dio: Postupci predviđanja vijeka uporabe (ISO 15686-2:2001 ili jednakovrijedna)
HRN ISO 15686-3:2004 ili jednakovrijedna</t>
  </si>
  <si>
    <t>Zgrade i druge građevine -- Planiranje vijeka uporabe -- 3. dio: Neovisne ocjene (auditi) i pregledi svojstava (ISO 15686-3:2002 ili jednakovrijedna)
HRN EN 12504-1:2009 ili jednakovrijedna
Ispitivanje betona u konstrukcijama -- 1. dio: Izvađeni ispitni uzorci -- Uzimanje, pregled i ispitivanje tlačne čvrstoće (EN 12504-1:2009 ili jednakovrijedna)
HRN EN 12504-2:2001 ili jednakovrijedna</t>
  </si>
  <si>
    <t>Ispitivanje betona u konstrukcijama -- 2. dio: Nerazorno ispitivanje -- Određivanje indeksa sklerometra (EN 12504-2:2001 ili jednakovrijedna)
HRN EN 12504-3:2005 ili jednakovrijedna
Ispitivanje betona u konstrukcijama -- 3. dio: Određivanje sile čupanja (pull-out) (EN 12504-3:2005 ili jednakovrijedna)
HRN EN 12504-4:2004 ili jednakovrijedna</t>
  </si>
  <si>
    <t>Ispitivanje betona -- 4. dio: Određivanje brzine ultrazvučnog impulsa (EN 12504-4:2004 ili jednakovrijedna)
HRN EN 12390-1:2001 ili jednakovrijedna
Ispitivanje očvrsloga betona -- 1. dio: Oblik, dimenzije i drugi zahtjevi za uzorke i kalupe (EN 12390-1:2000 ili jednakovrijedna)
HRN EN 12390-1/AC:2005 ili jednakovrijedna
Ispitivanje očvrsloga betona -- 1. dio: Oblik, dimenzije i drugi zahtjevi za uzorke i kalupe (EN 12390-1:2000/AC:2004 ili jednakovrijedna)
HRN EN 12390-3:2009 ili jednakovrijedna
Ispitivanje očvrsnuloga betona -- 3. dio: Tlačna čvrstoća ispitnih uzoraka (EN 12390-3:2009 ili jednakovrijedna)«</t>
  </si>
  <si>
    <t>Pri betoniranju jedne cjelovite betonske, odnosno armirano-betonske konstrukcije upotrijebiti isključivo jednu vrstu cementa. Izvođač je dužan dati na ispitivanje betonske uzorke, prema važećoj regulativi, bez posebne naplate. Šljunak mora imati propisani granulometrijski sastav, bez organskih primjesa. Za nosive konstrukcije upotrebljava se agregat u granulacijama. Ovo se sve analogno odnosi i na tucanik i na drobljenac. Beton se mora miješati strojno i to za sve betonske i armirano betonske konstrukcije. Ručno je dozvoljeno miješati jedino male količine nekonstruktivnih dijelova na građevini. Nabijeni beton betonira se u slojevima od 15 cm i treba ga dobro nabijati, a prekide u slojevima vršiti stepenasto. Kod betoniranja konstrukcije nakon prekida, prvo treba spojeve očistiti, površinu ohrapaviti, isprati, a potom betonirati. Beton treba štititi, dok nije vezao, od djelovanja atmosferskih i temperaturnih utjecaja. Za vrijeme ljeta treba ga polijevati vodom (kako ne bi na površini nastalo sušenje prije vezivanja), od djelovanja kiše treba ga pokriti, a u zimi od smrzavanja treba ga štititi slojem pijeska ili na koji drugi način.  Sve eventualno ispucane i deformirane dijelove konstrukcije ukloniti i zamijeniti novima. Prije betoniranja obavezno pozvati nadzornog inženjera da pregleda armaturu. Nadzorni inženjer ima pravo izvršiti izvanredno ispitivanje betona, tj. uzeti seriju kocaka i dati ih na ispitivanje.Za betoniranje izvesti svu potrebnu skelu sa prilazima, mostovima i slično, te svim osiguranjima za rad na visini za elemente koji se betoniraju na velikim visinama.</t>
  </si>
  <si>
    <t>U cijenu stavaka uračunati potrebne radove na prekidima kod betoniranja. Sav materijal za izradu armiranog betona mora zadovoljiti važeće hrvatske norme. U cijeni stavke za betonske i AB radove uključiti i cijene izrade radnih reški.</t>
  </si>
  <si>
    <t>Betonske i armirano-betonske radove izvesti u skladu sa važećim normama za armirane i nearmirane betone, prema Tehničkom propisu za građevinske konstrukcije (NN RH 17/17, 75/20).
Sav materijal za izradu armiranog betona mora zadovoljavati norme navedene u betonskim radovima.
HRN 1130-1:2008 ili jednakovrijedna
Čelik za armiranje betona -- Zavarljivi čelik za armiranje -- 1. dio: Tehnički uvjeti isporuke čelika razreda A
HRN 1130-2:2008 ili jednakovrijedna
Čelik za armiranje betona -- Zavarljivi čelik za armiranje -- 2. dio: Tehnički uvjeti isporuke čelika razreda B
HRN 1130-3:2008 ili jednakovrijedna
Čelik za armiranje betona -- Zavarljivi čelik za armiranje -- 3. dio: Tehnički uvjeti isporuke čelika razreda C
HRN 1130-4:2008 ili jednakovrijedna
Čelik za armiranje betona -- Zavarljivi čelik za armiranje -- 4. dio: Tehnički uvjeti isporuke zavarenih mreža
HRN 1130-5:2008 ili jednakovrijedna
Čelik za armiranje betona -- Zavarljivi čelik za armiranje -- 5. dio: Tehnički uvjeti isporuke rešetkastih nosača
HRN EN 10080:2005 ili jednakovrijedna</t>
  </si>
  <si>
    <t>Čelik za armiranje betona -- Zavarljivi čelik za armiranje -- Općenito (EN 10080:2005 ili jednakovrijedna)
nHRN EN 10138-1 ili jednakovrijedna
Čelici za prednapinjanje -- 1. dio: Opći zahtjevi (prEN 10138-1:2000 ili jednakovrijedna)
nHRN EN 10138-2 ili jednakovrijedna
Čelici za prednapinjanje -- 2. dio: Žica (prEN 10138-2:2000 ili jednakovrijedna)
nHRN EN 10138-3 ili jednakovrijedna
Čelici za prednapinjanje -- 3. dio: Užad (prEN 10138-3:2000 ili jednakovrijedna)
nHRN EN 10138-4 ili jednakovrijedna
Čelici za prednapinjanje -- 4. dio: Šipke (prEN 10138-4:2000 ili jednakovrijedna)
HRN EN 10020:2008 ili jednakovrijedna
Definicija i razredba vrsta čelika (EN 10020:2000 ili jednakovrijedna)
HRN EN 10027-1:2007 ili jednakovrijedna
Sustavi označivanja za čelike -- 1. dio: Nazivi čelika (EN 10027-1:2005 ili jednakovrijedna)
HRN EN 10027-2:1999 ili jednakovrijedna
Sustavi označivanja čelika -- 2. dio: Brojčani sustav (EN 10027-2:1992 ili jednakovrijedna)
HRN EN 10079:2008 ili jednakovrijedna
Definicija čeličnih proizvoda (EN 10079:2007 ili jednakovrijedna)
HRN EN 523: 2004 ili jednakovrijedna</t>
  </si>
  <si>
    <t>Čelične cijevi (bužiri) za kabele za prednapinjanje -- Nazivlje, zahtjevi, kontrola kvalitete (EN 523:2003 ili jednakovrijedna)
HRN EN ISO 17660-1:2008 ili jednakovrijedna
Zavarivanje -- Zavarivanje čelika za armiranje -- 1. dio: Nosivi zavareni spojevi (ISO 17660-1:2006; EN ISO 17660-1:2006 ili jednakovrijedna)
HRN EN ISO 17660-2:2008 ili jednakovrijedna</t>
  </si>
  <si>
    <t>Zavarivanje -- Zavarivanje čelika za armiranje -- 2. dio: Nenosivi zavareni spojevi (ISO 17660-2:2006; EN ISO 17660-2:2006 ili jednakovrijedna)
HRN EN 287-1:2004 ili jednakovrijedna
Provjera osposobljenosti zavarivača -- Zavarivanje taljenjem -- 1. dio: Čelici (EN 287-1:2004 ili jednakovrijedna)
HRN EN 287-1:2004/AC:2007 ili jednakovrijedna
Provjera osposobljenosti zavarivača -- Zavarivanje taljenjem -- 1. dio: Čelici (EN 287-1:2004/AC:2004 ili jednakovrijedna)
HRN EN 287-1:2004/A2:2008 ili jednakovrijedna</t>
  </si>
  <si>
    <t>Provjera osposobljenosti zavarivača -- Zavarivanje taljenjem -- 1. dio: Čelici (EN 287-1:2004/A2:2006 ili jednakovrijedna)
HRN EN ISO 4063:2010 ili jednakovrijedna
Zavarivanje i srodni postupci -- Nomenklatura postupaka i referentni brojevi (ISO 4063:2009; EN ISO 4063:2009 ili jednakovrijedna)
HRN EN 446:2008 ili jednakovrijedna
Smjesa za injektiranje natega za prednapinjanje -- Postupci injektiranja (EN 446:2007 ili jednakovrijedna)
HRN EN 447:2008 ili jednakovrijedna_
Smjesa za injektiranje natega za prednapinjanje -- Osnovni zahtjevi (EN 447:2007 ili jednakovrijedna)«</t>
  </si>
  <si>
    <t>Savijanje željeza vrši se točno po nacrtu savijanja. Prije početka betoniranja armaturu pregledava nadzorni inženjer investitora, a kod složenijih konstrukcija statičar. Željezo po planu savijanja mora biti iz jednog komada, ne smiju se spajati dva ili tri veća komada. Iznimno se mogu profili veći od ø 14 mm nastavljati varenjem na preklop od 30 cm, ili na sraz, prema odgovarajućim propisima, uz obaveznu kontrolu i ispitivanje vara od strane stručnjaka za varenje. Prije betoniranja željezo dobro očistiti, povezati, te podložiti. Upisom u građevinski dnevnik od strane nadzornog inženjera ili statičara može se započeti sa betoniranjem.</t>
  </si>
  <si>
    <t>NAPOMENA
Prije početka betoniranja obavezno pregledati nacrte planova oplate te nacrte svih instalacija i međusobno ih usporediti kako bi se utvrdilo da su u planove oplate ucrtani svi prodori. U slučaju da se utvrdi bilo kakav propust upozoriti na isti nadzornu službu i projektanta jer se naknadna bušenja neće priznavati. U svim stavkama uključiti sav osnovni i pomoćni rad potreban za potpunu funkcijonalnost kao i pribavljanje sve potrebne atestne dokumentacije u skladu sa pozitivnom zakonskom regulativom. Sve izvoditi u skladu sa projektnom dokumentacijom i statičkim računom. U slučaju bilo kakvih neusklađenosti isto riješiti sa nadzornom službom i projektantom.                                                                                                                                        NAPOMENA: Ukupna količina armature je obračunata u poglavlju 6: Armirački radovi.</t>
  </si>
  <si>
    <t>ZIDARSKI RADOVI</t>
  </si>
  <si>
    <t>A) GRUBI ZIDARSKI RADOVI</t>
  </si>
  <si>
    <t xml:space="preserve">Sav materijal za izradu grubih zidarskih radova mora zadovoljiti odgovarajuće propise:
• Puna opeka od gline HRN B.D1.011 ili jednakovrijedna
• Lagana šuplja opeka i blok od gline HRN B.D1.015 ili jednakovrijedna
• Fasadna puna opeka HRN B.D1.013 ili jednakovrijedna
• Fasadna šuplja opeka od gline HRN B.D1.014 ili jednakovrijedna
• Puna radijalna opeka od gline HRN B.D1.012 ili jednakovrijedna
• Silikatno-vapnena opeka i blok (puna, šuplja) HRN U.N3.300 ili jednakovrijedna
• Betonski šuplji bloketi HRN U.N1.100 ili jednakovrijedna
• Bloketi od plino i pjeno betona HNR U.N1.308 ili jednakovrijedna
• Šljako-betonski bloket HRN U.N9.020 ili jednakovrijedna
• Puni bloket od laganog betona HRN U.N1.011 ili jednakovrijedna
• Šuplji bloket od laganog betona HRN U.N1.020 ili jednakovrijedna
• Vatrostalni mort HRN B.D6.430,432,434 ili jednakovrijedna
• Hidrantno vapno HRN B.C1.02,021 ili jednakovrijedna
• Gips HRN B.C1.030 ili jednakovrijedna
• Pregradne ploče od gipsa HRN U.N2.010 ili jednakovrijedna
• Armirane zidne ploče od pjeno i plino betona HRN U.N1.304 ili jednakovrijedna
• Kamen HRN B.B3.200 ili jednakovrijedna </t>
  </si>
  <si>
    <t>Žbukanje se izvodi na dobro očišćenoj, otprašenoj i vodom ispranoj površini. Radove na žbukanju izvoditi samo u povoljnim vremenskim uvjetima, uz odgovaraju će osiguranje i zaštitu svježe ožbukanih površina od štetnog utjecaja djelovanja sunca i oborina. Prije samog pristupanja žbukanju, površinu zida potrebno je dobro navlažiti.</t>
  </si>
  <si>
    <t>• Voda za pripremu betona – Specifikacije za uzorkovanje, ispitivanje i potvrđivanje prikladnosti vode, uključujući vodu za pranje iz instalacije za otpadnu vodu u industriji betona kao vodu za pripremu betona (EN 1008:2002 ili jednakovrijedna) HRN EN 1008 ili jednakovrijedna
• Kvaliteta vode – Određivanje nitrata – 1. dio:2,6 –Dimetilfenol spektrometrijska metoda HRN ISO 7890-1 ili jednakovrijedna
• Kvaliteta vode – Određivanje alkalnosti – 2.dio: Određivanje karbonatne alkalnosti HRN EN ISO 9963-2 ili jednakovrijedna
• Kvaliteta vode – Ispitivanje i određivanje boje HRN ISO 7887 ili jednakovrijedna
• Kvaliteta vode – Spektrometrijsko određivanje fosfata uporabom amonijevog molibdata HRN ISO 6878 ili jednakovrijedna
• Kvaliteta vode – Određivanje sulfata – Gravimetrijska metoda uporabom barijevog sulfata HRN ISO 9280 ili jednakovrijedna
• Kvaliteta vode – Određivanje klorida – titracija srebrovim nitratom s kromatom kao indikatorom (Mohrrova metoda) HRN ISO 9297 ili jednakovrijedna</t>
  </si>
  <si>
    <t>• Kvaliteta vode – Određivanje natrija i kalija HRN ISO 9964-1 do 9964-3 ili jednakovrijedne
• Kvaliteta vode – Određivanje otopljenog sulfida – Fotometrijska metoda uporabom metilenskog modrila</t>
  </si>
  <si>
    <t>• Cement – 1. dio: Sastav, specifikacije i kriteriji sukladnosti cemenata opće namjene HRN EN 197-1:2005 ili jednakovrijedna
• Cement – 2. dio: Vrednovanje sukladnosti HRN EN 197-2:2004 ili jednakovrijedna
• Cement – 4. dio: Sastav, specifikacije i kriteriji sukladnosti cemenata sa zgurom niske početne čvrstoće HRN EN 197-4:2004 ili jednakovrijedna
• Cement – Sastav, specifikacije i kriteriji sukladnosti specijalnih cemenata vrlo niske topline hidratacije
• Kalcijev aluminatni cement- Sastav, specifikacije i kriteriji sukladnosti HRN EN 14647:2005 ili jednakovrijedna
• Metode ispitivanja cementa HRN EN 196-1 do 196-9 ili jednakovrijedna
• Metode ispitivanja cementa – 21. dio:Kemijska analiza cementa HRN EN 196-21 ili jednakovrijedna
• Određivanje ukupnog organskog ugljika u vapnencu HRN EN 13639 ili jednakovrijedna</t>
  </si>
  <si>
    <t>• Dodaci betonu, mortu i mortu za injektiranje – 2. dio: Dodaci betonu – Definicije, zahtjevi, sukladnost, označavanje i obilježavanje (EN 934-2:2001/A1:2004 ili jednakovrijedna) HRN EN 934-2/A1:2004 ili jednakovrijedna
• Dodaci betonu, mortu i mortu za injektiranje – 4. dio: Dodaci mortu za injektiranje prednapetih natega. Definicije, zahtjevi, sukladnost, označavanje i obilježavanje (EN 934-4:2001/A1:2004 ili jednakovrijedna) nHRN EN 934-4 ili jednakovrijedna</t>
  </si>
  <si>
    <t>• Dodaci betonu, mortu i mortu za injektiranje – 5. dio: Dodaci mlaznom betonu. Definicije, zahtjevi, sukladnost, označavanje i obilježavanje (prEN 934-5:2004 ili jednakovrijedna) nHRN EN 934-5 ili jednakovrijedna
• Dodaci betonu, mortu i mortu za injektiranje – 6. dio: Uzorkovanje, kontrola sukladnosti i vrednovanje sukladnosti (EN 934-6:2001 ili jednakovrijedna) HRN EN 934-6:2004 ili jednakovrijedna
• Pigmenti za bojenje građevnih materijala na bazi cementa i/ili vapna – specifikacije i metode ispitivanja (EN 12878:1999 ili jednakovrijedna) HRN EN 12878:2002 ili jednakovrijedna
• Dodaci betonu, mortu i mortu za injektiranje – Ispitne metode – 14. dio: Mjerenje osjetljivosti čelične armature u betonu na koroziju – Potenciostatsko-elektrokemijska ispitna metoda (EN 480-14:2005 ili jednakovrijedna) nHRN EN 480-14:2005 ili jednakovrijedna
• Dodaci betonu, mortu i mortu za injektiranje – Ispitne metode HRN EN 480-1, 480-2, 480-4, 480-5, 480-6, 480-8, 480-10, 480-11, 480-12 ili jednakovrijedna</t>
  </si>
  <si>
    <t>• Zidarski cement – 2. dio: Metode ispitivanja HRN EN 413-2 ili jednakovrijedna
• Metode ispitivanja mortova za ziđe HRN EN 1015-3, 1015-6, 1015-7, 1015-7, 1015-17 ili jednakovrijedna
• Opće metode ispitivanja pigmenata i sredstava za bubrenje EN ISO 787-3, 787-7, 787-9, 787-13 ili jednakovrijedna
• Boje i lakovi HRN EN ISO 1517, 2409, 2431, 2808, 2811-1, 2811-2, 2812-1, 2815 ili jednakovrijedna
• Plastike – polimeri/smole u kapljevitom stanju ili kao emulzije ili disperzije – Određivanje viskoznosti primjenom rotacijskog viskozimetra s određenom brzinom smicanja HRN EN ISO 3219</t>
  </si>
  <si>
    <t>• Boje, lakovi i plastike – Određivanje sadržaja nehlapivih tvari HRN EN ISO 3251 ili jednakovrijedna
• Boje i lakovi – Ocjena propadanja prevlaka HRN ISO 4628-1, 4628-2, 4628-3, 4628-4, 4628-5, 4628-6 ili jednakovrijedna
• Boje i lakovi – Ispitivanje padajućom masom HRN EN ISO 6272 ili jednakovrijedna
• Boje i lakovi – Određivanje paropropusnosti HRN EN ISO 7783-1, 7783-2 ili jednakovrijedna
• Boje i lakovi – Određivanje vremena uporabe kapljevitih sustava – Priprema i kondicioniranje uzoraka i smjernice za ispitivanje HRN EN ISO 9514 ili jednakovrijedna</t>
  </si>
  <si>
    <t>• Toplinsko-izolacijski proizvodi za zgrade – Tvornički izrađeni proizvodi od mineralne vune (MW) – Specifikacija HRN EN 13162:2002 ili jednakovrijedna
• Toplinsko-izolacijski proizvodi za zgrade – Tvornički izrađeni proizvodi od ekspandiranog polistirena (EPS) – Specifikacija HRN EN 13163:2002 ili jednakovrijedna
• Toplinsko-izolacijski proizvodi za zgrade – Tvornički izrađeni proizvodi od ekstrudirane polistirenske pjene (XPS) – Specifikacija HRN EN 13164:2002 ili jednakovrijedna
• Toplinsko-izolacijski proizvodi za zgrade – Tvornički izrađeni proizvodi od ekstrudirane polistirenske pjene (XPS) – Specifikacija HRN EN 13164/A1:2004 ili jednakovrijedna
• Toplinsko-izolacijski proizvodi za zgrade – Tvornički izrađeni proizvodi od tvrde poliuretanske pjene (PUR) – Specifikacija HRN EN 13165:2002 ili jednakovrijedna
• Toplinsko-izolacijski proizvodi za zgrade – Tvornički izrađeni proizvodi od tvrde poliuretanske pjene (PUR) – Specifikacija HRN EN 13165/A1:2004 ili jednakovrijedna
• Toplinsko-izolacijski proizvodi za zgrade – Tvornički izrađeni proizvodi od tvrde poliuretanske pjene (PUR) – Specifikacija HRN EN 13165/A2:2004 ili jednakovrijedna</t>
  </si>
  <si>
    <t>• Toplinsko-izolacijski proizvodi za zgrade – Tvornički izrađeni proizvodi od fenolne pjene (PF) – Specifikacija HRN EN 13166:2002 ili jednakovrijedna
• Toplinsko-izolacijski proizvodi za zgrade – Tvornički izrađeni proizvodi od fenolne pjene (PF) – Specifikacija HRN EN 13166/A1:2004 ili jednakovrijedna
• Toplinsko-izolacijski proizvodi za zgrade – Tvornički izrađeni proizvodi od ćelijastog (pjenastog) stakla (CG) – Specifikacija HRN EN 13167:2002 ili jednakovrijedna
• Toplinsko-izolacijski proizvodi za zgrade – Tvornički izrađeni proizvodi od ćelijastog (pjenastog) stakla (CG) – Specifikacija HRN EN 13167/A1:2004 ili jednakovrijedna
• Toplinsko-izolacijski proizvodi za zgrade – Tvornički izrađeni proizvodi od drvene vune (WW) – Specifikacija HRN EN 13168:2002 ili jednakovrijedna
• Toplinsko-izolacijski proizvodi za zgrade – Tvornički izrađeni proizvodi od drvene vune (WW) – Specifikacija HRN EN 13168/A1:2002 ili jednakovrijedna
•  Toplinsko-izolacijski proizvodi za zgrade – Tvornički izrađeni proizvodi od ekspandiranog
perlita (EPB) – Specifikacija HRN EN 13169:2002 ili jednakovrijedna
• Toplinsko-izolacijski proizvodi za zgrade – Tvornički izrađeni proizvodi od ekspandiranog perlita (EPB) – Specifikacija HRN EN 13169/A1:200 ili jednakovrijedna</t>
  </si>
  <si>
    <t>• Toplinsko-izolacijski proizvodi za zgrade – Tvornički izrađeni proizvodi od ekspandiranog pluta (ICB) – Specifikacija HRN EN 13170:2002 ili jednakovrijedna
• Toplinsko-izolacijski proizvodi za zgrade – Tvornički izrađeni proizvodi od drvenih vlakana (WF) – Specifikacija HRN EN 13171:2002 ili jednakovrijedna
• Toplinsko-izolacijski proizvodi za zgrade – Tvornički izrađeni proizvodi od drvenih vlakana (WF) – Specifikacija HRN EN 13171/A1:2004 ili jednakovrijedna
• Toplinsko-izolacijski proizvodi – Vrednovanje sukladnosti HRN EN 13172:2002 ili jednakovrijedna
• Toplinsko-izolacijski proizvodi – Vrednovanje sukladnosti HRN EN 13172/A1:2004 ili jednakovrijedna
• Toplinsko-izolacijski proizvodi za primjenu u zgradarstvu – Povezani sustavi za vanjsku toplinsku izolaciju (ETICS) na osnovi ekspandiranog polistirena – Specifikacija HRN EN 13499:2004 ili jednakovrijedna
• Toplinsko-izolacijski proizvodi za primjenu u zgradarstvu – Povezani sustavi za vanjsku toplinsku izolaciju (ETICS) na osnovi mineralne vune – Specifikacija HRN EN 13500:2004 ili jednakovrijedna
• Zidovi i proizvodi za zidanje – Metode određivanja računskih toplinskih vrijednosti HRN EN 1745:2003 ili jednakovrijedna</t>
  </si>
  <si>
    <t>B) ŽBUKANJA, PODLOGE PODOVA I GLAZURE</t>
  </si>
  <si>
    <t>• Sav materijal za izradu radova žbukanja, podloga i glazura, mora zadovoljavati odgovarajuće propise, a izvedba mora biti u skladu sa važećim normama:
• Vatrostalni mort HRN B.D6.430,432,434 ili jednakovrijedna
• Hidrantno vapno HRN B.C1.02,021 ili jednakovrijedna
• Gips HRN B.C1.030 ili jednakovrijedna
• Pregradne ploče od gipsa HRN U.N2.010 ili jednakovrijedna
• Armirane zidne ploče od pjeno i plino betona HRN U.N1.304 ili jednakovrijedna
• Kamen HRN B.B3.200 ili jednakovrijedna</t>
  </si>
  <si>
    <t>• Voda za pripremu betona – Specifikacije za uzorkovanje, ispitivanje i potvrđivanje prikladnosti vode, uključujući vodu za pranje iz instalacije za otpadnu vodu u industriji betona kao vodu za pripremu betona (EN 1008:2002 ili jednakovrijedna) HRN EN 1008 ili jednakovrijedna
• Kvaliteta vode – Određivanje nitrata – 1. dio:2,6 –Dimetilfenol spektrometrijska metoda HRN ISO 7890-1 ili jednakovrijedna
• Kvaliteta vode – Određivanje alkalnosti – 2.dio: Određivanje karbonatne alkalnosti HRN EN ISO 9963-2 ili jednakovrijedna
• Kvaliteta vode – Ispitivanje i određivanje boje HRN ISO 7887 ili jednakovrijedna
• Kvaliteta vode – Spektrometrijsko određivanje fosfata uporabom amonijevog molibdata HRN ISO 6878 ili jednakovrijedna
• Kvaliteta vode – Određivanje sulfata – Gravimetrijska metoda uporabom barijevog sulfata HRN ISO 9280 ili jednakovrijedna
• Kvaliteta vode – Određivanje klorida – titracija srebrovim nitratom s kromatom kao indikatorom (Mohrrova metoda) HRN ISO 9297 ili jednakovrijedna
• Kvaliteta vode – Određivanje natrija i kalija HRN ISO 9964-1 do 9964-3 ili jednakovrijedna
• Kvaliteta vode – Određivanje otopljenog sulfida – Fotometrijska metoda uporabom metilenskog modrila
• Cement – 1. dio: Sastav, specifikacije i kriteriji sukladnosti cemenata opće namjene HRN EN 197-1:2005 ili jednakovrijedna
• Cement – 2. dio: Vrednovanje sukladnosti HRN EN 197-2:2004 ili jednakovrijedna</t>
  </si>
  <si>
    <t>• Cement – 4. dio: Sastav, specifikacije i kriteriji sukladnosti cemenata sa zgurom niske početne čvrstoće HRN EN 197-4:2004 ili jednakovrijedna</t>
  </si>
  <si>
    <t>• Cement – Sastav, specifikacije i kriteriji sukladnosti specijalnih cemenata vrlo niske topline hidratacije
• Kalcijev aluminatni cement- Sastav, specifikacije i kriteriji sukladnosti HRN EN 14647:2005 ili jednakovrijedna
• Metode ispitivanja cementa HRN EN 196-1 do 196-9 ili jednakovrijedna
• Metode ispitivanja cementa – 21. dio:Kemijska analiza cementa HRN EN 196-21 ili jednakovrijedna
• Određivanje ukupnog organskog ugljika u vapnencu nHRN EN 13639 ili jednakovrijedna</t>
  </si>
  <si>
    <t>• Dodaci betonu, mortu i mortu za injektiranje – 2. dio: Dodaci betonu – Definicije, zahtjevi, sukladnost, označavanje i obilježavanje (EN 934-2:2001/A1:2004 ili jednakovrijedna) HRN EN 934-2/A1:2004 ili jednakovrijedna
• Dodaci betonu, mortu i mortu za injektiranje – 4. dio: Dodaci mortu za injektiranje prednapetih natega. Definicije, zahtjevi, sukladnost, označavanje i obilježavanje (EN 934-4:2001/A1:2004 ili jednakovrijedna) nHRN EN 934-4 ili jednakovrijedna
• Dodaci betonu, mortu i mortu za injektiranje – 5. dio: Dodaci mlaznom betonu. Definicije, zahtjevi, sukladnost, označavanje i obilježavanje (prEN 934-5:2004 ili jednakovrijedna) nHRN EN 934-5 ili jednakovrijedna
• Dodaci betonu, mortu i mortu za injektiranje – 6. dio: Uzorkovanje, kontrola sukladnosti i vrednovanje sukladnosti (EN 934-6:2001 ili jednakovrijedna) HRN EN 934-6:2004 ili jednakovrijedna
• Pigmenti za bojenje građevnih materijala na bazi cementa i/ili vapna – specifikacije i metode ispitivanja (EN 12878:1999 ili jednakovrijedna) HRN EN 12878:2002 ili jednakovrijedna
• Dodaci betonu, mortu i mortu za injektiranje – Ispitne metode – 14. dio: Mjerenje osjetljivosti čelične armature u betonu na koroziju – Potenciostatsko-elektrokemijska ispitna metoda (EN 480-14:2005 ili jednakovrijedna) nHRN EN 480-14:2005 ili jednakovrijedna
• Dodaci betonu, mortu i mortu za injektiranje – Ispitne metode HRN EN 480-1, 480-2, 480-4, 480-5, 480-6, 480-8, 480-10, 480-11, 480-12 ili jednakovrijedna</t>
  </si>
  <si>
    <t>• Zidarski cement – 2. dio: Metode ispitivanja HRN EN 413-2 ili jednakovrijedna
• Metode ispitivanja mortova za ziđe HRN EN 1015-3, 1015-6, 1015-7, 1015-7, 1015-17 ili jednakovrijedna
• Opće metode ispitivanja pigmenata i sredstava za bubrenje EN ISO 787-3, 787-7, 787-9, 787-13 ili jednakovrijedna
• Boje i lakovi HRN EN ISO 1517, 2409, 2431, 2808, 2811-1, 2811-2, 2812-1, 2815 ili jednakovrijedna
• Plastike – polimeri/smole u kapljevitom stanju ili kao emulzije ili disperzije – Određivanje viskoznosti primjenom rotacijskog viskozimetra s određenom brzinom smicanja HRN EN ISO 3219 ili jednakovrijedna
• Boje, lakovi i plastike – Određivanje sadržaja nehlapivih tvari HRN EN ISO 3251 ili jednakovrijedna
• Boje i lakovi – Ocjena propadanja prevlaka HRN ISO 4628-1, 4628-2, 4628-3, 4628-4, 4628-5, 4628-6 ili jednakovrijedna
• Boje i lakovi – Ispitivanje padajućom masom HRN EN ISO 6272 ili jednakovrijedna
• Boje i lakovi – Određivanje paropropusnosti HRN EN ISO 7783-1, 7783-2 ili jednakovrijedna
• Boje i lakovi – Određivanje vremena uporabe kapljevitih sustava – Priprema i kondicioniranje uzoraka i smjernice za ispitivanje HRN EN ISO 9514 ili jednakovrijedna</t>
  </si>
  <si>
    <t>• Gips kartonske ploče HRN B.C1.035,040,045 ili jednakovrijedna
• Dodaci žbukama HRN U.M1.038 ili jednakovrijedna
Plivajuće cementne podne podloge HRN U.F2.020 ili jednakovrijedna
Žbukanje vršiti u pogodno vrijeme, kada su zidovi i stropovi potpuno suhi. Prije žbukanja, treba plohu dobro očistiti od svih nečistoća, ostataka armature i žica, te navlažiti. Spojnice kod zidanja moraju biti udubljene cca 2 cm od plohe zida.
Žbukanje po velikoj vrućini ili zimi treba izbjegavati. Nepropisno ožbukani zidovi i stropovi moraju se ispraviti. Betonske plohe moraju prije žbukanja biti obrađene tako da se žbuka prihvati na betonsku površinu štokanjem i špricanjem cementnim mlijekom, ako oplata nije bila premazana sredstvom za ohrapljivanje betonske površine.</t>
  </si>
  <si>
    <t>C) DOBAVE I UGRADBE</t>
  </si>
  <si>
    <t>Sav materijal za radove na dobavama i ugradbama mora zadovoljavati odgovarajuće propise:
Poštanski sandučići HRN U.N9.060,061,062 ili jednakovrijedna
Azbest-cementne cijevi HRN B.C4.081,061 ili jednakovrijedna
Metalni pragovi HRN C.B0.500 ili jednakovrijedna
Strugala za obuću HRN U.N9.N300 ili jednakovrijedna
Plastične cijevi HRN G.S3.502. ili jednakovrijedna</t>
  </si>
  <si>
    <t>NAPOMENA:
Pri žbukanju zidova pročelja i unutarnjih zidova potrebno se strogo pridržavati uputa proizvođača i ne odstupati od njih.
Svi materijali za izravnavanje podloge moraju imati dovoljnu nosivost za opterećenja koja moraju prihvatiti min 3,0 kN/m².
Sva ljepila koja se koriste moraju biti disperzivna, sa malom emisijom štetnih tvari u okolinu.
Svi zidarski radovi izvode se na etažama prizemlja, 1. kata i krova što je potrebno uzeti u obzir kod nuđenja radi obračuna troška vertikalnog transporta materijala kao i drugih činjenica koje utječu na formiranje cijene pojedine stavke.</t>
  </si>
  <si>
    <t>VAŽNA NAPOMENA:
Zidove od opeke zidati nakon izvedbe nosive konstrukcije koja je izvedena od armiranog betona, iz razloga jer je potrebno odvojiti opeku od betonske konstrukcije pri stropu, tj. ostaviti rešku (2-3cm) pri stropu koju je potrebno zapuniti PUR pjenom. U svim stavkama uključena radna skela.</t>
  </si>
  <si>
    <t>NAPOMENA: 
Kod izrade toplinske izolacije između svih podova potrebno je voditi računa da se izvode kao plivajući, te je u stavci uključena obavezna postava polistirena uz pregradne i nosive zidove u debljini sloja od 2 cm i odgovarajućoj visini slojeva podova. Sve izvesti prema detalju projektanta.</t>
  </si>
  <si>
    <t>HIDROIZOLACIJE</t>
  </si>
  <si>
    <t>Hidroizolacijske radove izvesti u skladu sa važećim normama. Sav materijal za izolaciju treba biti prvorazredne kvalitete, te mora  zadovoljiti odgovarajuće propise.</t>
  </si>
  <si>
    <t>bitumenske ljepenka HRN U.M3.232 ili jednakovrijedna
hladni bitumenski premaz HRN U.M3.240 ili jednakovrijedna
vrući bitumenski premaz HRN U.M3.244 ili jednakovrijedna
bitumenska ljepenka sa uloškom od jute HRN U.M3.210 ili jednakovrijedna
bitumenska ljepenka sa uloškom od staklene tkanine HRN U.M3.234 ili jednakovrijedna
bitumenska ljepenka sa uloškom od staklenog voala HRN U.M3.231 ili jednakovrijedna
bitumenska ljepenka sa uloškom od aluminijske folije HRN U.M3.230 ili jednakovrijedna
elastobit HRN U.M3.242 ili jednakovrijedna
bitumenska traka za varenje (sastav i uvjeti kvalitete) HRN U.M3.300 ili jednakovrijedna</t>
  </si>
  <si>
    <t>U iznimnim slučajevim se može ukazati potreba za izmjenom materijala i načina izvedbe tijekom gradnje te je potrebno dobiti pismeno odobrenje od strane projektanta i nadzornog inženjera. 
Ukoliko se naknadno ustanovi tj. pojavi vlaga, zbog nesolidne izvedbe, ne dozvoljava se krpanje već se mora ponovo izvesti izolacije cijele površine na trošak izvođača. Izvođač mora o svom trošku izvesti, popraviti i ponovo montirati opremu i pojedine građevinske i obrtničke radove koji se prilikom ponovne izvedbe oštete ili se moraju demontirati.</t>
  </si>
  <si>
    <t>NAPOMENA:
Kod svih stavaka u cijenu uključiti detaljan pregled površine na koju hidroizolacija postavlja i njeno eventualno potrebno pranje, odmaščivanje, čišćenje od neravnina.</t>
  </si>
  <si>
    <t>TERMOIZOLACIJSKI RADOVI</t>
  </si>
  <si>
    <t>Popis hrvatskih normi i drugih tehničkih specifikacija koje upućuju na zahtjeve koje, u svezi s toplinskom zaštitom, trebaju ispuniti toplinsko-izolacijski građevni proizvodi:
• Toplinsko-izolacijski proizvodi za zgrade -- Tvornički izrađeni proizvodi od mineralne vune (MW) -- Specifikacija (EN 13162:2001 ili jednakovrijedna), HRN EN 13162:2002 ili jednakovrijedna
• Toplinsko-izolacijski proizvodi za zgrade -- Tvornički izrađeni proizvodi od mineralne vune (MW) -- Specifikacija (EN 13162:2001/AC:2005 ili jednakovrijedna), HRN EN 13162/AC:2007 ili jednakovrijedna
• Toplinsko-izolacijski proizvodi za zgrade -- Tvornički izrađeni proizvodi od ekspandiranog polistirena (ESP) -- Specifikacija (EN 13163:2001 ili jednakovrijedna), HRN EN 13163:2002 ili jednakovrijedna</t>
  </si>
  <si>
    <t>• Toplinsko-izolacijski proizvodi za zgrade -- Tvornički izrađeni proizvodi od ekspandiranog polistirena (ESP) -- Specifikacija (EN 13163:2001/AC:2005 ili jednakovrijedna), HRN EN 13163/AC:2007 ili jednakovrijedna
• Toplinsko-izolacijski proizvodi za zgrade -- Tvornički izrađeni proizvodi od ekstrudirane polistirenske pjene (XPS) -- Specifikacija (EN 13164:2001 ili jednakovrijedna), HRN EN 13164:2002 ili jednakovrijedna
• Toplinsko-izolacijski proizvodi za zgrade -- Tvornički izrađeni proizvodi od ekstrudirane polistirenske pjene (XPS) -- Specifikacija (EN 13164:2001/A1:2004 ili jednakovrijedna), HRN EN 13164/A1:2004 ili jednakovrijedna
• Toplinsko-izolacijski proizvodi za zgrade -- Tvornički izrađeni proizvodi od ekstrudirane polistirenske pjene (XPS) -- Specifikacija (EN 13164:2001/AC:2005 ili jednakovrijedna), HRN EN 13164/AC:2007 ili jednakovrijedna</t>
  </si>
  <si>
    <t>• Toplinsko-izolacijski proizvodi za zgrade -- Tvornički izrađeni proizvodi od tvrde poliuretanske pjene (PUR) -- Specifikacija (EN 13165:2001 ili jednakovrijedna), HRN EN 13165:2002 ili jednakovrijedna
• Toplinsko-izolacijski proizvodi za zgrade -- Tvornički izrađeni proizvodi od tvrde poliuretanske pjene (PUR) -- Specifikacija (EN 13165:2001/A1:2004 ili jednakovrijedna), HRN EN 13165/A1:2004 ili jednakovrijedna
• Toplinsko-izolacijski proizvodi za zgrade -- Tvornički izrađeni proizvodi od tvrde poliuretanske pjene (PUR) -- Specifikacija (EN 13165:2001/A2 ili jednakovrijedna), HRN EN 13165/A2:2004 ili jednakovrijedna
• Toplinsko-izolacijski proizvodi za zgrade -- Tvornički izrađeni proizvodi od tvrde poliuretanske pjene (PUR) -- Specifikacija (EN 13165:2001/AC:2005 ili jednakovrijedna), HRN EN 13165/AC:2007 ili jednakovrijedna
• Toplinsko izolacijski proizvodi za zgrade -- Tvornički izrađeni proizvodi od fenolne pjene (PF) -- Specifikacija (EN 13166:2001 ili jednakovrijedna), HRN EN 13166:2002 ili jednakovrijedna
• Toplinsko izolacijski proizvodi za zgrade -- Tvornički izrađeni proizvodi od fenolne pjene (PF) -- Specifikacija (EN 13166:2001/A1:2004 ili jednakovrijedna), HRN EN 13166/A1:2004 ili jednakovrijedna
• Toplinsko izolacijski proizvodi za zgrade -- Tvornički izrađeni proizvodi od fenolne pjene (PF) -- Specifikacija (EN 13166:2001/AC:2005 ili jednakovrijedna), HRN EN 13166/AC:2007 ili jednakovrijedna</t>
  </si>
  <si>
    <t>• Toplinsko-izolacijski proizvodi za zgrade -- Tvornički izrađeni proizvodi od ćelijastog (pjenastog) stakla (CG) -- Specifikacija (EN 13167:2001 ili jednakovrijedna), HRN EN 13167:2002 ili jednakovrijedna
• Toplinsko-izolacijski proizvodi za zgrade -- Tvornički izrađeni proizvodi od ćelijastog (pjenastog) stakla (CG) -- Specifikacija (EN 13167:2001/A1:2004 ili jednakovrijedna), HRN EN 13167/A1:2004 ili jednakovrijedna</t>
  </si>
  <si>
    <t>• Toplinsko-izolacijski proizvodi za zgrade -- Tvornički izrađeni proizvodi od ćelijastog (pjenastog) stakla (CG) -- Specifikacija (EN 13167:2001/AC:2005 ili jednakovrijedna), HRN EN 13167/AC:2007 ili jednakovrijedna
• Toplinsko-izolacijski proizvodi za zgrade -- Tvornički izrađeni proizvodi od drvene vune (WW) -- Specifikacija (EN 13168:2001 ili jednakovrijedna), HRN EN 13168:2002 ili jednakovrijedna
• Toplinsko-izolacijski proizvodi za zgrade -- Tvornički izrađeni proizvodi od drvene vune (WW) -- Specifikacija (EN 13168:2001/A1:2004 ili jednakovrijedna), HRN EN 13168/A1:2004 ili jednakovrijedna
• Toplinsko-izolacijski proizvodi za zgrade -- Tvornički izrađeni proizvodi od drvene vune (WW) -- Specifikacija (EN 13168:2001/AC:2005 ili jednakovrijedna), HRN EN 13168/AC:2007 ili jednakovrijedna
• Toplinsko-izolacijski proizvodi za zgrade -- Tvornički izrađeni proizvodi od ekspandiranog perlita (EPB) -- Specifikacija (EN 13169:2001 ili jednakovrijedna), HRN EN 13169:2002 ili jednakovrijedna
• Toplinsko-izolacijski proizvodi za zgrade -- Tvornički izrađeni proizvodi od ekspandiranog perlita (EPB) -- Specifikacija (EN 13169:2001/A1:2004 ili jednakovrijedna), HRN EN 13169/A1:2004 ili jednakovrijedna
• Toplinsko-izolacijski proizvodi za zgrade -- Tvornički izrađeni proizvodi od ekspandiranog perlita (EPB) -- Specifikacija (EN 13169:2001/AC:2005 ili jednakovrijedna), HRN EN 13169/AC:2007 ili jednakovrijedna
• Toplinsko-izolacijski proizvodi za zgrade -- Tvornički izrađeni proizvodi od ekspandiranog pluta (ICB) -- Specifikacija (EN 13170:2001 ili jednakovrijedna), HRN EN 13170:2002 ili jednakovrijedna</t>
  </si>
  <si>
    <t>• Toplinsko-izolacijski proizvodi za zgrade -- Tvornički izrađeni proizvodi od ekspandiranog pluta (ICB) -- Specifikacija (EN 13170:2001/AC:2005 ili jednakovrijedna), HRN EN 13170/AC:2007 ili jednakovrijedna
• Toplinsko-izolacijski proizvodi za zgrade -- Tvornički izrađeni proizvodi od drvenih vlakana (WF) -- Specifikacija (EN 13171:2001 ili jednakovrijedna), HRN EN 13171:2002 ili jednakovrijedna
• Toplinsko-izolacijski proizvodi za zgrade -- Tvornički izrađeni proizvodi od drvenih vlakana (WF) -- Specifikacija (EN 13171:2001/A1:2004 ili jednakovrijedna), HRN EN 13171/A1:2004 ili jednakovrijedna
• Toplinsko-izolacijski proizvodi za zgrade -- Tvornički izrađeni proizvodi od drvenih vlakana (WF) -- Specifikacija (EN 13171:2001/AC:2005 ili jednakovrijedna), HRN EN 13171/AC:2007 ili jednakovrijedna
• Toplinsko-izolacijski proizvodi -- Vrednovanje sukladnosti (EN 13172:2001 ili jednakovrijedna), HRN EN 13172:2002 ili jednakovrijedna
• Toplinsko-izolacijski proizvodi -- Vrednovanje sukladnosti (EN 13172:2001/A1:2005 ili jednakovrijedna), HRN EN 13172/A1:2005 ili jednakovrijedna</t>
  </si>
  <si>
    <t>• Toplinsko-izolacijski proizvodi za primjenu u zgradarstvu -- Povezani sustavi za vanjsku toplinsku izolaciju (ETICS) na osnovi ekspandiranog polistirena -- Specifikacija (EN 13499:2003 ili jednakovrijedna), HRN EN 13499:2004 ili jednakovrijedna
• Toplinsko-izolacijski proizvodi za primjenu u zgradarstvu -- Povezani sustavi za vanjsku toplinsku izolaciju (ETICS) na osnovi mineralne vune -- Specifikacija (EN 13500:2003 ili jednakovrijedna), HRN EN 13500:2004 ili jednakovrijedna
• Zidovi i proizvodi za zidanje -- Metode određivanja računskih toplinskih vrijednosti (EN 1745:2002 ili jednakovrijedna), HRN EN 1745:2003 ili jednakovrijedna</t>
  </si>
  <si>
    <t>TESARSKI RADOVI</t>
  </si>
  <si>
    <t>Sav upotrebljeni materijal i finalni građevinski proizvodi maraju odgovarati važećim tehničkim propisima i HR normama.
Prilikom izvedbe tesarskih radova treba se u svemu pridržavati tehničkih propisa i standarda za drvene konstrukcije.</t>
  </si>
  <si>
    <t>• HRN U.D0.001materijal za izradu drvenih konstrukcija ili jednakovrijedno-jednakovrijedna norma
• HRN D.C1.040, 041 i 042 pravilnik o zaštiti na radu u građevinarstvu ili jednakovrijedno-jednakovrijedna norma
• HRN C9.400 građa za skele, ispitivanje oplate i skele ili jednakovrijedno-jednakovrijedna norma 
• HRN U.09.200 projektiranje i izvođenje konstrukcije od monolitnog drveta ili jednakovrijedno-jednakovrijedna norma
• HRN U.09.300 projektiranje i izvođenje konstrukcije od lameliranih i lijepljenih elemenata ili jednakovrijedno-jednakovrijedna norma
• HRN U.09.400 projektiranje i izvođenje drvenih skela i oplata ili jednakovrijedno-jednakovrijedna norma
• HRN U.09.500 projektiranje i izvođenje zaštite drveta u konstrukcijama ili jednakovrijedno-jednakovrijedna norma 
• HRN D.C1.021 rezana hrastova građa ili jednakovrijedno-jednakovrijedna norma
• HRN D.B7.020 tesana građa četinara ili jednakovrijedno-jednakovrijedna norma 
• HRN D.C1.041 borova rezana građa HRN D.C1.040 ili jednakovrijedno-jednakovrijedna norma
• HRN U.09.400 jelova rezana građa ili jednakovrijedno-jednakovrijedna norma</t>
  </si>
  <si>
    <t>• HRN M.B4.020 građevinski čavli ili jednakovrijedno-jednakovrijedna norma
• HRN M.B1.024 vijci za drvo ili jednakovrijedno-jednakovrijedna norma
• HRN G.E9.220čavli za pištolj ili jednakovrijedno-jednakovrijedna norma
• HRN M.B4.021 građevinski čavli sa upuštenom nareckanom glavom ili jednakovrijedno-jednakovrijedna norma
• HRN M.B4.090 čavli za ljepenku ili jednakovrijedno-jednakovrijedna norma
• HRN DA1.072,1972. tehnički uvjeti zaštite od požara u građevinarstvu, usporedna otpornost različitih vrsta drveta ili jednakovrijedno-jednakovrijedna norma
• HRN D.T4.027 zaštita građevinskog drveta, ispitivanje otpornosti prema gljivama ili jednakovrijedno-jednakovrijedna norma 
• HRN D.T4.037,039. protupožarni premazi ili jednakovrijedno-jednakovrijedna norma</t>
  </si>
  <si>
    <t>NAPOMENA:
Za izradu drvenih konstrukcija koristi se crnogorična građa II. klase, dobre prosušenosti. Sve nosive elemente obraditi sredstvom za fungicidnu zaštitu, te završno premazati sredstvom za povećanje vatrootpornosti. Cijenu ovih obrada uključiti u jediničnu cijenu za svaku pojedinu stavku.</t>
  </si>
  <si>
    <t>KROVOPOKRIVAČKI RADOVI</t>
  </si>
  <si>
    <t>Podloga za pokrivanje mora biti propisno i kvalitetno izrađena, tako da pokrivač naliježe cijelom svojom površinom bez micanja. Sljeme mora biti izrađeni ravno i bez valova. Svi pomoćni radovi i prijenos svog potrebnog materijala od mjesta izrade do mjesta ugrađivanja obuhvaćeno je kod svake pozicije, pri čemu se za vertikalni transport koristi stupna-konzolna dizalica. Obračun se vrši po 1 m² stvarno pokrivene površine. Otvori ležećih krovnih prozora, dimnjaci i tome slično odbijaju se od krovne površine samo ako su veći od 3 m². Obračunavanje sljemena vrši se po 1 mt mjereći po osovini sljemena.
Izvođač krovopokrivačkih radova treba se pridržavati nacrta, te postojećih propisa HRN U.F4.010 i HRN U.F2.024. ili jednakovrijedno-jednakovrijedna norma.</t>
  </si>
  <si>
    <t>Sav materijal za izradu krovopokrivačkih radova mora zadovoljiti odgovarajuće propise i norme:
• crijep vučeni HRN B.D1.009 ili jednakovrijedno-jednakovrijedna norma
• tlačeni utoreni crijep HRN B.D1.010 ili jednakovrijedno-jednakovrijedna norma
• ljepenka HRN U.M3.232 ili jednakovrijedno-jednakovrijedna norma
• polietilenska folija HRN G.C1.290 ili jednakovrijedno-jednakovrijedna norma
• bitumenska traka sa uloškom od aluminijske folije HRN U.M3.230 ili jednakovrijedno-jednakovrijedna norma
• jednostruka bitumenizirana aluminijska folija HRN U.M3.229 ili jednakovrijedno-jednakovrijedna norma
• aluminijska folija HRN C.C4.025 ili jednakovrijedno-jednakovrijedna norma
• ljepenka sa uloškom od staklene tkanine HRN U.M3.234 ili jednakovrijedno-jednakovrijedna norma
• ljepenka sa uloškom od staklenog voala HRN U.M3.231 ili jednakovrijedno-jednakovrijedna norma
• elastobit HRN U.M3.242 ili jednakovrijedno-jednakovrijedna norma</t>
  </si>
  <si>
    <t>Prije početka radova izvođač je dužan pregledati drvenu konstrukciju krova i svoje očitovanje o njoj dati u pisanoj formi.</t>
  </si>
  <si>
    <t>LIMARSKI RADOVI</t>
  </si>
  <si>
    <t>Limarski radovi obuhvaćaju sve vrste pokrivanja i opšivanja limom, kao i izradu i montažu žljebova, vertikalnih odvodnih cijevi i ventilacionih cijevi.
Izvođač je dužan prije početka radova provjeriti sve građevinske elemente na koje, ili za koje pričvršćuje limarija i da pismeno dostavi naručitelju svoje primjedbe.
Dijelovi različitog materijala ne smiju se dodirivati jer bi uslijed toga moglo doći do korozije. 
Na mjestima mogućeg dodira različitih materijala staviti traku kao dekoradal, uključeno u cijeni stavke.
Elementi od čelika za pričvršćivanje pocinčanog lima moraju se pocinčati, ako u opisu nije predviđena neka druga zaštita (postavljanje podmetača od olova ili plastike otpornih na kiseline ili lužine). Za bakreni lim treba primijeniti učvršćivanje od bakra ili bakrenog čelika.</t>
  </si>
  <si>
    <t>Za učvršćivanje (kuke, zakovice, jahači, čavli, vijci i sl. ) treba primijeniti:
-za čelični lim -čelična spojna sredstva,
-za pocinčani lim i olovni lim -dobro pocinčana spojna sredstva,
-za bakreni lim -bakrena spojna sredstva,
-za alu lim -alu ili galvanizirana Čn spojna sredstva.
Sastav i učvršćenja moraju biti tako izvedeni da elementi pri toplotnim promjenama mogu nesmetano dilatirati, a da pri tom ostanu nepropusni. Moraju se osigurati od oštećenja koje može izazvati vjetar i sl.
Obračun po površini ili dužini uz iskaz razvijene širine, te komadu za dimnjačke kape, složene opšave i sl. 
Sve limarske radove izvesti točno tamo gdje je to projektom predviđeno, a u skladu sa postojećim normama TU – XVII/1976.</t>
  </si>
  <si>
    <t>Materijali moraju zadovoljiti odgovarajuće propise i standarde:
• čelični lim HRN C.B4.011, 017, 030,110,113 ili jednakovrijedna
• pocinčani lim HRN B.C4.081,020 ili jednakovrijedna
• olovni lim HRN C.E4.040 ili jednakovrijedna
• bakreni lim HNR C.D4.500,020 ili jednakovrijedna
• limovi od aluminija i aluminijskih legura HRN C.C4.020,025,050,051,060, HRN C.C4.120, 150,160 ili jednakovrijedna
• profilirani trapezasti lim sa pečenim lakom HRN C.C4.061,062,065 ili jednakovrijedna
• odvodnja krova limom HRN U.N9.053 ili jednakovrijedna
• pokrov krova limom HRN U.N9.054 ili jednakovrijedna
• limeni opšav zgrade HRN U.N9.O55 ili jednakovrijedna
• limene klupčice HRN U.N9.052 ili jednakovrijedna
Svi materijali, koji nisu obuhvaćeni normama, moraju imati atest od za to ovlaštenih organizacija. 
Ispod svih opšava treba položiti sloj krovne ljepenke.
Izvođač je prije izvedbe limarije dužan uzeti sve izmjere u naravi, a također je dužan prije početka montaže ispitati sve dijelove gdje se imaju izvesti limarski radovi, te na eventualnu neispravnost istih upozoriti investitora, jer će se u protivnom svi naknadni popravci izvršiti na račun izvođača limarskih radova.</t>
  </si>
  <si>
    <t>KERAMIČARSKI RADOVI</t>
  </si>
  <si>
    <t>POSEBNE ODREDBE</t>
  </si>
  <si>
    <t>Sve obložene površine moraju biti izvedene potpuno ravno-bez valova, ispupčenja i udubljenja sa ujednačenim spojnicima čija je minimalna širina uslovljena dimenzijama pločica zbog dilatacijskih zahtjeva. Presjek dvije površine (sučeljavenje zidova, ivice i slično) moraju biti izvedeni pod kutom od 90 stupnjeva ili pod uglom koji se traži projektom. 
VAŽNO: Obavezno izvesti spoj zidne i podne keramike trajnoelastičnim kitom, radi prekidanja zvučnog mosta. 
Fugiranje izvesti sa dodatkom za vodonepropustnost.</t>
  </si>
  <si>
    <t>1.Ugrađivanje pločica cementnim mortom</t>
  </si>
  <si>
    <t xml:space="preserve">Zidna površina se prethodno pošprica cementnim mortom od pijeska u odnosu 1:1, pločica se navlaži u vodi, na sredinu pločice stavi mort i pritisne na zid tako da se pločica spoji sa zidom samo na sredini, a ostali prostor ostaje nepopunjen. Kada se postavi jedan red pločica vrši se zalijevanje cementnim mortom dok se ne popune sve praznine između zida i pločica, a zatim se cijeli rad opere. Postavljanje drugog kao i ostalih redova obavlja se na isti način, samo se poslije svakog postavljenog reda peru pločice od vrha do poda. Za sva oblaganja keramičkim pločicama u cementnom mortu način rada je isti kao kod zidova, izuzev kod oblaganja stropova gdje se pločice popune mortom po cijeloj površini i definitivno postavljaju. Kod oploćavanja podova mort se razastre i izravna na površini koliko se sa jednog mjesta može dohvatiti, na mort postave pločice i daskom i čekićem poravnavaju. Po završenom polaganju pločica opere se cijeli pod, a poslije 24 sata zalije se cementnim mlijekom i očisti. Kod većih površina podova mora biti jasno definirana dilataciona spojnica (odstojanje dilatacionalnih  spojnica, debljina i ispuna spojnica). </t>
  </si>
  <si>
    <t>2. Ugrađivanje pločica ljepljenjem</t>
  </si>
  <si>
    <t>Podloga na koju se lijepe pločice mora biti ravna, glatka, čvrsta i čista. Pločice se navlaže i ocijede, a na njihovu poleđinu nanese ljepilo nazubljenom lopaticom u sloju od 1-3 mm. Ovako pripremljena pločica se prislanja uz podlogu te pritiskom prstiju namješta u potreban položaj. Nanijet sloj ljepila mora biti takve debljine da se u njega potpuno "utope" neravnine (rebra) na poleđini pločice, tako da ljepilo ispunjava prostor između pločice i podloge cijelom površinom pločice. Za svako ljepilo osigurati uputstvo za rad od isporučioca i njega se strogo pridržavati.</t>
  </si>
  <si>
    <t>Ukoliko projektntnim elaboratom nisu odrađeni vrsta i svojstva ljepila, izbor ljepila se mora usuglasiti sa naručiocem posla ili projektantom. Osiguranje ujednačenosti i odgovarajuće širine spojnica, njihovo ispunjavanje odgovarajućim zaptivnim materijalom i pranjem obloženih površina u svemu je kao kod oblaganja zidova u cementnom mortu. U zavisnosti od vrste ljepila, ono se može nanositi nazubljenom lopaticom na podlogu umjesto na pločicu dok su ostale operacije u svemu iste. Obračun se vrši po  m2. Normativi utroška materijala i normativi vremena izrade odnose se na m2 izvršenog oblaganja, a kod površina obloženih od dva reda pločica po visini, obračun se vrši po 1 m' izvršenog oblaganja.</t>
  </si>
  <si>
    <t>Osiguranje ujednačenosti i odgovarajuće širine spojnica, njihovo ispunjavanje odgovarajućim zaptivnim materijalom i pranjem obloženih površina u svemu je kao kod oblaganja zidova u cementnom mortu. U zavisnosti od vrste ljepila, ono se može nanositi nazubljenom lopaticom na podlogu umjesto na pločicu dok su ostale operacije u svemu iste. Obračun se vrši po  m2. Normativi utroška materijala i normativi vremena izrade odnose se na m2 izvršenog oblaganja, a kod površina obloženih od dva reda pločica po visini, obračun se vrši po 1 m' izvršenog oblaganja.</t>
  </si>
  <si>
    <t>Sva opločenja  zidova, podova izvesti  tamo gdje je to po projektu predviđeno, te u skladu sa postojećim propisima HRN U.F1.011, HRN U.F2.011 (bazenska keramika) i HRN U.F2.018 (kiselootporna zaštita u industriji). Materijali za izradu moraju zadovoljiti propise i norme:
• keramičke prešane zidne glazirane i neglazirane pločice HRN B.D1.300, 301
• keramičke prešane podne glazirane i neglazirane pločice HRN B.D1.305,306</t>
  </si>
  <si>
    <t>• keramičke vučene pločice HRN B.D1.334,335
• mozaik pločice glazirane i neglazirane HRN B.D1.331
• klinker  podne pločice HRN B.D1.321
• fazonski keramički elementi HRN B.D1.322
• keramičke pločice–određivanje otpornosti prema mrazu HRN B.D8.058
• keramičke pločice–otpornost prema kiselinama i lužinama HRN B.D8.070,080
• bijeli cement za reške HRN B.C1.010,015
• keramičke pločice–otporne prema temperaturnim promjenama HRN B.D8.050</t>
  </si>
  <si>
    <t>Sav vezivni materijal, ljepila, materijal za brtvljenje i pomoćna sredstva HRN U.F1.011
Način izvedbe i ugradbe, preuzimanje i priprema podloga, te način obračuna u svemu prema postojećim normama za izvođenje završnih radova u građevinarstvu GN 501.</t>
  </si>
  <si>
    <t>Sve spojeve potrebno izvesti na «GERUNG» ili uz upotrebu fazonskih komada i tipskih profila, a sve u dogovoru s projektantom.</t>
  </si>
  <si>
    <t>NAPOMENA:
Svi vidljivi elementi opreme moraju se u opločenje ugraditi tako da konačna obrada svih ploha bude bez ikakvih odstupanja od nivelete poda kako bi se omogućilo što bolje održavanje kod velike frekvencije Svi prelazi na drugu vrstu poda moraju se izvršiti uredno, bez sječenja završnih pločica.</t>
  </si>
  <si>
    <t>VAŽNA NAPOMENA:
Prije izvođenja izvođač je dužan dostaviti minimalno 10 uzoraka pločica za svaku stavku troškovnika kako bi projektant izvršio odabir uzorka pločica, a potom nadzor provjerio kvalitetu i odobrio ugradnju.</t>
  </si>
  <si>
    <t>PARKETARSKI RADOVI</t>
  </si>
  <si>
    <t>Parketarske radove izvesti na mjestima određenim projektom prema opisu troškovnika, te u skladu sa postojećim normama HRN U.F2.016. ili jednakovrijedna.</t>
  </si>
  <si>
    <t>Sav materijal za izradu parketarskih radova mora zadovoljiti odgovarajuće propise:
masivni parket     HRN D.D5.020 ili jednakovrijedna
lamel parket – ploče    HRN D.D5.021 ili jednakovrijedna
lamel parket – masivni    HRN D.D5.022 ili jednakovrijedna
drvene kocke      HRN D.D5.030 ili jednakovrijedna
brodski pod     HRN D.C1.042 ili jednakovrijedna
masivni parket 
- hrast    HRN D.D5.040 ili jednakovrijedna
- bukva    HRN D.D5.041 ili jednakovrijedna
- jasen    HRN D.D5.042 ili jednakovrijedna</t>
  </si>
  <si>
    <t>Sav ostali materijal (ljepila, lakovi, bitumeni za parket i ostalo) koji nisu obuhvaćeni normama moraju imati ateste od za to ovlaštenih ustanova.
Ako je opis stavke ponuditelju nejasan treba pravovremeno prije predaje ponude tražiti objašnjenje od naručitelja. Eventualne izmjene materijala, te način izvedbe tokom gradnje, moraju se izvršiti isključivo pismenim dogovorom sa naručiteljem uz konzultaciju sa projektantom i nadzornim inženjerom. Sve više radnje koje neće biti na taj način utvrđene, neće se priznati u obračunu.</t>
  </si>
  <si>
    <t>Prije polaganja parketa izvođač parketarskih radova je dužan ispitati ispravnost podloge na koju se trebaju položiti parketi. Za svaku neispravnost treba odmah upozoriti pismeno izvođača građevinskih radova i zatražiti popravak. Ako izvođač parketarskih radova položi parket na neispravnoj podlozi, skidanje i ponovno polaganje parketa ide na račun izvođača parketarskih radova. Nakon polaganja parket ostrugati (prebrusiti), te obraditi lakiranjem u tri sloja - tvornički izvedeno. Ako u troškovniku nije drugačije naznačeno, prijelaz iz prostorije u prostoriju istoga nivoa učiniti kontinuirano bez prekida i praga.</t>
  </si>
  <si>
    <t>Obračun se vrši prema postojećim normama za izvođenje završnih radova u građevinarstvu GN 691-200. ili jednakovrijedna.
Jedinična cijena treba sadržavati:
- dobavu svog materijala (i veznog), uključivo sa dopremom na gradilište, uskladištenjem, donosom na mjesto ugradbe 
- sav rad, uključivo struganje sa močenjem
- dobavu i održavanje potrebnog alata i malih strojeva
- izmjere potrebne za izvedbu i obračun
- davanje potrebnih uzoraka
- izradu spojeva parketne površine na susjedne granične površine
- osvjetljavanje, čišćenje i grijanje prostorija za boravak, te sanitarije za radnike
- zaštitu izvedenih radova do primopredaje
- sve predradnje, čišćenje i pripremu podloge, popravljanje oštećenja i nečistoća na podlozi</t>
  </si>
  <si>
    <t>- skidanje i ponovno postavljanje vrata i sl. radi postave podne obloge
- čišćenje izrađenih površina i prostorija nakon izvedenih radova
- poduzimanje mjera po HTZ / OUO i drugim postojećim propisima
- dovođenje vode, plina i struje od priključka na gradilištu do mjesta potrošnje
- isporuka pogonskog materijala
- zatvaranje prostorija i zaštitu izvedenih radova do primopredaje
- popravak štete učinjene nepažnjom pri radu na svojim ili tuđim radovima.
Ovi opći uvjeti mijenjaju se ili nadopunjuju opisom pojedine stavke troškovnika.</t>
  </si>
  <si>
    <t>SPORTSKI POD</t>
  </si>
  <si>
    <t>Opći tehnički uvjeti 
Posebnu pažnju posvetiti na način i uvjete ugradnje, što ima bitan utjecaj kod kasnijeg korištenja i svih ostalih promjena koje proizlaze zbog utjecaja vlage, temperature ili drugih čimbenika u procesu ugradnje: - podloga za sportskipod treba biti suha (ispod 2,5% vlage), izrađena sa maksimalnom ravnosti, te unutar tolerancija  prema HRN DIN 18201:1997 ili jednakovrijednoj. - :   3 mm u promjeru od 1 m,  6 mm u promjeru od 4 m,  9 mm u promjeru od 10 m i  12 mm u promjeru od 15 m, - svi građevinski obrtnički radovi moraju biti završeni,  - prilikom ugradnje sportskog poda ne, mogu se izvoditi drugi radovi u prostoru dvorane, - mora se izvršit·kontrola temperature i vlage u prostoru,  - osigurana temperatura mora iznositi od 15-25°C  - relativna vlaga. zraka smije biti između 50 i 60 %.  - baza grijanja (kotlovnica) mora biti završena u funkciji  - plan i nacrt sportske opreme mora biti definiran (ojačanja kod pomičnih tribina) - "čahure" za sprave u podu moraju biti ugrađene ili udubljenja za iste precizno locirana i hidroizolirana, - Izvođači radova tijekom ugradnje poda snosi odgovornost o mogućim, oštećenjima poda,  - nakon ugradnje sportskog poda - naručitelj preuzima odgovornost o bitnim uvjetima održavanja (temperatura, vlaga, prozračivanje).</t>
  </si>
  <si>
    <t xml:space="preserve">ODRŽAVANJE SPORTSKOG PODA:  
Da bi se osigurao vijek trajanja poda treba poštovati sljedeće:  
Uvjeti okoliša (klima) 
- sportski pod je izrađen iz drva. Kao prirodan materijal drvo je osjetljivo na promjene vlage zraka, te je važno da klimatski uvjeti budu uravnoteži,
- preporuča se održavanje temperature u prihvatljivim granicama i relativna vlaga od 50~60%.  Čišćenje i održavanje: 
- za svakodnevno suho čišćenje upotrebljavati mekanu metlu ili usisavač, sa četkicama, - za redovito čišćenje i održavanje preporučuju se sredstva odobrena od proizvođača sportskog poda za čišćenje uz korištenje vlažne krpe ili stroja za čišćenje parketa sa usisnom „usnom“,
- zabranjeno čišćenje mokrom krpom i deterdžentima, bilo praškastih ili tekućih koji nisu preporučeni od proizvođača sportskog poda.  
Korištenje sportskog poda:    
- sportski pod je namijenjen Isključivo sportskim aktivnostima, te je hodanje  po podu dozvoljeno isključivo u sportskoj obući,
'- ispred ulaza na sportski pod postaviti otirače, kao bi se onemogućilo unošenje abrazivnih čestica na lakiranu površinu (pijeska, prašine i sl.), 
 - Kod natprosječnih opterećenja poda, odnosno kada se pod koristi u svrhe koje nisu sportske aktivnosti, nužna je dodatna, paropropusna mehanička zaštita površine, postavom ploča (OSB, iverica i sl.) čime će se onemogućiti točkasto oštećivanje, kako lakirane površine tako i drva, 
- u slučaju nastanka oštećenja, za sanaciju i popravke savjetovati se sa proizvođačem poda,
- nije dozvoljeno koncentrirano (točkasto) opterećenje poda iznad dozvoljene granice. 
Sportski pod izvesti u prostoru određenom projektom u skladu sa standardima HRN EN 14904 ili jednakovrijednoj.
Prije polaganja parketa izvođač je dužan ispitati ispravnost podloge na koju se trebaju položiti parket. Za svaku neispravnost treba odmah upozoriti pismeno Izvođača građevinskih radova i zatražili popravak. Ako izvođač položi parket na neispravnoj podlozi, skidanje i ponovno polaganje parketa ide na račun izvođača parketarskih radova. Nakon polaganja parket izvršiti adekvatne predradnje i iscrtatli linije sportskih terena adekvatnim bojama skladnim sa vrstom laka i otpornim na habanje, te površinu završno očistiti i po preporuci proizvođača premazati emulzijom propisane protukliznosti. Ako u troškovniku nije drugačije naznačeno, prijelazi iz dvorane prema ostalim prostorima trebaju biti u istom nivou i iste dilatirati min. 15 mm, te ugraditi dilatacioni profil. </t>
  </si>
  <si>
    <t>Korištenje sportskog poda:    
- sportski pod je namijenjen Isključivo sportskim aktivnostima, te je hodanje  po podu dozvoljeno isključivo u sportskoj obući,
- ispred ulaza na sportski pod postaviti otirače, kao bi se onemogućilo unošenje abrazivnih čestica na lakiranu površinu (pijeska, prašine i sl.), 
 - Kod natprosječnih opterećenja poda, odnosno kada se pod koristi u svrhe koje nisu sportske aktivnosti, nužna je dodatna, paropropusna mehanička zaštita površine, postavom ploča (OSB, iverica i sl.) čime će se onemogućiti točkasto oštećivanje, kako lakirane površine tako i drva, 
- u slučaju nastanka oštećenja, za sanaciju i popravke savjetovati se sa proizvođačem poda,
- nije dozvoljeno koncentrirano (točkasto) opterećenje poda iznad dozvoljene granice.
Sportski pod izvesti u prostoru određenom projektom u skladu sa standardima HRN EN 14904 ili jednakovrijednoj.</t>
  </si>
  <si>
    <t xml:space="preserve">Prije polaganja poda izvođač je dužan ispitati ispravnost podloge na koju se trebaju položiti pod. Za svaku neispravnost treba odmah upozoriti pismeno Izvođača građevinskih radova i zatražili popravak. Ako izvođač položi pod na neispravnoj podlozi, skidanje i ponovno polaganje poda ide na račun izvođača poda. Nakon polaganja poda izvršiti adekvatne predradnje i iscrtatli linije sportskih terena adekvatnim bojama skladnim sa vrstom laka i otpornim na habanje, te površinu završno očistiti i po preporuci proizvođača premazati emulzijom propisane protukliznosti. Ako u troškovniku nije drugačije naznačeno, prijelazi iz dvorane prema ostalim prostorima trebaju biti u istom nivou i iste dilatirati min. 15 mm, te ugraditi dilatacioni profil. </t>
  </si>
  <si>
    <t>B. Posebni uvjeti i napomene 
Prije početka izvođenja radova na sportskom podu, izvoditelj je obvezan dostaviti projektantu, na pregled i izbor, uzorke materijala potkonstrukcije kao i sport parketa, te detalje (sve usklađeno sa tvorničkim elementima i tehnologijom proizvođača) i tek po odobrenju projektanta može otpočeti sa radovima. Ukoliko se ugrade materijali koje projektant nije odobrio i (ili) neodgovarajućoj kvaliteti i (ili) različito s obzirom na odobreno rješenje i detalje, radovi će se morati ponoviti u traženoj kvaliteti, izboru i projektu uz prethodno uklanjanje neispravnih radova. Izrada odnosno dostava detalja neće se posebno platiti, već predstavlja trošak i obvezu izvoditelja. Prilikom izvođenja radova izvoditelj se mora striktno pridržavati usvojenih i od strane projektanta prihvaćenih materijala. Sve radove u svezi izvedbe sportskog poda, njegovih komponenata, slojeva i detalja, treba obvezno izvesti prema troškovničkom opisu odnosno po kronologiji i tehnologiji proizvođača. To se odnosi, kako na korištenje materijala tako i na uporabu odgovarajućih alata. Glede specifičnosti gore navedenih radova, izvoditelj je dužan prije početka radova obvezno se upoznati sa zatečenim tehničkim uvjetima na gradilištu. Sve eventualne nejasnoće i nedoumice izvoditelj je dužan dogovoriti i uskladiti sa projektantom i sa rukovodstvom gradilišta prije početka radova te zajednički sastaviti i potpisati PROTOKOL o minimalnim tehničkim uvjetima za montažu sportskog poda tj. odobrenje za početak montaže.</t>
  </si>
  <si>
    <t>Svi materijali koji će se ugrađivati moraju u potpunosti odgovarati kvaliteti, vrsti i mjerama kako je to opisano u predočenom Izvještaju o ispitivanju sportskog poda (Certifikatu). U uvjetima navedene Dokaze sposobnosti, kao i uzorak sportskog poda Izvođač je dužan priložiti nadzornom inženjeru i glavnom projektantu na uvid neposredno prije dobave i montaže.</t>
  </si>
  <si>
    <t>Između ugrađenog poda i čvrstih građevinskih elemenata (zidovi, stupovi i sl.) moraju se izvesti dilatacione fuge, širine ovisno o vrsti poda i načinu polaganja, te iste pokriti perforiranim kutnim letvicama (letve koje omogućuju prozračivanje ispod poda) i drugim profilima (na pragovima i sl), a u suglasnosti projektanta. Poklopce iznad čahura u koje se sidre ili kroz koje prodiru sportske sprave i zatege izvesti s ugrađenim mjedenim prstenovima i poklopcima sa gumenom brtvom.      
Cijenom izvedbe radova uključuju se svi materijala koji se ugrađuju i koriste (osnovne, pomoćne i spojne), sav potreban rad (osnovni i pomoćni) na izvedbi radova do potpune gotovosti i funkcionalnosti istih, sve transporte i prijenose do mjesta ugradnje, sva potrebna uskladištenja i zaštite, kao i sve drugo predviđeno mjerama zaštite na radu i pravilima struke.
U obvezi naručitelja je osigurati nesmetan pristup za dopremu i istovar materijala, te siguran smještaj istog u prostor  u kojem će se ugrađivati, kao i korištenje električne energije i sanitarnog čvora i to sve bez novčane naknade.</t>
  </si>
  <si>
    <t>Sportski pod se postavlja isključivo na hidroizoliranu, toplinski izoliranu (sukladno važećem tehničkom propisu U maksimalno 0,25 W/m²K), kompaktnu, tvrdu, ravnu  (Tolerancije: R= 1 m do +/-3 mm / R=4 m do +/-6 mm / R=10 do +/- 9 mm i R=15 m do 12 mm) i vodoravnu, te čistu i suhu podlogu (cem. glazuru ili beton i sl., vlažnosti do maksimalno 2,8%).
Prije izvođenja sportskog poda, svi građevinski i obrtnički radovi moraju biti završeni te se u prostoru dvorane ne mogu izvoditi drugi radovi u prostoru dvorane.
Plan i nacrt sportske dvorane mora biti definiran (ojačanja itd.), čahure za sprave moraju biti ugrađene ili udubljenja za iste precizno locirana i hidroizolirana.
Izvođači radova nakon ugradnje poda moraju preuzeti odgovornost za sprečavanje mogućih oštećenja. Nakon ugradnje naručitelj odmah preuzima odgovornost o bitnim uvjetima održavanja (temperatura, vlaga, prozračivanje).</t>
  </si>
  <si>
    <t>PVC SPORTSKI POD</t>
  </si>
  <si>
    <t>PRIPREMA PODLOGE
Sljedeće informacije se odnose na pripremu podloge i instalaciju, te održavanje podnih obloga. Obveza polaganja podne obloge nastaje tek u trenutku kada podloga zadovoljava sve potrebne uvjete.
Lokalni propisi o podlozi, te instalacija podnih obloga moraju biti u skladu.</t>
  </si>
  <si>
    <t>OSNOVNE INFORMACIJE
Podloga mora biti potpuno čvrsta, ravna, suha, glatka i strukturalno postojana.
Podloga ne smije imati pukotine i druge nepravilnosti, te ne smije biti onečišćena bojom, plasterom, masnoćama ili bilo kojom drugom supstancom koja bi mogla utjecati na ljepilo.
Pukotine moraju biti popunjene odgovarajućim materijalom.
Na ovako pripremljenu podlogu, pri odgovarajućim temperaturnim prilikama (18oC – 25oC) polažu se PVC podne obloge.
Sljedeće informacije odnose se na osnovne instalacijske procedure.
Ostali tehnički detalji ili detaljnije instrukcije nalaze se u našem tehničkom vodiču.</t>
  </si>
  <si>
    <t>Čvrstoća
Koristiti proizvode na bazi cementa za pripremu podloge. Ne smije biti ni mrvičasta niti ljuskasta.
Ravna podloga
Maksimalno odstupanje, za 2 m ravnosti: 7 mm, za 0.20 m ravnosti: 2 mm.</t>
  </si>
  <si>
    <t>Suhoća
Količina vlage u podlozi trebala bi se mjeriti koristeći odgovarajuće uređaje i trebala bi biti u skladu s važećim standardima u svakoj pojedinoj zemlji. Relativna vlažnost ne smije prelaziti 75% R.H. Dozvoljena vlažnost estriha do 2% CM-a.
Ovisno o količini vode koja se koristi za miješanje betona i polaganje samoizravnavajuće mase (estrih), vrijeme potrebno za sušenje je otprilike 1 dan za milimetar debljine (1 mjesec za 25 mm). Ovo se odnosi za debljine mase do 50mm. Vrijeme sušenja potrebno je prilagoditi i vremenu, odnosno hladnoći ili vlazi.</t>
  </si>
  <si>
    <t>Glatkoća
Izravnavajuća masa mora biti nanešena na cijelu površinu prema navedenim standardima. Izravnavajuće mase se ne mogu koristiti za popravljanje razlike u nivoima. Masi za izravnavanje potrebno je dozvoliti da se osuši u vremenu propisanom od proizvođača.
Masa se treba “prebrusiti” koristeći karborund kamen, kako bi postigli savršenu glatkoću površine. Pomesti ili usisati prašinu. Namazati ljepilom.</t>
  </si>
  <si>
    <t>Spojevi za širenje ili pomicanje
Podna obloga treba biti položena uz spoj, koji treba biti pokriven s prikladnim plastičnim ili metalnim pomičnim pokrovom za spojeve.</t>
  </si>
  <si>
    <t>Podloge direktno uz tlo
Membrana otporna na vlagu treba biti postavljena ispod betona kao barijera protiv hidrostatskog pritiska i vlage.
Podno grijanje
Podlozi teba biti dozvoljeno da se suši u skladu s propisanim lokalnim standadima.
Podno grijanje treba biti uključeno najmanje 4 tjedna prije instalacije podnih obloga, te potom isključeno 48 sati prije bilo kakve pripreme podloge, te ostaje isključeno tijekom postavljanja podne obloge.
Grijanje se uključuje 48 sati nakon završene instalacije, a temperatura se progresivno povećava u vremenu od 5 do 7 dana do normalne radne temperature.
Podna temperatura &lt; 28°C.</t>
  </si>
  <si>
    <t>SOBOSLIKARSKO-LIČILAČKI RADOVI</t>
  </si>
  <si>
    <t>Sve soboslikarsko-ličilačke radove izvesti točno po opisu, gdje je to projektom predviđeno. Izvedba mora zadovoljiti propise  HRN U.F2.013 i HRN U.F2.012 
Materijali za izvedbu moraju zadovoljiti odgovarajuće propise i norme:
- boje i lakovi     HRN H.C0.002, HRN H.C1.002
- ispitivanje boja i lakova   HRN H.C8.032, 033, 050,051, HRN H.C5.020
- firnis      HRN H.C5.020
- disperzivno premazno sredstvo za drvo HRN C.T7.324
- univerzalni antikorozivni premaz  HRN C.T7.326,327
- alkidna temeljna boja    HRN C.T7.322
- alkidna lak boja    HRN C.T7.342,371
- građevinski gips    HRN B.C1.030
- olovni minijum     HRN H.C1.023
- pigmenti     HRN H.C1.001
- hidratizirano vapno    HRN B.C1.020</t>
  </si>
  <si>
    <t>Ako je opis koje stavke izvođaču nejasan treba  pravovremeno prije predaje ponude tražiti objašnjenje od naručitelja.
Eventualne izmjene materijala te načina izvedbe tokom gradnje moraju se izvršiti isključivo pismenim dogovorom sa projektantom i nadzornim inženjerom. Sve više radnje, koje neće biti na taj način utvrđene neće se priznati u obračunu. Ukoliko  se traži stavkom troškovnika, materijal koji nije obuhvaćen propisima, ima se u svemu izvesti prema uputama proizvođača, te s garancijom i atestima od za to ovlaštenih ustanova.</t>
  </si>
  <si>
    <t xml:space="preserve">Prije početka radova  dužnost je soboslikara da upozori nadzornog inženjera na sve eventualne manjkavosti podloga, odnosno radova ostalih obrtnika, kako bi se iste na vrijeme otklonile. </t>
  </si>
  <si>
    <t>Obračun se vrši prema postojećim normama za izvođenje završnih radova u građevinarstvu, GN 531.
Jedinična cijena treba sadržavati:
- dobavu cjelokupnog materijala, uključivo sa dopremom na gradilište, uskladištenjem, te donosom na mjesto ugradbe
- sav rad uključivo pomoćni
- dobavu i održavanje potrebnog alata, skela, užadi, ljestava, zaštitnih dasaka
- izmjere potrebne za izvedbu i obračun
- osvjetljenje, čišćenje i grijanje prostorija za boravak, te sanitarije za radnike
- sve predradnje, popravljanje manjih  neravnina, fino čišćenje, kitanje rupica od čavala i sl., izrada probnih premaza min dimenzija 100×100 cm
- zaštita gotovih podova, vrata, prozora
- provjetravanje prostorija radi sušenja
- poduzimanje  mjera po HTZ/OZO
- dovođenje vode i struje od priključka na gradilištu do mjesta potrošnje
- skidanje i ponovno postavljanje vrata, prozora radi premazivanja
- isporuka pogonskog materijala
- odstranjivanje otpadaka i smeća od vlastitih radova
- popravak štete učinjene nepažnjom pri radu na svojim ili tuđim radovima
- uspostavljanje i napuštanje gradilišta.
Ovi opći uvjeti mijenjaju se ili nadopunjuju opisom pojedine stavke troškovnika.</t>
  </si>
  <si>
    <t>NAPOMENA:
Obavezno zaštiti sve podne površine kartonom i PVC folijom, a sva oštećenja već uređenih prostora izvođač će ukloniti o svom trošku. 
Priprema zida mora se vršiti materijalima kompatibilnim sa bojom.</t>
  </si>
  <si>
    <t>BRAVARSKI RADOVI</t>
  </si>
  <si>
    <t>OPĆI UVJETI UZ BRAVARSKE RADOVI</t>
  </si>
  <si>
    <t>Svi radovi moraju biti izrađeni u skladu sa zahtjevima hrvatskih standarda i u skladu sa uzancama zanata u građevinarstvu, te prema «Pravilniku o tehničkim normativima za projektiranje i izvođenje» završnih radova u građevinarstvu i prema podacima iz projektne dokumentacije.
VAŽNO: U cijenu uključiti ugradnju brava s 3 ključa i master ključem.</t>
  </si>
  <si>
    <t>MATERIJAL</t>
  </si>
  <si>
    <t>Sav materijal koji se upotrebljava za izradu bravarskih radova mora odgovarati hrvatskim standardima:
• kvadratno željezo
• plosno željezo
• okruglo željezo
• profilno željezo
• čelični limovi
• rebrasti limovi od aluminija
• profili od aluminija
• okovi za vrata i prozore</t>
  </si>
  <si>
    <t>POVRŠINSKA OBRADA</t>
  </si>
  <si>
    <t>Antikorozivna zaštita čeličnih dijelova mora biti u skladu sa važećim propisima «Pravilnika o tehničkim mjerama i uvjetima za zaštitu čeličnih konstrukcija od korozije».
Završna obrada čeličnih dijelova je ličenje uljanim naličom u boji po izboru projektanta. Kod aluminijskih prozora, vratiju i stijena površinska obrada je elektrostatskim putem u boji po izboru projektanta.
Kompletna površinska obrada svih materijala mora biti u skladu sa važećim propisima i uputama proizvođača  primijenjenog  materijala  (sredstva), a prema zahtjevu projektanta.</t>
  </si>
  <si>
    <t>IZRADA</t>
  </si>
  <si>
    <t>Prije početka izrade obavezno se moraju uskladiti mjere i količine na građevini. Čelični dijelovi spajaju  se varenjem. Svaki sastav mora biti tako konstruktivno riješen da na vanjskim površinama nema vidljivih vijaka.
Svi vijci i ostali dijelovi spajanja moraju biti izvedeni od nehrđajućeg čelika, aluminija ili nekog drugog  antikorozivnog materijala.
Specijalni umeci od tvrdog PVC materijala moraju osigurati kvalitetu i čisti sastav dvaju profila.</t>
  </si>
  <si>
    <t>OKOV</t>
  </si>
  <si>
    <t>Sistemski okov istog proizvođača zbog sljedivosti i kontrole kvalitete za funkcionalnu upotrebu uz predočenje uzorka projektantu na odobrenje, te je potrebno dokazati njegove statičke karakteristike za preuzimanje tereta elemenata na koje će biti ugrađen, kao i karakteristike otpornosti na koroziju.</t>
  </si>
  <si>
    <t>UGRADBA</t>
  </si>
  <si>
    <t>Svi bravarski elementi po mogućnosti ugrađuju se «suhim» postupkom (bez upotrebe morta), tj. prethodno ugrađena sidra varenjem ili vijcima ili pak posredstvom plastičnih ili metalnih čepova. Sve rešetke između metala i betona (zida) moraju biti brtvljene ili kitane akrilnim, silikonskim ili TIO kitom ili kako je navedeno u detaljnijim opisima, uključeno u cijenu stavke.</t>
  </si>
  <si>
    <t>ATESTI</t>
  </si>
  <si>
    <t>Za sve radove izvođač radova je dužan izraditi "Izjavu o svojstvima" na temelju vlastitih ispitnih izvještaja ili ispitnih izvještaja proizvođača sistema, a na temelju međusobnog ugovora o ustupanju, Izjavom o svojstvima izvođač radova iskazuje bitne karakteristike građevnog proizvoda, a ostalim dokumentima prema potrebi, kvalitetu površinske obrade, ispravnost po izvođaču predloženih detalja kao i kvalitetu antikorozivne zaštite.
Prije početka izvođenja ugovorenih radova izvođač predlaže projektantu svoje detalje i radioničke nacrte i može započeti sa radom kad projektant iste odobri.
Sve bravarske detalje opšava dostaviti  na uvid projektantu. Projektant odabire (vidljiv) okov za bravariju. Bravarija se preuzima kao gotova tek iza ugradbe po bravaru, a za funkcionalnost i ispravnost izvođač garantira po uzancama o investicijskoj izgradnji.</t>
  </si>
  <si>
    <t>Standardi potrebni za izradu aluminijskih i bravarskih radova:
• opći građevinski čelici C.B0.500
• okrugli čelici vruče valjani C.B3.021
• kvadratni čelici vruče valjani C.B3.024
• plosnati čelici vruče valjani C.B3.025
• široki plosnati čelici vruče valjani C.B3.030
• vučeni čelici C.B3.402
• čelični limovi C.B4.110 – 112
• toplo valjani rebrasti lim C.B4.114
• mehanička ispitivanja kovina C.A4.001
• montaža i ispitivanje kemijskih sastava čelika i željeza C.A1.010, C.A1.041
• tehnika zavarivanja kovina C.T3.001, C.T3.011, C.T3.020, C.T3.030, C.T3.040, C.T3.051, C.T3.052, C.T3.061
• osiguranje kakvoće zavarivačkih radova C.T3.071, C.T3.082
• zaštita od korozije C.T7.113, C.T7.114, C.T7.320,C.T7.322, C.T7.329, C.T7.339,C.T7.362, C.T7.363, C.T7.366, C.T7.371, C.T7.378
• aluminijske legure za lijevanje C.C2.300, C.C3.200, C.04, C.C4, C.C6, C-Ž.C0.9</t>
  </si>
  <si>
    <t>Radove treba izvoditi prema važećim propisima i uzancama zanata, stručno i savjesno sa upotrebom kvalitetnih materijala. Svi elementi koji se ugrađuju moraju biti dobro očišćeni i premazani antikorozivnim sredstvima, a naročito treba voditi računa kod premazivanja na elemente koji nisu dostupni nakon ugradnje.</t>
  </si>
  <si>
    <t>Konstrukcija stijena i prozora, vrata i ograda mora biti dimenzionirana tako da sigurno prihvaća opterećenja i funkciju elemenata.
Predvidjeti kompletan okov za besprijekorno funkcioniranje svih elemenata. Ostakljenje elemenata je obuhvaćeno u bravarskim radovima.
Brtvljenje spojeva između ugrađenih elemenata i nosive ili zidane konstrukcije mora biti nepropusno za vodu i mora se u potpunosti izvesti prije pokrovnih letvica, traka  ili profila, izvesti sve po pravilima RAL ugradnje.</t>
  </si>
  <si>
    <t>VAŽNO:
Sve izmjere uzeti na licu mjesta prije izrade elemenata.</t>
  </si>
  <si>
    <t>UVODNE NAPOMENE ZA ALUMINIJSKU I ČELIČNU BRAVARIJU</t>
  </si>
  <si>
    <t>Izrada, dobava i ugradnja stavki vanjske i unutarnje bravarije u sistemima aluminijskih profila s ili bez prekida toplinskog mosta.</t>
  </si>
  <si>
    <t xml:space="preserve">Svi primijenjeni sistemi za vanjsku ugradnju moraju zadovoljiti opće zahtjeve važećeg "Tehničkog propisa o racionalnoj uporabi energije i toplinskoj zaštiti u zgradama", te posebni projektni uvjet da prosječni koeficijent prolaza topline svih stavki zajedno uključujući linijske gubitke iznosi Uw ≤ 1.10 W/m²K.
Sastavni dio podloga za izradu ponude aluminijskih i čeličnih stavki čine troškovnički opisi i arhitektonski nacrti, a sastavni dio podloga za izradu, dobavu i ugradnju samih stavki čine radionički nacrti izrađeni od strane izvođača, ovjereni od strane glavnog projektanta. Radionički nacrti moraju sadržavati i detalje spojeva stavki vanjske bravarije na nosivu konstrukciju objekta i njezinu ovojnicu. NA zahtjev stručnog nadzora i projektanta provjeriti dimenzije profila stavki i debljine stakla.
Opšave i izolacijske radove na priključcima stavki na nosivu konstrukciju uključiti u troškove.
Potrebna kvaliteta aluminijskih profila prema HRN EN 573 ili jednakovrijednoj je: EN AW 6060 T66. 
Tražena razina zaštite od buke ugrađenih elemenata iznosi Rw= 35 dB  
Smjer otvaranja otvarajućih elemenata mora biti u skladu s HRN EN 12519 </t>
  </si>
  <si>
    <t xml:space="preserve">Potrebna dokumentacija koju će izvođač radova priložiti u cilju dokazivanja  kriterija jednakovrijednosti sistema i gotovih stavki određenih projektom i ovim troškovnikom (osim potrebnih karakteristika svakog sistema posebno):
-  Izjava o svojstvima, u skladu sa važećim Zakonom o građevinskim proizvodima i klasifikacijskom normom HRN EN 14351-1 ili jednakovrijednoj (prozori i vrata)
-  Iskaz tolerancija mjera i oblika za profile, u skladu s HRN EN 12020-2:2001 ili jednakovrijednoj.
-  Dokaz o čvrstoći spoja, tj. otpornosti na smik između profila i izolatora prozorskih profila, u skladu s EN 14024 ili jednakovrijednoj
-  Dokaz o sigurnosti od ispadanja i izbijanja  stakla iz fasadnih i prozorskih okvira, vertikalnih i kosih, u skladu s DIN EN 1999-1-1 ili jednakovrijednoj (Eurocode 9 - fasade) i smjernicama TRAV  (prozori) ili jednakovrijednoj
-  Atestnu dokumentaciju za vrata s panik okovom do visine 3000 mm.
-  Proračune koeficijenta prolaza topline profila Uf i ukupnog koeficijenta prolaza topline Uw, u skladu s EN ISO 10077-2 ili jednakovrijednoj
-  Statički proračuni profila i stakla </t>
  </si>
  <si>
    <t>Ponudom u svakoj stavci obuhvatiti
• sav materijal za izradu  gotovog proizvoda prema opisu troškovnika i arhitektonskim nacrtima, dobavu, izradu i dopremu alata,  mehanizacije i uskladištenje
• potreban okov za funkcionalnu upotrebu
• uzimanje potrebnih izmjera na građevini
• troškove radne snage za kompletan rad opisan u  troškovniku
• troškovi bravarske montaže sa brtvljenjem i  zaštitom
• jednokratni osnovni premaz prema uvjetima antikorozivne zaštite u radionici, te kompletnu zaštitu sa završnom obradom prema uputi u shemama; općim uvjetima i soboslikarsko - ličilačkim radovima
• ostakljenje sa staklom označenim u shemi bravarije
• sve horizontalne i vertikalne transporte do mjesta montaže
• potrebnu radnu skelu (izuzima se fasadna skela)
• čišćenje nakon završetka radova
• svu štetu kao i troškove popravka kao posljedica nepažnje u toku izvedbe
• troškove zaštite na radu
• troškove atesta
• klupčice
• pragovi
• sav vidljivi i nevidljivi okov.</t>
  </si>
  <si>
    <t>Svi bravarski radovi moraju biti izrađeni, dostavljeni i montirani na građevini prema uzancama za tu vrstu zanata, u svemu prema slijedećoj potrebnoj dokumentaciji:
• shemi
• opisu radova u troškovniku
• uzetim mjerama na građevini
• radioničkim nacrtima i detaljima izrađenim po izvođaču, a odobrenim i potpisanim od strane projektanta.
Ponuđač je dužan u svojoj ponudi obuhvatiti:
• osnovni i pomoćni materijal 
• sve predradnje i pripreme za izradu
• izrada u radionici
• prijevoz na građevinu
• prijevoz do mjesta montaže
• dubljenje zida, stropa ili poda za ugradbu
• ugradbu
• brtvljenje  na spojevima sa zidom, na elementima za otvaranje, te na spojevima pojedinih elemenata
• pokrovne letve
• okapnice na elementima za otvaranje
• antikorozivnu zaštitu</t>
  </si>
  <si>
    <t>Prije početka izvođenja ugovorenih radova izvođač predlaže projektantu svoje detalje i radioničke nacrte bazirane na arhitektonskim nacrtima i opisu u troškovniku, te tek po dobivenoj pismenoj suglasnosti od strane projektanta može započeti sa radom.
Sve bravarske detalje opšava dostaviti  na uvid projektantu. Projektant odabire (vidljiv) okov za bravariju. Bravarija se preuzima kao gotova tek iza ugradbe po bravaru, a za funkcionalnost i ispravnost izvođač garantira u skladu s važećom regulativom.</t>
  </si>
  <si>
    <t>U cijenu uključiti sve troškove i radnje koje je potrebno izvesti da se dobije kvalitetan ugrađeni proizvod.
Ovi uvjeti se dopunjuju opisom u stavci troškovnika.</t>
  </si>
  <si>
    <t>FASADNI ELEMENTI - STIJENE, VRATA I PROZORI</t>
  </si>
  <si>
    <t>IZUZETNO VAŽNE NAPOMENE UZ SHEME:</t>
  </si>
  <si>
    <t>1.) Prije izvođenja pojedinih radova u slučaju kakvih nejasnoća ili ocjene ponuđača da je neko od rješenja neprihvatljivo postaviti upit naručitelju radi razjašnjenja detalja.
U protivnom, od izvođača će se zahtijevati izvođenje detalja kao što je projektant predložio.
Sve mjere kontrolirati na licu mjesta.
U cijenu uključiti izradu radioničkih nacrta koje je potrebno dostaviti projektantu na ovjeru.
U cijenu također uključiti potrebna ispitivanja, certifikate i ateste kojima će se dokazati da su parametri toplinski i zvučni zakonom i ovim troškovnikom kao i projektnom dokumentacijom propisanih karakteristika.</t>
  </si>
  <si>
    <t>2.) Kod ugradbe okova (ručica za otvaranje) voditi računa da su svi prozori otvorivi na visini dohvatljivoj stajanjem na podu. Visina otvaranja ne bi trebala biti veća od 120 cm - naročito vrijedi za ventus</t>
  </si>
  <si>
    <t>3.) Kod stijena kod kojih se traži vatrootpornost uz tražene vrijednosti za vatrootpornost potrebno je postići i sigurnost na lom u zoni do 2,2 m'.</t>
  </si>
  <si>
    <t>4.) U svakoj stavci uključen je sav potreban okov</t>
  </si>
  <si>
    <t>5.) U svim prozorima i stijenama predvidjeti sustav skrivenog okova</t>
  </si>
  <si>
    <t>6.) Svi vanjski elementi (prozori, vrata i stijene) moraju zadovoljiti uvjet UW≤ 1,10 W/m²/K, osim protupožarnih elemenata koji moraju zadovoljiti uvjet UW≤ 1,9 W/m²/K</t>
  </si>
  <si>
    <t>ALUMINIJSKA BRAVARIJA - VANJSKI ELEMENTI</t>
  </si>
  <si>
    <t>Fasadni elementi moraju zadovoljiti ukupni koeficijent prolaza topline kako je to navedeno na pojedinoj shemi.</t>
  </si>
  <si>
    <t>Aluminijska vrata i fiksna polja:
Izrada, dobava i ugradnja vrata u u sistemu aluminijskih profila s dvostrukim prekidom toplinskog mosta i povišenim toplinsko-izolativnim svojstvima, min. ugradbene dubine 90 mm. 
Povišenu toplinsku izolativnost osigurati pomoću slijedećih elemenata:
- dvostruki prekid toplinskog mosta, ukupno 4 pvc izolatora po profilu - prekid toplinskog mosta nalazi se između srednjeg, vanjskog i unutarnjeg dijela profila = profil sadrži 5 komora
- 4 ravnine brtvljenja između krila i dovratnika - vanjska brtva, dvije srednje i unutarnje brtva
- pvc izolatori krila i dovratnika na dijelu spoja su dvokomorni 
- unutarnja brtva stakla je koekstrudirana i ima produžetak koji se nadovezuje na izolativni umetak u obodnom prostoru stakla; vanjska brtva stakla također koekstrudirana.
- izolativni umetak u obodnom prostoru stakla smanjuje prijenos topline iz prostora letvice stakla prema van
- toplinski izoliran prag s brtvom u 2 ravnine, visina &lt; 20 mm
Vrata su opremljena 3D podesivim pantima, bravom, cilindrom, kvakom, hidrauličnim prigušivačem s gornje strane, osim ako u stavkama nije posebno navedeno.</t>
  </si>
  <si>
    <t>Potrebne karakteristike koje sistem treba zadovoljiti prema HRN EN 14351 ili jednakovrijedna:
- zrakopropusnost, HRN EN 12207 ili jednakovrijedna:      klasa 4 
- vodonepropusnost, HRN EN 12208 ili jednakovrijedna:      klasa 5A
- otpornost na udare vjetra, HRN EN 12210 ili jednakovrijedna:      klasa C2/B2
- prosječni Uf koeficijent, EN ISO 10077-2 ili jednakovrijedna:     Uf = prosj. 1.3 W/m2K</t>
  </si>
  <si>
    <t>Panik okov na evakuacijskim vratima, puna panika prema normi HRN EN 1125 ili jednakovrijednoj - s vanjske strane kvaka ili rukohvat, ovisno o vrsti funkcije, s unutarnje (tj. u smjeru evakuacije) potisna letva; primjenjuje se na putevima evakuacije "E" funkcija - s vanjske rukohvat, s unutarnje potisna poluga.
Brava s funkcijom dnevnog režima, koja ima mogućnost podešavanja za prolaz izvana bez ključa (npr. za vrijeme radnog vremena) iznutra uvijek pomoću potisne poluge (panik funkcija) "B" funkcija - s vanjske strane kvaka, s unutarnje potisna poluga. 
Vrata su prohodna u oba smjera dok nisu zaključana, u zaključanom stanju su prohodna samo u smjeru evakuacije, pomoću potisne poluge (panik funkcija), tj. izvana prema unutra samo pomoću ključa.
Vrata s panik okovom, tj. vrata na evakuacijskim putevima moraju biti atestirana u skladu s navedenim normama, ili prema posebnim zahtjevima.
Vrata s krilom visine između 2500-3000 mm izvesti s pojačanom stijenkom na mjestu učvršćenja panta i klasom mehaničke izdržljivosti 8 prema normi HRN EN 12400 ili jednakovrijednoj - 1.000 000 ciklusa otvaranja.</t>
  </si>
  <si>
    <t>Aluminijski prozor:
Izrada, dobava i ugradnja aluminijskih prozora u sistemu aluminijskih profila s prekidom toplinskog mosta i povišenim toplinsko-izolativnim svojstvima, ugradbene dubine dovratnika min. 90 mm, krila 100 mm, minimalne vidljive širine dovratnika 56 mm.</t>
  </si>
  <si>
    <t>Staklo je učvršćeno u okvir pomoću letvice s držačem s unutarnje strane. U vertikalnom presjeku težina stakla se prenosi na profil preko PVC držača koji ujedno ima funkciju izolatora. 
Povišena toplinska izolativnost sistema se postiže na slijedeći način :
- stijenke izolatora dovratnika su peterokomorne 
- u profilu, između izolatora su ugrađeni umeci od PE pjene s dobrim izolativnim svojstvima  (λ=0.031 W/mK), koji prekidaju toplinske tokove zraka i konvekciju u prostoru prekida toplinskog mosta (izolator)  
- srednja brtva sadrži ukupno 11 komora 
- dosjedni dio izolatora na koji naliježe srednja brtva je četverokomoran 
- u prostoru oko obruba stakla stakla ugrađen je uložak od PE-pjene, koji zajedno s unutarnjom brtvom stakla s produžetkom, prekida toplinske tokove, 
  tj. konvekciju u tom prostoru.
- izolativni umeci se ne umeću naknadno u profil, nego su sistemski, integralni dio profila. Izolatori za prekid toplinskog mosta su trokomorni
- prozor kao cjelina, zajedno sa staklom mora postići razinu zvučne zaštite od min. Rw = 40 dB.</t>
  </si>
  <si>
    <t>Potrebne karakteristike koje sistem treba zadovoljiti prema HRN EN 14351-1 ili jednakovrijednoj:
- zrakopropusnost, HRN EN 12207 ili jednakovrijednoj: klasa 4
- vodonepropusnost, HRN EN 12208 ili jednakovrijednoj: klasa 9A
- otpornost na udar vjetra, HRN EN 12210 ili jednakovrijednoj: klasa C5/B5
- prosječni Uf koeficijent, EN ISO 10077-2 ili jednakovrijednoj: Uf=0.7-1.1 W/m2K
- zaštita od buke.</t>
  </si>
  <si>
    <t xml:space="preserve">Potrebne karakteristike koje okov treba zadovoljiti prema HRN EN 14351 ili jednakovrijednoj:
- otpornost na uzastopno otvaranje i zatvaranje, HRN EN 12400/1191 ili jednakovrijednoj: prozor-klasa 2, (10 000 ciklusa); balkonska vrata-klasa 3, (20 000 ciklusa)
- otpornost na koroziju, HRN DIN 1670 ili jednakovrijednoj:  klasa 5 (480h u slanom aerosolu)
- protuprovalnost, HRN ENV 1627 ili jednakovrijednoj:  RC1, RC2, do RC3
- sigurnost korištenja, HRN EN 14351-1 ili jednakovrijednoj: ispunjena
- sila rukovanja, HRN EN 12046-1/13115 ili jednakovrijednoj:   klasa 2, (30N).
- mehanička otpornost, HRN EN 13115/DIN EN 1192: klasa 4
Okov je sistemski, skriveni, od istog proizvođača sistema (profili+okov), zbog sljedivosti i kontrole kvalitete; konstrukcija okova mora omogućiti laku i jednostavnu ugradnju, "na klik", bez dodatnih bušenja i strojne obrade profila. Također je moguća ugradnja elektromotornog okova. </t>
  </si>
  <si>
    <t>Ostakljenje:
Ostakljenje tip "A":
Trostruko sigurnosno IZO staklo, ukupne debljine 55.52 mm, koji čini:
 - vanjsko staklo: 44.2 mm (laminirano staklo d= 8,76mm)
 - međuprostor: 16 mm punjen Argonom 90 %
 - srednje staklo: 6 mm 
 - međuprostor: 16 mm punjen Argonom 90%
-  unutarnje staklo tip: 44.2 (laminirano staklo d=8,76 mm).
Isto staklo ako je u jednom komadu po cijeloj površini krila.
- Letvica stakla (distancer) od PVC-a, s linijskim koeficijentom prolaza topline po obodu stakla Ψ ≤ 0.033 W/mK.</t>
  </si>
  <si>
    <t>Tehničke karakteristike koje proizvod mora zadovoljiti:
- LowE sloj se nalazi na poz. 2 i 5 gledano izvana.
- Toplinska svojstva: Ug vrijednost  ≤ 0.5 W/m²K
- Energetska svojstva: solarni faktor (ukupni prolaz energije prema unutra) iznosi g ≤ 44 %  prema EN 410 ili jednakovrijednoj
- Energetska svojstva: refleksija energije - pe 27% prema EN 410 ili jednakovrijednoj
- Akustična svojstva stakla: direktna zvučna svojstva izolacija (Rw(C;Ctr)-procijenjen) 41dB (-2;-8)</t>
  </si>
  <si>
    <t>Ostakljenje:
Ostakljenje tip "A1":
Trostruko sigurnosno IZO staklo, ukupne debljine 55.52 mm, koje čini:
- vanjsko staklo tip: 44.2 mm  (laminirano staklo d=8,76mm, obavezna ugradnja mat folije u  laminirano ostakljenje) 
 - međuprostor: 16 mm punjen Argonom 90 %
 - srednje staklo: 6 mm 
 - međuprostor: 16 mm punjen Argonom 90%
 - unutarnje staklo tip: 44.2 (laminirano staklo d=8,76 mm).
Isto staklo ako je u jednom komadu po cijeloj površini krila.
- Letvica stakla (distancer) od PVC-a, s linijskim koeficijentom prolaza topline po obodu 
  stakla Ψ ≤ 0.033 W/mK.</t>
  </si>
  <si>
    <t>Tehničke karakteristike koje proizvod mora zadovoljiti:
- LowE sloj se nalazi na poz. 2 i 5 gledano izvana.
- Toplinska svojstva: Ug vrijednost  ≤ 0.5 W/m²K
- Energetska svojstva: solarni faktor (ukupni prolaz energije prema unutra) iznosi g ≤ 44 % prema EN 410 ili jednakovrijednoj
- Energetska svojstva: refleksija energije - pe 27% prema HRN EN 410 ili jednakovrijednoj
- Akustična svojstva stakla: direktna zvučna svojstva izolacija (Rw(C;Ctr)-procijenjen) 41 dB (-2;-8)</t>
  </si>
  <si>
    <t>Tip stakla, boja, ton, emajl i ostali parametri prema izboru projektanta. 
Izvođač radova je prije izrade obavezan osigurati uzorke s tipovima stakla odabranim od strane glavnog projektanta, te za njih dobiti odobrenje od strane projektanta i nadzornog inženjera.
Proračun debljine, izradu, obradu, i ugradnju stakla izvršiti u skladu s važećim Tehničkim propisom za staklene konstrukcije. Debljine stakla prema potrebi provjeriti od strane ovlaštenog statičara, a trošak izrade proračuna snosi izvođač i uključeni su u cijenu pojedine stavke.
Kao osiguranje od pucanja kod kaljenog stakla obavezno predvidjeti Heat Soak Test (HST), a kod laminiranog stakla obavezno pobrusiti rubove.</t>
  </si>
  <si>
    <t>Panel ispuna:
Izvedena kao sendvič panel kojeg čini obostrani aluminijski lim debljine min. 2 mm (koji je završno plastificiran u boju elementa u koji se ugrađuje) i ispuna od XPS-om. Panel ispuna je ukupne debljine do 54 mm.</t>
  </si>
  <si>
    <t>Površinska zaštita:
Aluminijske profile plastificirati u skladu s tehničkim smjernicama Qualicoat MASTER VERSION VO1 ili jednakovrijedan. Ton boje iz palete proizvođača sistema, a prema izboru projektanta. Izvoditelj radova obavezan je prije početka plastifikacije aluminijskih profila podnijeti projektantu na uvid i odobrenje uzorke aluminijskih profila plastificirane prema izboru projektanta.</t>
  </si>
  <si>
    <t>Ugradnja:
Ugradnju izvesti u skladu s radioničkim nacrtima, izrađenim od strane izvođača radova, ovjerenim od strane glavnog projektanta, a koji moraju obuhvaćati slijedeće elemente ugradnje  (RAL smjernice):
- ugradnju na pravilnu liniju izoterme kod koje nema kondenzata na unutarnjoj stijenki stakla/profila 
- ugradnju prozora na sistemski PVC bazni profil - nema toplinskog mosta
- paronepropusnost spoja sa zidom s unutarnje strane i vodonepropusnost/paropropusnost s vanjske
- odgovarajuću širinu bočne fuge između štoka i zida širine  
- ugradnju stakla s okvirom u skladu sa zahtjevima zaštite od buke. 
Preklapanje svih izolacionih folija (najmanje 100 mm) izvesti na objektu uz mehaničko učvršćenje i potrebnu toplinsku izolaciju. Izvoditelj radova obavezan je ispravno izabrati sve izolacijske materijale na unutarnjoj i vanjskoj strani fasade.
U slučaju RAL ugradnje s ekspanzijskim trakama, bočno i s gornje strane izvesti multifunkcionalnom eksp. trakom, iznutra dodatno zabrtviti akrilnom parnom branom. S donje strane izvana koristiti  vodonepropusnu butilnu foliju, iznutra foliju parnu branu.
U cijeni stavke uključiti komplet sav potreban rad i materijal prema opisu u troškovniku (uključujući elemente RAL ugradnje, klupčice, potreban opšav, vijke, plastične podloške i dr.); u cijenu stavke je uključena i obrada špalete kao i svi dodatni radovi i materijali.</t>
  </si>
  <si>
    <t>ZAŠTITA OD SUNCA</t>
  </si>
  <si>
    <t>NAPOMENA
Zaštita od sunca uključena je u cijenu pojedine stavke na koju je zaštitu od sunca potrebno ugraditi.</t>
  </si>
  <si>
    <t>Zaštita od sunca s unutarnje strane na ručni pogon:
Dobava i postava unutarnjih sjenila s pravokutnom kutijom.
Sjenila je potrebno nuditi u sklopu cijene fasadnih elemenata (prozora,stijena), stavkom troškovnika označeno je koji elementi iziskuju zaštitu od sunca.
Tehničke karakteristike koje proizvod mora zadovoljiti:
- Osovina: Ekstrudirani aluminij, promjer do 27 mm.
- Pravokutna kutija: Ekstrudirani aluminij, presvučen prahom, dimenzije max. 64×54mm, profil na gornjoj strani posjeduje prihvat za spojnu montažu (Clip-sustav).
- Završna letvica: Profil iz ekstrudiranog aluminija, presvučen prahom, dimenzije max. 11×20mm.</t>
  </si>
  <si>
    <t>- Platno: 
- plastificirano, perforirano platno
- težine max. 290g/m² prema EN ISO 2286-2 ili jednakovrijednoj 
- debljine do 0,32 mm
- Pogon: Ručni - lančić na povlačenje, pogonska strana po želji lijeva ili desna.
- Montaža: Zidna ili stropna s Clip sustavom koji je uključen u cijenu stavke, a točnu poziciju montaže (zidnu ili stropnu) odredit će se na licu mjesta nadzorni inženjer uz suglasnost projektanta iz razloga jel će se na određenim mjestima izvesti spušteni modularni strop, pa  se na tim mjestima preporuča ugradnja sjenila na zid.
- Boje i vanjska površina: Aluminijski profili su standardno presvučeni prahom u boji ili prirodno eloksirani C0, ton iz standardne palete izvođača po izboru projektanta.</t>
  </si>
  <si>
    <t>- Plastični dijelovi u sivoj ili bijeloj boji.
U cijeni uključiti sav osnovni i pomoćni materijal, te sav potrebni rad do potpune funkcionalnosti.</t>
  </si>
  <si>
    <t>Zaštita od sunca s unutarnje strane na motorni pogon:
Dobava i postava unutarnjih sjenila s pravokutnom kutijom. 
Sjenila je potrebno nuditi u sklopu cijene fasadnih elemenata (prozora,stijena), stavkom troškovnika označeno koji elementi iziskuju zaštitu od sunca.
Tehničke karakteristike koje proizvod mora zadovoljiti:
- Osovina: Ekstrudirani aluminij, promjer 52 mm.
- Pravokutna kutija: Ekstrudirani aluminij, presvučen prahom, dimenzije max. 102×119 mm,
- Završna letvica: Profil iz ekstrudiranog aluminija, presvučen prahom, dimenzije 18×26 mm.
- Platno:  
- plastificirano, perforirano platno
- težine max. 290g/m² prema EN ISO 2286-2 ili jednakovrijednoj 
- debljine do 0,32 mm
- Pogon: Elektromotorni pogon 230V, 50Hz, 30 okr./min,ugrađen u osovinu, sa krajnjim prekidačima za gornji i donji krajnji položaj platna i termo-zaštitom. 
- Montaža: Zidna ili stropna s nosačima iz ekstrudiranog aluminija je uključena u cijenu stavke, a točnu poziciju montaže (zidnu ili stropnu) odredit će se na licu mjesta nadzorni inženjer uz suglasnost projektanta iz razloga što će se na određenim mjestima izvesti spušteni modularni strop, pa se na tim mjestima preporuča ugradnja sjenila na zid.
- Boje i vanjska površina: Aluminijski profili su standardno presvučeni prahom u boji ili prirodno eloksirani C0, posebna boja po želji u tonu prema ton karti.
- Plastični dijelovi u sivoj, crnoj ili bijeloj boji.
U cijeni uključiti sav osnovni i pomoćni materijal, te sav potrebni rad do potpune funkcionalnosti.</t>
  </si>
  <si>
    <t>U cijenu obavezno uključiti:
• dobavu materijala i izradu elemenata uključivo temeljnu zaštitu u radionici,
• transport na gradilište,
• deponiranje i čuvanje ( zaštita ) na gradilištu do ugradbe,
• gradilišni transport,
• ugradbu uključivo sve potrebne predradnje (izradu nastavaka pomoću kojih će se PVC elementi učvrstiti u zid, strop ili pod), te pripasivanje,
• okov, naročito vidljivi dio, odabrati uz obaveznu konzultaciju s projektantom.
• ostakljenje, 
• obrada – prema uputama proizvođača, cijenu obrade uključiti u cijenu stavke,
• pragovi,
• klupčice,
• dovratnici,
• doprozornici,
• obrada špalete,
• zaštita od sunca (sve prema uvodnom opisu troškovnika)
• RAL ugradnju,
• te sve navedeno u uvodnoj napomeni.
Sve do potpune gotovosti. Sve mjere uzeti na licu mjesta.</t>
  </si>
  <si>
    <t>ALUMINIJSKA BRAVARIJA - UNUTARNJI ELEMENTI</t>
  </si>
  <si>
    <t>Opis:
Izrada, dobava i ugradnja unutarnjih aluminijskih vrata i fiksnih stijena od profila bez prekida toplinskog mosta.</t>
  </si>
  <si>
    <t>Ugradbena dubina štoka i krila, koji su u istoj ravnini, iznosi do 50 mm, debljine stijenke od 2 do 2,5 mm.
Brtvljenje između krila i štoka vrata je izvedeno pomoću dviju EPDM brtvi- vanjske brtve i unutarnje brtve krila. Staklo je u krilo/štok učvršćeno pomoću unutarnje letvice s držačem, te zabrtvljeno EPDM brtvama.
Vrata su opremljena dvostrukim 3D podesivim pantima, bravom, cilindrom, kvakom, hidrauličnim prigušivačem s gornje strane, osim ako u stavkama nije posebno navedeno. Prag je prohodan, niži od 20 mm. Donji profil okvira krila tzv. "cokl" profil radi sigurnosti od razbijanja stakla.
Svi sistemi trebaju udovoljavati zahtjevima Tehničkom elaboratu zaštite od buke.</t>
  </si>
  <si>
    <t>Potrebne karakteristike koje sistem treba zadovoljiti prema HRN EN 14351-2 ili jednakovrijednoj:
- kvaliteta materijala, HRN EN 573 ili jednakovrijednoj: EN AW 6060 T66
- otpornost na udar vjetra,  HRN EN 12210 ili jednakovrijednoj: klasa C3
- zrakopropusnost, HRN EN 12207 ili jednakovrijednoj: klasa 2</t>
  </si>
  <si>
    <t>Panik okov na evakuacijskim vratima, puna panika prema normi HRN EN 1125 ili jednakovrijedna - s vanjske strane kvaka ili rukohvat, ovisno o vrsti funkcije, s unutarnje (tj. u smjeru evakuacije) potisna letva; primjenjuje se na putevima evakuacije "E" funkcija - s vanjske rukohvat, s unutarnje potisna poluga.
Brava s funkcijom dnevnog režima, koja ima mogućnost podešavanja za prolaz izvana bez ključa (npr. za vrijeme radnog vremena) iznutra uvijek pomoću potisne poluge (panik funkcija) "B" funkcija - s vanjske strane kvaka, s unutarnje potisna poluga; vrata su prohodna u oba smjera dok nisu zaključana, u zaključanom stanju su prohodna samo u smjeru evakuacije, pomoću potisne poluge (panik funkcija), tj. izvana prema unutra samo pomoću ključa.
Vrata s panik okovom, tj. vrata na evakuacijskim putevima moraju biti atestirana u skladu s navedenim normama, ili prema posebnim zahtjevima.
Vrata s krilom visine između 2500-3000 mm izvesti s pojačanom stijenkom na mjestu učvršćenja panta i klasom mehaničke izdržljivosti 8 prema normi HRN EN 12400 ili jednakovrijednoj - 1.000 000 ciklusa otvaranja.</t>
  </si>
  <si>
    <t>Završna obrada:
Aluminijski profili su završno plastificirani u skladu s smjernicama kvalitete završne obrade qualicoat Master Version (VO1) od 01.01.2022. ili jednaovrijedno u tonu po izboru projektanta.</t>
  </si>
  <si>
    <t>Ostakljenje:
Ostakljenje tip „B“:     
Jednostruko sigurno staklo, ukupne debljine 10.76 mm, :
- 55.2  laminirano staklo (d=5 mm+0,76 mm+5 mm)</t>
  </si>
  <si>
    <t>Isto staklo ako je u jednom komadu po cijeloj površini.
Tehničke karakteristike koje proizvod mora zadovoljiti
- laminirano staklo fino brušeno</t>
  </si>
  <si>
    <t>Panel ispuna:
Izvedena kao sendvič panel kojeg čini obostrani aluminijski lim debljine 2mm (koji je završno plastificiran u boju elementa u koji se ugrađuje) i ispuna mineralnom vunom. Panel ispuna je ukupne debljine do 26 mm.</t>
  </si>
  <si>
    <t>Ugradnja:
Ugradnju untarnjih elemenata (vrata i stijena) izvesti u svemu prema pravilima stuke i uskladu s uputama dobavljača sistema.</t>
  </si>
  <si>
    <t>ALUMINIJSKA BRAVARIJA-UNUTARNJI ELEMENTI DIMONEPROPUSNI ES-30-C</t>
  </si>
  <si>
    <t>Opis:
Izrada, dobava i ugradnja unutarnjih aluminijskih vrata i fiksnih stijena od profila bez prekida toplinskog mosta. Ugradbena dubina štoka i krila, koji su u istoj ravnini, iznosi min. 65 mm, debljine stijenke od 1,8 do 2,2 mm.
Brtvljenje između krila i štoka vrata je izvedeno pomoću dviju EPDM brtvi- vanjske brtve i unutarnje brtve krila. Staklo je u krilo/štok učvršćeno pomoću unutarnje letvice s držačem, te zabrtvljeno EPDM brtvama. 
Obavezno sadrže spuštajuću brtvu s donje strane krila, koja se zatvaranjem krila automatski spusti i zabrtvi prostor između krila i praga. Protudimni elementi moraju ograničiti stupanj prolaznosti dima kroz vrata u trajanju od 30 minuta.
Vrata su opremljena pantima, bravom, cilindrom, kvakom, hidrauličnim prigušivačem s gornje strane, HRN EN 1154 ili jednakovrijednoj, osim ako u stavkama nije posebno navedeno. Prag je prohodan, niži od 20 mm, prema potrebi spuštajući. Standardna izvedba okova je s pantima testiranim na 200000 ciklusa, u skladu s HRN EN 12400 ili jednakovrijednoj. Panti su podesivi oko tri osi, nosivosti do 200 kg po komadu. Krilo može biti visine do 300 cm, klasa protuprovalnosti do RC 2 (DIN EN 1627 ili jednakovrijednoj). Vrata mogu biti protudimna, u skladu s EN13501-2 ili jednakovrijednoj, EN 1634-1 ili jednakovrijednoj, EN1634-3 ili jednakovrijednoj i EN 14600 ili jednakovrijednoj.
Donji profil okvira krila tzv. "cokl" profil radi sigurnosti od razbijanja stakla.</t>
  </si>
  <si>
    <t>Potrebne karakteristike koje sistem treba zadovoljiti prema HRN EN 14351 ili jednakovrijednoj:
- kvaliteta materijala, HRN EN 573 ili jednakovrijednoj: EN AW 6060 T66
- otpornost na udar vjetra, HRN EN 12210 ili jednakovrijednoj: klasa C3
- zrakopropusnost, HRN EN 12207 ili jednakovrijednoj: klasa 2
- moguća debljina stakla/ispune: 4-39 mm
- max. atestirana visina krila: 3000 mm.
- materijal za brtvljenje (EPDM) DIN 7863 ili jednakovrijednoj
- protuprovalnost, klasa WK2 DIN V EN V 1627 ili jednakovrijednoj
- moguće vrste otvaranja: zaokretno (jednokrilno, dvokrilno), otvaranje van/unutra
- ugrađuje se standardni ili skriveni okov, mase krila do 180 kg, kut otvaranja 100°-180°</t>
  </si>
  <si>
    <t>Okov i brave:
Okov i brave biti će kvalitetne sistemske izvedbe proizvođača aluminijske bravarije izrađene od  plemenitog čelika (HRN EN 1670 ili jednakovrijednoj).
Upotrijebiti će se:
• Nadgradne petlje
• Usadne brave
• Cilindar brave
• Automatski zaustavljač
Okov vrata je sistemski, a čine ga min. 3 nadgradna panta po krilu, cilindar brava, rukohvat ili kvaka, hidraulični zatvarač s gornje strane krila.
Kvake i rukohvate izrađene od visokokvalitetnog čelika oplemenjenog nikl-kromom, završna obrada: nehrđajući čelik satinirani, jednostavnog oblikovanja. 
Ukoliko izvoditelj nije u mogućnosti ugraditi okov naveden u opisu stavaka, treba ponuditi drugi iste kvalitete i dobiti suglasnost projektabta i nadzornog inženjera.
Upotrijebiti će se:
• Kvaka s rozetom za kvaku 
• Rozeta za cilindar
• Rozeta za ključ
• Rukohvat s rozetom za rukohvat</t>
  </si>
  <si>
    <t>Panik okov na evakuacijskim vratima, puna panika prema normi HRN EN 1125 ili jednakovrijednoj - s vanjske strane kvaka ili rukohvat, ovisno o vrsti funkcije, s unutarnje (tj. u smjeru evakuacije) potisna letva; primjenjuje se na putevima evakuacije "E" funkcija - s vanjske rukohvat, s unutarnje potisna poluga.
Brava s funkcijom dnevnog režima, koja ima mogućnost podešavanja za prolaz izvana bez ključa (npr. za vrijeme radnog vremena) iznutra uvijek pomoću potisne poluge (panik funkcija) "B" funkcija - s vanjske strane kvaka, s unutarnje potisna poluga; vrata su prohodna u oba smjera dok nisu zaključana, u zaključanom stanju su prohodna samo u smjeru evakuacije, pomoću potisne poluge (panik funkcija), tj. izvana prema unutra samo pomoću ključa.
Vrata s panik okovom, tj. vrata na evakuacijskim putevima moraju biti atestirana u skladu s navedenim normama, ili prema posebnim zahtjevima.</t>
  </si>
  <si>
    <t>Završna obrada:
Aluminijski profili su završno plastificirani u skladu s smjernicama kvalitete završne obrade qualicoat MASTER VRSION V01/ 2022 ili jednakovrijedan u tonu po izboru projektanta.</t>
  </si>
  <si>
    <t>Ostakljenje:
Ostakljenje tip „B“: 
Jednostruko sigurno staklo, ukupne debljine 10.76 mm:
- 55.2  laminirano staklo (d = 5 mm+0,76 mm+5 mm)</t>
  </si>
  <si>
    <t>NAPOMENA ZA VATROOTPORNE ELEMENTE
Osnovni zahtjevi koji moraju biti ispunjeni kod vatrootpornih vrata za evakuacijske puteve:
1. Vrata evakuacijskih puteva mora biti moguće otvoriti rukom bez ključa i u roku od 1 sekunde (EN 1125 ili jednakovrijednoj)
2. Evakuacijski putevi ne smiju biti zakrčeni niti blokirani.
3. Okov za vrata (panik rukohvati) moraju biti tako oblikovani da osoba ne može zapeti odjećom za njih.
4. Kod sustava dvokrilnih vrata dopušteno je korištenje samo potpunog panik sustava gdje se uspješno otvaraju oba krila (glavno i pomoćno), čak i ako vrata otvaramo pomoću kvake na pomoćnom krilu. 
5. Građevina je javna ustanova stoga jedini okov koji je dozvoljeno koristiti se panik rukohvati (druga opcija panik letve), koji se prostiru punom širinom vratnog krila.
6. U vrata evakuacijskih puteva dozvoljena je ugradnja samo panik kvake koju je moguće koristiti u kombinaciji s panik rukohvatom (tj. panik letvom) prema normi EN 1125 ili jednakovrijednoj.</t>
  </si>
  <si>
    <t>VAŽNA NAPOMENA:
Posebno označene stavke moraju biti izvedene na način da imaju izveden okov u sistemu antipanik okova, prema HRN EN 1125 ili jednakovrijednoj, da izvana imaju mogućnost ulaza pomoću klasične kvake, dok se iznutra ugrađuje antipanik rukohvat ili antipanik letva - funkcija brave "B", obostrani prolaz moguć dok je brava otključana, kad je zaključana samo u smjeru evakuacije (brava s dijeljivom kvadratnom osovinom).
Vrata su u otvorenom položaju, a zadržava ih elektromagnet, silom od 5 kN. Na signal iz vatrodojave elektromagneti se odpuštaju i prolaz prema van je omogućen pritiskom na antipanik rukohvat ili antipanik-letvu. Dijelovi sistema elektro-magneta obuhvaćaju sav potreban elektro-pribor za spajanje na vatrodojavu.</t>
  </si>
  <si>
    <t>Potrebna dokumentacija koju će izvođač radova priložiti u cilju dokazivanja svojstava dijelova sistema i gotovih stavki određenih projektom i ovim troškovnikom (osim potrebnih karakteristika svakog sistema posebno):
-  Izjava o svojstvima, u skladu sa važećim Zakonom o građevinskim proizvodima i klasifikacijskom normom HRN EN 14351-2  ili jednakovrijednoj (vrata) 
-  Izvještaj o razredbi za protupožarne i protudimne stavke
Izvještaj o razredbij smije izraditi tijelo koje ispunjava zahtjeve propisane za odobreno tijelo, sve u skladu sa važećim Zakonom o građevinskim proizvodima.</t>
  </si>
  <si>
    <t>ČELIČNA BRAVARIJA VATROOTPORNOSTI EI2-60-C - UNUTARNJI ELEMENTI</t>
  </si>
  <si>
    <t>Opis:
Izrada, dobava i ugradnja ostakljenih protupožarnih vrata i fiksnih stijena, klasa EI2 60-C, u sistemu čeličnih profila s prekidom toplinskog mosta koji se odlikuju elegantnom optikom, min. vidljive širine dovratnika od 25 do 50 mm, ugradbene dubine do 70 mm. Krilo je poravnato sa štokom u zatvorenom položaju, fuga 4-7 mm. Materijal čelika je u kvaliteti HRN EN 10025-2:2007, S235JR; toplo valjani proizvodi od konstrukcijskih čelika; HRN EN 10346:2009; čelični plosnati proizvodi s prevlakom nanesenom kontinuiranim vrućim uranjanjem. Prekid toplinskog mosta osiguran je poliamidnim izolatorom, koji dijeli profil na unutarnji i vanjski pojas. Protupožarno jednostruko staklo je višeslojno, u klasi EI 60. U prostor između stakla i profila ugrađuje se ekspandirajući laminat koji u slučaju požara nabubri i zabrtvi taj dio konstrukcije. Brtvljenje između krila i štoka osigurano je pomoću dvije protupožarne trostrane brtve u klasi teškozapaljivosti B2, u skladu s HRN EN 13501-1. Vrata visine krila iznad 2500 mm sadrže tzv. bimetalnu zaporku, koja služi za dodatno zabravljivanje krila u slučaju požara. Smjer otvaranja mora biti u skladu s HRN EN 12519. Profili moraju imati mogućnost ugradnje različitih vrsta antipanik okova (HRN EN 1125 i 1179), elektro-brave, kao i automatskog upravljanja. 
Klasa C podrazumijeva ugradnju hidrauličkog zatvarača u skladu s HRN EN 1154.
Protupožarnost prema HRN EN 13501-2, obuhvaća zaštitu od plamena, dima i prolaza topline u roku od min. 60 min. Sistem je ispitan u skladu s normom HRN EN 1364 (fiksni elementi) i HRN EN 1634 (otvarajući elementi).</t>
  </si>
  <si>
    <t>Sastavni dio podloga za izradu, dobavu i ugradnju bravarskih stavki čine sheme iz projekta te izvedbeni i radionički nacrti, izrađeni od strane izvođača radova, ovjereni od strane glavnog projektanta. Radionički nacrti moraju sadržavati i detalje spojeva stavki vanjske bravarije na nosivu konstrukciju objekta i njezinu ovojnicu. Prema potrebi, od strane statičara provjeriti dimenzije profila stavki i debljine stakla. Opšave i izolacijske radove na priključcima stavki na nosivu konstrukciju uključiti u troškove.
Stavke u svemu izraditi u skladu s važećim Pravilnikom o otpornosti na požar i drugim zahtjevima koje građevine moraju zadovoljiti u slučaju požara, NN 29/13; Izvještajem o razredbi otpornosti na požar; izuzetno u skladu s Proširenom primjenom rezultata ispitivanja, HRN EN 15269-5. ili jednakovrijednoj.</t>
  </si>
  <si>
    <t>Potrebne karakteristike koje protupožarni sistem EI2 60-C treba zadovoljiti:
- tražena vatrootpornost: 60 minuta, HRN EN 13501
- materijal za brtvljenje: HRN EN 13501
- zaštita od buke HRN EN 4109: 42 dB (ovisno o staklu)
- mehanička trajnost, HRN EN 14600 (HRN EN 1191): klasa 5 (200.000 ciklusa)
- materijal za brtvljenje,  HRN EN 13501-1  
- mineralna vuna, HRN EN 13501-1, A1
- klasifikacija korozivnog opterećenja : HRN EN 12944-2, C1
- ugradnja hidrauličkog zatvarača, HRN EN 1154.</t>
  </si>
  <si>
    <t xml:space="preserve">Okov i brave:
Panik okov na evakuacijskim vratima, puna panika prema normi HRN EN 1125 - s vanjske strane kvaka ili rukohvat, ovisno o vrsti funkcije, s unutarnje (tj. u smjeru evakuacije) potisna letva; primjenjuje se na putevima evakuacije 
"E" funkcija - s vanjske rukohvat, s unutarnje potisna poluga.
Brava s funkcijom dnevnog režima, koja ima mogućnost podešavanja za prolaz izvana bez ključa (npr. za vrijeme radnog vremena) iznutra uvijek pomoću potisne poluge (panik funkcija) </t>
  </si>
  <si>
    <t>"B" funkcija - s vanjske strane kvaka, s unutarnje potisna poluga; vrata su prohodna u oba smjera dok nisu zaključana, u zaključanom stanju su prohodna samo u smjeru evakuacije, pomoću potisne poluge (panik funkcija), tj. izvana prema unutra samo pomoću ključa.
Vrata s panik okovom, tj. vrata na evakuacijskim putevima moraju biti atestirana u skladu s navedenim normama, ili prema posebnim zahtjevima.
"Heavy Duty", HD vrata, za visine 2500-3000 mm:
Vrata s krilom visine između 2500-3000 mm izvesti s pojačanom stijenkom na mjestu učvršćenja panta i klasom mehaničke izdržljivosti 8 (HRN EN 12400 - 1.000 000 ciklusa otvaranja), tzv. tip "Heavy Duty" (HD).</t>
  </si>
  <si>
    <t>Vrata s panik okovom, tj. vrata na evakuacijskim putevima moraju biti atestirana u skladu s navedenim normama, ili prema posebnim zahtjevima.
- okov je zaokretni, otvaranje prema van, uključuje tri zavarena rolo panta, bravu s podizačem, bimetalni zasun
- redosljednik zatvaranja, spuštajući prag
- brava za protupožarna vrata HRN EN 1125 (panik izvedba)
- kvaka za protupožarna vrata s okruglom rozetom (nehrđajuči čelik)
- panik rukohvat ili panik letva (nehrđajuči čelik)
- rozeta za cilindar i kvaku okrugle, odvojene u boji kvake
- hidraulički zatvarač za protupožarna vrata EN 1154 sa klizačem (srebrna boja)</t>
  </si>
  <si>
    <t>Završna obrada:
Izvoditelj radova obavezan je prije početka procesa površinske zaštite profila podnijeti projektantima na uvid i odobrenje uzorke čeličnih PP profila plastificirane prema njihovom izboru. Čelične profile protupožarnih stavki zaštititi u skladu s HRN EN 12944, završna obrada prema izboru projektanta. Preporuka je koristiti temeljnu obradu vrućim cinčanjem, završna boja prema izboru projektanta.
Klasifikacija površinske zaštite prema zahtjevnosti: C2 (HRN EN ISO 12944).</t>
  </si>
  <si>
    <t>Ostakljenje:
Ostakljenje tip „D“: 
Protupožarno staklo u klasi EI 60, slojevito, s protupožarnim, higrofobnim gelom, koji ne veže vlagu iz okoline. 
 ili jednakovrijedan:
(8-6-66.2), ukupne debljine do 33 mm, a namjenjeno je za unutarnju ugradnju. 
Staklo je klasificirano u skladu s normom HRN EN13501 (EI 60).
Kriterij za ocijenu jednakovrijednosti:
- staklo vatrootporno 60 minuta HRN EN 13501-2
- sigurnosno staklo</t>
  </si>
  <si>
    <t>Panel ispuna:
Protupožarne panel izrađen je od čeličnog negorivog lima sa ispunom od protupožarnih gips ploča do debljine 45 mm ukoliko je brtva gumena u klasi teškozapaljivosti, ili do 49 mm ukoliko je brtva keramička (tipsko rješenje).</t>
  </si>
  <si>
    <t>Ugradnja:
Ugradnju PP stavki izvesti prema smjernicama dobavljača sistema i u skladu s važećim normama i propisima u RH (HRN EN 13501-1-2, Pravilnik o otpornosti na požar i drugim zahtjevima koje građevine moraju zadovoljiti u slučaju požara, NN 29/13). Kao i sva važeća regulativa iz područja zaštite od požara.</t>
  </si>
  <si>
    <t>Sav navedeni sistemi mora imati urednu atestnu dokumentaciju, važeću u Republici Hrvatskoj.</t>
  </si>
  <si>
    <t>NAPOMENA:
U svim stavkama obavezno uključiti zidarsku pripomoć kod ugradbe elemenata bravarskih radova kao i zidarski popravak nakon ugradbe elemenata bravarskih radova, jer se dodatni troškovi neće priznavati.</t>
  </si>
  <si>
    <t>STOLARSKI RADOVI</t>
  </si>
  <si>
    <t>Svu stolariju izraditi od prvoklasnog crnogoričnog drva, osim gdje to nije stavkom drukčije definirano.</t>
  </si>
  <si>
    <t>NAPOMENA:
U svim stavkama obavezno uključiti zidarsku pripomoć kod ugradbe elemenata stolarskih radova kao i zidarski popravak nakon ugradbe elemenata stolarskih radova, jer se dodatni troškovi neće priznavati.</t>
  </si>
  <si>
    <t>UNUTARNJA STOLARIJA</t>
  </si>
  <si>
    <t>Dovratnik
Dvodjelni metalni dovratnik sa nadsvjetlom  ili bez nadsvjetla za tip ostakljenja RW=38dB za montažu vijcima, odnosno tiplanjem za naknadnu montažu na gotov zid, izrađen o čeličnog pocinčanog lima debljine min. 2,0 mm završno plastificiran u tonu po izboru projektanta. U dovratniku podkonstrukcija za 3 kom 3 D podesivih panta.
Tehničke karakteristike koje proizvod mora zadovoljiti:
- sile otvaranja i zatvaranja HRN EN 12217-2005  ili jednakovrijednoj 
- visina i širina tolerancijski razred 3 (+/- 1mm)
- debljina tolerancijski razred 2 (+/- 1mm)
- pavokutnost tolerancijski razred 3 (+/- 1mm)
Dovratnik je potrebno prilikom ugradnje ispuniti mineralnom vunom (zvučna izolacija), izolacija uključena u cijenu stavke.</t>
  </si>
  <si>
    <t>Ugradnja dovratnika
Dovratnik se pričvršćuje na zid na 8 mjesta  sa  po 2 vijka na svakom mjestu po vertikalnom dijelu dovratnika  ukupno 16 vijaka .Vijake prilagoditi vrsti zida(GK, cigla,beton itd).Spoj nosivog dijela dovratnika i maske spaja se vijcima u falcu ispod brtve tako da se spoj ne vidi.</t>
  </si>
  <si>
    <t>Panti
Minimalno tri objektna 3 D panta Ø 20 mm. Mogućnost podešavanja u 3 smjera, visina, dubina i nagib. Nosivost panta minimalno 100 kg zbog težine vratnog krila. Završna obrada panta u inox izvedbi. Deljina materijal 3,5 mm, dužina panta 120 mm. Vijci za fiksiranje vratnog krila 5 kom. 5,0×50,00 mm.</t>
  </si>
  <si>
    <t>Vratno krilo
Drveno vratno krilo koje mora spriječiti širenje buke izvesti rub vratnog krila od tvrdog drveta, višeslojna zvučna ispuna RW=38 dB sa podnom brtvom. Težina vratnog krila min.34kg/m², max. 36 kg/m².
Tehničke karakteristike koje proizvod mora zadovoljiti:
- sile otvaranja i zatvaranja HRN EN 12217-2005  ili jednakovrijednoj
- vratno krilo - razredba dopuštenog odstupanja prema HRN EN 1529 2001 EN 951  ili jednakovrijednoj 
- visina i širina tolerancijski razred 3 (+/- 1mm)
- debljina tolerancijski razred 2 (+/- 1mm)
- pavokutnost tolerancijski razred 3 (+/- 1mm)
- vratno krilo opća i lokalna ravnost razredba dopuštenih odstupanja prema HRN EN 1530 2001 EN 952  ili jednakovrijednoj 
- vitoperenje tolerancijski razred 3 (do 1mm)
- savinutost tolerancijski razred 3 (do 1mm)
- koritavost tolerancijski razred 4 (do 1 mm)
Završna obrada drvenog vratnog krila laminat po izboru projektanta, rubovi vrata završna obrada lakirano u ton boju vratnog krila.
U gornjem dijelu vratnog krila ojačanje za mogućnost ugradnje hidrauličkog zatvarača.Potrebno dostaviti uvjerenje o ispitivanju zvučne izolacije.</t>
  </si>
  <si>
    <t>Ostala drvena vratna krila izvesti rub vratnog krila od tvrdog drveta, ispuna cjevasta iverica. 
Tehničke karakteristike koje proizvod mora zadovoljiti:
- sile otvaranja i zatvaranja HRN EN 12217-2005  ili jednakovrijednoj 
- vratno krilo - razredba dopuštenog odstupanja prema HRN EN 1529 2001 EN 951 ili jednakovrijednoj 
- visina i širina tolerancijski razred 3 (+/- 1mm)
- debljina tolerancijski razred 2 (+/- 1mm)
- pavokutnost tolerancijski razred 3 (+/- 1mm)
- vratno krilo opća i lokalna ravnost razredba dopuštenih odstupanja prema HRN EN 1530 2001 EN 952  ili jednakovrijednoj 
- vitoperenje tolerancijski razred 3 (do 1mm)
- savinutost tolerancijski razred 3 (do 1mm)
- koritavost tolerancijski razred 4 (do 1 mm)
Završna obrada drvenog vratnog krila laminat ili medijapan završno lakiran u tonu po izboru projektanta, rubovi vrata završna obrada lakirano u ton boju vratnog krila.
U gornjem dijelu vratnog krila ojačanje za mogućnost ugradnje hidrauličkog zatvarača.</t>
  </si>
  <si>
    <t>Brave i okov
Brava za cilindar u izvedbi od nehrđajućeg čelika.</t>
  </si>
  <si>
    <t>Ostakljenje
Ostakljenje tip "1"
Dvostruko IZO staklo koje čini:
- Vanjsko staklo tipa 6 mm (kaljeno staklo)
- Međuprostor 16 mm
- Unutarnje staklo tipa 44.2 (laminirano staklo d=8,76 mm)
Ukupna debljina IZO ostakljenja 30.76 mm.
Isto staklo ako je u jednom komadu po cijeloj površini.
Tehničke karakteristike koje proizvod mora zadovoljiti:
- Toplinska svojstva (EN 673) ≤ Ug=2,7 m²K
- Solarni faktor (ukupni prolaz energije prema unutra) iznosi min. g=75% prema HRN EN 410 ili jednakovrijednoj 
- Direktna zvučna izolacija (Rw (C, Ctr)-EN 12758 ili jednakovrijednoj) min. 38 dB</t>
  </si>
  <si>
    <t>Ostalo:
Na svim vratima obavezno ugraditi: -brtvu, podni odbojnik.
Cijena uključuje i ugradnju ventilacijone rešetke na određena vratna krila.</t>
  </si>
  <si>
    <t>FASADERSKI RADOVI</t>
  </si>
  <si>
    <t>Fasaderski radovi odnose se na obradu  fasadnih površina žbukama, umjetnim kamenom i fasadnim bojama. Radove izvesti u skladu sa postojećim normama HRN U. F2.010. ili jednakovrijednoj.
Sav materijal za fasaderske radove mora zadovoljavati odgovarajuće propise:
- prionljivost fasadnih boja na podlogu: HRN H.C8.059 ili jednakovrijedna 
- promjena boje: HRN F.S3.020 ili jednakovrijedna 
- opasnost od požara: HRN Z.CO.012 ili jednakovrijedna 
- paropropusnost žbuke: HRN U.J5.024 ili jednakovrijedna
- zahtjevi toplinske tehnike HRN U.J5.600 ili jednakovrijedna</t>
  </si>
  <si>
    <t>- Vatrostalni mort: HRN B.D6.430,432,434 ili jednakovrijedna
- Hidrantno vapno: HRN B.C1.02,021 ili jednakovrijedna 
- Gips: HRN B.C1.030 ili jednakovrijedna
- Pregradne ploče od gipsa: HRN U.N2.010 ili jednakovrijedna 
- Armirane zidne ploče od pjeno i plino betona: HRN U.N1.304 ili jednakovrijedna 
- Kamen: HRN B.B3.200 ili jednakovrijedna</t>
  </si>
  <si>
    <t>- Voda za pripremu betona – Specifikacije za uzorkovanje, ispitivanje i potvrđivanje prikladnosti vode, uključujući vodu za pranje iz instalacije za otpadnu vodu u industriji  betona kao vodu za pripremu betona (EN 1008:2002) HRN EN 1008 ili jednakovrijedna
- Kvaliteta vode – Određivanje nitrata – 1. dio:2,6 –Dimetilfenol spektrometrijska metoda HRN ISO 7890-1 ili jednakovrijedna
- Kvaliteta vode – Određivanje alkalnosti – 2.dio: Određivanje karbonatne alkalnosti HRN EN ISO 9963-2 ili jedankovrijedna
- Kvaliteta vode – Ispitivanje i određivanje boje HRN ISO 7887 ili jadnakovrijedna
- Kvaliteta vode – Spektrometrijsko određivanje fosfata uporabom amonijevog molibdata HRN ISO 6878 ili jednakovrijedna
- Kvaliteta vode – Određivanje sulfata – Gravimetrijska metoda uporabom barijevog sulfata HRN ISO 9280 ili jednakovrijedna
- Kvaliteta vode – Određivanje klorida – titracija srebrovim nitratom s kromatom kao indikatorom (Mohrrova metoda) HRN ISO 9297 ili jednakovrijedna
- Kvaliteta vode – Određivanje natrija i kalija HRN ISO 9964-1 do 9964-3 ili jednakovrijedna
- Kvaliteta vode – Određivanje otopljenog sulfida – Fotometrijska metoda uporabom metilenskog modrila</t>
  </si>
  <si>
    <t>- Cement – 1. dio: Sastav, specifikacije i kriteriji sukladnosti cemenata opće namjene HRN EN 197-1:2005 ili jednakovrijedna
- Cement – 2. dio: Vrednovanje sukladnosti HRN EN 197-2:2004 ili jednakovrijedna
- Cement – 4. dio: Sastav, specifikacije i kriteriji sukladnosti cemenata sa zgurom niske početne čvrstoće HRN EN 197-4:2004 ili jednakovrijedna
- Cement – Sastav, specifikacije i kriteriji sukladnosti specijalnih cemenata vrlo niske topline hidratacije
- Kalcijev aluminatni cement- Sastav, specifikacije i kriteriji sukladnosti HRN EN 14647:2005 ili jednakovrijedna
- Metode ispitivanja cementa HRN EN 196-1 do 196-9 ili jednakovrijedna
- Metode ispitivanja cementa – 21. dio:Kemijska analiza cementa HRN EN 196-21 ili jednakovrijedna
- Određivanje ukupnog organskog ugljika u vapnencu nHRN EN 13639 ili jednakovrijedna
- Dodaci betonu, mortu i mortu za injektiranje – 2. dio: Dodaci betonu – Definicije, zahtjevi, sukladnost, označavanje i obilježavanje (EN 934-2:2001/A1:2004) HRN EN 934-2/A1:2004 ili jednakovrijedna
- Dodaci betonu, mortu i mortu za injektiranje – 4. dio: Dodaci mortu za injektiranje prednapetih natega. Definicije, zahtjevi, sukladnost, označavanje i obilježavanje (EN 934-4:2001/A1:2004) nHRN EN 934-4 ili jednakovrijedna</t>
  </si>
  <si>
    <t>- Dodaci betonu, mortu i mortu za injektiranje – 5. dio: Dodaci mlaznom betonu. Definicije, zahtjevi, sukladnost, označavanje i obilježavanje (prEN 934-5:2004) nHRN EN 934-5 ili jednakovrijedna
- Dodaci betonu, mortu i mortu za injektiranje – 6. dio: Uzorkovanje, kontrola sukladnosti i vrednovanje sukladnosti (EN 934-6:2001) HRN EN 934-6:2004 ili jednakovrijedna
- Pigmenti za bojenje građevnih materijala na bazi cementa i/ili vapna – specifikacije i metode ispitivanja (EN 12878:1999) HRN EN 12878:2002 ili jednakovrijedna
- Dodaci betonu, mortu i mortu za injektiranje – Ispitne metode – 14. dio: Mjerenje osjetljivosti čelične armature u betonu na koroziju – Potenciostatsko-elektrokemijska ispitna metoda (EN 480-14:2005) nHRN EN 480-14:2005 ili jednakovrijedna</t>
  </si>
  <si>
    <t>- Dodaci betonu, mortu i mortu za injektiranje – Ispitne metode HRN EN 480-1, 480-2, 480-4, 480-5, 480-6, 480-8, 480-10, 480-11, 480-12 ili jednakovrijedne
- Zidarski cement – 2. dio: Metode ispitivanja HRN EN 413-2 ili jednakovrijedna
- Metode ispitivanja mortova za ziđe HRN EN 1015-3, 1015-6, 1015-7, 1015-7, 1015-17 ili jednakovrijedne
- Opće metode ispitivanja pigmenata i sredstava za bubrenje EN ISO 787-3, 787-7, 787-9, 787-13 ili jednakovrijedne</t>
  </si>
  <si>
    <t>- Boje i lakovi HRN EN ISO 1517, 2409, 2431, 2808, 2811-1, 2811-2, 2812-1, 2815 ili jednakovrijedne
- Plastike – polimeri/smole u kapljevitom stanju ili kao emulzije ili disperzije – Određivanje viskoznosti primjenom rotacijskog viskozimetra s određenom brzinom smicanja HRN EN ISO 3219 ili jednakovrijedna
- Boje, lakovi i plastike – Određivanje sadržaja nehlapivih tvari HRN EN ISO 3251 ili jednakovrijedna</t>
  </si>
  <si>
    <t>- Boje i lakovi – Ocjena propadanja prevlaka HRN ISO 4628-1, 4628-2, 4628-3, 4628-4, 4628-5, 4628-6 ili jednakovrijedne
- Boje i lakovi – Ispitivanje padajućom masom HRN EN ISO 6272 ili jednakovrijedna
- Boje i lakovi – Određivanje paropropusnosti HRN EN ISO 7783-1, 7783-2 ili jednakovrijedne
- Boje i lakovi – Određivanje vremena uporabe kapljevitih sustava – Priprema i kondicioniranje uzoraka i smjernice za ispitivanje HRN EN ISO 9514 ili jednakovrijedna</t>
  </si>
  <si>
    <t>- Toplinsko-izolacijski proizvodi za primjenu u zgradarstvu – Povezani sustavi za vanjsku toplinsku izolaciju (ETICS) na osnovi ekspandiranog polistirena – Specifikacija HRN EN 13499:2004 ili jednakovrijedna
- Toplinsko-izolacijski proizvodi za primjenu u zgradarstvu – Povezani sustavi za vanjsku toplinsku izolaciju (ETICS) na osnovi mineralne vune – Specifikacija HRN EN 13500:2004 ili jednakovrijedna
- Zidovi i proizvodi za zidanje – Metode određivanja računskih toplinskih vrijednosti HRN EN 1745:2003 ili jednakovrijedna</t>
  </si>
  <si>
    <t>Samonosivi sendvič izolacijski paneli s obostranim metalnim slojem – Tvornički izrađeni proizvodi – Specifikacije EN 14509:2004 ili jednakovrijedna
Materijali koji nisu obuhvaćeni normama moraju imati certifikate sukladnosti građevinskog proizvoda ili izjavu o sukladnosti građevinskog proizvoda od za to ovlaštenih ustanova. Podloga na koju se nanosi fasadna žbuka ili boja mora biti potpuno očišćena od masnoća, ostataka armature, žice i sl, ravna dovoljno hrapava, u svemu prema zahtjevima proizvođača žbuke. Gotova žbuka (i boja) mora biti ujednačene boje, potpuno ravna, oštrih i zaobljenih bridova (prema projektu), dobro sljubljena sa podlogom (kao i slojevi međusobno), bez pukotina i oštećenja. Radovi se ne smiju izvoditi  po lošem vremenu, koje bi moglo utjecati na kvalitetu radova. Izvođač je dužan dati projektantu na uvid izbor boja i tonova, te izraditi probne uzroke.</t>
  </si>
  <si>
    <t>NAPOMENA:
Fasadni se sustav u svemu izvodi prema tehnologiji i detaljima isporučioca fasadnog sustava, kao i prema opisu u stavci, i uz kontrolu i tehničku podršku tehnologa isporučioca fasadnog sustava.</t>
  </si>
  <si>
    <t>Troškovnikom je naveden fasadni sustav na bazi karbonskih vlakana, ali ponuditelj može ponuditi bilo koji drugi fasadni sustav u istoj ili boljoj kategoriji fasadnog sustava koji može zadovoljiti kriteriji za tamne fasade svjetlosne granice u sljedećem rasponu 20≥HBW≥8.</t>
  </si>
  <si>
    <t>ELEKTRIČNE INSTALACIJE</t>
  </si>
  <si>
    <t>Ovaj troškovnik je izrađen na bazi glavnog projekta. Pojedine stavke i količine će se još u manjoj mjeri mijenjati i dopunjavati radi rješavanja detalja u revizijama izvedbenog projektu. Prije nabave i ugradnje opreme treba dobro proučiti projekt elektroinstalacija i konzultirati se s nadzorom i projektantom. Svi nacrti i troškovnici čine jedinstvenu cjelinu i ne mogu se interpretirati odvojeno.</t>
  </si>
  <si>
    <t>Cijena za svaku točku troškovnika/specifikacije odnosno pripadnu funkcionalnu cijelinu unutar predmetnog sustava, ako i nije posebno navedeno, mora obuhvatiti dobavu, transport, montažu, spajanje, označavnje, po potrebi uzemljenje te sve potrebno za dovođenje stavke u stanje potpune funkcionalnosti.</t>
  </si>
  <si>
    <t>Troškovima su obuhvaćeni svi potrebni pripremni i završni radovi (izrada skela, čiščenje otpada nakon završenih radova, potrebne kontrole  ispitivanja,  puštanja u pogon i drugo, do pune funkcionalnosti).</t>
  </si>
  <si>
    <t>U izradi razvodnih ormara uračunati su sitni i spojni materijal, bravice, zaštitne maske i izolacijske ploče, natpisi strujnih krugova, oznake karakterističnih vrijednosti pojedinih elemenata, postavljanje oznaka na kućišta (opasnost od električnog udara zaštitne mjere, obilježavanje) te postavljanje sheme izvedenog stanja. U razvodnim ormarima treba predvidjeti do 30% rezervnog prostora u odnosu na  projektom predviđene jednopolne sheme.</t>
  </si>
  <si>
    <t>Kod davanja ponude ponuđač je dužan koristiti kompletnu dokumentaciju, a radi otklanjanja svih nejasnoća konzultirati se po potrebi sa projektantom. Radeći ponudu treba imati na umu važeća propise i norme (prihvaćene od Republike Hrvatske i europske odnosno međunarodne u nedostatku istih) za pojedine instalacije, a posebno norme navedene u natječajnoj dokumentaciji i ovoj specifikaciji.</t>
  </si>
  <si>
    <t>Ponuditelj jamči za punu funkcionalnost ponuđene opreme unutar natječajnom dokumentacijom traženog sustava te je stoga dužan ponuditi sve potrebno za osiguranje iste  (problemi s inačicom software-a, operacijskih sustava i sl. te za to potrebnih patch-eva, dodatnih plug-in-ova, raznih vrsta spojnih kablova, različitih sučelja i sl.) čak ako isti i nije posebno specificiran.</t>
  </si>
  <si>
    <t>Sva oprema mora biti atestirana i/ili certificirana te imati potvrdu o sukladnosti sukladno važećim predmetnim zakonima, normizaciji i pravilnicima Republike Hrvatske.
Sustav bez priloženih svih potrebnih atesta, certifikata i/ili potvrda o sukladnosti se ne može preuzeti od strane Investitora.</t>
  </si>
  <si>
    <t>Izmjene tehničkih rješenja i specifikacije vrijede samo uz odobrenje projektanta. Izvođač je dužan uskladiti projektnu dokumentaciju sa stvarnim izvedenim stanjem te istu isporučiti Investitoru kao Projekt izvedenog stanja (vidjeti pripadnu stavku troškova), što je uvijet za primopredaju izvedene instalacije.</t>
  </si>
  <si>
    <t>NAPOMENA: 
Sve razvodne ormare nuditi kao komplet s ugrađenom opremom, ožičene i funkcionalno ispitane, uključivo spajanje instalacije i puštanje u pogon</t>
  </si>
  <si>
    <t>STROJARSKE INSTALACIJE</t>
  </si>
  <si>
    <t>Opći uvjeti reguliraju i specificiraju:
- prava, dužnosti i obveze investitora, izvoditelja radova i projektanta prema projektnoj dokumentaciji
- garanciju za kvalitetu i funkcionalnost postrojenja</t>
  </si>
  <si>
    <t>Stavke iz ovih općih uvjeta treba dosljedno primjenjivati osim:
- ako nije drugačije precizirano ugovorom između investitora i izvoditelja radova
- ako nije drugačije regulirano Zakonom</t>
  </si>
  <si>
    <t>VAŽNA NAPOMENA UZ TROŠKOVNIK:</t>
  </si>
  <si>
    <t>Cijena za svaku točku ove grupe radova podrazumjeva dobavu, montažu, spajanje, te dovođenje u stanje potpune funkcionalnosti uz sva potrebna ispitivanja, probni rad, transport, prikupljanje i ishođenje svih potrebnih izjava o sukladnosti opreme i atesta od ovlaštenih kuća, potrebnih pri tehničkom pregledu objekta, ukoliko nije predviđeno posebnom stavkom.
Podrazumjeva se da je u cijeni  ukalkuliran sav potreban spojni, montažni, ovjesni i ostali materijal potreban za potpuno funkcioniranje, ukoliko nije predviđeno posebnom stavkom.
S izvođačima radova definiranim drugim projektima, izvođač radova po ovom projektu mora uskladiti redoslijed izvođenja radova, kako ne bi došlo do preklapanja s trasama drugih instalacija i položajima opreme.
Sva eventualna neusklađenja izvođač je dužan o svom trošku otkloniti.</t>
  </si>
  <si>
    <t>Ukoliko je za izvođenje pojedinih radova potrebna izrada radioničkih nacrta, podrazumijeva se da su troškovi njene izrade ukalkulirani stavkama troškovnika za te radove.</t>
  </si>
  <si>
    <t>Stavke montaže uključuju korištenje vozila i opreme za prijevoz, dizanje (auto dizalice), te eventualno montažnu skelu.</t>
  </si>
  <si>
    <t>Svi radovi i potrebni materijal moraju se predvidjeti do postizanja pune pogonske gotovosti.
Podrazumijeva se izrada uputstva za rukovanje i održavanje, te elaborata izvedenog stanja.
Podrazumijeva se spajanje i puštanje u rad sistema, probni rad i regulacija sistema obvezno samo od strane ovlaštenog servisera proizvođača opreme, uključivo davanje zapisnika o ispitivanju (buke, ventilacije, kotlovnice…) potrebnih za tehnički pregled objekta.</t>
  </si>
  <si>
    <t>UGOVARANJE</t>
  </si>
  <si>
    <t>Zaključivanjem ugovora o izvođenju strojarskih radova prema ovoj projektnoj dokumentaciji, izvoditelj radova usvaja sve točke ovih općih i tehničkih uvjeta koji su sastavni dio predmetne dokumentacije i isti se tretiraju kao dio ugovora o izvođenju radova.</t>
  </si>
  <si>
    <t>Sukladno važećim zakonskim propisima investitor može na osnovi ove projektne dokumentacije, kada je ista revidirana i odobrena od nadležne službe, zaključiti ugovor o isporuci i ugradnji opreme i materijala pod uobičajenim uvjetima za ovu vrstu radova.</t>
  </si>
  <si>
    <t>Investitor može zaključiti ugovor samo s onim izvoditeljem radova koji ima odgovarajuće reference i koji je registriran za izvođenje radova specificiranih predračunom ove projektne dokumentacije.</t>
  </si>
  <si>
    <t>Prije zaključenja ugovora izvoditelj radova je dužan proučiti projektnu dokumentaciju u kvantitativnom i kvalitativnom smislu, provjeriti rokove i mogućnosti nabavke opreme i materijala, mogućnosti transporta, unošenja i montaže opreme.</t>
  </si>
  <si>
    <t>U slučaju primjedbi ili nejasnoća, izvoditelj radova je dužan iste prije sklapanja ugovora razriješiti s projektantom ili investitorom i sukladno svom nahođenju o tome se pismeno izjasniti investitoru. U protivnom se smatra da nema primjedbi ni bilo kakvih naknadnih potraživanja.</t>
  </si>
  <si>
    <t>U slučaju potrebe za promjenama u projektnoj dokumentaciji izvoditelj radova je dužan za to ishoditi pismenu suglasnost projektanta i investitora.</t>
  </si>
  <si>
    <t>Radovi se ugovaraju po sistemu definiranim ugovorom, a sukladno tehničkim normama, propisima i standardima važećim za predmetne radove.</t>
  </si>
  <si>
    <t>Cijena pojedine stavke je konačna cijena za realizaciju pojedine troškovničke stavke te obuhvaća i sve radnje koje u stavci nisu posebno navedene, a neophodne su za izvedbu pojedine stavke do potpune funkcionalne i pogonske gotovosti.</t>
  </si>
  <si>
    <t>U cijenu stavke treba uzeti u obzir: dobavu, transport, uskladištenje i ugradbu materijala, osnovnog i pomoćnog, sve osnovne i pomoćne radnje i transporte na gradilištu te sve troškove osiguranja uskladištenog materijala.</t>
  </si>
  <si>
    <t>Jedinične cijene su nepromjenjive i primjenit će se na izvedene radove bez obzira u kojem postotku dođe do odstupanja od količina u ovom troškovniku.</t>
  </si>
  <si>
    <t>Jedinične cijene obuhvaćaju sav rad, materijal i organizaciju u cilju izvršenja radova u potpunosti te sukladno glavnom projektu i opisanim stavkama troškovnika.</t>
  </si>
  <si>
    <t>PRIPREMA RADOVA</t>
  </si>
  <si>
    <t>Izvođač radova je obvezan po potpisu ugovora imenovati voditelja radova na građevini, sukladno zakonskim propisima i o tome pismeno obavijestiti investitora.</t>
  </si>
  <si>
    <t>Izvođač radova je obvezan dostaviti investitoru usuglašenu dinamiku izvođenja od početka do završetka radova, s popisom radnika  na građevini.</t>
  </si>
  <si>
    <t>Investitor je dužan prije početka izvođenja radova osigurati izvođaču projektnu dokumentaciju za izvođenje radova.</t>
  </si>
  <si>
    <t>Prije početka radova izvođač radova je dužan detaljno proučiti i provjeriti projektnu dokumentaciju, kontrolirati kompletnost dokumentacije te predložiti eventualno potrebne izmjene i dopune te o tome pismeno zatražiti suglasnost projektanta i investitora.</t>
  </si>
  <si>
    <t>Izvođač radova je dužan provjeriti na građevini da li se radovi mogu izvesti prema projektnoj dokumentaciji, da li na mjestu gdje je predviđeno postavljanje strojarskih instalacije već postoji neka druga instalacija koja ne dopušta izvođenje radova prema projektnoj dokumentaciji.</t>
  </si>
  <si>
    <t>Izvođač je dužan prije početka radova provjeriti stupanj izvedenosti građevinskih i drugih radova kao i građevinske izmjene vezane za postavljanje strojarskih instalacija. Pritom je bitno razmotriti raspoloživost prostora, mogućnost unašanja opreme i sve ostale relevantne čimbenike.</t>
  </si>
  <si>
    <t>OPREMA</t>
  </si>
  <si>
    <t>Izvođač radova je dužan ugraditi opremu specificiranu projektnom dokumentacijom ili neku drugu, čije karakteristike odgovaraju karakteristikama specificirane opreme.</t>
  </si>
  <si>
    <t>Kompletnu opremu i materijal neophodan za izvođenje strojarskih radova, osim istih koje je dužan nabaviti i dopremiti investitor, izvođač radova treba dopremiti na mjesto ugradnje.</t>
  </si>
  <si>
    <t>Sva oprema i materijal moraju biti kvalitetni i imati ateste, odnosno moraju odgovarati odgovarajućem standardu (HR standard, a ako nema odgovarajućeg HR standarda moraju odgovarati nekom priznatom svjetskom standardu).</t>
  </si>
  <si>
    <t>Pored materijala i sam rad mora biti kvalitetno izveden, a sve što bi se u toku rada i kasnije pokazalo nekvalitetno, izvođač je dužan o svom trošku otkloniti.</t>
  </si>
  <si>
    <t>Kod zaprimanja opreme obavlja se vizualna kontrola iste.
O uočenim nedotacima sastavlja se zapisnik koji potpisuje izvoditelj radova i prijevoznik. O tome se obavještava investitor i isporučitelj opreme.
Nije dozvoljena ugradnja neispravne opreme, osim ako se popravak može obaviti i onda kada je ista već ugrađena i ako to ne ide na uštrb održavanja roka za montažu i kvalitetu instalacije.</t>
  </si>
  <si>
    <t>RADOVI</t>
  </si>
  <si>
    <t>Izvođač radova dužan je prije početka radova na privremenom radilištu urediti to radilište i osigurati da se radovi obavljaju sukladno pravilima zaštite na radu.</t>
  </si>
  <si>
    <t>Prilikom izvođenja radova, izvoditelj mora gradilište propisno označiti i ograditi te voditi računa da se ne oštete već izvedeni radovi i dijelovi građevine.</t>
  </si>
  <si>
    <t>Radove treba izvoditi pod stručnom kontrolom inženjera gradilišta koji će zastupati izvođača radova, obavljati svu potrebnu koordinaciju s investitorom te rješavati aktualnu tehničku problematiku na građevini.</t>
  </si>
  <si>
    <t>Izvođač radova dužan je radove izvesti tako da se osigura funkcionalnost, trajnost i kvaliteta instalirane opreme. Radovi se moraju izvoditi sukladno postojećim tehničkim propisima, normativima i standardima.</t>
  </si>
  <si>
    <t>Ukoliko izvođač radova utvrdi da će uslijed eventualno naknadno utvrđenih grešaka u projektnoj dokumentaciji ili pogrešnih uputa od strane investitora, odnosno njegove nadzorne službe radovi biti izvedeni na uštrb trajnosti, kvalitete ili funkcionalnosti instalacije, dužan je o tome pismeno izvjestiti investitora, da ovaj prekine započete radove.
Ako investitor to ne učini, snosi punu odgovornost za nastalu štetu.</t>
  </si>
  <si>
    <t>Radove smije izvoditi samo specijalizirani izvođač radova, u protivnom svu nastalu štetu snosi onaj tko je angažirao nestručnog izvođača.</t>
  </si>
  <si>
    <t>Rušenje, dubljenje i bušenje armirano betonske i čelične konstrukcije smije se vršiti samo uz suglasnost građevinskog nadzornog inženjera.</t>
  </si>
  <si>
    <t>Ukoliko bi bilo koji element iz ovog projekta bio zamijenjen nekim drugim tipom bez prethodne suglasnosti projektanta, projektant ne snosi nikakvu odgovornost za neispravan rad instalacija, već ista automatski prelazi na izvođača.</t>
  </si>
  <si>
    <t>Pri ugradnji, puštanju u pogon, kao i eksploataciji pojedine tehnološke cjeline postrojenja, potrebno se strogo pridržavati uputa proizvođača ugrađene opreme.</t>
  </si>
  <si>
    <t>Izvođač radova dužan je prilikom izvođenja radova voditi građevinsku knjigu u koju unosi sve izvedene radove, isporučenu opremu i materijal.</t>
  </si>
  <si>
    <t>U građevinsku knjigu unosit će se svi podaci o građevini, kao: opis radova koji se izvode, broj radne snage, poteškoće u radu kao i sve izmjene koje se ukažu tijekom izvođenja radova u odnosu na tehničku dokumentaciju.
Građevinska knjiga služi kao baza za sastavljanje situacije za isplatu, kao dokument pri tehničkom pregledu i konačnom obračunu.
Građevinska knjiga predaje se investitoru potpisana od strane izvoditelja i nadzorne službe.</t>
  </si>
  <si>
    <t>U slučaju da tijekom izvođenja dođe do zastoja ili prekida radova zbog razloga za koje nije kriv izvođač, nadzorna služba investitora dužna je vrijeme prekida ili zastoja radova upisati u građevinski dnevnik.</t>
  </si>
  <si>
    <t>Vrijeme zastoja ili prekida obračunava se vrijednošću režijskog sata izvođača radova po prisutnom radniku. U slučaju nastupa više sile koja se zapisnički obostrano konstatira, izvođač radova nema pravo na naknadu za vrijeme trajanja prekida radova.</t>
  </si>
  <si>
    <t>Ako do prekida izvođenja radova dođe zbog razloga za koje je odgovoran izvođač radova, ili ako isti učini materijalnu štetu na građevini i/ili uređajima investitora, dužan je učinjenu štetu u potpunosti nadoknaditi.
Šteta se mora utvrditi zapisnički između zainteresiranih strana.</t>
  </si>
  <si>
    <t>Ako do prekida izvođenja radova dođe zbog razloga za koje je odgovoran investitor ili ako isti odustane od ugovora, investitor je dužan isplatiti do tada obavljene radove.</t>
  </si>
  <si>
    <t>Ukoliko izvođač radova ne izvodi radove solidno i sukladno pravilima struke investitor ima pravo radove prekinuti i provjeriti ih drugom izvođaču radova, a na teret izvođača radova potpisnika ugovora, neovisno o opsegu neizvedenih radova i cijeni koju će postići investitor s drugim izvođačjem radova.</t>
  </si>
  <si>
    <t>IZVEDBENA I OSTALA DOKUMENTACIJA</t>
  </si>
  <si>
    <t>Izvođač radova dužan je u projektnu dokumentaciju unijeti sve izmjene i dopune na instalaciji nastale tijekom izvođenja radova u odnosu na istu, te u vidu projektne dokumentacije izvedenog stanja isporučiti investitoru u dva primjerka.</t>
  </si>
  <si>
    <t>Radioničku dokumentaciju, ukoliko je potrebna, izrađuje i isporučuje izvođač radova.</t>
  </si>
  <si>
    <t>NADZOR NAD IZVEDBOM RADOVA</t>
  </si>
  <si>
    <t>Investitor je obvezan po potpisu ugovora imenovati nadzornu službu koja će pratiti radove i o tome pismeno obavjestiti izvođača radova.</t>
  </si>
  <si>
    <t>Nadzorna služba ovlaštena je da zastupa investitora u svim pitanjima vezanim za izvođenje ugovorenih radova kao njegov opunomoćenik.</t>
  </si>
  <si>
    <t>PREUZIMANJE</t>
  </si>
  <si>
    <t>Nakon obavljene montaže, obavljenih ispitivanja, balansiranja i reguliranja postrojenja te obavljenog probnog pogona, izvoditelj radova daje investitoru zahtjev za primopredaju postrojenja.</t>
  </si>
  <si>
    <t>Investitor je dužan u roku 8 dana od dobivanja zahtjeva (s priloženim kopijama zapisnika o obavljenim ispitivanjima) imenovati komisiju koja će u njegovo ime od izvoditelja radova preuzeti postrojenje.</t>
  </si>
  <si>
    <t>Izvođač je dužan urediti i održavati gradilište do preuzimanja.</t>
  </si>
  <si>
    <t>Tehnička primopredaja instalacija nakon završetka svih radova vrši se u prisustvu nadzornog inženjera, predstavnika investitora i predstavnici tijela nadležnog za izdavanje uporabne dozvole.</t>
  </si>
  <si>
    <t>Na zahtjev investitora, izvođač radova je dužan obučiti osoblje koje će rukovati postrojenjem kad ga investitor preuzme, a troškovi obuke padaju na teret investitora.</t>
  </si>
  <si>
    <t>Troškove pogonskog medija i energije za potrebe ispitivanja, regulacije i probnog pogona snosi investitor.</t>
  </si>
  <si>
    <t>Troškove primopredajne komisije u cijelosti snosi investitor.</t>
  </si>
  <si>
    <t>Izvođač radova je dužan prilikom primopredaje uručiti investitoru svu relevantnu dokumentaciju.</t>
  </si>
  <si>
    <t>GARANCIJA</t>
  </si>
  <si>
    <t>Projektant garantira za funkcionalnost i ostvarenje projektiranih parametara postrojenja pod uvjetom da se radovi izvode kvantitativno  i kvalitativno na način kako je predviđeno projektnom dokumentacijom, odnosno prema pravilima struke.</t>
  </si>
  <si>
    <t>Izvođač radova daje garanciju za kvalitetu radova, trajnost postrojenja te ugrađenu opremu i materijal koji nije atestiran ili nije pod garancijom proizvođača.</t>
  </si>
  <si>
    <t>Garantni rok za ispravnost uređaja i postrojenja teče od dana tehničkog prijema, odnosno predaje instalacije investitoru na korištenje.</t>
  </si>
  <si>
    <t>Sve kvarove i oštećenja koji bi se u tom periodu pojavili zbog primjene loših materijala ili nesolidne izvedbe, izvođač je dužan otkloniti bez prava na naknadu.</t>
  </si>
  <si>
    <t>Garancija ne vrijedi za one dijelove opreme koja bi postala neupotrebljiva nestručnim rukovanjem ili održavanjem od strane investitora ili pak uslijed više sile.</t>
  </si>
  <si>
    <t>Izvođač radova, po pozivu investitora u zakonskom roku, dužan je u garantnom roku otkloniti o svom trošku sve nedostatke na instalacijama odnosno dijelovima instalacija za koje daje garanciju.</t>
  </si>
  <si>
    <t>Ukoliko izvođač radova to ne učini u predviđenom vremenu, investitor može otklanjanje nedostataka povjeriti nekoj drugoj ovlaštenoj organizaciji, a na trošak izvođača radova.</t>
  </si>
  <si>
    <t>DIZALO</t>
  </si>
  <si>
    <t>Opće napomene     
Sve radove izvesti prema opisima pojedinih stavki troškovnika i opisa pojedinih grupa radova. Ako neke stavke imaju nejasan i nedovoljan opis, onda svaki započeti opis pojedine stavke znači cjelokupnu izradu te stavke, to jest nabavu, dopremu materijala, sve prenose i prijevoze, izradu, skidanje oplate, zaštitu, njegovanje pojedinih elemenata po izradi i nakon ugradbe, kao i ostalo. Jediničnom cijenom potrebno je obuhvatiti sve elemente navedene kako slijedi:
a) izvođač radova dužan je prije početka radova provjeriti kote postojeċeg stanja terena u odnosu na relativnu kotu (0,00) kod svih ulaza i kod svih nutarnjih podnih ploča kao i za ulazne instalacije.
b) ukoliko se ukažu eventualne nejednakosti između projekta i stanja na gradilišta izvođač radova dužan je pravovremeno o tome pismeno izvjestiti investitora, projektanta i nadzornog inženjera te shodno s tim zatražiti potrebna objašnjenja.
c) sve mjere u projektima provjeriti na gradilištu,
d) svu potrebnu provjeru točnosti količina u dokaznici mjera i troškovniku vršiti bez posebne naplate to jest o trošku izvođača radova.
Ove opće napomene odnose se na radove dobave, dopreme i montaže dizala, a sve u cilju ostvarenja što lakših, bržih i efikasnijih vertikalnih transporta.
Ovi radovi izvode se prema posebnom projektu za dizala. Tehnički opis iz projektne dokumentacije koji se odnosi na ovu vrstu radova, smatra se sastavnim dijelom ovih općih napomena, odnosno sastavnim dijelom ovog troškovnika.</t>
  </si>
  <si>
    <t>Radove iz ovog poglavlja izvesti stručno, solidno i isključivo prema opisu iz ovog troškovnika, tehničkoj dokumentaciji kao i isključivo po odabiru, uputstvima i odobrenjima glavnog projektanta.
Svi radovi trebaju biti izvedeni u potpunosti u skladu sa tehničkim propisima za ovu vrstu radova i dobrim uzancama struke.
Svi materijali koji se upotrebljavaju moraju odgovarati hrvatskim standardima i normama ili jednakovrijednim, važećim normama u RH ili jednakovrijednim, te prije početka izvođenja njihove ateste, certifikate i izjave o sukladnosti predočiti nadzornom inženjeru. Oni materijali koji nisu obuhvaćeni hrvatskim standardima i normama moraju biti atestirani od strane drugih ovlaštenih ustanova za namjenu za koju se koriste, te također rezultate ispitivanja istih predočiti nadzornom inženjeru prije početka izvođenja radova.
Nije dozvoljen početak ugradbe materijala prije predočenja važećih atesta i certifikata.</t>
  </si>
  <si>
    <t>Izvođač radova iz ovog poglavlja dužan je permanentno primjenjivati sve mjere zaštite na radu u smislu hrvatskih zakona i propisa.
Svaka stavka ovog troškovnika smatra se završenom isključivo ako je kompletno izvedena i dovedena do pune funkcionalnosti, pa u smislu toga jedinačna i ukupna cijena trebaju sadržavati sljedeće:
 - kompletna mobilizacija i demobilizacija gradilišta
 - pregled gradilišta odnosno objekta, te eventualno uzimanje mjera
 - izrada potrebne radioničke i tehničke dokumentacije
 - sve transporte izvan gradilišta
 - sve horizontalne i vertikalne transporte unutar gradilišta do mjesta ugradbe  
 - troškove skladištenja
 - sav potreban rad i materijal bilo pomoćni ili osnovni
 - potrebne skele ili montažne dizalice za montažu dizala
 - troškove svih potrebnih energenata (struja, voda, plin i sl.)
 - svi vezani posredni i neposredni troškovi (doprinosi, porezi, prirezi, takse i sl.) 
 - troškovi osiguranja i čuvanja materijala, opreme i izvedenih radova do primopredaje
 - čišćenje radnog prostora nakon završetka svake faze rada te prijenos otpadnog materijala na gradsku deponiju
 - svi troškovi vezani za primjenu mjera zaštite na radu</t>
  </si>
  <si>
    <t>Materijali
Pod tim se podrazumijeva sama cijena materijala to jest dobavna cijena i to glavnih i pomočnih materijala, tako i veznog materijala i ostalo. U tu cijenu potrebno je uključiti cijenu prijevoza bez obzira na vrstu prijevoznog sredstva, udaljenost sa svim potrebnim utovarima, istovarima i prenosom do skladišta te prenosa do mjesta ugradnje. Nadalje uključiti cijenu čuvanja, zaštite i skladištenja materijala do ugradnje.
Rad
U kalkulaciji rada treba uključiti sav potreban rad, kako glavni tako i pomoćni, te sav vanjski i unutarnji prijenos bilo ručni bilo pomoću strojeva. Skele ili dizalica za montažu opreme u bez obzira na visinu, ulaze u jediničnu cijenu dotične stavke  troškovnika.
Izmjere
Ukoliko u pojedinoj stavci troškovnika nije dat način obračuna radova, isti se obračunava prema važečim građevinskim normama u upotrebi u Republici Hrvatskoj. Kod paušala izvođač mora sam procijeniti vrijednost pojedinih stavaka koje se obračunavaju u paušalu, te isti izvesti bez prava na dodatne iznose za te stavke. Ukoliko je u troškovniku nešto nejasno treba tražiti dodatna pojašnjenja od naručitelja prije davanja ponude, jer se kasniji prigovori neće uzeti u obzir, kao niti priznati bilo kakvi dodatni troškovi.</t>
  </si>
  <si>
    <t>Radovi koji nisu u cijeni i koji ne ulaze u obaveze izvoditelja, odnosno ugraditelja dizala:
• Otvor(i) za odimljavanje u atmosferu - pri vrhu voznog okna, prema uvjetima zadanima u tekstu i nacrtima projekta ugradnje dizala
• Dozvoljena temperatura u voznom oknu: min. +5 °C, max +40 °C
• Napajanje i svi vodovi za dizalo
• Analogna telefonska linija za dvosmjerni komunikacijski uređaj u kabini dizala, dovedena do upravljačkog ormara dizala
• Ispunjavanje zazora između vrata voznog okna i građevinskog otvora za vrata voznog okna vatrootpornim materijalom sukladno vatrootpornosti stijena voznog okna na granici požarnog odjeljka (prema PMZOP)
• Završna obrada građevinskog otvora za vrata voznog okna nakon ugradnje dizala
• Osvjetljenje ispred upravljačkog ormara dizala 200 luxa, mjereno na podu. Osvjetljenje na prilazima voznom oknu min. 50 luxa, mjereno na podu
• Spajanje postrojenja dizala na instalaciju za izjednačavanje potencijala u objektu</t>
  </si>
  <si>
    <t>Obveza izvođača građevinsko-obrtničkih radova:
Prednju stijenu voznog okna dizala izvesti u visak (dozvoljena tolerancija  ±0,5 cm), kako bi se vatrootporna vrata pri ugradnji prislonila na prednju stijenu voznog okna, bez pojave zazora (fuga). Ukoliko se prednja stijena NE izvede kako je navedeno i nakon ugradnje se pojave zazori (fuge) prema voznom oknu, Izvoditelj radova će izvesti vatrootporno brtvljenje zazora (fuga) sukladno odredbama Prikaza mjera/Elaborata zaštite od požara. Izvesti vatrootporno brtvljenje prodora el. instalacija u vozno okno dizala oko el. instalacije za pozivne kutije, pokazivače položaja i sl.
Dimenzije i pozicija otvora za odimljavanje/ventilaciju izvodi se sukladno Prikazu mjera/Elaboratu zaštite od požara.</t>
  </si>
  <si>
    <t>NAČELA DNSH KOJA SE OBAVEZNO MORAJU POŠTIVATI:</t>
  </si>
  <si>
    <t>1.</t>
  </si>
  <si>
    <t>Tijekom gradnje građevine potrebno je posebnu pažnju posvetiti rješenjima za gospodarenje građevnim otpadom.
Tijekom građenja građevine izvođač je dužan gospodariti građevnim otpadom nastalim tijekom građenja i/ili pri uklanjanju građevine ili njezinog dijela na gradilištu, te oporabiti i/ili zbrinuti građevni otpad nastao tijekom građenja na gradilištu te o tome na gradilištu imati propisanu dokumentaciju sukladno propisima koji uređuju gospodarenje otpadom.
Materijal nastao rušenjem izvođač je dužan privremeno deponirati u neposrednoj blizini objekta, te ga po završetku radova zbrinuti u skladu s hijerarhijom otpada i EU Protokolom o gospodarenju građevinskim otpadom i rušenjem.
Izvođač je dužan najmanje 70% neopasnog građevinskog otpada i otpada od rušenja nastalog na gradilištu pripremiti za ponovnu uporabu, recikliranje i korištenje drugog materijala, uključujući operacije zatrpavanja za otpad koji zamjenjuje druge materijale.
Prema karakteristikama dijelova građevine koji se uklanjaju, ocjenjuje se da će nakon uklanjanja u najvećoj mjeri nastati neopasni i/ili inertni građevinski materijal.
Nakon uklanjanja građevine potrebno je sav nastali otpad od uklanjanja zbrinuti po ključnim brojevima otpada, u skladu s odredbama Zakona o gospodarenju otpadom (NN 84/21).
Sav otpad, građevinski i ostali, koji ostaje na lokaciji objekta nakon rušenja potrebno je pohraniti i odložiti na prostorima predviđenim za to. Otpad je potrebno sortirati prema ključnim brojevima.
Sve ukalkulirati u jedinične cijene kod nuđenja.</t>
  </si>
  <si>
    <t>Propisi:
Zakon o održivom gospodarenju otpadom (NN 94/13, 73/17, 14/19, 98/19), Pravilnik o gospodarenju otpadom (NN 106/22), Pravilnik o građevinskom otpadu i otpadu koji sadrži azbest (NN 69/16)</t>
  </si>
  <si>
    <t>2.</t>
  </si>
  <si>
    <t>Za ugrađene materijale potrebna je dostava CO2 otiska.</t>
  </si>
  <si>
    <t>3.</t>
  </si>
  <si>
    <t>Kod izvođenja radova gdje god je to moguće koristiti se sivom vodom za koju je potrebno kod organizacije gradilišta predvidjeti spremnike.
Sve ukalkulirano u režijske troškove gradilišta.</t>
  </si>
  <si>
    <t>jedinična 
cijena (euro)</t>
  </si>
  <si>
    <t>I.</t>
  </si>
  <si>
    <t>ZGRADA 11</t>
  </si>
  <si>
    <t>A.</t>
  </si>
  <si>
    <t>GRAĐEVINSKO-OBRNIČKI RADOVI</t>
  </si>
  <si>
    <t>1.1.</t>
  </si>
  <si>
    <t>Dobava, postava, skidanje i otprema cijevne fasadne skele, od bešavnih cijevi. Skelu izvesti prema važećim HTZ propisima. Skelu je potrebno osigurati od prevrtanja, sidrennjem u građevinu, a od udara munje uzemljenjem. Potrebno je izvesti pomične željezne ili drvene ljestve – penjalice u svrhu osiguranja vertikalne komunikacije po skeli. Prije izvedbe skele izvođač je dužan izraditi projekt skele, što je u cijeni stavke. Obračun se vrši po m² vertikalne projekcije površine skele. Stavka uključuje rad i materijal osnovni i pomoćni, sve do potpune funkcionalnosti.</t>
  </si>
  <si>
    <t>m2</t>
  </si>
  <si>
    <t>1. Skela ukupno:</t>
  </si>
  <si>
    <t>8.</t>
  </si>
  <si>
    <t>8.9.</t>
  </si>
  <si>
    <t>Izrada i ugradnja grube žbuke pročelja zgrade od opeke. Prije žbukanja podlogu špricati rijetkim cementnim mortom. Žbuka se produžnim mortom M-10 debljine do 4 cm. Visina žbukanja do 5,0 m. Stavka uključuje sav materijal, rad i upotrebu radne skele.</t>
  </si>
  <si>
    <t>8.10.</t>
  </si>
  <si>
    <t>Izrada i ugradnja grube i fine žbuke  s vanjske strane temelja i sokla prije postavljanje hidroizolacije. Prije žbukanja podlogu špricati rijetkim cementnim mortom. Žbuka se produžnim mortom M-10 debljine do 4 cm. Visina žbukanja do 5,0 m. Stavka uključuje sav materijal, rad.</t>
  </si>
  <si>
    <t>8. Zidarski radovi ukupno:</t>
  </si>
  <si>
    <t>9.</t>
  </si>
  <si>
    <t>RAZNI ZIDARSKI RADOVI</t>
  </si>
  <si>
    <t>9.1.</t>
  </si>
  <si>
    <t>Brtvljenje fasadnih otvora (prozora, stijena i vrata) samoljepljivom trakom.
Dobava i ugradnja samoljepljive gumirane trake za fiksiranje.
Tehničke karakteristike koje proizvod mora zadovoljiti:
- Širina min. 5cm
- Otpornost na trganje: ≥150 N/50 mm
- Izduženje do sloma: ≥20%
Trake se lijepe na prethodno otprašenu podlogu, otprašivanje uključeno u stavci. Stavka uključuje sav rad i materijal osnovni i pomoćni. Sve izvesti prema pravilima struke i po uputi proizvođača. Obračun po m'.</t>
  </si>
  <si>
    <t>a)</t>
  </si>
  <si>
    <t>postava s vanjske strane</t>
  </si>
  <si>
    <t>m'</t>
  </si>
  <si>
    <t>b)</t>
  </si>
  <si>
    <t>postava s unutarnje strane</t>
  </si>
  <si>
    <t>9.2.</t>
  </si>
  <si>
    <t>Obrada špaleta oko otvora u vanjskom zidu. Krpanje i nanos izravnavajućeg sloja produžnim mortom M-5. Stavka uključuje sav materijal i rad, te upotrebu radne skele.</t>
  </si>
  <si>
    <t>vanjska obrada špalete</t>
  </si>
  <si>
    <t>unutarnja obrada špalete</t>
  </si>
  <si>
    <t>9.3.</t>
  </si>
  <si>
    <t>Zidarski popravak površina ispod prozorskih klupčica koji obuhvaća:
- nabavu nedostajućih cigli
- nabavu i pripremu veznog materijala
- zidarsko zatvaranje i dopunjavanje rupa.
Stavka uključuje sav materijal i rad, te upotrebu radne skele.</t>
  </si>
  <si>
    <t>9.4.</t>
  </si>
  <si>
    <t>Nabava materijala i izrada izravnavajućeg sloja cementne glazure debljine 4-6 cm s gornje strane  prozorskih klupčica, a prije postave limenog opšava i prozorskih klupčica. Pad izvesti od građevine. Stavka uključuje sav materijal i rad, te upotrebu radne skele. Obračun po m² površine.</t>
  </si>
  <si>
    <t>9.5.</t>
  </si>
  <si>
    <t>Zidarska obrada nakon postave limarije. Krpanje žbuke po postavi limarskih opšava vijenaca i prozorskih klupčica s produžnim mortom. Krpanje izvesti na način da se između zida i horizontalnog dijela limarskih opšava izvodi uvučena reška širine 1-2 cm. Stavka uključuje sav materijal i rad, te upotrebu radne skele. Obračun po m² površine.</t>
  </si>
  <si>
    <t>9.6.</t>
  </si>
  <si>
    <t>Dobava, horizontalna i vertikalna (uz unutarnje zidove) postava PE folije d = 0,25 mm kao zaštita od međukontakta toplinske izolacije i hidroizolacije, slojevi poda na tlu. Stavka uključuje rad i materijal osnovni i pomoćni i preklop od 20 cm.</t>
  </si>
  <si>
    <t>9. Razni zdarski radovi ukupno:</t>
  </si>
  <si>
    <t>13.</t>
  </si>
  <si>
    <t>NAPOMENA:
Kod svih stavaka u cijenu uključiti detaljan pregled površine na koju se hidroizolacija postavlja i njeno eventualno potrebno pranje, odmašćivanje, čišćenje od neravnina.</t>
  </si>
  <si>
    <t>13.3.</t>
  </si>
  <si>
    <t>Dobava i ugradnja materijala za izolaciju  stropa prizemlja između veznih greda  na način da se između greda ispunjava kompaktnim pločama od kamene mineralne vune specifične gustoće 30 kg/m³, vrijednosti toplinske provodljivosti λ ≤ 0,037 W/mK. Potrebna debljina izolacije između rogova je 12,00 cm.  Sve izvesti prema pravilima struke i prema uputama proizvođača. U stavku uključen sav rad i materijal osnovni i pomoćni, sve do potpune gotovosti.</t>
  </si>
  <si>
    <t>13.4.</t>
  </si>
  <si>
    <t>Dobava i ugradnja materijala za izolaciju stropa prizemlja, na način da se ispod veznih greda postavlja višenamjenska izolacijska ploča od kamene vune kaširana s alu folijom s donje strane. Potrebna debljina izolacije ispod rogova je d = 4,0 cm. 
Karakteristike tražene izolacije su:
- gustoća 30 kg/m³
- toplinske provodljivosti λ ≤ 0,037 W/mK prema normi HRN EN 12667 ili jednakovrijednoj
- HRN EN 13162: MW-EN13162-T5-DS(TH)-WS-AF5 ili jednakovrijednoj
- klasa gorivosti prema normi HRN EN 13501-1: A1 ili jednakovrijednoj
Sve izvesti prema pravilima struke i prema uputama proizvođača. U stavku uključen sav rad i materijal osnovni i pomoćni, sve do potpune gotovosti.</t>
  </si>
  <si>
    <t>13.7.</t>
  </si>
  <si>
    <t>Dobava i ugradnja ekstrudiranog polistirena (XPS) debljine 10 cm glatke površine i stepenastog ruba, koeficijenta toplinske provodljivosti λ≤0,035W/mK, tlačne čvrstoće 300 kPa. Ploče se postavljaju vertikalno kao toplinska izolacija nadtemeljnog zida i temelja. Izolaciju je potrebno zaljepiti za podlogu koristeći polimer-bitumensko ljepilo (1,6 kg/m²), uključeno u cijenu stavke. Sve izvesti  pravilima struke i  uputama proizvođača. U stavku uključen sav rad i materijal osnovni i pomoćni, sve do potpune gotovosti.</t>
  </si>
  <si>
    <t>13. Termoizolaterski radovi ukupno:</t>
  </si>
  <si>
    <t>23.</t>
  </si>
  <si>
    <t>FASADA SVJETLOSNE GRANICE 20≥HBW≥8</t>
  </si>
  <si>
    <t>23.1.</t>
  </si>
  <si>
    <t>Dobava i ugradnja potrebnih materijala za izvedbu  sokla fasadnog toplinsko izolacijskog sustava (svjetlosna granica  20≥HBW≥8) sa namjenskim izolacijskim pločama XPS namijenjenih za izolaciju sokla, d= 10 cm, armirnog sloja ojačanog karbonskim vlaknima, završne silikonske žbuke ojačane karbonskim vlaknima, te završnog bojanja fasadnom bojom ojačanom karbonskim vlaknima u tamnoj nijansi (svjetlosna granica  HBW≥8).
Cijena stavke uključuje dobavu i postavu komponenti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ukoniti sve masnoće i tvari koje razdvajaju. Sokl se izvodi u nastavku i ravnini sa gornjim dijelom fasade, bez vidljivog prijelaza, bez izvedbe razvajajuće šine, sa istim slojem završne žbuke ojačane karbonskim vlaknima. Završni sloj žbuke dodtano se zaštićuje na dijelu netom ispod razine tla i 5 cm iznad tla sa vodoodbojnim premazom i premazuje završnom fasadnom bojom ojačanom karbonskim vlaknima. Detalj izvesti prema projektu i prema tipskom detalju odabranog proizvođača fasadnog sustava. 
Redoslijed izvođenja:</t>
  </si>
  <si>
    <t>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10 cm. 
Lijepljenje se izvodi vapno/cementnim suhim mortom, s hidrauličkim vezanjem, namijenjen za lijepljenje fasadnih izolacijskih ploča i ploča za sokl, posebno na bitumenskim podlogama, isključivo iz atestiranog sustava proizvođača fasade, uz ostvarivanje kontaktne površine od min. 40%. 
Tehničke karakteristike koje mort mora zadovoljit:
• gustoća svježeg morta prema EN 1015-10 ili jednakovrijedno:  1,70 g/cm³
•  prionjivost prema EN 1015-12 ili jednakovrijedno: 0,5 N/mm²</t>
  </si>
  <si>
    <t>2) Mehaničko pričvršćivanje odgovarajućim pričvrsnicama, u iz atestiranog sustava proizvođača, samo u zoni više od 30 cm iznad razine tla, a njihov broj po m² površine potrebno je dokazati statičkim proračunom (u praksi min. 6 kom/m²).  Upuštene pričvrsnice zatvoriti odgovarajućim rondelama iz sustava proizvođača. Tip pričvrsnice obavezno uskaditi sa traženom nosivosti i vrstom podloge na koju se postavljaju. Obaveza je izvođača provjeriti razinu izvedene hidroizolacije kako se prilikom izvedbi pričvrsnica hidroizolacija ne bi oštetila.</t>
  </si>
  <si>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min 5 mm. Položaj mrežice u gornjoj trećini sloja. 
Tehničke karakteristike armirne mase:
• Gustoća čvrstog morta (ÖN EN 1015-10): 1,40 g/cm³
• Klasa morta ÖN EN 998-1: CS IV
• Toplinska provodljivost: λ10, suho EN 1745: 0,464W/(m.K) Tablična srednja vrijednost (P=50%)
• Difuzijski otpor μ (H2O): μ=ca. 50 (EN ISO 7783)
• Ponašanje u požaru: Klasa A1
• Koeficijent apsorpcije vode: ÖN EN 998-1: Klasa Wc 2 ETAG 004: ≤ 0,15 kg/m²/24h
• Konzistentnost: prah
• Vlačna čvrstoća: ÖN EN 1015-12: ≥ 0,5 N/mm2, EPS-F / ETAG 004: ≥0,08N/mm² ili lom izolacijskog materijala</t>
  </si>
  <si>
    <t>4) Po izvedbi armirnog sloja nakon odgovarajućeg sušenja a prije izvedbe završnih slojeva izvodi se specijalni pigmentirani temeljni premaz iz sustava proizvođača fasadnog sustava. Temeljni premaz protiv IR zraka, namijen je za premazivanje mineralnih i pastoznih armirnih masa – umjesto temeljnih premaza – za smanjenje termičkog zagrijavanja na visokoizoliranim podlogama pod pastoznim strukturnim žbukama. Premaz se nanosi nerazrijeđen.</t>
  </si>
  <si>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 0,05 [kg/(m2xh0,5)] W3 niska
• Difuzijski otpor µ prema EN ISO 7783: 65 V1 visok
• Toplinska provodljivost λ10,suho prema EN 1745: 1,09 W/(m.K) Tablična srednja vrijednost (P=50 %)
• Reakcija na požar prema ÖN EN 13501-1: Euroklasa A2</t>
  </si>
  <si>
    <t>6) Po adekvatnom sušenju, na izvedeni sloj žbuke u podnožju se izvodi zaštitni premaz 2-komponentnom masa za lijepljenje i armiranje, ojačanom karbonskim vlaknima kao zaštitni brtveni premaz u podnožju / području dodira s tlom (izvodi se ispod razine tla dokle seže završna žbuka i 5 cm iznad razine tla).  Služi kao prikladna zaštita od vlage u vidu predpremaza ili izravnavajućeg sloja na armirnim masama ispod razine zemlje i 30 cm iznad. Premaz se izvodi 5 cm iznad razine tla. Nanosi se kistom ili četkom razrijeđen s maks. 5% čiste vode. Premazom obavezno temeljito zaštititi završnu površinu žbuke ispod zemlje. Prije upotrebe materijal se miješa sa cementom prema uputi iz tehničke informacije. 
Karekteristike premaza: 
• Difuzijski otpor µ (H2 O): 1350
• Difuzivno ekvivalentna debljina zračnog sloja Sd H2O: 2,7 m (DIN 52615 ili jednakovrijedno)
• Koeficijent apsorpcije vode: razred III, nizak, prema DIN EN 1062-3 ili jednakovrijedno
• Kapilarno upijanje vode:Kapilarno upijanje vode &lt; 0,02 kg/m2 h 0,5 prema DIN EN 1062 ili jednakovrijedno zajamčena granična vrijednost: 0,1 kg/m2  h0,5</t>
  </si>
  <si>
    <t>7) Nakon sušenja završne žbuke i izvedenog vodoodbojnog premaza,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tonirati u tamnoj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</si>
  <si>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</si>
  <si>
    <t>23.2.</t>
  </si>
  <si>
    <t>Dobava i ugradnja potrebnih materijala za izvedbu ETICS fasadnog toplinsko izolacijskog sustava  za tamne fasade (svjetlosna granica 20≥HBW≥8)  s  izolacijskim pločama od mineralne vune, koeficijenta toplinske provodljivosti λ≤0,035,
 d= 5-14 cm,  armirnih slojeva ojačanim karbonskim vlaknima, završne žbuke ojačane karbonskim vlaknima te završnog bojanja nanohibridnom fasadnom bojom ojačanom karbonskim vlaknima za optimalnu refleksiju kod tamnih tonova kao u tamnoj nijansi (svjetlosna granica HBW≥8).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Obaveza je također provjeriti stanje podloge te prema potrebi podlogu adekvatno pripremiti pranjem, čišćenjem i nanošenjem odgovarajućeg temeljnog premaza. Sokl se izvodi u nastavku i ravnini sa gornjim dijelom fasade, bez vidljivog prijelaza, bez izvedbe razvajajuće šine, sa istim slojem završne silikonske žbuke ojačane karbonskim vlaknima i premazuje završnom fasadnom bojom ojačanom karbonskim vlaknima. Cijena stavke uključuje dobavu i postavu komponenti prema uputama proizvođača. Sve elemente fasade ponuditi u okviru atestiranog sustava proizvođača fasade. 
Redoslijed izvođenja:</t>
  </si>
  <si>
    <t xml:space="preserve">1) Lijepljenje fasadnih izolacijskih ploča od mineralne vune, debljine, d = 5-14 cm. 
Tehničke karakteristike proizvoda:
• reakcija na požar: razred A1 prema HRN EN 13501-1 ili jednakovrijednoj   
• deklarirana toplinska provodljivost, 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
  </si>
  <si>
    <t>Tehničke karakteristike koje mort mora zadovoljit:
• Gustoća čvrstog morta (ÖN EN 1015-10 ili jednakovrijedno): 1,70 g/cm³
• Klasa morta ÖN EN 998-1 ili jednakovrijedno: CS IV
• Toplinska provodljivost: λ10, suho EN 1745 ili jednakovrijedno: 0,77 W/(m.K) Tablična srednja vrijednost (P=50%)
• Difuzijski otpor μ (H2 O): μ= 75 (EN ISO 7783 ili jednakovrijedno)
• Vlačna čvrstoća vezanja: ÖN EN 1015-12 ili jednakovrijedno: 0,5 N/m2, EPS-F/MW*/LS */Konoplja* ETAG 004: ≥0,08N/mm² * ili lom izolacijskog materijala
• Ponašanje u požaru: Klasa A1</t>
  </si>
  <si>
    <t>2) Mehaničko pričvršćivanje odgovarajućim upuštenim pričvrsnicama, u iz atestiranog sustava proizvođača, a njihov broj po m² površine potrebno je dokazati statičkim proračunom (u praksi min. 6 kom/m²).  Upuštene pričvrsnice zatvoriti rondelama za mineralnu vunu. Tip pričvrsnice obavezno uskaditi sa vrstom podloge na koju se postavljaju.</t>
  </si>
  <si>
    <t>3) Kompletno armiranje postavljenih izolacijskih ploča nanošenjem, mineralnog, karbonskim vlaknima ojačanog, bijelog vapnenocementnog morta za armiranje.  Debljina prvog sloja je 3 mm u koji se utiskuje tekstilno-staklena, alkalno otporna mrežica, veličine otvora 4×4 mm s preklopom od minimalno 10 cm. Po izvedenom utiskivanje mrežice nanosi se drugi izravnavajući sloj armirne mase. Ukupna debljina armirnog sloja treba biti 5 mm. Položaj mrežice u gornjoj trećini sloja. 
Tehničke karakteristike armirane mase: 
• Gustoća čvrstog morta (ÖN EN 1015-10 ili jednakovrijedno):  1,40 g/cm³
• Klasa morta ÖN EN 998-1 ili jednakovrijedno: CS IV
• Toplinska provodljivost: λ10, suho EN 1745 ili jednakovrijedno: 0,464W/(m.K) Tablična srednja vrijednost (P=50%)
• Difuzijski otpor μ (H2O): μ=50 (EN ISO 7783 ili jednakovrijedno)
• Ponašanje u požaru: Klasa A1
• Koeficijent apsorpcije vode: ÖN EN 998-1 ili jednakovrijedno: Klasa Wc 2, ETAG 004: ≤ 0,15 kg/m²/24h
• Konzistentnost: prah
• Vlačna čvrstoća: ÖN EN 1015-12 ili jednakovrijedno: ≥ 0,5 N/mm2, EPS-F / ETAG 004: ≥0,08N/mm² ili lom izolacijskog materijala</t>
  </si>
  <si>
    <t>5) Nakon adekvatnog sušenja na naneseni temeljni premaz nanosi se sloj završne žbuke, vrlo difuzivne, ojačane karbonskim vlaknima, s istaknutim efektom vodenih perli i fotokatalitičkim djelovanjem, u  veličini zrna d=2 mm i  tamnoj nijansi (svjetlosna granica HBW≥8) prema izboru projektanta (u nijansi završne boje).   
• Stopa propusnosti vode w prema ÖN EN 1062-3 ili jednakovrijedno: ≤ 0,05 [kg/(m2xh0,5)] W3 niska
• Difuzijski otpor µ prema EN ISO 7783 ili jednakovrijedno: 65 V1 visok
• Toplinska provodljivost λ10, suho prema EN 1745 ili jednakovrijedno: 1,09 W/(m.K) Tablična srednja vrijednost (P=50 %)
• Reakcija na požar prema ÖN EN 13501-1 ili jednakovrijedno: Euroklasa A2  
Žbuka se izvodi u dvije granulacije: na ravnom dijelu fasade u krupnijoj i na mjestima prozora finijoj.</t>
  </si>
  <si>
    <t>6) Nakon sušenja završne žbuke, dodatni zaštitni premaz visokokvalitetnom nanohibridnom fasadnom bojom za optimalnu solarnu refleksiju kod tamnih tonova, ojačanom karbonskim vlaknima  hidrofobne, velike paropropusnosti, s efektom vodenih perli, efektom samočišćenja i otporne na atmosferilije i mikroorganizme. Boju nanijeti u jednom sloju. Boju tonirati u nijansi prema izboru projektanta (svjetlosna granica HBW≥8).
• vodoupropusnost (w vrijednost): &lt; 0,06 [kg/(m2 x h0,5 )], razred "niska vodopropusnost” prema normi DIN EN 1062 ili jednakovrijednoj 
• paropropusnost (sd-H20): &lt; 0,03 m,  razred "visoki stupanj difuzije vodene pare” prema normi DIN EN 1062-2 ili jednakovrijednoj</t>
  </si>
  <si>
    <t>Dobava i postava ostalog pribora (kutni profili, okapni profili, te špaletni elementi za prozore i vrata, dilatacijskih profila, završnih profila za žbuku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</si>
  <si>
    <t xml:space="preserve">Izvedba ETICS fasadnog toplinsko izolacijskog sustava s izolacijskim pločama od kamene vune debljine 14 cm </t>
  </si>
  <si>
    <t>Izvedba ETICS fasadnog toplinsko izolacijskog sustava s izolacijskim pločama od kamene vune debljine 10 cm</t>
  </si>
  <si>
    <t>c)</t>
  </si>
  <si>
    <t xml:space="preserve">Izvedba ETICS fasadnog toplinsko izolacijskog sustava s izolacijskim pločama od kamene vune debljine 8 cm </t>
  </si>
  <si>
    <t>d)</t>
  </si>
  <si>
    <t>Izvedba ETICS fasadnog toplinsko izolacijskog sustava s izolacijskim pločama od kamene vune debljine 5 cm</t>
  </si>
  <si>
    <t>e)</t>
  </si>
  <si>
    <t>Obrada špaleta širine do 25 cm</t>
  </si>
  <si>
    <t>FASADA SVJETLOSNE GRANICE  HBW≥20</t>
  </si>
  <si>
    <t>23.3.</t>
  </si>
  <si>
    <t>Dobava i ugradnja potrebnih materijala za izvedbu  sokla ETICS fasadnog toplinsko izolacijskog sustava s izolacijskim pločama XPS, namjenskih ploča za podnožje, koeficijenta toplinske provodljivosti λ≤0,035, d=10 cm, armirnih slojeva  i završne silikonske žbuke ojačane karbonskim vlaknima u svijetloj nijansi (HBW≥ 20) i premazuje završnom fasadnom bojom ojačanom karbonskim vlaknima. Kao opciju stavka uključuje i vodoodbojnu zaštitu najdonjeg dijela sokla vodoodbojnim premazom.
Cijena stavke uključuje dobavu i postavu komponenti prema uputama proizvođača. Sve elemente fasade ponuditi u okviru atestiranog sustava proizvođača fasade. Obaveza je također provjeriti stanje podloge te prema potrebi podlogu adekvatno pripremiti pranjem, čišćenjem i nanošenjem odgovarajućeg temeljnog premaza što je obračunato u stavci. Kako se većina fasade izvodi na podlozi od betona ukoliko je podloga upojna preporuka je izvedba temeljnog vodorazrjedivog premaza razrijeđenog s vodom ovisno o upojnosti podloge. 
Redoslijed izvođenja:</t>
  </si>
  <si>
    <t xml:space="preserve">1) U zoni podnožja, ljepljenje izolacijskih XPS, namjenskih ploča za podnožje (do max 20 cm ispod razine tla) iz atestiranog sustava proizvođača fasade isključivo namjenjenih za izolaciju sokla, koeficijenta toplinske provodljivosti  λ≤0,035, tlačne čvrstoće CS (10)150≥ 150 kPa, difuzijskog upijanja vode EN12088 WD(V)5≤5%, vodoupojnosti kod potpunog uranjanja EN12087 WL(T)3≤3%. Debljina ploče d= 20 cm.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zadovoljiti:
• Gustoća čvrstog morta (ÖN EN 1015-10=: 1,70 g/cm³
• Klasa morta ÖN EN 998-1: CS IV
• Toplinska provodljivost: λ10, suho EN 1745: 0,77 W/(m.K) Tablična srednja vrijednost (P=50%)
• Difuzijski otpor μ (H2 O): μ= 75 (EN ISO 7783)
• Vlačna čvrstoća vezanja: ÖN EN 1015-12: 0,5 N/m2, EPS-F/MW*/LS */Konoplja* ETAG 004: ≥0,08N/mm² * ili lom izolacijskog materijala
• Ponašanje u požaru: Klasa A1 </t>
  </si>
  <si>
    <t>2)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</si>
  <si>
    <t>3) Po izvedbi armirnog sloja nakon odgovarajućeg sušenja a prije izvedbe završnih slojeva izvodi se temeljni premaz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</si>
  <si>
    <t>4) Nakon adekvatnog sušenja na naneseni temeljni premaz nanosi se sloj završne žbuke, vrlo difuzivne, ojačane karbonskim vlaknima, s istaknutim efektom vodenih perli i fotokatalitičkim djelovanjem, u  veličini zrna d=2 mm i  svijetloj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</si>
  <si>
    <t>5) Kao opcija: Po adekvatnom sušenju, na izvedeni sloj žbuke u podnožju se izvodi zaštitni premaz 2-komponentnom masa za lijepljenje i armiranje, ojačanom karbonskim vlaknima kao zaštitni brtveni premaz u podnožju / području dodira s tlom ( izvodi se ispod razine tla dokle seže završna žbuka i 5 cm iznad razine tla).  Služi kao prikladna zaštita od vlage u vidu predpremaza ili izravnavajućeg sloja na armirnim masama ispod razine zemlje i dijela sokla iznad. Premaz se izvodi 5 cm iznad razine tla. Nanosi se kistom ili četkom razrijeđen s maks. 5% čiste vode. Prije korištenja premaz se miješa sa cementom u omjerima prema uputi iz tehničke informacije proizvoda. Premazom obavezno temeljito zaštititi završnu površinu žbuke ispod zemlje. 
Karakteristike premaza: 
• Gustoća: 1,1 g/cm3 bez dodatka cementa
• Difuzivno ekvivalentna debljina zračnog sloja sdH2O: Difuzivno ekvivalentna debljina zračnog sloja sdH2O ca. 2,2 m prema DIN EN ISO 7783 ili jednakovrijednoj(pri 2 mm)
• Baza veziva: Vodena stiroakrilatna-kopolimerna disperzija
• Permeabilnost vode (w-vrijednost): w: ca. 0,02 kg/(m2 h1/2) prema DIN EN 1062-3 Klasa W3 (niska) prema DIN EN 1062 ili jednakovrijednoj</t>
  </si>
  <si>
    <t>6) 'Nakon adekvatnog vremena sušenja izvodi se završno bojanje fasade u jednoj ruci sa strukturnom bojom ojačanom karbonskim vlaknima na bazi kombiniranog veziva i silikonskih smola u svjetloj nijansi (svjetlosna granica HBW≥20).                                                                         Svojstva završnog premaza:
- otpornost na vremenske utjecaje
- vodopropusnost (vrijednost w ): ≤ 0,06 [kg/(m2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</si>
  <si>
    <t>U stavci je obračunata dobava i postava svog ostalog pribora iz atestiranog sustava proizvođača (kutni profili, okapni profili, i dr). Obaveza je izvođača sve navedene elemente izvesti u sustavu odabranog proizvođača fasadnog sustava.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</si>
  <si>
    <t>23.4.</t>
  </si>
  <si>
    <t>Dobava i ugradnja potrebnih materijala za izvedbu ETICS fasadnog toplinsko izolacijskog sustava s  izolacijskim pločama od mineralne vune, koeficijenta toplinske provodljivosti λ≤0,035, d=5-14 cm, armirnih slojeva i završne silikonske žbuke u svijetloj nijansi (HBW ≥20).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Sokl se izvodi u nastavku i ravnini sa gornjim dijelom fasade, bez vidljivog prijelaza, bez izvedbe razvajajuće šine, sa istim slojem završne silikonske žbuke i premazuje završnom fasadnom bojom ojačanom karbonskim vlaknima. Obaveza je također provjeriti stanje podloge te prema potrebi podlogu adekvatno pripremiti pranjem, čišćenjem i nanošenjem odgovarajućeg temeljnog premaza što je obračunato u stavci. Ukoliko je podloga upojna preporuka je izvedba temeljnog vodorazrjedivog premaza razrijeđenog s vodom ovisno o upojnosti podloge. 
Redoslijed izvođenja:</t>
  </si>
  <si>
    <t>1) Lijepljenje fasadnih izolacijskih ploča od mineralne vune Tehničke karakteristike proizvoda:
• reakcija na požar: razred A1 prema HRN EN 13501-1 ili jednakovrijednoj 
• deklarirana toplinska provodljivost,λd ≤ 0,035 W/mK prema HRN EN 12667 ili jednakovrijednoj                                                          
• tlačna čvrstoća kod 10% deformacije CS(10): ≥ 15 kPa prema HRN EN 826 ili jednakovrijednoj                                                             
• delaminacijska čvrstoća (TR) ≥ 7,5 kPa prema HRN EN 1607 ili jednakovrijednoj
Lijepljenje se izvodi cementom vezanim mineralnim suhim mortom poboljšanim umjetnom smolom namijenjenim za lijepljenje izolacijskih materijala, isključivo iz atestiranog sustava proizvođača fasade, uz ostvarivanje kontaktne površine od min. 40%. 
Tehničke karakteristike koje mort mora zadovoljit: 
• Gustoća čvrstog morta (ÖN EN 1015-10 ili jednakovrijednoj) =: 1,70 g/cm³
• Klasa morta ÖN EN 998-1 ili jednakovrijednoj: CS IV
• Toplinska provodljivost: λ10, suho EN 1745 ili jednakovrijednoj: 0,77 W/(m.K) Tablična srednja vrijednost (P=50%)
• Difuzijski otpor μ (H2 O): μ= 75 (EN ISO 7783 ili jednakovrijednoj)
• Vlačna čvrstoća vezanja: ÖN EN 1015-12 ili jednakovrijednoj: 0,5 N/m2 EPS-F/MW*/LS */Konoplja* ETAG 004: ≥0,08N/mm² * ili lom izolacijskog materijala
• Ponašanje u požaru: Klasa A1</t>
  </si>
  <si>
    <t>3) Kompletno armiranje izolacijskih ploča nanošenjem armirnog sloja od svijetlog, mineralnog morta za lijepljenje i armiranje, hidratiziranog vapna i visokokvalitetnog, frakcioniranog, drobljenog pješčanog vapnenca, isključivo iz atestiranog sustava proizvođača fasade.                                                                                         Tehničke karakteristike morta: 
• Gustoća: 1,68 g/cm3 (svježi mort)
• veličina zrna: 1,2 mm
• Koeficijent apsorpcije vode: &lt; 0,5 kg/m2/24 h
• Konzistentnost: Prah                                                              
• ispitan prema normi ÖNORM B 6121 ili jednakovrijednoj 
U mort se u svježem stanju utiskuje tekstilno-staklena, alkalno otporna mrežica 160 g/m2, veličine otvora 4×4 mm s preklopom od minimalno 10 cm. Pozicija mrežice u polovini do gornje trećine debljine sloja. Debljina armirnog sloja min 5 mm. Obavezno dodatno ojačanje kuteva otvora dijagonalno postavljenim mrežicama dimenzija 20×40 cm ili 30×50 cm, sve iz sustava proizvođača fasade. Sve preklope armirne mrežice odraditi prema uputama proizvođača.</t>
  </si>
  <si>
    <t>4) Po izvedbi armirnog sloja nakon odgovarajućeg sušenja a prije izvedbe završnih slojeva izvodi se temeljni premaz Putzgrund iz sustava proizvođača fasadnog sustava. Temeljni premaz je sredstvo za bolje prijanjanje strukturne žbuke na mineralnim podlogama i fasadnim sustavima. Toniranti u nijansu prema završnoj strukturnoj žbuci. Kombinacija veziva od akrilat-kopolimera, silikonskih smola i silikata.</t>
  </si>
  <si>
    <t>5) Nakon adekvatnog sušenja na naneseni temeljni premaz nanosi se sloj završne žbuke, vrlo difuzivne, ojačane karbonskim vlaknima, s istaknutim efektom vodenih perli i fotokatalitičkim djelovanjem, u  veličini zrna d=2 mm i svjetloj nijansi (svjetlosna granica HBW≥20) prema izboru projektanta (u nijansi završne boje). 
• Stopa propusnosti vode w prema ÖN EN 1062-3 ili jednakovrijednoj: ≤ 0,05 [kg/(m2xh0,5)] W3 niska
• Difuzijski otpor µ prema EN ISO 7783 ili jednakovrijednoj:  65 V1 visok
• Toplinska provodljivost λ10,suho prema EN 1745 ili jednakovrijednoj: 1,09 W/(m.K) Tablična srednja vrijednost (P=50 %)
• Reakcija na požar prema ÖN EN 13501-1 ili jednakovrijednoj: Euroklasa A2 
Žbuka se izvodi u dvije granulacije: na ravnom dijelu fasade u krupnijoj i na mjestima prozora finijoj.</t>
  </si>
  <si>
    <t>6) Nakon adekvatnog vremena sušenja izvodi se završno bojanje fasade u jednoj ruci sa strukturnom bojom ojačanom karbonskim vlaknima na bazi kombiniranog veziva Silacryla i silikonskih smola u svjetloj nijansi (svjetlosna granica HBW≥20).                                                                         Svojstva završnog premaza:
- otpornost na vremenske utjecaje
- vodopropusnost (vrijednost w ): ≤ 0,06 [kg/(m²  h0,5)], odgovara razredu "niska vodopropusnost” prema normi DIN EN 1062 ili jednakovrijednoj
- paropropusnost (vrijednost sd-H2O): ≤  0,03 m , odgovara razredu "visok stupanj difuzije vodene pare” prema normi DIN EN 1062-2 ili jednakovrijednoj
- ekstremna hidrofobnost sa efektom stvaranja vodenih kapljica, svodi onečišćenje fasade na najmanju mjeru 
- svojstvo samočišćenja zahvaljujući specijalnim pigmentima koji djeluju kao fotokatalizatori
- otpornost na agresivne štetne tvari iz zraka
- ojačana karbonskim vlaknima</t>
  </si>
  <si>
    <t>Dobava i postava ostalog pribora (kutni profili i okapni profili, te  špaletni elementi za prozore i vrata i dr. koji su sastavni dio sistema). Sve radove izvesti prema tehničkim uputama proizvođača fasadnog sustava te u skladu s važećim tehničkih propisima i zakonskom regulativom poštujući smjernice za ugradnju fasadnih sustava. Stavka uključuje sav rad i materijal osnovni i pomoćni sve do potpune gotovosti.</t>
  </si>
  <si>
    <t>23. Fasaderski radovi ukupno:</t>
  </si>
  <si>
    <t>24.</t>
  </si>
  <si>
    <t>DOBAVE I UGRADBE</t>
  </si>
  <si>
    <t>24.1.</t>
  </si>
  <si>
    <t>Dobava i ugradba L-profila 40/40/5. Uključena antikorozivna zaštita. Ugradba kod betoniranja na spoju različitih vrsta podova. Uključena i potrebna sidra na svakih 0,5 m. U stavci uključen sav osnovni i pomoćni materijal i rad sve do potpune funkcijonalnosti.</t>
  </si>
  <si>
    <t>24.3.</t>
  </si>
  <si>
    <t>Dobava i ugradnja čeličnih sidara izrađenih od plosnog željeza 50/5 mm duljine 50 cm ugrađenih u betonsku masu kod betoniranja i učvršćenih na armaturu, a služe za učvršćivanje raznih bravarskih i sl. elemenata. Sve izvesti prema pravilima struke i uputi proizvođača. U stavci uključen sav osnovni i pomoćni materijal i rad sve do potpune funkcijonalnosti.</t>
  </si>
  <si>
    <t>kom</t>
  </si>
  <si>
    <t>24.6.</t>
  </si>
  <si>
    <t>Dobava materijala, izrada i ugradnja čvrste točke za vezivanje radnika koji rade na popravcima i održavanju krova izvedene u skaldu s normom HR EN 795 ili jednakovrijednoj klase sidrišta A1. Sve izvesti prema pravilima struke i važećoj regulativi. Svi metalni dijelovi čvrste točke moraju biti izrađeni od materijala koji su otporni na djelovanje okolnog medija kako bi se osiguralo da su pogodni i sigurni za upotrebu u vanjskom okruženju. Uračunati spoj sa podlogom. Stavka uključuje sav osnovni, spojni i brtveni materijal, te rad sve do potpune gotovosti.</t>
  </si>
  <si>
    <t>24.7.</t>
  </si>
  <si>
    <t>Dobava i postava inox rozete za postavu oko prodora cijevi kroz zid, strop i pod. Sve izvesti prema pravilima struke i prema uputama proizvođača. U stavku uključen sav rad i materijal osnovni i pomoćni, sve do potpune gotovosti.</t>
  </si>
  <si>
    <t>ø 110 mm</t>
  </si>
  <si>
    <t>ø 12 mm</t>
  </si>
  <si>
    <t>ø 10 mm</t>
  </si>
  <si>
    <t>ø 6 mm</t>
  </si>
  <si>
    <t>24.9.</t>
  </si>
  <si>
    <t>Dobava i ugradnja nosača za sanitarnu opremu. Nosači se postavljaju u zidove od opeke. Sve izvesti prema pravilima struke i uputi proizvođača do potpune pripreme za montažu sanitarne opreme. U cijenu stavke uključen sav osnovni i pomoćni materijal i rad sve do potpune gotovosti.</t>
  </si>
  <si>
    <t>nosač za umivaonik</t>
  </si>
  <si>
    <t>nosač wc školjke s ugrađenim vodokotlićem</t>
  </si>
  <si>
    <t>24. Dobave i ugradbe ukupno:</t>
  </si>
  <si>
    <t>26.</t>
  </si>
  <si>
    <t>RAZNI RADOVI</t>
  </si>
  <si>
    <t>26.1.</t>
  </si>
  <si>
    <t>Zaštita hodne  površine ispod skele dvostrukom čvrstom PVC folijom i OSB pločama. U cijenu uključen sav potreban rad i materijal.</t>
  </si>
  <si>
    <t>26. Razni radovi ukupno:</t>
  </si>
  <si>
    <t>GRAĐEVINSKO-OBRTNIČKI RADOVI  - R E K A P I T U L A C I J A:</t>
  </si>
  <si>
    <t>PRIPREMNI RADOVI</t>
  </si>
  <si>
    <t>RUŠENJE I RAZGRADNJA</t>
  </si>
  <si>
    <t>4.</t>
  </si>
  <si>
    <t>RADOVI NA SANACIJI I OJAČANJU TEMELJA</t>
  </si>
  <si>
    <t>5.</t>
  </si>
  <si>
    <t>6.</t>
  </si>
  <si>
    <t>7.</t>
  </si>
  <si>
    <t>ARMIRAČKI RADOVI</t>
  </si>
  <si>
    <t>10.</t>
  </si>
  <si>
    <t>11.</t>
  </si>
  <si>
    <t>INJEKTIRANJE NA MJESTIMA VIDLJIVIH PUKOTINA</t>
  </si>
  <si>
    <t>12.</t>
  </si>
  <si>
    <t>HIDROIZOLACIJSKI RADOVI</t>
  </si>
  <si>
    <t>14.</t>
  </si>
  <si>
    <t>15.</t>
  </si>
  <si>
    <t>16.</t>
  </si>
  <si>
    <t>17.</t>
  </si>
  <si>
    <t>18.</t>
  </si>
  <si>
    <t>19.</t>
  </si>
  <si>
    <t>MONTAŽERSKI RADOVI</t>
  </si>
  <si>
    <t>20.</t>
  </si>
  <si>
    <t>SOBOSLIKARSKI I LIČILAČKI RADOVI</t>
  </si>
  <si>
    <t>21.</t>
  </si>
  <si>
    <t>22.</t>
  </si>
  <si>
    <t>25.</t>
  </si>
  <si>
    <t>OPREMA ZA OSOBE S INVALIDITETOM</t>
  </si>
  <si>
    <t>II.</t>
  </si>
  <si>
    <t>ZGRADA 12</t>
  </si>
  <si>
    <t>3.36.</t>
  </si>
  <si>
    <t>Otucanje preostale žbuke fasade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</si>
  <si>
    <t>3.37.</t>
  </si>
  <si>
    <t>Čišćenje reški fasade prizemlja, do dubine od 5 cm u zidu od opeke sa temeljitim otprašivanjem i ispiranjem, sve uz upotrebu odgovarajuće skele. Uključeno čišćenje spojnica sa otprašivanjem. U cijenu stavke uračunat utovar i odvoz razgrađenog materijala (razvrstanog po vrstama) na najbližu odgovarajuću deponiju, kao i svi troškovi istovara i korištenja odgovarajuće deponije.</t>
  </si>
  <si>
    <t>3. Rušenje i razgradnja ukupno:</t>
  </si>
  <si>
    <t>13.2.</t>
  </si>
  <si>
    <t>Dobava i postava rubne trake od kamene vune uz pregradne i nosive zidove u debljini od 2 cm u visini slojeva poda. 
Tehničke karakteristike koje kamena vuna mora zadovoljiti su:
• reakcija na požar: razred A1 prema HRN EN 13501-1  ili jednakovrijednoj
• toplinska provodljivost ʎ ≤ 0,038 W/mK prema HRN EN 12667  ili jednakovrijednoj
• razina stišljivosti CP2 prema HRN EN 12431 ili jednakovrijednoj
• dinamička krutost SD ≤ 48 MN/m³ prema HRN EN 29052-1 ili jednakovrijednoj
Stavka uključuje rad i materijal osnovni i pomoćni, sve prema nacrtu projektanta.</t>
  </si>
  <si>
    <t>III.</t>
  </si>
  <si>
    <t>ZGRADA 13</t>
  </si>
  <si>
    <t>3.38.</t>
  </si>
  <si>
    <t>Otucanje preostale žbuke sa zidova prostorija prizemlja, zidovi od opeke. U stavci uračunata upotreba radne skele. Stavka uključuje i skidanje keramičkih pločica sa zidova gdje je ista postavljena. U cijenu stavke uračunat utovar i odvoz razgrađenog materijala (razvrstanog po vrstama) na najbližu odgovarajuću deponiju, kao i svi troškovi istovara i korištenja odgovarajuće deponije.</t>
  </si>
  <si>
    <t>IV.</t>
  </si>
  <si>
    <t>ZGRADA 14</t>
  </si>
  <si>
    <t>8.11.</t>
  </si>
  <si>
    <t>24.2.</t>
  </si>
  <si>
    <t>24.4.</t>
  </si>
  <si>
    <t>24. Fasaderski radovi ukupno:</t>
  </si>
  <si>
    <t>V.</t>
  </si>
  <si>
    <t>ZGRADA 15</t>
  </si>
  <si>
    <t>VI.</t>
  </si>
  <si>
    <t>ZGRADA 20</t>
  </si>
  <si>
    <t>Brtvljenje fasadnih otvora (prozora, stijena i vrata) samoljepljivom trakom.
Dobava i ugradnja samoljepljive gumirane trake za fiksiranje.
Tehničke karakteristike koje proizvod mora zadovoljiti:
- Širina min. 5 cm
- Otpornost na trganje: ≥150 N/50 mm
- Izduženje do sloma: ≥20%
Trake se lijepe na prethodno otprašenu podlogu, otprašivanje uključeno u stavci. Stavka uključuje sav rad i materijal osnovni i pomoćni. Sve izvesti prema pravilima struke i po uputi proizvođača. Obračun po m'.</t>
  </si>
  <si>
    <t>13.6.</t>
  </si>
  <si>
    <t>VII.</t>
  </si>
  <si>
    <t>ZGRADA 21</t>
  </si>
  <si>
    <t>8.12.</t>
  </si>
  <si>
    <t>8.13.</t>
  </si>
  <si>
    <t>13.5.</t>
  </si>
  <si>
    <t>Dobava i ugradnja ekstrudiranog polistirena (XPS) d = 4 cm glatke površine i ravnog ruba, koeficijenta toplinske provodljivosti λ ≤ 0,034 W/mK, tlačne čvrstoće 300 kPa. Izolacija se postavlja ispod prozorske klupčice s unutarnje strane. Sve izvesti prema pravilima struke i uputama proizvođača. U stavku uključen sav rad i materijal osnovni i pomoćni, sve do potpune gotovosti.</t>
  </si>
  <si>
    <t>Dobava i ugradnja ekstrudiranog polistirena (XPS) debljine 10 cm glatke površine i stepenastog ruba, koeficijenta toplinske provodljivosti λ≤0,035W/mK, tlačne čvrstoće 300 kPa. Ploče se postavljaju vertikalno kao toplinska izolacija nadtemeljnog zida i temelja. Izolaciju je potrebno zaljepiti za podlogu koristeći polimer-bitumensko ljepilo (1,6 kg/m²), uključeno u cijenu stavke. Sve izvesti pravilima struke i uputama proizvođača. U stavku uključen sav rad i materijal osnovni i pomoćni, sve do potpune gotovosti.</t>
  </si>
  <si>
    <t>22.1.</t>
  </si>
  <si>
    <t>22.2.</t>
  </si>
  <si>
    <t>Dobava i ugradnja potrebnih materijala za izvedbu ETICS fasadnog toplinsko izolacijskog sustava  za tamne fasade (svjetlosna granica 20≥HBW≥8)  s  izolacijskim pločama od mineralne vune, koeficijenta toplinske provodljivosti λ≤0,035, d = 5-14 cm,  armirnih slojeva ojačanim karbonskim vlaknima, završne žbuke ojačane karbonskim vlaknima te završnog bojanja nanohibridnom fasadnom bojom ojačanom karbonskim vlaknima za optimalnu refleksiju kod tamnih tonova kao u tamnoj nijansi (svjetlosna granica HBW≥8).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Obaveza je također provjeriti stanje podloge te prema potrebi podlogu adekvatno pripremiti pranjem, čišćenjem i nanošenjem odgovarajućeg temeljnog premaza. Sokl se izvodi u nastavku i ravnini sa gornjim dijelom fasade, bez vidljivog prijelaza, bez izvedbe razvajajuće šine, sa istim slojem završne silikonske žbuke ojačane karbonskim vlaknima i premazuje završnom fasadnom bojom ojačanom karbonskim vlaknima. Cijena stavke uključuje dobavu i postavu komponenti prema uputama proizvođača. Sve elemente fasade ponuditi u okviru atestiranog sustava proizvođača fasade. 
Redoslijed izvođenja:</t>
  </si>
  <si>
    <t>22.3.</t>
  </si>
  <si>
    <t>22.4.</t>
  </si>
  <si>
    <t>Dobava i ugradnja potrebnih materijala za izvedbu ETICS fasadnog toplinsko izolacijskog sustava s  izolacijskim pločama od mineralne vune, koeficijenta toplinske provodljivosti λ≤0,035, d = 5-14 cm, armirnih slojeva i završne silikonske žbuke u svijetloj nijansi (HBW ≥20). 
Prije izvođenja obaveza je izvođača prema zahtjevima iz projekta u svrhu ispravno riješenih detalja te osiguranja trajnosti  izvedenog fasadnog sustava definirati sve detalje izvedbe unutar odabranog ponuđača fasadnog sustava. To se naročito odnosi na sve spojeve sa bravarijom, stolarijom i limarijom,  uskladiti postavu kutnih, rubnih i ostalih pribora prema zahtjevima na samoj fasadi.  Sokl se izvodi u nastavku i ravnini sa gornjim dijelom fasade, bez vidljivog prijelaza, bez izvedbe razvajajuće šine, sa istim slojem završne silikonske žbuke i premazuje završnom fasadnom bojom ojačanom karbonskim vlaknima. Obaveza je također provjeriti stanje podloge te prema potrebi podlogu adekvatno pripremiti pranjem, čišćenjem i nanošenjem odgovarajućeg temeljnog premaza što je obračunato u stavci. Ukoliko je podloga upojna preporuka je izvedba temeljnog vodorazrjedivog premaza razrijeđenog s vodom ovisno o upojnosti podloge. 
Redoslijed izvođenja:</t>
  </si>
  <si>
    <t>22. Fasaderski radovi ukupno:</t>
  </si>
  <si>
    <t>VIII.</t>
  </si>
  <si>
    <t>ZGRADE 61 I 62</t>
  </si>
  <si>
    <t>zgrada 61</t>
  </si>
  <si>
    <t>zgrada 62</t>
  </si>
  <si>
    <t>8.8.</t>
  </si>
  <si>
    <t>Dobava i postava termoizolacije od kamene vune na vanjske zidove zgrade debljine 15 cm. Tehničke karakteristike koje kamena vuna mora zadovoljiti su:
• reakcija na požar: razred A1 prema HRN EN 13501-1 ili jednakovrijednoj
• toplinska provodljivost ʎ ≤ 0,038 W/mK prema HRN EN 12667 ili jednakovrijednoj
• razina stišljivosti CP2 prema HRN EN 12431 ili jednakovrijednoj
• dinamička krutost SD ≤ 30 MN/m³ prema HRN EN 29052-1 ili jednakovrijednoj
Sve izvesti prema nacrtu projektanta. Stavka uključuje rad i materijal osnovni i pomoćni.</t>
  </si>
  <si>
    <t xml:space="preserve">Dobava i ugradnja materijala za izolaciju  stropa potkrovlja između veznih greda  na način da se između greda ispunjava kompaktnim pločama od kamene mineralne vune specifične gustoće 30 kg/m³ vrijednosti toplinske provodljivosti λ≤0,037W/mK. Potrebna debljina izolacije između rogova je 12,0 cm.  Sve izvesti prema pravilima struke i prema uputama proizvođača. U stavku uključen sav rad i materijal osnovni i pomoćni, sve do potpune gotovosti. </t>
  </si>
  <si>
    <t>Dobava i ugradnja ekstrudiranog polistirena (XPS) d = 10 cm glatke površine i ravnog ruba, koeficijenta toplinske provodljivosti λ ≤ 0,034 W/mK, tlačne čvrstoće 300 kPa. Izolacija se postavlja ispod hidroizolacije sokla na sloj od geotekstila. Sve izvesti prema pravilima struke i uputama proizvođača. U stavku uključen sav rad i materijal osnovni i pomoćni, sve do potpune gotovosti.</t>
  </si>
  <si>
    <t>UREĐENJE GRAĐEVINA, VANJSKOG PROSTORA I INFRASTRUKTURE</t>
  </si>
  <si>
    <t>Z B I R N A   R E K A P I T U L A C I J A</t>
  </si>
  <si>
    <t>IX.</t>
  </si>
  <si>
    <t>VANJSKI PROSTOR I INFRASTRUKTURA</t>
  </si>
  <si>
    <t>GRAĐEVINE, VANJ. PROSTOR I INFRASTRUKTURA UKUPNO:</t>
  </si>
  <si>
    <t>PDV (25%):</t>
  </si>
  <si>
    <t>SVEUKUPNO S PDV-om:</t>
  </si>
  <si>
    <t>Dana:</t>
  </si>
  <si>
    <t>SANITARNI RADOVI</t>
  </si>
  <si>
    <t>A. GRAĐEVINSKO-OBRTNIČKI RADOVI  UKUPNO: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</si>
</sst>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0_ ;[Red]\-#,##0\ "/>
  </numFmts>
  <fonts count="7" x14ac:knownFonts="1">
    <font>
      <sz val="11"/>
      <name val="Calibri"/>
      <scheme val="minor"/>
    </font>
    <font>
      <sz val="10"/>
      <name val="Arial"/>
    </font>
    <font>
      <b/>
      <sz val="12"/>
      <name val="Arial"/>
    </font>
    <font>
      <b/>
      <sz val="10"/>
      <name val="Arial"/>
    </font>
    <font>
      <sz val="14"/>
      <name val="Arial"/>
    </font>
    <font>
      <b/>
      <sz val="14"/>
      <name val="Arial"/>
    </font>
    <font>
      <sz val="9"/>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48">
    <xf numFmtId="0" fontId="0" fillId="0" borderId="0" xfId="0"/>
    <xf numFmtId="0" fontId="1" fillId="0" borderId="0" xfId="0" applyFont="1" applyAlignment="1">
      <alignment horizontal="right" vertical="top"/>
    </xf>
    <xf numFmtId="0" fontId="1" fillId="0" borderId="0" xfId="0" applyFont="1" applyAlignment="1">
      <alignment horizontal="left" vertical="top" wrapText="1"/>
    </xf>
    <xf numFmtId="4" fontId="1" fillId="0" borderId="0" xfId="0" applyNumberFormat="1" applyFont="1" applyAlignment="1">
      <alignment horizontal="center"/>
    </xf>
    <xf numFmtId="164" fontId="1" fillId="0" borderId="0" xfId="0" applyNumberFormat="1" applyFont="1" applyAlignment="1">
      <alignment horizontal="right"/>
    </xf>
    <xf numFmtId="0" fontId="1" fillId="0" borderId="0" xfId="0" applyFont="1" applyAlignment="1">
      <alignment horizontal="center"/>
    </xf>
    <xf numFmtId="0" fontId="1" fillId="0" borderId="0" xfId="0" applyFont="1"/>
    <xf numFmtId="0" fontId="2" fillId="0" borderId="0" xfId="0" applyFont="1" applyAlignment="1">
      <alignment horizontal="left" vertical="top"/>
    </xf>
    <xf numFmtId="4" fontId="2" fillId="0" borderId="0" xfId="0" applyNumberFormat="1" applyFont="1" applyAlignment="1">
      <alignment horizontal="left"/>
    </xf>
    <xf numFmtId="4" fontId="1" fillId="0" borderId="0" xfId="0" applyNumberFormat="1" applyFont="1"/>
    <xf numFmtId="0" fontId="2" fillId="0" borderId="0" xfId="0" applyFont="1" applyAlignment="1">
      <alignment horizontal="right" vertical="top"/>
    </xf>
    <xf numFmtId="4" fontId="2" fillId="0" borderId="0" xfId="0" applyNumberFormat="1" applyFont="1" applyAlignment="1">
      <alignment horizontal="center"/>
    </xf>
    <xf numFmtId="164" fontId="2" fillId="0" borderId="0" xfId="0" applyNumberFormat="1" applyFont="1" applyAlignment="1">
      <alignment horizontal="right"/>
    </xf>
    <xf numFmtId="4" fontId="2" fillId="0" borderId="0" xfId="0" applyNumberFormat="1" applyFont="1"/>
    <xf numFmtId="0" fontId="2" fillId="0" borderId="0" xfId="0" applyFont="1"/>
    <xf numFmtId="0" fontId="3" fillId="0" borderId="0" xfId="0" applyFont="1" applyAlignment="1">
      <alignment horizontal="center"/>
    </xf>
    <xf numFmtId="0" fontId="3" fillId="0" borderId="0" xfId="0" applyFont="1" applyAlignment="1">
      <alignment horizontal="left" vertical="top" wrapText="1"/>
    </xf>
    <xf numFmtId="0" fontId="3" fillId="0" borderId="0" xfId="0" applyFont="1" applyAlignment="1">
      <alignment horizontal="left"/>
    </xf>
    <xf numFmtId="4" fontId="3" fillId="0" borderId="0" xfId="0" applyNumberFormat="1" applyFont="1" applyAlignment="1">
      <alignment horizontal="center"/>
    </xf>
    <xf numFmtId="0" fontId="3" fillId="0" borderId="0" xfId="0" applyFont="1" applyAlignment="1">
      <alignment horizontal="left" vertical="top"/>
    </xf>
    <xf numFmtId="0" fontId="3" fillId="0" borderId="0" xfId="0" applyFont="1" applyAlignment="1">
      <alignment horizontal="left" vertical="center" wrapText="1"/>
    </xf>
    <xf numFmtId="0" fontId="4" fillId="0" borderId="0" xfId="0" applyFont="1" applyAlignment="1">
      <alignment horizontal="left" vertical="top"/>
    </xf>
    <xf numFmtId="0" fontId="5" fillId="0" borderId="0" xfId="0" applyFont="1" applyAlignment="1">
      <alignment horizontal="left" vertical="top"/>
    </xf>
    <xf numFmtId="4" fontId="4" fillId="0" borderId="0" xfId="0" applyNumberFormat="1" applyFont="1" applyAlignment="1">
      <alignment horizontal="left"/>
    </xf>
    <xf numFmtId="164" fontId="4" fillId="0" borderId="0" xfId="0" applyNumberFormat="1" applyFont="1" applyAlignment="1">
      <alignment horizontal="left"/>
    </xf>
    <xf numFmtId="0" fontId="4" fillId="0" borderId="0" xfId="0" applyFont="1" applyAlignment="1">
      <alignment horizontal="left"/>
    </xf>
    <xf numFmtId="49" fontId="1" fillId="0" borderId="0" xfId="0" applyNumberFormat="1" applyFont="1" applyAlignment="1">
      <alignment horizontal="right" vertical="top"/>
    </xf>
    <xf numFmtId="49" fontId="1" fillId="0" borderId="0" xfId="0" applyNumberFormat="1" applyFont="1" applyAlignment="1">
      <alignment horizontal="center"/>
    </xf>
    <xf numFmtId="0" fontId="3" fillId="0" borderId="0" xfId="0" applyFont="1" applyAlignment="1">
      <alignment horizontal="right" vertical="top"/>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4"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4" fontId="1"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top" wrapText="1"/>
    </xf>
    <xf numFmtId="4" fontId="1" fillId="0" borderId="0" xfId="0" applyNumberFormat="1" applyFont="1" applyAlignment="1">
      <alignment horizontal="center" vertical="center" wrapText="1"/>
    </xf>
    <xf numFmtId="164" fontId="1" fillId="0" borderId="0" xfId="0" applyNumberFormat="1" applyFont="1" applyAlignment="1">
      <alignment horizontal="right" vertical="center" wrapText="1"/>
    </xf>
    <xf numFmtId="0" fontId="1" fillId="0" borderId="0" xfId="0" applyFont="1" applyAlignment="1">
      <alignment horizontal="left" vertical="top"/>
    </xf>
    <xf numFmtId="0" fontId="3" fillId="0" borderId="0" xfId="0" applyFont="1" applyAlignment="1">
      <alignment horizontal="right" vertical="top" wrapText="1"/>
    </xf>
    <xf numFmtId="4" fontId="3" fillId="0" borderId="0" xfId="0" applyNumberFormat="1" applyFont="1" applyAlignment="1">
      <alignment horizontal="center" vertical="center" wrapText="1"/>
    </xf>
    <xf numFmtId="164" fontId="3" fillId="0" borderId="0" xfId="0" applyNumberFormat="1" applyFont="1" applyAlignment="1">
      <alignment horizontal="right" vertical="center" wrapText="1"/>
    </xf>
    <xf numFmtId="0" fontId="3" fillId="0" borderId="0" xfId="0" applyFont="1"/>
    <xf numFmtId="49" fontId="3" fillId="0" borderId="0" xfId="0" applyNumberFormat="1" applyFont="1" applyAlignment="1">
      <alignment horizontal="right" vertical="top"/>
    </xf>
    <xf numFmtId="164" fontId="3" fillId="0" borderId="0" xfId="0" applyNumberFormat="1" applyFont="1" applyAlignment="1">
      <alignment horizontal="right"/>
    </xf>
    <xf numFmtId="0" fontId="3" fillId="0" borderId="0" xfId="0" applyFont="1" applyAlignment="1">
      <alignment vertical="top" wrapText="1"/>
    </xf>
    <xf numFmtId="0" fontId="1" fillId="0" borderId="0" xfId="0" applyFont="1" applyAlignment="1">
      <alignment vertical="top" wrapText="1"/>
    </xf>
    <xf numFmtId="165" fontId="1"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sustava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99"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6D0DB52-7FE5-48C8-9765-51814C1A24A9}">
  <we:reference id="wa200009404" version="1.0.0.8" store="en-US" storeType="OMEX"/>
  <we:alternateReferences>
    <we:reference id="wa200009404"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9"/>
  <sheetViews>
    <sheetView workbookViewId="0"/>
  </sheetViews>
  <sheetFormatPr defaultColWidth="14.42578125" defaultRowHeight="15" customHeight="1" x14ac:dyDescent="0.25"/>
  <cols>
    <col min="1" max="1" width="6.140625" customWidth="1"/>
    <col min="2" max="2" width="50.7109375" customWidth="1"/>
    <col min="3" max="3" width="5.7109375" customWidth="1"/>
    <col min="4" max="4" width="9.28515625" customWidth="1"/>
    <col min="5" max="5" width="10.85546875" customWidth="1"/>
    <col min="6" max="6" width="14.140625" customWidth="1"/>
    <col min="7" max="11" width="9.140625" customWidth="1"/>
  </cols>
  <sheetData>
    <row r="1" spans="1:11" ht="12.75" customHeight="1" x14ac:dyDescent="0.25">
      <c r="A1" s="1"/>
      <c r="B1" s="2"/>
      <c r="C1" s="3"/>
      <c r="D1" s="4"/>
      <c r="E1" s="4"/>
      <c r="F1" s="4"/>
      <c r="G1" s="5"/>
      <c r="H1" s="5"/>
      <c r="I1" s="5"/>
      <c r="J1" s="6"/>
      <c r="K1" s="6"/>
    </row>
    <row r="2" spans="1:11" ht="15.75" customHeight="1" x14ac:dyDescent="0.25">
      <c r="A2" s="1"/>
      <c r="B2" s="7" t="s">
        <v>0</v>
      </c>
      <c r="C2" s="8"/>
      <c r="D2" s="4"/>
      <c r="E2" s="4"/>
      <c r="F2" s="4"/>
      <c r="G2" s="9"/>
      <c r="H2" s="9"/>
      <c r="I2" s="3"/>
      <c r="J2" s="6"/>
      <c r="K2" s="6"/>
    </row>
    <row r="3" spans="1:11" ht="15.75" customHeight="1" x14ac:dyDescent="0.25">
      <c r="A3" s="1"/>
      <c r="B3" s="7" t="s">
        <v>1</v>
      </c>
      <c r="C3" s="3"/>
      <c r="D3" s="4"/>
      <c r="E3" s="4"/>
      <c r="F3" s="4"/>
      <c r="G3" s="9"/>
      <c r="H3" s="9"/>
      <c r="I3" s="3"/>
      <c r="J3" s="6"/>
      <c r="K3" s="6"/>
    </row>
    <row r="4" spans="1:11" ht="15.75" customHeight="1" x14ac:dyDescent="0.25">
      <c r="A4" s="10"/>
      <c r="B4" s="7" t="s">
        <v>2</v>
      </c>
      <c r="C4" s="11"/>
      <c r="D4" s="12"/>
      <c r="E4" s="12"/>
      <c r="F4" s="12"/>
      <c r="G4" s="13"/>
      <c r="H4" s="13"/>
      <c r="I4" s="11"/>
      <c r="J4" s="14"/>
      <c r="K4" s="14"/>
    </row>
    <row r="5" spans="1:11" ht="15.75" customHeight="1" x14ac:dyDescent="0.25">
      <c r="A5" s="1"/>
      <c r="B5" s="7" t="s">
        <v>3</v>
      </c>
      <c r="C5" s="15"/>
      <c r="D5" s="15"/>
      <c r="E5" s="15"/>
      <c r="F5" s="15"/>
      <c r="G5" s="5"/>
      <c r="H5" s="5"/>
      <c r="I5" s="5"/>
      <c r="J5" s="6"/>
      <c r="K5" s="6"/>
    </row>
    <row r="6" spans="1:11" ht="15.75" customHeight="1" x14ac:dyDescent="0.25">
      <c r="A6" s="1"/>
      <c r="B6" s="7" t="s">
        <v>4</v>
      </c>
      <c r="C6" s="3"/>
      <c r="D6" s="4"/>
      <c r="E6" s="4"/>
      <c r="F6" s="4"/>
      <c r="G6" s="9"/>
      <c r="H6" s="9"/>
      <c r="I6" s="3"/>
      <c r="J6" s="6"/>
      <c r="K6" s="6"/>
    </row>
    <row r="7" spans="1:11" ht="12.75" customHeight="1" x14ac:dyDescent="0.25">
      <c r="A7" s="1"/>
      <c r="B7" s="2"/>
      <c r="C7" s="3"/>
      <c r="D7" s="4"/>
      <c r="E7" s="4"/>
      <c r="F7" s="4"/>
      <c r="G7" s="9"/>
      <c r="H7" s="9"/>
      <c r="I7" s="3"/>
      <c r="J7" s="6"/>
      <c r="K7" s="6"/>
    </row>
    <row r="8" spans="1:11" ht="12.75" customHeight="1" x14ac:dyDescent="0.25">
      <c r="A8" s="1"/>
      <c r="B8" s="2"/>
      <c r="C8" s="3"/>
      <c r="D8" s="4"/>
      <c r="E8" s="4"/>
      <c r="F8" s="4"/>
      <c r="G8" s="9"/>
      <c r="H8" s="9"/>
      <c r="I8" s="3"/>
      <c r="J8" s="6"/>
      <c r="K8" s="6"/>
    </row>
    <row r="9" spans="1:11" ht="12.75" customHeight="1" x14ac:dyDescent="0.25">
      <c r="A9" s="1"/>
      <c r="B9" s="2"/>
      <c r="C9" s="3"/>
      <c r="D9" s="4"/>
      <c r="E9" s="4"/>
      <c r="F9" s="4"/>
      <c r="G9" s="9"/>
      <c r="H9" s="9"/>
      <c r="I9" s="3"/>
      <c r="J9" s="6"/>
      <c r="K9" s="6"/>
    </row>
    <row r="10" spans="1:11" ht="12.75" customHeight="1" x14ac:dyDescent="0.25">
      <c r="A10" s="1"/>
      <c r="B10" s="16"/>
      <c r="C10" s="17"/>
      <c r="D10" s="17"/>
      <c r="E10" s="6"/>
      <c r="F10" s="6"/>
      <c r="G10" s="6"/>
      <c r="H10" s="9"/>
      <c r="I10" s="3"/>
      <c r="J10" s="6"/>
      <c r="K10" s="6"/>
    </row>
    <row r="11" spans="1:11" ht="12.75" customHeight="1" x14ac:dyDescent="0.25">
      <c r="A11" s="1"/>
      <c r="B11" s="16"/>
      <c r="C11" s="18"/>
      <c r="D11" s="4"/>
      <c r="E11" s="4"/>
      <c r="F11" s="4"/>
      <c r="G11" s="9"/>
      <c r="H11" s="9"/>
      <c r="I11" s="3"/>
      <c r="J11" s="6"/>
      <c r="K11" s="6"/>
    </row>
    <row r="12" spans="1:11" ht="12.75" customHeight="1" x14ac:dyDescent="0.25">
      <c r="A12" s="1"/>
      <c r="B12" s="16"/>
      <c r="C12" s="19"/>
      <c r="D12" s="20"/>
      <c r="E12" s="6"/>
      <c r="F12" s="6"/>
      <c r="G12" s="6"/>
      <c r="H12" s="9"/>
      <c r="I12" s="3"/>
      <c r="J12" s="6"/>
      <c r="K12" s="6"/>
    </row>
    <row r="13" spans="1:11" ht="12.75" customHeight="1" x14ac:dyDescent="0.25">
      <c r="A13" s="1"/>
      <c r="B13" s="16"/>
      <c r="C13" s="18"/>
      <c r="D13" s="4"/>
      <c r="E13" s="4"/>
      <c r="F13" s="4"/>
      <c r="G13" s="9"/>
      <c r="H13" s="9"/>
      <c r="I13" s="3"/>
      <c r="J13" s="6"/>
      <c r="K13" s="6"/>
    </row>
    <row r="14" spans="1:11" ht="12.75" customHeight="1" x14ac:dyDescent="0.25">
      <c r="A14" s="1"/>
      <c r="B14" s="16"/>
      <c r="C14" s="18"/>
      <c r="D14" s="4"/>
      <c r="E14" s="4"/>
      <c r="F14" s="4"/>
      <c r="G14" s="9"/>
      <c r="H14" s="9"/>
      <c r="I14" s="3"/>
      <c r="J14" s="6"/>
      <c r="K14" s="6"/>
    </row>
    <row r="15" spans="1:11" ht="12.75" customHeight="1" x14ac:dyDescent="0.25">
      <c r="A15" s="1"/>
      <c r="B15" s="16"/>
      <c r="C15" s="18"/>
      <c r="D15" s="4"/>
      <c r="E15" s="4"/>
      <c r="F15" s="4"/>
      <c r="G15" s="9"/>
      <c r="H15" s="9"/>
      <c r="I15" s="3"/>
      <c r="J15" s="6"/>
      <c r="K15" s="6"/>
    </row>
    <row r="16" spans="1:11" ht="12.75" customHeight="1" x14ac:dyDescent="0.25">
      <c r="A16" s="1"/>
      <c r="B16" s="16"/>
      <c r="C16" s="18"/>
      <c r="D16" s="4"/>
      <c r="E16" s="4"/>
      <c r="F16" s="4"/>
      <c r="G16" s="9"/>
      <c r="H16" s="9"/>
      <c r="I16" s="3"/>
      <c r="J16" s="6"/>
      <c r="K16" s="6"/>
    </row>
    <row r="17" spans="1:11" ht="12.75" customHeight="1" x14ac:dyDescent="0.25">
      <c r="A17" s="1"/>
      <c r="B17" s="16"/>
      <c r="C17" s="19"/>
      <c r="D17" s="16"/>
      <c r="E17" s="6"/>
      <c r="F17" s="6"/>
      <c r="G17" s="6"/>
      <c r="H17" s="6"/>
      <c r="I17" s="3"/>
      <c r="J17" s="6"/>
      <c r="K17" s="6"/>
    </row>
    <row r="18" spans="1:11" ht="12.75" customHeight="1" x14ac:dyDescent="0.25">
      <c r="A18" s="1"/>
      <c r="B18" s="16"/>
      <c r="C18" s="19"/>
      <c r="D18" s="16"/>
      <c r="E18" s="6"/>
      <c r="F18" s="6"/>
      <c r="G18" s="6"/>
      <c r="H18" s="6"/>
      <c r="I18" s="3"/>
      <c r="J18" s="6"/>
      <c r="K18" s="6"/>
    </row>
    <row r="19" spans="1:11" ht="12.75" customHeight="1" x14ac:dyDescent="0.25">
      <c r="A19" s="1"/>
      <c r="B19" s="16"/>
      <c r="C19" s="19"/>
      <c r="D19" s="16"/>
      <c r="E19" s="6"/>
      <c r="F19" s="6"/>
      <c r="G19" s="6"/>
      <c r="H19" s="6"/>
      <c r="I19" s="3"/>
      <c r="J19" s="6"/>
      <c r="K19" s="6"/>
    </row>
    <row r="20" spans="1:11" ht="12.75" customHeight="1" x14ac:dyDescent="0.25">
      <c r="A20" s="1"/>
      <c r="B20" s="16"/>
      <c r="C20" s="19"/>
      <c r="D20" s="16"/>
      <c r="E20" s="6"/>
      <c r="F20" s="6"/>
      <c r="G20" s="6"/>
      <c r="H20" s="6"/>
      <c r="I20" s="3"/>
      <c r="J20" s="6"/>
      <c r="K20" s="6"/>
    </row>
    <row r="21" spans="1:11" ht="12.75" customHeight="1" x14ac:dyDescent="0.25">
      <c r="A21" s="1"/>
      <c r="B21" s="16"/>
      <c r="C21" s="19"/>
      <c r="D21" s="16"/>
      <c r="E21" s="6"/>
      <c r="F21" s="6"/>
      <c r="G21" s="6"/>
      <c r="H21" s="6"/>
      <c r="I21" s="3"/>
      <c r="J21" s="6"/>
      <c r="K21" s="6"/>
    </row>
    <row r="22" spans="1:11" ht="12.75" customHeight="1" x14ac:dyDescent="0.25">
      <c r="A22" s="1"/>
      <c r="B22" s="16"/>
      <c r="C22" s="19"/>
      <c r="D22" s="16"/>
      <c r="E22" s="6"/>
      <c r="F22" s="6"/>
      <c r="G22" s="6"/>
      <c r="H22" s="6"/>
      <c r="I22" s="3"/>
      <c r="J22" s="6"/>
      <c r="K22" s="6"/>
    </row>
    <row r="23" spans="1:11" ht="12.75" customHeight="1" x14ac:dyDescent="0.25">
      <c r="A23" s="1"/>
      <c r="B23" s="16"/>
      <c r="C23" s="19"/>
      <c r="D23" s="16"/>
      <c r="E23" s="6"/>
      <c r="F23" s="6"/>
      <c r="G23" s="6"/>
      <c r="H23" s="6"/>
      <c r="I23" s="3"/>
      <c r="J23" s="6"/>
      <c r="K23" s="6"/>
    </row>
    <row r="24" spans="1:11" ht="12.75" customHeight="1" x14ac:dyDescent="0.25">
      <c r="A24" s="1"/>
      <c r="B24" s="16"/>
      <c r="C24" s="19"/>
      <c r="D24" s="16"/>
      <c r="E24" s="6"/>
      <c r="F24" s="6"/>
      <c r="G24" s="6"/>
      <c r="H24" s="6"/>
      <c r="I24" s="3"/>
      <c r="J24" s="6"/>
      <c r="K24" s="6"/>
    </row>
    <row r="25" spans="1:11" ht="12.75" customHeight="1" x14ac:dyDescent="0.25">
      <c r="A25" s="1"/>
      <c r="B25" s="16"/>
      <c r="C25" s="19"/>
      <c r="D25" s="16"/>
      <c r="E25" s="6"/>
      <c r="F25" s="6"/>
      <c r="G25" s="6"/>
      <c r="H25" s="6"/>
      <c r="I25" s="3"/>
      <c r="J25" s="6"/>
      <c r="K25" s="6"/>
    </row>
    <row r="26" spans="1:11" ht="12.75" customHeight="1" x14ac:dyDescent="0.25">
      <c r="A26" s="1"/>
      <c r="B26" s="16"/>
      <c r="C26" s="19"/>
      <c r="D26" s="16"/>
      <c r="E26" s="6"/>
      <c r="F26" s="6"/>
      <c r="G26" s="6"/>
      <c r="H26" s="6"/>
      <c r="I26" s="3"/>
      <c r="J26" s="6"/>
      <c r="K26" s="6"/>
    </row>
    <row r="27" spans="1:11" ht="12.75" customHeight="1" x14ac:dyDescent="0.25">
      <c r="A27" s="1"/>
      <c r="B27" s="16"/>
      <c r="C27" s="19"/>
      <c r="D27" s="16"/>
      <c r="E27" s="6"/>
      <c r="F27" s="6"/>
      <c r="G27" s="6"/>
      <c r="H27" s="6"/>
      <c r="I27" s="3"/>
      <c r="J27" s="6"/>
      <c r="K27" s="6"/>
    </row>
    <row r="28" spans="1:11" ht="12.75" customHeight="1" x14ac:dyDescent="0.25">
      <c r="A28" s="1"/>
      <c r="B28" s="16"/>
      <c r="C28" s="19"/>
      <c r="D28" s="16"/>
      <c r="E28" s="6"/>
      <c r="F28" s="6"/>
      <c r="G28" s="6"/>
      <c r="H28" s="6"/>
      <c r="I28" s="3"/>
      <c r="J28" s="6"/>
      <c r="K28" s="6"/>
    </row>
    <row r="29" spans="1:11" ht="12.75" customHeight="1" x14ac:dyDescent="0.25">
      <c r="A29" s="1"/>
      <c r="B29" s="2"/>
      <c r="C29" s="3"/>
      <c r="D29" s="4"/>
      <c r="E29" s="4"/>
      <c r="F29" s="4"/>
      <c r="G29" s="9"/>
      <c r="H29" s="9"/>
      <c r="I29" s="3"/>
      <c r="J29" s="6"/>
      <c r="K29" s="6"/>
    </row>
    <row r="30" spans="1:11" ht="12.75" customHeight="1" x14ac:dyDescent="0.25">
      <c r="A30" s="1"/>
      <c r="B30" s="2"/>
      <c r="C30" s="3"/>
      <c r="D30" s="4"/>
      <c r="E30" s="4"/>
      <c r="F30" s="4"/>
      <c r="G30" s="9"/>
      <c r="H30" s="9"/>
      <c r="I30" s="3"/>
      <c r="J30" s="6"/>
      <c r="K30" s="6"/>
    </row>
    <row r="31" spans="1:11" ht="12.75" customHeight="1" x14ac:dyDescent="0.25">
      <c r="A31" s="1"/>
      <c r="B31" s="2"/>
      <c r="C31" s="3"/>
      <c r="D31" s="4"/>
      <c r="E31" s="4"/>
      <c r="F31" s="4"/>
      <c r="G31" s="9"/>
      <c r="H31" s="9"/>
      <c r="I31" s="3"/>
      <c r="J31" s="6"/>
      <c r="K31" s="6"/>
    </row>
    <row r="32" spans="1:11" ht="12.75" customHeight="1" x14ac:dyDescent="0.25">
      <c r="A32" s="1"/>
      <c r="B32" s="2"/>
      <c r="C32" s="3"/>
      <c r="D32" s="4"/>
      <c r="E32" s="4"/>
      <c r="F32" s="4"/>
      <c r="G32" s="9"/>
      <c r="H32" s="9"/>
      <c r="I32" s="3"/>
      <c r="J32" s="6"/>
      <c r="K32" s="6"/>
    </row>
    <row r="33" spans="1:11" ht="18" customHeight="1" x14ac:dyDescent="0.25">
      <c r="A33" s="21"/>
      <c r="B33" s="22" t="s">
        <v>5</v>
      </c>
      <c r="C33" s="23"/>
      <c r="D33" s="24"/>
      <c r="E33" s="24"/>
      <c r="F33" s="24"/>
      <c r="G33" s="23"/>
      <c r="H33" s="23"/>
      <c r="I33" s="23"/>
      <c r="J33" s="25"/>
      <c r="K33" s="25"/>
    </row>
    <row r="34" spans="1:11" ht="12.75" customHeight="1" x14ac:dyDescent="0.25">
      <c r="A34" s="1"/>
      <c r="B34" s="2"/>
      <c r="C34" s="3"/>
      <c r="D34" s="4"/>
      <c r="E34" s="4"/>
      <c r="F34" s="4"/>
      <c r="G34" s="9"/>
      <c r="H34" s="9"/>
      <c r="I34" s="3"/>
      <c r="J34" s="6"/>
      <c r="K34" s="6"/>
    </row>
    <row r="35" spans="1:11" ht="12.75" customHeight="1" x14ac:dyDescent="0.25">
      <c r="A35" s="1"/>
      <c r="B35" s="2"/>
      <c r="C35" s="3"/>
      <c r="D35" s="4"/>
      <c r="E35" s="4"/>
      <c r="F35" s="4"/>
      <c r="G35" s="9"/>
      <c r="H35" s="9"/>
      <c r="I35" s="3"/>
      <c r="J35" s="6"/>
      <c r="K35" s="6"/>
    </row>
    <row r="36" spans="1:11" ht="12.75" customHeight="1" x14ac:dyDescent="0.25">
      <c r="A36" s="1"/>
      <c r="B36" s="2"/>
      <c r="C36" s="3"/>
      <c r="D36" s="4"/>
      <c r="E36" s="4"/>
      <c r="F36" s="4"/>
      <c r="G36" s="9"/>
      <c r="H36" s="9"/>
      <c r="I36" s="3"/>
      <c r="J36" s="6"/>
      <c r="K36" s="6"/>
    </row>
    <row r="37" spans="1:11" ht="12.75" customHeight="1" x14ac:dyDescent="0.25">
      <c r="A37" s="1"/>
      <c r="B37" s="2"/>
      <c r="C37" s="3"/>
      <c r="D37" s="4"/>
      <c r="E37" s="4"/>
      <c r="F37" s="4"/>
      <c r="G37" s="9"/>
      <c r="H37" s="9"/>
      <c r="I37" s="3"/>
      <c r="J37" s="6"/>
      <c r="K37" s="6"/>
    </row>
    <row r="38" spans="1:11" ht="12.75" customHeight="1" x14ac:dyDescent="0.25">
      <c r="A38" s="1"/>
      <c r="B38" s="2"/>
      <c r="C38" s="3"/>
      <c r="D38" s="4"/>
      <c r="E38" s="4"/>
      <c r="F38" s="4"/>
      <c r="G38" s="9"/>
      <c r="H38" s="9"/>
      <c r="I38" s="3"/>
      <c r="J38" s="6"/>
      <c r="K38" s="6"/>
    </row>
    <row r="39" spans="1:11" ht="12.75" customHeight="1" x14ac:dyDescent="0.25">
      <c r="A39" s="1"/>
      <c r="B39" s="2"/>
      <c r="C39" s="3"/>
      <c r="D39" s="4"/>
      <c r="E39" s="4"/>
      <c r="F39" s="4"/>
      <c r="G39" s="9"/>
      <c r="H39" s="9"/>
      <c r="I39" s="3"/>
      <c r="J39" s="6"/>
      <c r="K39" s="6"/>
    </row>
    <row r="40" spans="1:11" ht="12.75" customHeight="1" x14ac:dyDescent="0.25">
      <c r="A40" s="1"/>
      <c r="B40" s="2"/>
      <c r="C40" s="3"/>
      <c r="D40" s="4"/>
      <c r="E40" s="4"/>
      <c r="F40" s="4"/>
      <c r="G40" s="9"/>
      <c r="H40" s="9"/>
      <c r="I40" s="3"/>
      <c r="J40" s="6"/>
      <c r="K40" s="6"/>
    </row>
    <row r="41" spans="1:11" ht="12.75" customHeight="1" x14ac:dyDescent="0.25">
      <c r="A41" s="1"/>
      <c r="B41" s="2"/>
      <c r="C41" s="3"/>
      <c r="D41" s="4"/>
      <c r="E41" s="4"/>
      <c r="F41" s="4"/>
      <c r="G41" s="9"/>
      <c r="H41" s="9"/>
      <c r="I41" s="3"/>
      <c r="J41" s="6"/>
      <c r="K41" s="6"/>
    </row>
    <row r="42" spans="1:11" ht="12.75" customHeight="1" x14ac:dyDescent="0.25">
      <c r="A42" s="1"/>
      <c r="B42" s="2"/>
      <c r="C42" s="3"/>
      <c r="D42" s="4"/>
      <c r="E42" s="4"/>
      <c r="F42" s="4"/>
      <c r="G42" s="9"/>
      <c r="H42" s="9"/>
      <c r="I42" s="3"/>
      <c r="J42" s="6"/>
      <c r="K42" s="6"/>
    </row>
    <row r="43" spans="1:11" ht="12.75" customHeight="1" x14ac:dyDescent="0.25">
      <c r="A43" s="1"/>
      <c r="B43" s="2"/>
      <c r="C43" s="3"/>
      <c r="D43" s="4"/>
      <c r="E43" s="4"/>
      <c r="F43" s="4"/>
      <c r="G43" s="9"/>
      <c r="H43" s="9"/>
      <c r="I43" s="3"/>
      <c r="J43" s="6"/>
      <c r="K43" s="6"/>
    </row>
    <row r="44" spans="1:11" ht="12.75" customHeight="1" x14ac:dyDescent="0.25">
      <c r="A44" s="1"/>
      <c r="B44" s="2"/>
      <c r="C44" s="3"/>
      <c r="D44" s="4"/>
      <c r="E44" s="4"/>
      <c r="F44" s="4"/>
      <c r="G44" s="9"/>
      <c r="H44" s="9"/>
      <c r="I44" s="3"/>
      <c r="J44" s="6"/>
      <c r="K44" s="6"/>
    </row>
    <row r="45" spans="1:11" ht="12.75" customHeight="1" x14ac:dyDescent="0.25">
      <c r="A45" s="1"/>
      <c r="B45" s="2"/>
      <c r="C45" s="3"/>
      <c r="D45" s="4"/>
      <c r="E45" s="4"/>
      <c r="F45" s="4"/>
      <c r="G45" s="9"/>
      <c r="H45" s="9"/>
      <c r="I45" s="3"/>
      <c r="J45" s="6"/>
      <c r="K45" s="6"/>
    </row>
    <row r="46" spans="1:11" ht="12.75" customHeight="1" x14ac:dyDescent="0.25">
      <c r="A46" s="1"/>
      <c r="B46" s="2"/>
      <c r="C46" s="3"/>
      <c r="D46" s="4"/>
      <c r="E46" s="4"/>
      <c r="F46" s="4"/>
      <c r="G46" s="9"/>
      <c r="H46" s="9"/>
      <c r="I46" s="3"/>
      <c r="J46" s="6"/>
      <c r="K46" s="6"/>
    </row>
    <row r="47" spans="1:11" ht="12.75" customHeight="1" x14ac:dyDescent="0.25">
      <c r="A47" s="1"/>
      <c r="B47" s="2"/>
      <c r="C47" s="3"/>
      <c r="D47" s="4"/>
      <c r="E47" s="4"/>
      <c r="F47" s="4"/>
      <c r="G47" s="9"/>
      <c r="H47" s="9"/>
      <c r="I47" s="3"/>
      <c r="J47" s="6"/>
      <c r="K47" s="6"/>
    </row>
    <row r="48" spans="1:11" ht="12.75" customHeight="1" x14ac:dyDescent="0.25">
      <c r="A48" s="1"/>
      <c r="B48" s="2"/>
      <c r="C48" s="3"/>
      <c r="D48" s="4"/>
      <c r="E48" s="4"/>
      <c r="F48" s="4"/>
      <c r="G48" s="9"/>
      <c r="H48" s="9"/>
      <c r="I48" s="3"/>
      <c r="J48" s="6"/>
      <c r="K48" s="6"/>
    </row>
    <row r="49" spans="1:11" ht="12.75" customHeight="1" x14ac:dyDescent="0.25">
      <c r="A49" s="1"/>
      <c r="B49" s="2"/>
      <c r="C49" s="3"/>
      <c r="D49" s="4"/>
      <c r="E49" s="4"/>
      <c r="F49" s="4"/>
      <c r="G49" s="9"/>
      <c r="H49" s="9"/>
      <c r="I49" s="3"/>
      <c r="J49" s="6"/>
      <c r="K49" s="6"/>
    </row>
    <row r="50" spans="1:11" ht="12.75" customHeight="1" x14ac:dyDescent="0.25">
      <c r="A50" s="26"/>
      <c r="B50" s="27"/>
      <c r="C50" s="6"/>
      <c r="D50" s="6"/>
      <c r="E50" s="6"/>
      <c r="F50" s="6"/>
      <c r="G50" s="27"/>
      <c r="H50" s="27"/>
      <c r="I50" s="27"/>
      <c r="J50" s="6"/>
      <c r="K50" s="6"/>
    </row>
    <row r="51" spans="1:11" ht="12.75" customHeight="1" x14ac:dyDescent="0.25">
      <c r="A51" s="1"/>
      <c r="B51" s="2"/>
      <c r="C51" s="3"/>
      <c r="D51" s="4"/>
      <c r="E51" s="4"/>
      <c r="F51" s="4"/>
      <c r="G51" s="9"/>
      <c r="H51" s="9"/>
      <c r="I51" s="3"/>
      <c r="J51" s="6"/>
      <c r="K51" s="6"/>
    </row>
    <row r="52" spans="1:11" ht="12.75" customHeight="1" x14ac:dyDescent="0.25">
      <c r="A52" s="1"/>
      <c r="B52" s="2"/>
      <c r="C52" s="3"/>
      <c r="D52" s="4"/>
      <c r="E52" s="4"/>
      <c r="F52" s="4"/>
      <c r="G52" s="9"/>
      <c r="H52" s="9"/>
      <c r="I52" s="3"/>
      <c r="J52" s="6"/>
      <c r="K52" s="6"/>
    </row>
    <row r="53" spans="1:11" ht="12.75" customHeight="1" x14ac:dyDescent="0.25">
      <c r="A53" s="1"/>
      <c r="B53" s="2"/>
      <c r="C53" s="3"/>
      <c r="D53" s="4"/>
      <c r="E53" s="4"/>
      <c r="F53" s="4"/>
      <c r="G53" s="9"/>
      <c r="H53" s="9"/>
      <c r="I53" s="3"/>
      <c r="J53" s="6"/>
      <c r="K53" s="6"/>
    </row>
    <row r="54" spans="1:11" ht="12.75" customHeight="1" x14ac:dyDescent="0.25">
      <c r="A54" s="1"/>
      <c r="B54" s="2"/>
      <c r="C54" s="3"/>
      <c r="D54" s="4"/>
      <c r="E54" s="4"/>
      <c r="F54" s="4"/>
      <c r="G54" s="9"/>
      <c r="H54" s="9"/>
      <c r="I54" s="3"/>
      <c r="J54" s="6"/>
      <c r="K54" s="6"/>
    </row>
    <row r="55" spans="1:11" ht="12.75" customHeight="1" x14ac:dyDescent="0.25">
      <c r="A55" s="1"/>
      <c r="B55" s="2"/>
      <c r="C55" s="3"/>
      <c r="D55" s="4"/>
      <c r="E55" s="4"/>
      <c r="F55" s="4"/>
      <c r="G55" s="9"/>
      <c r="H55" s="9"/>
      <c r="I55" s="3"/>
      <c r="J55" s="6"/>
      <c r="K55" s="6"/>
    </row>
    <row r="56" spans="1:11" ht="12.75" customHeight="1" x14ac:dyDescent="0.25">
      <c r="A56" s="26"/>
      <c r="B56" s="2"/>
      <c r="C56" s="3"/>
      <c r="D56" s="4"/>
      <c r="E56" s="4"/>
      <c r="F56" s="4"/>
      <c r="G56" s="6"/>
      <c r="H56" s="6"/>
      <c r="I56" s="6"/>
      <c r="J56" s="6"/>
      <c r="K56" s="6"/>
    </row>
    <row r="57" spans="1:11" ht="12.75" customHeight="1" x14ac:dyDescent="0.25">
      <c r="A57" s="1"/>
      <c r="B57" s="2"/>
      <c r="C57" s="3"/>
      <c r="D57" s="4"/>
      <c r="E57" s="4"/>
      <c r="F57" s="4"/>
      <c r="G57" s="9"/>
      <c r="H57" s="9"/>
      <c r="I57" s="3"/>
      <c r="J57" s="6"/>
      <c r="K57" s="6"/>
    </row>
    <row r="58" spans="1:11" ht="12.75" customHeight="1" x14ac:dyDescent="0.25">
      <c r="A58" s="1"/>
      <c r="B58" s="2"/>
      <c r="C58" s="3"/>
      <c r="D58" s="4"/>
      <c r="E58" s="4"/>
      <c r="F58" s="4"/>
      <c r="G58" s="9"/>
      <c r="H58" s="9"/>
      <c r="I58" s="3"/>
      <c r="J58" s="6"/>
      <c r="K58" s="6"/>
    </row>
    <row r="59" spans="1:11" ht="12.75" customHeight="1" x14ac:dyDescent="0.25">
      <c r="A59" s="1"/>
      <c r="B59" s="2"/>
      <c r="C59" s="3"/>
      <c r="D59" s="4"/>
      <c r="E59" s="4"/>
      <c r="F59" s="4"/>
      <c r="G59" s="9"/>
      <c r="H59" s="9"/>
      <c r="I59" s="3"/>
      <c r="J59" s="6"/>
      <c r="K59" s="6"/>
    </row>
    <row r="60" spans="1:11" ht="12.75" customHeight="1" x14ac:dyDescent="0.25">
      <c r="A60" s="1"/>
      <c r="B60" s="2"/>
      <c r="C60" s="3"/>
      <c r="D60" s="4"/>
      <c r="E60" s="4"/>
      <c r="F60" s="4"/>
      <c r="G60" s="9"/>
      <c r="H60" s="9"/>
      <c r="I60" s="3"/>
      <c r="J60" s="6"/>
      <c r="K60" s="6"/>
    </row>
    <row r="61" spans="1:11" ht="12.75" customHeight="1" x14ac:dyDescent="0.25">
      <c r="A61" s="1"/>
      <c r="B61" s="2"/>
      <c r="C61" s="3"/>
      <c r="D61" s="4"/>
      <c r="E61" s="4"/>
      <c r="F61" s="4"/>
      <c r="G61" s="9"/>
      <c r="H61" s="9"/>
      <c r="I61" s="3"/>
      <c r="J61" s="6"/>
      <c r="K61" s="6"/>
    </row>
    <row r="62" spans="1:11" ht="15.75" customHeight="1" x14ac:dyDescent="0.25">
      <c r="A62" s="1"/>
      <c r="B62" s="10" t="s">
        <v>6</v>
      </c>
      <c r="C62" s="3"/>
      <c r="D62" s="4"/>
      <c r="E62" s="4"/>
      <c r="F62" s="4"/>
      <c r="G62" s="9"/>
      <c r="H62" s="9"/>
      <c r="I62" s="3"/>
      <c r="J62" s="6"/>
      <c r="K62" s="6"/>
    </row>
    <row r="63" spans="1:11" ht="12.75" customHeight="1" x14ac:dyDescent="0.25">
      <c r="A63" s="1"/>
      <c r="B63" s="28"/>
      <c r="C63" s="3"/>
      <c r="D63" s="4"/>
      <c r="E63" s="4"/>
      <c r="F63" s="4"/>
      <c r="G63" s="9"/>
      <c r="H63" s="9"/>
      <c r="I63" s="3"/>
      <c r="J63" s="6"/>
      <c r="K63" s="6"/>
    </row>
    <row r="64" spans="1:11" ht="24" customHeight="1" x14ac:dyDescent="0.25">
      <c r="A64" s="29" t="s">
        <v>7</v>
      </c>
      <c r="B64" s="30" t="s">
        <v>8</v>
      </c>
      <c r="C64" s="31" t="s">
        <v>9</v>
      </c>
      <c r="D64" s="32" t="s">
        <v>10</v>
      </c>
      <c r="E64" s="32" t="s">
        <v>11</v>
      </c>
      <c r="F64" s="32" t="s">
        <v>12</v>
      </c>
      <c r="G64" s="33"/>
      <c r="H64" s="33"/>
      <c r="I64" s="33"/>
      <c r="J64" s="34"/>
      <c r="K64" s="34"/>
    </row>
    <row r="65" spans="1:11" ht="12.75" customHeight="1" x14ac:dyDescent="0.25">
      <c r="A65" s="35"/>
      <c r="B65" s="2"/>
      <c r="C65" s="36"/>
      <c r="D65" s="37"/>
      <c r="E65" s="37"/>
      <c r="F65" s="37"/>
      <c r="G65" s="9"/>
      <c r="H65" s="9"/>
      <c r="I65" s="3"/>
      <c r="J65" s="6"/>
      <c r="K65" s="6"/>
    </row>
    <row r="66" spans="1:11" ht="12.75" customHeight="1" x14ac:dyDescent="0.25">
      <c r="A66" s="35"/>
      <c r="B66" s="16" t="s">
        <v>13</v>
      </c>
      <c r="C66" s="36"/>
      <c r="D66" s="37"/>
      <c r="E66" s="37"/>
      <c r="F66" s="37"/>
      <c r="G66" s="9"/>
      <c r="H66" s="9"/>
      <c r="I66" s="3"/>
      <c r="J66" s="6"/>
      <c r="K66" s="6"/>
    </row>
    <row r="67" spans="1:11" ht="12.75" customHeight="1" x14ac:dyDescent="0.25">
      <c r="A67" s="35"/>
      <c r="B67" s="16"/>
      <c r="C67" s="36"/>
      <c r="D67" s="37"/>
      <c r="E67" s="37"/>
      <c r="F67" s="37"/>
      <c r="G67" s="9"/>
      <c r="H67" s="9"/>
      <c r="I67" s="3"/>
      <c r="J67" s="6"/>
      <c r="K67" s="6"/>
    </row>
    <row r="68" spans="1:11" ht="12.75" customHeight="1" x14ac:dyDescent="0.25">
      <c r="A68" s="35"/>
      <c r="B68" s="2" t="s">
        <v>14</v>
      </c>
      <c r="C68" s="36"/>
      <c r="D68" s="37"/>
      <c r="E68" s="37"/>
      <c r="F68" s="37"/>
      <c r="G68" s="9"/>
      <c r="H68" s="9"/>
      <c r="I68" s="3"/>
      <c r="J68" s="6"/>
      <c r="K68" s="6"/>
    </row>
    <row r="69" spans="1:11" ht="216.75" customHeight="1" x14ac:dyDescent="0.25">
      <c r="A69" s="35"/>
      <c r="B69" s="2" t="s">
        <v>15</v>
      </c>
      <c r="C69" s="36"/>
      <c r="D69" s="37"/>
      <c r="E69" s="37"/>
      <c r="F69" s="37"/>
      <c r="G69" s="9"/>
      <c r="H69" s="9"/>
      <c r="I69" s="3"/>
      <c r="J69" s="6"/>
      <c r="K69" s="6"/>
    </row>
    <row r="70" spans="1:11" ht="191.25" customHeight="1" x14ac:dyDescent="0.25">
      <c r="A70" s="35"/>
      <c r="B70" s="2" t="s">
        <v>16</v>
      </c>
      <c r="C70" s="36"/>
      <c r="D70" s="37"/>
      <c r="E70" s="37"/>
      <c r="F70" s="37"/>
      <c r="G70" s="9"/>
      <c r="H70" s="9"/>
      <c r="I70" s="3"/>
      <c r="J70" s="6"/>
      <c r="K70" s="6"/>
    </row>
    <row r="71" spans="1:11" ht="12.75" customHeight="1" x14ac:dyDescent="0.25">
      <c r="A71" s="35"/>
      <c r="B71" s="2"/>
      <c r="C71" s="36"/>
      <c r="D71" s="37"/>
      <c r="E71" s="37"/>
      <c r="F71" s="37"/>
      <c r="G71" s="9"/>
      <c r="H71" s="9"/>
      <c r="I71" s="3"/>
      <c r="J71" s="6"/>
      <c r="K71" s="6"/>
    </row>
    <row r="72" spans="1:11" ht="12.75" customHeight="1" x14ac:dyDescent="0.25">
      <c r="A72" s="35"/>
      <c r="B72" s="2" t="s">
        <v>17</v>
      </c>
      <c r="C72" s="36"/>
      <c r="D72" s="37"/>
      <c r="E72" s="37"/>
      <c r="F72" s="37"/>
      <c r="G72" s="9"/>
      <c r="H72" s="9"/>
      <c r="I72" s="3"/>
      <c r="J72" s="6"/>
      <c r="K72" s="6"/>
    </row>
    <row r="73" spans="1:11" ht="229.5" customHeight="1" x14ac:dyDescent="0.25">
      <c r="A73" s="35"/>
      <c r="B73" s="2" t="s">
        <v>18</v>
      </c>
      <c r="C73" s="36"/>
      <c r="D73" s="37"/>
      <c r="E73" s="37"/>
      <c r="F73" s="37"/>
      <c r="G73" s="9"/>
      <c r="H73" s="9"/>
      <c r="I73" s="3"/>
      <c r="J73" s="6"/>
      <c r="K73" s="6"/>
    </row>
    <row r="74" spans="1:11" ht="204" customHeight="1" x14ac:dyDescent="0.25">
      <c r="A74" s="35"/>
      <c r="B74" s="2" t="s">
        <v>19</v>
      </c>
      <c r="C74" s="36"/>
      <c r="D74" s="37"/>
      <c r="E74" s="37"/>
      <c r="F74" s="37"/>
      <c r="G74" s="9"/>
      <c r="H74" s="9"/>
      <c r="I74" s="3"/>
      <c r="J74" s="6"/>
      <c r="K74" s="6"/>
    </row>
    <row r="75" spans="1:11" ht="140.25" customHeight="1" x14ac:dyDescent="0.25">
      <c r="A75" s="35"/>
      <c r="B75" s="2" t="s">
        <v>20</v>
      </c>
      <c r="C75" s="36"/>
      <c r="D75" s="37"/>
      <c r="E75" s="37"/>
      <c r="F75" s="37"/>
      <c r="G75" s="9"/>
      <c r="H75" s="9"/>
      <c r="I75" s="3"/>
      <c r="J75" s="6"/>
      <c r="K75" s="6"/>
    </row>
    <row r="76" spans="1:11" ht="293.25" customHeight="1" x14ac:dyDescent="0.25">
      <c r="A76" s="35"/>
      <c r="B76" s="2" t="s">
        <v>21</v>
      </c>
      <c r="C76" s="36"/>
      <c r="D76" s="37"/>
      <c r="E76" s="37"/>
      <c r="F76" s="37"/>
      <c r="G76" s="9"/>
      <c r="H76" s="9"/>
      <c r="I76" s="3"/>
      <c r="J76" s="6"/>
      <c r="K76" s="6"/>
    </row>
    <row r="77" spans="1:11" ht="153" customHeight="1" x14ac:dyDescent="0.25">
      <c r="A77" s="35"/>
      <c r="B77" s="2" t="s">
        <v>22</v>
      </c>
      <c r="C77" s="36"/>
      <c r="D77" s="37"/>
      <c r="E77" s="37"/>
      <c r="F77" s="37"/>
      <c r="G77" s="9"/>
      <c r="H77" s="9"/>
      <c r="I77" s="3"/>
      <c r="J77" s="6"/>
      <c r="K77" s="6"/>
    </row>
    <row r="78" spans="1:11" ht="12.75" customHeight="1" x14ac:dyDescent="0.25">
      <c r="A78" s="35"/>
      <c r="B78" s="2"/>
      <c r="C78" s="36"/>
      <c r="D78" s="37"/>
      <c r="E78" s="37"/>
      <c r="F78" s="37"/>
      <c r="G78" s="9"/>
      <c r="H78" s="9"/>
      <c r="I78" s="3"/>
      <c r="J78" s="6"/>
      <c r="K78" s="6"/>
    </row>
    <row r="79" spans="1:11" ht="12.75" customHeight="1" x14ac:dyDescent="0.25">
      <c r="A79" s="35"/>
      <c r="B79" s="38" t="s">
        <v>23</v>
      </c>
      <c r="C79" s="36"/>
      <c r="D79" s="37"/>
      <c r="E79" s="37"/>
      <c r="F79" s="37"/>
      <c r="G79" s="9"/>
      <c r="H79" s="9"/>
      <c r="I79" s="3"/>
      <c r="J79" s="6"/>
      <c r="K79" s="6"/>
    </row>
    <row r="80" spans="1:11" ht="318.75" customHeight="1" x14ac:dyDescent="0.25">
      <c r="A80" s="35"/>
      <c r="B80" s="2" t="s">
        <v>24</v>
      </c>
      <c r="C80" s="36"/>
      <c r="D80" s="37"/>
      <c r="E80" s="37"/>
      <c r="F80" s="37"/>
      <c r="G80" s="9"/>
      <c r="H80" s="9"/>
      <c r="I80" s="3"/>
      <c r="J80" s="6"/>
      <c r="K80" s="6"/>
    </row>
    <row r="81" spans="1:11" ht="280.5" customHeight="1" x14ac:dyDescent="0.25">
      <c r="A81" s="35"/>
      <c r="B81" s="2" t="s">
        <v>25</v>
      </c>
      <c r="C81" s="36"/>
      <c r="D81" s="37"/>
      <c r="E81" s="37"/>
      <c r="F81" s="37"/>
      <c r="G81" s="9"/>
      <c r="H81" s="9"/>
      <c r="I81" s="3"/>
      <c r="J81" s="6"/>
      <c r="K81" s="6"/>
    </row>
    <row r="82" spans="1:11" ht="191.25" customHeight="1" x14ac:dyDescent="0.25">
      <c r="A82" s="35"/>
      <c r="B82" s="2" t="s">
        <v>26</v>
      </c>
      <c r="C82" s="36"/>
      <c r="D82" s="37"/>
      <c r="E82" s="37"/>
      <c r="F82" s="37"/>
      <c r="G82" s="9"/>
      <c r="H82" s="9"/>
      <c r="I82" s="3"/>
      <c r="J82" s="6"/>
      <c r="K82" s="6"/>
    </row>
    <row r="83" spans="1:11" ht="178.5" customHeight="1" x14ac:dyDescent="0.25">
      <c r="A83" s="35"/>
      <c r="B83" s="2" t="s">
        <v>27</v>
      </c>
      <c r="C83" s="36"/>
      <c r="D83" s="37"/>
      <c r="E83" s="37"/>
      <c r="F83" s="37"/>
      <c r="G83" s="9"/>
      <c r="H83" s="9"/>
      <c r="I83" s="3"/>
      <c r="J83" s="6"/>
      <c r="K83" s="6"/>
    </row>
    <row r="84" spans="1:11" ht="267.75" customHeight="1" x14ac:dyDescent="0.25">
      <c r="A84" s="35"/>
      <c r="B84" s="2" t="s">
        <v>28</v>
      </c>
      <c r="C84" s="36"/>
      <c r="D84" s="37"/>
      <c r="E84" s="37"/>
      <c r="F84" s="37"/>
      <c r="G84" s="9"/>
      <c r="H84" s="9"/>
      <c r="I84" s="3"/>
      <c r="J84" s="6"/>
      <c r="K84" s="6"/>
    </row>
    <row r="85" spans="1:11" ht="38.25" customHeight="1" x14ac:dyDescent="0.25">
      <c r="A85" s="35"/>
      <c r="B85" s="2" t="s">
        <v>29</v>
      </c>
      <c r="C85" s="36"/>
      <c r="D85" s="37"/>
      <c r="E85" s="37"/>
      <c r="F85" s="37"/>
      <c r="G85" s="9"/>
      <c r="H85" s="9"/>
      <c r="I85" s="3"/>
      <c r="J85" s="6"/>
      <c r="K85" s="6"/>
    </row>
    <row r="86" spans="1:11" ht="12.75" customHeight="1" x14ac:dyDescent="0.25">
      <c r="A86" s="35"/>
      <c r="B86" s="2"/>
      <c r="C86" s="36"/>
      <c r="D86" s="37"/>
      <c r="E86" s="37"/>
      <c r="F86" s="37"/>
      <c r="G86" s="9"/>
      <c r="H86" s="9"/>
      <c r="I86" s="3"/>
      <c r="J86" s="6"/>
      <c r="K86" s="6"/>
    </row>
    <row r="87" spans="1:11" ht="12.75" customHeight="1" x14ac:dyDescent="0.25">
      <c r="A87" s="35"/>
      <c r="B87" s="2" t="s">
        <v>30</v>
      </c>
      <c r="C87" s="36"/>
      <c r="D87" s="37"/>
      <c r="E87" s="37"/>
      <c r="F87" s="37"/>
      <c r="G87" s="9"/>
      <c r="H87" s="9"/>
      <c r="I87" s="3"/>
      <c r="J87" s="6"/>
      <c r="K87" s="6"/>
    </row>
    <row r="88" spans="1:11" ht="12.75" customHeight="1" x14ac:dyDescent="0.25">
      <c r="A88" s="35"/>
      <c r="B88" s="2"/>
      <c r="C88" s="36"/>
      <c r="D88" s="37"/>
      <c r="E88" s="37"/>
      <c r="F88" s="37"/>
      <c r="G88" s="9"/>
      <c r="H88" s="9"/>
      <c r="I88" s="3"/>
      <c r="J88" s="6"/>
      <c r="K88" s="6"/>
    </row>
    <row r="89" spans="1:11" ht="12.75" customHeight="1" x14ac:dyDescent="0.25">
      <c r="A89" s="35"/>
      <c r="B89" s="2" t="s">
        <v>31</v>
      </c>
      <c r="C89" s="36"/>
      <c r="D89" s="37"/>
      <c r="E89" s="37"/>
      <c r="F89" s="37"/>
      <c r="G89" s="9"/>
      <c r="H89" s="9"/>
      <c r="I89" s="3"/>
      <c r="J89" s="6"/>
      <c r="K89" s="6"/>
    </row>
    <row r="90" spans="1:11" ht="242.25" customHeight="1" x14ac:dyDescent="0.25">
      <c r="A90" s="35"/>
      <c r="B90" s="2" t="s">
        <v>32</v>
      </c>
      <c r="C90" s="36"/>
      <c r="D90" s="37"/>
      <c r="E90" s="37"/>
      <c r="F90" s="37"/>
      <c r="G90" s="9"/>
      <c r="H90" s="9"/>
      <c r="I90" s="3"/>
      <c r="J90" s="6"/>
      <c r="K90" s="6"/>
    </row>
    <row r="91" spans="1:11" ht="114.75" customHeight="1" x14ac:dyDescent="0.25">
      <c r="A91" s="35"/>
      <c r="B91" s="2" t="s">
        <v>33</v>
      </c>
      <c r="C91" s="36"/>
      <c r="D91" s="37"/>
      <c r="E91" s="37"/>
      <c r="F91" s="37"/>
      <c r="G91" s="9"/>
      <c r="H91" s="9"/>
      <c r="I91" s="3"/>
      <c r="J91" s="6"/>
      <c r="K91" s="6"/>
    </row>
    <row r="92" spans="1:11" ht="178.5" customHeight="1" x14ac:dyDescent="0.25">
      <c r="A92" s="35"/>
      <c r="B92" s="2" t="s">
        <v>34</v>
      </c>
      <c r="C92" s="36"/>
      <c r="D92" s="37"/>
      <c r="E92" s="37"/>
      <c r="F92" s="37"/>
      <c r="G92" s="9"/>
      <c r="H92" s="9"/>
      <c r="I92" s="3"/>
      <c r="J92" s="6"/>
      <c r="K92" s="6"/>
    </row>
    <row r="93" spans="1:11" ht="89.25" customHeight="1" x14ac:dyDescent="0.25">
      <c r="A93" s="35"/>
      <c r="B93" s="2" t="s">
        <v>35</v>
      </c>
      <c r="C93" s="36"/>
      <c r="D93" s="37"/>
      <c r="E93" s="37"/>
      <c r="F93" s="37"/>
      <c r="G93" s="9"/>
      <c r="H93" s="9"/>
      <c r="I93" s="3"/>
      <c r="J93" s="6"/>
      <c r="K93" s="6"/>
    </row>
    <row r="94" spans="1:11" ht="12.75" customHeight="1" x14ac:dyDescent="0.25">
      <c r="A94" s="35"/>
      <c r="B94" s="2"/>
      <c r="C94" s="36"/>
      <c r="D94" s="37"/>
      <c r="E94" s="37"/>
      <c r="F94" s="37"/>
      <c r="G94" s="9"/>
      <c r="H94" s="9"/>
      <c r="I94" s="3"/>
      <c r="J94" s="6"/>
      <c r="K94" s="6"/>
    </row>
    <row r="95" spans="1:11" ht="12.75" customHeight="1" x14ac:dyDescent="0.25">
      <c r="A95" s="35"/>
      <c r="B95" s="2" t="s">
        <v>36</v>
      </c>
      <c r="C95" s="36"/>
      <c r="D95" s="37"/>
      <c r="E95" s="37"/>
      <c r="F95" s="37"/>
      <c r="G95" s="9"/>
      <c r="H95" s="9"/>
      <c r="I95" s="3"/>
      <c r="J95" s="6"/>
      <c r="K95" s="6"/>
    </row>
    <row r="96" spans="1:11" ht="242.25" customHeight="1" x14ac:dyDescent="0.25">
      <c r="A96" s="35"/>
      <c r="B96" s="2" t="s">
        <v>37</v>
      </c>
      <c r="C96" s="36"/>
      <c r="D96" s="37"/>
      <c r="E96" s="37"/>
      <c r="F96" s="37"/>
      <c r="G96" s="9"/>
      <c r="H96" s="9"/>
      <c r="I96" s="3"/>
      <c r="J96" s="6"/>
      <c r="K96" s="6"/>
    </row>
    <row r="97" spans="1:11" ht="127.5" customHeight="1" x14ac:dyDescent="0.25">
      <c r="A97" s="35"/>
      <c r="B97" s="2" t="s">
        <v>38</v>
      </c>
      <c r="C97" s="36"/>
      <c r="D97" s="37"/>
      <c r="E97" s="37"/>
      <c r="F97" s="37"/>
      <c r="G97" s="9"/>
      <c r="H97" s="9"/>
      <c r="I97" s="3"/>
      <c r="J97" s="6"/>
      <c r="K97" s="6"/>
    </row>
    <row r="98" spans="1:11" ht="114.75" customHeight="1" x14ac:dyDescent="0.25">
      <c r="A98" s="35"/>
      <c r="B98" s="2" t="s">
        <v>39</v>
      </c>
      <c r="C98" s="36"/>
      <c r="D98" s="37"/>
      <c r="E98" s="37"/>
      <c r="F98" s="37"/>
      <c r="G98" s="9"/>
      <c r="H98" s="9"/>
      <c r="I98" s="3"/>
      <c r="J98" s="6"/>
      <c r="K98" s="6"/>
    </row>
    <row r="99" spans="1:11" ht="12.75" customHeight="1" x14ac:dyDescent="0.25">
      <c r="A99" s="35"/>
      <c r="B99" s="2"/>
      <c r="C99" s="36"/>
      <c r="D99" s="37"/>
      <c r="E99" s="37"/>
      <c r="F99" s="37"/>
      <c r="G99" s="9"/>
      <c r="H99" s="9"/>
      <c r="I99" s="3"/>
      <c r="J99" s="6"/>
      <c r="K99" s="6"/>
    </row>
    <row r="100" spans="1:11" ht="12.75" customHeight="1" x14ac:dyDescent="0.25">
      <c r="A100" s="35"/>
      <c r="B100" s="2" t="s">
        <v>40</v>
      </c>
      <c r="C100" s="36"/>
      <c r="D100" s="37"/>
      <c r="E100" s="37"/>
      <c r="F100" s="37"/>
      <c r="G100" s="9"/>
      <c r="H100" s="9"/>
      <c r="I100" s="3"/>
      <c r="J100" s="6"/>
      <c r="K100" s="6"/>
    </row>
    <row r="101" spans="1:11" ht="76.5" customHeight="1" x14ac:dyDescent="0.25">
      <c r="A101" s="35"/>
      <c r="B101" s="2" t="s">
        <v>41</v>
      </c>
      <c r="C101" s="36"/>
      <c r="D101" s="37"/>
      <c r="E101" s="37"/>
      <c r="F101" s="37"/>
      <c r="G101" s="9"/>
      <c r="H101" s="9"/>
      <c r="I101" s="3"/>
      <c r="J101" s="6"/>
      <c r="K101" s="6"/>
    </row>
    <row r="102" spans="1:11" ht="267.75" customHeight="1" x14ac:dyDescent="0.25">
      <c r="A102" s="35"/>
      <c r="B102" s="2" t="s">
        <v>42</v>
      </c>
      <c r="C102" s="36"/>
      <c r="D102" s="37"/>
      <c r="E102" s="37"/>
      <c r="F102" s="37"/>
      <c r="G102" s="9"/>
      <c r="H102" s="9"/>
      <c r="I102" s="3"/>
      <c r="J102" s="6"/>
      <c r="K102" s="6"/>
    </row>
    <row r="103" spans="1:11" ht="229.5" customHeight="1" x14ac:dyDescent="0.25">
      <c r="A103" s="35"/>
      <c r="B103" s="2" t="s">
        <v>43</v>
      </c>
      <c r="C103" s="36"/>
      <c r="D103" s="37"/>
      <c r="E103" s="37"/>
      <c r="F103" s="37"/>
      <c r="G103" s="9"/>
      <c r="H103" s="9"/>
      <c r="I103" s="3"/>
      <c r="J103" s="6"/>
      <c r="K103" s="6"/>
    </row>
    <row r="104" spans="1:11" ht="38.25" customHeight="1" x14ac:dyDescent="0.25">
      <c r="A104" s="35"/>
      <c r="B104" s="2" t="s">
        <v>44</v>
      </c>
      <c r="C104" s="36"/>
      <c r="D104" s="37"/>
      <c r="E104" s="37"/>
      <c r="F104" s="37"/>
      <c r="G104" s="9"/>
      <c r="H104" s="9"/>
      <c r="I104" s="3"/>
      <c r="J104" s="6"/>
      <c r="K104" s="6"/>
    </row>
    <row r="105" spans="1:11" ht="191.25" customHeight="1" x14ac:dyDescent="0.25">
      <c r="A105" s="35"/>
      <c r="B105" s="2" t="s">
        <v>45</v>
      </c>
      <c r="C105" s="36"/>
      <c r="D105" s="37"/>
      <c r="E105" s="37"/>
      <c r="F105" s="37"/>
      <c r="G105" s="9"/>
      <c r="H105" s="9"/>
      <c r="I105" s="3"/>
      <c r="J105" s="6"/>
      <c r="K105" s="6"/>
    </row>
    <row r="106" spans="1:11" ht="216.75" customHeight="1" x14ac:dyDescent="0.25">
      <c r="A106" s="35"/>
      <c r="B106" s="2" t="s">
        <v>46</v>
      </c>
      <c r="C106" s="36"/>
      <c r="D106" s="37"/>
      <c r="E106" s="37"/>
      <c r="F106" s="37"/>
      <c r="G106" s="9"/>
      <c r="H106" s="9"/>
      <c r="I106" s="3"/>
      <c r="J106" s="6"/>
      <c r="K106" s="6"/>
    </row>
    <row r="107" spans="1:11" ht="178.5" customHeight="1" x14ac:dyDescent="0.25">
      <c r="A107" s="35"/>
      <c r="B107" s="2" t="s">
        <v>47</v>
      </c>
      <c r="C107" s="36"/>
      <c r="D107" s="37"/>
      <c r="E107" s="37"/>
      <c r="F107" s="37"/>
      <c r="G107" s="9"/>
      <c r="H107" s="9"/>
      <c r="I107" s="3"/>
      <c r="J107" s="6"/>
      <c r="K107" s="6"/>
    </row>
    <row r="108" spans="1:11" ht="114.75" customHeight="1" x14ac:dyDescent="0.25">
      <c r="A108" s="35"/>
      <c r="B108" s="2" t="s">
        <v>48</v>
      </c>
      <c r="C108" s="36"/>
      <c r="D108" s="37"/>
      <c r="E108" s="37"/>
      <c r="F108" s="37"/>
      <c r="G108" s="9"/>
      <c r="H108" s="9"/>
      <c r="I108" s="3"/>
      <c r="J108" s="6"/>
      <c r="K108" s="6"/>
    </row>
    <row r="109" spans="1:11" ht="255" customHeight="1" x14ac:dyDescent="0.25">
      <c r="A109" s="35"/>
      <c r="B109" s="2" t="s">
        <v>49</v>
      </c>
      <c r="C109" s="36"/>
      <c r="D109" s="37"/>
      <c r="E109" s="37"/>
      <c r="F109" s="37"/>
      <c r="G109" s="9"/>
      <c r="H109" s="9"/>
      <c r="I109" s="3"/>
      <c r="J109" s="6"/>
      <c r="K109" s="6"/>
    </row>
    <row r="110" spans="1:11" ht="191.25" customHeight="1" x14ac:dyDescent="0.25">
      <c r="A110" s="35"/>
      <c r="B110" s="2" t="s">
        <v>50</v>
      </c>
      <c r="C110" s="36"/>
      <c r="D110" s="37"/>
      <c r="E110" s="37"/>
      <c r="F110" s="37"/>
      <c r="G110" s="9"/>
      <c r="H110" s="9"/>
      <c r="I110" s="3"/>
      <c r="J110" s="6"/>
      <c r="K110" s="6"/>
    </row>
    <row r="111" spans="1:11" ht="76.5" customHeight="1" x14ac:dyDescent="0.25">
      <c r="A111" s="35"/>
      <c r="B111" s="2" t="s">
        <v>51</v>
      </c>
      <c r="C111" s="36"/>
      <c r="D111" s="37"/>
      <c r="E111" s="37"/>
      <c r="F111" s="37"/>
      <c r="G111" s="9"/>
      <c r="H111" s="9"/>
      <c r="I111" s="3"/>
      <c r="J111" s="6"/>
      <c r="K111" s="6"/>
    </row>
    <row r="112" spans="1:11" ht="216.75" customHeight="1" x14ac:dyDescent="0.25">
      <c r="A112" s="35"/>
      <c r="B112" s="2" t="s">
        <v>52</v>
      </c>
      <c r="C112" s="36"/>
      <c r="D112" s="37"/>
      <c r="E112" s="37"/>
      <c r="F112" s="37"/>
      <c r="G112" s="9"/>
      <c r="H112" s="9"/>
      <c r="I112" s="3"/>
      <c r="J112" s="6"/>
      <c r="K112" s="6"/>
    </row>
    <row r="113" spans="1:11" ht="229.5" customHeight="1" x14ac:dyDescent="0.25">
      <c r="A113" s="35"/>
      <c r="B113" s="2" t="s">
        <v>53</v>
      </c>
      <c r="C113" s="36"/>
      <c r="D113" s="37"/>
      <c r="E113" s="37"/>
      <c r="F113" s="37"/>
      <c r="G113" s="9"/>
      <c r="H113" s="9"/>
      <c r="I113" s="3"/>
      <c r="J113" s="6"/>
      <c r="K113" s="6"/>
    </row>
    <row r="114" spans="1:11" ht="242.25" customHeight="1" x14ac:dyDescent="0.25">
      <c r="A114" s="35"/>
      <c r="B114" s="2" t="s">
        <v>54</v>
      </c>
      <c r="C114" s="36"/>
      <c r="D114" s="37"/>
      <c r="E114" s="37"/>
      <c r="F114" s="37"/>
      <c r="G114" s="9"/>
      <c r="H114" s="9"/>
      <c r="I114" s="3"/>
      <c r="J114" s="6"/>
      <c r="K114" s="6"/>
    </row>
    <row r="115" spans="1:11" ht="153" customHeight="1" x14ac:dyDescent="0.25">
      <c r="A115" s="35"/>
      <c r="B115" s="2" t="s">
        <v>55</v>
      </c>
      <c r="C115" s="36"/>
      <c r="D115" s="37"/>
      <c r="E115" s="37"/>
      <c r="F115" s="37"/>
      <c r="G115" s="9"/>
      <c r="H115" s="9"/>
      <c r="I115" s="3"/>
      <c r="J115" s="6"/>
      <c r="K115" s="6"/>
    </row>
    <row r="116" spans="1:11" ht="114.75" customHeight="1" x14ac:dyDescent="0.25">
      <c r="A116" s="35"/>
      <c r="B116" s="2" t="s">
        <v>56</v>
      </c>
      <c r="C116" s="36"/>
      <c r="D116" s="37"/>
      <c r="E116" s="37"/>
      <c r="F116" s="37"/>
      <c r="G116" s="9"/>
      <c r="H116" s="9"/>
      <c r="I116" s="3"/>
      <c r="J116" s="6"/>
      <c r="K116" s="6"/>
    </row>
    <row r="117" spans="1:11" ht="229.5" customHeight="1" x14ac:dyDescent="0.25">
      <c r="A117" s="35"/>
      <c r="B117" s="2" t="s">
        <v>57</v>
      </c>
      <c r="C117" s="36"/>
      <c r="D117" s="37"/>
      <c r="E117" s="37"/>
      <c r="F117" s="37"/>
      <c r="G117" s="9"/>
      <c r="H117" s="9"/>
      <c r="I117" s="3"/>
      <c r="J117" s="6"/>
      <c r="K117" s="6"/>
    </row>
    <row r="118" spans="1:11" ht="140.25" customHeight="1" x14ac:dyDescent="0.25">
      <c r="A118" s="35"/>
      <c r="B118" s="2" t="s">
        <v>58</v>
      </c>
      <c r="C118" s="36"/>
      <c r="D118" s="37"/>
      <c r="E118" s="37"/>
      <c r="F118" s="37"/>
      <c r="G118" s="9"/>
      <c r="H118" s="9"/>
      <c r="I118" s="3"/>
      <c r="J118" s="6"/>
      <c r="K118" s="6"/>
    </row>
    <row r="119" spans="1:11" ht="216.75" customHeight="1" x14ac:dyDescent="0.25">
      <c r="A119" s="35"/>
      <c r="B119" s="2" t="s">
        <v>59</v>
      </c>
      <c r="C119" s="36"/>
      <c r="D119" s="37"/>
      <c r="E119" s="37"/>
      <c r="F119" s="37"/>
      <c r="G119" s="9"/>
      <c r="H119" s="9"/>
      <c r="I119" s="3"/>
      <c r="J119" s="6"/>
      <c r="K119" s="6"/>
    </row>
    <row r="120" spans="1:11" ht="51" customHeight="1" x14ac:dyDescent="0.25">
      <c r="A120" s="35"/>
      <c r="B120" s="2" t="s">
        <v>60</v>
      </c>
      <c r="C120" s="36"/>
      <c r="D120" s="37"/>
      <c r="E120" s="37"/>
      <c r="F120" s="37"/>
      <c r="G120" s="9"/>
      <c r="H120" s="9"/>
      <c r="I120" s="3"/>
      <c r="J120" s="6"/>
      <c r="K120" s="6"/>
    </row>
    <row r="121" spans="1:11" ht="178.5" customHeight="1" x14ac:dyDescent="0.25">
      <c r="A121" s="35"/>
      <c r="B121" s="2" t="s">
        <v>61</v>
      </c>
      <c r="C121" s="36"/>
      <c r="D121" s="37"/>
      <c r="E121" s="37"/>
      <c r="F121" s="37"/>
      <c r="G121" s="9"/>
      <c r="H121" s="9"/>
      <c r="I121" s="3"/>
      <c r="J121" s="6"/>
      <c r="K121" s="6"/>
    </row>
    <row r="122" spans="1:11" ht="178.5" customHeight="1" x14ac:dyDescent="0.25">
      <c r="A122" s="35"/>
      <c r="B122" s="2" t="s">
        <v>62</v>
      </c>
      <c r="C122" s="36"/>
      <c r="D122" s="37"/>
      <c r="E122" s="37"/>
      <c r="F122" s="37"/>
      <c r="G122" s="9"/>
      <c r="H122" s="9"/>
      <c r="I122" s="3"/>
      <c r="J122" s="6"/>
      <c r="K122" s="6"/>
    </row>
    <row r="123" spans="1:11" ht="242.25" customHeight="1" x14ac:dyDescent="0.25">
      <c r="A123" s="35"/>
      <c r="B123" s="2" t="s">
        <v>63</v>
      </c>
      <c r="C123" s="36"/>
      <c r="D123" s="37"/>
      <c r="E123" s="37"/>
      <c r="F123" s="37"/>
      <c r="G123" s="9"/>
      <c r="H123" s="9"/>
      <c r="I123" s="3"/>
      <c r="J123" s="6"/>
      <c r="K123" s="6"/>
    </row>
    <row r="124" spans="1:11" ht="280.5" customHeight="1" x14ac:dyDescent="0.25">
      <c r="A124" s="35"/>
      <c r="B124" s="2" t="s">
        <v>64</v>
      </c>
      <c r="C124" s="36"/>
      <c r="D124" s="37"/>
      <c r="E124" s="37"/>
      <c r="F124" s="37"/>
      <c r="G124" s="9"/>
      <c r="H124" s="9"/>
      <c r="I124" s="3"/>
      <c r="J124" s="6"/>
      <c r="K124" s="6"/>
    </row>
    <row r="125" spans="1:11" ht="306" customHeight="1" x14ac:dyDescent="0.25">
      <c r="A125" s="35"/>
      <c r="B125" s="2" t="s">
        <v>65</v>
      </c>
      <c r="C125" s="36"/>
      <c r="D125" s="37"/>
      <c r="E125" s="37"/>
      <c r="F125" s="37"/>
      <c r="G125" s="9"/>
      <c r="H125" s="9"/>
      <c r="I125" s="3"/>
      <c r="J125" s="6"/>
      <c r="K125" s="6"/>
    </row>
    <row r="126" spans="1:11" ht="229.5" customHeight="1" x14ac:dyDescent="0.25">
      <c r="A126" s="35"/>
      <c r="B126" s="2" t="s">
        <v>66</v>
      </c>
      <c r="C126" s="36"/>
      <c r="D126" s="37"/>
      <c r="E126" s="37"/>
      <c r="F126" s="37"/>
      <c r="G126" s="9"/>
      <c r="H126" s="9"/>
      <c r="I126" s="3"/>
      <c r="J126" s="6"/>
      <c r="K126" s="6"/>
    </row>
    <row r="127" spans="1:11" ht="242.25" customHeight="1" x14ac:dyDescent="0.25">
      <c r="A127" s="35"/>
      <c r="B127" s="2" t="s">
        <v>67</v>
      </c>
      <c r="C127" s="36"/>
      <c r="D127" s="37"/>
      <c r="E127" s="37"/>
      <c r="F127" s="37"/>
      <c r="G127" s="9"/>
      <c r="H127" s="9"/>
      <c r="I127" s="3"/>
      <c r="J127" s="6"/>
      <c r="K127" s="6"/>
    </row>
    <row r="128" spans="1:11" ht="293.25" customHeight="1" x14ac:dyDescent="0.25">
      <c r="A128" s="35"/>
      <c r="B128" s="2" t="s">
        <v>68</v>
      </c>
      <c r="C128" s="36"/>
      <c r="D128" s="37"/>
      <c r="E128" s="37"/>
      <c r="F128" s="37"/>
      <c r="G128" s="9"/>
      <c r="H128" s="9"/>
      <c r="I128" s="3"/>
      <c r="J128" s="6"/>
      <c r="K128" s="6"/>
    </row>
    <row r="129" spans="1:11" ht="165.75" customHeight="1" x14ac:dyDescent="0.25">
      <c r="A129" s="35"/>
      <c r="B129" s="2" t="s">
        <v>69</v>
      </c>
      <c r="C129" s="36"/>
      <c r="D129" s="37"/>
      <c r="E129" s="37"/>
      <c r="F129" s="37"/>
      <c r="G129" s="9"/>
      <c r="H129" s="9"/>
      <c r="I129" s="3"/>
      <c r="J129" s="6"/>
      <c r="K129" s="6"/>
    </row>
    <row r="130" spans="1:11" ht="140.25" customHeight="1" x14ac:dyDescent="0.25">
      <c r="A130" s="35"/>
      <c r="B130" s="2" t="s">
        <v>70</v>
      </c>
      <c r="C130" s="36"/>
      <c r="D130" s="37"/>
      <c r="E130" s="37"/>
      <c r="F130" s="37"/>
      <c r="G130" s="9"/>
      <c r="H130" s="9"/>
      <c r="I130" s="3"/>
      <c r="J130" s="6"/>
      <c r="K130" s="6"/>
    </row>
    <row r="131" spans="1:11" ht="102" customHeight="1" x14ac:dyDescent="0.25">
      <c r="A131" s="35"/>
      <c r="B131" s="2" t="s">
        <v>71</v>
      </c>
      <c r="C131" s="36"/>
      <c r="D131" s="37"/>
      <c r="E131" s="37"/>
      <c r="F131" s="37"/>
      <c r="G131" s="9"/>
      <c r="H131" s="9"/>
      <c r="I131" s="3"/>
      <c r="J131" s="6"/>
      <c r="K131" s="6"/>
    </row>
    <row r="132" spans="1:11" ht="89.25" customHeight="1" x14ac:dyDescent="0.25">
      <c r="A132" s="35"/>
      <c r="B132" s="2" t="s">
        <v>72</v>
      </c>
      <c r="C132" s="36"/>
      <c r="D132" s="37"/>
      <c r="E132" s="37"/>
      <c r="F132" s="37"/>
      <c r="G132" s="9"/>
      <c r="H132" s="9"/>
      <c r="I132" s="3"/>
      <c r="J132" s="6"/>
      <c r="K132" s="6"/>
    </row>
    <row r="133" spans="1:11" ht="165.75" customHeight="1" x14ac:dyDescent="0.25">
      <c r="A133" s="35"/>
      <c r="B133" s="2" t="s">
        <v>73</v>
      </c>
      <c r="C133" s="36"/>
      <c r="D133" s="37"/>
      <c r="E133" s="37"/>
      <c r="F133" s="37"/>
      <c r="G133" s="9"/>
      <c r="H133" s="9"/>
      <c r="I133" s="3"/>
      <c r="J133" s="6"/>
      <c r="K133" s="6"/>
    </row>
    <row r="134" spans="1:11" ht="357" customHeight="1" x14ac:dyDescent="0.25">
      <c r="A134" s="35"/>
      <c r="B134" s="2" t="s">
        <v>74</v>
      </c>
      <c r="C134" s="36"/>
      <c r="D134" s="37"/>
      <c r="E134" s="37"/>
      <c r="F134" s="37"/>
      <c r="G134" s="9"/>
      <c r="H134" s="9"/>
      <c r="I134" s="3"/>
      <c r="J134" s="6"/>
      <c r="K134" s="6"/>
    </row>
    <row r="135" spans="1:11" ht="51" customHeight="1" x14ac:dyDescent="0.25">
      <c r="A135" s="35"/>
      <c r="B135" s="2" t="s">
        <v>75</v>
      </c>
      <c r="C135" s="36"/>
      <c r="D135" s="37"/>
      <c r="E135" s="37"/>
      <c r="F135" s="37"/>
      <c r="G135" s="9"/>
      <c r="H135" s="9"/>
      <c r="I135" s="3"/>
      <c r="J135" s="6"/>
      <c r="K135" s="6"/>
    </row>
    <row r="136" spans="1:11" ht="280.5" customHeight="1" x14ac:dyDescent="0.25">
      <c r="A136" s="35"/>
      <c r="B136" s="2" t="s">
        <v>76</v>
      </c>
      <c r="C136" s="36"/>
      <c r="D136" s="37"/>
      <c r="E136" s="37"/>
      <c r="F136" s="37"/>
      <c r="G136" s="9"/>
      <c r="H136" s="9"/>
      <c r="I136" s="3"/>
      <c r="J136" s="6"/>
      <c r="K136" s="6"/>
    </row>
    <row r="137" spans="1:11" ht="344.25" customHeight="1" x14ac:dyDescent="0.25">
      <c r="A137" s="35"/>
      <c r="B137" s="2" t="s">
        <v>77</v>
      </c>
      <c r="C137" s="36"/>
      <c r="D137" s="37"/>
      <c r="E137" s="37"/>
      <c r="F137" s="37"/>
      <c r="G137" s="9"/>
      <c r="H137" s="9"/>
      <c r="I137" s="3"/>
      <c r="J137" s="6"/>
      <c r="K137" s="6"/>
    </row>
    <row r="138" spans="1:11" ht="102" customHeight="1" x14ac:dyDescent="0.25">
      <c r="A138" s="35"/>
      <c r="B138" s="2" t="s">
        <v>78</v>
      </c>
      <c r="C138" s="36"/>
      <c r="D138" s="37"/>
      <c r="E138" s="37"/>
      <c r="F138" s="37"/>
      <c r="G138" s="9"/>
      <c r="H138" s="9"/>
      <c r="I138" s="3"/>
      <c r="J138" s="6"/>
      <c r="K138" s="6"/>
    </row>
    <row r="139" spans="1:11" ht="127.5" customHeight="1" x14ac:dyDescent="0.25">
      <c r="A139" s="35"/>
      <c r="B139" s="2" t="s">
        <v>79</v>
      </c>
      <c r="C139" s="36"/>
      <c r="D139" s="37"/>
      <c r="E139" s="37"/>
      <c r="F139" s="37"/>
      <c r="G139" s="9"/>
      <c r="H139" s="9"/>
      <c r="I139" s="3"/>
      <c r="J139" s="6"/>
      <c r="K139" s="6"/>
    </row>
    <row r="140" spans="1:11" ht="153" customHeight="1" x14ac:dyDescent="0.25">
      <c r="A140" s="35"/>
      <c r="B140" s="2" t="s">
        <v>80</v>
      </c>
      <c r="C140" s="36"/>
      <c r="D140" s="37"/>
      <c r="E140" s="37"/>
      <c r="F140" s="37"/>
      <c r="G140" s="9"/>
      <c r="H140" s="9"/>
      <c r="I140" s="3"/>
      <c r="J140" s="6"/>
      <c r="K140" s="6"/>
    </row>
    <row r="141" spans="1:11" ht="153" customHeight="1" x14ac:dyDescent="0.25">
      <c r="A141" s="35"/>
      <c r="B141" s="2" t="s">
        <v>81</v>
      </c>
      <c r="C141" s="36"/>
      <c r="D141" s="37"/>
      <c r="E141" s="37"/>
      <c r="F141" s="37"/>
      <c r="G141" s="9"/>
      <c r="H141" s="9"/>
      <c r="I141" s="3"/>
      <c r="J141" s="6"/>
      <c r="K141" s="6"/>
    </row>
    <row r="142" spans="1:11" ht="204" customHeight="1" x14ac:dyDescent="0.25">
      <c r="A142" s="35"/>
      <c r="B142" s="2" t="s">
        <v>82</v>
      </c>
      <c r="C142" s="36"/>
      <c r="D142" s="37"/>
      <c r="E142" s="37"/>
      <c r="F142" s="37"/>
      <c r="G142" s="9"/>
      <c r="H142" s="9"/>
      <c r="I142" s="3"/>
      <c r="J142" s="6"/>
      <c r="K142" s="6"/>
    </row>
    <row r="143" spans="1:11" ht="12.75" customHeight="1" x14ac:dyDescent="0.25">
      <c r="A143" s="35"/>
      <c r="B143" s="2"/>
      <c r="C143" s="36"/>
      <c r="D143" s="37"/>
      <c r="E143" s="37"/>
      <c r="F143" s="37"/>
      <c r="G143" s="9"/>
      <c r="H143" s="9"/>
      <c r="I143" s="3"/>
      <c r="J143" s="6"/>
      <c r="K143" s="6"/>
    </row>
    <row r="144" spans="1:11" ht="12.75" customHeight="1" x14ac:dyDescent="0.25">
      <c r="A144" s="35"/>
      <c r="B144" s="2" t="s">
        <v>83</v>
      </c>
      <c r="C144" s="36"/>
      <c r="D144" s="37"/>
      <c r="E144" s="37"/>
      <c r="F144" s="37"/>
      <c r="G144" s="9"/>
      <c r="H144" s="9"/>
      <c r="I144" s="3"/>
      <c r="J144" s="6"/>
      <c r="K144" s="6"/>
    </row>
    <row r="145" spans="1:11" ht="12.75" customHeight="1" x14ac:dyDescent="0.25">
      <c r="A145" s="35"/>
      <c r="B145" s="2" t="s">
        <v>84</v>
      </c>
      <c r="C145" s="36"/>
      <c r="D145" s="37"/>
      <c r="E145" s="37"/>
      <c r="F145" s="37"/>
      <c r="G145" s="9"/>
      <c r="H145" s="9"/>
      <c r="I145" s="3"/>
      <c r="J145" s="6"/>
      <c r="K145" s="6"/>
    </row>
    <row r="146" spans="1:11" ht="369.75" customHeight="1" x14ac:dyDescent="0.25">
      <c r="A146" s="35"/>
      <c r="B146" s="2" t="s">
        <v>85</v>
      </c>
      <c r="C146" s="36"/>
      <c r="D146" s="37"/>
      <c r="E146" s="37"/>
      <c r="F146" s="37"/>
      <c r="G146" s="9"/>
      <c r="H146" s="9"/>
      <c r="I146" s="3"/>
      <c r="J146" s="6"/>
      <c r="K146" s="6"/>
    </row>
    <row r="147" spans="1:11" ht="76.5" customHeight="1" x14ac:dyDescent="0.25">
      <c r="A147" s="35"/>
      <c r="B147" s="2" t="s">
        <v>86</v>
      </c>
      <c r="C147" s="36"/>
      <c r="D147" s="37"/>
      <c r="E147" s="37"/>
      <c r="F147" s="37"/>
      <c r="G147" s="9"/>
      <c r="H147" s="9"/>
      <c r="I147" s="3"/>
      <c r="J147" s="6"/>
      <c r="K147" s="6"/>
    </row>
    <row r="148" spans="1:11" ht="280.5" customHeight="1" x14ac:dyDescent="0.25">
      <c r="A148" s="35"/>
      <c r="B148" s="2" t="s">
        <v>87</v>
      </c>
      <c r="C148" s="36"/>
      <c r="D148" s="37"/>
      <c r="E148" s="37"/>
      <c r="F148" s="37"/>
      <c r="G148" s="9"/>
      <c r="H148" s="9"/>
      <c r="I148" s="3"/>
      <c r="J148" s="6"/>
      <c r="K148" s="6"/>
    </row>
    <row r="149" spans="1:11" ht="51" customHeight="1" x14ac:dyDescent="0.25">
      <c r="A149" s="35"/>
      <c r="B149" s="2" t="s">
        <v>88</v>
      </c>
      <c r="C149" s="36"/>
      <c r="D149" s="37"/>
      <c r="E149" s="37"/>
      <c r="F149" s="37"/>
      <c r="G149" s="9"/>
      <c r="H149" s="9"/>
      <c r="I149" s="3"/>
      <c r="J149" s="6"/>
      <c r="K149" s="6"/>
    </row>
    <row r="150" spans="1:11" ht="229.5" customHeight="1" x14ac:dyDescent="0.25">
      <c r="A150" s="35"/>
      <c r="B150" s="2" t="s">
        <v>89</v>
      </c>
      <c r="C150" s="36"/>
      <c r="D150" s="37"/>
      <c r="E150" s="37"/>
      <c r="F150" s="37"/>
      <c r="G150" s="9"/>
      <c r="H150" s="9"/>
      <c r="I150" s="3"/>
      <c r="J150" s="6"/>
      <c r="K150" s="6"/>
    </row>
    <row r="151" spans="1:11" ht="114.75" customHeight="1" x14ac:dyDescent="0.25">
      <c r="A151" s="35"/>
      <c r="B151" s="2" t="s">
        <v>90</v>
      </c>
      <c r="C151" s="36"/>
      <c r="D151" s="37"/>
      <c r="E151" s="37"/>
      <c r="F151" s="37"/>
      <c r="G151" s="9"/>
      <c r="H151" s="9"/>
      <c r="I151" s="3"/>
      <c r="J151" s="6"/>
      <c r="K151" s="6"/>
    </row>
    <row r="152" spans="1:11" ht="255" customHeight="1" x14ac:dyDescent="0.25">
      <c r="A152" s="35"/>
      <c r="B152" s="2" t="s">
        <v>91</v>
      </c>
      <c r="C152" s="36"/>
      <c r="D152" s="37"/>
      <c r="E152" s="37"/>
      <c r="F152" s="37"/>
      <c r="G152" s="9"/>
      <c r="H152" s="9"/>
      <c r="I152" s="3"/>
      <c r="J152" s="6"/>
      <c r="K152" s="6"/>
    </row>
    <row r="153" spans="1:11" ht="165.75" customHeight="1" x14ac:dyDescent="0.25">
      <c r="A153" s="35"/>
      <c r="B153" s="2" t="s">
        <v>92</v>
      </c>
      <c r="C153" s="36"/>
      <c r="D153" s="37"/>
      <c r="E153" s="37"/>
      <c r="F153" s="37"/>
      <c r="G153" s="9"/>
      <c r="H153" s="9"/>
      <c r="I153" s="3"/>
      <c r="J153" s="6"/>
      <c r="K153" s="6"/>
    </row>
    <row r="154" spans="1:11" ht="153" customHeight="1" x14ac:dyDescent="0.25">
      <c r="A154" s="35"/>
      <c r="B154" s="2" t="s">
        <v>93</v>
      </c>
      <c r="C154" s="36"/>
      <c r="D154" s="37"/>
      <c r="E154" s="37"/>
      <c r="F154" s="37"/>
      <c r="G154" s="9"/>
      <c r="H154" s="9"/>
      <c r="I154" s="3"/>
      <c r="J154" s="6"/>
      <c r="K154" s="6"/>
    </row>
    <row r="155" spans="1:11" ht="267.75" customHeight="1" x14ac:dyDescent="0.25">
      <c r="A155" s="35"/>
      <c r="B155" s="2" t="s">
        <v>94</v>
      </c>
      <c r="C155" s="36"/>
      <c r="D155" s="37"/>
      <c r="E155" s="37"/>
      <c r="F155" s="37"/>
      <c r="G155" s="9"/>
      <c r="H155" s="9"/>
      <c r="I155" s="3"/>
      <c r="J155" s="6"/>
      <c r="K155" s="6"/>
    </row>
    <row r="156" spans="1:11" ht="318.75" customHeight="1" x14ac:dyDescent="0.25">
      <c r="A156" s="35"/>
      <c r="B156" s="2" t="s">
        <v>95</v>
      </c>
      <c r="C156" s="36"/>
      <c r="D156" s="37"/>
      <c r="E156" s="37"/>
      <c r="F156" s="37"/>
      <c r="G156" s="9"/>
      <c r="H156" s="9"/>
      <c r="I156" s="3"/>
      <c r="J156" s="6"/>
      <c r="K156" s="6"/>
    </row>
    <row r="157" spans="1:11" ht="306" customHeight="1" x14ac:dyDescent="0.25">
      <c r="A157" s="35"/>
      <c r="B157" s="2" t="s">
        <v>96</v>
      </c>
      <c r="C157" s="36"/>
      <c r="D157" s="37"/>
      <c r="E157" s="37"/>
      <c r="F157" s="37"/>
      <c r="G157" s="9"/>
      <c r="H157" s="9"/>
      <c r="I157" s="3"/>
      <c r="J157" s="6"/>
      <c r="K157" s="6"/>
    </row>
    <row r="158" spans="1:11" ht="12.75" customHeight="1" x14ac:dyDescent="0.25">
      <c r="A158" s="35"/>
      <c r="B158" s="2" t="s">
        <v>97</v>
      </c>
      <c r="C158" s="36"/>
      <c r="D158" s="37"/>
      <c r="E158" s="37"/>
      <c r="F158" s="37"/>
      <c r="G158" s="9"/>
      <c r="H158" s="9"/>
      <c r="I158" s="3"/>
      <c r="J158" s="6"/>
      <c r="K158" s="6"/>
    </row>
    <row r="159" spans="1:11" ht="153" customHeight="1" x14ac:dyDescent="0.25">
      <c r="A159" s="35"/>
      <c r="B159" s="2" t="s">
        <v>98</v>
      </c>
      <c r="C159" s="36"/>
      <c r="D159" s="37"/>
      <c r="E159" s="37"/>
      <c r="F159" s="37"/>
      <c r="G159" s="9"/>
      <c r="H159" s="9"/>
      <c r="I159" s="3"/>
      <c r="J159" s="6"/>
      <c r="K159" s="6"/>
    </row>
    <row r="160" spans="1:11" ht="395.25" customHeight="1" x14ac:dyDescent="0.25">
      <c r="A160" s="35"/>
      <c r="B160" s="2" t="s">
        <v>99</v>
      </c>
      <c r="C160" s="36"/>
      <c r="D160" s="37"/>
      <c r="E160" s="37"/>
      <c r="F160" s="37"/>
      <c r="G160" s="9"/>
      <c r="H160" s="9"/>
      <c r="I160" s="3"/>
      <c r="J160" s="6"/>
      <c r="K160" s="6"/>
    </row>
    <row r="161" spans="1:11" ht="38.25" customHeight="1" x14ac:dyDescent="0.25">
      <c r="A161" s="35"/>
      <c r="B161" s="2" t="s">
        <v>100</v>
      </c>
      <c r="C161" s="36"/>
      <c r="D161" s="37"/>
      <c r="E161" s="37"/>
      <c r="F161" s="37"/>
      <c r="G161" s="9"/>
      <c r="H161" s="9"/>
      <c r="I161" s="3"/>
      <c r="J161" s="6"/>
      <c r="K161" s="6"/>
    </row>
    <row r="162" spans="1:11" ht="127.5" customHeight="1" x14ac:dyDescent="0.25">
      <c r="A162" s="35"/>
      <c r="B162" s="2" t="s">
        <v>101</v>
      </c>
      <c r="C162" s="36"/>
      <c r="D162" s="37"/>
      <c r="E162" s="37"/>
      <c r="F162" s="37"/>
      <c r="G162" s="9"/>
      <c r="H162" s="9"/>
      <c r="I162" s="3"/>
      <c r="J162" s="6"/>
      <c r="K162" s="6"/>
    </row>
    <row r="163" spans="1:11" ht="369.75" customHeight="1" x14ac:dyDescent="0.25">
      <c r="A163" s="35"/>
      <c r="B163" s="2" t="s">
        <v>102</v>
      </c>
      <c r="C163" s="36"/>
      <c r="D163" s="37"/>
      <c r="E163" s="37"/>
      <c r="F163" s="37"/>
      <c r="G163" s="9"/>
      <c r="H163" s="9"/>
      <c r="I163" s="3"/>
      <c r="J163" s="6"/>
      <c r="K163" s="6"/>
    </row>
    <row r="164" spans="1:11" ht="318.75" customHeight="1" x14ac:dyDescent="0.25">
      <c r="A164" s="35"/>
      <c r="B164" s="2" t="s">
        <v>103</v>
      </c>
      <c r="C164" s="36"/>
      <c r="D164" s="37"/>
      <c r="E164" s="37"/>
      <c r="F164" s="37"/>
      <c r="G164" s="9"/>
      <c r="H164" s="9"/>
      <c r="I164" s="3"/>
      <c r="J164" s="6"/>
      <c r="K164" s="6"/>
    </row>
    <row r="165" spans="1:11" ht="204" customHeight="1" x14ac:dyDescent="0.25">
      <c r="A165" s="35"/>
      <c r="B165" s="2" t="s">
        <v>104</v>
      </c>
      <c r="C165" s="36"/>
      <c r="D165" s="37"/>
      <c r="E165" s="37"/>
      <c r="F165" s="37"/>
      <c r="G165" s="9"/>
      <c r="H165" s="9"/>
      <c r="I165" s="3"/>
      <c r="J165" s="6"/>
      <c r="K165" s="6"/>
    </row>
    <row r="166" spans="1:11" ht="12.75" customHeight="1" x14ac:dyDescent="0.25">
      <c r="A166" s="35"/>
      <c r="B166" s="2" t="s">
        <v>105</v>
      </c>
      <c r="C166" s="36"/>
      <c r="D166" s="37"/>
      <c r="E166" s="37"/>
      <c r="F166" s="37"/>
      <c r="G166" s="9"/>
      <c r="H166" s="9"/>
      <c r="I166" s="3"/>
      <c r="J166" s="6"/>
      <c r="K166" s="6"/>
    </row>
    <row r="167" spans="1:11" ht="114.75" customHeight="1" x14ac:dyDescent="0.25">
      <c r="A167" s="35"/>
      <c r="B167" s="2" t="s">
        <v>106</v>
      </c>
      <c r="C167" s="36"/>
      <c r="D167" s="37"/>
      <c r="E167" s="37"/>
      <c r="F167" s="37"/>
      <c r="G167" s="9"/>
      <c r="H167" s="9"/>
      <c r="I167" s="3"/>
      <c r="J167" s="6"/>
      <c r="K167" s="6"/>
    </row>
    <row r="168" spans="1:11" ht="165.75" customHeight="1" x14ac:dyDescent="0.25">
      <c r="A168" s="35"/>
      <c r="B168" s="2" t="s">
        <v>107</v>
      </c>
      <c r="C168" s="36"/>
      <c r="D168" s="37"/>
      <c r="E168" s="37"/>
      <c r="F168" s="37"/>
      <c r="G168" s="9"/>
      <c r="H168" s="9"/>
      <c r="I168" s="3"/>
      <c r="J168" s="6"/>
      <c r="K168" s="6"/>
    </row>
    <row r="169" spans="1:11" ht="89.25" customHeight="1" x14ac:dyDescent="0.25">
      <c r="A169" s="35"/>
      <c r="B169" s="2" t="s">
        <v>108</v>
      </c>
      <c r="C169" s="36"/>
      <c r="D169" s="37"/>
      <c r="E169" s="37"/>
      <c r="F169" s="37"/>
      <c r="G169" s="9"/>
      <c r="H169" s="9"/>
      <c r="I169" s="3"/>
      <c r="J169" s="6"/>
      <c r="K169" s="6"/>
    </row>
    <row r="170" spans="1:11" ht="76.5" customHeight="1" x14ac:dyDescent="0.25">
      <c r="A170" s="35"/>
      <c r="B170" s="2" t="s">
        <v>109</v>
      </c>
      <c r="C170" s="36"/>
      <c r="D170" s="37"/>
      <c r="E170" s="37"/>
      <c r="F170" s="37"/>
      <c r="G170" s="9"/>
      <c r="H170" s="9"/>
      <c r="I170" s="3"/>
      <c r="J170" s="6"/>
      <c r="K170" s="6"/>
    </row>
    <row r="171" spans="1:11" ht="12.75" customHeight="1" x14ac:dyDescent="0.25">
      <c r="A171" s="35"/>
      <c r="B171" s="2"/>
      <c r="C171" s="36"/>
      <c r="D171" s="37"/>
      <c r="E171" s="37"/>
      <c r="F171" s="37"/>
      <c r="G171" s="9"/>
      <c r="H171" s="9"/>
      <c r="I171" s="3"/>
      <c r="J171" s="6"/>
      <c r="K171" s="6"/>
    </row>
    <row r="172" spans="1:11" ht="12.75" customHeight="1" x14ac:dyDescent="0.25">
      <c r="A172" s="35"/>
      <c r="B172" s="2" t="s">
        <v>110</v>
      </c>
      <c r="C172" s="36"/>
      <c r="D172" s="37"/>
      <c r="E172" s="37"/>
      <c r="F172" s="37"/>
      <c r="G172" s="9"/>
      <c r="H172" s="9"/>
      <c r="I172" s="3"/>
      <c r="J172" s="6"/>
      <c r="K172" s="6"/>
    </row>
    <row r="173" spans="1:11" ht="38.25" customHeight="1" x14ac:dyDescent="0.25">
      <c r="A173" s="35"/>
      <c r="B173" s="2" t="s">
        <v>111</v>
      </c>
      <c r="C173" s="36"/>
      <c r="D173" s="37"/>
      <c r="E173" s="37"/>
      <c r="F173" s="37"/>
      <c r="G173" s="9"/>
      <c r="H173" s="9"/>
      <c r="I173" s="3"/>
      <c r="J173" s="6"/>
      <c r="K173" s="6"/>
    </row>
    <row r="174" spans="1:11" ht="191.25" customHeight="1" x14ac:dyDescent="0.25">
      <c r="A174" s="35"/>
      <c r="B174" s="2" t="s">
        <v>112</v>
      </c>
      <c r="C174" s="36"/>
      <c r="D174" s="37"/>
      <c r="E174" s="37"/>
      <c r="F174" s="37"/>
      <c r="G174" s="9"/>
      <c r="H174" s="9"/>
      <c r="I174" s="3"/>
      <c r="J174" s="6"/>
      <c r="K174" s="6"/>
    </row>
    <row r="175" spans="1:11" ht="140.25" customHeight="1" x14ac:dyDescent="0.25">
      <c r="A175" s="35"/>
      <c r="B175" s="2" t="s">
        <v>113</v>
      </c>
      <c r="C175" s="36"/>
      <c r="D175" s="37"/>
      <c r="E175" s="37"/>
      <c r="F175" s="37"/>
      <c r="G175" s="9"/>
      <c r="H175" s="9"/>
      <c r="I175" s="3"/>
      <c r="J175" s="6"/>
      <c r="K175" s="6"/>
    </row>
    <row r="176" spans="1:11" ht="51" customHeight="1" x14ac:dyDescent="0.25">
      <c r="A176" s="35"/>
      <c r="B176" s="2" t="s">
        <v>114</v>
      </c>
      <c r="C176" s="36"/>
      <c r="D176" s="37"/>
      <c r="E176" s="37"/>
      <c r="F176" s="37"/>
      <c r="G176" s="9"/>
      <c r="H176" s="9"/>
      <c r="I176" s="3"/>
      <c r="J176" s="6"/>
      <c r="K176" s="6"/>
    </row>
    <row r="177" spans="1:11" ht="12.75" customHeight="1" x14ac:dyDescent="0.25">
      <c r="A177" s="35"/>
      <c r="B177" s="2" t="s">
        <v>115</v>
      </c>
      <c r="C177" s="36"/>
      <c r="D177" s="37"/>
      <c r="E177" s="37"/>
      <c r="F177" s="37"/>
      <c r="G177" s="9"/>
      <c r="H177" s="9"/>
      <c r="I177" s="3"/>
      <c r="J177" s="6"/>
      <c r="K177" s="6"/>
    </row>
    <row r="178" spans="1:11" ht="191.25" customHeight="1" x14ac:dyDescent="0.25">
      <c r="A178" s="35"/>
      <c r="B178" s="2" t="s">
        <v>116</v>
      </c>
      <c r="C178" s="36"/>
      <c r="D178" s="37"/>
      <c r="E178" s="37"/>
      <c r="F178" s="37"/>
      <c r="G178" s="9"/>
      <c r="H178" s="9"/>
      <c r="I178" s="3"/>
      <c r="J178" s="6"/>
      <c r="K178" s="6"/>
    </row>
    <row r="179" spans="1:11" ht="229.5" customHeight="1" x14ac:dyDescent="0.25">
      <c r="A179" s="35"/>
      <c r="B179" s="2" t="s">
        <v>117</v>
      </c>
      <c r="C179" s="36"/>
      <c r="D179" s="37"/>
      <c r="E179" s="37"/>
      <c r="F179" s="37"/>
      <c r="G179" s="9"/>
      <c r="H179" s="9"/>
      <c r="I179" s="3"/>
      <c r="J179" s="6"/>
      <c r="K179" s="6"/>
    </row>
    <row r="180" spans="1:11" ht="357" customHeight="1" x14ac:dyDescent="0.25">
      <c r="A180" s="35"/>
      <c r="B180" s="2" t="s">
        <v>118</v>
      </c>
      <c r="C180" s="36"/>
      <c r="D180" s="37"/>
      <c r="E180" s="37"/>
      <c r="F180" s="37"/>
      <c r="G180" s="9"/>
      <c r="H180" s="9"/>
      <c r="I180" s="3"/>
      <c r="J180" s="6"/>
      <c r="K180" s="6"/>
    </row>
    <row r="181" spans="1:11" ht="102" customHeight="1" x14ac:dyDescent="0.25">
      <c r="A181" s="35"/>
      <c r="B181" s="2" t="s">
        <v>119</v>
      </c>
      <c r="C181" s="36"/>
      <c r="D181" s="37"/>
      <c r="E181" s="37"/>
      <c r="F181" s="37"/>
      <c r="G181" s="9"/>
      <c r="H181" s="9"/>
      <c r="I181" s="3"/>
      <c r="J181" s="6"/>
      <c r="K181" s="6"/>
    </row>
    <row r="182" spans="1:11" ht="408" customHeight="1" x14ac:dyDescent="0.25">
      <c r="A182" s="35"/>
      <c r="B182" s="2" t="s">
        <v>120</v>
      </c>
      <c r="C182" s="36"/>
      <c r="D182" s="37"/>
      <c r="E182" s="37"/>
      <c r="F182" s="37"/>
      <c r="G182" s="9"/>
      <c r="H182" s="9"/>
      <c r="I182" s="3"/>
      <c r="J182" s="6"/>
      <c r="K182" s="6"/>
    </row>
    <row r="183" spans="1:11" ht="280.5" customHeight="1" x14ac:dyDescent="0.25">
      <c r="A183" s="35"/>
      <c r="B183" s="2" t="s">
        <v>121</v>
      </c>
      <c r="C183" s="36"/>
      <c r="D183" s="37"/>
      <c r="E183" s="37"/>
      <c r="F183" s="37"/>
      <c r="G183" s="9"/>
      <c r="H183" s="9"/>
      <c r="I183" s="3"/>
      <c r="J183" s="6"/>
      <c r="K183" s="6"/>
    </row>
    <row r="184" spans="1:11" ht="153" customHeight="1" x14ac:dyDescent="0.25">
      <c r="A184" s="35"/>
      <c r="B184" s="2" t="s">
        <v>122</v>
      </c>
      <c r="C184" s="36"/>
      <c r="D184" s="37"/>
      <c r="E184" s="37"/>
      <c r="F184" s="37"/>
      <c r="G184" s="9"/>
      <c r="H184" s="9"/>
      <c r="I184" s="3"/>
      <c r="J184" s="6"/>
      <c r="K184" s="6"/>
    </row>
    <row r="185" spans="1:11" ht="12.75" customHeight="1" x14ac:dyDescent="0.25">
      <c r="A185" s="35"/>
      <c r="B185" s="2"/>
      <c r="C185" s="36"/>
      <c r="D185" s="37"/>
      <c r="E185" s="37"/>
      <c r="F185" s="37"/>
      <c r="G185" s="9"/>
      <c r="H185" s="9"/>
      <c r="I185" s="3"/>
      <c r="J185" s="6"/>
      <c r="K185" s="6"/>
    </row>
    <row r="186" spans="1:11" ht="12.75" customHeight="1" x14ac:dyDescent="0.25">
      <c r="A186" s="35"/>
      <c r="B186" s="2" t="s">
        <v>123</v>
      </c>
      <c r="C186" s="36"/>
      <c r="D186" s="37"/>
      <c r="E186" s="37"/>
      <c r="F186" s="37"/>
      <c r="G186" s="9"/>
      <c r="H186" s="9"/>
      <c r="I186" s="3"/>
      <c r="J186" s="6"/>
      <c r="K186" s="6"/>
    </row>
    <row r="187" spans="1:11" ht="76.5" customHeight="1" x14ac:dyDescent="0.25">
      <c r="A187" s="35"/>
      <c r="B187" s="2" t="s">
        <v>124</v>
      </c>
      <c r="C187" s="36"/>
      <c r="D187" s="37"/>
      <c r="E187" s="37"/>
      <c r="F187" s="37"/>
      <c r="G187" s="9"/>
      <c r="H187" s="9"/>
      <c r="I187" s="3"/>
      <c r="J187" s="6"/>
      <c r="K187" s="6"/>
    </row>
    <row r="188" spans="1:11" ht="293.25" customHeight="1" x14ac:dyDescent="0.25">
      <c r="A188" s="35"/>
      <c r="B188" s="2" t="s">
        <v>125</v>
      </c>
      <c r="C188" s="36"/>
      <c r="D188" s="37"/>
      <c r="E188" s="37"/>
      <c r="F188" s="37"/>
      <c r="G188" s="9"/>
      <c r="H188" s="9"/>
      <c r="I188" s="3"/>
      <c r="J188" s="6"/>
      <c r="K188" s="6"/>
    </row>
    <row r="189" spans="1:11" ht="242.25" customHeight="1" x14ac:dyDescent="0.25">
      <c r="A189" s="35"/>
      <c r="B189" s="2" t="s">
        <v>126</v>
      </c>
      <c r="C189" s="36"/>
      <c r="D189" s="37"/>
      <c r="E189" s="37"/>
      <c r="F189" s="37"/>
      <c r="G189" s="9"/>
      <c r="H189" s="9"/>
      <c r="I189" s="3"/>
      <c r="J189" s="6"/>
      <c r="K189" s="6"/>
    </row>
    <row r="190" spans="1:11" ht="76.5" customHeight="1" x14ac:dyDescent="0.25">
      <c r="A190" s="35"/>
      <c r="B190" s="2" t="s">
        <v>127</v>
      </c>
      <c r="C190" s="36"/>
      <c r="D190" s="37"/>
      <c r="E190" s="37"/>
      <c r="F190" s="37"/>
      <c r="G190" s="9"/>
      <c r="H190" s="9"/>
      <c r="I190" s="3"/>
      <c r="J190" s="6"/>
      <c r="K190" s="6"/>
    </row>
    <row r="191" spans="1:11" ht="12.75" customHeight="1" x14ac:dyDescent="0.25">
      <c r="A191" s="35"/>
      <c r="B191" s="2"/>
      <c r="C191" s="36"/>
      <c r="D191" s="37"/>
      <c r="E191" s="37"/>
      <c r="F191" s="37"/>
      <c r="G191" s="9"/>
      <c r="H191" s="9"/>
      <c r="I191" s="3"/>
      <c r="J191" s="6"/>
      <c r="K191" s="6"/>
    </row>
    <row r="192" spans="1:11" ht="12.75" customHeight="1" x14ac:dyDescent="0.25">
      <c r="A192" s="35"/>
      <c r="B192" s="2" t="s">
        <v>128</v>
      </c>
      <c r="C192" s="36"/>
      <c r="D192" s="37"/>
      <c r="E192" s="37"/>
      <c r="F192" s="37"/>
      <c r="G192" s="9"/>
      <c r="H192" s="9"/>
      <c r="I192" s="3"/>
      <c r="J192" s="6"/>
      <c r="K192" s="6"/>
    </row>
    <row r="193" spans="1:11" ht="178.5" customHeight="1" x14ac:dyDescent="0.25">
      <c r="A193" s="35"/>
      <c r="B193" s="2" t="s">
        <v>129</v>
      </c>
      <c r="C193" s="36"/>
      <c r="D193" s="37"/>
      <c r="E193" s="37"/>
      <c r="F193" s="37"/>
      <c r="G193" s="9"/>
      <c r="H193" s="9"/>
      <c r="I193" s="3"/>
      <c r="J193" s="6"/>
      <c r="K193" s="6"/>
    </row>
    <row r="194" spans="1:11" ht="280.5" customHeight="1" x14ac:dyDescent="0.25">
      <c r="A194" s="35"/>
      <c r="B194" s="2" t="s">
        <v>130</v>
      </c>
      <c r="C194" s="36"/>
      <c r="D194" s="37"/>
      <c r="E194" s="37"/>
      <c r="F194" s="37"/>
      <c r="G194" s="9"/>
      <c r="H194" s="9"/>
      <c r="I194" s="3"/>
      <c r="J194" s="6"/>
      <c r="K194" s="6"/>
    </row>
    <row r="195" spans="1:11" ht="38.25" customHeight="1" x14ac:dyDescent="0.25">
      <c r="A195" s="35"/>
      <c r="B195" s="2" t="s">
        <v>131</v>
      </c>
      <c r="C195" s="36"/>
      <c r="D195" s="37"/>
      <c r="E195" s="37"/>
      <c r="F195" s="37"/>
      <c r="G195" s="9"/>
      <c r="H195" s="9"/>
      <c r="I195" s="3"/>
      <c r="J195" s="6"/>
      <c r="K195" s="6"/>
    </row>
    <row r="196" spans="1:11" ht="12.75" customHeight="1" x14ac:dyDescent="0.25">
      <c r="A196" s="35"/>
      <c r="B196" s="2"/>
      <c r="C196" s="36"/>
      <c r="D196" s="37"/>
      <c r="E196" s="37"/>
      <c r="F196" s="37"/>
      <c r="G196" s="9"/>
      <c r="H196" s="9"/>
      <c r="I196" s="3"/>
      <c r="J196" s="6"/>
      <c r="K196" s="6"/>
    </row>
    <row r="197" spans="1:11" ht="12.75" customHeight="1" x14ac:dyDescent="0.25">
      <c r="A197" s="35"/>
      <c r="B197" s="2" t="s">
        <v>132</v>
      </c>
      <c r="C197" s="36"/>
      <c r="D197" s="37"/>
      <c r="E197" s="37"/>
      <c r="F197" s="37"/>
      <c r="G197" s="9"/>
      <c r="H197" s="9"/>
      <c r="I197" s="3"/>
      <c r="J197" s="6"/>
      <c r="K197" s="6"/>
    </row>
    <row r="198" spans="1:11" ht="191.25" customHeight="1" x14ac:dyDescent="0.25">
      <c r="A198" s="35"/>
      <c r="B198" s="2" t="s">
        <v>133</v>
      </c>
      <c r="C198" s="36"/>
      <c r="D198" s="37"/>
      <c r="E198" s="37"/>
      <c r="F198" s="37"/>
      <c r="G198" s="9"/>
      <c r="H198" s="9"/>
      <c r="I198" s="3"/>
      <c r="J198" s="6"/>
      <c r="K198" s="6"/>
    </row>
    <row r="199" spans="1:11" ht="204" customHeight="1" x14ac:dyDescent="0.25">
      <c r="A199" s="35"/>
      <c r="B199" s="2" t="s">
        <v>134</v>
      </c>
      <c r="C199" s="36"/>
      <c r="D199" s="37"/>
      <c r="E199" s="37"/>
      <c r="F199" s="37"/>
      <c r="G199" s="9"/>
      <c r="H199" s="9"/>
      <c r="I199" s="3"/>
      <c r="J199" s="6"/>
      <c r="K199" s="6"/>
    </row>
    <row r="200" spans="1:11" ht="318.75" customHeight="1" x14ac:dyDescent="0.25">
      <c r="A200" s="35"/>
      <c r="B200" s="2" t="s">
        <v>135</v>
      </c>
      <c r="C200" s="36"/>
      <c r="D200" s="37"/>
      <c r="E200" s="37"/>
      <c r="F200" s="37"/>
      <c r="G200" s="9"/>
      <c r="H200" s="9"/>
      <c r="I200" s="3"/>
      <c r="J200" s="6"/>
      <c r="K200" s="6"/>
    </row>
    <row r="201" spans="1:11" ht="12.75" customHeight="1" x14ac:dyDescent="0.25">
      <c r="A201" s="35"/>
      <c r="B201" s="2"/>
      <c r="C201" s="36"/>
      <c r="D201" s="37"/>
      <c r="E201" s="37"/>
      <c r="F201" s="37"/>
      <c r="G201" s="9"/>
      <c r="H201" s="9"/>
      <c r="I201" s="3"/>
      <c r="J201" s="6"/>
      <c r="K201" s="6"/>
    </row>
    <row r="202" spans="1:11" ht="12.75" customHeight="1" x14ac:dyDescent="0.25">
      <c r="A202" s="35"/>
      <c r="B202" s="2" t="s">
        <v>136</v>
      </c>
      <c r="C202" s="36"/>
      <c r="D202" s="37"/>
      <c r="E202" s="37"/>
      <c r="F202" s="37"/>
      <c r="G202" s="9"/>
      <c r="H202" s="9"/>
      <c r="I202" s="3"/>
      <c r="J202" s="6"/>
      <c r="K202" s="6"/>
    </row>
    <row r="203" spans="1:11" ht="12.75" customHeight="1" x14ac:dyDescent="0.25">
      <c r="A203" s="35"/>
      <c r="B203" s="2" t="s">
        <v>137</v>
      </c>
      <c r="C203" s="36"/>
      <c r="D203" s="37"/>
      <c r="E203" s="37"/>
      <c r="F203" s="37"/>
      <c r="G203" s="9"/>
      <c r="H203" s="9"/>
      <c r="I203" s="3"/>
      <c r="J203" s="6"/>
      <c r="K203" s="6"/>
    </row>
    <row r="204" spans="1:11" ht="127.5" customHeight="1" x14ac:dyDescent="0.25">
      <c r="A204" s="35"/>
      <c r="B204" s="2" t="s">
        <v>138</v>
      </c>
      <c r="C204" s="36"/>
      <c r="D204" s="37"/>
      <c r="E204" s="37"/>
      <c r="F204" s="37"/>
      <c r="G204" s="9"/>
      <c r="H204" s="9"/>
      <c r="I204" s="3"/>
      <c r="J204" s="6"/>
      <c r="K204" s="6"/>
    </row>
    <row r="205" spans="1:11" ht="12.75" customHeight="1" x14ac:dyDescent="0.25">
      <c r="A205" s="35"/>
      <c r="B205" s="2" t="s">
        <v>139</v>
      </c>
      <c r="C205" s="36"/>
      <c r="D205" s="37"/>
      <c r="E205" s="37"/>
      <c r="F205" s="37"/>
      <c r="G205" s="9"/>
      <c r="H205" s="9"/>
      <c r="I205" s="3"/>
      <c r="J205" s="6"/>
      <c r="K205" s="6"/>
    </row>
    <row r="206" spans="1:11" ht="267.75" customHeight="1" x14ac:dyDescent="0.25">
      <c r="A206" s="35"/>
      <c r="B206" s="2" t="s">
        <v>140</v>
      </c>
      <c r="C206" s="36"/>
      <c r="D206" s="37"/>
      <c r="E206" s="37"/>
      <c r="F206" s="37"/>
      <c r="G206" s="9"/>
      <c r="H206" s="9"/>
      <c r="I206" s="3"/>
      <c r="J206" s="6"/>
      <c r="K206" s="6"/>
    </row>
    <row r="207" spans="1:11" ht="12.75" customHeight="1" x14ac:dyDescent="0.25">
      <c r="A207" s="35"/>
      <c r="B207" s="2" t="s">
        <v>141</v>
      </c>
      <c r="C207" s="36"/>
      <c r="D207" s="37"/>
      <c r="E207" s="37"/>
      <c r="F207" s="37"/>
      <c r="G207" s="9"/>
      <c r="H207" s="9"/>
      <c r="I207" s="3"/>
      <c r="J207" s="6"/>
      <c r="K207" s="6"/>
    </row>
    <row r="208" spans="1:11" ht="127.5" customHeight="1" x14ac:dyDescent="0.25">
      <c r="A208" s="35"/>
      <c r="B208" s="2" t="s">
        <v>142</v>
      </c>
      <c r="C208" s="36"/>
      <c r="D208" s="37"/>
      <c r="E208" s="37"/>
      <c r="F208" s="37"/>
      <c r="G208" s="9"/>
      <c r="H208" s="9"/>
      <c r="I208" s="3"/>
      <c r="J208" s="6"/>
      <c r="K208" s="6"/>
    </row>
    <row r="209" spans="1:11" ht="165.75" customHeight="1" x14ac:dyDescent="0.25">
      <c r="A209" s="35"/>
      <c r="B209" s="2" t="s">
        <v>143</v>
      </c>
      <c r="C209" s="36"/>
      <c r="D209" s="37"/>
      <c r="E209" s="37"/>
      <c r="F209" s="37"/>
      <c r="G209" s="9"/>
      <c r="H209" s="9"/>
      <c r="I209" s="3"/>
      <c r="J209" s="6"/>
      <c r="K209" s="6"/>
    </row>
    <row r="210" spans="1:11" ht="127.5" customHeight="1" x14ac:dyDescent="0.25">
      <c r="A210" s="35"/>
      <c r="B210" s="2" t="s">
        <v>144</v>
      </c>
      <c r="C210" s="36"/>
      <c r="D210" s="37"/>
      <c r="E210" s="37"/>
      <c r="F210" s="37"/>
      <c r="G210" s="9"/>
      <c r="H210" s="9"/>
      <c r="I210" s="3"/>
      <c r="J210" s="6"/>
      <c r="K210" s="6"/>
    </row>
    <row r="211" spans="1:11" ht="114.75" customHeight="1" x14ac:dyDescent="0.25">
      <c r="A211" s="35"/>
      <c r="B211" s="2" t="s">
        <v>145</v>
      </c>
      <c r="C211" s="36"/>
      <c r="D211" s="37"/>
      <c r="E211" s="37"/>
      <c r="F211" s="37"/>
      <c r="G211" s="9"/>
      <c r="H211" s="9"/>
      <c r="I211" s="3"/>
      <c r="J211" s="6"/>
      <c r="K211" s="6"/>
    </row>
    <row r="212" spans="1:11" ht="140.25" customHeight="1" x14ac:dyDescent="0.25">
      <c r="A212" s="35"/>
      <c r="B212" s="2" t="s">
        <v>146</v>
      </c>
      <c r="C212" s="36"/>
      <c r="D212" s="37"/>
      <c r="E212" s="37"/>
      <c r="F212" s="37"/>
      <c r="G212" s="9"/>
      <c r="H212" s="9"/>
      <c r="I212" s="3"/>
      <c r="J212" s="6"/>
      <c r="K212" s="6"/>
    </row>
    <row r="213" spans="1:11" ht="63.75" customHeight="1" x14ac:dyDescent="0.25">
      <c r="A213" s="35"/>
      <c r="B213" s="2" t="s">
        <v>147</v>
      </c>
      <c r="C213" s="36"/>
      <c r="D213" s="37"/>
      <c r="E213" s="37"/>
      <c r="F213" s="37"/>
      <c r="G213" s="9"/>
      <c r="H213" s="9"/>
      <c r="I213" s="3"/>
      <c r="J213" s="6"/>
      <c r="K213" s="6"/>
    </row>
    <row r="214" spans="1:11" ht="38.25" customHeight="1" x14ac:dyDescent="0.25">
      <c r="A214" s="35"/>
      <c r="B214" s="2" t="s">
        <v>148</v>
      </c>
      <c r="C214" s="36"/>
      <c r="D214" s="37"/>
      <c r="E214" s="37"/>
      <c r="F214" s="37"/>
      <c r="G214" s="9"/>
      <c r="H214" s="9"/>
      <c r="I214" s="3"/>
      <c r="J214" s="6"/>
      <c r="K214" s="6"/>
    </row>
    <row r="215" spans="1:11" ht="89.25" customHeight="1" x14ac:dyDescent="0.25">
      <c r="A215" s="35"/>
      <c r="B215" s="2" t="s">
        <v>149</v>
      </c>
      <c r="C215" s="36"/>
      <c r="D215" s="37"/>
      <c r="E215" s="37"/>
      <c r="F215" s="37"/>
      <c r="G215" s="9"/>
      <c r="H215" s="9"/>
      <c r="I215" s="3"/>
      <c r="J215" s="6"/>
      <c r="K215" s="6"/>
    </row>
    <row r="216" spans="1:11" ht="63.75" customHeight="1" x14ac:dyDescent="0.25">
      <c r="A216" s="35"/>
      <c r="B216" s="2" t="s">
        <v>150</v>
      </c>
      <c r="C216" s="36"/>
      <c r="D216" s="37"/>
      <c r="E216" s="37"/>
      <c r="F216" s="37"/>
      <c r="G216" s="9"/>
      <c r="H216" s="9"/>
      <c r="I216" s="3"/>
      <c r="J216" s="6"/>
      <c r="K216" s="6"/>
    </row>
    <row r="217" spans="1:11" ht="12.75" customHeight="1" x14ac:dyDescent="0.25">
      <c r="A217" s="35"/>
      <c r="B217" s="2"/>
      <c r="C217" s="36"/>
      <c r="D217" s="37"/>
      <c r="E217" s="37"/>
      <c r="F217" s="37"/>
      <c r="G217" s="9"/>
      <c r="H217" s="9"/>
      <c r="I217" s="3"/>
      <c r="J217" s="6"/>
      <c r="K217" s="6"/>
    </row>
    <row r="218" spans="1:11" ht="12.75" customHeight="1" x14ac:dyDescent="0.25">
      <c r="A218" s="35"/>
      <c r="B218" s="2" t="s">
        <v>151</v>
      </c>
      <c r="C218" s="36"/>
      <c r="D218" s="37"/>
      <c r="E218" s="37"/>
      <c r="F218" s="37"/>
      <c r="G218" s="9"/>
      <c r="H218" s="9"/>
      <c r="I218" s="3"/>
      <c r="J218" s="6"/>
      <c r="K218" s="6"/>
    </row>
    <row r="219" spans="1:11" ht="38.25" customHeight="1" x14ac:dyDescent="0.25">
      <c r="A219" s="35"/>
      <c r="B219" s="2" t="s">
        <v>152</v>
      </c>
      <c r="C219" s="36"/>
      <c r="D219" s="37"/>
      <c r="E219" s="37"/>
      <c r="F219" s="37"/>
      <c r="G219" s="9"/>
      <c r="H219" s="9"/>
      <c r="I219" s="3"/>
      <c r="J219" s="6"/>
      <c r="K219" s="6"/>
    </row>
    <row r="220" spans="1:11" ht="140.25" customHeight="1" x14ac:dyDescent="0.25">
      <c r="A220" s="35"/>
      <c r="B220" s="2" t="s">
        <v>153</v>
      </c>
      <c r="C220" s="36"/>
      <c r="D220" s="37"/>
      <c r="E220" s="37"/>
      <c r="F220" s="37"/>
      <c r="G220" s="9"/>
      <c r="H220" s="9"/>
      <c r="I220" s="3"/>
      <c r="J220" s="6"/>
      <c r="K220" s="6"/>
    </row>
    <row r="221" spans="1:11" ht="127.5" customHeight="1" x14ac:dyDescent="0.25">
      <c r="A221" s="35"/>
      <c r="B221" s="2" t="s">
        <v>154</v>
      </c>
      <c r="C221" s="36"/>
      <c r="D221" s="37"/>
      <c r="E221" s="37"/>
      <c r="F221" s="37"/>
      <c r="G221" s="9"/>
      <c r="H221" s="9"/>
      <c r="I221" s="3"/>
      <c r="J221" s="6"/>
      <c r="K221" s="6"/>
    </row>
    <row r="222" spans="1:11" ht="140.25" customHeight="1" x14ac:dyDescent="0.25">
      <c r="A222" s="35"/>
      <c r="B222" s="2" t="s">
        <v>155</v>
      </c>
      <c r="C222" s="36"/>
      <c r="D222" s="37"/>
      <c r="E222" s="37"/>
      <c r="F222" s="37"/>
      <c r="G222" s="9"/>
      <c r="H222" s="9"/>
      <c r="I222" s="3"/>
      <c r="J222" s="6"/>
      <c r="K222" s="6"/>
    </row>
    <row r="223" spans="1:11" ht="216.75" customHeight="1" x14ac:dyDescent="0.25">
      <c r="A223" s="35"/>
      <c r="B223" s="2" t="s">
        <v>156</v>
      </c>
      <c r="C223" s="36"/>
      <c r="D223" s="37"/>
      <c r="E223" s="37"/>
      <c r="F223" s="37"/>
      <c r="G223" s="9"/>
      <c r="H223" s="9"/>
      <c r="I223" s="3"/>
      <c r="J223" s="6"/>
      <c r="K223" s="6"/>
    </row>
    <row r="224" spans="1:11" ht="191.25" customHeight="1" x14ac:dyDescent="0.25">
      <c r="A224" s="35"/>
      <c r="B224" s="2" t="s">
        <v>157</v>
      </c>
      <c r="C224" s="36"/>
      <c r="D224" s="37"/>
      <c r="E224" s="37"/>
      <c r="F224" s="37"/>
      <c r="G224" s="9"/>
      <c r="H224" s="9"/>
      <c r="I224" s="3"/>
      <c r="J224" s="6"/>
      <c r="K224" s="6"/>
    </row>
    <row r="225" spans="1:11" ht="12.75" customHeight="1" x14ac:dyDescent="0.25">
      <c r="A225" s="35"/>
      <c r="B225" s="2"/>
      <c r="C225" s="36"/>
      <c r="D225" s="37"/>
      <c r="E225" s="37"/>
      <c r="F225" s="37"/>
      <c r="G225" s="9"/>
      <c r="H225" s="9"/>
      <c r="I225" s="3"/>
      <c r="J225" s="6"/>
      <c r="K225" s="6"/>
    </row>
    <row r="226" spans="1:11" ht="12.75" customHeight="1" x14ac:dyDescent="0.25">
      <c r="A226" s="35"/>
      <c r="B226" s="2" t="s">
        <v>158</v>
      </c>
      <c r="C226" s="36"/>
      <c r="D226" s="37"/>
      <c r="E226" s="37"/>
      <c r="F226" s="37"/>
      <c r="G226" s="9"/>
      <c r="H226" s="9"/>
      <c r="I226" s="3"/>
      <c r="J226" s="6"/>
      <c r="K226" s="6"/>
    </row>
    <row r="227" spans="1:11" ht="293.25" customHeight="1" x14ac:dyDescent="0.25">
      <c r="A227" s="35"/>
      <c r="B227" s="2" t="s">
        <v>159</v>
      </c>
      <c r="C227" s="36"/>
      <c r="D227" s="37"/>
      <c r="E227" s="37"/>
      <c r="F227" s="37"/>
      <c r="G227" s="9"/>
      <c r="H227" s="9"/>
      <c r="I227" s="3"/>
      <c r="J227" s="6"/>
      <c r="K227" s="6"/>
    </row>
    <row r="228" spans="1:11" ht="409.5" customHeight="1" x14ac:dyDescent="0.25">
      <c r="A228" s="35"/>
      <c r="B228" s="2" t="s">
        <v>160</v>
      </c>
      <c r="C228" s="36"/>
      <c r="D228" s="37"/>
      <c r="E228" s="37"/>
      <c r="F228" s="37"/>
      <c r="G228" s="9"/>
      <c r="H228" s="9"/>
      <c r="I228" s="3"/>
      <c r="J228" s="6"/>
      <c r="K228" s="6"/>
    </row>
    <row r="229" spans="1:11" ht="229.5" customHeight="1" x14ac:dyDescent="0.25">
      <c r="A229" s="35"/>
      <c r="B229" s="2" t="s">
        <v>161</v>
      </c>
      <c r="C229" s="36"/>
      <c r="D229" s="37"/>
      <c r="E229" s="37"/>
      <c r="F229" s="37"/>
      <c r="G229" s="9"/>
      <c r="H229" s="9"/>
      <c r="I229" s="3"/>
      <c r="J229" s="6"/>
      <c r="K229" s="6"/>
    </row>
    <row r="230" spans="1:11" ht="178.5" customHeight="1" x14ac:dyDescent="0.25">
      <c r="A230" s="35"/>
      <c r="B230" s="2" t="s">
        <v>162</v>
      </c>
      <c r="C230" s="36"/>
      <c r="D230" s="37"/>
      <c r="E230" s="37"/>
      <c r="F230" s="37"/>
      <c r="G230" s="9"/>
      <c r="H230" s="9"/>
      <c r="I230" s="3"/>
      <c r="J230" s="6"/>
      <c r="K230" s="6"/>
    </row>
    <row r="231" spans="1:11" ht="357" customHeight="1" x14ac:dyDescent="0.25">
      <c r="A231" s="35"/>
      <c r="B231" s="2" t="s">
        <v>163</v>
      </c>
      <c r="C231" s="36"/>
      <c r="D231" s="37"/>
      <c r="E231" s="37"/>
      <c r="F231" s="37"/>
      <c r="G231" s="9"/>
      <c r="H231" s="9"/>
      <c r="I231" s="3"/>
      <c r="J231" s="6"/>
      <c r="K231" s="6"/>
    </row>
    <row r="232" spans="1:11" ht="89.25" customHeight="1" x14ac:dyDescent="0.25">
      <c r="A232" s="35"/>
      <c r="B232" s="2" t="s">
        <v>164</v>
      </c>
      <c r="C232" s="36"/>
      <c r="D232" s="37"/>
      <c r="E232" s="37"/>
      <c r="F232" s="37"/>
      <c r="G232" s="9"/>
      <c r="H232" s="9"/>
      <c r="I232" s="3"/>
      <c r="J232" s="6"/>
      <c r="K232" s="6"/>
    </row>
    <row r="233" spans="1:11" ht="267.75" customHeight="1" x14ac:dyDescent="0.25">
      <c r="A233" s="35"/>
      <c r="B233" s="2" t="s">
        <v>165</v>
      </c>
      <c r="C233" s="36"/>
      <c r="D233" s="37"/>
      <c r="E233" s="37"/>
      <c r="F233" s="37"/>
      <c r="G233" s="9"/>
      <c r="H233" s="9"/>
      <c r="I233" s="3"/>
      <c r="J233" s="6"/>
      <c r="K233" s="6"/>
    </row>
    <row r="234" spans="1:11" ht="216.75" customHeight="1" x14ac:dyDescent="0.25">
      <c r="A234" s="35"/>
      <c r="B234" s="2" t="s">
        <v>166</v>
      </c>
      <c r="C234" s="36"/>
      <c r="D234" s="37"/>
      <c r="E234" s="37"/>
      <c r="F234" s="37"/>
      <c r="G234" s="9"/>
      <c r="H234" s="9"/>
      <c r="I234" s="3"/>
      <c r="J234" s="6"/>
      <c r="K234" s="6"/>
    </row>
    <row r="235" spans="1:11" ht="12.75" customHeight="1" x14ac:dyDescent="0.25">
      <c r="A235" s="35"/>
      <c r="B235" s="2"/>
      <c r="C235" s="36"/>
      <c r="D235" s="37"/>
      <c r="E235" s="37"/>
      <c r="F235" s="37"/>
      <c r="G235" s="9"/>
      <c r="H235" s="9"/>
      <c r="I235" s="3"/>
      <c r="J235" s="6"/>
      <c r="K235" s="6"/>
    </row>
    <row r="236" spans="1:11" ht="12.75" customHeight="1" x14ac:dyDescent="0.25">
      <c r="A236" s="35"/>
      <c r="B236" s="2" t="s">
        <v>167</v>
      </c>
      <c r="C236" s="36"/>
      <c r="D236" s="37"/>
      <c r="E236" s="37"/>
      <c r="F236" s="37"/>
      <c r="G236" s="9"/>
      <c r="H236" s="9"/>
      <c r="I236" s="3"/>
      <c r="J236" s="6"/>
      <c r="K236" s="6"/>
    </row>
    <row r="237" spans="1:11" ht="89.25" customHeight="1" x14ac:dyDescent="0.25">
      <c r="A237" s="35"/>
      <c r="B237" s="2" t="s">
        <v>168</v>
      </c>
      <c r="C237" s="36"/>
      <c r="D237" s="37"/>
      <c r="E237" s="37"/>
      <c r="F237" s="37"/>
      <c r="G237" s="9"/>
      <c r="H237" s="9"/>
      <c r="I237" s="3"/>
      <c r="J237" s="6"/>
      <c r="K237" s="6"/>
    </row>
    <row r="238" spans="1:11" ht="191.25" customHeight="1" x14ac:dyDescent="0.25">
      <c r="A238" s="35"/>
      <c r="B238" s="2" t="s">
        <v>169</v>
      </c>
      <c r="C238" s="36"/>
      <c r="D238" s="37"/>
      <c r="E238" s="37"/>
      <c r="F238" s="37"/>
      <c r="G238" s="9"/>
      <c r="H238" s="9"/>
      <c r="I238" s="3"/>
      <c r="J238" s="6"/>
      <c r="K238" s="6"/>
    </row>
    <row r="239" spans="1:11" ht="76.5" customHeight="1" x14ac:dyDescent="0.25">
      <c r="A239" s="35"/>
      <c r="B239" s="2" t="s">
        <v>170</v>
      </c>
      <c r="C239" s="36"/>
      <c r="D239" s="37"/>
      <c r="E239" s="37"/>
      <c r="F239" s="37"/>
      <c r="G239" s="9"/>
      <c r="H239" s="9"/>
      <c r="I239" s="3"/>
      <c r="J239" s="6"/>
      <c r="K239" s="6"/>
    </row>
    <row r="240" spans="1:11" ht="153" customHeight="1" x14ac:dyDescent="0.25">
      <c r="A240" s="35"/>
      <c r="B240" s="2" t="s">
        <v>171</v>
      </c>
      <c r="C240" s="36"/>
      <c r="D240" s="37"/>
      <c r="E240" s="37"/>
      <c r="F240" s="37"/>
      <c r="G240" s="9"/>
      <c r="H240" s="9"/>
      <c r="I240" s="3"/>
      <c r="J240" s="6"/>
      <c r="K240" s="6"/>
    </row>
    <row r="241" spans="1:11" ht="114.75" customHeight="1" x14ac:dyDescent="0.25">
      <c r="A241" s="35"/>
      <c r="B241" s="2" t="s">
        <v>172</v>
      </c>
      <c r="C241" s="36"/>
      <c r="D241" s="37"/>
      <c r="E241" s="37"/>
      <c r="F241" s="37"/>
      <c r="G241" s="9"/>
      <c r="H241" s="9"/>
      <c r="I241" s="3"/>
      <c r="J241" s="6"/>
      <c r="K241" s="6"/>
    </row>
    <row r="242" spans="1:11" ht="51" customHeight="1" x14ac:dyDescent="0.25">
      <c r="A242" s="35"/>
      <c r="B242" s="2" t="s">
        <v>173</v>
      </c>
      <c r="C242" s="36"/>
      <c r="D242" s="37"/>
      <c r="E242" s="37"/>
      <c r="F242" s="37"/>
      <c r="G242" s="9"/>
      <c r="H242" s="9"/>
      <c r="I242" s="3"/>
      <c r="J242" s="6"/>
      <c r="K242" s="6"/>
    </row>
    <row r="243" spans="1:11" ht="178.5" customHeight="1" x14ac:dyDescent="0.25">
      <c r="A243" s="35"/>
      <c r="B243" s="2" t="s">
        <v>174</v>
      </c>
      <c r="C243" s="36"/>
      <c r="D243" s="37"/>
      <c r="E243" s="37"/>
      <c r="F243" s="37"/>
      <c r="G243" s="9"/>
      <c r="H243" s="9"/>
      <c r="I243" s="3"/>
      <c r="J243" s="6"/>
      <c r="K243" s="6"/>
    </row>
    <row r="244" spans="1:11" ht="12.75" customHeight="1" x14ac:dyDescent="0.25">
      <c r="A244" s="35"/>
      <c r="B244" s="2"/>
      <c r="C244" s="36"/>
      <c r="D244" s="37"/>
      <c r="E244" s="37"/>
      <c r="F244" s="37"/>
      <c r="G244" s="9"/>
      <c r="H244" s="9"/>
      <c r="I244" s="3"/>
      <c r="J244" s="6"/>
      <c r="K244" s="6"/>
    </row>
    <row r="245" spans="1:11" ht="12.75" customHeight="1" x14ac:dyDescent="0.25">
      <c r="A245" s="35"/>
      <c r="B245" s="2" t="s">
        <v>175</v>
      </c>
      <c r="C245" s="36"/>
      <c r="D245" s="37"/>
      <c r="E245" s="37"/>
      <c r="F245" s="37"/>
      <c r="G245" s="9"/>
      <c r="H245" s="9"/>
      <c r="I245" s="3"/>
      <c r="J245" s="6"/>
      <c r="K245" s="6"/>
    </row>
    <row r="246" spans="1:11" ht="216.75" customHeight="1" x14ac:dyDescent="0.25">
      <c r="A246" s="35"/>
      <c r="B246" s="2" t="s">
        <v>176</v>
      </c>
      <c r="C246" s="36"/>
      <c r="D246" s="37"/>
      <c r="E246" s="37"/>
      <c r="F246" s="37"/>
      <c r="G246" s="9"/>
      <c r="H246" s="9"/>
      <c r="I246" s="3"/>
      <c r="J246" s="6"/>
      <c r="K246" s="6"/>
    </row>
    <row r="247" spans="1:11" ht="140.25" customHeight="1" x14ac:dyDescent="0.25">
      <c r="A247" s="35"/>
      <c r="B247" s="2" t="s">
        <v>177</v>
      </c>
      <c r="C247" s="36"/>
      <c r="D247" s="37"/>
      <c r="E247" s="37"/>
      <c r="F247" s="37"/>
      <c r="G247" s="9"/>
      <c r="H247" s="9"/>
      <c r="I247" s="3"/>
      <c r="J247" s="6"/>
      <c r="K247" s="6"/>
    </row>
    <row r="248" spans="1:11" ht="51" customHeight="1" x14ac:dyDescent="0.25">
      <c r="A248" s="35"/>
      <c r="B248" s="2" t="s">
        <v>178</v>
      </c>
      <c r="C248" s="36"/>
      <c r="D248" s="37"/>
      <c r="E248" s="37"/>
      <c r="F248" s="37"/>
      <c r="G248" s="9"/>
      <c r="H248" s="9"/>
      <c r="I248" s="3"/>
      <c r="J248" s="6"/>
      <c r="K248" s="6"/>
    </row>
    <row r="249" spans="1:11" ht="357" customHeight="1" x14ac:dyDescent="0.25">
      <c r="A249" s="35"/>
      <c r="B249" s="2" t="s">
        <v>179</v>
      </c>
      <c r="C249" s="36"/>
      <c r="D249" s="37"/>
      <c r="E249" s="37"/>
      <c r="F249" s="37"/>
      <c r="G249" s="9"/>
      <c r="H249" s="9"/>
      <c r="I249" s="3"/>
      <c r="J249" s="6"/>
      <c r="K249" s="6"/>
    </row>
    <row r="250" spans="1:11" ht="76.5" customHeight="1" x14ac:dyDescent="0.25">
      <c r="A250" s="35"/>
      <c r="B250" s="2" t="s">
        <v>180</v>
      </c>
      <c r="C250" s="36"/>
      <c r="D250" s="37"/>
      <c r="E250" s="37"/>
      <c r="F250" s="37"/>
      <c r="G250" s="9"/>
      <c r="H250" s="9"/>
      <c r="I250" s="3"/>
      <c r="J250" s="6"/>
      <c r="K250" s="6"/>
    </row>
    <row r="251" spans="1:11" ht="12.75" customHeight="1" x14ac:dyDescent="0.25">
      <c r="A251" s="35"/>
      <c r="B251" s="2"/>
      <c r="C251" s="36"/>
      <c r="D251" s="37"/>
      <c r="E251" s="37"/>
      <c r="F251" s="37"/>
      <c r="G251" s="9"/>
      <c r="H251" s="9"/>
      <c r="I251" s="3"/>
      <c r="J251" s="6"/>
      <c r="K251" s="6"/>
    </row>
    <row r="252" spans="1:11" ht="12.75" customHeight="1" x14ac:dyDescent="0.25">
      <c r="A252" s="35"/>
      <c r="B252" s="2" t="s">
        <v>181</v>
      </c>
      <c r="C252" s="36"/>
      <c r="D252" s="37"/>
      <c r="E252" s="37"/>
      <c r="F252" s="37"/>
      <c r="G252" s="9"/>
      <c r="H252" s="9"/>
      <c r="I252" s="3"/>
      <c r="J252" s="6"/>
      <c r="K252" s="6"/>
    </row>
    <row r="253" spans="1:11" ht="12.75" customHeight="1" x14ac:dyDescent="0.25">
      <c r="A253" s="35"/>
      <c r="B253" s="2" t="s">
        <v>182</v>
      </c>
      <c r="C253" s="36"/>
      <c r="D253" s="37"/>
      <c r="E253" s="37"/>
      <c r="F253" s="37"/>
      <c r="G253" s="9"/>
      <c r="H253" s="9"/>
      <c r="I253" s="3"/>
      <c r="J253" s="6"/>
      <c r="K253" s="6"/>
    </row>
    <row r="254" spans="1:11" ht="102" customHeight="1" x14ac:dyDescent="0.25">
      <c r="A254" s="35"/>
      <c r="B254" s="2" t="s">
        <v>183</v>
      </c>
      <c r="C254" s="36"/>
      <c r="D254" s="37"/>
      <c r="E254" s="37"/>
      <c r="F254" s="37"/>
      <c r="G254" s="9"/>
      <c r="H254" s="9"/>
      <c r="I254" s="3"/>
      <c r="J254" s="6"/>
      <c r="K254" s="6"/>
    </row>
    <row r="255" spans="1:11" ht="12.75" customHeight="1" x14ac:dyDescent="0.25">
      <c r="A255" s="35"/>
      <c r="B255" s="2" t="s">
        <v>184</v>
      </c>
      <c r="C255" s="36"/>
      <c r="D255" s="37"/>
      <c r="E255" s="37"/>
      <c r="F255" s="37"/>
      <c r="G255" s="9"/>
      <c r="H255" s="9"/>
      <c r="I255" s="3"/>
      <c r="J255" s="6"/>
      <c r="K255" s="6"/>
    </row>
    <row r="256" spans="1:11" ht="127.5" customHeight="1" x14ac:dyDescent="0.25">
      <c r="A256" s="35"/>
      <c r="B256" s="2" t="s">
        <v>185</v>
      </c>
      <c r="C256" s="36"/>
      <c r="D256" s="37"/>
      <c r="E256" s="37"/>
      <c r="F256" s="37"/>
      <c r="G256" s="9"/>
      <c r="H256" s="9"/>
      <c r="I256" s="3"/>
      <c r="J256" s="6"/>
      <c r="K256" s="6"/>
    </row>
    <row r="257" spans="1:11" ht="12.75" customHeight="1" x14ac:dyDescent="0.25">
      <c r="A257" s="35"/>
      <c r="B257" s="2" t="s">
        <v>186</v>
      </c>
      <c r="C257" s="36"/>
      <c r="D257" s="37"/>
      <c r="E257" s="37"/>
      <c r="F257" s="37"/>
      <c r="G257" s="9"/>
      <c r="H257" s="9"/>
      <c r="I257" s="3"/>
      <c r="J257" s="6"/>
      <c r="K257" s="6"/>
    </row>
    <row r="258" spans="1:11" ht="140.25" customHeight="1" x14ac:dyDescent="0.25">
      <c r="A258" s="35"/>
      <c r="B258" s="2" t="s">
        <v>187</v>
      </c>
      <c r="C258" s="36"/>
      <c r="D258" s="37"/>
      <c r="E258" s="37"/>
      <c r="F258" s="37"/>
      <c r="G258" s="9"/>
      <c r="H258" s="9"/>
      <c r="I258" s="3"/>
      <c r="J258" s="6"/>
      <c r="K258" s="6"/>
    </row>
    <row r="259" spans="1:11" ht="12.75" customHeight="1" x14ac:dyDescent="0.25">
      <c r="A259" s="35"/>
      <c r="B259" s="2" t="s">
        <v>188</v>
      </c>
      <c r="C259" s="36"/>
      <c r="D259" s="37"/>
      <c r="E259" s="37"/>
      <c r="F259" s="37"/>
      <c r="G259" s="9"/>
      <c r="H259" s="9"/>
      <c r="I259" s="3"/>
      <c r="J259" s="6"/>
      <c r="K259" s="6"/>
    </row>
    <row r="260" spans="1:11" ht="114.75" customHeight="1" x14ac:dyDescent="0.25">
      <c r="A260" s="35"/>
      <c r="B260" s="2" t="s">
        <v>189</v>
      </c>
      <c r="C260" s="36"/>
      <c r="D260" s="37"/>
      <c r="E260" s="37"/>
      <c r="F260" s="37"/>
      <c r="G260" s="9"/>
      <c r="H260" s="9"/>
      <c r="I260" s="3"/>
      <c r="J260" s="6"/>
      <c r="K260" s="6"/>
    </row>
    <row r="261" spans="1:11" ht="12.75" customHeight="1" x14ac:dyDescent="0.25">
      <c r="A261" s="35"/>
      <c r="B261" s="2" t="s">
        <v>190</v>
      </c>
      <c r="C261" s="36"/>
      <c r="D261" s="37"/>
      <c r="E261" s="37"/>
      <c r="F261" s="37"/>
      <c r="G261" s="9"/>
      <c r="H261" s="9"/>
      <c r="I261" s="3"/>
      <c r="J261" s="6"/>
      <c r="K261" s="6"/>
    </row>
    <row r="262" spans="1:11" ht="76.5" customHeight="1" x14ac:dyDescent="0.25">
      <c r="A262" s="35"/>
      <c r="B262" s="2" t="s">
        <v>191</v>
      </c>
      <c r="C262" s="36"/>
      <c r="D262" s="37"/>
      <c r="E262" s="37"/>
      <c r="F262" s="37"/>
      <c r="G262" s="9"/>
      <c r="H262" s="9"/>
      <c r="I262" s="3"/>
      <c r="J262" s="6"/>
      <c r="K262" s="6"/>
    </row>
    <row r="263" spans="1:11" ht="12.75" customHeight="1" x14ac:dyDescent="0.25">
      <c r="A263" s="35"/>
      <c r="B263" s="2" t="s">
        <v>192</v>
      </c>
      <c r="C263" s="36"/>
      <c r="D263" s="37"/>
      <c r="E263" s="37"/>
      <c r="F263" s="37"/>
      <c r="G263" s="9"/>
      <c r="H263" s="9"/>
      <c r="I263" s="3"/>
      <c r="J263" s="6"/>
      <c r="K263" s="6"/>
    </row>
    <row r="264" spans="1:11" ht="89.25" customHeight="1" x14ac:dyDescent="0.25">
      <c r="A264" s="35"/>
      <c r="B264" s="2" t="s">
        <v>193</v>
      </c>
      <c r="C264" s="36"/>
      <c r="D264" s="37"/>
      <c r="E264" s="37"/>
      <c r="F264" s="37"/>
      <c r="G264" s="9"/>
      <c r="H264" s="9"/>
      <c r="I264" s="3"/>
      <c r="J264" s="6"/>
      <c r="K264" s="6"/>
    </row>
    <row r="265" spans="1:11" ht="12.75" customHeight="1" x14ac:dyDescent="0.25">
      <c r="A265" s="35"/>
      <c r="B265" s="2" t="s">
        <v>194</v>
      </c>
      <c r="C265" s="36"/>
      <c r="D265" s="37"/>
      <c r="E265" s="37"/>
      <c r="F265" s="37"/>
      <c r="G265" s="9"/>
      <c r="H265" s="9"/>
      <c r="I265" s="3"/>
      <c r="J265" s="6"/>
      <c r="K265" s="6"/>
    </row>
    <row r="266" spans="1:11" ht="204" customHeight="1" x14ac:dyDescent="0.25">
      <c r="A266" s="35"/>
      <c r="B266" s="2" t="s">
        <v>195</v>
      </c>
      <c r="C266" s="36"/>
      <c r="D266" s="37"/>
      <c r="E266" s="37"/>
      <c r="F266" s="37"/>
      <c r="G266" s="9"/>
      <c r="H266" s="9"/>
      <c r="I266" s="3"/>
      <c r="J266" s="6"/>
      <c r="K266" s="6"/>
    </row>
    <row r="267" spans="1:11" ht="280.5" customHeight="1" x14ac:dyDescent="0.25">
      <c r="A267" s="35"/>
      <c r="B267" s="2" t="s">
        <v>196</v>
      </c>
      <c r="C267" s="36"/>
      <c r="D267" s="37"/>
      <c r="E267" s="37"/>
      <c r="F267" s="37"/>
      <c r="G267" s="9"/>
      <c r="H267" s="9"/>
      <c r="I267" s="3"/>
      <c r="J267" s="6"/>
      <c r="K267" s="6"/>
    </row>
    <row r="268" spans="1:11" ht="76.5" customHeight="1" x14ac:dyDescent="0.25">
      <c r="A268" s="35"/>
      <c r="B268" s="2" t="s">
        <v>197</v>
      </c>
      <c r="C268" s="36"/>
      <c r="D268" s="37"/>
      <c r="E268" s="37"/>
      <c r="F268" s="37"/>
      <c r="G268" s="9"/>
      <c r="H268" s="9"/>
      <c r="I268" s="3"/>
      <c r="J268" s="6"/>
      <c r="K268" s="6"/>
    </row>
    <row r="269" spans="1:11" ht="127.5" customHeight="1" x14ac:dyDescent="0.25">
      <c r="A269" s="35"/>
      <c r="B269" s="2" t="s">
        <v>198</v>
      </c>
      <c r="C269" s="36"/>
      <c r="D269" s="37"/>
      <c r="E269" s="37"/>
      <c r="F269" s="37"/>
      <c r="G269" s="9"/>
      <c r="H269" s="9"/>
      <c r="I269" s="3"/>
      <c r="J269" s="6"/>
      <c r="K269" s="6"/>
    </row>
    <row r="270" spans="1:11" ht="25.5" customHeight="1" x14ac:dyDescent="0.25">
      <c r="A270" s="35"/>
      <c r="B270" s="2" t="s">
        <v>199</v>
      </c>
      <c r="C270" s="36"/>
      <c r="D270" s="37"/>
      <c r="E270" s="37"/>
      <c r="F270" s="37"/>
      <c r="G270" s="9"/>
      <c r="H270" s="9"/>
      <c r="I270" s="3"/>
      <c r="J270" s="6"/>
      <c r="K270" s="6"/>
    </row>
    <row r="271" spans="1:11" ht="25.5" customHeight="1" x14ac:dyDescent="0.25">
      <c r="A271" s="35"/>
      <c r="B271" s="2" t="s">
        <v>200</v>
      </c>
      <c r="C271" s="36"/>
      <c r="D271" s="37"/>
      <c r="E271" s="37"/>
      <c r="F271" s="37"/>
      <c r="G271" s="9"/>
      <c r="H271" s="9"/>
      <c r="I271" s="3"/>
      <c r="J271" s="6"/>
      <c r="K271" s="6"/>
    </row>
    <row r="272" spans="1:11" ht="38.25" customHeight="1" x14ac:dyDescent="0.25">
      <c r="A272" s="35"/>
      <c r="B272" s="2" t="s">
        <v>201</v>
      </c>
      <c r="C272" s="36"/>
      <c r="D272" s="37"/>
      <c r="E272" s="37"/>
      <c r="F272" s="37"/>
      <c r="G272" s="9"/>
      <c r="H272" s="9"/>
      <c r="I272" s="3"/>
      <c r="J272" s="6"/>
      <c r="K272" s="6"/>
    </row>
    <row r="273" spans="1:11" ht="293.25" customHeight="1" x14ac:dyDescent="0.25">
      <c r="A273" s="35"/>
      <c r="B273" s="2" t="s">
        <v>202</v>
      </c>
      <c r="C273" s="36"/>
      <c r="D273" s="37"/>
      <c r="E273" s="37"/>
      <c r="F273" s="37"/>
      <c r="G273" s="9"/>
      <c r="H273" s="9"/>
      <c r="I273" s="3"/>
      <c r="J273" s="6"/>
      <c r="K273" s="6"/>
    </row>
    <row r="274" spans="1:11" ht="280.5" customHeight="1" x14ac:dyDescent="0.25">
      <c r="A274" s="35"/>
      <c r="B274" s="2" t="s">
        <v>203</v>
      </c>
      <c r="C274" s="36"/>
      <c r="D274" s="37"/>
      <c r="E274" s="37"/>
      <c r="F274" s="37"/>
      <c r="G274" s="9"/>
      <c r="H274" s="9"/>
      <c r="I274" s="3"/>
      <c r="J274" s="6"/>
      <c r="K274" s="6"/>
    </row>
    <row r="275" spans="1:11" ht="318.75" customHeight="1" x14ac:dyDescent="0.25">
      <c r="A275" s="35"/>
      <c r="B275" s="2" t="s">
        <v>204</v>
      </c>
      <c r="C275" s="36"/>
      <c r="D275" s="37"/>
      <c r="E275" s="37"/>
      <c r="F275" s="37"/>
      <c r="G275" s="9"/>
      <c r="H275" s="9"/>
      <c r="I275" s="3"/>
      <c r="J275" s="6"/>
      <c r="K275" s="6"/>
    </row>
    <row r="276" spans="1:11" ht="267.75" customHeight="1" x14ac:dyDescent="0.25">
      <c r="A276" s="35"/>
      <c r="B276" s="2" t="s">
        <v>205</v>
      </c>
      <c r="C276" s="36"/>
      <c r="D276" s="37"/>
      <c r="E276" s="37"/>
      <c r="F276" s="37"/>
      <c r="G276" s="9"/>
      <c r="H276" s="9"/>
      <c r="I276" s="3"/>
      <c r="J276" s="6"/>
      <c r="K276" s="6"/>
    </row>
    <row r="277" spans="1:11" ht="127.5" customHeight="1" x14ac:dyDescent="0.25">
      <c r="A277" s="35"/>
      <c r="B277" s="2" t="s">
        <v>206</v>
      </c>
      <c r="C277" s="36"/>
      <c r="D277" s="37"/>
      <c r="E277" s="37"/>
      <c r="F277" s="37"/>
      <c r="G277" s="9"/>
      <c r="H277" s="9"/>
      <c r="I277" s="3"/>
      <c r="J277" s="6"/>
      <c r="K277" s="6"/>
    </row>
    <row r="278" spans="1:11" ht="38.25" customHeight="1" x14ac:dyDescent="0.25">
      <c r="A278" s="35"/>
      <c r="B278" s="2" t="s">
        <v>207</v>
      </c>
      <c r="C278" s="36"/>
      <c r="D278" s="37"/>
      <c r="E278" s="37"/>
      <c r="F278" s="37"/>
      <c r="G278" s="9"/>
      <c r="H278" s="9"/>
      <c r="I278" s="3"/>
      <c r="J278" s="6"/>
      <c r="K278" s="6"/>
    </row>
    <row r="279" spans="1:11" ht="12.75" customHeight="1" x14ac:dyDescent="0.25">
      <c r="A279" s="35"/>
      <c r="B279" s="2" t="s">
        <v>208</v>
      </c>
      <c r="C279" s="36"/>
      <c r="D279" s="37"/>
      <c r="E279" s="37"/>
      <c r="F279" s="37"/>
      <c r="G279" s="9"/>
      <c r="H279" s="9"/>
      <c r="I279" s="3"/>
      <c r="J279" s="6"/>
      <c r="K279" s="6"/>
    </row>
    <row r="280" spans="1:11" ht="12.75" customHeight="1" x14ac:dyDescent="0.25">
      <c r="A280" s="35"/>
      <c r="B280" s="2" t="s">
        <v>209</v>
      </c>
      <c r="C280" s="36"/>
      <c r="D280" s="37"/>
      <c r="E280" s="37"/>
      <c r="F280" s="37"/>
      <c r="G280" s="9"/>
      <c r="H280" s="9"/>
      <c r="I280" s="3"/>
      <c r="J280" s="6"/>
      <c r="K280" s="6"/>
    </row>
    <row r="281" spans="1:11" ht="165.75" customHeight="1" x14ac:dyDescent="0.25">
      <c r="A281" s="35"/>
      <c r="B281" s="2" t="s">
        <v>210</v>
      </c>
      <c r="C281" s="36"/>
      <c r="D281" s="37"/>
      <c r="E281" s="37"/>
      <c r="F281" s="37"/>
      <c r="G281" s="9"/>
      <c r="H281" s="9"/>
      <c r="I281" s="3"/>
      <c r="J281" s="6"/>
      <c r="K281" s="6"/>
    </row>
    <row r="282" spans="1:11" ht="51" customHeight="1" x14ac:dyDescent="0.25">
      <c r="A282" s="35"/>
      <c r="B282" s="2" t="s">
        <v>211</v>
      </c>
      <c r="C282" s="36"/>
      <c r="D282" s="37"/>
      <c r="E282" s="37"/>
      <c r="F282" s="37"/>
      <c r="G282" s="9"/>
      <c r="H282" s="9"/>
      <c r="I282" s="3"/>
      <c r="J282" s="6"/>
      <c r="K282" s="6"/>
    </row>
    <row r="283" spans="1:11" ht="38.25" customHeight="1" x14ac:dyDescent="0.25">
      <c r="A283" s="35"/>
      <c r="B283" s="2" t="s">
        <v>212</v>
      </c>
      <c r="C283" s="36"/>
      <c r="D283" s="37"/>
      <c r="E283" s="37"/>
      <c r="F283" s="37"/>
      <c r="G283" s="9"/>
      <c r="H283" s="9"/>
      <c r="I283" s="3"/>
      <c r="J283" s="6"/>
      <c r="K283" s="6"/>
    </row>
    <row r="284" spans="1:11" ht="12.75" customHeight="1" x14ac:dyDescent="0.25">
      <c r="A284" s="35"/>
      <c r="B284" s="2" t="s">
        <v>213</v>
      </c>
      <c r="C284" s="36"/>
      <c r="D284" s="37"/>
      <c r="E284" s="37"/>
      <c r="F284" s="37"/>
      <c r="G284" s="9"/>
      <c r="H284" s="9"/>
      <c r="I284" s="3"/>
      <c r="J284" s="6"/>
      <c r="K284" s="6"/>
    </row>
    <row r="285" spans="1:11" ht="25.5" customHeight="1" x14ac:dyDescent="0.25">
      <c r="A285" s="35"/>
      <c r="B285" s="2" t="s">
        <v>214</v>
      </c>
      <c r="C285" s="36"/>
      <c r="D285" s="37"/>
      <c r="E285" s="37"/>
      <c r="F285" s="37"/>
      <c r="G285" s="9"/>
      <c r="H285" s="9"/>
      <c r="I285" s="3"/>
      <c r="J285" s="6"/>
      <c r="K285" s="6"/>
    </row>
    <row r="286" spans="1:11" ht="38.25" customHeight="1" x14ac:dyDescent="0.25">
      <c r="A286" s="35"/>
      <c r="B286" s="2" t="s">
        <v>215</v>
      </c>
      <c r="C286" s="36"/>
      <c r="D286" s="37"/>
      <c r="E286" s="37"/>
      <c r="F286" s="37"/>
      <c r="G286" s="9"/>
      <c r="H286" s="9"/>
      <c r="I286" s="3"/>
      <c r="J286" s="6"/>
      <c r="K286" s="6"/>
    </row>
    <row r="287" spans="1:11" ht="12.75" customHeight="1" x14ac:dyDescent="0.25">
      <c r="A287" s="35"/>
      <c r="B287" s="2" t="s">
        <v>216</v>
      </c>
      <c r="C287" s="36"/>
      <c r="D287" s="37"/>
      <c r="E287" s="37"/>
      <c r="F287" s="37"/>
      <c r="G287" s="9"/>
      <c r="H287" s="9"/>
      <c r="I287" s="3"/>
      <c r="J287" s="6"/>
      <c r="K287" s="6"/>
    </row>
    <row r="288" spans="1:11" ht="25.5" customHeight="1" x14ac:dyDescent="0.25">
      <c r="A288" s="35"/>
      <c r="B288" s="2" t="s">
        <v>217</v>
      </c>
      <c r="C288" s="36"/>
      <c r="D288" s="37"/>
      <c r="E288" s="37"/>
      <c r="F288" s="37"/>
      <c r="G288" s="9"/>
      <c r="H288" s="9"/>
      <c r="I288" s="3"/>
      <c r="J288" s="6"/>
      <c r="K288" s="6"/>
    </row>
    <row r="289" spans="1:11" ht="331.5" customHeight="1" x14ac:dyDescent="0.25">
      <c r="A289" s="35"/>
      <c r="B289" s="2" t="s">
        <v>218</v>
      </c>
      <c r="C289" s="36"/>
      <c r="D289" s="37"/>
      <c r="E289" s="37"/>
      <c r="F289" s="37"/>
      <c r="G289" s="9"/>
      <c r="H289" s="9"/>
      <c r="I289" s="3"/>
      <c r="J289" s="6"/>
      <c r="K289" s="6"/>
    </row>
    <row r="290" spans="1:11" ht="127.5" customHeight="1" x14ac:dyDescent="0.25">
      <c r="A290" s="35"/>
      <c r="B290" s="2" t="s">
        <v>219</v>
      </c>
      <c r="C290" s="36"/>
      <c r="D290" s="37"/>
      <c r="E290" s="37"/>
      <c r="F290" s="37"/>
      <c r="G290" s="9"/>
      <c r="H290" s="9"/>
      <c r="I290" s="3"/>
      <c r="J290" s="6"/>
      <c r="K290" s="6"/>
    </row>
    <row r="291" spans="1:11" ht="280.5" customHeight="1" x14ac:dyDescent="0.25">
      <c r="A291" s="35"/>
      <c r="B291" s="2" t="s">
        <v>220</v>
      </c>
      <c r="C291" s="36"/>
      <c r="D291" s="37"/>
      <c r="E291" s="37"/>
      <c r="F291" s="37"/>
      <c r="G291" s="9"/>
      <c r="H291" s="9"/>
      <c r="I291" s="3"/>
      <c r="J291" s="6"/>
      <c r="K291" s="6"/>
    </row>
    <row r="292" spans="1:11" ht="76.5" customHeight="1" x14ac:dyDescent="0.25">
      <c r="A292" s="35"/>
      <c r="B292" s="2" t="s">
        <v>221</v>
      </c>
      <c r="C292" s="36"/>
      <c r="D292" s="37"/>
      <c r="E292" s="37"/>
      <c r="F292" s="37"/>
      <c r="G292" s="9"/>
      <c r="H292" s="9"/>
      <c r="I292" s="3"/>
      <c r="J292" s="6"/>
      <c r="K292" s="6"/>
    </row>
    <row r="293" spans="1:11" ht="293.25" customHeight="1" x14ac:dyDescent="0.25">
      <c r="A293" s="35"/>
      <c r="B293" s="2" t="s">
        <v>222</v>
      </c>
      <c r="C293" s="36"/>
      <c r="D293" s="37"/>
      <c r="E293" s="37"/>
      <c r="F293" s="37"/>
      <c r="G293" s="9"/>
      <c r="H293" s="9"/>
      <c r="I293" s="3"/>
      <c r="J293" s="6"/>
      <c r="K293" s="6"/>
    </row>
    <row r="294" spans="1:11" ht="140.25" customHeight="1" x14ac:dyDescent="0.25">
      <c r="A294" s="35"/>
      <c r="B294" s="2" t="s">
        <v>223</v>
      </c>
      <c r="C294" s="36"/>
      <c r="D294" s="37"/>
      <c r="E294" s="37"/>
      <c r="F294" s="37"/>
      <c r="G294" s="9"/>
      <c r="H294" s="9"/>
      <c r="I294" s="3"/>
      <c r="J294" s="6"/>
      <c r="K294" s="6"/>
    </row>
    <row r="295" spans="1:11" ht="267.75" customHeight="1" x14ac:dyDescent="0.25">
      <c r="A295" s="35"/>
      <c r="B295" s="2" t="s">
        <v>224</v>
      </c>
      <c r="C295" s="36"/>
      <c r="D295" s="37"/>
      <c r="E295" s="37"/>
      <c r="F295" s="37"/>
      <c r="G295" s="9"/>
      <c r="H295" s="9"/>
      <c r="I295" s="3"/>
      <c r="J295" s="6"/>
      <c r="K295" s="6"/>
    </row>
    <row r="296" spans="1:11" ht="165.75" customHeight="1" x14ac:dyDescent="0.25">
      <c r="A296" s="35"/>
      <c r="B296" s="2" t="s">
        <v>225</v>
      </c>
      <c r="C296" s="36"/>
      <c r="D296" s="37"/>
      <c r="E296" s="37"/>
      <c r="F296" s="37"/>
      <c r="G296" s="9"/>
      <c r="H296" s="9"/>
      <c r="I296" s="3"/>
      <c r="J296" s="6"/>
      <c r="K296" s="6"/>
    </row>
    <row r="297" spans="1:11" ht="127.5" customHeight="1" x14ac:dyDescent="0.25">
      <c r="A297" s="35"/>
      <c r="B297" s="2" t="s">
        <v>226</v>
      </c>
      <c r="C297" s="36"/>
      <c r="D297" s="37"/>
      <c r="E297" s="37"/>
      <c r="F297" s="37"/>
      <c r="G297" s="9"/>
      <c r="H297" s="9"/>
      <c r="I297" s="3"/>
      <c r="J297" s="6"/>
      <c r="K297" s="6"/>
    </row>
    <row r="298" spans="1:11" ht="191.25" customHeight="1" x14ac:dyDescent="0.25">
      <c r="A298" s="35"/>
      <c r="B298" s="2" t="s">
        <v>227</v>
      </c>
      <c r="C298" s="36"/>
      <c r="D298" s="37"/>
      <c r="E298" s="37"/>
      <c r="F298" s="37"/>
      <c r="G298" s="9"/>
      <c r="H298" s="9"/>
      <c r="I298" s="3"/>
      <c r="J298" s="6"/>
      <c r="K298" s="6"/>
    </row>
    <row r="299" spans="1:11" ht="127.5" customHeight="1" x14ac:dyDescent="0.25">
      <c r="A299" s="35"/>
      <c r="B299" s="2" t="s">
        <v>228</v>
      </c>
      <c r="C299" s="36"/>
      <c r="D299" s="37"/>
      <c r="E299" s="37"/>
      <c r="F299" s="37"/>
      <c r="G299" s="9"/>
      <c r="H299" s="9"/>
      <c r="I299" s="3"/>
      <c r="J299" s="6"/>
      <c r="K299" s="6"/>
    </row>
    <row r="300" spans="1:11" ht="178.5" customHeight="1" x14ac:dyDescent="0.25">
      <c r="A300" s="35"/>
      <c r="B300" s="2" t="s">
        <v>229</v>
      </c>
      <c r="C300" s="36"/>
      <c r="D300" s="37"/>
      <c r="E300" s="37"/>
      <c r="F300" s="37"/>
      <c r="G300" s="9"/>
      <c r="H300" s="9"/>
      <c r="I300" s="3"/>
      <c r="J300" s="6"/>
      <c r="K300" s="6"/>
    </row>
    <row r="301" spans="1:11" ht="63.75" customHeight="1" x14ac:dyDescent="0.25">
      <c r="A301" s="35"/>
      <c r="B301" s="2" t="s">
        <v>230</v>
      </c>
      <c r="C301" s="36"/>
      <c r="D301" s="37"/>
      <c r="E301" s="37"/>
      <c r="F301" s="37"/>
      <c r="G301" s="9"/>
      <c r="H301" s="9"/>
      <c r="I301" s="3"/>
      <c r="J301" s="6"/>
      <c r="K301" s="6"/>
    </row>
    <row r="302" spans="1:11" ht="102" customHeight="1" x14ac:dyDescent="0.25">
      <c r="A302" s="35"/>
      <c r="B302" s="2" t="s">
        <v>231</v>
      </c>
      <c r="C302" s="36"/>
      <c r="D302" s="37"/>
      <c r="E302" s="37"/>
      <c r="F302" s="37"/>
      <c r="G302" s="9"/>
      <c r="H302" s="9"/>
      <c r="I302" s="3"/>
      <c r="J302" s="6"/>
      <c r="K302" s="6"/>
    </row>
    <row r="303" spans="1:11" ht="102" customHeight="1" x14ac:dyDescent="0.25">
      <c r="A303" s="35"/>
      <c r="B303" s="2" t="s">
        <v>231</v>
      </c>
      <c r="C303" s="36"/>
      <c r="D303" s="37"/>
      <c r="E303" s="37"/>
      <c r="F303" s="37"/>
      <c r="G303" s="9"/>
      <c r="H303" s="9"/>
      <c r="I303" s="3"/>
      <c r="J303" s="6"/>
      <c r="K303" s="6"/>
    </row>
    <row r="304" spans="1:11" ht="369.75" customHeight="1" x14ac:dyDescent="0.25">
      <c r="A304" s="35"/>
      <c r="B304" s="2" t="s">
        <v>232</v>
      </c>
      <c r="C304" s="36"/>
      <c r="D304" s="37"/>
      <c r="E304" s="37"/>
      <c r="F304" s="37"/>
      <c r="G304" s="9"/>
      <c r="H304" s="9"/>
      <c r="I304" s="3"/>
      <c r="J304" s="6"/>
      <c r="K304" s="6"/>
    </row>
    <row r="305" spans="1:11" ht="12.75" customHeight="1" x14ac:dyDescent="0.25">
      <c r="A305" s="35"/>
      <c r="B305" s="2"/>
      <c r="C305" s="36"/>
      <c r="D305" s="37"/>
      <c r="E305" s="37"/>
      <c r="F305" s="37"/>
      <c r="G305" s="9"/>
      <c r="H305" s="9"/>
      <c r="I305" s="3"/>
      <c r="J305" s="6"/>
      <c r="K305" s="6"/>
    </row>
    <row r="306" spans="1:11" ht="12.75" customHeight="1" x14ac:dyDescent="0.25">
      <c r="A306" s="35"/>
      <c r="B306" s="2" t="s">
        <v>233</v>
      </c>
      <c r="C306" s="36"/>
      <c r="D306" s="37"/>
      <c r="E306" s="37"/>
      <c r="F306" s="37"/>
      <c r="G306" s="9"/>
      <c r="H306" s="9"/>
      <c r="I306" s="3"/>
      <c r="J306" s="6"/>
      <c r="K306" s="6"/>
    </row>
    <row r="307" spans="1:11" ht="38.25" customHeight="1" x14ac:dyDescent="0.25">
      <c r="A307" s="35"/>
      <c r="B307" s="2" t="s">
        <v>234</v>
      </c>
      <c r="C307" s="36"/>
      <c r="D307" s="37"/>
      <c r="E307" s="37"/>
      <c r="F307" s="37"/>
      <c r="G307" s="9"/>
      <c r="H307" s="9"/>
      <c r="I307" s="3"/>
      <c r="J307" s="6"/>
      <c r="K307" s="6"/>
    </row>
    <row r="308" spans="1:11" ht="153" customHeight="1" x14ac:dyDescent="0.25">
      <c r="A308" s="35"/>
      <c r="B308" s="2" t="s">
        <v>235</v>
      </c>
      <c r="C308" s="36"/>
      <c r="D308" s="37"/>
      <c r="E308" s="37"/>
      <c r="F308" s="37"/>
      <c r="G308" s="9"/>
      <c r="H308" s="9"/>
      <c r="I308" s="3"/>
      <c r="J308" s="6"/>
      <c r="K308" s="6"/>
    </row>
    <row r="309" spans="1:11" ht="204" customHeight="1" x14ac:dyDescent="0.25">
      <c r="A309" s="35"/>
      <c r="B309" s="2" t="s">
        <v>236</v>
      </c>
      <c r="C309" s="36"/>
      <c r="D309" s="37"/>
      <c r="E309" s="37"/>
      <c r="F309" s="37"/>
      <c r="G309" s="9"/>
      <c r="H309" s="9"/>
      <c r="I309" s="3"/>
      <c r="J309" s="6"/>
      <c r="K309" s="6"/>
    </row>
    <row r="310" spans="1:11" ht="38.25" customHeight="1" x14ac:dyDescent="0.25">
      <c r="A310" s="35"/>
      <c r="B310" s="2" t="s">
        <v>237</v>
      </c>
      <c r="C310" s="36"/>
      <c r="D310" s="37"/>
      <c r="E310" s="37"/>
      <c r="F310" s="37"/>
      <c r="G310" s="9"/>
      <c r="H310" s="9"/>
      <c r="I310" s="3"/>
      <c r="J310" s="6"/>
      <c r="K310" s="6"/>
    </row>
    <row r="311" spans="1:11" ht="408" customHeight="1" x14ac:dyDescent="0.25">
      <c r="A311" s="35"/>
      <c r="B311" s="2" t="s">
        <v>238</v>
      </c>
      <c r="C311" s="36"/>
      <c r="D311" s="37"/>
      <c r="E311" s="37"/>
      <c r="F311" s="37"/>
      <c r="G311" s="9"/>
      <c r="H311" s="9"/>
      <c r="I311" s="3"/>
      <c r="J311" s="6"/>
      <c r="K311" s="6"/>
    </row>
    <row r="312" spans="1:11" ht="293.25" customHeight="1" x14ac:dyDescent="0.25">
      <c r="A312" s="35"/>
      <c r="B312" s="2" t="s">
        <v>239</v>
      </c>
      <c r="C312" s="36"/>
      <c r="D312" s="37"/>
      <c r="E312" s="37"/>
      <c r="F312" s="37"/>
      <c r="G312" s="9"/>
      <c r="H312" s="9"/>
      <c r="I312" s="3"/>
      <c r="J312" s="6"/>
      <c r="K312" s="6"/>
    </row>
    <row r="313" spans="1:11" ht="12.75" customHeight="1" x14ac:dyDescent="0.25">
      <c r="A313" s="35"/>
      <c r="B313" s="2"/>
      <c r="C313" s="36"/>
      <c r="D313" s="37"/>
      <c r="E313" s="37"/>
      <c r="F313" s="37"/>
      <c r="G313" s="9"/>
      <c r="H313" s="9"/>
      <c r="I313" s="3"/>
      <c r="J313" s="6"/>
      <c r="K313" s="6"/>
    </row>
    <row r="314" spans="1:11" ht="12.75" customHeight="1" x14ac:dyDescent="0.25">
      <c r="A314" s="35"/>
      <c r="B314" s="2" t="s">
        <v>240</v>
      </c>
      <c r="C314" s="36"/>
      <c r="D314" s="37"/>
      <c r="E314" s="37"/>
      <c r="F314" s="37"/>
      <c r="G314" s="9"/>
      <c r="H314" s="9"/>
      <c r="I314" s="3"/>
      <c r="J314" s="6"/>
      <c r="K314" s="6"/>
    </row>
    <row r="315" spans="1:11" ht="38.25" customHeight="1" x14ac:dyDescent="0.25">
      <c r="A315" s="35"/>
      <c r="B315" s="2" t="s">
        <v>241</v>
      </c>
      <c r="C315" s="36"/>
      <c r="D315" s="37"/>
      <c r="E315" s="37"/>
      <c r="F315" s="37"/>
      <c r="G315" s="9"/>
      <c r="H315" s="9"/>
      <c r="I315" s="3"/>
      <c r="J315" s="6"/>
      <c r="K315" s="6"/>
    </row>
    <row r="316" spans="1:11" ht="178.5" customHeight="1" x14ac:dyDescent="0.25">
      <c r="A316" s="35"/>
      <c r="B316" s="2" t="s">
        <v>242</v>
      </c>
      <c r="C316" s="36"/>
      <c r="D316" s="37"/>
      <c r="E316" s="37"/>
      <c r="F316" s="37"/>
      <c r="G316" s="9"/>
      <c r="H316" s="9"/>
      <c r="I316" s="3"/>
      <c r="J316" s="6"/>
      <c r="K316" s="6"/>
    </row>
    <row r="317" spans="1:11" ht="102" customHeight="1" x14ac:dyDescent="0.25">
      <c r="A317" s="35"/>
      <c r="B317" s="2" t="s">
        <v>243</v>
      </c>
      <c r="C317" s="36"/>
      <c r="D317" s="37"/>
      <c r="E317" s="37"/>
      <c r="F317" s="37"/>
      <c r="G317" s="9"/>
      <c r="H317" s="9"/>
      <c r="I317" s="3"/>
      <c r="J317" s="6"/>
      <c r="K317" s="6"/>
    </row>
    <row r="318" spans="1:11" ht="267.75" customHeight="1" x14ac:dyDescent="0.25">
      <c r="A318" s="35"/>
      <c r="B318" s="2" t="s">
        <v>244</v>
      </c>
      <c r="C318" s="36"/>
      <c r="D318" s="37"/>
      <c r="E318" s="37"/>
      <c r="F318" s="37"/>
      <c r="G318" s="9"/>
      <c r="H318" s="9"/>
      <c r="I318" s="3"/>
      <c r="J318" s="6"/>
      <c r="K318" s="6"/>
    </row>
    <row r="319" spans="1:11" ht="63.75" customHeight="1" x14ac:dyDescent="0.25">
      <c r="A319" s="35"/>
      <c r="B319" s="2" t="s">
        <v>245</v>
      </c>
      <c r="C319" s="36"/>
      <c r="D319" s="37"/>
      <c r="E319" s="37"/>
      <c r="F319" s="37"/>
      <c r="G319" s="9"/>
      <c r="H319" s="9"/>
      <c r="I319" s="3"/>
      <c r="J319" s="6"/>
      <c r="K319" s="6"/>
    </row>
    <row r="320" spans="1:11" ht="51" customHeight="1" x14ac:dyDescent="0.25">
      <c r="A320" s="35"/>
      <c r="B320" s="2" t="s">
        <v>246</v>
      </c>
      <c r="C320" s="36"/>
      <c r="D320" s="37"/>
      <c r="E320" s="37"/>
      <c r="F320" s="37"/>
      <c r="G320" s="9"/>
      <c r="H320" s="9"/>
      <c r="I320" s="3"/>
      <c r="J320" s="6"/>
      <c r="K320" s="6"/>
    </row>
    <row r="321" spans="1:11" ht="38.25" customHeight="1" x14ac:dyDescent="0.25">
      <c r="A321" s="35"/>
      <c r="B321" s="2" t="s">
        <v>247</v>
      </c>
      <c r="C321" s="36"/>
      <c r="D321" s="37"/>
      <c r="E321" s="37"/>
      <c r="F321" s="37"/>
      <c r="G321" s="9"/>
      <c r="H321" s="9"/>
      <c r="I321" s="3"/>
      <c r="J321" s="6"/>
      <c r="K321" s="6"/>
    </row>
    <row r="322" spans="1:11" ht="63.75" customHeight="1" x14ac:dyDescent="0.25">
      <c r="A322" s="35"/>
      <c r="B322" s="2" t="s">
        <v>248</v>
      </c>
      <c r="C322" s="36"/>
      <c r="D322" s="37"/>
      <c r="E322" s="37"/>
      <c r="F322" s="37"/>
      <c r="G322" s="9"/>
      <c r="H322" s="9"/>
      <c r="I322" s="3"/>
      <c r="J322" s="6"/>
      <c r="K322" s="6"/>
    </row>
    <row r="323" spans="1:11" ht="51" customHeight="1" x14ac:dyDescent="0.25">
      <c r="A323" s="35"/>
      <c r="B323" s="2" t="s">
        <v>249</v>
      </c>
      <c r="C323" s="36"/>
      <c r="D323" s="37"/>
      <c r="E323" s="37"/>
      <c r="F323" s="37"/>
      <c r="G323" s="9"/>
      <c r="H323" s="9"/>
      <c r="I323" s="3"/>
      <c r="J323" s="6"/>
      <c r="K323" s="6"/>
    </row>
    <row r="324" spans="1:11" ht="12.75" customHeight="1" x14ac:dyDescent="0.25">
      <c r="A324" s="35"/>
      <c r="B324" s="2"/>
      <c r="C324" s="36"/>
      <c r="D324" s="37"/>
      <c r="E324" s="37"/>
      <c r="F324" s="37"/>
      <c r="G324" s="9"/>
      <c r="H324" s="9"/>
      <c r="I324" s="3"/>
      <c r="J324" s="6"/>
      <c r="K324" s="6"/>
    </row>
    <row r="325" spans="1:11" ht="12.75" customHeight="1" x14ac:dyDescent="0.25">
      <c r="A325" s="35"/>
      <c r="B325" s="38" t="s">
        <v>250</v>
      </c>
      <c r="C325" s="36"/>
      <c r="D325" s="37"/>
      <c r="E325" s="37"/>
      <c r="F325" s="37"/>
      <c r="G325" s="9"/>
      <c r="H325" s="9"/>
      <c r="I325" s="3"/>
      <c r="J325" s="6"/>
      <c r="K325" s="6"/>
    </row>
    <row r="326" spans="1:11" ht="357" customHeight="1" x14ac:dyDescent="0.25">
      <c r="A326" s="35"/>
      <c r="B326" s="2" t="s">
        <v>251</v>
      </c>
      <c r="C326" s="36"/>
      <c r="D326" s="37"/>
      <c r="E326" s="37"/>
      <c r="F326" s="37"/>
      <c r="G326" s="9"/>
      <c r="H326" s="9"/>
      <c r="I326" s="3"/>
      <c r="J326" s="6"/>
      <c r="K326" s="6"/>
    </row>
    <row r="327" spans="1:11" ht="229.5" customHeight="1" x14ac:dyDescent="0.25">
      <c r="A327" s="35"/>
      <c r="B327" s="2" t="s">
        <v>252</v>
      </c>
      <c r="C327" s="36"/>
      <c r="D327" s="37"/>
      <c r="E327" s="37"/>
      <c r="F327" s="37"/>
      <c r="G327" s="9"/>
      <c r="H327" s="9"/>
      <c r="I327" s="3"/>
      <c r="J327" s="6"/>
      <c r="K327" s="6"/>
    </row>
    <row r="328" spans="1:11" ht="293.25" customHeight="1" x14ac:dyDescent="0.25">
      <c r="A328" s="35"/>
      <c r="B328" s="2" t="s">
        <v>253</v>
      </c>
      <c r="C328" s="36"/>
      <c r="D328" s="37"/>
      <c r="E328" s="37"/>
      <c r="F328" s="37"/>
      <c r="G328" s="9"/>
      <c r="H328" s="9"/>
      <c r="I328" s="3"/>
      <c r="J328" s="6"/>
      <c r="K328" s="6"/>
    </row>
    <row r="329" spans="1:11" ht="216.75" customHeight="1" x14ac:dyDescent="0.25">
      <c r="A329" s="35"/>
      <c r="B329" s="2" t="s">
        <v>254</v>
      </c>
      <c r="C329" s="36"/>
      <c r="D329" s="37"/>
      <c r="E329" s="37"/>
      <c r="F329" s="37"/>
      <c r="G329" s="9"/>
      <c r="H329" s="9"/>
      <c r="I329" s="3"/>
      <c r="J329" s="6"/>
      <c r="K329" s="6"/>
    </row>
    <row r="330" spans="1:11" ht="63.75" customHeight="1" x14ac:dyDescent="0.25">
      <c r="A330" s="35"/>
      <c r="B330" s="2" t="s">
        <v>255</v>
      </c>
      <c r="C330" s="36"/>
      <c r="D330" s="37"/>
      <c r="E330" s="37"/>
      <c r="F330" s="37"/>
      <c r="G330" s="9"/>
      <c r="H330" s="9"/>
      <c r="I330" s="3"/>
      <c r="J330" s="6"/>
      <c r="K330" s="6"/>
    </row>
    <row r="331" spans="1:11" ht="51" customHeight="1" x14ac:dyDescent="0.25">
      <c r="A331" s="35"/>
      <c r="B331" s="2" t="s">
        <v>256</v>
      </c>
      <c r="C331" s="36"/>
      <c r="D331" s="37"/>
      <c r="E331" s="37"/>
      <c r="F331" s="37"/>
      <c r="G331" s="9"/>
      <c r="H331" s="9"/>
      <c r="I331" s="3"/>
      <c r="J331" s="6"/>
      <c r="K331" s="6"/>
    </row>
    <row r="332" spans="1:11" ht="38.25" customHeight="1" x14ac:dyDescent="0.25">
      <c r="A332" s="35"/>
      <c r="B332" s="2" t="s">
        <v>247</v>
      </c>
      <c r="C332" s="36"/>
      <c r="D332" s="37"/>
      <c r="E332" s="37"/>
      <c r="F332" s="37"/>
      <c r="G332" s="9"/>
      <c r="H332" s="9"/>
      <c r="I332" s="3"/>
      <c r="J332" s="6"/>
      <c r="K332" s="6"/>
    </row>
    <row r="333" spans="1:11" ht="63.75" customHeight="1" x14ac:dyDescent="0.25">
      <c r="A333" s="35"/>
      <c r="B333" s="2" t="s">
        <v>248</v>
      </c>
      <c r="C333" s="36"/>
      <c r="D333" s="37"/>
      <c r="E333" s="37"/>
      <c r="F333" s="37"/>
      <c r="G333" s="9"/>
      <c r="H333" s="9"/>
      <c r="I333" s="3"/>
      <c r="J333" s="6"/>
      <c r="K333" s="6"/>
    </row>
    <row r="334" spans="1:11" ht="51" customHeight="1" x14ac:dyDescent="0.25">
      <c r="A334" s="35"/>
      <c r="B334" s="2" t="s">
        <v>249</v>
      </c>
      <c r="C334" s="36"/>
      <c r="D334" s="37"/>
      <c r="E334" s="37"/>
      <c r="F334" s="37"/>
      <c r="G334" s="9"/>
      <c r="H334" s="9"/>
      <c r="I334" s="3"/>
      <c r="J334" s="6"/>
      <c r="K334" s="6"/>
    </row>
    <row r="335" spans="1:11" ht="255" customHeight="1" x14ac:dyDescent="0.25">
      <c r="A335" s="35"/>
      <c r="B335" s="2" t="s">
        <v>257</v>
      </c>
      <c r="C335" s="36"/>
      <c r="D335" s="37"/>
      <c r="E335" s="37"/>
      <c r="F335" s="37"/>
      <c r="G335" s="9"/>
      <c r="H335" s="9"/>
      <c r="I335" s="3"/>
      <c r="J335" s="6"/>
      <c r="K335" s="6"/>
    </row>
    <row r="336" spans="1:11" ht="191.25" customHeight="1" x14ac:dyDescent="0.25">
      <c r="A336" s="35"/>
      <c r="B336" s="2" t="s">
        <v>258</v>
      </c>
      <c r="C336" s="36"/>
      <c r="D336" s="37"/>
      <c r="E336" s="37"/>
      <c r="F336" s="37"/>
      <c r="G336" s="9"/>
      <c r="H336" s="9"/>
      <c r="I336" s="3"/>
      <c r="J336" s="6"/>
      <c r="K336" s="6"/>
    </row>
    <row r="337" spans="1:11" ht="140.25" customHeight="1" x14ac:dyDescent="0.25">
      <c r="A337" s="35"/>
      <c r="B337" s="2" t="s">
        <v>259</v>
      </c>
      <c r="C337" s="36"/>
      <c r="D337" s="37"/>
      <c r="E337" s="37"/>
      <c r="F337" s="37"/>
      <c r="G337" s="9"/>
      <c r="H337" s="9"/>
      <c r="I337" s="3"/>
      <c r="J337" s="6"/>
      <c r="K337" s="6"/>
    </row>
    <row r="338" spans="1:11" ht="12.75" customHeight="1" x14ac:dyDescent="0.25">
      <c r="A338" s="35"/>
      <c r="B338" s="2"/>
      <c r="C338" s="36"/>
      <c r="D338" s="37"/>
      <c r="E338" s="37"/>
      <c r="F338" s="37"/>
      <c r="G338" s="9"/>
      <c r="H338" s="9"/>
      <c r="I338" s="3"/>
      <c r="J338" s="6"/>
      <c r="K338" s="6"/>
    </row>
    <row r="339" spans="1:11" ht="12.75" customHeight="1" x14ac:dyDescent="0.25">
      <c r="A339" s="35"/>
      <c r="B339" s="38" t="s">
        <v>260</v>
      </c>
      <c r="C339" s="36"/>
      <c r="D339" s="37"/>
      <c r="E339" s="37"/>
      <c r="F339" s="37"/>
      <c r="G339" s="9"/>
      <c r="H339" s="9"/>
      <c r="I339" s="3"/>
      <c r="J339" s="6"/>
      <c r="K339" s="6"/>
    </row>
    <row r="340" spans="1:11" ht="382.5" customHeight="1" x14ac:dyDescent="0.25">
      <c r="A340" s="35"/>
      <c r="B340" s="2" t="s">
        <v>261</v>
      </c>
      <c r="C340" s="36"/>
      <c r="D340" s="37"/>
      <c r="E340" s="37"/>
      <c r="F340" s="37"/>
      <c r="G340" s="9"/>
      <c r="H340" s="9"/>
      <c r="I340" s="3"/>
      <c r="J340" s="6"/>
      <c r="K340" s="6"/>
    </row>
    <row r="341" spans="1:11" ht="204" customHeight="1" x14ac:dyDescent="0.25">
      <c r="A341" s="35"/>
      <c r="B341" s="2" t="s">
        <v>262</v>
      </c>
      <c r="C341" s="36"/>
      <c r="D341" s="37"/>
      <c r="E341" s="37"/>
      <c r="F341" s="37"/>
      <c r="G341" s="9"/>
      <c r="H341" s="9"/>
      <c r="I341" s="3"/>
      <c r="J341" s="6"/>
      <c r="K341" s="6"/>
    </row>
    <row r="342" spans="1:11" ht="153" customHeight="1" x14ac:dyDescent="0.25">
      <c r="A342" s="35"/>
      <c r="B342" s="2" t="s">
        <v>263</v>
      </c>
      <c r="C342" s="36"/>
      <c r="D342" s="37"/>
      <c r="E342" s="37"/>
      <c r="F342" s="37"/>
      <c r="G342" s="9"/>
      <c r="H342" s="9"/>
      <c r="I342" s="3"/>
      <c r="J342" s="6"/>
      <c r="K342" s="6"/>
    </row>
    <row r="343" spans="1:11" ht="140.25" customHeight="1" x14ac:dyDescent="0.25">
      <c r="A343" s="35"/>
      <c r="B343" s="2" t="s">
        <v>264</v>
      </c>
      <c r="C343" s="36"/>
      <c r="D343" s="37"/>
      <c r="E343" s="37"/>
      <c r="F343" s="37"/>
      <c r="G343" s="9"/>
      <c r="H343" s="9"/>
      <c r="I343" s="3"/>
      <c r="J343" s="6"/>
      <c r="K343" s="6"/>
    </row>
    <row r="344" spans="1:11" ht="165.75" customHeight="1" x14ac:dyDescent="0.25">
      <c r="A344" s="35"/>
      <c r="B344" s="2" t="s">
        <v>265</v>
      </c>
      <c r="C344" s="36"/>
      <c r="D344" s="37"/>
      <c r="E344" s="37"/>
      <c r="F344" s="37"/>
      <c r="G344" s="9"/>
      <c r="H344" s="9"/>
      <c r="I344" s="3"/>
      <c r="J344" s="6"/>
      <c r="K344" s="6"/>
    </row>
    <row r="345" spans="1:11" ht="165.75" customHeight="1" x14ac:dyDescent="0.25">
      <c r="A345" s="35"/>
      <c r="B345" s="2" t="s">
        <v>266</v>
      </c>
      <c r="C345" s="36"/>
      <c r="D345" s="37"/>
      <c r="E345" s="37"/>
      <c r="F345" s="37"/>
      <c r="G345" s="9"/>
      <c r="H345" s="9"/>
      <c r="I345" s="3"/>
      <c r="J345" s="6"/>
      <c r="K345" s="6"/>
    </row>
    <row r="346" spans="1:11" ht="127.5" customHeight="1" x14ac:dyDescent="0.25">
      <c r="A346" s="35"/>
      <c r="B346" s="2" t="s">
        <v>267</v>
      </c>
      <c r="C346" s="36"/>
      <c r="D346" s="37"/>
      <c r="E346" s="37"/>
      <c r="F346" s="37"/>
      <c r="G346" s="9"/>
      <c r="H346" s="9"/>
      <c r="I346" s="3"/>
      <c r="J346" s="6"/>
      <c r="K346" s="6"/>
    </row>
    <row r="347" spans="1:11" ht="165.75" customHeight="1" x14ac:dyDescent="0.25">
      <c r="A347" s="35"/>
      <c r="B347" s="2" t="s">
        <v>268</v>
      </c>
      <c r="C347" s="36"/>
      <c r="D347" s="37"/>
      <c r="E347" s="37"/>
      <c r="F347" s="37"/>
      <c r="G347" s="9"/>
      <c r="H347" s="9"/>
      <c r="I347" s="3"/>
      <c r="J347" s="6"/>
      <c r="K347" s="6"/>
    </row>
    <row r="348" spans="1:11" ht="63.75" customHeight="1" x14ac:dyDescent="0.25">
      <c r="A348" s="35"/>
      <c r="B348" s="2" t="s">
        <v>269</v>
      </c>
      <c r="C348" s="36"/>
      <c r="D348" s="37"/>
      <c r="E348" s="37"/>
      <c r="F348" s="37"/>
      <c r="G348" s="9"/>
      <c r="H348" s="9"/>
      <c r="I348" s="3"/>
      <c r="J348" s="6"/>
      <c r="K348" s="6"/>
    </row>
    <row r="349" spans="1:11" ht="89.25" customHeight="1" x14ac:dyDescent="0.25">
      <c r="A349" s="35"/>
      <c r="B349" s="2" t="s">
        <v>270</v>
      </c>
      <c r="C349" s="36"/>
      <c r="D349" s="37"/>
      <c r="E349" s="37"/>
      <c r="F349" s="37"/>
      <c r="G349" s="9"/>
      <c r="H349" s="9"/>
      <c r="I349" s="3"/>
      <c r="J349" s="6"/>
      <c r="K349" s="6"/>
    </row>
    <row r="350" spans="1:11" ht="25.5" customHeight="1" x14ac:dyDescent="0.25">
      <c r="A350" s="35"/>
      <c r="B350" s="2" t="s">
        <v>271</v>
      </c>
      <c r="C350" s="36"/>
      <c r="D350" s="37"/>
      <c r="E350" s="37"/>
      <c r="F350" s="37"/>
      <c r="G350" s="9"/>
      <c r="H350" s="9"/>
      <c r="I350" s="3"/>
      <c r="J350" s="6"/>
      <c r="K350" s="6"/>
    </row>
    <row r="351" spans="1:11" ht="63.75" customHeight="1" x14ac:dyDescent="0.25">
      <c r="A351" s="35"/>
      <c r="B351" s="2" t="s">
        <v>272</v>
      </c>
      <c r="C351" s="36"/>
      <c r="D351" s="37"/>
      <c r="E351" s="37"/>
      <c r="F351" s="37"/>
      <c r="G351" s="9"/>
      <c r="H351" s="9"/>
      <c r="I351" s="3"/>
      <c r="J351" s="6"/>
      <c r="K351" s="6"/>
    </row>
    <row r="352" spans="1:11" ht="12.75" customHeight="1" x14ac:dyDescent="0.25">
      <c r="A352" s="35"/>
      <c r="B352" s="2"/>
      <c r="C352" s="36"/>
      <c r="D352" s="37"/>
      <c r="E352" s="37"/>
      <c r="F352" s="37"/>
      <c r="G352" s="9"/>
      <c r="H352" s="9"/>
      <c r="I352" s="3"/>
      <c r="J352" s="6"/>
      <c r="K352" s="6"/>
    </row>
    <row r="353" spans="1:11" ht="12.75" customHeight="1" x14ac:dyDescent="0.25">
      <c r="A353" s="35"/>
      <c r="B353" s="2" t="s">
        <v>273</v>
      </c>
      <c r="C353" s="36"/>
      <c r="D353" s="37"/>
      <c r="E353" s="37"/>
      <c r="F353" s="37"/>
      <c r="G353" s="9"/>
      <c r="H353" s="9"/>
      <c r="I353" s="3"/>
      <c r="J353" s="6"/>
      <c r="K353" s="6"/>
    </row>
    <row r="354" spans="1:11" ht="25.5" customHeight="1" x14ac:dyDescent="0.25">
      <c r="A354" s="35"/>
      <c r="B354" s="2" t="s">
        <v>274</v>
      </c>
      <c r="C354" s="36"/>
      <c r="D354" s="37"/>
      <c r="E354" s="37"/>
      <c r="F354" s="37"/>
      <c r="G354" s="9"/>
      <c r="H354" s="9"/>
      <c r="I354" s="3"/>
      <c r="J354" s="6"/>
      <c r="K354" s="6"/>
    </row>
    <row r="355" spans="1:11" ht="63.75" customHeight="1" x14ac:dyDescent="0.25">
      <c r="A355" s="35"/>
      <c r="B355" s="2" t="s">
        <v>275</v>
      </c>
      <c r="C355" s="36"/>
      <c r="D355" s="37"/>
      <c r="E355" s="37"/>
      <c r="F355" s="37"/>
      <c r="G355" s="9"/>
      <c r="H355" s="9"/>
      <c r="I355" s="3"/>
      <c r="J355" s="6"/>
      <c r="K355" s="6"/>
    </row>
    <row r="356" spans="1:11" ht="12.75" customHeight="1" x14ac:dyDescent="0.25">
      <c r="A356" s="35"/>
      <c r="B356" s="2"/>
      <c r="C356" s="36"/>
      <c r="D356" s="37"/>
      <c r="E356" s="37"/>
      <c r="F356" s="37"/>
      <c r="G356" s="9"/>
      <c r="H356" s="9"/>
      <c r="I356" s="3"/>
      <c r="J356" s="6"/>
      <c r="K356" s="6"/>
    </row>
    <row r="357" spans="1:11" ht="12.75" customHeight="1" x14ac:dyDescent="0.25">
      <c r="A357" s="35"/>
      <c r="B357" s="2" t="s">
        <v>276</v>
      </c>
      <c r="C357" s="36"/>
      <c r="D357" s="37"/>
      <c r="E357" s="37"/>
      <c r="F357" s="37"/>
      <c r="G357" s="9"/>
      <c r="H357" s="9"/>
      <c r="I357" s="3"/>
      <c r="J357" s="6"/>
      <c r="K357" s="6"/>
    </row>
    <row r="358" spans="1:11" ht="204" customHeight="1" x14ac:dyDescent="0.25">
      <c r="A358" s="35"/>
      <c r="B358" s="2" t="s">
        <v>277</v>
      </c>
      <c r="C358" s="36"/>
      <c r="D358" s="37"/>
      <c r="E358" s="37"/>
      <c r="F358" s="37"/>
      <c r="G358" s="9"/>
      <c r="H358" s="9"/>
      <c r="I358" s="3"/>
      <c r="J358" s="6"/>
      <c r="K358" s="6"/>
    </row>
    <row r="359" spans="1:11" ht="76.5" customHeight="1" x14ac:dyDescent="0.25">
      <c r="A359" s="35"/>
      <c r="B359" s="2" t="s">
        <v>278</v>
      </c>
      <c r="C359" s="36"/>
      <c r="D359" s="37"/>
      <c r="E359" s="37"/>
      <c r="F359" s="37"/>
      <c r="G359" s="9"/>
      <c r="H359" s="9"/>
      <c r="I359" s="3"/>
      <c r="J359" s="6"/>
      <c r="K359" s="6"/>
    </row>
    <row r="360" spans="1:11" ht="89.25" customHeight="1" x14ac:dyDescent="0.25">
      <c r="A360" s="35"/>
      <c r="B360" s="2" t="s">
        <v>279</v>
      </c>
      <c r="C360" s="36"/>
      <c r="D360" s="37"/>
      <c r="E360" s="37"/>
      <c r="F360" s="37"/>
      <c r="G360" s="9"/>
      <c r="H360" s="9"/>
      <c r="I360" s="3"/>
      <c r="J360" s="6"/>
      <c r="K360" s="6"/>
    </row>
    <row r="361" spans="1:11" ht="318.75" customHeight="1" x14ac:dyDescent="0.25">
      <c r="A361" s="35"/>
      <c r="B361" s="2" t="s">
        <v>280</v>
      </c>
      <c r="C361" s="36"/>
      <c r="D361" s="37"/>
      <c r="E361" s="37"/>
      <c r="F361" s="37"/>
      <c r="G361" s="9"/>
      <c r="H361" s="9"/>
      <c r="I361" s="3"/>
      <c r="J361" s="6"/>
      <c r="K361" s="6"/>
    </row>
    <row r="362" spans="1:11" ht="267.75" customHeight="1" x14ac:dyDescent="0.25">
      <c r="A362" s="35"/>
      <c r="B362" s="2" t="s">
        <v>281</v>
      </c>
      <c r="C362" s="36"/>
      <c r="D362" s="37"/>
      <c r="E362" s="37"/>
      <c r="F362" s="37"/>
      <c r="G362" s="9"/>
      <c r="H362" s="9"/>
      <c r="I362" s="3"/>
      <c r="J362" s="6"/>
      <c r="K362" s="6"/>
    </row>
    <row r="363" spans="1:11" ht="25.5" customHeight="1" x14ac:dyDescent="0.25">
      <c r="A363" s="35"/>
      <c r="B363" s="2" t="s">
        <v>282</v>
      </c>
      <c r="C363" s="36"/>
      <c r="D363" s="37"/>
      <c r="E363" s="37"/>
      <c r="F363" s="37"/>
      <c r="G363" s="9"/>
      <c r="H363" s="9"/>
      <c r="I363" s="3"/>
      <c r="J363" s="6"/>
      <c r="K363" s="6"/>
    </row>
    <row r="364" spans="1:11" ht="178.5" customHeight="1" x14ac:dyDescent="0.25">
      <c r="A364" s="35"/>
      <c r="B364" s="2" t="s">
        <v>283</v>
      </c>
      <c r="C364" s="36"/>
      <c r="D364" s="37"/>
      <c r="E364" s="37"/>
      <c r="F364" s="37"/>
      <c r="G364" s="9"/>
      <c r="H364" s="9"/>
      <c r="I364" s="3"/>
      <c r="J364" s="6"/>
      <c r="K364" s="6"/>
    </row>
    <row r="365" spans="1:11" ht="51" customHeight="1" x14ac:dyDescent="0.25">
      <c r="A365" s="35"/>
      <c r="B365" s="2" t="s">
        <v>284</v>
      </c>
      <c r="C365" s="36"/>
      <c r="D365" s="37"/>
      <c r="E365" s="37"/>
      <c r="F365" s="37"/>
      <c r="G365" s="9"/>
      <c r="H365" s="9"/>
      <c r="I365" s="3"/>
      <c r="J365" s="6"/>
      <c r="K365" s="6"/>
    </row>
    <row r="366" spans="1:11" ht="12.75" customHeight="1" x14ac:dyDescent="0.25">
      <c r="A366" s="35"/>
      <c r="B366" s="2"/>
      <c r="C366" s="36"/>
      <c r="D366" s="37"/>
      <c r="E366" s="37"/>
      <c r="F366" s="37"/>
      <c r="G366" s="9"/>
      <c r="H366" s="9"/>
      <c r="I366" s="3"/>
      <c r="J366" s="6"/>
      <c r="K366" s="6"/>
    </row>
    <row r="367" spans="1:11" ht="12.75" customHeight="1" x14ac:dyDescent="0.25">
      <c r="A367" s="35"/>
      <c r="B367" s="2" t="s">
        <v>285</v>
      </c>
      <c r="C367" s="36"/>
      <c r="D367" s="37"/>
      <c r="E367" s="37"/>
      <c r="F367" s="37"/>
      <c r="G367" s="9"/>
      <c r="H367" s="9"/>
      <c r="I367" s="3"/>
      <c r="J367" s="6"/>
      <c r="K367" s="6"/>
    </row>
    <row r="368" spans="1:11" ht="12.75" customHeight="1" x14ac:dyDescent="0.25">
      <c r="A368" s="35"/>
      <c r="B368" s="2" t="s">
        <v>30</v>
      </c>
      <c r="C368" s="36"/>
      <c r="D368" s="37"/>
      <c r="E368" s="37"/>
      <c r="F368" s="37"/>
      <c r="G368" s="9"/>
      <c r="H368" s="9"/>
      <c r="I368" s="3"/>
      <c r="J368" s="6"/>
      <c r="K368" s="6"/>
    </row>
    <row r="369" spans="1:11" ht="165.75" customHeight="1" x14ac:dyDescent="0.25">
      <c r="A369" s="35"/>
      <c r="B369" s="2" t="s">
        <v>286</v>
      </c>
      <c r="C369" s="36"/>
      <c r="D369" s="37"/>
      <c r="E369" s="37"/>
      <c r="F369" s="37"/>
      <c r="G369" s="9"/>
      <c r="H369" s="9"/>
      <c r="I369" s="3"/>
      <c r="J369" s="6"/>
      <c r="K369" s="6"/>
    </row>
    <row r="370" spans="1:11" ht="114.75" customHeight="1" x14ac:dyDescent="0.25">
      <c r="A370" s="35"/>
      <c r="B370" s="2" t="s">
        <v>287</v>
      </c>
      <c r="C370" s="36"/>
      <c r="D370" s="37"/>
      <c r="E370" s="37"/>
      <c r="F370" s="37"/>
      <c r="G370" s="9"/>
      <c r="H370" s="9"/>
      <c r="I370" s="3"/>
      <c r="J370" s="6"/>
      <c r="K370" s="6"/>
    </row>
    <row r="371" spans="1:11" ht="331.5" customHeight="1" x14ac:dyDescent="0.25">
      <c r="A371" s="35"/>
      <c r="B371" s="2" t="s">
        <v>288</v>
      </c>
      <c r="C371" s="36"/>
      <c r="D371" s="37"/>
      <c r="E371" s="37"/>
      <c r="F371" s="37"/>
      <c r="G371" s="9"/>
      <c r="H371" s="9"/>
      <c r="I371" s="3"/>
      <c r="J371" s="6"/>
      <c r="K371" s="6"/>
    </row>
    <row r="372" spans="1:11" ht="331.5" customHeight="1" x14ac:dyDescent="0.25">
      <c r="A372" s="35"/>
      <c r="B372" s="2" t="s">
        <v>289</v>
      </c>
      <c r="C372" s="36"/>
      <c r="D372" s="37"/>
      <c r="E372" s="37"/>
      <c r="F372" s="37"/>
      <c r="G372" s="9"/>
      <c r="H372" s="9"/>
      <c r="I372" s="3"/>
      <c r="J372" s="6"/>
      <c r="K372" s="6"/>
    </row>
    <row r="373" spans="1:11" ht="191.25" customHeight="1" x14ac:dyDescent="0.25">
      <c r="A373" s="35"/>
      <c r="B373" s="2" t="s">
        <v>290</v>
      </c>
      <c r="C373" s="36"/>
      <c r="D373" s="37"/>
      <c r="E373" s="37"/>
      <c r="F373" s="37"/>
      <c r="G373" s="9"/>
      <c r="H373" s="9"/>
      <c r="I373" s="3"/>
      <c r="J373" s="6"/>
      <c r="K373" s="6"/>
    </row>
    <row r="374" spans="1:11" ht="127.5" customHeight="1" x14ac:dyDescent="0.25">
      <c r="A374" s="35"/>
      <c r="B374" s="2" t="s">
        <v>291</v>
      </c>
      <c r="C374" s="36"/>
      <c r="D374" s="37"/>
      <c r="E374" s="37"/>
      <c r="F374" s="37"/>
      <c r="G374" s="9"/>
      <c r="H374" s="9"/>
      <c r="I374" s="3"/>
      <c r="J374" s="6"/>
      <c r="K374" s="6"/>
    </row>
    <row r="375" spans="1:11" ht="102" customHeight="1" x14ac:dyDescent="0.25">
      <c r="A375" s="35"/>
      <c r="B375" s="2" t="s">
        <v>292</v>
      </c>
      <c r="C375" s="36"/>
      <c r="D375" s="37"/>
      <c r="E375" s="37"/>
      <c r="F375" s="37"/>
      <c r="G375" s="9"/>
      <c r="H375" s="9"/>
      <c r="I375" s="3"/>
      <c r="J375" s="6"/>
      <c r="K375" s="6"/>
    </row>
    <row r="376" spans="1:11" ht="127.5" customHeight="1" x14ac:dyDescent="0.25">
      <c r="A376" s="35"/>
      <c r="B376" s="2" t="s">
        <v>293</v>
      </c>
      <c r="C376" s="36"/>
      <c r="D376" s="37"/>
      <c r="E376" s="37"/>
      <c r="F376" s="37"/>
      <c r="G376" s="9"/>
      <c r="H376" s="9"/>
      <c r="I376" s="3"/>
      <c r="J376" s="6"/>
      <c r="K376" s="6"/>
    </row>
    <row r="377" spans="1:11" ht="140.25" customHeight="1" x14ac:dyDescent="0.25">
      <c r="A377" s="35"/>
      <c r="B377" s="2" t="s">
        <v>294</v>
      </c>
      <c r="C377" s="36"/>
      <c r="D377" s="37"/>
      <c r="E377" s="37"/>
      <c r="F377" s="37"/>
      <c r="G377" s="9"/>
      <c r="H377" s="9"/>
      <c r="I377" s="3"/>
      <c r="J377" s="6"/>
      <c r="K377" s="6"/>
    </row>
    <row r="378" spans="1:11" ht="216.75" customHeight="1" x14ac:dyDescent="0.25">
      <c r="A378" s="35"/>
      <c r="B378" s="2" t="s">
        <v>295</v>
      </c>
      <c r="C378" s="36"/>
      <c r="D378" s="37"/>
      <c r="E378" s="37"/>
      <c r="F378" s="37"/>
      <c r="G378" s="9"/>
      <c r="H378" s="9"/>
      <c r="I378" s="3"/>
      <c r="J378" s="6"/>
      <c r="K378" s="6"/>
    </row>
    <row r="379" spans="1:11" ht="63.75" customHeight="1" x14ac:dyDescent="0.25">
      <c r="A379" s="35"/>
      <c r="B379" s="2" t="s">
        <v>296</v>
      </c>
      <c r="C379" s="36"/>
      <c r="D379" s="37"/>
      <c r="E379" s="37"/>
      <c r="F379" s="37"/>
      <c r="G379" s="9"/>
      <c r="H379" s="9"/>
      <c r="I379" s="3"/>
      <c r="J379" s="6"/>
      <c r="K379" s="6"/>
    </row>
    <row r="380" spans="1:11" ht="63.75" customHeight="1" x14ac:dyDescent="0.25">
      <c r="A380" s="35"/>
      <c r="B380" s="2" t="s">
        <v>297</v>
      </c>
      <c r="C380" s="36"/>
      <c r="D380" s="37"/>
      <c r="E380" s="37"/>
      <c r="F380" s="37"/>
      <c r="G380" s="9"/>
      <c r="H380" s="9"/>
      <c r="I380" s="3"/>
      <c r="J380" s="6"/>
      <c r="K380" s="6"/>
    </row>
    <row r="381" spans="1:11" ht="12.75" customHeight="1" x14ac:dyDescent="0.25">
      <c r="A381" s="35"/>
      <c r="B381" s="2"/>
      <c r="C381" s="36"/>
      <c r="D381" s="37"/>
      <c r="E381" s="37"/>
      <c r="F381" s="37"/>
      <c r="G381" s="9"/>
      <c r="H381" s="9"/>
      <c r="I381" s="3"/>
      <c r="J381" s="6"/>
      <c r="K381" s="6"/>
    </row>
    <row r="382" spans="1:11" ht="12.75" customHeight="1" x14ac:dyDescent="0.25">
      <c r="A382" s="35"/>
      <c r="B382" s="2" t="s">
        <v>298</v>
      </c>
      <c r="C382" s="36"/>
      <c r="D382" s="37"/>
      <c r="E382" s="37"/>
      <c r="F382" s="37"/>
      <c r="G382" s="9"/>
      <c r="H382" s="9"/>
      <c r="I382" s="3"/>
      <c r="J382" s="6"/>
      <c r="K382" s="6"/>
    </row>
    <row r="383" spans="1:11" ht="89.25" customHeight="1" x14ac:dyDescent="0.25">
      <c r="A383" s="35"/>
      <c r="B383" s="2" t="s">
        <v>299</v>
      </c>
      <c r="C383" s="36"/>
      <c r="D383" s="37"/>
      <c r="E383" s="37"/>
      <c r="F383" s="37"/>
      <c r="G383" s="9"/>
      <c r="H383" s="9"/>
      <c r="I383" s="3"/>
      <c r="J383" s="6"/>
      <c r="K383" s="6"/>
    </row>
    <row r="384" spans="1:11" ht="76.5" customHeight="1" x14ac:dyDescent="0.25">
      <c r="A384" s="35"/>
      <c r="B384" s="2" t="s">
        <v>300</v>
      </c>
      <c r="C384" s="36"/>
      <c r="D384" s="37"/>
      <c r="E384" s="37"/>
      <c r="F384" s="37"/>
      <c r="G384" s="9"/>
      <c r="H384" s="9"/>
      <c r="I384" s="3"/>
      <c r="J384" s="6"/>
      <c r="K384" s="6"/>
    </row>
    <row r="385" spans="1:11" ht="51" customHeight="1" x14ac:dyDescent="0.25">
      <c r="A385" s="35"/>
      <c r="B385" s="2" t="s">
        <v>301</v>
      </c>
      <c r="C385" s="36"/>
      <c r="D385" s="37"/>
      <c r="E385" s="37"/>
      <c r="F385" s="37"/>
      <c r="G385" s="9"/>
      <c r="H385" s="9"/>
      <c r="I385" s="3"/>
      <c r="J385" s="6"/>
      <c r="K385" s="6"/>
    </row>
    <row r="386" spans="1:11" ht="114.75" customHeight="1" x14ac:dyDescent="0.25">
      <c r="A386" s="35"/>
      <c r="B386" s="2" t="s">
        <v>302</v>
      </c>
      <c r="C386" s="36"/>
      <c r="D386" s="37"/>
      <c r="E386" s="37"/>
      <c r="F386" s="37"/>
      <c r="G386" s="9"/>
      <c r="H386" s="9"/>
      <c r="I386" s="3"/>
      <c r="J386" s="6"/>
      <c r="K386" s="6"/>
    </row>
    <row r="387" spans="1:11" ht="89.25" customHeight="1" x14ac:dyDescent="0.25">
      <c r="A387" s="35"/>
      <c r="B387" s="2" t="s">
        <v>303</v>
      </c>
      <c r="C387" s="36"/>
      <c r="D387" s="37"/>
      <c r="E387" s="37"/>
      <c r="F387" s="37"/>
      <c r="G387" s="9"/>
      <c r="H387" s="9"/>
      <c r="I387" s="3"/>
      <c r="J387" s="6"/>
      <c r="K387" s="6"/>
    </row>
    <row r="388" spans="1:11" ht="89.25" customHeight="1" x14ac:dyDescent="0.25">
      <c r="A388" s="35"/>
      <c r="B388" s="2" t="s">
        <v>304</v>
      </c>
      <c r="C388" s="36"/>
      <c r="D388" s="37"/>
      <c r="E388" s="37"/>
      <c r="F388" s="37"/>
      <c r="G388" s="9"/>
      <c r="H388" s="9"/>
      <c r="I388" s="3"/>
      <c r="J388" s="6"/>
      <c r="K388" s="6"/>
    </row>
    <row r="389" spans="1:11" ht="76.5" customHeight="1" x14ac:dyDescent="0.25">
      <c r="A389" s="35"/>
      <c r="B389" s="2" t="s">
        <v>305</v>
      </c>
      <c r="C389" s="36"/>
      <c r="D389" s="37"/>
      <c r="E389" s="37"/>
      <c r="F389" s="37"/>
      <c r="G389" s="9"/>
      <c r="H389" s="9"/>
      <c r="I389" s="3"/>
      <c r="J389" s="6"/>
      <c r="K389" s="6"/>
    </row>
    <row r="390" spans="1:11" ht="76.5" customHeight="1" x14ac:dyDescent="0.25">
      <c r="A390" s="35"/>
      <c r="B390" s="2" t="s">
        <v>306</v>
      </c>
      <c r="C390" s="36"/>
      <c r="D390" s="37"/>
      <c r="E390" s="37"/>
      <c r="F390" s="37"/>
      <c r="G390" s="9"/>
      <c r="H390" s="9"/>
      <c r="I390" s="3"/>
      <c r="J390" s="6"/>
      <c r="K390" s="6"/>
    </row>
    <row r="391" spans="1:11" ht="51" customHeight="1" x14ac:dyDescent="0.25">
      <c r="A391" s="35"/>
      <c r="B391" s="2" t="s">
        <v>307</v>
      </c>
      <c r="C391" s="36"/>
      <c r="D391" s="37"/>
      <c r="E391" s="37"/>
      <c r="F391" s="37"/>
      <c r="G391" s="9"/>
      <c r="H391" s="9"/>
      <c r="I391" s="3"/>
      <c r="J391" s="6"/>
      <c r="K391" s="6"/>
    </row>
    <row r="392" spans="1:11" ht="12.75" customHeight="1" x14ac:dyDescent="0.25">
      <c r="A392" s="35"/>
      <c r="B392" s="2"/>
      <c r="C392" s="36"/>
      <c r="D392" s="37"/>
      <c r="E392" s="37"/>
      <c r="F392" s="37"/>
      <c r="G392" s="9"/>
      <c r="H392" s="9"/>
      <c r="I392" s="3"/>
      <c r="J392" s="6"/>
      <c r="K392" s="6"/>
    </row>
    <row r="393" spans="1:11" ht="12.75" customHeight="1" x14ac:dyDescent="0.25">
      <c r="A393" s="35"/>
      <c r="B393" s="2" t="s">
        <v>308</v>
      </c>
      <c r="C393" s="36"/>
      <c r="D393" s="37"/>
      <c r="E393" s="37"/>
      <c r="F393" s="37"/>
      <c r="G393" s="9"/>
      <c r="H393" s="9"/>
      <c r="I393" s="3"/>
      <c r="J393" s="6"/>
      <c r="K393" s="6"/>
    </row>
    <row r="394" spans="1:11" ht="51" customHeight="1" x14ac:dyDescent="0.25">
      <c r="A394" s="35"/>
      <c r="B394" s="2" t="s">
        <v>309</v>
      </c>
      <c r="C394" s="36"/>
      <c r="D394" s="37"/>
      <c r="E394" s="37"/>
      <c r="F394" s="37"/>
      <c r="G394" s="9"/>
      <c r="H394" s="9"/>
      <c r="I394" s="3"/>
      <c r="J394" s="6"/>
      <c r="K394" s="6"/>
    </row>
    <row r="395" spans="1:11" ht="63.75" customHeight="1" x14ac:dyDescent="0.25">
      <c r="A395" s="35"/>
      <c r="B395" s="2" t="s">
        <v>310</v>
      </c>
      <c r="C395" s="36"/>
      <c r="D395" s="37"/>
      <c r="E395" s="37"/>
      <c r="F395" s="37"/>
      <c r="G395" s="9"/>
      <c r="H395" s="9"/>
      <c r="I395" s="3"/>
      <c r="J395" s="6"/>
      <c r="K395" s="6"/>
    </row>
    <row r="396" spans="1:11" ht="12.75" customHeight="1" x14ac:dyDescent="0.25">
      <c r="A396" s="35"/>
      <c r="B396" s="2" t="s">
        <v>311</v>
      </c>
      <c r="C396" s="36"/>
      <c r="D396" s="37"/>
      <c r="E396" s="37"/>
      <c r="F396" s="37"/>
      <c r="G396" s="9"/>
      <c r="H396" s="9"/>
      <c r="I396" s="3"/>
      <c r="J396" s="6"/>
      <c r="K396" s="6"/>
    </row>
    <row r="397" spans="1:11" ht="216.75" customHeight="1" x14ac:dyDescent="0.25">
      <c r="A397" s="35"/>
      <c r="B397" s="2" t="s">
        <v>312</v>
      </c>
      <c r="C397" s="36"/>
      <c r="D397" s="37"/>
      <c r="E397" s="37"/>
      <c r="F397" s="37"/>
      <c r="G397" s="9"/>
      <c r="H397" s="9"/>
      <c r="I397" s="3"/>
      <c r="J397" s="6"/>
      <c r="K397" s="6"/>
    </row>
    <row r="398" spans="1:11" ht="38.25" customHeight="1" x14ac:dyDescent="0.25">
      <c r="A398" s="35"/>
      <c r="B398" s="2" t="s">
        <v>313</v>
      </c>
      <c r="C398" s="36"/>
      <c r="D398" s="37"/>
      <c r="E398" s="37"/>
      <c r="F398" s="37"/>
      <c r="G398" s="9"/>
      <c r="H398" s="9"/>
      <c r="I398" s="3"/>
      <c r="J398" s="6"/>
      <c r="K398" s="6"/>
    </row>
    <row r="399" spans="1:11" ht="38.25" customHeight="1" x14ac:dyDescent="0.25">
      <c r="A399" s="35"/>
      <c r="B399" s="2" t="s">
        <v>314</v>
      </c>
      <c r="C399" s="36"/>
      <c r="D399" s="37"/>
      <c r="E399" s="37"/>
      <c r="F399" s="37"/>
      <c r="G399" s="9"/>
      <c r="H399" s="9"/>
      <c r="I399" s="3"/>
      <c r="J399" s="6"/>
      <c r="K399" s="6"/>
    </row>
    <row r="400" spans="1:11" ht="114.75" customHeight="1" x14ac:dyDescent="0.25">
      <c r="A400" s="35"/>
      <c r="B400" s="2" t="s">
        <v>315</v>
      </c>
      <c r="C400" s="36"/>
      <c r="D400" s="37"/>
      <c r="E400" s="37"/>
      <c r="F400" s="37"/>
      <c r="G400" s="9"/>
      <c r="H400" s="9"/>
      <c r="I400" s="3"/>
      <c r="J400" s="6"/>
      <c r="K400" s="6"/>
    </row>
    <row r="401" spans="1:11" ht="12.75" customHeight="1" x14ac:dyDescent="0.25">
      <c r="A401" s="35"/>
      <c r="B401" s="2" t="s">
        <v>316</v>
      </c>
      <c r="C401" s="36"/>
      <c r="D401" s="37"/>
      <c r="E401" s="37"/>
      <c r="F401" s="37"/>
      <c r="G401" s="9"/>
      <c r="H401" s="9"/>
      <c r="I401" s="3"/>
      <c r="J401" s="6"/>
      <c r="K401" s="6"/>
    </row>
    <row r="402" spans="1:11" ht="63.75" customHeight="1" x14ac:dyDescent="0.25">
      <c r="A402" s="35"/>
      <c r="B402" s="2" t="s">
        <v>317</v>
      </c>
      <c r="C402" s="36"/>
      <c r="D402" s="37"/>
      <c r="E402" s="37"/>
      <c r="F402" s="37"/>
      <c r="G402" s="9"/>
      <c r="H402" s="9"/>
      <c r="I402" s="3"/>
      <c r="J402" s="6"/>
      <c r="K402" s="6"/>
    </row>
    <row r="403" spans="1:11" ht="63.75" customHeight="1" x14ac:dyDescent="0.25">
      <c r="A403" s="35"/>
      <c r="B403" s="2" t="s">
        <v>318</v>
      </c>
      <c r="C403" s="36"/>
      <c r="D403" s="37"/>
      <c r="E403" s="37"/>
      <c r="F403" s="37"/>
      <c r="G403" s="9"/>
      <c r="H403" s="9"/>
      <c r="I403" s="3"/>
      <c r="J403" s="6"/>
      <c r="K403" s="6"/>
    </row>
    <row r="404" spans="1:11" ht="51" customHeight="1" x14ac:dyDescent="0.25">
      <c r="A404" s="35"/>
      <c r="B404" s="2" t="s">
        <v>319</v>
      </c>
      <c r="C404" s="36"/>
      <c r="D404" s="37"/>
      <c r="E404" s="37"/>
      <c r="F404" s="37"/>
      <c r="G404" s="9"/>
      <c r="H404" s="9"/>
      <c r="I404" s="3"/>
      <c r="J404" s="6"/>
      <c r="K404" s="6"/>
    </row>
    <row r="405" spans="1:11" ht="63.75" customHeight="1" x14ac:dyDescent="0.25">
      <c r="A405" s="35"/>
      <c r="B405" s="2" t="s">
        <v>320</v>
      </c>
      <c r="C405" s="36"/>
      <c r="D405" s="37"/>
      <c r="E405" s="37"/>
      <c r="F405" s="37"/>
      <c r="G405" s="9"/>
      <c r="H405" s="9"/>
      <c r="I405" s="3"/>
      <c r="J405" s="6"/>
      <c r="K405" s="6"/>
    </row>
    <row r="406" spans="1:11" ht="63.75" customHeight="1" x14ac:dyDescent="0.25">
      <c r="A406" s="35"/>
      <c r="B406" s="2" t="s">
        <v>321</v>
      </c>
      <c r="C406" s="36"/>
      <c r="D406" s="37"/>
      <c r="E406" s="37"/>
      <c r="F406" s="37"/>
      <c r="G406" s="9"/>
      <c r="H406" s="9"/>
      <c r="I406" s="3"/>
      <c r="J406" s="6"/>
      <c r="K406" s="6"/>
    </row>
    <row r="407" spans="1:11" ht="38.25" customHeight="1" x14ac:dyDescent="0.25">
      <c r="A407" s="35"/>
      <c r="B407" s="2" t="s">
        <v>322</v>
      </c>
      <c r="C407" s="36"/>
      <c r="D407" s="37"/>
      <c r="E407" s="37"/>
      <c r="F407" s="37"/>
      <c r="G407" s="9"/>
      <c r="H407" s="9"/>
      <c r="I407" s="3"/>
      <c r="J407" s="6"/>
      <c r="K407" s="6"/>
    </row>
    <row r="408" spans="1:11" ht="38.25" customHeight="1" x14ac:dyDescent="0.25">
      <c r="A408" s="35"/>
      <c r="B408" s="2" t="s">
        <v>323</v>
      </c>
      <c r="C408" s="36"/>
      <c r="D408" s="37"/>
      <c r="E408" s="37"/>
      <c r="F408" s="37"/>
      <c r="G408" s="9"/>
      <c r="H408" s="9"/>
      <c r="I408" s="3"/>
      <c r="J408" s="6"/>
      <c r="K408" s="6"/>
    </row>
    <row r="409" spans="1:11" ht="63.75" customHeight="1" x14ac:dyDescent="0.25">
      <c r="A409" s="35"/>
      <c r="B409" s="2" t="s">
        <v>324</v>
      </c>
      <c r="C409" s="36"/>
      <c r="D409" s="37"/>
      <c r="E409" s="37"/>
      <c r="F409" s="37"/>
      <c r="G409" s="9"/>
      <c r="H409" s="9"/>
      <c r="I409" s="3"/>
      <c r="J409" s="6"/>
      <c r="K409" s="6"/>
    </row>
    <row r="410" spans="1:11" ht="51" customHeight="1" x14ac:dyDescent="0.25">
      <c r="A410" s="35"/>
      <c r="B410" s="2" t="s">
        <v>325</v>
      </c>
      <c r="C410" s="36"/>
      <c r="D410" s="37"/>
      <c r="E410" s="37"/>
      <c r="F410" s="37"/>
      <c r="G410" s="9"/>
      <c r="H410" s="9"/>
      <c r="I410" s="3"/>
      <c r="J410" s="6"/>
      <c r="K410" s="6"/>
    </row>
    <row r="411" spans="1:11" ht="38.25" customHeight="1" x14ac:dyDescent="0.25">
      <c r="A411" s="35"/>
      <c r="B411" s="2" t="s">
        <v>326</v>
      </c>
      <c r="C411" s="36"/>
      <c r="D411" s="37"/>
      <c r="E411" s="37"/>
      <c r="F411" s="37"/>
      <c r="G411" s="9"/>
      <c r="H411" s="9"/>
      <c r="I411" s="3"/>
      <c r="J411" s="6"/>
      <c r="K411" s="6"/>
    </row>
    <row r="412" spans="1:11" ht="51" customHeight="1" x14ac:dyDescent="0.25">
      <c r="A412" s="35"/>
      <c r="B412" s="2" t="s">
        <v>327</v>
      </c>
      <c r="C412" s="36"/>
      <c r="D412" s="37"/>
      <c r="E412" s="37"/>
      <c r="F412" s="37"/>
      <c r="G412" s="9"/>
      <c r="H412" s="9"/>
      <c r="I412" s="3"/>
      <c r="J412" s="6"/>
      <c r="K412" s="6"/>
    </row>
    <row r="413" spans="1:11" ht="12.75" customHeight="1" x14ac:dyDescent="0.25">
      <c r="A413" s="35"/>
      <c r="B413" s="2" t="s">
        <v>328</v>
      </c>
      <c r="C413" s="36"/>
      <c r="D413" s="37"/>
      <c r="E413" s="37"/>
      <c r="F413" s="37"/>
      <c r="G413" s="9"/>
      <c r="H413" s="9"/>
      <c r="I413" s="3"/>
      <c r="J413" s="6"/>
      <c r="K413" s="6"/>
    </row>
    <row r="414" spans="1:11" ht="38.25" customHeight="1" x14ac:dyDescent="0.25">
      <c r="A414" s="35"/>
      <c r="B414" s="2" t="s">
        <v>329</v>
      </c>
      <c r="C414" s="36"/>
      <c r="D414" s="37"/>
      <c r="E414" s="37"/>
      <c r="F414" s="37"/>
      <c r="G414" s="9"/>
      <c r="H414" s="9"/>
      <c r="I414" s="3"/>
      <c r="J414" s="6"/>
      <c r="K414" s="6"/>
    </row>
    <row r="415" spans="1:11" ht="38.25" customHeight="1" x14ac:dyDescent="0.25">
      <c r="A415" s="35"/>
      <c r="B415" s="2" t="s">
        <v>330</v>
      </c>
      <c r="C415" s="36"/>
      <c r="D415" s="37"/>
      <c r="E415" s="37"/>
      <c r="F415" s="37"/>
      <c r="G415" s="9"/>
      <c r="H415" s="9"/>
      <c r="I415" s="3"/>
      <c r="J415" s="6"/>
      <c r="K415" s="6"/>
    </row>
    <row r="416" spans="1:11" ht="25.5" customHeight="1" x14ac:dyDescent="0.25">
      <c r="A416" s="35"/>
      <c r="B416" s="2" t="s">
        <v>331</v>
      </c>
      <c r="C416" s="36"/>
      <c r="D416" s="37"/>
      <c r="E416" s="37"/>
      <c r="F416" s="37"/>
      <c r="G416" s="9"/>
      <c r="H416" s="9"/>
      <c r="I416" s="3"/>
      <c r="J416" s="6"/>
      <c r="K416" s="6"/>
    </row>
    <row r="417" spans="1:11" ht="63.75" customHeight="1" x14ac:dyDescent="0.25">
      <c r="A417" s="35"/>
      <c r="B417" s="2" t="s">
        <v>332</v>
      </c>
      <c r="C417" s="36"/>
      <c r="D417" s="37"/>
      <c r="E417" s="37"/>
      <c r="F417" s="37"/>
      <c r="G417" s="9"/>
      <c r="H417" s="9"/>
      <c r="I417" s="3"/>
      <c r="J417" s="6"/>
      <c r="K417" s="6"/>
    </row>
    <row r="418" spans="1:11" ht="63.75" customHeight="1" x14ac:dyDescent="0.25">
      <c r="A418" s="35"/>
      <c r="B418" s="2" t="s">
        <v>333</v>
      </c>
      <c r="C418" s="36"/>
      <c r="D418" s="37"/>
      <c r="E418" s="37"/>
      <c r="F418" s="37"/>
      <c r="G418" s="9"/>
      <c r="H418" s="9"/>
      <c r="I418" s="3"/>
      <c r="J418" s="6"/>
      <c r="K418" s="6"/>
    </row>
    <row r="419" spans="1:11" ht="76.5" customHeight="1" x14ac:dyDescent="0.25">
      <c r="A419" s="35"/>
      <c r="B419" s="2" t="s">
        <v>334</v>
      </c>
      <c r="C419" s="36"/>
      <c r="D419" s="37"/>
      <c r="E419" s="37"/>
      <c r="F419" s="37"/>
      <c r="G419" s="9"/>
      <c r="H419" s="9"/>
      <c r="I419" s="3"/>
      <c r="J419" s="6"/>
      <c r="K419" s="6"/>
    </row>
    <row r="420" spans="1:11" ht="12.75" customHeight="1" x14ac:dyDescent="0.25">
      <c r="A420" s="35"/>
      <c r="B420" s="2" t="s">
        <v>335</v>
      </c>
      <c r="C420" s="36"/>
      <c r="D420" s="37"/>
      <c r="E420" s="37"/>
      <c r="F420" s="37"/>
      <c r="G420" s="9"/>
      <c r="H420" s="9"/>
      <c r="I420" s="3"/>
      <c r="J420" s="6"/>
      <c r="K420" s="6"/>
    </row>
    <row r="421" spans="1:11" ht="51" customHeight="1" x14ac:dyDescent="0.25">
      <c r="A421" s="35"/>
      <c r="B421" s="2" t="s">
        <v>336</v>
      </c>
      <c r="C421" s="36"/>
      <c r="D421" s="37"/>
      <c r="E421" s="37"/>
      <c r="F421" s="37"/>
      <c r="G421" s="9"/>
      <c r="H421" s="9"/>
      <c r="I421" s="3"/>
      <c r="J421" s="6"/>
      <c r="K421" s="6"/>
    </row>
    <row r="422" spans="1:11" ht="51" customHeight="1" x14ac:dyDescent="0.25">
      <c r="A422" s="35"/>
      <c r="B422" s="2" t="s">
        <v>337</v>
      </c>
      <c r="C422" s="36"/>
      <c r="D422" s="37"/>
      <c r="E422" s="37"/>
      <c r="F422" s="37"/>
      <c r="G422" s="9"/>
      <c r="H422" s="9"/>
      <c r="I422" s="3"/>
      <c r="J422" s="6"/>
      <c r="K422" s="6"/>
    </row>
    <row r="423" spans="1:11" ht="51" customHeight="1" x14ac:dyDescent="0.25">
      <c r="A423" s="35"/>
      <c r="B423" s="2" t="s">
        <v>338</v>
      </c>
      <c r="C423" s="36"/>
      <c r="D423" s="37"/>
      <c r="E423" s="37"/>
      <c r="F423" s="37"/>
      <c r="G423" s="9"/>
      <c r="H423" s="9"/>
      <c r="I423" s="3"/>
      <c r="J423" s="6"/>
      <c r="K423" s="6"/>
    </row>
    <row r="424" spans="1:11" ht="38.25" customHeight="1" x14ac:dyDescent="0.25">
      <c r="A424" s="35"/>
      <c r="B424" s="2" t="s">
        <v>339</v>
      </c>
      <c r="C424" s="36"/>
      <c r="D424" s="37"/>
      <c r="E424" s="37"/>
      <c r="F424" s="37"/>
      <c r="G424" s="9"/>
      <c r="H424" s="9"/>
      <c r="I424" s="3"/>
      <c r="J424" s="6"/>
      <c r="K424" s="6"/>
    </row>
    <row r="425" spans="1:11" ht="102" customHeight="1" x14ac:dyDescent="0.25">
      <c r="A425" s="35"/>
      <c r="B425" s="2" t="s">
        <v>340</v>
      </c>
      <c r="C425" s="36"/>
      <c r="D425" s="37"/>
      <c r="E425" s="37"/>
      <c r="F425" s="37"/>
      <c r="G425" s="9"/>
      <c r="H425" s="9"/>
      <c r="I425" s="3"/>
      <c r="J425" s="6"/>
      <c r="K425" s="6"/>
    </row>
    <row r="426" spans="1:11" ht="12.75" customHeight="1" x14ac:dyDescent="0.25">
      <c r="A426" s="35"/>
      <c r="B426" s="2" t="s">
        <v>341</v>
      </c>
      <c r="C426" s="36"/>
      <c r="D426" s="37"/>
      <c r="E426" s="37"/>
      <c r="F426" s="37"/>
      <c r="G426" s="9"/>
      <c r="H426" s="9"/>
      <c r="I426" s="3"/>
      <c r="J426" s="6"/>
      <c r="K426" s="6"/>
    </row>
    <row r="427" spans="1:11" ht="38.25" customHeight="1" x14ac:dyDescent="0.25">
      <c r="A427" s="35"/>
      <c r="B427" s="2" t="s">
        <v>342</v>
      </c>
      <c r="C427" s="36"/>
      <c r="D427" s="37"/>
      <c r="E427" s="37"/>
      <c r="F427" s="37"/>
      <c r="G427" s="9"/>
      <c r="H427" s="9"/>
      <c r="I427" s="3"/>
      <c r="J427" s="6"/>
      <c r="K427" s="6"/>
    </row>
    <row r="428" spans="1:11" ht="38.25" customHeight="1" x14ac:dyDescent="0.25">
      <c r="A428" s="35"/>
      <c r="B428" s="2" t="s">
        <v>343</v>
      </c>
      <c r="C428" s="36"/>
      <c r="D428" s="37"/>
      <c r="E428" s="37"/>
      <c r="F428" s="37"/>
      <c r="G428" s="9"/>
      <c r="H428" s="9"/>
      <c r="I428" s="3"/>
      <c r="J428" s="6"/>
      <c r="K428" s="6"/>
    </row>
    <row r="429" spans="1:11" ht="51" customHeight="1" x14ac:dyDescent="0.25">
      <c r="A429" s="35"/>
      <c r="B429" s="2" t="s">
        <v>344</v>
      </c>
      <c r="C429" s="36"/>
      <c r="D429" s="37"/>
      <c r="E429" s="37"/>
      <c r="F429" s="37"/>
      <c r="G429" s="9"/>
      <c r="H429" s="9"/>
      <c r="I429" s="3"/>
      <c r="J429" s="6"/>
      <c r="K429" s="6"/>
    </row>
    <row r="430" spans="1:11" ht="51" customHeight="1" x14ac:dyDescent="0.25">
      <c r="A430" s="35"/>
      <c r="B430" s="2" t="s">
        <v>345</v>
      </c>
      <c r="C430" s="36"/>
      <c r="D430" s="37"/>
      <c r="E430" s="37"/>
      <c r="F430" s="37"/>
      <c r="G430" s="9"/>
      <c r="H430" s="9"/>
      <c r="I430" s="3"/>
      <c r="J430" s="6"/>
      <c r="K430" s="6"/>
    </row>
    <row r="431" spans="1:11" ht="114.75" customHeight="1" x14ac:dyDescent="0.25">
      <c r="A431" s="35"/>
      <c r="B431" s="2" t="s">
        <v>346</v>
      </c>
      <c r="C431" s="36"/>
      <c r="D431" s="37"/>
      <c r="E431" s="37"/>
      <c r="F431" s="37"/>
      <c r="G431" s="9"/>
      <c r="H431" s="9"/>
      <c r="I431" s="3"/>
      <c r="J431" s="6"/>
      <c r="K431" s="6"/>
    </row>
    <row r="432" spans="1:11" ht="38.25" customHeight="1" x14ac:dyDescent="0.25">
      <c r="A432" s="35"/>
      <c r="B432" s="2" t="s">
        <v>347</v>
      </c>
      <c r="C432" s="36"/>
      <c r="D432" s="37"/>
      <c r="E432" s="37"/>
      <c r="F432" s="37"/>
      <c r="G432" s="6"/>
      <c r="H432" s="6"/>
      <c r="I432" s="6"/>
      <c r="J432" s="6"/>
      <c r="K432" s="6"/>
    </row>
    <row r="433" spans="1:11" ht="38.25" customHeight="1" x14ac:dyDescent="0.25">
      <c r="A433" s="35"/>
      <c r="B433" s="2" t="s">
        <v>348</v>
      </c>
      <c r="C433" s="36"/>
      <c r="D433" s="37"/>
      <c r="E433" s="37"/>
      <c r="F433" s="37"/>
      <c r="G433" s="6"/>
      <c r="H433" s="6"/>
      <c r="I433" s="6"/>
      <c r="J433" s="6"/>
      <c r="K433" s="6"/>
    </row>
    <row r="434" spans="1:11" ht="63.75" customHeight="1" x14ac:dyDescent="0.25">
      <c r="A434" s="35"/>
      <c r="B434" s="2" t="s">
        <v>349</v>
      </c>
      <c r="C434" s="36"/>
      <c r="D434" s="37"/>
      <c r="E434" s="37"/>
      <c r="F434" s="37"/>
      <c r="G434" s="6"/>
      <c r="H434" s="6"/>
      <c r="I434" s="6"/>
      <c r="J434" s="6"/>
      <c r="K434" s="6"/>
    </row>
    <row r="435" spans="1:11" ht="38.25" customHeight="1" x14ac:dyDescent="0.25">
      <c r="A435" s="35"/>
      <c r="B435" s="2" t="s">
        <v>350</v>
      </c>
      <c r="C435" s="36"/>
      <c r="D435" s="37"/>
      <c r="E435" s="37"/>
      <c r="F435" s="37"/>
      <c r="G435" s="6"/>
      <c r="H435" s="6"/>
      <c r="I435" s="6"/>
      <c r="J435" s="6"/>
      <c r="K435" s="6"/>
    </row>
    <row r="436" spans="1:11" ht="38.25" customHeight="1" x14ac:dyDescent="0.25">
      <c r="A436" s="35"/>
      <c r="B436" s="2" t="s">
        <v>351</v>
      </c>
      <c r="C436" s="36"/>
      <c r="D436" s="37"/>
      <c r="E436" s="37"/>
      <c r="F436" s="37"/>
      <c r="G436" s="6"/>
      <c r="H436" s="6"/>
      <c r="I436" s="6"/>
      <c r="J436" s="6"/>
      <c r="K436" s="6"/>
    </row>
    <row r="437" spans="1:11" ht="114.75" customHeight="1" x14ac:dyDescent="0.25">
      <c r="A437" s="35"/>
      <c r="B437" s="2" t="s">
        <v>352</v>
      </c>
      <c r="C437" s="36"/>
      <c r="D437" s="37"/>
      <c r="E437" s="37"/>
      <c r="F437" s="37"/>
      <c r="G437" s="6"/>
      <c r="H437" s="6"/>
      <c r="I437" s="6"/>
      <c r="J437" s="6"/>
      <c r="K437" s="6"/>
    </row>
    <row r="438" spans="1:11" ht="51" customHeight="1" x14ac:dyDescent="0.25">
      <c r="A438" s="35"/>
      <c r="B438" s="2" t="s">
        <v>353</v>
      </c>
      <c r="C438" s="36"/>
      <c r="D438" s="37"/>
      <c r="E438" s="37"/>
      <c r="F438" s="37"/>
      <c r="G438" s="6"/>
      <c r="H438" s="6"/>
      <c r="I438" s="6"/>
      <c r="J438" s="6"/>
      <c r="K438" s="6"/>
    </row>
    <row r="439" spans="1:11" ht="63.75" customHeight="1" x14ac:dyDescent="0.25">
      <c r="A439" s="35"/>
      <c r="B439" s="2" t="s">
        <v>354</v>
      </c>
      <c r="C439" s="36"/>
      <c r="D439" s="37"/>
      <c r="E439" s="37"/>
      <c r="F439" s="37"/>
      <c r="G439" s="6"/>
      <c r="H439" s="6"/>
      <c r="I439" s="6"/>
      <c r="J439" s="6"/>
      <c r="K439" s="6"/>
    </row>
    <row r="440" spans="1:11" ht="76.5" customHeight="1" x14ac:dyDescent="0.25">
      <c r="A440" s="35"/>
      <c r="B440" s="2" t="s">
        <v>355</v>
      </c>
      <c r="C440" s="36"/>
      <c r="D440" s="37"/>
      <c r="E440" s="37"/>
      <c r="F440" s="37"/>
      <c r="G440" s="6"/>
      <c r="H440" s="6"/>
      <c r="I440" s="6"/>
      <c r="J440" s="6"/>
      <c r="K440" s="6"/>
    </row>
    <row r="441" spans="1:11" ht="38.25" customHeight="1" x14ac:dyDescent="0.25">
      <c r="A441" s="35"/>
      <c r="B441" s="2" t="s">
        <v>356</v>
      </c>
      <c r="C441" s="36"/>
      <c r="D441" s="37"/>
      <c r="E441" s="37"/>
      <c r="F441" s="37"/>
      <c r="G441" s="6"/>
      <c r="H441" s="6"/>
      <c r="I441" s="6"/>
      <c r="J441" s="6"/>
      <c r="K441" s="6"/>
    </row>
    <row r="442" spans="1:11" ht="76.5" customHeight="1" x14ac:dyDescent="0.25">
      <c r="A442" s="35"/>
      <c r="B442" s="2" t="s">
        <v>357</v>
      </c>
      <c r="C442" s="36"/>
      <c r="D442" s="37"/>
      <c r="E442" s="37"/>
      <c r="F442" s="37"/>
      <c r="G442" s="6"/>
      <c r="H442" s="6"/>
      <c r="I442" s="6"/>
      <c r="J442" s="6"/>
      <c r="K442" s="6"/>
    </row>
    <row r="443" spans="1:11" ht="12.75" customHeight="1" x14ac:dyDescent="0.25">
      <c r="A443" s="35"/>
      <c r="B443" s="2" t="s">
        <v>358</v>
      </c>
      <c r="C443" s="36"/>
      <c r="D443" s="37"/>
      <c r="E443" s="37"/>
      <c r="F443" s="37"/>
      <c r="G443" s="6"/>
      <c r="H443" s="6"/>
      <c r="I443" s="6"/>
      <c r="J443" s="6"/>
      <c r="K443" s="6"/>
    </row>
    <row r="444" spans="1:11" ht="63.75" customHeight="1" x14ac:dyDescent="0.25">
      <c r="A444" s="35"/>
      <c r="B444" s="2" t="s">
        <v>359</v>
      </c>
      <c r="C444" s="36"/>
      <c r="D444" s="37"/>
      <c r="E444" s="37"/>
      <c r="F444" s="37"/>
      <c r="G444" s="6"/>
      <c r="H444" s="6"/>
      <c r="I444" s="6"/>
      <c r="J444" s="6"/>
      <c r="K444" s="6"/>
    </row>
    <row r="445" spans="1:11" ht="25.5" customHeight="1" x14ac:dyDescent="0.25">
      <c r="A445" s="35"/>
      <c r="B445" s="2" t="s">
        <v>360</v>
      </c>
      <c r="C445" s="36"/>
      <c r="D445" s="37"/>
      <c r="E445" s="37"/>
      <c r="F445" s="37"/>
      <c r="G445" s="6"/>
      <c r="H445" s="6"/>
      <c r="I445" s="6"/>
      <c r="J445" s="6"/>
      <c r="K445" s="6"/>
    </row>
    <row r="446" spans="1:11" ht="12.75" customHeight="1" x14ac:dyDescent="0.25">
      <c r="A446" s="35"/>
      <c r="B446" s="2" t="s">
        <v>361</v>
      </c>
      <c r="C446" s="36"/>
      <c r="D446" s="37"/>
      <c r="E446" s="37"/>
      <c r="F446" s="37"/>
      <c r="G446" s="6"/>
      <c r="H446" s="6"/>
      <c r="I446" s="6"/>
      <c r="J446" s="6"/>
      <c r="K446" s="6"/>
    </row>
    <row r="447" spans="1:11" ht="38.25" customHeight="1" x14ac:dyDescent="0.25">
      <c r="A447" s="35"/>
      <c r="B447" s="2" t="s">
        <v>362</v>
      </c>
      <c r="C447" s="36"/>
      <c r="D447" s="37"/>
      <c r="E447" s="37"/>
      <c r="F447" s="37"/>
      <c r="G447" s="6"/>
      <c r="H447" s="6"/>
      <c r="I447" s="6"/>
      <c r="J447" s="6"/>
      <c r="K447" s="6"/>
    </row>
    <row r="448" spans="1:11" ht="38.25" customHeight="1" x14ac:dyDescent="0.25">
      <c r="A448" s="35"/>
      <c r="B448" s="2" t="s">
        <v>363</v>
      </c>
      <c r="C448" s="36"/>
      <c r="D448" s="37"/>
      <c r="E448" s="37"/>
      <c r="F448" s="37"/>
      <c r="G448" s="6"/>
      <c r="H448" s="6"/>
      <c r="I448" s="6"/>
      <c r="J448" s="6"/>
      <c r="K448" s="6"/>
    </row>
    <row r="449" spans="1:11" ht="12.75" customHeight="1" x14ac:dyDescent="0.25">
      <c r="A449" s="35"/>
      <c r="B449" s="2" t="s">
        <v>364</v>
      </c>
      <c r="C449" s="36"/>
      <c r="D449" s="37"/>
      <c r="E449" s="37"/>
      <c r="F449" s="37"/>
      <c r="G449" s="6"/>
      <c r="H449" s="6"/>
      <c r="I449" s="6"/>
      <c r="J449" s="6"/>
      <c r="K449" s="6"/>
    </row>
    <row r="450" spans="1:11" ht="51" customHeight="1" x14ac:dyDescent="0.25">
      <c r="A450" s="35"/>
      <c r="B450" s="2" t="s">
        <v>365</v>
      </c>
      <c r="C450" s="36"/>
      <c r="D450" s="37"/>
      <c r="E450" s="37"/>
      <c r="F450" s="37"/>
      <c r="G450" s="6"/>
      <c r="H450" s="6"/>
      <c r="I450" s="6"/>
      <c r="J450" s="6"/>
      <c r="K450" s="6"/>
    </row>
    <row r="451" spans="1:11" ht="51" customHeight="1" x14ac:dyDescent="0.25">
      <c r="A451" s="35"/>
      <c r="B451" s="2" t="s">
        <v>366</v>
      </c>
      <c r="C451" s="36"/>
      <c r="D451" s="37"/>
      <c r="E451" s="37"/>
      <c r="F451" s="37"/>
      <c r="G451" s="6"/>
      <c r="H451" s="6"/>
      <c r="I451" s="6"/>
      <c r="J451" s="6"/>
      <c r="K451" s="6"/>
    </row>
    <row r="452" spans="1:11" ht="25.5" customHeight="1" x14ac:dyDescent="0.25">
      <c r="A452" s="35"/>
      <c r="B452" s="2" t="s">
        <v>367</v>
      </c>
      <c r="C452" s="36"/>
      <c r="D452" s="37"/>
      <c r="E452" s="37"/>
      <c r="F452" s="37"/>
      <c r="G452" s="6"/>
      <c r="H452" s="6"/>
      <c r="I452" s="6"/>
      <c r="J452" s="6"/>
      <c r="K452" s="6"/>
    </row>
    <row r="453" spans="1:11" ht="51" customHeight="1" x14ac:dyDescent="0.25">
      <c r="A453" s="35"/>
      <c r="B453" s="2" t="s">
        <v>368</v>
      </c>
      <c r="C453" s="36"/>
      <c r="D453" s="37"/>
      <c r="E453" s="37"/>
      <c r="F453" s="37"/>
      <c r="G453" s="6"/>
      <c r="H453" s="6"/>
      <c r="I453" s="6"/>
      <c r="J453" s="6"/>
      <c r="K453" s="6"/>
    </row>
    <row r="454" spans="1:11" ht="38.25" customHeight="1" x14ac:dyDescent="0.25">
      <c r="A454" s="35"/>
      <c r="B454" s="2" t="s">
        <v>369</v>
      </c>
      <c r="C454" s="36"/>
      <c r="D454" s="37"/>
      <c r="E454" s="37"/>
      <c r="F454" s="37"/>
      <c r="G454" s="6"/>
      <c r="H454" s="6"/>
      <c r="I454" s="6"/>
      <c r="J454" s="6"/>
      <c r="K454" s="6"/>
    </row>
    <row r="455" spans="1:11" ht="25.5" customHeight="1" x14ac:dyDescent="0.25">
      <c r="A455" s="35"/>
      <c r="B455" s="2" t="s">
        <v>370</v>
      </c>
      <c r="C455" s="36"/>
      <c r="D455" s="37"/>
      <c r="E455" s="37"/>
      <c r="F455" s="37"/>
      <c r="G455" s="6"/>
      <c r="H455" s="6"/>
      <c r="I455" s="6"/>
      <c r="J455" s="6"/>
      <c r="K455" s="6"/>
    </row>
    <row r="456" spans="1:11" ht="12.75" customHeight="1" x14ac:dyDescent="0.25">
      <c r="A456" s="35"/>
      <c r="B456" s="2" t="s">
        <v>371</v>
      </c>
      <c r="C456" s="36"/>
      <c r="D456" s="37"/>
      <c r="E456" s="37"/>
      <c r="F456" s="37"/>
      <c r="G456" s="6"/>
      <c r="H456" s="6"/>
      <c r="I456" s="6"/>
      <c r="J456" s="6"/>
      <c r="K456" s="6"/>
    </row>
    <row r="457" spans="1:11" ht="25.5" customHeight="1" x14ac:dyDescent="0.25">
      <c r="A457" s="35"/>
      <c r="B457" s="2" t="s">
        <v>372</v>
      </c>
      <c r="C457" s="36"/>
      <c r="D457" s="37"/>
      <c r="E457" s="37"/>
      <c r="F457" s="37"/>
      <c r="G457" s="6"/>
      <c r="H457" s="6"/>
      <c r="I457" s="6"/>
      <c r="J457" s="6"/>
      <c r="K457" s="6"/>
    </row>
    <row r="458" spans="1:11" ht="12.75" customHeight="1" x14ac:dyDescent="0.25">
      <c r="A458" s="35"/>
      <c r="B458" s="2" t="s">
        <v>373</v>
      </c>
      <c r="C458" s="36"/>
      <c r="D458" s="37"/>
      <c r="E458" s="37"/>
      <c r="F458" s="37"/>
      <c r="G458" s="6"/>
      <c r="H458" s="6"/>
      <c r="I458" s="6"/>
      <c r="J458" s="6"/>
      <c r="K458" s="6"/>
    </row>
    <row r="459" spans="1:11" ht="63.75" customHeight="1" x14ac:dyDescent="0.25">
      <c r="A459" s="35"/>
      <c r="B459" s="2" t="s">
        <v>374</v>
      </c>
      <c r="C459" s="36"/>
      <c r="D459" s="37"/>
      <c r="E459" s="37"/>
      <c r="F459" s="37"/>
      <c r="G459" s="6"/>
      <c r="H459" s="6"/>
      <c r="I459" s="6"/>
      <c r="J459" s="6"/>
      <c r="K459" s="6"/>
    </row>
    <row r="460" spans="1:11" ht="38.25" customHeight="1" x14ac:dyDescent="0.25">
      <c r="A460" s="35"/>
      <c r="B460" s="2" t="s">
        <v>375</v>
      </c>
      <c r="C460" s="36"/>
      <c r="D460" s="37"/>
      <c r="E460" s="37"/>
      <c r="F460" s="37"/>
      <c r="G460" s="6"/>
      <c r="H460" s="6"/>
      <c r="I460" s="6"/>
      <c r="J460" s="6"/>
      <c r="K460" s="6"/>
    </row>
    <row r="461" spans="1:11" ht="38.25" customHeight="1" x14ac:dyDescent="0.25">
      <c r="A461" s="35"/>
      <c r="B461" s="2" t="s">
        <v>376</v>
      </c>
      <c r="C461" s="36"/>
      <c r="D461" s="37"/>
      <c r="E461" s="37"/>
      <c r="F461" s="37"/>
      <c r="G461" s="6"/>
      <c r="H461" s="6"/>
      <c r="I461" s="6"/>
      <c r="J461" s="6"/>
      <c r="K461" s="6"/>
    </row>
    <row r="462" spans="1:11" ht="38.25" customHeight="1" x14ac:dyDescent="0.25">
      <c r="A462" s="35"/>
      <c r="B462" s="2" t="s">
        <v>377</v>
      </c>
      <c r="C462" s="36"/>
      <c r="D462" s="37"/>
      <c r="E462" s="37"/>
      <c r="F462" s="37"/>
      <c r="G462" s="6"/>
      <c r="H462" s="6"/>
      <c r="I462" s="6"/>
      <c r="J462" s="6"/>
      <c r="K462" s="6"/>
    </row>
    <row r="463" spans="1:11" ht="38.25" customHeight="1" x14ac:dyDescent="0.25">
      <c r="A463" s="35"/>
      <c r="B463" s="2" t="s">
        <v>378</v>
      </c>
      <c r="C463" s="36"/>
      <c r="D463" s="37"/>
      <c r="E463" s="37"/>
      <c r="F463" s="37"/>
      <c r="G463" s="6"/>
      <c r="H463" s="6"/>
      <c r="I463" s="6"/>
      <c r="J463" s="6"/>
      <c r="K463" s="6"/>
    </row>
    <row r="464" spans="1:11" ht="51" customHeight="1" x14ac:dyDescent="0.25">
      <c r="A464" s="35"/>
      <c r="B464" s="2" t="s">
        <v>379</v>
      </c>
      <c r="C464" s="36"/>
      <c r="D464" s="37"/>
      <c r="E464" s="37"/>
      <c r="F464" s="37"/>
      <c r="G464" s="6"/>
      <c r="H464" s="6"/>
      <c r="I464" s="6"/>
      <c r="J464" s="6"/>
      <c r="K464" s="6"/>
    </row>
    <row r="465" spans="1:11" ht="38.25" customHeight="1" x14ac:dyDescent="0.25">
      <c r="A465" s="35"/>
      <c r="B465" s="2" t="s">
        <v>380</v>
      </c>
      <c r="C465" s="36"/>
      <c r="D465" s="37"/>
      <c r="E465" s="37"/>
      <c r="F465" s="37"/>
      <c r="G465" s="6"/>
      <c r="H465" s="6"/>
      <c r="I465" s="6"/>
      <c r="J465" s="6"/>
      <c r="K465" s="6"/>
    </row>
    <row r="466" spans="1:11" ht="12.75" customHeight="1" x14ac:dyDescent="0.25">
      <c r="A466" s="26"/>
      <c r="B466" s="2"/>
      <c r="C466" s="3"/>
      <c r="D466" s="4"/>
      <c r="E466" s="4"/>
      <c r="F466" s="4"/>
      <c r="G466" s="6"/>
      <c r="H466" s="6"/>
      <c r="I466" s="6"/>
      <c r="J466" s="6"/>
      <c r="K466" s="6"/>
    </row>
    <row r="467" spans="1:11" ht="12.75" customHeight="1" x14ac:dyDescent="0.25">
      <c r="A467" s="26"/>
      <c r="B467" s="2" t="s">
        <v>381</v>
      </c>
      <c r="C467" s="3"/>
      <c r="D467" s="4"/>
      <c r="E467" s="4"/>
      <c r="F467" s="4"/>
      <c r="G467" s="6"/>
      <c r="H467" s="6"/>
      <c r="I467" s="6"/>
      <c r="J467" s="6"/>
      <c r="K467" s="6"/>
    </row>
    <row r="468" spans="1:11" ht="382.5" customHeight="1" x14ac:dyDescent="0.25">
      <c r="A468" s="26"/>
      <c r="B468" s="2" t="s">
        <v>382</v>
      </c>
      <c r="C468" s="3"/>
      <c r="D468" s="4"/>
      <c r="E468" s="4"/>
      <c r="F468" s="4"/>
      <c r="G468" s="6"/>
      <c r="H468" s="6"/>
      <c r="I468" s="6"/>
      <c r="J468" s="6"/>
      <c r="K468" s="6"/>
    </row>
    <row r="469" spans="1:11" ht="242.25" customHeight="1" x14ac:dyDescent="0.25">
      <c r="A469" s="26"/>
      <c r="B469" s="2" t="s">
        <v>383</v>
      </c>
      <c r="C469" s="3"/>
      <c r="D469" s="4"/>
      <c r="E469" s="4"/>
      <c r="F469" s="4"/>
      <c r="G469" s="6"/>
      <c r="H469" s="6"/>
      <c r="I469" s="6"/>
      <c r="J469" s="6"/>
      <c r="K469" s="6"/>
    </row>
    <row r="470" spans="1:11" ht="331.5" customHeight="1" x14ac:dyDescent="0.25">
      <c r="A470" s="26"/>
      <c r="B470" s="2" t="s">
        <v>384</v>
      </c>
      <c r="C470" s="3"/>
      <c r="D470" s="4"/>
      <c r="E470" s="4"/>
      <c r="F470" s="4"/>
      <c r="G470" s="6"/>
      <c r="H470" s="6"/>
      <c r="I470" s="6"/>
      <c r="J470" s="6"/>
      <c r="K470" s="6"/>
    </row>
    <row r="471" spans="1:11" ht="331.5" customHeight="1" x14ac:dyDescent="0.25">
      <c r="A471" s="26"/>
      <c r="B471" s="2" t="s">
        <v>385</v>
      </c>
      <c r="C471" s="3"/>
      <c r="D471" s="4"/>
      <c r="E471" s="4"/>
      <c r="F471" s="4"/>
      <c r="G471" s="6"/>
      <c r="H471" s="6"/>
      <c r="I471" s="6"/>
      <c r="J471" s="6"/>
      <c r="K471" s="6"/>
    </row>
    <row r="472" spans="1:11" ht="280.5" customHeight="1" x14ac:dyDescent="0.25">
      <c r="A472" s="26"/>
      <c r="B472" s="2" t="s">
        <v>386</v>
      </c>
      <c r="C472" s="3"/>
      <c r="D472" s="4"/>
      <c r="E472" s="4"/>
      <c r="F472" s="4"/>
      <c r="G472" s="6"/>
      <c r="H472" s="6"/>
      <c r="I472" s="6"/>
      <c r="J472" s="6"/>
      <c r="K472" s="6"/>
    </row>
    <row r="473" spans="1:11" ht="178.5" customHeight="1" x14ac:dyDescent="0.25">
      <c r="A473" s="26"/>
      <c r="B473" s="2" t="s">
        <v>387</v>
      </c>
      <c r="C473" s="3"/>
      <c r="D473" s="4"/>
      <c r="E473" s="4"/>
      <c r="F473" s="4"/>
      <c r="G473" s="6"/>
      <c r="H473" s="6"/>
      <c r="I473" s="6"/>
      <c r="J473" s="6"/>
      <c r="K473" s="6"/>
    </row>
    <row r="474" spans="1:11" ht="12.75" customHeight="1" x14ac:dyDescent="0.25">
      <c r="A474" s="26"/>
      <c r="B474" s="2"/>
      <c r="C474" s="3"/>
      <c r="D474" s="4"/>
      <c r="E474" s="4"/>
      <c r="F474" s="4"/>
      <c r="G474" s="6"/>
      <c r="H474" s="6"/>
      <c r="I474" s="6"/>
      <c r="J474" s="6"/>
      <c r="K474" s="6"/>
    </row>
    <row r="475" spans="1:11" ht="12.75" customHeight="1" x14ac:dyDescent="0.25">
      <c r="A475" s="26"/>
      <c r="B475" s="38" t="s">
        <v>388</v>
      </c>
      <c r="C475" s="3"/>
      <c r="D475" s="4"/>
      <c r="E475" s="4"/>
      <c r="F475" s="4"/>
      <c r="G475" s="6"/>
      <c r="H475" s="6"/>
      <c r="I475" s="6"/>
      <c r="J475" s="6"/>
      <c r="K475" s="6"/>
    </row>
    <row r="476" spans="1:11" ht="395.25" customHeight="1" x14ac:dyDescent="0.25">
      <c r="A476" s="26" t="s">
        <v>389</v>
      </c>
      <c r="B476" s="2" t="s">
        <v>390</v>
      </c>
      <c r="C476" s="3"/>
      <c r="D476" s="4"/>
      <c r="E476" s="4"/>
      <c r="F476" s="4"/>
      <c r="G476" s="6"/>
      <c r="H476" s="6"/>
      <c r="I476" s="6"/>
      <c r="J476" s="6"/>
      <c r="K476" s="6"/>
    </row>
    <row r="477" spans="1:11" ht="63.75" customHeight="1" x14ac:dyDescent="0.25">
      <c r="A477" s="26"/>
      <c r="B477" s="2" t="s">
        <v>391</v>
      </c>
      <c r="C477" s="3"/>
      <c r="D477" s="4"/>
      <c r="E477" s="4"/>
      <c r="F477" s="4"/>
      <c r="G477" s="6"/>
      <c r="H477" s="6"/>
      <c r="I477" s="6"/>
      <c r="J477" s="6"/>
      <c r="K477" s="6"/>
    </row>
    <row r="478" spans="1:11" ht="12.75" customHeight="1" x14ac:dyDescent="0.25">
      <c r="A478" s="26" t="s">
        <v>392</v>
      </c>
      <c r="B478" s="2" t="s">
        <v>393</v>
      </c>
      <c r="C478" s="3"/>
      <c r="D478" s="4"/>
      <c r="E478" s="4"/>
      <c r="F478" s="4"/>
      <c r="G478" s="6"/>
      <c r="H478" s="6"/>
      <c r="I478" s="6"/>
      <c r="J478" s="6"/>
      <c r="K478" s="6"/>
    </row>
    <row r="479" spans="1:11" ht="51" customHeight="1" x14ac:dyDescent="0.25">
      <c r="A479" s="26" t="s">
        <v>394</v>
      </c>
      <c r="B479" s="2" t="s">
        <v>395</v>
      </c>
      <c r="C479" s="3"/>
      <c r="D479" s="4"/>
      <c r="E479" s="4"/>
      <c r="F479" s="4"/>
      <c r="G479" s="6"/>
      <c r="H479" s="6"/>
      <c r="I479" s="6"/>
      <c r="J479" s="6"/>
      <c r="K479" s="6"/>
    </row>
  </sheetData>
  <printOptions horizontalCentered="1" gridLines="1"/>
  <pageMargins left="0.70833333333333304" right="0.70833333333333304" top="0.74791666666666701" bottom="0.74791666666666701" header="0" footer="0"/>
  <pageSetup paperSize="9" scale="90" orientation="portrait"/>
  <headerFooter>
    <oddHeader>&amp;L Ministarstvo unutarnjih poslova RH&amp;R Nastavno nacionalno središte  civilne zaštite u Jastrebarskom</oddHeader>
    <oddFooter>&amp;L Troškovnik radova na uređenju građevina, vanjskog prostora i infrastrukture - opći uvjeti&amp;R stranica &amp;P od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2"/>
  <sheetViews>
    <sheetView topLeftCell="A98" workbookViewId="0">
      <selection activeCell="E29" sqref="E29"/>
    </sheetView>
  </sheetViews>
  <sheetFormatPr defaultColWidth="14.42578125" defaultRowHeight="15" customHeight="1" x14ac:dyDescent="0.25"/>
  <cols>
    <col min="1" max="1" width="6.140625" customWidth="1"/>
    <col min="2" max="2" width="50.7109375" customWidth="1"/>
    <col min="3" max="3" width="5.7109375" customWidth="1"/>
    <col min="4" max="4" width="9.7109375" customWidth="1"/>
    <col min="5" max="5" width="10.7109375" customWidth="1"/>
    <col min="6" max="6" width="13.85546875" customWidth="1"/>
    <col min="7" max="11" width="9.140625" customWidth="1"/>
  </cols>
  <sheetData>
    <row r="1" spans="1:11" ht="36" customHeight="1" x14ac:dyDescent="0.25">
      <c r="A1" s="29" t="s">
        <v>7</v>
      </c>
      <c r="B1" s="30" t="s">
        <v>8</v>
      </c>
      <c r="C1" s="31" t="s">
        <v>9</v>
      </c>
      <c r="D1" s="32" t="s">
        <v>10</v>
      </c>
      <c r="E1" s="32" t="s">
        <v>396</v>
      </c>
      <c r="F1" s="32" t="s">
        <v>12</v>
      </c>
      <c r="G1" s="34"/>
      <c r="H1" s="34"/>
      <c r="I1" s="34"/>
      <c r="J1" s="34"/>
      <c r="K1" s="34"/>
    </row>
    <row r="2" spans="1:11" ht="12.75" customHeight="1" x14ac:dyDescent="0.25">
      <c r="A2" s="35"/>
      <c r="B2" s="2"/>
      <c r="C2" s="36"/>
      <c r="D2" s="37"/>
      <c r="E2" s="37"/>
      <c r="F2" s="37"/>
      <c r="G2" s="6"/>
      <c r="H2" s="6"/>
      <c r="I2" s="6"/>
      <c r="J2" s="6"/>
      <c r="K2" s="6"/>
    </row>
    <row r="3" spans="1:11" ht="12.75" customHeight="1" x14ac:dyDescent="0.25">
      <c r="A3" s="39" t="s">
        <v>397</v>
      </c>
      <c r="B3" s="16" t="s">
        <v>398</v>
      </c>
      <c r="C3" s="40"/>
      <c r="D3" s="41"/>
      <c r="E3" s="41"/>
      <c r="F3" s="41"/>
      <c r="G3" s="42"/>
      <c r="H3" s="42"/>
      <c r="I3" s="42"/>
      <c r="J3" s="42"/>
      <c r="K3" s="42"/>
    </row>
    <row r="4" spans="1:11" ht="12.75" customHeight="1" x14ac:dyDescent="0.25">
      <c r="A4" s="35"/>
      <c r="B4" s="2"/>
      <c r="C4" s="36"/>
      <c r="D4" s="37"/>
      <c r="E4" s="37"/>
      <c r="F4" s="37"/>
      <c r="G4" s="6"/>
      <c r="H4" s="6"/>
      <c r="I4" s="6"/>
      <c r="J4" s="6"/>
      <c r="K4" s="6"/>
    </row>
    <row r="5" spans="1:11" ht="12.75" customHeight="1" x14ac:dyDescent="0.25">
      <c r="A5" s="43" t="s">
        <v>399</v>
      </c>
      <c r="B5" s="16" t="s">
        <v>400</v>
      </c>
      <c r="C5" s="3"/>
      <c r="D5" s="4"/>
      <c r="E5" s="4"/>
      <c r="F5" s="4"/>
      <c r="G5" s="6"/>
      <c r="H5" s="6"/>
      <c r="I5" s="6"/>
      <c r="J5" s="6"/>
      <c r="K5" s="6"/>
    </row>
    <row r="6" spans="1:11" ht="12.75" customHeight="1" x14ac:dyDescent="0.25">
      <c r="A6" s="43"/>
      <c r="B6" s="16"/>
      <c r="C6" s="3"/>
      <c r="D6" s="4"/>
      <c r="E6" s="4"/>
      <c r="F6" s="4"/>
      <c r="G6" s="6"/>
      <c r="H6" s="6"/>
      <c r="I6" s="6"/>
      <c r="J6" s="6"/>
      <c r="K6" s="6"/>
    </row>
    <row r="7" spans="1:11" ht="12.75" customHeight="1" x14ac:dyDescent="0.25">
      <c r="A7" s="39" t="s">
        <v>389</v>
      </c>
      <c r="B7" s="16" t="s">
        <v>31</v>
      </c>
      <c r="C7" s="42"/>
      <c r="D7" s="44"/>
      <c r="E7" s="44"/>
      <c r="F7" s="44"/>
      <c r="G7" s="6"/>
      <c r="H7" s="6"/>
      <c r="I7" s="6"/>
      <c r="J7" s="6"/>
      <c r="K7" s="6"/>
    </row>
    <row r="8" spans="1:11" ht="140.25" customHeight="1" x14ac:dyDescent="0.25">
      <c r="A8" s="26" t="s">
        <v>401</v>
      </c>
      <c r="B8" s="2" t="s">
        <v>402</v>
      </c>
      <c r="C8" s="3" t="s">
        <v>403</v>
      </c>
      <c r="D8" s="4">
        <v>698</v>
      </c>
      <c r="E8" s="4">
        <v>11.55</v>
      </c>
      <c r="F8" s="4">
        <f>D8*$E8</f>
        <v>8061.9000000000005</v>
      </c>
      <c r="G8" s="6"/>
      <c r="H8" s="6"/>
      <c r="I8" s="6"/>
      <c r="J8" s="6"/>
      <c r="K8" s="6"/>
    </row>
    <row r="9" spans="1:11" ht="12.75" customHeight="1" x14ac:dyDescent="0.25">
      <c r="A9" s="26"/>
      <c r="B9" s="39" t="s">
        <v>404</v>
      </c>
      <c r="C9" s="6"/>
      <c r="D9" s="6"/>
      <c r="E9" s="6"/>
      <c r="F9" s="44">
        <f>SUM(F8)</f>
        <v>8061.9000000000005</v>
      </c>
      <c r="G9" s="6"/>
      <c r="H9" s="6"/>
      <c r="I9" s="6"/>
      <c r="J9" s="6"/>
      <c r="K9" s="6"/>
    </row>
    <row r="10" spans="1:11" ht="12.75" customHeight="1" x14ac:dyDescent="0.25">
      <c r="A10" s="26"/>
      <c r="B10" s="2"/>
      <c r="C10" s="3"/>
      <c r="D10" s="4"/>
      <c r="E10" s="4"/>
      <c r="F10" s="4"/>
      <c r="G10" s="6"/>
      <c r="H10" s="6"/>
      <c r="I10" s="6"/>
      <c r="J10" s="6"/>
      <c r="K10" s="6"/>
    </row>
    <row r="11" spans="1:11" ht="12.75" customHeight="1" x14ac:dyDescent="0.25">
      <c r="A11" s="26"/>
      <c r="B11" s="2"/>
      <c r="C11" s="3"/>
      <c r="D11" s="4"/>
      <c r="E11" s="4"/>
      <c r="F11" s="4"/>
      <c r="G11" s="6"/>
      <c r="H11" s="6"/>
      <c r="I11" s="6"/>
      <c r="J11" s="6"/>
      <c r="K11" s="6"/>
    </row>
    <row r="12" spans="1:11" ht="12.75" customHeight="1" x14ac:dyDescent="0.25">
      <c r="A12" s="26"/>
      <c r="B12" s="39"/>
      <c r="C12" s="6"/>
      <c r="D12" s="6"/>
      <c r="E12" s="6"/>
      <c r="F12" s="4"/>
      <c r="G12" s="6"/>
      <c r="H12" s="6"/>
      <c r="I12" s="6"/>
      <c r="J12" s="6"/>
      <c r="K12" s="6"/>
    </row>
    <row r="13" spans="1:11" ht="12.75" customHeight="1" x14ac:dyDescent="0.25">
      <c r="A13" s="26"/>
      <c r="B13" s="39"/>
      <c r="C13" s="6"/>
      <c r="D13" s="6"/>
      <c r="E13" s="6"/>
      <c r="F13" s="4"/>
      <c r="G13" s="6"/>
      <c r="H13" s="6"/>
      <c r="I13" s="6"/>
      <c r="J13" s="6"/>
      <c r="K13" s="6"/>
    </row>
    <row r="14" spans="1:11" ht="12.75" customHeight="1" x14ac:dyDescent="0.25">
      <c r="A14" s="26"/>
      <c r="B14" s="2"/>
      <c r="C14" s="3"/>
      <c r="D14" s="4"/>
      <c r="E14" s="4"/>
      <c r="F14" s="4"/>
      <c r="G14" s="6"/>
      <c r="H14" s="6"/>
      <c r="I14" s="6"/>
      <c r="J14" s="6"/>
      <c r="K14" s="6"/>
    </row>
    <row r="15" spans="1:11" ht="12.75" customHeight="1" x14ac:dyDescent="0.25">
      <c r="A15" s="43" t="s">
        <v>405</v>
      </c>
      <c r="B15" s="45" t="s">
        <v>83</v>
      </c>
      <c r="C15" s="42"/>
      <c r="D15" s="42"/>
      <c r="E15" s="42"/>
      <c r="F15" s="42"/>
      <c r="G15" s="6"/>
      <c r="H15" s="6"/>
      <c r="I15" s="6"/>
      <c r="J15" s="6"/>
      <c r="K15" s="6"/>
    </row>
    <row r="16" spans="1:11" ht="63.75" customHeight="1" x14ac:dyDescent="0.25">
      <c r="A16" s="26" t="s">
        <v>406</v>
      </c>
      <c r="B16" s="2" t="s">
        <v>407</v>
      </c>
      <c r="C16" s="3" t="s">
        <v>403</v>
      </c>
      <c r="D16" s="4">
        <v>479</v>
      </c>
      <c r="E16" s="4">
        <v>55</v>
      </c>
      <c r="F16" s="4">
        <f t="shared" ref="F16:F17" si="0">D16*$E16</f>
        <v>26345</v>
      </c>
      <c r="G16" s="6"/>
      <c r="H16" s="6"/>
      <c r="I16" s="6"/>
      <c r="J16" s="6"/>
      <c r="K16" s="6"/>
    </row>
    <row r="17" spans="1:11" ht="63.75" customHeight="1" x14ac:dyDescent="0.25">
      <c r="A17" s="26" t="s">
        <v>408</v>
      </c>
      <c r="B17" s="2" t="s">
        <v>409</v>
      </c>
      <c r="C17" s="3" t="s">
        <v>403</v>
      </c>
      <c r="D17" s="4">
        <v>194</v>
      </c>
      <c r="E17" s="4">
        <v>55</v>
      </c>
      <c r="F17" s="4">
        <f t="shared" si="0"/>
        <v>10670</v>
      </c>
      <c r="G17" s="6"/>
      <c r="H17" s="6"/>
      <c r="I17" s="6"/>
      <c r="J17" s="6"/>
      <c r="K17" s="6"/>
    </row>
    <row r="18" spans="1:11" ht="12.75" customHeight="1" x14ac:dyDescent="0.25">
      <c r="A18" s="26"/>
      <c r="B18" s="39" t="s">
        <v>410</v>
      </c>
      <c r="C18" s="6"/>
      <c r="D18" s="6"/>
      <c r="E18" s="6"/>
      <c r="F18" s="44">
        <f>SUM(F16:F17)</f>
        <v>37015</v>
      </c>
      <c r="G18" s="6"/>
      <c r="H18" s="6"/>
      <c r="I18" s="6"/>
      <c r="J18" s="6"/>
      <c r="K18" s="6"/>
    </row>
    <row r="19" spans="1:11" ht="12.75" customHeight="1" x14ac:dyDescent="0.25">
      <c r="A19" s="26"/>
      <c r="B19" s="2"/>
      <c r="C19" s="3"/>
      <c r="D19" s="4"/>
      <c r="E19" s="4"/>
      <c r="F19" s="4"/>
      <c r="G19" s="6"/>
      <c r="H19" s="6"/>
      <c r="I19" s="6"/>
      <c r="J19" s="6"/>
      <c r="K19" s="6"/>
    </row>
    <row r="20" spans="1:11" ht="12.75" customHeight="1" x14ac:dyDescent="0.25">
      <c r="A20" s="39" t="s">
        <v>411</v>
      </c>
      <c r="B20" s="16" t="s">
        <v>412</v>
      </c>
      <c r="C20" s="42"/>
      <c r="D20" s="44"/>
      <c r="E20" s="44"/>
      <c r="F20" s="44"/>
      <c r="G20" s="6"/>
      <c r="H20" s="6"/>
      <c r="I20" s="6"/>
      <c r="J20" s="6"/>
      <c r="K20" s="6"/>
    </row>
    <row r="21" spans="1:11" ht="153" customHeight="1" x14ac:dyDescent="0.25">
      <c r="A21" s="35" t="s">
        <v>413</v>
      </c>
      <c r="B21" s="2" t="s">
        <v>414</v>
      </c>
      <c r="C21" s="6"/>
      <c r="D21" s="4"/>
      <c r="E21" s="4"/>
      <c r="F21" s="4"/>
      <c r="G21" s="6"/>
      <c r="H21" s="6"/>
      <c r="I21" s="6"/>
      <c r="J21" s="6"/>
      <c r="K21" s="6"/>
    </row>
    <row r="22" spans="1:11" ht="12.75" customHeight="1" x14ac:dyDescent="0.25">
      <c r="A22" s="35" t="s">
        <v>415</v>
      </c>
      <c r="B22" s="2" t="s">
        <v>416</v>
      </c>
      <c r="C22" s="3" t="s">
        <v>417</v>
      </c>
      <c r="D22" s="4">
        <v>175.2</v>
      </c>
      <c r="E22" s="4"/>
      <c r="F22" s="4">
        <f t="shared" ref="F22:F23" si="1">D22*$E22</f>
        <v>0</v>
      </c>
      <c r="G22" s="6"/>
      <c r="H22" s="6"/>
      <c r="I22" s="6"/>
      <c r="J22" s="6"/>
      <c r="K22" s="6"/>
    </row>
    <row r="23" spans="1:11" ht="12.75" customHeight="1" x14ac:dyDescent="0.25">
      <c r="A23" s="35" t="s">
        <v>418</v>
      </c>
      <c r="B23" s="2" t="s">
        <v>419</v>
      </c>
      <c r="C23" s="3" t="s">
        <v>417</v>
      </c>
      <c r="D23" s="4">
        <v>175.2</v>
      </c>
      <c r="E23" s="4"/>
      <c r="F23" s="4">
        <f t="shared" si="1"/>
        <v>0</v>
      </c>
      <c r="G23" s="6"/>
      <c r="H23" s="6"/>
      <c r="I23" s="6"/>
      <c r="J23" s="6"/>
      <c r="K23" s="6"/>
    </row>
    <row r="24" spans="1:11" ht="38.25" customHeight="1" x14ac:dyDescent="0.25">
      <c r="A24" s="35" t="s">
        <v>420</v>
      </c>
      <c r="B24" s="2" t="s">
        <v>421</v>
      </c>
      <c r="C24" s="6"/>
      <c r="D24" s="4"/>
      <c r="E24" s="4"/>
      <c r="F24" s="4"/>
      <c r="G24" s="6"/>
      <c r="H24" s="6"/>
      <c r="I24" s="6"/>
      <c r="J24" s="6"/>
      <c r="K24" s="6"/>
    </row>
    <row r="25" spans="1:11" ht="12.75" customHeight="1" x14ac:dyDescent="0.25">
      <c r="A25" s="35" t="s">
        <v>415</v>
      </c>
      <c r="B25" s="2" t="s">
        <v>422</v>
      </c>
      <c r="C25" s="3" t="s">
        <v>417</v>
      </c>
      <c r="D25" s="4">
        <v>170</v>
      </c>
      <c r="E25" s="4">
        <v>16</v>
      </c>
      <c r="F25" s="4">
        <f t="shared" ref="F25:F30" si="2">D25*$E25</f>
        <v>2720</v>
      </c>
      <c r="G25" s="6"/>
      <c r="H25" s="6"/>
      <c r="I25" s="6"/>
      <c r="J25" s="6"/>
      <c r="K25" s="6"/>
    </row>
    <row r="26" spans="1:11" ht="12.75" customHeight="1" x14ac:dyDescent="0.25">
      <c r="A26" s="35" t="s">
        <v>418</v>
      </c>
      <c r="B26" s="2" t="s">
        <v>423</v>
      </c>
      <c r="C26" s="3" t="s">
        <v>417</v>
      </c>
      <c r="D26" s="4">
        <v>170</v>
      </c>
      <c r="E26" s="4">
        <v>16</v>
      </c>
      <c r="F26" s="4">
        <f t="shared" si="2"/>
        <v>2720</v>
      </c>
      <c r="G26" s="6"/>
      <c r="H26" s="6"/>
      <c r="I26" s="6"/>
      <c r="J26" s="6"/>
      <c r="K26" s="6"/>
    </row>
    <row r="27" spans="1:11" ht="89.25" customHeight="1" x14ac:dyDescent="0.25">
      <c r="A27" s="26" t="s">
        <v>424</v>
      </c>
      <c r="B27" s="2" t="s">
        <v>425</v>
      </c>
      <c r="C27" s="3" t="s">
        <v>403</v>
      </c>
      <c r="D27" s="4">
        <v>13</v>
      </c>
      <c r="E27" s="4"/>
      <c r="F27" s="4">
        <f t="shared" si="2"/>
        <v>0</v>
      </c>
      <c r="G27" s="6"/>
      <c r="H27" s="6"/>
      <c r="I27" s="6"/>
      <c r="J27" s="6"/>
      <c r="K27" s="6"/>
    </row>
    <row r="28" spans="1:11" ht="76.5" customHeight="1" x14ac:dyDescent="0.25">
      <c r="A28" s="26" t="s">
        <v>426</v>
      </c>
      <c r="B28" s="2" t="s">
        <v>427</v>
      </c>
      <c r="C28" s="3" t="s">
        <v>403</v>
      </c>
      <c r="D28" s="4">
        <v>13</v>
      </c>
      <c r="E28" s="4"/>
      <c r="F28" s="4">
        <f t="shared" si="2"/>
        <v>0</v>
      </c>
      <c r="G28" s="6"/>
      <c r="H28" s="6"/>
      <c r="I28" s="6"/>
      <c r="J28" s="6"/>
      <c r="K28" s="6"/>
    </row>
    <row r="29" spans="1:11" ht="76.5" customHeight="1" x14ac:dyDescent="0.25">
      <c r="A29" s="26" t="s">
        <v>428</v>
      </c>
      <c r="B29" s="2" t="s">
        <v>429</v>
      </c>
      <c r="C29" s="3" t="s">
        <v>403</v>
      </c>
      <c r="D29" s="4">
        <v>256</v>
      </c>
      <c r="E29" s="4">
        <v>60</v>
      </c>
      <c r="F29" s="4">
        <f t="shared" si="2"/>
        <v>15360</v>
      </c>
      <c r="G29" s="6"/>
      <c r="H29" s="6"/>
      <c r="I29" s="6"/>
      <c r="J29" s="6"/>
      <c r="K29" s="6"/>
    </row>
    <row r="30" spans="1:11" ht="63.75" customHeight="1" x14ac:dyDescent="0.25">
      <c r="A30" s="26" t="s">
        <v>430</v>
      </c>
      <c r="B30" s="2" t="s">
        <v>431</v>
      </c>
      <c r="C30" s="3" t="s">
        <v>403</v>
      </c>
      <c r="D30" s="4">
        <v>611.79999999999995</v>
      </c>
      <c r="E30" s="4"/>
      <c r="F30" s="4">
        <f t="shared" si="2"/>
        <v>0</v>
      </c>
      <c r="G30" s="6"/>
      <c r="H30" s="6"/>
      <c r="I30" s="6"/>
      <c r="J30" s="6"/>
      <c r="K30" s="6"/>
    </row>
    <row r="31" spans="1:11" ht="12.75" customHeight="1" x14ac:dyDescent="0.25">
      <c r="A31" s="26"/>
      <c r="B31" s="39" t="s">
        <v>432</v>
      </c>
      <c r="C31" s="6"/>
      <c r="D31" s="6"/>
      <c r="E31" s="6"/>
      <c r="F31" s="44">
        <f>SUM(F22:F30)</f>
        <v>20800</v>
      </c>
      <c r="G31" s="6"/>
      <c r="H31" s="6"/>
      <c r="I31" s="6"/>
      <c r="J31" s="6"/>
      <c r="K31" s="6"/>
    </row>
    <row r="32" spans="1:11" ht="12.75" customHeight="1" x14ac:dyDescent="0.25">
      <c r="A32" s="26"/>
      <c r="B32" s="39"/>
      <c r="C32" s="6"/>
      <c r="D32" s="6"/>
      <c r="E32" s="6"/>
      <c r="F32" s="4"/>
      <c r="G32" s="6"/>
      <c r="H32" s="6"/>
      <c r="I32" s="6"/>
      <c r="J32" s="6"/>
      <c r="K32" s="6"/>
    </row>
    <row r="33" spans="1:11" ht="12.75" customHeight="1" x14ac:dyDescent="0.25">
      <c r="A33" s="26"/>
      <c r="B33" s="39"/>
      <c r="C33" s="6"/>
      <c r="D33" s="6"/>
      <c r="E33" s="6"/>
      <c r="F33" s="4"/>
      <c r="G33" s="6"/>
      <c r="H33" s="6"/>
      <c r="I33" s="6"/>
      <c r="J33" s="6"/>
      <c r="K33" s="6"/>
    </row>
    <row r="34" spans="1:11" ht="12.75" customHeight="1" x14ac:dyDescent="0.25">
      <c r="A34" s="26"/>
      <c r="B34" s="39"/>
      <c r="C34" s="6"/>
      <c r="D34" s="6"/>
      <c r="E34" s="6"/>
      <c r="F34" s="4"/>
      <c r="G34" s="6"/>
      <c r="H34" s="6"/>
      <c r="I34" s="6"/>
      <c r="J34" s="6"/>
      <c r="K34" s="6"/>
    </row>
    <row r="35" spans="1:11" ht="12.75" customHeight="1" x14ac:dyDescent="0.25">
      <c r="A35" s="26"/>
      <c r="B35" s="2"/>
      <c r="C35" s="3"/>
      <c r="D35" s="4"/>
      <c r="E35" s="4"/>
      <c r="F35" s="4"/>
      <c r="G35" s="6"/>
      <c r="H35" s="6"/>
      <c r="I35" s="6"/>
      <c r="J35" s="6"/>
      <c r="K35" s="6"/>
    </row>
    <row r="36" spans="1:11" ht="12.75" customHeight="1" x14ac:dyDescent="0.25">
      <c r="A36" s="43" t="s">
        <v>433</v>
      </c>
      <c r="B36" s="45" t="s">
        <v>115</v>
      </c>
      <c r="C36" s="42"/>
      <c r="D36" s="42"/>
      <c r="E36" s="42"/>
      <c r="F36" s="42"/>
      <c r="G36" s="6"/>
      <c r="H36" s="6"/>
      <c r="I36" s="6"/>
      <c r="J36" s="6"/>
      <c r="K36" s="6"/>
    </row>
    <row r="37" spans="1:11" ht="51" customHeight="1" x14ac:dyDescent="0.25">
      <c r="A37" s="43"/>
      <c r="B37" s="2" t="s">
        <v>434</v>
      </c>
      <c r="C37" s="42"/>
      <c r="D37" s="42"/>
      <c r="E37" s="42"/>
      <c r="F37" s="42"/>
      <c r="G37" s="6"/>
      <c r="H37" s="6"/>
      <c r="I37" s="6"/>
      <c r="J37" s="6"/>
      <c r="K37" s="6"/>
    </row>
    <row r="38" spans="1:11" ht="114.75" customHeight="1" x14ac:dyDescent="0.25">
      <c r="A38" s="26" t="s">
        <v>435</v>
      </c>
      <c r="B38" s="2" t="s">
        <v>436</v>
      </c>
      <c r="C38" s="3" t="s">
        <v>403</v>
      </c>
      <c r="D38" s="4">
        <v>536</v>
      </c>
      <c r="E38" s="4"/>
      <c r="F38" s="4">
        <f t="shared" ref="F38:F40" si="3">D38*$E38</f>
        <v>0</v>
      </c>
      <c r="G38" s="6"/>
      <c r="H38" s="6"/>
      <c r="I38" s="6"/>
      <c r="J38" s="6"/>
      <c r="K38" s="6"/>
    </row>
    <row r="39" spans="1:11" ht="204" customHeight="1" x14ac:dyDescent="0.25">
      <c r="A39" s="26" t="s">
        <v>437</v>
      </c>
      <c r="B39" s="2" t="s">
        <v>438</v>
      </c>
      <c r="C39" s="3" t="s">
        <v>403</v>
      </c>
      <c r="D39" s="4">
        <v>536</v>
      </c>
      <c r="E39" s="4"/>
      <c r="F39" s="4">
        <f t="shared" si="3"/>
        <v>0</v>
      </c>
      <c r="G39" s="6"/>
      <c r="H39" s="6"/>
      <c r="I39" s="6"/>
      <c r="J39" s="6"/>
      <c r="K39" s="6"/>
    </row>
    <row r="40" spans="1:11" ht="114.75" customHeight="1" x14ac:dyDescent="0.25">
      <c r="A40" s="26" t="s">
        <v>439</v>
      </c>
      <c r="B40" s="2" t="s">
        <v>440</v>
      </c>
      <c r="C40" s="3" t="s">
        <v>403</v>
      </c>
      <c r="D40" s="4">
        <v>159.19999999999999</v>
      </c>
      <c r="E40" s="4"/>
      <c r="F40" s="4">
        <f t="shared" si="3"/>
        <v>0</v>
      </c>
      <c r="G40" s="6"/>
      <c r="H40" s="6"/>
      <c r="I40" s="6"/>
      <c r="J40" s="6"/>
      <c r="K40" s="6"/>
    </row>
    <row r="41" spans="1:11" ht="12.75" customHeight="1" x14ac:dyDescent="0.25">
      <c r="A41" s="26"/>
      <c r="B41" s="39" t="s">
        <v>441</v>
      </c>
      <c r="C41" s="6"/>
      <c r="D41" s="6"/>
      <c r="E41" s="6"/>
      <c r="F41" s="44">
        <f>SUM(F38:F40)</f>
        <v>0</v>
      </c>
      <c r="G41" s="6"/>
      <c r="H41" s="6"/>
      <c r="I41" s="6"/>
      <c r="J41" s="6"/>
      <c r="K41" s="6"/>
    </row>
    <row r="42" spans="1:11" ht="12.75" customHeight="1" x14ac:dyDescent="0.25">
      <c r="A42" s="26"/>
      <c r="B42" s="2"/>
      <c r="C42" s="3"/>
      <c r="D42" s="4"/>
      <c r="E42" s="4"/>
      <c r="F42" s="4"/>
      <c r="G42" s="6"/>
      <c r="H42" s="6"/>
      <c r="I42" s="6"/>
      <c r="J42" s="6"/>
      <c r="K42" s="6"/>
    </row>
    <row r="43" spans="1:11" ht="12.75" customHeight="1" x14ac:dyDescent="0.25">
      <c r="A43" s="26"/>
      <c r="B43" s="2"/>
      <c r="C43" s="3"/>
      <c r="D43" s="4"/>
      <c r="E43" s="4"/>
      <c r="F43" s="4"/>
      <c r="G43" s="6"/>
      <c r="H43" s="6"/>
      <c r="I43" s="6"/>
      <c r="J43" s="6"/>
      <c r="K43" s="6"/>
    </row>
    <row r="44" spans="1:11" ht="12.75" customHeight="1" x14ac:dyDescent="0.25">
      <c r="A44" s="26"/>
      <c r="B44" s="2"/>
      <c r="C44" s="3"/>
      <c r="D44" s="4"/>
      <c r="E44" s="4"/>
      <c r="F44" s="4"/>
      <c r="G44" s="6"/>
      <c r="H44" s="6"/>
      <c r="I44" s="6"/>
      <c r="J44" s="6"/>
      <c r="K44" s="6"/>
    </row>
    <row r="45" spans="1:11" ht="12.75" customHeight="1" x14ac:dyDescent="0.25">
      <c r="A45" s="43" t="s">
        <v>442</v>
      </c>
      <c r="B45" s="45" t="s">
        <v>285</v>
      </c>
      <c r="C45" s="42"/>
      <c r="D45" s="42"/>
      <c r="E45" s="42"/>
      <c r="F45" s="42"/>
      <c r="G45" s="6"/>
      <c r="H45" s="6"/>
      <c r="I45" s="6"/>
      <c r="J45" s="6"/>
      <c r="K45" s="6"/>
    </row>
    <row r="46" spans="1:11" ht="12.75" customHeight="1" x14ac:dyDescent="0.25">
      <c r="A46" s="43"/>
      <c r="B46" s="46" t="s">
        <v>443</v>
      </c>
      <c r="C46" s="42"/>
      <c r="D46" s="42"/>
      <c r="E46" s="42"/>
      <c r="F46" s="42"/>
      <c r="G46" s="6"/>
      <c r="H46" s="6"/>
      <c r="I46" s="6"/>
      <c r="J46" s="6"/>
      <c r="K46" s="6"/>
    </row>
    <row r="47" spans="1:11" ht="306" customHeight="1" x14ac:dyDescent="0.25">
      <c r="A47" s="26" t="s">
        <v>444</v>
      </c>
      <c r="B47" s="2" t="s">
        <v>445</v>
      </c>
      <c r="C47" s="3"/>
      <c r="D47" s="4"/>
      <c r="E47" s="4"/>
      <c r="F47" s="4"/>
      <c r="G47" s="6"/>
      <c r="H47" s="6"/>
      <c r="I47" s="6"/>
      <c r="J47" s="6"/>
      <c r="K47" s="6"/>
    </row>
    <row r="48" spans="1:11" ht="229.5" customHeight="1" x14ac:dyDescent="0.25">
      <c r="A48" s="26"/>
      <c r="B48" s="2" t="s">
        <v>446</v>
      </c>
      <c r="C48" s="3"/>
      <c r="D48" s="4"/>
      <c r="E48" s="4"/>
      <c r="F48" s="4"/>
      <c r="G48" s="6"/>
      <c r="H48" s="6"/>
      <c r="I48" s="6"/>
      <c r="J48" s="6"/>
      <c r="K48" s="6"/>
    </row>
    <row r="49" spans="1:11" ht="127.5" customHeight="1" x14ac:dyDescent="0.25">
      <c r="A49" s="26"/>
      <c r="B49" s="2" t="s">
        <v>447</v>
      </c>
      <c r="C49" s="3"/>
      <c r="D49" s="4"/>
      <c r="E49" s="4"/>
      <c r="F49" s="4"/>
      <c r="G49" s="6"/>
      <c r="H49" s="6"/>
      <c r="I49" s="6"/>
      <c r="J49" s="6"/>
      <c r="K49" s="6"/>
    </row>
    <row r="50" spans="1:11" ht="267.75" customHeight="1" x14ac:dyDescent="0.25">
      <c r="A50" s="26"/>
      <c r="B50" s="2" t="s">
        <v>448</v>
      </c>
      <c r="C50" s="3"/>
      <c r="D50" s="4"/>
      <c r="E50" s="4"/>
      <c r="F50" s="4"/>
      <c r="G50" s="6"/>
      <c r="H50" s="6"/>
      <c r="I50" s="6"/>
      <c r="J50" s="6"/>
      <c r="K50" s="6"/>
    </row>
    <row r="51" spans="1:11" ht="114.75" customHeight="1" x14ac:dyDescent="0.25">
      <c r="A51" s="26"/>
      <c r="B51" s="2" t="s">
        <v>449</v>
      </c>
      <c r="C51" s="3"/>
      <c r="D51" s="4"/>
      <c r="E51" s="4"/>
      <c r="F51" s="4"/>
      <c r="G51" s="6"/>
      <c r="H51" s="6"/>
      <c r="I51" s="6"/>
      <c r="J51" s="6"/>
      <c r="K51" s="6"/>
    </row>
    <row r="52" spans="1:11" ht="153" customHeight="1" x14ac:dyDescent="0.25">
      <c r="A52" s="26"/>
      <c r="B52" s="2" t="s">
        <v>450</v>
      </c>
      <c r="C52" s="3"/>
      <c r="D52" s="4"/>
      <c r="E52" s="4"/>
      <c r="F52" s="4"/>
      <c r="G52" s="6"/>
      <c r="H52" s="6"/>
      <c r="I52" s="6"/>
      <c r="J52" s="6"/>
      <c r="K52" s="6"/>
    </row>
    <row r="53" spans="1:11" ht="280.5" customHeight="1" x14ac:dyDescent="0.25">
      <c r="A53" s="26"/>
      <c r="B53" s="2" t="s">
        <v>451</v>
      </c>
      <c r="C53" s="3"/>
      <c r="D53" s="4"/>
      <c r="E53" s="4"/>
      <c r="F53" s="4"/>
      <c r="G53" s="6"/>
      <c r="H53" s="6"/>
      <c r="I53" s="6"/>
      <c r="J53" s="6"/>
      <c r="K53" s="6"/>
    </row>
    <row r="54" spans="1:11" ht="191.25" customHeight="1" x14ac:dyDescent="0.25">
      <c r="A54" s="26"/>
      <c r="B54" s="2" t="s">
        <v>452</v>
      </c>
      <c r="C54" s="3"/>
      <c r="D54" s="4"/>
      <c r="E54" s="4"/>
      <c r="F54" s="4"/>
      <c r="G54" s="6"/>
      <c r="H54" s="6"/>
      <c r="I54" s="6"/>
      <c r="J54" s="6"/>
      <c r="K54" s="6"/>
    </row>
    <row r="55" spans="1:11" ht="127.5" customHeight="1" x14ac:dyDescent="0.25">
      <c r="A55" s="26"/>
      <c r="B55" s="2" t="s">
        <v>453</v>
      </c>
      <c r="C55" s="3" t="s">
        <v>403</v>
      </c>
      <c r="D55" s="4">
        <v>388.2</v>
      </c>
      <c r="E55" s="4">
        <v>130</v>
      </c>
      <c r="F55" s="4">
        <f>D55*$E55</f>
        <v>50466</v>
      </c>
      <c r="G55" s="6"/>
      <c r="H55" s="6"/>
      <c r="I55" s="6"/>
      <c r="J55" s="6"/>
      <c r="K55" s="6"/>
    </row>
    <row r="56" spans="1:11" ht="382.5" customHeight="1" x14ac:dyDescent="0.25">
      <c r="A56" s="26" t="s">
        <v>454</v>
      </c>
      <c r="B56" s="2" t="s">
        <v>455</v>
      </c>
      <c r="C56" s="3"/>
      <c r="D56" s="4"/>
      <c r="E56" s="4"/>
      <c r="F56" s="4"/>
      <c r="G56" s="6"/>
      <c r="H56" s="6"/>
      <c r="I56" s="6"/>
      <c r="J56" s="6"/>
      <c r="K56" s="6"/>
    </row>
    <row r="57" spans="1:11" ht="204" customHeight="1" x14ac:dyDescent="0.25">
      <c r="A57" s="26"/>
      <c r="B57" s="2" t="s">
        <v>456</v>
      </c>
      <c r="C57" s="3"/>
      <c r="D57" s="4"/>
      <c r="E57" s="4"/>
      <c r="F57" s="4"/>
      <c r="G57" s="6"/>
      <c r="H57" s="6"/>
      <c r="I57" s="6"/>
      <c r="J57" s="6"/>
      <c r="K57" s="6"/>
    </row>
    <row r="58" spans="1:11" ht="165.75" customHeight="1" x14ac:dyDescent="0.25">
      <c r="A58" s="26"/>
      <c r="B58" s="2" t="s">
        <v>457</v>
      </c>
      <c r="C58" s="3"/>
      <c r="D58" s="4"/>
      <c r="E58" s="4"/>
      <c r="F58" s="4"/>
      <c r="G58" s="6"/>
      <c r="H58" s="6"/>
      <c r="I58" s="6"/>
      <c r="J58" s="6"/>
      <c r="K58" s="6"/>
    </row>
    <row r="59" spans="1:11" ht="89.25" customHeight="1" x14ac:dyDescent="0.25">
      <c r="A59" s="26"/>
      <c r="B59" s="2" t="s">
        <v>458</v>
      </c>
      <c r="C59" s="3"/>
      <c r="D59" s="4"/>
      <c r="E59" s="4"/>
      <c r="F59" s="4"/>
      <c r="G59" s="6"/>
      <c r="H59" s="6"/>
      <c r="I59" s="6"/>
      <c r="J59" s="6"/>
      <c r="K59" s="6"/>
    </row>
    <row r="60" spans="1:11" ht="318.75" customHeight="1" x14ac:dyDescent="0.25">
      <c r="A60" s="26"/>
      <c r="B60" s="2" t="s">
        <v>459</v>
      </c>
      <c r="C60" s="3"/>
      <c r="D60" s="4"/>
      <c r="E60" s="4"/>
      <c r="F60" s="4"/>
      <c r="G60" s="6"/>
      <c r="H60" s="6"/>
      <c r="I60" s="6"/>
      <c r="J60" s="6"/>
      <c r="K60" s="6"/>
    </row>
    <row r="61" spans="1:11" ht="114.75" customHeight="1" x14ac:dyDescent="0.25">
      <c r="A61" s="26"/>
      <c r="B61" s="2" t="s">
        <v>449</v>
      </c>
      <c r="C61" s="3"/>
      <c r="D61" s="4"/>
      <c r="E61" s="4"/>
      <c r="F61" s="4"/>
      <c r="G61" s="6"/>
      <c r="H61" s="6"/>
      <c r="I61" s="6"/>
      <c r="J61" s="6"/>
      <c r="K61" s="6"/>
    </row>
    <row r="62" spans="1:11" ht="216.75" customHeight="1" x14ac:dyDescent="0.25">
      <c r="A62" s="26"/>
      <c r="B62" s="2" t="s">
        <v>460</v>
      </c>
      <c r="C62" s="3"/>
      <c r="D62" s="4"/>
      <c r="E62" s="4"/>
      <c r="F62" s="4"/>
      <c r="G62" s="6"/>
      <c r="H62" s="6"/>
      <c r="I62" s="6"/>
      <c r="J62" s="6"/>
      <c r="K62" s="6"/>
    </row>
    <row r="63" spans="1:11" ht="178.5" customHeight="1" x14ac:dyDescent="0.25">
      <c r="A63" s="26"/>
      <c r="B63" s="2" t="s">
        <v>461</v>
      </c>
      <c r="C63" s="3"/>
      <c r="D63" s="4"/>
      <c r="E63" s="4"/>
      <c r="F63" s="4"/>
      <c r="G63" s="6"/>
      <c r="H63" s="6"/>
      <c r="I63" s="6"/>
      <c r="J63" s="6"/>
      <c r="K63" s="6"/>
    </row>
    <row r="64" spans="1:11" ht="114.75" customHeight="1" x14ac:dyDescent="0.25">
      <c r="A64" s="26"/>
      <c r="B64" s="2" t="s">
        <v>462</v>
      </c>
      <c r="C64" s="3"/>
      <c r="D64" s="4"/>
      <c r="E64" s="4"/>
      <c r="F64" s="4"/>
      <c r="G64" s="6"/>
      <c r="H64" s="6"/>
      <c r="I64" s="6"/>
      <c r="J64" s="6"/>
      <c r="K64" s="6"/>
    </row>
    <row r="65" spans="1:11" ht="25.5" customHeight="1" x14ac:dyDescent="0.25">
      <c r="A65" s="26" t="s">
        <v>415</v>
      </c>
      <c r="B65" s="2" t="s">
        <v>463</v>
      </c>
      <c r="C65" s="3" t="s">
        <v>403</v>
      </c>
      <c r="D65" s="4">
        <v>388.2</v>
      </c>
      <c r="E65" s="4">
        <v>134</v>
      </c>
      <c r="F65" s="4">
        <f t="shared" ref="F65:F69" si="4">D65*$E65</f>
        <v>52018.799999999996</v>
      </c>
      <c r="G65" s="6"/>
      <c r="H65" s="6"/>
      <c r="I65" s="6"/>
      <c r="J65" s="6"/>
      <c r="K65" s="6"/>
    </row>
    <row r="66" spans="1:11" ht="25.5" customHeight="1" x14ac:dyDescent="0.25">
      <c r="A66" s="26" t="s">
        <v>418</v>
      </c>
      <c r="B66" s="2" t="s">
        <v>464</v>
      </c>
      <c r="C66" s="3" t="s">
        <v>403</v>
      </c>
      <c r="D66" s="4">
        <v>388.2</v>
      </c>
      <c r="E66" s="4">
        <v>130</v>
      </c>
      <c r="F66" s="4">
        <f t="shared" si="4"/>
        <v>50466</v>
      </c>
      <c r="G66" s="6"/>
      <c r="H66" s="6"/>
      <c r="I66" s="6"/>
      <c r="J66" s="6"/>
      <c r="K66" s="6"/>
    </row>
    <row r="67" spans="1:11" ht="25.5" customHeight="1" x14ac:dyDescent="0.25">
      <c r="A67" s="26" t="s">
        <v>465</v>
      </c>
      <c r="B67" s="2" t="s">
        <v>466</v>
      </c>
      <c r="C67" s="3" t="s">
        <v>403</v>
      </c>
      <c r="D67" s="4">
        <v>59</v>
      </c>
      <c r="E67" s="4">
        <v>128</v>
      </c>
      <c r="F67" s="4">
        <f t="shared" si="4"/>
        <v>7552</v>
      </c>
      <c r="G67" s="6"/>
      <c r="H67" s="6"/>
      <c r="I67" s="6"/>
      <c r="J67" s="6"/>
      <c r="K67" s="6"/>
    </row>
    <row r="68" spans="1:11" ht="25.5" customHeight="1" x14ac:dyDescent="0.25">
      <c r="A68" s="26" t="s">
        <v>467</v>
      </c>
      <c r="B68" s="2" t="s">
        <v>468</v>
      </c>
      <c r="C68" s="3" t="s">
        <v>403</v>
      </c>
      <c r="D68" s="4">
        <v>63</v>
      </c>
      <c r="E68" s="4">
        <v>125</v>
      </c>
      <c r="F68" s="4">
        <f t="shared" si="4"/>
        <v>7875</v>
      </c>
      <c r="G68" s="6"/>
      <c r="H68" s="6"/>
      <c r="I68" s="6"/>
      <c r="J68" s="6"/>
      <c r="K68" s="6"/>
    </row>
    <row r="69" spans="1:11" ht="12.75" customHeight="1" x14ac:dyDescent="0.25">
      <c r="A69" s="26" t="s">
        <v>469</v>
      </c>
      <c r="B69" s="2" t="s">
        <v>470</v>
      </c>
      <c r="C69" s="3" t="s">
        <v>417</v>
      </c>
      <c r="D69" s="4">
        <v>124</v>
      </c>
      <c r="E69" s="4">
        <v>83</v>
      </c>
      <c r="F69" s="4">
        <f t="shared" si="4"/>
        <v>10292</v>
      </c>
      <c r="G69" s="6"/>
      <c r="H69" s="6"/>
      <c r="I69" s="6"/>
      <c r="J69" s="6"/>
      <c r="K69" s="6"/>
    </row>
    <row r="70" spans="1:11" ht="12.75" customHeight="1" x14ac:dyDescent="0.25">
      <c r="A70" s="26"/>
      <c r="B70" s="2" t="s">
        <v>471</v>
      </c>
      <c r="C70" s="3"/>
      <c r="D70" s="4"/>
      <c r="E70" s="4"/>
      <c r="F70" s="4"/>
      <c r="G70" s="6"/>
      <c r="H70" s="6"/>
      <c r="I70" s="6"/>
      <c r="J70" s="6"/>
      <c r="K70" s="6"/>
    </row>
    <row r="71" spans="1:11" ht="267.75" customHeight="1" x14ac:dyDescent="0.25">
      <c r="A71" s="26" t="s">
        <v>472</v>
      </c>
      <c r="B71" s="2" t="s">
        <v>473</v>
      </c>
      <c r="C71" s="3"/>
      <c r="D71" s="4"/>
      <c r="E71" s="4"/>
      <c r="F71" s="4"/>
      <c r="G71" s="6"/>
      <c r="H71" s="6"/>
      <c r="I71" s="6"/>
      <c r="J71" s="6"/>
      <c r="K71" s="6"/>
    </row>
    <row r="72" spans="1:11" ht="293.25" customHeight="1" x14ac:dyDescent="0.25">
      <c r="A72" s="26"/>
      <c r="B72" s="2" t="s">
        <v>474</v>
      </c>
      <c r="C72" s="3"/>
      <c r="D72" s="4"/>
      <c r="E72" s="4"/>
      <c r="F72" s="4"/>
      <c r="G72" s="6"/>
      <c r="H72" s="6"/>
      <c r="I72" s="6"/>
      <c r="J72" s="6"/>
      <c r="K72" s="6"/>
    </row>
    <row r="73" spans="1:11" ht="255" customHeight="1" x14ac:dyDescent="0.25">
      <c r="A73" s="26"/>
      <c r="B73" s="2" t="s">
        <v>475</v>
      </c>
      <c r="C73" s="3"/>
      <c r="D73" s="4"/>
      <c r="E73" s="4"/>
      <c r="F73" s="4"/>
      <c r="G73" s="6"/>
      <c r="H73" s="6"/>
      <c r="I73" s="6"/>
      <c r="J73" s="6"/>
      <c r="K73" s="6"/>
    </row>
    <row r="74" spans="1:11" ht="89.25" customHeight="1" x14ac:dyDescent="0.25">
      <c r="A74" s="26"/>
      <c r="B74" s="2" t="s">
        <v>476</v>
      </c>
      <c r="C74" s="3"/>
      <c r="D74" s="4"/>
      <c r="E74" s="4"/>
      <c r="F74" s="4"/>
      <c r="G74" s="6"/>
      <c r="H74" s="6"/>
      <c r="I74" s="6"/>
      <c r="J74" s="6"/>
      <c r="K74" s="6"/>
    </row>
    <row r="75" spans="1:11" ht="216.75" customHeight="1" x14ac:dyDescent="0.25">
      <c r="A75" s="26"/>
      <c r="B75" s="2" t="s">
        <v>477</v>
      </c>
      <c r="C75" s="3"/>
      <c r="D75" s="4"/>
      <c r="E75" s="4"/>
      <c r="F75" s="4"/>
      <c r="G75" s="6"/>
      <c r="H75" s="6"/>
      <c r="I75" s="6"/>
      <c r="J75" s="6"/>
      <c r="K75" s="6"/>
    </row>
    <row r="76" spans="1:11" ht="293.25" customHeight="1" x14ac:dyDescent="0.25">
      <c r="A76" s="26"/>
      <c r="B76" s="2" t="s">
        <v>478</v>
      </c>
      <c r="C76" s="3"/>
      <c r="D76" s="4"/>
      <c r="E76" s="4"/>
      <c r="F76" s="4"/>
      <c r="G76" s="6"/>
      <c r="H76" s="6"/>
      <c r="I76" s="6"/>
      <c r="J76" s="6"/>
      <c r="K76" s="6"/>
    </row>
    <row r="77" spans="1:11" ht="242.25" customHeight="1" x14ac:dyDescent="0.25">
      <c r="A77" s="26"/>
      <c r="B77" s="2" t="s">
        <v>479</v>
      </c>
      <c r="C77" s="3"/>
      <c r="D77" s="4"/>
      <c r="E77" s="4"/>
      <c r="F77" s="4"/>
      <c r="G77" s="6"/>
      <c r="H77" s="6"/>
      <c r="I77" s="6"/>
      <c r="J77" s="6"/>
      <c r="K77" s="6"/>
    </row>
    <row r="78" spans="1:11" ht="127.5" customHeight="1" x14ac:dyDescent="0.25">
      <c r="A78" s="26"/>
      <c r="B78" s="2" t="s">
        <v>480</v>
      </c>
      <c r="C78" s="3" t="s">
        <v>403</v>
      </c>
      <c r="D78" s="4">
        <v>129.4</v>
      </c>
      <c r="E78" s="4">
        <v>74</v>
      </c>
      <c r="F78" s="4">
        <f>D78*$E78</f>
        <v>9575.6</v>
      </c>
      <c r="G78" s="6"/>
      <c r="H78" s="6"/>
      <c r="I78" s="6"/>
      <c r="J78" s="6"/>
      <c r="K78" s="6"/>
    </row>
    <row r="79" spans="1:11" ht="293.25" customHeight="1" x14ac:dyDescent="0.25">
      <c r="A79" s="26" t="s">
        <v>481</v>
      </c>
      <c r="B79" s="2" t="s">
        <v>482</v>
      </c>
      <c r="C79" s="3"/>
      <c r="D79" s="4"/>
      <c r="E79" s="4"/>
      <c r="F79" s="4"/>
      <c r="G79" s="6"/>
      <c r="H79" s="6"/>
      <c r="I79" s="6"/>
      <c r="J79" s="6"/>
      <c r="K79" s="6"/>
    </row>
    <row r="80" spans="1:11" ht="357" customHeight="1" x14ac:dyDescent="0.25">
      <c r="A80" s="26"/>
      <c r="B80" s="2" t="s">
        <v>483</v>
      </c>
      <c r="C80" s="3"/>
      <c r="D80" s="4"/>
      <c r="E80" s="4"/>
      <c r="F80" s="4"/>
      <c r="G80" s="6"/>
      <c r="H80" s="6"/>
      <c r="I80" s="6"/>
      <c r="J80" s="6"/>
      <c r="K80" s="6"/>
    </row>
    <row r="81" spans="1:11" ht="89.25" customHeight="1" x14ac:dyDescent="0.25">
      <c r="A81" s="26"/>
      <c r="B81" s="2" t="s">
        <v>458</v>
      </c>
      <c r="C81" s="3"/>
      <c r="D81" s="4"/>
      <c r="E81" s="4"/>
      <c r="F81" s="4"/>
      <c r="G81" s="6"/>
      <c r="H81" s="6"/>
      <c r="I81" s="6"/>
      <c r="J81" s="6"/>
      <c r="K81" s="6"/>
    </row>
    <row r="82" spans="1:11" ht="255" customHeight="1" x14ac:dyDescent="0.25">
      <c r="A82" s="26"/>
      <c r="B82" s="2" t="s">
        <v>484</v>
      </c>
      <c r="C82" s="3"/>
      <c r="D82" s="4"/>
      <c r="E82" s="4"/>
      <c r="F82" s="4"/>
      <c r="G82" s="6"/>
      <c r="H82" s="6"/>
      <c r="I82" s="6"/>
      <c r="J82" s="6"/>
      <c r="K82" s="6"/>
    </row>
    <row r="83" spans="1:11" ht="102" customHeight="1" x14ac:dyDescent="0.25">
      <c r="A83" s="26"/>
      <c r="B83" s="2" t="s">
        <v>485</v>
      </c>
      <c r="C83" s="3"/>
      <c r="D83" s="4"/>
      <c r="E83" s="4"/>
      <c r="F83" s="4"/>
      <c r="G83" s="6"/>
      <c r="H83" s="6"/>
      <c r="I83" s="6"/>
      <c r="J83" s="6"/>
      <c r="K83" s="6"/>
    </row>
    <row r="84" spans="1:11" ht="216.75" customHeight="1" x14ac:dyDescent="0.25">
      <c r="A84" s="26"/>
      <c r="B84" s="2" t="s">
        <v>486</v>
      </c>
      <c r="C84" s="3"/>
      <c r="D84" s="4"/>
      <c r="E84" s="4"/>
      <c r="F84" s="4"/>
      <c r="G84" s="6"/>
      <c r="H84" s="6"/>
      <c r="I84" s="6"/>
      <c r="J84" s="6"/>
      <c r="K84" s="6"/>
    </row>
    <row r="85" spans="1:11" ht="242.25" customHeight="1" x14ac:dyDescent="0.25">
      <c r="A85" s="26"/>
      <c r="B85" s="2" t="s">
        <v>487</v>
      </c>
      <c r="C85" s="3"/>
      <c r="D85" s="4"/>
      <c r="E85" s="4"/>
      <c r="F85" s="4"/>
      <c r="G85" s="6"/>
      <c r="H85" s="6"/>
      <c r="I85" s="6"/>
      <c r="J85" s="6"/>
      <c r="K85" s="6"/>
    </row>
    <row r="86" spans="1:11" ht="102" customHeight="1" x14ac:dyDescent="0.25">
      <c r="A86" s="26"/>
      <c r="B86" s="2" t="s">
        <v>488</v>
      </c>
      <c r="C86" s="3"/>
      <c r="D86" s="4"/>
      <c r="E86" s="4"/>
      <c r="F86" s="4"/>
      <c r="G86" s="6"/>
      <c r="H86" s="6"/>
      <c r="I86" s="6"/>
      <c r="J86" s="6"/>
      <c r="K86" s="6"/>
    </row>
    <row r="87" spans="1:11" ht="25.5" customHeight="1" x14ac:dyDescent="0.25">
      <c r="A87" s="26" t="s">
        <v>415</v>
      </c>
      <c r="B87" s="2" t="s">
        <v>463</v>
      </c>
      <c r="C87" s="3" t="s">
        <v>403</v>
      </c>
      <c r="D87" s="4">
        <v>129.4</v>
      </c>
      <c r="E87" s="4">
        <v>78</v>
      </c>
      <c r="F87" s="4">
        <f t="shared" ref="F87:F91" si="5">D87*$E87</f>
        <v>10093.200000000001</v>
      </c>
      <c r="G87" s="6"/>
      <c r="H87" s="6"/>
      <c r="I87" s="6"/>
      <c r="J87" s="6"/>
      <c r="K87" s="6"/>
    </row>
    <row r="88" spans="1:11" ht="25.5" customHeight="1" x14ac:dyDescent="0.25">
      <c r="A88" s="26" t="s">
        <v>418</v>
      </c>
      <c r="B88" s="2" t="s">
        <v>464</v>
      </c>
      <c r="C88" s="3" t="s">
        <v>403</v>
      </c>
      <c r="D88" s="4">
        <v>129.4</v>
      </c>
      <c r="E88" s="4">
        <v>74</v>
      </c>
      <c r="F88" s="4">
        <f t="shared" si="5"/>
        <v>9575.6</v>
      </c>
      <c r="G88" s="6"/>
      <c r="H88" s="6"/>
      <c r="I88" s="6"/>
      <c r="J88" s="6"/>
      <c r="K88" s="6"/>
    </row>
    <row r="89" spans="1:11" ht="25.5" customHeight="1" x14ac:dyDescent="0.25">
      <c r="A89" s="26" t="s">
        <v>465</v>
      </c>
      <c r="B89" s="2" t="s">
        <v>466</v>
      </c>
      <c r="C89" s="3" t="s">
        <v>403</v>
      </c>
      <c r="D89" s="4">
        <v>59</v>
      </c>
      <c r="E89" s="4">
        <v>72</v>
      </c>
      <c r="F89" s="4">
        <f t="shared" si="5"/>
        <v>4248</v>
      </c>
      <c r="G89" s="6"/>
      <c r="H89" s="6"/>
      <c r="I89" s="6"/>
      <c r="J89" s="6"/>
      <c r="K89" s="6"/>
    </row>
    <row r="90" spans="1:11" ht="25.5" customHeight="1" x14ac:dyDescent="0.25">
      <c r="A90" s="26" t="s">
        <v>467</v>
      </c>
      <c r="B90" s="2" t="s">
        <v>468</v>
      </c>
      <c r="C90" s="3" t="s">
        <v>403</v>
      </c>
      <c r="D90" s="4">
        <v>63</v>
      </c>
      <c r="E90" s="4">
        <v>69</v>
      </c>
      <c r="F90" s="4">
        <f t="shared" si="5"/>
        <v>4347</v>
      </c>
      <c r="G90" s="6"/>
      <c r="H90" s="6"/>
      <c r="I90" s="6"/>
      <c r="J90" s="6"/>
      <c r="K90" s="6"/>
    </row>
    <row r="91" spans="1:11" ht="12.75" customHeight="1" x14ac:dyDescent="0.25">
      <c r="A91" s="26" t="s">
        <v>469</v>
      </c>
      <c r="B91" s="2" t="s">
        <v>470</v>
      </c>
      <c r="C91" s="3" t="s">
        <v>417</v>
      </c>
      <c r="D91" s="4">
        <v>42</v>
      </c>
      <c r="E91" s="4">
        <v>48</v>
      </c>
      <c r="F91" s="4">
        <f t="shared" si="5"/>
        <v>2016</v>
      </c>
      <c r="G91" s="6"/>
      <c r="H91" s="6"/>
      <c r="I91" s="6"/>
      <c r="J91" s="6"/>
      <c r="K91" s="6"/>
    </row>
    <row r="92" spans="1:11" ht="12.75" customHeight="1" x14ac:dyDescent="0.25">
      <c r="A92" s="26"/>
      <c r="B92" s="39" t="s">
        <v>489</v>
      </c>
      <c r="C92" s="6"/>
      <c r="D92" s="6"/>
      <c r="E92" s="6"/>
      <c r="F92" s="44">
        <f>SUM(F55:F91)</f>
        <v>218525.2</v>
      </c>
      <c r="G92" s="6"/>
      <c r="H92" s="6"/>
      <c r="I92" s="6"/>
      <c r="J92" s="6"/>
      <c r="K92" s="6"/>
    </row>
    <row r="93" spans="1:11" ht="12.75" customHeight="1" x14ac:dyDescent="0.25">
      <c r="A93" s="26"/>
      <c r="B93" s="2"/>
      <c r="C93" s="3"/>
      <c r="D93" s="4"/>
      <c r="E93" s="4"/>
      <c r="F93" s="4"/>
      <c r="G93" s="6"/>
      <c r="H93" s="6"/>
      <c r="I93" s="6"/>
      <c r="J93" s="6"/>
      <c r="K93" s="6"/>
    </row>
    <row r="94" spans="1:11" ht="12.75" customHeight="1" x14ac:dyDescent="0.25">
      <c r="A94" s="43" t="s">
        <v>490</v>
      </c>
      <c r="B94" s="45" t="s">
        <v>491</v>
      </c>
      <c r="C94" s="42"/>
      <c r="D94" s="42"/>
      <c r="E94" s="42"/>
      <c r="F94" s="42"/>
      <c r="G94" s="6"/>
      <c r="H94" s="6"/>
      <c r="I94" s="6"/>
      <c r="J94" s="6"/>
      <c r="K94" s="6"/>
    </row>
    <row r="95" spans="1:11" ht="63.75" customHeight="1" x14ac:dyDescent="0.25">
      <c r="A95" s="26" t="s">
        <v>492</v>
      </c>
      <c r="B95" s="2" t="s">
        <v>493</v>
      </c>
      <c r="C95" s="3" t="s">
        <v>417</v>
      </c>
      <c r="D95" s="4">
        <v>30</v>
      </c>
      <c r="E95" s="4"/>
      <c r="F95" s="4">
        <f t="shared" ref="F95:F97" si="6">D95*$E95</f>
        <v>0</v>
      </c>
      <c r="G95" s="6"/>
      <c r="H95" s="6"/>
      <c r="I95" s="6"/>
      <c r="J95" s="6"/>
      <c r="K95" s="6"/>
    </row>
    <row r="96" spans="1:11" ht="89.25" customHeight="1" x14ac:dyDescent="0.25">
      <c r="A96" s="26" t="s">
        <v>494</v>
      </c>
      <c r="B96" s="2" t="s">
        <v>495</v>
      </c>
      <c r="C96" s="3" t="s">
        <v>496</v>
      </c>
      <c r="D96" s="47">
        <v>40</v>
      </c>
      <c r="E96" s="4"/>
      <c r="F96" s="4">
        <f t="shared" si="6"/>
        <v>0</v>
      </c>
      <c r="G96" s="6"/>
      <c r="H96" s="6"/>
      <c r="I96" s="6"/>
      <c r="J96" s="6"/>
      <c r="K96" s="6"/>
    </row>
    <row r="97" spans="1:11" ht="127.5" customHeight="1" x14ac:dyDescent="0.25">
      <c r="A97" s="26" t="s">
        <v>497</v>
      </c>
      <c r="B97" s="2" t="s">
        <v>498</v>
      </c>
      <c r="C97" s="3" t="s">
        <v>496</v>
      </c>
      <c r="D97" s="47">
        <v>1</v>
      </c>
      <c r="E97" s="4"/>
      <c r="F97" s="4">
        <f t="shared" si="6"/>
        <v>0</v>
      </c>
      <c r="G97" s="6"/>
      <c r="H97" s="6"/>
      <c r="I97" s="6"/>
      <c r="J97" s="6"/>
      <c r="K97" s="6"/>
    </row>
    <row r="98" spans="1:11" ht="51" customHeight="1" x14ac:dyDescent="0.25">
      <c r="A98" s="26" t="s">
        <v>499</v>
      </c>
      <c r="B98" s="2" t="s">
        <v>500</v>
      </c>
      <c r="C98" s="3"/>
      <c r="D98" s="4"/>
      <c r="E98" s="4"/>
      <c r="F98" s="4"/>
      <c r="G98" s="6"/>
      <c r="H98" s="6"/>
      <c r="I98" s="6"/>
      <c r="J98" s="6"/>
      <c r="K98" s="6"/>
    </row>
    <row r="99" spans="1:11" ht="12.75" customHeight="1" x14ac:dyDescent="0.25">
      <c r="A99" s="26" t="s">
        <v>415</v>
      </c>
      <c r="B99" s="2" t="s">
        <v>501</v>
      </c>
      <c r="C99" s="3" t="s">
        <v>496</v>
      </c>
      <c r="D99" s="47">
        <v>10</v>
      </c>
      <c r="E99" s="4"/>
      <c r="F99" s="4">
        <f t="shared" ref="F99:F102" si="7">D99*$E99</f>
        <v>0</v>
      </c>
      <c r="G99" s="6"/>
      <c r="H99" s="6"/>
      <c r="I99" s="6"/>
      <c r="J99" s="6"/>
      <c r="K99" s="6"/>
    </row>
    <row r="100" spans="1:11" ht="12.75" customHeight="1" x14ac:dyDescent="0.25">
      <c r="A100" s="26" t="s">
        <v>418</v>
      </c>
      <c r="B100" s="2" t="s">
        <v>502</v>
      </c>
      <c r="C100" s="3" t="s">
        <v>496</v>
      </c>
      <c r="D100" s="47">
        <v>10</v>
      </c>
      <c r="E100" s="4"/>
      <c r="F100" s="4">
        <f t="shared" si="7"/>
        <v>0</v>
      </c>
      <c r="G100" s="6"/>
      <c r="H100" s="6"/>
      <c r="I100" s="6"/>
      <c r="J100" s="6"/>
      <c r="K100" s="6"/>
    </row>
    <row r="101" spans="1:11" ht="12.75" customHeight="1" x14ac:dyDescent="0.25">
      <c r="A101" s="26" t="s">
        <v>465</v>
      </c>
      <c r="B101" s="2" t="s">
        <v>503</v>
      </c>
      <c r="C101" s="3" t="s">
        <v>496</v>
      </c>
      <c r="D101" s="47">
        <v>10</v>
      </c>
      <c r="E101" s="4"/>
      <c r="F101" s="4">
        <f t="shared" si="7"/>
        <v>0</v>
      </c>
      <c r="G101" s="6"/>
      <c r="H101" s="6"/>
      <c r="I101" s="6"/>
      <c r="J101" s="6"/>
      <c r="K101" s="6"/>
    </row>
    <row r="102" spans="1:11" ht="12.75" customHeight="1" x14ac:dyDescent="0.25">
      <c r="A102" s="26" t="s">
        <v>467</v>
      </c>
      <c r="B102" s="2" t="s">
        <v>504</v>
      </c>
      <c r="C102" s="3" t="s">
        <v>496</v>
      </c>
      <c r="D102" s="47">
        <v>10</v>
      </c>
      <c r="E102" s="4"/>
      <c r="F102" s="4">
        <f t="shared" si="7"/>
        <v>0</v>
      </c>
      <c r="G102" s="6"/>
      <c r="H102" s="6"/>
      <c r="I102" s="6"/>
      <c r="J102" s="6"/>
      <c r="K102" s="6"/>
    </row>
    <row r="103" spans="1:11" ht="63.75" customHeight="1" x14ac:dyDescent="0.25">
      <c r="A103" s="26" t="s">
        <v>505</v>
      </c>
      <c r="B103" s="2" t="s">
        <v>506</v>
      </c>
      <c r="C103" s="3"/>
      <c r="D103" s="4"/>
      <c r="E103" s="4"/>
      <c r="F103" s="4"/>
      <c r="G103" s="6"/>
      <c r="H103" s="6"/>
      <c r="I103" s="6"/>
      <c r="J103" s="6"/>
      <c r="K103" s="6"/>
    </row>
    <row r="104" spans="1:11" ht="12.75" customHeight="1" x14ac:dyDescent="0.25">
      <c r="A104" s="26" t="s">
        <v>415</v>
      </c>
      <c r="B104" s="2" t="s">
        <v>507</v>
      </c>
      <c r="C104" s="3" t="s">
        <v>496</v>
      </c>
      <c r="D104" s="47">
        <v>6</v>
      </c>
      <c r="E104" s="4"/>
      <c r="F104" s="4">
        <f t="shared" ref="F104:F105" si="8">D104*$E104</f>
        <v>0</v>
      </c>
      <c r="G104" s="6"/>
      <c r="H104" s="6"/>
      <c r="I104" s="6"/>
      <c r="J104" s="6"/>
      <c r="K104" s="6"/>
    </row>
    <row r="105" spans="1:11" ht="12.75" customHeight="1" x14ac:dyDescent="0.25">
      <c r="A105" s="26" t="s">
        <v>418</v>
      </c>
      <c r="B105" s="2" t="s">
        <v>508</v>
      </c>
      <c r="C105" s="3" t="s">
        <v>496</v>
      </c>
      <c r="D105" s="47">
        <v>9</v>
      </c>
      <c r="E105" s="4"/>
      <c r="F105" s="4">
        <f t="shared" si="8"/>
        <v>0</v>
      </c>
      <c r="G105" s="6"/>
      <c r="H105" s="6"/>
      <c r="I105" s="6"/>
      <c r="J105" s="6"/>
      <c r="K105" s="6"/>
    </row>
    <row r="106" spans="1:11" ht="12.75" customHeight="1" x14ac:dyDescent="0.25">
      <c r="A106" s="26"/>
      <c r="B106" s="39" t="s">
        <v>509</v>
      </c>
      <c r="C106" s="6"/>
      <c r="D106" s="6"/>
      <c r="E106" s="6"/>
      <c r="F106" s="44">
        <f>SUM(F95:F105)</f>
        <v>0</v>
      </c>
      <c r="G106" s="6"/>
      <c r="H106" s="6"/>
      <c r="I106" s="6"/>
      <c r="J106" s="6"/>
      <c r="K106" s="6"/>
    </row>
    <row r="107" spans="1:11" ht="12.75" customHeight="1" x14ac:dyDescent="0.25">
      <c r="A107" s="26"/>
      <c r="B107" s="2"/>
      <c r="C107" s="3"/>
      <c r="D107" s="4"/>
      <c r="E107" s="4"/>
      <c r="F107" s="4"/>
      <c r="G107" s="6"/>
      <c r="H107" s="6"/>
      <c r="I107" s="6"/>
      <c r="J107" s="6"/>
      <c r="K107" s="6"/>
    </row>
    <row r="108" spans="1:11" ht="12.75" customHeight="1" x14ac:dyDescent="0.25">
      <c r="A108" s="26"/>
      <c r="B108" s="2"/>
      <c r="C108" s="3"/>
      <c r="D108" s="4"/>
      <c r="E108" s="4"/>
      <c r="F108" s="4"/>
      <c r="G108" s="6"/>
      <c r="H108" s="6"/>
      <c r="I108" s="6"/>
      <c r="J108" s="6"/>
      <c r="K108" s="6"/>
    </row>
    <row r="109" spans="1:11" ht="12.75" customHeight="1" x14ac:dyDescent="0.25">
      <c r="A109" s="43" t="s">
        <v>510</v>
      </c>
      <c r="B109" s="45" t="s">
        <v>511</v>
      </c>
      <c r="C109" s="42"/>
      <c r="D109" s="42"/>
      <c r="E109" s="42"/>
      <c r="F109" s="42"/>
      <c r="G109" s="6"/>
      <c r="H109" s="6"/>
      <c r="I109" s="6"/>
      <c r="J109" s="6"/>
      <c r="K109" s="6"/>
    </row>
    <row r="110" spans="1:11" ht="38.25" customHeight="1" x14ac:dyDescent="0.25">
      <c r="A110" s="26" t="s">
        <v>512</v>
      </c>
      <c r="B110" s="2" t="s">
        <v>513</v>
      </c>
      <c r="C110" s="3" t="s">
        <v>403</v>
      </c>
      <c r="D110" s="4">
        <v>190.5</v>
      </c>
      <c r="E110" s="4"/>
      <c r="F110" s="4">
        <f>D110*$E110</f>
        <v>0</v>
      </c>
      <c r="G110" s="6"/>
      <c r="H110" s="6"/>
      <c r="I110" s="6"/>
      <c r="J110" s="6"/>
      <c r="K110" s="6"/>
    </row>
    <row r="111" spans="1:11" ht="12.75" customHeight="1" x14ac:dyDescent="0.25">
      <c r="A111" s="26"/>
      <c r="B111" s="39" t="s">
        <v>514</v>
      </c>
      <c r="C111" s="6"/>
      <c r="D111" s="6"/>
      <c r="E111" s="6"/>
      <c r="F111" s="44">
        <f>SUM(F110)</f>
        <v>0</v>
      </c>
      <c r="G111" s="6"/>
      <c r="H111" s="6"/>
      <c r="I111" s="6"/>
      <c r="J111" s="6"/>
      <c r="K111" s="6"/>
    </row>
    <row r="112" spans="1:11" ht="12.75" customHeight="1" x14ac:dyDescent="0.25">
      <c r="A112" s="26"/>
      <c r="B112" s="2"/>
      <c r="C112" s="3"/>
      <c r="D112" s="4"/>
      <c r="E112" s="4"/>
      <c r="F112" s="4"/>
      <c r="G112" s="6"/>
      <c r="H112" s="6"/>
      <c r="I112" s="6"/>
      <c r="J112" s="6"/>
      <c r="K112" s="6"/>
    </row>
    <row r="113" spans="1:11" ht="12.75" customHeight="1" x14ac:dyDescent="0.25">
      <c r="A113" s="26"/>
      <c r="B113" s="2"/>
      <c r="C113" s="3"/>
      <c r="D113" s="4"/>
      <c r="E113" s="4"/>
      <c r="F113" s="4"/>
      <c r="G113" s="6"/>
      <c r="H113" s="6"/>
      <c r="I113" s="6"/>
      <c r="J113" s="6"/>
      <c r="K113" s="6"/>
    </row>
    <row r="114" spans="1:11" ht="12.75" customHeight="1" x14ac:dyDescent="0.25">
      <c r="A114" s="43" t="s">
        <v>399</v>
      </c>
      <c r="B114" s="19" t="s">
        <v>515</v>
      </c>
      <c r="C114" s="3"/>
      <c r="D114" s="4"/>
      <c r="E114" s="4"/>
      <c r="F114" s="4"/>
      <c r="G114" s="6"/>
      <c r="H114" s="6"/>
      <c r="I114" s="6"/>
      <c r="J114" s="6"/>
      <c r="K114" s="6"/>
    </row>
    <row r="115" spans="1:11" ht="12.75" customHeight="1" x14ac:dyDescent="0.25">
      <c r="A115" s="26"/>
      <c r="B115" s="2"/>
      <c r="C115" s="3"/>
      <c r="D115" s="4"/>
      <c r="E115" s="4"/>
      <c r="F115" s="4"/>
      <c r="G115" s="6"/>
      <c r="H115" s="6"/>
      <c r="I115" s="6"/>
      <c r="J115" s="6"/>
      <c r="K115" s="6"/>
    </row>
    <row r="116" spans="1:11" ht="12.75" customHeight="1" x14ac:dyDescent="0.25">
      <c r="A116" s="43" t="s">
        <v>389</v>
      </c>
      <c r="B116" s="16" t="s">
        <v>31</v>
      </c>
      <c r="C116" s="18"/>
      <c r="D116" s="44"/>
      <c r="E116" s="44"/>
      <c r="F116" s="44">
        <f>SUM(F9)</f>
        <v>8061.9000000000005</v>
      </c>
      <c r="G116" s="6"/>
      <c r="H116" s="6"/>
      <c r="I116" s="6"/>
      <c r="J116" s="6"/>
      <c r="K116" s="6"/>
    </row>
    <row r="117" spans="1:11" ht="12.75" customHeight="1" x14ac:dyDescent="0.25">
      <c r="A117" s="43" t="s">
        <v>392</v>
      </c>
      <c r="B117" s="16" t="s">
        <v>516</v>
      </c>
      <c r="C117" s="18"/>
      <c r="D117" s="44"/>
      <c r="E117" s="44"/>
      <c r="F117" s="44">
        <v>0</v>
      </c>
      <c r="G117" s="6"/>
      <c r="H117" s="6"/>
      <c r="I117" s="6"/>
      <c r="J117" s="6"/>
      <c r="K117" s="6"/>
    </row>
    <row r="118" spans="1:11" ht="12.75" customHeight="1" x14ac:dyDescent="0.25">
      <c r="A118" s="43" t="s">
        <v>394</v>
      </c>
      <c r="B118" s="16" t="s">
        <v>517</v>
      </c>
      <c r="C118" s="18"/>
      <c r="D118" s="44"/>
      <c r="E118" s="44"/>
      <c r="F118" s="44">
        <v>0</v>
      </c>
      <c r="G118" s="6"/>
      <c r="H118" s="6"/>
      <c r="I118" s="6"/>
      <c r="J118" s="6"/>
      <c r="K118" s="6"/>
    </row>
    <row r="119" spans="1:11" ht="12.75" customHeight="1" x14ac:dyDescent="0.25">
      <c r="A119" s="43" t="s">
        <v>518</v>
      </c>
      <c r="B119" s="16" t="s">
        <v>519</v>
      </c>
      <c r="C119" s="18"/>
      <c r="D119" s="44"/>
      <c r="E119" s="44"/>
      <c r="F119" s="44">
        <v>0</v>
      </c>
      <c r="G119" s="6"/>
      <c r="H119" s="6"/>
      <c r="I119" s="6"/>
      <c r="J119" s="6"/>
      <c r="K119" s="6"/>
    </row>
    <row r="120" spans="1:11" ht="12.75" customHeight="1" x14ac:dyDescent="0.25">
      <c r="A120" s="43" t="s">
        <v>520</v>
      </c>
      <c r="B120" s="16" t="s">
        <v>36</v>
      </c>
      <c r="C120" s="18"/>
      <c r="D120" s="44"/>
      <c r="E120" s="44"/>
      <c r="F120" s="44">
        <v>0</v>
      </c>
      <c r="G120" s="6"/>
      <c r="H120" s="6"/>
      <c r="I120" s="6"/>
      <c r="J120" s="6"/>
      <c r="K120" s="6"/>
    </row>
    <row r="121" spans="1:11" ht="12.75" customHeight="1" x14ac:dyDescent="0.25">
      <c r="A121" s="43" t="s">
        <v>521</v>
      </c>
      <c r="B121" s="16" t="s">
        <v>40</v>
      </c>
      <c r="C121" s="18"/>
      <c r="D121" s="44"/>
      <c r="E121" s="44"/>
      <c r="F121" s="44">
        <v>0</v>
      </c>
      <c r="G121" s="6"/>
      <c r="H121" s="6"/>
      <c r="I121" s="6"/>
      <c r="J121" s="6"/>
      <c r="K121" s="6"/>
    </row>
    <row r="122" spans="1:11" ht="12.75" customHeight="1" x14ac:dyDescent="0.25">
      <c r="A122" s="43" t="s">
        <v>522</v>
      </c>
      <c r="B122" s="16" t="s">
        <v>523</v>
      </c>
      <c r="C122" s="18"/>
      <c r="D122" s="44"/>
      <c r="E122" s="44"/>
      <c r="F122" s="44">
        <v>0</v>
      </c>
      <c r="G122" s="6"/>
      <c r="H122" s="6"/>
      <c r="I122" s="6"/>
      <c r="J122" s="6"/>
      <c r="K122" s="6"/>
    </row>
    <row r="123" spans="1:11" ht="12.75" customHeight="1" x14ac:dyDescent="0.25">
      <c r="A123" s="43" t="s">
        <v>405</v>
      </c>
      <c r="B123" s="16" t="s">
        <v>83</v>
      </c>
      <c r="C123" s="18"/>
      <c r="D123" s="44"/>
      <c r="E123" s="44"/>
      <c r="F123" s="44">
        <f>SUM(F18)</f>
        <v>37015</v>
      </c>
      <c r="G123" s="6"/>
      <c r="H123" s="6"/>
      <c r="I123" s="6"/>
      <c r="J123" s="6"/>
      <c r="K123" s="6"/>
    </row>
    <row r="124" spans="1:11" ht="12.75" customHeight="1" x14ac:dyDescent="0.25">
      <c r="A124" s="43" t="s">
        <v>411</v>
      </c>
      <c r="B124" s="16" t="s">
        <v>412</v>
      </c>
      <c r="C124" s="18"/>
      <c r="D124" s="44"/>
      <c r="E124" s="44"/>
      <c r="F124" s="44">
        <f>SUM(F31)</f>
        <v>20800</v>
      </c>
      <c r="G124" s="6"/>
      <c r="H124" s="6"/>
      <c r="I124" s="6"/>
      <c r="J124" s="6"/>
      <c r="K124" s="6"/>
    </row>
    <row r="125" spans="1:11" ht="12.75" customHeight="1" x14ac:dyDescent="0.25">
      <c r="A125" s="43" t="s">
        <v>524</v>
      </c>
      <c r="B125" s="16" t="s">
        <v>597</v>
      </c>
      <c r="C125" s="18"/>
      <c r="D125" s="44"/>
      <c r="E125" s="44"/>
      <c r="F125" s="44">
        <v>0</v>
      </c>
      <c r="G125" s="6"/>
      <c r="H125" s="6"/>
      <c r="I125" s="6"/>
      <c r="J125" s="6"/>
      <c r="K125" s="6"/>
    </row>
    <row r="126" spans="1:11" ht="12.75" customHeight="1" x14ac:dyDescent="0.25">
      <c r="A126" s="43" t="s">
        <v>525</v>
      </c>
      <c r="B126" s="16" t="s">
        <v>526</v>
      </c>
      <c r="C126" s="18"/>
      <c r="D126" s="44"/>
      <c r="E126" s="44"/>
      <c r="F126" s="44">
        <v>0</v>
      </c>
      <c r="G126" s="6"/>
      <c r="H126" s="6"/>
      <c r="I126" s="6"/>
      <c r="J126" s="6"/>
      <c r="K126" s="6"/>
    </row>
    <row r="127" spans="1:11" ht="12.75" customHeight="1" x14ac:dyDescent="0.25">
      <c r="A127" s="43" t="s">
        <v>527</v>
      </c>
      <c r="B127" s="16" t="s">
        <v>528</v>
      </c>
      <c r="C127" s="18"/>
      <c r="D127" s="44"/>
      <c r="E127" s="44"/>
      <c r="F127" s="44">
        <v>0</v>
      </c>
      <c r="G127" s="6"/>
      <c r="H127" s="6"/>
      <c r="I127" s="6"/>
      <c r="J127" s="6"/>
      <c r="K127" s="6"/>
    </row>
    <row r="128" spans="1:11" ht="12.75" customHeight="1" x14ac:dyDescent="0.25">
      <c r="A128" s="43" t="s">
        <v>433</v>
      </c>
      <c r="B128" s="16" t="s">
        <v>115</v>
      </c>
      <c r="C128" s="18"/>
      <c r="D128" s="44"/>
      <c r="E128" s="44"/>
      <c r="F128" s="44">
        <f>SUM(F41)</f>
        <v>0</v>
      </c>
      <c r="G128" s="6"/>
      <c r="H128" s="6"/>
      <c r="I128" s="6"/>
      <c r="J128" s="6"/>
      <c r="K128" s="6"/>
    </row>
    <row r="129" spans="1:11" ht="12.75" customHeight="1" x14ac:dyDescent="0.25">
      <c r="A129" s="43" t="s">
        <v>529</v>
      </c>
      <c r="B129" s="16" t="s">
        <v>123</v>
      </c>
      <c r="C129" s="18"/>
      <c r="D129" s="44"/>
      <c r="E129" s="44"/>
      <c r="F129" s="44">
        <v>0</v>
      </c>
      <c r="G129" s="6"/>
      <c r="H129" s="6"/>
      <c r="I129" s="6"/>
      <c r="J129" s="6"/>
      <c r="K129" s="6"/>
    </row>
    <row r="130" spans="1:11" ht="12.75" customHeight="1" x14ac:dyDescent="0.25">
      <c r="A130" s="43" t="s">
        <v>530</v>
      </c>
      <c r="B130" s="16" t="s">
        <v>128</v>
      </c>
      <c r="C130" s="18"/>
      <c r="D130" s="44"/>
      <c r="E130" s="44"/>
      <c r="F130" s="44">
        <v>0</v>
      </c>
      <c r="G130" s="6"/>
      <c r="H130" s="6"/>
      <c r="I130" s="6"/>
      <c r="J130" s="6"/>
      <c r="K130" s="6"/>
    </row>
    <row r="131" spans="1:11" ht="12.75" customHeight="1" x14ac:dyDescent="0.25">
      <c r="A131" s="43" t="s">
        <v>531</v>
      </c>
      <c r="B131" s="16" t="s">
        <v>132</v>
      </c>
      <c r="C131" s="18"/>
      <c r="D131" s="44"/>
      <c r="E131" s="44"/>
      <c r="F131" s="44">
        <v>0</v>
      </c>
      <c r="G131" s="6"/>
      <c r="H131" s="6"/>
      <c r="I131" s="6"/>
      <c r="J131" s="6"/>
      <c r="K131" s="6"/>
    </row>
    <row r="132" spans="1:11" ht="12.75" customHeight="1" x14ac:dyDescent="0.25">
      <c r="A132" s="43" t="s">
        <v>532</v>
      </c>
      <c r="B132" s="16" t="s">
        <v>136</v>
      </c>
      <c r="C132" s="18"/>
      <c r="D132" s="44"/>
      <c r="E132" s="44"/>
      <c r="F132" s="44">
        <v>0</v>
      </c>
      <c r="G132" s="6"/>
      <c r="H132" s="6"/>
      <c r="I132" s="6"/>
      <c r="J132" s="6"/>
      <c r="K132" s="6"/>
    </row>
    <row r="133" spans="1:11" ht="12.75" customHeight="1" x14ac:dyDescent="0.25">
      <c r="A133" s="43" t="s">
        <v>533</v>
      </c>
      <c r="B133" s="16" t="s">
        <v>151</v>
      </c>
      <c r="C133" s="18"/>
      <c r="D133" s="44"/>
      <c r="E133" s="44"/>
      <c r="F133" s="44">
        <v>0</v>
      </c>
      <c r="G133" s="6"/>
      <c r="H133" s="6"/>
      <c r="I133" s="6"/>
      <c r="J133" s="6"/>
      <c r="K133" s="6"/>
    </row>
    <row r="134" spans="1:11" ht="12.75" customHeight="1" x14ac:dyDescent="0.25">
      <c r="A134" s="43" t="s">
        <v>534</v>
      </c>
      <c r="B134" s="16" t="s">
        <v>535</v>
      </c>
      <c r="C134" s="18"/>
      <c r="D134" s="44"/>
      <c r="E134" s="44"/>
      <c r="F134" s="44">
        <v>0</v>
      </c>
      <c r="G134" s="6"/>
      <c r="H134" s="6"/>
      <c r="I134" s="6"/>
      <c r="J134" s="6"/>
      <c r="K134" s="6"/>
    </row>
    <row r="135" spans="1:11" ht="12.75" customHeight="1" x14ac:dyDescent="0.25">
      <c r="A135" s="43" t="s">
        <v>536</v>
      </c>
      <c r="B135" s="16" t="s">
        <v>537</v>
      </c>
      <c r="C135" s="18"/>
      <c r="D135" s="44"/>
      <c r="E135" s="44"/>
      <c r="F135" s="44">
        <v>0</v>
      </c>
      <c r="G135" s="6"/>
      <c r="H135" s="6"/>
      <c r="I135" s="6"/>
      <c r="J135" s="6"/>
      <c r="K135" s="6"/>
    </row>
    <row r="136" spans="1:11" ht="12.75" customHeight="1" x14ac:dyDescent="0.25">
      <c r="A136" s="43" t="s">
        <v>538</v>
      </c>
      <c r="B136" s="16" t="s">
        <v>181</v>
      </c>
      <c r="C136" s="18"/>
      <c r="D136" s="44"/>
      <c r="E136" s="44"/>
      <c r="F136" s="44">
        <v>0</v>
      </c>
      <c r="G136" s="6"/>
      <c r="H136" s="6"/>
      <c r="I136" s="6"/>
      <c r="J136" s="6"/>
      <c r="K136" s="6"/>
    </row>
    <row r="137" spans="1:11" ht="12.75" customHeight="1" x14ac:dyDescent="0.25">
      <c r="A137" s="43" t="s">
        <v>539</v>
      </c>
      <c r="B137" s="16" t="s">
        <v>273</v>
      </c>
      <c r="C137" s="18"/>
      <c r="D137" s="44"/>
      <c r="E137" s="44"/>
      <c r="F137" s="44">
        <v>0</v>
      </c>
      <c r="G137" s="6"/>
      <c r="H137" s="6"/>
      <c r="I137" s="6"/>
      <c r="J137" s="6"/>
      <c r="K137" s="6"/>
    </row>
    <row r="138" spans="1:11" ht="12.75" customHeight="1" x14ac:dyDescent="0.25">
      <c r="A138" s="43" t="s">
        <v>442</v>
      </c>
      <c r="B138" s="16" t="s">
        <v>285</v>
      </c>
      <c r="C138" s="18"/>
      <c r="D138" s="44"/>
      <c r="E138" s="44"/>
      <c r="F138" s="44">
        <f>SUM(F92)</f>
        <v>218525.2</v>
      </c>
      <c r="G138" s="6"/>
      <c r="H138" s="6"/>
      <c r="I138" s="6"/>
      <c r="J138" s="6"/>
      <c r="K138" s="6"/>
    </row>
    <row r="139" spans="1:11" ht="12.75" customHeight="1" x14ac:dyDescent="0.25">
      <c r="A139" s="43" t="s">
        <v>490</v>
      </c>
      <c r="B139" s="16" t="s">
        <v>491</v>
      </c>
      <c r="C139" s="18"/>
      <c r="D139" s="44"/>
      <c r="E139" s="44"/>
      <c r="F139" s="44">
        <f>SUM(F106)</f>
        <v>0</v>
      </c>
      <c r="G139" s="6"/>
      <c r="H139" s="6"/>
      <c r="I139" s="6"/>
      <c r="J139" s="6"/>
      <c r="K139" s="6"/>
    </row>
    <row r="140" spans="1:11" ht="12.75" customHeight="1" x14ac:dyDescent="0.25">
      <c r="A140" s="43" t="s">
        <v>540</v>
      </c>
      <c r="B140" s="16" t="s">
        <v>541</v>
      </c>
      <c r="C140" s="18"/>
      <c r="D140" s="44"/>
      <c r="E140" s="44"/>
      <c r="F140" s="44">
        <v>0</v>
      </c>
      <c r="G140" s="6"/>
      <c r="H140" s="6"/>
      <c r="I140" s="6"/>
      <c r="J140" s="6"/>
      <c r="K140" s="6"/>
    </row>
    <row r="141" spans="1:11" ht="12.75" customHeight="1" x14ac:dyDescent="0.25">
      <c r="A141" s="43" t="s">
        <v>510</v>
      </c>
      <c r="B141" s="16" t="s">
        <v>511</v>
      </c>
      <c r="C141" s="18"/>
      <c r="D141" s="44"/>
      <c r="E141" s="44"/>
      <c r="F141" s="44">
        <f>SUM(F111)</f>
        <v>0</v>
      </c>
      <c r="G141" s="6"/>
      <c r="H141" s="6"/>
      <c r="I141" s="6"/>
      <c r="J141" s="6"/>
      <c r="K141" s="6"/>
    </row>
    <row r="142" spans="1:11" ht="12.75" customHeight="1" x14ac:dyDescent="0.25">
      <c r="A142" s="43"/>
      <c r="B142" s="16" t="s">
        <v>598</v>
      </c>
      <c r="C142" s="18"/>
      <c r="D142" s="44"/>
      <c r="E142" s="44"/>
      <c r="F142" s="44">
        <f>SUM(F116:F141)</f>
        <v>284402.09999999998</v>
      </c>
      <c r="G142" s="6"/>
      <c r="H142" s="6"/>
      <c r="I142" s="6"/>
      <c r="J142" s="6"/>
      <c r="K142" s="6"/>
    </row>
  </sheetData>
  <printOptions horizontalCentered="1" gridLines="1"/>
  <pageMargins left="0.70833333333333304" right="0.70833333333333304" top="0.74791666666666701" bottom="0.74791666666666701" header="0" footer="0"/>
  <pageSetup paperSize="9" scale="90" orientation="portrait"/>
  <headerFooter>
    <oddHeader>&amp;L Ministarstvo unutarnjih poslova RH&amp;R Nastavno nacionalno središte civilne zaštite u Jastrebarskom</oddHeader>
    <oddFooter>&amp;L Troškovnik radova na uređenju građevina, vanjskog prostora i infrastrukture - zgrada 11&amp;R stranica &amp;P od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5"/>
  <sheetViews>
    <sheetView topLeftCell="A11" workbookViewId="0">
      <selection activeCell="E33" sqref="E33"/>
    </sheetView>
  </sheetViews>
  <sheetFormatPr defaultColWidth="14.42578125" defaultRowHeight="15" customHeight="1" x14ac:dyDescent="0.25"/>
  <cols>
    <col min="1" max="1" width="6.140625" customWidth="1"/>
    <col min="2" max="2" width="50.7109375" customWidth="1"/>
    <col min="3" max="3" width="5.7109375" customWidth="1"/>
    <col min="4" max="4" width="9.7109375" customWidth="1"/>
    <col min="5" max="5" width="10.7109375" customWidth="1"/>
    <col min="6" max="6" width="13.85546875" customWidth="1"/>
    <col min="7" max="11" width="9.140625" customWidth="1"/>
  </cols>
  <sheetData>
    <row r="1" spans="1:11" ht="36" customHeight="1" x14ac:dyDescent="0.25">
      <c r="A1" s="29" t="s">
        <v>7</v>
      </c>
      <c r="B1" s="30" t="s">
        <v>8</v>
      </c>
      <c r="C1" s="31" t="s">
        <v>9</v>
      </c>
      <c r="D1" s="32" t="s">
        <v>10</v>
      </c>
      <c r="E1" s="32" t="s">
        <v>396</v>
      </c>
      <c r="F1" s="32" t="s">
        <v>12</v>
      </c>
      <c r="G1" s="34"/>
      <c r="H1" s="34"/>
      <c r="I1" s="34"/>
      <c r="J1" s="34"/>
      <c r="K1" s="34"/>
    </row>
    <row r="2" spans="1:11" ht="12.75" customHeight="1" x14ac:dyDescent="0.25">
      <c r="A2" s="35"/>
      <c r="B2" s="2"/>
      <c r="C2" s="36"/>
      <c r="D2" s="37"/>
      <c r="E2" s="37"/>
      <c r="F2" s="37"/>
      <c r="G2" s="6"/>
      <c r="H2" s="6"/>
      <c r="I2" s="6"/>
      <c r="J2" s="6"/>
      <c r="K2" s="6"/>
    </row>
    <row r="3" spans="1:11" ht="12.75" customHeight="1" x14ac:dyDescent="0.25">
      <c r="A3" s="39" t="s">
        <v>542</v>
      </c>
      <c r="B3" s="16" t="s">
        <v>543</v>
      </c>
      <c r="C3" s="40"/>
      <c r="D3" s="41"/>
      <c r="E3" s="41"/>
      <c r="F3" s="41"/>
      <c r="G3" s="42"/>
      <c r="H3" s="42"/>
      <c r="I3" s="42"/>
      <c r="J3" s="42"/>
      <c r="K3" s="42"/>
    </row>
    <row r="4" spans="1:11" ht="12.75" customHeight="1" x14ac:dyDescent="0.25">
      <c r="A4" s="35"/>
      <c r="B4" s="2"/>
      <c r="C4" s="36"/>
      <c r="D4" s="37"/>
      <c r="E4" s="37"/>
      <c r="F4" s="37"/>
      <c r="G4" s="6"/>
      <c r="H4" s="6"/>
      <c r="I4" s="6"/>
      <c r="J4" s="6"/>
      <c r="K4" s="6"/>
    </row>
    <row r="5" spans="1:11" ht="12.75" customHeight="1" x14ac:dyDescent="0.25">
      <c r="A5" s="43" t="s">
        <v>399</v>
      </c>
      <c r="B5" s="16" t="s">
        <v>400</v>
      </c>
      <c r="C5" s="3"/>
      <c r="D5" s="4"/>
      <c r="E5" s="4"/>
      <c r="F5" s="4"/>
      <c r="G5" s="6"/>
      <c r="H5" s="6"/>
      <c r="I5" s="6"/>
      <c r="J5" s="6"/>
      <c r="K5" s="6"/>
    </row>
    <row r="6" spans="1:11" ht="12.75" customHeight="1" x14ac:dyDescent="0.25">
      <c r="A6" s="43"/>
      <c r="B6" s="16"/>
      <c r="C6" s="3"/>
      <c r="D6" s="4"/>
      <c r="E6" s="4"/>
      <c r="F6" s="4"/>
      <c r="G6" s="6"/>
      <c r="H6" s="6"/>
      <c r="I6" s="6"/>
      <c r="J6" s="6"/>
      <c r="K6" s="6"/>
    </row>
    <row r="7" spans="1:11" ht="12.75" customHeight="1" x14ac:dyDescent="0.25">
      <c r="A7" s="39" t="s">
        <v>389</v>
      </c>
      <c r="B7" s="16" t="s">
        <v>31</v>
      </c>
      <c r="C7" s="42"/>
      <c r="D7" s="44"/>
      <c r="E7" s="44"/>
      <c r="F7" s="44"/>
      <c r="G7" s="6"/>
      <c r="H7" s="6"/>
      <c r="I7" s="6"/>
      <c r="J7" s="6"/>
      <c r="K7" s="6"/>
    </row>
    <row r="8" spans="1:11" ht="140.25" customHeight="1" x14ac:dyDescent="0.25">
      <c r="A8" s="26" t="s">
        <v>401</v>
      </c>
      <c r="B8" s="2" t="s">
        <v>402</v>
      </c>
      <c r="C8" s="3" t="s">
        <v>403</v>
      </c>
      <c r="D8" s="4">
        <v>698</v>
      </c>
      <c r="E8" s="4">
        <v>11.55</v>
      </c>
      <c r="F8" s="4">
        <f>D8*$E8</f>
        <v>8061.9000000000005</v>
      </c>
      <c r="G8" s="6"/>
      <c r="H8" s="6"/>
      <c r="I8" s="6"/>
      <c r="J8" s="6"/>
      <c r="K8" s="6"/>
    </row>
    <row r="9" spans="1:11" ht="12.75" customHeight="1" x14ac:dyDescent="0.25">
      <c r="A9" s="26"/>
      <c r="B9" s="39" t="s">
        <v>404</v>
      </c>
      <c r="C9" s="6"/>
      <c r="D9" s="6"/>
      <c r="E9" s="6"/>
      <c r="F9" s="44">
        <f>SUM(F8)</f>
        <v>8061.9000000000005</v>
      </c>
      <c r="G9" s="6"/>
      <c r="H9" s="6"/>
      <c r="I9" s="6"/>
      <c r="J9" s="6"/>
      <c r="K9" s="6"/>
    </row>
    <row r="10" spans="1:11" ht="12.75" customHeight="1" x14ac:dyDescent="0.25">
      <c r="A10" s="26"/>
      <c r="B10" s="2"/>
      <c r="C10" s="3"/>
      <c r="D10" s="4"/>
      <c r="E10" s="4"/>
      <c r="F10" s="4"/>
      <c r="G10" s="6"/>
      <c r="H10" s="6"/>
      <c r="I10" s="6"/>
      <c r="J10" s="6"/>
      <c r="K10" s="6"/>
    </row>
    <row r="11" spans="1:11" ht="12.75" customHeight="1" x14ac:dyDescent="0.25">
      <c r="A11" s="26"/>
      <c r="B11" s="2"/>
      <c r="C11" s="3"/>
      <c r="D11" s="4"/>
      <c r="E11" s="4"/>
      <c r="F11" s="4"/>
      <c r="G11" s="6"/>
      <c r="H11" s="6"/>
      <c r="I11" s="6"/>
      <c r="J11" s="6"/>
      <c r="K11" s="6"/>
    </row>
    <row r="12" spans="1:11" ht="12.75" customHeight="1" x14ac:dyDescent="0.25">
      <c r="A12" s="43" t="s">
        <v>394</v>
      </c>
      <c r="B12" s="16" t="s">
        <v>517</v>
      </c>
      <c r="C12" s="3"/>
      <c r="D12" s="4"/>
      <c r="E12" s="4"/>
      <c r="F12" s="4"/>
      <c r="G12" s="6"/>
      <c r="H12" s="6"/>
      <c r="I12" s="6"/>
      <c r="J12" s="6"/>
      <c r="K12" s="6"/>
    </row>
    <row r="13" spans="1:11" ht="89.25" customHeight="1" x14ac:dyDescent="0.25">
      <c r="A13" s="26" t="s">
        <v>544</v>
      </c>
      <c r="B13" s="2" t="s">
        <v>545</v>
      </c>
      <c r="C13" s="3" t="s">
        <v>403</v>
      </c>
      <c r="D13" s="4">
        <v>500.4</v>
      </c>
      <c r="E13" s="4"/>
      <c r="F13" s="4">
        <f t="shared" ref="F13:F14" si="0">D13*$E13</f>
        <v>0</v>
      </c>
      <c r="G13" s="6"/>
      <c r="H13" s="6"/>
      <c r="I13" s="6"/>
      <c r="J13" s="6"/>
      <c r="K13" s="6"/>
    </row>
    <row r="14" spans="1:11" ht="89.25" customHeight="1" x14ac:dyDescent="0.25">
      <c r="A14" s="26" t="s">
        <v>546</v>
      </c>
      <c r="B14" s="2" t="s">
        <v>547</v>
      </c>
      <c r="C14" s="3" t="s">
        <v>403</v>
      </c>
      <c r="D14" s="4">
        <v>500.4</v>
      </c>
      <c r="E14" s="4"/>
      <c r="F14" s="4">
        <f t="shared" si="0"/>
        <v>0</v>
      </c>
      <c r="G14" s="6"/>
      <c r="H14" s="6"/>
      <c r="I14" s="6"/>
      <c r="J14" s="6"/>
      <c r="K14" s="6"/>
    </row>
    <row r="15" spans="1:11" ht="12.75" customHeight="1" x14ac:dyDescent="0.25">
      <c r="A15" s="26"/>
      <c r="B15" s="39" t="s">
        <v>548</v>
      </c>
      <c r="C15" s="6"/>
      <c r="D15" s="6"/>
      <c r="E15" s="6"/>
      <c r="F15" s="44">
        <f>SUM(F13:F14)</f>
        <v>0</v>
      </c>
      <c r="G15" s="6"/>
      <c r="H15" s="6"/>
      <c r="I15" s="6"/>
      <c r="J15" s="6"/>
      <c r="K15" s="6"/>
    </row>
    <row r="16" spans="1:11" ht="12.75" customHeight="1" x14ac:dyDescent="0.25">
      <c r="A16" s="26"/>
      <c r="B16" s="39"/>
      <c r="C16" s="6"/>
      <c r="D16" s="6"/>
      <c r="E16" s="6"/>
      <c r="F16" s="4"/>
      <c r="G16" s="6"/>
      <c r="H16" s="6"/>
      <c r="I16" s="6"/>
      <c r="J16" s="6"/>
      <c r="K16" s="6"/>
    </row>
    <row r="17" spans="1:11" ht="12.75" customHeight="1" x14ac:dyDescent="0.25">
      <c r="A17" s="26"/>
      <c r="B17" s="39"/>
      <c r="C17" s="6"/>
      <c r="D17" s="6"/>
      <c r="E17" s="6"/>
      <c r="F17" s="4"/>
      <c r="G17" s="6"/>
      <c r="H17" s="6"/>
      <c r="I17" s="6"/>
      <c r="J17" s="6"/>
      <c r="K17" s="6"/>
    </row>
    <row r="18" spans="1:11" ht="12.75" customHeight="1" x14ac:dyDescent="0.25">
      <c r="A18" s="26"/>
      <c r="B18" s="39"/>
      <c r="C18" s="6"/>
      <c r="D18" s="6"/>
      <c r="E18" s="6"/>
      <c r="F18" s="4"/>
      <c r="G18" s="6"/>
      <c r="H18" s="6"/>
      <c r="I18" s="6"/>
      <c r="J18" s="6"/>
      <c r="K18" s="6"/>
    </row>
    <row r="19" spans="1:11" ht="12.75" customHeight="1" x14ac:dyDescent="0.25">
      <c r="A19" s="26"/>
      <c r="B19" s="2"/>
      <c r="C19" s="3"/>
      <c r="D19" s="4"/>
      <c r="E19" s="4"/>
      <c r="F19" s="4"/>
      <c r="G19" s="6"/>
      <c r="H19" s="6"/>
      <c r="I19" s="6"/>
      <c r="J19" s="6"/>
      <c r="K19" s="6"/>
    </row>
    <row r="20" spans="1:11" ht="12.75" customHeight="1" x14ac:dyDescent="0.25">
      <c r="A20" s="26"/>
      <c r="B20" s="2"/>
      <c r="C20" s="3"/>
      <c r="D20" s="4"/>
      <c r="E20" s="4"/>
      <c r="F20" s="4"/>
      <c r="G20" s="6"/>
      <c r="H20" s="6"/>
      <c r="I20" s="6"/>
      <c r="J20" s="6"/>
      <c r="K20" s="6"/>
    </row>
    <row r="21" spans="1:11" ht="12.75" customHeight="1" x14ac:dyDescent="0.25">
      <c r="A21" s="43" t="s">
        <v>405</v>
      </c>
      <c r="B21" s="45" t="s">
        <v>83</v>
      </c>
      <c r="C21" s="42"/>
      <c r="D21" s="42"/>
      <c r="E21" s="42"/>
      <c r="F21" s="42"/>
      <c r="G21" s="6"/>
      <c r="H21" s="6"/>
      <c r="I21" s="6"/>
      <c r="J21" s="6"/>
      <c r="K21" s="6"/>
    </row>
    <row r="22" spans="1:11" ht="63.75" customHeight="1" x14ac:dyDescent="0.25">
      <c r="A22" s="26" t="s">
        <v>406</v>
      </c>
      <c r="B22" s="2" t="s">
        <v>407</v>
      </c>
      <c r="C22" s="3" t="s">
        <v>403</v>
      </c>
      <c r="D22" s="4">
        <v>479</v>
      </c>
      <c r="E22" s="4">
        <v>55</v>
      </c>
      <c r="F22" s="4">
        <f t="shared" ref="F22:F23" si="1">D22*$E22</f>
        <v>26345</v>
      </c>
      <c r="G22" s="6"/>
      <c r="H22" s="6"/>
      <c r="I22" s="6"/>
      <c r="J22" s="6"/>
      <c r="K22" s="6"/>
    </row>
    <row r="23" spans="1:11" ht="63.75" customHeight="1" x14ac:dyDescent="0.25">
      <c r="A23" s="26" t="s">
        <v>408</v>
      </c>
      <c r="B23" s="2" t="s">
        <v>409</v>
      </c>
      <c r="C23" s="3" t="s">
        <v>403</v>
      </c>
      <c r="D23" s="4">
        <v>194</v>
      </c>
      <c r="E23" s="4">
        <v>55</v>
      </c>
      <c r="F23" s="4">
        <f t="shared" si="1"/>
        <v>10670</v>
      </c>
      <c r="G23" s="6"/>
      <c r="H23" s="6"/>
      <c r="I23" s="6"/>
      <c r="J23" s="6"/>
      <c r="K23" s="6"/>
    </row>
    <row r="24" spans="1:11" ht="12.75" customHeight="1" x14ac:dyDescent="0.25">
      <c r="A24" s="26"/>
      <c r="B24" s="39" t="s">
        <v>410</v>
      </c>
      <c r="C24" s="6"/>
      <c r="D24" s="6"/>
      <c r="E24" s="6"/>
      <c r="F24" s="44">
        <f>SUM(F22:F23)</f>
        <v>37015</v>
      </c>
      <c r="G24" s="6"/>
      <c r="H24" s="6"/>
      <c r="I24" s="6"/>
      <c r="J24" s="6"/>
      <c r="K24" s="6"/>
    </row>
    <row r="25" spans="1:11" ht="12.75" customHeight="1" x14ac:dyDescent="0.25">
      <c r="A25" s="26"/>
      <c r="B25" s="2"/>
      <c r="C25" s="3"/>
      <c r="D25" s="4"/>
      <c r="E25" s="4"/>
      <c r="F25" s="4"/>
      <c r="G25" s="6"/>
      <c r="H25" s="6"/>
      <c r="I25" s="6"/>
      <c r="J25" s="6"/>
      <c r="K25" s="6"/>
    </row>
    <row r="26" spans="1:11" ht="12.75" customHeight="1" x14ac:dyDescent="0.25">
      <c r="A26" s="39" t="s">
        <v>411</v>
      </c>
      <c r="B26" s="16" t="s">
        <v>412</v>
      </c>
      <c r="C26" s="42"/>
      <c r="D26" s="44"/>
      <c r="E26" s="44"/>
      <c r="F26" s="44"/>
      <c r="G26" s="6"/>
      <c r="H26" s="6"/>
      <c r="I26" s="6"/>
      <c r="J26" s="6"/>
      <c r="K26" s="6"/>
    </row>
    <row r="27" spans="1:11" ht="153" customHeight="1" x14ac:dyDescent="0.25">
      <c r="A27" s="35" t="s">
        <v>413</v>
      </c>
      <c r="B27" s="2" t="s">
        <v>414</v>
      </c>
      <c r="C27" s="6"/>
      <c r="D27" s="4"/>
      <c r="E27" s="4"/>
      <c r="F27" s="4"/>
      <c r="G27" s="6"/>
      <c r="H27" s="6"/>
      <c r="I27" s="6"/>
      <c r="J27" s="6"/>
      <c r="K27" s="6"/>
    </row>
    <row r="28" spans="1:11" ht="12.75" customHeight="1" x14ac:dyDescent="0.25">
      <c r="A28" s="35" t="s">
        <v>415</v>
      </c>
      <c r="B28" s="2" t="s">
        <v>416</v>
      </c>
      <c r="C28" s="3" t="s">
        <v>417</v>
      </c>
      <c r="D28" s="4">
        <v>165</v>
      </c>
      <c r="E28" s="4"/>
      <c r="F28" s="4">
        <f t="shared" ref="F28:F29" si="2">D28*$E28</f>
        <v>0</v>
      </c>
      <c r="G28" s="6"/>
      <c r="H28" s="6"/>
      <c r="I28" s="6"/>
      <c r="J28" s="6"/>
      <c r="K28" s="6"/>
    </row>
    <row r="29" spans="1:11" ht="12.75" customHeight="1" x14ac:dyDescent="0.25">
      <c r="A29" s="35" t="s">
        <v>418</v>
      </c>
      <c r="B29" s="2" t="s">
        <v>419</v>
      </c>
      <c r="C29" s="3" t="s">
        <v>417</v>
      </c>
      <c r="D29" s="4">
        <v>165</v>
      </c>
      <c r="E29" s="4"/>
      <c r="F29" s="4">
        <f t="shared" si="2"/>
        <v>0</v>
      </c>
      <c r="G29" s="6"/>
      <c r="H29" s="6"/>
      <c r="I29" s="6"/>
      <c r="J29" s="6"/>
      <c r="K29" s="6"/>
    </row>
    <row r="30" spans="1:11" ht="38.25" customHeight="1" x14ac:dyDescent="0.25">
      <c r="A30" s="35" t="s">
        <v>420</v>
      </c>
      <c r="B30" s="2" t="s">
        <v>421</v>
      </c>
      <c r="C30" s="6"/>
      <c r="D30" s="4"/>
      <c r="E30" s="4"/>
      <c r="F30" s="4"/>
      <c r="G30" s="6"/>
      <c r="H30" s="6"/>
      <c r="I30" s="6"/>
      <c r="J30" s="6"/>
      <c r="K30" s="6"/>
    </row>
    <row r="31" spans="1:11" ht="12.75" customHeight="1" x14ac:dyDescent="0.25">
      <c r="A31" s="35" t="s">
        <v>415</v>
      </c>
      <c r="B31" s="2" t="s">
        <v>422</v>
      </c>
      <c r="C31" s="3" t="s">
        <v>417</v>
      </c>
      <c r="D31" s="4">
        <v>160.5</v>
      </c>
      <c r="E31" s="4">
        <v>16</v>
      </c>
      <c r="F31" s="4">
        <f t="shared" ref="F31:F33" si="3">D31*$E31</f>
        <v>2568</v>
      </c>
      <c r="G31" s="6"/>
      <c r="H31" s="6"/>
      <c r="I31" s="6"/>
      <c r="J31" s="6"/>
      <c r="K31" s="6"/>
    </row>
    <row r="32" spans="1:11" ht="12.75" customHeight="1" x14ac:dyDescent="0.25">
      <c r="A32" s="35" t="s">
        <v>418</v>
      </c>
      <c r="B32" s="2" t="s">
        <v>423</v>
      </c>
      <c r="C32" s="3" t="s">
        <v>417</v>
      </c>
      <c r="D32" s="4">
        <v>160.5</v>
      </c>
      <c r="E32" s="4">
        <v>16</v>
      </c>
      <c r="F32" s="4">
        <f t="shared" si="3"/>
        <v>2568</v>
      </c>
      <c r="G32" s="6"/>
      <c r="H32" s="6"/>
      <c r="I32" s="6"/>
      <c r="J32" s="6"/>
      <c r="K32" s="6"/>
    </row>
    <row r="33" spans="1:11" ht="89.25" customHeight="1" x14ac:dyDescent="0.25">
      <c r="A33" s="26" t="s">
        <v>424</v>
      </c>
      <c r="B33" s="2" t="s">
        <v>425</v>
      </c>
      <c r="C33" s="3" t="s">
        <v>403</v>
      </c>
      <c r="D33" s="4">
        <v>12.6</v>
      </c>
      <c r="E33" s="4"/>
      <c r="F33" s="4">
        <f t="shared" si="3"/>
        <v>0</v>
      </c>
      <c r="G33" s="6"/>
      <c r="H33" s="6"/>
      <c r="I33" s="6"/>
      <c r="J33" s="6"/>
      <c r="K33" s="6"/>
    </row>
    <row r="34" spans="1:11" ht="12.75" customHeight="1" x14ac:dyDescent="0.25">
      <c r="A34" s="26"/>
      <c r="B34" s="39" t="s">
        <v>432</v>
      </c>
      <c r="C34" s="6"/>
      <c r="D34" s="6"/>
      <c r="E34" s="4"/>
      <c r="F34" s="44">
        <f>SUM(F28:F33)</f>
        <v>5136</v>
      </c>
      <c r="G34" s="6"/>
      <c r="H34" s="6"/>
      <c r="I34" s="6"/>
      <c r="J34" s="6"/>
      <c r="K34" s="6"/>
    </row>
    <row r="35" spans="1:11" ht="12.75" customHeight="1" x14ac:dyDescent="0.25">
      <c r="A35" s="26"/>
      <c r="B35" s="39"/>
      <c r="C35" s="6"/>
      <c r="D35" s="6"/>
      <c r="E35" s="4"/>
      <c r="F35" s="4"/>
      <c r="G35" s="6"/>
      <c r="H35" s="6"/>
      <c r="I35" s="6"/>
      <c r="J35" s="6"/>
      <c r="K35" s="6"/>
    </row>
    <row r="36" spans="1:11" ht="12.75" customHeight="1" x14ac:dyDescent="0.25">
      <c r="A36" s="26"/>
      <c r="B36" s="39"/>
      <c r="C36" s="6"/>
      <c r="D36" s="6"/>
      <c r="E36" s="4"/>
      <c r="F36" s="4"/>
      <c r="G36" s="6"/>
      <c r="H36" s="6"/>
      <c r="I36" s="6"/>
      <c r="J36" s="6"/>
      <c r="K36" s="6"/>
    </row>
    <row r="37" spans="1:11" ht="12.75" customHeight="1" x14ac:dyDescent="0.25">
      <c r="A37" s="26"/>
      <c r="B37" s="39"/>
      <c r="C37" s="6"/>
      <c r="D37" s="6"/>
      <c r="E37" s="6"/>
      <c r="F37" s="4"/>
      <c r="G37" s="6"/>
      <c r="H37" s="6"/>
      <c r="I37" s="6"/>
      <c r="J37" s="6"/>
      <c r="K37" s="6"/>
    </row>
    <row r="38" spans="1:11" ht="12.75" customHeight="1" x14ac:dyDescent="0.25">
      <c r="A38" s="26"/>
      <c r="B38" s="2"/>
      <c r="C38" s="3"/>
      <c r="D38" s="4"/>
      <c r="E38" s="4"/>
      <c r="F38" s="4"/>
      <c r="G38" s="6"/>
      <c r="H38" s="6"/>
      <c r="I38" s="6"/>
      <c r="J38" s="6"/>
      <c r="K38" s="6"/>
    </row>
    <row r="39" spans="1:11" ht="12.75" customHeight="1" x14ac:dyDescent="0.25">
      <c r="A39" s="43" t="s">
        <v>433</v>
      </c>
      <c r="B39" s="45" t="s">
        <v>115</v>
      </c>
      <c r="C39" s="42"/>
      <c r="D39" s="42"/>
      <c r="E39" s="42"/>
      <c r="F39" s="42"/>
      <c r="G39" s="6"/>
      <c r="H39" s="6"/>
      <c r="I39" s="6"/>
      <c r="J39" s="6"/>
      <c r="K39" s="6"/>
    </row>
    <row r="40" spans="1:11" ht="51" customHeight="1" x14ac:dyDescent="0.25">
      <c r="A40" s="43"/>
      <c r="B40" s="2" t="s">
        <v>434</v>
      </c>
      <c r="C40" s="42"/>
      <c r="D40" s="42"/>
      <c r="E40" s="42"/>
      <c r="F40" s="42"/>
      <c r="G40" s="6"/>
      <c r="H40" s="6"/>
      <c r="I40" s="6"/>
      <c r="J40" s="6"/>
      <c r="K40" s="6"/>
    </row>
    <row r="41" spans="1:11" ht="191.25" customHeight="1" x14ac:dyDescent="0.25">
      <c r="A41" s="26" t="s">
        <v>549</v>
      </c>
      <c r="B41" s="2" t="s">
        <v>550</v>
      </c>
      <c r="C41" s="3" t="s">
        <v>417</v>
      </c>
      <c r="D41" s="4">
        <v>340</v>
      </c>
      <c r="E41" s="4"/>
      <c r="F41" s="4">
        <f t="shared" ref="F41:F44" si="4">D41*$E41</f>
        <v>0</v>
      </c>
      <c r="G41" s="6"/>
      <c r="H41" s="6"/>
      <c r="I41" s="6"/>
      <c r="J41" s="6"/>
      <c r="K41" s="6"/>
    </row>
    <row r="42" spans="1:11" ht="114.75" customHeight="1" x14ac:dyDescent="0.25">
      <c r="A42" s="26" t="s">
        <v>435</v>
      </c>
      <c r="B42" s="2" t="s">
        <v>436</v>
      </c>
      <c r="C42" s="3" t="s">
        <v>403</v>
      </c>
      <c r="D42" s="4">
        <v>540.9</v>
      </c>
      <c r="E42" s="4"/>
      <c r="F42" s="4">
        <f t="shared" si="4"/>
        <v>0</v>
      </c>
      <c r="G42" s="6"/>
      <c r="H42" s="6"/>
      <c r="I42" s="6"/>
      <c r="J42" s="6"/>
      <c r="K42" s="6"/>
    </row>
    <row r="43" spans="1:11" ht="204" customHeight="1" x14ac:dyDescent="0.25">
      <c r="A43" s="26" t="s">
        <v>437</v>
      </c>
      <c r="B43" s="2" t="s">
        <v>438</v>
      </c>
      <c r="C43" s="3" t="s">
        <v>403</v>
      </c>
      <c r="D43" s="4">
        <v>540.9</v>
      </c>
      <c r="E43" s="4"/>
      <c r="F43" s="4">
        <f t="shared" si="4"/>
        <v>0</v>
      </c>
      <c r="G43" s="6"/>
      <c r="H43" s="6"/>
      <c r="I43" s="6"/>
      <c r="J43" s="6"/>
      <c r="K43" s="6"/>
    </row>
    <row r="44" spans="1:11" ht="114.75" customHeight="1" x14ac:dyDescent="0.25">
      <c r="A44" s="26" t="s">
        <v>439</v>
      </c>
      <c r="B44" s="2" t="s">
        <v>440</v>
      </c>
      <c r="C44" s="3" t="s">
        <v>403</v>
      </c>
      <c r="D44" s="4">
        <v>156</v>
      </c>
      <c r="E44" s="4"/>
      <c r="F44" s="4">
        <f t="shared" si="4"/>
        <v>0</v>
      </c>
      <c r="G44" s="6"/>
      <c r="H44" s="6"/>
      <c r="I44" s="6"/>
      <c r="J44" s="6"/>
      <c r="K44" s="6"/>
    </row>
    <row r="45" spans="1:11" ht="12.75" customHeight="1" x14ac:dyDescent="0.25">
      <c r="A45" s="26"/>
      <c r="B45" s="39" t="s">
        <v>441</v>
      </c>
      <c r="C45" s="6"/>
      <c r="D45" s="6"/>
      <c r="E45" s="6"/>
      <c r="F45" s="44">
        <f>SUM(F41:F44)</f>
        <v>0</v>
      </c>
      <c r="G45" s="6"/>
      <c r="H45" s="6"/>
      <c r="I45" s="6"/>
      <c r="J45" s="6"/>
      <c r="K45" s="6"/>
    </row>
    <row r="46" spans="1:11" ht="12.75" customHeight="1" x14ac:dyDescent="0.25">
      <c r="A46" s="26"/>
      <c r="B46" s="2"/>
      <c r="C46" s="3"/>
      <c r="D46" s="4"/>
      <c r="E46" s="4"/>
      <c r="F46" s="4"/>
      <c r="G46" s="6"/>
      <c r="H46" s="6"/>
      <c r="I46" s="6"/>
      <c r="J46" s="6"/>
      <c r="K46" s="6"/>
    </row>
    <row r="47" spans="1:11" ht="12.75" customHeight="1" x14ac:dyDescent="0.25">
      <c r="A47" s="26"/>
      <c r="B47" s="2"/>
      <c r="C47" s="3"/>
      <c r="D47" s="4"/>
      <c r="E47" s="4"/>
      <c r="F47" s="4"/>
      <c r="G47" s="6"/>
      <c r="H47" s="6"/>
      <c r="I47" s="6"/>
      <c r="J47" s="6"/>
      <c r="K47" s="6"/>
    </row>
    <row r="48" spans="1:11" ht="12.75" customHeight="1" x14ac:dyDescent="0.25">
      <c r="A48" s="26"/>
      <c r="B48" s="2"/>
      <c r="C48" s="3"/>
      <c r="D48" s="4"/>
      <c r="E48" s="4"/>
      <c r="F48" s="4"/>
      <c r="G48" s="6"/>
      <c r="H48" s="6"/>
      <c r="I48" s="6"/>
      <c r="J48" s="6"/>
      <c r="K48" s="6"/>
    </row>
    <row r="49" spans="1:11" ht="12.75" customHeight="1" x14ac:dyDescent="0.25">
      <c r="A49" s="26"/>
      <c r="B49" s="2"/>
      <c r="C49" s="3"/>
      <c r="D49" s="4"/>
      <c r="E49" s="4"/>
      <c r="F49" s="4"/>
      <c r="G49" s="6"/>
      <c r="H49" s="6"/>
      <c r="I49" s="6"/>
      <c r="J49" s="6"/>
      <c r="K49" s="6"/>
    </row>
    <row r="50" spans="1:11" ht="12.75" customHeight="1" x14ac:dyDescent="0.25">
      <c r="A50" s="43" t="s">
        <v>442</v>
      </c>
      <c r="B50" s="45" t="s">
        <v>285</v>
      </c>
      <c r="C50" s="42"/>
      <c r="D50" s="42"/>
      <c r="E50" s="42"/>
      <c r="F50" s="42"/>
      <c r="G50" s="6"/>
      <c r="H50" s="6"/>
      <c r="I50" s="6"/>
      <c r="J50" s="6"/>
      <c r="K50" s="6"/>
    </row>
    <row r="51" spans="1:11" ht="12.75" customHeight="1" x14ac:dyDescent="0.25">
      <c r="A51" s="43"/>
      <c r="B51" s="46" t="s">
        <v>443</v>
      </c>
      <c r="C51" s="42"/>
      <c r="D51" s="42"/>
      <c r="E51" s="42"/>
      <c r="F51" s="42"/>
      <c r="G51" s="6"/>
      <c r="H51" s="6"/>
      <c r="I51" s="6"/>
      <c r="J51" s="6"/>
      <c r="K51" s="6"/>
    </row>
    <row r="52" spans="1:11" ht="306" customHeight="1" x14ac:dyDescent="0.25">
      <c r="A52" s="26" t="s">
        <v>444</v>
      </c>
      <c r="B52" s="2" t="s">
        <v>445</v>
      </c>
      <c r="C52" s="3"/>
      <c r="D52" s="4"/>
      <c r="E52" s="4"/>
      <c r="F52" s="4"/>
      <c r="G52" s="6"/>
      <c r="H52" s="6"/>
      <c r="I52" s="6"/>
      <c r="J52" s="6"/>
      <c r="K52" s="6"/>
    </row>
    <row r="53" spans="1:11" ht="229.5" customHeight="1" x14ac:dyDescent="0.25">
      <c r="A53" s="26"/>
      <c r="B53" s="2" t="s">
        <v>446</v>
      </c>
      <c r="C53" s="3"/>
      <c r="D53" s="4"/>
      <c r="E53" s="4"/>
      <c r="F53" s="4"/>
      <c r="G53" s="6"/>
      <c r="H53" s="6"/>
      <c r="I53" s="6"/>
      <c r="J53" s="6"/>
      <c r="K53" s="6"/>
    </row>
    <row r="54" spans="1:11" ht="127.5" customHeight="1" x14ac:dyDescent="0.25">
      <c r="A54" s="26"/>
      <c r="B54" s="2" t="s">
        <v>447</v>
      </c>
      <c r="C54" s="3"/>
      <c r="D54" s="4"/>
      <c r="E54" s="4"/>
      <c r="F54" s="4"/>
      <c r="G54" s="6"/>
      <c r="H54" s="6"/>
      <c r="I54" s="6"/>
      <c r="J54" s="6"/>
      <c r="K54" s="6"/>
    </row>
    <row r="55" spans="1:11" ht="267.75" customHeight="1" x14ac:dyDescent="0.25">
      <c r="A55" s="26"/>
      <c r="B55" s="2" t="s">
        <v>448</v>
      </c>
      <c r="C55" s="3"/>
      <c r="D55" s="4"/>
      <c r="E55" s="4"/>
      <c r="F55" s="4"/>
      <c r="G55" s="6"/>
      <c r="H55" s="6"/>
      <c r="I55" s="6"/>
      <c r="J55" s="6"/>
      <c r="K55" s="6"/>
    </row>
    <row r="56" spans="1:11" ht="114.75" customHeight="1" x14ac:dyDescent="0.25">
      <c r="A56" s="26"/>
      <c r="B56" s="2" t="s">
        <v>449</v>
      </c>
      <c r="C56" s="3"/>
      <c r="D56" s="4"/>
      <c r="E56" s="4"/>
      <c r="F56" s="4"/>
      <c r="G56" s="6"/>
      <c r="H56" s="6"/>
      <c r="I56" s="6"/>
      <c r="J56" s="6"/>
      <c r="K56" s="6"/>
    </row>
    <row r="57" spans="1:11" ht="153" customHeight="1" x14ac:dyDescent="0.25">
      <c r="A57" s="26"/>
      <c r="B57" s="2" t="s">
        <v>450</v>
      </c>
      <c r="C57" s="3"/>
      <c r="D57" s="4"/>
      <c r="E57" s="4"/>
      <c r="F57" s="4"/>
      <c r="G57" s="6"/>
      <c r="H57" s="6"/>
      <c r="I57" s="6"/>
      <c r="J57" s="6"/>
      <c r="K57" s="6"/>
    </row>
    <row r="58" spans="1:11" ht="280.5" customHeight="1" x14ac:dyDescent="0.25">
      <c r="A58" s="26"/>
      <c r="B58" s="2" t="s">
        <v>451</v>
      </c>
      <c r="C58" s="3"/>
      <c r="D58" s="4"/>
      <c r="E58" s="4"/>
      <c r="F58" s="4"/>
      <c r="G58" s="6"/>
      <c r="H58" s="6"/>
      <c r="I58" s="6"/>
      <c r="J58" s="6"/>
      <c r="K58" s="6"/>
    </row>
    <row r="59" spans="1:11" ht="191.25" customHeight="1" x14ac:dyDescent="0.25">
      <c r="A59" s="26"/>
      <c r="B59" s="2" t="s">
        <v>452</v>
      </c>
      <c r="C59" s="3"/>
      <c r="D59" s="4"/>
      <c r="E59" s="4"/>
      <c r="F59" s="4"/>
      <c r="G59" s="6"/>
      <c r="H59" s="6"/>
      <c r="I59" s="6"/>
      <c r="J59" s="6"/>
      <c r="K59" s="6"/>
    </row>
    <row r="60" spans="1:11" ht="127.5" customHeight="1" x14ac:dyDescent="0.25">
      <c r="A60" s="26"/>
      <c r="B60" s="2" t="s">
        <v>453</v>
      </c>
      <c r="C60" s="3" t="s">
        <v>403</v>
      </c>
      <c r="D60" s="4">
        <v>388.2</v>
      </c>
      <c r="E60" s="4">
        <v>130</v>
      </c>
      <c r="F60" s="4">
        <f>D60*$E60</f>
        <v>50466</v>
      </c>
      <c r="G60" s="6"/>
      <c r="H60" s="6"/>
      <c r="I60" s="6"/>
      <c r="J60" s="6"/>
      <c r="K60" s="6"/>
    </row>
    <row r="61" spans="1:11" ht="382.5" customHeight="1" x14ac:dyDescent="0.25">
      <c r="A61" s="26" t="s">
        <v>454</v>
      </c>
      <c r="B61" s="2" t="s">
        <v>455</v>
      </c>
      <c r="C61" s="3"/>
      <c r="D61" s="4"/>
      <c r="E61" s="4"/>
      <c r="F61" s="4"/>
      <c r="G61" s="6"/>
      <c r="H61" s="6"/>
      <c r="I61" s="6"/>
      <c r="J61" s="6"/>
      <c r="K61" s="6"/>
    </row>
    <row r="62" spans="1:11" ht="204" customHeight="1" x14ac:dyDescent="0.25">
      <c r="A62" s="26"/>
      <c r="B62" s="2" t="s">
        <v>456</v>
      </c>
      <c r="C62" s="3"/>
      <c r="D62" s="4"/>
      <c r="E62" s="4"/>
      <c r="F62" s="4"/>
      <c r="G62" s="6"/>
      <c r="H62" s="6"/>
      <c r="I62" s="6"/>
      <c r="J62" s="6"/>
      <c r="K62" s="6"/>
    </row>
    <row r="63" spans="1:11" ht="165.75" customHeight="1" x14ac:dyDescent="0.25">
      <c r="A63" s="26"/>
      <c r="B63" s="2" t="s">
        <v>457</v>
      </c>
      <c r="C63" s="3"/>
      <c r="D63" s="4"/>
      <c r="E63" s="4"/>
      <c r="F63" s="4"/>
      <c r="G63" s="6"/>
      <c r="H63" s="6"/>
      <c r="I63" s="6"/>
      <c r="J63" s="6"/>
      <c r="K63" s="6"/>
    </row>
    <row r="64" spans="1:11" ht="89.25" customHeight="1" x14ac:dyDescent="0.25">
      <c r="A64" s="26"/>
      <c r="B64" s="2" t="s">
        <v>458</v>
      </c>
      <c r="C64" s="3"/>
      <c r="D64" s="4"/>
      <c r="E64" s="4"/>
      <c r="F64" s="4"/>
      <c r="G64" s="6"/>
      <c r="H64" s="6"/>
      <c r="I64" s="6"/>
      <c r="J64" s="6"/>
      <c r="K64" s="6"/>
    </row>
    <row r="65" spans="1:11" ht="318.75" customHeight="1" x14ac:dyDescent="0.25">
      <c r="A65" s="26"/>
      <c r="B65" s="2" t="s">
        <v>459</v>
      </c>
      <c r="C65" s="3"/>
      <c r="D65" s="4"/>
      <c r="E65" s="4"/>
      <c r="F65" s="4"/>
      <c r="G65" s="6"/>
      <c r="H65" s="6"/>
      <c r="I65" s="6"/>
      <c r="J65" s="6"/>
      <c r="K65" s="6"/>
    </row>
    <row r="66" spans="1:11" ht="114.75" customHeight="1" x14ac:dyDescent="0.25">
      <c r="A66" s="26"/>
      <c r="B66" s="2" t="s">
        <v>449</v>
      </c>
      <c r="C66" s="3"/>
      <c r="D66" s="4"/>
      <c r="E66" s="4"/>
      <c r="F66" s="4"/>
      <c r="G66" s="6"/>
      <c r="H66" s="6"/>
      <c r="I66" s="6"/>
      <c r="J66" s="6"/>
      <c r="K66" s="6"/>
    </row>
    <row r="67" spans="1:11" ht="216.75" customHeight="1" x14ac:dyDescent="0.25">
      <c r="A67" s="26"/>
      <c r="B67" s="2" t="s">
        <v>460</v>
      </c>
      <c r="C67" s="3"/>
      <c r="D67" s="4"/>
      <c r="E67" s="4"/>
      <c r="F67" s="4"/>
      <c r="G67" s="6"/>
      <c r="H67" s="6"/>
      <c r="I67" s="6"/>
      <c r="J67" s="6"/>
      <c r="K67" s="6"/>
    </row>
    <row r="68" spans="1:11" ht="178.5" customHeight="1" x14ac:dyDescent="0.25">
      <c r="A68" s="26"/>
      <c r="B68" s="2" t="s">
        <v>461</v>
      </c>
      <c r="C68" s="3"/>
      <c r="D68" s="4"/>
      <c r="E68" s="4"/>
      <c r="F68" s="4"/>
      <c r="G68" s="6"/>
      <c r="H68" s="6"/>
      <c r="I68" s="6"/>
      <c r="J68" s="6"/>
      <c r="K68" s="6"/>
    </row>
    <row r="69" spans="1:11" ht="114.75" customHeight="1" x14ac:dyDescent="0.25">
      <c r="A69" s="26"/>
      <c r="B69" s="2" t="s">
        <v>462</v>
      </c>
      <c r="C69" s="3"/>
      <c r="D69" s="4"/>
      <c r="E69" s="4"/>
      <c r="F69" s="4"/>
      <c r="G69" s="6"/>
      <c r="H69" s="6"/>
      <c r="I69" s="6"/>
      <c r="J69" s="6"/>
      <c r="K69" s="6"/>
    </row>
    <row r="70" spans="1:11" ht="25.5" customHeight="1" x14ac:dyDescent="0.25">
      <c r="A70" s="26" t="s">
        <v>415</v>
      </c>
      <c r="B70" s="2" t="s">
        <v>463</v>
      </c>
      <c r="C70" s="3" t="s">
        <v>403</v>
      </c>
      <c r="D70" s="4">
        <v>388.2</v>
      </c>
      <c r="E70" s="4">
        <v>134</v>
      </c>
      <c r="F70" s="4">
        <f t="shared" ref="F70:F74" si="5">D70*$E70</f>
        <v>52018.799999999996</v>
      </c>
      <c r="G70" s="6"/>
      <c r="H70" s="6"/>
      <c r="I70" s="6"/>
      <c r="J70" s="6"/>
      <c r="K70" s="6"/>
    </row>
    <row r="71" spans="1:11" ht="25.5" customHeight="1" x14ac:dyDescent="0.25">
      <c r="A71" s="26" t="s">
        <v>418</v>
      </c>
      <c r="B71" s="2" t="s">
        <v>464</v>
      </c>
      <c r="C71" s="3" t="s">
        <v>403</v>
      </c>
      <c r="D71" s="4">
        <v>388.2</v>
      </c>
      <c r="E71" s="4">
        <v>130</v>
      </c>
      <c r="F71" s="4">
        <f t="shared" si="5"/>
        <v>50466</v>
      </c>
      <c r="G71" s="6"/>
      <c r="H71" s="6"/>
      <c r="I71" s="6"/>
      <c r="J71" s="6"/>
      <c r="K71" s="6"/>
    </row>
    <row r="72" spans="1:11" ht="25.5" customHeight="1" x14ac:dyDescent="0.25">
      <c r="A72" s="26" t="s">
        <v>465</v>
      </c>
      <c r="B72" s="2" t="s">
        <v>466</v>
      </c>
      <c r="C72" s="3" t="s">
        <v>403</v>
      </c>
      <c r="D72" s="4">
        <v>59</v>
      </c>
      <c r="E72" s="4">
        <v>128</v>
      </c>
      <c r="F72" s="4">
        <f t="shared" si="5"/>
        <v>7552</v>
      </c>
      <c r="G72" s="6"/>
      <c r="H72" s="6"/>
      <c r="I72" s="6"/>
      <c r="J72" s="6"/>
      <c r="K72" s="6"/>
    </row>
    <row r="73" spans="1:11" ht="25.5" customHeight="1" x14ac:dyDescent="0.25">
      <c r="A73" s="26" t="s">
        <v>467</v>
      </c>
      <c r="B73" s="2" t="s">
        <v>468</v>
      </c>
      <c r="C73" s="3" t="s">
        <v>403</v>
      </c>
      <c r="D73" s="4">
        <v>63</v>
      </c>
      <c r="E73" s="4">
        <v>125</v>
      </c>
      <c r="F73" s="4">
        <f t="shared" si="5"/>
        <v>7875</v>
      </c>
      <c r="G73" s="6"/>
      <c r="H73" s="6"/>
      <c r="I73" s="6"/>
      <c r="J73" s="6"/>
      <c r="K73" s="6"/>
    </row>
    <row r="74" spans="1:11" ht="12.75" customHeight="1" x14ac:dyDescent="0.25">
      <c r="A74" s="26" t="s">
        <v>469</v>
      </c>
      <c r="B74" s="2" t="s">
        <v>470</v>
      </c>
      <c r="C74" s="3" t="s">
        <v>417</v>
      </c>
      <c r="D74" s="4">
        <v>124</v>
      </c>
      <c r="E74" s="4">
        <v>83</v>
      </c>
      <c r="F74" s="4">
        <f t="shared" si="5"/>
        <v>10292</v>
      </c>
      <c r="G74" s="6"/>
      <c r="H74" s="6"/>
      <c r="I74" s="6"/>
      <c r="J74" s="6"/>
      <c r="K74" s="6"/>
    </row>
    <row r="75" spans="1:11" ht="12.75" customHeight="1" x14ac:dyDescent="0.25">
      <c r="A75" s="26"/>
      <c r="B75" s="2" t="s">
        <v>471</v>
      </c>
      <c r="C75" s="3"/>
      <c r="D75" s="4"/>
      <c r="E75" s="4"/>
      <c r="F75" s="4"/>
      <c r="G75" s="6"/>
      <c r="H75" s="6"/>
      <c r="I75" s="6"/>
      <c r="J75" s="6"/>
      <c r="K75" s="6"/>
    </row>
    <row r="76" spans="1:11" ht="267.75" customHeight="1" x14ac:dyDescent="0.25">
      <c r="A76" s="26" t="s">
        <v>472</v>
      </c>
      <c r="B76" s="2" t="s">
        <v>473</v>
      </c>
      <c r="C76" s="3"/>
      <c r="D76" s="4"/>
      <c r="E76" s="4"/>
      <c r="F76" s="4"/>
      <c r="G76" s="6"/>
      <c r="H76" s="6"/>
      <c r="I76" s="6"/>
      <c r="J76" s="6"/>
      <c r="K76" s="6"/>
    </row>
    <row r="77" spans="1:11" ht="293.25" customHeight="1" x14ac:dyDescent="0.25">
      <c r="A77" s="26"/>
      <c r="B77" s="2" t="s">
        <v>474</v>
      </c>
      <c r="C77" s="3"/>
      <c r="D77" s="4"/>
      <c r="E77" s="4"/>
      <c r="F77" s="4"/>
      <c r="G77" s="6"/>
      <c r="H77" s="6"/>
      <c r="I77" s="6"/>
      <c r="J77" s="6"/>
      <c r="K77" s="6"/>
    </row>
    <row r="78" spans="1:11" ht="255" customHeight="1" x14ac:dyDescent="0.25">
      <c r="A78" s="26"/>
      <c r="B78" s="2" t="s">
        <v>475</v>
      </c>
      <c r="C78" s="3"/>
      <c r="D78" s="4"/>
      <c r="E78" s="4"/>
      <c r="F78" s="4"/>
      <c r="G78" s="6"/>
      <c r="H78" s="6"/>
      <c r="I78" s="6"/>
      <c r="J78" s="6"/>
      <c r="K78" s="6"/>
    </row>
    <row r="79" spans="1:11" ht="89.25" customHeight="1" x14ac:dyDescent="0.25">
      <c r="A79" s="26"/>
      <c r="B79" s="2" t="s">
        <v>476</v>
      </c>
      <c r="C79" s="3"/>
      <c r="D79" s="4"/>
      <c r="E79" s="4"/>
      <c r="F79" s="4"/>
      <c r="G79" s="6"/>
      <c r="H79" s="6"/>
      <c r="I79" s="6"/>
      <c r="J79" s="6"/>
      <c r="K79" s="6"/>
    </row>
    <row r="80" spans="1:11" ht="216.75" customHeight="1" x14ac:dyDescent="0.25">
      <c r="A80" s="26"/>
      <c r="B80" s="2" t="s">
        <v>477</v>
      </c>
      <c r="C80" s="3"/>
      <c r="D80" s="4"/>
      <c r="E80" s="4"/>
      <c r="F80" s="4"/>
      <c r="G80" s="6"/>
      <c r="H80" s="6"/>
      <c r="I80" s="6"/>
      <c r="J80" s="6"/>
      <c r="K80" s="6"/>
    </row>
    <row r="81" spans="1:11" ht="293.25" customHeight="1" x14ac:dyDescent="0.25">
      <c r="A81" s="26"/>
      <c r="B81" s="2" t="s">
        <v>478</v>
      </c>
      <c r="C81" s="3"/>
      <c r="D81" s="4"/>
      <c r="E81" s="4"/>
      <c r="F81" s="4"/>
      <c r="G81" s="6"/>
      <c r="H81" s="6"/>
      <c r="I81" s="6"/>
      <c r="J81" s="6"/>
      <c r="K81" s="6"/>
    </row>
    <row r="82" spans="1:11" ht="242.25" customHeight="1" x14ac:dyDescent="0.25">
      <c r="A82" s="26"/>
      <c r="B82" s="2" t="s">
        <v>479</v>
      </c>
      <c r="C82" s="3"/>
      <c r="D82" s="4"/>
      <c r="E82" s="4"/>
      <c r="F82" s="4"/>
      <c r="G82" s="6"/>
      <c r="H82" s="6"/>
      <c r="I82" s="6"/>
      <c r="J82" s="6"/>
      <c r="K82" s="6"/>
    </row>
    <row r="83" spans="1:11" ht="127.5" customHeight="1" x14ac:dyDescent="0.25">
      <c r="A83" s="26"/>
      <c r="B83" s="2" t="s">
        <v>480</v>
      </c>
      <c r="C83" s="3" t="s">
        <v>403</v>
      </c>
      <c r="D83" s="4">
        <v>129.4</v>
      </c>
      <c r="E83" s="4">
        <v>74</v>
      </c>
      <c r="F83" s="4">
        <f>D83*$E83</f>
        <v>9575.6</v>
      </c>
      <c r="G83" s="6"/>
      <c r="H83" s="6"/>
      <c r="I83" s="6"/>
      <c r="J83" s="6"/>
      <c r="K83" s="6"/>
    </row>
    <row r="84" spans="1:11" ht="293.25" customHeight="1" x14ac:dyDescent="0.25">
      <c r="A84" s="26" t="s">
        <v>481</v>
      </c>
      <c r="B84" s="2" t="s">
        <v>482</v>
      </c>
      <c r="C84" s="3"/>
      <c r="D84" s="4"/>
      <c r="E84" s="4"/>
      <c r="F84" s="4"/>
      <c r="G84" s="6"/>
      <c r="H84" s="6"/>
      <c r="I84" s="6"/>
      <c r="J84" s="6"/>
      <c r="K84" s="6"/>
    </row>
    <row r="85" spans="1:11" ht="357" customHeight="1" x14ac:dyDescent="0.25">
      <c r="A85" s="26"/>
      <c r="B85" s="2" t="s">
        <v>483</v>
      </c>
      <c r="C85" s="3"/>
      <c r="D85" s="4"/>
      <c r="E85" s="4"/>
      <c r="F85" s="4"/>
      <c r="G85" s="6"/>
      <c r="H85" s="6"/>
      <c r="I85" s="6"/>
      <c r="J85" s="6"/>
      <c r="K85" s="6"/>
    </row>
    <row r="86" spans="1:11" ht="89.25" customHeight="1" x14ac:dyDescent="0.25">
      <c r="A86" s="26"/>
      <c r="B86" s="2" t="s">
        <v>458</v>
      </c>
      <c r="C86" s="3"/>
      <c r="D86" s="4"/>
      <c r="E86" s="4"/>
      <c r="F86" s="4"/>
      <c r="G86" s="6"/>
      <c r="H86" s="6"/>
      <c r="I86" s="6"/>
      <c r="J86" s="6"/>
      <c r="K86" s="6"/>
    </row>
    <row r="87" spans="1:11" ht="255" customHeight="1" x14ac:dyDescent="0.25">
      <c r="A87" s="26"/>
      <c r="B87" s="2" t="s">
        <v>484</v>
      </c>
      <c r="C87" s="3"/>
      <c r="D87" s="4"/>
      <c r="E87" s="4"/>
      <c r="F87" s="4"/>
      <c r="G87" s="6"/>
      <c r="H87" s="6"/>
      <c r="I87" s="6"/>
      <c r="J87" s="6"/>
      <c r="K87" s="6"/>
    </row>
    <row r="88" spans="1:11" ht="102" customHeight="1" x14ac:dyDescent="0.25">
      <c r="A88" s="26"/>
      <c r="B88" s="2" t="s">
        <v>485</v>
      </c>
      <c r="C88" s="3"/>
      <c r="D88" s="4"/>
      <c r="E88" s="4"/>
      <c r="F88" s="4"/>
      <c r="G88" s="6"/>
      <c r="H88" s="6"/>
      <c r="I88" s="6"/>
      <c r="J88" s="6"/>
      <c r="K88" s="6"/>
    </row>
    <row r="89" spans="1:11" ht="216.75" customHeight="1" x14ac:dyDescent="0.25">
      <c r="A89" s="26"/>
      <c r="B89" s="2" t="s">
        <v>486</v>
      </c>
      <c r="C89" s="3"/>
      <c r="D89" s="4"/>
      <c r="E89" s="4"/>
      <c r="F89" s="4"/>
      <c r="G89" s="6"/>
      <c r="H89" s="6"/>
      <c r="I89" s="6"/>
      <c r="J89" s="6"/>
      <c r="K89" s="6"/>
    </row>
    <row r="90" spans="1:11" ht="242.25" customHeight="1" x14ac:dyDescent="0.25">
      <c r="A90" s="26"/>
      <c r="B90" s="2" t="s">
        <v>487</v>
      </c>
      <c r="C90" s="3"/>
      <c r="D90" s="4"/>
      <c r="E90" s="4"/>
      <c r="F90" s="4"/>
      <c r="G90" s="6"/>
      <c r="H90" s="6"/>
      <c r="I90" s="6"/>
      <c r="J90" s="6"/>
      <c r="K90" s="6"/>
    </row>
    <row r="91" spans="1:11" ht="102" customHeight="1" x14ac:dyDescent="0.25">
      <c r="A91" s="26"/>
      <c r="B91" s="2" t="s">
        <v>488</v>
      </c>
      <c r="C91" s="3"/>
      <c r="D91" s="4"/>
      <c r="E91" s="4"/>
      <c r="F91" s="4"/>
      <c r="G91" s="6"/>
      <c r="H91" s="6"/>
      <c r="I91" s="6"/>
      <c r="J91" s="6"/>
      <c r="K91" s="6"/>
    </row>
    <row r="92" spans="1:11" ht="25.5" customHeight="1" x14ac:dyDescent="0.25">
      <c r="A92" s="26" t="s">
        <v>415</v>
      </c>
      <c r="B92" s="2" t="s">
        <v>463</v>
      </c>
      <c r="C92" s="3" t="s">
        <v>403</v>
      </c>
      <c r="D92" s="4">
        <v>129.4</v>
      </c>
      <c r="E92" s="4">
        <v>78</v>
      </c>
      <c r="F92" s="4">
        <f t="shared" ref="F92:F96" si="6">D92*$E92</f>
        <v>10093.200000000001</v>
      </c>
      <c r="G92" s="6"/>
      <c r="H92" s="6"/>
      <c r="I92" s="6"/>
      <c r="J92" s="6"/>
      <c r="K92" s="6"/>
    </row>
    <row r="93" spans="1:11" ht="25.5" customHeight="1" x14ac:dyDescent="0.25">
      <c r="A93" s="26" t="s">
        <v>418</v>
      </c>
      <c r="B93" s="2" t="s">
        <v>464</v>
      </c>
      <c r="C93" s="3" t="s">
        <v>403</v>
      </c>
      <c r="D93" s="4">
        <v>129.4</v>
      </c>
      <c r="E93" s="4">
        <v>74</v>
      </c>
      <c r="F93" s="4">
        <f t="shared" si="6"/>
        <v>9575.6</v>
      </c>
      <c r="G93" s="6"/>
      <c r="H93" s="6"/>
      <c r="I93" s="6"/>
      <c r="J93" s="6"/>
      <c r="K93" s="6"/>
    </row>
    <row r="94" spans="1:11" ht="25.5" customHeight="1" x14ac:dyDescent="0.25">
      <c r="A94" s="26" t="s">
        <v>465</v>
      </c>
      <c r="B94" s="2" t="s">
        <v>466</v>
      </c>
      <c r="C94" s="3" t="s">
        <v>403</v>
      </c>
      <c r="D94" s="4">
        <v>59</v>
      </c>
      <c r="E94" s="4">
        <v>72</v>
      </c>
      <c r="F94" s="4">
        <f t="shared" si="6"/>
        <v>4248</v>
      </c>
      <c r="G94" s="6"/>
      <c r="H94" s="6"/>
      <c r="I94" s="6"/>
      <c r="J94" s="6"/>
      <c r="K94" s="6"/>
    </row>
    <row r="95" spans="1:11" ht="25.5" customHeight="1" x14ac:dyDescent="0.25">
      <c r="A95" s="26" t="s">
        <v>467</v>
      </c>
      <c r="B95" s="2" t="s">
        <v>468</v>
      </c>
      <c r="C95" s="3" t="s">
        <v>403</v>
      </c>
      <c r="D95" s="4">
        <v>63</v>
      </c>
      <c r="E95" s="4">
        <v>69</v>
      </c>
      <c r="F95" s="4">
        <f t="shared" si="6"/>
        <v>4347</v>
      </c>
      <c r="G95" s="6"/>
      <c r="H95" s="6"/>
      <c r="I95" s="6"/>
      <c r="J95" s="6"/>
      <c r="K95" s="6"/>
    </row>
    <row r="96" spans="1:11" ht="12.75" customHeight="1" x14ac:dyDescent="0.25">
      <c r="A96" s="26" t="s">
        <v>469</v>
      </c>
      <c r="B96" s="2" t="s">
        <v>470</v>
      </c>
      <c r="C96" s="3" t="s">
        <v>417</v>
      </c>
      <c r="D96" s="4">
        <v>42</v>
      </c>
      <c r="E96" s="4">
        <v>48</v>
      </c>
      <c r="F96" s="4">
        <f t="shared" si="6"/>
        <v>2016</v>
      </c>
      <c r="G96" s="6"/>
      <c r="H96" s="6"/>
      <c r="I96" s="6"/>
      <c r="J96" s="6"/>
      <c r="K96" s="6"/>
    </row>
    <row r="97" spans="1:11" ht="12.75" customHeight="1" x14ac:dyDescent="0.25">
      <c r="A97" s="26"/>
      <c r="B97" s="39" t="s">
        <v>489</v>
      </c>
      <c r="C97" s="6"/>
      <c r="D97" s="6"/>
      <c r="E97" s="6"/>
      <c r="F97" s="44">
        <f>SUM(F60:F96)</f>
        <v>218525.2</v>
      </c>
      <c r="G97" s="6"/>
      <c r="H97" s="6"/>
      <c r="I97" s="6"/>
      <c r="J97" s="6"/>
      <c r="K97" s="6"/>
    </row>
    <row r="98" spans="1:11" ht="12.75" customHeight="1" x14ac:dyDescent="0.25">
      <c r="A98" s="26"/>
      <c r="B98" s="2"/>
      <c r="C98" s="3"/>
      <c r="D98" s="4"/>
      <c r="E98" s="4"/>
      <c r="F98" s="4"/>
      <c r="G98" s="6"/>
      <c r="H98" s="6"/>
      <c r="I98" s="6"/>
      <c r="J98" s="6"/>
      <c r="K98" s="6"/>
    </row>
    <row r="99" spans="1:11" ht="12.75" customHeight="1" x14ac:dyDescent="0.25">
      <c r="A99" s="26"/>
      <c r="B99" s="2"/>
      <c r="C99" s="3"/>
      <c r="D99" s="4"/>
      <c r="E99" s="4"/>
      <c r="F99" s="4"/>
      <c r="G99" s="6"/>
      <c r="H99" s="6"/>
      <c r="I99" s="6"/>
      <c r="J99" s="6"/>
      <c r="K99" s="6"/>
    </row>
    <row r="100" spans="1:11" ht="12.75" customHeight="1" x14ac:dyDescent="0.25">
      <c r="A100" s="43" t="s">
        <v>510</v>
      </c>
      <c r="B100" s="45" t="s">
        <v>511</v>
      </c>
      <c r="C100" s="42"/>
      <c r="D100" s="42"/>
      <c r="E100" s="42"/>
      <c r="F100" s="42"/>
      <c r="G100" s="6"/>
      <c r="H100" s="6"/>
      <c r="I100" s="6"/>
      <c r="J100" s="6"/>
      <c r="K100" s="6"/>
    </row>
    <row r="101" spans="1:11" ht="38.25" customHeight="1" x14ac:dyDescent="0.25">
      <c r="A101" s="26" t="s">
        <v>512</v>
      </c>
      <c r="B101" s="2" t="s">
        <v>513</v>
      </c>
      <c r="C101" s="3" t="s">
        <v>403</v>
      </c>
      <c r="D101" s="4">
        <v>190.5</v>
      </c>
      <c r="E101" s="4"/>
      <c r="F101" s="4">
        <f>D101*$E101</f>
        <v>0</v>
      </c>
      <c r="G101" s="6"/>
      <c r="H101" s="6"/>
      <c r="I101" s="6"/>
      <c r="J101" s="6"/>
      <c r="K101" s="6"/>
    </row>
    <row r="102" spans="1:11" ht="12.75" customHeight="1" x14ac:dyDescent="0.25">
      <c r="A102" s="26"/>
      <c r="B102" s="39" t="s">
        <v>514</v>
      </c>
      <c r="C102" s="6"/>
      <c r="D102" s="6"/>
      <c r="E102" s="6"/>
      <c r="F102" s="44">
        <f>SUM(F101)</f>
        <v>0</v>
      </c>
      <c r="G102" s="6"/>
      <c r="H102" s="6"/>
      <c r="I102" s="6"/>
      <c r="J102" s="6"/>
      <c r="K102" s="6"/>
    </row>
    <row r="103" spans="1:11" ht="12.75" customHeight="1" x14ac:dyDescent="0.25">
      <c r="A103" s="26"/>
      <c r="B103" s="2"/>
      <c r="C103" s="3"/>
      <c r="D103" s="4"/>
      <c r="E103" s="4"/>
      <c r="F103" s="4"/>
      <c r="G103" s="6"/>
      <c r="H103" s="6"/>
      <c r="I103" s="6"/>
      <c r="J103" s="6"/>
      <c r="K103" s="6"/>
    </row>
    <row r="104" spans="1:11" ht="12.75" customHeight="1" x14ac:dyDescent="0.25">
      <c r="A104" s="26"/>
      <c r="B104" s="2"/>
      <c r="C104" s="3"/>
      <c r="D104" s="4"/>
      <c r="E104" s="4"/>
      <c r="F104" s="4"/>
      <c r="G104" s="6"/>
      <c r="H104" s="6"/>
      <c r="I104" s="6"/>
      <c r="J104" s="6"/>
      <c r="K104" s="6"/>
    </row>
    <row r="105" spans="1:11" ht="12.75" customHeight="1" x14ac:dyDescent="0.25">
      <c r="A105" s="43"/>
      <c r="B105" s="16"/>
      <c r="C105" s="18"/>
      <c r="D105" s="44"/>
      <c r="E105" s="44"/>
      <c r="F105" s="44"/>
      <c r="G105" s="6"/>
      <c r="H105" s="6"/>
      <c r="I105" s="6"/>
      <c r="J105" s="6"/>
      <c r="K105" s="6"/>
    </row>
  </sheetData>
  <printOptions horizontalCentered="1" gridLines="1"/>
  <pageMargins left="0.70833333333333304" right="0.70833333333333304" top="0.74791666666666701" bottom="0.74791666666666701" header="0" footer="0"/>
  <pageSetup paperSize="9" scale="90" orientation="portrait"/>
  <headerFooter>
    <oddHeader>&amp;L Ministarstvo unutarnjih poslova RH&amp;R Nastavno nacionalno središte civilne zaštite u Jastrebarskom</oddHeader>
    <oddFooter>&amp;L Troškovnik radova na uređenju građevina, vanjskog prostora i infrastrukture - zgrada 12&amp;R stranica &amp;P od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
  <sheetViews>
    <sheetView topLeftCell="A18" workbookViewId="0">
      <selection activeCell="E26" sqref="E25:E26"/>
    </sheetView>
  </sheetViews>
  <sheetFormatPr defaultColWidth="14.42578125" defaultRowHeight="15" customHeight="1" x14ac:dyDescent="0.25"/>
  <cols>
    <col min="1" max="1" width="6.140625" customWidth="1"/>
    <col min="2" max="2" width="50.7109375" customWidth="1"/>
    <col min="3" max="3" width="5.7109375" customWidth="1"/>
    <col min="4" max="4" width="9.7109375" customWidth="1"/>
    <col min="5" max="5" width="10.7109375" customWidth="1"/>
    <col min="6" max="6" width="13.85546875" customWidth="1"/>
    <col min="7" max="11" width="9.140625" customWidth="1"/>
  </cols>
  <sheetData>
    <row r="1" spans="1:11" ht="36" customHeight="1" x14ac:dyDescent="0.25">
      <c r="A1" s="29" t="s">
        <v>7</v>
      </c>
      <c r="B1" s="30" t="s">
        <v>8</v>
      </c>
      <c r="C1" s="31" t="s">
        <v>9</v>
      </c>
      <c r="D1" s="32" t="s">
        <v>10</v>
      </c>
      <c r="E1" s="32" t="s">
        <v>396</v>
      </c>
      <c r="F1" s="32" t="s">
        <v>12</v>
      </c>
      <c r="G1" s="34"/>
      <c r="H1" s="34"/>
      <c r="I1" s="34"/>
      <c r="J1" s="34"/>
      <c r="K1" s="34"/>
    </row>
    <row r="2" spans="1:11" ht="12.75" customHeight="1" x14ac:dyDescent="0.25">
      <c r="A2" s="35"/>
      <c r="B2" s="2"/>
      <c r="C2" s="36"/>
      <c r="D2" s="37"/>
      <c r="E2" s="37"/>
      <c r="F2" s="37"/>
      <c r="G2" s="6"/>
      <c r="H2" s="6"/>
      <c r="I2" s="6"/>
      <c r="J2" s="6"/>
      <c r="K2" s="6"/>
    </row>
    <row r="3" spans="1:11" ht="12.75" customHeight="1" x14ac:dyDescent="0.25">
      <c r="A3" s="39" t="s">
        <v>551</v>
      </c>
      <c r="B3" s="16" t="s">
        <v>552</v>
      </c>
      <c r="C3" s="40"/>
      <c r="D3" s="41"/>
      <c r="E3" s="41"/>
      <c r="F3" s="41"/>
      <c r="G3" s="42"/>
      <c r="H3" s="42"/>
      <c r="I3" s="42"/>
      <c r="J3" s="42"/>
      <c r="K3" s="42"/>
    </row>
    <row r="4" spans="1:11" ht="12.75" customHeight="1" x14ac:dyDescent="0.25">
      <c r="A4" s="35"/>
      <c r="B4" s="2"/>
      <c r="C4" s="36"/>
      <c r="D4" s="37"/>
      <c r="E4" s="37"/>
      <c r="F4" s="37"/>
      <c r="G4" s="6"/>
      <c r="H4" s="6"/>
      <c r="I4" s="6"/>
      <c r="J4" s="6"/>
      <c r="K4" s="6"/>
    </row>
    <row r="5" spans="1:11" ht="12.75" customHeight="1" x14ac:dyDescent="0.25">
      <c r="A5" s="43" t="s">
        <v>399</v>
      </c>
      <c r="B5" s="16" t="s">
        <v>400</v>
      </c>
      <c r="C5" s="3"/>
      <c r="D5" s="4"/>
      <c r="E5" s="4"/>
      <c r="F5" s="4"/>
      <c r="G5" s="6"/>
      <c r="H5" s="6"/>
      <c r="I5" s="6"/>
      <c r="J5" s="6"/>
      <c r="K5" s="6"/>
    </row>
    <row r="6" spans="1:11" ht="12.75" customHeight="1" x14ac:dyDescent="0.25">
      <c r="A6" s="43"/>
      <c r="B6" s="16"/>
      <c r="C6" s="3"/>
      <c r="D6" s="4"/>
      <c r="E6" s="4"/>
      <c r="F6" s="4"/>
      <c r="G6" s="6"/>
      <c r="H6" s="6"/>
      <c r="I6" s="6"/>
      <c r="J6" s="6"/>
      <c r="K6" s="6"/>
    </row>
    <row r="7" spans="1:11" ht="12.75" customHeight="1" x14ac:dyDescent="0.25">
      <c r="A7" s="39" t="s">
        <v>389</v>
      </c>
      <c r="B7" s="16" t="s">
        <v>31</v>
      </c>
      <c r="C7" s="42"/>
      <c r="D7" s="44"/>
      <c r="E7" s="44"/>
      <c r="F7" s="44"/>
      <c r="G7" s="6"/>
      <c r="H7" s="6"/>
      <c r="I7" s="6"/>
      <c r="J7" s="6"/>
      <c r="K7" s="6"/>
    </row>
    <row r="8" spans="1:11" ht="140.25" customHeight="1" x14ac:dyDescent="0.25">
      <c r="A8" s="26" t="s">
        <v>401</v>
      </c>
      <c r="B8" s="2" t="s">
        <v>402</v>
      </c>
      <c r="C8" s="3" t="s">
        <v>403</v>
      </c>
      <c r="D8" s="4">
        <v>698</v>
      </c>
      <c r="E8" s="4">
        <v>11.55</v>
      </c>
      <c r="F8" s="4">
        <f>D8*$E8</f>
        <v>8061.9000000000005</v>
      </c>
      <c r="G8" s="6"/>
      <c r="H8" s="6"/>
      <c r="I8" s="6"/>
      <c r="J8" s="6"/>
      <c r="K8" s="6"/>
    </row>
    <row r="9" spans="1:11" ht="12.75" customHeight="1" x14ac:dyDescent="0.25">
      <c r="A9" s="26"/>
      <c r="B9" s="39" t="s">
        <v>404</v>
      </c>
      <c r="C9" s="6"/>
      <c r="D9" s="6"/>
      <c r="E9" s="6"/>
      <c r="F9" s="44">
        <f>SUM(F8)</f>
        <v>8061.9000000000005</v>
      </c>
      <c r="G9" s="6"/>
      <c r="H9" s="6"/>
      <c r="I9" s="6"/>
      <c r="J9" s="6"/>
      <c r="K9" s="6"/>
    </row>
    <row r="10" spans="1:11" ht="12.75" customHeight="1" x14ac:dyDescent="0.25">
      <c r="A10" s="26"/>
      <c r="B10" s="2"/>
      <c r="C10" s="3"/>
      <c r="D10" s="4"/>
      <c r="E10" s="4"/>
      <c r="F10" s="4"/>
      <c r="G10" s="6"/>
      <c r="H10" s="6"/>
      <c r="I10" s="6"/>
      <c r="J10" s="6"/>
      <c r="K10" s="6"/>
    </row>
    <row r="11" spans="1:11" ht="12.75" customHeight="1" x14ac:dyDescent="0.25">
      <c r="A11" s="43" t="s">
        <v>394</v>
      </c>
      <c r="B11" s="16" t="s">
        <v>517</v>
      </c>
      <c r="C11" s="3"/>
      <c r="D11" s="4"/>
      <c r="E11" s="4"/>
      <c r="F11" s="4"/>
      <c r="G11" s="6"/>
      <c r="H11" s="6"/>
      <c r="I11" s="6"/>
      <c r="J11" s="6"/>
      <c r="K11" s="6"/>
    </row>
    <row r="12" spans="1:11" ht="89.25" customHeight="1" x14ac:dyDescent="0.25">
      <c r="A12" s="26" t="s">
        <v>544</v>
      </c>
      <c r="B12" s="2" t="s">
        <v>545</v>
      </c>
      <c r="C12" s="3" t="s">
        <v>403</v>
      </c>
      <c r="D12" s="4">
        <v>501</v>
      </c>
      <c r="E12" s="4"/>
      <c r="F12" s="4">
        <f t="shared" ref="F12:F14" si="0">D12*$E12</f>
        <v>0</v>
      </c>
      <c r="G12" s="6"/>
      <c r="H12" s="6"/>
      <c r="I12" s="6"/>
      <c r="J12" s="6"/>
      <c r="K12" s="6"/>
    </row>
    <row r="13" spans="1:11" ht="89.25" customHeight="1" x14ac:dyDescent="0.25">
      <c r="A13" s="26" t="s">
        <v>546</v>
      </c>
      <c r="B13" s="2" t="s">
        <v>547</v>
      </c>
      <c r="C13" s="3" t="s">
        <v>403</v>
      </c>
      <c r="D13" s="4">
        <v>501</v>
      </c>
      <c r="E13" s="4"/>
      <c r="F13" s="4">
        <f t="shared" si="0"/>
        <v>0</v>
      </c>
      <c r="G13" s="6"/>
      <c r="H13" s="6"/>
      <c r="I13" s="6"/>
      <c r="J13" s="6"/>
      <c r="K13" s="6"/>
    </row>
    <row r="14" spans="1:11" ht="89.25" customHeight="1" x14ac:dyDescent="0.25">
      <c r="A14" s="26" t="s">
        <v>553</v>
      </c>
      <c r="B14" s="2" t="s">
        <v>554</v>
      </c>
      <c r="C14" s="3" t="s">
        <v>403</v>
      </c>
      <c r="D14" s="4">
        <v>987</v>
      </c>
      <c r="E14" s="6"/>
      <c r="F14" s="4">
        <f t="shared" si="0"/>
        <v>0</v>
      </c>
      <c r="G14" s="6"/>
      <c r="H14" s="6"/>
      <c r="I14" s="6"/>
      <c r="J14" s="6"/>
      <c r="K14" s="6"/>
    </row>
    <row r="15" spans="1:11" ht="12.75" customHeight="1" x14ac:dyDescent="0.25">
      <c r="A15" s="26"/>
      <c r="B15" s="39" t="s">
        <v>548</v>
      </c>
      <c r="C15" s="6"/>
      <c r="D15" s="6"/>
      <c r="E15" s="6"/>
      <c r="F15" s="44">
        <f>SUM(F12:F14)</f>
        <v>0</v>
      </c>
      <c r="G15" s="6"/>
      <c r="H15" s="6"/>
      <c r="I15" s="6"/>
      <c r="J15" s="6"/>
      <c r="K15" s="6"/>
    </row>
    <row r="16" spans="1:11" ht="12.75" customHeight="1" x14ac:dyDescent="0.25">
      <c r="A16" s="26"/>
      <c r="B16" s="39"/>
      <c r="C16" s="6"/>
      <c r="D16" s="6"/>
      <c r="E16" s="6"/>
      <c r="F16" s="4"/>
      <c r="G16" s="6"/>
      <c r="H16" s="6"/>
      <c r="I16" s="6"/>
      <c r="J16" s="6"/>
      <c r="K16" s="6"/>
    </row>
    <row r="17" spans="1:11" ht="12.75" customHeight="1" x14ac:dyDescent="0.25">
      <c r="A17" s="26"/>
      <c r="B17" s="2"/>
      <c r="C17" s="3"/>
      <c r="D17" s="4"/>
      <c r="E17" s="6"/>
      <c r="F17" s="4"/>
      <c r="G17" s="6"/>
      <c r="H17" s="6"/>
      <c r="I17" s="6"/>
      <c r="J17" s="6"/>
      <c r="K17" s="6"/>
    </row>
    <row r="18" spans="1:11" ht="12.75" customHeight="1" x14ac:dyDescent="0.25">
      <c r="A18" s="43" t="s">
        <v>405</v>
      </c>
      <c r="B18" s="45" t="s">
        <v>83</v>
      </c>
      <c r="C18" s="42"/>
      <c r="D18" s="42"/>
      <c r="E18" s="4"/>
      <c r="F18" s="42"/>
      <c r="G18" s="6"/>
      <c r="H18" s="6"/>
      <c r="I18" s="6"/>
      <c r="J18" s="6"/>
      <c r="K18" s="6"/>
    </row>
    <row r="19" spans="1:11" ht="63.75" customHeight="1" x14ac:dyDescent="0.25">
      <c r="A19" s="26" t="s">
        <v>406</v>
      </c>
      <c r="B19" s="2" t="s">
        <v>407</v>
      </c>
      <c r="C19" s="3" t="s">
        <v>403</v>
      </c>
      <c r="D19" s="4">
        <v>479.8</v>
      </c>
      <c r="E19" s="4">
        <v>55</v>
      </c>
      <c r="F19" s="4">
        <f t="shared" ref="F19:F20" si="1">D19*$E19</f>
        <v>26389</v>
      </c>
      <c r="G19" s="6"/>
      <c r="H19" s="6"/>
      <c r="I19" s="6"/>
      <c r="J19" s="6"/>
      <c r="K19" s="6"/>
    </row>
    <row r="20" spans="1:11" ht="63.75" customHeight="1" x14ac:dyDescent="0.25">
      <c r="A20" s="26" t="s">
        <v>408</v>
      </c>
      <c r="B20" s="2" t="s">
        <v>409</v>
      </c>
      <c r="C20" s="3" t="s">
        <v>403</v>
      </c>
      <c r="D20" s="4">
        <v>194.5</v>
      </c>
      <c r="E20" s="42">
        <v>55</v>
      </c>
      <c r="F20" s="4">
        <f t="shared" si="1"/>
        <v>10697.5</v>
      </c>
      <c r="G20" s="6"/>
      <c r="H20" s="6"/>
      <c r="I20" s="6"/>
      <c r="J20" s="6"/>
      <c r="K20" s="6"/>
    </row>
    <row r="21" spans="1:11" ht="12.75" customHeight="1" x14ac:dyDescent="0.25">
      <c r="A21" s="26"/>
      <c r="B21" s="39" t="s">
        <v>410</v>
      </c>
      <c r="C21" s="6"/>
      <c r="D21" s="6"/>
      <c r="E21" s="4"/>
      <c r="F21" s="44">
        <f>SUM(F19:F20)</f>
        <v>37086.5</v>
      </c>
      <c r="G21" s="6"/>
      <c r="H21" s="6"/>
      <c r="I21" s="6"/>
      <c r="J21" s="6"/>
      <c r="K21" s="6"/>
    </row>
    <row r="22" spans="1:11" ht="12.75" customHeight="1" x14ac:dyDescent="0.25">
      <c r="A22" s="26"/>
      <c r="B22" s="2"/>
      <c r="C22" s="3"/>
      <c r="D22" s="4"/>
      <c r="E22" s="4"/>
      <c r="F22" s="4"/>
      <c r="G22" s="6"/>
      <c r="H22" s="6"/>
      <c r="I22" s="6"/>
      <c r="J22" s="6"/>
      <c r="K22" s="6"/>
    </row>
    <row r="23" spans="1:11" ht="12.75" customHeight="1" x14ac:dyDescent="0.25">
      <c r="A23" s="39" t="s">
        <v>411</v>
      </c>
      <c r="B23" s="16" t="s">
        <v>412</v>
      </c>
      <c r="C23" s="42"/>
      <c r="D23" s="44"/>
      <c r="E23" s="6"/>
      <c r="F23" s="44"/>
      <c r="G23" s="6"/>
      <c r="H23" s="6"/>
      <c r="I23" s="6"/>
      <c r="J23" s="6"/>
      <c r="K23" s="6"/>
    </row>
    <row r="24" spans="1:11" ht="153" customHeight="1" x14ac:dyDescent="0.25">
      <c r="A24" s="35" t="s">
        <v>413</v>
      </c>
      <c r="B24" s="2" t="s">
        <v>414</v>
      </c>
      <c r="C24" s="6"/>
      <c r="D24" s="4"/>
      <c r="E24" s="4"/>
      <c r="F24" s="4"/>
      <c r="G24" s="6"/>
      <c r="H24" s="6"/>
      <c r="I24" s="6"/>
      <c r="J24" s="6"/>
      <c r="K24" s="6"/>
    </row>
    <row r="25" spans="1:11" ht="12.75" customHeight="1" x14ac:dyDescent="0.25">
      <c r="A25" s="35" t="s">
        <v>415</v>
      </c>
      <c r="B25" s="2" t="s">
        <v>416</v>
      </c>
      <c r="C25" s="3" t="s">
        <v>417</v>
      </c>
      <c r="D25" s="4">
        <v>165</v>
      </c>
      <c r="E25" s="44"/>
      <c r="F25" s="4">
        <f t="shared" ref="F25:F26" si="2">D25*$E25</f>
        <v>0</v>
      </c>
      <c r="G25" s="6"/>
      <c r="H25" s="6"/>
      <c r="I25" s="6"/>
      <c r="J25" s="6"/>
      <c r="K25" s="6"/>
    </row>
    <row r="26" spans="1:11" ht="12.75" customHeight="1" x14ac:dyDescent="0.25">
      <c r="A26" s="35" t="s">
        <v>418</v>
      </c>
      <c r="B26" s="2" t="s">
        <v>419</v>
      </c>
      <c r="C26" s="3" t="s">
        <v>417</v>
      </c>
      <c r="D26" s="4">
        <v>165</v>
      </c>
      <c r="E26" s="4"/>
      <c r="F26" s="4">
        <f t="shared" si="2"/>
        <v>0</v>
      </c>
      <c r="G26" s="6"/>
      <c r="H26" s="6"/>
      <c r="I26" s="6"/>
      <c r="J26" s="6"/>
      <c r="K26" s="6"/>
    </row>
    <row r="27" spans="1:11" ht="38.25" customHeight="1" x14ac:dyDescent="0.25">
      <c r="A27" s="35" t="s">
        <v>420</v>
      </c>
      <c r="B27" s="2" t="s">
        <v>421</v>
      </c>
      <c r="C27" s="6"/>
      <c r="D27" s="4"/>
      <c r="E27" s="4"/>
      <c r="F27" s="4"/>
      <c r="G27" s="6"/>
      <c r="H27" s="6"/>
      <c r="I27" s="6"/>
      <c r="J27" s="6"/>
      <c r="K27" s="6"/>
    </row>
    <row r="28" spans="1:11" ht="12.75" customHeight="1" x14ac:dyDescent="0.25">
      <c r="A28" s="35" t="s">
        <v>415</v>
      </c>
      <c r="B28" s="2" t="s">
        <v>422</v>
      </c>
      <c r="C28" s="3" t="s">
        <v>417</v>
      </c>
      <c r="D28" s="4">
        <v>165</v>
      </c>
      <c r="E28" s="4">
        <v>16</v>
      </c>
      <c r="F28" s="4">
        <f t="shared" ref="F28:F29" si="3">D28*$E28</f>
        <v>2640</v>
      </c>
      <c r="G28" s="6"/>
      <c r="H28" s="6"/>
      <c r="I28" s="6"/>
      <c r="J28" s="6"/>
      <c r="K28" s="6"/>
    </row>
    <row r="29" spans="1:11" ht="12.75" customHeight="1" x14ac:dyDescent="0.25">
      <c r="A29" s="35" t="s">
        <v>418</v>
      </c>
      <c r="B29" s="2" t="s">
        <v>423</v>
      </c>
      <c r="C29" s="3" t="s">
        <v>417</v>
      </c>
      <c r="D29" s="4">
        <v>165</v>
      </c>
      <c r="E29" s="4">
        <v>16</v>
      </c>
      <c r="F29" s="4">
        <f t="shared" si="3"/>
        <v>2640</v>
      </c>
      <c r="G29" s="6"/>
      <c r="H29" s="6"/>
      <c r="I29" s="6"/>
      <c r="J29" s="6"/>
      <c r="K29" s="6"/>
    </row>
    <row r="30" spans="1:11" ht="12.75" customHeight="1" x14ac:dyDescent="0.25">
      <c r="A30" s="26"/>
      <c r="B30" s="39" t="s">
        <v>432</v>
      </c>
      <c r="C30" s="6"/>
      <c r="D30" s="6"/>
      <c r="E30" s="4"/>
      <c r="F30" s="44">
        <f>SUM(F25:F29)</f>
        <v>5280</v>
      </c>
      <c r="G30" s="6"/>
      <c r="H30" s="6"/>
      <c r="I30" s="6"/>
      <c r="J30" s="6"/>
      <c r="K30" s="6"/>
    </row>
    <row r="31" spans="1:11" ht="12.75" customHeight="1" x14ac:dyDescent="0.25">
      <c r="A31" s="26"/>
      <c r="B31" s="39"/>
      <c r="C31" s="6"/>
      <c r="D31" s="6"/>
      <c r="E31" s="4"/>
      <c r="F31" s="4"/>
      <c r="G31" s="6"/>
      <c r="H31" s="6"/>
      <c r="I31" s="6"/>
      <c r="J31" s="6"/>
      <c r="K31" s="6"/>
    </row>
    <row r="32" spans="1:11" ht="12.75" customHeight="1" x14ac:dyDescent="0.25">
      <c r="A32" s="43" t="s">
        <v>433</v>
      </c>
      <c r="B32" s="45" t="s">
        <v>115</v>
      </c>
      <c r="C32" s="42"/>
      <c r="D32" s="42"/>
      <c r="E32" s="4"/>
      <c r="F32" s="42"/>
      <c r="G32" s="6"/>
      <c r="H32" s="6"/>
      <c r="I32" s="6"/>
      <c r="J32" s="6"/>
      <c r="K32" s="6"/>
    </row>
    <row r="33" spans="1:11" ht="51" customHeight="1" x14ac:dyDescent="0.25">
      <c r="A33" s="43"/>
      <c r="B33" s="2" t="s">
        <v>434</v>
      </c>
      <c r="C33" s="42"/>
      <c r="D33" s="42"/>
      <c r="E33" s="42"/>
      <c r="F33" s="42"/>
      <c r="G33" s="6"/>
      <c r="H33" s="6"/>
      <c r="I33" s="6"/>
      <c r="J33" s="6"/>
      <c r="K33" s="6"/>
    </row>
    <row r="34" spans="1:11" ht="191.25" customHeight="1" x14ac:dyDescent="0.25">
      <c r="A34" s="26" t="s">
        <v>549</v>
      </c>
      <c r="B34" s="2" t="s">
        <v>550</v>
      </c>
      <c r="C34" s="3" t="s">
        <v>417</v>
      </c>
      <c r="D34" s="4">
        <v>340</v>
      </c>
      <c r="E34" s="4"/>
      <c r="F34" s="4">
        <f t="shared" ref="F34:F36" si="4">D34*$E34</f>
        <v>0</v>
      </c>
      <c r="G34" s="6"/>
      <c r="H34" s="6"/>
      <c r="I34" s="6"/>
      <c r="J34" s="6"/>
      <c r="K34" s="6"/>
    </row>
    <row r="35" spans="1:11" ht="114.75" customHeight="1" x14ac:dyDescent="0.25">
      <c r="A35" s="26" t="s">
        <v>435</v>
      </c>
      <c r="B35" s="2" t="s">
        <v>436</v>
      </c>
      <c r="C35" s="3" t="s">
        <v>403</v>
      </c>
      <c r="D35" s="4">
        <v>540.9</v>
      </c>
      <c r="E35" s="4"/>
      <c r="F35" s="4">
        <f t="shared" si="4"/>
        <v>0</v>
      </c>
      <c r="G35" s="6"/>
      <c r="H35" s="6"/>
      <c r="I35" s="6"/>
      <c r="J35" s="6"/>
      <c r="K35" s="6"/>
    </row>
    <row r="36" spans="1:11" ht="204" customHeight="1" x14ac:dyDescent="0.25">
      <c r="A36" s="26" t="s">
        <v>437</v>
      </c>
      <c r="B36" s="2" t="s">
        <v>438</v>
      </c>
      <c r="C36" s="3" t="s">
        <v>403</v>
      </c>
      <c r="D36" s="4">
        <v>540.9</v>
      </c>
      <c r="E36" s="4"/>
      <c r="F36" s="4">
        <f t="shared" si="4"/>
        <v>0</v>
      </c>
      <c r="G36" s="6"/>
      <c r="H36" s="6"/>
      <c r="I36" s="6"/>
      <c r="J36" s="6"/>
      <c r="K36" s="6"/>
    </row>
    <row r="37" spans="1:11" ht="12.75" customHeight="1" x14ac:dyDescent="0.25">
      <c r="A37" s="26"/>
      <c r="B37" s="39" t="s">
        <v>441</v>
      </c>
      <c r="C37" s="6"/>
      <c r="D37" s="6"/>
      <c r="E37" s="6"/>
      <c r="F37" s="44">
        <f>SUM(F34:F36)</f>
        <v>0</v>
      </c>
      <c r="G37" s="6"/>
      <c r="H37" s="6"/>
      <c r="I37" s="6"/>
      <c r="J37" s="6"/>
      <c r="K37" s="6"/>
    </row>
    <row r="38" spans="1:11" ht="12.75" customHeight="1" x14ac:dyDescent="0.25">
      <c r="A38" s="26"/>
      <c r="B38" s="2"/>
      <c r="C38" s="3"/>
      <c r="D38" s="4"/>
      <c r="E38" s="4"/>
      <c r="F38" s="4"/>
      <c r="G38" s="6"/>
      <c r="H38" s="6"/>
      <c r="I38" s="6"/>
      <c r="J38" s="6"/>
      <c r="K38" s="6"/>
    </row>
    <row r="39" spans="1:11" ht="12.75" customHeight="1" x14ac:dyDescent="0.25">
      <c r="A39" s="26"/>
      <c r="B39" s="2"/>
      <c r="C39" s="3"/>
      <c r="D39" s="4"/>
      <c r="E39" s="4"/>
      <c r="F39" s="4"/>
      <c r="G39" s="6"/>
      <c r="H39" s="6"/>
      <c r="I39" s="6"/>
      <c r="J39" s="6"/>
      <c r="K39" s="6"/>
    </row>
    <row r="40" spans="1:11" ht="12.75" customHeight="1" x14ac:dyDescent="0.25">
      <c r="A40" s="26"/>
      <c r="B40" s="2"/>
      <c r="C40" s="3"/>
      <c r="D40" s="4"/>
      <c r="E40" s="4"/>
      <c r="F40" s="4"/>
      <c r="G40" s="6"/>
      <c r="H40" s="6"/>
      <c r="I40" s="6"/>
      <c r="J40" s="6"/>
      <c r="K40" s="6"/>
    </row>
    <row r="41" spans="1:11" ht="12.75" customHeight="1" x14ac:dyDescent="0.25">
      <c r="A41" s="26"/>
      <c r="B41" s="2"/>
      <c r="C41" s="3"/>
      <c r="D41" s="4"/>
      <c r="E41" s="4"/>
      <c r="F41" s="4"/>
      <c r="G41" s="6"/>
      <c r="H41" s="6"/>
      <c r="I41" s="6"/>
      <c r="J41" s="6"/>
      <c r="K41" s="6"/>
    </row>
    <row r="42" spans="1:11" ht="12.75" customHeight="1" x14ac:dyDescent="0.25">
      <c r="A42" s="26"/>
      <c r="B42" s="2"/>
      <c r="C42" s="3"/>
      <c r="D42" s="4"/>
      <c r="E42" s="4"/>
      <c r="F42" s="4"/>
      <c r="G42" s="6"/>
      <c r="H42" s="6"/>
      <c r="I42" s="6"/>
      <c r="J42" s="6"/>
      <c r="K42" s="6"/>
    </row>
    <row r="43" spans="1:11" ht="12.75" customHeight="1" x14ac:dyDescent="0.25">
      <c r="A43" s="43" t="s">
        <v>442</v>
      </c>
      <c r="B43" s="45" t="s">
        <v>285</v>
      </c>
      <c r="C43" s="42"/>
      <c r="D43" s="42"/>
      <c r="E43" s="42"/>
      <c r="F43" s="42"/>
      <c r="G43" s="6"/>
      <c r="H43" s="6"/>
      <c r="I43" s="6"/>
      <c r="J43" s="6"/>
      <c r="K43" s="6"/>
    </row>
    <row r="44" spans="1:11" ht="12.75" customHeight="1" x14ac:dyDescent="0.25">
      <c r="A44" s="43"/>
      <c r="B44" s="46" t="s">
        <v>443</v>
      </c>
      <c r="C44" s="42"/>
      <c r="D44" s="42"/>
      <c r="E44" s="42"/>
      <c r="F44" s="42"/>
      <c r="G44" s="6"/>
      <c r="H44" s="6"/>
      <c r="I44" s="6"/>
      <c r="J44" s="6"/>
      <c r="K44" s="6"/>
    </row>
    <row r="45" spans="1:11" ht="306" customHeight="1" x14ac:dyDescent="0.25">
      <c r="A45" s="26" t="s">
        <v>444</v>
      </c>
      <c r="B45" s="2" t="s">
        <v>445</v>
      </c>
      <c r="C45" s="3"/>
      <c r="D45" s="4"/>
      <c r="E45" s="4"/>
      <c r="F45" s="4"/>
      <c r="G45" s="6"/>
      <c r="H45" s="6"/>
      <c r="I45" s="6"/>
      <c r="J45" s="6"/>
      <c r="K45" s="6"/>
    </row>
    <row r="46" spans="1:11" ht="229.5" customHeight="1" x14ac:dyDescent="0.25">
      <c r="A46" s="26"/>
      <c r="B46" s="2" t="s">
        <v>446</v>
      </c>
      <c r="C46" s="3"/>
      <c r="D46" s="4"/>
      <c r="E46" s="4"/>
      <c r="F46" s="4"/>
      <c r="G46" s="6"/>
      <c r="H46" s="6"/>
      <c r="I46" s="6"/>
      <c r="J46" s="6"/>
      <c r="K46" s="6"/>
    </row>
    <row r="47" spans="1:11" ht="127.5" customHeight="1" x14ac:dyDescent="0.25">
      <c r="A47" s="26"/>
      <c r="B47" s="2" t="s">
        <v>447</v>
      </c>
      <c r="C47" s="3"/>
      <c r="D47" s="4"/>
      <c r="E47" s="4"/>
      <c r="F47" s="4"/>
      <c r="G47" s="6"/>
      <c r="H47" s="6"/>
      <c r="I47" s="6"/>
      <c r="J47" s="6"/>
      <c r="K47" s="6"/>
    </row>
    <row r="48" spans="1:11" ht="267.75" customHeight="1" x14ac:dyDescent="0.25">
      <c r="A48" s="26"/>
      <c r="B48" s="2" t="s">
        <v>448</v>
      </c>
      <c r="C48" s="3"/>
      <c r="D48" s="4"/>
      <c r="E48" s="4"/>
      <c r="F48" s="4"/>
      <c r="G48" s="6"/>
      <c r="H48" s="6"/>
      <c r="I48" s="6"/>
      <c r="J48" s="6"/>
      <c r="K48" s="6"/>
    </row>
    <row r="49" spans="1:11" ht="114.75" customHeight="1" x14ac:dyDescent="0.25">
      <c r="A49" s="26"/>
      <c r="B49" s="2" t="s">
        <v>449</v>
      </c>
      <c r="C49" s="3"/>
      <c r="D49" s="4"/>
      <c r="E49" s="4"/>
      <c r="F49" s="4"/>
      <c r="G49" s="6"/>
      <c r="H49" s="6"/>
      <c r="I49" s="6"/>
      <c r="J49" s="6"/>
      <c r="K49" s="6"/>
    </row>
    <row r="50" spans="1:11" ht="153" customHeight="1" x14ac:dyDescent="0.25">
      <c r="A50" s="26"/>
      <c r="B50" s="2" t="s">
        <v>450</v>
      </c>
      <c r="C50" s="3"/>
      <c r="D50" s="4"/>
      <c r="E50" s="4"/>
      <c r="F50" s="4"/>
      <c r="G50" s="6"/>
      <c r="H50" s="6"/>
      <c r="I50" s="6"/>
      <c r="J50" s="6"/>
      <c r="K50" s="6"/>
    </row>
    <row r="51" spans="1:11" ht="280.5" customHeight="1" x14ac:dyDescent="0.25">
      <c r="A51" s="26"/>
      <c r="B51" s="2" t="s">
        <v>451</v>
      </c>
      <c r="C51" s="3"/>
      <c r="D51" s="4"/>
      <c r="E51" s="4"/>
      <c r="F51" s="4"/>
      <c r="G51" s="6"/>
      <c r="H51" s="6"/>
      <c r="I51" s="6"/>
      <c r="J51" s="6"/>
      <c r="K51" s="6"/>
    </row>
    <row r="52" spans="1:11" ht="191.25" customHeight="1" x14ac:dyDescent="0.25">
      <c r="A52" s="26"/>
      <c r="B52" s="2" t="s">
        <v>452</v>
      </c>
      <c r="C52" s="3"/>
      <c r="D52" s="4"/>
      <c r="E52" s="4"/>
      <c r="F52" s="4"/>
      <c r="G52" s="6"/>
      <c r="H52" s="6"/>
      <c r="I52" s="6"/>
      <c r="J52" s="6"/>
      <c r="K52" s="6"/>
    </row>
    <row r="53" spans="1:11" ht="127.5" customHeight="1" x14ac:dyDescent="0.25">
      <c r="A53" s="26"/>
      <c r="B53" s="2" t="s">
        <v>453</v>
      </c>
      <c r="C53" s="3" t="s">
        <v>403</v>
      </c>
      <c r="D53" s="4">
        <v>388.2</v>
      </c>
      <c r="E53" s="4">
        <v>130</v>
      </c>
      <c r="F53" s="4">
        <f>D53*$E53</f>
        <v>50466</v>
      </c>
      <c r="G53" s="6"/>
      <c r="H53" s="6"/>
      <c r="I53" s="6"/>
      <c r="J53" s="6"/>
      <c r="K53" s="6"/>
    </row>
    <row r="54" spans="1:11" ht="382.5" customHeight="1" x14ac:dyDescent="0.25">
      <c r="A54" s="26" t="s">
        <v>454</v>
      </c>
      <c r="B54" s="2" t="s">
        <v>455</v>
      </c>
      <c r="C54" s="3"/>
      <c r="D54" s="4"/>
      <c r="E54" s="4"/>
      <c r="F54" s="4"/>
      <c r="G54" s="6"/>
      <c r="H54" s="6"/>
      <c r="I54" s="6"/>
      <c r="J54" s="6"/>
      <c r="K54" s="6"/>
    </row>
    <row r="55" spans="1:11" ht="204" customHeight="1" x14ac:dyDescent="0.25">
      <c r="A55" s="26"/>
      <c r="B55" s="2" t="s">
        <v>456</v>
      </c>
      <c r="C55" s="3"/>
      <c r="D55" s="4"/>
      <c r="E55" s="4"/>
      <c r="F55" s="4"/>
      <c r="G55" s="6"/>
      <c r="H55" s="6"/>
      <c r="I55" s="6"/>
      <c r="J55" s="6"/>
      <c r="K55" s="6"/>
    </row>
    <row r="56" spans="1:11" ht="165.75" customHeight="1" x14ac:dyDescent="0.25">
      <c r="A56" s="26"/>
      <c r="B56" s="2" t="s">
        <v>457</v>
      </c>
      <c r="C56" s="3"/>
      <c r="D56" s="4"/>
      <c r="E56" s="4"/>
      <c r="F56" s="4"/>
      <c r="G56" s="6"/>
      <c r="H56" s="6"/>
      <c r="I56" s="6"/>
      <c r="J56" s="6"/>
      <c r="K56" s="6"/>
    </row>
    <row r="57" spans="1:11" ht="89.25" customHeight="1" x14ac:dyDescent="0.25">
      <c r="A57" s="26"/>
      <c r="B57" s="2" t="s">
        <v>458</v>
      </c>
      <c r="C57" s="3"/>
      <c r="D57" s="4"/>
      <c r="E57" s="4"/>
      <c r="F57" s="4"/>
      <c r="G57" s="6"/>
      <c r="H57" s="6"/>
      <c r="I57" s="6"/>
      <c r="J57" s="6"/>
      <c r="K57" s="6"/>
    </row>
    <row r="58" spans="1:11" ht="318.75" customHeight="1" x14ac:dyDescent="0.25">
      <c r="A58" s="26"/>
      <c r="B58" s="2" t="s">
        <v>459</v>
      </c>
      <c r="C58" s="3"/>
      <c r="D58" s="4"/>
      <c r="E58" s="4"/>
      <c r="F58" s="4"/>
      <c r="G58" s="6"/>
      <c r="H58" s="6"/>
      <c r="I58" s="6"/>
      <c r="J58" s="6"/>
      <c r="K58" s="6"/>
    </row>
    <row r="59" spans="1:11" ht="114.75" customHeight="1" x14ac:dyDescent="0.25">
      <c r="A59" s="26"/>
      <c r="B59" s="2" t="s">
        <v>449</v>
      </c>
      <c r="C59" s="3"/>
      <c r="D59" s="4"/>
      <c r="E59" s="4"/>
      <c r="F59" s="4"/>
      <c r="G59" s="6"/>
      <c r="H59" s="6"/>
      <c r="I59" s="6"/>
      <c r="J59" s="6"/>
      <c r="K59" s="6"/>
    </row>
    <row r="60" spans="1:11" ht="216.75" customHeight="1" x14ac:dyDescent="0.25">
      <c r="A60" s="26"/>
      <c r="B60" s="2" t="s">
        <v>460</v>
      </c>
      <c r="C60" s="3"/>
      <c r="D60" s="4"/>
      <c r="E60" s="4"/>
      <c r="F60" s="4"/>
      <c r="G60" s="6"/>
      <c r="H60" s="6"/>
      <c r="I60" s="6"/>
      <c r="J60" s="6"/>
      <c r="K60" s="6"/>
    </row>
    <row r="61" spans="1:11" ht="178.5" customHeight="1" x14ac:dyDescent="0.25">
      <c r="A61" s="26"/>
      <c r="B61" s="2" t="s">
        <v>461</v>
      </c>
      <c r="C61" s="3"/>
      <c r="D61" s="4"/>
      <c r="E61" s="4"/>
      <c r="F61" s="4"/>
      <c r="G61" s="6"/>
      <c r="H61" s="6"/>
      <c r="I61" s="6"/>
      <c r="J61" s="6"/>
      <c r="K61" s="6"/>
    </row>
    <row r="62" spans="1:11" ht="114.75" customHeight="1" x14ac:dyDescent="0.25">
      <c r="A62" s="26"/>
      <c r="B62" s="2" t="s">
        <v>462</v>
      </c>
      <c r="C62" s="3"/>
      <c r="D62" s="4"/>
      <c r="E62" s="4"/>
      <c r="F62" s="4"/>
      <c r="G62" s="6"/>
      <c r="H62" s="6"/>
      <c r="I62" s="6"/>
      <c r="J62" s="6"/>
      <c r="K62" s="6"/>
    </row>
    <row r="63" spans="1:11" ht="25.5" customHeight="1" x14ac:dyDescent="0.25">
      <c r="A63" s="26" t="s">
        <v>415</v>
      </c>
      <c r="B63" s="2" t="s">
        <v>463</v>
      </c>
      <c r="C63" s="3" t="s">
        <v>403</v>
      </c>
      <c r="D63" s="4">
        <v>388.2</v>
      </c>
      <c r="E63" s="4">
        <v>134</v>
      </c>
      <c r="F63" s="4">
        <f t="shared" ref="F63:F67" si="5">D63*$E63</f>
        <v>52018.799999999996</v>
      </c>
      <c r="G63" s="6"/>
      <c r="H63" s="6"/>
      <c r="I63" s="6"/>
      <c r="J63" s="6"/>
      <c r="K63" s="6"/>
    </row>
    <row r="64" spans="1:11" ht="25.5" customHeight="1" x14ac:dyDescent="0.25">
      <c r="A64" s="26" t="s">
        <v>418</v>
      </c>
      <c r="B64" s="2" t="s">
        <v>464</v>
      </c>
      <c r="C64" s="3" t="s">
        <v>403</v>
      </c>
      <c r="D64" s="4">
        <v>388.2</v>
      </c>
      <c r="E64" s="4">
        <v>130</v>
      </c>
      <c r="F64" s="4">
        <f t="shared" si="5"/>
        <v>50466</v>
      </c>
      <c r="G64" s="6"/>
      <c r="H64" s="6"/>
      <c r="I64" s="6"/>
      <c r="J64" s="6"/>
      <c r="K64" s="6"/>
    </row>
    <row r="65" spans="1:11" ht="25.5" customHeight="1" x14ac:dyDescent="0.25">
      <c r="A65" s="26" t="s">
        <v>465</v>
      </c>
      <c r="B65" s="2" t="s">
        <v>466</v>
      </c>
      <c r="C65" s="3" t="s">
        <v>403</v>
      </c>
      <c r="D65" s="4">
        <v>59</v>
      </c>
      <c r="E65" s="4">
        <v>128</v>
      </c>
      <c r="F65" s="4">
        <f t="shared" si="5"/>
        <v>7552</v>
      </c>
      <c r="G65" s="6"/>
      <c r="H65" s="6"/>
      <c r="I65" s="6"/>
      <c r="J65" s="6"/>
      <c r="K65" s="6"/>
    </row>
    <row r="66" spans="1:11" ht="25.5" customHeight="1" x14ac:dyDescent="0.25">
      <c r="A66" s="26" t="s">
        <v>467</v>
      </c>
      <c r="B66" s="2" t="s">
        <v>468</v>
      </c>
      <c r="C66" s="3" t="s">
        <v>403</v>
      </c>
      <c r="D66" s="4">
        <v>63</v>
      </c>
      <c r="E66" s="4">
        <v>125</v>
      </c>
      <c r="F66" s="4">
        <f t="shared" si="5"/>
        <v>7875</v>
      </c>
      <c r="G66" s="6"/>
      <c r="H66" s="6"/>
      <c r="I66" s="6"/>
      <c r="J66" s="6"/>
      <c r="K66" s="6"/>
    </row>
    <row r="67" spans="1:11" ht="12.75" customHeight="1" x14ac:dyDescent="0.25">
      <c r="A67" s="26" t="s">
        <v>469</v>
      </c>
      <c r="B67" s="2" t="s">
        <v>470</v>
      </c>
      <c r="C67" s="3" t="s">
        <v>417</v>
      </c>
      <c r="D67" s="4">
        <v>124</v>
      </c>
      <c r="E67" s="4">
        <v>83</v>
      </c>
      <c r="F67" s="4">
        <f t="shared" si="5"/>
        <v>10292</v>
      </c>
      <c r="G67" s="6"/>
      <c r="H67" s="6"/>
      <c r="I67" s="6"/>
      <c r="J67" s="6"/>
      <c r="K67" s="6"/>
    </row>
    <row r="68" spans="1:11" ht="12.75" customHeight="1" x14ac:dyDescent="0.25">
      <c r="A68" s="26"/>
      <c r="B68" s="2" t="s">
        <v>471</v>
      </c>
      <c r="C68" s="3"/>
      <c r="D68" s="4"/>
      <c r="E68" s="4"/>
      <c r="F68" s="4"/>
      <c r="G68" s="6"/>
      <c r="H68" s="6"/>
      <c r="I68" s="6"/>
      <c r="J68" s="6"/>
      <c r="K68" s="6"/>
    </row>
    <row r="69" spans="1:11" ht="267.75" customHeight="1" x14ac:dyDescent="0.25">
      <c r="A69" s="26" t="s">
        <v>472</v>
      </c>
      <c r="B69" s="2" t="s">
        <v>473</v>
      </c>
      <c r="C69" s="3"/>
      <c r="D69" s="4"/>
      <c r="E69" s="4"/>
      <c r="F69" s="4"/>
      <c r="G69" s="6"/>
      <c r="H69" s="6"/>
      <c r="I69" s="6"/>
      <c r="J69" s="6"/>
      <c r="K69" s="6"/>
    </row>
    <row r="70" spans="1:11" ht="293.25" customHeight="1" x14ac:dyDescent="0.25">
      <c r="A70" s="26"/>
      <c r="B70" s="2" t="s">
        <v>474</v>
      </c>
      <c r="C70" s="3"/>
      <c r="D70" s="4"/>
      <c r="E70" s="4"/>
      <c r="F70" s="4"/>
      <c r="G70" s="6"/>
      <c r="H70" s="6"/>
      <c r="I70" s="6"/>
      <c r="J70" s="6"/>
      <c r="K70" s="6"/>
    </row>
    <row r="71" spans="1:11" ht="255" customHeight="1" x14ac:dyDescent="0.25">
      <c r="A71" s="26"/>
      <c r="B71" s="2" t="s">
        <v>475</v>
      </c>
      <c r="C71" s="3"/>
      <c r="D71" s="4"/>
      <c r="E71" s="4"/>
      <c r="F71" s="4"/>
      <c r="G71" s="6"/>
      <c r="H71" s="6"/>
      <c r="I71" s="6"/>
      <c r="J71" s="6"/>
      <c r="K71" s="6"/>
    </row>
    <row r="72" spans="1:11" ht="89.25" customHeight="1" x14ac:dyDescent="0.25">
      <c r="A72" s="26"/>
      <c r="B72" s="2" t="s">
        <v>476</v>
      </c>
      <c r="C72" s="3"/>
      <c r="D72" s="4"/>
      <c r="E72" s="4"/>
      <c r="F72" s="4"/>
      <c r="G72" s="6"/>
      <c r="H72" s="6"/>
      <c r="I72" s="6"/>
      <c r="J72" s="6"/>
      <c r="K72" s="6"/>
    </row>
    <row r="73" spans="1:11" ht="216.75" customHeight="1" x14ac:dyDescent="0.25">
      <c r="A73" s="26"/>
      <c r="B73" s="2" t="s">
        <v>477</v>
      </c>
      <c r="C73" s="3"/>
      <c r="D73" s="4"/>
      <c r="E73" s="4"/>
      <c r="F73" s="4"/>
      <c r="G73" s="6"/>
      <c r="H73" s="6"/>
      <c r="I73" s="6"/>
      <c r="J73" s="6"/>
      <c r="K73" s="6"/>
    </row>
    <row r="74" spans="1:11" ht="293.25" customHeight="1" x14ac:dyDescent="0.25">
      <c r="A74" s="26"/>
      <c r="B74" s="2" t="s">
        <v>478</v>
      </c>
      <c r="C74" s="3"/>
      <c r="D74" s="4"/>
      <c r="E74" s="4"/>
      <c r="F74" s="4"/>
      <c r="G74" s="6"/>
      <c r="H74" s="6"/>
      <c r="I74" s="6"/>
      <c r="J74" s="6"/>
      <c r="K74" s="6"/>
    </row>
    <row r="75" spans="1:11" ht="242.25" customHeight="1" x14ac:dyDescent="0.25">
      <c r="A75" s="26"/>
      <c r="B75" s="2" t="s">
        <v>479</v>
      </c>
      <c r="C75" s="3"/>
      <c r="D75" s="4"/>
      <c r="E75" s="4"/>
      <c r="F75" s="4"/>
      <c r="G75" s="6"/>
      <c r="H75" s="6"/>
      <c r="I75" s="6"/>
      <c r="J75" s="6"/>
      <c r="K75" s="6"/>
    </row>
    <row r="76" spans="1:11" ht="127.5" customHeight="1" x14ac:dyDescent="0.25">
      <c r="A76" s="26"/>
      <c r="B76" s="2" t="s">
        <v>480</v>
      </c>
      <c r="C76" s="3" t="s">
        <v>403</v>
      </c>
      <c r="D76" s="4">
        <v>129.4</v>
      </c>
      <c r="E76" s="4">
        <v>74</v>
      </c>
      <c r="F76" s="4">
        <f>D76*$E76</f>
        <v>9575.6</v>
      </c>
      <c r="G76" s="6"/>
      <c r="H76" s="6"/>
      <c r="I76" s="6"/>
      <c r="J76" s="6"/>
      <c r="K76" s="6"/>
    </row>
    <row r="77" spans="1:11" ht="293.25" customHeight="1" x14ac:dyDescent="0.25">
      <c r="A77" s="26" t="s">
        <v>481</v>
      </c>
      <c r="B77" s="2" t="s">
        <v>482</v>
      </c>
      <c r="C77" s="3"/>
      <c r="D77" s="4"/>
      <c r="E77" s="4"/>
      <c r="F77" s="4"/>
      <c r="G77" s="6"/>
      <c r="H77" s="6"/>
      <c r="I77" s="6"/>
      <c r="J77" s="6"/>
      <c r="K77" s="6"/>
    </row>
    <row r="78" spans="1:11" ht="357" customHeight="1" x14ac:dyDescent="0.25">
      <c r="A78" s="26"/>
      <c r="B78" s="2" t="s">
        <v>483</v>
      </c>
      <c r="C78" s="3"/>
      <c r="D78" s="4"/>
      <c r="E78" s="4"/>
      <c r="F78" s="4"/>
      <c r="G78" s="6"/>
      <c r="H78" s="6"/>
      <c r="I78" s="6"/>
      <c r="J78" s="6"/>
      <c r="K78" s="6"/>
    </row>
    <row r="79" spans="1:11" ht="89.25" customHeight="1" x14ac:dyDescent="0.25">
      <c r="A79" s="26"/>
      <c r="B79" s="2" t="s">
        <v>458</v>
      </c>
      <c r="C79" s="3"/>
      <c r="D79" s="4"/>
      <c r="E79" s="4"/>
      <c r="F79" s="4"/>
      <c r="G79" s="6"/>
      <c r="H79" s="6"/>
      <c r="I79" s="6"/>
      <c r="J79" s="6"/>
      <c r="K79" s="6"/>
    </row>
    <row r="80" spans="1:11" ht="255" customHeight="1" x14ac:dyDescent="0.25">
      <c r="A80" s="26"/>
      <c r="B80" s="2" t="s">
        <v>484</v>
      </c>
      <c r="C80" s="3"/>
      <c r="D80" s="4"/>
      <c r="E80" s="4"/>
      <c r="F80" s="4"/>
      <c r="G80" s="6"/>
      <c r="H80" s="6"/>
      <c r="I80" s="6"/>
      <c r="J80" s="6"/>
      <c r="K80" s="6"/>
    </row>
    <row r="81" spans="1:11" ht="102" customHeight="1" x14ac:dyDescent="0.25">
      <c r="A81" s="26"/>
      <c r="B81" s="2" t="s">
        <v>485</v>
      </c>
      <c r="C81" s="3"/>
      <c r="D81" s="4"/>
      <c r="E81" s="4"/>
      <c r="F81" s="4"/>
      <c r="G81" s="6"/>
      <c r="H81" s="6"/>
      <c r="I81" s="6"/>
      <c r="J81" s="6"/>
      <c r="K81" s="6"/>
    </row>
    <row r="82" spans="1:11" ht="216.75" customHeight="1" x14ac:dyDescent="0.25">
      <c r="A82" s="26"/>
      <c r="B82" s="2" t="s">
        <v>486</v>
      </c>
      <c r="C82" s="3"/>
      <c r="D82" s="4"/>
      <c r="E82" s="4"/>
      <c r="F82" s="4"/>
      <c r="G82" s="6"/>
      <c r="H82" s="6"/>
      <c r="I82" s="6"/>
      <c r="J82" s="6"/>
      <c r="K82" s="6"/>
    </row>
    <row r="83" spans="1:11" ht="242.25" customHeight="1" x14ac:dyDescent="0.25">
      <c r="A83" s="26"/>
      <c r="B83" s="2" t="s">
        <v>487</v>
      </c>
      <c r="C83" s="3"/>
      <c r="D83" s="4"/>
      <c r="E83" s="4"/>
      <c r="F83" s="4"/>
      <c r="G83" s="6"/>
      <c r="H83" s="6"/>
      <c r="I83" s="6"/>
      <c r="J83" s="6"/>
      <c r="K83" s="6"/>
    </row>
    <row r="84" spans="1:11" ht="102" customHeight="1" x14ac:dyDescent="0.25">
      <c r="A84" s="26"/>
      <c r="B84" s="2" t="s">
        <v>488</v>
      </c>
      <c r="C84" s="3"/>
      <c r="D84" s="4"/>
      <c r="E84" s="4"/>
      <c r="F84" s="4"/>
      <c r="G84" s="6"/>
      <c r="H84" s="6"/>
      <c r="I84" s="6"/>
      <c r="J84" s="6"/>
      <c r="K84" s="6"/>
    </row>
    <row r="85" spans="1:11" ht="25.5" customHeight="1" x14ac:dyDescent="0.25">
      <c r="A85" s="26" t="s">
        <v>415</v>
      </c>
      <c r="B85" s="2" t="s">
        <v>463</v>
      </c>
      <c r="C85" s="3" t="s">
        <v>403</v>
      </c>
      <c r="D85" s="4">
        <v>129.4</v>
      </c>
      <c r="E85" s="4">
        <v>78</v>
      </c>
      <c r="F85" s="4">
        <f t="shared" ref="F85:F89" si="6">D85*$E85</f>
        <v>10093.200000000001</v>
      </c>
      <c r="G85" s="6"/>
      <c r="H85" s="6"/>
      <c r="I85" s="6"/>
      <c r="J85" s="6"/>
      <c r="K85" s="6"/>
    </row>
    <row r="86" spans="1:11" ht="25.5" customHeight="1" x14ac:dyDescent="0.25">
      <c r="A86" s="26" t="s">
        <v>418</v>
      </c>
      <c r="B86" s="2" t="s">
        <v>464</v>
      </c>
      <c r="C86" s="3" t="s">
        <v>403</v>
      </c>
      <c r="D86" s="4">
        <v>129.4</v>
      </c>
      <c r="E86" s="4">
        <v>74</v>
      </c>
      <c r="F86" s="4">
        <f t="shared" si="6"/>
        <v>9575.6</v>
      </c>
      <c r="G86" s="6"/>
      <c r="H86" s="6"/>
      <c r="I86" s="6"/>
      <c r="J86" s="6"/>
      <c r="K86" s="6"/>
    </row>
    <row r="87" spans="1:11" ht="25.5" customHeight="1" x14ac:dyDescent="0.25">
      <c r="A87" s="26" t="s">
        <v>465</v>
      </c>
      <c r="B87" s="2" t="s">
        <v>466</v>
      </c>
      <c r="C87" s="3" t="s">
        <v>403</v>
      </c>
      <c r="D87" s="4">
        <v>59</v>
      </c>
      <c r="E87" s="4">
        <v>72</v>
      </c>
      <c r="F87" s="4">
        <f t="shared" si="6"/>
        <v>4248</v>
      </c>
      <c r="G87" s="6"/>
      <c r="H87" s="6"/>
      <c r="I87" s="6"/>
      <c r="J87" s="6"/>
      <c r="K87" s="6"/>
    </row>
    <row r="88" spans="1:11" ht="25.5" customHeight="1" x14ac:dyDescent="0.25">
      <c r="A88" s="26" t="s">
        <v>467</v>
      </c>
      <c r="B88" s="2" t="s">
        <v>468</v>
      </c>
      <c r="C88" s="3" t="s">
        <v>403</v>
      </c>
      <c r="D88" s="4">
        <v>63</v>
      </c>
      <c r="E88" s="4">
        <v>69</v>
      </c>
      <c r="F88" s="4">
        <f t="shared" si="6"/>
        <v>4347</v>
      </c>
      <c r="G88" s="6"/>
      <c r="H88" s="6"/>
      <c r="I88" s="6"/>
      <c r="J88" s="6"/>
      <c r="K88" s="6"/>
    </row>
    <row r="89" spans="1:11" ht="12.75" customHeight="1" x14ac:dyDescent="0.25">
      <c r="A89" s="26" t="s">
        <v>469</v>
      </c>
      <c r="B89" s="2" t="s">
        <v>470</v>
      </c>
      <c r="C89" s="3" t="s">
        <v>417</v>
      </c>
      <c r="D89" s="4">
        <v>42</v>
      </c>
      <c r="E89" s="4">
        <v>48</v>
      </c>
      <c r="F89" s="4">
        <f t="shared" si="6"/>
        <v>2016</v>
      </c>
      <c r="G89" s="6"/>
      <c r="H89" s="6"/>
      <c r="I89" s="6"/>
      <c r="J89" s="6"/>
      <c r="K89" s="6"/>
    </row>
    <row r="90" spans="1:11" ht="12.75" customHeight="1" x14ac:dyDescent="0.25">
      <c r="A90" s="26"/>
      <c r="B90" s="39" t="s">
        <v>489</v>
      </c>
      <c r="C90" s="6"/>
      <c r="D90" s="6"/>
      <c r="E90" s="6"/>
      <c r="F90" s="44">
        <f>SUM(F53:F89)</f>
        <v>218525.2</v>
      </c>
      <c r="G90" s="6"/>
      <c r="H90" s="6"/>
      <c r="I90" s="6"/>
      <c r="J90" s="6"/>
      <c r="K90" s="6"/>
    </row>
    <row r="91" spans="1:11" ht="12.75" customHeight="1" x14ac:dyDescent="0.25">
      <c r="A91" s="26"/>
      <c r="B91" s="2"/>
      <c r="C91" s="3"/>
      <c r="D91" s="4"/>
      <c r="E91" s="4"/>
      <c r="F91" s="4"/>
      <c r="G91" s="6"/>
      <c r="H91" s="6"/>
      <c r="I91" s="6"/>
      <c r="J91" s="6"/>
      <c r="K91" s="6"/>
    </row>
    <row r="92" spans="1:11" ht="12.75" customHeight="1" x14ac:dyDescent="0.25">
      <c r="A92" s="26"/>
      <c r="B92" s="2"/>
      <c r="C92" s="3"/>
      <c r="D92" s="4"/>
      <c r="E92" s="4"/>
      <c r="F92" s="4"/>
      <c r="G92" s="6"/>
      <c r="H92" s="6"/>
      <c r="I92" s="6"/>
      <c r="J92" s="6"/>
      <c r="K92" s="6"/>
    </row>
    <row r="93" spans="1:11" ht="12.75" customHeight="1" x14ac:dyDescent="0.25">
      <c r="A93" s="26"/>
      <c r="B93" s="2"/>
      <c r="C93" s="3"/>
      <c r="D93" s="4"/>
      <c r="E93" s="4"/>
      <c r="F93" s="4"/>
      <c r="G93" s="6"/>
      <c r="H93" s="6"/>
      <c r="I93" s="6"/>
      <c r="J93" s="6"/>
      <c r="K93" s="6"/>
    </row>
    <row r="94" spans="1:11" ht="12.75" customHeight="1" x14ac:dyDescent="0.25">
      <c r="A94" s="43" t="s">
        <v>510</v>
      </c>
      <c r="B94" s="45" t="s">
        <v>511</v>
      </c>
      <c r="C94" s="42"/>
      <c r="D94" s="42"/>
      <c r="E94" s="42"/>
      <c r="F94" s="42"/>
      <c r="G94" s="6"/>
      <c r="H94" s="6"/>
      <c r="I94" s="6"/>
      <c r="J94" s="6"/>
      <c r="K94" s="6"/>
    </row>
    <row r="95" spans="1:11" ht="38.25" customHeight="1" x14ac:dyDescent="0.25">
      <c r="A95" s="26" t="s">
        <v>512</v>
      </c>
      <c r="B95" s="2" t="s">
        <v>513</v>
      </c>
      <c r="C95" s="3" t="s">
        <v>403</v>
      </c>
      <c r="D95" s="4">
        <v>190.5</v>
      </c>
      <c r="E95" s="4">
        <v>9.4499999999999993</v>
      </c>
      <c r="F95" s="4">
        <f>D95*$E95</f>
        <v>1800.2249999999999</v>
      </c>
      <c r="G95" s="6"/>
      <c r="H95" s="6"/>
      <c r="I95" s="6"/>
      <c r="J95" s="6"/>
      <c r="K95" s="6"/>
    </row>
    <row r="96" spans="1:11" ht="12.75" customHeight="1" x14ac:dyDescent="0.25">
      <c r="A96" s="26"/>
      <c r="B96" s="2"/>
      <c r="C96" s="3"/>
      <c r="D96" s="4"/>
      <c r="E96" s="4"/>
      <c r="F96" s="4"/>
      <c r="G96" s="6"/>
      <c r="H96" s="6"/>
      <c r="I96" s="6"/>
      <c r="J96" s="6"/>
      <c r="K96" s="6"/>
    </row>
    <row r="97" spans="1:11" ht="12.75" customHeight="1" x14ac:dyDescent="0.25">
      <c r="A97" s="26"/>
      <c r="B97" s="2"/>
      <c r="C97" s="3"/>
      <c r="D97" s="4"/>
      <c r="E97" s="4"/>
      <c r="F97" s="4"/>
      <c r="G97" s="6"/>
      <c r="H97" s="6"/>
      <c r="I97" s="6"/>
      <c r="J97" s="6"/>
      <c r="K97" s="6"/>
    </row>
    <row r="98" spans="1:11" ht="12.75" customHeight="1" x14ac:dyDescent="0.25">
      <c r="A98" s="26"/>
      <c r="B98" s="2"/>
      <c r="C98" s="3"/>
      <c r="D98" s="4"/>
      <c r="E98" s="4"/>
      <c r="F98" s="4"/>
      <c r="G98" s="6"/>
      <c r="H98" s="6"/>
      <c r="I98" s="6"/>
      <c r="J98" s="6"/>
      <c r="K98" s="6"/>
    </row>
    <row r="99" spans="1:11" ht="12.75" customHeight="1" x14ac:dyDescent="0.25">
      <c r="A99" s="26"/>
      <c r="B99" s="2"/>
      <c r="C99" s="3"/>
      <c r="D99" s="4"/>
      <c r="E99" s="4"/>
      <c r="F99" s="4"/>
      <c r="G99" s="6"/>
      <c r="H99" s="6"/>
      <c r="I99" s="6"/>
      <c r="J99" s="6"/>
      <c r="K99" s="6"/>
    </row>
    <row r="100" spans="1:11" ht="12.75" customHeight="1" x14ac:dyDescent="0.25">
      <c r="A100" s="26"/>
      <c r="B100" s="2"/>
      <c r="C100" s="3"/>
      <c r="D100" s="4"/>
      <c r="E100" s="4"/>
      <c r="F100" s="4"/>
      <c r="G100" s="6"/>
      <c r="H100" s="6"/>
      <c r="I100" s="6"/>
      <c r="J100" s="6"/>
      <c r="K100" s="6"/>
    </row>
  </sheetData>
  <printOptions horizontalCentered="1" gridLines="1"/>
  <pageMargins left="0.70833333333333304" right="0.70833333333333304" top="0.74791666666666701" bottom="0.74791666666666701" header="0" footer="0"/>
  <pageSetup paperSize="9" scale="90" orientation="portrait"/>
  <headerFooter>
    <oddHeader>&amp;L Ministarstvo unutarnjih poslova RH&amp;R Nastavno nacionalno središte civilne zaštite u Jastrebarskom</oddHeader>
    <oddFooter>&amp;L Troškovnik radova na uređenju građevina i vanjskog prostora - zgrada 13&amp;R stranica &amp;P od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
  <sheetViews>
    <sheetView topLeftCell="A8" workbookViewId="0">
      <selection activeCell="F20" sqref="F20"/>
    </sheetView>
  </sheetViews>
  <sheetFormatPr defaultColWidth="14.42578125" defaultRowHeight="15" customHeight="1" x14ac:dyDescent="0.25"/>
  <cols>
    <col min="1" max="1" width="6.140625" customWidth="1"/>
    <col min="2" max="2" width="50.7109375" customWidth="1"/>
    <col min="3" max="3" width="5.7109375" customWidth="1"/>
    <col min="4" max="4" width="9.7109375" customWidth="1"/>
    <col min="5" max="5" width="10.7109375" customWidth="1"/>
    <col min="6" max="6" width="13.85546875" customWidth="1"/>
    <col min="7" max="11" width="9.140625" customWidth="1"/>
  </cols>
  <sheetData>
    <row r="1" spans="1:11" ht="36" customHeight="1" x14ac:dyDescent="0.25">
      <c r="A1" s="29" t="s">
        <v>7</v>
      </c>
      <c r="B1" s="30" t="s">
        <v>8</v>
      </c>
      <c r="C1" s="31" t="s">
        <v>9</v>
      </c>
      <c r="D1" s="32" t="s">
        <v>10</v>
      </c>
      <c r="E1" s="32" t="s">
        <v>396</v>
      </c>
      <c r="F1" s="32" t="s">
        <v>12</v>
      </c>
      <c r="G1" s="34"/>
      <c r="H1" s="34"/>
      <c r="I1" s="34"/>
      <c r="J1" s="34"/>
      <c r="K1" s="34"/>
    </row>
    <row r="2" spans="1:11" ht="12.75" customHeight="1" x14ac:dyDescent="0.25">
      <c r="A2" s="35"/>
      <c r="B2" s="2"/>
      <c r="C2" s="36"/>
      <c r="D2" s="37"/>
      <c r="E2" s="37"/>
      <c r="F2" s="37"/>
      <c r="G2" s="6"/>
      <c r="H2" s="6"/>
      <c r="I2" s="6"/>
      <c r="J2" s="6"/>
      <c r="K2" s="6"/>
    </row>
    <row r="3" spans="1:11" ht="12.75" customHeight="1" x14ac:dyDescent="0.25">
      <c r="A3" s="39" t="s">
        <v>555</v>
      </c>
      <c r="B3" s="16" t="s">
        <v>556</v>
      </c>
      <c r="C3" s="40"/>
      <c r="D3" s="41"/>
      <c r="E3" s="41"/>
      <c r="F3" s="41"/>
      <c r="G3" s="42"/>
      <c r="H3" s="42"/>
      <c r="I3" s="42"/>
      <c r="J3" s="42"/>
      <c r="K3" s="42"/>
    </row>
    <row r="4" spans="1:11" ht="12.75" customHeight="1" x14ac:dyDescent="0.25">
      <c r="A4" s="35"/>
      <c r="B4" s="2"/>
      <c r="C4" s="36"/>
      <c r="D4" s="37"/>
      <c r="E4" s="37"/>
      <c r="F4" s="37"/>
      <c r="G4" s="6"/>
      <c r="H4" s="6"/>
      <c r="I4" s="6"/>
      <c r="J4" s="6"/>
      <c r="K4" s="6"/>
    </row>
    <row r="5" spans="1:11" ht="12.75" customHeight="1" x14ac:dyDescent="0.25">
      <c r="A5" s="43" t="s">
        <v>399</v>
      </c>
      <c r="B5" s="16" t="s">
        <v>400</v>
      </c>
      <c r="C5" s="3"/>
      <c r="D5" s="4"/>
      <c r="E5" s="4"/>
      <c r="F5" s="4"/>
      <c r="G5" s="6"/>
      <c r="H5" s="6"/>
      <c r="I5" s="6"/>
      <c r="J5" s="6"/>
      <c r="K5" s="6"/>
    </row>
    <row r="6" spans="1:11" ht="12.75" customHeight="1" x14ac:dyDescent="0.25">
      <c r="A6" s="43"/>
      <c r="B6" s="16"/>
      <c r="C6" s="3"/>
      <c r="D6" s="4"/>
      <c r="E6" s="4"/>
      <c r="F6" s="4"/>
      <c r="G6" s="6"/>
      <c r="H6" s="6"/>
      <c r="I6" s="6"/>
      <c r="J6" s="6"/>
      <c r="K6" s="6"/>
    </row>
    <row r="7" spans="1:11" ht="12.75" customHeight="1" x14ac:dyDescent="0.25">
      <c r="A7" s="39" t="s">
        <v>389</v>
      </c>
      <c r="B7" s="16" t="s">
        <v>31</v>
      </c>
      <c r="C7" s="42"/>
      <c r="D7" s="44"/>
      <c r="E7" s="44"/>
      <c r="F7" s="44"/>
      <c r="G7" s="6"/>
      <c r="H7" s="6"/>
      <c r="I7" s="6"/>
      <c r="J7" s="6"/>
      <c r="K7" s="6"/>
    </row>
    <row r="8" spans="1:11" ht="140.25" customHeight="1" x14ac:dyDescent="0.25">
      <c r="A8" s="26" t="s">
        <v>401</v>
      </c>
      <c r="B8" s="2" t="s">
        <v>402</v>
      </c>
      <c r="C8" s="3" t="s">
        <v>403</v>
      </c>
      <c r="D8" s="4">
        <v>698</v>
      </c>
      <c r="E8" s="4">
        <v>11.55</v>
      </c>
      <c r="F8" s="4">
        <f>D8*$E8</f>
        <v>8061.9000000000005</v>
      </c>
      <c r="G8" s="6"/>
      <c r="H8" s="6"/>
      <c r="I8" s="6"/>
      <c r="J8" s="6"/>
      <c r="K8" s="6"/>
    </row>
    <row r="9" spans="1:11" ht="12.75" customHeight="1" x14ac:dyDescent="0.25">
      <c r="A9" s="26"/>
      <c r="B9" s="39" t="s">
        <v>404</v>
      </c>
      <c r="C9" s="6"/>
      <c r="D9" s="6"/>
      <c r="E9" s="6"/>
      <c r="F9" s="44">
        <f>SUM(F8)</f>
        <v>8061.9000000000005</v>
      </c>
      <c r="G9" s="6"/>
      <c r="H9" s="6"/>
      <c r="I9" s="6"/>
      <c r="J9" s="6"/>
      <c r="K9" s="6"/>
    </row>
    <row r="10" spans="1:11" ht="12.75" customHeight="1" x14ac:dyDescent="0.25">
      <c r="A10" s="26"/>
      <c r="B10" s="2"/>
      <c r="C10" s="3"/>
      <c r="D10" s="4"/>
      <c r="E10" s="4"/>
      <c r="F10" s="4"/>
      <c r="G10" s="6"/>
      <c r="H10" s="6"/>
      <c r="I10" s="6"/>
      <c r="J10" s="6"/>
      <c r="K10" s="6"/>
    </row>
    <row r="11" spans="1:11" ht="89.25" customHeight="1" x14ac:dyDescent="0.25">
      <c r="A11" s="26" t="s">
        <v>546</v>
      </c>
      <c r="B11" s="2" t="s">
        <v>547</v>
      </c>
      <c r="C11" s="3" t="s">
        <v>403</v>
      </c>
      <c r="D11" s="4">
        <v>499</v>
      </c>
      <c r="E11" s="4">
        <v>10.5</v>
      </c>
      <c r="F11" s="4">
        <f>D11*$E11</f>
        <v>5239.5</v>
      </c>
      <c r="G11" s="6"/>
      <c r="H11" s="6"/>
      <c r="I11" s="6"/>
      <c r="J11" s="6"/>
      <c r="K11" s="6"/>
    </row>
    <row r="12" spans="1:11" ht="12.75" customHeight="1" x14ac:dyDescent="0.25">
      <c r="A12" s="26"/>
      <c r="B12" s="39"/>
      <c r="C12" s="6"/>
      <c r="D12" s="6"/>
      <c r="E12" s="6"/>
      <c r="F12" s="4"/>
      <c r="G12" s="6"/>
      <c r="H12" s="6"/>
      <c r="I12" s="6"/>
      <c r="J12" s="6"/>
      <c r="K12" s="6"/>
    </row>
    <row r="13" spans="1:11" ht="12.75" customHeight="1" x14ac:dyDescent="0.25">
      <c r="A13" s="26"/>
      <c r="B13" s="2"/>
      <c r="C13" s="3"/>
      <c r="D13" s="4"/>
      <c r="E13" s="4"/>
      <c r="F13" s="4"/>
      <c r="G13" s="6"/>
      <c r="H13" s="6"/>
      <c r="I13" s="6"/>
      <c r="J13" s="6"/>
      <c r="K13" s="6"/>
    </row>
    <row r="14" spans="1:11" ht="12.75" customHeight="1" x14ac:dyDescent="0.25">
      <c r="A14" s="43" t="s">
        <v>405</v>
      </c>
      <c r="B14" s="45" t="s">
        <v>83</v>
      </c>
      <c r="C14" s="42"/>
      <c r="D14" s="42"/>
      <c r="E14" s="42"/>
      <c r="F14" s="42"/>
      <c r="G14" s="6"/>
      <c r="H14" s="6"/>
      <c r="I14" s="6"/>
      <c r="J14" s="6"/>
      <c r="K14" s="6"/>
    </row>
    <row r="15" spans="1:11" ht="63.75" customHeight="1" x14ac:dyDescent="0.25">
      <c r="A15" s="26" t="s">
        <v>408</v>
      </c>
      <c r="B15" s="2" t="s">
        <v>407</v>
      </c>
      <c r="C15" s="3" t="s">
        <v>403</v>
      </c>
      <c r="D15" s="4">
        <v>479.8</v>
      </c>
      <c r="E15" s="4">
        <v>55</v>
      </c>
      <c r="F15" s="4">
        <f t="shared" ref="F15:F16" si="0">D15*$E15</f>
        <v>26389</v>
      </c>
      <c r="G15" s="6"/>
      <c r="H15" s="6"/>
      <c r="I15" s="6"/>
      <c r="J15" s="6"/>
      <c r="K15" s="6"/>
    </row>
    <row r="16" spans="1:11" ht="63.75" customHeight="1" x14ac:dyDescent="0.25">
      <c r="A16" s="26" t="s">
        <v>557</v>
      </c>
      <c r="B16" s="2" t="s">
        <v>409</v>
      </c>
      <c r="C16" s="3" t="s">
        <v>403</v>
      </c>
      <c r="D16" s="4">
        <v>194.5</v>
      </c>
      <c r="E16" s="4">
        <v>55</v>
      </c>
      <c r="F16" s="4">
        <f t="shared" si="0"/>
        <v>10697.5</v>
      </c>
      <c r="G16" s="6"/>
      <c r="H16" s="6"/>
      <c r="I16" s="6"/>
      <c r="J16" s="6"/>
      <c r="K16" s="6"/>
    </row>
    <row r="17" spans="1:11" ht="12.75" customHeight="1" x14ac:dyDescent="0.25">
      <c r="A17" s="26"/>
      <c r="B17" s="39" t="s">
        <v>410</v>
      </c>
      <c r="C17" s="6"/>
      <c r="D17" s="6"/>
      <c r="E17" s="6"/>
      <c r="F17" s="44">
        <f>SUM(F15:F16)</f>
        <v>37086.5</v>
      </c>
      <c r="G17" s="6"/>
      <c r="H17" s="6"/>
      <c r="I17" s="6"/>
      <c r="J17" s="6"/>
      <c r="K17" s="6"/>
    </row>
    <row r="18" spans="1:11" ht="12.75" customHeight="1" x14ac:dyDescent="0.25">
      <c r="A18" s="26"/>
      <c r="B18" s="2"/>
      <c r="C18" s="3"/>
      <c r="D18" s="4"/>
      <c r="E18" s="4"/>
      <c r="F18" s="4"/>
      <c r="G18" s="6"/>
      <c r="H18" s="6"/>
      <c r="I18" s="6"/>
      <c r="J18" s="6"/>
      <c r="K18" s="6"/>
    </row>
    <row r="19" spans="1:11" ht="12.75" customHeight="1" x14ac:dyDescent="0.25">
      <c r="A19" s="39" t="s">
        <v>411</v>
      </c>
      <c r="B19" s="16" t="s">
        <v>412</v>
      </c>
      <c r="C19" s="42"/>
      <c r="D19" s="44"/>
      <c r="E19" s="44"/>
      <c r="F19" s="44"/>
      <c r="G19" s="6"/>
      <c r="H19" s="6"/>
      <c r="I19" s="6"/>
      <c r="J19" s="6"/>
      <c r="K19" s="6"/>
    </row>
    <row r="20" spans="1:11" ht="153" customHeight="1" x14ac:dyDescent="0.25">
      <c r="A20" s="35" t="s">
        <v>413</v>
      </c>
      <c r="B20" s="2" t="s">
        <v>414</v>
      </c>
      <c r="C20" s="6"/>
      <c r="D20" s="4"/>
      <c r="E20" s="4"/>
      <c r="F20" s="4"/>
      <c r="G20" s="6"/>
      <c r="H20" s="6"/>
      <c r="I20" s="6"/>
      <c r="J20" s="6"/>
      <c r="K20" s="6"/>
    </row>
    <row r="21" spans="1:11" ht="12.75" customHeight="1" x14ac:dyDescent="0.25">
      <c r="A21" s="35" t="s">
        <v>415</v>
      </c>
      <c r="B21" s="2" t="s">
        <v>416</v>
      </c>
      <c r="C21" s="3" t="s">
        <v>417</v>
      </c>
      <c r="D21" s="4">
        <v>160.5</v>
      </c>
      <c r="E21" s="4"/>
      <c r="F21" s="4">
        <f t="shared" ref="F21:F22" si="1">D21*$E21</f>
        <v>0</v>
      </c>
      <c r="G21" s="6"/>
      <c r="H21" s="6"/>
      <c r="I21" s="6"/>
      <c r="J21" s="6"/>
      <c r="K21" s="6"/>
    </row>
    <row r="22" spans="1:11" ht="12.75" customHeight="1" x14ac:dyDescent="0.25">
      <c r="A22" s="35" t="s">
        <v>418</v>
      </c>
      <c r="B22" s="2" t="s">
        <v>419</v>
      </c>
      <c r="C22" s="3" t="s">
        <v>417</v>
      </c>
      <c r="D22" s="4">
        <v>160.5</v>
      </c>
      <c r="E22" s="4"/>
      <c r="F22" s="4">
        <f t="shared" si="1"/>
        <v>0</v>
      </c>
      <c r="G22" s="6"/>
      <c r="H22" s="6"/>
      <c r="I22" s="6"/>
      <c r="J22" s="6"/>
      <c r="K22" s="6"/>
    </row>
    <row r="23" spans="1:11" ht="38.25" customHeight="1" x14ac:dyDescent="0.25">
      <c r="A23" s="35" t="s">
        <v>420</v>
      </c>
      <c r="B23" s="2" t="s">
        <v>421</v>
      </c>
      <c r="C23" s="6"/>
      <c r="D23" s="4"/>
      <c r="E23" s="4"/>
      <c r="F23" s="4"/>
      <c r="G23" s="6"/>
      <c r="H23" s="6"/>
      <c r="I23" s="6"/>
      <c r="J23" s="6"/>
      <c r="K23" s="6"/>
    </row>
    <row r="24" spans="1:11" ht="12.75" customHeight="1" x14ac:dyDescent="0.25">
      <c r="A24" s="35" t="s">
        <v>415</v>
      </c>
      <c r="B24" s="2" t="s">
        <v>422</v>
      </c>
      <c r="C24" s="3" t="s">
        <v>417</v>
      </c>
      <c r="D24" s="4">
        <v>160.5</v>
      </c>
      <c r="E24" s="4">
        <v>16</v>
      </c>
      <c r="F24" s="4">
        <f t="shared" ref="F24:F25" si="2">D24*$E24</f>
        <v>2568</v>
      </c>
      <c r="G24" s="6"/>
      <c r="H24" s="6"/>
      <c r="I24" s="6"/>
      <c r="J24" s="6"/>
      <c r="K24" s="6"/>
    </row>
    <row r="25" spans="1:11" ht="12.75" customHeight="1" x14ac:dyDescent="0.25">
      <c r="A25" s="35" t="s">
        <v>418</v>
      </c>
      <c r="B25" s="2" t="s">
        <v>423</v>
      </c>
      <c r="C25" s="3" t="s">
        <v>417</v>
      </c>
      <c r="D25" s="4">
        <v>160.5</v>
      </c>
      <c r="E25" s="4">
        <v>16</v>
      </c>
      <c r="F25" s="4">
        <f t="shared" si="2"/>
        <v>2568</v>
      </c>
      <c r="G25" s="6"/>
      <c r="H25" s="6"/>
      <c r="I25" s="6"/>
      <c r="J25" s="6"/>
      <c r="K25" s="6"/>
    </row>
    <row r="26" spans="1:11" ht="12.75" customHeight="1" x14ac:dyDescent="0.25">
      <c r="A26" s="26"/>
      <c r="B26" s="39" t="s">
        <v>432</v>
      </c>
      <c r="C26" s="6"/>
      <c r="D26" s="6"/>
      <c r="E26" s="4"/>
      <c r="F26" s="44">
        <f>SUM(F21:F25)</f>
        <v>5136</v>
      </c>
      <c r="G26" s="6"/>
      <c r="H26" s="6"/>
      <c r="I26" s="6"/>
      <c r="J26" s="6"/>
      <c r="K26" s="6"/>
    </row>
    <row r="27" spans="1:11" ht="12.75" customHeight="1" x14ac:dyDescent="0.25">
      <c r="A27" s="26"/>
      <c r="B27" s="39"/>
      <c r="C27" s="6"/>
      <c r="D27" s="6"/>
      <c r="E27" s="6"/>
      <c r="F27" s="4"/>
      <c r="G27" s="6"/>
      <c r="H27" s="6"/>
      <c r="I27" s="6"/>
      <c r="J27" s="6"/>
      <c r="K27" s="6"/>
    </row>
    <row r="28" spans="1:11" ht="12.75" customHeight="1" x14ac:dyDescent="0.25">
      <c r="A28" s="26"/>
      <c r="B28" s="2"/>
      <c r="C28" s="3"/>
      <c r="D28" s="4"/>
      <c r="E28" s="4"/>
      <c r="F28" s="4"/>
      <c r="G28" s="6"/>
      <c r="H28" s="6"/>
      <c r="I28" s="6"/>
      <c r="J28" s="6"/>
      <c r="K28" s="6"/>
    </row>
    <row r="29" spans="1:11" ht="12.75" customHeight="1" x14ac:dyDescent="0.25">
      <c r="A29" s="43" t="s">
        <v>433</v>
      </c>
      <c r="B29" s="45" t="s">
        <v>115</v>
      </c>
      <c r="C29" s="42"/>
      <c r="D29" s="42"/>
      <c r="E29" s="42"/>
      <c r="F29" s="42"/>
      <c r="G29" s="6"/>
      <c r="H29" s="6"/>
      <c r="I29" s="6"/>
      <c r="J29" s="6"/>
      <c r="K29" s="6"/>
    </row>
    <row r="30" spans="1:11" ht="51" customHeight="1" x14ac:dyDescent="0.25">
      <c r="A30" s="43"/>
      <c r="B30" s="2" t="s">
        <v>434</v>
      </c>
      <c r="C30" s="42"/>
      <c r="D30" s="42"/>
      <c r="E30" s="42"/>
      <c r="F30" s="6"/>
      <c r="G30" s="6"/>
      <c r="H30" s="6"/>
      <c r="I30" s="6"/>
      <c r="J30" s="6"/>
      <c r="K30" s="6"/>
    </row>
    <row r="31" spans="1:11" ht="191.25" customHeight="1" x14ac:dyDescent="0.25">
      <c r="A31" s="26" t="s">
        <v>549</v>
      </c>
      <c r="B31" s="2" t="s">
        <v>550</v>
      </c>
      <c r="C31" s="3" t="s">
        <v>417</v>
      </c>
      <c r="D31" s="4">
        <v>331</v>
      </c>
      <c r="E31" s="4"/>
      <c r="F31" s="4">
        <f t="shared" ref="F31:F34" si="3">D31*$E31</f>
        <v>0</v>
      </c>
      <c r="G31" s="6"/>
      <c r="H31" s="6"/>
      <c r="I31" s="6"/>
      <c r="J31" s="6"/>
      <c r="K31" s="6"/>
    </row>
    <row r="32" spans="1:11" ht="114.75" customHeight="1" x14ac:dyDescent="0.25">
      <c r="A32" s="26" t="s">
        <v>435</v>
      </c>
      <c r="B32" s="2" t="s">
        <v>436</v>
      </c>
      <c r="C32" s="3" t="s">
        <v>403</v>
      </c>
      <c r="D32" s="4">
        <v>504.5</v>
      </c>
      <c r="E32" s="4"/>
      <c r="F32" s="4">
        <f t="shared" si="3"/>
        <v>0</v>
      </c>
      <c r="G32" s="6"/>
      <c r="H32" s="6"/>
      <c r="I32" s="6"/>
      <c r="J32" s="6"/>
      <c r="K32" s="6"/>
    </row>
    <row r="33" spans="1:11" ht="204" customHeight="1" x14ac:dyDescent="0.25">
      <c r="A33" s="26" t="s">
        <v>437</v>
      </c>
      <c r="B33" s="2" t="s">
        <v>438</v>
      </c>
      <c r="C33" s="3" t="s">
        <v>403</v>
      </c>
      <c r="D33" s="4">
        <v>504.5</v>
      </c>
      <c r="E33" s="4"/>
      <c r="F33" s="4">
        <f t="shared" si="3"/>
        <v>0</v>
      </c>
      <c r="G33" s="6"/>
      <c r="H33" s="6"/>
      <c r="I33" s="6"/>
      <c r="J33" s="6"/>
      <c r="K33" s="6"/>
    </row>
    <row r="34" spans="1:11" ht="114.75" customHeight="1" x14ac:dyDescent="0.25">
      <c r="A34" s="26" t="s">
        <v>439</v>
      </c>
      <c r="B34" s="2" t="s">
        <v>440</v>
      </c>
      <c r="C34" s="3" t="s">
        <v>403</v>
      </c>
      <c r="D34" s="4">
        <v>153</v>
      </c>
      <c r="E34" s="4"/>
      <c r="F34" s="4">
        <f t="shared" si="3"/>
        <v>0</v>
      </c>
      <c r="G34" s="6"/>
      <c r="H34" s="6"/>
      <c r="I34" s="6"/>
      <c r="J34" s="6"/>
      <c r="K34" s="6"/>
    </row>
    <row r="35" spans="1:11" ht="12.75" customHeight="1" x14ac:dyDescent="0.25">
      <c r="A35" s="26"/>
      <c r="B35" s="39" t="s">
        <v>441</v>
      </c>
      <c r="C35" s="6"/>
      <c r="D35" s="6"/>
      <c r="E35" s="6"/>
      <c r="F35" s="44">
        <f>SUM(F31:F34)</f>
        <v>0</v>
      </c>
      <c r="G35" s="6"/>
      <c r="H35" s="6"/>
      <c r="I35" s="6"/>
      <c r="J35" s="6"/>
      <c r="K35" s="6"/>
    </row>
    <row r="36" spans="1:11" ht="12.75" customHeight="1" x14ac:dyDescent="0.25">
      <c r="A36" s="26"/>
      <c r="B36" s="2"/>
      <c r="C36" s="3"/>
      <c r="D36" s="4"/>
      <c r="E36" s="4"/>
      <c r="F36" s="4"/>
      <c r="G36" s="6"/>
      <c r="H36" s="6"/>
      <c r="I36" s="6"/>
      <c r="J36" s="6"/>
      <c r="K36" s="6"/>
    </row>
    <row r="37" spans="1:11" ht="12.75" customHeight="1" x14ac:dyDescent="0.25">
      <c r="A37" s="26"/>
      <c r="B37" s="2"/>
      <c r="C37" s="3"/>
      <c r="D37" s="4"/>
      <c r="E37" s="4"/>
      <c r="F37" s="4"/>
      <c r="G37" s="6"/>
      <c r="H37" s="6"/>
      <c r="I37" s="6"/>
      <c r="J37" s="6"/>
      <c r="K37" s="6"/>
    </row>
    <row r="38" spans="1:11" ht="12.75" customHeight="1" x14ac:dyDescent="0.25">
      <c r="A38" s="43" t="s">
        <v>490</v>
      </c>
      <c r="B38" s="45" t="s">
        <v>285</v>
      </c>
      <c r="C38" s="42"/>
      <c r="D38" s="42"/>
      <c r="E38" s="42"/>
      <c r="F38" s="42"/>
      <c r="G38" s="6"/>
      <c r="H38" s="6"/>
      <c r="I38" s="6"/>
      <c r="J38" s="6"/>
      <c r="K38" s="6"/>
    </row>
    <row r="39" spans="1:11" ht="12.75" customHeight="1" x14ac:dyDescent="0.25">
      <c r="A39" s="43"/>
      <c r="B39" s="46" t="s">
        <v>443</v>
      </c>
      <c r="C39" s="42"/>
      <c r="D39" s="42"/>
      <c r="E39" s="42"/>
      <c r="F39" s="42"/>
      <c r="G39" s="6"/>
      <c r="H39" s="6"/>
      <c r="I39" s="6"/>
      <c r="J39" s="6"/>
      <c r="K39" s="6"/>
    </row>
    <row r="40" spans="1:11" ht="306" customHeight="1" x14ac:dyDescent="0.25">
      <c r="A40" s="26" t="s">
        <v>492</v>
      </c>
      <c r="B40" s="2" t="s">
        <v>445</v>
      </c>
      <c r="C40" s="3"/>
      <c r="D40" s="4"/>
      <c r="E40" s="4"/>
      <c r="F40" s="4"/>
      <c r="G40" s="6"/>
      <c r="H40" s="6"/>
      <c r="I40" s="6"/>
      <c r="J40" s="6"/>
      <c r="K40" s="6"/>
    </row>
    <row r="41" spans="1:11" ht="229.5" customHeight="1" x14ac:dyDescent="0.25">
      <c r="A41" s="26"/>
      <c r="B41" s="2" t="s">
        <v>446</v>
      </c>
      <c r="C41" s="3"/>
      <c r="D41" s="4"/>
      <c r="E41" s="4"/>
      <c r="F41" s="4"/>
      <c r="G41" s="6"/>
      <c r="H41" s="6"/>
      <c r="I41" s="6"/>
      <c r="J41" s="6"/>
      <c r="K41" s="6"/>
    </row>
    <row r="42" spans="1:11" ht="127.5" customHeight="1" x14ac:dyDescent="0.25">
      <c r="A42" s="26"/>
      <c r="B42" s="2" t="s">
        <v>447</v>
      </c>
      <c r="C42" s="3"/>
      <c r="D42" s="4"/>
      <c r="E42" s="4"/>
      <c r="F42" s="4"/>
      <c r="G42" s="6"/>
      <c r="H42" s="6"/>
      <c r="I42" s="6"/>
      <c r="J42" s="6"/>
      <c r="K42" s="6"/>
    </row>
    <row r="43" spans="1:11" ht="267.75" customHeight="1" x14ac:dyDescent="0.25">
      <c r="A43" s="26"/>
      <c r="B43" s="2" t="s">
        <v>448</v>
      </c>
      <c r="C43" s="3"/>
      <c r="D43" s="4"/>
      <c r="E43" s="4"/>
      <c r="F43" s="4"/>
      <c r="G43" s="6"/>
      <c r="H43" s="6"/>
      <c r="I43" s="6"/>
      <c r="J43" s="6"/>
      <c r="K43" s="6"/>
    </row>
    <row r="44" spans="1:11" ht="114.75" customHeight="1" x14ac:dyDescent="0.25">
      <c r="A44" s="26"/>
      <c r="B44" s="2" t="s">
        <v>449</v>
      </c>
      <c r="C44" s="3"/>
      <c r="D44" s="4"/>
      <c r="E44" s="4"/>
      <c r="F44" s="4"/>
      <c r="G44" s="6"/>
      <c r="H44" s="6"/>
      <c r="I44" s="6"/>
      <c r="J44" s="6"/>
      <c r="K44" s="6"/>
    </row>
    <row r="45" spans="1:11" ht="153" customHeight="1" x14ac:dyDescent="0.25">
      <c r="A45" s="26"/>
      <c r="B45" s="2" t="s">
        <v>450</v>
      </c>
      <c r="C45" s="3"/>
      <c r="D45" s="4"/>
      <c r="E45" s="4"/>
      <c r="F45" s="4"/>
      <c r="G45" s="6"/>
      <c r="H45" s="6"/>
      <c r="I45" s="6"/>
      <c r="J45" s="6"/>
      <c r="K45" s="6"/>
    </row>
    <row r="46" spans="1:11" ht="280.5" customHeight="1" x14ac:dyDescent="0.25">
      <c r="A46" s="26"/>
      <c r="B46" s="2" t="s">
        <v>451</v>
      </c>
      <c r="C46" s="3"/>
      <c r="D46" s="4"/>
      <c r="E46" s="4"/>
      <c r="F46" s="4"/>
      <c r="G46" s="6"/>
      <c r="H46" s="6"/>
      <c r="I46" s="6"/>
      <c r="J46" s="6"/>
      <c r="K46" s="6"/>
    </row>
    <row r="47" spans="1:11" ht="191.25" customHeight="1" x14ac:dyDescent="0.25">
      <c r="A47" s="26"/>
      <c r="B47" s="2" t="s">
        <v>452</v>
      </c>
      <c r="C47" s="3"/>
      <c r="D47" s="4"/>
      <c r="E47" s="4"/>
      <c r="F47" s="4"/>
      <c r="G47" s="6"/>
      <c r="H47" s="6"/>
      <c r="I47" s="6"/>
      <c r="J47" s="6"/>
      <c r="K47" s="6"/>
    </row>
    <row r="48" spans="1:11" ht="127.5" customHeight="1" x14ac:dyDescent="0.25">
      <c r="A48" s="26"/>
      <c r="B48" s="2" t="s">
        <v>453</v>
      </c>
      <c r="C48" s="3" t="s">
        <v>403</v>
      </c>
      <c r="D48" s="4">
        <v>388.2</v>
      </c>
      <c r="E48" s="4">
        <v>130</v>
      </c>
      <c r="F48" s="4">
        <f>D48*$E48</f>
        <v>50466</v>
      </c>
      <c r="G48" s="6"/>
      <c r="H48" s="6"/>
      <c r="I48" s="6"/>
      <c r="J48" s="6"/>
      <c r="K48" s="6"/>
    </row>
    <row r="49" spans="1:11" ht="382.5" customHeight="1" x14ac:dyDescent="0.25">
      <c r="A49" s="26" t="s">
        <v>558</v>
      </c>
      <c r="B49" s="2" t="s">
        <v>455</v>
      </c>
      <c r="C49" s="3"/>
      <c r="D49" s="4"/>
      <c r="E49" s="4"/>
      <c r="F49" s="4"/>
      <c r="G49" s="6"/>
      <c r="H49" s="6"/>
      <c r="I49" s="6"/>
      <c r="J49" s="6"/>
      <c r="K49" s="6"/>
    </row>
    <row r="50" spans="1:11" ht="204" customHeight="1" x14ac:dyDescent="0.25">
      <c r="A50" s="26"/>
      <c r="B50" s="2" t="s">
        <v>456</v>
      </c>
      <c r="C50" s="3"/>
      <c r="D50" s="4"/>
      <c r="E50" s="4"/>
      <c r="F50" s="4"/>
      <c r="G50" s="6"/>
      <c r="H50" s="6"/>
      <c r="I50" s="6"/>
      <c r="J50" s="6"/>
      <c r="K50" s="6"/>
    </row>
    <row r="51" spans="1:11" ht="165.75" customHeight="1" x14ac:dyDescent="0.25">
      <c r="A51" s="26"/>
      <c r="B51" s="2" t="s">
        <v>457</v>
      </c>
      <c r="C51" s="3"/>
      <c r="D51" s="4"/>
      <c r="E51" s="4"/>
      <c r="F51" s="4"/>
      <c r="G51" s="6"/>
      <c r="H51" s="6"/>
      <c r="I51" s="6"/>
      <c r="J51" s="6"/>
      <c r="K51" s="6"/>
    </row>
    <row r="52" spans="1:11" ht="89.25" customHeight="1" x14ac:dyDescent="0.25">
      <c r="A52" s="26"/>
      <c r="B52" s="2" t="s">
        <v>458</v>
      </c>
      <c r="C52" s="3"/>
      <c r="D52" s="4"/>
      <c r="E52" s="4"/>
      <c r="F52" s="4"/>
      <c r="G52" s="6"/>
      <c r="H52" s="6"/>
      <c r="I52" s="6"/>
      <c r="J52" s="6"/>
      <c r="K52" s="6"/>
    </row>
    <row r="53" spans="1:11" ht="318.75" customHeight="1" x14ac:dyDescent="0.25">
      <c r="A53" s="26"/>
      <c r="B53" s="2" t="s">
        <v>459</v>
      </c>
      <c r="C53" s="3"/>
      <c r="D53" s="4"/>
      <c r="E53" s="4"/>
      <c r="F53" s="4"/>
      <c r="G53" s="6"/>
      <c r="H53" s="6"/>
      <c r="I53" s="6"/>
      <c r="J53" s="6"/>
      <c r="K53" s="6"/>
    </row>
    <row r="54" spans="1:11" ht="114.75" customHeight="1" x14ac:dyDescent="0.25">
      <c r="A54" s="26"/>
      <c r="B54" s="2" t="s">
        <v>449</v>
      </c>
      <c r="C54" s="3"/>
      <c r="D54" s="4"/>
      <c r="E54" s="4"/>
      <c r="F54" s="4"/>
      <c r="G54" s="6"/>
      <c r="H54" s="6"/>
      <c r="I54" s="6"/>
      <c r="J54" s="6"/>
      <c r="K54" s="6"/>
    </row>
    <row r="55" spans="1:11" ht="216.75" customHeight="1" x14ac:dyDescent="0.25">
      <c r="A55" s="26"/>
      <c r="B55" s="2" t="s">
        <v>460</v>
      </c>
      <c r="C55" s="3"/>
      <c r="D55" s="4"/>
      <c r="E55" s="4"/>
      <c r="F55" s="4"/>
      <c r="G55" s="6"/>
      <c r="H55" s="6"/>
      <c r="I55" s="6"/>
      <c r="J55" s="6"/>
      <c r="K55" s="6"/>
    </row>
    <row r="56" spans="1:11" ht="178.5" customHeight="1" x14ac:dyDescent="0.25">
      <c r="A56" s="26"/>
      <c r="B56" s="2" t="s">
        <v>461</v>
      </c>
      <c r="C56" s="3"/>
      <c r="D56" s="4"/>
      <c r="E56" s="4"/>
      <c r="F56" s="4"/>
      <c r="G56" s="6"/>
      <c r="H56" s="6"/>
      <c r="I56" s="6"/>
      <c r="J56" s="6"/>
      <c r="K56" s="6"/>
    </row>
    <row r="57" spans="1:11" ht="114.75" customHeight="1" x14ac:dyDescent="0.25">
      <c r="A57" s="26"/>
      <c r="B57" s="2" t="s">
        <v>462</v>
      </c>
      <c r="C57" s="3"/>
      <c r="D57" s="4"/>
      <c r="E57" s="4"/>
      <c r="F57" s="4"/>
      <c r="G57" s="6"/>
      <c r="H57" s="6"/>
      <c r="I57" s="6"/>
      <c r="J57" s="6"/>
      <c r="K57" s="6"/>
    </row>
    <row r="58" spans="1:11" ht="25.5" customHeight="1" x14ac:dyDescent="0.25">
      <c r="A58" s="26" t="s">
        <v>415</v>
      </c>
      <c r="B58" s="2" t="s">
        <v>463</v>
      </c>
      <c r="C58" s="3" t="s">
        <v>403</v>
      </c>
      <c r="D58" s="4">
        <v>388.2</v>
      </c>
      <c r="E58" s="4">
        <v>134</v>
      </c>
      <c r="F58" s="4">
        <f t="shared" ref="F58:F62" si="4">D58*$E58</f>
        <v>52018.799999999996</v>
      </c>
      <c r="G58" s="6"/>
      <c r="H58" s="6"/>
      <c r="I58" s="6"/>
      <c r="J58" s="6"/>
      <c r="K58" s="6"/>
    </row>
    <row r="59" spans="1:11" ht="25.5" customHeight="1" x14ac:dyDescent="0.25">
      <c r="A59" s="26" t="s">
        <v>418</v>
      </c>
      <c r="B59" s="2" t="s">
        <v>464</v>
      </c>
      <c r="C59" s="3" t="s">
        <v>403</v>
      </c>
      <c r="D59" s="4">
        <v>388.2</v>
      </c>
      <c r="E59" s="4">
        <v>130</v>
      </c>
      <c r="F59" s="4">
        <f t="shared" si="4"/>
        <v>50466</v>
      </c>
      <c r="G59" s="6"/>
      <c r="H59" s="6"/>
      <c r="I59" s="6"/>
      <c r="J59" s="6"/>
      <c r="K59" s="6"/>
    </row>
    <row r="60" spans="1:11" ht="25.5" customHeight="1" x14ac:dyDescent="0.25">
      <c r="A60" s="26" t="s">
        <v>465</v>
      </c>
      <c r="B60" s="2" t="s">
        <v>466</v>
      </c>
      <c r="C60" s="3" t="s">
        <v>403</v>
      </c>
      <c r="D60" s="4">
        <v>59</v>
      </c>
      <c r="E60" s="4">
        <v>128</v>
      </c>
      <c r="F60" s="4">
        <f t="shared" si="4"/>
        <v>7552</v>
      </c>
      <c r="G60" s="6"/>
      <c r="H60" s="6"/>
      <c r="I60" s="6"/>
      <c r="J60" s="6"/>
      <c r="K60" s="6"/>
    </row>
    <row r="61" spans="1:11" ht="25.5" customHeight="1" x14ac:dyDescent="0.25">
      <c r="A61" s="26" t="s">
        <v>467</v>
      </c>
      <c r="B61" s="2" t="s">
        <v>468</v>
      </c>
      <c r="C61" s="3" t="s">
        <v>403</v>
      </c>
      <c r="D61" s="4">
        <v>63</v>
      </c>
      <c r="E61" s="4">
        <v>125</v>
      </c>
      <c r="F61" s="4">
        <f t="shared" si="4"/>
        <v>7875</v>
      </c>
      <c r="G61" s="6"/>
      <c r="H61" s="6"/>
      <c r="I61" s="6"/>
      <c r="J61" s="6"/>
      <c r="K61" s="6"/>
    </row>
    <row r="62" spans="1:11" ht="12.75" customHeight="1" x14ac:dyDescent="0.25">
      <c r="A62" s="26" t="s">
        <v>469</v>
      </c>
      <c r="B62" s="2" t="s">
        <v>470</v>
      </c>
      <c r="C62" s="3" t="s">
        <v>417</v>
      </c>
      <c r="D62" s="4">
        <v>124</v>
      </c>
      <c r="E62" s="4">
        <v>83</v>
      </c>
      <c r="F62" s="4">
        <f t="shared" si="4"/>
        <v>10292</v>
      </c>
      <c r="G62" s="6"/>
      <c r="H62" s="6"/>
      <c r="I62" s="6"/>
      <c r="J62" s="6"/>
      <c r="K62" s="6"/>
    </row>
    <row r="63" spans="1:11" ht="12.75" customHeight="1" x14ac:dyDescent="0.25">
      <c r="A63" s="26"/>
      <c r="B63" s="2" t="s">
        <v>471</v>
      </c>
      <c r="C63" s="3"/>
      <c r="D63" s="4"/>
      <c r="E63" s="4"/>
      <c r="F63" s="4"/>
      <c r="G63" s="6"/>
      <c r="H63" s="6"/>
      <c r="I63" s="6"/>
      <c r="J63" s="6"/>
      <c r="K63" s="6"/>
    </row>
    <row r="64" spans="1:11" ht="267.75" customHeight="1" x14ac:dyDescent="0.25">
      <c r="A64" s="26" t="s">
        <v>494</v>
      </c>
      <c r="B64" s="2" t="s">
        <v>473</v>
      </c>
      <c r="C64" s="3"/>
      <c r="D64" s="4"/>
      <c r="E64" s="4"/>
      <c r="F64" s="4"/>
      <c r="G64" s="6"/>
      <c r="H64" s="6"/>
      <c r="I64" s="6"/>
      <c r="J64" s="6"/>
      <c r="K64" s="6"/>
    </row>
    <row r="65" spans="1:11" ht="293.25" customHeight="1" x14ac:dyDescent="0.25">
      <c r="A65" s="26"/>
      <c r="B65" s="2" t="s">
        <v>474</v>
      </c>
      <c r="C65" s="3"/>
      <c r="D65" s="4"/>
      <c r="E65" s="4"/>
      <c r="F65" s="4"/>
      <c r="G65" s="6"/>
      <c r="H65" s="6"/>
      <c r="I65" s="6"/>
      <c r="J65" s="6"/>
      <c r="K65" s="6"/>
    </row>
    <row r="66" spans="1:11" ht="255" customHeight="1" x14ac:dyDescent="0.25">
      <c r="A66" s="26"/>
      <c r="B66" s="2" t="s">
        <v>475</v>
      </c>
      <c r="C66" s="3"/>
      <c r="D66" s="4"/>
      <c r="E66" s="4"/>
      <c r="F66" s="4"/>
      <c r="G66" s="6"/>
      <c r="H66" s="6"/>
      <c r="I66" s="6"/>
      <c r="J66" s="6"/>
      <c r="K66" s="6"/>
    </row>
    <row r="67" spans="1:11" ht="89.25" customHeight="1" x14ac:dyDescent="0.25">
      <c r="A67" s="26"/>
      <c r="B67" s="2" t="s">
        <v>476</v>
      </c>
      <c r="C67" s="3"/>
      <c r="D67" s="4"/>
      <c r="E67" s="4"/>
      <c r="F67" s="4"/>
      <c r="G67" s="6"/>
      <c r="H67" s="6"/>
      <c r="I67" s="6"/>
      <c r="J67" s="6"/>
      <c r="K67" s="6"/>
    </row>
    <row r="68" spans="1:11" ht="216.75" customHeight="1" x14ac:dyDescent="0.25">
      <c r="A68" s="26"/>
      <c r="B68" s="2" t="s">
        <v>477</v>
      </c>
      <c r="C68" s="3"/>
      <c r="D68" s="4"/>
      <c r="E68" s="4"/>
      <c r="F68" s="4"/>
      <c r="G68" s="6"/>
      <c r="H68" s="6"/>
      <c r="I68" s="6"/>
      <c r="J68" s="6"/>
      <c r="K68" s="6"/>
    </row>
    <row r="69" spans="1:11" ht="293.25" customHeight="1" x14ac:dyDescent="0.25">
      <c r="A69" s="26"/>
      <c r="B69" s="2" t="s">
        <v>478</v>
      </c>
      <c r="C69" s="3"/>
      <c r="D69" s="4"/>
      <c r="E69" s="4"/>
      <c r="F69" s="4"/>
      <c r="G69" s="6"/>
      <c r="H69" s="6"/>
      <c r="I69" s="6"/>
      <c r="J69" s="6"/>
      <c r="K69" s="6"/>
    </row>
    <row r="70" spans="1:11" ht="242.25" customHeight="1" x14ac:dyDescent="0.25">
      <c r="A70" s="26"/>
      <c r="B70" s="2" t="s">
        <v>479</v>
      </c>
      <c r="C70" s="3"/>
      <c r="D70" s="4"/>
      <c r="E70" s="4"/>
      <c r="F70" s="4"/>
      <c r="G70" s="6"/>
      <c r="H70" s="6"/>
      <c r="I70" s="6"/>
      <c r="J70" s="6"/>
      <c r="K70" s="6"/>
    </row>
    <row r="71" spans="1:11" ht="127.5" customHeight="1" x14ac:dyDescent="0.25">
      <c r="A71" s="26"/>
      <c r="B71" s="2" t="s">
        <v>480</v>
      </c>
      <c r="C71" s="3" t="s">
        <v>403</v>
      </c>
      <c r="D71" s="4">
        <v>129.4</v>
      </c>
      <c r="E71" s="4">
        <v>74</v>
      </c>
      <c r="F71" s="4">
        <f>D71*$E71</f>
        <v>9575.6</v>
      </c>
      <c r="G71" s="6"/>
      <c r="H71" s="6"/>
      <c r="I71" s="6"/>
      <c r="J71" s="6"/>
      <c r="K71" s="6"/>
    </row>
    <row r="72" spans="1:11" ht="293.25" customHeight="1" x14ac:dyDescent="0.25">
      <c r="A72" s="26" t="s">
        <v>559</v>
      </c>
      <c r="B72" s="2" t="s">
        <v>482</v>
      </c>
      <c r="C72" s="3"/>
      <c r="D72" s="4"/>
      <c r="E72" s="4"/>
      <c r="F72" s="4"/>
      <c r="G72" s="6"/>
      <c r="H72" s="6"/>
      <c r="I72" s="6"/>
      <c r="J72" s="6"/>
      <c r="K72" s="6"/>
    </row>
    <row r="73" spans="1:11" ht="357" customHeight="1" x14ac:dyDescent="0.25">
      <c r="A73" s="26"/>
      <c r="B73" s="2" t="s">
        <v>483</v>
      </c>
      <c r="C73" s="3"/>
      <c r="D73" s="4"/>
      <c r="E73" s="4"/>
      <c r="F73" s="4"/>
      <c r="G73" s="6"/>
      <c r="H73" s="6"/>
      <c r="I73" s="6"/>
      <c r="J73" s="6"/>
      <c r="K73" s="6"/>
    </row>
    <row r="74" spans="1:11" ht="89.25" customHeight="1" x14ac:dyDescent="0.25">
      <c r="A74" s="26"/>
      <c r="B74" s="2" t="s">
        <v>458</v>
      </c>
      <c r="C74" s="3"/>
      <c r="D74" s="4"/>
      <c r="E74" s="4"/>
      <c r="F74" s="4"/>
      <c r="G74" s="6"/>
      <c r="H74" s="6"/>
      <c r="I74" s="6"/>
      <c r="J74" s="6"/>
      <c r="K74" s="6"/>
    </row>
    <row r="75" spans="1:11" ht="255" customHeight="1" x14ac:dyDescent="0.25">
      <c r="A75" s="26"/>
      <c r="B75" s="2" t="s">
        <v>484</v>
      </c>
      <c r="C75" s="3"/>
      <c r="D75" s="4"/>
      <c r="E75" s="4"/>
      <c r="F75" s="4"/>
      <c r="G75" s="6"/>
      <c r="H75" s="6"/>
      <c r="I75" s="6"/>
      <c r="J75" s="6"/>
      <c r="K75" s="6"/>
    </row>
    <row r="76" spans="1:11" ht="102" customHeight="1" x14ac:dyDescent="0.25">
      <c r="A76" s="26"/>
      <c r="B76" s="2" t="s">
        <v>485</v>
      </c>
      <c r="C76" s="3"/>
      <c r="D76" s="4"/>
      <c r="E76" s="4"/>
      <c r="F76" s="4"/>
      <c r="G76" s="6"/>
      <c r="H76" s="6"/>
      <c r="I76" s="6"/>
      <c r="J76" s="6"/>
      <c r="K76" s="6"/>
    </row>
    <row r="77" spans="1:11" ht="216.75" customHeight="1" x14ac:dyDescent="0.25">
      <c r="A77" s="26"/>
      <c r="B77" s="2" t="s">
        <v>486</v>
      </c>
      <c r="C77" s="3"/>
      <c r="D77" s="4"/>
      <c r="E77" s="4"/>
      <c r="F77" s="4"/>
      <c r="G77" s="6"/>
      <c r="H77" s="6"/>
      <c r="I77" s="6"/>
      <c r="J77" s="6"/>
      <c r="K77" s="6"/>
    </row>
    <row r="78" spans="1:11" ht="242.25" customHeight="1" x14ac:dyDescent="0.25">
      <c r="A78" s="26"/>
      <c r="B78" s="2" t="s">
        <v>487</v>
      </c>
      <c r="C78" s="3"/>
      <c r="D78" s="4"/>
      <c r="E78" s="4"/>
      <c r="F78" s="4"/>
      <c r="G78" s="6"/>
      <c r="H78" s="6"/>
      <c r="I78" s="6"/>
      <c r="J78" s="6"/>
      <c r="K78" s="6"/>
    </row>
    <row r="79" spans="1:11" ht="102" customHeight="1" x14ac:dyDescent="0.25">
      <c r="A79" s="26"/>
      <c r="B79" s="2" t="s">
        <v>488</v>
      </c>
      <c r="C79" s="3"/>
      <c r="D79" s="4"/>
      <c r="E79" s="4"/>
      <c r="F79" s="4"/>
      <c r="G79" s="6"/>
      <c r="H79" s="6"/>
      <c r="I79" s="6"/>
      <c r="J79" s="6"/>
      <c r="K79" s="6"/>
    </row>
    <row r="80" spans="1:11" ht="25.5" customHeight="1" x14ac:dyDescent="0.25">
      <c r="A80" s="26" t="s">
        <v>415</v>
      </c>
      <c r="B80" s="2" t="s">
        <v>463</v>
      </c>
      <c r="C80" s="3" t="s">
        <v>403</v>
      </c>
      <c r="D80" s="4">
        <v>129.4</v>
      </c>
      <c r="E80" s="4">
        <v>78</v>
      </c>
      <c r="F80" s="4">
        <f t="shared" ref="F80:F84" si="5">D80*$E80</f>
        <v>10093.200000000001</v>
      </c>
      <c r="G80" s="6"/>
      <c r="H80" s="6"/>
      <c r="I80" s="6"/>
      <c r="J80" s="6"/>
      <c r="K80" s="6"/>
    </row>
    <row r="81" spans="1:11" ht="25.5" customHeight="1" x14ac:dyDescent="0.25">
      <c r="A81" s="26" t="s">
        <v>418</v>
      </c>
      <c r="B81" s="2" t="s">
        <v>464</v>
      </c>
      <c r="C81" s="3" t="s">
        <v>403</v>
      </c>
      <c r="D81" s="4">
        <v>129.4</v>
      </c>
      <c r="E81" s="4">
        <v>74</v>
      </c>
      <c r="F81" s="4">
        <f t="shared" si="5"/>
        <v>9575.6</v>
      </c>
      <c r="G81" s="6"/>
      <c r="H81" s="6"/>
      <c r="I81" s="6"/>
      <c r="J81" s="6"/>
      <c r="K81" s="6"/>
    </row>
    <row r="82" spans="1:11" ht="25.5" customHeight="1" x14ac:dyDescent="0.25">
      <c r="A82" s="26" t="s">
        <v>465</v>
      </c>
      <c r="B82" s="2" t="s">
        <v>466</v>
      </c>
      <c r="C82" s="3" t="s">
        <v>403</v>
      </c>
      <c r="D82" s="4">
        <v>59</v>
      </c>
      <c r="E82" s="4">
        <v>72</v>
      </c>
      <c r="F82" s="4">
        <f t="shared" si="5"/>
        <v>4248</v>
      </c>
      <c r="G82" s="6"/>
      <c r="H82" s="6"/>
      <c r="I82" s="6"/>
      <c r="J82" s="6"/>
      <c r="K82" s="6"/>
    </row>
    <row r="83" spans="1:11" ht="25.5" customHeight="1" x14ac:dyDescent="0.25">
      <c r="A83" s="26" t="s">
        <v>467</v>
      </c>
      <c r="B83" s="2" t="s">
        <v>468</v>
      </c>
      <c r="C83" s="3" t="s">
        <v>403</v>
      </c>
      <c r="D83" s="4">
        <v>63</v>
      </c>
      <c r="E83" s="4">
        <v>69</v>
      </c>
      <c r="F83" s="4">
        <f t="shared" si="5"/>
        <v>4347</v>
      </c>
      <c r="G83" s="6"/>
      <c r="H83" s="6"/>
      <c r="I83" s="6"/>
      <c r="J83" s="6"/>
      <c r="K83" s="6"/>
    </row>
    <row r="84" spans="1:11" ht="12.75" customHeight="1" x14ac:dyDescent="0.25">
      <c r="A84" s="26" t="s">
        <v>469</v>
      </c>
      <c r="B84" s="2" t="s">
        <v>470</v>
      </c>
      <c r="C84" s="3" t="s">
        <v>417</v>
      </c>
      <c r="D84" s="4">
        <v>42</v>
      </c>
      <c r="E84" s="4">
        <v>48</v>
      </c>
      <c r="F84" s="4">
        <f t="shared" si="5"/>
        <v>2016</v>
      </c>
      <c r="G84" s="6"/>
      <c r="H84" s="6"/>
      <c r="I84" s="6"/>
      <c r="J84" s="6"/>
      <c r="K84" s="6"/>
    </row>
    <row r="85" spans="1:11" ht="12.75" customHeight="1" x14ac:dyDescent="0.25">
      <c r="A85" s="26"/>
      <c r="B85" s="39" t="s">
        <v>560</v>
      </c>
      <c r="C85" s="6"/>
      <c r="D85" s="6"/>
      <c r="E85" s="6"/>
      <c r="F85" s="44">
        <f>SUM(F48:F84)</f>
        <v>218525.2</v>
      </c>
      <c r="G85" s="6"/>
      <c r="H85" s="6"/>
      <c r="I85" s="6"/>
      <c r="J85" s="6"/>
      <c r="K85" s="6"/>
    </row>
    <row r="86" spans="1:11" ht="12.75" customHeight="1" x14ac:dyDescent="0.25">
      <c r="A86" s="26"/>
      <c r="B86" s="2"/>
      <c r="C86" s="3"/>
      <c r="D86" s="4"/>
      <c r="E86" s="4"/>
      <c r="F86" s="4"/>
      <c r="G86" s="6"/>
      <c r="H86" s="6"/>
      <c r="I86" s="6"/>
      <c r="J86" s="6"/>
      <c r="K86" s="6"/>
    </row>
    <row r="87" spans="1:11" ht="12.75" customHeight="1" x14ac:dyDescent="0.25">
      <c r="A87" s="26"/>
      <c r="B87" s="2"/>
      <c r="C87" s="3"/>
      <c r="D87" s="4"/>
      <c r="E87" s="4"/>
      <c r="F87" s="4"/>
      <c r="G87" s="6"/>
      <c r="H87" s="6"/>
      <c r="I87" s="6"/>
      <c r="J87" s="6"/>
      <c r="K87" s="6"/>
    </row>
    <row r="88" spans="1:11" ht="12.75" customHeight="1" x14ac:dyDescent="0.25">
      <c r="A88" s="26"/>
      <c r="B88" s="2"/>
      <c r="C88" s="3"/>
      <c r="D88" s="4"/>
      <c r="E88" s="4"/>
      <c r="F88" s="4"/>
      <c r="G88" s="6"/>
      <c r="H88" s="6"/>
      <c r="I88" s="6"/>
      <c r="J88" s="6"/>
      <c r="K88" s="6"/>
    </row>
    <row r="89" spans="1:11" ht="12.75" customHeight="1" x14ac:dyDescent="0.25">
      <c r="A89" s="26"/>
      <c r="B89" s="2"/>
      <c r="C89" s="3"/>
      <c r="D89" s="4"/>
      <c r="E89" s="4"/>
      <c r="F89" s="4"/>
      <c r="G89" s="6"/>
      <c r="H89" s="6"/>
      <c r="I89" s="6"/>
      <c r="J89" s="6"/>
      <c r="K89" s="6"/>
    </row>
    <row r="90" spans="1:11" ht="12.75" customHeight="1" x14ac:dyDescent="0.25">
      <c r="A90" s="26"/>
      <c r="B90" s="2"/>
      <c r="C90" s="3"/>
      <c r="D90" s="4"/>
      <c r="E90" s="4"/>
      <c r="F90" s="4"/>
      <c r="G90" s="6"/>
      <c r="H90" s="6"/>
      <c r="I90" s="6"/>
      <c r="J90" s="6"/>
      <c r="K90" s="6"/>
    </row>
    <row r="91" spans="1:11" ht="12.75" customHeight="1" x14ac:dyDescent="0.25">
      <c r="A91" s="26"/>
      <c r="B91" s="2"/>
      <c r="C91" s="3"/>
      <c r="D91" s="4"/>
      <c r="E91" s="4"/>
      <c r="F91" s="4"/>
      <c r="G91" s="6"/>
      <c r="H91" s="6"/>
      <c r="I91" s="6"/>
      <c r="J91" s="6"/>
      <c r="K91" s="6"/>
    </row>
    <row r="92" spans="1:11" ht="12.75" customHeight="1" x14ac:dyDescent="0.25">
      <c r="A92" s="26"/>
      <c r="B92" s="2"/>
      <c r="C92" s="3"/>
      <c r="D92" s="4"/>
      <c r="E92" s="4"/>
      <c r="F92" s="4"/>
      <c r="G92" s="6"/>
      <c r="H92" s="6"/>
      <c r="I92" s="6"/>
      <c r="J92" s="6"/>
      <c r="K92" s="6"/>
    </row>
    <row r="93" spans="1:11" ht="12.75" customHeight="1" x14ac:dyDescent="0.25">
      <c r="A93" s="26"/>
      <c r="B93" s="2"/>
      <c r="C93" s="3"/>
      <c r="D93" s="4"/>
      <c r="E93" s="4"/>
      <c r="F93" s="4"/>
      <c r="G93" s="6"/>
      <c r="H93" s="6"/>
      <c r="I93" s="6"/>
      <c r="J93" s="6"/>
      <c r="K93" s="6"/>
    </row>
    <row r="94" spans="1:11" ht="12.75" customHeight="1" x14ac:dyDescent="0.25">
      <c r="A94" s="26"/>
      <c r="B94" s="2"/>
      <c r="C94" s="3"/>
      <c r="D94" s="4"/>
      <c r="E94" s="4"/>
      <c r="F94" s="4"/>
      <c r="G94" s="6"/>
      <c r="H94" s="6"/>
      <c r="I94" s="6"/>
      <c r="J94" s="6"/>
      <c r="K94" s="6"/>
    </row>
    <row r="95" spans="1:11" ht="12.75" customHeight="1" x14ac:dyDescent="0.25">
      <c r="A95" s="26"/>
      <c r="B95" s="2"/>
      <c r="C95" s="3"/>
      <c r="D95" s="4"/>
      <c r="E95" s="4"/>
      <c r="F95" s="4"/>
      <c r="G95" s="6"/>
      <c r="H95" s="6"/>
      <c r="I95" s="6"/>
      <c r="J95" s="6"/>
      <c r="K95" s="6"/>
    </row>
    <row r="96" spans="1:11" ht="12.75" customHeight="1" x14ac:dyDescent="0.25">
      <c r="A96" s="26"/>
      <c r="B96" s="2"/>
      <c r="C96" s="3"/>
      <c r="D96" s="4"/>
      <c r="E96" s="4"/>
      <c r="F96" s="4"/>
      <c r="G96" s="6"/>
      <c r="H96" s="6"/>
      <c r="I96" s="6"/>
      <c r="J96" s="6"/>
      <c r="K96" s="6"/>
    </row>
    <row r="97" spans="1:11" ht="12.75" customHeight="1" x14ac:dyDescent="0.25">
      <c r="A97" s="26"/>
      <c r="B97" s="2"/>
      <c r="C97" s="3"/>
      <c r="D97" s="4"/>
      <c r="E97" s="4"/>
      <c r="F97" s="4"/>
      <c r="G97" s="6"/>
      <c r="H97" s="6"/>
      <c r="I97" s="6"/>
      <c r="J97" s="6"/>
      <c r="K97" s="6"/>
    </row>
    <row r="98" spans="1:11" ht="12.75" customHeight="1" x14ac:dyDescent="0.25">
      <c r="A98" s="26"/>
      <c r="B98" s="2"/>
      <c r="C98" s="3"/>
      <c r="D98" s="4"/>
      <c r="E98" s="4"/>
      <c r="F98" s="4"/>
      <c r="G98" s="6"/>
      <c r="H98" s="6"/>
      <c r="I98" s="6"/>
      <c r="J98" s="6"/>
      <c r="K98" s="6"/>
    </row>
    <row r="99" spans="1:11" ht="12.75" customHeight="1" x14ac:dyDescent="0.25">
      <c r="A99" s="26"/>
      <c r="B99" s="2"/>
      <c r="C99" s="3"/>
      <c r="D99" s="4"/>
      <c r="E99" s="4"/>
      <c r="F99" s="4"/>
      <c r="G99" s="6"/>
      <c r="H99" s="6"/>
      <c r="I99" s="6"/>
      <c r="J99" s="6"/>
      <c r="K99" s="6"/>
    </row>
    <row r="100" spans="1:11" ht="12.75" customHeight="1" x14ac:dyDescent="0.25">
      <c r="A100" s="26"/>
      <c r="B100" s="2"/>
      <c r="C100" s="3"/>
      <c r="D100" s="4"/>
      <c r="E100" s="4"/>
      <c r="F100" s="4"/>
      <c r="G100" s="6"/>
      <c r="H100" s="6"/>
      <c r="I100" s="6"/>
      <c r="J100" s="6"/>
      <c r="K100" s="6"/>
    </row>
  </sheetData>
  <printOptions horizontalCentered="1" gridLines="1"/>
  <pageMargins left="0.70833333333333304" right="0.70833333333333304" top="0.74791666666666701" bottom="0.74791666666666701" header="0" footer="0"/>
  <pageSetup paperSize="9" scale="90" orientation="portrait"/>
  <headerFooter>
    <oddHeader>&amp;L Ministarstvo unutarnjih poslova RH&amp;R Nastavno nacionalno središte civilne zaštite u Jastrebarskom</oddHeader>
    <oddFooter>&amp;L Troškovnik radova na uređenju građevina, vanjskog prostora i infrastrukture - zgrada 14&amp;R stranica &amp;P od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
  <sheetViews>
    <sheetView topLeftCell="A8" workbookViewId="0">
      <selection activeCell="E20" sqref="E20"/>
    </sheetView>
  </sheetViews>
  <sheetFormatPr defaultColWidth="14.42578125" defaultRowHeight="15" customHeight="1" x14ac:dyDescent="0.25"/>
  <cols>
    <col min="1" max="1" width="6.140625" customWidth="1"/>
    <col min="2" max="2" width="50.7109375" customWidth="1"/>
    <col min="3" max="3" width="5.7109375" customWidth="1"/>
    <col min="4" max="4" width="9.7109375" customWidth="1"/>
    <col min="5" max="5" width="10.7109375" customWidth="1"/>
    <col min="6" max="6" width="13.85546875" customWidth="1"/>
    <col min="7" max="11" width="9.140625" customWidth="1"/>
  </cols>
  <sheetData>
    <row r="1" spans="1:11" ht="36" customHeight="1" x14ac:dyDescent="0.25">
      <c r="A1" s="29" t="s">
        <v>7</v>
      </c>
      <c r="B1" s="30" t="s">
        <v>8</v>
      </c>
      <c r="C1" s="31" t="s">
        <v>9</v>
      </c>
      <c r="D1" s="32" t="s">
        <v>10</v>
      </c>
      <c r="E1" s="32" t="s">
        <v>396</v>
      </c>
      <c r="F1" s="32" t="s">
        <v>12</v>
      </c>
      <c r="G1" s="34"/>
      <c r="H1" s="34"/>
      <c r="I1" s="34"/>
      <c r="J1" s="34"/>
      <c r="K1" s="34"/>
    </row>
    <row r="2" spans="1:11" ht="12.75" customHeight="1" x14ac:dyDescent="0.25">
      <c r="A2" s="35"/>
      <c r="B2" s="2"/>
      <c r="C2" s="36"/>
      <c r="D2" s="37"/>
      <c r="E2" s="37"/>
      <c r="F2" s="37"/>
      <c r="G2" s="6"/>
      <c r="H2" s="6"/>
      <c r="I2" s="6"/>
      <c r="J2" s="6"/>
      <c r="K2" s="6"/>
    </row>
    <row r="3" spans="1:11" ht="12.75" customHeight="1" x14ac:dyDescent="0.25">
      <c r="A3" s="39" t="s">
        <v>561</v>
      </c>
      <c r="B3" s="16" t="s">
        <v>562</v>
      </c>
      <c r="C3" s="40"/>
      <c r="D3" s="41"/>
      <c r="E3" s="41"/>
      <c r="F3" s="41"/>
      <c r="G3" s="42"/>
      <c r="H3" s="42"/>
      <c r="I3" s="42"/>
      <c r="J3" s="42"/>
      <c r="K3" s="42"/>
    </row>
    <row r="4" spans="1:11" ht="12.75" customHeight="1" x14ac:dyDescent="0.25">
      <c r="A4" s="35"/>
      <c r="B4" s="2"/>
      <c r="C4" s="36"/>
      <c r="D4" s="37"/>
      <c r="E4" s="37"/>
      <c r="F4" s="37"/>
      <c r="G4" s="6"/>
      <c r="H4" s="6"/>
      <c r="I4" s="6"/>
      <c r="J4" s="6"/>
      <c r="K4" s="6"/>
    </row>
    <row r="5" spans="1:11" ht="12.75" customHeight="1" x14ac:dyDescent="0.25">
      <c r="A5" s="43" t="s">
        <v>399</v>
      </c>
      <c r="B5" s="16" t="s">
        <v>400</v>
      </c>
      <c r="C5" s="3"/>
      <c r="D5" s="4"/>
      <c r="E5" s="4"/>
      <c r="F5" s="4"/>
      <c r="G5" s="6"/>
      <c r="H5" s="6"/>
      <c r="I5" s="6"/>
      <c r="J5" s="6"/>
      <c r="K5" s="6"/>
    </row>
    <row r="6" spans="1:11" ht="12.75" customHeight="1" x14ac:dyDescent="0.25">
      <c r="A6" s="43"/>
      <c r="B6" s="16"/>
      <c r="C6" s="3"/>
      <c r="D6" s="4"/>
      <c r="E6" s="4"/>
      <c r="F6" s="4"/>
      <c r="G6" s="6"/>
      <c r="H6" s="6"/>
      <c r="I6" s="6"/>
      <c r="J6" s="6"/>
      <c r="K6" s="6"/>
    </row>
    <row r="7" spans="1:11" ht="12.75" customHeight="1" x14ac:dyDescent="0.25">
      <c r="A7" s="39" t="s">
        <v>389</v>
      </c>
      <c r="B7" s="16" t="s">
        <v>31</v>
      </c>
      <c r="C7" s="42"/>
      <c r="D7" s="44"/>
      <c r="E7" s="44"/>
      <c r="F7" s="44"/>
      <c r="G7" s="6"/>
      <c r="H7" s="6"/>
      <c r="I7" s="6"/>
      <c r="J7" s="6"/>
      <c r="K7" s="6"/>
    </row>
    <row r="8" spans="1:11" ht="140.25" customHeight="1" x14ac:dyDescent="0.25">
      <c r="A8" s="26" t="s">
        <v>401</v>
      </c>
      <c r="B8" s="2" t="s">
        <v>402</v>
      </c>
      <c r="C8" s="3" t="s">
        <v>403</v>
      </c>
      <c r="D8" s="4">
        <v>698</v>
      </c>
      <c r="E8" s="4">
        <v>11.55</v>
      </c>
      <c r="F8" s="4">
        <f>D8*$E8</f>
        <v>8061.9000000000005</v>
      </c>
      <c r="G8" s="6"/>
      <c r="H8" s="6"/>
      <c r="I8" s="6"/>
      <c r="J8" s="6"/>
      <c r="K8" s="6"/>
    </row>
    <row r="9" spans="1:11" ht="12.75" customHeight="1" x14ac:dyDescent="0.25">
      <c r="A9" s="26"/>
      <c r="B9" s="39" t="s">
        <v>404</v>
      </c>
      <c r="C9" s="6"/>
      <c r="D9" s="6"/>
      <c r="E9" s="6"/>
      <c r="F9" s="44">
        <f>SUM(F8)</f>
        <v>8061.9000000000005</v>
      </c>
      <c r="G9" s="6"/>
      <c r="H9" s="6"/>
      <c r="I9" s="6"/>
      <c r="J9" s="6"/>
      <c r="K9" s="6"/>
    </row>
    <row r="10" spans="1:11" ht="12.75" customHeight="1" x14ac:dyDescent="0.25">
      <c r="A10" s="26"/>
      <c r="B10" s="2"/>
      <c r="C10" s="3"/>
      <c r="D10" s="4"/>
      <c r="E10" s="4"/>
      <c r="F10" s="4"/>
      <c r="G10" s="6"/>
      <c r="H10" s="6"/>
      <c r="I10" s="6"/>
      <c r="J10" s="6"/>
      <c r="K10" s="6"/>
    </row>
    <row r="11" spans="1:11" ht="89.25" customHeight="1" x14ac:dyDescent="0.25">
      <c r="A11" s="26" t="s">
        <v>546</v>
      </c>
      <c r="B11" s="2" t="s">
        <v>547</v>
      </c>
      <c r="C11" s="3" t="s">
        <v>403</v>
      </c>
      <c r="D11" s="4">
        <v>499</v>
      </c>
      <c r="E11" s="4"/>
      <c r="F11" s="4">
        <f>D11*$E11</f>
        <v>0</v>
      </c>
      <c r="G11" s="6"/>
      <c r="H11" s="6"/>
      <c r="I11" s="6"/>
      <c r="J11" s="6"/>
      <c r="K11" s="6"/>
    </row>
    <row r="12" spans="1:11" ht="12.75" customHeight="1" x14ac:dyDescent="0.25">
      <c r="A12" s="26"/>
      <c r="B12" s="39"/>
      <c r="C12" s="6"/>
      <c r="D12" s="6"/>
      <c r="E12" s="6"/>
      <c r="F12" s="4"/>
      <c r="G12" s="6"/>
      <c r="H12" s="6"/>
      <c r="I12" s="6"/>
      <c r="J12" s="6"/>
      <c r="K12" s="6"/>
    </row>
    <row r="13" spans="1:11" ht="12.75" customHeight="1" x14ac:dyDescent="0.25">
      <c r="A13" s="43" t="s">
        <v>405</v>
      </c>
      <c r="B13" s="45" t="s">
        <v>83</v>
      </c>
      <c r="C13" s="42"/>
      <c r="D13" s="42"/>
      <c r="E13" s="42"/>
      <c r="F13" s="42"/>
      <c r="G13" s="6"/>
      <c r="H13" s="6"/>
      <c r="I13" s="6"/>
      <c r="J13" s="6"/>
      <c r="K13" s="6"/>
    </row>
    <row r="14" spans="1:11" ht="63.75" customHeight="1" x14ac:dyDescent="0.25">
      <c r="A14" s="26" t="s">
        <v>408</v>
      </c>
      <c r="B14" s="2" t="s">
        <v>407</v>
      </c>
      <c r="C14" s="3" t="s">
        <v>403</v>
      </c>
      <c r="D14" s="4">
        <v>473</v>
      </c>
      <c r="E14" s="4">
        <v>55</v>
      </c>
      <c r="F14" s="4">
        <f t="shared" ref="F14:F15" si="0">D14*$E14</f>
        <v>26015</v>
      </c>
      <c r="G14" s="6"/>
      <c r="H14" s="6"/>
      <c r="I14" s="6"/>
      <c r="J14" s="6"/>
      <c r="K14" s="6"/>
    </row>
    <row r="15" spans="1:11" ht="63.75" customHeight="1" x14ac:dyDescent="0.25">
      <c r="A15" s="26" t="s">
        <v>557</v>
      </c>
      <c r="B15" s="2" t="s">
        <v>409</v>
      </c>
      <c r="C15" s="3" t="s">
        <v>403</v>
      </c>
      <c r="D15" s="4">
        <v>192</v>
      </c>
      <c r="E15" s="4">
        <v>55</v>
      </c>
      <c r="F15" s="4">
        <f t="shared" si="0"/>
        <v>10560</v>
      </c>
      <c r="G15" s="6"/>
      <c r="H15" s="6"/>
      <c r="I15" s="6"/>
      <c r="J15" s="6"/>
      <c r="K15" s="6"/>
    </row>
    <row r="16" spans="1:11" ht="12.75" customHeight="1" x14ac:dyDescent="0.25">
      <c r="A16" s="26"/>
      <c r="B16" s="39" t="s">
        <v>410</v>
      </c>
      <c r="C16" s="6"/>
      <c r="D16" s="6"/>
      <c r="E16" s="6"/>
      <c r="F16" s="44">
        <f>SUM(F14:F15)</f>
        <v>36575</v>
      </c>
      <c r="G16" s="6"/>
      <c r="H16" s="6"/>
      <c r="I16" s="6"/>
      <c r="J16" s="6"/>
      <c r="K16" s="6"/>
    </row>
    <row r="17" spans="1:11" ht="12.75" customHeight="1" x14ac:dyDescent="0.25">
      <c r="A17" s="26"/>
      <c r="B17" s="2"/>
      <c r="C17" s="3"/>
      <c r="D17" s="4"/>
      <c r="E17" s="4"/>
      <c r="F17" s="4"/>
      <c r="G17" s="6"/>
      <c r="H17" s="6"/>
      <c r="I17" s="6"/>
      <c r="J17" s="6"/>
      <c r="K17" s="6"/>
    </row>
    <row r="18" spans="1:11" ht="12.75" customHeight="1" x14ac:dyDescent="0.25">
      <c r="A18" s="39" t="s">
        <v>411</v>
      </c>
      <c r="B18" s="16" t="s">
        <v>412</v>
      </c>
      <c r="C18" s="42"/>
      <c r="D18" s="44"/>
      <c r="E18" s="44"/>
      <c r="F18" s="44"/>
      <c r="G18" s="6"/>
      <c r="H18" s="6"/>
      <c r="I18" s="6"/>
      <c r="J18" s="6"/>
      <c r="K18" s="6"/>
    </row>
    <row r="19" spans="1:11" ht="38.25" customHeight="1" x14ac:dyDescent="0.25">
      <c r="A19" s="35" t="s">
        <v>420</v>
      </c>
      <c r="B19" s="2" t="s">
        <v>421</v>
      </c>
      <c r="C19" s="6"/>
      <c r="D19" s="4"/>
      <c r="E19" s="4"/>
      <c r="F19" s="4"/>
      <c r="G19" s="6"/>
      <c r="H19" s="6"/>
      <c r="I19" s="6"/>
      <c r="J19" s="6"/>
      <c r="K19" s="6"/>
    </row>
    <row r="20" spans="1:11" ht="12.75" customHeight="1" x14ac:dyDescent="0.25">
      <c r="A20" s="35" t="s">
        <v>415</v>
      </c>
      <c r="B20" s="2" t="s">
        <v>422</v>
      </c>
      <c r="C20" s="3" t="s">
        <v>417</v>
      </c>
      <c r="D20" s="4">
        <v>175.5</v>
      </c>
      <c r="E20" s="4">
        <v>16</v>
      </c>
      <c r="F20" s="4">
        <f t="shared" ref="F20:F22" si="1">D20*$E20</f>
        <v>2808</v>
      </c>
      <c r="G20" s="6"/>
      <c r="H20" s="6"/>
      <c r="I20" s="6"/>
      <c r="J20" s="6"/>
      <c r="K20" s="6"/>
    </row>
    <row r="21" spans="1:11" ht="12.75" customHeight="1" x14ac:dyDescent="0.25">
      <c r="A21" s="35" t="s">
        <v>418</v>
      </c>
      <c r="B21" s="2" t="s">
        <v>423</v>
      </c>
      <c r="C21" s="3" t="s">
        <v>417</v>
      </c>
      <c r="D21" s="4">
        <v>175.5</v>
      </c>
      <c r="E21" s="4">
        <v>16</v>
      </c>
      <c r="F21" s="4">
        <f t="shared" si="1"/>
        <v>2808</v>
      </c>
      <c r="G21" s="6"/>
      <c r="H21" s="6"/>
      <c r="I21" s="6"/>
      <c r="J21" s="6"/>
      <c r="K21" s="6"/>
    </row>
    <row r="22" spans="1:11" ht="89.25" customHeight="1" x14ac:dyDescent="0.25">
      <c r="A22" s="26" t="s">
        <v>424</v>
      </c>
      <c r="B22" s="2" t="s">
        <v>425</v>
      </c>
      <c r="C22" s="3" t="s">
        <v>403</v>
      </c>
      <c r="D22" s="4">
        <v>12.6</v>
      </c>
      <c r="E22" s="4"/>
      <c r="F22" s="4">
        <f t="shared" si="1"/>
        <v>0</v>
      </c>
      <c r="G22" s="6"/>
      <c r="H22" s="6"/>
      <c r="I22" s="6"/>
      <c r="J22" s="6"/>
      <c r="K22" s="6"/>
    </row>
    <row r="23" spans="1:11" ht="12.75" customHeight="1" x14ac:dyDescent="0.25">
      <c r="A23" s="26"/>
      <c r="B23" s="39" t="s">
        <v>432</v>
      </c>
      <c r="C23" s="6"/>
      <c r="D23" s="6"/>
      <c r="E23" s="4"/>
      <c r="F23" s="44">
        <f>SUM(F19:F22)</f>
        <v>5616</v>
      </c>
      <c r="G23" s="6"/>
      <c r="H23" s="6"/>
      <c r="I23" s="6"/>
      <c r="J23" s="6"/>
      <c r="K23" s="6"/>
    </row>
    <row r="24" spans="1:11" ht="12.75" customHeight="1" x14ac:dyDescent="0.25">
      <c r="A24" s="26"/>
      <c r="B24" s="39"/>
      <c r="C24" s="6"/>
      <c r="D24" s="6"/>
      <c r="E24" s="4"/>
      <c r="F24" s="4"/>
      <c r="G24" s="6"/>
      <c r="H24" s="6"/>
      <c r="I24" s="6"/>
      <c r="J24" s="6"/>
      <c r="K24" s="6"/>
    </row>
    <row r="25" spans="1:11" ht="12.75" customHeight="1" x14ac:dyDescent="0.25">
      <c r="A25" s="26"/>
      <c r="B25" s="2"/>
      <c r="C25" s="3"/>
      <c r="D25" s="4"/>
      <c r="E25" s="4"/>
      <c r="F25" s="4"/>
      <c r="G25" s="6"/>
      <c r="H25" s="6"/>
      <c r="I25" s="6"/>
      <c r="J25" s="6"/>
      <c r="K25" s="6"/>
    </row>
    <row r="26" spans="1:11" ht="12.75" customHeight="1" x14ac:dyDescent="0.25">
      <c r="A26" s="43" t="s">
        <v>433</v>
      </c>
      <c r="B26" s="45" t="s">
        <v>115</v>
      </c>
      <c r="C26" s="42"/>
      <c r="D26" s="42"/>
      <c r="E26" s="42"/>
      <c r="F26" s="42"/>
      <c r="G26" s="6"/>
      <c r="H26" s="6"/>
      <c r="I26" s="6"/>
      <c r="J26" s="6"/>
      <c r="K26" s="6"/>
    </row>
    <row r="27" spans="1:11" ht="51" customHeight="1" x14ac:dyDescent="0.25">
      <c r="A27" s="43"/>
      <c r="B27" s="2" t="s">
        <v>434</v>
      </c>
      <c r="C27" s="42"/>
      <c r="D27" s="42"/>
      <c r="E27" s="42"/>
      <c r="F27" s="42"/>
      <c r="G27" s="6"/>
      <c r="H27" s="6"/>
      <c r="I27" s="6"/>
      <c r="J27" s="6"/>
      <c r="K27" s="6"/>
    </row>
    <row r="28" spans="1:11" ht="191.25" customHeight="1" x14ac:dyDescent="0.25">
      <c r="A28" s="26" t="s">
        <v>549</v>
      </c>
      <c r="B28" s="2" t="s">
        <v>550</v>
      </c>
      <c r="C28" s="3" t="s">
        <v>417</v>
      </c>
      <c r="D28" s="4">
        <v>332.5</v>
      </c>
      <c r="E28" s="4"/>
      <c r="F28" s="4">
        <f t="shared" ref="F28:F31" si="2">D28*$E28</f>
        <v>0</v>
      </c>
      <c r="G28" s="6"/>
      <c r="H28" s="6"/>
      <c r="I28" s="6"/>
      <c r="J28" s="6"/>
      <c r="K28" s="6"/>
    </row>
    <row r="29" spans="1:11" ht="114.75" customHeight="1" x14ac:dyDescent="0.25">
      <c r="A29" s="26" t="s">
        <v>435</v>
      </c>
      <c r="B29" s="2" t="s">
        <v>436</v>
      </c>
      <c r="C29" s="3" t="s">
        <v>403</v>
      </c>
      <c r="D29" s="4">
        <v>535.5</v>
      </c>
      <c r="E29" s="4"/>
      <c r="F29" s="4">
        <f t="shared" si="2"/>
        <v>0</v>
      </c>
      <c r="G29" s="6"/>
      <c r="H29" s="6"/>
      <c r="I29" s="6"/>
      <c r="J29" s="6"/>
      <c r="K29" s="6"/>
    </row>
    <row r="30" spans="1:11" ht="204" customHeight="1" x14ac:dyDescent="0.25">
      <c r="A30" s="26" t="s">
        <v>437</v>
      </c>
      <c r="B30" s="2" t="s">
        <v>438</v>
      </c>
      <c r="C30" s="3" t="s">
        <v>403</v>
      </c>
      <c r="D30" s="4">
        <v>535.5</v>
      </c>
      <c r="E30" s="4"/>
      <c r="F30" s="4">
        <f t="shared" si="2"/>
        <v>0</v>
      </c>
      <c r="G30" s="6"/>
      <c r="H30" s="6"/>
      <c r="I30" s="6"/>
      <c r="J30" s="6"/>
      <c r="K30" s="6"/>
    </row>
    <row r="31" spans="1:11" ht="114.75" customHeight="1" x14ac:dyDescent="0.25">
      <c r="A31" s="26" t="s">
        <v>439</v>
      </c>
      <c r="B31" s="2" t="s">
        <v>440</v>
      </c>
      <c r="C31" s="3" t="s">
        <v>403</v>
      </c>
      <c r="D31" s="4">
        <v>153</v>
      </c>
      <c r="E31" s="4"/>
      <c r="F31" s="4">
        <f t="shared" si="2"/>
        <v>0</v>
      </c>
      <c r="G31" s="6"/>
      <c r="H31" s="6"/>
      <c r="I31" s="6"/>
      <c r="J31" s="6"/>
      <c r="K31" s="6"/>
    </row>
    <row r="32" spans="1:11" ht="12.75" customHeight="1" x14ac:dyDescent="0.25">
      <c r="A32" s="26"/>
      <c r="B32" s="39" t="s">
        <v>441</v>
      </c>
      <c r="C32" s="6"/>
      <c r="D32" s="6"/>
      <c r="E32" s="6"/>
      <c r="F32" s="44">
        <f>SUM(F28:F31)</f>
        <v>0</v>
      </c>
      <c r="G32" s="6"/>
      <c r="H32" s="6"/>
      <c r="I32" s="6"/>
      <c r="J32" s="6"/>
      <c r="K32" s="6"/>
    </row>
    <row r="33" spans="1:11" ht="12.75" customHeight="1" x14ac:dyDescent="0.25">
      <c r="A33" s="26"/>
      <c r="B33" s="2"/>
      <c r="C33" s="3"/>
      <c r="D33" s="4"/>
      <c r="E33" s="4"/>
      <c r="F33" s="4"/>
      <c r="G33" s="6"/>
      <c r="H33" s="6"/>
      <c r="I33" s="6"/>
      <c r="J33" s="6"/>
      <c r="K33" s="6"/>
    </row>
    <row r="34" spans="1:11" ht="12.75" customHeight="1" x14ac:dyDescent="0.25">
      <c r="A34" s="26"/>
      <c r="B34" s="2"/>
      <c r="C34" s="3"/>
      <c r="D34" s="4"/>
      <c r="E34" s="4"/>
      <c r="F34" s="4"/>
      <c r="G34" s="6"/>
      <c r="H34" s="6"/>
      <c r="I34" s="6"/>
      <c r="J34" s="6"/>
      <c r="K34" s="6"/>
    </row>
    <row r="35" spans="1:11" ht="12.75" customHeight="1" x14ac:dyDescent="0.25">
      <c r="A35" s="43" t="s">
        <v>442</v>
      </c>
      <c r="B35" s="45" t="s">
        <v>285</v>
      </c>
      <c r="C35" s="42"/>
      <c r="D35" s="42"/>
      <c r="E35" s="42"/>
      <c r="F35" s="42"/>
      <c r="G35" s="6"/>
      <c r="H35" s="6"/>
      <c r="I35" s="6"/>
      <c r="J35" s="6"/>
      <c r="K35" s="6"/>
    </row>
    <row r="36" spans="1:11" ht="12.75" customHeight="1" x14ac:dyDescent="0.25">
      <c r="A36" s="43"/>
      <c r="B36" s="46" t="s">
        <v>443</v>
      </c>
      <c r="C36" s="42"/>
      <c r="D36" s="42"/>
      <c r="E36" s="42"/>
      <c r="F36" s="42"/>
      <c r="G36" s="6"/>
      <c r="H36" s="6"/>
      <c r="I36" s="6"/>
      <c r="J36" s="6"/>
      <c r="K36" s="6"/>
    </row>
    <row r="37" spans="1:11" ht="306" customHeight="1" x14ac:dyDescent="0.25">
      <c r="A37" s="26" t="s">
        <v>444</v>
      </c>
      <c r="B37" s="2" t="s">
        <v>445</v>
      </c>
      <c r="C37" s="3"/>
      <c r="D37" s="4"/>
      <c r="E37" s="4"/>
      <c r="F37" s="4"/>
      <c r="G37" s="6"/>
      <c r="H37" s="6"/>
      <c r="I37" s="6"/>
      <c r="J37" s="6"/>
      <c r="K37" s="6"/>
    </row>
    <row r="38" spans="1:11" ht="229.5" customHeight="1" x14ac:dyDescent="0.25">
      <c r="A38" s="26"/>
      <c r="B38" s="2" t="s">
        <v>446</v>
      </c>
      <c r="C38" s="3"/>
      <c r="D38" s="4"/>
      <c r="E38" s="4"/>
      <c r="F38" s="4"/>
      <c r="G38" s="6"/>
      <c r="H38" s="6"/>
      <c r="I38" s="6"/>
      <c r="J38" s="6"/>
      <c r="K38" s="6"/>
    </row>
    <row r="39" spans="1:11" ht="127.5" customHeight="1" x14ac:dyDescent="0.25">
      <c r="A39" s="26"/>
      <c r="B39" s="2" t="s">
        <v>447</v>
      </c>
      <c r="C39" s="3"/>
      <c r="D39" s="4"/>
      <c r="E39" s="4"/>
      <c r="F39" s="4"/>
      <c r="G39" s="6"/>
      <c r="H39" s="6"/>
      <c r="I39" s="6"/>
      <c r="J39" s="6"/>
      <c r="K39" s="6"/>
    </row>
    <row r="40" spans="1:11" ht="267.75" customHeight="1" x14ac:dyDescent="0.25">
      <c r="A40" s="26"/>
      <c r="B40" s="2" t="s">
        <v>448</v>
      </c>
      <c r="C40" s="3"/>
      <c r="D40" s="4"/>
      <c r="E40" s="4"/>
      <c r="F40" s="4"/>
      <c r="G40" s="6"/>
      <c r="H40" s="6"/>
      <c r="I40" s="6"/>
      <c r="J40" s="6"/>
      <c r="K40" s="6"/>
    </row>
    <row r="41" spans="1:11" ht="114.75" customHeight="1" x14ac:dyDescent="0.25">
      <c r="A41" s="26"/>
      <c r="B41" s="2" t="s">
        <v>449</v>
      </c>
      <c r="C41" s="3"/>
      <c r="D41" s="4"/>
      <c r="E41" s="4"/>
      <c r="F41" s="4"/>
      <c r="G41" s="6"/>
      <c r="H41" s="6"/>
      <c r="I41" s="6"/>
      <c r="J41" s="6"/>
      <c r="K41" s="6"/>
    </row>
    <row r="42" spans="1:11" ht="153" customHeight="1" x14ac:dyDescent="0.25">
      <c r="A42" s="26"/>
      <c r="B42" s="2" t="s">
        <v>450</v>
      </c>
      <c r="C42" s="3"/>
      <c r="D42" s="4"/>
      <c r="E42" s="4"/>
      <c r="F42" s="4"/>
      <c r="G42" s="6"/>
      <c r="H42" s="6"/>
      <c r="I42" s="6"/>
      <c r="J42" s="6"/>
      <c r="K42" s="6"/>
    </row>
    <row r="43" spans="1:11" ht="280.5" customHeight="1" x14ac:dyDescent="0.25">
      <c r="A43" s="26"/>
      <c r="B43" s="2" t="s">
        <v>451</v>
      </c>
      <c r="C43" s="3"/>
      <c r="D43" s="4"/>
      <c r="E43" s="4"/>
      <c r="F43" s="4"/>
      <c r="G43" s="6"/>
      <c r="H43" s="6"/>
      <c r="I43" s="6"/>
      <c r="J43" s="6"/>
      <c r="K43" s="6"/>
    </row>
    <row r="44" spans="1:11" ht="191.25" customHeight="1" x14ac:dyDescent="0.25">
      <c r="A44" s="26"/>
      <c r="B44" s="2" t="s">
        <v>452</v>
      </c>
      <c r="C44" s="3"/>
      <c r="D44" s="4"/>
      <c r="E44" s="4"/>
      <c r="F44" s="4"/>
      <c r="G44" s="6"/>
      <c r="H44" s="6"/>
      <c r="I44" s="6"/>
      <c r="J44" s="6"/>
      <c r="K44" s="6"/>
    </row>
    <row r="45" spans="1:11" ht="127.5" customHeight="1" x14ac:dyDescent="0.25">
      <c r="A45" s="26"/>
      <c r="B45" s="2" t="s">
        <v>453</v>
      </c>
      <c r="C45" s="3" t="s">
        <v>403</v>
      </c>
      <c r="D45" s="4">
        <v>388.2</v>
      </c>
      <c r="E45" s="4">
        <v>130</v>
      </c>
      <c r="F45" s="4">
        <f>D45*$E45</f>
        <v>50466</v>
      </c>
      <c r="G45" s="6"/>
      <c r="H45" s="6"/>
      <c r="I45" s="6"/>
      <c r="J45" s="6"/>
      <c r="K45" s="6"/>
    </row>
    <row r="46" spans="1:11" ht="382.5" customHeight="1" x14ac:dyDescent="0.25">
      <c r="A46" s="26" t="s">
        <v>454</v>
      </c>
      <c r="B46" s="2" t="s">
        <v>455</v>
      </c>
      <c r="C46" s="3"/>
      <c r="D46" s="4"/>
      <c r="E46" s="4"/>
      <c r="F46" s="4"/>
      <c r="G46" s="6"/>
      <c r="H46" s="6"/>
      <c r="I46" s="6"/>
      <c r="J46" s="6"/>
      <c r="K46" s="6"/>
    </row>
    <row r="47" spans="1:11" ht="204" customHeight="1" x14ac:dyDescent="0.25">
      <c r="A47" s="26"/>
      <c r="B47" s="2" t="s">
        <v>456</v>
      </c>
      <c r="C47" s="3"/>
      <c r="D47" s="4"/>
      <c r="E47" s="4"/>
      <c r="F47" s="4"/>
      <c r="G47" s="6"/>
      <c r="H47" s="6"/>
      <c r="I47" s="6"/>
      <c r="J47" s="6"/>
      <c r="K47" s="6"/>
    </row>
    <row r="48" spans="1:11" ht="165.75" customHeight="1" x14ac:dyDescent="0.25">
      <c r="A48" s="26"/>
      <c r="B48" s="2" t="s">
        <v>457</v>
      </c>
      <c r="C48" s="3"/>
      <c r="D48" s="4"/>
      <c r="E48" s="4"/>
      <c r="F48" s="4"/>
      <c r="G48" s="6"/>
      <c r="H48" s="6"/>
      <c r="I48" s="6"/>
      <c r="J48" s="6"/>
      <c r="K48" s="6"/>
    </row>
    <row r="49" spans="1:11" ht="89.25" customHeight="1" x14ac:dyDescent="0.25">
      <c r="A49" s="26"/>
      <c r="B49" s="2" t="s">
        <v>458</v>
      </c>
      <c r="C49" s="3"/>
      <c r="D49" s="4"/>
      <c r="E49" s="4"/>
      <c r="F49" s="4"/>
      <c r="G49" s="6"/>
      <c r="H49" s="6"/>
      <c r="I49" s="6"/>
      <c r="J49" s="6"/>
      <c r="K49" s="6"/>
    </row>
    <row r="50" spans="1:11" ht="318.75" customHeight="1" x14ac:dyDescent="0.25">
      <c r="A50" s="26"/>
      <c r="B50" s="2" t="s">
        <v>459</v>
      </c>
      <c r="C50" s="3"/>
      <c r="D50" s="4"/>
      <c r="E50" s="4"/>
      <c r="F50" s="4"/>
      <c r="G50" s="6"/>
      <c r="H50" s="6"/>
      <c r="I50" s="6"/>
      <c r="J50" s="6"/>
      <c r="K50" s="6"/>
    </row>
    <row r="51" spans="1:11" ht="114.75" customHeight="1" x14ac:dyDescent="0.25">
      <c r="A51" s="26"/>
      <c r="B51" s="2" t="s">
        <v>449</v>
      </c>
      <c r="C51" s="3"/>
      <c r="D51" s="4"/>
      <c r="E51" s="4"/>
      <c r="F51" s="4"/>
      <c r="G51" s="6"/>
      <c r="H51" s="6"/>
      <c r="I51" s="6"/>
      <c r="J51" s="6"/>
      <c r="K51" s="6"/>
    </row>
    <row r="52" spans="1:11" ht="216.75" customHeight="1" x14ac:dyDescent="0.25">
      <c r="A52" s="26"/>
      <c r="B52" s="2" t="s">
        <v>460</v>
      </c>
      <c r="C52" s="3"/>
      <c r="D52" s="4"/>
      <c r="E52" s="4"/>
      <c r="F52" s="4"/>
      <c r="G52" s="6"/>
      <c r="H52" s="6"/>
      <c r="I52" s="6"/>
      <c r="J52" s="6"/>
      <c r="K52" s="6"/>
    </row>
    <row r="53" spans="1:11" ht="178.5" customHeight="1" x14ac:dyDescent="0.25">
      <c r="A53" s="26"/>
      <c r="B53" s="2" t="s">
        <v>461</v>
      </c>
      <c r="C53" s="3"/>
      <c r="D53" s="4"/>
      <c r="E53" s="4"/>
      <c r="F53" s="4"/>
      <c r="G53" s="6"/>
      <c r="H53" s="6"/>
      <c r="I53" s="6"/>
      <c r="J53" s="6"/>
      <c r="K53" s="6"/>
    </row>
    <row r="54" spans="1:11" ht="114.75" customHeight="1" x14ac:dyDescent="0.25">
      <c r="A54" s="26"/>
      <c r="B54" s="2" t="s">
        <v>462</v>
      </c>
      <c r="C54" s="3"/>
      <c r="D54" s="4"/>
      <c r="E54" s="4"/>
      <c r="F54" s="4"/>
      <c r="G54" s="6"/>
      <c r="H54" s="6"/>
      <c r="I54" s="6"/>
      <c r="J54" s="6"/>
      <c r="K54" s="6"/>
    </row>
    <row r="55" spans="1:11" ht="25.5" customHeight="1" x14ac:dyDescent="0.25">
      <c r="A55" s="26" t="s">
        <v>415</v>
      </c>
      <c r="B55" s="2" t="s">
        <v>463</v>
      </c>
      <c r="C55" s="3" t="s">
        <v>403</v>
      </c>
      <c r="D55" s="4">
        <v>388.2</v>
      </c>
      <c r="E55" s="4">
        <v>134</v>
      </c>
      <c r="F55" s="4">
        <f t="shared" ref="F55:F59" si="3">D55*$E55</f>
        <v>52018.799999999996</v>
      </c>
      <c r="G55" s="6"/>
      <c r="H55" s="6"/>
      <c r="I55" s="6"/>
      <c r="J55" s="6"/>
      <c r="K55" s="6"/>
    </row>
    <row r="56" spans="1:11" ht="25.5" customHeight="1" x14ac:dyDescent="0.25">
      <c r="A56" s="26" t="s">
        <v>418</v>
      </c>
      <c r="B56" s="2" t="s">
        <v>464</v>
      </c>
      <c r="C56" s="3" t="s">
        <v>403</v>
      </c>
      <c r="D56" s="4">
        <v>388.2</v>
      </c>
      <c r="E56" s="4">
        <v>130</v>
      </c>
      <c r="F56" s="4">
        <f t="shared" si="3"/>
        <v>50466</v>
      </c>
      <c r="G56" s="6"/>
      <c r="H56" s="6"/>
      <c r="I56" s="6"/>
      <c r="J56" s="6"/>
      <c r="K56" s="6"/>
    </row>
    <row r="57" spans="1:11" ht="25.5" customHeight="1" x14ac:dyDescent="0.25">
      <c r="A57" s="26" t="s">
        <v>465</v>
      </c>
      <c r="B57" s="2" t="s">
        <v>466</v>
      </c>
      <c r="C57" s="3" t="s">
        <v>403</v>
      </c>
      <c r="D57" s="4">
        <v>59</v>
      </c>
      <c r="E57" s="4">
        <v>128</v>
      </c>
      <c r="F57" s="4">
        <f t="shared" si="3"/>
        <v>7552</v>
      </c>
      <c r="G57" s="6"/>
      <c r="H57" s="6"/>
      <c r="I57" s="6"/>
      <c r="J57" s="6"/>
      <c r="K57" s="6"/>
    </row>
    <row r="58" spans="1:11" ht="25.5" customHeight="1" x14ac:dyDescent="0.25">
      <c r="A58" s="26" t="s">
        <v>467</v>
      </c>
      <c r="B58" s="2" t="s">
        <v>468</v>
      </c>
      <c r="C58" s="3" t="s">
        <v>403</v>
      </c>
      <c r="D58" s="4">
        <v>63</v>
      </c>
      <c r="E58" s="4">
        <v>125</v>
      </c>
      <c r="F58" s="4">
        <f t="shared" si="3"/>
        <v>7875</v>
      </c>
      <c r="G58" s="6"/>
      <c r="H58" s="6"/>
      <c r="I58" s="6"/>
      <c r="J58" s="6"/>
      <c r="K58" s="6"/>
    </row>
    <row r="59" spans="1:11" ht="12.75" customHeight="1" x14ac:dyDescent="0.25">
      <c r="A59" s="26" t="s">
        <v>469</v>
      </c>
      <c r="B59" s="2" t="s">
        <v>470</v>
      </c>
      <c r="C59" s="3" t="s">
        <v>417</v>
      </c>
      <c r="D59" s="4">
        <v>124</v>
      </c>
      <c r="E59" s="4">
        <v>83</v>
      </c>
      <c r="F59" s="4">
        <f t="shared" si="3"/>
        <v>10292</v>
      </c>
      <c r="G59" s="6"/>
      <c r="H59" s="6"/>
      <c r="I59" s="6"/>
      <c r="J59" s="6"/>
      <c r="K59" s="6"/>
    </row>
    <row r="60" spans="1:11" ht="12.75" customHeight="1" x14ac:dyDescent="0.25">
      <c r="A60" s="26"/>
      <c r="B60" s="2" t="s">
        <v>471</v>
      </c>
      <c r="C60" s="3"/>
      <c r="D60" s="4"/>
      <c r="E60" s="4"/>
      <c r="F60" s="4"/>
      <c r="G60" s="6"/>
      <c r="H60" s="6"/>
      <c r="I60" s="6"/>
      <c r="J60" s="6"/>
      <c r="K60" s="6"/>
    </row>
    <row r="61" spans="1:11" ht="267.75" customHeight="1" x14ac:dyDescent="0.25">
      <c r="A61" s="26" t="s">
        <v>472</v>
      </c>
      <c r="B61" s="2" t="s">
        <v>473</v>
      </c>
      <c r="C61" s="3"/>
      <c r="D61" s="4"/>
      <c r="E61" s="4"/>
      <c r="F61" s="4"/>
      <c r="G61" s="6"/>
      <c r="H61" s="6"/>
      <c r="I61" s="6"/>
      <c r="J61" s="6"/>
      <c r="K61" s="6"/>
    </row>
    <row r="62" spans="1:11" ht="293.25" customHeight="1" x14ac:dyDescent="0.25">
      <c r="A62" s="26"/>
      <c r="B62" s="2" t="s">
        <v>474</v>
      </c>
      <c r="C62" s="3"/>
      <c r="D62" s="4"/>
      <c r="E62" s="4"/>
      <c r="F62" s="4"/>
      <c r="G62" s="6"/>
      <c r="H62" s="6"/>
      <c r="I62" s="6"/>
      <c r="J62" s="6"/>
      <c r="K62" s="6"/>
    </row>
    <row r="63" spans="1:11" ht="255" customHeight="1" x14ac:dyDescent="0.25">
      <c r="A63" s="26"/>
      <c r="B63" s="2" t="s">
        <v>475</v>
      </c>
      <c r="C63" s="3"/>
      <c r="D63" s="4"/>
      <c r="E63" s="4"/>
      <c r="F63" s="4"/>
      <c r="G63" s="6"/>
      <c r="H63" s="6"/>
      <c r="I63" s="6"/>
      <c r="J63" s="6"/>
      <c r="K63" s="6"/>
    </row>
    <row r="64" spans="1:11" ht="89.25" customHeight="1" x14ac:dyDescent="0.25">
      <c r="A64" s="26"/>
      <c r="B64" s="2" t="s">
        <v>476</v>
      </c>
      <c r="C64" s="3"/>
      <c r="D64" s="4"/>
      <c r="E64" s="4"/>
      <c r="F64" s="4"/>
      <c r="G64" s="6"/>
      <c r="H64" s="6"/>
      <c r="I64" s="6"/>
      <c r="J64" s="6"/>
      <c r="K64" s="6"/>
    </row>
    <row r="65" spans="1:11" ht="216.75" customHeight="1" x14ac:dyDescent="0.25">
      <c r="A65" s="26"/>
      <c r="B65" s="2" t="s">
        <v>477</v>
      </c>
      <c r="C65" s="3"/>
      <c r="D65" s="4"/>
      <c r="E65" s="4"/>
      <c r="F65" s="4"/>
      <c r="G65" s="6"/>
      <c r="H65" s="6"/>
      <c r="I65" s="6"/>
      <c r="J65" s="6"/>
      <c r="K65" s="6"/>
    </row>
    <row r="66" spans="1:11" ht="293.25" customHeight="1" x14ac:dyDescent="0.25">
      <c r="A66" s="26"/>
      <c r="B66" s="2" t="s">
        <v>478</v>
      </c>
      <c r="C66" s="3"/>
      <c r="D66" s="4"/>
      <c r="E66" s="4"/>
      <c r="F66" s="4"/>
      <c r="G66" s="6"/>
      <c r="H66" s="6"/>
      <c r="I66" s="6"/>
      <c r="J66" s="6"/>
      <c r="K66" s="6"/>
    </row>
    <row r="67" spans="1:11" ht="242.25" customHeight="1" x14ac:dyDescent="0.25">
      <c r="A67" s="26"/>
      <c r="B67" s="2" t="s">
        <v>479</v>
      </c>
      <c r="C67" s="3"/>
      <c r="D67" s="4"/>
      <c r="E67" s="4"/>
      <c r="F67" s="4"/>
      <c r="G67" s="6"/>
      <c r="H67" s="6"/>
      <c r="I67" s="6"/>
      <c r="J67" s="6"/>
      <c r="K67" s="6"/>
    </row>
    <row r="68" spans="1:11" ht="127.5" customHeight="1" x14ac:dyDescent="0.25">
      <c r="A68" s="26"/>
      <c r="B68" s="2" t="s">
        <v>480</v>
      </c>
      <c r="C68" s="3" t="s">
        <v>403</v>
      </c>
      <c r="D68" s="4">
        <v>129.4</v>
      </c>
      <c r="E68" s="4">
        <v>74</v>
      </c>
      <c r="F68" s="4">
        <f>D68*$E68</f>
        <v>9575.6</v>
      </c>
      <c r="G68" s="6"/>
      <c r="H68" s="6"/>
      <c r="I68" s="6"/>
      <c r="J68" s="6"/>
      <c r="K68" s="6"/>
    </row>
    <row r="69" spans="1:11" ht="293.25" customHeight="1" x14ac:dyDescent="0.25">
      <c r="A69" s="26" t="s">
        <v>481</v>
      </c>
      <c r="B69" s="2" t="s">
        <v>482</v>
      </c>
      <c r="C69" s="3"/>
      <c r="D69" s="4"/>
      <c r="E69" s="4"/>
      <c r="F69" s="4"/>
      <c r="G69" s="6"/>
      <c r="H69" s="6"/>
      <c r="I69" s="6"/>
      <c r="J69" s="6"/>
      <c r="K69" s="6"/>
    </row>
    <row r="70" spans="1:11" ht="357" customHeight="1" x14ac:dyDescent="0.25">
      <c r="A70" s="26"/>
      <c r="B70" s="2" t="s">
        <v>483</v>
      </c>
      <c r="C70" s="3"/>
      <c r="D70" s="4"/>
      <c r="E70" s="4"/>
      <c r="F70" s="4"/>
      <c r="G70" s="6"/>
      <c r="H70" s="6"/>
      <c r="I70" s="6"/>
      <c r="J70" s="6"/>
      <c r="K70" s="6"/>
    </row>
    <row r="71" spans="1:11" ht="89.25" customHeight="1" x14ac:dyDescent="0.25">
      <c r="A71" s="26"/>
      <c r="B71" s="2" t="s">
        <v>458</v>
      </c>
      <c r="C71" s="3"/>
      <c r="D71" s="4"/>
      <c r="E71" s="4"/>
      <c r="F71" s="4"/>
      <c r="G71" s="6"/>
      <c r="H71" s="6"/>
      <c r="I71" s="6"/>
      <c r="J71" s="6"/>
      <c r="K71" s="6"/>
    </row>
    <row r="72" spans="1:11" ht="255" customHeight="1" x14ac:dyDescent="0.25">
      <c r="A72" s="26"/>
      <c r="B72" s="2" t="s">
        <v>484</v>
      </c>
      <c r="C72" s="3"/>
      <c r="D72" s="4"/>
      <c r="E72" s="4"/>
      <c r="F72" s="4"/>
      <c r="G72" s="6"/>
      <c r="H72" s="6"/>
      <c r="I72" s="6"/>
      <c r="J72" s="6"/>
      <c r="K72" s="6"/>
    </row>
    <row r="73" spans="1:11" ht="102" customHeight="1" x14ac:dyDescent="0.25">
      <c r="A73" s="26"/>
      <c r="B73" s="2" t="s">
        <v>485</v>
      </c>
      <c r="C73" s="3"/>
      <c r="D73" s="4"/>
      <c r="E73" s="4"/>
      <c r="F73" s="4"/>
      <c r="G73" s="6"/>
      <c r="H73" s="6"/>
      <c r="I73" s="6"/>
      <c r="J73" s="6"/>
      <c r="K73" s="6"/>
    </row>
    <row r="74" spans="1:11" ht="216.75" customHeight="1" x14ac:dyDescent="0.25">
      <c r="A74" s="26"/>
      <c r="B74" s="2" t="s">
        <v>486</v>
      </c>
      <c r="C74" s="3"/>
      <c r="D74" s="4"/>
      <c r="E74" s="4"/>
      <c r="F74" s="4"/>
      <c r="G74" s="6"/>
      <c r="H74" s="6"/>
      <c r="I74" s="6"/>
      <c r="J74" s="6"/>
      <c r="K74" s="6"/>
    </row>
    <row r="75" spans="1:11" ht="242.25" customHeight="1" x14ac:dyDescent="0.25">
      <c r="A75" s="26"/>
      <c r="B75" s="2" t="s">
        <v>487</v>
      </c>
      <c r="C75" s="3"/>
      <c r="D75" s="4"/>
      <c r="E75" s="4"/>
      <c r="F75" s="4"/>
      <c r="G75" s="6"/>
      <c r="H75" s="6"/>
      <c r="I75" s="6"/>
      <c r="J75" s="6"/>
      <c r="K75" s="6"/>
    </row>
    <row r="76" spans="1:11" ht="102" customHeight="1" x14ac:dyDescent="0.25">
      <c r="A76" s="26"/>
      <c r="B76" s="2" t="s">
        <v>488</v>
      </c>
      <c r="C76" s="3"/>
      <c r="D76" s="4"/>
      <c r="E76" s="4"/>
      <c r="F76" s="4"/>
      <c r="G76" s="6"/>
      <c r="H76" s="6"/>
      <c r="I76" s="6"/>
      <c r="J76" s="6"/>
      <c r="K76" s="6"/>
    </row>
    <row r="77" spans="1:11" ht="25.5" customHeight="1" x14ac:dyDescent="0.25">
      <c r="A77" s="26" t="s">
        <v>415</v>
      </c>
      <c r="B77" s="2" t="s">
        <v>463</v>
      </c>
      <c r="C77" s="3" t="s">
        <v>403</v>
      </c>
      <c r="D77" s="4">
        <v>129.4</v>
      </c>
      <c r="E77" s="4">
        <v>78</v>
      </c>
      <c r="F77" s="4">
        <f t="shared" ref="F77:F81" si="4">D77*$E77</f>
        <v>10093.200000000001</v>
      </c>
      <c r="G77" s="6"/>
      <c r="H77" s="6"/>
      <c r="I77" s="6"/>
      <c r="J77" s="6"/>
      <c r="K77" s="6"/>
    </row>
    <row r="78" spans="1:11" ht="25.5" customHeight="1" x14ac:dyDescent="0.25">
      <c r="A78" s="26" t="s">
        <v>418</v>
      </c>
      <c r="B78" s="2" t="s">
        <v>464</v>
      </c>
      <c r="C78" s="3" t="s">
        <v>403</v>
      </c>
      <c r="D78" s="4">
        <v>129.4</v>
      </c>
      <c r="E78" s="4">
        <v>74</v>
      </c>
      <c r="F78" s="4">
        <f t="shared" si="4"/>
        <v>9575.6</v>
      </c>
      <c r="G78" s="6"/>
      <c r="H78" s="6"/>
      <c r="I78" s="6"/>
      <c r="J78" s="6"/>
      <c r="K78" s="6"/>
    </row>
    <row r="79" spans="1:11" ht="25.5" customHeight="1" x14ac:dyDescent="0.25">
      <c r="A79" s="26" t="s">
        <v>465</v>
      </c>
      <c r="B79" s="2" t="s">
        <v>466</v>
      </c>
      <c r="C79" s="3" t="s">
        <v>403</v>
      </c>
      <c r="D79" s="4">
        <v>59</v>
      </c>
      <c r="E79" s="4">
        <v>72</v>
      </c>
      <c r="F79" s="4">
        <f t="shared" si="4"/>
        <v>4248</v>
      </c>
      <c r="G79" s="6"/>
      <c r="H79" s="6"/>
      <c r="I79" s="6"/>
      <c r="J79" s="6"/>
      <c r="K79" s="6"/>
    </row>
    <row r="80" spans="1:11" ht="25.5" customHeight="1" x14ac:dyDescent="0.25">
      <c r="A80" s="26" t="s">
        <v>467</v>
      </c>
      <c r="B80" s="2" t="s">
        <v>468</v>
      </c>
      <c r="C80" s="3" t="s">
        <v>403</v>
      </c>
      <c r="D80" s="4">
        <v>63</v>
      </c>
      <c r="E80" s="4">
        <v>69</v>
      </c>
      <c r="F80" s="4">
        <f t="shared" si="4"/>
        <v>4347</v>
      </c>
      <c r="G80" s="6"/>
      <c r="H80" s="6"/>
      <c r="I80" s="6"/>
      <c r="J80" s="6"/>
      <c r="K80" s="6"/>
    </row>
    <row r="81" spans="1:11" ht="12.75" customHeight="1" x14ac:dyDescent="0.25">
      <c r="A81" s="26" t="s">
        <v>469</v>
      </c>
      <c r="B81" s="2" t="s">
        <v>470</v>
      </c>
      <c r="C81" s="3" t="s">
        <v>417</v>
      </c>
      <c r="D81" s="4">
        <v>42</v>
      </c>
      <c r="E81" s="4">
        <v>48</v>
      </c>
      <c r="F81" s="4">
        <f t="shared" si="4"/>
        <v>2016</v>
      </c>
      <c r="G81" s="6"/>
      <c r="H81" s="6"/>
      <c r="I81" s="6"/>
      <c r="J81" s="6"/>
      <c r="K81" s="6"/>
    </row>
    <row r="82" spans="1:11" ht="12.75" customHeight="1" x14ac:dyDescent="0.25">
      <c r="A82" s="26"/>
      <c r="B82" s="39" t="s">
        <v>489</v>
      </c>
      <c r="C82" s="6"/>
      <c r="D82" s="6"/>
      <c r="E82" s="6"/>
      <c r="F82" s="44">
        <f>SUM(F40:F75)</f>
        <v>188245.4</v>
      </c>
      <c r="G82" s="6"/>
      <c r="H82" s="6"/>
      <c r="I82" s="6"/>
      <c r="J82" s="6"/>
      <c r="K82" s="6"/>
    </row>
    <row r="83" spans="1:11" ht="12.75" customHeight="1" x14ac:dyDescent="0.25">
      <c r="A83" s="26"/>
      <c r="B83" s="2"/>
      <c r="C83" s="3"/>
      <c r="D83" s="4"/>
      <c r="E83" s="4"/>
      <c r="F83" s="4"/>
      <c r="G83" s="6"/>
      <c r="H83" s="6"/>
      <c r="I83" s="6"/>
      <c r="J83" s="6"/>
      <c r="K83" s="6"/>
    </row>
    <row r="84" spans="1:11" ht="12.75" customHeight="1" x14ac:dyDescent="0.25">
      <c r="A84" s="26"/>
      <c r="B84" s="2"/>
      <c r="C84" s="3"/>
      <c r="D84" s="4"/>
      <c r="E84" s="4"/>
      <c r="F84" s="4"/>
      <c r="G84" s="6"/>
      <c r="H84" s="6"/>
      <c r="I84" s="6"/>
      <c r="J84" s="6"/>
      <c r="K84" s="6"/>
    </row>
    <row r="85" spans="1:11" ht="12.75" customHeight="1" x14ac:dyDescent="0.25">
      <c r="A85" s="43" t="s">
        <v>510</v>
      </c>
      <c r="B85" s="45" t="s">
        <v>511</v>
      </c>
      <c r="C85" s="42"/>
      <c r="D85" s="42"/>
      <c r="E85" s="42"/>
      <c r="F85" s="42"/>
      <c r="G85" s="6"/>
      <c r="H85" s="6"/>
      <c r="I85" s="6"/>
      <c r="J85" s="6"/>
      <c r="K85" s="6"/>
    </row>
    <row r="86" spans="1:11" ht="38.25" customHeight="1" x14ac:dyDescent="0.25">
      <c r="A86" s="26" t="s">
        <v>512</v>
      </c>
      <c r="B86" s="2" t="s">
        <v>513</v>
      </c>
      <c r="C86" s="3" t="s">
        <v>403</v>
      </c>
      <c r="D86" s="4">
        <v>190.5</v>
      </c>
      <c r="E86" s="4">
        <v>9.4499999999999993</v>
      </c>
      <c r="F86" s="4">
        <f>D86*$E86</f>
        <v>1800.2249999999999</v>
      </c>
      <c r="G86" s="6"/>
      <c r="H86" s="6"/>
      <c r="I86" s="6"/>
      <c r="J86" s="6"/>
      <c r="K86" s="6"/>
    </row>
    <row r="87" spans="1:11" ht="12.75" customHeight="1" x14ac:dyDescent="0.25">
      <c r="A87" s="26"/>
      <c r="B87" s="39" t="s">
        <v>514</v>
      </c>
      <c r="C87" s="6"/>
      <c r="D87" s="6"/>
      <c r="E87" s="6"/>
      <c r="F87" s="44">
        <f>SUM(F86)</f>
        <v>1800.2249999999999</v>
      </c>
      <c r="G87" s="6"/>
      <c r="H87" s="6"/>
      <c r="I87" s="6"/>
      <c r="J87" s="6"/>
      <c r="K87" s="6"/>
    </row>
    <row r="88" spans="1:11" ht="12.75" customHeight="1" x14ac:dyDescent="0.25">
      <c r="A88" s="26"/>
      <c r="B88" s="2"/>
      <c r="C88" s="3"/>
      <c r="D88" s="4"/>
      <c r="E88" s="4"/>
      <c r="F88" s="4"/>
      <c r="G88" s="6"/>
      <c r="H88" s="6"/>
      <c r="I88" s="6"/>
      <c r="J88" s="6"/>
      <c r="K88" s="6"/>
    </row>
    <row r="89" spans="1:11" ht="12.75" customHeight="1" x14ac:dyDescent="0.25">
      <c r="A89" s="26"/>
      <c r="B89" s="2"/>
      <c r="C89" s="3"/>
      <c r="D89" s="4"/>
      <c r="E89" s="4"/>
      <c r="F89" s="4"/>
      <c r="G89" s="6"/>
      <c r="H89" s="6"/>
      <c r="I89" s="6"/>
      <c r="J89" s="6"/>
      <c r="K89" s="6"/>
    </row>
    <row r="90" spans="1:11" ht="12.75" customHeight="1" x14ac:dyDescent="0.25">
      <c r="A90" s="26"/>
      <c r="B90" s="39"/>
      <c r="C90" s="6"/>
      <c r="D90" s="6"/>
      <c r="E90" s="6"/>
      <c r="F90" s="4"/>
      <c r="G90" s="6"/>
      <c r="H90" s="6"/>
      <c r="I90" s="6"/>
      <c r="J90" s="6"/>
      <c r="K90" s="6"/>
    </row>
    <row r="91" spans="1:11" ht="12.75" customHeight="1" x14ac:dyDescent="0.25">
      <c r="A91" s="26"/>
      <c r="B91" s="39"/>
      <c r="C91" s="6"/>
      <c r="D91" s="6"/>
      <c r="E91" s="6"/>
      <c r="F91" s="4"/>
      <c r="G91" s="6"/>
      <c r="H91" s="6"/>
      <c r="I91" s="6"/>
      <c r="J91" s="6"/>
      <c r="K91" s="6"/>
    </row>
    <row r="92" spans="1:11" ht="12.75" customHeight="1" x14ac:dyDescent="0.25">
      <c r="A92" s="26"/>
      <c r="B92" s="39"/>
      <c r="C92" s="6"/>
      <c r="D92" s="6"/>
      <c r="E92" s="6"/>
      <c r="F92" s="4"/>
      <c r="G92" s="6"/>
      <c r="H92" s="6"/>
      <c r="I92" s="6"/>
      <c r="J92" s="6"/>
      <c r="K92" s="6"/>
    </row>
    <row r="93" spans="1:11" ht="12.75" customHeight="1" x14ac:dyDescent="0.25">
      <c r="A93" s="26"/>
      <c r="B93" s="39"/>
      <c r="C93" s="6"/>
      <c r="D93" s="6"/>
      <c r="E93" s="6"/>
      <c r="F93" s="4"/>
      <c r="G93" s="6"/>
      <c r="H93" s="6"/>
      <c r="I93" s="6"/>
      <c r="J93" s="6"/>
      <c r="K93" s="6"/>
    </row>
    <row r="94" spans="1:11" ht="12.75" customHeight="1" x14ac:dyDescent="0.25">
      <c r="A94" s="26"/>
      <c r="B94" s="2"/>
      <c r="C94" s="3"/>
      <c r="D94" s="4"/>
      <c r="E94" s="4"/>
      <c r="F94" s="4"/>
      <c r="G94" s="6"/>
      <c r="H94" s="6"/>
      <c r="I94" s="6"/>
      <c r="J94" s="6"/>
      <c r="K94" s="6"/>
    </row>
    <row r="95" spans="1:11" ht="12.75" customHeight="1" x14ac:dyDescent="0.25">
      <c r="A95" s="26"/>
      <c r="B95" s="2"/>
      <c r="C95" s="3"/>
      <c r="D95" s="4"/>
      <c r="E95" s="4"/>
      <c r="F95" s="4"/>
      <c r="G95" s="6"/>
      <c r="H95" s="6"/>
      <c r="I95" s="6"/>
      <c r="J95" s="6"/>
      <c r="K95" s="6"/>
    </row>
    <row r="96" spans="1:11" ht="12.75" customHeight="1" x14ac:dyDescent="0.25">
      <c r="A96" s="26"/>
      <c r="B96" s="2"/>
      <c r="C96" s="3"/>
      <c r="D96" s="4"/>
      <c r="E96" s="4"/>
      <c r="F96" s="4"/>
      <c r="G96" s="6"/>
      <c r="H96" s="6"/>
      <c r="I96" s="6"/>
      <c r="J96" s="6"/>
      <c r="K96" s="6"/>
    </row>
    <row r="97" spans="1:11" ht="12.75" customHeight="1" x14ac:dyDescent="0.25">
      <c r="A97" s="26"/>
      <c r="B97" s="2"/>
      <c r="C97" s="3"/>
      <c r="D97" s="4"/>
      <c r="E97" s="4"/>
      <c r="F97" s="4"/>
      <c r="G97" s="6"/>
      <c r="H97" s="6"/>
      <c r="I97" s="6"/>
      <c r="J97" s="6"/>
      <c r="K97" s="6"/>
    </row>
    <row r="98" spans="1:11" ht="12.75" customHeight="1" x14ac:dyDescent="0.25">
      <c r="A98" s="26"/>
      <c r="B98" s="2"/>
      <c r="C98" s="3"/>
      <c r="D98" s="4"/>
      <c r="E98" s="4"/>
      <c r="F98" s="4"/>
      <c r="G98" s="6"/>
      <c r="H98" s="6"/>
      <c r="I98" s="6"/>
      <c r="J98" s="6"/>
      <c r="K98" s="6"/>
    </row>
    <row r="99" spans="1:11" ht="12.75" customHeight="1" x14ac:dyDescent="0.25">
      <c r="A99" s="26"/>
      <c r="B99" s="2"/>
      <c r="C99" s="3"/>
      <c r="D99" s="4"/>
      <c r="E99" s="4"/>
      <c r="F99" s="4"/>
      <c r="G99" s="6"/>
      <c r="H99" s="6"/>
      <c r="I99" s="6"/>
      <c r="J99" s="6"/>
      <c r="K99" s="6"/>
    </row>
    <row r="100" spans="1:11" ht="12.75" customHeight="1" x14ac:dyDescent="0.25">
      <c r="A100" s="26"/>
      <c r="B100" s="2"/>
      <c r="C100" s="3"/>
      <c r="D100" s="4"/>
      <c r="E100" s="4"/>
      <c r="F100" s="4"/>
      <c r="G100" s="6"/>
      <c r="H100" s="6"/>
      <c r="I100" s="6"/>
      <c r="J100" s="6"/>
      <c r="K100" s="6"/>
    </row>
  </sheetData>
  <printOptions horizontalCentered="1" gridLines="1"/>
  <pageMargins left="0.70833333333333304" right="0.70833333333333304" top="0.74791666666666701" bottom="0.74861111111111101" header="0" footer="0"/>
  <pageSetup paperSize="9" scale="90" orientation="portrait"/>
  <headerFooter>
    <oddHeader>&amp;L Ministarstvo unutarnjih poslova RH&amp;R Nastavno nacionalno središte civilne zaštite u Jastrebarskom</oddHeader>
    <oddFooter>&amp;L Troškovnik radova na uređenju građevina, vanjskog prostora i infrastrukture - zgrada 15&amp;Rstranica &amp;P od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
  <sheetViews>
    <sheetView workbookViewId="0">
      <selection activeCell="E12" sqref="E12"/>
    </sheetView>
  </sheetViews>
  <sheetFormatPr defaultColWidth="14.42578125" defaultRowHeight="15" customHeight="1" x14ac:dyDescent="0.25"/>
  <cols>
    <col min="1" max="1" width="6.140625" customWidth="1"/>
    <col min="2" max="2" width="50.7109375" customWidth="1"/>
    <col min="3" max="3" width="5.7109375" customWidth="1"/>
    <col min="4" max="4" width="9.7109375" customWidth="1"/>
    <col min="5" max="5" width="10.7109375" customWidth="1"/>
    <col min="6" max="6" width="13.85546875" customWidth="1"/>
    <col min="7" max="11" width="9.140625" customWidth="1"/>
  </cols>
  <sheetData>
    <row r="1" spans="1:11" ht="36" customHeight="1" x14ac:dyDescent="0.25">
      <c r="A1" s="29" t="s">
        <v>7</v>
      </c>
      <c r="B1" s="30" t="s">
        <v>8</v>
      </c>
      <c r="C1" s="31" t="s">
        <v>9</v>
      </c>
      <c r="D1" s="32" t="s">
        <v>10</v>
      </c>
      <c r="E1" s="32" t="s">
        <v>396</v>
      </c>
      <c r="F1" s="32" t="s">
        <v>12</v>
      </c>
      <c r="G1" s="34"/>
      <c r="H1" s="34"/>
      <c r="I1" s="34"/>
      <c r="J1" s="34"/>
      <c r="K1" s="34"/>
    </row>
    <row r="2" spans="1:11" ht="12.75" customHeight="1" x14ac:dyDescent="0.25">
      <c r="A2" s="35"/>
      <c r="B2" s="2"/>
      <c r="C2" s="36"/>
      <c r="D2" s="37"/>
      <c r="E2" s="37"/>
      <c r="F2" s="37"/>
      <c r="G2" s="6"/>
      <c r="H2" s="6"/>
      <c r="I2" s="6"/>
      <c r="J2" s="6"/>
      <c r="K2" s="6"/>
    </row>
    <row r="3" spans="1:11" ht="12.75" customHeight="1" x14ac:dyDescent="0.25">
      <c r="A3" s="39" t="s">
        <v>563</v>
      </c>
      <c r="B3" s="16" t="s">
        <v>564</v>
      </c>
      <c r="C3" s="40"/>
      <c r="D3" s="41"/>
      <c r="E3" s="41"/>
      <c r="F3" s="41"/>
      <c r="G3" s="42"/>
      <c r="H3" s="42"/>
      <c r="I3" s="42"/>
      <c r="J3" s="42"/>
      <c r="K3" s="42"/>
    </row>
    <row r="4" spans="1:11" ht="12.75" customHeight="1" x14ac:dyDescent="0.25">
      <c r="A4" s="35"/>
      <c r="B4" s="2"/>
      <c r="C4" s="36"/>
      <c r="D4" s="37"/>
      <c r="E4" s="37"/>
      <c r="F4" s="37"/>
      <c r="G4" s="6"/>
      <c r="H4" s="6"/>
      <c r="I4" s="6"/>
      <c r="J4" s="6"/>
      <c r="K4" s="6"/>
    </row>
    <row r="5" spans="1:11" ht="12.75" customHeight="1" x14ac:dyDescent="0.25">
      <c r="A5" s="43" t="s">
        <v>399</v>
      </c>
      <c r="B5" s="16" t="s">
        <v>400</v>
      </c>
      <c r="C5" s="3"/>
      <c r="D5" s="4"/>
      <c r="E5" s="4"/>
      <c r="F5" s="4"/>
      <c r="G5" s="6"/>
      <c r="H5" s="6"/>
      <c r="I5" s="6"/>
      <c r="J5" s="6"/>
      <c r="K5" s="6"/>
    </row>
    <row r="6" spans="1:11" ht="12.75" customHeight="1" x14ac:dyDescent="0.25">
      <c r="A6" s="43"/>
      <c r="B6" s="16"/>
      <c r="C6" s="3"/>
      <c r="D6" s="4"/>
      <c r="E6" s="4"/>
      <c r="F6" s="4"/>
      <c r="G6" s="6"/>
      <c r="H6" s="6"/>
      <c r="I6" s="6"/>
      <c r="J6" s="6"/>
      <c r="K6" s="6"/>
    </row>
    <row r="7" spans="1:11" ht="12.75" customHeight="1" x14ac:dyDescent="0.25">
      <c r="A7" s="39" t="s">
        <v>389</v>
      </c>
      <c r="B7" s="16" t="s">
        <v>31</v>
      </c>
      <c r="C7" s="42"/>
      <c r="D7" s="44"/>
      <c r="E7" s="44"/>
      <c r="F7" s="44"/>
      <c r="G7" s="6"/>
      <c r="H7" s="6"/>
      <c r="I7" s="6"/>
      <c r="J7" s="6"/>
      <c r="K7" s="6"/>
    </row>
    <row r="8" spans="1:11" ht="140.25" customHeight="1" x14ac:dyDescent="0.25">
      <c r="A8" s="26" t="s">
        <v>401</v>
      </c>
      <c r="B8" s="2" t="s">
        <v>402</v>
      </c>
      <c r="C8" s="3" t="s">
        <v>403</v>
      </c>
      <c r="D8" s="4">
        <v>777.5</v>
      </c>
      <c r="E8" s="4">
        <v>11.55</v>
      </c>
      <c r="F8" s="4">
        <f>D8*$E8</f>
        <v>8980.125</v>
      </c>
      <c r="G8" s="6"/>
      <c r="H8" s="6"/>
      <c r="I8" s="6"/>
      <c r="J8" s="6"/>
      <c r="K8" s="6"/>
    </row>
    <row r="9" spans="1:11" ht="12.75" customHeight="1" x14ac:dyDescent="0.25">
      <c r="A9" s="26"/>
      <c r="B9" s="39" t="s">
        <v>404</v>
      </c>
      <c r="C9" s="6"/>
      <c r="D9" s="6"/>
      <c r="E9" s="6"/>
      <c r="F9" s="44">
        <f>SUM(F8)</f>
        <v>8980.125</v>
      </c>
      <c r="G9" s="6"/>
      <c r="H9" s="6"/>
      <c r="I9" s="6"/>
      <c r="J9" s="6"/>
      <c r="K9" s="6"/>
    </row>
    <row r="10" spans="1:11" ht="12.75" customHeight="1" x14ac:dyDescent="0.25">
      <c r="A10" s="26"/>
      <c r="B10" s="2"/>
      <c r="C10" s="3"/>
      <c r="D10" s="4"/>
      <c r="E10" s="4"/>
      <c r="F10" s="4"/>
      <c r="G10" s="6"/>
      <c r="H10" s="6"/>
      <c r="I10" s="6"/>
      <c r="J10" s="6"/>
      <c r="K10" s="6"/>
    </row>
    <row r="11" spans="1:11" ht="12.75" customHeight="1" x14ac:dyDescent="0.25">
      <c r="A11" s="26"/>
      <c r="B11" s="39"/>
      <c r="C11" s="6"/>
      <c r="D11" s="6"/>
      <c r="E11" s="6"/>
      <c r="F11" s="4"/>
      <c r="G11" s="6"/>
      <c r="H11" s="6"/>
      <c r="I11" s="6"/>
      <c r="J11" s="6"/>
      <c r="K11" s="6"/>
    </row>
    <row r="12" spans="1:11" ht="12.75" customHeight="1" x14ac:dyDescent="0.25">
      <c r="A12" s="26"/>
      <c r="B12" s="2"/>
      <c r="C12" s="3"/>
      <c r="D12" s="4"/>
      <c r="E12" s="4"/>
      <c r="F12" s="4"/>
      <c r="G12" s="6"/>
      <c r="H12" s="6"/>
      <c r="I12" s="6"/>
      <c r="J12" s="6"/>
      <c r="K12" s="6"/>
    </row>
    <row r="13" spans="1:11" ht="12.75" customHeight="1" x14ac:dyDescent="0.25">
      <c r="A13" s="39" t="s">
        <v>411</v>
      </c>
      <c r="B13" s="16" t="s">
        <v>412</v>
      </c>
      <c r="C13" s="42"/>
      <c r="D13" s="44"/>
      <c r="E13" s="44"/>
      <c r="F13" s="44"/>
      <c r="G13" s="6"/>
      <c r="H13" s="6"/>
      <c r="I13" s="6"/>
      <c r="J13" s="6"/>
      <c r="K13" s="6"/>
    </row>
    <row r="14" spans="1:11" ht="153" customHeight="1" x14ac:dyDescent="0.25">
      <c r="A14" s="35" t="s">
        <v>413</v>
      </c>
      <c r="B14" s="2" t="s">
        <v>565</v>
      </c>
      <c r="C14" s="6"/>
      <c r="D14" s="4"/>
      <c r="E14" s="4"/>
      <c r="F14" s="4"/>
      <c r="G14" s="6"/>
      <c r="H14" s="6"/>
      <c r="I14" s="6"/>
      <c r="J14" s="6"/>
      <c r="K14" s="6"/>
    </row>
    <row r="15" spans="1:11" ht="12.75" customHeight="1" x14ac:dyDescent="0.25">
      <c r="A15" s="35" t="s">
        <v>415</v>
      </c>
      <c r="B15" s="2" t="s">
        <v>416</v>
      </c>
      <c r="C15" s="3" t="s">
        <v>417</v>
      </c>
      <c r="D15" s="4">
        <v>164</v>
      </c>
      <c r="E15" s="4"/>
      <c r="F15" s="4">
        <f t="shared" ref="F15:F16" si="0">D15*$E15</f>
        <v>0</v>
      </c>
      <c r="G15" s="6"/>
      <c r="H15" s="6"/>
      <c r="I15" s="6"/>
      <c r="J15" s="6"/>
      <c r="K15" s="6"/>
    </row>
    <row r="16" spans="1:11" ht="12.75" customHeight="1" x14ac:dyDescent="0.25">
      <c r="A16" s="35" t="s">
        <v>418</v>
      </c>
      <c r="B16" s="2" t="s">
        <v>419</v>
      </c>
      <c r="C16" s="3" t="s">
        <v>417</v>
      </c>
      <c r="D16" s="4">
        <v>164</v>
      </c>
      <c r="E16" s="4"/>
      <c r="F16" s="4">
        <f t="shared" si="0"/>
        <v>0</v>
      </c>
      <c r="G16" s="6"/>
      <c r="H16" s="6"/>
      <c r="I16" s="6"/>
      <c r="J16" s="6"/>
      <c r="K16" s="6"/>
    </row>
    <row r="17" spans="1:11" ht="38.25" customHeight="1" x14ac:dyDescent="0.25">
      <c r="A17" s="35" t="s">
        <v>420</v>
      </c>
      <c r="B17" s="2" t="s">
        <v>421</v>
      </c>
      <c r="C17" s="6"/>
      <c r="D17" s="4"/>
      <c r="E17" s="6"/>
      <c r="F17" s="4"/>
      <c r="G17" s="6"/>
      <c r="H17" s="6"/>
      <c r="I17" s="6"/>
      <c r="J17" s="6"/>
      <c r="K17" s="6"/>
    </row>
    <row r="18" spans="1:11" ht="12.75" customHeight="1" x14ac:dyDescent="0.25">
      <c r="A18" s="35" t="s">
        <v>415</v>
      </c>
      <c r="B18" s="2" t="s">
        <v>422</v>
      </c>
      <c r="C18" s="3" t="s">
        <v>417</v>
      </c>
      <c r="D18" s="4">
        <v>164</v>
      </c>
      <c r="E18" s="4">
        <v>16</v>
      </c>
      <c r="F18" s="4">
        <f t="shared" ref="F18:F19" si="1">D18*$E18</f>
        <v>2624</v>
      </c>
      <c r="G18" s="6"/>
      <c r="H18" s="6"/>
      <c r="I18" s="6"/>
      <c r="J18" s="6"/>
      <c r="K18" s="6"/>
    </row>
    <row r="19" spans="1:11" ht="12.75" customHeight="1" x14ac:dyDescent="0.25">
      <c r="A19" s="35" t="s">
        <v>418</v>
      </c>
      <c r="B19" s="2" t="s">
        <v>423</v>
      </c>
      <c r="C19" s="3" t="s">
        <v>417</v>
      </c>
      <c r="D19" s="4">
        <v>164</v>
      </c>
      <c r="E19" s="44">
        <v>16</v>
      </c>
      <c r="F19" s="4">
        <f t="shared" si="1"/>
        <v>2624</v>
      </c>
      <c r="G19" s="6"/>
      <c r="H19" s="6"/>
      <c r="I19" s="6"/>
      <c r="J19" s="6"/>
      <c r="K19" s="6"/>
    </row>
    <row r="20" spans="1:11" ht="12.75" customHeight="1" x14ac:dyDescent="0.25">
      <c r="A20" s="26"/>
      <c r="B20" s="39"/>
      <c r="C20" s="6"/>
      <c r="D20" s="6"/>
      <c r="E20" s="4"/>
      <c r="F20" s="4"/>
      <c r="G20" s="6"/>
      <c r="H20" s="6"/>
      <c r="I20" s="6"/>
      <c r="J20" s="6"/>
      <c r="K20" s="6"/>
    </row>
    <row r="21" spans="1:11" ht="12.75" customHeight="1" x14ac:dyDescent="0.25">
      <c r="A21" s="26"/>
      <c r="B21" s="39"/>
      <c r="C21" s="6"/>
      <c r="D21" s="6"/>
      <c r="E21" s="4"/>
      <c r="F21" s="4"/>
      <c r="G21" s="6"/>
      <c r="H21" s="6"/>
      <c r="I21" s="6"/>
      <c r="J21" s="6"/>
      <c r="K21" s="6"/>
    </row>
    <row r="22" spans="1:11" ht="12.75" customHeight="1" x14ac:dyDescent="0.25">
      <c r="A22" s="43" t="s">
        <v>433</v>
      </c>
      <c r="B22" s="45" t="s">
        <v>115</v>
      </c>
      <c r="C22" s="42"/>
      <c r="D22" s="42"/>
      <c r="E22" s="4"/>
      <c r="F22" s="42"/>
      <c r="G22" s="6"/>
      <c r="H22" s="6"/>
      <c r="I22" s="6"/>
      <c r="J22" s="6"/>
      <c r="K22" s="6"/>
    </row>
    <row r="23" spans="1:11" ht="51" customHeight="1" x14ac:dyDescent="0.25">
      <c r="A23" s="43"/>
      <c r="B23" s="2" t="s">
        <v>434</v>
      </c>
      <c r="C23" s="42"/>
      <c r="D23" s="42"/>
      <c r="E23" s="4"/>
      <c r="F23" s="42"/>
      <c r="G23" s="6"/>
      <c r="H23" s="6"/>
      <c r="I23" s="6"/>
      <c r="J23" s="6"/>
      <c r="K23" s="6"/>
    </row>
    <row r="24" spans="1:11" ht="191.25" customHeight="1" x14ac:dyDescent="0.25">
      <c r="A24" s="26" t="s">
        <v>549</v>
      </c>
      <c r="B24" s="2" t="s">
        <v>550</v>
      </c>
      <c r="C24" s="3" t="s">
        <v>417</v>
      </c>
      <c r="D24" s="4">
        <v>310</v>
      </c>
      <c r="E24" s="4"/>
      <c r="F24" s="4">
        <f t="shared" ref="F24:F27" si="2">D24*$E24</f>
        <v>0</v>
      </c>
      <c r="G24" s="6"/>
      <c r="H24" s="6"/>
      <c r="I24" s="6"/>
      <c r="J24" s="6"/>
      <c r="K24" s="6"/>
    </row>
    <row r="25" spans="1:11" ht="114.75" customHeight="1" x14ac:dyDescent="0.25">
      <c r="A25" s="26" t="s">
        <v>435</v>
      </c>
      <c r="B25" s="2" t="s">
        <v>436</v>
      </c>
      <c r="C25" s="3" t="s">
        <v>403</v>
      </c>
      <c r="D25" s="4">
        <v>485</v>
      </c>
      <c r="E25" s="4"/>
      <c r="F25" s="4">
        <f t="shared" si="2"/>
        <v>0</v>
      </c>
      <c r="G25" s="6"/>
      <c r="H25" s="6"/>
      <c r="I25" s="6"/>
      <c r="J25" s="6"/>
      <c r="K25" s="6"/>
    </row>
    <row r="26" spans="1:11" ht="204" customHeight="1" x14ac:dyDescent="0.25">
      <c r="A26" s="26" t="s">
        <v>437</v>
      </c>
      <c r="B26" s="2" t="s">
        <v>438</v>
      </c>
      <c r="C26" s="3" t="s">
        <v>403</v>
      </c>
      <c r="D26" s="4">
        <v>490</v>
      </c>
      <c r="E26" s="4"/>
      <c r="F26" s="4">
        <f t="shared" si="2"/>
        <v>0</v>
      </c>
      <c r="G26" s="6"/>
      <c r="H26" s="6"/>
      <c r="I26" s="6"/>
      <c r="J26" s="6"/>
      <c r="K26" s="6"/>
    </row>
    <row r="27" spans="1:11" ht="114.75" customHeight="1" x14ac:dyDescent="0.25">
      <c r="A27" s="26" t="s">
        <v>566</v>
      </c>
      <c r="B27" s="2" t="s">
        <v>440</v>
      </c>
      <c r="C27" s="3" t="s">
        <v>403</v>
      </c>
      <c r="D27" s="4">
        <v>50</v>
      </c>
      <c r="E27" s="4"/>
      <c r="F27" s="4">
        <f t="shared" si="2"/>
        <v>0</v>
      </c>
      <c r="G27" s="6"/>
      <c r="H27" s="6"/>
      <c r="I27" s="6"/>
      <c r="J27" s="6"/>
      <c r="K27" s="6"/>
    </row>
    <row r="28" spans="1:11" ht="12.75" customHeight="1" x14ac:dyDescent="0.25">
      <c r="A28" s="26"/>
      <c r="B28" s="39" t="s">
        <v>441</v>
      </c>
      <c r="C28" s="6"/>
      <c r="D28" s="6"/>
      <c r="E28" s="6"/>
      <c r="F28" s="44">
        <f>SUM(F24:F27)</f>
        <v>0</v>
      </c>
      <c r="G28" s="6"/>
      <c r="H28" s="6"/>
      <c r="I28" s="6"/>
      <c r="J28" s="6"/>
      <c r="K28" s="6"/>
    </row>
    <row r="29" spans="1:11" ht="12.75" customHeight="1" x14ac:dyDescent="0.25">
      <c r="A29" s="26"/>
      <c r="B29" s="2"/>
      <c r="C29" s="3"/>
      <c r="D29" s="4"/>
      <c r="E29" s="4"/>
      <c r="F29" s="4"/>
      <c r="G29" s="6"/>
      <c r="H29" s="6"/>
      <c r="I29" s="6"/>
      <c r="J29" s="6"/>
      <c r="K29" s="6"/>
    </row>
    <row r="30" spans="1:11" ht="12.75" customHeight="1" x14ac:dyDescent="0.25">
      <c r="A30" s="26"/>
      <c r="B30" s="2"/>
      <c r="C30" s="3"/>
      <c r="D30" s="4"/>
      <c r="E30" s="4"/>
      <c r="F30" s="4"/>
      <c r="G30" s="6"/>
      <c r="H30" s="6"/>
      <c r="I30" s="6"/>
      <c r="J30" s="6"/>
      <c r="K30" s="6"/>
    </row>
    <row r="31" spans="1:11" ht="12.75" customHeight="1" x14ac:dyDescent="0.25">
      <c r="A31" s="43" t="s">
        <v>442</v>
      </c>
      <c r="B31" s="45" t="s">
        <v>285</v>
      </c>
      <c r="C31" s="42"/>
      <c r="D31" s="42"/>
      <c r="E31" s="42"/>
      <c r="F31" s="42"/>
      <c r="G31" s="6"/>
      <c r="H31" s="6"/>
      <c r="I31" s="6"/>
      <c r="J31" s="6"/>
      <c r="K31" s="6"/>
    </row>
    <row r="32" spans="1:11" ht="12.75" customHeight="1" x14ac:dyDescent="0.25">
      <c r="A32" s="43"/>
      <c r="B32" s="46" t="s">
        <v>443</v>
      </c>
      <c r="C32" s="42"/>
      <c r="D32" s="42"/>
      <c r="E32" s="42"/>
      <c r="F32" s="42"/>
      <c r="G32" s="6"/>
      <c r="H32" s="6"/>
      <c r="I32" s="6"/>
      <c r="J32" s="6"/>
      <c r="K32" s="6"/>
    </row>
    <row r="33" spans="1:11" ht="306" customHeight="1" x14ac:dyDescent="0.25">
      <c r="A33" s="26" t="s">
        <v>444</v>
      </c>
      <c r="B33" s="2" t="s">
        <v>445</v>
      </c>
      <c r="C33" s="3"/>
      <c r="D33" s="4"/>
      <c r="E33" s="4"/>
      <c r="F33" s="4"/>
      <c r="G33" s="6"/>
      <c r="H33" s="6"/>
      <c r="I33" s="6"/>
      <c r="J33" s="6"/>
      <c r="K33" s="6"/>
    </row>
    <row r="34" spans="1:11" ht="229.5" customHeight="1" x14ac:dyDescent="0.25">
      <c r="A34" s="26"/>
      <c r="B34" s="2" t="s">
        <v>446</v>
      </c>
      <c r="C34" s="3"/>
      <c r="D34" s="4"/>
      <c r="E34" s="4"/>
      <c r="F34" s="4"/>
      <c r="G34" s="6"/>
      <c r="H34" s="6"/>
      <c r="I34" s="6"/>
      <c r="J34" s="6"/>
      <c r="K34" s="6"/>
    </row>
    <row r="35" spans="1:11" ht="127.5" customHeight="1" x14ac:dyDescent="0.25">
      <c r="A35" s="26"/>
      <c r="B35" s="2" t="s">
        <v>447</v>
      </c>
      <c r="C35" s="3"/>
      <c r="D35" s="4"/>
      <c r="E35" s="4"/>
      <c r="F35" s="4"/>
      <c r="G35" s="6"/>
      <c r="H35" s="6"/>
      <c r="I35" s="6"/>
      <c r="J35" s="6"/>
      <c r="K35" s="6"/>
    </row>
    <row r="36" spans="1:11" ht="267.75" customHeight="1" x14ac:dyDescent="0.25">
      <c r="A36" s="26"/>
      <c r="B36" s="2" t="s">
        <v>448</v>
      </c>
      <c r="C36" s="3"/>
      <c r="D36" s="4"/>
      <c r="E36" s="4"/>
      <c r="F36" s="4"/>
      <c r="G36" s="6"/>
      <c r="H36" s="6"/>
      <c r="I36" s="6"/>
      <c r="J36" s="6"/>
      <c r="K36" s="6"/>
    </row>
    <row r="37" spans="1:11" ht="114.75" customHeight="1" x14ac:dyDescent="0.25">
      <c r="A37" s="26"/>
      <c r="B37" s="2" t="s">
        <v>449</v>
      </c>
      <c r="C37" s="3"/>
      <c r="D37" s="4"/>
      <c r="E37" s="4"/>
      <c r="F37" s="4"/>
      <c r="G37" s="6"/>
      <c r="H37" s="6"/>
      <c r="I37" s="6"/>
      <c r="J37" s="6"/>
      <c r="K37" s="6"/>
    </row>
    <row r="38" spans="1:11" ht="153" customHeight="1" x14ac:dyDescent="0.25">
      <c r="A38" s="26"/>
      <c r="B38" s="2" t="s">
        <v>450</v>
      </c>
      <c r="C38" s="3"/>
      <c r="D38" s="4"/>
      <c r="E38" s="4"/>
      <c r="F38" s="4"/>
      <c r="G38" s="6"/>
      <c r="H38" s="6"/>
      <c r="I38" s="6"/>
      <c r="J38" s="6"/>
      <c r="K38" s="6"/>
    </row>
    <row r="39" spans="1:11" ht="280.5" customHeight="1" x14ac:dyDescent="0.25">
      <c r="A39" s="26"/>
      <c r="B39" s="2" t="s">
        <v>451</v>
      </c>
      <c r="C39" s="3"/>
      <c r="D39" s="4"/>
      <c r="E39" s="4"/>
      <c r="F39" s="4"/>
      <c r="G39" s="6"/>
      <c r="H39" s="6"/>
      <c r="I39" s="6"/>
      <c r="J39" s="6"/>
      <c r="K39" s="6"/>
    </row>
    <row r="40" spans="1:11" ht="191.25" customHeight="1" x14ac:dyDescent="0.25">
      <c r="A40" s="26"/>
      <c r="B40" s="2" t="s">
        <v>452</v>
      </c>
      <c r="C40" s="3"/>
      <c r="D40" s="4"/>
      <c r="E40" s="4"/>
      <c r="F40" s="4"/>
      <c r="G40" s="6"/>
      <c r="H40" s="6"/>
      <c r="I40" s="6"/>
      <c r="J40" s="6"/>
      <c r="K40" s="6"/>
    </row>
    <row r="41" spans="1:11" ht="127.5" customHeight="1" x14ac:dyDescent="0.25">
      <c r="A41" s="26"/>
      <c r="B41" s="2" t="s">
        <v>453</v>
      </c>
      <c r="C41" s="3" t="s">
        <v>403</v>
      </c>
      <c r="D41" s="4">
        <v>50</v>
      </c>
      <c r="E41" s="4">
        <v>130</v>
      </c>
      <c r="F41" s="4">
        <f>D41*$E41</f>
        <v>6500</v>
      </c>
      <c r="G41" s="6"/>
      <c r="H41" s="6"/>
      <c r="I41" s="6"/>
      <c r="J41" s="6"/>
      <c r="K41" s="6"/>
    </row>
    <row r="42" spans="1:11" ht="382.5" customHeight="1" x14ac:dyDescent="0.25">
      <c r="A42" s="26" t="s">
        <v>454</v>
      </c>
      <c r="B42" s="2" t="s">
        <v>455</v>
      </c>
      <c r="C42" s="3"/>
      <c r="D42" s="4"/>
      <c r="E42" s="4"/>
      <c r="F42" s="4"/>
      <c r="G42" s="6"/>
      <c r="H42" s="6"/>
      <c r="I42" s="6"/>
      <c r="J42" s="6"/>
      <c r="K42" s="6"/>
    </row>
    <row r="43" spans="1:11" ht="204" customHeight="1" x14ac:dyDescent="0.25">
      <c r="A43" s="26"/>
      <c r="B43" s="2" t="s">
        <v>456</v>
      </c>
      <c r="C43" s="3"/>
      <c r="D43" s="4"/>
      <c r="E43" s="4"/>
      <c r="F43" s="4"/>
      <c r="G43" s="6"/>
      <c r="H43" s="6"/>
      <c r="I43" s="6"/>
      <c r="J43" s="6"/>
      <c r="K43" s="6"/>
    </row>
    <row r="44" spans="1:11" ht="165.75" customHeight="1" x14ac:dyDescent="0.25">
      <c r="A44" s="26"/>
      <c r="B44" s="2" t="s">
        <v>457</v>
      </c>
      <c r="C44" s="3"/>
      <c r="D44" s="4"/>
      <c r="E44" s="4"/>
      <c r="F44" s="4"/>
      <c r="G44" s="6"/>
      <c r="H44" s="6"/>
      <c r="I44" s="6"/>
      <c r="J44" s="6"/>
      <c r="K44" s="6"/>
    </row>
    <row r="45" spans="1:11" ht="89.25" customHeight="1" x14ac:dyDescent="0.25">
      <c r="A45" s="26"/>
      <c r="B45" s="2" t="s">
        <v>458</v>
      </c>
      <c r="C45" s="3"/>
      <c r="D45" s="4"/>
      <c r="E45" s="4"/>
      <c r="F45" s="4"/>
      <c r="G45" s="6"/>
      <c r="H45" s="6"/>
      <c r="I45" s="6"/>
      <c r="J45" s="6"/>
      <c r="K45" s="6"/>
    </row>
    <row r="46" spans="1:11" ht="318.75" customHeight="1" x14ac:dyDescent="0.25">
      <c r="A46" s="26"/>
      <c r="B46" s="2" t="s">
        <v>459</v>
      </c>
      <c r="C46" s="3"/>
      <c r="D46" s="4"/>
      <c r="E46" s="4"/>
      <c r="F46" s="4"/>
      <c r="G46" s="6"/>
      <c r="H46" s="6"/>
      <c r="I46" s="6"/>
      <c r="J46" s="6"/>
      <c r="K46" s="6"/>
    </row>
    <row r="47" spans="1:11" ht="114.75" customHeight="1" x14ac:dyDescent="0.25">
      <c r="A47" s="26"/>
      <c r="B47" s="2" t="s">
        <v>449</v>
      </c>
      <c r="C47" s="3"/>
      <c r="D47" s="4"/>
      <c r="E47" s="4"/>
      <c r="F47" s="4"/>
      <c r="G47" s="6"/>
      <c r="H47" s="6"/>
      <c r="I47" s="6"/>
      <c r="J47" s="6"/>
      <c r="K47" s="6"/>
    </row>
    <row r="48" spans="1:11" ht="216.75" customHeight="1" x14ac:dyDescent="0.25">
      <c r="A48" s="26"/>
      <c r="B48" s="2" t="s">
        <v>460</v>
      </c>
      <c r="C48" s="3"/>
      <c r="D48" s="4"/>
      <c r="E48" s="4"/>
      <c r="F48" s="4"/>
      <c r="G48" s="6"/>
      <c r="H48" s="6"/>
      <c r="I48" s="6"/>
      <c r="J48" s="6"/>
      <c r="K48" s="6"/>
    </row>
    <row r="49" spans="1:11" ht="178.5" customHeight="1" x14ac:dyDescent="0.25">
      <c r="A49" s="26"/>
      <c r="B49" s="2" t="s">
        <v>461</v>
      </c>
      <c r="C49" s="3"/>
      <c r="D49" s="4"/>
      <c r="E49" s="4"/>
      <c r="F49" s="4"/>
      <c r="G49" s="6"/>
      <c r="H49" s="6"/>
      <c r="I49" s="6"/>
      <c r="J49" s="6"/>
      <c r="K49" s="6"/>
    </row>
    <row r="50" spans="1:11" ht="114.75" customHeight="1" x14ac:dyDescent="0.25">
      <c r="A50" s="26"/>
      <c r="B50" s="2" t="s">
        <v>462</v>
      </c>
      <c r="C50" s="3"/>
      <c r="D50" s="4"/>
      <c r="E50" s="4"/>
      <c r="F50" s="4"/>
      <c r="G50" s="6"/>
      <c r="H50" s="6"/>
      <c r="I50" s="6"/>
      <c r="J50" s="6"/>
      <c r="K50" s="6"/>
    </row>
    <row r="51" spans="1:11" ht="25.5" customHeight="1" x14ac:dyDescent="0.25">
      <c r="A51" s="26" t="s">
        <v>415</v>
      </c>
      <c r="B51" s="2" t="s">
        <v>463</v>
      </c>
      <c r="C51" s="3" t="s">
        <v>403</v>
      </c>
      <c r="D51" s="4">
        <v>490</v>
      </c>
      <c r="E51" s="4">
        <v>134</v>
      </c>
      <c r="F51" s="4">
        <f t="shared" ref="F51:F55" si="3">D51*$E51</f>
        <v>65660</v>
      </c>
      <c r="G51" s="6"/>
      <c r="H51" s="6"/>
      <c r="I51" s="6"/>
      <c r="J51" s="6"/>
      <c r="K51" s="6"/>
    </row>
    <row r="52" spans="1:11" ht="25.5" customHeight="1" x14ac:dyDescent="0.25">
      <c r="A52" s="26" t="s">
        <v>418</v>
      </c>
      <c r="B52" s="2" t="s">
        <v>464</v>
      </c>
      <c r="C52" s="3" t="s">
        <v>403</v>
      </c>
      <c r="D52" s="4">
        <v>6</v>
      </c>
      <c r="E52" s="4">
        <v>130</v>
      </c>
      <c r="F52" s="4">
        <f t="shared" si="3"/>
        <v>780</v>
      </c>
      <c r="G52" s="6"/>
      <c r="H52" s="6"/>
      <c r="I52" s="6"/>
      <c r="J52" s="6"/>
      <c r="K52" s="6"/>
    </row>
    <row r="53" spans="1:11" ht="25.5" customHeight="1" x14ac:dyDescent="0.25">
      <c r="A53" s="26" t="s">
        <v>465</v>
      </c>
      <c r="B53" s="2" t="s">
        <v>466</v>
      </c>
      <c r="C53" s="3" t="s">
        <v>403</v>
      </c>
      <c r="D53" s="4">
        <v>20</v>
      </c>
      <c r="E53" s="4">
        <v>128</v>
      </c>
      <c r="F53" s="4">
        <f t="shared" si="3"/>
        <v>2560</v>
      </c>
      <c r="G53" s="6"/>
      <c r="H53" s="6"/>
      <c r="I53" s="6"/>
      <c r="J53" s="6"/>
      <c r="K53" s="6"/>
    </row>
    <row r="54" spans="1:11" ht="25.5" customHeight="1" x14ac:dyDescent="0.25">
      <c r="A54" s="26" t="s">
        <v>467</v>
      </c>
      <c r="B54" s="2" t="s">
        <v>468</v>
      </c>
      <c r="C54" s="3" t="s">
        <v>403</v>
      </c>
      <c r="D54" s="4">
        <v>63</v>
      </c>
      <c r="E54" s="4">
        <v>125</v>
      </c>
      <c r="F54" s="4">
        <f t="shared" si="3"/>
        <v>7875</v>
      </c>
      <c r="G54" s="6"/>
      <c r="H54" s="6"/>
      <c r="I54" s="6"/>
      <c r="J54" s="6"/>
      <c r="K54" s="6"/>
    </row>
    <row r="55" spans="1:11" ht="12.75" customHeight="1" x14ac:dyDescent="0.25">
      <c r="A55" s="26" t="s">
        <v>469</v>
      </c>
      <c r="B55" s="2" t="s">
        <v>470</v>
      </c>
      <c r="C55" s="3" t="s">
        <v>417</v>
      </c>
      <c r="D55" s="4">
        <v>164</v>
      </c>
      <c r="E55" s="4">
        <v>83</v>
      </c>
      <c r="F55" s="4">
        <f t="shared" si="3"/>
        <v>13612</v>
      </c>
      <c r="G55" s="6"/>
      <c r="H55" s="6"/>
      <c r="I55" s="6"/>
      <c r="J55" s="6"/>
      <c r="K55" s="6"/>
    </row>
    <row r="56" spans="1:11" ht="12.75" customHeight="1" x14ac:dyDescent="0.25">
      <c r="A56" s="26"/>
      <c r="B56" s="2" t="s">
        <v>471</v>
      </c>
      <c r="C56" s="3"/>
      <c r="D56" s="4"/>
      <c r="E56" s="4"/>
      <c r="F56" s="4"/>
      <c r="G56" s="6"/>
      <c r="H56" s="6"/>
      <c r="I56" s="6"/>
      <c r="J56" s="6"/>
      <c r="K56" s="6"/>
    </row>
    <row r="57" spans="1:11" ht="267.75" customHeight="1" x14ac:dyDescent="0.25">
      <c r="A57" s="26" t="s">
        <v>472</v>
      </c>
      <c r="B57" s="2" t="s">
        <v>473</v>
      </c>
      <c r="C57" s="3"/>
      <c r="D57" s="4"/>
      <c r="E57" s="4"/>
      <c r="F57" s="4"/>
      <c r="G57" s="6"/>
      <c r="H57" s="6"/>
      <c r="I57" s="6"/>
      <c r="J57" s="6"/>
      <c r="K57" s="6"/>
    </row>
    <row r="58" spans="1:11" ht="293.25" customHeight="1" x14ac:dyDescent="0.25">
      <c r="A58" s="26"/>
      <c r="B58" s="2" t="s">
        <v>474</v>
      </c>
      <c r="C58" s="3"/>
      <c r="D58" s="4"/>
      <c r="E58" s="4"/>
      <c r="F58" s="4"/>
      <c r="G58" s="6"/>
      <c r="H58" s="6"/>
      <c r="I58" s="6"/>
      <c r="J58" s="6"/>
      <c r="K58" s="6"/>
    </row>
    <row r="59" spans="1:11" ht="255" customHeight="1" x14ac:dyDescent="0.25">
      <c r="A59" s="26"/>
      <c r="B59" s="2" t="s">
        <v>475</v>
      </c>
      <c r="C59" s="3"/>
      <c r="D59" s="4"/>
      <c r="E59" s="4"/>
      <c r="F59" s="4"/>
      <c r="G59" s="6"/>
      <c r="H59" s="6"/>
      <c r="I59" s="6"/>
      <c r="J59" s="6"/>
      <c r="K59" s="6"/>
    </row>
    <row r="60" spans="1:11" ht="89.25" customHeight="1" x14ac:dyDescent="0.25">
      <c r="A60" s="26"/>
      <c r="B60" s="2" t="s">
        <v>476</v>
      </c>
      <c r="C60" s="3"/>
      <c r="D60" s="4"/>
      <c r="E60" s="4"/>
      <c r="F60" s="4"/>
      <c r="G60" s="6"/>
      <c r="H60" s="6"/>
      <c r="I60" s="6"/>
      <c r="J60" s="6"/>
      <c r="K60" s="6"/>
    </row>
    <row r="61" spans="1:11" ht="216.75" customHeight="1" x14ac:dyDescent="0.25">
      <c r="A61" s="26"/>
      <c r="B61" s="2" t="s">
        <v>477</v>
      </c>
      <c r="C61" s="3"/>
      <c r="D61" s="4"/>
      <c r="E61" s="4"/>
      <c r="F61" s="4"/>
      <c r="G61" s="6"/>
      <c r="H61" s="6"/>
      <c r="I61" s="6"/>
      <c r="J61" s="6"/>
      <c r="K61" s="6"/>
    </row>
    <row r="62" spans="1:11" ht="293.25" customHeight="1" x14ac:dyDescent="0.25">
      <c r="A62" s="26"/>
      <c r="B62" s="2" t="s">
        <v>478</v>
      </c>
      <c r="C62" s="3"/>
      <c r="D62" s="4"/>
      <c r="E62" s="4"/>
      <c r="F62" s="4"/>
      <c r="G62" s="6"/>
      <c r="H62" s="6"/>
      <c r="I62" s="6"/>
      <c r="J62" s="6"/>
      <c r="K62" s="6"/>
    </row>
    <row r="63" spans="1:11" ht="242.25" customHeight="1" x14ac:dyDescent="0.25">
      <c r="A63" s="26"/>
      <c r="B63" s="2" t="s">
        <v>479</v>
      </c>
      <c r="C63" s="3"/>
      <c r="D63" s="4"/>
      <c r="E63" s="4"/>
      <c r="F63" s="4"/>
      <c r="G63" s="6"/>
      <c r="H63" s="6"/>
      <c r="I63" s="6"/>
      <c r="J63" s="6"/>
      <c r="K63" s="6"/>
    </row>
    <row r="64" spans="1:11" ht="127.5" customHeight="1" x14ac:dyDescent="0.25">
      <c r="A64" s="26"/>
      <c r="B64" s="2" t="s">
        <v>480</v>
      </c>
      <c r="C64" s="3" t="s">
        <v>403</v>
      </c>
      <c r="D64" s="4">
        <v>150</v>
      </c>
      <c r="E64" s="4">
        <v>74</v>
      </c>
      <c r="F64" s="4">
        <f>D64*$E64</f>
        <v>11100</v>
      </c>
      <c r="G64" s="6"/>
      <c r="H64" s="6"/>
      <c r="I64" s="6"/>
      <c r="J64" s="6"/>
      <c r="K64" s="6"/>
    </row>
    <row r="65" spans="1:11" ht="293.25" customHeight="1" x14ac:dyDescent="0.25">
      <c r="A65" s="26" t="s">
        <v>481</v>
      </c>
      <c r="B65" s="2" t="s">
        <v>482</v>
      </c>
      <c r="C65" s="3"/>
      <c r="D65" s="4"/>
      <c r="E65" s="4"/>
      <c r="F65" s="4"/>
      <c r="G65" s="6"/>
      <c r="H65" s="6"/>
      <c r="I65" s="6"/>
      <c r="J65" s="6"/>
      <c r="K65" s="6"/>
    </row>
    <row r="66" spans="1:11" ht="357" customHeight="1" x14ac:dyDescent="0.25">
      <c r="A66" s="26"/>
      <c r="B66" s="2" t="s">
        <v>483</v>
      </c>
      <c r="C66" s="3"/>
      <c r="D66" s="4"/>
      <c r="E66" s="4"/>
      <c r="F66" s="4"/>
      <c r="G66" s="6"/>
      <c r="H66" s="6"/>
      <c r="I66" s="6"/>
      <c r="J66" s="6"/>
      <c r="K66" s="6"/>
    </row>
    <row r="67" spans="1:11" ht="89.25" customHeight="1" x14ac:dyDescent="0.25">
      <c r="A67" s="26"/>
      <c r="B67" s="2" t="s">
        <v>458</v>
      </c>
      <c r="C67" s="3"/>
      <c r="D67" s="4"/>
      <c r="E67" s="4"/>
      <c r="F67" s="4"/>
      <c r="G67" s="6"/>
      <c r="H67" s="6"/>
      <c r="I67" s="6"/>
      <c r="J67" s="6"/>
      <c r="K67" s="6"/>
    </row>
    <row r="68" spans="1:11" ht="255" customHeight="1" x14ac:dyDescent="0.25">
      <c r="A68" s="26"/>
      <c r="B68" s="2" t="s">
        <v>484</v>
      </c>
      <c r="C68" s="3"/>
      <c r="D68" s="4"/>
      <c r="E68" s="4"/>
      <c r="F68" s="4"/>
      <c r="G68" s="6"/>
      <c r="H68" s="6"/>
      <c r="I68" s="6"/>
      <c r="J68" s="6"/>
      <c r="K68" s="6"/>
    </row>
    <row r="69" spans="1:11" ht="102" customHeight="1" x14ac:dyDescent="0.25">
      <c r="A69" s="26"/>
      <c r="B69" s="2" t="s">
        <v>485</v>
      </c>
      <c r="C69" s="3"/>
      <c r="D69" s="4"/>
      <c r="E69" s="4"/>
      <c r="F69" s="4"/>
      <c r="G69" s="6"/>
      <c r="H69" s="6"/>
      <c r="I69" s="6"/>
      <c r="J69" s="6"/>
      <c r="K69" s="6"/>
    </row>
    <row r="70" spans="1:11" ht="216.75" customHeight="1" x14ac:dyDescent="0.25">
      <c r="A70" s="26"/>
      <c r="B70" s="2" t="s">
        <v>486</v>
      </c>
      <c r="C70" s="3"/>
      <c r="D70" s="4"/>
      <c r="E70" s="4"/>
      <c r="F70" s="4"/>
      <c r="G70" s="6"/>
      <c r="H70" s="6"/>
      <c r="I70" s="6"/>
      <c r="J70" s="6"/>
      <c r="K70" s="6"/>
    </row>
    <row r="71" spans="1:11" ht="242.25" customHeight="1" x14ac:dyDescent="0.25">
      <c r="A71" s="26"/>
      <c r="B71" s="2" t="s">
        <v>487</v>
      </c>
      <c r="C71" s="3"/>
      <c r="D71" s="4"/>
      <c r="E71" s="4"/>
      <c r="F71" s="4"/>
      <c r="G71" s="6"/>
      <c r="H71" s="6"/>
      <c r="I71" s="6"/>
      <c r="J71" s="6"/>
      <c r="K71" s="6"/>
    </row>
    <row r="72" spans="1:11" ht="102" customHeight="1" x14ac:dyDescent="0.25">
      <c r="A72" s="26"/>
      <c r="B72" s="2" t="s">
        <v>488</v>
      </c>
      <c r="C72" s="3"/>
      <c r="D72" s="4"/>
      <c r="E72" s="4"/>
      <c r="F72" s="4"/>
      <c r="G72" s="6"/>
      <c r="H72" s="6"/>
      <c r="I72" s="6"/>
      <c r="J72" s="6"/>
      <c r="K72" s="6"/>
    </row>
    <row r="73" spans="1:11" ht="25.5" customHeight="1" x14ac:dyDescent="0.25">
      <c r="A73" s="26" t="s">
        <v>415</v>
      </c>
      <c r="B73" s="2" t="s">
        <v>463</v>
      </c>
      <c r="C73" s="3" t="s">
        <v>403</v>
      </c>
      <c r="D73" s="4">
        <v>245</v>
      </c>
      <c r="E73" s="4">
        <v>78</v>
      </c>
      <c r="F73" s="4">
        <f t="shared" ref="F73:F77" si="4">D73*$E73</f>
        <v>19110</v>
      </c>
      <c r="G73" s="6"/>
      <c r="H73" s="6"/>
      <c r="I73" s="6"/>
      <c r="J73" s="6"/>
      <c r="K73" s="6"/>
    </row>
    <row r="74" spans="1:11" ht="25.5" customHeight="1" x14ac:dyDescent="0.25">
      <c r="A74" s="26" t="s">
        <v>418</v>
      </c>
      <c r="B74" s="2" t="s">
        <v>464</v>
      </c>
      <c r="C74" s="3" t="s">
        <v>403</v>
      </c>
      <c r="D74" s="4">
        <v>15.5</v>
      </c>
      <c r="E74" s="4">
        <v>74</v>
      </c>
      <c r="F74" s="4">
        <f t="shared" si="4"/>
        <v>1147</v>
      </c>
      <c r="G74" s="6"/>
      <c r="H74" s="6"/>
      <c r="I74" s="6"/>
      <c r="J74" s="6"/>
      <c r="K74" s="6"/>
    </row>
    <row r="75" spans="1:11" ht="25.5" customHeight="1" x14ac:dyDescent="0.25">
      <c r="A75" s="26" t="s">
        <v>465</v>
      </c>
      <c r="B75" s="2" t="s">
        <v>466</v>
      </c>
      <c r="C75" s="3" t="s">
        <v>403</v>
      </c>
      <c r="D75" s="4">
        <v>5</v>
      </c>
      <c r="E75" s="4">
        <v>72</v>
      </c>
      <c r="F75" s="4">
        <f t="shared" si="4"/>
        <v>360</v>
      </c>
      <c r="G75" s="6"/>
      <c r="H75" s="6"/>
      <c r="I75" s="6"/>
      <c r="J75" s="6"/>
      <c r="K75" s="6"/>
    </row>
    <row r="76" spans="1:11" ht="25.5" customHeight="1" x14ac:dyDescent="0.25">
      <c r="A76" s="26" t="s">
        <v>467</v>
      </c>
      <c r="B76" s="2" t="s">
        <v>468</v>
      </c>
      <c r="C76" s="3" t="s">
        <v>403</v>
      </c>
      <c r="D76" s="4">
        <v>11.5</v>
      </c>
      <c r="E76" s="4">
        <v>69</v>
      </c>
      <c r="F76" s="4">
        <f t="shared" si="4"/>
        <v>793.5</v>
      </c>
      <c r="G76" s="6"/>
      <c r="H76" s="6"/>
      <c r="I76" s="6"/>
      <c r="J76" s="6"/>
      <c r="K76" s="6"/>
    </row>
    <row r="77" spans="1:11" ht="12.75" customHeight="1" x14ac:dyDescent="0.25">
      <c r="A77" s="26" t="s">
        <v>469</v>
      </c>
      <c r="B77" s="2" t="s">
        <v>470</v>
      </c>
      <c r="C77" s="3" t="s">
        <v>417</v>
      </c>
      <c r="D77" s="4">
        <v>42</v>
      </c>
      <c r="E77" s="4">
        <v>48</v>
      </c>
      <c r="F77" s="4">
        <f t="shared" si="4"/>
        <v>2016</v>
      </c>
      <c r="G77" s="6"/>
      <c r="H77" s="6"/>
      <c r="I77" s="6"/>
      <c r="J77" s="6"/>
      <c r="K77" s="6"/>
    </row>
    <row r="78" spans="1:11" ht="12.75" customHeight="1" x14ac:dyDescent="0.25">
      <c r="A78" s="26"/>
      <c r="B78" s="39" t="s">
        <v>489</v>
      </c>
      <c r="C78" s="6"/>
      <c r="D78" s="6"/>
      <c r="E78" s="6"/>
      <c r="F78" s="44">
        <f>SUM(F38:F47)</f>
        <v>6500</v>
      </c>
      <c r="G78" s="6"/>
      <c r="H78" s="6"/>
      <c r="I78" s="6"/>
      <c r="J78" s="6"/>
      <c r="K78" s="6"/>
    </row>
    <row r="79" spans="1:11" ht="12.75" customHeight="1" x14ac:dyDescent="0.25">
      <c r="A79" s="26"/>
      <c r="B79" s="2"/>
      <c r="C79" s="3"/>
      <c r="D79" s="4"/>
      <c r="E79" s="4"/>
      <c r="F79" s="4"/>
      <c r="G79" s="6"/>
      <c r="H79" s="6"/>
      <c r="I79" s="6"/>
      <c r="J79" s="6"/>
      <c r="K79" s="6"/>
    </row>
    <row r="80" spans="1:11" ht="12.75" customHeight="1" x14ac:dyDescent="0.25">
      <c r="A80" s="26"/>
      <c r="B80" s="2"/>
      <c r="C80" s="3"/>
      <c r="D80" s="4"/>
      <c r="E80" s="4"/>
      <c r="F80" s="4"/>
      <c r="G80" s="6"/>
      <c r="H80" s="6"/>
      <c r="I80" s="6"/>
      <c r="J80" s="6"/>
      <c r="K80" s="6"/>
    </row>
    <row r="81" spans="1:11" ht="12.75" customHeight="1" x14ac:dyDescent="0.25">
      <c r="A81" s="26"/>
      <c r="B81" s="2"/>
      <c r="C81" s="3"/>
      <c r="D81" s="4"/>
      <c r="E81" s="4"/>
      <c r="F81" s="4"/>
      <c r="G81" s="6"/>
      <c r="H81" s="6"/>
      <c r="I81" s="6"/>
      <c r="J81" s="6"/>
      <c r="K81" s="6"/>
    </row>
    <row r="82" spans="1:11" ht="12.75" customHeight="1" x14ac:dyDescent="0.25">
      <c r="A82" s="26"/>
      <c r="B82" s="2"/>
      <c r="C82" s="3"/>
      <c r="D82" s="4"/>
      <c r="E82" s="4"/>
      <c r="F82" s="4"/>
      <c r="G82" s="6"/>
      <c r="H82" s="6"/>
      <c r="I82" s="6"/>
      <c r="J82" s="6"/>
      <c r="K82" s="6"/>
    </row>
    <row r="83" spans="1:11" ht="12.75" customHeight="1" x14ac:dyDescent="0.25">
      <c r="A83" s="26"/>
      <c r="B83" s="2"/>
      <c r="C83" s="3"/>
      <c r="D83" s="4"/>
      <c r="E83" s="4"/>
      <c r="F83" s="4"/>
      <c r="G83" s="6"/>
      <c r="H83" s="6"/>
      <c r="I83" s="6"/>
      <c r="J83" s="6"/>
      <c r="K83" s="6"/>
    </row>
    <row r="84" spans="1:11" ht="12.75" customHeight="1" x14ac:dyDescent="0.25">
      <c r="A84" s="26"/>
      <c r="B84" s="2"/>
      <c r="C84" s="3"/>
      <c r="D84" s="4"/>
      <c r="E84" s="4"/>
      <c r="F84" s="4"/>
      <c r="G84" s="6"/>
      <c r="H84" s="6"/>
      <c r="I84" s="6"/>
      <c r="J84" s="6"/>
      <c r="K84" s="6"/>
    </row>
    <row r="85" spans="1:11" ht="12.75" customHeight="1" x14ac:dyDescent="0.25">
      <c r="A85" s="26"/>
      <c r="B85" s="2"/>
      <c r="C85" s="3"/>
      <c r="D85" s="4"/>
      <c r="E85" s="4"/>
      <c r="F85" s="4"/>
      <c r="G85" s="6"/>
      <c r="H85" s="6"/>
      <c r="I85" s="6"/>
      <c r="J85" s="6"/>
      <c r="K85" s="6"/>
    </row>
    <row r="86" spans="1:11" ht="12.75" customHeight="1" x14ac:dyDescent="0.25">
      <c r="A86" s="26"/>
      <c r="B86" s="2"/>
      <c r="C86" s="3"/>
      <c r="D86" s="4"/>
      <c r="E86" s="4"/>
      <c r="F86" s="4"/>
      <c r="G86" s="6"/>
      <c r="H86" s="6"/>
      <c r="I86" s="6"/>
      <c r="J86" s="6"/>
      <c r="K86" s="6"/>
    </row>
    <row r="87" spans="1:11" ht="12.75" customHeight="1" x14ac:dyDescent="0.25">
      <c r="A87" s="26"/>
      <c r="B87" s="2"/>
      <c r="C87" s="3"/>
      <c r="D87" s="4"/>
      <c r="E87" s="4"/>
      <c r="F87" s="4"/>
      <c r="G87" s="6"/>
      <c r="H87" s="6"/>
      <c r="I87" s="6"/>
      <c r="J87" s="6"/>
      <c r="K87" s="6"/>
    </row>
    <row r="88" spans="1:11" ht="12.75" customHeight="1" x14ac:dyDescent="0.25">
      <c r="A88" s="26"/>
      <c r="B88" s="2"/>
      <c r="C88" s="3"/>
      <c r="D88" s="4"/>
      <c r="E88" s="4"/>
      <c r="F88" s="4"/>
      <c r="G88" s="6"/>
      <c r="H88" s="6"/>
      <c r="I88" s="6"/>
      <c r="J88" s="6"/>
      <c r="K88" s="6"/>
    </row>
    <row r="89" spans="1:11" ht="12.75" customHeight="1" x14ac:dyDescent="0.25">
      <c r="A89" s="26"/>
      <c r="B89" s="2"/>
      <c r="C89" s="3"/>
      <c r="D89" s="4"/>
      <c r="E89" s="4"/>
      <c r="F89" s="4"/>
      <c r="G89" s="6"/>
      <c r="H89" s="6"/>
      <c r="I89" s="6"/>
      <c r="J89" s="6"/>
      <c r="K89" s="6"/>
    </row>
    <row r="90" spans="1:11" ht="12.75" customHeight="1" x14ac:dyDescent="0.25">
      <c r="A90" s="26"/>
      <c r="B90" s="2"/>
      <c r="C90" s="3"/>
      <c r="D90" s="4"/>
      <c r="E90" s="4"/>
      <c r="F90" s="4"/>
      <c r="G90" s="6"/>
      <c r="H90" s="6"/>
      <c r="I90" s="6"/>
      <c r="J90" s="6"/>
      <c r="K90" s="6"/>
    </row>
    <row r="91" spans="1:11" ht="12.75" customHeight="1" x14ac:dyDescent="0.25">
      <c r="A91" s="26"/>
      <c r="B91" s="2"/>
      <c r="C91" s="3"/>
      <c r="D91" s="4"/>
      <c r="E91" s="4"/>
      <c r="F91" s="4"/>
      <c r="G91" s="6"/>
      <c r="H91" s="6"/>
      <c r="I91" s="6"/>
      <c r="J91" s="6"/>
      <c r="K91" s="6"/>
    </row>
    <row r="92" spans="1:11" ht="12.75" customHeight="1" x14ac:dyDescent="0.25">
      <c r="A92" s="26"/>
      <c r="B92" s="2"/>
      <c r="C92" s="3"/>
      <c r="D92" s="4"/>
      <c r="E92" s="4"/>
      <c r="F92" s="4"/>
      <c r="G92" s="6"/>
      <c r="H92" s="6"/>
      <c r="I92" s="6"/>
      <c r="J92" s="6"/>
      <c r="K92" s="6"/>
    </row>
    <row r="93" spans="1:11" ht="12.75" customHeight="1" x14ac:dyDescent="0.25">
      <c r="A93" s="26"/>
      <c r="B93" s="2"/>
      <c r="C93" s="3"/>
      <c r="D93" s="4"/>
      <c r="E93" s="4"/>
      <c r="F93" s="4"/>
      <c r="G93" s="6"/>
      <c r="H93" s="6"/>
      <c r="I93" s="6"/>
      <c r="J93" s="6"/>
      <c r="K93" s="6"/>
    </row>
    <row r="94" spans="1:11" ht="12.75" customHeight="1" x14ac:dyDescent="0.25">
      <c r="A94" s="26"/>
      <c r="B94" s="2"/>
      <c r="C94" s="3"/>
      <c r="D94" s="4"/>
      <c r="E94" s="4"/>
      <c r="F94" s="4"/>
      <c r="G94" s="6"/>
      <c r="H94" s="6"/>
      <c r="I94" s="6"/>
      <c r="J94" s="6"/>
      <c r="K94" s="6"/>
    </row>
    <row r="95" spans="1:11" ht="12.75" customHeight="1" x14ac:dyDescent="0.25">
      <c r="A95" s="26"/>
      <c r="B95" s="2"/>
      <c r="C95" s="3"/>
      <c r="D95" s="4"/>
      <c r="E95" s="4"/>
      <c r="F95" s="4"/>
      <c r="G95" s="6"/>
      <c r="H95" s="6"/>
      <c r="I95" s="6"/>
      <c r="J95" s="6"/>
      <c r="K95" s="6"/>
    </row>
    <row r="96" spans="1:11" ht="12.75" customHeight="1" x14ac:dyDescent="0.25">
      <c r="A96" s="26"/>
      <c r="B96" s="2"/>
      <c r="C96" s="3"/>
      <c r="D96" s="4"/>
      <c r="E96" s="4"/>
      <c r="F96" s="4"/>
      <c r="G96" s="6"/>
      <c r="H96" s="6"/>
      <c r="I96" s="6"/>
      <c r="J96" s="6"/>
      <c r="K96" s="6"/>
    </row>
    <row r="97" spans="1:11" ht="12.75" customHeight="1" x14ac:dyDescent="0.25">
      <c r="A97" s="26"/>
      <c r="B97" s="2"/>
      <c r="C97" s="3"/>
      <c r="D97" s="4"/>
      <c r="E97" s="4"/>
      <c r="F97" s="4"/>
      <c r="G97" s="6"/>
      <c r="H97" s="6"/>
      <c r="I97" s="6"/>
      <c r="J97" s="6"/>
      <c r="K97" s="6"/>
    </row>
    <row r="98" spans="1:11" ht="12.75" customHeight="1" x14ac:dyDescent="0.25">
      <c r="A98" s="26"/>
      <c r="B98" s="2"/>
      <c r="C98" s="3"/>
      <c r="D98" s="4"/>
      <c r="E98" s="4"/>
      <c r="F98" s="4"/>
      <c r="G98" s="6"/>
      <c r="H98" s="6"/>
      <c r="I98" s="6"/>
      <c r="J98" s="6"/>
      <c r="K98" s="6"/>
    </row>
    <row r="99" spans="1:11" ht="12.75" customHeight="1" x14ac:dyDescent="0.25">
      <c r="A99" s="26"/>
      <c r="B99" s="2"/>
      <c r="C99" s="3"/>
      <c r="D99" s="4"/>
      <c r="E99" s="4"/>
      <c r="F99" s="4"/>
      <c r="G99" s="6"/>
      <c r="H99" s="6"/>
      <c r="I99" s="6"/>
      <c r="J99" s="6"/>
      <c r="K99" s="6"/>
    </row>
    <row r="100" spans="1:11" ht="12.75" customHeight="1" x14ac:dyDescent="0.25">
      <c r="A100" s="26"/>
      <c r="B100" s="2"/>
      <c r="C100" s="3"/>
      <c r="D100" s="4"/>
      <c r="E100" s="4"/>
      <c r="F100" s="4"/>
      <c r="G100" s="6"/>
      <c r="H100" s="6"/>
      <c r="I100" s="6"/>
      <c r="J100" s="6"/>
      <c r="K100" s="6"/>
    </row>
  </sheetData>
  <printOptions horizontalCentered="1" gridLines="1"/>
  <pageMargins left="0.70833333333333304" right="0.70833333333333304" top="0.74791666666666701" bottom="0.74791666666666701" header="0" footer="0"/>
  <pageSetup paperSize="9" scale="90" orientation="portrait"/>
  <headerFooter>
    <oddHeader>&amp;L Ministarstvo unutarnjih poslova RH&amp;R Nastavno nacionalno središte civilne zaštite u Jastrebarskom</oddHeader>
    <oddFooter>&amp;L Troškovnik radova na uređenju građevina, vanjskog prostora i infrastrukture - zgrada 20&amp;R stranica &amp;P od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
  <sheetViews>
    <sheetView workbookViewId="0">
      <selection activeCell="E17" sqref="E17"/>
    </sheetView>
  </sheetViews>
  <sheetFormatPr defaultColWidth="14.42578125" defaultRowHeight="15" customHeight="1" x14ac:dyDescent="0.25"/>
  <cols>
    <col min="1" max="1" width="6.140625" customWidth="1"/>
    <col min="2" max="2" width="50.7109375" customWidth="1"/>
    <col min="3" max="3" width="5.7109375" customWidth="1"/>
    <col min="4" max="4" width="9.7109375" customWidth="1"/>
    <col min="5" max="5" width="10.7109375" customWidth="1"/>
    <col min="6" max="6" width="13.85546875" customWidth="1"/>
    <col min="7" max="11" width="9.140625" customWidth="1"/>
  </cols>
  <sheetData>
    <row r="1" spans="1:11" ht="36" customHeight="1" x14ac:dyDescent="0.25">
      <c r="A1" s="29" t="s">
        <v>7</v>
      </c>
      <c r="B1" s="30" t="s">
        <v>8</v>
      </c>
      <c r="C1" s="31" t="s">
        <v>9</v>
      </c>
      <c r="D1" s="32" t="s">
        <v>10</v>
      </c>
      <c r="E1" s="32" t="s">
        <v>396</v>
      </c>
      <c r="F1" s="32" t="s">
        <v>12</v>
      </c>
      <c r="G1" s="34"/>
      <c r="H1" s="34"/>
      <c r="I1" s="34"/>
      <c r="J1" s="34"/>
      <c r="K1" s="34"/>
    </row>
    <row r="2" spans="1:11" ht="12.75" customHeight="1" x14ac:dyDescent="0.25">
      <c r="A2" s="35"/>
      <c r="B2" s="2"/>
      <c r="C2" s="36"/>
      <c r="D2" s="37"/>
      <c r="E2" s="37"/>
      <c r="F2" s="37"/>
      <c r="G2" s="6"/>
      <c r="H2" s="6"/>
      <c r="I2" s="6"/>
      <c r="J2" s="6"/>
      <c r="K2" s="6"/>
    </row>
    <row r="3" spans="1:11" ht="12.75" customHeight="1" x14ac:dyDescent="0.25">
      <c r="A3" s="39" t="s">
        <v>567</v>
      </c>
      <c r="B3" s="16" t="s">
        <v>568</v>
      </c>
      <c r="C3" s="40"/>
      <c r="D3" s="41"/>
      <c r="E3" s="41"/>
      <c r="F3" s="41"/>
      <c r="G3" s="42"/>
      <c r="H3" s="42"/>
      <c r="I3" s="42"/>
      <c r="J3" s="42"/>
      <c r="K3" s="42"/>
    </row>
    <row r="4" spans="1:11" ht="12.75" customHeight="1" x14ac:dyDescent="0.25">
      <c r="A4" s="35"/>
      <c r="B4" s="2"/>
      <c r="C4" s="36"/>
      <c r="D4" s="37"/>
      <c r="E4" s="37"/>
      <c r="F4" s="37"/>
      <c r="G4" s="6"/>
      <c r="H4" s="6"/>
      <c r="I4" s="6"/>
      <c r="J4" s="6"/>
      <c r="K4" s="6"/>
    </row>
    <row r="5" spans="1:11" ht="12.75" customHeight="1" x14ac:dyDescent="0.25">
      <c r="A5" s="43" t="s">
        <v>399</v>
      </c>
      <c r="B5" s="16" t="s">
        <v>400</v>
      </c>
      <c r="C5" s="3"/>
      <c r="D5" s="4"/>
      <c r="E5" s="4"/>
      <c r="F5" s="4"/>
      <c r="G5" s="6"/>
      <c r="H5" s="6"/>
      <c r="I5" s="6"/>
      <c r="J5" s="6"/>
      <c r="K5" s="6"/>
    </row>
    <row r="6" spans="1:11" ht="12.75" customHeight="1" x14ac:dyDescent="0.25">
      <c r="A6" s="43"/>
      <c r="B6" s="16"/>
      <c r="C6" s="3"/>
      <c r="D6" s="4"/>
      <c r="E6" s="4"/>
      <c r="F6" s="4"/>
      <c r="G6" s="6"/>
      <c r="H6" s="6"/>
      <c r="I6" s="6"/>
      <c r="J6" s="6"/>
      <c r="K6" s="6"/>
    </row>
    <row r="7" spans="1:11" ht="12.75" customHeight="1" x14ac:dyDescent="0.25">
      <c r="A7" s="39" t="s">
        <v>389</v>
      </c>
      <c r="B7" s="16" t="s">
        <v>31</v>
      </c>
      <c r="C7" s="42"/>
      <c r="D7" s="44"/>
      <c r="E7" s="44"/>
      <c r="F7" s="44"/>
      <c r="G7" s="6"/>
      <c r="H7" s="6"/>
      <c r="I7" s="6"/>
      <c r="J7" s="6"/>
      <c r="K7" s="6"/>
    </row>
    <row r="8" spans="1:11" ht="140.25" customHeight="1" x14ac:dyDescent="0.25">
      <c r="A8" s="26" t="s">
        <v>401</v>
      </c>
      <c r="B8" s="2" t="s">
        <v>402</v>
      </c>
      <c r="C8" s="3" t="s">
        <v>403</v>
      </c>
      <c r="D8" s="4">
        <v>777.5</v>
      </c>
      <c r="E8" s="4">
        <v>11.55</v>
      </c>
      <c r="F8" s="4">
        <f>D8*$E8</f>
        <v>8980.125</v>
      </c>
      <c r="G8" s="6"/>
      <c r="H8" s="6"/>
      <c r="I8" s="6"/>
      <c r="J8" s="6"/>
      <c r="K8" s="6"/>
    </row>
    <row r="9" spans="1:11" ht="12.75" customHeight="1" x14ac:dyDescent="0.25">
      <c r="A9" s="26"/>
      <c r="B9" s="39" t="s">
        <v>404</v>
      </c>
      <c r="C9" s="6"/>
      <c r="D9" s="6"/>
      <c r="E9" s="6"/>
      <c r="F9" s="44">
        <f>SUM(F8)</f>
        <v>8980.125</v>
      </c>
      <c r="G9" s="6"/>
      <c r="H9" s="6"/>
      <c r="I9" s="6"/>
      <c r="J9" s="6"/>
      <c r="K9" s="6"/>
    </row>
    <row r="10" spans="1:11" ht="12.75" customHeight="1" x14ac:dyDescent="0.25">
      <c r="A10" s="26"/>
      <c r="B10" s="2"/>
      <c r="C10" s="3"/>
      <c r="D10" s="4"/>
      <c r="E10" s="4"/>
      <c r="F10" s="4"/>
      <c r="G10" s="6"/>
      <c r="H10" s="6"/>
      <c r="I10" s="6"/>
      <c r="J10" s="6"/>
      <c r="K10" s="6"/>
    </row>
    <row r="11" spans="1:11" ht="12.75" customHeight="1" x14ac:dyDescent="0.25">
      <c r="A11" s="43" t="s">
        <v>405</v>
      </c>
      <c r="B11" s="45" t="s">
        <v>83</v>
      </c>
      <c r="C11" s="42"/>
      <c r="D11" s="42"/>
      <c r="E11" s="42"/>
      <c r="F11" s="42"/>
      <c r="G11" s="6"/>
      <c r="H11" s="6"/>
      <c r="I11" s="6"/>
      <c r="J11" s="6"/>
      <c r="K11" s="6"/>
    </row>
    <row r="12" spans="1:11" ht="63.75" customHeight="1" x14ac:dyDescent="0.25">
      <c r="A12" s="26" t="s">
        <v>569</v>
      </c>
      <c r="B12" s="2" t="s">
        <v>407</v>
      </c>
      <c r="C12" s="3" t="s">
        <v>403</v>
      </c>
      <c r="D12" s="4">
        <v>518.70000000000005</v>
      </c>
      <c r="E12" s="4">
        <v>55</v>
      </c>
      <c r="F12" s="4">
        <f t="shared" ref="F12:F13" si="0">D12*$E12</f>
        <v>28528.500000000004</v>
      </c>
      <c r="G12" s="6"/>
      <c r="H12" s="6"/>
      <c r="I12" s="6"/>
      <c r="J12" s="6"/>
      <c r="K12" s="6"/>
    </row>
    <row r="13" spans="1:11" ht="63.75" customHeight="1" x14ac:dyDescent="0.25">
      <c r="A13" s="26" t="s">
        <v>570</v>
      </c>
      <c r="B13" s="2" t="s">
        <v>409</v>
      </c>
      <c r="C13" s="3" t="s">
        <v>403</v>
      </c>
      <c r="D13" s="4">
        <v>194.5</v>
      </c>
      <c r="E13" s="4">
        <v>55</v>
      </c>
      <c r="F13" s="4">
        <f t="shared" si="0"/>
        <v>10697.5</v>
      </c>
      <c r="G13" s="6"/>
      <c r="H13" s="6"/>
      <c r="I13" s="6"/>
      <c r="J13" s="6"/>
      <c r="K13" s="6"/>
    </row>
    <row r="14" spans="1:11" ht="12.75" customHeight="1" x14ac:dyDescent="0.25">
      <c r="A14" s="26"/>
      <c r="B14" s="39" t="s">
        <v>410</v>
      </c>
      <c r="C14" s="6"/>
      <c r="D14" s="6"/>
      <c r="E14" s="6"/>
      <c r="F14" s="44">
        <f>SUM(F12:F13)</f>
        <v>39226</v>
      </c>
      <c r="G14" s="6"/>
      <c r="H14" s="6"/>
      <c r="I14" s="6"/>
      <c r="J14" s="6"/>
      <c r="K14" s="6"/>
    </row>
    <row r="15" spans="1:11" ht="12.75" customHeight="1" x14ac:dyDescent="0.25">
      <c r="A15" s="26"/>
      <c r="B15" s="2"/>
      <c r="C15" s="3"/>
      <c r="D15" s="4"/>
      <c r="E15" s="4"/>
      <c r="F15" s="4"/>
      <c r="G15" s="6"/>
      <c r="H15" s="6"/>
      <c r="I15" s="6"/>
      <c r="J15" s="6"/>
      <c r="K15" s="6"/>
    </row>
    <row r="16" spans="1:11" ht="12.75" customHeight="1" x14ac:dyDescent="0.25">
      <c r="A16" s="39" t="s">
        <v>411</v>
      </c>
      <c r="B16" s="16" t="s">
        <v>412</v>
      </c>
      <c r="C16" s="42"/>
      <c r="D16" s="44"/>
      <c r="E16" s="44"/>
      <c r="F16" s="44"/>
      <c r="G16" s="6"/>
      <c r="H16" s="6"/>
      <c r="I16" s="6"/>
      <c r="J16" s="6"/>
      <c r="K16" s="6"/>
    </row>
    <row r="17" spans="1:11" ht="153" customHeight="1" x14ac:dyDescent="0.25">
      <c r="A17" s="35" t="s">
        <v>413</v>
      </c>
      <c r="B17" s="2" t="s">
        <v>414</v>
      </c>
      <c r="C17" s="6"/>
      <c r="D17" s="4"/>
      <c r="E17" s="4"/>
      <c r="F17" s="4"/>
      <c r="G17" s="6"/>
      <c r="H17" s="6"/>
      <c r="I17" s="6"/>
      <c r="J17" s="6"/>
      <c r="K17" s="6"/>
    </row>
    <row r="18" spans="1:11" ht="12.75" customHeight="1" x14ac:dyDescent="0.25">
      <c r="A18" s="35" t="s">
        <v>415</v>
      </c>
      <c r="B18" s="2" t="s">
        <v>416</v>
      </c>
      <c r="C18" s="3" t="s">
        <v>417</v>
      </c>
      <c r="D18" s="4">
        <v>175.5</v>
      </c>
      <c r="E18" s="4"/>
      <c r="F18" s="4">
        <f t="shared" ref="F18:F19" si="1">D18*$E18</f>
        <v>0</v>
      </c>
      <c r="G18" s="6"/>
      <c r="H18" s="6"/>
      <c r="I18" s="6"/>
      <c r="J18" s="6"/>
      <c r="K18" s="6"/>
    </row>
    <row r="19" spans="1:11" ht="12.75" customHeight="1" x14ac:dyDescent="0.25">
      <c r="A19" s="35" t="s">
        <v>418</v>
      </c>
      <c r="B19" s="2" t="s">
        <v>419</v>
      </c>
      <c r="C19" s="3" t="s">
        <v>417</v>
      </c>
      <c r="D19" s="4">
        <v>175.5</v>
      </c>
      <c r="E19" s="4"/>
      <c r="F19" s="4">
        <f t="shared" si="1"/>
        <v>0</v>
      </c>
      <c r="G19" s="6"/>
      <c r="H19" s="6"/>
      <c r="I19" s="6"/>
      <c r="J19" s="6"/>
      <c r="K19" s="6"/>
    </row>
    <row r="20" spans="1:11" ht="38.25" customHeight="1" x14ac:dyDescent="0.25">
      <c r="A20" s="35" t="s">
        <v>420</v>
      </c>
      <c r="B20" s="2" t="s">
        <v>421</v>
      </c>
      <c r="C20" s="6"/>
      <c r="D20" s="4"/>
      <c r="E20" s="6"/>
      <c r="F20" s="4"/>
      <c r="G20" s="6"/>
      <c r="H20" s="6"/>
      <c r="I20" s="6"/>
      <c r="J20" s="6"/>
      <c r="K20" s="6"/>
    </row>
    <row r="21" spans="1:11" ht="12.75" customHeight="1" x14ac:dyDescent="0.25">
      <c r="A21" s="35" t="s">
        <v>415</v>
      </c>
      <c r="B21" s="2" t="s">
        <v>422</v>
      </c>
      <c r="C21" s="3" t="s">
        <v>417</v>
      </c>
      <c r="D21" s="4">
        <v>175.5</v>
      </c>
      <c r="E21" s="4">
        <v>16</v>
      </c>
      <c r="F21" s="4">
        <f t="shared" ref="F21:F23" si="2">D21*$E21</f>
        <v>2808</v>
      </c>
      <c r="G21" s="6"/>
      <c r="H21" s="6"/>
      <c r="I21" s="6"/>
      <c r="J21" s="6"/>
      <c r="K21" s="6"/>
    </row>
    <row r="22" spans="1:11" ht="12.75" customHeight="1" x14ac:dyDescent="0.25">
      <c r="A22" s="35" t="s">
        <v>418</v>
      </c>
      <c r="B22" s="2" t="s">
        <v>423</v>
      </c>
      <c r="C22" s="3" t="s">
        <v>417</v>
      </c>
      <c r="D22" s="4">
        <v>175.5</v>
      </c>
      <c r="E22" s="44">
        <v>16</v>
      </c>
      <c r="F22" s="4">
        <f t="shared" si="2"/>
        <v>2808</v>
      </c>
      <c r="G22" s="6"/>
      <c r="H22" s="6"/>
      <c r="I22" s="6"/>
      <c r="J22" s="6"/>
      <c r="K22" s="6"/>
    </row>
    <row r="23" spans="1:11" ht="89.25" customHeight="1" x14ac:dyDescent="0.25">
      <c r="A23" s="26" t="s">
        <v>424</v>
      </c>
      <c r="B23" s="2" t="s">
        <v>425</v>
      </c>
      <c r="C23" s="3" t="s">
        <v>403</v>
      </c>
      <c r="D23" s="4">
        <v>13.1</v>
      </c>
      <c r="E23" s="4"/>
      <c r="F23" s="4">
        <f t="shared" si="2"/>
        <v>0</v>
      </c>
      <c r="G23" s="6"/>
      <c r="H23" s="6"/>
      <c r="I23" s="6"/>
      <c r="J23" s="6"/>
      <c r="K23" s="6"/>
    </row>
    <row r="24" spans="1:11" ht="12.75" customHeight="1" x14ac:dyDescent="0.25">
      <c r="A24" s="26"/>
      <c r="B24" s="39" t="s">
        <v>432</v>
      </c>
      <c r="C24" s="6"/>
      <c r="D24" s="6"/>
      <c r="E24" s="6"/>
      <c r="F24" s="44">
        <f>SUM(F18:F23)</f>
        <v>5616</v>
      </c>
      <c r="G24" s="6"/>
      <c r="H24" s="6"/>
      <c r="I24" s="6"/>
      <c r="J24" s="6"/>
      <c r="K24" s="6"/>
    </row>
    <row r="25" spans="1:11" ht="12.75" customHeight="1" x14ac:dyDescent="0.25">
      <c r="A25" s="26"/>
      <c r="B25" s="39"/>
      <c r="C25" s="6"/>
      <c r="D25" s="6"/>
      <c r="E25" s="6"/>
      <c r="F25" s="4"/>
      <c r="G25" s="6"/>
      <c r="H25" s="6"/>
      <c r="I25" s="6"/>
      <c r="J25" s="6"/>
      <c r="K25" s="6"/>
    </row>
    <row r="26" spans="1:11" ht="12.75" customHeight="1" x14ac:dyDescent="0.25">
      <c r="A26" s="26"/>
      <c r="B26" s="2"/>
      <c r="C26" s="3"/>
      <c r="D26" s="4"/>
      <c r="E26" s="4"/>
      <c r="F26" s="4"/>
      <c r="G26" s="6"/>
      <c r="H26" s="6"/>
      <c r="I26" s="6"/>
      <c r="J26" s="6"/>
      <c r="K26" s="6"/>
    </row>
    <row r="27" spans="1:11" ht="12.75" customHeight="1" x14ac:dyDescent="0.25">
      <c r="A27" s="43" t="s">
        <v>433</v>
      </c>
      <c r="B27" s="45" t="s">
        <v>115</v>
      </c>
      <c r="C27" s="42"/>
      <c r="D27" s="42"/>
      <c r="E27" s="42"/>
      <c r="F27" s="42"/>
      <c r="G27" s="6"/>
      <c r="H27" s="6"/>
      <c r="I27" s="6"/>
      <c r="J27" s="6"/>
      <c r="K27" s="6"/>
    </row>
    <row r="28" spans="1:11" ht="51" customHeight="1" x14ac:dyDescent="0.25">
      <c r="A28" s="43"/>
      <c r="B28" s="2" t="s">
        <v>434</v>
      </c>
      <c r="C28" s="42"/>
      <c r="D28" s="42"/>
      <c r="E28" s="42"/>
      <c r="F28" s="42"/>
      <c r="G28" s="6"/>
      <c r="H28" s="6"/>
      <c r="I28" s="6"/>
      <c r="J28" s="6"/>
      <c r="K28" s="6"/>
    </row>
    <row r="29" spans="1:11" ht="191.25" customHeight="1" x14ac:dyDescent="0.25">
      <c r="A29" s="26" t="s">
        <v>549</v>
      </c>
      <c r="B29" s="2" t="s">
        <v>550</v>
      </c>
      <c r="C29" s="3" t="s">
        <v>417</v>
      </c>
      <c r="D29" s="4">
        <v>350.3</v>
      </c>
      <c r="E29" s="4"/>
      <c r="F29" s="4">
        <f t="shared" ref="F29:F33" si="3">D29*$E29</f>
        <v>0</v>
      </c>
      <c r="G29" s="6"/>
      <c r="H29" s="6"/>
      <c r="I29" s="6"/>
      <c r="J29" s="6"/>
      <c r="K29" s="6"/>
    </row>
    <row r="30" spans="1:11" ht="114.75" customHeight="1" x14ac:dyDescent="0.25">
      <c r="A30" s="26" t="s">
        <v>435</v>
      </c>
      <c r="B30" s="2" t="s">
        <v>436</v>
      </c>
      <c r="C30" s="3" t="s">
        <v>403</v>
      </c>
      <c r="D30" s="4">
        <v>470</v>
      </c>
      <c r="E30" s="4"/>
      <c r="F30" s="4">
        <f t="shared" si="3"/>
        <v>0</v>
      </c>
      <c r="G30" s="6"/>
      <c r="H30" s="6"/>
      <c r="I30" s="6"/>
      <c r="J30" s="6"/>
      <c r="K30" s="6"/>
    </row>
    <row r="31" spans="1:11" ht="204" customHeight="1" x14ac:dyDescent="0.25">
      <c r="A31" s="26" t="s">
        <v>437</v>
      </c>
      <c r="B31" s="2" t="s">
        <v>438</v>
      </c>
      <c r="C31" s="3" t="s">
        <v>403</v>
      </c>
      <c r="D31" s="4">
        <v>501.4</v>
      </c>
      <c r="E31" s="4"/>
      <c r="F31" s="4">
        <f t="shared" si="3"/>
        <v>0</v>
      </c>
      <c r="G31" s="6"/>
      <c r="H31" s="6"/>
      <c r="I31" s="6"/>
      <c r="J31" s="6"/>
      <c r="K31" s="6"/>
    </row>
    <row r="32" spans="1:11" ht="89.25" customHeight="1" x14ac:dyDescent="0.25">
      <c r="A32" s="26" t="s">
        <v>571</v>
      </c>
      <c r="B32" s="2" t="s">
        <v>572</v>
      </c>
      <c r="C32" s="3" t="s">
        <v>403</v>
      </c>
      <c r="D32" s="4">
        <v>8.4</v>
      </c>
      <c r="E32" s="4"/>
      <c r="F32" s="4">
        <f t="shared" si="3"/>
        <v>0</v>
      </c>
      <c r="G32" s="6"/>
      <c r="H32" s="6"/>
      <c r="I32" s="6"/>
      <c r="J32" s="6"/>
      <c r="K32" s="6"/>
    </row>
    <row r="33" spans="1:11" ht="114.75" customHeight="1" x14ac:dyDescent="0.25">
      <c r="A33" s="26" t="s">
        <v>439</v>
      </c>
      <c r="B33" s="2" t="s">
        <v>573</v>
      </c>
      <c r="C33" s="3" t="s">
        <v>403</v>
      </c>
      <c r="D33" s="4">
        <v>301.89999999999998</v>
      </c>
      <c r="E33" s="4"/>
      <c r="F33" s="4">
        <f t="shared" si="3"/>
        <v>0</v>
      </c>
      <c r="G33" s="6"/>
      <c r="H33" s="6"/>
      <c r="I33" s="6"/>
      <c r="J33" s="6"/>
      <c r="K33" s="6"/>
    </row>
    <row r="34" spans="1:11" ht="12.75" customHeight="1" x14ac:dyDescent="0.25">
      <c r="A34" s="26"/>
      <c r="B34" s="39" t="s">
        <v>441</v>
      </c>
      <c r="C34" s="6"/>
      <c r="D34" s="6"/>
      <c r="E34" s="6"/>
      <c r="F34" s="44">
        <f>SUM(F29:F33)</f>
        <v>0</v>
      </c>
      <c r="G34" s="6"/>
      <c r="H34" s="6"/>
      <c r="I34" s="6"/>
      <c r="J34" s="6"/>
      <c r="K34" s="6"/>
    </row>
    <row r="35" spans="1:11" ht="12.75" customHeight="1" x14ac:dyDescent="0.25">
      <c r="A35" s="26"/>
      <c r="B35" s="2"/>
      <c r="C35" s="3"/>
      <c r="D35" s="4"/>
      <c r="E35" s="4"/>
      <c r="F35" s="4"/>
      <c r="G35" s="6"/>
      <c r="H35" s="6"/>
      <c r="I35" s="6"/>
      <c r="J35" s="6"/>
      <c r="K35" s="6"/>
    </row>
    <row r="36" spans="1:11" ht="12.75" customHeight="1" x14ac:dyDescent="0.25">
      <c r="A36" s="26"/>
      <c r="B36" s="2"/>
      <c r="C36" s="3"/>
      <c r="D36" s="4"/>
      <c r="E36" s="4"/>
      <c r="F36" s="4"/>
      <c r="G36" s="6"/>
      <c r="H36" s="6"/>
      <c r="I36" s="6"/>
      <c r="J36" s="6"/>
      <c r="K36" s="6"/>
    </row>
    <row r="37" spans="1:11" ht="12.75" customHeight="1" x14ac:dyDescent="0.25">
      <c r="A37" s="43" t="s">
        <v>539</v>
      </c>
      <c r="B37" s="45" t="s">
        <v>285</v>
      </c>
      <c r="C37" s="42"/>
      <c r="D37" s="42"/>
      <c r="E37" s="42"/>
      <c r="F37" s="42"/>
      <c r="G37" s="6"/>
      <c r="H37" s="6"/>
      <c r="I37" s="6"/>
      <c r="J37" s="6"/>
      <c r="K37" s="6"/>
    </row>
    <row r="38" spans="1:11" ht="12.75" customHeight="1" x14ac:dyDescent="0.25">
      <c r="A38" s="43"/>
      <c r="B38" s="46" t="s">
        <v>443</v>
      </c>
      <c r="C38" s="42"/>
      <c r="D38" s="42"/>
      <c r="E38" s="42"/>
      <c r="F38" s="42"/>
      <c r="G38" s="6"/>
      <c r="H38" s="6"/>
      <c r="I38" s="6"/>
      <c r="J38" s="6"/>
      <c r="K38" s="6"/>
    </row>
    <row r="39" spans="1:11" ht="306" customHeight="1" x14ac:dyDescent="0.25">
      <c r="A39" s="26" t="s">
        <v>574</v>
      </c>
      <c r="B39" s="2" t="s">
        <v>445</v>
      </c>
      <c r="C39" s="3"/>
      <c r="D39" s="4"/>
      <c r="E39" s="4"/>
      <c r="F39" s="4"/>
      <c r="G39" s="6"/>
      <c r="H39" s="6"/>
      <c r="I39" s="6"/>
      <c r="J39" s="6"/>
      <c r="K39" s="6"/>
    </row>
    <row r="40" spans="1:11" ht="229.5" customHeight="1" x14ac:dyDescent="0.25">
      <c r="A40" s="26"/>
      <c r="B40" s="2" t="s">
        <v>446</v>
      </c>
      <c r="C40" s="3"/>
      <c r="D40" s="4"/>
      <c r="E40" s="4"/>
      <c r="F40" s="4"/>
      <c r="G40" s="6"/>
      <c r="H40" s="6"/>
      <c r="I40" s="6"/>
      <c r="J40" s="6"/>
      <c r="K40" s="6"/>
    </row>
    <row r="41" spans="1:11" ht="127.5" customHeight="1" x14ac:dyDescent="0.25">
      <c r="A41" s="26"/>
      <c r="B41" s="2" t="s">
        <v>447</v>
      </c>
      <c r="C41" s="3"/>
      <c r="D41" s="4"/>
      <c r="E41" s="4"/>
      <c r="F41" s="4"/>
      <c r="G41" s="6"/>
      <c r="H41" s="6"/>
      <c r="I41" s="6"/>
      <c r="J41" s="6"/>
      <c r="K41" s="6"/>
    </row>
    <row r="42" spans="1:11" ht="267.75" customHeight="1" x14ac:dyDescent="0.25">
      <c r="A42" s="26"/>
      <c r="B42" s="2" t="s">
        <v>448</v>
      </c>
      <c r="C42" s="3"/>
      <c r="D42" s="4"/>
      <c r="E42" s="4"/>
      <c r="F42" s="4"/>
      <c r="G42" s="6"/>
      <c r="H42" s="6"/>
      <c r="I42" s="6"/>
      <c r="J42" s="6"/>
      <c r="K42" s="6"/>
    </row>
    <row r="43" spans="1:11" ht="114.75" customHeight="1" x14ac:dyDescent="0.25">
      <c r="A43" s="26"/>
      <c r="B43" s="2" t="s">
        <v>449</v>
      </c>
      <c r="C43" s="3"/>
      <c r="D43" s="4"/>
      <c r="E43" s="4"/>
      <c r="F43" s="4"/>
      <c r="G43" s="6"/>
      <c r="H43" s="6"/>
      <c r="I43" s="6"/>
      <c r="J43" s="6"/>
      <c r="K43" s="6"/>
    </row>
    <row r="44" spans="1:11" ht="153" customHeight="1" x14ac:dyDescent="0.25">
      <c r="A44" s="26"/>
      <c r="B44" s="2" t="s">
        <v>450</v>
      </c>
      <c r="C44" s="3"/>
      <c r="D44" s="4"/>
      <c r="E44" s="4"/>
      <c r="F44" s="4"/>
      <c r="G44" s="6"/>
      <c r="H44" s="6"/>
      <c r="I44" s="6"/>
      <c r="J44" s="6"/>
      <c r="K44" s="6"/>
    </row>
    <row r="45" spans="1:11" ht="280.5" customHeight="1" x14ac:dyDescent="0.25">
      <c r="A45" s="26"/>
      <c r="B45" s="2" t="s">
        <v>451</v>
      </c>
      <c r="C45" s="3"/>
      <c r="D45" s="4"/>
      <c r="E45" s="4"/>
      <c r="F45" s="4"/>
      <c r="G45" s="6"/>
      <c r="H45" s="6"/>
      <c r="I45" s="6"/>
      <c r="J45" s="6"/>
      <c r="K45" s="6"/>
    </row>
    <row r="46" spans="1:11" ht="191.25" customHeight="1" x14ac:dyDescent="0.25">
      <c r="A46" s="26"/>
      <c r="B46" s="2" t="s">
        <v>452</v>
      </c>
      <c r="C46" s="3"/>
      <c r="D46" s="4"/>
      <c r="E46" s="4"/>
      <c r="F46" s="4"/>
      <c r="G46" s="6"/>
      <c r="H46" s="6"/>
      <c r="I46" s="6"/>
      <c r="J46" s="6"/>
      <c r="K46" s="6"/>
    </row>
    <row r="47" spans="1:11" ht="127.5" customHeight="1" x14ac:dyDescent="0.25">
      <c r="A47" s="26"/>
      <c r="B47" s="2" t="s">
        <v>453</v>
      </c>
      <c r="C47" s="3" t="s">
        <v>403</v>
      </c>
      <c r="D47" s="4">
        <v>49.3</v>
      </c>
      <c r="E47" s="4">
        <v>130</v>
      </c>
      <c r="F47" s="4">
        <f>D47*$E47</f>
        <v>6409</v>
      </c>
      <c r="G47" s="6"/>
      <c r="H47" s="6"/>
      <c r="I47" s="6"/>
      <c r="J47" s="6"/>
      <c r="K47" s="6"/>
    </row>
    <row r="48" spans="1:11" ht="369.75" customHeight="1" x14ac:dyDescent="0.25">
      <c r="A48" s="26" t="s">
        <v>575</v>
      </c>
      <c r="B48" s="2" t="s">
        <v>576</v>
      </c>
      <c r="C48" s="3"/>
      <c r="D48" s="4"/>
      <c r="E48" s="4"/>
      <c r="F48" s="4"/>
      <c r="G48" s="6"/>
      <c r="H48" s="6"/>
      <c r="I48" s="6"/>
      <c r="J48" s="6"/>
      <c r="K48" s="6"/>
    </row>
    <row r="49" spans="1:11" ht="204" customHeight="1" x14ac:dyDescent="0.25">
      <c r="A49" s="26"/>
      <c r="B49" s="2" t="s">
        <v>456</v>
      </c>
      <c r="C49" s="3"/>
      <c r="D49" s="4"/>
      <c r="E49" s="4"/>
      <c r="F49" s="4"/>
      <c r="G49" s="6"/>
      <c r="H49" s="6"/>
      <c r="I49" s="6"/>
      <c r="J49" s="6"/>
      <c r="K49" s="6"/>
    </row>
    <row r="50" spans="1:11" ht="165.75" customHeight="1" x14ac:dyDescent="0.25">
      <c r="A50" s="26"/>
      <c r="B50" s="2" t="s">
        <v>457</v>
      </c>
      <c r="C50" s="3"/>
      <c r="D50" s="4"/>
      <c r="E50" s="4"/>
      <c r="F50" s="4"/>
      <c r="G50" s="6"/>
      <c r="H50" s="6"/>
      <c r="I50" s="6"/>
      <c r="J50" s="6"/>
      <c r="K50" s="6"/>
    </row>
    <row r="51" spans="1:11" ht="89.25" customHeight="1" x14ac:dyDescent="0.25">
      <c r="A51" s="26"/>
      <c r="B51" s="2" t="s">
        <v>458</v>
      </c>
      <c r="C51" s="3"/>
      <c r="D51" s="4"/>
      <c r="E51" s="4"/>
      <c r="F51" s="4"/>
      <c r="G51" s="6"/>
      <c r="H51" s="6"/>
      <c r="I51" s="6"/>
      <c r="J51" s="6"/>
      <c r="K51" s="6"/>
    </row>
    <row r="52" spans="1:11" ht="318.75" customHeight="1" x14ac:dyDescent="0.25">
      <c r="A52" s="26"/>
      <c r="B52" s="2" t="s">
        <v>459</v>
      </c>
      <c r="C52" s="3"/>
      <c r="D52" s="4"/>
      <c r="E52" s="4"/>
      <c r="F52" s="4"/>
      <c r="G52" s="6"/>
      <c r="H52" s="6"/>
      <c r="I52" s="6"/>
      <c r="J52" s="6"/>
      <c r="K52" s="6"/>
    </row>
    <row r="53" spans="1:11" ht="114.75" customHeight="1" x14ac:dyDescent="0.25">
      <c r="A53" s="26"/>
      <c r="B53" s="2" t="s">
        <v>449</v>
      </c>
      <c r="C53" s="3"/>
      <c r="D53" s="4"/>
      <c r="E53" s="4"/>
      <c r="F53" s="4"/>
      <c r="G53" s="6"/>
      <c r="H53" s="6"/>
      <c r="I53" s="6"/>
      <c r="J53" s="6"/>
      <c r="K53" s="6"/>
    </row>
    <row r="54" spans="1:11" ht="216.75" customHeight="1" x14ac:dyDescent="0.25">
      <c r="A54" s="26"/>
      <c r="B54" s="2" t="s">
        <v>460</v>
      </c>
      <c r="C54" s="3"/>
      <c r="D54" s="4"/>
      <c r="E54" s="4"/>
      <c r="F54" s="4"/>
      <c r="G54" s="6"/>
      <c r="H54" s="6"/>
      <c r="I54" s="6"/>
      <c r="J54" s="6"/>
      <c r="K54" s="6"/>
    </row>
    <row r="55" spans="1:11" ht="178.5" customHeight="1" x14ac:dyDescent="0.25">
      <c r="A55" s="26"/>
      <c r="B55" s="2" t="s">
        <v>461</v>
      </c>
      <c r="C55" s="3"/>
      <c r="D55" s="4"/>
      <c r="E55" s="4"/>
      <c r="F55" s="4"/>
      <c r="G55" s="6"/>
      <c r="H55" s="6"/>
      <c r="I55" s="6"/>
      <c r="J55" s="6"/>
      <c r="K55" s="6"/>
    </row>
    <row r="56" spans="1:11" ht="114.75" customHeight="1" x14ac:dyDescent="0.25">
      <c r="A56" s="26"/>
      <c r="B56" s="2" t="s">
        <v>462</v>
      </c>
      <c r="C56" s="3"/>
      <c r="D56" s="4"/>
      <c r="E56" s="4"/>
      <c r="F56" s="4"/>
      <c r="G56" s="6"/>
      <c r="H56" s="6"/>
      <c r="I56" s="6"/>
      <c r="J56" s="6"/>
      <c r="K56" s="6"/>
    </row>
    <row r="57" spans="1:11" ht="25.5" customHeight="1" x14ac:dyDescent="0.25">
      <c r="A57" s="26" t="s">
        <v>415</v>
      </c>
      <c r="B57" s="2" t="s">
        <v>463</v>
      </c>
      <c r="C57" s="3" t="s">
        <v>403</v>
      </c>
      <c r="D57" s="4">
        <v>393.8</v>
      </c>
      <c r="E57" s="4">
        <v>134</v>
      </c>
      <c r="F57" s="4">
        <f t="shared" ref="F57:F61" si="4">D57*$E57</f>
        <v>52769.200000000004</v>
      </c>
      <c r="G57" s="6"/>
      <c r="H57" s="6"/>
      <c r="I57" s="6"/>
      <c r="J57" s="6"/>
      <c r="K57" s="6"/>
    </row>
    <row r="58" spans="1:11" ht="25.5" customHeight="1" x14ac:dyDescent="0.25">
      <c r="A58" s="26" t="s">
        <v>418</v>
      </c>
      <c r="B58" s="2" t="s">
        <v>464</v>
      </c>
      <c r="C58" s="3" t="s">
        <v>403</v>
      </c>
      <c r="D58" s="4">
        <v>375</v>
      </c>
      <c r="E58" s="4">
        <v>130</v>
      </c>
      <c r="F58" s="4">
        <f t="shared" si="4"/>
        <v>48750</v>
      </c>
      <c r="G58" s="6"/>
      <c r="H58" s="6"/>
      <c r="I58" s="6"/>
      <c r="J58" s="6"/>
      <c r="K58" s="6"/>
    </row>
    <row r="59" spans="1:11" ht="25.5" customHeight="1" x14ac:dyDescent="0.25">
      <c r="A59" s="26" t="s">
        <v>465</v>
      </c>
      <c r="B59" s="2" t="s">
        <v>466</v>
      </c>
      <c r="C59" s="3" t="s">
        <v>403</v>
      </c>
      <c r="D59" s="4">
        <v>59</v>
      </c>
      <c r="E59" s="4">
        <v>128</v>
      </c>
      <c r="F59" s="4">
        <f t="shared" si="4"/>
        <v>7552</v>
      </c>
      <c r="G59" s="6"/>
      <c r="H59" s="6"/>
      <c r="I59" s="6"/>
      <c r="J59" s="6"/>
      <c r="K59" s="6"/>
    </row>
    <row r="60" spans="1:11" ht="25.5" customHeight="1" x14ac:dyDescent="0.25">
      <c r="A60" s="26" t="s">
        <v>467</v>
      </c>
      <c r="B60" s="2" t="s">
        <v>468</v>
      </c>
      <c r="C60" s="3" t="s">
        <v>403</v>
      </c>
      <c r="D60" s="4">
        <v>63</v>
      </c>
      <c r="E60" s="4">
        <v>125</v>
      </c>
      <c r="F60" s="4">
        <f t="shared" si="4"/>
        <v>7875</v>
      </c>
      <c r="G60" s="6"/>
      <c r="H60" s="6"/>
      <c r="I60" s="6"/>
      <c r="J60" s="6"/>
      <c r="K60" s="6"/>
    </row>
    <row r="61" spans="1:11" ht="12.75" customHeight="1" x14ac:dyDescent="0.25">
      <c r="A61" s="26" t="s">
        <v>469</v>
      </c>
      <c r="B61" s="2" t="s">
        <v>470</v>
      </c>
      <c r="C61" s="3" t="s">
        <v>417</v>
      </c>
      <c r="D61" s="4">
        <v>161</v>
      </c>
      <c r="E61" s="4">
        <v>83</v>
      </c>
      <c r="F61" s="4">
        <f t="shared" si="4"/>
        <v>13363</v>
      </c>
      <c r="G61" s="6"/>
      <c r="H61" s="6"/>
      <c r="I61" s="6"/>
      <c r="J61" s="6"/>
      <c r="K61" s="6"/>
    </row>
    <row r="62" spans="1:11" ht="12.75" customHeight="1" x14ac:dyDescent="0.25">
      <c r="A62" s="26"/>
      <c r="B62" s="2" t="s">
        <v>471</v>
      </c>
      <c r="C62" s="3"/>
      <c r="D62" s="4"/>
      <c r="E62" s="4"/>
      <c r="F62" s="4"/>
      <c r="G62" s="6"/>
      <c r="H62" s="6"/>
      <c r="I62" s="6"/>
      <c r="J62" s="6"/>
      <c r="K62" s="6"/>
    </row>
    <row r="63" spans="1:11" ht="267.75" customHeight="1" x14ac:dyDescent="0.25">
      <c r="A63" s="26" t="s">
        <v>577</v>
      </c>
      <c r="B63" s="2" t="s">
        <v>473</v>
      </c>
      <c r="C63" s="3"/>
      <c r="D63" s="4"/>
      <c r="E63" s="4"/>
      <c r="F63" s="4"/>
      <c r="G63" s="6"/>
      <c r="H63" s="6"/>
      <c r="I63" s="6"/>
      <c r="J63" s="6"/>
      <c r="K63" s="6"/>
    </row>
    <row r="64" spans="1:11" ht="293.25" customHeight="1" x14ac:dyDescent="0.25">
      <c r="A64" s="26"/>
      <c r="B64" s="2" t="s">
        <v>474</v>
      </c>
      <c r="C64" s="3"/>
      <c r="D64" s="4"/>
      <c r="E64" s="4"/>
      <c r="F64" s="4"/>
      <c r="G64" s="6"/>
      <c r="H64" s="6"/>
      <c r="I64" s="6"/>
      <c r="J64" s="6"/>
      <c r="K64" s="6"/>
    </row>
    <row r="65" spans="1:11" ht="255" customHeight="1" x14ac:dyDescent="0.25">
      <c r="A65" s="26"/>
      <c r="B65" s="2" t="s">
        <v>475</v>
      </c>
      <c r="C65" s="3"/>
      <c r="D65" s="4"/>
      <c r="E65" s="4"/>
      <c r="F65" s="4"/>
      <c r="G65" s="6"/>
      <c r="H65" s="6"/>
      <c r="I65" s="6"/>
      <c r="J65" s="6"/>
      <c r="K65" s="6"/>
    </row>
    <row r="66" spans="1:11" ht="89.25" customHeight="1" x14ac:dyDescent="0.25">
      <c r="A66" s="26"/>
      <c r="B66" s="2" t="s">
        <v>476</v>
      </c>
      <c r="C66" s="3"/>
      <c r="D66" s="4"/>
      <c r="E66" s="4"/>
      <c r="F66" s="4"/>
      <c r="G66" s="6"/>
      <c r="H66" s="6"/>
      <c r="I66" s="6"/>
      <c r="J66" s="6"/>
      <c r="K66" s="6"/>
    </row>
    <row r="67" spans="1:11" ht="216.75" customHeight="1" x14ac:dyDescent="0.25">
      <c r="A67" s="26"/>
      <c r="B67" s="2" t="s">
        <v>477</v>
      </c>
      <c r="C67" s="3"/>
      <c r="D67" s="4"/>
      <c r="E67" s="4"/>
      <c r="F67" s="4"/>
      <c r="G67" s="6"/>
      <c r="H67" s="6"/>
      <c r="I67" s="6"/>
      <c r="J67" s="6"/>
      <c r="K67" s="6"/>
    </row>
    <row r="68" spans="1:11" ht="293.25" customHeight="1" x14ac:dyDescent="0.25">
      <c r="A68" s="26"/>
      <c r="B68" s="2" t="s">
        <v>478</v>
      </c>
      <c r="C68" s="3"/>
      <c r="D68" s="4"/>
      <c r="E68" s="4"/>
      <c r="F68" s="4"/>
      <c r="G68" s="6"/>
      <c r="H68" s="6"/>
      <c r="I68" s="6"/>
      <c r="J68" s="6"/>
      <c r="K68" s="6"/>
    </row>
    <row r="69" spans="1:11" ht="242.25" customHeight="1" x14ac:dyDescent="0.25">
      <c r="A69" s="26"/>
      <c r="B69" s="2" t="s">
        <v>479</v>
      </c>
      <c r="C69" s="3"/>
      <c r="D69" s="4"/>
      <c r="E69" s="4"/>
      <c r="F69" s="4"/>
      <c r="G69" s="6"/>
      <c r="H69" s="6"/>
      <c r="I69" s="6"/>
      <c r="J69" s="6"/>
      <c r="K69" s="6"/>
    </row>
    <row r="70" spans="1:11" ht="127.5" customHeight="1" x14ac:dyDescent="0.25">
      <c r="A70" s="26"/>
      <c r="B70" s="2" t="s">
        <v>480</v>
      </c>
      <c r="C70" s="3" t="s">
        <v>403</v>
      </c>
      <c r="D70" s="4">
        <v>16.5</v>
      </c>
      <c r="E70" s="4">
        <v>74</v>
      </c>
      <c r="F70" s="4">
        <f>D70*$E70</f>
        <v>1221</v>
      </c>
      <c r="G70" s="6"/>
      <c r="H70" s="6"/>
      <c r="I70" s="6"/>
      <c r="J70" s="6"/>
      <c r="K70" s="6"/>
    </row>
    <row r="71" spans="1:11" ht="293.25" customHeight="1" x14ac:dyDescent="0.25">
      <c r="A71" s="26" t="s">
        <v>578</v>
      </c>
      <c r="B71" s="2" t="s">
        <v>579</v>
      </c>
      <c r="C71" s="3"/>
      <c r="D71" s="4"/>
      <c r="E71" s="4"/>
      <c r="F71" s="4"/>
      <c r="G71" s="6"/>
      <c r="H71" s="6"/>
      <c r="I71" s="6"/>
      <c r="J71" s="6"/>
      <c r="K71" s="6"/>
    </row>
    <row r="72" spans="1:11" ht="357" customHeight="1" x14ac:dyDescent="0.25">
      <c r="A72" s="26"/>
      <c r="B72" s="2" t="s">
        <v>483</v>
      </c>
      <c r="C72" s="3"/>
      <c r="D72" s="4"/>
      <c r="E72" s="4"/>
      <c r="F72" s="4"/>
      <c r="G72" s="6"/>
      <c r="H72" s="6"/>
      <c r="I72" s="6"/>
      <c r="J72" s="6"/>
      <c r="K72" s="6"/>
    </row>
    <row r="73" spans="1:11" ht="89.25" customHeight="1" x14ac:dyDescent="0.25">
      <c r="A73" s="26"/>
      <c r="B73" s="2" t="s">
        <v>458</v>
      </c>
      <c r="C73" s="3"/>
      <c r="D73" s="4"/>
      <c r="E73" s="4"/>
      <c r="F73" s="4"/>
      <c r="G73" s="6"/>
      <c r="H73" s="6"/>
      <c r="I73" s="6"/>
      <c r="J73" s="6"/>
      <c r="K73" s="6"/>
    </row>
    <row r="74" spans="1:11" ht="255" customHeight="1" x14ac:dyDescent="0.25">
      <c r="A74" s="26"/>
      <c r="B74" s="2" t="s">
        <v>484</v>
      </c>
      <c r="C74" s="3"/>
      <c r="D74" s="4"/>
      <c r="E74" s="4"/>
      <c r="F74" s="4"/>
      <c r="G74" s="6"/>
      <c r="H74" s="6"/>
      <c r="I74" s="6"/>
      <c r="J74" s="6"/>
      <c r="K74" s="6"/>
    </row>
    <row r="75" spans="1:11" ht="102" customHeight="1" x14ac:dyDescent="0.25">
      <c r="A75" s="26"/>
      <c r="B75" s="2" t="s">
        <v>485</v>
      </c>
      <c r="C75" s="3"/>
      <c r="D75" s="4"/>
      <c r="E75" s="4"/>
      <c r="F75" s="4"/>
      <c r="G75" s="6"/>
      <c r="H75" s="6"/>
      <c r="I75" s="6"/>
      <c r="J75" s="6"/>
      <c r="K75" s="6"/>
    </row>
    <row r="76" spans="1:11" ht="216.75" customHeight="1" x14ac:dyDescent="0.25">
      <c r="A76" s="26"/>
      <c r="B76" s="2" t="s">
        <v>486</v>
      </c>
      <c r="C76" s="3"/>
      <c r="D76" s="4"/>
      <c r="E76" s="4"/>
      <c r="F76" s="4"/>
      <c r="G76" s="6"/>
      <c r="H76" s="6"/>
      <c r="I76" s="6"/>
      <c r="J76" s="6"/>
      <c r="K76" s="6"/>
    </row>
    <row r="77" spans="1:11" ht="242.25" customHeight="1" x14ac:dyDescent="0.25">
      <c r="A77" s="26"/>
      <c r="B77" s="2" t="s">
        <v>487</v>
      </c>
      <c r="C77" s="3"/>
      <c r="D77" s="4"/>
      <c r="E77" s="4"/>
      <c r="F77" s="4"/>
      <c r="G77" s="6"/>
      <c r="H77" s="6"/>
      <c r="I77" s="6"/>
      <c r="J77" s="6"/>
      <c r="K77" s="6"/>
    </row>
    <row r="78" spans="1:11" ht="102" customHeight="1" x14ac:dyDescent="0.25">
      <c r="A78" s="26"/>
      <c r="B78" s="2" t="s">
        <v>488</v>
      </c>
      <c r="C78" s="3"/>
      <c r="D78" s="4"/>
      <c r="E78" s="4"/>
      <c r="F78" s="4"/>
      <c r="G78" s="6"/>
      <c r="H78" s="6"/>
      <c r="I78" s="6"/>
      <c r="J78" s="6"/>
      <c r="K78" s="6"/>
    </row>
    <row r="79" spans="1:11" ht="25.5" customHeight="1" x14ac:dyDescent="0.25">
      <c r="A79" s="26" t="s">
        <v>415</v>
      </c>
      <c r="B79" s="2" t="s">
        <v>463</v>
      </c>
      <c r="C79" s="3" t="s">
        <v>403</v>
      </c>
      <c r="D79" s="4">
        <v>131.30000000000001</v>
      </c>
      <c r="E79" s="4">
        <v>78</v>
      </c>
      <c r="F79" s="4">
        <f t="shared" ref="F79:F83" si="5">D79*$E79</f>
        <v>10241.400000000001</v>
      </c>
      <c r="G79" s="6"/>
      <c r="H79" s="6"/>
      <c r="I79" s="6"/>
      <c r="J79" s="6"/>
      <c r="K79" s="6"/>
    </row>
    <row r="80" spans="1:11" ht="25.5" customHeight="1" x14ac:dyDescent="0.25">
      <c r="A80" s="26" t="s">
        <v>418</v>
      </c>
      <c r="B80" s="2" t="s">
        <v>464</v>
      </c>
      <c r="C80" s="3" t="s">
        <v>403</v>
      </c>
      <c r="D80" s="4">
        <v>375</v>
      </c>
      <c r="E80" s="4">
        <v>74</v>
      </c>
      <c r="F80" s="4">
        <f t="shared" si="5"/>
        <v>27750</v>
      </c>
      <c r="G80" s="6"/>
      <c r="H80" s="6"/>
      <c r="I80" s="6"/>
      <c r="J80" s="6"/>
      <c r="K80" s="6"/>
    </row>
    <row r="81" spans="1:11" ht="25.5" customHeight="1" x14ac:dyDescent="0.25">
      <c r="A81" s="26" t="s">
        <v>465</v>
      </c>
      <c r="B81" s="2" t="s">
        <v>466</v>
      </c>
      <c r="C81" s="3" t="s">
        <v>403</v>
      </c>
      <c r="D81" s="4">
        <v>59</v>
      </c>
      <c r="E81" s="4">
        <v>72</v>
      </c>
      <c r="F81" s="4">
        <f t="shared" si="5"/>
        <v>4248</v>
      </c>
      <c r="G81" s="6"/>
      <c r="H81" s="6"/>
      <c r="I81" s="6"/>
      <c r="J81" s="6"/>
      <c r="K81" s="6"/>
    </row>
    <row r="82" spans="1:11" ht="25.5" customHeight="1" x14ac:dyDescent="0.25">
      <c r="A82" s="26" t="s">
        <v>467</v>
      </c>
      <c r="B82" s="2" t="s">
        <v>468</v>
      </c>
      <c r="C82" s="3" t="s">
        <v>403</v>
      </c>
      <c r="D82" s="4">
        <v>63</v>
      </c>
      <c r="E82" s="4">
        <v>69</v>
      </c>
      <c r="F82" s="4">
        <f t="shared" si="5"/>
        <v>4347</v>
      </c>
      <c r="G82" s="6"/>
      <c r="H82" s="6"/>
      <c r="I82" s="6"/>
      <c r="J82" s="6"/>
      <c r="K82" s="6"/>
    </row>
    <row r="83" spans="1:11" ht="12.75" customHeight="1" x14ac:dyDescent="0.25">
      <c r="A83" s="26" t="s">
        <v>469</v>
      </c>
      <c r="B83" s="2" t="s">
        <v>470</v>
      </c>
      <c r="C83" s="3" t="s">
        <v>417</v>
      </c>
      <c r="D83" s="4">
        <v>161</v>
      </c>
      <c r="E83" s="4">
        <v>48</v>
      </c>
      <c r="F83" s="4">
        <f t="shared" si="5"/>
        <v>7728</v>
      </c>
      <c r="G83" s="6"/>
      <c r="H83" s="6"/>
      <c r="I83" s="6"/>
      <c r="J83" s="6"/>
      <c r="K83" s="6"/>
    </row>
    <row r="84" spans="1:11" ht="12.75" customHeight="1" x14ac:dyDescent="0.25">
      <c r="A84" s="26"/>
      <c r="B84" s="39" t="s">
        <v>580</v>
      </c>
      <c r="C84" s="6"/>
      <c r="D84" s="6"/>
      <c r="E84" s="6"/>
      <c r="F84" s="44">
        <f>SUM(F47:F83)</f>
        <v>192253.6</v>
      </c>
      <c r="G84" s="6"/>
      <c r="H84" s="6"/>
      <c r="I84" s="6"/>
      <c r="J84" s="6"/>
      <c r="K84" s="6"/>
    </row>
    <row r="85" spans="1:11" ht="12.75" customHeight="1" x14ac:dyDescent="0.25">
      <c r="A85" s="26"/>
      <c r="B85" s="2"/>
      <c r="C85" s="3"/>
      <c r="D85" s="47"/>
      <c r="E85" s="4"/>
      <c r="F85" s="4"/>
      <c r="G85" s="6"/>
      <c r="H85" s="6"/>
      <c r="I85" s="6"/>
      <c r="J85" s="6"/>
      <c r="K85" s="6"/>
    </row>
    <row r="86" spans="1:11" ht="12.75" customHeight="1" x14ac:dyDescent="0.25">
      <c r="A86" s="26"/>
      <c r="B86" s="2"/>
      <c r="C86" s="3"/>
      <c r="D86" s="47"/>
      <c r="E86" s="4"/>
      <c r="F86" s="4"/>
      <c r="G86" s="6"/>
      <c r="H86" s="6"/>
      <c r="I86" s="6"/>
      <c r="J86" s="6"/>
      <c r="K86" s="6"/>
    </row>
    <row r="87" spans="1:11" ht="12.75" customHeight="1" x14ac:dyDescent="0.25">
      <c r="A87" s="26"/>
      <c r="B87" s="2"/>
      <c r="C87" s="3"/>
      <c r="D87" s="4"/>
      <c r="E87" s="4"/>
      <c r="F87" s="4"/>
      <c r="G87" s="6"/>
      <c r="H87" s="6"/>
      <c r="I87" s="6"/>
      <c r="J87" s="6"/>
      <c r="K87" s="6"/>
    </row>
    <row r="88" spans="1:11" ht="12.75" customHeight="1" x14ac:dyDescent="0.25">
      <c r="A88" s="26"/>
      <c r="B88" s="2"/>
      <c r="C88" s="3"/>
      <c r="D88" s="4"/>
      <c r="E88" s="4"/>
      <c r="F88" s="4"/>
      <c r="G88" s="6"/>
      <c r="H88" s="6"/>
      <c r="I88" s="6"/>
      <c r="J88" s="6"/>
      <c r="K88" s="6"/>
    </row>
    <row r="89" spans="1:11" ht="12.75" customHeight="1" x14ac:dyDescent="0.25">
      <c r="A89" s="26"/>
      <c r="B89" s="2"/>
      <c r="C89" s="3"/>
      <c r="D89" s="4"/>
      <c r="E89" s="4"/>
      <c r="F89" s="4"/>
      <c r="G89" s="6"/>
      <c r="H89" s="6"/>
      <c r="I89" s="6"/>
      <c r="J89" s="6"/>
      <c r="K89" s="6"/>
    </row>
    <row r="90" spans="1:11" ht="12.75" customHeight="1" x14ac:dyDescent="0.25">
      <c r="A90" s="26"/>
      <c r="B90" s="2"/>
      <c r="C90" s="3"/>
      <c r="D90" s="4"/>
      <c r="E90" s="4"/>
      <c r="F90" s="4"/>
      <c r="G90" s="6"/>
      <c r="H90" s="6"/>
      <c r="I90" s="6"/>
      <c r="J90" s="6"/>
      <c r="K90" s="6"/>
    </row>
    <row r="91" spans="1:11" ht="12.75" customHeight="1" x14ac:dyDescent="0.25">
      <c r="A91" s="26"/>
      <c r="B91" s="2"/>
      <c r="C91" s="3"/>
      <c r="D91" s="4"/>
      <c r="E91" s="4"/>
      <c r="F91" s="4"/>
      <c r="G91" s="6"/>
      <c r="H91" s="6"/>
      <c r="I91" s="6"/>
      <c r="J91" s="6"/>
      <c r="K91" s="6"/>
    </row>
    <row r="92" spans="1:11" ht="12.75" customHeight="1" x14ac:dyDescent="0.25">
      <c r="A92" s="26"/>
      <c r="B92" s="2"/>
      <c r="C92" s="3"/>
      <c r="D92" s="4"/>
      <c r="E92" s="4"/>
      <c r="F92" s="4"/>
      <c r="G92" s="6"/>
      <c r="H92" s="6"/>
      <c r="I92" s="6"/>
      <c r="J92" s="6"/>
      <c r="K92" s="6"/>
    </row>
    <row r="93" spans="1:11" ht="12.75" customHeight="1" x14ac:dyDescent="0.25">
      <c r="A93" s="26"/>
      <c r="B93" s="2"/>
      <c r="C93" s="3"/>
      <c r="D93" s="4"/>
      <c r="E93" s="4"/>
      <c r="F93" s="4"/>
      <c r="G93" s="6"/>
      <c r="H93" s="6"/>
      <c r="I93" s="6"/>
      <c r="J93" s="6"/>
      <c r="K93" s="6"/>
    </row>
    <row r="94" spans="1:11" ht="12.75" customHeight="1" x14ac:dyDescent="0.25">
      <c r="A94" s="26"/>
      <c r="B94" s="2"/>
      <c r="C94" s="3"/>
      <c r="D94" s="4"/>
      <c r="E94" s="4"/>
      <c r="F94" s="4"/>
      <c r="G94" s="6"/>
      <c r="H94" s="6"/>
      <c r="I94" s="6"/>
      <c r="J94" s="6"/>
      <c r="K94" s="6"/>
    </row>
    <row r="95" spans="1:11" ht="12.75" customHeight="1" x14ac:dyDescent="0.25">
      <c r="A95" s="26"/>
      <c r="B95" s="2"/>
      <c r="C95" s="3"/>
      <c r="D95" s="4"/>
      <c r="E95" s="4"/>
      <c r="F95" s="4"/>
      <c r="G95" s="6"/>
      <c r="H95" s="6"/>
      <c r="I95" s="6"/>
      <c r="J95" s="6"/>
      <c r="K95" s="6"/>
    </row>
    <row r="96" spans="1:11" ht="12.75" customHeight="1" x14ac:dyDescent="0.25">
      <c r="A96" s="26"/>
      <c r="B96" s="2"/>
      <c r="C96" s="3"/>
      <c r="D96" s="4"/>
      <c r="E96" s="4"/>
      <c r="F96" s="4"/>
      <c r="G96" s="6"/>
      <c r="H96" s="6"/>
      <c r="I96" s="6"/>
      <c r="J96" s="6"/>
      <c r="K96" s="6"/>
    </row>
    <row r="97" spans="1:11" ht="12.75" customHeight="1" x14ac:dyDescent="0.25">
      <c r="A97" s="26"/>
      <c r="B97" s="2"/>
      <c r="C97" s="3"/>
      <c r="D97" s="4"/>
      <c r="E97" s="4"/>
      <c r="F97" s="4"/>
      <c r="G97" s="6"/>
      <c r="H97" s="6"/>
      <c r="I97" s="6"/>
      <c r="J97" s="6"/>
      <c r="K97" s="6"/>
    </row>
    <row r="98" spans="1:11" ht="12.75" customHeight="1" x14ac:dyDescent="0.25">
      <c r="A98" s="26"/>
      <c r="B98" s="2"/>
      <c r="C98" s="3"/>
      <c r="D98" s="4"/>
      <c r="E98" s="4"/>
      <c r="F98" s="4"/>
      <c r="G98" s="6"/>
      <c r="H98" s="6"/>
      <c r="I98" s="6"/>
      <c r="J98" s="6"/>
      <c r="K98" s="6"/>
    </row>
    <row r="99" spans="1:11" ht="12.75" customHeight="1" x14ac:dyDescent="0.25">
      <c r="A99" s="26"/>
      <c r="B99" s="2"/>
      <c r="C99" s="3"/>
      <c r="D99" s="4"/>
      <c r="E99" s="4"/>
      <c r="F99" s="4"/>
      <c r="G99" s="6"/>
      <c r="H99" s="6"/>
      <c r="I99" s="6"/>
      <c r="J99" s="6"/>
      <c r="K99" s="6"/>
    </row>
    <row r="100" spans="1:11" ht="12.75" customHeight="1" x14ac:dyDescent="0.25">
      <c r="A100" s="26"/>
      <c r="B100" s="2"/>
      <c r="C100" s="3"/>
      <c r="D100" s="4"/>
      <c r="E100" s="4"/>
      <c r="F100" s="4"/>
      <c r="G100" s="6"/>
      <c r="H100" s="6"/>
      <c r="I100" s="6"/>
      <c r="J100" s="6"/>
      <c r="K100" s="6"/>
    </row>
  </sheetData>
  <printOptions horizontalCentered="1" gridLines="1"/>
  <pageMargins left="0.70833333333333304" right="0.70833333333333304" top="0.74791666666666701" bottom="0.74791666666666701" header="0" footer="0"/>
  <pageSetup paperSize="9" scale="90" orientation="portrait"/>
  <headerFooter>
    <oddHeader>&amp;L Ministarstvo unutarnjih poslova RH&amp;R Nastavno nacionalno središte civilne zaštite u Jastrebarskom</oddHeader>
    <oddFooter>&amp;L Troškovnik radova na uređenju građevina, vanjskog prostora i infrastrukture - zgrada 21&amp;R stranica &amp;P od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
  <sheetViews>
    <sheetView topLeftCell="A7" workbookViewId="0">
      <selection activeCell="E20" sqref="E20"/>
    </sheetView>
  </sheetViews>
  <sheetFormatPr defaultColWidth="14.42578125" defaultRowHeight="15" customHeight="1" x14ac:dyDescent="0.25"/>
  <cols>
    <col min="1" max="1" width="6.140625" customWidth="1"/>
    <col min="2" max="2" width="50.7109375" customWidth="1"/>
    <col min="3" max="3" width="5.7109375" customWidth="1"/>
    <col min="4" max="4" width="9.7109375" customWidth="1"/>
    <col min="5" max="5" width="10.7109375" customWidth="1"/>
    <col min="6" max="6" width="13.85546875" customWidth="1"/>
    <col min="7" max="11" width="9.140625" customWidth="1"/>
  </cols>
  <sheetData>
    <row r="1" spans="1:11" ht="36" customHeight="1" x14ac:dyDescent="0.25">
      <c r="A1" s="29" t="s">
        <v>7</v>
      </c>
      <c r="B1" s="30" t="s">
        <v>8</v>
      </c>
      <c r="C1" s="31" t="s">
        <v>9</v>
      </c>
      <c r="D1" s="32" t="s">
        <v>10</v>
      </c>
      <c r="E1" s="32" t="s">
        <v>396</v>
      </c>
      <c r="F1" s="32" t="s">
        <v>12</v>
      </c>
      <c r="G1" s="34"/>
      <c r="H1" s="34"/>
      <c r="I1" s="34"/>
      <c r="J1" s="34"/>
      <c r="K1" s="34"/>
    </row>
    <row r="2" spans="1:11" ht="12.75" customHeight="1" x14ac:dyDescent="0.25">
      <c r="A2" s="35"/>
      <c r="B2" s="2"/>
      <c r="C2" s="36"/>
      <c r="D2" s="37"/>
      <c r="E2" s="37"/>
      <c r="F2" s="37"/>
      <c r="G2" s="6"/>
      <c r="H2" s="6"/>
      <c r="I2" s="6"/>
      <c r="J2" s="6"/>
      <c r="K2" s="6"/>
    </row>
    <row r="3" spans="1:11" ht="12.75" customHeight="1" x14ac:dyDescent="0.25">
      <c r="A3" s="39" t="s">
        <v>581</v>
      </c>
      <c r="B3" s="16" t="s">
        <v>582</v>
      </c>
      <c r="C3" s="40"/>
      <c r="D3" s="41"/>
      <c r="E3" s="41"/>
      <c r="F3" s="41"/>
      <c r="G3" s="42"/>
      <c r="H3" s="42"/>
      <c r="I3" s="42"/>
      <c r="J3" s="42"/>
      <c r="K3" s="42"/>
    </row>
    <row r="4" spans="1:11" ht="12.75" customHeight="1" x14ac:dyDescent="0.25">
      <c r="A4" s="35"/>
      <c r="B4" s="2"/>
      <c r="C4" s="36"/>
      <c r="D4" s="37"/>
      <c r="E4" s="37"/>
      <c r="F4" s="37"/>
      <c r="G4" s="6"/>
      <c r="H4" s="6"/>
      <c r="I4" s="6"/>
      <c r="J4" s="6"/>
      <c r="K4" s="6"/>
    </row>
    <row r="5" spans="1:11" ht="12.75" customHeight="1" x14ac:dyDescent="0.25">
      <c r="A5" s="43" t="s">
        <v>399</v>
      </c>
      <c r="B5" s="16" t="s">
        <v>400</v>
      </c>
      <c r="C5" s="3"/>
      <c r="D5" s="4"/>
      <c r="E5" s="4"/>
      <c r="F5" s="4"/>
      <c r="G5" s="6"/>
      <c r="H5" s="6"/>
      <c r="I5" s="6"/>
      <c r="J5" s="6"/>
      <c r="K5" s="6"/>
    </row>
    <row r="6" spans="1:11" ht="12.75" customHeight="1" x14ac:dyDescent="0.25">
      <c r="A6" s="43"/>
      <c r="B6" s="16"/>
      <c r="C6" s="3"/>
      <c r="D6" s="4"/>
      <c r="E6" s="4"/>
      <c r="F6" s="4"/>
      <c r="G6" s="6"/>
      <c r="H6" s="6"/>
      <c r="I6" s="6"/>
      <c r="J6" s="6"/>
      <c r="K6" s="6"/>
    </row>
    <row r="7" spans="1:11" ht="12.75" customHeight="1" x14ac:dyDescent="0.25">
      <c r="A7" s="39" t="s">
        <v>389</v>
      </c>
      <c r="B7" s="16" t="s">
        <v>31</v>
      </c>
      <c r="C7" s="42"/>
      <c r="D7" s="44"/>
      <c r="E7" s="44"/>
      <c r="F7" s="44"/>
      <c r="G7" s="6"/>
      <c r="H7" s="6"/>
      <c r="I7" s="6"/>
      <c r="J7" s="6"/>
      <c r="K7" s="6"/>
    </row>
    <row r="8" spans="1:11" ht="140.25" customHeight="1" x14ac:dyDescent="0.25">
      <c r="A8" s="26" t="s">
        <v>401</v>
      </c>
      <c r="B8" s="2" t="s">
        <v>402</v>
      </c>
      <c r="C8" s="3"/>
      <c r="D8" s="4"/>
      <c r="E8" s="4"/>
      <c r="F8" s="4"/>
      <c r="G8" s="6"/>
      <c r="H8" s="6"/>
      <c r="I8" s="6"/>
      <c r="J8" s="6"/>
      <c r="K8" s="6"/>
    </row>
    <row r="9" spans="1:11" ht="12.75" customHeight="1" x14ac:dyDescent="0.25">
      <c r="A9" s="26" t="s">
        <v>415</v>
      </c>
      <c r="B9" s="2" t="s">
        <v>583</v>
      </c>
      <c r="C9" s="3" t="s">
        <v>403</v>
      </c>
      <c r="D9" s="4">
        <v>3700</v>
      </c>
      <c r="E9" s="4">
        <v>11.55</v>
      </c>
      <c r="F9" s="4">
        <f t="shared" ref="F9:F10" si="0">D9*$E9</f>
        <v>42735</v>
      </c>
      <c r="G9" s="6"/>
      <c r="H9" s="6"/>
      <c r="I9" s="6"/>
      <c r="J9" s="6"/>
      <c r="K9" s="6"/>
    </row>
    <row r="10" spans="1:11" ht="12.75" customHeight="1" x14ac:dyDescent="0.25">
      <c r="A10" s="26" t="s">
        <v>418</v>
      </c>
      <c r="B10" s="2" t="s">
        <v>584</v>
      </c>
      <c r="C10" s="3" t="s">
        <v>403</v>
      </c>
      <c r="D10" s="4">
        <v>150</v>
      </c>
      <c r="E10" s="4">
        <v>11.55</v>
      </c>
      <c r="F10" s="4">
        <f t="shared" si="0"/>
        <v>1732.5</v>
      </c>
      <c r="G10" s="6"/>
      <c r="H10" s="6"/>
      <c r="I10" s="6"/>
      <c r="J10" s="6"/>
      <c r="K10" s="6"/>
    </row>
    <row r="11" spans="1:11" ht="12.75" customHeight="1" x14ac:dyDescent="0.25">
      <c r="A11" s="26"/>
      <c r="B11" s="39" t="s">
        <v>404</v>
      </c>
      <c r="C11" s="6"/>
      <c r="D11" s="6"/>
      <c r="E11" s="6"/>
      <c r="F11" s="44">
        <f>SUM(F9:F10)</f>
        <v>44467.5</v>
      </c>
      <c r="G11" s="6"/>
      <c r="H11" s="6"/>
      <c r="I11" s="6"/>
      <c r="J11" s="6"/>
      <c r="K11" s="6"/>
    </row>
    <row r="12" spans="1:11" ht="12.75" customHeight="1" x14ac:dyDescent="0.25">
      <c r="A12" s="26"/>
      <c r="B12" s="2"/>
      <c r="C12" s="3"/>
      <c r="D12" s="4"/>
      <c r="E12" s="4"/>
      <c r="F12" s="4"/>
      <c r="G12" s="6"/>
      <c r="H12" s="6"/>
      <c r="I12" s="6"/>
      <c r="J12" s="6"/>
      <c r="K12" s="6"/>
    </row>
    <row r="13" spans="1:11" ht="12.75" customHeight="1" x14ac:dyDescent="0.25">
      <c r="A13" s="43" t="s">
        <v>405</v>
      </c>
      <c r="B13" s="45" t="s">
        <v>83</v>
      </c>
      <c r="C13" s="42"/>
      <c r="D13" s="42"/>
      <c r="E13" s="42"/>
      <c r="F13" s="42"/>
      <c r="G13" s="6"/>
      <c r="H13" s="6"/>
      <c r="I13" s="6"/>
      <c r="J13" s="6"/>
      <c r="K13" s="6"/>
    </row>
    <row r="14" spans="1:11" ht="63.75" customHeight="1" x14ac:dyDescent="0.25">
      <c r="A14" s="26" t="s">
        <v>585</v>
      </c>
      <c r="B14" s="2" t="s">
        <v>407</v>
      </c>
      <c r="C14" s="3" t="s">
        <v>403</v>
      </c>
      <c r="D14" s="4">
        <v>518.70000000000005</v>
      </c>
      <c r="E14" s="4">
        <v>55</v>
      </c>
      <c r="F14" s="4">
        <f t="shared" ref="F14:F15" si="1">D14*$E14</f>
        <v>28528.500000000004</v>
      </c>
      <c r="G14" s="6"/>
      <c r="H14" s="6"/>
      <c r="I14" s="6"/>
      <c r="J14" s="6"/>
      <c r="K14" s="6"/>
    </row>
    <row r="15" spans="1:11" ht="63.75" customHeight="1" x14ac:dyDescent="0.25">
      <c r="A15" s="26" t="s">
        <v>406</v>
      </c>
      <c r="B15" s="2" t="s">
        <v>409</v>
      </c>
      <c r="C15" s="3" t="s">
        <v>403</v>
      </c>
      <c r="D15" s="4">
        <v>194.5</v>
      </c>
      <c r="E15" s="4">
        <v>55</v>
      </c>
      <c r="F15" s="4">
        <f t="shared" si="1"/>
        <v>10697.5</v>
      </c>
      <c r="G15" s="6"/>
      <c r="H15" s="6"/>
      <c r="I15" s="6"/>
      <c r="J15" s="6"/>
      <c r="K15" s="6"/>
    </row>
    <row r="16" spans="1:11" ht="12.75" customHeight="1" x14ac:dyDescent="0.25">
      <c r="A16" s="26"/>
      <c r="B16" s="39" t="s">
        <v>410</v>
      </c>
      <c r="C16" s="6"/>
      <c r="D16" s="6"/>
      <c r="E16" s="6"/>
      <c r="F16" s="44">
        <f>SUM(F14:F15)</f>
        <v>39226</v>
      </c>
      <c r="G16" s="6"/>
      <c r="H16" s="6"/>
      <c r="I16" s="6"/>
      <c r="J16" s="6"/>
      <c r="K16" s="6"/>
    </row>
    <row r="17" spans="1:11" ht="12.75" customHeight="1" x14ac:dyDescent="0.25">
      <c r="A17" s="26"/>
      <c r="B17" s="2"/>
      <c r="C17" s="3"/>
      <c r="D17" s="4"/>
      <c r="E17" s="4"/>
      <c r="F17" s="4"/>
      <c r="G17" s="6"/>
      <c r="H17" s="6"/>
      <c r="I17" s="6"/>
      <c r="J17" s="6"/>
      <c r="K17" s="6"/>
    </row>
    <row r="18" spans="1:11" ht="12.75" customHeight="1" x14ac:dyDescent="0.25">
      <c r="A18" s="39" t="s">
        <v>411</v>
      </c>
      <c r="B18" s="16" t="s">
        <v>412</v>
      </c>
      <c r="C18" s="42"/>
      <c r="D18" s="44"/>
      <c r="E18" s="44"/>
      <c r="F18" s="44"/>
      <c r="G18" s="6"/>
      <c r="H18" s="6"/>
      <c r="I18" s="6"/>
      <c r="J18" s="6"/>
      <c r="K18" s="6"/>
    </row>
    <row r="19" spans="1:11" ht="153" customHeight="1" x14ac:dyDescent="0.25">
      <c r="A19" s="35" t="s">
        <v>413</v>
      </c>
      <c r="B19" s="2" t="s">
        <v>414</v>
      </c>
      <c r="C19" s="6"/>
      <c r="D19" s="4"/>
      <c r="E19" s="4"/>
      <c r="F19" s="4"/>
      <c r="G19" s="6"/>
      <c r="H19" s="6"/>
      <c r="I19" s="6"/>
      <c r="J19" s="6"/>
      <c r="K19" s="6"/>
    </row>
    <row r="20" spans="1:11" ht="12.75" customHeight="1" x14ac:dyDescent="0.25">
      <c r="A20" s="35" t="s">
        <v>415</v>
      </c>
      <c r="B20" s="2" t="s">
        <v>416</v>
      </c>
      <c r="C20" s="3" t="s">
        <v>417</v>
      </c>
      <c r="D20" s="4">
        <v>1147.5</v>
      </c>
      <c r="E20" s="4"/>
      <c r="F20" s="4">
        <f t="shared" ref="F20:F21" si="2">D20*$E20</f>
        <v>0</v>
      </c>
      <c r="G20" s="6"/>
      <c r="H20" s="6"/>
      <c r="I20" s="6"/>
      <c r="J20" s="6"/>
      <c r="K20" s="6"/>
    </row>
    <row r="21" spans="1:11" ht="12.75" customHeight="1" x14ac:dyDescent="0.25">
      <c r="A21" s="35" t="s">
        <v>418</v>
      </c>
      <c r="B21" s="2" t="s">
        <v>419</v>
      </c>
      <c r="C21" s="3" t="s">
        <v>417</v>
      </c>
      <c r="D21" s="4">
        <v>1147.5</v>
      </c>
      <c r="E21" s="4"/>
      <c r="F21" s="4">
        <f t="shared" si="2"/>
        <v>0</v>
      </c>
      <c r="G21" s="6"/>
      <c r="H21" s="6"/>
      <c r="I21" s="6"/>
      <c r="J21" s="6"/>
      <c r="K21" s="6"/>
    </row>
    <row r="22" spans="1:11" ht="38.25" customHeight="1" x14ac:dyDescent="0.25">
      <c r="A22" s="35" t="s">
        <v>420</v>
      </c>
      <c r="B22" s="2" t="s">
        <v>421</v>
      </c>
      <c r="C22" s="6"/>
      <c r="D22" s="4"/>
      <c r="E22" s="6"/>
      <c r="F22" s="4"/>
      <c r="G22" s="6"/>
      <c r="H22" s="6"/>
      <c r="I22" s="6"/>
      <c r="J22" s="6"/>
      <c r="K22" s="6"/>
    </row>
    <row r="23" spans="1:11" ht="12.75" customHeight="1" x14ac:dyDescent="0.25">
      <c r="A23" s="35" t="s">
        <v>415</v>
      </c>
      <c r="B23" s="2" t="s">
        <v>422</v>
      </c>
      <c r="C23" s="3" t="s">
        <v>417</v>
      </c>
      <c r="D23" s="4">
        <v>1147.5</v>
      </c>
      <c r="E23" s="4">
        <v>16</v>
      </c>
      <c r="F23" s="4">
        <f t="shared" ref="F23:F25" si="3">D23*$E23</f>
        <v>18360</v>
      </c>
      <c r="G23" s="6"/>
      <c r="H23" s="6"/>
      <c r="I23" s="6"/>
      <c r="J23" s="6"/>
      <c r="K23" s="6"/>
    </row>
    <row r="24" spans="1:11" ht="12.75" customHeight="1" x14ac:dyDescent="0.25">
      <c r="A24" s="35" t="s">
        <v>418</v>
      </c>
      <c r="B24" s="2" t="s">
        <v>423</v>
      </c>
      <c r="C24" s="3" t="s">
        <v>417</v>
      </c>
      <c r="D24" s="4">
        <v>1147.5</v>
      </c>
      <c r="E24" s="44">
        <v>16</v>
      </c>
      <c r="F24" s="4">
        <f t="shared" si="3"/>
        <v>18360</v>
      </c>
      <c r="G24" s="6"/>
      <c r="H24" s="6"/>
      <c r="I24" s="6"/>
      <c r="J24" s="6"/>
      <c r="K24" s="6"/>
    </row>
    <row r="25" spans="1:11" ht="89.25" customHeight="1" x14ac:dyDescent="0.25">
      <c r="A25" s="26" t="s">
        <v>424</v>
      </c>
      <c r="B25" s="2" t="s">
        <v>425</v>
      </c>
      <c r="C25" s="3" t="s">
        <v>403</v>
      </c>
      <c r="D25" s="4">
        <v>180</v>
      </c>
      <c r="E25" s="4">
        <v>58</v>
      </c>
      <c r="F25" s="4">
        <f t="shared" si="3"/>
        <v>10440</v>
      </c>
      <c r="G25" s="6"/>
      <c r="H25" s="6"/>
      <c r="I25" s="6"/>
      <c r="J25" s="6"/>
      <c r="K25" s="6"/>
    </row>
    <row r="26" spans="1:11" ht="12.75" customHeight="1" x14ac:dyDescent="0.25">
      <c r="A26" s="26"/>
      <c r="B26" s="39" t="s">
        <v>432</v>
      </c>
      <c r="C26" s="6"/>
      <c r="D26" s="6"/>
      <c r="E26" s="6"/>
      <c r="F26" s="44">
        <f>SUM(F20:F25)</f>
        <v>47160</v>
      </c>
      <c r="G26" s="6"/>
      <c r="H26" s="6"/>
      <c r="I26" s="6"/>
      <c r="J26" s="6"/>
      <c r="K26" s="6"/>
    </row>
    <row r="27" spans="1:11" ht="12.75" customHeight="1" x14ac:dyDescent="0.25">
      <c r="A27" s="26"/>
      <c r="B27" s="39"/>
      <c r="C27" s="6"/>
      <c r="D27" s="6"/>
      <c r="E27" s="6"/>
      <c r="F27" s="4"/>
      <c r="G27" s="6"/>
      <c r="H27" s="6"/>
      <c r="I27" s="6"/>
      <c r="J27" s="6"/>
      <c r="K27" s="6"/>
    </row>
    <row r="28" spans="1:11" ht="12.75" customHeight="1" x14ac:dyDescent="0.25">
      <c r="A28" s="26"/>
      <c r="B28" s="2"/>
      <c r="C28" s="3"/>
      <c r="D28" s="4"/>
      <c r="E28" s="4"/>
      <c r="F28" s="4"/>
      <c r="G28" s="6"/>
      <c r="H28" s="6"/>
      <c r="I28" s="6"/>
      <c r="J28" s="6"/>
      <c r="K28" s="6"/>
    </row>
    <row r="29" spans="1:11" ht="12.75" customHeight="1" x14ac:dyDescent="0.25">
      <c r="A29" s="43" t="s">
        <v>433</v>
      </c>
      <c r="B29" s="45" t="s">
        <v>115</v>
      </c>
      <c r="C29" s="42"/>
      <c r="D29" s="42"/>
      <c r="E29" s="42"/>
      <c r="F29" s="42"/>
      <c r="G29" s="6"/>
      <c r="H29" s="6"/>
      <c r="I29" s="6"/>
      <c r="J29" s="6"/>
      <c r="K29" s="6"/>
    </row>
    <row r="30" spans="1:11" ht="51" customHeight="1" x14ac:dyDescent="0.25">
      <c r="A30" s="43"/>
      <c r="B30" s="2" t="s">
        <v>434</v>
      </c>
      <c r="C30" s="42"/>
      <c r="D30" s="42"/>
      <c r="E30" s="42"/>
      <c r="F30" s="42"/>
      <c r="G30" s="6"/>
      <c r="H30" s="6"/>
      <c r="I30" s="6"/>
      <c r="J30" s="6"/>
      <c r="K30" s="6"/>
    </row>
    <row r="31" spans="1:11" ht="191.25" customHeight="1" x14ac:dyDescent="0.25">
      <c r="A31" s="26" t="s">
        <v>435</v>
      </c>
      <c r="B31" s="2" t="s">
        <v>550</v>
      </c>
      <c r="C31" s="3" t="s">
        <v>417</v>
      </c>
      <c r="D31" s="4">
        <v>1670</v>
      </c>
      <c r="E31" s="4">
        <v>4.5</v>
      </c>
      <c r="F31" s="4">
        <f t="shared" ref="F31:F34" si="4">D31*$E31</f>
        <v>7515</v>
      </c>
      <c r="G31" s="6"/>
      <c r="H31" s="6"/>
      <c r="I31" s="6"/>
      <c r="J31" s="6"/>
      <c r="K31" s="6"/>
    </row>
    <row r="32" spans="1:11" ht="165.75" customHeight="1" x14ac:dyDescent="0.25">
      <c r="A32" s="26" t="s">
        <v>437</v>
      </c>
      <c r="B32" s="2" t="s">
        <v>586</v>
      </c>
      <c r="C32" s="3" t="s">
        <v>403</v>
      </c>
      <c r="D32" s="4">
        <v>2402</v>
      </c>
      <c r="E32" s="4">
        <v>20</v>
      </c>
      <c r="F32" s="4">
        <f t="shared" si="4"/>
        <v>48040</v>
      </c>
      <c r="G32" s="6"/>
      <c r="H32" s="6"/>
      <c r="I32" s="6"/>
      <c r="J32" s="6"/>
      <c r="K32" s="6"/>
    </row>
    <row r="33" spans="1:11" ht="114.75" customHeight="1" x14ac:dyDescent="0.25">
      <c r="A33" s="26" t="s">
        <v>571</v>
      </c>
      <c r="B33" s="2" t="s">
        <v>587</v>
      </c>
      <c r="C33" s="3" t="s">
        <v>403</v>
      </c>
      <c r="D33" s="4">
        <v>1220</v>
      </c>
      <c r="E33" s="4">
        <v>22</v>
      </c>
      <c r="F33" s="4">
        <f t="shared" si="4"/>
        <v>26840</v>
      </c>
      <c r="G33" s="6"/>
      <c r="H33" s="6"/>
      <c r="I33" s="6"/>
      <c r="J33" s="6"/>
      <c r="K33" s="6"/>
    </row>
    <row r="34" spans="1:11" ht="89.25" customHeight="1" x14ac:dyDescent="0.25">
      <c r="A34" s="26" t="s">
        <v>439</v>
      </c>
      <c r="B34" s="2" t="s">
        <v>588</v>
      </c>
      <c r="C34" s="3" t="s">
        <v>403</v>
      </c>
      <c r="D34" s="4">
        <v>89</v>
      </c>
      <c r="E34" s="4">
        <v>48</v>
      </c>
      <c r="F34" s="4">
        <f t="shared" si="4"/>
        <v>4272</v>
      </c>
      <c r="G34" s="6"/>
      <c r="H34" s="6"/>
      <c r="I34" s="6"/>
      <c r="J34" s="6"/>
      <c r="K34" s="6"/>
    </row>
    <row r="35" spans="1:11" ht="12.75" customHeight="1" x14ac:dyDescent="0.25">
      <c r="A35" s="26"/>
      <c r="B35" s="39" t="s">
        <v>441</v>
      </c>
      <c r="C35" s="6"/>
      <c r="D35" s="6"/>
      <c r="E35" s="6"/>
      <c r="F35" s="44">
        <f>SUM(F31:F34)</f>
        <v>86667</v>
      </c>
      <c r="G35" s="6"/>
      <c r="H35" s="6"/>
      <c r="I35" s="6"/>
      <c r="J35" s="6"/>
      <c r="K35" s="6"/>
    </row>
    <row r="36" spans="1:11" ht="12.75" customHeight="1" x14ac:dyDescent="0.25">
      <c r="A36" s="26"/>
      <c r="B36" s="2"/>
      <c r="C36" s="3"/>
      <c r="D36" s="4"/>
      <c r="E36" s="4"/>
      <c r="F36" s="4"/>
      <c r="G36" s="6"/>
      <c r="H36" s="6"/>
      <c r="I36" s="6"/>
      <c r="J36" s="6"/>
      <c r="K36" s="6"/>
    </row>
    <row r="37" spans="1:11" ht="12.75" customHeight="1" x14ac:dyDescent="0.25">
      <c r="A37" s="43" t="s">
        <v>442</v>
      </c>
      <c r="B37" s="45" t="s">
        <v>285</v>
      </c>
      <c r="C37" s="42"/>
      <c r="D37" s="42"/>
      <c r="E37" s="42"/>
      <c r="F37" s="42"/>
      <c r="G37" s="6"/>
      <c r="H37" s="6"/>
      <c r="I37" s="6"/>
      <c r="J37" s="6"/>
      <c r="K37" s="6"/>
    </row>
    <row r="38" spans="1:11" ht="12.75" customHeight="1" x14ac:dyDescent="0.25">
      <c r="A38" s="43"/>
      <c r="B38" s="46" t="s">
        <v>443</v>
      </c>
      <c r="C38" s="42"/>
      <c r="D38" s="42"/>
      <c r="E38" s="42"/>
      <c r="F38" s="42"/>
      <c r="G38" s="6"/>
      <c r="H38" s="6"/>
      <c r="I38" s="6"/>
      <c r="J38" s="6"/>
      <c r="K38" s="6"/>
    </row>
    <row r="39" spans="1:11" ht="306" customHeight="1" x14ac:dyDescent="0.25">
      <c r="A39" s="26" t="s">
        <v>444</v>
      </c>
      <c r="B39" s="2" t="s">
        <v>445</v>
      </c>
      <c r="C39" s="3"/>
      <c r="D39" s="4"/>
      <c r="E39" s="4"/>
      <c r="F39" s="4"/>
      <c r="G39" s="6"/>
      <c r="H39" s="6"/>
      <c r="I39" s="6"/>
      <c r="J39" s="6"/>
      <c r="K39" s="6"/>
    </row>
    <row r="40" spans="1:11" ht="229.5" customHeight="1" x14ac:dyDescent="0.25">
      <c r="A40" s="26"/>
      <c r="B40" s="2" t="s">
        <v>446</v>
      </c>
      <c r="C40" s="3"/>
      <c r="D40" s="4"/>
      <c r="E40" s="4"/>
      <c r="F40" s="4"/>
      <c r="G40" s="6"/>
      <c r="H40" s="6"/>
      <c r="I40" s="6"/>
      <c r="J40" s="6"/>
      <c r="K40" s="6"/>
    </row>
    <row r="41" spans="1:11" ht="127.5" customHeight="1" x14ac:dyDescent="0.25">
      <c r="A41" s="26"/>
      <c r="B41" s="2" t="s">
        <v>447</v>
      </c>
      <c r="C41" s="3"/>
      <c r="D41" s="4"/>
      <c r="E41" s="4"/>
      <c r="F41" s="4"/>
      <c r="G41" s="6"/>
      <c r="H41" s="6"/>
      <c r="I41" s="6"/>
      <c r="J41" s="6"/>
      <c r="K41" s="6"/>
    </row>
    <row r="42" spans="1:11" ht="267.75" customHeight="1" x14ac:dyDescent="0.25">
      <c r="A42" s="26"/>
      <c r="B42" s="2" t="s">
        <v>448</v>
      </c>
      <c r="C42" s="3"/>
      <c r="D42" s="4"/>
      <c r="E42" s="4"/>
      <c r="F42" s="4"/>
      <c r="G42" s="6"/>
      <c r="H42" s="6"/>
      <c r="I42" s="6"/>
      <c r="J42" s="6"/>
      <c r="K42" s="6"/>
    </row>
    <row r="43" spans="1:11" ht="114.75" customHeight="1" x14ac:dyDescent="0.25">
      <c r="A43" s="26"/>
      <c r="B43" s="2" t="s">
        <v>449</v>
      </c>
      <c r="C43" s="3"/>
      <c r="D43" s="4"/>
      <c r="E43" s="4"/>
      <c r="F43" s="4"/>
      <c r="G43" s="6"/>
      <c r="H43" s="6"/>
      <c r="I43" s="6"/>
      <c r="J43" s="6"/>
      <c r="K43" s="6"/>
    </row>
    <row r="44" spans="1:11" ht="153" customHeight="1" x14ac:dyDescent="0.25">
      <c r="A44" s="26"/>
      <c r="B44" s="2" t="s">
        <v>450</v>
      </c>
      <c r="C44" s="3"/>
      <c r="D44" s="4"/>
      <c r="E44" s="4"/>
      <c r="F44" s="4"/>
      <c r="G44" s="6"/>
      <c r="H44" s="6"/>
      <c r="I44" s="6"/>
      <c r="J44" s="6"/>
      <c r="K44" s="6"/>
    </row>
    <row r="45" spans="1:11" ht="280.5" customHeight="1" x14ac:dyDescent="0.25">
      <c r="A45" s="26"/>
      <c r="B45" s="2" t="s">
        <v>451</v>
      </c>
      <c r="C45" s="3"/>
      <c r="D45" s="4"/>
      <c r="E45" s="4"/>
      <c r="F45" s="4"/>
      <c r="G45" s="6"/>
      <c r="H45" s="6"/>
      <c r="I45" s="6"/>
      <c r="J45" s="6"/>
      <c r="K45" s="6"/>
    </row>
    <row r="46" spans="1:11" ht="191.25" customHeight="1" x14ac:dyDescent="0.25">
      <c r="A46" s="26"/>
      <c r="B46" s="2" t="s">
        <v>452</v>
      </c>
      <c r="C46" s="3"/>
      <c r="D46" s="4"/>
      <c r="E46" s="4"/>
      <c r="F46" s="4"/>
      <c r="G46" s="6"/>
      <c r="H46" s="6"/>
      <c r="I46" s="6"/>
      <c r="J46" s="6"/>
      <c r="K46" s="6"/>
    </row>
    <row r="47" spans="1:11" ht="127.5" customHeight="1" x14ac:dyDescent="0.25">
      <c r="A47" s="26"/>
      <c r="B47" s="2" t="s">
        <v>453</v>
      </c>
      <c r="C47" s="3" t="s">
        <v>403</v>
      </c>
      <c r="D47" s="4">
        <v>95</v>
      </c>
      <c r="E47" s="4">
        <v>130</v>
      </c>
      <c r="F47" s="4">
        <f>D47*$E47</f>
        <v>12350</v>
      </c>
      <c r="G47" s="6"/>
      <c r="H47" s="6"/>
      <c r="I47" s="6"/>
      <c r="J47" s="6"/>
      <c r="K47" s="6"/>
    </row>
    <row r="48" spans="1:11" ht="369.75" customHeight="1" x14ac:dyDescent="0.25">
      <c r="A48" s="26" t="s">
        <v>454</v>
      </c>
      <c r="B48" s="2" t="s">
        <v>576</v>
      </c>
      <c r="C48" s="3"/>
      <c r="D48" s="4"/>
      <c r="E48" s="4"/>
      <c r="F48" s="4"/>
      <c r="G48" s="6"/>
      <c r="H48" s="6"/>
      <c r="I48" s="6"/>
      <c r="J48" s="6"/>
      <c r="K48" s="6"/>
    </row>
    <row r="49" spans="1:11" ht="204" customHeight="1" x14ac:dyDescent="0.25">
      <c r="A49" s="26"/>
      <c r="B49" s="2" t="s">
        <v>456</v>
      </c>
      <c r="C49" s="3"/>
      <c r="D49" s="4"/>
      <c r="E49" s="4"/>
      <c r="F49" s="4"/>
      <c r="G49" s="6"/>
      <c r="H49" s="6"/>
      <c r="I49" s="6"/>
      <c r="J49" s="6"/>
      <c r="K49" s="6"/>
    </row>
    <row r="50" spans="1:11" ht="165.75" customHeight="1" x14ac:dyDescent="0.25">
      <c r="A50" s="26"/>
      <c r="B50" s="2" t="s">
        <v>457</v>
      </c>
      <c r="C50" s="3"/>
      <c r="D50" s="4"/>
      <c r="E50" s="4"/>
      <c r="F50" s="4"/>
      <c r="G50" s="6"/>
      <c r="H50" s="6"/>
      <c r="I50" s="6"/>
      <c r="J50" s="6"/>
      <c r="K50" s="6"/>
    </row>
    <row r="51" spans="1:11" ht="89.25" customHeight="1" x14ac:dyDescent="0.25">
      <c r="A51" s="26"/>
      <c r="B51" s="2" t="s">
        <v>458</v>
      </c>
      <c r="C51" s="3"/>
      <c r="D51" s="4"/>
      <c r="E51" s="4"/>
      <c r="F51" s="4"/>
      <c r="G51" s="6"/>
      <c r="H51" s="6"/>
      <c r="I51" s="6"/>
      <c r="J51" s="6"/>
      <c r="K51" s="6"/>
    </row>
    <row r="52" spans="1:11" ht="318.75" customHeight="1" x14ac:dyDescent="0.25">
      <c r="A52" s="26"/>
      <c r="B52" s="2" t="s">
        <v>459</v>
      </c>
      <c r="C52" s="3"/>
      <c r="D52" s="4"/>
      <c r="E52" s="4"/>
      <c r="F52" s="4"/>
      <c r="G52" s="6"/>
      <c r="H52" s="6"/>
      <c r="I52" s="6"/>
      <c r="J52" s="6"/>
      <c r="K52" s="6"/>
    </row>
    <row r="53" spans="1:11" ht="114.75" customHeight="1" x14ac:dyDescent="0.25">
      <c r="A53" s="26"/>
      <c r="B53" s="2" t="s">
        <v>449</v>
      </c>
      <c r="C53" s="3"/>
      <c r="D53" s="4"/>
      <c r="E53" s="4"/>
      <c r="F53" s="4"/>
      <c r="G53" s="6"/>
      <c r="H53" s="6"/>
      <c r="I53" s="6"/>
      <c r="J53" s="6"/>
      <c r="K53" s="6"/>
    </row>
    <row r="54" spans="1:11" ht="216.75" customHeight="1" x14ac:dyDescent="0.25">
      <c r="A54" s="26"/>
      <c r="B54" s="2" t="s">
        <v>460</v>
      </c>
      <c r="C54" s="3"/>
      <c r="D54" s="4"/>
      <c r="E54" s="4"/>
      <c r="F54" s="4"/>
      <c r="G54" s="6"/>
      <c r="H54" s="6"/>
      <c r="I54" s="6"/>
      <c r="J54" s="6"/>
      <c r="K54" s="6"/>
    </row>
    <row r="55" spans="1:11" ht="178.5" customHeight="1" x14ac:dyDescent="0.25">
      <c r="A55" s="26"/>
      <c r="B55" s="2" t="s">
        <v>461</v>
      </c>
      <c r="C55" s="3"/>
      <c r="D55" s="4"/>
      <c r="E55" s="4"/>
      <c r="F55" s="4"/>
      <c r="G55" s="6"/>
      <c r="H55" s="6"/>
      <c r="I55" s="6"/>
      <c r="J55" s="6"/>
      <c r="K55" s="6"/>
    </row>
    <row r="56" spans="1:11" ht="114.75" customHeight="1" x14ac:dyDescent="0.25">
      <c r="A56" s="26"/>
      <c r="B56" s="2" t="s">
        <v>462</v>
      </c>
      <c r="C56" s="3"/>
      <c r="D56" s="4"/>
      <c r="E56" s="4"/>
      <c r="F56" s="4"/>
      <c r="G56" s="6"/>
      <c r="H56" s="6"/>
      <c r="I56" s="6"/>
      <c r="J56" s="6"/>
      <c r="K56" s="6"/>
    </row>
    <row r="57" spans="1:11" ht="25.5" customHeight="1" x14ac:dyDescent="0.25">
      <c r="A57" s="26" t="s">
        <v>415</v>
      </c>
      <c r="B57" s="2" t="s">
        <v>463</v>
      </c>
      <c r="C57" s="3" t="s">
        <v>403</v>
      </c>
      <c r="D57" s="4">
        <v>1320</v>
      </c>
      <c r="E57" s="4">
        <v>134</v>
      </c>
      <c r="F57" s="4">
        <f t="shared" ref="F57:F60" si="5">D57*$E57</f>
        <v>176880</v>
      </c>
      <c r="G57" s="6"/>
      <c r="H57" s="6"/>
      <c r="I57" s="6"/>
      <c r="J57" s="6"/>
      <c r="K57" s="6"/>
    </row>
    <row r="58" spans="1:11" ht="25.5" customHeight="1" x14ac:dyDescent="0.25">
      <c r="A58" s="26" t="s">
        <v>418</v>
      </c>
      <c r="B58" s="2" t="s">
        <v>464</v>
      </c>
      <c r="C58" s="3" t="s">
        <v>403</v>
      </c>
      <c r="D58" s="4">
        <v>140</v>
      </c>
      <c r="E58" s="4">
        <v>130</v>
      </c>
      <c r="F58" s="4">
        <f t="shared" si="5"/>
        <v>18200</v>
      </c>
      <c r="G58" s="6"/>
      <c r="H58" s="6"/>
      <c r="I58" s="6"/>
      <c r="J58" s="6"/>
      <c r="K58" s="6"/>
    </row>
    <row r="59" spans="1:11" ht="25.5" customHeight="1" x14ac:dyDescent="0.25">
      <c r="A59" s="26" t="s">
        <v>465</v>
      </c>
      <c r="B59" s="2" t="s">
        <v>468</v>
      </c>
      <c r="C59" s="3" t="s">
        <v>403</v>
      </c>
      <c r="D59" s="4">
        <v>135</v>
      </c>
      <c r="E59" s="4">
        <v>125</v>
      </c>
      <c r="F59" s="4">
        <f t="shared" si="5"/>
        <v>16875</v>
      </c>
      <c r="G59" s="6"/>
      <c r="H59" s="6"/>
      <c r="I59" s="6"/>
      <c r="J59" s="6"/>
      <c r="K59" s="6"/>
    </row>
    <row r="60" spans="1:11" ht="12.75" customHeight="1" x14ac:dyDescent="0.25">
      <c r="A60" s="26" t="s">
        <v>467</v>
      </c>
      <c r="B60" s="2" t="s">
        <v>470</v>
      </c>
      <c r="C60" s="3" t="s">
        <v>417</v>
      </c>
      <c r="D60" s="4">
        <v>820</v>
      </c>
      <c r="E60" s="4">
        <v>80</v>
      </c>
      <c r="F60" s="4">
        <f t="shared" si="5"/>
        <v>65600</v>
      </c>
      <c r="G60" s="6"/>
      <c r="H60" s="6"/>
      <c r="I60" s="6"/>
      <c r="J60" s="6"/>
      <c r="K60" s="6"/>
    </row>
    <row r="61" spans="1:11" ht="12.75" customHeight="1" x14ac:dyDescent="0.25">
      <c r="A61" s="26"/>
      <c r="B61" s="2" t="s">
        <v>471</v>
      </c>
      <c r="C61" s="3"/>
      <c r="D61" s="4"/>
      <c r="E61" s="4"/>
      <c r="F61" s="4"/>
      <c r="G61" s="6"/>
      <c r="H61" s="6"/>
      <c r="I61" s="6"/>
      <c r="J61" s="6"/>
      <c r="K61" s="6"/>
    </row>
    <row r="62" spans="1:11" ht="267.75" customHeight="1" x14ac:dyDescent="0.25">
      <c r="A62" s="26" t="s">
        <v>472</v>
      </c>
      <c r="B62" s="2" t="s">
        <v>473</v>
      </c>
      <c r="C62" s="3"/>
      <c r="D62" s="4"/>
      <c r="E62" s="4"/>
      <c r="F62" s="4"/>
      <c r="G62" s="6"/>
      <c r="H62" s="6"/>
      <c r="I62" s="6"/>
      <c r="J62" s="6"/>
      <c r="K62" s="6"/>
    </row>
    <row r="63" spans="1:11" ht="293.25" customHeight="1" x14ac:dyDescent="0.25">
      <c r="A63" s="26"/>
      <c r="B63" s="2" t="s">
        <v>474</v>
      </c>
      <c r="C63" s="3"/>
      <c r="D63" s="4"/>
      <c r="E63" s="4"/>
      <c r="F63" s="4"/>
      <c r="G63" s="6"/>
      <c r="H63" s="6"/>
      <c r="I63" s="6"/>
      <c r="J63" s="6"/>
      <c r="K63" s="6"/>
    </row>
    <row r="64" spans="1:11" ht="255" customHeight="1" x14ac:dyDescent="0.25">
      <c r="A64" s="26"/>
      <c r="B64" s="2" t="s">
        <v>475</v>
      </c>
      <c r="C64" s="3"/>
      <c r="D64" s="4"/>
      <c r="E64" s="4"/>
      <c r="F64" s="4"/>
      <c r="G64" s="6"/>
      <c r="H64" s="6"/>
      <c r="I64" s="6"/>
      <c r="J64" s="6"/>
      <c r="K64" s="6"/>
    </row>
    <row r="65" spans="1:11" ht="89.25" customHeight="1" x14ac:dyDescent="0.25">
      <c r="A65" s="26"/>
      <c r="B65" s="2" t="s">
        <v>476</v>
      </c>
      <c r="C65" s="3"/>
      <c r="D65" s="4"/>
      <c r="E65" s="4"/>
      <c r="F65" s="4"/>
      <c r="G65" s="6"/>
      <c r="H65" s="6"/>
      <c r="I65" s="6"/>
      <c r="J65" s="6"/>
      <c r="K65" s="6"/>
    </row>
    <row r="66" spans="1:11" ht="216.75" customHeight="1" x14ac:dyDescent="0.25">
      <c r="A66" s="26"/>
      <c r="B66" s="2" t="s">
        <v>477</v>
      </c>
      <c r="C66" s="3"/>
      <c r="D66" s="4"/>
      <c r="E66" s="4"/>
      <c r="F66" s="4"/>
      <c r="G66" s="6"/>
      <c r="H66" s="6"/>
      <c r="I66" s="6"/>
      <c r="J66" s="6"/>
      <c r="K66" s="6"/>
    </row>
    <row r="67" spans="1:11" ht="293.25" customHeight="1" x14ac:dyDescent="0.25">
      <c r="A67" s="26"/>
      <c r="B67" s="2" t="s">
        <v>478</v>
      </c>
      <c r="C67" s="3"/>
      <c r="D67" s="4"/>
      <c r="E67" s="4"/>
      <c r="F67" s="4"/>
      <c r="G67" s="6"/>
      <c r="H67" s="6"/>
      <c r="I67" s="6"/>
      <c r="J67" s="6"/>
      <c r="K67" s="6"/>
    </row>
    <row r="68" spans="1:11" ht="242.25" customHeight="1" x14ac:dyDescent="0.25">
      <c r="A68" s="26"/>
      <c r="B68" s="2" t="s">
        <v>479</v>
      </c>
      <c r="C68" s="3"/>
      <c r="D68" s="4"/>
      <c r="E68" s="4"/>
      <c r="F68" s="4"/>
      <c r="G68" s="6"/>
      <c r="H68" s="6"/>
      <c r="I68" s="6"/>
      <c r="J68" s="6"/>
      <c r="K68" s="6"/>
    </row>
    <row r="69" spans="1:11" ht="127.5" customHeight="1" x14ac:dyDescent="0.25">
      <c r="A69" s="26"/>
      <c r="B69" s="2" t="s">
        <v>480</v>
      </c>
      <c r="C69" s="3" t="s">
        <v>403</v>
      </c>
      <c r="D69" s="4">
        <v>45</v>
      </c>
      <c r="E69" s="4">
        <v>74</v>
      </c>
      <c r="F69" s="4">
        <f>D69*$E69</f>
        <v>3330</v>
      </c>
      <c r="G69" s="6"/>
      <c r="H69" s="6"/>
      <c r="I69" s="6"/>
      <c r="J69" s="6"/>
      <c r="K69" s="6"/>
    </row>
    <row r="70" spans="1:11" ht="293.25" customHeight="1" x14ac:dyDescent="0.25">
      <c r="A70" s="26" t="s">
        <v>481</v>
      </c>
      <c r="B70" s="2" t="s">
        <v>579</v>
      </c>
      <c r="C70" s="3"/>
      <c r="D70" s="4"/>
      <c r="E70" s="4"/>
      <c r="F70" s="4"/>
      <c r="G70" s="6"/>
      <c r="H70" s="6"/>
      <c r="I70" s="6"/>
      <c r="J70" s="6"/>
      <c r="K70" s="6"/>
    </row>
    <row r="71" spans="1:11" ht="357" customHeight="1" x14ac:dyDescent="0.25">
      <c r="A71" s="26"/>
      <c r="B71" s="2" t="s">
        <v>483</v>
      </c>
      <c r="C71" s="3"/>
      <c r="D71" s="4"/>
      <c r="E71" s="4"/>
      <c r="F71" s="4"/>
      <c r="G71" s="6"/>
      <c r="H71" s="6"/>
      <c r="I71" s="6"/>
      <c r="J71" s="6"/>
      <c r="K71" s="6"/>
    </row>
    <row r="72" spans="1:11" ht="89.25" customHeight="1" x14ac:dyDescent="0.25">
      <c r="A72" s="26"/>
      <c r="B72" s="2" t="s">
        <v>458</v>
      </c>
      <c r="C72" s="3"/>
      <c r="D72" s="4"/>
      <c r="E72" s="4"/>
      <c r="F72" s="4"/>
      <c r="G72" s="6"/>
      <c r="H72" s="6"/>
      <c r="I72" s="6"/>
      <c r="J72" s="6"/>
      <c r="K72" s="6"/>
    </row>
    <row r="73" spans="1:11" ht="255" customHeight="1" x14ac:dyDescent="0.25">
      <c r="A73" s="26"/>
      <c r="B73" s="2" t="s">
        <v>484</v>
      </c>
      <c r="C73" s="3"/>
      <c r="D73" s="4"/>
      <c r="E73" s="4"/>
      <c r="F73" s="4"/>
      <c r="G73" s="6"/>
      <c r="H73" s="6"/>
      <c r="I73" s="6"/>
      <c r="J73" s="6"/>
      <c r="K73" s="6"/>
    </row>
    <row r="74" spans="1:11" ht="102" customHeight="1" x14ac:dyDescent="0.25">
      <c r="A74" s="26"/>
      <c r="B74" s="2" t="s">
        <v>485</v>
      </c>
      <c r="C74" s="3"/>
      <c r="D74" s="4"/>
      <c r="E74" s="4"/>
      <c r="F74" s="4"/>
      <c r="G74" s="6"/>
      <c r="H74" s="6"/>
      <c r="I74" s="6"/>
      <c r="J74" s="6"/>
      <c r="K74" s="6"/>
    </row>
    <row r="75" spans="1:11" ht="216.75" customHeight="1" x14ac:dyDescent="0.25">
      <c r="A75" s="26"/>
      <c r="B75" s="2" t="s">
        <v>486</v>
      </c>
      <c r="C75" s="3"/>
      <c r="D75" s="4"/>
      <c r="E75" s="4"/>
      <c r="F75" s="4"/>
      <c r="G75" s="6"/>
      <c r="H75" s="6"/>
      <c r="I75" s="6"/>
      <c r="J75" s="6"/>
      <c r="K75" s="6"/>
    </row>
    <row r="76" spans="1:11" ht="242.25" customHeight="1" x14ac:dyDescent="0.25">
      <c r="A76" s="26"/>
      <c r="B76" s="2" t="s">
        <v>487</v>
      </c>
      <c r="C76" s="3"/>
      <c r="D76" s="4"/>
      <c r="E76" s="4"/>
      <c r="F76" s="4"/>
      <c r="G76" s="6"/>
      <c r="H76" s="6"/>
      <c r="I76" s="6"/>
      <c r="J76" s="6"/>
      <c r="K76" s="6"/>
    </row>
    <row r="77" spans="1:11" ht="102" customHeight="1" x14ac:dyDescent="0.25">
      <c r="A77" s="26"/>
      <c r="B77" s="2" t="s">
        <v>488</v>
      </c>
      <c r="C77" s="3"/>
      <c r="D77" s="4"/>
      <c r="E77" s="4"/>
      <c r="F77" s="4"/>
      <c r="G77" s="6"/>
      <c r="H77" s="6"/>
      <c r="I77" s="6"/>
      <c r="J77" s="6"/>
      <c r="K77" s="6"/>
    </row>
    <row r="78" spans="1:11" ht="25.5" customHeight="1" x14ac:dyDescent="0.25">
      <c r="A78" s="26" t="s">
        <v>415</v>
      </c>
      <c r="B78" s="2" t="s">
        <v>463</v>
      </c>
      <c r="C78" s="3" t="s">
        <v>403</v>
      </c>
      <c r="D78" s="4">
        <v>450</v>
      </c>
      <c r="E78" s="4">
        <v>78</v>
      </c>
      <c r="F78" s="4">
        <f t="shared" ref="F78:F81" si="6">D78*$E78</f>
        <v>35100</v>
      </c>
      <c r="G78" s="6"/>
      <c r="H78" s="6"/>
      <c r="I78" s="6"/>
      <c r="J78" s="6"/>
      <c r="K78" s="6"/>
    </row>
    <row r="79" spans="1:11" ht="25.5" customHeight="1" x14ac:dyDescent="0.25">
      <c r="A79" s="26" t="s">
        <v>418</v>
      </c>
      <c r="B79" s="2" t="s">
        <v>464</v>
      </c>
      <c r="C79" s="3" t="s">
        <v>403</v>
      </c>
      <c r="D79" s="4">
        <v>1350</v>
      </c>
      <c r="E79" s="4">
        <v>74</v>
      </c>
      <c r="F79" s="4">
        <f t="shared" si="6"/>
        <v>99900</v>
      </c>
      <c r="G79" s="6"/>
      <c r="H79" s="6"/>
      <c r="I79" s="6"/>
      <c r="J79" s="6"/>
      <c r="K79" s="6"/>
    </row>
    <row r="80" spans="1:11" ht="25.5" customHeight="1" x14ac:dyDescent="0.25">
      <c r="A80" s="26" t="s">
        <v>465</v>
      </c>
      <c r="B80" s="2" t="s">
        <v>468</v>
      </c>
      <c r="C80" s="3" t="s">
        <v>403</v>
      </c>
      <c r="D80" s="4">
        <v>155</v>
      </c>
      <c r="E80" s="4">
        <v>69</v>
      </c>
      <c r="F80" s="4">
        <f t="shared" si="6"/>
        <v>10695</v>
      </c>
      <c r="G80" s="6"/>
      <c r="H80" s="6"/>
      <c r="I80" s="6"/>
      <c r="J80" s="6"/>
      <c r="K80" s="6"/>
    </row>
    <row r="81" spans="1:11" ht="12.75" customHeight="1" x14ac:dyDescent="0.25">
      <c r="A81" s="26" t="s">
        <v>467</v>
      </c>
      <c r="B81" s="2" t="s">
        <v>470</v>
      </c>
      <c r="C81" s="3" t="s">
        <v>417</v>
      </c>
      <c r="D81" s="4">
        <v>850</v>
      </c>
      <c r="E81" s="4">
        <v>47</v>
      </c>
      <c r="F81" s="4">
        <f t="shared" si="6"/>
        <v>39950</v>
      </c>
      <c r="G81" s="6"/>
      <c r="H81" s="6"/>
      <c r="I81" s="6"/>
      <c r="J81" s="6"/>
      <c r="K81" s="6"/>
    </row>
    <row r="82" spans="1:11" ht="12.75" customHeight="1" x14ac:dyDescent="0.25">
      <c r="A82" s="26"/>
      <c r="B82" s="39" t="s">
        <v>489</v>
      </c>
      <c r="C82" s="6"/>
      <c r="D82" s="6"/>
      <c r="E82" s="6"/>
      <c r="F82" s="44">
        <f>SUM(F47:F81)</f>
        <v>478880</v>
      </c>
      <c r="G82" s="6"/>
      <c r="H82" s="6"/>
      <c r="I82" s="6"/>
      <c r="J82" s="6"/>
      <c r="K82" s="6"/>
    </row>
    <row r="83" spans="1:11" ht="12.75" customHeight="1" x14ac:dyDescent="0.25">
      <c r="A83" s="26"/>
      <c r="B83" s="2"/>
      <c r="C83" s="3"/>
      <c r="D83" s="4"/>
      <c r="E83" s="4"/>
      <c r="F83" s="4"/>
      <c r="G83" s="6"/>
      <c r="H83" s="6"/>
      <c r="I83" s="6"/>
      <c r="J83" s="6"/>
      <c r="K83" s="6"/>
    </row>
    <row r="84" spans="1:11" ht="12.75" customHeight="1" x14ac:dyDescent="0.25">
      <c r="A84" s="26"/>
      <c r="B84" s="2"/>
      <c r="C84" s="3"/>
      <c r="D84" s="4"/>
      <c r="E84" s="4"/>
      <c r="F84" s="4"/>
      <c r="G84" s="6"/>
      <c r="H84" s="6"/>
      <c r="I84" s="6"/>
      <c r="J84" s="6"/>
      <c r="K84" s="6"/>
    </row>
    <row r="85" spans="1:11" ht="12.75" customHeight="1" x14ac:dyDescent="0.25">
      <c r="A85" s="26"/>
      <c r="B85" s="2"/>
      <c r="C85" s="3"/>
      <c r="D85" s="4"/>
      <c r="E85" s="4"/>
      <c r="F85" s="4"/>
      <c r="G85" s="6"/>
      <c r="H85" s="6"/>
      <c r="I85" s="6"/>
      <c r="J85" s="6"/>
      <c r="K85" s="6"/>
    </row>
    <row r="86" spans="1:11" ht="12.75" customHeight="1" x14ac:dyDescent="0.25">
      <c r="A86" s="26"/>
      <c r="B86" s="2"/>
      <c r="C86" s="3"/>
      <c r="D86" s="4"/>
      <c r="E86" s="4"/>
      <c r="F86" s="4"/>
      <c r="G86" s="6"/>
      <c r="H86" s="6"/>
      <c r="I86" s="6"/>
      <c r="J86" s="6"/>
      <c r="K86" s="6"/>
    </row>
    <row r="87" spans="1:11" ht="12.75" customHeight="1" x14ac:dyDescent="0.25">
      <c r="A87" s="26"/>
      <c r="B87" s="2"/>
      <c r="C87" s="3"/>
      <c r="D87" s="4"/>
      <c r="E87" s="4"/>
      <c r="F87" s="4"/>
      <c r="G87" s="6"/>
      <c r="H87" s="6"/>
      <c r="I87" s="6"/>
      <c r="J87" s="6"/>
      <c r="K87" s="6"/>
    </row>
    <row r="88" spans="1:11" ht="12.75" customHeight="1" x14ac:dyDescent="0.25">
      <c r="A88" s="26"/>
      <c r="B88" s="2"/>
      <c r="C88" s="3"/>
      <c r="D88" s="4"/>
      <c r="E88" s="4"/>
      <c r="F88" s="4"/>
      <c r="G88" s="6"/>
      <c r="H88" s="6"/>
      <c r="I88" s="6"/>
      <c r="J88" s="6"/>
      <c r="K88" s="6"/>
    </row>
    <row r="89" spans="1:11" ht="12.75" customHeight="1" x14ac:dyDescent="0.25">
      <c r="A89" s="26"/>
      <c r="B89" s="2"/>
      <c r="C89" s="3"/>
      <c r="D89" s="4"/>
      <c r="E89" s="4"/>
      <c r="F89" s="4"/>
      <c r="G89" s="6"/>
      <c r="H89" s="6"/>
      <c r="I89" s="6"/>
      <c r="J89" s="6"/>
      <c r="K89" s="6"/>
    </row>
    <row r="90" spans="1:11" ht="12.75" customHeight="1" x14ac:dyDescent="0.25">
      <c r="A90" s="26"/>
      <c r="B90" s="2"/>
      <c r="C90" s="3"/>
      <c r="D90" s="4"/>
      <c r="E90" s="4"/>
      <c r="F90" s="4"/>
      <c r="G90" s="6"/>
      <c r="H90" s="6"/>
      <c r="I90" s="6"/>
      <c r="J90" s="6"/>
      <c r="K90" s="6"/>
    </row>
    <row r="91" spans="1:11" ht="12.75" customHeight="1" x14ac:dyDescent="0.25">
      <c r="A91" s="26"/>
      <c r="B91" s="2"/>
      <c r="C91" s="3"/>
      <c r="D91" s="4"/>
      <c r="E91" s="4"/>
      <c r="F91" s="4"/>
      <c r="G91" s="6"/>
      <c r="H91" s="6"/>
      <c r="I91" s="6"/>
      <c r="J91" s="6"/>
      <c r="K91" s="6"/>
    </row>
    <row r="92" spans="1:11" ht="12.75" customHeight="1" x14ac:dyDescent="0.25">
      <c r="A92" s="26"/>
      <c r="B92" s="2"/>
      <c r="C92" s="3"/>
      <c r="D92" s="4"/>
      <c r="E92" s="4"/>
      <c r="F92" s="4"/>
      <c r="G92" s="6"/>
      <c r="H92" s="6"/>
      <c r="I92" s="6"/>
      <c r="J92" s="6"/>
      <c r="K92" s="6"/>
    </row>
    <row r="93" spans="1:11" ht="12.75" customHeight="1" x14ac:dyDescent="0.25">
      <c r="A93" s="26"/>
      <c r="B93" s="2"/>
      <c r="C93" s="3"/>
      <c r="D93" s="4"/>
      <c r="E93" s="4"/>
      <c r="F93" s="4"/>
      <c r="G93" s="6"/>
      <c r="H93" s="6"/>
      <c r="I93" s="6"/>
      <c r="J93" s="6"/>
      <c r="K93" s="6"/>
    </row>
    <row r="94" spans="1:11" ht="12.75" customHeight="1" x14ac:dyDescent="0.25">
      <c r="A94" s="26"/>
      <c r="B94" s="2"/>
      <c r="C94" s="3"/>
      <c r="D94" s="4"/>
      <c r="E94" s="4"/>
      <c r="F94" s="4"/>
      <c r="G94" s="6"/>
      <c r="H94" s="6"/>
      <c r="I94" s="6"/>
      <c r="J94" s="6"/>
      <c r="K94" s="6"/>
    </row>
    <row r="95" spans="1:11" ht="12.75" customHeight="1" x14ac:dyDescent="0.25">
      <c r="A95" s="26"/>
      <c r="B95" s="2"/>
      <c r="C95" s="3"/>
      <c r="D95" s="4"/>
      <c r="E95" s="4"/>
      <c r="F95" s="4"/>
      <c r="G95" s="6"/>
      <c r="H95" s="6"/>
      <c r="I95" s="6"/>
      <c r="J95" s="6"/>
      <c r="K95" s="6"/>
    </row>
    <row r="96" spans="1:11" ht="12.75" customHeight="1" x14ac:dyDescent="0.25">
      <c r="A96" s="26"/>
      <c r="B96" s="2"/>
      <c r="C96" s="3"/>
      <c r="D96" s="4"/>
      <c r="E96" s="4"/>
      <c r="F96" s="4"/>
      <c r="G96" s="6"/>
      <c r="H96" s="6"/>
      <c r="I96" s="6"/>
      <c r="J96" s="6"/>
      <c r="K96" s="6"/>
    </row>
    <row r="97" spans="1:11" ht="12.75" customHeight="1" x14ac:dyDescent="0.25">
      <c r="A97" s="26"/>
      <c r="B97" s="2"/>
      <c r="C97" s="3"/>
      <c r="D97" s="4"/>
      <c r="E97" s="4"/>
      <c r="F97" s="4"/>
      <c r="G97" s="6"/>
      <c r="H97" s="6"/>
      <c r="I97" s="6"/>
      <c r="J97" s="6"/>
      <c r="K97" s="6"/>
    </row>
    <row r="98" spans="1:11" ht="12.75" customHeight="1" x14ac:dyDescent="0.25">
      <c r="A98" s="26"/>
      <c r="B98" s="2"/>
      <c r="C98" s="3"/>
      <c r="D98" s="4"/>
      <c r="E98" s="4"/>
      <c r="F98" s="4"/>
      <c r="G98" s="6"/>
      <c r="H98" s="6"/>
      <c r="I98" s="6"/>
      <c r="J98" s="6"/>
      <c r="K98" s="6"/>
    </row>
    <row r="99" spans="1:11" ht="12.75" customHeight="1" x14ac:dyDescent="0.25">
      <c r="A99" s="26"/>
      <c r="B99" s="2"/>
      <c r="C99" s="3"/>
      <c r="D99" s="4"/>
      <c r="E99" s="4"/>
      <c r="F99" s="4"/>
      <c r="G99" s="6"/>
      <c r="H99" s="6"/>
      <c r="I99" s="6"/>
      <c r="J99" s="6"/>
      <c r="K99" s="6"/>
    </row>
    <row r="100" spans="1:11" ht="12.75" customHeight="1" x14ac:dyDescent="0.25">
      <c r="A100" s="26"/>
      <c r="B100" s="2"/>
      <c r="C100" s="3"/>
      <c r="D100" s="4"/>
      <c r="E100" s="4"/>
      <c r="F100" s="4"/>
      <c r="G100" s="6"/>
      <c r="H100" s="6"/>
      <c r="I100" s="6"/>
      <c r="J100" s="6"/>
      <c r="K100" s="6"/>
    </row>
  </sheetData>
  <printOptions horizontalCentered="1" gridLines="1"/>
  <pageMargins left="0.70833333333333304" right="0.70833333333333304" top="0.74791666666666701" bottom="0.74791666666666701" header="0" footer="0"/>
  <pageSetup paperSize="9" scale="90" orientation="portrait"/>
  <headerFooter>
    <oddHeader>&amp;L Ministarstvo unutarnjih poslova RH&amp;R Nastavno nacionalno središte civilne zaštite u Jastrebarskom</oddHeader>
    <oddFooter>&amp;L Troškovnik radova na uređenju građevina, vanjskog prostora i infrastrukture - zgrade 61 i 62&amp;R stranica &amp;P od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
  <sheetViews>
    <sheetView tabSelected="1" workbookViewId="0">
      <selection activeCell="J41" sqref="J41"/>
    </sheetView>
  </sheetViews>
  <sheetFormatPr defaultColWidth="14.42578125" defaultRowHeight="15" customHeight="1" x14ac:dyDescent="0.25"/>
  <cols>
    <col min="1" max="1" width="5.7109375" customWidth="1"/>
    <col min="2" max="2" width="50.7109375" customWidth="1"/>
    <col min="3" max="3" width="5.7109375" customWidth="1"/>
    <col min="4" max="4" width="9.5703125" customWidth="1"/>
    <col min="5" max="5" width="10.7109375" customWidth="1"/>
    <col min="6" max="6" width="14.42578125" customWidth="1"/>
    <col min="7" max="11" width="9.140625" customWidth="1"/>
  </cols>
  <sheetData>
    <row r="1" spans="1:11" ht="36" customHeight="1" x14ac:dyDescent="0.25">
      <c r="A1" s="29" t="s">
        <v>7</v>
      </c>
      <c r="B1" s="30" t="s">
        <v>8</v>
      </c>
      <c r="C1" s="31" t="s">
        <v>9</v>
      </c>
      <c r="D1" s="32" t="s">
        <v>10</v>
      </c>
      <c r="E1" s="32" t="s">
        <v>396</v>
      </c>
      <c r="F1" s="32" t="s">
        <v>12</v>
      </c>
      <c r="G1" s="34"/>
      <c r="H1" s="34"/>
      <c r="I1" s="34"/>
      <c r="J1" s="34"/>
      <c r="K1" s="34"/>
    </row>
    <row r="2" spans="1:11" ht="12.75" customHeight="1" x14ac:dyDescent="0.25">
      <c r="A2" s="35"/>
      <c r="B2" s="2"/>
      <c r="C2" s="36"/>
      <c r="D2" s="37"/>
      <c r="E2" s="37"/>
      <c r="F2" s="37"/>
      <c r="G2" s="6"/>
      <c r="H2" s="6"/>
      <c r="I2" s="6"/>
      <c r="J2" s="6"/>
      <c r="K2" s="6"/>
    </row>
    <row r="3" spans="1:11" ht="12.75" customHeight="1" x14ac:dyDescent="0.25">
      <c r="A3" s="26"/>
      <c r="B3" s="2"/>
      <c r="C3" s="3"/>
      <c r="D3" s="47"/>
      <c r="E3" s="4"/>
      <c r="F3" s="4"/>
      <c r="G3" s="6"/>
      <c r="H3" s="6"/>
      <c r="I3" s="6"/>
      <c r="J3" s="6"/>
      <c r="K3" s="6"/>
    </row>
    <row r="4" spans="1:11" ht="12.75" customHeight="1" x14ac:dyDescent="0.25">
      <c r="A4" s="26"/>
      <c r="B4" s="2"/>
      <c r="C4" s="3"/>
      <c r="D4" s="4"/>
      <c r="E4" s="4"/>
      <c r="F4" s="4"/>
      <c r="G4" s="6"/>
      <c r="H4" s="6"/>
      <c r="I4" s="6"/>
      <c r="J4" s="6"/>
      <c r="K4" s="6"/>
    </row>
    <row r="5" spans="1:11" ht="12.75" customHeight="1" x14ac:dyDescent="0.25">
      <c r="A5" s="43"/>
      <c r="B5" s="19" t="s">
        <v>589</v>
      </c>
      <c r="C5" s="3"/>
      <c r="D5" s="4"/>
      <c r="E5" s="4"/>
      <c r="F5" s="4"/>
      <c r="G5" s="6"/>
      <c r="H5" s="6"/>
      <c r="I5" s="6"/>
      <c r="J5" s="6"/>
      <c r="K5" s="6"/>
    </row>
    <row r="6" spans="1:11" ht="12.75" customHeight="1" x14ac:dyDescent="0.25">
      <c r="A6" s="26"/>
      <c r="B6" s="16" t="s">
        <v>590</v>
      </c>
      <c r="C6" s="3"/>
      <c r="D6" s="4"/>
      <c r="E6" s="4"/>
      <c r="F6" s="4"/>
      <c r="G6" s="6"/>
      <c r="H6" s="6"/>
      <c r="I6" s="6"/>
      <c r="J6" s="6"/>
      <c r="K6" s="6"/>
    </row>
    <row r="7" spans="1:11" ht="12.75" customHeight="1" x14ac:dyDescent="0.25">
      <c r="A7" s="26"/>
      <c r="B7" s="2"/>
      <c r="C7" s="3"/>
      <c r="D7" s="4"/>
      <c r="E7" s="4"/>
      <c r="F7" s="4"/>
      <c r="G7" s="6"/>
      <c r="H7" s="6"/>
      <c r="I7" s="6"/>
      <c r="J7" s="6"/>
      <c r="K7" s="6"/>
    </row>
    <row r="8" spans="1:11" ht="12.75" customHeight="1" x14ac:dyDescent="0.25">
      <c r="A8" s="43" t="s">
        <v>397</v>
      </c>
      <c r="B8" s="16" t="s">
        <v>398</v>
      </c>
      <c r="C8" s="18"/>
      <c r="D8" s="44"/>
      <c r="E8" s="44"/>
      <c r="F8" s="44">
        <f>'Zgrada 11'!F9+'Zgrada 11'!F18+'Zgrada 11'!F31+'Zgrada 11'!F41+'Zgrada 11'!F92+'Zgrada 11'!F106+'Zgrada 11'!F111</f>
        <v>284402.09999999998</v>
      </c>
      <c r="G8" s="6"/>
      <c r="H8" s="6"/>
      <c r="I8" s="6"/>
      <c r="J8" s="6"/>
      <c r="K8" s="6"/>
    </row>
    <row r="9" spans="1:11" ht="12.75" customHeight="1" x14ac:dyDescent="0.25">
      <c r="A9" s="43" t="s">
        <v>542</v>
      </c>
      <c r="B9" s="19" t="s">
        <v>543</v>
      </c>
      <c r="C9" s="18"/>
      <c r="D9" s="44"/>
      <c r="E9" s="44"/>
      <c r="F9" s="44">
        <f>'Zgrada 12'!F9+'Zgrada 12'!F15+'Zgrada 12'!F24+'Zgrada 12'!F34+'Zgrada 12'!F45+'Zgrada 12'!F97+'Zgrada 12'!F102</f>
        <v>268738.10000000003</v>
      </c>
      <c r="G9" s="6"/>
      <c r="H9" s="6"/>
      <c r="I9" s="6"/>
      <c r="J9" s="6"/>
      <c r="K9" s="6"/>
    </row>
    <row r="10" spans="1:11" ht="12.75" customHeight="1" x14ac:dyDescent="0.25">
      <c r="A10" s="43" t="s">
        <v>551</v>
      </c>
      <c r="B10" s="16" t="s">
        <v>552</v>
      </c>
      <c r="C10" s="18"/>
      <c r="D10" s="44"/>
      <c r="E10" s="44"/>
      <c r="F10" s="44">
        <f>'Zgrada 13'!F9+'Zgrada 13'!F15+'Zgrada 13'!F21+'Zgrada 13'!F30+'Zgrada 13'!F37+'Zgrada 13'!F90+'Zgrada 13'!F95</f>
        <v>270753.82500000001</v>
      </c>
      <c r="G10" s="6"/>
      <c r="H10" s="6"/>
      <c r="I10" s="6"/>
      <c r="J10" s="6"/>
      <c r="K10" s="6"/>
    </row>
    <row r="11" spans="1:11" ht="12.75" customHeight="1" x14ac:dyDescent="0.25">
      <c r="A11" s="43" t="s">
        <v>555</v>
      </c>
      <c r="B11" s="16" t="s">
        <v>556</v>
      </c>
      <c r="C11" s="18"/>
      <c r="D11" s="44"/>
      <c r="E11" s="44"/>
      <c r="F11" s="44">
        <f>'Zgrada 14'!F9+'Zgrada 14'!F17+'Zgrada 14'!F26+'Zgrada 14'!F35+'Zgrada 14'!F85</f>
        <v>268809.60000000003</v>
      </c>
      <c r="G11" s="6"/>
      <c r="H11" s="6"/>
      <c r="I11" s="6"/>
      <c r="J11" s="6"/>
      <c r="K11" s="6"/>
    </row>
    <row r="12" spans="1:11" ht="12.75" customHeight="1" x14ac:dyDescent="0.25">
      <c r="A12" s="43" t="s">
        <v>561</v>
      </c>
      <c r="B12" s="16" t="s">
        <v>562</v>
      </c>
      <c r="C12" s="18"/>
      <c r="D12" s="44"/>
      <c r="E12" s="44"/>
      <c r="F12" s="44">
        <f>'Zgrada 15'!F9+'Zgrada 15'!F16+'Zgrada 15'!F23+'Zgrada 15'!F32+'Zgrada 15'!F82+'Zgrada 15'!F87</f>
        <v>240298.52499999999</v>
      </c>
      <c r="G12" s="6"/>
      <c r="H12" s="6"/>
      <c r="I12" s="6"/>
      <c r="J12" s="6"/>
      <c r="K12" s="6"/>
    </row>
    <row r="13" spans="1:11" ht="12.75" customHeight="1" x14ac:dyDescent="0.25">
      <c r="A13" s="43" t="s">
        <v>563</v>
      </c>
      <c r="B13" s="16" t="s">
        <v>564</v>
      </c>
      <c r="C13" s="18"/>
      <c r="D13" s="44"/>
      <c r="E13" s="44"/>
      <c r="F13" s="44">
        <f>'Zgrada 20'!F9+SUM('Zgrada 20'!F15:F19)+'Zgrada 20'!F28+'Zgrada 20'!F78</f>
        <v>20728.125</v>
      </c>
      <c r="G13" s="6"/>
      <c r="H13" s="6"/>
      <c r="I13" s="6"/>
      <c r="J13" s="6"/>
      <c r="K13" s="6"/>
    </row>
    <row r="14" spans="1:11" ht="12.75" customHeight="1" x14ac:dyDescent="0.25">
      <c r="A14" s="43" t="s">
        <v>567</v>
      </c>
      <c r="B14" s="16" t="s">
        <v>568</v>
      </c>
      <c r="C14" s="18"/>
      <c r="D14" s="44"/>
      <c r="E14" s="44"/>
      <c r="F14" s="44">
        <f>'Zgrada 21'!F9+'Zgrada 21'!F14+'Zgrada 21'!F24+'Zgrada 21'!F34+'Zgrada 21'!F84</f>
        <v>246075.72500000001</v>
      </c>
      <c r="G14" s="6"/>
      <c r="H14" s="6"/>
      <c r="I14" s="6"/>
      <c r="J14" s="6"/>
      <c r="K14" s="6"/>
    </row>
    <row r="15" spans="1:11" ht="12.75" customHeight="1" x14ac:dyDescent="0.25">
      <c r="A15" s="43" t="s">
        <v>581</v>
      </c>
      <c r="B15" s="16" t="s">
        <v>582</v>
      </c>
      <c r="C15" s="18"/>
      <c r="D15" s="44"/>
      <c r="E15" s="44"/>
      <c r="F15" s="44">
        <f>'Zgrade 61 i 62'!F11+'Zgrade 61 i 62'!F16+'Zgrade 61 i 62'!F26+'Zgrade 61 i 62'!F35+'Zgrade 61 i 62'!F82</f>
        <v>696400.5</v>
      </c>
      <c r="G15" s="6"/>
      <c r="H15" s="6"/>
      <c r="I15" s="6"/>
      <c r="J15" s="6"/>
      <c r="K15" s="6"/>
    </row>
    <row r="16" spans="1:11" ht="12.75" customHeight="1" x14ac:dyDescent="0.25">
      <c r="A16" s="43" t="s">
        <v>591</v>
      </c>
      <c r="B16" s="16" t="s">
        <v>592</v>
      </c>
      <c r="C16" s="18"/>
      <c r="D16" s="44"/>
      <c r="E16" s="44"/>
      <c r="F16" s="44">
        <v>0</v>
      </c>
      <c r="G16" s="6"/>
      <c r="H16" s="6"/>
      <c r="I16" s="6"/>
      <c r="J16" s="6"/>
      <c r="K16" s="6"/>
    </row>
    <row r="17" spans="1:11" ht="12.75" customHeight="1" x14ac:dyDescent="0.25">
      <c r="A17" s="43"/>
      <c r="B17" s="16"/>
      <c r="C17" s="18"/>
      <c r="D17" s="44"/>
      <c r="E17" s="44"/>
      <c r="F17" s="44"/>
      <c r="G17" s="6"/>
      <c r="H17" s="6"/>
      <c r="I17" s="6"/>
      <c r="J17" s="6"/>
      <c r="K17" s="6"/>
    </row>
    <row r="18" spans="1:11" ht="12.75" customHeight="1" x14ac:dyDescent="0.25">
      <c r="A18" s="43"/>
      <c r="B18" s="28" t="s">
        <v>593</v>
      </c>
      <c r="C18" s="18"/>
      <c r="D18" s="44"/>
      <c r="E18" s="44"/>
      <c r="F18" s="44">
        <f>SUM(F8:F16)</f>
        <v>2296206.5</v>
      </c>
      <c r="G18" s="6"/>
      <c r="H18" s="6"/>
      <c r="I18" s="6"/>
      <c r="J18" s="6"/>
      <c r="K18" s="6"/>
    </row>
    <row r="19" spans="1:11" ht="12.75" customHeight="1" x14ac:dyDescent="0.25">
      <c r="A19" s="26"/>
      <c r="B19" s="35" t="s">
        <v>594</v>
      </c>
      <c r="C19" s="3"/>
      <c r="D19" s="4"/>
      <c r="E19" s="4"/>
      <c r="F19" s="4">
        <f>F18*25%</f>
        <v>574051.625</v>
      </c>
      <c r="G19" s="6"/>
      <c r="H19" s="6"/>
      <c r="I19" s="6"/>
      <c r="J19" s="6"/>
      <c r="K19" s="6"/>
    </row>
    <row r="20" spans="1:11" ht="12.75" customHeight="1" x14ac:dyDescent="0.25">
      <c r="A20" s="43"/>
      <c r="B20" s="28" t="s">
        <v>595</v>
      </c>
      <c r="C20" s="18"/>
      <c r="D20" s="44"/>
      <c r="E20" s="44"/>
      <c r="F20" s="44">
        <f>SUM(F18:F19)</f>
        <v>2870258.125</v>
      </c>
      <c r="G20" s="6"/>
      <c r="H20" s="6"/>
      <c r="I20" s="6"/>
      <c r="J20" s="6"/>
      <c r="K20" s="6"/>
    </row>
    <row r="21" spans="1:11" ht="12.75" customHeight="1" x14ac:dyDescent="0.25">
      <c r="A21" s="26"/>
      <c r="B21" s="2"/>
      <c r="C21" s="3"/>
      <c r="D21" s="4"/>
      <c r="E21" s="4"/>
      <c r="F21" s="4"/>
      <c r="G21" s="6"/>
      <c r="H21" s="6"/>
      <c r="I21" s="6"/>
      <c r="J21" s="6"/>
      <c r="K21" s="6"/>
    </row>
    <row r="22" spans="1:11" ht="12.75" customHeight="1" x14ac:dyDescent="0.25">
      <c r="A22" s="26"/>
      <c r="B22" s="2"/>
      <c r="C22" s="3"/>
      <c r="D22" s="4"/>
      <c r="E22" s="4"/>
      <c r="F22" s="4"/>
      <c r="G22" s="6"/>
      <c r="H22" s="6"/>
      <c r="I22" s="6"/>
      <c r="J22" s="6"/>
      <c r="K22" s="6"/>
    </row>
    <row r="23" spans="1:11" ht="12.75" customHeight="1" x14ac:dyDescent="0.25">
      <c r="A23" s="26"/>
      <c r="B23" s="2"/>
      <c r="C23" s="3"/>
      <c r="D23" s="4"/>
      <c r="E23" s="4"/>
      <c r="F23" s="4"/>
      <c r="G23" s="6"/>
      <c r="H23" s="6"/>
      <c r="I23" s="6"/>
      <c r="J23" s="6"/>
      <c r="K23" s="6"/>
    </row>
    <row r="24" spans="1:11" ht="12.75" customHeight="1" x14ac:dyDescent="0.25">
      <c r="A24" s="26"/>
      <c r="B24" s="2"/>
      <c r="C24" s="3"/>
      <c r="D24" s="4"/>
      <c r="E24" s="4"/>
      <c r="F24" s="4"/>
      <c r="G24" s="6"/>
      <c r="H24" s="6"/>
      <c r="I24" s="6"/>
      <c r="J24" s="6"/>
      <c r="K24" s="6"/>
    </row>
    <row r="25" spans="1:11" ht="12.75" customHeight="1" x14ac:dyDescent="0.25">
      <c r="A25" s="26"/>
      <c r="B25" s="2"/>
      <c r="C25" s="3"/>
      <c r="D25" s="4"/>
      <c r="E25" s="4"/>
      <c r="F25" s="4"/>
      <c r="G25" s="6"/>
      <c r="H25" s="6"/>
      <c r="I25" s="6"/>
      <c r="J25" s="6"/>
      <c r="K25" s="6"/>
    </row>
    <row r="26" spans="1:11" ht="12.75" customHeight="1" x14ac:dyDescent="0.25">
      <c r="A26" s="26"/>
      <c r="B26" s="2"/>
      <c r="C26" s="3"/>
      <c r="D26" s="4" t="s">
        <v>596</v>
      </c>
      <c r="E26" s="4"/>
      <c r="F26" s="4"/>
      <c r="G26" s="6"/>
      <c r="H26" s="6"/>
      <c r="I26" s="6"/>
      <c r="J26" s="6"/>
      <c r="K26" s="6"/>
    </row>
    <row r="27" spans="1:11" ht="12.75" customHeight="1" x14ac:dyDescent="0.25">
      <c r="A27" s="26"/>
      <c r="B27" s="2"/>
      <c r="C27" s="3"/>
      <c r="D27" s="4"/>
      <c r="E27" s="4"/>
      <c r="F27" s="4"/>
      <c r="G27" s="6"/>
      <c r="H27" s="6"/>
      <c r="I27" s="6"/>
      <c r="J27" s="6"/>
      <c r="K27" s="6"/>
    </row>
    <row r="28" spans="1:11" ht="12.75" customHeight="1" x14ac:dyDescent="0.25">
      <c r="A28" s="26"/>
      <c r="B28" s="2"/>
      <c r="C28" s="3"/>
      <c r="D28" s="4"/>
      <c r="E28" s="4"/>
      <c r="F28" s="4"/>
      <c r="G28" s="6"/>
      <c r="H28" s="6"/>
      <c r="I28" s="6"/>
      <c r="J28" s="6"/>
      <c r="K28" s="6"/>
    </row>
    <row r="29" spans="1:11" ht="12.75" customHeight="1" x14ac:dyDescent="0.25">
      <c r="A29" s="26"/>
      <c r="B29" s="2"/>
      <c r="C29" s="3"/>
      <c r="D29" s="4"/>
      <c r="E29" s="4"/>
      <c r="F29" s="4"/>
      <c r="G29" s="6"/>
      <c r="H29" s="6"/>
      <c r="I29" s="6"/>
      <c r="J29" s="6"/>
      <c r="K29" s="6"/>
    </row>
    <row r="30" spans="1:11" ht="12.75" customHeight="1" x14ac:dyDescent="0.25">
      <c r="A30" s="26"/>
      <c r="B30" s="2"/>
      <c r="C30" s="3"/>
      <c r="D30" s="4"/>
      <c r="E30" s="4"/>
      <c r="F30" s="4"/>
      <c r="G30" s="6"/>
      <c r="H30" s="6"/>
      <c r="I30" s="6"/>
      <c r="J30" s="6"/>
      <c r="K30" s="6"/>
    </row>
    <row r="31" spans="1:11" ht="12.75" customHeight="1" x14ac:dyDescent="0.25">
      <c r="A31" s="26"/>
      <c r="B31" s="2"/>
      <c r="C31" s="3"/>
      <c r="D31" s="4"/>
      <c r="E31" s="4"/>
      <c r="F31" s="4"/>
      <c r="G31" s="6"/>
      <c r="H31" s="6"/>
      <c r="I31" s="6"/>
      <c r="J31" s="6"/>
      <c r="K31" s="6"/>
    </row>
    <row r="32" spans="1:11" ht="12.75" customHeight="1" x14ac:dyDescent="0.25">
      <c r="A32" s="26"/>
      <c r="B32" s="2"/>
      <c r="C32" s="3"/>
      <c r="D32" s="4"/>
      <c r="E32" s="4"/>
      <c r="F32" s="4"/>
      <c r="G32" s="6"/>
      <c r="H32" s="6"/>
      <c r="I32" s="6"/>
      <c r="J32" s="6"/>
      <c r="K32" s="6"/>
    </row>
    <row r="33" spans="1:11" ht="12.75" customHeight="1" x14ac:dyDescent="0.25">
      <c r="A33" s="26"/>
      <c r="B33" s="2"/>
      <c r="C33" s="3"/>
      <c r="D33" s="4"/>
      <c r="E33" s="4"/>
      <c r="F33" s="4"/>
      <c r="G33" s="6"/>
      <c r="H33" s="6"/>
      <c r="I33" s="6"/>
      <c r="J33" s="6"/>
      <c r="K33" s="6"/>
    </row>
    <row r="34" spans="1:11" ht="12.75" customHeight="1" x14ac:dyDescent="0.25">
      <c r="A34" s="26"/>
      <c r="B34" s="2"/>
      <c r="C34" s="3"/>
      <c r="D34" s="4"/>
      <c r="E34" s="4"/>
      <c r="F34" s="4"/>
      <c r="G34" s="6"/>
      <c r="H34" s="6"/>
      <c r="I34" s="6"/>
      <c r="J34" s="6"/>
      <c r="K34" s="6"/>
    </row>
    <row r="35" spans="1:11" ht="12.75" customHeight="1" x14ac:dyDescent="0.25">
      <c r="A35" s="26"/>
      <c r="B35" s="2"/>
      <c r="C35" s="3"/>
      <c r="D35" s="4"/>
      <c r="E35" s="4"/>
      <c r="F35" s="4"/>
      <c r="G35" s="6"/>
      <c r="H35" s="6"/>
      <c r="I35" s="6"/>
      <c r="J35" s="6"/>
      <c r="K35" s="6"/>
    </row>
    <row r="36" spans="1:11" ht="12.75" customHeight="1" x14ac:dyDescent="0.25">
      <c r="A36" s="26"/>
      <c r="B36" s="2"/>
      <c r="C36" s="3"/>
      <c r="D36" s="4"/>
      <c r="E36" s="4"/>
      <c r="F36" s="4"/>
      <c r="G36" s="6"/>
      <c r="H36" s="6"/>
      <c r="I36" s="6"/>
      <c r="J36" s="6"/>
      <c r="K36" s="6"/>
    </row>
    <row r="37" spans="1:11" ht="12.75" customHeight="1" x14ac:dyDescent="0.25">
      <c r="A37" s="26"/>
      <c r="B37" s="2"/>
      <c r="C37" s="3"/>
      <c r="D37" s="4"/>
      <c r="E37" s="4"/>
      <c r="F37" s="4"/>
      <c r="G37" s="6"/>
      <c r="H37" s="6"/>
      <c r="I37" s="6"/>
      <c r="J37" s="6"/>
      <c r="K37" s="6"/>
    </row>
    <row r="38" spans="1:11" ht="12.75" customHeight="1" x14ac:dyDescent="0.25">
      <c r="A38" s="26"/>
      <c r="B38" s="2"/>
      <c r="C38" s="3"/>
      <c r="D38" s="4"/>
      <c r="E38" s="4"/>
      <c r="F38" s="4"/>
      <c r="G38" s="6"/>
      <c r="H38" s="6"/>
      <c r="I38" s="6"/>
      <c r="J38" s="6"/>
      <c r="K38" s="6"/>
    </row>
    <row r="39" spans="1:11" ht="12.75" customHeight="1" x14ac:dyDescent="0.25">
      <c r="A39" s="26"/>
      <c r="B39" s="2"/>
      <c r="C39" s="3"/>
      <c r="D39" s="4"/>
      <c r="E39" s="4"/>
      <c r="F39" s="4"/>
      <c r="G39" s="6"/>
      <c r="H39" s="6"/>
      <c r="I39" s="6"/>
      <c r="J39" s="6"/>
      <c r="K39" s="6"/>
    </row>
    <row r="40" spans="1:11" ht="12.75" customHeight="1" x14ac:dyDescent="0.25">
      <c r="A40" s="26"/>
      <c r="B40" s="2"/>
      <c r="C40" s="3"/>
      <c r="D40" s="4"/>
      <c r="E40" s="4"/>
      <c r="F40" s="4"/>
      <c r="G40" s="6"/>
      <c r="H40" s="6"/>
      <c r="I40" s="6"/>
      <c r="J40" s="6"/>
      <c r="K40" s="6"/>
    </row>
    <row r="41" spans="1:11" ht="12.75" customHeight="1" x14ac:dyDescent="0.25">
      <c r="A41" s="26"/>
      <c r="B41" s="2"/>
      <c r="C41" s="3"/>
      <c r="D41" s="4"/>
      <c r="E41" s="4"/>
      <c r="F41" s="4"/>
      <c r="G41" s="6"/>
      <c r="H41" s="6"/>
      <c r="I41" s="6"/>
      <c r="J41" s="6"/>
      <c r="K41" s="6"/>
    </row>
    <row r="42" spans="1:11" ht="12.75" customHeight="1" x14ac:dyDescent="0.25">
      <c r="A42" s="26"/>
      <c r="B42" s="2"/>
      <c r="C42" s="3"/>
      <c r="D42" s="4"/>
      <c r="E42" s="4"/>
      <c r="F42" s="4"/>
      <c r="G42" s="6"/>
      <c r="H42" s="6"/>
      <c r="I42" s="6"/>
      <c r="J42" s="6"/>
      <c r="K42" s="6"/>
    </row>
    <row r="43" spans="1:11" ht="12.75" customHeight="1" x14ac:dyDescent="0.25">
      <c r="A43" s="26"/>
      <c r="B43" s="2"/>
      <c r="C43" s="3"/>
      <c r="D43" s="4"/>
      <c r="E43" s="4"/>
      <c r="F43" s="4"/>
      <c r="G43" s="6"/>
      <c r="H43" s="6"/>
      <c r="I43" s="6"/>
      <c r="J43" s="6"/>
      <c r="K43" s="6"/>
    </row>
    <row r="44" spans="1:11" ht="12.75" customHeight="1" x14ac:dyDescent="0.25">
      <c r="A44" s="26"/>
      <c r="B44" s="2"/>
      <c r="C44" s="3"/>
      <c r="D44" s="4"/>
      <c r="E44" s="4"/>
      <c r="F44" s="4"/>
      <c r="G44" s="6"/>
      <c r="H44" s="6"/>
      <c r="I44" s="6"/>
      <c r="J44" s="6"/>
      <c r="K44" s="6"/>
    </row>
    <row r="45" spans="1:11" ht="12.75" customHeight="1" x14ac:dyDescent="0.25">
      <c r="A45" s="26"/>
      <c r="B45" s="2"/>
      <c r="C45" s="3"/>
      <c r="D45" s="4"/>
      <c r="E45" s="4"/>
      <c r="F45" s="4"/>
      <c r="G45" s="6"/>
      <c r="H45" s="6"/>
      <c r="I45" s="6"/>
      <c r="J45" s="6"/>
      <c r="K45" s="6"/>
    </row>
    <row r="46" spans="1:11" ht="12.75" customHeight="1" x14ac:dyDescent="0.25">
      <c r="A46" s="26"/>
      <c r="B46" s="2"/>
      <c r="C46" s="3"/>
      <c r="D46" s="4"/>
      <c r="E46" s="4"/>
      <c r="F46" s="4"/>
      <c r="G46" s="6"/>
      <c r="H46" s="6"/>
      <c r="I46" s="6"/>
      <c r="J46" s="6"/>
      <c r="K46" s="6"/>
    </row>
    <row r="47" spans="1:11" ht="12.75" customHeight="1" x14ac:dyDescent="0.25">
      <c r="A47" s="26"/>
      <c r="B47" s="2"/>
      <c r="C47" s="3"/>
      <c r="D47" s="4"/>
      <c r="E47" s="4"/>
      <c r="F47" s="4"/>
      <c r="G47" s="6"/>
      <c r="H47" s="6"/>
      <c r="I47" s="6"/>
      <c r="J47" s="6"/>
      <c r="K47" s="6"/>
    </row>
    <row r="48" spans="1:11" ht="12.75" customHeight="1" x14ac:dyDescent="0.25">
      <c r="A48" s="26"/>
      <c r="B48" s="2"/>
      <c r="C48" s="3"/>
      <c r="D48" s="4"/>
      <c r="E48" s="4"/>
      <c r="F48" s="4"/>
      <c r="G48" s="6"/>
      <c r="H48" s="6"/>
      <c r="I48" s="6"/>
      <c r="J48" s="6"/>
      <c r="K48" s="6"/>
    </row>
    <row r="49" spans="1:11" ht="12.75" customHeight="1" x14ac:dyDescent="0.25">
      <c r="A49" s="26"/>
      <c r="B49" s="2"/>
      <c r="C49" s="3"/>
      <c r="D49" s="4"/>
      <c r="E49" s="4"/>
      <c r="F49" s="4"/>
      <c r="G49" s="6"/>
      <c r="H49" s="6"/>
      <c r="I49" s="6"/>
      <c r="J49" s="6"/>
      <c r="K49" s="6"/>
    </row>
    <row r="50" spans="1:11" ht="12.75" customHeight="1" x14ac:dyDescent="0.25">
      <c r="A50" s="26"/>
      <c r="B50" s="2"/>
      <c r="C50" s="3"/>
      <c r="D50" s="4"/>
      <c r="E50" s="4"/>
      <c r="F50" s="4"/>
      <c r="G50" s="6"/>
      <c r="H50" s="6"/>
      <c r="I50" s="6"/>
      <c r="J50" s="6"/>
      <c r="K50" s="6"/>
    </row>
    <row r="51" spans="1:11" ht="12.75" customHeight="1" x14ac:dyDescent="0.25">
      <c r="A51" s="26"/>
      <c r="B51" s="2"/>
      <c r="C51" s="3"/>
      <c r="D51" s="4"/>
      <c r="E51" s="4"/>
      <c r="F51" s="4"/>
      <c r="G51" s="6"/>
      <c r="H51" s="6"/>
      <c r="I51" s="6"/>
      <c r="J51" s="6"/>
      <c r="K51" s="6"/>
    </row>
    <row r="52" spans="1:11" ht="12.75" customHeight="1" x14ac:dyDescent="0.25">
      <c r="A52" s="26"/>
      <c r="B52" s="2"/>
      <c r="C52" s="3"/>
      <c r="D52" s="4"/>
      <c r="E52" s="4"/>
      <c r="F52" s="4"/>
      <c r="G52" s="6"/>
      <c r="H52" s="6"/>
      <c r="I52" s="6"/>
      <c r="J52" s="6"/>
      <c r="K52" s="6"/>
    </row>
    <row r="53" spans="1:11" ht="12.75" customHeight="1" x14ac:dyDescent="0.25">
      <c r="A53" s="26"/>
      <c r="B53" s="2"/>
      <c r="C53" s="3"/>
      <c r="D53" s="4"/>
      <c r="E53" s="4"/>
      <c r="F53" s="4"/>
      <c r="G53" s="6"/>
      <c r="H53" s="6"/>
      <c r="I53" s="6"/>
      <c r="J53" s="6"/>
      <c r="K53" s="6"/>
    </row>
    <row r="54" spans="1:11" ht="12.75" customHeight="1" x14ac:dyDescent="0.25">
      <c r="A54" s="26"/>
      <c r="B54" s="2"/>
      <c r="C54" s="3"/>
      <c r="D54" s="4"/>
      <c r="E54" s="4"/>
      <c r="F54" s="4"/>
      <c r="G54" s="6"/>
      <c r="H54" s="6"/>
      <c r="I54" s="6"/>
      <c r="J54" s="6"/>
      <c r="K54" s="6"/>
    </row>
    <row r="55" spans="1:11" ht="12.75" customHeight="1" x14ac:dyDescent="0.25">
      <c r="A55" s="26"/>
      <c r="B55" s="2"/>
      <c r="C55" s="3"/>
      <c r="D55" s="4"/>
      <c r="E55" s="4"/>
      <c r="F55" s="4"/>
      <c r="G55" s="6"/>
      <c r="H55" s="6"/>
      <c r="I55" s="6"/>
      <c r="J55" s="6"/>
      <c r="K55" s="6"/>
    </row>
    <row r="56" spans="1:11" ht="12.75" customHeight="1" x14ac:dyDescent="0.25">
      <c r="A56" s="26"/>
      <c r="B56" s="2"/>
      <c r="C56" s="3"/>
      <c r="D56" s="4"/>
      <c r="E56" s="4"/>
      <c r="F56" s="4"/>
      <c r="G56" s="6"/>
      <c r="H56" s="6"/>
      <c r="I56" s="6"/>
      <c r="J56" s="6"/>
      <c r="K56" s="6"/>
    </row>
    <row r="57" spans="1:11" ht="12.75" customHeight="1" x14ac:dyDescent="0.25">
      <c r="A57" s="26"/>
      <c r="B57" s="2"/>
      <c r="C57" s="3"/>
      <c r="D57" s="4"/>
      <c r="E57" s="4"/>
      <c r="F57" s="4"/>
      <c r="G57" s="6"/>
      <c r="H57" s="6"/>
      <c r="I57" s="6"/>
      <c r="J57" s="6"/>
      <c r="K57" s="6"/>
    </row>
    <row r="58" spans="1:11" ht="12.75" customHeight="1" x14ac:dyDescent="0.25">
      <c r="A58" s="26"/>
      <c r="B58" s="2"/>
      <c r="C58" s="3"/>
      <c r="D58" s="4"/>
      <c r="E58" s="4"/>
      <c r="F58" s="4"/>
      <c r="G58" s="6"/>
      <c r="H58" s="6"/>
      <c r="I58" s="6"/>
      <c r="J58" s="6"/>
      <c r="K58" s="6"/>
    </row>
    <row r="59" spans="1:11" ht="12.75" customHeight="1" x14ac:dyDescent="0.25">
      <c r="A59" s="26"/>
      <c r="B59" s="2"/>
      <c r="C59" s="3"/>
      <c r="D59" s="4"/>
      <c r="E59" s="4"/>
      <c r="F59" s="4"/>
      <c r="G59" s="6"/>
      <c r="H59" s="6"/>
      <c r="I59" s="6"/>
      <c r="J59" s="6"/>
      <c r="K59" s="6"/>
    </row>
    <row r="60" spans="1:11" ht="12.75" customHeight="1" x14ac:dyDescent="0.25">
      <c r="A60" s="26"/>
      <c r="B60" s="2"/>
      <c r="C60" s="3"/>
      <c r="D60" s="4"/>
      <c r="E60" s="4"/>
      <c r="F60" s="4"/>
      <c r="G60" s="6"/>
      <c r="H60" s="6"/>
      <c r="I60" s="6"/>
      <c r="J60" s="6"/>
      <c r="K60" s="6"/>
    </row>
    <row r="61" spans="1:11" ht="12.75" customHeight="1" x14ac:dyDescent="0.25">
      <c r="A61" s="26"/>
      <c r="B61" s="2"/>
      <c r="C61" s="3"/>
      <c r="D61" s="4"/>
      <c r="E61" s="4"/>
      <c r="F61" s="4"/>
      <c r="G61" s="6"/>
      <c r="H61" s="6"/>
      <c r="I61" s="6"/>
      <c r="J61" s="6"/>
      <c r="K61" s="6"/>
    </row>
    <row r="62" spans="1:11" ht="12.75" customHeight="1" x14ac:dyDescent="0.25">
      <c r="A62" s="26"/>
      <c r="B62" s="2"/>
      <c r="C62" s="3"/>
      <c r="D62" s="4"/>
      <c r="E62" s="4"/>
      <c r="F62" s="4"/>
      <c r="G62" s="6"/>
      <c r="H62" s="6"/>
      <c r="I62" s="6"/>
      <c r="J62" s="6"/>
      <c r="K62" s="6"/>
    </row>
    <row r="63" spans="1:11" ht="12.75" customHeight="1" x14ac:dyDescent="0.25">
      <c r="A63" s="26"/>
      <c r="B63" s="2"/>
      <c r="C63" s="3"/>
      <c r="D63" s="4"/>
      <c r="E63" s="4"/>
      <c r="F63" s="4"/>
      <c r="G63" s="6"/>
      <c r="H63" s="6"/>
      <c r="I63" s="6"/>
      <c r="J63" s="6"/>
      <c r="K63" s="6"/>
    </row>
    <row r="64" spans="1:11" ht="12.75" customHeight="1" x14ac:dyDescent="0.25">
      <c r="A64" s="26"/>
      <c r="B64" s="2"/>
      <c r="C64" s="3"/>
      <c r="D64" s="4"/>
      <c r="E64" s="4"/>
      <c r="F64" s="4"/>
      <c r="G64" s="6"/>
      <c r="H64" s="6"/>
      <c r="I64" s="6"/>
      <c r="J64" s="6"/>
      <c r="K64" s="6"/>
    </row>
    <row r="65" spans="1:11" ht="12.75" customHeight="1" x14ac:dyDescent="0.25">
      <c r="A65" s="26"/>
      <c r="B65" s="2"/>
      <c r="C65" s="3"/>
      <c r="D65" s="4"/>
      <c r="E65" s="4"/>
      <c r="F65" s="4"/>
      <c r="G65" s="6"/>
      <c r="H65" s="6"/>
      <c r="I65" s="6"/>
      <c r="J65" s="6"/>
      <c r="K65" s="6"/>
    </row>
    <row r="66" spans="1:11" ht="12.75" customHeight="1" x14ac:dyDescent="0.25">
      <c r="A66" s="26"/>
      <c r="B66" s="2"/>
      <c r="C66" s="3"/>
      <c r="D66" s="4"/>
      <c r="E66" s="4"/>
      <c r="F66" s="4"/>
      <c r="G66" s="6"/>
      <c r="H66" s="6"/>
      <c r="I66" s="6"/>
      <c r="J66" s="6"/>
      <c r="K66" s="6"/>
    </row>
    <row r="67" spans="1:11" ht="12.75" customHeight="1" x14ac:dyDescent="0.25">
      <c r="A67" s="26"/>
      <c r="B67" s="2"/>
      <c r="C67" s="3"/>
      <c r="D67" s="4"/>
      <c r="E67" s="4"/>
      <c r="F67" s="4"/>
      <c r="G67" s="6"/>
      <c r="H67" s="6"/>
      <c r="I67" s="6"/>
      <c r="J67" s="6"/>
      <c r="K67" s="6"/>
    </row>
    <row r="68" spans="1:11" ht="12.75" customHeight="1" x14ac:dyDescent="0.25">
      <c r="A68" s="26"/>
      <c r="B68" s="2"/>
      <c r="C68" s="3"/>
      <c r="D68" s="4"/>
      <c r="E68" s="4"/>
      <c r="F68" s="4"/>
      <c r="G68" s="6"/>
      <c r="H68" s="6"/>
      <c r="I68" s="6"/>
      <c r="J68" s="6"/>
      <c r="K68" s="6"/>
    </row>
    <row r="69" spans="1:11" ht="12.75" customHeight="1" x14ac:dyDescent="0.25">
      <c r="A69" s="26"/>
      <c r="B69" s="2"/>
      <c r="C69" s="3"/>
      <c r="D69" s="4"/>
      <c r="E69" s="4"/>
      <c r="F69" s="4"/>
      <c r="G69" s="6"/>
      <c r="H69" s="6"/>
      <c r="I69" s="6"/>
      <c r="J69" s="6"/>
      <c r="K69" s="6"/>
    </row>
    <row r="70" spans="1:11" ht="12.75" customHeight="1" x14ac:dyDescent="0.25">
      <c r="A70" s="26"/>
      <c r="B70" s="2"/>
      <c r="C70" s="3"/>
      <c r="D70" s="4"/>
      <c r="E70" s="4"/>
      <c r="F70" s="4"/>
      <c r="G70" s="6"/>
      <c r="H70" s="6"/>
      <c r="I70" s="6"/>
      <c r="J70" s="6"/>
      <c r="K70" s="6"/>
    </row>
    <row r="71" spans="1:11" ht="12.75" customHeight="1" x14ac:dyDescent="0.25">
      <c r="A71" s="26"/>
      <c r="B71" s="2"/>
      <c r="C71" s="3"/>
      <c r="D71" s="4"/>
      <c r="E71" s="4"/>
      <c r="F71" s="4"/>
      <c r="G71" s="6"/>
      <c r="H71" s="6"/>
      <c r="I71" s="6"/>
      <c r="J71" s="6"/>
      <c r="K71" s="6"/>
    </row>
    <row r="72" spans="1:11" ht="12.75" customHeight="1" x14ac:dyDescent="0.25">
      <c r="A72" s="26"/>
      <c r="B72" s="2"/>
      <c r="C72" s="3"/>
      <c r="D72" s="4"/>
      <c r="E72" s="4"/>
      <c r="F72" s="4"/>
      <c r="G72" s="6"/>
      <c r="H72" s="6"/>
      <c r="I72" s="6"/>
      <c r="J72" s="6"/>
      <c r="K72" s="6"/>
    </row>
    <row r="73" spans="1:11" ht="12.75" customHeight="1" x14ac:dyDescent="0.25">
      <c r="A73" s="26"/>
      <c r="B73" s="2"/>
      <c r="C73" s="3"/>
      <c r="D73" s="4"/>
      <c r="E73" s="4"/>
      <c r="F73" s="4"/>
      <c r="G73" s="6"/>
      <c r="H73" s="6"/>
      <c r="I73" s="6"/>
      <c r="J73" s="6"/>
      <c r="K73" s="6"/>
    </row>
    <row r="74" spans="1:11" ht="12.75" customHeight="1" x14ac:dyDescent="0.25">
      <c r="A74" s="26"/>
      <c r="B74" s="2"/>
      <c r="C74" s="3"/>
      <c r="D74" s="4"/>
      <c r="E74" s="4"/>
      <c r="F74" s="4"/>
      <c r="G74" s="6"/>
      <c r="H74" s="6"/>
      <c r="I74" s="6"/>
      <c r="J74" s="6"/>
      <c r="K74" s="6"/>
    </row>
    <row r="75" spans="1:11" ht="12.75" customHeight="1" x14ac:dyDescent="0.25">
      <c r="A75" s="26"/>
      <c r="B75" s="2"/>
      <c r="C75" s="3"/>
      <c r="D75" s="4"/>
      <c r="E75" s="4"/>
      <c r="F75" s="4"/>
      <c r="G75" s="6"/>
      <c r="H75" s="6"/>
      <c r="I75" s="6"/>
      <c r="J75" s="6"/>
      <c r="K75" s="6"/>
    </row>
    <row r="76" spans="1:11" ht="12.75" customHeight="1" x14ac:dyDescent="0.25">
      <c r="A76" s="26"/>
      <c r="B76" s="2"/>
      <c r="C76" s="3"/>
      <c r="D76" s="4"/>
      <c r="E76" s="4"/>
      <c r="F76" s="4"/>
      <c r="G76" s="6"/>
      <c r="H76" s="6"/>
      <c r="I76" s="6"/>
      <c r="J76" s="6"/>
      <c r="K76" s="6"/>
    </row>
    <row r="77" spans="1:11" ht="12.75" customHeight="1" x14ac:dyDescent="0.25">
      <c r="A77" s="26"/>
      <c r="B77" s="2"/>
      <c r="C77" s="3"/>
      <c r="D77" s="4"/>
      <c r="E77" s="4"/>
      <c r="F77" s="4"/>
      <c r="G77" s="6"/>
      <c r="H77" s="6"/>
      <c r="I77" s="6"/>
      <c r="J77" s="6"/>
      <c r="K77" s="6"/>
    </row>
    <row r="78" spans="1:11" ht="12.75" customHeight="1" x14ac:dyDescent="0.25">
      <c r="A78" s="26"/>
      <c r="B78" s="2"/>
      <c r="C78" s="3"/>
      <c r="D78" s="4"/>
      <c r="E78" s="4"/>
      <c r="F78" s="4"/>
      <c r="G78" s="6"/>
      <c r="H78" s="6"/>
      <c r="I78" s="6"/>
      <c r="J78" s="6"/>
      <c r="K78" s="6"/>
    </row>
    <row r="79" spans="1:11" ht="12.75" customHeight="1" x14ac:dyDescent="0.25">
      <c r="A79" s="26"/>
      <c r="B79" s="2"/>
      <c r="C79" s="3"/>
      <c r="D79" s="4"/>
      <c r="E79" s="4"/>
      <c r="F79" s="4"/>
      <c r="G79" s="6"/>
      <c r="H79" s="6"/>
      <c r="I79" s="6"/>
      <c r="J79" s="6"/>
      <c r="K79" s="6"/>
    </row>
    <row r="80" spans="1:11" ht="12.75" customHeight="1" x14ac:dyDescent="0.25">
      <c r="A80" s="26"/>
      <c r="B80" s="2"/>
      <c r="C80" s="3"/>
      <c r="D80" s="4"/>
      <c r="E80" s="4"/>
      <c r="F80" s="4"/>
      <c r="G80" s="6"/>
      <c r="H80" s="6"/>
      <c r="I80" s="6"/>
      <c r="J80" s="6"/>
      <c r="K80" s="6"/>
    </row>
    <row r="81" spans="1:11" ht="12.75" customHeight="1" x14ac:dyDescent="0.25">
      <c r="A81" s="26"/>
      <c r="B81" s="2"/>
      <c r="C81" s="3"/>
      <c r="D81" s="4"/>
      <c r="E81" s="4"/>
      <c r="F81" s="4"/>
      <c r="G81" s="6"/>
      <c r="H81" s="6"/>
      <c r="I81" s="6"/>
      <c r="J81" s="6"/>
      <c r="K81" s="6"/>
    </row>
    <row r="82" spans="1:11" ht="12.75" customHeight="1" x14ac:dyDescent="0.25">
      <c r="A82" s="26"/>
      <c r="B82" s="2"/>
      <c r="C82" s="3"/>
      <c r="D82" s="4"/>
      <c r="E82" s="4"/>
      <c r="F82" s="4"/>
      <c r="G82" s="6"/>
      <c r="H82" s="6"/>
      <c r="I82" s="6"/>
      <c r="J82" s="6"/>
      <c r="K82" s="6"/>
    </row>
    <row r="83" spans="1:11" ht="12.75" customHeight="1" x14ac:dyDescent="0.25">
      <c r="A83" s="26"/>
      <c r="B83" s="2"/>
      <c r="C83" s="3"/>
      <c r="D83" s="4"/>
      <c r="E83" s="4"/>
      <c r="F83" s="4"/>
      <c r="G83" s="6"/>
      <c r="H83" s="6"/>
      <c r="I83" s="6"/>
      <c r="J83" s="6"/>
      <c r="K83" s="6"/>
    </row>
    <row r="84" spans="1:11" ht="12.75" customHeight="1" x14ac:dyDescent="0.25">
      <c r="A84" s="26"/>
      <c r="B84" s="2"/>
      <c r="C84" s="3"/>
      <c r="D84" s="4"/>
      <c r="E84" s="4"/>
      <c r="F84" s="4"/>
      <c r="G84" s="6"/>
      <c r="H84" s="6"/>
      <c r="I84" s="6"/>
      <c r="J84" s="6"/>
      <c r="K84" s="6"/>
    </row>
    <row r="85" spans="1:11" ht="12.75" customHeight="1" x14ac:dyDescent="0.25">
      <c r="A85" s="26"/>
      <c r="B85" s="2"/>
      <c r="C85" s="3"/>
      <c r="D85" s="4"/>
      <c r="E85" s="4"/>
      <c r="F85" s="4"/>
      <c r="G85" s="6"/>
      <c r="H85" s="6"/>
      <c r="I85" s="6"/>
      <c r="J85" s="6"/>
      <c r="K85" s="6"/>
    </row>
    <row r="86" spans="1:11" ht="12.75" customHeight="1" x14ac:dyDescent="0.25">
      <c r="A86" s="26"/>
      <c r="B86" s="2"/>
      <c r="C86" s="3"/>
      <c r="D86" s="4"/>
      <c r="E86" s="4"/>
      <c r="F86" s="4"/>
      <c r="G86" s="6"/>
      <c r="H86" s="6"/>
      <c r="I86" s="6"/>
      <c r="J86" s="6"/>
      <c r="K86" s="6"/>
    </row>
    <row r="87" spans="1:11" ht="12.75" customHeight="1" x14ac:dyDescent="0.25">
      <c r="A87" s="26"/>
      <c r="B87" s="2"/>
      <c r="C87" s="3"/>
      <c r="D87" s="4"/>
      <c r="E87" s="4"/>
      <c r="F87" s="4"/>
      <c r="G87" s="6"/>
      <c r="H87" s="6"/>
      <c r="I87" s="6"/>
      <c r="J87" s="6"/>
      <c r="K87" s="6"/>
    </row>
    <row r="88" spans="1:11" ht="12.75" customHeight="1" x14ac:dyDescent="0.25">
      <c r="A88" s="26"/>
      <c r="B88" s="2"/>
      <c r="C88" s="3"/>
      <c r="D88" s="4"/>
      <c r="E88" s="4"/>
      <c r="F88" s="4"/>
      <c r="G88" s="6"/>
      <c r="H88" s="6"/>
      <c r="I88" s="6"/>
      <c r="J88" s="6"/>
      <c r="K88" s="6"/>
    </row>
    <row r="89" spans="1:11" ht="12.75" customHeight="1" x14ac:dyDescent="0.25">
      <c r="A89" s="26"/>
      <c r="B89" s="2"/>
      <c r="C89" s="3"/>
      <c r="D89" s="4"/>
      <c r="E89" s="4"/>
      <c r="F89" s="4"/>
      <c r="G89" s="6"/>
      <c r="H89" s="6"/>
      <c r="I89" s="6"/>
      <c r="J89" s="6"/>
      <c r="K89" s="6"/>
    </row>
    <row r="90" spans="1:11" ht="12.75" customHeight="1" x14ac:dyDescent="0.25">
      <c r="A90" s="26"/>
      <c r="B90" s="2"/>
      <c r="C90" s="3"/>
      <c r="D90" s="4"/>
      <c r="E90" s="4"/>
      <c r="F90" s="4"/>
      <c r="G90" s="6"/>
      <c r="H90" s="6"/>
      <c r="I90" s="6"/>
      <c r="J90" s="6"/>
      <c r="K90" s="6"/>
    </row>
    <row r="91" spans="1:11" ht="12.75" customHeight="1" x14ac:dyDescent="0.25">
      <c r="A91" s="26"/>
      <c r="B91" s="2"/>
      <c r="C91" s="3"/>
      <c r="D91" s="4"/>
      <c r="E91" s="4"/>
      <c r="F91" s="4"/>
      <c r="G91" s="6"/>
      <c r="H91" s="6"/>
      <c r="I91" s="6"/>
      <c r="J91" s="6"/>
      <c r="K91" s="6"/>
    </row>
    <row r="92" spans="1:11" ht="12.75" customHeight="1" x14ac:dyDescent="0.25">
      <c r="A92" s="26"/>
      <c r="B92" s="2"/>
      <c r="C92" s="3"/>
      <c r="D92" s="4"/>
      <c r="E92" s="4"/>
      <c r="F92" s="4"/>
      <c r="G92" s="6"/>
      <c r="H92" s="6"/>
      <c r="I92" s="6"/>
      <c r="J92" s="6"/>
      <c r="K92" s="6"/>
    </row>
    <row r="93" spans="1:11" ht="12.75" customHeight="1" x14ac:dyDescent="0.25">
      <c r="A93" s="26"/>
      <c r="B93" s="2"/>
      <c r="C93" s="3"/>
      <c r="D93" s="4"/>
      <c r="E93" s="4"/>
      <c r="F93" s="4"/>
      <c r="G93" s="6"/>
      <c r="H93" s="6"/>
      <c r="I93" s="6"/>
      <c r="J93" s="6"/>
      <c r="K93" s="6"/>
    </row>
    <row r="94" spans="1:11" ht="12.75" customHeight="1" x14ac:dyDescent="0.25">
      <c r="A94" s="26"/>
      <c r="B94" s="2"/>
      <c r="C94" s="3"/>
      <c r="D94" s="4"/>
      <c r="E94" s="4"/>
      <c r="F94" s="4"/>
      <c r="G94" s="6"/>
      <c r="H94" s="6"/>
      <c r="I94" s="6"/>
      <c r="J94" s="6"/>
      <c r="K94" s="6"/>
    </row>
    <row r="95" spans="1:11" ht="12.75" customHeight="1" x14ac:dyDescent="0.25">
      <c r="A95" s="26"/>
      <c r="B95" s="2"/>
      <c r="C95" s="3"/>
      <c r="D95" s="4"/>
      <c r="E95" s="4"/>
      <c r="F95" s="4"/>
      <c r="G95" s="6"/>
      <c r="H95" s="6"/>
      <c r="I95" s="6"/>
      <c r="J95" s="6"/>
      <c r="K95" s="6"/>
    </row>
    <row r="96" spans="1:11" ht="12.75" customHeight="1" x14ac:dyDescent="0.25">
      <c r="A96" s="26"/>
      <c r="B96" s="2"/>
      <c r="C96" s="3"/>
      <c r="D96" s="4"/>
      <c r="E96" s="4"/>
      <c r="F96" s="4"/>
      <c r="G96" s="6"/>
      <c r="H96" s="6"/>
      <c r="I96" s="6"/>
      <c r="J96" s="6"/>
      <c r="K96" s="6"/>
    </row>
    <row r="97" spans="1:11" ht="12.75" customHeight="1" x14ac:dyDescent="0.25">
      <c r="A97" s="26"/>
      <c r="B97" s="2"/>
      <c r="C97" s="3"/>
      <c r="D97" s="4"/>
      <c r="E97" s="4"/>
      <c r="F97" s="4"/>
      <c r="G97" s="6"/>
      <c r="H97" s="6"/>
      <c r="I97" s="6"/>
      <c r="J97" s="6"/>
      <c r="K97" s="6"/>
    </row>
    <row r="98" spans="1:11" ht="12.75" customHeight="1" x14ac:dyDescent="0.25">
      <c r="A98" s="26"/>
      <c r="B98" s="2"/>
      <c r="C98" s="3"/>
      <c r="D98" s="4"/>
      <c r="E98" s="4"/>
      <c r="F98" s="4"/>
      <c r="G98" s="6"/>
      <c r="H98" s="6"/>
      <c r="I98" s="6"/>
      <c r="J98" s="6"/>
      <c r="K98" s="6"/>
    </row>
    <row r="99" spans="1:11" ht="12.75" customHeight="1" x14ac:dyDescent="0.25">
      <c r="A99" s="26"/>
      <c r="B99" s="2"/>
      <c r="C99" s="3"/>
      <c r="D99" s="4"/>
      <c r="E99" s="4"/>
      <c r="F99" s="4"/>
      <c r="G99" s="6"/>
      <c r="H99" s="6"/>
      <c r="I99" s="6"/>
      <c r="J99" s="6"/>
      <c r="K99" s="6"/>
    </row>
    <row r="100" spans="1:11" ht="12.75" customHeight="1" x14ac:dyDescent="0.25">
      <c r="A100" s="26"/>
      <c r="B100" s="2"/>
      <c r="C100" s="3"/>
      <c r="D100" s="4"/>
      <c r="E100" s="4"/>
      <c r="F100" s="4"/>
      <c r="G100" s="6"/>
      <c r="H100" s="6"/>
      <c r="I100" s="6"/>
      <c r="J100" s="6"/>
      <c r="K100" s="6"/>
    </row>
  </sheetData>
  <printOptions horizontalCentered="1" gridLines="1"/>
  <pageMargins left="0.70833333333333304" right="0.70833333333333304" top="0.74791666666666701" bottom="0.74791666666666701" header="0" footer="0"/>
  <pageSetup paperSize="9" scale="90" orientation="portrait"/>
  <headerFooter>
    <oddHeader>&amp;L Ministarstvo unutarnjih poslova RH&amp;R Nastavno nacionalno središte civilne zaštite u Jastrebarskom</oddHeader>
    <oddFooter>&amp;L Troškovnik radova na uređenju građevina, vanjskog prostora i infrastrukture - zbirna RKPT&amp;R stranica &amp;P od</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Opći uvjeti i napomene</vt:lpstr>
      <vt:lpstr>Zgrada 11</vt:lpstr>
      <vt:lpstr>Zgrada 12</vt:lpstr>
      <vt:lpstr>Zgrada 13</vt:lpstr>
      <vt:lpstr>Zgrada 14</vt:lpstr>
      <vt:lpstr>Zgrada 15</vt:lpstr>
      <vt:lpstr>Zgrada 20</vt:lpstr>
      <vt:lpstr>Zgrada 21</vt:lpstr>
      <vt:lpstr>Zgrade 61 i 62</vt:lpstr>
      <vt:lpstr>RKPT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Šandrk Franjo</dc:creator>
  <dc:description/>
  <cp:lastModifiedBy>Ivan Cakaric</cp:lastModifiedBy>
  <cp:revision>0</cp:revision>
  <cp:lastPrinted>2026-03-16T08:51:35Z</cp:lastPrinted>
  <dcterms:created xsi:type="dcterms:W3CDTF">2017-05-03T08:03:36Z</dcterms:created>
  <dcterms:modified xsi:type="dcterms:W3CDTF">2026-03-30T10:30:31Z</dcterms:modified>
  <dc:language>en-US</dc:language>
</cp:coreProperties>
</file>