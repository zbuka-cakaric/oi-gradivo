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T:\7_PONUDE 2026\Kamgrad Srebrnjak\"/>
    </mc:Choice>
  </mc:AlternateContent>
  <xr:revisionPtr revIDLastSave="0" documentId="13_ncr:1_{238182C3-983D-469F-A9B4-F725C4322E2D}" xr6:coauthVersionLast="47" xr6:coauthVersionMax="47" xr10:uidLastSave="{00000000-0000-0000-0000-000000000000}"/>
  <bookViews>
    <workbookView xWindow="1815" yWindow="210" windowWidth="13500" windowHeight="20055" xr2:uid="{00000000-000D-0000-FFFF-FFFF00000000}"/>
  </bookViews>
  <sheets>
    <sheet name="fasaderski radovi STO " sheetId="2" r:id="rId1"/>
  </sheets>
  <definedNames>
    <definedName name="Cijena1">'fasaderski radovi STO '!$F$37:$F$37</definedName>
    <definedName name="Cijena10">'fasaderski radovi STO '!$F$78:$F$78</definedName>
    <definedName name="Cijena11">'fasaderski radovi STO '!$F$94:$F$94</definedName>
    <definedName name="Cijena12">'fasaderski radovi STO '!$F$96:$F$96</definedName>
    <definedName name="Cijena13">'fasaderski radovi STO '!$F$116:$F$116</definedName>
    <definedName name="Cijena14">'fasaderski radovi STO '!$F$118:$F$118</definedName>
    <definedName name="Cijena15">'fasaderski radovi STO '!$F$132:$F$132</definedName>
    <definedName name="Cijena16">'fasaderski radovi STO '!$F$140:$F$140</definedName>
    <definedName name="Cijena17">'fasaderski radovi STO '!$F$142:$F$142</definedName>
    <definedName name="Cijena18">'fasaderski radovi STO '!$F$180:$F$180</definedName>
    <definedName name="Cijena19">'fasaderski radovi STO '!$F$182:$F$182</definedName>
    <definedName name="Cijena2">'fasaderski radovi STO '!$F$39:$F$39</definedName>
    <definedName name="Cijena20">'fasaderski radovi STO '!$F$184:$F$184</definedName>
    <definedName name="Cijena21">'fasaderski radovi STO '!$F$186:$F$186</definedName>
    <definedName name="Cijena22">'fasaderski radovi STO '!$F$196:$F$196</definedName>
    <definedName name="Cijena23">'fasaderski radovi STO '!$F$198:$F$198</definedName>
    <definedName name="Cijena24">'fasaderski radovi STO '!$F$200:$F$200</definedName>
    <definedName name="Cijena25">'fasaderski radovi STO '!$F$202:$F$202</definedName>
    <definedName name="Cijena26">'fasaderski radovi STO '!$F$220:$F$220</definedName>
    <definedName name="Cijena27">'fasaderski radovi STO '!$F$222:$F$222</definedName>
    <definedName name="Cijena28">'fasaderski radovi STO '!$F$238:$F$238</definedName>
    <definedName name="Cijena29">'fasaderski radovi STO '!$F$240:$F$240</definedName>
    <definedName name="Cijena3">'fasaderski radovi STO '!$F$41:$F$41</definedName>
    <definedName name="Cijena30">'fasaderski radovi STO '!$F$260:$F$260</definedName>
    <definedName name="Cijena31">'fasaderski radovi STO '!$F$262:$F$262</definedName>
    <definedName name="Cijena32">'fasaderski radovi STO '!$F$276:$F$276</definedName>
    <definedName name="Cijena33">'fasaderski radovi STO '!$F$285:$F$285</definedName>
    <definedName name="Cijena34">'fasaderski radovi STO '!$F$287:$F$287</definedName>
    <definedName name="Cijena4">'fasaderski radovi STO '!$F$43:$F$43</definedName>
    <definedName name="Cijena5">'fasaderski radovi STO '!$F$52:$F$52</definedName>
    <definedName name="Cijena6">'fasaderski radovi STO '!$F$54:$F$54</definedName>
    <definedName name="Cijena7">'fasaderski radovi STO '!$F$56:$F$56</definedName>
    <definedName name="Cijena8">'fasaderski radovi STO '!$F$58:$F$58</definedName>
    <definedName name="Cijena9">'fasaderski radovi STO '!$F$76:$F$76</definedName>
    <definedName name="IdGrupe">'fasaderski radovi STO '!$I$1:$I$1</definedName>
    <definedName name="Napomena1">'fasaderski radovi STO '!$H$37:$H$37</definedName>
    <definedName name="Napomena10">'fasaderski radovi STO '!$H$78:$H$78</definedName>
    <definedName name="Napomena11">'fasaderski radovi STO '!$H$94:$H$94</definedName>
    <definedName name="Napomena12">'fasaderski radovi STO '!$H$96:$H$96</definedName>
    <definedName name="Napomena13">'fasaderski radovi STO '!$H$116:$H$116</definedName>
    <definedName name="Napomena14">'fasaderski radovi STO '!$H$118:$H$118</definedName>
    <definedName name="Napomena15">'fasaderski radovi STO '!$H$132:$H$132</definedName>
    <definedName name="Napomena16">'fasaderski radovi STO '!$H$140:$H$140</definedName>
    <definedName name="Napomena17">'fasaderski radovi STO '!$H$142:$H$142</definedName>
    <definedName name="Napomena18">'fasaderski radovi STO '!$H$180:$H$180</definedName>
    <definedName name="Napomena19">'fasaderski radovi STO '!$H$182:$H$182</definedName>
    <definedName name="Napomena2">'fasaderski radovi STO '!$H$39:$H$39</definedName>
    <definedName name="Napomena20">'fasaderski radovi STO '!$H$184:$H$184</definedName>
    <definedName name="Napomena21">'fasaderski radovi STO '!$H$186:$H$186</definedName>
    <definedName name="Napomena22">'fasaderski radovi STO '!$H$196:$H$196</definedName>
    <definedName name="Napomena23">'fasaderski radovi STO '!$H$198:$H$198</definedName>
    <definedName name="Napomena24">'fasaderski radovi STO '!$H$200:$H$200</definedName>
    <definedName name="Napomena25">'fasaderski radovi STO '!$H$202:$H$202</definedName>
    <definedName name="Napomena26">'fasaderski radovi STO '!$H$220:$H$220</definedName>
    <definedName name="Napomena27">'fasaderski radovi STO '!$H$222:$H$222</definedName>
    <definedName name="Napomena28">'fasaderski radovi STO '!$H$238:$H$238</definedName>
    <definedName name="Napomena29">'fasaderski radovi STO '!$H$240:$H$240</definedName>
    <definedName name="Napomena3">'fasaderski radovi STO '!$H$41:$H$41</definedName>
    <definedName name="Napomena30">'fasaderski radovi STO '!$H$260:$H$260</definedName>
    <definedName name="Napomena31">'fasaderski radovi STO '!$H$262:$H$262</definedName>
    <definedName name="Napomena32">'fasaderski radovi STO '!$H$276:$H$276</definedName>
    <definedName name="Napomena33">'fasaderski radovi STO '!$H$285:$H$285</definedName>
    <definedName name="Napomena34">'fasaderski radovi STO '!$H$287:$H$287</definedName>
    <definedName name="Napomena4">'fasaderski radovi STO '!$H$43:$H$43</definedName>
    <definedName name="Napomena5">'fasaderski radovi STO '!$H$52:$H$52</definedName>
    <definedName name="Napomena6">'fasaderski radovi STO '!$H$54:$H$54</definedName>
    <definedName name="Napomena7">'fasaderski radovi STO '!$H$56:$H$56</definedName>
    <definedName name="Napomena8">'fasaderski radovi STO '!$H$58:$H$58</definedName>
    <definedName name="Napomena9">'fasaderski radovi STO '!$H$76:$H$76</definedName>
    <definedName name="_xlnm.Print_Titles" localSheetId="0">'fasaderski radovi STO '!1:1</definedName>
    <definedName name="Sifra1">'fasaderski radovi STO '!$I$37:$I$37</definedName>
    <definedName name="Sifra10">'fasaderski radovi STO '!$I$78:$I$78</definedName>
    <definedName name="Sifra11">'fasaderski radovi STO '!$I$94:$I$94</definedName>
    <definedName name="Sifra12">'fasaderski radovi STO '!$I$96:$I$96</definedName>
    <definedName name="Sifra13">'fasaderski radovi STO '!$I$116:$I$116</definedName>
    <definedName name="Sifra14">'fasaderski radovi STO '!$I$118:$I$118</definedName>
    <definedName name="Sifra15">'fasaderski radovi STO '!$I$132:$I$132</definedName>
    <definedName name="Sifra16">'fasaderski radovi STO '!$I$140:$I$140</definedName>
    <definedName name="Sifra17">'fasaderski radovi STO '!$I$142:$I$142</definedName>
    <definedName name="Sifra18">'fasaderski radovi STO '!$I$180:$I$180</definedName>
    <definedName name="Sifra19">'fasaderski radovi STO '!$I$182:$I$182</definedName>
    <definedName name="Sifra2">'fasaderski radovi STO '!$I$39:$I$39</definedName>
    <definedName name="Sifra20">'fasaderski radovi STO '!$I$184:$I$184</definedName>
    <definedName name="Sifra21">'fasaderski radovi STO '!$I$186:$I$186</definedName>
    <definedName name="Sifra22">'fasaderski radovi STO '!$I$196:$I$196</definedName>
    <definedName name="Sifra23">'fasaderski radovi STO '!$I$198:$I$198</definedName>
    <definedName name="Sifra24">'fasaderski radovi STO '!$I$200:$I$200</definedName>
    <definedName name="Sifra25">'fasaderski radovi STO '!$I$202:$I$202</definedName>
    <definedName name="Sifra26">'fasaderski radovi STO '!$I$220:$I$220</definedName>
    <definedName name="Sifra27">'fasaderski radovi STO '!$I$222:$I$222</definedName>
    <definedName name="Sifra28">'fasaderski radovi STO '!$I$238:$I$238</definedName>
    <definedName name="Sifra29">'fasaderski radovi STO '!$I$240:$I$240</definedName>
    <definedName name="Sifra3">'fasaderski radovi STO '!$I$41:$I$41</definedName>
    <definedName name="Sifra30">'fasaderski radovi STO '!$I$260:$I$260</definedName>
    <definedName name="Sifra31">'fasaderski radovi STO '!$I$262:$I$262</definedName>
    <definedName name="Sifra32">'fasaderski radovi STO '!$I$276:$I$276</definedName>
    <definedName name="Sifra33">'fasaderski radovi STO '!$I$285:$I$285</definedName>
    <definedName name="Sifra34">'fasaderski radovi STO '!$I$287:$I$287</definedName>
    <definedName name="Sifra4">'fasaderski radovi STO '!$I$43:$I$43</definedName>
    <definedName name="Sifra5">'fasaderski radovi STO '!$I$52:$I$52</definedName>
    <definedName name="Sifra6">'fasaderski radovi STO '!$I$54:$I$54</definedName>
    <definedName name="Sifra7">'fasaderski radovi STO '!$I$56:$I$56</definedName>
    <definedName name="Sifra8">'fasaderski radovi STO '!$I$58:$I$58</definedName>
    <definedName name="Sifra9">'fasaderski radovi STO '!$I$76:$I$76</definedName>
  </definedNames>
  <calcPr calcId="191029"/>
</workbook>
</file>

<file path=xl/calcChain.xml><?xml version="1.0" encoding="utf-8"?>
<calcChain xmlns="http://schemas.openxmlformats.org/spreadsheetml/2006/main">
  <c r="L18" i="2" l="1"/>
  <c r="N18" i="2"/>
  <c r="L20" i="2"/>
  <c r="N20" i="2"/>
  <c r="L22" i="2"/>
  <c r="N22" i="2"/>
  <c r="L24" i="2"/>
  <c r="N24" i="2"/>
  <c r="L26" i="2"/>
  <c r="N26" i="2"/>
  <c r="L28" i="2"/>
  <c r="N28" i="2"/>
  <c r="L30" i="2"/>
  <c r="N30" i="2"/>
  <c r="L33" i="2"/>
  <c r="N33" i="2"/>
  <c r="L35" i="2"/>
  <c r="N35" i="2"/>
  <c r="G37" i="2"/>
  <c r="N37" i="2" s="1"/>
  <c r="G39" i="2"/>
  <c r="N39" i="2" s="1"/>
  <c r="G41" i="2"/>
  <c r="N41" i="2" s="1"/>
  <c r="G43" i="2"/>
  <c r="L43" i="2" s="1"/>
  <c r="L45" i="2"/>
  <c r="N45" i="2"/>
  <c r="L48" i="2"/>
  <c r="N48" i="2"/>
  <c r="L50" i="2"/>
  <c r="N50" i="2"/>
  <c r="G52" i="2"/>
  <c r="N52" i="2" s="1"/>
  <c r="G54" i="2"/>
  <c r="L54" i="2" s="1"/>
  <c r="G56" i="2"/>
  <c r="L56" i="2" s="1"/>
  <c r="G58" i="2"/>
  <c r="L58" i="2" s="1"/>
  <c r="L60" i="2"/>
  <c r="N60" i="2"/>
  <c r="L62" i="2"/>
  <c r="N62" i="2"/>
  <c r="L64" i="2"/>
  <c r="N64" i="2"/>
  <c r="L66" i="2"/>
  <c r="N66" i="2"/>
  <c r="L68" i="2"/>
  <c r="N68" i="2"/>
  <c r="L70" i="2"/>
  <c r="N70" i="2"/>
  <c r="L72" i="2"/>
  <c r="N72" i="2"/>
  <c r="L74" i="2"/>
  <c r="N74" i="2"/>
  <c r="G76" i="2"/>
  <c r="N76" i="2" s="1"/>
  <c r="G78" i="2"/>
  <c r="L78" i="2" s="1"/>
  <c r="L80" i="2"/>
  <c r="N80" i="2"/>
  <c r="L82" i="2"/>
  <c r="N82" i="2"/>
  <c r="L84" i="2"/>
  <c r="N84" i="2"/>
  <c r="L86" i="2"/>
  <c r="N86" i="2"/>
  <c r="L88" i="2"/>
  <c r="N88" i="2"/>
  <c r="L90" i="2"/>
  <c r="N90" i="2"/>
  <c r="L92" i="2"/>
  <c r="N92" i="2"/>
  <c r="G94" i="2"/>
  <c r="L94" i="2" s="1"/>
  <c r="G96" i="2"/>
  <c r="N96" i="2" s="1"/>
  <c r="L98" i="2"/>
  <c r="N98" i="2"/>
  <c r="L100" i="2"/>
  <c r="N100" i="2"/>
  <c r="L102" i="2"/>
  <c r="N102" i="2"/>
  <c r="L104" i="2"/>
  <c r="N104" i="2"/>
  <c r="L106" i="2"/>
  <c r="N106" i="2"/>
  <c r="L108" i="2"/>
  <c r="N108" i="2"/>
  <c r="L110" i="2"/>
  <c r="N110" i="2"/>
  <c r="L112" i="2"/>
  <c r="N112" i="2"/>
  <c r="L114" i="2"/>
  <c r="N114" i="2"/>
  <c r="G116" i="2"/>
  <c r="N116" i="2" s="1"/>
  <c r="G118" i="2"/>
  <c r="N118" i="2" s="1"/>
  <c r="L120" i="2"/>
  <c r="N120" i="2"/>
  <c r="L122" i="2"/>
  <c r="N122" i="2"/>
  <c r="L124" i="2"/>
  <c r="N124" i="2"/>
  <c r="L126" i="2"/>
  <c r="N126" i="2"/>
  <c r="L128" i="2"/>
  <c r="N128" i="2"/>
  <c r="L130" i="2"/>
  <c r="N130" i="2"/>
  <c r="G132" i="2"/>
  <c r="L132" i="2" s="1"/>
  <c r="L134" i="2"/>
  <c r="N134" i="2"/>
  <c r="L136" i="2"/>
  <c r="N136" i="2"/>
  <c r="L138" i="2"/>
  <c r="N138" i="2"/>
  <c r="G140" i="2"/>
  <c r="L140" i="2" s="1"/>
  <c r="G142" i="2"/>
  <c r="L142" i="2" s="1"/>
  <c r="L160" i="2"/>
  <c r="N160" i="2"/>
  <c r="L162" i="2"/>
  <c r="N162" i="2"/>
  <c r="L164" i="2"/>
  <c r="N164" i="2"/>
  <c r="L166" i="2"/>
  <c r="N166" i="2"/>
  <c r="L168" i="2"/>
  <c r="N168" i="2"/>
  <c r="L170" i="2"/>
  <c r="N170" i="2"/>
  <c r="L172" i="2"/>
  <c r="N172" i="2"/>
  <c r="L176" i="2"/>
  <c r="N176" i="2"/>
  <c r="L178" i="2"/>
  <c r="N178" i="2"/>
  <c r="G180" i="2"/>
  <c r="L180" i="2" s="1"/>
  <c r="G182" i="2"/>
  <c r="L182" i="2" s="1"/>
  <c r="G184" i="2"/>
  <c r="L184" i="2" s="1"/>
  <c r="G186" i="2"/>
  <c r="L186" i="2" s="1"/>
  <c r="L188" i="2"/>
  <c r="N188" i="2"/>
  <c r="L192" i="2"/>
  <c r="N192" i="2"/>
  <c r="L194" i="2"/>
  <c r="N194" i="2"/>
  <c r="G196" i="2"/>
  <c r="L196" i="2" s="1"/>
  <c r="G198" i="2"/>
  <c r="L198" i="2" s="1"/>
  <c r="G200" i="2"/>
  <c r="L200" i="2" s="1"/>
  <c r="G202" i="2"/>
  <c r="N202" i="2" s="1"/>
  <c r="L204" i="2"/>
  <c r="N204" i="2"/>
  <c r="L206" i="2"/>
  <c r="N206" i="2"/>
  <c r="L208" i="2"/>
  <c r="N208" i="2"/>
  <c r="L210" i="2"/>
  <c r="N210" i="2"/>
  <c r="L212" i="2"/>
  <c r="N212" i="2"/>
  <c r="L214" i="2"/>
  <c r="N214" i="2"/>
  <c r="L216" i="2"/>
  <c r="N216" i="2"/>
  <c r="L218" i="2"/>
  <c r="N218" i="2"/>
  <c r="G220" i="2"/>
  <c r="L220" i="2" s="1"/>
  <c r="G222" i="2"/>
  <c r="L222" i="2" s="1"/>
  <c r="L224" i="2"/>
  <c r="N224" i="2"/>
  <c r="L226" i="2"/>
  <c r="N226" i="2"/>
  <c r="L228" i="2"/>
  <c r="N228" i="2"/>
  <c r="L230" i="2"/>
  <c r="N230" i="2"/>
  <c r="L232" i="2"/>
  <c r="N232" i="2"/>
  <c r="L234" i="2"/>
  <c r="N234" i="2"/>
  <c r="L236" i="2"/>
  <c r="N236" i="2"/>
  <c r="G238" i="2"/>
  <c r="L238" i="2" s="1"/>
  <c r="G240" i="2"/>
  <c r="L240" i="2" s="1"/>
  <c r="L242" i="2"/>
  <c r="N242" i="2"/>
  <c r="L244" i="2"/>
  <c r="N244" i="2"/>
  <c r="L246" i="2"/>
  <c r="N246" i="2"/>
  <c r="L248" i="2"/>
  <c r="N248" i="2"/>
  <c r="L250" i="2"/>
  <c r="N250" i="2"/>
  <c r="L252" i="2"/>
  <c r="N252" i="2"/>
  <c r="L254" i="2"/>
  <c r="N254" i="2"/>
  <c r="L256" i="2"/>
  <c r="N256" i="2"/>
  <c r="L258" i="2"/>
  <c r="N258" i="2"/>
  <c r="G260" i="2"/>
  <c r="L260" i="2" s="1"/>
  <c r="G262" i="2"/>
  <c r="L262" i="2" s="1"/>
  <c r="L264" i="2"/>
  <c r="N264" i="2"/>
  <c r="L266" i="2"/>
  <c r="N266" i="2"/>
  <c r="L268" i="2"/>
  <c r="N268" i="2"/>
  <c r="L270" i="2"/>
  <c r="N270" i="2"/>
  <c r="L272" i="2"/>
  <c r="N272" i="2"/>
  <c r="L274" i="2"/>
  <c r="N274" i="2"/>
  <c r="G276" i="2"/>
  <c r="L276" i="2" s="1"/>
  <c r="L278" i="2"/>
  <c r="N278" i="2"/>
  <c r="L280" i="2"/>
  <c r="N280" i="2"/>
  <c r="L283" i="2"/>
  <c r="N283" i="2"/>
  <c r="G285" i="2"/>
  <c r="L285" i="2" s="1"/>
  <c r="G287" i="2"/>
  <c r="L287" i="2" s="1"/>
  <c r="N140" i="2" l="1"/>
  <c r="L76" i="2"/>
  <c r="L52" i="2"/>
  <c r="L118" i="2"/>
  <c r="N260" i="2"/>
  <c r="N276" i="2"/>
  <c r="N142" i="2"/>
  <c r="N238" i="2"/>
  <c r="L96" i="2"/>
  <c r="L202" i="2"/>
  <c r="G289" i="2" s="1"/>
  <c r="G291" i="2" s="1"/>
  <c r="L41" i="2"/>
  <c r="N56" i="2"/>
  <c r="N222" i="2"/>
  <c r="N186" i="2"/>
  <c r="L39" i="2"/>
  <c r="N287" i="2"/>
  <c r="N54" i="2"/>
  <c r="L37" i="2"/>
  <c r="N132" i="2"/>
  <c r="N94" i="2"/>
  <c r="N58" i="2"/>
  <c r="N78" i="2"/>
  <c r="N285" i="2"/>
  <c r="N240" i="2"/>
  <c r="N198" i="2"/>
  <c r="N182" i="2"/>
  <c r="N180" i="2"/>
  <c r="N220" i="2"/>
  <c r="N262" i="2"/>
  <c r="N200" i="2"/>
  <c r="N184" i="2"/>
  <c r="L116" i="2"/>
  <c r="N196" i="2"/>
  <c r="N43" i="2"/>
  <c r="G144" i="2" l="1"/>
  <c r="G304" i="2" s="1"/>
  <c r="G327" i="2"/>
  <c r="G313" i="2"/>
  <c r="G293" i="2"/>
  <c r="G315" i="2"/>
  <c r="G146" i="2" l="1"/>
  <c r="G295" i="2"/>
  <c r="G317" i="2"/>
  <c r="G319" i="2" s="1"/>
  <c r="G306" i="2"/>
  <c r="G148" i="2"/>
  <c r="G308" i="2" l="1"/>
  <c r="G310" i="2" s="1"/>
  <c r="G150" i="2"/>
  <c r="G297" i="2" s="1"/>
  <c r="G299" i="2" l="1"/>
  <c r="G325" i="2" s="1"/>
  <c r="G322" i="2"/>
</calcChain>
</file>

<file path=xl/sharedStrings.xml><?xml version="1.0" encoding="utf-8"?>
<sst xmlns="http://schemas.openxmlformats.org/spreadsheetml/2006/main" count="319" uniqueCount="220">
  <si>
    <t>Stavka</t>
  </si>
  <si>
    <t>Opis</t>
  </si>
  <si>
    <t>Jmj</t>
  </si>
  <si>
    <t>Količina</t>
  </si>
  <si>
    <t>Cijena</t>
  </si>
  <si>
    <t>Iznos</t>
  </si>
  <si>
    <t>Napomena</t>
  </si>
  <si>
    <r>
      <rPr>
        <b/>
        <sz val="9"/>
        <color rgb="FF000000"/>
        <rFont val="Arial"/>
        <family val="2"/>
      </rPr>
      <t>Stambena građevina Srebrnjak</t>
    </r>
  </si>
  <si>
    <r>
      <rPr>
        <b/>
        <sz val="9"/>
        <color rgb="FF000000"/>
        <rFont val="Arial"/>
        <family val="2"/>
      </rPr>
      <t>Ugovorni radovi</t>
    </r>
  </si>
  <si>
    <r>
      <rPr>
        <b/>
        <sz val="9"/>
        <color rgb="FF000000"/>
        <rFont val="Arial"/>
        <family val="2"/>
      </rPr>
      <t>ZGRADA 1</t>
    </r>
  </si>
  <si>
    <r>
      <rPr>
        <b/>
        <sz val="9"/>
        <color rgb="FF000000"/>
        <rFont val="Arial"/>
        <family val="2"/>
      </rPr>
      <t>A</t>
    </r>
  </si>
  <si>
    <r>
      <rPr>
        <b/>
        <sz val="9"/>
        <color rgb="FF000000"/>
        <rFont val="Arial"/>
        <family val="2"/>
      </rPr>
      <t>TROŠKOVNIK GRAĐEVINSKIH I OBRTNIČKIH RADOVA</t>
    </r>
  </si>
  <si>
    <r>
      <rPr>
        <b/>
        <sz val="9"/>
        <color rgb="FF000000"/>
        <rFont val="Arial"/>
        <family val="2"/>
      </rPr>
      <t>A.1.</t>
    </r>
  </si>
  <si>
    <r>
      <rPr>
        <b/>
        <sz val="9"/>
        <color rgb="FF000000"/>
        <rFont val="Arial"/>
        <family val="2"/>
      </rPr>
      <t>GRAĐEVINSKI RADOVI</t>
    </r>
  </si>
  <si>
    <r>
      <rPr>
        <b/>
        <sz val="9"/>
        <color rgb="FF000000"/>
        <rFont val="Arial"/>
        <family val="2"/>
      </rPr>
      <t>A.1.6.</t>
    </r>
  </si>
  <si>
    <r>
      <rPr>
        <b/>
        <sz val="9"/>
        <color rgb="FF000000"/>
        <rFont val="Arial"/>
        <family val="2"/>
      </rPr>
      <t>ZIDARSKO FASADERSKI RADOVI</t>
    </r>
  </si>
  <si>
    <r>
      <rPr>
        <b/>
        <sz val="9"/>
        <color rgb="FF000000"/>
        <rFont val="Arial"/>
        <family val="2"/>
      </rPr>
      <t>Fasadne obloge</t>
    </r>
  </si>
  <si>
    <r>
      <rPr>
        <b/>
        <sz val="9"/>
        <color rgb="FF000000"/>
        <rFont val="Arial"/>
        <family val="2"/>
      </rPr>
      <t>Posebni uvjeti za fasadne obloge :</t>
    </r>
  </si>
  <si>
    <r>
      <rPr>
        <b/>
        <sz val="9"/>
        <color rgb="FF000000"/>
        <rFont val="Arial"/>
        <family val="2"/>
      </rPr>
      <t>/a</t>
    </r>
  </si>
  <si>
    <r>
      <rPr>
        <sz val="9"/>
        <color rgb="FF000000"/>
        <rFont val="Arial"/>
        <family val="2"/>
      </rPr>
      <t xml:space="preserve">Sve vidljive površine toplinsko-izolacijskih materijala te donje i gornje završetke na kojima nisu ugrađeni prikladni profili, potrebno je obraditi armaturnim slojem i završnom žbukom te na taj način zaštititi od izravnog prodora vlage, oštećenja koja mogu uzrokovati insekti, glodavci i sl., kao i od izravnog plamena u slučaju požara. </t>
    </r>
  </si>
  <si>
    <r>
      <rPr>
        <b/>
        <sz val="9"/>
        <color rgb="FF000000"/>
        <rFont val="Arial"/>
        <family val="2"/>
      </rPr>
      <t>/b</t>
    </r>
  </si>
  <si>
    <r>
      <rPr>
        <sz val="9"/>
        <color rgb="FF000000"/>
        <rFont val="Arial"/>
        <family val="2"/>
      </rPr>
      <t xml:space="preserve">Naknadno izravnavanje izvedenog fasadnog sustava nije dozvoljeno. </t>
    </r>
  </si>
  <si>
    <r>
      <rPr>
        <b/>
        <sz val="9"/>
        <color rgb="FF000000"/>
        <rFont val="Arial"/>
        <family val="2"/>
      </rPr>
      <t>/c</t>
    </r>
  </si>
  <si>
    <r>
      <rPr>
        <sz val="9"/>
        <color rgb="FF000000"/>
        <rFont val="Arial"/>
        <family val="2"/>
      </rPr>
      <t>Sve spojeve kao i sve prodore  potrebno je izvesti odgovarajućim priključnim profilima ili brtvenim trakama kako bi sustav bio zaštićen od prodora vlage.</t>
    </r>
  </si>
  <si>
    <r>
      <rPr>
        <sz val="9"/>
        <color rgb="FF000000"/>
        <rFont val="Arial"/>
        <family val="2"/>
      </rPr>
      <t>Obračun:</t>
    </r>
    <r>
      <rPr>
        <sz val="9"/>
        <color rgb="FF000000"/>
        <rFont val="Arial"/>
        <family val="2"/>
      </rPr>
      <t xml:space="preserve">
</t>
    </r>
    <r>
      <rPr>
        <sz val="9"/>
        <color rgb="FF000000"/>
        <rFont val="Arial"/>
        <family val="2"/>
      </rPr>
      <t>Otvori veličine do 3,0 m2 ne odbijaju se i njihove se uložine ne obračunavaju</t>
    </r>
    <r>
      <rPr>
        <sz val="9"/>
        <color rgb="FF000000"/>
        <rFont val="Arial"/>
        <family val="2"/>
      </rPr>
      <t xml:space="preserve">
</t>
    </r>
    <r>
      <rPr>
        <sz val="9"/>
        <color rgb="FF000000"/>
        <rFont val="Arial"/>
        <family val="2"/>
      </rPr>
      <t>Kod otvora veličine 3,0 - 5,0 m2 odbija se površina preko 3,0 m2, a uložine se ne obračunavaju posebno</t>
    </r>
    <r>
      <rPr>
        <sz val="9"/>
        <color rgb="FF000000"/>
        <rFont val="Arial"/>
        <family val="2"/>
      </rPr>
      <t xml:space="preserve">
</t>
    </r>
    <r>
      <rPr>
        <sz val="9"/>
        <color rgb="FF000000"/>
        <rFont val="Arial"/>
        <family val="2"/>
      </rPr>
      <t>Kod otvora veličine preko 5,0 m2 odbija se površina preko 3,0 m2, a uložine se obračunavaju posebno</t>
    </r>
    <r>
      <rPr>
        <sz val="9"/>
        <color rgb="FF000000"/>
        <rFont val="Arial"/>
        <family val="2"/>
      </rPr>
      <t xml:space="preserve">
</t>
    </r>
    <r>
      <rPr>
        <sz val="9"/>
        <color rgb="FF000000"/>
        <rFont val="Arial"/>
        <family val="2"/>
      </rPr>
      <t>Razvijene površine do 12 cm, za 1,00 m računa se 0,35 m2</t>
    </r>
    <r>
      <rPr>
        <sz val="9"/>
        <color rgb="FF000000"/>
        <rFont val="Arial"/>
        <family val="2"/>
      </rPr>
      <t xml:space="preserve">
</t>
    </r>
    <r>
      <rPr>
        <sz val="9"/>
        <color rgb="FF000000"/>
        <rFont val="Arial"/>
        <family val="2"/>
      </rPr>
      <t>Razvijene površine od 12 do 18 cm, za 1,00 m računa se 0,50 m2</t>
    </r>
    <r>
      <rPr>
        <sz val="9"/>
        <color rgb="FF000000"/>
        <rFont val="Arial"/>
        <family val="2"/>
      </rPr>
      <t xml:space="preserve">
</t>
    </r>
    <r>
      <rPr>
        <sz val="9"/>
        <color rgb="FF000000"/>
        <rFont val="Arial"/>
        <family val="2"/>
      </rPr>
      <t>Razvijene površine od 18 do 25 cm, za 1,00 m računa se 0,75 m2</t>
    </r>
    <r>
      <rPr>
        <sz val="9"/>
        <color rgb="FF000000"/>
        <rFont val="Arial"/>
        <family val="2"/>
      </rPr>
      <t xml:space="preserve">
</t>
    </r>
    <r>
      <rPr>
        <sz val="9"/>
        <color rgb="FF000000"/>
        <rFont val="Arial"/>
        <family val="2"/>
      </rPr>
      <t>Razvijene površine od 25 do 50 cm, za 1,00 m računa se 1,00 m2</t>
    </r>
    <r>
      <rPr>
        <sz val="9"/>
        <color rgb="FF000000"/>
        <rFont val="Arial"/>
        <family val="2"/>
      </rPr>
      <t xml:space="preserve">
</t>
    </r>
    <r>
      <rPr>
        <sz val="9"/>
        <color rgb="FF000000"/>
        <rFont val="Arial"/>
        <family val="2"/>
      </rPr>
      <t>Razvijene površine od 50 do 75 cm, za 1,00 m računa se 1,25 m2</t>
    </r>
    <r>
      <rPr>
        <sz val="9"/>
        <color rgb="FF000000"/>
        <rFont val="Arial"/>
        <family val="2"/>
      </rPr>
      <t xml:space="preserve">
</t>
    </r>
    <r>
      <rPr>
        <sz val="9"/>
        <color rgb="FF000000"/>
        <rFont val="Arial"/>
        <family val="2"/>
      </rPr>
      <t>Razvijene površine od 75 do 100 cm, za 1,00 m računa se 1,50 m2</t>
    </r>
    <r>
      <rPr>
        <sz val="9"/>
        <color rgb="FF000000"/>
        <rFont val="Arial"/>
        <family val="2"/>
      </rPr>
      <t xml:space="preserve">
</t>
    </r>
    <r>
      <rPr>
        <sz val="9"/>
        <color rgb="FF000000"/>
        <rFont val="Arial"/>
        <family val="2"/>
      </rPr>
      <t>Razvijene površine od 100 do 125 cm, za 1,00 m računa se 1,75 m2</t>
    </r>
    <r>
      <rPr>
        <sz val="9"/>
        <color rgb="FF000000"/>
        <rFont val="Arial"/>
        <family val="2"/>
      </rPr>
      <t xml:space="preserve">
</t>
    </r>
    <r>
      <rPr>
        <sz val="9"/>
        <color rgb="FF000000"/>
        <rFont val="Arial"/>
        <family val="2"/>
      </rPr>
      <t>Razvijene površine od 125 do 150 cm, za 1,00 m računa se 2,00 m2</t>
    </r>
  </si>
  <si>
    <r>
      <rPr>
        <b/>
        <sz val="9"/>
        <color rgb="FF000000"/>
        <rFont val="Arial"/>
        <family val="2"/>
      </rPr>
      <t>14</t>
    </r>
  </si>
  <si>
    <r>
      <rPr>
        <b/>
        <sz val="9"/>
        <color rgb="FF000000"/>
        <rFont val="Arial"/>
        <family val="2"/>
      </rPr>
      <t>Izvedba StoTherm Mineral 1</t>
    </r>
  </si>
  <si>
    <r>
      <rPr>
        <sz val="9"/>
        <color rgb="FF000000"/>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mineralne vune kao KI FKD-S Thermal koeficijent toplinske provodljivosti 0,035 W/mK, koeficijent otpora difuziji vodene pare 1.
Ploče lijepiti na suhu nosivu podlogu, nanošenjem bijelog, mineralnog ljepila  visoke difuzivnosti (µ&lt;</t>
    </r>
    <r>
      <rPr>
        <sz val="9"/>
        <color rgb="FF000000"/>
        <rFont val="Arial"/>
        <family val="2"/>
      </rPr>
      <t xml:space="preserve"> 35) kao StoLevell Uni na rubove ploče i točkasto u sredini (min. 40 %), čvrsto zbijanje rubova.                                                              
</t>
    </r>
  </si>
  <si>
    <r>
      <rPr>
        <sz val="9"/>
        <color rgb="FF000000"/>
        <rFont val="Arial"/>
        <family val="2"/>
      </rPr>
      <t>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t>
    </r>
  </si>
  <si>
    <r>
      <rPr>
        <sz val="9"/>
        <color rgb="FF000000"/>
        <rFont val="Arial"/>
        <family val="2"/>
      </rPr>
      <t xml:space="preserve">Na podlogu nanijeti temeljni premaz, otporan na alkalije koji poboljšava prionjivost završnog sloja. Koristiti temeljni premaz kao Sto-Putzgrund na bazi disperzije s punilom i pigmentom, u tonu završnog sloja. </t>
    </r>
    <r>
      <rPr>
        <sz val="9"/>
        <color rgb="FF000000"/>
        <rFont val="Arial"/>
        <family val="2"/>
      </rPr>
      <t xml:space="preserve">
</t>
    </r>
    <r>
      <rPr>
        <sz val="9"/>
        <color rgb="FF000000"/>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r>
      <rPr>
        <sz val="9"/>
        <color rgb="FF000000"/>
        <rFont val="Arial"/>
        <family val="2"/>
      </rPr>
      <t xml:space="preserve">
</t>
    </r>
    <r>
      <rPr>
        <sz val="9"/>
        <color rgb="FF000000"/>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rgb="FF000000"/>
        <rFont val="Arial"/>
        <family val="2"/>
      </rPr>
      <t xml:space="preserve">
</t>
    </r>
    <r>
      <rPr>
        <sz val="9"/>
        <color rgb="FF000000"/>
        <rFont val="Arial"/>
        <family val="2"/>
      </rPr>
      <t>Oznaka sloja: VZ3, VZ6</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</si>
  <si>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 14 cm</t>
    </r>
  </si>
  <si>
    <t>m2</t>
  </si>
  <si>
    <r>
      <rPr>
        <sz val="9"/>
        <color rgb="FF000000"/>
        <rFont val="Arial"/>
        <family val="2"/>
      </rPr>
      <t>b) fasadna obloga</t>
    </r>
  </si>
  <si>
    <r>
      <rPr>
        <sz val="9"/>
        <color rgb="FF000000"/>
        <rFont val="Arial"/>
        <family val="2"/>
      </rPr>
      <t>c) izolacija 5 cm</t>
    </r>
  </si>
  <si>
    <r>
      <rPr>
        <sz val="9"/>
        <color rgb="FF000000"/>
        <rFont val="Arial"/>
        <family val="2"/>
      </rPr>
      <t>d) fasadna obloga</t>
    </r>
  </si>
  <si>
    <r>
      <rPr>
        <b/>
        <sz val="9"/>
        <color rgb="FF000000"/>
        <rFont val="Arial"/>
        <family val="2"/>
      </rPr>
      <t>17</t>
    </r>
  </si>
  <si>
    <r>
      <rPr>
        <b/>
        <sz val="9"/>
        <color rgb="FF000000"/>
        <rFont val="Arial"/>
        <family val="2"/>
      </rPr>
      <t>Izvedba sokla StoTherm Mineral 1</t>
    </r>
  </si>
  <si>
    <r>
      <rPr>
        <sz val="9"/>
        <color rgb="FF000000"/>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ekstrudiranog polistirena kao KI FKD-S Thermal koeficijent toplinske provodljivosti 0,035 W/mK, koeficijent otpora difuziji vodene pare 1.             
Ploče lijepiti na suhu nosivu podlogu, nanošenjem bijelog, mineralnog ljepila  visoke difuzivnosti (µ&lt;</t>
    </r>
    <r>
      <rPr>
        <sz val="9"/>
        <color rgb="FF000000"/>
        <rFont val="Arial"/>
        <family val="2"/>
      </rPr>
      <t xml:space="preserve"> 35) kao StoLevell Uni na rubove ploče i točkasto u sredini (min. 40 %), čvrsto zbijanje rubova.
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t>
    </r>
  </si>
  <si>
    <r>
      <rPr>
        <sz val="9"/>
        <color rgb="FF000000"/>
        <rFont val="Arial"/>
        <family val="2"/>
      </rPr>
      <t xml:space="preserve">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</si>
  <si>
    <r>
      <rPr>
        <sz val="9"/>
        <color rgb="FF000000"/>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rgb="FF000000"/>
        <rFont val="Arial"/>
        <family val="2"/>
      </rPr>
      <t xml:space="preserve">
</t>
    </r>
    <r>
      <rPr>
        <sz val="9"/>
        <color rgb="FF000000"/>
        <rFont val="Arial"/>
        <family val="2"/>
      </rPr>
      <t>Oznaka sloja: VZ3, VZ6</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</si>
  <si>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 XPS 14 cm</t>
    </r>
  </si>
  <si>
    <r>
      <rPr>
        <sz val="9"/>
        <color rgb="FF000000"/>
        <rFont val="Arial"/>
        <family val="2"/>
      </rPr>
      <t>b) fasadna obloga</t>
    </r>
  </si>
  <si>
    <r>
      <rPr>
        <sz val="9"/>
        <color rgb="FF000000"/>
        <rFont val="Arial"/>
        <family val="2"/>
      </rPr>
      <t>c) izolacija XPS 5 cm</t>
    </r>
  </si>
  <si>
    <r>
      <rPr>
        <sz val="9"/>
        <color rgb="FF000000"/>
        <rFont val="Arial"/>
        <family val="2"/>
      </rPr>
      <t>d) fasadna obloga</t>
    </r>
  </si>
  <si>
    <r>
      <rPr>
        <b/>
        <sz val="9"/>
        <color rgb="FF000000"/>
        <rFont val="Arial"/>
        <family val="2"/>
      </rPr>
      <t>ETISC</t>
    </r>
  </si>
  <si>
    <r>
      <rPr>
        <b/>
        <sz val="9"/>
        <color rgb="FF000000"/>
        <rFont val="Arial"/>
        <family val="2"/>
      </rPr>
      <t>22</t>
    </r>
  </si>
  <si>
    <r>
      <rPr>
        <b/>
        <sz val="9"/>
        <color rgb="FF000000"/>
        <rFont val="Arial"/>
        <family val="2"/>
      </rPr>
      <t>Izvedba ETISC fasadnog sustava sa završnom žbukom- instalacijsi šahtovi i atika krova</t>
    </r>
  </si>
  <si>
    <r>
      <rPr>
        <sz val="9"/>
        <color rgb="FF000000"/>
        <rFont val="Arial"/>
        <family val="2"/>
      </rPr>
      <t>Dobava i ugradnja svih potrebnih materijala za izvedbu etisc fasadnog sustava sa izolacijskim pločama tvrde kamene vune, d= 5 cm sa završnom obradom žbukom na bazi silikata.  Klasificirani sustav A1.</t>
    </r>
    <r>
      <rPr>
        <sz val="9"/>
        <color rgb="FF000000"/>
        <rFont val="Arial"/>
        <family val="2"/>
      </rPr>
      <t xml:space="preserve">
</t>
    </r>
    <r>
      <rPr>
        <sz val="9"/>
        <color rgb="FF000000"/>
        <rFont val="Arial"/>
        <family val="2"/>
      </rPr>
      <t xml:space="preserve">Cijena stavke uključuje dobavu i postavu svih elemenata i komponenti do potpune gotovosti i vodonepropusnosti sustava. Prije izvođenja dužnost je izvođača i obračunato je u stavci pripremiti i po potrebi očistiti podlogu, provjeriti stanje i nosivost podloge, ukloniti sve nenosive dijelove, ukloniti sve masnoće i tvari koje razdvajaju. </t>
    </r>
    <r>
      <rPr>
        <sz val="9"/>
        <color rgb="FF000000"/>
        <rFont val="Arial"/>
        <family val="2"/>
      </rPr>
      <t xml:space="preserve">
</t>
    </r>
    <r>
      <rPr>
        <sz val="9"/>
        <color rgb="FF000000"/>
        <rFont val="Arial"/>
        <family val="2"/>
      </rPr>
      <t xml:space="preserve">Stavka uključuje slojeve sustava: </t>
    </r>
  </si>
  <si>
    <t>a)</t>
  </si>
  <si>
    <r>
      <rPr>
        <sz val="9"/>
        <color rgb="FF000000"/>
        <rFont val="Arial"/>
        <family val="2"/>
      </rPr>
      <t xml:space="preserve">Ploče tvrde kamene vune d= 5 cm, ploče lijepljene odgovarajućim ljepilom, brtvljene na spojevima, dodatno mehanički sidrene u podlogu.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</si>
  <si>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t>b)</t>
  </si>
  <si>
    <r>
      <rPr>
        <sz val="9"/>
        <color rgb="FF000000"/>
        <rFont val="Arial"/>
        <family val="2"/>
      </rPr>
      <t xml:space="preserve">Kompletno armiranje izolacijskih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                                                             </t>
    </r>
  </si>
  <si>
    <t xml:space="preserve">  c)  </t>
  </si>
  <si>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</si>
  <si>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t>d)</t>
  </si>
  <si>
    <r>
      <rPr>
        <sz val="9"/>
        <color rgb="FF000000"/>
        <rFont val="Arial"/>
        <family val="2"/>
      </rPr>
      <t>Nanošenje završne žbuke na bazi silikata</t>
    </r>
  </si>
  <si>
    <r>
      <rPr>
        <sz val="9"/>
        <color rgb="FF000000"/>
        <rFont val="Arial"/>
        <family val="2"/>
      </rPr>
      <t xml:space="preserve">Stavka uključuje sav potreban rad i materijal te sve potrebne pripremne radnje za izvedbu slojeva fasade, te sav spojni i  pričvrsni materijal. </t>
    </r>
    <r>
      <rPr>
        <sz val="9"/>
        <color rgb="FF000000"/>
        <rFont val="Arial"/>
        <family val="2"/>
      </rPr>
      <t xml:space="preserve">
</t>
    </r>
    <r>
      <rPr>
        <sz val="9"/>
        <color rgb="FF000000"/>
        <rFont val="Arial"/>
        <family val="2"/>
      </rPr>
      <t>Oznaka sloja: VZ5, instacijski šahtovi nadvišenje dizala</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</si>
  <si>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t>
    </r>
  </si>
  <si>
    <r>
      <rPr>
        <sz val="9"/>
        <color rgb="FF000000"/>
        <rFont val="Arial"/>
        <family val="2"/>
      </rPr>
      <t>b) završna žbuka</t>
    </r>
  </si>
  <si>
    <r>
      <rPr>
        <b/>
        <sz val="9"/>
        <color rgb="FF000000"/>
        <rFont val="Arial"/>
        <family val="2"/>
      </rPr>
      <t>23</t>
    </r>
  </si>
  <si>
    <r>
      <rPr>
        <b/>
        <sz val="9"/>
        <color rgb="FF000000"/>
        <rFont val="Arial"/>
        <family val="2"/>
      </rPr>
      <t xml:space="preserve">Izvedba ETICS fasade - sokl </t>
    </r>
  </si>
  <si>
    <r>
      <rPr>
        <sz val="9"/>
        <color rgb="FF000000"/>
        <rFont val="Arial"/>
        <family val="2"/>
      </rPr>
      <t>Dobava i ugradnja svih potrebnih materijala za izvedbu ETICS fasadnog toplinsko izolacijskog sustava sa  izolacijskim pločama od ekstrudiranog polistirena i završnih slojeva žbuke na bazi silikata.  Klasificirani sustav A1.</t>
    </r>
    <r>
      <rPr>
        <sz val="9"/>
        <color rgb="FF000000"/>
        <rFont val="Arial"/>
        <family val="2"/>
      </rPr>
      <t xml:space="preserve">
</t>
    </r>
    <r>
      <rPr>
        <sz val="9"/>
        <color rgb="FF000000"/>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Sokl se izvodi u nastavku i ravnini sa gornjim dijelom fasade, bez vidljivog prijelaza, bez izvedbe razdvajajuće šine, sa istim armiranim i slojem završne silikonske žbuke. Redoslijed izvođenja gornjeg dijela fasade:</t>
    </r>
  </si>
  <si>
    <r>
      <rPr>
        <sz val="9"/>
        <color rgb="FF000000"/>
        <rFont val="Arial"/>
        <family val="2"/>
      </rPr>
      <t xml:space="preserve">Lijepljenje fasadnih izolacijskih ploča ekstrudiranog polistirena,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</si>
  <si>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r>
      <rPr>
        <sz val="9"/>
        <color rgb="FF000000"/>
        <rFont val="Arial"/>
        <family val="2"/>
      </rPr>
      <t>Kompletno armiranje izolacijskih ploča nanošenjem polimerne cementne žbuke u dva sloja isključivo iz atestiranog sustava proizvođača fasade.                                                                                                                                                                          U mort se u svježem stanju utiskuje-staklena, alkalno otporna mrežica. Pozicija mrežice u polovini do gornje trećine debljine sloja. Debljina armirnog sloja prema uputama proizvođača odabranog sustava. Obavezno dodatno ojačanje kuteva otvora dijagonalno postavljenim mrežicama dimenzija 20×40 cm ili 30×50 cm, sve iz sustava proizvođača fasade.</t>
    </r>
  </si>
  <si>
    <t>c)</t>
  </si>
  <si>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</si>
  <si>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r>
      <rPr>
        <sz val="9"/>
        <color rgb="FF000000"/>
        <rFont val="Arial"/>
        <family val="2"/>
      </rPr>
      <t>Nanošenje završne žbuke na bazi silikata</t>
    </r>
  </si>
  <si>
    <r>
      <rPr>
        <sz val="9"/>
        <color rgb="FF000000"/>
        <rFont val="Arial"/>
        <family val="2"/>
      </rPr>
      <t>Stavka uključuje sav potreban rad i materijal te sve potrebne pripremne radnje za izvedbu slojeva fasade. Sve izvesti prema uputama proizvođača odabranog fasadnog sustava.</t>
    </r>
    <r>
      <rPr>
        <sz val="9"/>
        <color rgb="FF000000"/>
        <rFont val="Arial"/>
        <family val="2"/>
      </rPr>
      <t xml:space="preserve">
</t>
    </r>
    <r>
      <rPr>
        <sz val="9"/>
        <color rgb="FF000000"/>
        <rFont val="Arial"/>
        <family val="2"/>
      </rPr>
      <t>Oznaka sloja: VZ5, instacijski šahtovi nadvišenje dizala</t>
    </r>
    <r>
      <rPr>
        <sz val="9"/>
        <color rgb="FF000000"/>
        <rFont val="Arial"/>
        <family val="2"/>
      </rPr>
      <t xml:space="preserve">
</t>
    </r>
    <r>
      <rPr>
        <sz val="9"/>
        <color rgb="FF000000"/>
        <rFont val="Arial"/>
        <family val="2"/>
      </rPr>
      <t>Obračun po m2 ugrađenih svih slojeva  fasade</t>
    </r>
  </si>
  <si>
    <r>
      <rPr>
        <sz val="9"/>
        <color rgb="FF000000"/>
        <rFont val="Arial"/>
        <family val="2"/>
      </rPr>
      <t xml:space="preserve">a) izolacija, </t>
    </r>
  </si>
  <si>
    <r>
      <rPr>
        <sz val="9"/>
        <color rgb="FF000000"/>
        <rFont val="Arial"/>
        <family val="2"/>
      </rPr>
      <t>b) završna žbuka</t>
    </r>
  </si>
  <si>
    <r>
      <rPr>
        <b/>
        <sz val="9"/>
        <color rgb="FF000000"/>
        <rFont val="Arial"/>
        <family val="2"/>
      </rPr>
      <t>PODGLEDI</t>
    </r>
  </si>
  <si>
    <r>
      <rPr>
        <b/>
        <sz val="9"/>
        <color rgb="FF000000"/>
        <rFont val="Arial"/>
        <family val="2"/>
      </rPr>
      <t>24</t>
    </r>
  </si>
  <si>
    <r>
      <rPr>
        <b/>
        <sz val="9"/>
        <color rgb="FF000000"/>
        <rFont val="Arial"/>
        <family val="2"/>
      </rPr>
      <t>Izvedba ETICS fasade u podgledu stropa</t>
    </r>
  </si>
  <si>
    <r>
      <rPr>
        <sz val="9"/>
        <color rgb="FF000000"/>
        <rFont val="Arial"/>
        <family val="2"/>
      </rPr>
      <t>Dobava i ugradnja svih potrebnih materijala za izvedbu ETICS fasadnog toplinsko izolacijskog sustava sa izolacijskim pločama tvrde kamene vune, d=8 cm i završnih slojeva žbuke.  Klasificirani sustav A1.</t>
    </r>
    <r>
      <rPr>
        <sz val="9"/>
        <color rgb="FF000000"/>
        <rFont val="Arial"/>
        <family val="2"/>
      </rPr>
      <t xml:space="preserve">
</t>
    </r>
    <r>
      <rPr>
        <sz val="9"/>
        <color rgb="FF000000"/>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</si>
  <si>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rgb="FF000000"/>
        <rFont val="Arial"/>
        <family val="2"/>
      </rPr>
      <t xml:space="preserve">Metalna potkonstrukcija unutar koje se izvodi izolacija tvrdom kamenom vunom, kaširanom i tiplanom u podgled stropa, d= 8 cm.                                                            </t>
    </r>
  </si>
  <si>
    <r>
      <rPr>
        <sz val="9"/>
        <color rgb="FF000000"/>
        <rFont val="Arial"/>
        <family val="2"/>
      </rPr>
      <t>spušteni strop od vlaknocementnih ploča, d=1,25 cm</t>
    </r>
  </si>
  <si>
    <r>
      <rPr>
        <sz val="9"/>
        <color rgb="FF000000"/>
        <rFont val="Arial"/>
        <family val="2"/>
      </rPr>
      <t>Kompletno armiranje vlaknocementnih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</si>
  <si>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</si>
  <si>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t>e)</t>
  </si>
  <si>
    <r>
      <rPr>
        <sz val="9"/>
        <color rgb="FF000000"/>
        <rFont val="Arial"/>
        <family val="2"/>
      </rPr>
      <t>Nanošenje završne  žbuke.</t>
    </r>
  </si>
  <si>
    <r>
      <rPr>
        <sz val="9"/>
        <color rgb="FF000000"/>
        <rFont val="Arial"/>
        <family val="2"/>
      </rPr>
      <t>Stavka uključuje i dodatno izoliranje oko greda.</t>
    </r>
    <r>
      <rPr>
        <sz val="9"/>
        <color rgb="FF000000"/>
        <rFont val="Arial"/>
        <family val="2"/>
      </rPr>
      <t xml:space="preserve">
</t>
    </r>
    <r>
      <rPr>
        <sz val="9"/>
        <color rgb="FF000000"/>
        <rFont val="Arial"/>
        <family val="2"/>
      </rPr>
      <t>Stavka uključuje sav potreban rad i materijal te sve potrebne pripremne radnje za izvedbu slojeva fasade. Sve izvesti prema uputama proizvođača odabranog fasadnog sustava.</t>
    </r>
    <r>
      <rPr>
        <sz val="9"/>
        <color rgb="FF000000"/>
        <rFont val="Arial"/>
        <family val="2"/>
      </rPr>
      <t xml:space="preserve">
</t>
    </r>
    <r>
      <rPr>
        <sz val="9"/>
        <color rgb="FF000000"/>
        <rFont val="Arial"/>
        <family val="2"/>
      </rPr>
      <t>Oznaka sloja:  K3, M2, trijem</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</si>
  <si>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t>
    </r>
  </si>
  <si>
    <r>
      <rPr>
        <sz val="9"/>
        <color rgb="FF000000"/>
        <rFont val="Arial"/>
        <family val="2"/>
      </rPr>
      <t>b) završna obrada</t>
    </r>
  </si>
  <si>
    <r>
      <rPr>
        <b/>
        <sz val="9"/>
        <color rgb="FF000000"/>
        <rFont val="Arial"/>
        <family val="2"/>
      </rPr>
      <t>25</t>
    </r>
  </si>
  <si>
    <r>
      <rPr>
        <b/>
        <sz val="9"/>
        <color rgb="FF000000"/>
        <rFont val="Arial"/>
        <family val="2"/>
      </rPr>
      <t>Izvedba ETICS fasade u podgledu stropa garaže</t>
    </r>
  </si>
  <si>
    <r>
      <rPr>
        <sz val="9"/>
        <color rgb="FF000000"/>
        <rFont val="Arial"/>
        <family val="2"/>
      </rPr>
      <t>Dobava i ugradnja svih potrebnih materijala za izvedbu ETICS fasadnog toplinsko izolacijskog sustava sa izolacijskim pločama tvrde kamene vune, d=8 cm i završnih slojeva žbuke.  Klasificirani sustav A1.</t>
    </r>
    <r>
      <rPr>
        <sz val="9"/>
        <color rgb="FF000000"/>
        <rFont val="Arial"/>
        <family val="2"/>
      </rPr>
      <t xml:space="preserve">
</t>
    </r>
    <r>
      <rPr>
        <sz val="9"/>
        <color rgb="FF000000"/>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</si>
  <si>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rgb="FF000000"/>
        <rFont val="Arial"/>
        <family val="2"/>
      </rPr>
      <t xml:space="preserve">Lijepljenje fasadnih izolacijskih ploča tvrde kamene vune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                                                            </t>
    </r>
  </si>
  <si>
    <r>
      <rPr>
        <sz val="9"/>
        <color rgb="FF000000"/>
        <rFont val="Arial"/>
        <family val="2"/>
      </rPr>
      <t>Kompletno armiranje izolacijskih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</si>
  <si>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</si>
  <si>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r>
      <rPr>
        <sz val="9"/>
        <color rgb="FF000000"/>
        <rFont val="Arial"/>
        <family val="2"/>
      </rPr>
      <t>Nanošenje završne  žbuke.</t>
    </r>
  </si>
  <si>
    <r>
      <rPr>
        <sz val="9"/>
        <color rgb="FF000000"/>
        <rFont val="Arial"/>
        <family val="2"/>
      </rPr>
      <t>Stavka uključuje sav potreban rad i materijal te sve potrebne pripremne radnje za izvedbu slojeva fasade. Sve izvesti prema uputama proizvođača odabranog fasadnog sustava.</t>
    </r>
    <r>
      <rPr>
        <sz val="9"/>
        <color rgb="FF000000"/>
        <rFont val="Arial"/>
        <family val="2"/>
      </rPr>
      <t xml:space="preserve">
</t>
    </r>
    <r>
      <rPr>
        <sz val="9"/>
        <color rgb="FF000000"/>
        <rFont val="Arial"/>
        <family val="2"/>
      </rPr>
      <t>Oznaka sloja:  M3</t>
    </r>
    <r>
      <rPr>
        <sz val="9"/>
        <color rgb="FF000000"/>
        <rFont val="Arial"/>
        <family val="2"/>
      </rPr>
      <t xml:space="preserve">
</t>
    </r>
    <r>
      <rPr>
        <sz val="9"/>
        <color rgb="FF000000"/>
        <rFont val="Arial"/>
        <family val="2"/>
      </rPr>
      <t>Obračun po m2 ugrađenih svih slojeva  fasade</t>
    </r>
  </si>
  <si>
    <r>
      <rPr>
        <b/>
        <sz val="9"/>
        <color rgb="FF000000"/>
        <rFont val="Arial"/>
        <family val="2"/>
      </rPr>
      <t>Obrada ogradnih zidova</t>
    </r>
  </si>
  <si>
    <r>
      <rPr>
        <b/>
        <sz val="9"/>
        <color rgb="FF000000"/>
        <rFont val="Arial"/>
        <family val="2"/>
      </rPr>
      <t>26</t>
    </r>
  </si>
  <si>
    <r>
      <rPr>
        <b/>
        <sz val="9"/>
        <color rgb="FF000000"/>
        <rFont val="Arial"/>
        <family val="2"/>
      </rPr>
      <t>Obrada ogradnih zidova fasadnom žbukom</t>
    </r>
  </si>
  <si>
    <r>
      <rPr>
        <sz val="9"/>
        <color rgb="FF000000"/>
        <rFont val="Arial"/>
        <family val="2"/>
      </rPr>
      <t>Podloga mora biti suha, čista, bez nataloženih slojeva, prljavštine, prašine ili masnoće, ravna i nosiva. Obavezna je zaštita bravarije, stolarije, klupčica i okapa.</t>
    </r>
    <r>
      <rPr>
        <sz val="9"/>
        <color rgb="FF000000"/>
        <rFont val="Arial"/>
        <family val="2"/>
      </rPr>
      <t xml:space="preserve">
</t>
    </r>
    <r>
      <rPr>
        <sz val="9"/>
        <color rgb="FF000000"/>
        <rFont val="Arial"/>
        <family val="2"/>
      </rPr>
      <t>Na podlogu nanijeti temeljni premaz, otporan na alkalije koji poboljšava prionjivost završnog sloja. Koristiti temeljni premaz kao Sto-Putzgrund na bazi disperzije s punilom i pigmentom.</t>
    </r>
    <r>
      <rPr>
        <sz val="9"/>
        <color rgb="FF000000"/>
        <rFont val="Arial"/>
        <family val="2"/>
      </rPr>
      <t xml:space="preserve">
</t>
    </r>
    <r>
      <rPr>
        <sz val="9"/>
        <color rgb="FF000000"/>
        <rFont val="Arial"/>
        <family val="2"/>
      </rPr>
      <t>Na pripremljenu podlogu nanijeti mineralnu, polimer-cementnu temeljnu žbuku, bijele boje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3-5 mm.</t>
    </r>
    <r>
      <rPr>
        <sz val="9"/>
        <color rgb="FF000000"/>
        <rFont val="Arial"/>
        <family val="2"/>
      </rPr>
      <t xml:space="preserve">
</t>
    </r>
    <r>
      <rPr>
        <sz val="9"/>
        <color rgb="FF000000"/>
        <rFont val="Arial"/>
        <family val="2"/>
      </rPr>
      <t>Obavezno dodatno ojačanje uglova otvora dijagonalno postavljenim mrežicama dimenzija 20x40 cm ili 30x50 cm.</t>
    </r>
    <r>
      <rPr>
        <sz val="9"/>
        <color rgb="FF000000"/>
        <rFont val="Arial"/>
        <family val="2"/>
      </rPr>
      <t xml:space="preserve">
</t>
    </r>
    <r>
      <rPr>
        <sz val="9"/>
        <color rgb="FF000000"/>
        <rFont val="Arial"/>
        <family val="2"/>
      </rPr>
      <t xml:space="preserve">Na podlogu nanijeti temeljni premaz, otporan na alkalije koji poboljšava prionjivost završnog sloja. Koristiti temeljni premaz kao Sto-Putzgrund na bazi disperzije s punilom i pigmentom, u tonu završnog sloja. </t>
    </r>
    <r>
      <rPr>
        <sz val="9"/>
        <color rgb="FF000000"/>
        <rFont val="Arial"/>
        <family val="2"/>
      </rPr>
      <t xml:space="preserve">
</t>
    </r>
    <r>
      <rPr>
        <sz val="9"/>
        <color rgb="FF000000"/>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r>
      <rPr>
        <sz val="9"/>
        <color rgb="FF000000"/>
        <rFont val="Arial"/>
        <family val="2"/>
      </rPr>
      <t xml:space="preserve">
</t>
    </r>
    <r>
      <rPr>
        <sz val="9"/>
        <color rgb="FF000000"/>
        <rFont val="Arial"/>
        <family val="2"/>
      </rPr>
      <t>Obračun po m2 zida  i m1 poklopnice.</t>
    </r>
  </si>
  <si>
    <r>
      <rPr>
        <sz val="9"/>
        <color rgb="FF000000"/>
        <rFont val="Arial"/>
        <family val="2"/>
      </rPr>
      <t>a) zid</t>
    </r>
  </si>
  <si>
    <r>
      <rPr>
        <sz val="9"/>
        <color rgb="FF000000"/>
        <rFont val="Arial"/>
        <family val="2"/>
      </rPr>
      <t>b) poklopnica rš 20-25 cm</t>
    </r>
  </si>
  <si>
    <t>m1</t>
  </si>
  <si>
    <r>
      <rPr>
        <b/>
        <sz val="9"/>
        <color rgb="FF000000"/>
        <rFont val="Arial"/>
        <family val="2"/>
      </rPr>
      <t>A.1.6.</t>
    </r>
  </si>
  <si>
    <r>
      <rPr>
        <b/>
        <sz val="9"/>
        <color rgb="FF000000"/>
        <rFont val="Arial"/>
        <family val="2"/>
      </rPr>
      <t>ZIDARSKO FASADERSKI RADOVI ukupno:</t>
    </r>
  </si>
  <si>
    <t>eur</t>
  </si>
  <si>
    <r>
      <rPr>
        <b/>
        <sz val="9"/>
        <color rgb="FF000000"/>
        <rFont val="Arial"/>
        <family val="2"/>
      </rPr>
      <t>A.1.</t>
    </r>
  </si>
  <si>
    <r>
      <rPr>
        <b/>
        <sz val="9"/>
        <color rgb="FF000000"/>
        <rFont val="Arial"/>
        <family val="2"/>
      </rPr>
      <t>GRAĐEVINSKI RADOVI ukupno:</t>
    </r>
  </si>
  <si>
    <r>
      <rPr>
        <b/>
        <sz val="9"/>
        <color rgb="FF000000"/>
        <rFont val="Arial"/>
        <family val="2"/>
      </rPr>
      <t>A</t>
    </r>
  </si>
  <si>
    <r>
      <rPr>
        <b/>
        <sz val="9"/>
        <color rgb="FF000000"/>
        <rFont val="Arial"/>
        <family val="2"/>
      </rPr>
      <t>TROŠKOVNIK GRAĐEVINSKIH I OBRTNIČKIH RADOVA ukupno:</t>
    </r>
  </si>
  <si>
    <r>
      <rPr>
        <b/>
        <sz val="9"/>
        <color rgb="FF000000"/>
        <rFont val="Arial"/>
        <family val="2"/>
      </rPr>
      <t>ZGRADA 1 ukupno:</t>
    </r>
  </si>
  <si>
    <r>
      <rPr>
        <b/>
        <sz val="9"/>
        <color rgb="FF000000"/>
        <rFont val="Arial"/>
        <family val="2"/>
      </rPr>
      <t>ZGRADA 2</t>
    </r>
  </si>
  <si>
    <r>
      <rPr>
        <b/>
        <sz val="9"/>
        <color rgb="FF000000"/>
        <rFont val="Arial"/>
        <family val="2"/>
      </rPr>
      <t>A</t>
    </r>
  </si>
  <si>
    <r>
      <rPr>
        <b/>
        <sz val="9"/>
        <color rgb="FF000000"/>
        <rFont val="Arial"/>
        <family val="2"/>
      </rPr>
      <t>TROŠKOVNIK GRAĐEVINSKIH I OBRTNIČKIH RADOVA</t>
    </r>
  </si>
  <si>
    <r>
      <rPr>
        <b/>
        <sz val="9"/>
        <color rgb="FF000000"/>
        <rFont val="Arial"/>
        <family val="2"/>
      </rPr>
      <t>A.1.</t>
    </r>
  </si>
  <si>
    <r>
      <rPr>
        <b/>
        <sz val="9"/>
        <color rgb="FF000000"/>
        <rFont val="Arial"/>
        <family val="2"/>
      </rPr>
      <t>GRAĐEVINSKI RADOVI</t>
    </r>
  </si>
  <si>
    <r>
      <rPr>
        <b/>
        <sz val="9"/>
        <color rgb="FF000000"/>
        <rFont val="Arial"/>
        <family val="2"/>
      </rPr>
      <t>A.1.6.</t>
    </r>
  </si>
  <si>
    <r>
      <rPr>
        <b/>
        <sz val="9"/>
        <color rgb="FF000000"/>
        <rFont val="Arial"/>
        <family val="2"/>
      </rPr>
      <t>ZIDARSKO FASADERSKI RADOVI</t>
    </r>
  </si>
  <si>
    <r>
      <rPr>
        <b/>
        <sz val="9"/>
        <color rgb="FF000000"/>
        <rFont val="Arial"/>
        <family val="2"/>
      </rPr>
      <t>Fasadne obloge</t>
    </r>
  </si>
  <si>
    <r>
      <rPr>
        <b/>
        <sz val="9"/>
        <color rgb="FF000000"/>
        <rFont val="Arial"/>
        <family val="2"/>
      </rPr>
      <t>Posebni uvjeti za fasadne obloge :</t>
    </r>
  </si>
  <si>
    <r>
      <rPr>
        <b/>
        <sz val="9"/>
        <color rgb="FF000000"/>
        <rFont val="Arial"/>
        <family val="2"/>
      </rPr>
      <t>/a</t>
    </r>
  </si>
  <si>
    <r>
      <rPr>
        <sz val="9"/>
        <color rgb="FF000000"/>
        <rFont val="Arial"/>
        <family val="2"/>
      </rPr>
      <t xml:space="preserve">Sve vidljive površine toplinsko-izolacijskih materijala te donje i gornje završetke na kojima nisu ugrađeni prikladni profili, potrebno je obraditi armaturnim slojem i završnom žbukom te na taj način zaštititi od izravnog prodora vlage, oštećenja koja mogu uzrokovati insekti, glodavci i sl., kao i od izravnog plamena u slučaju požara. </t>
    </r>
  </si>
  <si>
    <r>
      <rPr>
        <b/>
        <sz val="9"/>
        <color rgb="FF000000"/>
        <rFont val="Arial"/>
        <family val="2"/>
      </rPr>
      <t>/b</t>
    </r>
  </si>
  <si>
    <r>
      <rPr>
        <sz val="9"/>
        <color rgb="FF000000"/>
        <rFont val="Arial"/>
        <family val="2"/>
      </rPr>
      <t xml:space="preserve">Naknadno izravnavanje izvedenog fasadnog sustava nije dozvoljeno. </t>
    </r>
  </si>
  <si>
    <r>
      <rPr>
        <b/>
        <sz val="9"/>
        <color rgb="FF000000"/>
        <rFont val="Arial"/>
        <family val="2"/>
      </rPr>
      <t>/c</t>
    </r>
  </si>
  <si>
    <r>
      <rPr>
        <sz val="9"/>
        <color rgb="FF000000"/>
        <rFont val="Arial"/>
        <family val="2"/>
      </rPr>
      <t>Sve spojeve kao i sve prodore  potrebno je izvesti odgovarajućim priključnim profilima ili brtvenim trakama kako bi sustav bio zaštićen od prodora vlage.</t>
    </r>
  </si>
  <si>
    <r>
      <rPr>
        <sz val="9"/>
        <color rgb="FF000000"/>
        <rFont val="Arial"/>
        <family val="2"/>
      </rPr>
      <t>Obračun:</t>
    </r>
    <r>
      <rPr>
        <sz val="9"/>
        <color rgb="FF000000"/>
        <rFont val="Arial"/>
        <family val="2"/>
      </rPr>
      <t xml:space="preserve">
</t>
    </r>
    <r>
      <rPr>
        <sz val="9"/>
        <color rgb="FF000000"/>
        <rFont val="Arial"/>
        <family val="2"/>
      </rPr>
      <t>Otvori veličine do 3,0 m2 ne odbijaju se i njihove se uložine ne obračunavaju</t>
    </r>
    <r>
      <rPr>
        <sz val="9"/>
        <color rgb="FF000000"/>
        <rFont val="Arial"/>
        <family val="2"/>
      </rPr>
      <t xml:space="preserve">
</t>
    </r>
    <r>
      <rPr>
        <sz val="9"/>
        <color rgb="FF000000"/>
        <rFont val="Arial"/>
        <family val="2"/>
      </rPr>
      <t>Kod otvora veličine 3,0 - 5,0 m2 odbija se površina preko 3,0 m2, a uložine se ne obračunavaju posebno</t>
    </r>
    <r>
      <rPr>
        <sz val="9"/>
        <color rgb="FF000000"/>
        <rFont val="Arial"/>
        <family val="2"/>
      </rPr>
      <t xml:space="preserve">
</t>
    </r>
    <r>
      <rPr>
        <sz val="9"/>
        <color rgb="FF000000"/>
        <rFont val="Arial"/>
        <family val="2"/>
      </rPr>
      <t>Kod otvora veličine preko 5,0 m2 odbija se površina preko 3,0 m2, a uložine se obračunavaju posebno</t>
    </r>
    <r>
      <rPr>
        <sz val="9"/>
        <color rgb="FF000000"/>
        <rFont val="Arial"/>
        <family val="2"/>
      </rPr>
      <t xml:space="preserve">
</t>
    </r>
    <r>
      <rPr>
        <sz val="9"/>
        <color rgb="FF000000"/>
        <rFont val="Arial"/>
        <family val="2"/>
      </rPr>
      <t>Razvijene površine do 12 cm, za 1,00 m računa se 0,35 m2</t>
    </r>
    <r>
      <rPr>
        <sz val="9"/>
        <color rgb="FF000000"/>
        <rFont val="Arial"/>
        <family val="2"/>
      </rPr>
      <t xml:space="preserve">
</t>
    </r>
    <r>
      <rPr>
        <sz val="9"/>
        <color rgb="FF000000"/>
        <rFont val="Arial"/>
        <family val="2"/>
      </rPr>
      <t>Razvijene površine od 12 do 18 cm, za 1,00 m računa se 0,50 m2</t>
    </r>
    <r>
      <rPr>
        <sz val="9"/>
        <color rgb="FF000000"/>
        <rFont val="Arial"/>
        <family val="2"/>
      </rPr>
      <t xml:space="preserve">
</t>
    </r>
    <r>
      <rPr>
        <sz val="9"/>
        <color rgb="FF000000"/>
        <rFont val="Arial"/>
        <family val="2"/>
      </rPr>
      <t>Razvijene površine od 18 do 25 cm, za 1,00 m računa se 0,75 m2</t>
    </r>
    <r>
      <rPr>
        <sz val="9"/>
        <color rgb="FF000000"/>
        <rFont val="Arial"/>
        <family val="2"/>
      </rPr>
      <t xml:space="preserve">
</t>
    </r>
    <r>
      <rPr>
        <sz val="9"/>
        <color rgb="FF000000"/>
        <rFont val="Arial"/>
        <family val="2"/>
      </rPr>
      <t>Razvijene površine od 25 do 50 cm, za 1,00 m računa se 1,00 m2</t>
    </r>
    <r>
      <rPr>
        <sz val="9"/>
        <color rgb="FF000000"/>
        <rFont val="Arial"/>
        <family val="2"/>
      </rPr>
      <t xml:space="preserve">
</t>
    </r>
    <r>
      <rPr>
        <sz val="9"/>
        <color rgb="FF000000"/>
        <rFont val="Arial"/>
        <family val="2"/>
      </rPr>
      <t>Razvijene površine od 50 do 75 cm, za 1,00 m računa se 1,25 m2</t>
    </r>
    <r>
      <rPr>
        <sz val="9"/>
        <color rgb="FF000000"/>
        <rFont val="Arial"/>
        <family val="2"/>
      </rPr>
      <t xml:space="preserve">
</t>
    </r>
    <r>
      <rPr>
        <sz val="9"/>
        <color rgb="FF000000"/>
        <rFont val="Arial"/>
        <family val="2"/>
      </rPr>
      <t>Razvijene površine od 75 do 100 cm, za 1,00 m računa se 1,50 m2</t>
    </r>
    <r>
      <rPr>
        <sz val="9"/>
        <color rgb="FF000000"/>
        <rFont val="Arial"/>
        <family val="2"/>
      </rPr>
      <t xml:space="preserve">
</t>
    </r>
    <r>
      <rPr>
        <sz val="9"/>
        <color rgb="FF000000"/>
        <rFont val="Arial"/>
        <family val="2"/>
      </rPr>
      <t>Razvijene površine od 100 do 125 cm, za 1,00 m računa se 1,75 m2</t>
    </r>
    <r>
      <rPr>
        <sz val="9"/>
        <color rgb="FF000000"/>
        <rFont val="Arial"/>
        <family val="2"/>
      </rPr>
      <t xml:space="preserve">
</t>
    </r>
    <r>
      <rPr>
        <sz val="9"/>
        <color rgb="FF000000"/>
        <rFont val="Arial"/>
        <family val="2"/>
      </rPr>
      <t>Razvijene površine od 125 do 150 cm, za 1,00 m računa se 2,00 m2</t>
    </r>
  </si>
  <si>
    <r>
      <rPr>
        <b/>
        <sz val="9"/>
        <color rgb="FF000000"/>
        <rFont val="Arial"/>
        <family val="2"/>
      </rPr>
      <t>14</t>
    </r>
  </si>
  <si>
    <r>
      <rPr>
        <b/>
        <sz val="9"/>
        <color rgb="FF000000"/>
        <rFont val="Arial"/>
        <family val="2"/>
      </rPr>
      <t>Izvedba StoTherm Mineral 1</t>
    </r>
  </si>
  <si>
    <r>
      <rPr>
        <sz val="9"/>
        <color rgb="FF000000"/>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mineralne vune kao KI FKD-S Thermal koeficijent toplinske provodljivosti 0,035 W/mK, koeficijent otpora difuziji vodene pare 1.
Ploče lijepiti na suhu nosivu podlogu, nanošenjem bijelog, mineralnog ljepila  visoke difuzivnosti (µ&lt;</t>
    </r>
    <r>
      <rPr>
        <sz val="9"/>
        <color rgb="FF000000"/>
        <rFont val="Arial"/>
        <family val="2"/>
      </rPr>
      <t xml:space="preserve"> 35) kao StoLevell Uni na rubove ploče i točkasto u sredini (min. 40 %), čvrsto zbijanje rubova.                                                            
</t>
    </r>
  </si>
  <si>
    <r>
      <rPr>
        <sz val="9"/>
        <color rgb="FF000000"/>
        <rFont val="Arial"/>
        <family val="2"/>
      </rPr>
      <t xml:space="preserve">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t>
    </r>
  </si>
  <si>
    <r>
      <rPr>
        <sz val="9"/>
        <color rgb="FF000000"/>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</si>
  <si>
    <r>
      <rPr>
        <sz val="9"/>
        <color rgb="FF000000"/>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rgb="FF000000"/>
        <rFont val="Arial"/>
        <family val="2"/>
      </rPr>
      <t xml:space="preserve">
</t>
    </r>
    <r>
      <rPr>
        <sz val="9"/>
        <color rgb="FF000000"/>
        <rFont val="Arial"/>
        <family val="2"/>
      </rPr>
      <t>Oznaka sloja: VZ3, VZ6</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</si>
  <si>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 14 cm</t>
    </r>
  </si>
  <si>
    <r>
      <rPr>
        <sz val="9"/>
        <color rgb="FF000000"/>
        <rFont val="Arial"/>
        <family val="2"/>
      </rPr>
      <t>b) fasadna obloga</t>
    </r>
  </si>
  <si>
    <r>
      <rPr>
        <sz val="9"/>
        <color rgb="FF000000"/>
        <rFont val="Arial"/>
        <family val="2"/>
      </rPr>
      <t>c) izolacija 5 cm</t>
    </r>
  </si>
  <si>
    <r>
      <rPr>
        <sz val="9"/>
        <color rgb="FF000000"/>
        <rFont val="Arial"/>
        <family val="2"/>
      </rPr>
      <t>d)  fasadna obloga</t>
    </r>
  </si>
  <si>
    <r>
      <rPr>
        <b/>
        <sz val="9"/>
        <color rgb="FF000000"/>
        <rFont val="Arial"/>
        <family val="2"/>
      </rPr>
      <t>17</t>
    </r>
  </si>
  <si>
    <r>
      <rPr>
        <b/>
        <sz val="9"/>
        <color rgb="FF000000"/>
        <rFont val="Arial"/>
        <family val="2"/>
      </rPr>
      <t>Izvedba sokla StoTherm Mineral 1</t>
    </r>
  </si>
  <si>
    <r>
      <rPr>
        <sz val="9"/>
        <color rgb="FF000000"/>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ekstrudiranog polistirena kao KI FKD-S Thermal koeficijent toplinske provodljivosti 0,035 W/mK, koeficijent otpora difuziji vodene pare 1.             
Ploče lijepiti na suhu nosivu podlogu, nanošenjem bijelog, mineralnog ljepila  visoke difuzivnosti (µ&lt;</t>
    </r>
    <r>
      <rPr>
        <sz val="9"/>
        <color rgb="FF000000"/>
        <rFont val="Arial"/>
        <family val="2"/>
      </rPr>
      <t xml:space="preserve"> 35) kao StoLevell Uni na rubove ploče i točkasto u sredini (min. 40 %), čvrsto zbijanje rubova.
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t>
    </r>
  </si>
  <si>
    <r>
      <rPr>
        <sz val="9"/>
        <color rgb="FF000000"/>
        <rFont val="Arial"/>
        <family val="2"/>
      </rPr>
      <t xml:space="preserve">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</si>
  <si>
    <r>
      <rPr>
        <sz val="9"/>
        <color rgb="FF000000"/>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</si>
  <si>
    <r>
      <rPr>
        <sz val="9"/>
        <color rgb="FF000000"/>
        <rFont val="Arial"/>
        <family val="2"/>
      </rPr>
      <t>Oznaka sloja: VZ3, VZ6</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</si>
  <si>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 XPS 14 cm</t>
    </r>
  </si>
  <si>
    <r>
      <rPr>
        <sz val="9"/>
        <color rgb="FF000000"/>
        <rFont val="Arial"/>
        <family val="2"/>
      </rPr>
      <t>b) fasadna obloga</t>
    </r>
  </si>
  <si>
    <r>
      <rPr>
        <sz val="9"/>
        <color rgb="FF000000"/>
        <rFont val="Arial"/>
        <family val="2"/>
      </rPr>
      <t>c) izolacija XPS 5 cm</t>
    </r>
  </si>
  <si>
    <r>
      <rPr>
        <sz val="9"/>
        <color rgb="FF000000"/>
        <rFont val="Arial"/>
        <family val="2"/>
      </rPr>
      <t>d) fasadna obloga</t>
    </r>
  </si>
  <si>
    <r>
      <rPr>
        <b/>
        <sz val="9"/>
        <color rgb="FF000000"/>
        <rFont val="Arial"/>
        <family val="2"/>
      </rPr>
      <t>ETISC</t>
    </r>
  </si>
  <si>
    <r>
      <rPr>
        <b/>
        <sz val="9"/>
        <color rgb="FF000000"/>
        <rFont val="Arial"/>
        <family val="2"/>
      </rPr>
      <t>22</t>
    </r>
  </si>
  <si>
    <r>
      <rPr>
        <b/>
        <sz val="9"/>
        <color rgb="FF000000"/>
        <rFont val="Arial"/>
        <family val="2"/>
      </rPr>
      <t>Izvedba ETISC fasadnog sustava sa završnom žbukom- instalacijsi šahtovi i atika krova</t>
    </r>
  </si>
  <si>
    <r>
      <rPr>
        <sz val="9"/>
        <color rgb="FF000000"/>
        <rFont val="Arial"/>
        <family val="2"/>
      </rPr>
      <t>Dobava i ugradnja svih potrebnih materijala za izvedbu etisc fasadnog sustava sa izolacijskim pločama tvrde kamene vune, d= 5 cm sa završnom obradom žbukom na bazi silikata.  Klasificirani sustav A1.</t>
    </r>
    <r>
      <rPr>
        <sz val="9"/>
        <color rgb="FF000000"/>
        <rFont val="Arial"/>
        <family val="2"/>
      </rPr>
      <t xml:space="preserve">
</t>
    </r>
    <r>
      <rPr>
        <sz val="9"/>
        <color rgb="FF000000"/>
        <rFont val="Arial"/>
        <family val="2"/>
      </rPr>
      <t xml:space="preserve">Cijena stavke uključuje dobavu i postavu svih elemenata i komponenti do potpune gotovosti i vodonepropusnosti sustava. Prije izvođenja dužnost je izvođača i obračunato je u stavci pripremiti i po potrebi očistiti podlogu, provjeriti stanje i nosivost podloge, ukloniti sve nenosive dijelove, ukloniti sve masnoće i tvari koje razdvajaju. </t>
    </r>
    <r>
      <rPr>
        <sz val="9"/>
        <color rgb="FF000000"/>
        <rFont val="Arial"/>
        <family val="2"/>
      </rPr>
      <t xml:space="preserve">
</t>
    </r>
    <r>
      <rPr>
        <sz val="9"/>
        <color rgb="FF000000"/>
        <rFont val="Arial"/>
        <family val="2"/>
      </rPr>
      <t xml:space="preserve">Stavka uključuje slojeve sustava: </t>
    </r>
  </si>
  <si>
    <r>
      <rPr>
        <sz val="9"/>
        <color rgb="FF000000"/>
        <rFont val="Arial"/>
        <family val="2"/>
      </rPr>
      <t xml:space="preserve">Ploče tvrde kamene vune d= 5 cm, ploče lijepljene odgovarajućim ljepilom, brtvljene na spojevima, dodatno mehanički sidrene u podlogu.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</si>
  <si>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r>
      <rPr>
        <sz val="9"/>
        <color rgb="FF000000"/>
        <rFont val="Arial"/>
        <family val="2"/>
      </rPr>
      <t xml:space="preserve">Kompletno armiranje izolacijskih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                                                             </t>
    </r>
  </si>
  <si>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</si>
  <si>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r>
      <rPr>
        <sz val="9"/>
        <color rgb="FF000000"/>
        <rFont val="Arial"/>
        <family val="2"/>
      </rPr>
      <t>Nanošenje završne žbuke na bazi silikata</t>
    </r>
  </si>
  <si>
    <r>
      <rPr>
        <sz val="9"/>
        <color rgb="FF000000"/>
        <rFont val="Arial"/>
        <family val="2"/>
      </rPr>
      <t xml:space="preserve">Stavka uključuje sav potreban rad i materijal te sve potrebne pripremne radnje za izvedbu slojeva fasade, te sav spojni i  pričvrsni materijal. </t>
    </r>
    <r>
      <rPr>
        <sz val="9"/>
        <color rgb="FF000000"/>
        <rFont val="Arial"/>
        <family val="2"/>
      </rPr>
      <t xml:space="preserve">
</t>
    </r>
    <r>
      <rPr>
        <sz val="9"/>
        <color rgb="FF000000"/>
        <rFont val="Arial"/>
        <family val="2"/>
      </rPr>
      <t>Oznaka sloja: VZ5, instacijski šahtovi nadvišenje dizala</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</si>
  <si>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t>
    </r>
  </si>
  <si>
    <r>
      <rPr>
        <sz val="9"/>
        <color rgb="FF000000"/>
        <rFont val="Arial"/>
        <family val="2"/>
      </rPr>
      <t>b) završna žbuka</t>
    </r>
  </si>
  <si>
    <r>
      <rPr>
        <b/>
        <sz val="9"/>
        <color rgb="FF000000"/>
        <rFont val="Arial"/>
        <family val="2"/>
      </rPr>
      <t>23</t>
    </r>
  </si>
  <si>
    <r>
      <rPr>
        <b/>
        <sz val="9"/>
        <color rgb="FF000000"/>
        <rFont val="Arial"/>
        <family val="2"/>
      </rPr>
      <t xml:space="preserve">Izvedba ETICS fasade - sokl </t>
    </r>
  </si>
  <si>
    <r>
      <rPr>
        <sz val="9"/>
        <color rgb="FF000000"/>
        <rFont val="Arial"/>
        <family val="2"/>
      </rPr>
      <t>Dobava i ugradnja svih potrebnih materijala za izvedbu ETICS fasadnog toplinsko izolacijskog sustava sa  izolacijskim pločama od ekstrudiranog polistirena i završnih slojeva žbuke na bazi silikata.  Klasificirani sustav A1.</t>
    </r>
    <r>
      <rPr>
        <sz val="9"/>
        <color rgb="FF000000"/>
        <rFont val="Arial"/>
        <family val="2"/>
      </rPr>
      <t xml:space="preserve">
</t>
    </r>
    <r>
      <rPr>
        <sz val="9"/>
        <color rgb="FF000000"/>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Sokl se izvodi u nastavku i ravnini sa gornjim dijelom fasade, bez vidljivog prijelaza, bez izvedbe razdvajajuće šine, sa istim armiranim i slojem završne silikonske žbuke. Redoslijed izvođenja gornjeg dijela fasade:</t>
    </r>
  </si>
  <si>
    <r>
      <rPr>
        <sz val="9"/>
        <color rgb="FF000000"/>
        <rFont val="Arial"/>
        <family val="2"/>
      </rPr>
      <t xml:space="preserve">Lijepljenje fasadnih izolacijskih ploča ekstrudiranog polistirena,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</si>
  <si>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r>
      <rPr>
        <sz val="9"/>
        <color rgb="FF000000"/>
        <rFont val="Arial"/>
        <family val="2"/>
      </rPr>
      <t>Kompletno armiranje izolacijskih ploča nanošenjem polimerne cementne žbuke u dva sloja isključivo iz atestiranog sustava proizvođača fasade.                                                                                                                                                                          U mort se u svježem stanju utiskuje-staklena, alkalno otporna mrežica. Pozicija mrežice u polovini do gornje trećine debljine sloja. Debljina armirnog sloja prema uputama proizvođača odabranog sustava. Obavezno dodatno ojačanje kuteva otvora dijagonalno postavljenim mrežicama dimenzija 20×40 cm ili 30×50 cm, sve iz sustava proizvođača fasade.</t>
    </r>
  </si>
  <si>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</si>
  <si>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r>
      <rPr>
        <sz val="9"/>
        <color rgb="FF000000"/>
        <rFont val="Arial"/>
        <family val="2"/>
      </rPr>
      <t>Nanošenje završne žbuke na bazi silikata</t>
    </r>
  </si>
  <si>
    <r>
      <rPr>
        <sz val="9"/>
        <color rgb="FF000000"/>
        <rFont val="Arial"/>
        <family val="2"/>
      </rPr>
      <t>Stavka uključuje sav potreban rad i materijal te sve potrebne pripremne radnje za izvedbu slojeva fasade. Sve izvesti prema uputama proizvođača odabranog fasadnog sustava.</t>
    </r>
    <r>
      <rPr>
        <sz val="9"/>
        <color rgb="FF000000"/>
        <rFont val="Arial"/>
        <family val="2"/>
      </rPr>
      <t xml:space="preserve">
</t>
    </r>
    <r>
      <rPr>
        <sz val="9"/>
        <color rgb="FF000000"/>
        <rFont val="Arial"/>
        <family val="2"/>
      </rPr>
      <t>Oznaka sloja: VZ5, instacijski šahtovi nadvišenje dizala</t>
    </r>
    <r>
      <rPr>
        <sz val="9"/>
        <color rgb="FF000000"/>
        <rFont val="Arial"/>
        <family val="2"/>
      </rPr>
      <t xml:space="preserve">
</t>
    </r>
    <r>
      <rPr>
        <sz val="9"/>
        <color rgb="FF000000"/>
        <rFont val="Arial"/>
        <family val="2"/>
      </rPr>
      <t>Obračun po m2 ugrađenih svih slojeva  fasade</t>
    </r>
  </si>
  <si>
    <r>
      <rPr>
        <sz val="9"/>
        <color rgb="FF000000"/>
        <rFont val="Arial"/>
        <family val="2"/>
      </rPr>
      <t xml:space="preserve">a) izolacija, </t>
    </r>
  </si>
  <si>
    <r>
      <rPr>
        <sz val="9"/>
        <color rgb="FF000000"/>
        <rFont val="Arial"/>
        <family val="2"/>
      </rPr>
      <t>b) završna žbuka</t>
    </r>
  </si>
  <si>
    <r>
      <rPr>
        <b/>
        <sz val="9"/>
        <color rgb="FF000000"/>
        <rFont val="Arial"/>
        <family val="2"/>
      </rPr>
      <t>PODGLEDI</t>
    </r>
  </si>
  <si>
    <r>
      <rPr>
        <b/>
        <sz val="9"/>
        <color rgb="FF000000"/>
        <rFont val="Arial"/>
        <family val="2"/>
      </rPr>
      <t>24</t>
    </r>
  </si>
  <si>
    <r>
      <rPr>
        <b/>
        <sz val="9"/>
        <color rgb="FF000000"/>
        <rFont val="Arial"/>
        <family val="2"/>
      </rPr>
      <t>Izvedba ETICS fasade u podgledu stropa</t>
    </r>
  </si>
  <si>
    <r>
      <rPr>
        <sz val="9"/>
        <color rgb="FF000000"/>
        <rFont val="Arial"/>
        <family val="2"/>
      </rPr>
      <t>Dobava i ugradnja svih potrebnih materijala za izvedbu ETICS fasadnog toplinsko izolacijskog sustava sa izolacijskim pločama tvrde kamene vune, d=8 cm i završnih slojeva žbuke.  Klasificirani sustav A1.</t>
    </r>
    <r>
      <rPr>
        <sz val="9"/>
        <color rgb="FF000000"/>
        <rFont val="Arial"/>
        <family val="2"/>
      </rPr>
      <t xml:space="preserve">
</t>
    </r>
    <r>
      <rPr>
        <sz val="9"/>
        <color rgb="FF000000"/>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</si>
  <si>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rgb="FF000000"/>
        <rFont val="Arial"/>
        <family val="2"/>
      </rPr>
      <t xml:space="preserve">Metalna potkonstrukcija unutar koje se izvodi izolacija tvrdom kamenom vunom, kaširanom i tiplanom u podgled stropa, d= 8 cm.                                                            </t>
    </r>
  </si>
  <si>
    <r>
      <rPr>
        <sz val="9"/>
        <color rgb="FF000000"/>
        <rFont val="Arial"/>
        <family val="2"/>
      </rPr>
      <t>spušteni strop od vlaknocementnih ploča, d=1,25 cm</t>
    </r>
  </si>
  <si>
    <r>
      <rPr>
        <sz val="9"/>
        <color rgb="FF000000"/>
        <rFont val="Arial"/>
        <family val="2"/>
      </rPr>
      <t>Kompletno armiranje vlaknocementnih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</si>
  <si>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</si>
  <si>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r>
      <rPr>
        <sz val="9"/>
        <color rgb="FF000000"/>
        <rFont val="Arial"/>
        <family val="2"/>
      </rPr>
      <t>Nanošenje završne  žbuke.</t>
    </r>
  </si>
  <si>
    <r>
      <rPr>
        <sz val="9"/>
        <color rgb="FF000000"/>
        <rFont val="Arial"/>
        <family val="2"/>
      </rPr>
      <t>Stavka uključuje i dodatno izoliranje oko greda.</t>
    </r>
    <r>
      <rPr>
        <sz val="9"/>
        <color rgb="FF000000"/>
        <rFont val="Arial"/>
        <family val="2"/>
      </rPr>
      <t xml:space="preserve">
</t>
    </r>
    <r>
      <rPr>
        <sz val="9"/>
        <color rgb="FF000000"/>
        <rFont val="Arial"/>
        <family val="2"/>
      </rPr>
      <t>Stavka uključuje sav potreban rad i materijal te sve potrebne pripremne radnje za izvedbu slojeva fasade. Sve izvesti prema uputama proizvođača odabranog fasadnog sustava.</t>
    </r>
    <r>
      <rPr>
        <sz val="9"/>
        <color rgb="FF000000"/>
        <rFont val="Arial"/>
        <family val="2"/>
      </rPr>
      <t xml:space="preserve">
</t>
    </r>
    <r>
      <rPr>
        <sz val="9"/>
        <color rgb="FF000000"/>
        <rFont val="Arial"/>
        <family val="2"/>
      </rPr>
      <t>Oznaka sloja:  K3, M2, trijem</t>
    </r>
    <r>
      <rPr>
        <sz val="9"/>
        <color rgb="FF000000"/>
        <rFont val="Arial"/>
        <family val="2"/>
      </rPr>
      <t xml:space="preserve">
</t>
    </r>
    <r>
      <rPr>
        <sz val="9"/>
        <color rgb="FF000000"/>
        <rFont val="Arial"/>
        <family val="2"/>
      </rPr>
      <t>Obračun po m2 ugrađenih svih slojeva  fasade</t>
    </r>
  </si>
  <si>
    <r>
      <rPr>
        <sz val="9"/>
        <color rgb="FF000000"/>
        <rFont val="Arial"/>
        <family val="2"/>
      </rPr>
      <t>a) izolacija</t>
    </r>
  </si>
  <si>
    <r>
      <rPr>
        <sz val="9"/>
        <color rgb="FF000000"/>
        <rFont val="Arial"/>
        <family val="2"/>
      </rPr>
      <t>b) završna obrada</t>
    </r>
  </si>
  <si>
    <r>
      <rPr>
        <b/>
        <sz val="9"/>
        <color rgb="FF000000"/>
        <rFont val="Arial"/>
        <family val="2"/>
      </rPr>
      <t>25</t>
    </r>
  </si>
  <si>
    <r>
      <rPr>
        <b/>
        <sz val="9"/>
        <color rgb="FF000000"/>
        <rFont val="Arial"/>
        <family val="2"/>
      </rPr>
      <t>Izvedba ETICS fasade u podgledu stropa garaže</t>
    </r>
  </si>
  <si>
    <r>
      <rPr>
        <sz val="9"/>
        <color rgb="FF000000"/>
        <rFont val="Arial"/>
        <family val="2"/>
      </rPr>
      <t>Dobava i ugradnja svih potrebnih materijala za izvedbu ETICS fasadnog toplinsko izolacijskog sustava sa izolacijskim pločama tvrde kamene vune, d=8 cm i završnih slojeva žbuke.  Klasificirani sustav A1.</t>
    </r>
    <r>
      <rPr>
        <sz val="9"/>
        <color rgb="FF000000"/>
        <rFont val="Arial"/>
        <family val="2"/>
      </rPr>
      <t xml:space="preserve">
</t>
    </r>
    <r>
      <rPr>
        <sz val="9"/>
        <color rgb="FF000000"/>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</si>
  <si>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rgb="FF000000"/>
        <rFont val="Arial"/>
        <family val="2"/>
      </rPr>
      <t xml:space="preserve">Lijepljenje fasadnih izolacijskih ploča tvrde kamene vune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                                                            </t>
    </r>
  </si>
  <si>
    <r>
      <rPr>
        <sz val="9"/>
        <color rgb="FF000000"/>
        <rFont val="Arial"/>
        <family val="2"/>
      </rPr>
      <t>Kompletno armiranje vlaknocementnih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</si>
  <si>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rgb="FF000000"/>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</si>
  <si>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r>
      <rPr>
        <sz val="9"/>
        <color rgb="FF000000"/>
        <rFont val="Arial"/>
        <family val="2"/>
      </rPr>
      <t>Nanošenje završne  žbuke.</t>
    </r>
  </si>
  <si>
    <r>
      <rPr>
        <sz val="9"/>
        <color rgb="FF000000"/>
        <rFont val="Arial"/>
        <family val="2"/>
      </rPr>
      <t>Stavka uključuje sav potreban rad i materijal te sve potrebne pripremne radnje za izvedbu slojeva fasade. Sve izvesti prema uputama proizvođača odabranog fasadnog sustava.</t>
    </r>
    <r>
      <rPr>
        <sz val="9"/>
        <color rgb="FF000000"/>
        <rFont val="Arial"/>
        <family val="2"/>
      </rPr>
      <t xml:space="preserve">
</t>
    </r>
    <r>
      <rPr>
        <sz val="9"/>
        <color rgb="FF000000"/>
        <rFont val="Arial"/>
        <family val="2"/>
      </rPr>
      <t>Oznaka sloja:  M3</t>
    </r>
    <r>
      <rPr>
        <sz val="9"/>
        <color rgb="FF000000"/>
        <rFont val="Arial"/>
        <family val="2"/>
      </rPr>
      <t xml:space="preserve">
</t>
    </r>
    <r>
      <rPr>
        <sz val="9"/>
        <color rgb="FF000000"/>
        <rFont val="Arial"/>
        <family val="2"/>
      </rPr>
      <t>Obračun po m2 ugrađenih svih slojeva  fasade</t>
    </r>
  </si>
  <si>
    <r>
      <rPr>
        <b/>
        <sz val="9"/>
        <color rgb="FF000000"/>
        <rFont val="Arial"/>
        <family val="2"/>
      </rPr>
      <t>Obrada ogradnih zidova</t>
    </r>
  </si>
  <si>
    <r>
      <rPr>
        <b/>
        <sz val="9"/>
        <color rgb="FF000000"/>
        <rFont val="Arial"/>
        <family val="2"/>
      </rPr>
      <t>26</t>
    </r>
  </si>
  <si>
    <r>
      <rPr>
        <b/>
        <sz val="9"/>
        <color rgb="FF000000"/>
        <rFont val="Arial"/>
        <family val="2"/>
      </rPr>
      <t>Obrada ogradnih zidova fasadnom žbukom</t>
    </r>
  </si>
  <si>
    <r>
      <rPr>
        <sz val="9"/>
        <color rgb="FF000000"/>
        <rFont val="Arial"/>
        <family val="2"/>
      </rPr>
      <t xml:space="preserve">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Na pripremljenu podlogu nanijeti mineralnu, polimer-cementnu temeljnu žbuku, bijele boje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3-5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t>
    </r>
  </si>
  <si>
    <r>
      <rPr>
        <sz val="9"/>
        <color rgb="FF000000"/>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
Obračun po m2 zida  i m1 poklopnice.</t>
    </r>
  </si>
  <si>
    <r>
      <rPr>
        <sz val="9"/>
        <color rgb="FF000000"/>
        <rFont val="Arial"/>
        <family val="2"/>
      </rPr>
      <t>a) zid</t>
    </r>
  </si>
  <si>
    <r>
      <rPr>
        <sz val="9"/>
        <color rgb="FF000000"/>
        <rFont val="Arial"/>
        <family val="2"/>
      </rPr>
      <t>b) poklopnica rš 20-25 cm</t>
    </r>
  </si>
  <si>
    <r>
      <rPr>
        <b/>
        <sz val="9"/>
        <color rgb="FF000000"/>
        <rFont val="Arial"/>
        <family val="2"/>
      </rPr>
      <t>A.1.6.</t>
    </r>
  </si>
  <si>
    <r>
      <rPr>
        <b/>
        <sz val="9"/>
        <color rgb="FF000000"/>
        <rFont val="Arial"/>
        <family val="2"/>
      </rPr>
      <t>ZIDARSKO FASADERSKI RADOVI ukupno:</t>
    </r>
  </si>
  <si>
    <r>
      <rPr>
        <b/>
        <sz val="9"/>
        <color rgb="FF000000"/>
        <rFont val="Arial"/>
        <family val="2"/>
      </rPr>
      <t>A.1.</t>
    </r>
  </si>
  <si>
    <r>
      <rPr>
        <b/>
        <sz val="9"/>
        <color rgb="FF000000"/>
        <rFont val="Arial"/>
        <family val="2"/>
      </rPr>
      <t>GRAĐEVINSKI RADOVI ukupno:</t>
    </r>
  </si>
  <si>
    <r>
      <rPr>
        <b/>
        <sz val="9"/>
        <color rgb="FF000000"/>
        <rFont val="Arial"/>
        <family val="2"/>
      </rPr>
      <t>A</t>
    </r>
  </si>
  <si>
    <r>
      <rPr>
        <b/>
        <sz val="9"/>
        <color rgb="FF000000"/>
        <rFont val="Arial"/>
        <family val="2"/>
      </rPr>
      <t>TROŠKOVNIK GRAĐEVINSKIH I OBRTNIČKIH RADOVA ukupno:</t>
    </r>
  </si>
  <si>
    <r>
      <rPr>
        <b/>
        <sz val="9"/>
        <color rgb="FF000000"/>
        <rFont val="Arial"/>
        <family val="2"/>
      </rPr>
      <t>ZGRADA 2 ukupno:</t>
    </r>
  </si>
  <si>
    <r>
      <rPr>
        <b/>
        <sz val="9"/>
        <color rgb="FF000000"/>
        <rFont val="Arial"/>
        <family val="2"/>
      </rPr>
      <t>Ugovorni radovi ukupno:</t>
    </r>
  </si>
  <si>
    <r>
      <rPr>
        <b/>
        <sz val="9"/>
        <color rgb="FF000000"/>
        <rFont val="Arial"/>
        <family val="2"/>
      </rPr>
      <t>Stambena građevina Srebrnjak ukupno:</t>
    </r>
  </si>
  <si>
    <t>REKAPITULACIJA</t>
  </si>
  <si>
    <r>
      <rPr>
        <b/>
        <sz val="9"/>
        <color rgb="FF000000"/>
        <rFont val="Arial"/>
        <family val="2"/>
      </rPr>
      <t>A.1.6.</t>
    </r>
  </si>
  <si>
    <r>
      <rPr>
        <b/>
        <sz val="9"/>
        <color rgb="FF000000"/>
        <rFont val="Arial"/>
        <family val="2"/>
      </rPr>
      <t>ZIDARSKO FASADERSKI RADOVI</t>
    </r>
  </si>
  <si>
    <r>
      <rPr>
        <b/>
        <sz val="9"/>
        <color rgb="FF000000"/>
        <rFont val="Arial"/>
        <family val="2"/>
      </rPr>
      <t>A.1.</t>
    </r>
  </si>
  <si>
    <r>
      <rPr>
        <b/>
        <sz val="9"/>
        <color rgb="FF000000"/>
        <rFont val="Arial"/>
        <family val="2"/>
      </rPr>
      <t>GRAĐEVINSKI RADOVI</t>
    </r>
  </si>
  <si>
    <r>
      <rPr>
        <b/>
        <sz val="9"/>
        <color rgb="FF000000"/>
        <rFont val="Arial"/>
        <family val="2"/>
      </rPr>
      <t>A</t>
    </r>
  </si>
  <si>
    <r>
      <rPr>
        <b/>
        <sz val="9"/>
        <color rgb="FF000000"/>
        <rFont val="Arial"/>
        <family val="2"/>
      </rPr>
      <t>TROŠKOVNIK GRAĐEVINSKIH I OBRTNIČKIH RADOVA</t>
    </r>
  </si>
  <si>
    <r>
      <rPr>
        <b/>
        <sz val="9"/>
        <color rgb="FF000000"/>
        <rFont val="Arial"/>
        <family val="2"/>
      </rPr>
      <t>ZGRADA 1</t>
    </r>
  </si>
  <si>
    <r>
      <rPr>
        <b/>
        <sz val="9"/>
        <color rgb="FF000000"/>
        <rFont val="Arial"/>
        <family val="2"/>
      </rPr>
      <t>A.1.6.</t>
    </r>
  </si>
  <si>
    <r>
      <rPr>
        <b/>
        <sz val="9"/>
        <color rgb="FF000000"/>
        <rFont val="Arial"/>
        <family val="2"/>
      </rPr>
      <t>ZIDARSKO FASADERSKI RADOVI</t>
    </r>
  </si>
  <si>
    <r>
      <rPr>
        <b/>
        <sz val="9"/>
        <color rgb="FF000000"/>
        <rFont val="Arial"/>
        <family val="2"/>
      </rPr>
      <t>A.1.</t>
    </r>
  </si>
  <si>
    <r>
      <rPr>
        <b/>
        <sz val="9"/>
        <color rgb="FF000000"/>
        <rFont val="Arial"/>
        <family val="2"/>
      </rPr>
      <t>GRAĐEVINSKI RADOVI</t>
    </r>
  </si>
  <si>
    <r>
      <rPr>
        <b/>
        <sz val="9"/>
        <color rgb="FF000000"/>
        <rFont val="Arial"/>
        <family val="2"/>
      </rPr>
      <t>A</t>
    </r>
  </si>
  <si>
    <r>
      <rPr>
        <b/>
        <sz val="9"/>
        <color rgb="FF000000"/>
        <rFont val="Arial"/>
        <family val="2"/>
      </rPr>
      <t>TROŠKOVNIK GRAĐEVINSKIH I OBRTNIČKIH RADOVA</t>
    </r>
  </si>
  <si>
    <r>
      <rPr>
        <b/>
        <sz val="9"/>
        <color rgb="FF000000"/>
        <rFont val="Arial"/>
        <family val="2"/>
      </rPr>
      <t>ZGRADA 2</t>
    </r>
  </si>
  <si>
    <r>
      <rPr>
        <b/>
        <sz val="9"/>
        <color rgb="FF000000"/>
        <rFont val="Arial"/>
        <family val="2"/>
      </rPr>
      <t>Ugovorni radovi</t>
    </r>
  </si>
  <si>
    <r>
      <rPr>
        <b/>
        <sz val="9"/>
        <color rgb="FF000000"/>
        <rFont val="Arial"/>
        <family val="2"/>
      </rPr>
      <t>Stambena građevina Srebrnjak</t>
    </r>
  </si>
  <si>
    <t>UKUPNO:</t>
  </si>
  <si>
    <t>Napomena: Na obavljene građevinske usluge primjenjuje se tuzemni prijenos porezne obveze prema čl.75.st.3. a) Zakona o PDV-u</t>
  </si>
  <si>
    <t>U Zagrebu,  11.02.2026</t>
  </si>
  <si>
    <t>Izvoditelj: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</si>
</sst>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9"/>
      <color rgb="FF000000"/>
      <name val="Arial"/>
      <family val="2"/>
    </font>
    <font>
      <b/>
      <sz val="9"/>
      <color rgb="FF000000"/>
      <name val="Arial"/>
      <family val="2"/>
    </font>
    <font>
      <sz val="8"/>
      <color rgb="FF000000"/>
      <name val="Arial"/>
      <family val="2"/>
    </font>
  </fonts>
  <fills count="4">
    <fill>
      <patternFill patternType="none"/>
    </fill>
    <fill>
      <patternFill patternType="gray125"/>
    </fill>
    <fill>
      <patternFill patternType="solid">
        <fgColor rgb="FFDCE6F1"/>
        <bgColor rgb="FFDCE6F1"/>
      </patternFill>
    </fill>
    <fill>
      <patternFill patternType="solid">
        <fgColor rgb="FFFFFF00"/>
        <bgColor rgb="FFFFFF00"/>
      </patternFill>
    </fill>
  </fills>
  <borders count="3">
    <border>
      <left/>
      <right/>
      <top/>
      <bottom/>
      <diagonal/>
    </border>
    <border>
      <left/>
      <right/>
      <top/>
      <bottom style="medium">
        <color rgb="FF000000"/>
      </bottom>
      <diagonal/>
    </border>
    <border>
      <left/>
      <right/>
      <top style="medium">
        <color rgb="FF000000"/>
      </top>
      <bottom/>
      <diagonal/>
    </border>
  </borders>
  <cellStyleXfs count="1">
    <xf numFmtId="0" fontId="0" fillId="0" borderId="0" applyNumberFormat="0" applyBorder="0" applyAlignment="0"/>
  </cellStyleXfs>
  <cellXfs count="32">
    <xf numFmtId="0" fontId="0" fillId="0" borderId="0" xfId="0"/>
    <xf numFmtId="0" fontId="1" fillId="0" borderId="0" xfId="0" applyFont="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wrapText="1"/>
    </xf>
    <xf numFmtId="0" fontId="2" fillId="0" borderId="0" xfId="0" applyFont="1" applyAlignment="1">
      <alignment vertical="top" wrapText="1"/>
    </xf>
    <xf numFmtId="0" fontId="2" fillId="0" borderId="0" xfId="0" applyFont="1" applyAlignment="1">
      <alignment horizontal="justify" vertical="top" wrapText="1"/>
    </xf>
    <xf numFmtId="0" fontId="1" fillId="0" borderId="0" xfId="0" applyFont="1" applyAlignment="1">
      <alignment horizontal="justify" vertical="top" wrapText="1"/>
    </xf>
    <xf numFmtId="0" fontId="1" fillId="0" borderId="0" xfId="0" applyFont="1" applyAlignment="1">
      <alignment horizontal="center" wrapText="1"/>
    </xf>
    <xf numFmtId="4" fontId="1" fillId="0" borderId="0" xfId="0" applyNumberFormat="1" applyFont="1" applyAlignment="1">
      <alignment wrapText="1"/>
    </xf>
    <xf numFmtId="4" fontId="1" fillId="0" borderId="0" xfId="0" applyNumberFormat="1" applyFont="1" applyAlignment="1" applyProtection="1">
      <alignment wrapText="1"/>
      <protection locked="0"/>
    </xf>
    <xf numFmtId="0" fontId="1" fillId="0" borderId="0" xfId="0" applyFont="1" applyAlignment="1" applyProtection="1">
      <alignment vertical="top" wrapText="1"/>
      <protection locked="0"/>
    </xf>
    <xf numFmtId="0" fontId="1" fillId="2" borderId="0" xfId="0" applyFont="1" applyFill="1" applyAlignment="1">
      <alignment vertical="top" wrapText="1"/>
    </xf>
    <xf numFmtId="0" fontId="1" fillId="2" borderId="0" xfId="0" applyFont="1" applyFill="1" applyAlignment="1">
      <alignment horizontal="justify" vertical="top" wrapText="1"/>
    </xf>
    <xf numFmtId="0" fontId="2" fillId="2" borderId="0" xfId="0" applyFont="1" applyFill="1" applyAlignment="1">
      <alignment horizontal="center" wrapText="1"/>
    </xf>
    <xf numFmtId="4" fontId="2" fillId="2" borderId="0" xfId="0" applyNumberFormat="1" applyFont="1" applyFill="1" applyAlignment="1">
      <alignment wrapText="1"/>
    </xf>
    <xf numFmtId="0" fontId="1" fillId="3" borderId="0" xfId="0" applyFont="1" applyFill="1" applyAlignment="1">
      <alignment vertical="top" wrapText="1"/>
    </xf>
    <xf numFmtId="0" fontId="2" fillId="3" borderId="0" xfId="0" applyFont="1" applyFill="1" applyAlignment="1">
      <alignment horizontal="justify" vertical="top" wrapText="1"/>
    </xf>
    <xf numFmtId="0" fontId="1" fillId="3" borderId="0" xfId="0" applyFont="1" applyFill="1" applyAlignment="1">
      <alignment horizontal="justify" vertical="top" wrapText="1"/>
    </xf>
    <xf numFmtId="0" fontId="2" fillId="3" borderId="0" xfId="0" applyFont="1" applyFill="1" applyAlignment="1">
      <alignment horizontal="center" wrapText="1"/>
    </xf>
    <xf numFmtId="4" fontId="2" fillId="3" borderId="0" xfId="0" applyNumberFormat="1" applyFont="1" applyFill="1" applyAlignment="1">
      <alignment wrapText="1"/>
    </xf>
    <xf numFmtId="0" fontId="2" fillId="0" borderId="0" xfId="0" applyFont="1" applyAlignment="1">
      <alignment horizontal="center" vertical="top" wrapText="1"/>
    </xf>
    <xf numFmtId="0" fontId="2" fillId="0" borderId="0" xfId="0" applyFont="1" applyAlignment="1">
      <alignment horizontal="center" wrapText="1"/>
    </xf>
    <xf numFmtId="4" fontId="2" fillId="0" borderId="0" xfId="0" applyNumberFormat="1" applyFont="1" applyAlignment="1">
      <alignment wrapText="1"/>
    </xf>
    <xf numFmtId="0" fontId="1" fillId="0" borderId="2"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justify" vertical="top" wrapText="1"/>
    </xf>
    <xf numFmtId="0" fontId="2" fillId="0" borderId="2" xfId="0" applyFont="1" applyBorder="1" applyAlignment="1">
      <alignment horizontal="center" wrapText="1"/>
    </xf>
    <xf numFmtId="4" fontId="2" fillId="0" borderId="2" xfId="0" applyNumberFormat="1" applyFont="1" applyBorder="1" applyAlignment="1">
      <alignment wrapText="1"/>
    </xf>
    <xf numFmtId="4" fontId="2" fillId="3" borderId="0" xfId="0" applyNumberFormat="1" applyFont="1" applyFill="1" applyAlignment="1">
      <alignment horizontal="center" wrapText="1"/>
    </xf>
    <xf numFmtId="0" fontId="3" fillId="0" borderId="0" xfId="0"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4"/>
  <sheetViews>
    <sheetView tabSelected="1" view="pageBreakPreview" topLeftCell="A118" zoomScaleNormal="100" zoomScaleSheetLayoutView="100" workbookViewId="0">
      <selection activeCell="C138" sqref="C138"/>
    </sheetView>
  </sheetViews>
  <sheetFormatPr defaultRowHeight="12" x14ac:dyDescent="0.25"/>
  <cols>
    <col min="1" max="1" width="2.7109375" style="1" customWidth="1"/>
    <col min="2" max="2" width="7.42578125" style="1" customWidth="1"/>
    <col min="3" max="3" width="37.28515625" style="1" customWidth="1"/>
    <col min="4" max="4" width="4.42578125" style="1" customWidth="1"/>
    <col min="5" max="5" width="9.7109375" style="1" customWidth="1"/>
    <col min="6" max="6" width="8.7109375" style="1" customWidth="1"/>
    <col min="7" max="7" width="11.7109375" style="1" customWidth="1"/>
    <col min="8" max="8" width="10.7109375" style="1" customWidth="1"/>
    <col min="9" max="14" width="9.140625" style="1" hidden="1" customWidth="1"/>
    <col min="15" max="15" width="9.140625" style="1" customWidth="1"/>
    <col min="16" max="16384" width="9.140625" style="1"/>
  </cols>
  <sheetData>
    <row r="1" spans="1:9" s="30" customFormat="1" ht="24" customHeight="1" x14ac:dyDescent="0.25">
      <c r="A1" s="2"/>
      <c r="B1" s="2" t="s">
        <v>0</v>
      </c>
      <c r="C1" s="2" t="s">
        <v>1</v>
      </c>
      <c r="D1" s="2" t="s">
        <v>2</v>
      </c>
      <c r="E1" s="2" t="s">
        <v>3</v>
      </c>
      <c r="F1" s="3" t="s">
        <v>4</v>
      </c>
      <c r="G1" s="4" t="s">
        <v>5</v>
      </c>
      <c r="H1" s="2" t="s">
        <v>6</v>
      </c>
      <c r="I1" s="2">
        <v>99063</v>
      </c>
    </row>
    <row r="6" spans="1:9" x14ac:dyDescent="0.25">
      <c r="B6" s="5"/>
      <c r="C6" s="6" t="s">
        <v>7</v>
      </c>
    </row>
    <row r="8" spans="1:9" x14ac:dyDescent="0.25">
      <c r="B8" s="5"/>
      <c r="C8" s="6" t="s">
        <v>8</v>
      </c>
    </row>
    <row r="10" spans="1:9" x14ac:dyDescent="0.25">
      <c r="B10" s="5"/>
      <c r="C10" s="6" t="s">
        <v>9</v>
      </c>
    </row>
    <row r="12" spans="1:9" ht="24" x14ac:dyDescent="0.25">
      <c r="B12" s="5" t="s">
        <v>10</v>
      </c>
      <c r="C12" s="6" t="s">
        <v>11</v>
      </c>
    </row>
    <row r="14" spans="1:9" x14ac:dyDescent="0.25">
      <c r="B14" s="5" t="s">
        <v>12</v>
      </c>
      <c r="C14" s="6" t="s">
        <v>13</v>
      </c>
    </row>
    <row r="16" spans="1:9" x14ac:dyDescent="0.25">
      <c r="B16" s="5" t="s">
        <v>14</v>
      </c>
      <c r="C16" s="6" t="s">
        <v>15</v>
      </c>
    </row>
    <row r="18" spans="2:14" x14ac:dyDescent="0.2">
      <c r="C18" s="7" t="s">
        <v>16</v>
      </c>
      <c r="D18" s="8"/>
      <c r="E18" s="9"/>
      <c r="L18" s="1">
        <f>G18</f>
        <v>0</v>
      </c>
      <c r="N18" s="1">
        <f>G18</f>
        <v>0</v>
      </c>
    </row>
    <row r="20" spans="2:14" x14ac:dyDescent="0.2">
      <c r="C20" s="7" t="s">
        <v>17</v>
      </c>
      <c r="D20" s="8"/>
      <c r="E20" s="9"/>
      <c r="L20" s="1">
        <f>G20</f>
        <v>0</v>
      </c>
      <c r="N20" s="1">
        <f>G20</f>
        <v>0</v>
      </c>
    </row>
    <row r="22" spans="2:14" ht="96" x14ac:dyDescent="0.2">
      <c r="B22" s="1" t="s">
        <v>18</v>
      </c>
      <c r="C22" s="7" t="s">
        <v>19</v>
      </c>
      <c r="D22" s="8"/>
      <c r="E22" s="9"/>
      <c r="L22" s="1">
        <f>G22</f>
        <v>0</v>
      </c>
      <c r="N22" s="1">
        <f>G22</f>
        <v>0</v>
      </c>
    </row>
    <row r="24" spans="2:14" ht="24" x14ac:dyDescent="0.2">
      <c r="B24" s="1" t="s">
        <v>20</v>
      </c>
      <c r="C24" s="7" t="s">
        <v>21</v>
      </c>
      <c r="D24" s="8"/>
      <c r="E24" s="9"/>
      <c r="L24" s="1">
        <f>G24</f>
        <v>0</v>
      </c>
      <c r="N24" s="1">
        <f>G24</f>
        <v>0</v>
      </c>
    </row>
    <row r="26" spans="2:14" ht="48" x14ac:dyDescent="0.2">
      <c r="B26" s="1" t="s">
        <v>22</v>
      </c>
      <c r="C26" s="7" t="s">
        <v>23</v>
      </c>
      <c r="D26" s="8"/>
      <c r="E26" s="9"/>
      <c r="L26" s="1">
        <f>G26</f>
        <v>0</v>
      </c>
      <c r="N26" s="1">
        <f>G26</f>
        <v>0</v>
      </c>
    </row>
    <row r="28" spans="2:14" ht="300" x14ac:dyDescent="0.2">
      <c r="C28" s="7" t="s">
        <v>24</v>
      </c>
      <c r="D28" s="8"/>
      <c r="E28" s="9"/>
      <c r="L28" s="1">
        <f>G28</f>
        <v>0</v>
      </c>
      <c r="N28" s="1">
        <f>G28</f>
        <v>0</v>
      </c>
    </row>
    <row r="30" spans="2:14" x14ac:dyDescent="0.2">
      <c r="B30" s="1" t="s">
        <v>25</v>
      </c>
      <c r="C30" s="7" t="s">
        <v>26</v>
      </c>
      <c r="D30" s="8"/>
      <c r="E30" s="9"/>
      <c r="L30" s="1">
        <f>G30</f>
        <v>0</v>
      </c>
      <c r="N30" s="1">
        <f>G30</f>
        <v>0</v>
      </c>
    </row>
    <row r="32" spans="2:14" ht="288" x14ac:dyDescent="0.25">
      <c r="C32" s="7" t="s">
        <v>27</v>
      </c>
    </row>
    <row r="33" spans="2:14" ht="300" x14ac:dyDescent="0.2">
      <c r="C33" s="7" t="s">
        <v>28</v>
      </c>
      <c r="D33" s="8"/>
      <c r="E33" s="9"/>
      <c r="L33" s="1">
        <f>G33</f>
        <v>0</v>
      </c>
      <c r="N33" s="1">
        <f>G33</f>
        <v>0</v>
      </c>
    </row>
    <row r="35" spans="2:14" ht="336" x14ac:dyDescent="0.2">
      <c r="C35" s="7" t="s">
        <v>29</v>
      </c>
      <c r="D35" s="8"/>
      <c r="E35" s="9"/>
      <c r="L35" s="1">
        <f>G35</f>
        <v>0</v>
      </c>
      <c r="N35" s="1">
        <f>G35</f>
        <v>0</v>
      </c>
    </row>
    <row r="37" spans="2:14" x14ac:dyDescent="0.2">
      <c r="C37" s="7" t="s">
        <v>30</v>
      </c>
      <c r="D37" s="8" t="s">
        <v>31</v>
      </c>
      <c r="E37" s="9">
        <v>15</v>
      </c>
      <c r="F37" s="10"/>
      <c r="G37" s="9" t="str">
        <f>IF(ISBLANK(F37),"", ROUND(PRODUCT(ROUND(IF(ISBLANK(E37),0, E37),2), ROUND(IF(ISBLANK(F37),0, F37),2)),2))</f>
        <v/>
      </c>
      <c r="H37" s="11"/>
      <c r="I37" s="1">
        <v>5166939</v>
      </c>
      <c r="L37" s="1" t="str">
        <f>G37</f>
        <v/>
      </c>
      <c r="N37" s="1" t="str">
        <f>G37</f>
        <v/>
      </c>
    </row>
    <row r="39" spans="2:14" x14ac:dyDescent="0.2">
      <c r="C39" s="7" t="s">
        <v>32</v>
      </c>
      <c r="D39" s="8" t="s">
        <v>31</v>
      </c>
      <c r="E39" s="9">
        <v>15</v>
      </c>
      <c r="F39" s="10"/>
      <c r="G39" s="9" t="str">
        <f>IF(ISBLANK(F39),"", ROUND(PRODUCT(ROUND(IF(ISBLANK(E39),0, E39),2), ROUND(IF(ISBLANK(F39),0, F39),2)),2))</f>
        <v/>
      </c>
      <c r="H39" s="11"/>
      <c r="I39" s="1">
        <v>5166940</v>
      </c>
      <c r="L39" s="1" t="str">
        <f>G39</f>
        <v/>
      </c>
      <c r="N39" s="1" t="str">
        <f>G39</f>
        <v/>
      </c>
    </row>
    <row r="41" spans="2:14" x14ac:dyDescent="0.2">
      <c r="C41" s="7" t="s">
        <v>33</v>
      </c>
      <c r="D41" s="8" t="s">
        <v>31</v>
      </c>
      <c r="E41" s="9">
        <v>14.1</v>
      </c>
      <c r="F41" s="10"/>
      <c r="G41" s="9" t="str">
        <f>IF(ISBLANK(F41),"", ROUND(PRODUCT(ROUND(IF(ISBLANK(E41),0, E41),2), ROUND(IF(ISBLANK(F41),0, F41),2)),2))</f>
        <v/>
      </c>
      <c r="H41" s="11"/>
      <c r="I41" s="1">
        <v>5166941</v>
      </c>
      <c r="L41" s="1" t="str">
        <f>G41</f>
        <v/>
      </c>
      <c r="N41" s="1" t="str">
        <f>G41</f>
        <v/>
      </c>
    </row>
    <row r="43" spans="2:14" x14ac:dyDescent="0.2">
      <c r="C43" s="7" t="s">
        <v>34</v>
      </c>
      <c r="D43" s="8" t="s">
        <v>31</v>
      </c>
      <c r="E43" s="9">
        <v>14.1</v>
      </c>
      <c r="F43" s="10"/>
      <c r="G43" s="9" t="str">
        <f>IF(ISBLANK(F43),"", ROUND(PRODUCT(ROUND(IF(ISBLANK(E43),0, E43),2), ROUND(IF(ISBLANK(F43),0, F43),2)),2))</f>
        <v/>
      </c>
      <c r="H43" s="11"/>
      <c r="I43" s="1">
        <v>5166942</v>
      </c>
      <c r="L43" s="1" t="str">
        <f>G43</f>
        <v/>
      </c>
      <c r="N43" s="1" t="str">
        <f>G43</f>
        <v/>
      </c>
    </row>
    <row r="45" spans="2:14" x14ac:dyDescent="0.2">
      <c r="B45" s="1" t="s">
        <v>35</v>
      </c>
      <c r="C45" s="7" t="s">
        <v>36</v>
      </c>
      <c r="D45" s="8"/>
      <c r="E45" s="9"/>
      <c r="L45" s="1">
        <f>G45</f>
        <v>0</v>
      </c>
      <c r="N45" s="1">
        <f>G45</f>
        <v>0</v>
      </c>
    </row>
    <row r="47" spans="2:14" ht="408" x14ac:dyDescent="0.25">
      <c r="C47" s="7" t="s">
        <v>37</v>
      </c>
    </row>
    <row r="48" spans="2:14" ht="336" x14ac:dyDescent="0.2">
      <c r="C48" s="7" t="s">
        <v>38</v>
      </c>
      <c r="D48" s="8"/>
      <c r="E48" s="9"/>
      <c r="L48" s="1">
        <f>G48</f>
        <v>0</v>
      </c>
      <c r="N48" s="1">
        <f>G48</f>
        <v>0</v>
      </c>
    </row>
    <row r="50" spans="2:14" ht="180" x14ac:dyDescent="0.2">
      <c r="C50" s="7" t="s">
        <v>39</v>
      </c>
      <c r="D50" s="8"/>
      <c r="E50" s="9"/>
      <c r="L50" s="1">
        <f>G50</f>
        <v>0</v>
      </c>
      <c r="N50" s="1">
        <f>G50</f>
        <v>0</v>
      </c>
    </row>
    <row r="52" spans="2:14" x14ac:dyDescent="0.2">
      <c r="C52" s="7" t="s">
        <v>40</v>
      </c>
      <c r="D52" s="8" t="s">
        <v>31</v>
      </c>
      <c r="E52" s="9">
        <v>1</v>
      </c>
      <c r="F52" s="10"/>
      <c r="G52" s="9" t="str">
        <f>IF(ISBLANK(F52),"", ROUND(PRODUCT(ROUND(IF(ISBLANK(E52),0, E52),2), ROUND(IF(ISBLANK(F52),0, F52),2)),2))</f>
        <v/>
      </c>
      <c r="H52" s="11"/>
      <c r="I52" s="1">
        <v>5166963</v>
      </c>
      <c r="L52" s="1" t="str">
        <f>G52</f>
        <v/>
      </c>
      <c r="N52" s="1" t="str">
        <f>G52</f>
        <v/>
      </c>
    </row>
    <row r="54" spans="2:14" x14ac:dyDescent="0.2">
      <c r="C54" s="7" t="s">
        <v>41</v>
      </c>
      <c r="D54" s="8" t="s">
        <v>31</v>
      </c>
      <c r="E54" s="9">
        <v>1</v>
      </c>
      <c r="F54" s="10"/>
      <c r="G54" s="9" t="str">
        <f>IF(ISBLANK(F54),"", ROUND(PRODUCT(ROUND(IF(ISBLANK(E54),0, E54),2), ROUND(IF(ISBLANK(F54),0, F54),2)),2))</f>
        <v/>
      </c>
      <c r="H54" s="11"/>
      <c r="I54" s="1">
        <v>5166964</v>
      </c>
      <c r="L54" s="1" t="str">
        <f>G54</f>
        <v/>
      </c>
      <c r="N54" s="1" t="str">
        <f>G54</f>
        <v/>
      </c>
    </row>
    <row r="56" spans="2:14" x14ac:dyDescent="0.2">
      <c r="C56" s="7" t="s">
        <v>42</v>
      </c>
      <c r="D56" s="8" t="s">
        <v>31</v>
      </c>
      <c r="E56" s="9">
        <v>2</v>
      </c>
      <c r="F56" s="10"/>
      <c r="G56" s="9" t="str">
        <f>IF(ISBLANK(F56),"", ROUND(PRODUCT(ROUND(IF(ISBLANK(E56),0, E56),2), ROUND(IF(ISBLANK(F56),0, F56),2)),2))</f>
        <v/>
      </c>
      <c r="H56" s="11"/>
      <c r="I56" s="1">
        <v>5166965</v>
      </c>
      <c r="L56" s="1" t="str">
        <f>G56</f>
        <v/>
      </c>
      <c r="N56" s="1" t="str">
        <f>G56</f>
        <v/>
      </c>
    </row>
    <row r="58" spans="2:14" x14ac:dyDescent="0.2">
      <c r="C58" s="7" t="s">
        <v>43</v>
      </c>
      <c r="D58" s="8" t="s">
        <v>31</v>
      </c>
      <c r="E58" s="9">
        <v>2</v>
      </c>
      <c r="F58" s="10"/>
      <c r="G58" s="9" t="str">
        <f>IF(ISBLANK(F58),"", ROUND(PRODUCT(ROUND(IF(ISBLANK(E58),0, E58),2), ROUND(IF(ISBLANK(F58),0, F58),2)),2))</f>
        <v/>
      </c>
      <c r="H58" s="11"/>
      <c r="I58" s="1">
        <v>5166966</v>
      </c>
      <c r="L58" s="1" t="str">
        <f>G58</f>
        <v/>
      </c>
      <c r="N58" s="1" t="str">
        <f>G58</f>
        <v/>
      </c>
    </row>
    <row r="60" spans="2:14" x14ac:dyDescent="0.2">
      <c r="C60" s="7" t="s">
        <v>44</v>
      </c>
      <c r="D60" s="8"/>
      <c r="E60" s="9"/>
      <c r="L60" s="1">
        <f>G60</f>
        <v>0</v>
      </c>
      <c r="N60" s="1">
        <f>G60</f>
        <v>0</v>
      </c>
    </row>
    <row r="62" spans="2:14" ht="36" x14ac:dyDescent="0.2">
      <c r="B62" s="1" t="s">
        <v>45</v>
      </c>
      <c r="C62" s="7" t="s">
        <v>46</v>
      </c>
      <c r="D62" s="8"/>
      <c r="E62" s="9"/>
      <c r="L62" s="1">
        <f>G62</f>
        <v>0</v>
      </c>
      <c r="N62" s="1">
        <f>G62</f>
        <v>0</v>
      </c>
    </row>
    <row r="64" spans="2:14" ht="168" x14ac:dyDescent="0.2">
      <c r="C64" s="7" t="s">
        <v>47</v>
      </c>
      <c r="D64" s="8"/>
      <c r="E64" s="9"/>
      <c r="L64" s="1">
        <f>G64</f>
        <v>0</v>
      </c>
      <c r="N64" s="1">
        <f>G64</f>
        <v>0</v>
      </c>
    </row>
    <row r="66" spans="2:14" ht="156" x14ac:dyDescent="0.2">
      <c r="B66" s="1" t="s">
        <v>48</v>
      </c>
      <c r="C66" s="7" t="s">
        <v>49</v>
      </c>
      <c r="D66" s="8"/>
      <c r="E66" s="9"/>
      <c r="L66" s="1">
        <f>G66</f>
        <v>0</v>
      </c>
      <c r="N66" s="1">
        <f>G66</f>
        <v>0</v>
      </c>
    </row>
    <row r="68" spans="2:14" ht="204" x14ac:dyDescent="0.2">
      <c r="B68" s="1" t="s">
        <v>50</v>
      </c>
      <c r="C68" s="7" t="s">
        <v>51</v>
      </c>
      <c r="D68" s="8"/>
      <c r="E68" s="9"/>
      <c r="L68" s="1">
        <f>G68</f>
        <v>0</v>
      </c>
      <c r="N68" s="1">
        <f>G68</f>
        <v>0</v>
      </c>
    </row>
    <row r="70" spans="2:14" ht="96" x14ac:dyDescent="0.2">
      <c r="B70" s="1" t="s">
        <v>52</v>
      </c>
      <c r="C70" s="7" t="s">
        <v>53</v>
      </c>
      <c r="D70" s="8"/>
      <c r="E70" s="9"/>
      <c r="L70" s="1">
        <f>G70</f>
        <v>0</v>
      </c>
      <c r="N70" s="1">
        <f>G70</f>
        <v>0</v>
      </c>
    </row>
    <row r="72" spans="2:14" x14ac:dyDescent="0.2">
      <c r="B72" s="1" t="s">
        <v>54</v>
      </c>
      <c r="C72" s="7" t="s">
        <v>55</v>
      </c>
      <c r="D72" s="8"/>
      <c r="E72" s="9"/>
      <c r="L72" s="1">
        <f>G72</f>
        <v>0</v>
      </c>
      <c r="N72" s="1">
        <f>G72</f>
        <v>0</v>
      </c>
    </row>
    <row r="74" spans="2:14" ht="96" x14ac:dyDescent="0.2">
      <c r="C74" s="7" t="s">
        <v>56</v>
      </c>
      <c r="D74" s="8"/>
      <c r="E74" s="9"/>
      <c r="L74" s="1">
        <f>G74</f>
        <v>0</v>
      </c>
      <c r="N74" s="1">
        <f>G74</f>
        <v>0</v>
      </c>
    </row>
    <row r="76" spans="2:14" x14ac:dyDescent="0.2">
      <c r="C76" s="7" t="s">
        <v>57</v>
      </c>
      <c r="D76" s="8" t="s">
        <v>31</v>
      </c>
      <c r="E76" s="9">
        <v>30.1</v>
      </c>
      <c r="F76" s="10"/>
      <c r="G76" s="9" t="str">
        <f>IF(ISBLANK(F76),"", ROUND(PRODUCT(ROUND(IF(ISBLANK(E76),0, E76),2), ROUND(IF(ISBLANK(F76),0, F76),2)),2))</f>
        <v/>
      </c>
      <c r="H76" s="11"/>
      <c r="I76" s="1">
        <v>5167005</v>
      </c>
      <c r="L76" s="1" t="str">
        <f>G76</f>
        <v/>
      </c>
      <c r="N76" s="1" t="str">
        <f>G76</f>
        <v/>
      </c>
    </row>
    <row r="78" spans="2:14" x14ac:dyDescent="0.2">
      <c r="C78" s="7" t="s">
        <v>58</v>
      </c>
      <c r="D78" s="8" t="s">
        <v>31</v>
      </c>
      <c r="E78" s="9">
        <v>30.1</v>
      </c>
      <c r="F78" s="10"/>
      <c r="G78" s="9" t="str">
        <f>IF(ISBLANK(F78),"", ROUND(PRODUCT(ROUND(IF(ISBLANK(E78),0, E78),2), ROUND(IF(ISBLANK(F78),0, F78),2)),2))</f>
        <v/>
      </c>
      <c r="H78" s="11"/>
      <c r="I78" s="1">
        <v>5167006</v>
      </c>
      <c r="L78" s="1" t="str">
        <f>G78</f>
        <v/>
      </c>
      <c r="N78" s="1" t="str">
        <f>G78</f>
        <v/>
      </c>
    </row>
    <row r="80" spans="2:14" x14ac:dyDescent="0.2">
      <c r="B80" s="1" t="s">
        <v>59</v>
      </c>
      <c r="C80" s="7" t="s">
        <v>60</v>
      </c>
      <c r="D80" s="8"/>
      <c r="E80" s="9"/>
      <c r="L80" s="1">
        <f>G80</f>
        <v>0</v>
      </c>
      <c r="N80" s="1">
        <f>G80</f>
        <v>0</v>
      </c>
    </row>
    <row r="82" spans="2:14" ht="252" x14ac:dyDescent="0.2">
      <c r="C82" s="7" t="s">
        <v>61</v>
      </c>
      <c r="D82" s="8"/>
      <c r="E82" s="9"/>
      <c r="L82" s="1">
        <f>G82</f>
        <v>0</v>
      </c>
      <c r="N82" s="1">
        <f>G82</f>
        <v>0</v>
      </c>
    </row>
    <row r="84" spans="2:14" ht="168" x14ac:dyDescent="0.2">
      <c r="B84" s="1" t="s">
        <v>48</v>
      </c>
      <c r="C84" s="7" t="s">
        <v>62</v>
      </c>
      <c r="D84" s="8"/>
      <c r="E84" s="9"/>
      <c r="L84" s="1">
        <f>G84</f>
        <v>0</v>
      </c>
      <c r="N84" s="1">
        <f>G84</f>
        <v>0</v>
      </c>
    </row>
    <row r="86" spans="2:14" ht="156" x14ac:dyDescent="0.2">
      <c r="B86" s="1" t="s">
        <v>50</v>
      </c>
      <c r="C86" s="7" t="s">
        <v>63</v>
      </c>
      <c r="D86" s="8"/>
      <c r="E86" s="9"/>
      <c r="L86" s="1">
        <f>G86</f>
        <v>0</v>
      </c>
      <c r="N86" s="1">
        <f>G86</f>
        <v>0</v>
      </c>
    </row>
    <row r="88" spans="2:14" ht="96" x14ac:dyDescent="0.2">
      <c r="B88" s="1" t="s">
        <v>64</v>
      </c>
      <c r="C88" s="7" t="s">
        <v>65</v>
      </c>
      <c r="D88" s="8"/>
      <c r="E88" s="9"/>
      <c r="L88" s="1">
        <f>G88</f>
        <v>0</v>
      </c>
      <c r="N88" s="1">
        <f>G88</f>
        <v>0</v>
      </c>
    </row>
    <row r="90" spans="2:14" x14ac:dyDescent="0.2">
      <c r="B90" s="1" t="s">
        <v>54</v>
      </c>
      <c r="C90" s="7" t="s">
        <v>66</v>
      </c>
      <c r="D90" s="8"/>
      <c r="E90" s="9"/>
      <c r="L90" s="1">
        <f>G90</f>
        <v>0</v>
      </c>
      <c r="N90" s="1">
        <f>G90</f>
        <v>0</v>
      </c>
    </row>
    <row r="92" spans="2:14" ht="96" x14ac:dyDescent="0.2">
      <c r="C92" s="7" t="s">
        <v>67</v>
      </c>
      <c r="D92" s="8"/>
      <c r="E92" s="9"/>
      <c r="L92" s="1">
        <f>G92</f>
        <v>0</v>
      </c>
      <c r="N92" s="1">
        <f>G92</f>
        <v>0</v>
      </c>
    </row>
    <row r="94" spans="2:14" x14ac:dyDescent="0.2">
      <c r="C94" s="7" t="s">
        <v>68</v>
      </c>
      <c r="D94" s="8" t="s">
        <v>31</v>
      </c>
      <c r="E94" s="9">
        <v>20.2</v>
      </c>
      <c r="F94" s="10"/>
      <c r="G94" s="9" t="str">
        <f>IF(ISBLANK(F94),"", ROUND(PRODUCT(ROUND(IF(ISBLANK(E94),0, E94),2), ROUND(IF(ISBLANK(F94),0, F94),2)),2))</f>
        <v/>
      </c>
      <c r="H94" s="11"/>
      <c r="I94" s="1">
        <v>5167014</v>
      </c>
      <c r="L94" s="1" t="str">
        <f>G94</f>
        <v/>
      </c>
      <c r="N94" s="1" t="str">
        <f>G94</f>
        <v/>
      </c>
    </row>
    <row r="96" spans="2:14" x14ac:dyDescent="0.2">
      <c r="C96" s="7" t="s">
        <v>69</v>
      </c>
      <c r="D96" s="8" t="s">
        <v>31</v>
      </c>
      <c r="E96" s="9">
        <v>20.2</v>
      </c>
      <c r="F96" s="10"/>
      <c r="G96" s="9" t="str">
        <f>IF(ISBLANK(F96),"", ROUND(PRODUCT(ROUND(IF(ISBLANK(E96),0, E96),2), ROUND(IF(ISBLANK(F96),0, F96),2)),2))</f>
        <v/>
      </c>
      <c r="H96" s="11"/>
      <c r="I96" s="1">
        <v>5167015</v>
      </c>
      <c r="L96" s="1" t="str">
        <f>G96</f>
        <v/>
      </c>
      <c r="N96" s="1" t="str">
        <f>G96</f>
        <v/>
      </c>
    </row>
    <row r="98" spans="2:14" x14ac:dyDescent="0.2">
      <c r="C98" s="7" t="s">
        <v>70</v>
      </c>
      <c r="D98" s="8"/>
      <c r="E98" s="9"/>
      <c r="L98" s="1">
        <f>G98</f>
        <v>0</v>
      </c>
      <c r="N98" s="1">
        <f>G98</f>
        <v>0</v>
      </c>
    </row>
    <row r="100" spans="2:14" x14ac:dyDescent="0.2">
      <c r="B100" s="1" t="s">
        <v>71</v>
      </c>
      <c r="C100" s="7" t="s">
        <v>72</v>
      </c>
      <c r="D100" s="8"/>
      <c r="E100" s="9"/>
      <c r="L100" s="1">
        <f>G100</f>
        <v>0</v>
      </c>
      <c r="N100" s="1">
        <f>G100</f>
        <v>0</v>
      </c>
    </row>
    <row r="102" spans="2:14" ht="192" x14ac:dyDescent="0.2">
      <c r="C102" s="7" t="s">
        <v>73</v>
      </c>
      <c r="D102" s="8"/>
      <c r="E102" s="9"/>
      <c r="L102" s="1">
        <f>G102</f>
        <v>0</v>
      </c>
      <c r="N102" s="1">
        <f>G102</f>
        <v>0</v>
      </c>
    </row>
    <row r="104" spans="2:14" ht="36" x14ac:dyDescent="0.2">
      <c r="B104" s="1" t="s">
        <v>48</v>
      </c>
      <c r="C104" s="7" t="s">
        <v>74</v>
      </c>
      <c r="D104" s="8"/>
      <c r="E104" s="9"/>
      <c r="L104" s="1">
        <f>G104</f>
        <v>0</v>
      </c>
      <c r="N104" s="1">
        <f>G104</f>
        <v>0</v>
      </c>
    </row>
    <row r="106" spans="2:14" ht="24" x14ac:dyDescent="0.2">
      <c r="B106" s="1" t="s">
        <v>50</v>
      </c>
      <c r="C106" s="7" t="s">
        <v>75</v>
      </c>
      <c r="D106" s="8"/>
      <c r="E106" s="9"/>
      <c r="L106" s="1">
        <f>G106</f>
        <v>0</v>
      </c>
      <c r="N106" s="1">
        <f>G106</f>
        <v>0</v>
      </c>
    </row>
    <row r="108" spans="2:14" ht="204" x14ac:dyDescent="0.2">
      <c r="B108" s="1" t="s">
        <v>64</v>
      </c>
      <c r="C108" s="7" t="s">
        <v>76</v>
      </c>
      <c r="D108" s="8"/>
      <c r="E108" s="9"/>
      <c r="L108" s="1">
        <f>G108</f>
        <v>0</v>
      </c>
      <c r="N108" s="1">
        <f>G108</f>
        <v>0</v>
      </c>
    </row>
    <row r="110" spans="2:14" ht="84" x14ac:dyDescent="0.2">
      <c r="B110" s="1" t="s">
        <v>54</v>
      </c>
      <c r="C110" s="7" t="s">
        <v>77</v>
      </c>
      <c r="D110" s="8"/>
      <c r="E110" s="9"/>
      <c r="L110" s="1">
        <f>G110</f>
        <v>0</v>
      </c>
      <c r="N110" s="1">
        <f>G110</f>
        <v>0</v>
      </c>
    </row>
    <row r="112" spans="2:14" x14ac:dyDescent="0.2">
      <c r="B112" s="1" t="s">
        <v>78</v>
      </c>
      <c r="C112" s="7" t="s">
        <v>79</v>
      </c>
      <c r="D112" s="8"/>
      <c r="E112" s="9"/>
      <c r="L112" s="1">
        <f>G112</f>
        <v>0</v>
      </c>
      <c r="N112" s="1">
        <f>G112</f>
        <v>0</v>
      </c>
    </row>
    <row r="114" spans="2:14" ht="108" x14ac:dyDescent="0.2">
      <c r="C114" s="7" t="s">
        <v>80</v>
      </c>
      <c r="D114" s="8"/>
      <c r="E114" s="9"/>
      <c r="L114" s="1">
        <f>G114</f>
        <v>0</v>
      </c>
      <c r="N114" s="1">
        <f>G114</f>
        <v>0</v>
      </c>
    </row>
    <row r="116" spans="2:14" x14ac:dyDescent="0.2">
      <c r="C116" s="7" t="s">
        <v>81</v>
      </c>
      <c r="D116" s="8" t="s">
        <v>31</v>
      </c>
      <c r="E116" s="9">
        <v>144.5</v>
      </c>
      <c r="F116" s="10"/>
      <c r="G116" s="9" t="str">
        <f>IF(ISBLANK(F116),"", ROUND(PRODUCT(ROUND(IF(ISBLANK(E116),0, E116),2), ROUND(IF(ISBLANK(F116),0, F116),2)),2))</f>
        <v/>
      </c>
      <c r="H116" s="11"/>
      <c r="I116" s="1">
        <v>5167025</v>
      </c>
      <c r="L116" s="1" t="str">
        <f>G116</f>
        <v/>
      </c>
      <c r="N116" s="1" t="str">
        <f>G116</f>
        <v/>
      </c>
    </row>
    <row r="118" spans="2:14" x14ac:dyDescent="0.2">
      <c r="C118" s="7" t="s">
        <v>82</v>
      </c>
      <c r="D118" s="8" t="s">
        <v>31</v>
      </c>
      <c r="E118" s="9">
        <v>111</v>
      </c>
      <c r="F118" s="10"/>
      <c r="G118" s="9" t="str">
        <f>IF(ISBLANK(F118),"", ROUND(PRODUCT(ROUND(IF(ISBLANK(E118),0, E118),2), ROUND(IF(ISBLANK(F118),0, F118),2)),2))</f>
        <v/>
      </c>
      <c r="H118" s="11"/>
      <c r="I118" s="1">
        <v>5167026</v>
      </c>
      <c r="L118" s="1" t="str">
        <f>G118</f>
        <v/>
      </c>
      <c r="N118" s="1" t="str">
        <f>G118</f>
        <v/>
      </c>
    </row>
    <row r="120" spans="2:14" ht="24" x14ac:dyDescent="0.2">
      <c r="B120" s="1" t="s">
        <v>83</v>
      </c>
      <c r="C120" s="7" t="s">
        <v>84</v>
      </c>
      <c r="D120" s="8"/>
      <c r="E120" s="9"/>
      <c r="L120" s="1">
        <f>G120</f>
        <v>0</v>
      </c>
      <c r="N120" s="1">
        <f>G120</f>
        <v>0</v>
      </c>
    </row>
    <row r="122" spans="2:14" ht="192" x14ac:dyDescent="0.2">
      <c r="C122" s="7" t="s">
        <v>85</v>
      </c>
      <c r="D122" s="8"/>
      <c r="E122" s="9"/>
      <c r="L122" s="1">
        <f>G122</f>
        <v>0</v>
      </c>
      <c r="N122" s="1">
        <f>G122</f>
        <v>0</v>
      </c>
    </row>
    <row r="124" spans="2:14" ht="168" x14ac:dyDescent="0.2">
      <c r="B124" s="1" t="s">
        <v>48</v>
      </c>
      <c r="C124" s="7" t="s">
        <v>86</v>
      </c>
      <c r="D124" s="8"/>
      <c r="E124" s="9"/>
      <c r="L124" s="1">
        <f>G124</f>
        <v>0</v>
      </c>
      <c r="N124" s="1">
        <f>G124</f>
        <v>0</v>
      </c>
    </row>
    <row r="126" spans="2:14" ht="204" x14ac:dyDescent="0.2">
      <c r="B126" s="1" t="s">
        <v>50</v>
      </c>
      <c r="C126" s="7" t="s">
        <v>87</v>
      </c>
      <c r="D126" s="8"/>
      <c r="E126" s="9"/>
      <c r="L126" s="1">
        <f>G126</f>
        <v>0</v>
      </c>
      <c r="N126" s="1">
        <f>G126</f>
        <v>0</v>
      </c>
    </row>
    <row r="128" spans="2:14" ht="84" x14ac:dyDescent="0.2">
      <c r="B128" s="1" t="s">
        <v>64</v>
      </c>
      <c r="C128" s="7" t="s">
        <v>88</v>
      </c>
      <c r="D128" s="8"/>
      <c r="E128" s="9"/>
      <c r="L128" s="1">
        <f>G128</f>
        <v>0</v>
      </c>
      <c r="N128" s="1">
        <f>G128</f>
        <v>0</v>
      </c>
    </row>
    <row r="130" spans="1:14" x14ac:dyDescent="0.2">
      <c r="B130" s="1" t="s">
        <v>54</v>
      </c>
      <c r="C130" s="7" t="s">
        <v>89</v>
      </c>
      <c r="D130" s="8"/>
      <c r="E130" s="9"/>
      <c r="L130" s="1">
        <f>G130</f>
        <v>0</v>
      </c>
      <c r="N130" s="1">
        <f>G130</f>
        <v>0</v>
      </c>
    </row>
    <row r="132" spans="1:14" ht="84" x14ac:dyDescent="0.2">
      <c r="C132" s="7" t="s">
        <v>90</v>
      </c>
      <c r="D132" s="8" t="s">
        <v>31</v>
      </c>
      <c r="E132" s="9">
        <v>183.2</v>
      </c>
      <c r="F132" s="10"/>
      <c r="G132" s="9" t="str">
        <f>IF(ISBLANK(F132),"", ROUND(PRODUCT(ROUND(IF(ISBLANK(E132),0, E132),2), ROUND(IF(ISBLANK(F132),0, F132),2)),2))</f>
        <v/>
      </c>
      <c r="H132" s="11"/>
      <c r="I132" s="1">
        <v>5167033</v>
      </c>
      <c r="L132" s="1" t="str">
        <f>G132</f>
        <v/>
      </c>
      <c r="N132" s="1" t="str">
        <f>G132</f>
        <v/>
      </c>
    </row>
    <row r="134" spans="1:14" x14ac:dyDescent="0.2">
      <c r="C134" s="7" t="s">
        <v>91</v>
      </c>
      <c r="D134" s="8"/>
      <c r="E134" s="9"/>
      <c r="L134" s="1">
        <f>G134</f>
        <v>0</v>
      </c>
      <c r="N134" s="1">
        <f>G134</f>
        <v>0</v>
      </c>
    </row>
    <row r="136" spans="1:14" x14ac:dyDescent="0.2">
      <c r="B136" s="1" t="s">
        <v>92</v>
      </c>
      <c r="C136" s="7" t="s">
        <v>93</v>
      </c>
      <c r="D136" s="8"/>
      <c r="E136" s="9"/>
      <c r="L136" s="1">
        <f>G136</f>
        <v>0</v>
      </c>
      <c r="N136" s="1">
        <f>G136</f>
        <v>0</v>
      </c>
    </row>
    <row r="138" spans="1:14" ht="409.5" x14ac:dyDescent="0.2">
      <c r="C138" s="7" t="s">
        <v>94</v>
      </c>
      <c r="D138" s="8"/>
      <c r="E138" s="9"/>
      <c r="L138" s="1">
        <f>G138</f>
        <v>0</v>
      </c>
      <c r="N138" s="1">
        <f>G138</f>
        <v>0</v>
      </c>
    </row>
    <row r="140" spans="1:14" x14ac:dyDescent="0.2">
      <c r="C140" s="7" t="s">
        <v>95</v>
      </c>
      <c r="D140" s="8" t="s">
        <v>31</v>
      </c>
      <c r="E140" s="9">
        <v>140.69999999999999</v>
      </c>
      <c r="F140" s="10"/>
      <c r="G140" s="9" t="str">
        <f>IF(ISBLANK(F140),"", ROUND(PRODUCT(ROUND(IF(ISBLANK(E140),0, E140),2), ROUND(IF(ISBLANK(F140),0, F140),2)),2))</f>
        <v/>
      </c>
      <c r="H140" s="11"/>
      <c r="I140" s="1">
        <v>5167037</v>
      </c>
      <c r="L140" s="1" t="str">
        <f>G140</f>
        <v/>
      </c>
      <c r="N140" s="1" t="str">
        <f>G140</f>
        <v/>
      </c>
    </row>
    <row r="142" spans="1:14" x14ac:dyDescent="0.2">
      <c r="C142" s="7" t="s">
        <v>96</v>
      </c>
      <c r="D142" s="8" t="s">
        <v>97</v>
      </c>
      <c r="E142" s="9">
        <v>118.4</v>
      </c>
      <c r="F142" s="10"/>
      <c r="G142" s="9" t="str">
        <f>IF(ISBLANK(F142),"", ROUND(PRODUCT(ROUND(IF(ISBLANK(E142),0, E142),2), ROUND(IF(ISBLANK(F142),0, F142),2)),2))</f>
        <v/>
      </c>
      <c r="H142" s="11"/>
      <c r="I142" s="1">
        <v>5167038</v>
      </c>
      <c r="L142" s="1" t="str">
        <f>G142</f>
        <v/>
      </c>
      <c r="N142" s="1" t="str">
        <f>G142</f>
        <v/>
      </c>
    </row>
    <row r="144" spans="1:14" x14ac:dyDescent="0.2">
      <c r="A144" s="12"/>
      <c r="B144" s="13" t="s">
        <v>98</v>
      </c>
      <c r="C144" s="13" t="s">
        <v>99</v>
      </c>
      <c r="D144" s="14" t="s">
        <v>100</v>
      </c>
      <c r="E144" s="12"/>
      <c r="F144" s="12"/>
      <c r="G144" s="15">
        <f>ROUND(SUM(K18:L142), 2)</f>
        <v>0</v>
      </c>
    </row>
    <row r="146" spans="1:14" x14ac:dyDescent="0.2">
      <c r="A146" s="12"/>
      <c r="B146" s="13" t="s">
        <v>101</v>
      </c>
      <c r="C146" s="13" t="s">
        <v>102</v>
      </c>
      <c r="D146" s="14" t="s">
        <v>100</v>
      </c>
      <c r="E146" s="12"/>
      <c r="F146" s="12"/>
      <c r="G146" s="15">
        <f>ROUND(SUM(G144), 2)</f>
        <v>0</v>
      </c>
    </row>
    <row r="148" spans="1:14" ht="24" x14ac:dyDescent="0.2">
      <c r="A148" s="12"/>
      <c r="B148" s="13" t="s">
        <v>103</v>
      </c>
      <c r="C148" s="13" t="s">
        <v>104</v>
      </c>
      <c r="D148" s="14" t="s">
        <v>100</v>
      </c>
      <c r="E148" s="12"/>
      <c r="F148" s="12"/>
      <c r="G148" s="15">
        <f>ROUND(SUM(G146), 2)</f>
        <v>0</v>
      </c>
    </row>
    <row r="150" spans="1:14" x14ac:dyDescent="0.2">
      <c r="A150" s="16"/>
      <c r="B150" s="17"/>
      <c r="C150" s="18" t="s">
        <v>105</v>
      </c>
      <c r="D150" s="19" t="s">
        <v>100</v>
      </c>
      <c r="E150" s="16"/>
      <c r="F150" s="16"/>
      <c r="G150" s="20">
        <f>ROUND(SUM(G148), 2)</f>
        <v>0</v>
      </c>
    </row>
    <row r="152" spans="1:14" x14ac:dyDescent="0.25">
      <c r="B152" s="5"/>
      <c r="C152" s="6" t="s">
        <v>106</v>
      </c>
    </row>
    <row r="154" spans="1:14" ht="24" x14ac:dyDescent="0.25">
      <c r="B154" s="5" t="s">
        <v>107</v>
      </c>
      <c r="C154" s="6" t="s">
        <v>108</v>
      </c>
    </row>
    <row r="156" spans="1:14" x14ac:dyDescent="0.25">
      <c r="B156" s="5" t="s">
        <v>109</v>
      </c>
      <c r="C156" s="6" t="s">
        <v>110</v>
      </c>
    </row>
    <row r="158" spans="1:14" x14ac:dyDescent="0.25">
      <c r="B158" s="5" t="s">
        <v>111</v>
      </c>
      <c r="C158" s="6" t="s">
        <v>112</v>
      </c>
    </row>
    <row r="160" spans="1:14" x14ac:dyDescent="0.2">
      <c r="C160" s="7" t="s">
        <v>113</v>
      </c>
      <c r="D160" s="8"/>
      <c r="E160" s="9"/>
      <c r="L160" s="1">
        <f>G160</f>
        <v>0</v>
      </c>
      <c r="N160" s="1">
        <f>G160</f>
        <v>0</v>
      </c>
    </row>
    <row r="162" spans="2:14" x14ac:dyDescent="0.2">
      <c r="C162" s="7" t="s">
        <v>114</v>
      </c>
      <c r="D162" s="8"/>
      <c r="E162" s="9"/>
      <c r="L162" s="1">
        <f>G162</f>
        <v>0</v>
      </c>
      <c r="N162" s="1">
        <f>G162</f>
        <v>0</v>
      </c>
    </row>
    <row r="164" spans="2:14" ht="96" x14ac:dyDescent="0.2">
      <c r="B164" s="1" t="s">
        <v>115</v>
      </c>
      <c r="C164" s="7" t="s">
        <v>116</v>
      </c>
      <c r="D164" s="8"/>
      <c r="E164" s="9"/>
      <c r="L164" s="1">
        <f>G164</f>
        <v>0</v>
      </c>
      <c r="N164" s="1">
        <f>G164</f>
        <v>0</v>
      </c>
    </row>
    <row r="166" spans="2:14" ht="24" x14ac:dyDescent="0.2">
      <c r="B166" s="1" t="s">
        <v>117</v>
      </c>
      <c r="C166" s="7" t="s">
        <v>118</v>
      </c>
      <c r="D166" s="8"/>
      <c r="E166" s="9"/>
      <c r="L166" s="1">
        <f>G166</f>
        <v>0</v>
      </c>
      <c r="N166" s="1">
        <f>G166</f>
        <v>0</v>
      </c>
    </row>
    <row r="168" spans="2:14" ht="48" x14ac:dyDescent="0.2">
      <c r="B168" s="1" t="s">
        <v>119</v>
      </c>
      <c r="C168" s="7" t="s">
        <v>120</v>
      </c>
      <c r="D168" s="8"/>
      <c r="E168" s="9"/>
      <c r="L168" s="1">
        <f>G168</f>
        <v>0</v>
      </c>
      <c r="N168" s="1">
        <f>G168</f>
        <v>0</v>
      </c>
    </row>
    <row r="170" spans="2:14" ht="300" x14ac:dyDescent="0.2">
      <c r="C170" s="7" t="s">
        <v>121</v>
      </c>
      <c r="D170" s="8"/>
      <c r="E170" s="9"/>
      <c r="L170" s="1">
        <f>G170</f>
        <v>0</v>
      </c>
      <c r="N170" s="1">
        <f>G170</f>
        <v>0</v>
      </c>
    </row>
    <row r="172" spans="2:14" x14ac:dyDescent="0.2">
      <c r="B172" s="1" t="s">
        <v>122</v>
      </c>
      <c r="C172" s="7" t="s">
        <v>123</v>
      </c>
      <c r="D172" s="8"/>
      <c r="E172" s="9"/>
      <c r="L172" s="1">
        <f>G172</f>
        <v>0</v>
      </c>
      <c r="N172" s="1">
        <f>G172</f>
        <v>0</v>
      </c>
    </row>
    <row r="174" spans="2:14" ht="288" x14ac:dyDescent="0.25">
      <c r="C174" s="7" t="s">
        <v>124</v>
      </c>
    </row>
    <row r="175" spans="2:14" ht="360" x14ac:dyDescent="0.25">
      <c r="C175" s="7" t="s">
        <v>125</v>
      </c>
    </row>
    <row r="176" spans="2:14" ht="96" x14ac:dyDescent="0.2">
      <c r="C176" s="7" t="s">
        <v>126</v>
      </c>
      <c r="D176" s="8"/>
      <c r="E176" s="9"/>
      <c r="L176" s="1">
        <f>G176</f>
        <v>0</v>
      </c>
      <c r="N176" s="1">
        <f>G176</f>
        <v>0</v>
      </c>
    </row>
    <row r="178" spans="2:14" ht="180" x14ac:dyDescent="0.2">
      <c r="C178" s="7" t="s">
        <v>127</v>
      </c>
      <c r="D178" s="8"/>
      <c r="E178" s="9"/>
      <c r="L178" s="1">
        <f>G178</f>
        <v>0</v>
      </c>
      <c r="N178" s="1">
        <f>G178</f>
        <v>0</v>
      </c>
    </row>
    <row r="180" spans="2:14" x14ac:dyDescent="0.2">
      <c r="C180" s="7" t="s">
        <v>128</v>
      </c>
      <c r="D180" s="8" t="s">
        <v>31</v>
      </c>
      <c r="E180" s="9">
        <v>54</v>
      </c>
      <c r="F180" s="10"/>
      <c r="G180" s="9" t="str">
        <f>IF(ISBLANK(F180),"", ROUND(PRODUCT(ROUND(IF(ISBLANK(E180),0, E180),2), ROUND(IF(ISBLANK(F180),0, F180),2)),2))</f>
        <v/>
      </c>
      <c r="H180" s="11"/>
      <c r="I180" s="1">
        <v>5168419</v>
      </c>
      <c r="L180" s="1" t="str">
        <f>G180</f>
        <v/>
      </c>
      <c r="N180" s="1" t="str">
        <f>G180</f>
        <v/>
      </c>
    </row>
    <row r="182" spans="2:14" x14ac:dyDescent="0.2">
      <c r="C182" s="7" t="s">
        <v>129</v>
      </c>
      <c r="D182" s="8" t="s">
        <v>31</v>
      </c>
      <c r="E182" s="9">
        <v>54</v>
      </c>
      <c r="F182" s="10"/>
      <c r="G182" s="9" t="str">
        <f>IF(ISBLANK(F182),"", ROUND(PRODUCT(ROUND(IF(ISBLANK(E182),0, E182),2), ROUND(IF(ISBLANK(F182),0, F182),2)),2))</f>
        <v/>
      </c>
      <c r="H182" s="11"/>
      <c r="I182" s="1">
        <v>5168420</v>
      </c>
      <c r="L182" s="1" t="str">
        <f>G182</f>
        <v/>
      </c>
      <c r="N182" s="1" t="str">
        <f>G182</f>
        <v/>
      </c>
    </row>
    <row r="184" spans="2:14" x14ac:dyDescent="0.2">
      <c r="C184" s="7" t="s">
        <v>130</v>
      </c>
      <c r="D184" s="8" t="s">
        <v>31</v>
      </c>
      <c r="E184" s="9">
        <v>14.1</v>
      </c>
      <c r="F184" s="10"/>
      <c r="G184" s="9" t="str">
        <f>IF(ISBLANK(F184),"", ROUND(PRODUCT(ROUND(IF(ISBLANK(E184),0, E184),2), ROUND(IF(ISBLANK(F184),0, F184),2)),2))</f>
        <v/>
      </c>
      <c r="H184" s="11"/>
      <c r="I184" s="1">
        <v>5168421</v>
      </c>
      <c r="L184" s="1" t="str">
        <f>G184</f>
        <v/>
      </c>
      <c r="N184" s="1" t="str">
        <f>G184</f>
        <v/>
      </c>
    </row>
    <row r="186" spans="2:14" x14ac:dyDescent="0.2">
      <c r="C186" s="7" t="s">
        <v>131</v>
      </c>
      <c r="D186" s="8" t="s">
        <v>31</v>
      </c>
      <c r="E186" s="9">
        <v>14.1</v>
      </c>
      <c r="F186" s="10"/>
      <c r="G186" s="9" t="str">
        <f>IF(ISBLANK(F186),"", ROUND(PRODUCT(ROUND(IF(ISBLANK(E186),0, E186),2), ROUND(IF(ISBLANK(F186),0, F186),2)),2))</f>
        <v/>
      </c>
      <c r="H186" s="11"/>
      <c r="I186" s="1">
        <v>5168422</v>
      </c>
      <c r="L186" s="1" t="str">
        <f>G186</f>
        <v/>
      </c>
      <c r="N186" s="1" t="str">
        <f>G186</f>
        <v/>
      </c>
    </row>
    <row r="188" spans="2:14" x14ac:dyDescent="0.2">
      <c r="B188" s="1" t="s">
        <v>132</v>
      </c>
      <c r="C188" s="7" t="s">
        <v>133</v>
      </c>
      <c r="D188" s="8"/>
      <c r="E188" s="9"/>
      <c r="L188" s="1">
        <f>G188</f>
        <v>0</v>
      </c>
      <c r="N188" s="1">
        <f>G188</f>
        <v>0</v>
      </c>
    </row>
    <row r="190" spans="2:14" ht="408" x14ac:dyDescent="0.25">
      <c r="C190" s="7" t="s">
        <v>134</v>
      </c>
    </row>
    <row r="191" spans="2:14" ht="336" x14ac:dyDescent="0.25">
      <c r="C191" s="7" t="s">
        <v>135</v>
      </c>
    </row>
    <row r="192" spans="2:14" ht="144" x14ac:dyDescent="0.2">
      <c r="C192" s="7" t="s">
        <v>136</v>
      </c>
      <c r="D192" s="8"/>
      <c r="E192" s="9"/>
      <c r="L192" s="1">
        <f>G192</f>
        <v>0</v>
      </c>
      <c r="N192" s="1">
        <f>G192</f>
        <v>0</v>
      </c>
    </row>
    <row r="194" spans="2:14" ht="36" x14ac:dyDescent="0.2">
      <c r="C194" s="7" t="s">
        <v>137</v>
      </c>
      <c r="D194" s="8"/>
      <c r="E194" s="9"/>
      <c r="L194" s="1">
        <f>G194</f>
        <v>0</v>
      </c>
      <c r="N194" s="1">
        <f>G194</f>
        <v>0</v>
      </c>
    </row>
    <row r="196" spans="2:14" x14ac:dyDescent="0.2">
      <c r="C196" s="7" t="s">
        <v>138</v>
      </c>
      <c r="D196" s="8" t="s">
        <v>31</v>
      </c>
      <c r="E196" s="9">
        <v>5</v>
      </c>
      <c r="F196" s="10"/>
      <c r="G196" s="9" t="str">
        <f>IF(ISBLANK(F196),"", ROUND(PRODUCT(ROUND(IF(ISBLANK(E196),0, E196),2), ROUND(IF(ISBLANK(F196),0, F196),2)),2))</f>
        <v/>
      </c>
      <c r="H196" s="11"/>
      <c r="I196" s="1">
        <v>5168443</v>
      </c>
      <c r="L196" s="1" t="str">
        <f>G196</f>
        <v/>
      </c>
      <c r="N196" s="1" t="str">
        <f>G196</f>
        <v/>
      </c>
    </row>
    <row r="198" spans="2:14" x14ac:dyDescent="0.2">
      <c r="C198" s="7" t="s">
        <v>139</v>
      </c>
      <c r="D198" s="8" t="s">
        <v>31</v>
      </c>
      <c r="E198" s="9">
        <v>5</v>
      </c>
      <c r="F198" s="10"/>
      <c r="G198" s="9" t="str">
        <f>IF(ISBLANK(F198),"", ROUND(PRODUCT(ROUND(IF(ISBLANK(E198),0, E198),2), ROUND(IF(ISBLANK(F198),0, F198),2)),2))</f>
        <v/>
      </c>
      <c r="H198" s="11"/>
      <c r="I198" s="1">
        <v>5168444</v>
      </c>
      <c r="L198" s="1" t="str">
        <f>G198</f>
        <v/>
      </c>
      <c r="N198" s="1" t="str">
        <f>G198</f>
        <v/>
      </c>
    </row>
    <row r="200" spans="2:14" x14ac:dyDescent="0.2">
      <c r="C200" s="7" t="s">
        <v>140</v>
      </c>
      <c r="D200" s="8" t="s">
        <v>31</v>
      </c>
      <c r="E200" s="9">
        <v>2</v>
      </c>
      <c r="F200" s="10"/>
      <c r="G200" s="9" t="str">
        <f>IF(ISBLANK(F200),"", ROUND(PRODUCT(ROUND(IF(ISBLANK(E200),0, E200),2), ROUND(IF(ISBLANK(F200),0, F200),2)),2))</f>
        <v/>
      </c>
      <c r="H200" s="11"/>
      <c r="I200" s="1">
        <v>5168445</v>
      </c>
      <c r="L200" s="1" t="str">
        <f>G200</f>
        <v/>
      </c>
      <c r="N200" s="1" t="str">
        <f>G200</f>
        <v/>
      </c>
    </row>
    <row r="202" spans="2:14" x14ac:dyDescent="0.2">
      <c r="C202" s="7" t="s">
        <v>141</v>
      </c>
      <c r="D202" s="8" t="s">
        <v>31</v>
      </c>
      <c r="E202" s="9">
        <v>2</v>
      </c>
      <c r="F202" s="10"/>
      <c r="G202" s="9" t="str">
        <f>IF(ISBLANK(F202),"", ROUND(PRODUCT(ROUND(IF(ISBLANK(E202),0, E202),2), ROUND(IF(ISBLANK(F202),0, F202),2)),2))</f>
        <v/>
      </c>
      <c r="H202" s="11"/>
      <c r="I202" s="1">
        <v>5168446</v>
      </c>
      <c r="L202" s="1" t="str">
        <f>G202</f>
        <v/>
      </c>
      <c r="N202" s="1" t="str">
        <f>G202</f>
        <v/>
      </c>
    </row>
    <row r="204" spans="2:14" x14ac:dyDescent="0.2">
      <c r="C204" s="7" t="s">
        <v>142</v>
      </c>
      <c r="D204" s="8"/>
      <c r="E204" s="9"/>
      <c r="L204" s="1">
        <f>G204</f>
        <v>0</v>
      </c>
      <c r="N204" s="1">
        <f>G204</f>
        <v>0</v>
      </c>
    </row>
    <row r="206" spans="2:14" ht="36" x14ac:dyDescent="0.2">
      <c r="B206" s="1" t="s">
        <v>143</v>
      </c>
      <c r="C206" s="7" t="s">
        <v>144</v>
      </c>
      <c r="D206" s="8"/>
      <c r="E206" s="9"/>
      <c r="L206" s="1">
        <f>G206</f>
        <v>0</v>
      </c>
      <c r="N206" s="1">
        <f>G206</f>
        <v>0</v>
      </c>
    </row>
    <row r="208" spans="2:14" ht="168" x14ac:dyDescent="0.2">
      <c r="C208" s="7" t="s">
        <v>145</v>
      </c>
      <c r="D208" s="8"/>
      <c r="E208" s="9"/>
      <c r="L208" s="1">
        <f>G208</f>
        <v>0</v>
      </c>
      <c r="N208" s="1">
        <f>G208</f>
        <v>0</v>
      </c>
    </row>
    <row r="210" spans="2:14" ht="156" x14ac:dyDescent="0.2">
      <c r="B210" s="1" t="s">
        <v>48</v>
      </c>
      <c r="C210" s="7" t="s">
        <v>146</v>
      </c>
      <c r="D210" s="8"/>
      <c r="E210" s="9"/>
      <c r="L210" s="1">
        <f>G210</f>
        <v>0</v>
      </c>
      <c r="N210" s="1">
        <f>G210</f>
        <v>0</v>
      </c>
    </row>
    <row r="212" spans="2:14" ht="204" x14ac:dyDescent="0.2">
      <c r="B212" s="1" t="s">
        <v>50</v>
      </c>
      <c r="C212" s="7" t="s">
        <v>147</v>
      </c>
      <c r="D212" s="8"/>
      <c r="E212" s="9"/>
      <c r="L212" s="1">
        <f>G212</f>
        <v>0</v>
      </c>
      <c r="N212" s="1">
        <f>G212</f>
        <v>0</v>
      </c>
    </row>
    <row r="214" spans="2:14" ht="96" x14ac:dyDescent="0.2">
      <c r="B214" s="1" t="s">
        <v>52</v>
      </c>
      <c r="C214" s="7" t="s">
        <v>148</v>
      </c>
      <c r="D214" s="8"/>
      <c r="E214" s="9"/>
      <c r="L214" s="1">
        <f>G214</f>
        <v>0</v>
      </c>
      <c r="N214" s="1">
        <f>G214</f>
        <v>0</v>
      </c>
    </row>
    <row r="216" spans="2:14" x14ac:dyDescent="0.2">
      <c r="B216" s="1" t="s">
        <v>54</v>
      </c>
      <c r="C216" s="7" t="s">
        <v>149</v>
      </c>
      <c r="D216" s="8"/>
      <c r="E216" s="9"/>
      <c r="L216" s="1">
        <f>G216</f>
        <v>0</v>
      </c>
      <c r="N216" s="1">
        <f>G216</f>
        <v>0</v>
      </c>
    </row>
    <row r="218" spans="2:14" ht="96" x14ac:dyDescent="0.2">
      <c r="C218" s="7" t="s">
        <v>150</v>
      </c>
      <c r="D218" s="8"/>
      <c r="E218" s="9"/>
      <c r="L218" s="1">
        <f>G218</f>
        <v>0</v>
      </c>
      <c r="N218" s="1">
        <f>G218</f>
        <v>0</v>
      </c>
    </row>
    <row r="220" spans="2:14" x14ac:dyDescent="0.2">
      <c r="C220" s="7" t="s">
        <v>151</v>
      </c>
      <c r="D220" s="8" t="s">
        <v>31</v>
      </c>
      <c r="E220" s="9">
        <v>30.1</v>
      </c>
      <c r="F220" s="10"/>
      <c r="G220" s="9" t="str">
        <f>IF(ISBLANK(F220),"", ROUND(PRODUCT(ROUND(IF(ISBLANK(E220),0, E220),2), ROUND(IF(ISBLANK(F220),0, F220),2)),2))</f>
        <v/>
      </c>
      <c r="H220" s="11"/>
      <c r="I220" s="1">
        <v>5168485</v>
      </c>
      <c r="L220" s="1" t="str">
        <f>G220</f>
        <v/>
      </c>
      <c r="N220" s="1" t="str">
        <f>G220</f>
        <v/>
      </c>
    </row>
    <row r="222" spans="2:14" x14ac:dyDescent="0.2">
      <c r="C222" s="7" t="s">
        <v>152</v>
      </c>
      <c r="D222" s="8" t="s">
        <v>31</v>
      </c>
      <c r="E222" s="9">
        <v>30.1</v>
      </c>
      <c r="F222" s="10"/>
      <c r="G222" s="9" t="str">
        <f>IF(ISBLANK(F222),"", ROUND(PRODUCT(ROUND(IF(ISBLANK(E222),0, E222),2), ROUND(IF(ISBLANK(F222),0, F222),2)),2))</f>
        <v/>
      </c>
      <c r="H222" s="11"/>
      <c r="I222" s="1">
        <v>5168486</v>
      </c>
      <c r="L222" s="1" t="str">
        <f>G222</f>
        <v/>
      </c>
      <c r="N222" s="1" t="str">
        <f>G222</f>
        <v/>
      </c>
    </row>
    <row r="224" spans="2:14" x14ac:dyDescent="0.2">
      <c r="B224" s="1" t="s">
        <v>153</v>
      </c>
      <c r="C224" s="7" t="s">
        <v>154</v>
      </c>
      <c r="D224" s="8"/>
      <c r="E224" s="9"/>
      <c r="L224" s="1">
        <f>G224</f>
        <v>0</v>
      </c>
      <c r="N224" s="1">
        <f>G224</f>
        <v>0</v>
      </c>
    </row>
    <row r="226" spans="2:14" ht="252" x14ac:dyDescent="0.2">
      <c r="C226" s="7" t="s">
        <v>155</v>
      </c>
      <c r="D226" s="8"/>
      <c r="E226" s="9"/>
      <c r="L226" s="1">
        <f>G226</f>
        <v>0</v>
      </c>
      <c r="N226" s="1">
        <f>G226</f>
        <v>0</v>
      </c>
    </row>
    <row r="228" spans="2:14" ht="168" x14ac:dyDescent="0.2">
      <c r="B228" s="1" t="s">
        <v>48</v>
      </c>
      <c r="C228" s="7" t="s">
        <v>156</v>
      </c>
      <c r="D228" s="8"/>
      <c r="E228" s="9"/>
      <c r="L228" s="1">
        <f>G228</f>
        <v>0</v>
      </c>
      <c r="N228" s="1">
        <f>G228</f>
        <v>0</v>
      </c>
    </row>
    <row r="230" spans="2:14" ht="156" x14ac:dyDescent="0.2">
      <c r="B230" s="1" t="s">
        <v>50</v>
      </c>
      <c r="C230" s="7" t="s">
        <v>157</v>
      </c>
      <c r="D230" s="8"/>
      <c r="E230" s="9"/>
      <c r="L230" s="1">
        <f>G230</f>
        <v>0</v>
      </c>
      <c r="N230" s="1">
        <f>G230</f>
        <v>0</v>
      </c>
    </row>
    <row r="232" spans="2:14" ht="96" x14ac:dyDescent="0.2">
      <c r="B232" s="1" t="s">
        <v>64</v>
      </c>
      <c r="C232" s="7" t="s">
        <v>158</v>
      </c>
      <c r="D232" s="8"/>
      <c r="E232" s="9"/>
      <c r="L232" s="1">
        <f>G232</f>
        <v>0</v>
      </c>
      <c r="N232" s="1">
        <f>G232</f>
        <v>0</v>
      </c>
    </row>
    <row r="234" spans="2:14" x14ac:dyDescent="0.2">
      <c r="B234" s="1" t="s">
        <v>54</v>
      </c>
      <c r="C234" s="7" t="s">
        <v>159</v>
      </c>
      <c r="D234" s="8"/>
      <c r="E234" s="9"/>
      <c r="L234" s="1">
        <f>G234</f>
        <v>0</v>
      </c>
      <c r="N234" s="1">
        <f>G234</f>
        <v>0</v>
      </c>
    </row>
    <row r="236" spans="2:14" ht="96" x14ac:dyDescent="0.2">
      <c r="C236" s="7" t="s">
        <v>160</v>
      </c>
      <c r="D236" s="8"/>
      <c r="E236" s="9"/>
      <c r="L236" s="1">
        <f>G236</f>
        <v>0</v>
      </c>
      <c r="N236" s="1">
        <f>G236</f>
        <v>0</v>
      </c>
    </row>
    <row r="238" spans="2:14" x14ac:dyDescent="0.2">
      <c r="C238" s="7" t="s">
        <v>161</v>
      </c>
      <c r="D238" s="8" t="s">
        <v>31</v>
      </c>
      <c r="E238" s="9">
        <v>20.2</v>
      </c>
      <c r="F238" s="10"/>
      <c r="G238" s="9" t="str">
        <f>IF(ISBLANK(F238),"", ROUND(PRODUCT(ROUND(IF(ISBLANK(E238),0, E238),2), ROUND(IF(ISBLANK(F238),0, F238),2)),2))</f>
        <v/>
      </c>
      <c r="H238" s="11"/>
      <c r="I238" s="1">
        <v>5168494</v>
      </c>
      <c r="L238" s="1" t="str">
        <f>G238</f>
        <v/>
      </c>
      <c r="N238" s="1" t="str">
        <f>G238</f>
        <v/>
      </c>
    </row>
    <row r="240" spans="2:14" x14ac:dyDescent="0.2">
      <c r="C240" s="7" t="s">
        <v>162</v>
      </c>
      <c r="D240" s="8" t="s">
        <v>31</v>
      </c>
      <c r="E240" s="9">
        <v>20.2</v>
      </c>
      <c r="F240" s="10"/>
      <c r="G240" s="9" t="str">
        <f>IF(ISBLANK(F240),"", ROUND(PRODUCT(ROUND(IF(ISBLANK(E240),0, E240),2), ROUND(IF(ISBLANK(F240),0, F240),2)),2))</f>
        <v/>
      </c>
      <c r="H240" s="11"/>
      <c r="I240" s="1">
        <v>5168495</v>
      </c>
      <c r="L240" s="1" t="str">
        <f>G240</f>
        <v/>
      </c>
      <c r="N240" s="1" t="str">
        <f>G240</f>
        <v/>
      </c>
    </row>
    <row r="242" spans="2:14" x14ac:dyDescent="0.2">
      <c r="C242" s="7" t="s">
        <v>163</v>
      </c>
      <c r="D242" s="8"/>
      <c r="E242" s="9"/>
      <c r="L242" s="1">
        <f>G242</f>
        <v>0</v>
      </c>
      <c r="N242" s="1">
        <f>G242</f>
        <v>0</v>
      </c>
    </row>
    <row r="244" spans="2:14" x14ac:dyDescent="0.2">
      <c r="B244" s="1" t="s">
        <v>164</v>
      </c>
      <c r="C244" s="7" t="s">
        <v>165</v>
      </c>
      <c r="D244" s="8"/>
      <c r="E244" s="9"/>
      <c r="L244" s="1">
        <f>G244</f>
        <v>0</v>
      </c>
      <c r="N244" s="1">
        <f>G244</f>
        <v>0</v>
      </c>
    </row>
    <row r="246" spans="2:14" ht="192" x14ac:dyDescent="0.2">
      <c r="C246" s="7" t="s">
        <v>166</v>
      </c>
      <c r="D246" s="8"/>
      <c r="E246" s="9"/>
      <c r="L246" s="1">
        <f>G246</f>
        <v>0</v>
      </c>
      <c r="N246" s="1">
        <f>G246</f>
        <v>0</v>
      </c>
    </row>
    <row r="248" spans="2:14" ht="36" x14ac:dyDescent="0.2">
      <c r="B248" s="1" t="s">
        <v>48</v>
      </c>
      <c r="C248" s="7" t="s">
        <v>167</v>
      </c>
      <c r="D248" s="8"/>
      <c r="E248" s="9"/>
      <c r="L248" s="1">
        <f>G248</f>
        <v>0</v>
      </c>
      <c r="N248" s="1">
        <f>G248</f>
        <v>0</v>
      </c>
    </row>
    <row r="250" spans="2:14" ht="24" x14ac:dyDescent="0.2">
      <c r="B250" s="1" t="s">
        <v>50</v>
      </c>
      <c r="C250" s="7" t="s">
        <v>168</v>
      </c>
      <c r="D250" s="8"/>
      <c r="E250" s="9"/>
      <c r="L250" s="1">
        <f>G250</f>
        <v>0</v>
      </c>
      <c r="N250" s="1">
        <f>G250</f>
        <v>0</v>
      </c>
    </row>
    <row r="252" spans="2:14" ht="204" x14ac:dyDescent="0.2">
      <c r="B252" s="1" t="s">
        <v>64</v>
      </c>
      <c r="C252" s="7" t="s">
        <v>169</v>
      </c>
      <c r="D252" s="8"/>
      <c r="E252" s="9"/>
      <c r="L252" s="1">
        <f>G252</f>
        <v>0</v>
      </c>
      <c r="N252" s="1">
        <f>G252</f>
        <v>0</v>
      </c>
    </row>
    <row r="254" spans="2:14" ht="84" x14ac:dyDescent="0.2">
      <c r="B254" s="1" t="s">
        <v>54</v>
      </c>
      <c r="C254" s="7" t="s">
        <v>170</v>
      </c>
      <c r="D254" s="8"/>
      <c r="E254" s="9"/>
      <c r="L254" s="1">
        <f>G254</f>
        <v>0</v>
      </c>
      <c r="N254" s="1">
        <f>G254</f>
        <v>0</v>
      </c>
    </row>
    <row r="256" spans="2:14" x14ac:dyDescent="0.2">
      <c r="B256" s="1" t="s">
        <v>78</v>
      </c>
      <c r="C256" s="7" t="s">
        <v>171</v>
      </c>
      <c r="D256" s="8"/>
      <c r="E256" s="9"/>
      <c r="L256" s="1">
        <f>G256</f>
        <v>0</v>
      </c>
      <c r="N256" s="1">
        <f>G256</f>
        <v>0</v>
      </c>
    </row>
    <row r="258" spans="2:14" ht="108" x14ac:dyDescent="0.2">
      <c r="C258" s="7" t="s">
        <v>172</v>
      </c>
      <c r="D258" s="8"/>
      <c r="E258" s="9"/>
      <c r="L258" s="1">
        <f>G258</f>
        <v>0</v>
      </c>
      <c r="N258" s="1">
        <f>G258</f>
        <v>0</v>
      </c>
    </row>
    <row r="260" spans="2:14" x14ac:dyDescent="0.2">
      <c r="C260" s="7" t="s">
        <v>173</v>
      </c>
      <c r="D260" s="8" t="s">
        <v>31</v>
      </c>
      <c r="E260" s="9">
        <v>144.5</v>
      </c>
      <c r="F260" s="10"/>
      <c r="G260" s="9" t="str">
        <f>IF(ISBLANK(F260),"", ROUND(PRODUCT(ROUND(IF(ISBLANK(E260),0, E260),2), ROUND(IF(ISBLANK(F260),0, F260),2)),2))</f>
        <v/>
      </c>
      <c r="H260" s="11"/>
      <c r="I260" s="1">
        <v>5168505</v>
      </c>
      <c r="L260" s="1" t="str">
        <f>G260</f>
        <v/>
      </c>
      <c r="N260" s="1" t="str">
        <f>G260</f>
        <v/>
      </c>
    </row>
    <row r="262" spans="2:14" x14ac:dyDescent="0.2">
      <c r="C262" s="7" t="s">
        <v>174</v>
      </c>
      <c r="D262" s="8" t="s">
        <v>31</v>
      </c>
      <c r="E262" s="9">
        <v>111</v>
      </c>
      <c r="F262" s="10"/>
      <c r="G262" s="9" t="str">
        <f>IF(ISBLANK(F262),"", ROUND(PRODUCT(ROUND(IF(ISBLANK(E262),0, E262),2), ROUND(IF(ISBLANK(F262),0, F262),2)),2))</f>
        <v/>
      </c>
      <c r="H262" s="11"/>
      <c r="I262" s="1">
        <v>5168506</v>
      </c>
      <c r="L262" s="1" t="str">
        <f>G262</f>
        <v/>
      </c>
      <c r="N262" s="1" t="str">
        <f>G262</f>
        <v/>
      </c>
    </row>
    <row r="264" spans="2:14" ht="24" x14ac:dyDescent="0.2">
      <c r="B264" s="1" t="s">
        <v>175</v>
      </c>
      <c r="C264" s="7" t="s">
        <v>176</v>
      </c>
      <c r="D264" s="8"/>
      <c r="E264" s="9"/>
      <c r="L264" s="1">
        <f>G264</f>
        <v>0</v>
      </c>
      <c r="N264" s="1">
        <f>G264</f>
        <v>0</v>
      </c>
    </row>
    <row r="266" spans="2:14" ht="192" x14ac:dyDescent="0.2">
      <c r="C266" s="7" t="s">
        <v>177</v>
      </c>
      <c r="D266" s="8"/>
      <c r="E266" s="9"/>
      <c r="L266" s="1">
        <f>G266</f>
        <v>0</v>
      </c>
      <c r="N266" s="1">
        <f>G266</f>
        <v>0</v>
      </c>
    </row>
    <row r="268" spans="2:14" ht="168" x14ac:dyDescent="0.2">
      <c r="B268" s="1" t="s">
        <v>48</v>
      </c>
      <c r="C268" s="7" t="s">
        <v>178</v>
      </c>
      <c r="D268" s="8"/>
      <c r="E268" s="9"/>
      <c r="L268" s="1">
        <f>G268</f>
        <v>0</v>
      </c>
      <c r="N268" s="1">
        <f>G268</f>
        <v>0</v>
      </c>
    </row>
    <row r="270" spans="2:14" ht="204" x14ac:dyDescent="0.2">
      <c r="B270" s="1" t="s">
        <v>50</v>
      </c>
      <c r="C270" s="7" t="s">
        <v>179</v>
      </c>
      <c r="D270" s="8"/>
      <c r="E270" s="9"/>
      <c r="L270" s="1">
        <f>G270</f>
        <v>0</v>
      </c>
      <c r="N270" s="1">
        <f>G270</f>
        <v>0</v>
      </c>
    </row>
    <row r="272" spans="2:14" ht="84" x14ac:dyDescent="0.2">
      <c r="B272" s="1" t="s">
        <v>64</v>
      </c>
      <c r="C272" s="7" t="s">
        <v>180</v>
      </c>
      <c r="D272" s="8"/>
      <c r="E272" s="9"/>
      <c r="L272" s="1">
        <f>G272</f>
        <v>0</v>
      </c>
      <c r="N272" s="1">
        <f>G272</f>
        <v>0</v>
      </c>
    </row>
    <row r="274" spans="2:14" x14ac:dyDescent="0.2">
      <c r="B274" s="1" t="s">
        <v>54</v>
      </c>
      <c r="C274" s="7" t="s">
        <v>181</v>
      </c>
      <c r="D274" s="8"/>
      <c r="E274" s="9"/>
      <c r="L274" s="1">
        <f>G274</f>
        <v>0</v>
      </c>
      <c r="N274" s="1">
        <f>G274</f>
        <v>0</v>
      </c>
    </row>
    <row r="276" spans="2:14" ht="84" x14ac:dyDescent="0.2">
      <c r="C276" s="7" t="s">
        <v>182</v>
      </c>
      <c r="D276" s="8" t="s">
        <v>31</v>
      </c>
      <c r="E276" s="9">
        <v>188.4</v>
      </c>
      <c r="F276" s="10"/>
      <c r="G276" s="9" t="str">
        <f>IF(ISBLANK(F276),"", ROUND(PRODUCT(ROUND(IF(ISBLANK(E276),0, E276),2), ROUND(IF(ISBLANK(F276),0, F276),2)),2))</f>
        <v/>
      </c>
      <c r="H276" s="11"/>
      <c r="I276" s="1">
        <v>5168513</v>
      </c>
      <c r="L276" s="1" t="str">
        <f>G276</f>
        <v/>
      </c>
      <c r="N276" s="1" t="str">
        <f>G276</f>
        <v/>
      </c>
    </row>
    <row r="278" spans="2:14" x14ac:dyDescent="0.2">
      <c r="C278" s="7" t="s">
        <v>183</v>
      </c>
      <c r="D278" s="8"/>
      <c r="E278" s="9"/>
      <c r="L278" s="1">
        <f>G278</f>
        <v>0</v>
      </c>
      <c r="N278" s="1">
        <f>G278</f>
        <v>0</v>
      </c>
    </row>
    <row r="280" spans="2:14" x14ac:dyDescent="0.2">
      <c r="B280" s="1" t="s">
        <v>184</v>
      </c>
      <c r="C280" s="7" t="s">
        <v>185</v>
      </c>
      <c r="D280" s="8"/>
      <c r="E280" s="9"/>
      <c r="L280" s="1">
        <f>G280</f>
        <v>0</v>
      </c>
      <c r="N280" s="1">
        <f>G280</f>
        <v>0</v>
      </c>
    </row>
    <row r="282" spans="2:14" ht="348" x14ac:dyDescent="0.25">
      <c r="C282" s="7" t="s">
        <v>186</v>
      </c>
    </row>
    <row r="283" spans="2:14" ht="108" x14ac:dyDescent="0.2">
      <c r="C283" s="7" t="s">
        <v>187</v>
      </c>
      <c r="D283" s="8"/>
      <c r="E283" s="9"/>
      <c r="L283" s="1">
        <f>G283</f>
        <v>0</v>
      </c>
      <c r="N283" s="1">
        <f>G283</f>
        <v>0</v>
      </c>
    </row>
    <row r="285" spans="2:14" x14ac:dyDescent="0.2">
      <c r="C285" s="7" t="s">
        <v>188</v>
      </c>
      <c r="D285" s="8" t="s">
        <v>31</v>
      </c>
      <c r="E285" s="9">
        <v>211.7</v>
      </c>
      <c r="F285" s="10"/>
      <c r="G285" s="9" t="str">
        <f>IF(ISBLANK(F285),"", ROUND(PRODUCT(ROUND(IF(ISBLANK(E285),0, E285),2), ROUND(IF(ISBLANK(F285),0, F285),2)),2))</f>
        <v/>
      </c>
      <c r="H285" s="11"/>
      <c r="I285" s="1">
        <v>5168517</v>
      </c>
      <c r="L285" s="1" t="str">
        <f>G285</f>
        <v/>
      </c>
      <c r="N285" s="1" t="str">
        <f>G285</f>
        <v/>
      </c>
    </row>
    <row r="287" spans="2:14" x14ac:dyDescent="0.2">
      <c r="C287" s="7" t="s">
        <v>189</v>
      </c>
      <c r="D287" s="8" t="s">
        <v>97</v>
      </c>
      <c r="E287" s="9">
        <v>102.3</v>
      </c>
      <c r="F287" s="10"/>
      <c r="G287" s="9" t="str">
        <f>IF(ISBLANK(F287),"", ROUND(PRODUCT(ROUND(IF(ISBLANK(E287),0, E287),2), ROUND(IF(ISBLANK(F287),0, F287),2)),2))</f>
        <v/>
      </c>
      <c r="H287" s="11"/>
      <c r="I287" s="1">
        <v>5168518</v>
      </c>
      <c r="L287" s="1" t="str">
        <f>G287</f>
        <v/>
      </c>
      <c r="N287" s="1" t="str">
        <f>G287</f>
        <v/>
      </c>
    </row>
    <row r="289" spans="1:7" x14ac:dyDescent="0.2">
      <c r="A289" s="12"/>
      <c r="B289" s="13" t="s">
        <v>190</v>
      </c>
      <c r="C289" s="13" t="s">
        <v>191</v>
      </c>
      <c r="D289" s="14" t="s">
        <v>100</v>
      </c>
      <c r="E289" s="12"/>
      <c r="F289" s="12"/>
      <c r="G289" s="15">
        <f>ROUND(SUM(K160:L287), 2)</f>
        <v>0</v>
      </c>
    </row>
    <row r="291" spans="1:7" x14ac:dyDescent="0.2">
      <c r="A291" s="12"/>
      <c r="B291" s="13" t="s">
        <v>192</v>
      </c>
      <c r="C291" s="13" t="s">
        <v>193</v>
      </c>
      <c r="D291" s="14" t="s">
        <v>100</v>
      </c>
      <c r="E291" s="12"/>
      <c r="F291" s="12"/>
      <c r="G291" s="15">
        <f>ROUND(SUM(G289), 2)</f>
        <v>0</v>
      </c>
    </row>
    <row r="293" spans="1:7" ht="24" x14ac:dyDescent="0.2">
      <c r="A293" s="12"/>
      <c r="B293" s="13" t="s">
        <v>194</v>
      </c>
      <c r="C293" s="13" t="s">
        <v>195</v>
      </c>
      <c r="D293" s="14" t="s">
        <v>100</v>
      </c>
      <c r="E293" s="12"/>
      <c r="F293" s="12"/>
      <c r="G293" s="15">
        <f>ROUND(SUM(G291), 2)</f>
        <v>0</v>
      </c>
    </row>
    <row r="295" spans="1:7" x14ac:dyDescent="0.2">
      <c r="A295" s="16"/>
      <c r="B295" s="17"/>
      <c r="C295" s="18" t="s">
        <v>196</v>
      </c>
      <c r="D295" s="19" t="s">
        <v>100</v>
      </c>
      <c r="E295" s="16"/>
      <c r="F295" s="16"/>
      <c r="G295" s="20">
        <f>ROUND(SUM(G293), 2)</f>
        <v>0</v>
      </c>
    </row>
    <row r="297" spans="1:7" x14ac:dyDescent="0.2">
      <c r="A297" s="16"/>
      <c r="B297" s="17"/>
      <c r="C297" s="18" t="s">
        <v>197</v>
      </c>
      <c r="D297" s="19" t="s">
        <v>100</v>
      </c>
      <c r="E297" s="16"/>
      <c r="F297" s="16"/>
      <c r="G297" s="20">
        <f>ROUND(SUM(G295,G150), 2)</f>
        <v>0</v>
      </c>
    </row>
    <row r="299" spans="1:7" x14ac:dyDescent="0.2">
      <c r="A299" s="16"/>
      <c r="B299" s="17"/>
      <c r="C299" s="18" t="s">
        <v>198</v>
      </c>
      <c r="D299" s="19" t="s">
        <v>100</v>
      </c>
      <c r="E299" s="16"/>
      <c r="F299" s="16"/>
      <c r="G299" s="20">
        <f>ROUND(SUM(G297), 2)</f>
        <v>0</v>
      </c>
    </row>
    <row r="302" spans="1:7" x14ac:dyDescent="0.25">
      <c r="C302" s="21" t="s">
        <v>199</v>
      </c>
    </row>
    <row r="304" spans="1:7" x14ac:dyDescent="0.2">
      <c r="B304" s="5" t="s">
        <v>200</v>
      </c>
      <c r="C304" s="6" t="s">
        <v>201</v>
      </c>
      <c r="D304" s="22" t="s">
        <v>100</v>
      </c>
      <c r="G304" s="23">
        <f>G144</f>
        <v>0</v>
      </c>
    </row>
    <row r="306" spans="1:7" x14ac:dyDescent="0.2">
      <c r="B306" s="5" t="s">
        <v>202</v>
      </c>
      <c r="C306" s="6" t="s">
        <v>203</v>
      </c>
      <c r="D306" s="22" t="s">
        <v>100</v>
      </c>
      <c r="G306" s="23">
        <f>G146</f>
        <v>0</v>
      </c>
    </row>
    <row r="308" spans="1:7" ht="24" x14ac:dyDescent="0.2">
      <c r="B308" s="5" t="s">
        <v>204</v>
      </c>
      <c r="C308" s="6" t="s">
        <v>205</v>
      </c>
      <c r="D308" s="22" t="s">
        <v>100</v>
      </c>
      <c r="G308" s="23">
        <f>G148</f>
        <v>0</v>
      </c>
    </row>
    <row r="310" spans="1:7" x14ac:dyDescent="0.2">
      <c r="A310" s="24"/>
      <c r="B310" s="25"/>
      <c r="C310" s="26" t="s">
        <v>206</v>
      </c>
      <c r="D310" s="27" t="s">
        <v>100</v>
      </c>
      <c r="E310" s="24"/>
      <c r="F310" s="24"/>
      <c r="G310" s="28">
        <f>ROUND(SUM(G308,), 2)</f>
        <v>0</v>
      </c>
    </row>
    <row r="313" spans="1:7" x14ac:dyDescent="0.2">
      <c r="B313" s="5" t="s">
        <v>207</v>
      </c>
      <c r="C313" s="6" t="s">
        <v>208</v>
      </c>
      <c r="D313" s="22" t="s">
        <v>100</v>
      </c>
      <c r="G313" s="23">
        <f>G289</f>
        <v>0</v>
      </c>
    </row>
    <row r="315" spans="1:7" x14ac:dyDescent="0.2">
      <c r="B315" s="5" t="s">
        <v>209</v>
      </c>
      <c r="C315" s="6" t="s">
        <v>210</v>
      </c>
      <c r="D315" s="22" t="s">
        <v>100</v>
      </c>
      <c r="G315" s="23">
        <f>G291</f>
        <v>0</v>
      </c>
    </row>
    <row r="317" spans="1:7" ht="24" x14ac:dyDescent="0.2">
      <c r="B317" s="5" t="s">
        <v>211</v>
      </c>
      <c r="C317" s="6" t="s">
        <v>212</v>
      </c>
      <c r="D317" s="22" t="s">
        <v>100</v>
      </c>
      <c r="G317" s="23">
        <f>G293</f>
        <v>0</v>
      </c>
    </row>
    <row r="319" spans="1:7" x14ac:dyDescent="0.2">
      <c r="A319" s="24"/>
      <c r="B319" s="25"/>
      <c r="C319" s="26" t="s">
        <v>213</v>
      </c>
      <c r="D319" s="27" t="s">
        <v>100</v>
      </c>
      <c r="E319" s="24"/>
      <c r="F319" s="24"/>
      <c r="G319" s="28">
        <f>ROUND(SUM(G317,), 2)</f>
        <v>0</v>
      </c>
    </row>
    <row r="322" spans="1:7" x14ac:dyDescent="0.2">
      <c r="B322" s="5"/>
      <c r="C322" s="6" t="s">
        <v>214</v>
      </c>
      <c r="D322" s="22" t="s">
        <v>100</v>
      </c>
      <c r="G322" s="23">
        <f>G297</f>
        <v>0</v>
      </c>
    </row>
    <row r="325" spans="1:7" x14ac:dyDescent="0.2">
      <c r="B325" s="5"/>
      <c r="C325" s="6" t="s">
        <v>215</v>
      </c>
      <c r="D325" s="22" t="s">
        <v>100</v>
      </c>
      <c r="G325" s="23">
        <f>G299</f>
        <v>0</v>
      </c>
    </row>
    <row r="327" spans="1:7" x14ac:dyDescent="0.2">
      <c r="A327" s="16"/>
      <c r="B327" s="16"/>
      <c r="C327" s="20" t="s">
        <v>216</v>
      </c>
      <c r="D327" s="29" t="s">
        <v>100</v>
      </c>
      <c r="E327" s="16"/>
      <c r="F327" s="16"/>
      <c r="G327" s="20">
        <f>ROUND(SUM(N1:N302), 2)</f>
        <v>0</v>
      </c>
    </row>
    <row r="329" spans="1:7" x14ac:dyDescent="0.25">
      <c r="C329" s="31" t="s">
        <v>217</v>
      </c>
      <c r="D329" s="31" t="s">
        <v>217</v>
      </c>
      <c r="E329" s="31" t="s">
        <v>217</v>
      </c>
      <c r="F329" s="31" t="s">
        <v>217</v>
      </c>
      <c r="G329" s="31" t="s">
        <v>217</v>
      </c>
    </row>
    <row r="330" spans="1:7" x14ac:dyDescent="0.25">
      <c r="C330" s="31" t="s">
        <v>217</v>
      </c>
      <c r="D330" s="31" t="s">
        <v>217</v>
      </c>
      <c r="E330" s="31" t="s">
        <v>217</v>
      </c>
      <c r="F330" s="31" t="s">
        <v>217</v>
      </c>
      <c r="G330" s="31" t="s">
        <v>217</v>
      </c>
    </row>
    <row r="331" spans="1:7" x14ac:dyDescent="0.25">
      <c r="C331" s="31" t="s">
        <v>217</v>
      </c>
      <c r="D331" s="31" t="s">
        <v>217</v>
      </c>
      <c r="E331" s="31" t="s">
        <v>217</v>
      </c>
      <c r="F331" s="31" t="s">
        <v>217</v>
      </c>
      <c r="G331" s="31" t="s">
        <v>217</v>
      </c>
    </row>
    <row r="332" spans="1:7" x14ac:dyDescent="0.25">
      <c r="C332" s="31" t="s">
        <v>217</v>
      </c>
      <c r="D332" s="31" t="s">
        <v>217</v>
      </c>
      <c r="E332" s="31" t="s">
        <v>217</v>
      </c>
      <c r="F332" s="31" t="s">
        <v>217</v>
      </c>
      <c r="G332" s="31" t="s">
        <v>217</v>
      </c>
    </row>
    <row r="334" spans="1:7" x14ac:dyDescent="0.25">
      <c r="C334" s="1" t="s">
        <v>218</v>
      </c>
      <c r="F334" s="1" t="s">
        <v>219</v>
      </c>
    </row>
  </sheetData>
  <sheetProtection formatRows="0"/>
  <mergeCells count="1">
    <mergeCell ref="C329:G332"/>
  </mergeCells>
  <dataValidations count="1">
    <dataValidation type="custom" allowBlank="1" showInputMessage="1" showErrorMessage="1" errorTitle="Pogrešan postavkeExp.VrstaExportaUK podataka" error="Dozvoljen je unos samo brojeva" sqref="F37 F287 F285 F276 F262 F260 F240 F238 F222 F220 F202 F200 F198 F196 F186 F184 F182 F180 F142 F140 F132 F118 F116 F96 F94 F78 F76 F58 F56 F54 F52 F43 F41 F39" xr:uid="{00000000-0002-0000-0000-000000000000}">
      <formula1>OR(ISBLANK(F37),ISNUMBER(F37))</formula1>
    </dataValidation>
  </dataValidations>
  <pageMargins left="0.5" right="0.5" top="0.74" bottom="0.74" header="0.3" footer="0.3"/>
  <pageSetup paperSize="9" scale="99" orientation="portrait" r:id="rId1"/>
  <headerFooter>
    <oddHeader>&amp;L&amp;"Calibri,Regular"&amp;11Stambena građevina Srebrnjak
RN 0625/U</oddHeader>
    <oddFooter>&amp;L&amp;"Calibri,Regular"&amp;11Kamgrad d.o.o. J. Lončara 1h, 10090 Zagreb&amp;R&amp;"Calibri,Regular"&amp;11str. &amp;"Calibri,Regular"&amp;11&amp;P&amp;"Calibri,Regular"&amp;11 od &amp;"Calibri,Regular"&amp;11&amp;N</oddFooter>
    <evenHeader>&amp;L&amp;"Calibri,Regular"&amp;11Stambena građevina Srebrnjak
RN 0625/U</evenHeader>
    <evenFooter>&amp;L&amp;"Calibri,Regular"&amp;11Kamgrad d.o.o. J. Lončara 1h, 10090 Zagreb&amp;R&amp;"Calibri,Regular"&amp;11str. &amp;"Calibri,Regular"&amp;11&amp;P&amp;"Calibri,Regular"&amp;11 od &amp;"Calibri,Regular"&amp;11&amp;N</evenFooter>
    <firstHeader>&amp;L&amp;"Calibri,Regular"&amp;11Stambena građevina Srebrnjak
RN 0625/U</firstHeader>
    <firstFooter>&amp;L&amp;"Calibri,Regular"&amp;11Kamgrad d.o.o. J. Lončara 1h, 10090 Zagreb&amp;R&amp;"Calibri,Regular"&amp;11str. &amp;"Calibri,Regular"&amp;11&amp;P&amp;"Calibri,Regular"&amp;11 od &amp;"Calibri,Regular"&amp;11&amp;N</firstFooter>
  </headerFooter>
  <colBreaks count="1" manualBreakCount="1">
    <brk id="10" max="1638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104</vt:i4>
      </vt:variant>
    </vt:vector>
  </HeadingPairs>
  <TitlesOfParts>
    <vt:vector size="105" baseType="lpstr">
      <vt:lpstr>fasaderski radovi STO </vt:lpstr>
      <vt:lpstr>Cijena1</vt:lpstr>
      <vt:lpstr>Cijena10</vt:lpstr>
      <vt:lpstr>Cijena11</vt:lpstr>
      <vt:lpstr>Cijena12</vt:lpstr>
      <vt:lpstr>Cijena13</vt:lpstr>
      <vt:lpstr>Cijena14</vt:lpstr>
      <vt:lpstr>Cijena15</vt:lpstr>
      <vt:lpstr>Cijena16</vt:lpstr>
      <vt:lpstr>Cijena17</vt:lpstr>
      <vt:lpstr>Cijena18</vt:lpstr>
      <vt:lpstr>Cijena19</vt:lpstr>
      <vt:lpstr>Cijena2</vt:lpstr>
      <vt:lpstr>Cijena20</vt:lpstr>
      <vt:lpstr>Cijena21</vt:lpstr>
      <vt:lpstr>Cijena22</vt:lpstr>
      <vt:lpstr>Cijena23</vt:lpstr>
      <vt:lpstr>Cijena24</vt:lpstr>
      <vt:lpstr>Cijena25</vt:lpstr>
      <vt:lpstr>Cijena26</vt:lpstr>
      <vt:lpstr>Cijena27</vt:lpstr>
      <vt:lpstr>Cijena28</vt:lpstr>
      <vt:lpstr>Cijena29</vt:lpstr>
      <vt:lpstr>Cijena3</vt:lpstr>
      <vt:lpstr>Cijena30</vt:lpstr>
      <vt:lpstr>Cijena31</vt:lpstr>
      <vt:lpstr>Cijena32</vt:lpstr>
      <vt:lpstr>Cijena33</vt:lpstr>
      <vt:lpstr>Cijena34</vt:lpstr>
      <vt:lpstr>Cijena4</vt:lpstr>
      <vt:lpstr>Cijena5</vt:lpstr>
      <vt:lpstr>Cijena6</vt:lpstr>
      <vt:lpstr>Cijena7</vt:lpstr>
      <vt:lpstr>Cijena8</vt:lpstr>
      <vt:lpstr>Cijena9</vt:lpstr>
      <vt:lpstr>IdGrupe</vt:lpstr>
      <vt:lpstr>Napomena1</vt:lpstr>
      <vt:lpstr>Napomena10</vt:lpstr>
      <vt:lpstr>Napomena11</vt:lpstr>
      <vt:lpstr>Napomena12</vt:lpstr>
      <vt:lpstr>Napomena13</vt:lpstr>
      <vt:lpstr>Napomena14</vt:lpstr>
      <vt:lpstr>Napomena15</vt:lpstr>
      <vt:lpstr>Napomena16</vt:lpstr>
      <vt:lpstr>Napomena17</vt:lpstr>
      <vt:lpstr>Napomena18</vt:lpstr>
      <vt:lpstr>Napomena19</vt:lpstr>
      <vt:lpstr>Napomena2</vt:lpstr>
      <vt:lpstr>Napomena20</vt:lpstr>
      <vt:lpstr>Napomena21</vt:lpstr>
      <vt:lpstr>Napomena22</vt:lpstr>
      <vt:lpstr>Napomena23</vt:lpstr>
      <vt:lpstr>Napomena24</vt:lpstr>
      <vt:lpstr>Napomena25</vt:lpstr>
      <vt:lpstr>Napomena26</vt:lpstr>
      <vt:lpstr>Napomena27</vt:lpstr>
      <vt:lpstr>Napomena28</vt:lpstr>
      <vt:lpstr>Napomena29</vt:lpstr>
      <vt:lpstr>Napomena3</vt:lpstr>
      <vt:lpstr>Napomena30</vt:lpstr>
      <vt:lpstr>Napomena31</vt:lpstr>
      <vt:lpstr>Napomena32</vt:lpstr>
      <vt:lpstr>Napomena33</vt:lpstr>
      <vt:lpstr>Napomena34</vt:lpstr>
      <vt:lpstr>Napomena4</vt:lpstr>
      <vt:lpstr>Napomena5</vt:lpstr>
      <vt:lpstr>Napomena6</vt:lpstr>
      <vt:lpstr>Napomena7</vt:lpstr>
      <vt:lpstr>Napomena8</vt:lpstr>
      <vt:lpstr>Napomena9</vt:lpstr>
      <vt:lpstr>'fasaderski radovi STO '!Print_Titles</vt:lpstr>
      <vt:lpstr>Sifra1</vt:lpstr>
      <vt:lpstr>Sifra10</vt:lpstr>
      <vt:lpstr>Sifra11</vt:lpstr>
      <vt:lpstr>Sifra12</vt:lpstr>
      <vt:lpstr>Sifra13</vt:lpstr>
      <vt:lpstr>Sifra14</vt:lpstr>
      <vt:lpstr>Sifra15</vt:lpstr>
      <vt:lpstr>Sifra16</vt:lpstr>
      <vt:lpstr>Sifra17</vt:lpstr>
      <vt:lpstr>Sifra18</vt:lpstr>
      <vt:lpstr>Sifra19</vt:lpstr>
      <vt:lpstr>Sifra2</vt:lpstr>
      <vt:lpstr>Sifra20</vt:lpstr>
      <vt:lpstr>Sifra21</vt:lpstr>
      <vt:lpstr>Sifra22</vt:lpstr>
      <vt:lpstr>Sifra23</vt:lpstr>
      <vt:lpstr>Sifra24</vt:lpstr>
      <vt:lpstr>Sifra25</vt:lpstr>
      <vt:lpstr>Sifra26</vt:lpstr>
      <vt:lpstr>Sifra27</vt:lpstr>
      <vt:lpstr>Sifra28</vt:lpstr>
      <vt:lpstr>Sifra29</vt:lpstr>
      <vt:lpstr>Sifra3</vt:lpstr>
      <vt:lpstr>Sifra30</vt:lpstr>
      <vt:lpstr>Sifra31</vt:lpstr>
      <vt:lpstr>Sifra32</vt:lpstr>
      <vt:lpstr>Sifra33</vt:lpstr>
      <vt:lpstr>Sifra34</vt:lpstr>
      <vt:lpstr>Sifra4</vt:lpstr>
      <vt:lpstr>Sifra5</vt:lpstr>
      <vt:lpstr>Sifra6</vt:lpstr>
      <vt:lpstr>Sifra7</vt:lpstr>
      <vt:lpstr>Sifra8</vt:lpstr>
      <vt:lpstr>Sifra9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Emina Kulenović (Kamgrad)</dc:creator>
  <cp:lastModifiedBy>Ivan Cakaric</cp:lastModifiedBy>
  <cp:lastPrinted>2026-02-11T11:31:31Z</cp:lastPrinted>
  <dcterms:created xsi:type="dcterms:W3CDTF">2026-02-11T11:21:34Z</dcterms:created>
  <dcterms:modified xsi:type="dcterms:W3CDTF">2026-03-13T11:57:08Z</dcterms:modified>
</cp:coreProperties>
</file>