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9E8067-90A2-42FA-BEAA-6E44B72A1567}" xr6:coauthVersionLast="47" xr6:coauthVersionMax="47" xr10:uidLastSave="{00000000-0000-0000-0000-000000000000}"/>
  <bookViews>
    <workbookView xWindow="-120" yWindow="-120" windowWidth="29040" windowHeight="15720" tabRatio="955" activeTab="1" xr2:uid="{530F43FE-ACC1-4DF3-9182-D5E251A7D8A8}"/>
  </bookViews>
  <sheets>
    <sheet name="3.a.FASADERSKI-O.N." sheetId="15" r:id="rId1"/>
    <sheet name="3.b.FASADERSKI-STAVKE" sheetId="16" r:id="rId2"/>
  </sheets>
  <definedNames>
    <definedName name="_1Excel_BuiltIn_Print_Area_2_1_1">#REF!</definedName>
    <definedName name="_2Excel_BuiltIn_Print_Area_2_1_1_1">#REF!</definedName>
    <definedName name="_3ea1">#REF!</definedName>
    <definedName name="_3Excel_BuiltIn_Print_Area_2_1_1_1_1">#REF!</definedName>
    <definedName name="_4Excel_BuiltIn_Print_Area_2_1_1_1_1_1">#REF!</definedName>
    <definedName name="_5Excel_BuiltIn_Print_Area_2_1_1_1_1_1_1_1_1">#REF!</definedName>
    <definedName name="Excel_BuiltIn_Print_Area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3">#REF!</definedName>
    <definedName name="_xlnm.Print_Area" localSheetId="0">'3.a.FASADERSKI-O.N.'!$A$1:$C$19</definedName>
    <definedName name="_xlnm.Print_Area" localSheetId="1">'3.b.FASADERSKI-STAVKE'!$A$1:$G$108</definedName>
    <definedName name="_xlnm.Print_Titles" localSheetId="1">'3.b.FASADERSKI-STAVKE'!$1:$1</definedName>
    <definedName name="SPRANCA">#REF!</definedName>
    <definedName name="S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4" i="16" l="1"/>
  <c r="G94" i="16" s="1"/>
  <c r="G29" i="16" l="1"/>
  <c r="G61" i="16"/>
  <c r="G69" i="16" l="1"/>
  <c r="G77" i="16"/>
  <c r="G45" i="16"/>
  <c r="G37" i="16"/>
  <c r="G21" i="16" l="1"/>
  <c r="G53" i="16"/>
  <c r="G93" i="16"/>
  <c r="G85" i="16"/>
  <c r="G13" i="16" l="1"/>
  <c r="G95" i="16" s="1"/>
  <c r="G96" i="16" l="1"/>
  <c r="G97" i="16" s="1"/>
</calcChain>
</file>

<file path=xl/sharedStrings.xml><?xml version="1.0" encoding="utf-8"?>
<sst xmlns="http://schemas.openxmlformats.org/spreadsheetml/2006/main" count="236" uniqueCount="90">
  <si>
    <t>iznos</t>
  </si>
  <si>
    <t>količina</t>
  </si>
  <si>
    <t>naziv stavke</t>
  </si>
  <si>
    <t>jed. mjera</t>
  </si>
  <si>
    <t>jed. cijena</t>
  </si>
  <si>
    <t>red. broj</t>
  </si>
  <si>
    <t>opis:</t>
  </si>
  <si>
    <t>pozicija:</t>
  </si>
  <si>
    <t>ostalo:</t>
  </si>
  <si>
    <t>obračunska jedinica:</t>
  </si>
  <si>
    <t>-</t>
  </si>
  <si>
    <t>boja:</t>
  </si>
  <si>
    <t>●</t>
  </si>
  <si>
    <r>
      <t>m</t>
    </r>
    <r>
      <rPr>
        <vertAlign val="superscript"/>
        <sz val="9"/>
        <color theme="1"/>
        <rFont val="Helvetica"/>
      </rPr>
      <t>2</t>
    </r>
  </si>
  <si>
    <t>Za sve eventualne nejasnoće u projektnoj dokumentaciji, Izvođač je dužan obratiti se, bez iznimke, nadzornom inženjeru.</t>
  </si>
  <si>
    <t xml:space="preserve">FASADERSKI RADOVI - OPĆE NAPOMENE </t>
  </si>
  <si>
    <t>Za sve elemente fasade i krova obavezno se striktno držati detalja i uputa odabranog proizvođača sustava.</t>
  </si>
  <si>
    <t>Prije otpočinjanja radova Izvođač je dužan dati projektantu na uvid izbor boja, tonova i tekstura, te dostaviti projektantu na ovjeru probne uzorke.</t>
  </si>
  <si>
    <t>Toplinske karakteristike svih ugrađenih materijala uskladiti sa vrijednostima određenim glavnim arhitektonskim projektom - Projektom racionalne uporabe energije i toplinske zaštite.</t>
  </si>
  <si>
    <t>U jedinične cijene stavki obavezno uključiti sve nabave, transporte i ugradnje materijala, sav potrebni rad, osnovni i pomoćni materijal i pomoćne radnje, pokretnu skelu, razne pripomoći, sitni spojni materijal i pričvrsna sredstva i sl., a sve do potpune funkcionalne gotovosti pojedine stavke, uključivo čišćenje nakon dovršetka i u tijeku radova. Sve dimenzije potrebno uzeti na licu mjesta prije izrade nosivih i nenosivih elemenata.</t>
  </si>
  <si>
    <t>toplinska izolacija:</t>
  </si>
  <si>
    <t>završni sloj:</t>
  </si>
  <si>
    <t>po odabiru projektanta</t>
  </si>
  <si>
    <t>silikatna završna dekorativna žbuka</t>
  </si>
  <si>
    <r>
      <t>m</t>
    </r>
    <r>
      <rPr>
        <i/>
        <vertAlign val="superscript"/>
        <sz val="9"/>
        <color theme="1"/>
        <rFont val="Helvetica"/>
      </rPr>
      <t xml:space="preserve">2 </t>
    </r>
    <r>
      <rPr>
        <i/>
        <sz val="9"/>
        <color theme="1"/>
        <rFont val="Helvetica"/>
      </rPr>
      <t>fasade</t>
    </r>
  </si>
  <si>
    <t>FASADERSKI RADOVI</t>
  </si>
  <si>
    <t>1.</t>
  </si>
  <si>
    <t>Reakcije na požar svih ugrađenih materijala uskladiti sa vrijednostima određenim glavnim arhitektonskim projektom (Vodećom mapom i Prikazom mjera zaštite od požara).</t>
  </si>
  <si>
    <t>Dodatno za:</t>
  </si>
  <si>
    <t xml:space="preserve">Obrada špaleta uključena je u jediničinu cijenu izrade fasade (odnosno, neće biti zasebno obračunata). </t>
  </si>
  <si>
    <t>Izrada svih prodora kroz fasadne plohe za izvode elemenata instalacija, uključivo obradu rubnih bridova i rubnih ploha prodora te brtvljenje i eventualno potrebne limene opšavi oko istih uključeni su u jediničnu cijenu fasade, te neće biti zasebno obračunati.</t>
  </si>
  <si>
    <t>Sve prekidne udaljenosti definirane su glavnim arhitektonskim projektom (Vodećom mapom i/ili Prikazom mjera zaštite od požara). Reakciju na požar izolacije na mjestu prekidnih udaljenosti uskladiti sa zahtjevima danim gore navedenim dijelovima projektne dokumentacije.</t>
  </si>
  <si>
    <t>3.</t>
  </si>
  <si>
    <t xml:space="preserve">ploče mineralne vune MW (d=15 cm, λ=0,034 W/mK; reakcija na požar: A1) </t>
  </si>
  <si>
    <t>ETICS / DEMIT fasadni sustav</t>
  </si>
  <si>
    <t>Za izvedbu etics fasade se, uz ove uvjete dane ovim poglavljem, primjenjuju i uvjeti sadržani u poglavlju br. 2. Izolaterski radovi.</t>
  </si>
  <si>
    <t>Jedinična cijena etics/demit fasade uključuje dobavu i postavu osnovnog toplinsko-izolacijskog materijala te izvedbu završnog sloja etics/demit fasade, kao i sav rad te sav spojni/pričvrsni materijal (polimer-cementno ljepilo, pričvrsnice, mrežicu, kutni profili na uglovima vrata i prozora, impregnacija itd.) sve do, kako je navedeno općim dijelom, pune gotovosti stavke.</t>
  </si>
  <si>
    <t>Demit fasada</t>
  </si>
  <si>
    <t>DEMIT fasada</t>
  </si>
  <si>
    <t xml:space="preserve">ploče mineralne vune MW (d=10 cm, λ= 0,039 W/mK; reakcija na požar: A1) </t>
  </si>
  <si>
    <t xml:space="preserve">ploče mineralne vune MW (d=20 cm, λ= 0,034 W/mK; reakcija na požar: A1) </t>
  </si>
  <si>
    <t>Završna fasadna žbuka</t>
  </si>
  <si>
    <t>završni slojevi fasadne dekorativne žbuke</t>
  </si>
  <si>
    <t xml:space="preserve">Demit fasada </t>
  </si>
  <si>
    <t xml:space="preserve">ploče od ekstrudiranog polistirena XPS (d=15 cm, λ=0,035 W/mK; reakcija na požar: A1) </t>
  </si>
  <si>
    <t xml:space="preserve">EPS ploče (d=15 cm, λ= 0,039 W/mK; reakcija na požar: A1) </t>
  </si>
  <si>
    <t>3.1.</t>
  </si>
  <si>
    <t>3.2.</t>
  </si>
  <si>
    <t>3.3.</t>
  </si>
  <si>
    <t>3.4.</t>
  </si>
  <si>
    <t>3.5.</t>
  </si>
  <si>
    <t>3.6.</t>
  </si>
  <si>
    <t>3.7.</t>
  </si>
  <si>
    <t xml:space="preserve">EPS ploče (d=8 cm, λ= 0,037 W/mK; reakcija na požar: A1) </t>
  </si>
  <si>
    <t>3.8.</t>
  </si>
  <si>
    <t xml:space="preserve">ploče od ekstrudiranog polistirena XPS (d=8 cm, λ=0,034 W/mK; reakcija na požar: A1) </t>
  </si>
  <si>
    <t>3.9.</t>
  </si>
  <si>
    <t xml:space="preserve">ploče od ekstrudiranog polistirena XPS (d=3 cm, λ=0,032 W/mK; reakcija na požar: A1) </t>
  </si>
  <si>
    <t>3.10.</t>
  </si>
  <si>
    <t>3.11.</t>
  </si>
  <si>
    <r>
      <t>- fasadna obloga okna dizala te okna instalacija iznad razine neprohodnog ravnog krova; u slojevima oz</t>
    </r>
    <r>
      <rPr>
        <i/>
        <sz val="9"/>
        <rFont val="Helvetica"/>
      </rPr>
      <t xml:space="preserve">nake VZ9, </t>
    </r>
    <r>
      <rPr>
        <i/>
        <sz val="9"/>
        <color theme="1"/>
        <rFont val="Helvetica"/>
      </rPr>
      <t>VZ10</t>
    </r>
  </si>
  <si>
    <r>
      <t xml:space="preserve">Boja fasade prema odabiru projektanta - </t>
    </r>
    <r>
      <rPr>
        <b/>
        <sz val="9"/>
        <rFont val="Helvetica"/>
      </rPr>
      <t>RAL 3022</t>
    </r>
    <r>
      <rPr>
        <sz val="9"/>
        <rFont val="Helvetica"/>
        <family val="2"/>
      </rPr>
      <t>.</t>
    </r>
  </si>
  <si>
    <t>- podgled stropne ploče prizemlja (iznad natkrivenog ulaza - stambena jedinica nad vanjskim prostorom, granica požarnog sektora); u slojevima oznake MK2a, MK2d</t>
  </si>
  <si>
    <t>- podgledi stropne ploče prizemlja (ispod balkona 1.kata); u slojevima oznake MK5b, MK5c</t>
  </si>
  <si>
    <t>- podgledi stropnih ploča 1. i 2. kata (ispod balkona 2. kata i uvučenog kata); u sloju oznake MK5a</t>
  </si>
  <si>
    <t>- sokl (podnožja) fasadnih zidova (zona špricanja); u sloju oznake VZ2a, VZ2b, VZ2c</t>
  </si>
  <si>
    <t xml:space="preserve">- fasadna obloga unutarnje strane zidova atike neprohodnog ravnog krova, fasadna obloga sokla (podnožja) unutarnjih strana punih ograda terasa uvučenog kata (zona špricanja); u slojevima oznake VZ5, VZ8 </t>
  </si>
  <si>
    <t>- fasadna obloga unutarnje strane punih ograda terasa uvučenog kata; u slojevima oznake VZ5</t>
  </si>
  <si>
    <t>- fasadna obloga vanjskih nosivih zidova; u slojevima oznake VZ3a, VZ5, VZ6a, VZ8</t>
  </si>
  <si>
    <t xml:space="preserve">EPS ploče (d=18 cm, λ= 0,037 W/mK; reakcija na požar: A1) </t>
  </si>
  <si>
    <t>- fasadna obloga vanjskih nosivih zidova; u slojevima oznake VZ3a, VZ3c</t>
  </si>
  <si>
    <t>- fasadna obloga vanjskih nosivih zidova (uvjet vatrootpornosti (120 min) u dijelovima gdje čini granicu između požarnih odjeljaka); u slojevima oznake VZ3b, VZ3e, VZ4, VZ6b</t>
  </si>
  <si>
    <t xml:space="preserve">ploče mineralne vune MW (d=18 cm, λ=0,036 W/mK; reakcija na požar: A1) </t>
  </si>
  <si>
    <t>- fasadna obloga vanjskih nosivih zidova (uvjet vatrootpornosti (120 min) u dijelovima gdje čini granicu između požarnih odjeljaka); u slojevima oznake VZ3b, VZ3d</t>
  </si>
  <si>
    <r>
      <t>FASADERSKI RADOVI</t>
    </r>
    <r>
      <rPr>
        <b/>
        <i/>
        <sz val="10"/>
        <color rgb="FFFF0000"/>
        <rFont val="Helvetica"/>
      </rPr>
      <t>_revizija</t>
    </r>
    <r>
      <rPr>
        <b/>
        <sz val="10"/>
        <color theme="1"/>
        <rFont val="Helvetica"/>
      </rPr>
      <t xml:space="preserve"> - UKUPNO:</t>
    </r>
  </si>
  <si>
    <r>
      <t>DEMIT FASADA PROČELJA</t>
    </r>
    <r>
      <rPr>
        <b/>
        <i/>
        <sz val="10"/>
        <color rgb="FFFF0000"/>
        <rFont val="Helvetica"/>
      </rPr>
      <t xml:space="preserve">_revizija </t>
    </r>
  </si>
  <si>
    <r>
      <t xml:space="preserve">Obaveza izvođača jest osigurati izvedbu skele za izvedbu fasade predmetne građevine, te isto neće biti zasebno obračunato.  </t>
    </r>
    <r>
      <rPr>
        <sz val="9"/>
        <color theme="1"/>
        <rFont val="Helvetica"/>
        <family val="2"/>
      </rPr>
      <t xml:space="preserve">Isto uključuje dobavu, dopremu, postavu, montažu i demontažu odgovarajuće fasadne cijevne skele sa spojnicama, ukrućenjima, ogradom i hodnim površinama od dasaka d = 48 mm, sve u skladu sa HTZ mjerama.
Orijentacijske veličine:
- </t>
    </r>
    <r>
      <rPr>
        <b/>
        <sz val="9"/>
        <color theme="1"/>
        <rFont val="Helvetica"/>
      </rPr>
      <t>površina fasadne skele: cca</t>
    </r>
    <r>
      <rPr>
        <b/>
        <sz val="9"/>
        <rFont val="Helvetica"/>
      </rPr>
      <t xml:space="preserve"> 1.360,0 + 1.420, m</t>
    </r>
    <r>
      <rPr>
        <b/>
        <vertAlign val="superscript"/>
        <sz val="9"/>
        <rFont val="Helvetica"/>
      </rPr>
      <t>2.</t>
    </r>
    <r>
      <rPr>
        <sz val="9"/>
        <color theme="1"/>
        <rFont val="Helvetica"/>
        <family val="2"/>
      </rPr>
      <t xml:space="preserve">
- visina zgrade: cca </t>
    </r>
    <r>
      <rPr>
        <sz val="9"/>
        <rFont val="Helvetica"/>
      </rPr>
      <t>14,0 m</t>
    </r>
    <r>
      <rPr>
        <b/>
        <sz val="9"/>
        <color theme="1"/>
        <rFont val="Helvetica"/>
        <family val="2"/>
      </rPr>
      <t xml:space="preserve"> </t>
    </r>
    <r>
      <rPr>
        <sz val="9"/>
        <color theme="1"/>
        <rFont val="Helvetica"/>
        <family val="2"/>
      </rPr>
      <t>od konačno uređenog zaravnatog terena</t>
    </r>
    <r>
      <rPr>
        <b/>
        <sz val="9"/>
        <color theme="1"/>
        <rFont val="Helvetica"/>
        <family val="2"/>
      </rPr>
      <t>.</t>
    </r>
  </si>
  <si>
    <t>3.12</t>
  </si>
  <si>
    <t>SKELARSKI RADOVI</t>
  </si>
  <si>
    <t>Jamstvo 2 godine od primopredaje radove, jamstvo zadužnica 10% vrijednosti</t>
  </si>
  <si>
    <t>www.zbuka.hr | Žbuka obrt za graditeljstvo, Ilica 506</t>
  </si>
  <si>
    <t>Ponuda važeća 180 dana, do 16.04.2026</t>
  </si>
  <si>
    <t>UKUPNO</t>
  </si>
  <si>
    <t>POPUST (obuhvaća troškove gradilišta i odvoz otpada)</t>
  </si>
  <si>
    <t>Nudimo Caparol MW sustav sa laganim 186M Easy ljepilima, armaturnim sloj Minera easy weiss, navojnim STR-U-2G tiplama, rondelama, impregnacijom i završnom Primopor K 2,0mm HBW iznad 20</t>
  </si>
  <si>
    <t>Nudimo Caparol EPS sustav sa laganim 186M Easy ljepilima, armaturnim sloj Minera easy weiss, navojnim STR-U-2G tiplama, rondelama, impregnacijom i završnom Primopor K 2,0mm HBW iznad 20</t>
  </si>
  <si>
    <t>Nudimo lagano Minera easy weiss, ljepilo, alkalno otpornu mrežicu 160g/m2, impregnaciju i završnu PrimoPor K 2,0mm HBW iznad 20</t>
  </si>
  <si>
    <r>
      <t>m</t>
    </r>
    <r>
      <rPr>
        <i/>
        <vertAlign val="superscript"/>
        <sz val="9"/>
        <color theme="1"/>
        <rFont val="Helvetica"/>
      </rPr>
      <t xml:space="preserve">2 </t>
    </r>
    <r>
      <rPr>
        <i/>
        <sz val="9"/>
        <color theme="1"/>
        <rFont val="Helvetica"/>
      </rPr>
      <t>fasade - za vrijeme fasaderskih radova, bez nadoplate za ležarine</t>
    </r>
  </si>
  <si>
    <t>Nudimo Caparol Sockelplatte sustav sa laganim 186M Easy ljepilima, armaturnim sloj Minera easy weiss, impregnacijom i završnom Buntsteinputz ili Primopor 2mm</t>
  </si>
  <si>
    <t>Nudimo Caparol Sockelplatte sustav sa laganim 186M Easy ljepilima, armaturnim sloj Minera easy weiss, impregnacijom i završnom Primopor K 2,0mm HBW iznad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</si>
</sst>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n&quot;_-;\-* #,##0.00\ &quot;kn&quot;_-;_-* &quot;-&quot;??\ &quot;kn&quot;_-;_-@_-"/>
    <numFmt numFmtId="164" formatCode="#,##0.00\ [$€-1]"/>
  </numFmts>
  <fonts count="33" x14ac:knownFonts="1">
    <font>
      <sz val="11"/>
      <color theme="1"/>
      <name val="Calibri"/>
      <family val="2"/>
      <charset val="238"/>
      <scheme val="minor"/>
    </font>
    <font>
      <sz val="11"/>
      <color theme="1"/>
      <name val="Helvetica"/>
    </font>
    <font>
      <sz val="10"/>
      <color theme="1"/>
      <name val="Helvetica"/>
    </font>
    <font>
      <sz val="9"/>
      <color theme="1"/>
      <name val="Helvetica"/>
    </font>
    <font>
      <i/>
      <sz val="9"/>
      <color theme="1"/>
      <name val="Helvetica"/>
    </font>
    <font>
      <b/>
      <sz val="10"/>
      <color theme="0"/>
      <name val="Helvetica"/>
    </font>
    <font>
      <b/>
      <sz val="10"/>
      <color theme="1"/>
      <name val="Helvetica"/>
    </font>
    <font>
      <vertAlign val="superscript"/>
      <sz val="9"/>
      <color theme="1"/>
      <name val="Helvetica"/>
    </font>
    <font>
      <b/>
      <sz val="9"/>
      <color theme="1"/>
      <name val="Helvetica"/>
    </font>
    <font>
      <i/>
      <vertAlign val="superscript"/>
      <sz val="9"/>
      <color theme="1"/>
      <name val="Helvetica"/>
    </font>
    <font>
      <b/>
      <sz val="7"/>
      <color theme="1"/>
      <name val="Helvetica"/>
    </font>
    <font>
      <sz val="10"/>
      <name val="Arial"/>
      <family val="2"/>
      <charset val="238"/>
    </font>
    <font>
      <sz val="10"/>
      <color theme="1"/>
      <name val="Segoe UI"/>
      <family val="2"/>
      <charset val="238"/>
    </font>
    <font>
      <b/>
      <sz val="9"/>
      <name val="Segoe UI"/>
      <family val="2"/>
      <charset val="238"/>
    </font>
    <font>
      <i/>
      <sz val="9"/>
      <name val="Helvetica"/>
    </font>
    <font>
      <sz val="9"/>
      <name val="Helvetica"/>
    </font>
    <font>
      <b/>
      <sz val="9"/>
      <color theme="1"/>
      <name val="Helvetica"/>
      <family val="2"/>
    </font>
    <font>
      <sz val="9"/>
      <color theme="1"/>
      <name val="Helvetica"/>
      <family val="2"/>
    </font>
    <font>
      <b/>
      <sz val="10"/>
      <color theme="0"/>
      <name val="Helvetica"/>
      <family val="2"/>
    </font>
    <font>
      <b/>
      <sz val="10"/>
      <name val="Helvetica"/>
      <family val="2"/>
    </font>
    <font>
      <sz val="10"/>
      <color theme="1"/>
      <name val="Helvetica"/>
      <family val="2"/>
    </font>
    <font>
      <sz val="11"/>
      <color rgb="FFFF0000"/>
      <name val="Helvetica"/>
      <family val="2"/>
    </font>
    <font>
      <sz val="11"/>
      <color theme="1"/>
      <name val="Helvetica"/>
      <family val="2"/>
    </font>
    <font>
      <sz val="9"/>
      <name val="Helvetica"/>
      <family val="2"/>
    </font>
    <font>
      <b/>
      <sz val="9"/>
      <name val="Helvetica"/>
    </font>
    <font>
      <b/>
      <vertAlign val="superscript"/>
      <sz val="9"/>
      <name val="Helvetica"/>
    </font>
    <font>
      <b/>
      <i/>
      <sz val="10"/>
      <color rgb="FFFF0000"/>
      <name val="Helvetica"/>
    </font>
    <font>
      <sz val="11"/>
      <color rgb="FF9C5700"/>
      <name val="Calibri"/>
      <family val="2"/>
      <charset val="238"/>
      <scheme val="minor"/>
    </font>
    <font>
      <i/>
      <sz val="9"/>
      <color rgb="FFFF0000"/>
      <name val="Helvetica"/>
    </font>
    <font>
      <b/>
      <sz val="11"/>
      <color rgb="FFFF0000"/>
      <name val="Calibri"/>
      <family val="2"/>
      <charset val="238"/>
      <scheme val="minor"/>
    </font>
    <font>
      <sz val="10"/>
      <color theme="1"/>
      <name val="Lato"/>
      <family val="2"/>
      <charset val="238"/>
    </font>
    <font>
      <sz val="11"/>
      <color rgb="FF9C0006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11" fillId="0" borderId="0"/>
    <xf numFmtId="44" fontId="11" fillId="0" borderId="0" applyFont="0" applyFill="0" applyBorder="0" applyAlignment="0" applyProtection="0"/>
    <xf numFmtId="0" fontId="27" fillId="6" borderId="0" applyNumberFormat="0" applyBorder="0" applyAlignment="0" applyProtection="0"/>
    <xf numFmtId="0" fontId="31" fillId="7" borderId="0" applyNumberFormat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2" fontId="2" fillId="0" borderId="0" xfId="0" applyNumberFormat="1" applyFont="1"/>
    <xf numFmtId="49" fontId="2" fillId="0" borderId="0" xfId="0" applyNumberFormat="1" applyFont="1"/>
    <xf numFmtId="0" fontId="5" fillId="2" borderId="0" xfId="0" applyFont="1" applyFill="1"/>
    <xf numFmtId="0" fontId="2" fillId="2" borderId="0" xfId="0" applyFont="1" applyFill="1"/>
    <xf numFmtId="49" fontId="5" fillId="2" borderId="0" xfId="0" applyNumberFormat="1" applyFont="1" applyFill="1"/>
    <xf numFmtId="2" fontId="2" fillId="2" borderId="0" xfId="0" applyNumberFormat="1" applyFont="1" applyFill="1"/>
    <xf numFmtId="49" fontId="6" fillId="0" borderId="0" xfId="0" applyNumberFormat="1" applyFont="1"/>
    <xf numFmtId="0" fontId="6" fillId="0" borderId="0" xfId="0" applyFont="1"/>
    <xf numFmtId="2" fontId="3" fillId="0" borderId="0" xfId="0" applyNumberFormat="1" applyFont="1"/>
    <xf numFmtId="0" fontId="3" fillId="0" borderId="0" xfId="0" applyFont="1" applyAlignment="1">
      <alignment wrapText="1"/>
    </xf>
    <xf numFmtId="49" fontId="8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49" fontId="6" fillId="0" borderId="1" xfId="0" applyNumberFormat="1" applyFont="1" applyBorder="1"/>
    <xf numFmtId="0" fontId="6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0" applyFont="1" applyAlignment="1">
      <alignment wrapText="1"/>
    </xf>
    <xf numFmtId="49" fontId="2" fillId="3" borderId="0" xfId="0" applyNumberFormat="1" applyFont="1" applyFill="1"/>
    <xf numFmtId="49" fontId="6" fillId="3" borderId="0" xfId="0" applyNumberFormat="1" applyFont="1" applyFill="1"/>
    <xf numFmtId="0" fontId="2" fillId="3" borderId="0" xfId="0" applyFont="1" applyFill="1"/>
    <xf numFmtId="2" fontId="2" fillId="3" borderId="0" xfId="0" applyNumberFormat="1" applyFont="1" applyFill="1"/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13" fillId="0" borderId="0" xfId="3" applyNumberFormat="1" applyFont="1" applyAlignment="1">
      <alignment horizontal="center" vertical="top" wrapText="1"/>
    </xf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vertical="top"/>
    </xf>
    <xf numFmtId="2" fontId="15" fillId="0" borderId="0" xfId="0" applyNumberFormat="1" applyFont="1"/>
    <xf numFmtId="49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quotePrefix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49" fontId="5" fillId="0" borderId="0" xfId="0" applyNumberFormat="1" applyFont="1"/>
    <xf numFmtId="49" fontId="18" fillId="4" borderId="0" xfId="0" applyNumberFormat="1" applyFont="1" applyFill="1"/>
    <xf numFmtId="0" fontId="20" fillId="4" borderId="0" xfId="0" applyFont="1" applyFill="1"/>
    <xf numFmtId="2" fontId="20" fillId="4" borderId="0" xfId="0" applyNumberFormat="1" applyFont="1" applyFill="1"/>
    <xf numFmtId="0" fontId="22" fillId="0" borderId="0" xfId="0" applyFont="1"/>
    <xf numFmtId="49" fontId="20" fillId="0" borderId="0" xfId="0" applyNumberFormat="1" applyFont="1"/>
    <xf numFmtId="0" fontId="23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4" fillId="5" borderId="0" xfId="0" applyFont="1" applyFill="1" applyAlignment="1">
      <alignment vertical="top" wrapText="1"/>
    </xf>
    <xf numFmtId="49" fontId="6" fillId="5" borderId="1" xfId="0" applyNumberFormat="1" applyFont="1" applyFill="1" applyBorder="1"/>
    <xf numFmtId="0" fontId="6" fillId="5" borderId="1" xfId="0" applyFont="1" applyFill="1" applyBorder="1"/>
    <xf numFmtId="0" fontId="2" fillId="5" borderId="1" xfId="0" applyFont="1" applyFill="1" applyBorder="1"/>
    <xf numFmtId="2" fontId="2" fillId="5" borderId="1" xfId="0" applyNumberFormat="1" applyFont="1" applyFill="1" applyBorder="1"/>
    <xf numFmtId="0" fontId="1" fillId="5" borderId="0" xfId="0" applyFont="1" applyFill="1"/>
    <xf numFmtId="0" fontId="2" fillId="5" borderId="0" xfId="0" applyFont="1" applyFill="1"/>
    <xf numFmtId="2" fontId="15" fillId="5" borderId="0" xfId="0" applyNumberFormat="1" applyFont="1" applyFill="1"/>
    <xf numFmtId="49" fontId="2" fillId="5" borderId="0" xfId="0" applyNumberFormat="1" applyFont="1" applyFill="1"/>
    <xf numFmtId="49" fontId="8" fillId="5" borderId="0" xfId="0" applyNumberFormat="1" applyFont="1" applyFill="1" applyAlignment="1">
      <alignment vertical="top" wrapText="1"/>
    </xf>
    <xf numFmtId="0" fontId="3" fillId="5" borderId="0" xfId="0" applyFont="1" applyFill="1"/>
    <xf numFmtId="2" fontId="3" fillId="5" borderId="0" xfId="0" applyNumberFormat="1" applyFont="1" applyFill="1"/>
    <xf numFmtId="0" fontId="4" fillId="5" borderId="0" xfId="0" quotePrefix="1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49" fontId="2" fillId="5" borderId="0" xfId="0" applyNumberFormat="1" applyFont="1" applyFill="1" applyAlignment="1">
      <alignment vertical="top"/>
    </xf>
    <xf numFmtId="0" fontId="3" fillId="5" borderId="0" xfId="0" applyFont="1" applyFill="1" applyAlignment="1">
      <alignment wrapText="1"/>
    </xf>
    <xf numFmtId="0" fontId="28" fillId="0" borderId="0" xfId="0" quotePrefix="1" applyFont="1" applyAlignment="1">
      <alignment vertical="top" wrapText="1"/>
    </xf>
    <xf numFmtId="49" fontId="29" fillId="6" borderId="0" xfId="5" applyNumberFormat="1" applyFont="1" applyAlignment="1">
      <alignment vertical="top"/>
    </xf>
    <xf numFmtId="49" fontId="29" fillId="6" borderId="0" xfId="5" applyNumberFormat="1" applyFont="1" applyAlignment="1">
      <alignment vertical="top" wrapText="1"/>
    </xf>
    <xf numFmtId="49" fontId="30" fillId="0" borderId="0" xfId="0" applyNumberFormat="1" applyFont="1"/>
    <xf numFmtId="0" fontId="30" fillId="0" borderId="0" xfId="0" applyFont="1"/>
    <xf numFmtId="49" fontId="31" fillId="7" borderId="0" xfId="6" applyNumberFormat="1"/>
    <xf numFmtId="0" fontId="31" fillId="7" borderId="0" xfId="6"/>
    <xf numFmtId="2" fontId="31" fillId="7" borderId="0" xfId="6" applyNumberFormat="1"/>
    <xf numFmtId="10" fontId="31" fillId="7" borderId="0" xfId="6" applyNumberFormat="1"/>
    <xf numFmtId="0" fontId="32" fillId="0" borderId="0" xfId="0" applyFont="1" applyAlignment="1">
      <alignment horizontal="right"/>
    </xf>
    <xf numFmtId="164" fontId="10" fillId="0" borderId="0" xfId="0" applyNumberFormat="1" applyFont="1" applyAlignment="1">
      <alignment horizontal="center" vertical="center" wrapText="1"/>
    </xf>
    <xf numFmtId="164" fontId="2" fillId="2" borderId="0" xfId="0" applyNumberFormat="1" applyFont="1" applyFill="1"/>
    <xf numFmtId="164" fontId="2" fillId="0" borderId="0" xfId="0" applyNumberFormat="1" applyFont="1"/>
    <xf numFmtId="164" fontId="20" fillId="4" borderId="0" xfId="0" applyNumberFormat="1" applyFont="1" applyFill="1"/>
    <xf numFmtId="164" fontId="2" fillId="0" borderId="1" xfId="0" applyNumberFormat="1" applyFont="1" applyBorder="1"/>
    <xf numFmtId="164" fontId="3" fillId="0" borderId="0" xfId="0" applyNumberFormat="1" applyFont="1"/>
    <xf numFmtId="164" fontId="2" fillId="5" borderId="1" xfId="0" applyNumberFormat="1" applyFont="1" applyFill="1" applyBorder="1"/>
    <xf numFmtId="164" fontId="3" fillId="5" borderId="0" xfId="0" applyNumberFormat="1" applyFont="1" applyFill="1"/>
    <xf numFmtId="164" fontId="6" fillId="3" borderId="0" xfId="0" applyNumberFormat="1" applyFont="1" applyFill="1"/>
    <xf numFmtId="164" fontId="31" fillId="7" borderId="0" xfId="6" applyNumberFormat="1"/>
    <xf numFmtId="164" fontId="0" fillId="0" borderId="0" xfId="0" applyNumberFormat="1"/>
    <xf numFmtId="0" fontId="4" fillId="0" borderId="0" xfId="0" applyFont="1" applyAlignment="1">
      <alignment horizontal="left" vertical="top" wrapText="1"/>
    </xf>
    <xf numFmtId="164" fontId="1" fillId="0" borderId="0" xfId="0" applyNumberFormat="1" applyFont="1"/>
    <xf numFmtId="49" fontId="19" fillId="4" borderId="0" xfId="0" applyNumberFormat="1" applyFont="1" applyFill="1" applyAlignment="1">
      <alignment horizontal="left" vertical="top"/>
    </xf>
  </cellXfs>
  <cellStyles count="7">
    <cellStyle name="Bad" xfId="6" builtinId="27"/>
    <cellStyle name="Currency 2 2" xfId="4" xr:uid="{60493DD5-955C-4D25-A6D4-B84DD68A61DB}"/>
    <cellStyle name="Neutral" xfId="5" builtinId="28"/>
    <cellStyle name="Normal" xfId="0" builtinId="0"/>
    <cellStyle name="Normal 10 2" xfId="3" xr:uid="{796020B4-07A1-4419-9B56-C0A655E1DA9F}"/>
    <cellStyle name="Normal 2" xfId="2" xr:uid="{BB5536B1-C228-4B47-B9CD-6E9E0D1B3C29}"/>
    <cellStyle name="Normal 4" xfId="1" xr:uid="{DD7051F4-B306-4319-A3A6-AF29484C2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2143125</xdr:colOff>
      <xdr:row>101</xdr:row>
      <xdr:rowOff>57150</xdr:rowOff>
    </xdr:from>
    <xdr:to>
      <xdr:col>5</xdr:col>
      <xdr:colOff>400051</xdr:colOff>
      <xdr:row>104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0D478-EB9E-74A4-BA52-23C8D313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28860750"/>
          <a:ext cx="1428751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1247775</xdr:colOff>
      <xdr:row>100</xdr:row>
      <xdr:rowOff>81437</xdr:rowOff>
    </xdr:from>
    <xdr:to>
      <xdr:col>4</xdr:col>
      <xdr:colOff>266700</xdr:colOff>
      <xdr:row>106</xdr:row>
      <xdr:rowOff>41909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5D59A7-ADF7-95F2-0D39-2C037BBD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28704062"/>
          <a:ext cx="1609725" cy="1046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E0DA-73DB-4187-852B-7C1A8EC27C2A}">
  <sheetPr>
    <tabColor rgb="FF92D050"/>
  </sheetPr>
  <dimension ref="A1:D56"/>
  <sheetViews>
    <sheetView view="pageBreakPreview" topLeftCell="A5" zoomScale="110" zoomScaleNormal="100" zoomScaleSheetLayoutView="110" workbookViewId="0">
      <selection activeCell="B24" sqref="B24"/>
    </sheetView>
  </sheetViews>
  <sheetFormatPr defaultRowHeight="14.25" x14ac:dyDescent="0.2"/>
  <cols>
    <col min="1" max="1" width="3.7109375" style="6" customWidth="1"/>
    <col min="2" max="2" width="65.7109375" style="6" customWidth="1"/>
    <col min="3" max="3" width="4.42578125" style="2" customWidth="1"/>
    <col min="4" max="4" width="8.7109375" style="5" customWidth="1"/>
    <col min="5" max="16384" width="9.140625" style="1"/>
  </cols>
  <sheetData>
    <row r="1" spans="1:4" s="2" customFormat="1" ht="12.75" x14ac:dyDescent="0.2">
      <c r="A1" s="9" t="s">
        <v>15</v>
      </c>
      <c r="B1" s="7"/>
      <c r="C1" s="7"/>
      <c r="D1" s="7"/>
    </row>
    <row r="2" spans="1:4" x14ac:dyDescent="0.2">
      <c r="B2" s="2"/>
    </row>
    <row r="3" spans="1:4" s="32" customFormat="1" ht="72" x14ac:dyDescent="0.25">
      <c r="A3" s="31" t="s">
        <v>12</v>
      </c>
      <c r="B3" s="39" t="s">
        <v>19</v>
      </c>
      <c r="D3" s="33"/>
    </row>
    <row r="4" spans="1:4" s="32" customFormat="1" ht="24" x14ac:dyDescent="0.25">
      <c r="A4" s="31" t="s">
        <v>12</v>
      </c>
      <c r="B4" s="39" t="s">
        <v>16</v>
      </c>
      <c r="D4" s="33"/>
    </row>
    <row r="5" spans="1:4" s="32" customFormat="1" ht="106.5" customHeight="1" x14ac:dyDescent="0.25">
      <c r="A5" s="31" t="s">
        <v>12</v>
      </c>
      <c r="B5" s="38" t="s">
        <v>76</v>
      </c>
      <c r="D5" s="33"/>
    </row>
    <row r="6" spans="1:4" s="32" customFormat="1" ht="24" x14ac:dyDescent="0.25">
      <c r="A6" s="31" t="s">
        <v>12</v>
      </c>
      <c r="B6" s="39" t="s">
        <v>29</v>
      </c>
      <c r="D6" s="33"/>
    </row>
    <row r="7" spans="1:4" s="32" customFormat="1" ht="48" x14ac:dyDescent="0.25">
      <c r="A7" s="31" t="s">
        <v>12</v>
      </c>
      <c r="B7" s="39" t="s">
        <v>30</v>
      </c>
      <c r="D7" s="33"/>
    </row>
    <row r="8" spans="1:4" s="32" customFormat="1" ht="36" x14ac:dyDescent="0.25">
      <c r="A8" s="31" t="s">
        <v>12</v>
      </c>
      <c r="B8" s="39" t="s">
        <v>18</v>
      </c>
      <c r="D8" s="33"/>
    </row>
    <row r="9" spans="1:4" s="32" customFormat="1" ht="36" x14ac:dyDescent="0.25">
      <c r="A9" s="31" t="s">
        <v>12</v>
      </c>
      <c r="B9" s="39" t="s">
        <v>27</v>
      </c>
      <c r="D9" s="33"/>
    </row>
    <row r="10" spans="1:4" s="32" customFormat="1" ht="24" x14ac:dyDescent="0.25">
      <c r="A10" s="31" t="s">
        <v>12</v>
      </c>
      <c r="B10" s="39" t="s">
        <v>17</v>
      </c>
      <c r="D10" s="33"/>
    </row>
    <row r="11" spans="1:4" s="32" customFormat="1" ht="24" x14ac:dyDescent="0.25">
      <c r="A11" s="31" t="s">
        <v>12</v>
      </c>
      <c r="B11" s="39" t="s">
        <v>14</v>
      </c>
      <c r="D11" s="33"/>
    </row>
    <row r="12" spans="1:4" s="32" customFormat="1" ht="12.75" x14ac:dyDescent="0.25">
      <c r="A12" s="31"/>
      <c r="B12" s="39"/>
      <c r="D12" s="33"/>
    </row>
    <row r="13" spans="1:4" s="32" customFormat="1" ht="12.75" x14ac:dyDescent="0.25">
      <c r="A13" s="31"/>
      <c r="B13" s="38" t="s">
        <v>28</v>
      </c>
      <c r="D13" s="33"/>
    </row>
    <row r="14" spans="1:4" s="32" customFormat="1" ht="12.75" x14ac:dyDescent="0.25">
      <c r="A14" s="31"/>
      <c r="B14" s="38"/>
      <c r="D14" s="33"/>
    </row>
    <row r="15" spans="1:4" s="32" customFormat="1" ht="12.75" x14ac:dyDescent="0.25">
      <c r="A15" s="31" t="s">
        <v>26</v>
      </c>
      <c r="B15" s="38" t="s">
        <v>34</v>
      </c>
      <c r="D15" s="33"/>
    </row>
    <row r="16" spans="1:4" s="32" customFormat="1" ht="60" x14ac:dyDescent="0.25">
      <c r="A16" s="31" t="s">
        <v>12</v>
      </c>
      <c r="B16" s="39" t="s">
        <v>36</v>
      </c>
      <c r="D16" s="33"/>
    </row>
    <row r="17" spans="1:4" s="32" customFormat="1" ht="48" x14ac:dyDescent="0.25">
      <c r="A17" s="31" t="s">
        <v>12</v>
      </c>
      <c r="B17" s="39" t="s">
        <v>31</v>
      </c>
      <c r="D17" s="33"/>
    </row>
    <row r="18" spans="1:4" s="32" customFormat="1" ht="24" x14ac:dyDescent="0.25">
      <c r="A18" s="31" t="s">
        <v>12</v>
      </c>
      <c r="B18" s="46" t="s">
        <v>35</v>
      </c>
      <c r="D18" s="33"/>
    </row>
    <row r="19" spans="1:4" s="32" customFormat="1" ht="12.75" x14ac:dyDescent="0.25">
      <c r="A19" s="31" t="s">
        <v>12</v>
      </c>
      <c r="B19" s="46" t="s">
        <v>61</v>
      </c>
      <c r="D19" s="33"/>
    </row>
    <row r="20" spans="1:4" s="32" customFormat="1" ht="12.75" x14ac:dyDescent="0.2">
      <c r="A20" s="45"/>
      <c r="B20" s="45"/>
      <c r="D20" s="33"/>
    </row>
    <row r="21" spans="1:4" x14ac:dyDescent="0.2">
      <c r="A21" s="31"/>
      <c r="B21" s="46"/>
      <c r="D21" s="13"/>
    </row>
    <row r="22" spans="1:4" x14ac:dyDescent="0.2">
      <c r="B22" s="30"/>
      <c r="D22" s="13"/>
    </row>
    <row r="23" spans="1:4" x14ac:dyDescent="0.2">
      <c r="B23" s="3"/>
      <c r="D23" s="13"/>
    </row>
    <row r="24" spans="1:4" x14ac:dyDescent="0.2">
      <c r="B24" s="30"/>
      <c r="D24" s="13"/>
    </row>
    <row r="25" spans="1:4" s="2" customFormat="1" ht="12.75" x14ac:dyDescent="0.2">
      <c r="A25" s="6"/>
      <c r="B25" s="3"/>
      <c r="D25" s="5"/>
    </row>
    <row r="26" spans="1:4" x14ac:dyDescent="0.2">
      <c r="B26" s="14"/>
    </row>
    <row r="27" spans="1:4" x14ac:dyDescent="0.2">
      <c r="B27" s="3"/>
      <c r="D27" s="13"/>
    </row>
    <row r="28" spans="1:4" x14ac:dyDescent="0.2">
      <c r="B28" s="14"/>
      <c r="D28" s="13"/>
    </row>
    <row r="29" spans="1:4" x14ac:dyDescent="0.2">
      <c r="B29" s="3"/>
      <c r="D29" s="13"/>
    </row>
    <row r="30" spans="1:4" x14ac:dyDescent="0.2">
      <c r="B30" s="14"/>
      <c r="D30" s="13"/>
    </row>
    <row r="31" spans="1:4" x14ac:dyDescent="0.2">
      <c r="B31" s="3"/>
      <c r="D31" s="13"/>
    </row>
    <row r="32" spans="1:4" x14ac:dyDescent="0.2">
      <c r="B32" s="14"/>
      <c r="D32" s="13"/>
    </row>
    <row r="33" spans="1:4" x14ac:dyDescent="0.2">
      <c r="B33" s="3"/>
      <c r="D33" s="13"/>
    </row>
    <row r="34" spans="1:4" x14ac:dyDescent="0.2">
      <c r="B34" s="3"/>
      <c r="D34" s="13"/>
    </row>
    <row r="35" spans="1:4" s="2" customFormat="1" ht="12.75" x14ac:dyDescent="0.2">
      <c r="A35" s="6"/>
      <c r="B35" s="3"/>
      <c r="D35" s="5"/>
    </row>
    <row r="36" spans="1:4" x14ac:dyDescent="0.2">
      <c r="B36" s="3"/>
      <c r="D36" s="13"/>
    </row>
    <row r="37" spans="1:4" x14ac:dyDescent="0.2">
      <c r="B37" s="3"/>
      <c r="D37" s="13"/>
    </row>
    <row r="38" spans="1:4" x14ac:dyDescent="0.2">
      <c r="B38" s="14"/>
      <c r="D38" s="13"/>
    </row>
    <row r="39" spans="1:4" x14ac:dyDescent="0.2">
      <c r="B39" s="3"/>
      <c r="D39" s="13"/>
    </row>
    <row r="40" spans="1:4" x14ac:dyDescent="0.2">
      <c r="B40" s="14"/>
      <c r="D40" s="13"/>
    </row>
    <row r="41" spans="1:4" x14ac:dyDescent="0.2">
      <c r="B41" s="3"/>
      <c r="D41" s="13"/>
    </row>
    <row r="42" spans="1:4" x14ac:dyDescent="0.2">
      <c r="B42" s="14"/>
      <c r="D42" s="13"/>
    </row>
    <row r="43" spans="1:4" x14ac:dyDescent="0.2">
      <c r="B43" s="3"/>
      <c r="D43" s="13"/>
    </row>
    <row r="44" spans="1:4" x14ac:dyDescent="0.2">
      <c r="B44" s="14"/>
      <c r="D44" s="13"/>
    </row>
    <row r="45" spans="1:4" s="2" customFormat="1" ht="12.75" x14ac:dyDescent="0.2">
      <c r="A45" s="11"/>
      <c r="B45" s="12"/>
      <c r="D45" s="5"/>
    </row>
    <row r="46" spans="1:4" s="5" customFormat="1" ht="12.75" x14ac:dyDescent="0.2">
      <c r="A46" s="6"/>
      <c r="B46" s="15"/>
      <c r="C46" s="2"/>
    </row>
    <row r="47" spans="1:4" s="5" customFormat="1" ht="12.75" x14ac:dyDescent="0.2">
      <c r="A47" s="6"/>
      <c r="B47" s="15"/>
      <c r="C47" s="2"/>
    </row>
    <row r="48" spans="1:4" s="5" customFormat="1" ht="12.75" x14ac:dyDescent="0.2">
      <c r="A48" s="6"/>
      <c r="B48" s="15"/>
      <c r="C48" s="2"/>
    </row>
    <row r="49" spans="1:3" s="5" customFormat="1" ht="12.75" x14ac:dyDescent="0.2">
      <c r="A49" s="6"/>
      <c r="B49" s="15"/>
      <c r="C49" s="2"/>
    </row>
    <row r="50" spans="1:3" s="5" customFormat="1" ht="12.75" x14ac:dyDescent="0.2">
      <c r="A50" s="6"/>
      <c r="B50" s="15"/>
      <c r="C50" s="2"/>
    </row>
    <row r="51" spans="1:3" s="5" customFormat="1" ht="12.75" x14ac:dyDescent="0.2">
      <c r="A51" s="6"/>
      <c r="B51" s="15"/>
      <c r="C51" s="2"/>
    </row>
    <row r="52" spans="1:3" s="5" customFormat="1" ht="12.75" x14ac:dyDescent="0.2">
      <c r="A52" s="6"/>
      <c r="B52" s="15"/>
      <c r="C52" s="2"/>
    </row>
    <row r="53" spans="1:3" s="5" customFormat="1" ht="12.75" x14ac:dyDescent="0.2">
      <c r="A53" s="6"/>
      <c r="B53" s="15"/>
      <c r="C53" s="2"/>
    </row>
    <row r="54" spans="1:3" s="5" customFormat="1" ht="12.75" x14ac:dyDescent="0.2">
      <c r="A54" s="6"/>
      <c r="B54" s="15"/>
      <c r="C54" s="21"/>
    </row>
    <row r="56" spans="1:3" s="5" customFormat="1" ht="12.75" x14ac:dyDescent="0.2">
      <c r="A56" s="6"/>
      <c r="B56" s="11"/>
      <c r="C56" s="2"/>
    </row>
  </sheetData>
  <pageMargins left="0.70866141732283472" right="0.70866141732283472" top="1.3779527559055118" bottom="0.74803149606299213" header="0.59055118110236227" footer="0.39370078740157483"/>
  <pageSetup paperSize="9" orientation="portrait" r:id="rId1"/>
  <headerFooter scaleWithDoc="0">
    <oddHeader>&amp;C&amp;"Helvetica,Bold"&amp;8VEĆA VIŠESTAMBENA GRAĐEVINA
2. dio - ZGRADA A
&amp;R&amp;"Helvetica,Regular"&amp;8lokacija: k.č. br. 2665/1
 k.o. Samobor
datum: srpanj 2025.</oddHeader>
    <oddFooter>&amp;L&amp;"Helvetica,Regular"&amp;8mapa: 01                 zop: 108/2023-DM&amp;C&amp;"Helvetica,Regular"&amp;8bp: 108/2023                     rev:06&amp;R&amp;"Helvetica,Regular"&amp;8list:&amp;P</oddFooter>
  </headerFooter>
  <rowBreaks count="1" manualBreakCount="1">
    <brk id="19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3566-B321-4B80-8EB5-8D1DB6ED4454}">
  <sheetPr>
    <tabColor theme="7" tint="0.59999389629810485"/>
  </sheetPr>
  <dimension ref="A1:P101"/>
  <sheetViews>
    <sheetView tabSelected="1" view="pageBreakPreview" topLeftCell="A55" zoomScaleNormal="100" zoomScaleSheetLayoutView="100" workbookViewId="0">
      <selection activeCell="F91" sqref="F91"/>
    </sheetView>
  </sheetViews>
  <sheetFormatPr defaultRowHeight="14.25" x14ac:dyDescent="0.2"/>
  <cols>
    <col min="1" max="1" width="5.28515625" style="6" customWidth="1"/>
    <col min="2" max="2" width="19.140625" style="6" customWidth="1"/>
    <col min="3" max="3" width="34.42578125" style="2" customWidth="1"/>
    <col min="4" max="4" width="4.42578125" style="2" customWidth="1"/>
    <col min="5" max="5" width="8.7109375" style="5" customWidth="1"/>
    <col min="6" max="6" width="6.7109375" style="5" customWidth="1"/>
    <col min="7" max="7" width="11.7109375" style="76" bestFit="1" customWidth="1"/>
    <col min="8" max="8" width="11.85546875" style="1" bestFit="1" customWidth="1"/>
    <col min="9" max="16384" width="9.140625" style="1"/>
  </cols>
  <sheetData>
    <row r="1" spans="1:16" s="2" customFormat="1" ht="27" x14ac:dyDescent="0.2">
      <c r="A1" s="26" t="s">
        <v>5</v>
      </c>
      <c r="B1" s="26"/>
      <c r="C1" s="27" t="s">
        <v>2</v>
      </c>
      <c r="D1" s="28" t="s">
        <v>3</v>
      </c>
      <c r="E1" s="29" t="s">
        <v>1</v>
      </c>
      <c r="F1" s="29" t="s">
        <v>4</v>
      </c>
      <c r="G1" s="74" t="s">
        <v>0</v>
      </c>
    </row>
    <row r="2" spans="1:16" s="4" customFormat="1" x14ac:dyDescent="0.2">
      <c r="A2" s="9" t="s">
        <v>32</v>
      </c>
      <c r="B2" s="9" t="s">
        <v>25</v>
      </c>
      <c r="C2" s="8"/>
      <c r="D2" s="8"/>
      <c r="E2" s="10"/>
      <c r="F2" s="10"/>
      <c r="G2" s="75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40"/>
      <c r="B3" s="40"/>
      <c r="H3" s="2"/>
      <c r="I3" s="2"/>
      <c r="J3" s="2"/>
      <c r="K3" s="2"/>
      <c r="L3" s="2"/>
      <c r="M3" s="2"/>
      <c r="N3" s="2"/>
      <c r="O3" s="2"/>
      <c r="P3" s="2"/>
    </row>
    <row r="4" spans="1:16" s="44" customFormat="1" x14ac:dyDescent="0.2">
      <c r="A4" s="41"/>
      <c r="B4" s="87" t="s">
        <v>75</v>
      </c>
      <c r="C4" s="87"/>
      <c r="D4" s="42"/>
      <c r="E4" s="43"/>
      <c r="F4" s="43"/>
      <c r="G4" s="77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40"/>
      <c r="B5" s="40"/>
    </row>
    <row r="6" spans="1:16" s="2" customFormat="1" ht="13.5" customHeight="1" x14ac:dyDescent="0.2">
      <c r="A6" s="17" t="s">
        <v>46</v>
      </c>
      <c r="B6" s="18" t="s">
        <v>37</v>
      </c>
      <c r="C6" s="19"/>
      <c r="D6" s="19"/>
      <c r="E6" s="20"/>
      <c r="F6" s="20"/>
      <c r="G6" s="78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B7" s="15" t="s">
        <v>6</v>
      </c>
      <c r="C7" s="16" t="s">
        <v>38</v>
      </c>
      <c r="D7" s="3"/>
      <c r="E7" s="13"/>
      <c r="F7" s="13"/>
      <c r="G7" s="79"/>
    </row>
    <row r="8" spans="1:16" ht="24" x14ac:dyDescent="0.2">
      <c r="B8" s="15" t="s">
        <v>20</v>
      </c>
      <c r="C8" s="16" t="s">
        <v>39</v>
      </c>
      <c r="D8" s="3"/>
      <c r="E8" s="13"/>
      <c r="F8" s="13"/>
      <c r="G8" s="79"/>
    </row>
    <row r="9" spans="1:16" x14ac:dyDescent="0.2">
      <c r="B9" s="15" t="s">
        <v>21</v>
      </c>
      <c r="C9" s="16" t="s">
        <v>23</v>
      </c>
      <c r="D9" s="3"/>
      <c r="E9" s="13"/>
      <c r="F9" s="13"/>
      <c r="G9" s="79"/>
    </row>
    <row r="10" spans="1:16" x14ac:dyDescent="0.2">
      <c r="B10" s="15" t="s">
        <v>11</v>
      </c>
      <c r="C10" s="16" t="s">
        <v>22</v>
      </c>
      <c r="D10" s="3"/>
      <c r="E10" s="13"/>
      <c r="F10" s="13"/>
      <c r="G10" s="79"/>
      <c r="H10" s="36"/>
      <c r="I10" s="36"/>
      <c r="J10" s="36"/>
      <c r="K10" s="36"/>
      <c r="L10" s="36"/>
      <c r="M10" s="36"/>
      <c r="N10" s="36"/>
      <c r="O10" s="36"/>
      <c r="P10" s="36"/>
    </row>
    <row r="11" spans="1:16" ht="60" x14ac:dyDescent="0.2">
      <c r="B11" s="15" t="s">
        <v>7</v>
      </c>
      <c r="C11" s="37" t="s">
        <v>62</v>
      </c>
      <c r="D11" s="3"/>
      <c r="E11" s="13"/>
      <c r="F11" s="13"/>
      <c r="G11" s="79"/>
      <c r="H11" s="2"/>
      <c r="I11" s="2"/>
      <c r="J11" s="2"/>
      <c r="K11" s="2"/>
      <c r="L11" s="2"/>
      <c r="M11" s="2"/>
      <c r="N11" s="2"/>
      <c r="O11" s="2"/>
      <c r="P11" s="2"/>
    </row>
    <row r="12" spans="1:16" ht="72" x14ac:dyDescent="0.2">
      <c r="B12" s="15" t="s">
        <v>8</v>
      </c>
      <c r="C12" s="64" t="s">
        <v>84</v>
      </c>
      <c r="D12" s="3"/>
      <c r="E12" s="13"/>
      <c r="F12" s="13"/>
      <c r="G12" s="79"/>
    </row>
    <row r="13" spans="1:16" s="36" customFormat="1" ht="13.5" customHeight="1" x14ac:dyDescent="0.2">
      <c r="A13" s="35"/>
      <c r="B13" s="15" t="s">
        <v>9</v>
      </c>
      <c r="C13" s="16" t="s">
        <v>24</v>
      </c>
      <c r="D13" s="14" t="s">
        <v>13</v>
      </c>
      <c r="E13" s="34">
        <v>56</v>
      </c>
      <c r="F13" s="13">
        <v>69.38</v>
      </c>
      <c r="G13" s="79">
        <f t="shared" ref="G13" si="0">E13*F13</f>
        <v>3885.2799999999997</v>
      </c>
      <c r="H13" s="86"/>
      <c r="I13" s="1"/>
      <c r="J13" s="1"/>
      <c r="K13" s="1"/>
      <c r="L13" s="1"/>
      <c r="M13" s="1"/>
      <c r="N13" s="1"/>
      <c r="O13" s="1"/>
      <c r="P13" s="1"/>
    </row>
    <row r="14" spans="1:16" s="54" customFormat="1" ht="13.5" customHeight="1" x14ac:dyDescent="0.2">
      <c r="A14" s="49" t="s">
        <v>47</v>
      </c>
      <c r="B14" s="50" t="s">
        <v>43</v>
      </c>
      <c r="C14" s="51"/>
      <c r="D14" s="51"/>
      <c r="E14" s="52"/>
      <c r="F14" s="52"/>
      <c r="G14" s="80"/>
      <c r="H14" s="53"/>
      <c r="I14" s="53"/>
      <c r="J14" s="53"/>
      <c r="K14" s="53"/>
      <c r="L14" s="53"/>
      <c r="M14" s="53"/>
      <c r="N14" s="53"/>
      <c r="O14" s="53"/>
      <c r="P14" s="53"/>
    </row>
    <row r="15" spans="1:16" x14ac:dyDescent="0.2">
      <c r="B15" s="15" t="s">
        <v>6</v>
      </c>
      <c r="C15" s="16" t="s">
        <v>38</v>
      </c>
      <c r="D15" s="3"/>
      <c r="E15" s="13"/>
      <c r="F15" s="13"/>
      <c r="G15" s="79"/>
    </row>
    <row r="16" spans="1:16" ht="24" x14ac:dyDescent="0.2">
      <c r="B16" s="15" t="s">
        <v>20</v>
      </c>
      <c r="C16" s="16" t="s">
        <v>33</v>
      </c>
      <c r="D16" s="3"/>
      <c r="E16" s="13"/>
      <c r="F16" s="13"/>
      <c r="G16" s="79"/>
    </row>
    <row r="17" spans="1:16" x14ac:dyDescent="0.2">
      <c r="B17" s="15" t="s">
        <v>21</v>
      </c>
      <c r="C17" s="16" t="s">
        <v>23</v>
      </c>
      <c r="D17" s="3"/>
      <c r="E17" s="13"/>
      <c r="F17" s="13"/>
      <c r="G17" s="79"/>
    </row>
    <row r="18" spans="1:16" x14ac:dyDescent="0.2">
      <c r="B18" s="15" t="s">
        <v>11</v>
      </c>
      <c r="C18" s="16" t="s">
        <v>22</v>
      </c>
      <c r="D18" s="3"/>
      <c r="E18" s="13"/>
      <c r="F18" s="13"/>
      <c r="G18" s="79"/>
      <c r="H18" s="36"/>
      <c r="I18" s="36"/>
      <c r="J18" s="36"/>
      <c r="K18" s="36"/>
      <c r="L18" s="36"/>
      <c r="M18" s="36"/>
      <c r="N18" s="36"/>
      <c r="O18" s="36"/>
      <c r="P18" s="36"/>
    </row>
    <row r="19" spans="1:16" ht="60" x14ac:dyDescent="0.2">
      <c r="B19" s="15" t="s">
        <v>7</v>
      </c>
      <c r="C19" s="60" t="s">
        <v>71</v>
      </c>
      <c r="D19" s="3"/>
      <c r="E19" s="13"/>
      <c r="F19" s="13"/>
      <c r="G19" s="79"/>
      <c r="H19" s="2"/>
      <c r="I19" s="2"/>
      <c r="J19" s="2"/>
      <c r="K19" s="2"/>
      <c r="L19" s="2"/>
      <c r="M19" s="2"/>
      <c r="N19" s="2"/>
      <c r="O19" s="2"/>
      <c r="P19" s="2"/>
    </row>
    <row r="20" spans="1:16" ht="72" x14ac:dyDescent="0.2">
      <c r="B20" s="15" t="s">
        <v>8</v>
      </c>
      <c r="C20" s="64" t="s">
        <v>84</v>
      </c>
      <c r="D20" s="3"/>
      <c r="E20" s="13"/>
      <c r="F20" s="13"/>
      <c r="G20" s="79"/>
    </row>
    <row r="21" spans="1:16" s="36" customFormat="1" ht="13.5" customHeight="1" x14ac:dyDescent="0.2">
      <c r="A21" s="35"/>
      <c r="B21" s="15" t="s">
        <v>9</v>
      </c>
      <c r="C21" s="16" t="s">
        <v>24</v>
      </c>
      <c r="D21" s="14" t="s">
        <v>13</v>
      </c>
      <c r="E21" s="55">
        <v>1210</v>
      </c>
      <c r="F21" s="13">
        <v>75.510000000000005</v>
      </c>
      <c r="G21" s="79">
        <f t="shared" ref="G21" si="1">E21*F21</f>
        <v>91367.1</v>
      </c>
      <c r="H21" s="86"/>
      <c r="I21" s="1"/>
      <c r="J21" s="1"/>
      <c r="K21" s="1"/>
      <c r="L21" s="1"/>
      <c r="M21" s="1"/>
      <c r="N21" s="1"/>
      <c r="O21" s="1"/>
      <c r="P21" s="1"/>
    </row>
    <row r="22" spans="1:16" s="54" customFormat="1" ht="13.5" customHeight="1" x14ac:dyDescent="0.2">
      <c r="A22" s="49" t="s">
        <v>48</v>
      </c>
      <c r="B22" s="50" t="s">
        <v>43</v>
      </c>
      <c r="C22" s="51"/>
      <c r="D22" s="51"/>
      <c r="E22" s="52"/>
      <c r="F22" s="52"/>
      <c r="G22" s="80"/>
      <c r="H22" s="53"/>
    </row>
    <row r="23" spans="1:16" s="53" customFormat="1" x14ac:dyDescent="0.2">
      <c r="A23" s="56"/>
      <c r="B23" s="57" t="s">
        <v>6</v>
      </c>
      <c r="C23" s="48" t="s">
        <v>38</v>
      </c>
      <c r="D23" s="58"/>
      <c r="E23" s="59"/>
      <c r="F23" s="59"/>
      <c r="G23" s="81"/>
    </row>
    <row r="24" spans="1:16" s="53" customFormat="1" ht="24" x14ac:dyDescent="0.2">
      <c r="A24" s="56"/>
      <c r="B24" s="57" t="s">
        <v>20</v>
      </c>
      <c r="C24" s="48" t="s">
        <v>72</v>
      </c>
      <c r="D24" s="58"/>
      <c r="E24" s="59"/>
      <c r="F24" s="59"/>
      <c r="G24" s="81"/>
    </row>
    <row r="25" spans="1:16" s="53" customFormat="1" x14ac:dyDescent="0.2">
      <c r="A25" s="56"/>
      <c r="B25" s="57" t="s">
        <v>21</v>
      </c>
      <c r="C25" s="48" t="s">
        <v>23</v>
      </c>
      <c r="D25" s="58"/>
      <c r="E25" s="59"/>
      <c r="F25" s="59"/>
      <c r="G25" s="81"/>
    </row>
    <row r="26" spans="1:16" s="53" customFormat="1" x14ac:dyDescent="0.2">
      <c r="A26" s="56"/>
      <c r="B26" s="57" t="s">
        <v>11</v>
      </c>
      <c r="C26" s="48" t="s">
        <v>22</v>
      </c>
      <c r="D26" s="58"/>
      <c r="E26" s="59"/>
      <c r="F26" s="59"/>
      <c r="G26" s="81"/>
    </row>
    <row r="27" spans="1:16" s="53" customFormat="1" ht="60" x14ac:dyDescent="0.2">
      <c r="A27" s="56"/>
      <c r="B27" s="57" t="s">
        <v>7</v>
      </c>
      <c r="C27" s="60" t="s">
        <v>73</v>
      </c>
      <c r="D27" s="58"/>
      <c r="E27" s="59"/>
      <c r="F27" s="59"/>
      <c r="G27" s="81"/>
      <c r="H27" s="61"/>
    </row>
    <row r="28" spans="1:16" s="53" customFormat="1" ht="72" x14ac:dyDescent="0.2">
      <c r="A28" s="56"/>
      <c r="B28" s="57" t="s">
        <v>8</v>
      </c>
      <c r="C28" s="64" t="s">
        <v>84</v>
      </c>
      <c r="D28" s="58"/>
      <c r="E28" s="59"/>
      <c r="F28" s="59"/>
      <c r="G28" s="81"/>
      <c r="H28" s="54"/>
    </row>
    <row r="29" spans="1:16" s="61" customFormat="1" ht="13.5" customHeight="1" x14ac:dyDescent="0.2">
      <c r="A29" s="62"/>
      <c r="B29" s="57" t="s">
        <v>9</v>
      </c>
      <c r="C29" s="48" t="s">
        <v>24</v>
      </c>
      <c r="D29" s="63" t="s">
        <v>13</v>
      </c>
      <c r="E29" s="55">
        <v>180</v>
      </c>
      <c r="F29" s="59">
        <v>79.62</v>
      </c>
      <c r="G29" s="81">
        <f t="shared" ref="G29" si="2">E29*F29</f>
        <v>14331.6</v>
      </c>
      <c r="H29" s="53"/>
    </row>
    <row r="30" spans="1:16" s="2" customFormat="1" ht="13.5" customHeight="1" x14ac:dyDescent="0.2">
      <c r="A30" s="17" t="s">
        <v>49</v>
      </c>
      <c r="B30" s="18" t="s">
        <v>37</v>
      </c>
      <c r="C30" s="19"/>
      <c r="D30" s="19"/>
      <c r="E30" s="20"/>
      <c r="F30" s="20"/>
      <c r="G30" s="78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">
      <c r="B31" s="15" t="s">
        <v>6</v>
      </c>
      <c r="C31" s="16" t="s">
        <v>38</v>
      </c>
      <c r="D31" s="3"/>
      <c r="E31" s="13"/>
      <c r="F31" s="13"/>
      <c r="G31" s="79"/>
    </row>
    <row r="32" spans="1:16" ht="24" x14ac:dyDescent="0.2">
      <c r="B32" s="15" t="s">
        <v>20</v>
      </c>
      <c r="C32" s="16" t="s">
        <v>40</v>
      </c>
      <c r="D32" s="3"/>
      <c r="E32" s="13"/>
      <c r="F32" s="13"/>
      <c r="G32" s="79"/>
    </row>
    <row r="33" spans="1:16" x14ac:dyDescent="0.2">
      <c r="B33" s="15" t="s">
        <v>21</v>
      </c>
      <c r="C33" s="16" t="s">
        <v>23</v>
      </c>
      <c r="D33" s="3"/>
      <c r="E33" s="13"/>
      <c r="F33" s="13"/>
      <c r="G33" s="79"/>
    </row>
    <row r="34" spans="1:16" x14ac:dyDescent="0.2">
      <c r="B34" s="15" t="s">
        <v>11</v>
      </c>
      <c r="C34" s="16" t="s">
        <v>22</v>
      </c>
      <c r="D34" s="3"/>
      <c r="E34" s="13"/>
      <c r="F34" s="13"/>
      <c r="G34" s="79"/>
      <c r="H34" s="36"/>
      <c r="I34" s="36"/>
      <c r="J34" s="36"/>
      <c r="K34" s="36"/>
      <c r="L34" s="36"/>
      <c r="M34" s="36"/>
      <c r="N34" s="36"/>
      <c r="O34" s="36"/>
      <c r="P34" s="36"/>
    </row>
    <row r="35" spans="1:16" ht="36" x14ac:dyDescent="0.2">
      <c r="B35" s="15" t="s">
        <v>7</v>
      </c>
      <c r="C35" s="37" t="s">
        <v>63</v>
      </c>
      <c r="D35" s="3"/>
      <c r="E35" s="13"/>
      <c r="F35" s="13"/>
      <c r="G35" s="79"/>
      <c r="H35" s="2"/>
      <c r="I35" s="2"/>
      <c r="J35" s="2"/>
      <c r="K35" s="2"/>
      <c r="L35" s="2"/>
      <c r="M35" s="2"/>
      <c r="N35" s="2"/>
      <c r="O35" s="2"/>
      <c r="P35" s="2"/>
    </row>
    <row r="36" spans="1:16" ht="72" x14ac:dyDescent="0.2">
      <c r="B36" s="15" t="s">
        <v>8</v>
      </c>
      <c r="C36" s="64" t="s">
        <v>84</v>
      </c>
      <c r="D36" s="3"/>
      <c r="E36" s="13"/>
      <c r="F36" s="13"/>
      <c r="G36" s="79"/>
    </row>
    <row r="37" spans="1:16" s="36" customFormat="1" ht="13.5" customHeight="1" x14ac:dyDescent="0.2">
      <c r="A37" s="35"/>
      <c r="B37" s="15" t="s">
        <v>9</v>
      </c>
      <c r="C37" s="16" t="s">
        <v>24</v>
      </c>
      <c r="D37" s="14" t="s">
        <v>13</v>
      </c>
      <c r="E37" s="34">
        <v>370</v>
      </c>
      <c r="F37" s="13">
        <v>83.72</v>
      </c>
      <c r="G37" s="79">
        <f t="shared" ref="G37" si="3">E37*F37</f>
        <v>30976.399999999998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s="2" customFormat="1" ht="13.5" customHeight="1" x14ac:dyDescent="0.2">
      <c r="A38" s="17" t="s">
        <v>50</v>
      </c>
      <c r="B38" s="18" t="s">
        <v>43</v>
      </c>
      <c r="C38" s="19"/>
      <c r="D38" s="19"/>
      <c r="E38" s="20"/>
      <c r="F38" s="20"/>
      <c r="G38" s="78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B39" s="15" t="s">
        <v>6</v>
      </c>
      <c r="C39" s="16" t="s">
        <v>38</v>
      </c>
      <c r="D39" s="3"/>
      <c r="E39" s="13"/>
      <c r="F39" s="13"/>
      <c r="G39" s="79"/>
    </row>
    <row r="40" spans="1:16" ht="24" x14ac:dyDescent="0.2">
      <c r="B40" s="15" t="s">
        <v>20</v>
      </c>
      <c r="C40" s="16" t="s">
        <v>53</v>
      </c>
      <c r="D40" s="3"/>
      <c r="E40" s="13"/>
      <c r="F40" s="13"/>
      <c r="G40" s="79"/>
    </row>
    <row r="41" spans="1:16" x14ac:dyDescent="0.2">
      <c r="B41" s="15" t="s">
        <v>21</v>
      </c>
      <c r="C41" s="16" t="s">
        <v>23</v>
      </c>
      <c r="D41" s="3"/>
      <c r="E41" s="13"/>
      <c r="F41" s="13"/>
      <c r="G41" s="79"/>
    </row>
    <row r="42" spans="1:16" x14ac:dyDescent="0.2">
      <c r="B42" s="15" t="s">
        <v>11</v>
      </c>
      <c r="C42" s="16" t="s">
        <v>22</v>
      </c>
      <c r="D42" s="3"/>
      <c r="E42" s="13"/>
      <c r="F42" s="13"/>
      <c r="G42" s="79"/>
      <c r="H42" s="36"/>
      <c r="I42" s="36"/>
      <c r="J42" s="36"/>
      <c r="K42" s="36"/>
      <c r="L42" s="36"/>
      <c r="M42" s="36"/>
      <c r="N42" s="36"/>
      <c r="O42" s="36"/>
      <c r="P42" s="36"/>
    </row>
    <row r="43" spans="1:16" ht="36" x14ac:dyDescent="0.2">
      <c r="B43" s="15" t="s">
        <v>7</v>
      </c>
      <c r="C43" s="37" t="s">
        <v>67</v>
      </c>
      <c r="D43" s="3"/>
      <c r="E43" s="13"/>
      <c r="F43" s="13"/>
      <c r="G43" s="79"/>
      <c r="H43" s="2"/>
      <c r="I43" s="2"/>
      <c r="J43" s="2"/>
      <c r="K43" s="2"/>
      <c r="L43" s="2"/>
      <c r="M43" s="2"/>
      <c r="N43" s="2"/>
      <c r="O43" s="2"/>
      <c r="P43" s="2"/>
    </row>
    <row r="44" spans="1:16" ht="72" x14ac:dyDescent="0.2">
      <c r="B44" s="15" t="s">
        <v>8</v>
      </c>
      <c r="C44" s="64" t="s">
        <v>85</v>
      </c>
      <c r="D44" s="3"/>
      <c r="E44" s="13"/>
      <c r="F44" s="13"/>
      <c r="G44" s="79"/>
    </row>
    <row r="45" spans="1:16" s="36" customFormat="1" ht="13.5" customHeight="1" x14ac:dyDescent="0.2">
      <c r="A45" s="35"/>
      <c r="B45" s="15" t="s">
        <v>9</v>
      </c>
      <c r="C45" s="16" t="s">
        <v>24</v>
      </c>
      <c r="D45" s="14" t="s">
        <v>13</v>
      </c>
      <c r="E45" s="34">
        <v>784</v>
      </c>
      <c r="F45" s="13">
        <v>55.84</v>
      </c>
      <c r="G45" s="79">
        <f t="shared" ref="G45" si="4">E45*F45</f>
        <v>43778.560000000005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s="54" customFormat="1" ht="13.5" customHeight="1" x14ac:dyDescent="0.2">
      <c r="A46" s="49" t="s">
        <v>51</v>
      </c>
      <c r="B46" s="50" t="s">
        <v>43</v>
      </c>
      <c r="C46" s="51"/>
      <c r="D46" s="51"/>
      <c r="E46" s="52"/>
      <c r="F46" s="52"/>
      <c r="G46" s="80"/>
      <c r="H46" s="53"/>
      <c r="I46" s="53"/>
      <c r="J46" s="53"/>
      <c r="K46" s="53"/>
      <c r="L46" s="53"/>
      <c r="M46" s="53"/>
      <c r="N46" s="53"/>
      <c r="O46" s="53"/>
      <c r="P46" s="53"/>
    </row>
    <row r="47" spans="1:16" x14ac:dyDescent="0.2">
      <c r="B47" s="15" t="s">
        <v>6</v>
      </c>
      <c r="C47" s="16" t="s">
        <v>38</v>
      </c>
      <c r="D47" s="3"/>
      <c r="E47" s="13"/>
      <c r="F47" s="13"/>
      <c r="G47" s="79"/>
    </row>
    <row r="48" spans="1:16" ht="24" x14ac:dyDescent="0.2">
      <c r="B48" s="15" t="s">
        <v>20</v>
      </c>
      <c r="C48" s="16" t="s">
        <v>45</v>
      </c>
      <c r="D48" s="3"/>
      <c r="E48" s="13"/>
      <c r="F48" s="13"/>
      <c r="G48" s="79"/>
    </row>
    <row r="49" spans="1:16" x14ac:dyDescent="0.2">
      <c r="B49" s="15" t="s">
        <v>21</v>
      </c>
      <c r="C49" s="16" t="s">
        <v>23</v>
      </c>
      <c r="D49" s="3"/>
      <c r="E49" s="13"/>
      <c r="F49" s="13"/>
      <c r="G49" s="79"/>
    </row>
    <row r="50" spans="1:16" x14ac:dyDescent="0.2">
      <c r="B50" s="15" t="s">
        <v>11</v>
      </c>
      <c r="C50" s="16" t="s">
        <v>22</v>
      </c>
      <c r="D50" s="3"/>
      <c r="E50" s="13"/>
      <c r="F50" s="13"/>
      <c r="G50" s="79"/>
      <c r="H50" s="36"/>
      <c r="I50" s="36"/>
      <c r="J50" s="36"/>
      <c r="K50" s="36"/>
      <c r="L50" s="36"/>
      <c r="M50" s="36"/>
      <c r="N50" s="36"/>
      <c r="O50" s="36"/>
      <c r="P50" s="36"/>
    </row>
    <row r="51" spans="1:16" ht="36" x14ac:dyDescent="0.2">
      <c r="B51" s="15" t="s">
        <v>7</v>
      </c>
      <c r="C51" s="37" t="s">
        <v>68</v>
      </c>
      <c r="D51" s="3"/>
      <c r="E51" s="13"/>
      <c r="F51" s="13"/>
      <c r="G51" s="79"/>
      <c r="H51" s="2"/>
      <c r="I51" s="2"/>
      <c r="J51" s="2"/>
      <c r="K51" s="2"/>
      <c r="L51" s="2"/>
      <c r="M51" s="2"/>
      <c r="N51" s="2"/>
      <c r="O51" s="2"/>
      <c r="P51" s="2"/>
    </row>
    <row r="52" spans="1:16" ht="72" x14ac:dyDescent="0.2">
      <c r="B52" s="15" t="s">
        <v>8</v>
      </c>
      <c r="C52" s="64" t="s">
        <v>85</v>
      </c>
      <c r="D52" s="3"/>
      <c r="E52" s="13"/>
      <c r="F52" s="13"/>
      <c r="G52" s="79"/>
    </row>
    <row r="53" spans="1:16" s="36" customFormat="1" ht="13.5" customHeight="1" x14ac:dyDescent="0.2">
      <c r="A53" s="35"/>
      <c r="B53" s="15" t="s">
        <v>9</v>
      </c>
      <c r="C53" s="16" t="s">
        <v>24</v>
      </c>
      <c r="D53" s="14" t="s">
        <v>13</v>
      </c>
      <c r="E53" s="55">
        <v>3774</v>
      </c>
      <c r="F53" s="13">
        <v>58.97</v>
      </c>
      <c r="G53" s="79">
        <f t="shared" ref="G53" si="5">E53*F53</f>
        <v>222552.78</v>
      </c>
      <c r="H53" s="86"/>
      <c r="I53" s="1"/>
      <c r="J53" s="1"/>
      <c r="K53" s="1"/>
      <c r="L53" s="1"/>
      <c r="M53" s="1"/>
      <c r="N53" s="1"/>
      <c r="O53" s="1"/>
      <c r="P53" s="1"/>
    </row>
    <row r="54" spans="1:16" s="54" customFormat="1" ht="13.5" customHeight="1" x14ac:dyDescent="0.2">
      <c r="A54" s="49" t="s">
        <v>52</v>
      </c>
      <c r="B54" s="50" t="s">
        <v>43</v>
      </c>
      <c r="C54" s="51"/>
      <c r="D54" s="51"/>
      <c r="E54" s="52"/>
      <c r="F54" s="52"/>
      <c r="G54" s="80"/>
      <c r="H54" s="53"/>
    </row>
    <row r="55" spans="1:16" s="53" customFormat="1" x14ac:dyDescent="0.2">
      <c r="A55" s="56"/>
      <c r="B55" s="57" t="s">
        <v>6</v>
      </c>
      <c r="C55" s="48" t="s">
        <v>38</v>
      </c>
      <c r="D55" s="58"/>
      <c r="E55" s="59"/>
      <c r="F55" s="59"/>
      <c r="G55" s="81"/>
    </row>
    <row r="56" spans="1:16" s="53" customFormat="1" ht="24" x14ac:dyDescent="0.2">
      <c r="A56" s="56"/>
      <c r="B56" s="57" t="s">
        <v>20</v>
      </c>
      <c r="C56" s="48" t="s">
        <v>69</v>
      </c>
      <c r="D56" s="58"/>
      <c r="E56" s="59"/>
      <c r="F56" s="59"/>
      <c r="G56" s="81"/>
    </row>
    <row r="57" spans="1:16" s="53" customFormat="1" x14ac:dyDescent="0.2">
      <c r="A57" s="56"/>
      <c r="B57" s="57" t="s">
        <v>21</v>
      </c>
      <c r="C57" s="48" t="s">
        <v>23</v>
      </c>
      <c r="D57" s="58"/>
      <c r="E57" s="59"/>
      <c r="F57" s="59"/>
      <c r="G57" s="81"/>
    </row>
    <row r="58" spans="1:16" s="53" customFormat="1" x14ac:dyDescent="0.2">
      <c r="A58" s="56"/>
      <c r="B58" s="57" t="s">
        <v>11</v>
      </c>
      <c r="C58" s="48" t="s">
        <v>22</v>
      </c>
      <c r="D58" s="58"/>
      <c r="E58" s="59"/>
      <c r="F58" s="59"/>
      <c r="G58" s="81"/>
    </row>
    <row r="59" spans="1:16" s="53" customFormat="1" ht="24" x14ac:dyDescent="0.2">
      <c r="A59" s="56"/>
      <c r="B59" s="57" t="s">
        <v>7</v>
      </c>
      <c r="C59" s="60" t="s">
        <v>70</v>
      </c>
      <c r="D59" s="58"/>
      <c r="E59" s="59"/>
      <c r="F59" s="59"/>
      <c r="G59" s="81"/>
      <c r="H59" s="61"/>
    </row>
    <row r="60" spans="1:16" s="53" customFormat="1" ht="72" x14ac:dyDescent="0.2">
      <c r="A60" s="56"/>
      <c r="B60" s="57" t="s">
        <v>8</v>
      </c>
      <c r="C60" s="64" t="s">
        <v>85</v>
      </c>
      <c r="D60" s="58"/>
      <c r="E60" s="59"/>
      <c r="F60" s="59"/>
      <c r="G60" s="81"/>
      <c r="H60" s="54"/>
    </row>
    <row r="61" spans="1:16" s="61" customFormat="1" ht="13.5" customHeight="1" x14ac:dyDescent="0.2">
      <c r="A61" s="62"/>
      <c r="B61" s="57" t="s">
        <v>9</v>
      </c>
      <c r="C61" s="48" t="s">
        <v>24</v>
      </c>
      <c r="D61" s="63" t="s">
        <v>13</v>
      </c>
      <c r="E61" s="55">
        <v>250</v>
      </c>
      <c r="F61" s="59">
        <v>62.37</v>
      </c>
      <c r="G61" s="81">
        <f t="shared" ref="G61" si="6">E61*F61</f>
        <v>15592.5</v>
      </c>
      <c r="H61" s="53"/>
    </row>
    <row r="62" spans="1:16" s="2" customFormat="1" ht="13.5" customHeight="1" x14ac:dyDescent="0.2">
      <c r="A62" s="17" t="s">
        <v>54</v>
      </c>
      <c r="B62" s="18" t="s">
        <v>43</v>
      </c>
      <c r="C62" s="19"/>
      <c r="D62" s="19"/>
      <c r="E62" s="20"/>
      <c r="F62" s="20"/>
      <c r="G62" s="78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">
      <c r="B63" s="15" t="s">
        <v>6</v>
      </c>
      <c r="C63" s="16" t="s">
        <v>38</v>
      </c>
      <c r="D63" s="3"/>
      <c r="E63" s="13"/>
      <c r="F63" s="13"/>
      <c r="G63" s="79"/>
    </row>
    <row r="64" spans="1:16" ht="36" x14ac:dyDescent="0.2">
      <c r="B64" s="15" t="s">
        <v>20</v>
      </c>
      <c r="C64" s="16" t="s">
        <v>57</v>
      </c>
      <c r="D64" s="3"/>
      <c r="E64" s="13"/>
      <c r="F64" s="13"/>
      <c r="G64" s="79"/>
    </row>
    <row r="65" spans="1:16" x14ac:dyDescent="0.2">
      <c r="B65" s="15" t="s">
        <v>21</v>
      </c>
      <c r="C65" s="16" t="s">
        <v>23</v>
      </c>
      <c r="D65" s="3"/>
      <c r="E65" s="13"/>
      <c r="F65" s="13"/>
      <c r="G65" s="79"/>
    </row>
    <row r="66" spans="1:16" x14ac:dyDescent="0.2">
      <c r="B66" s="15" t="s">
        <v>11</v>
      </c>
      <c r="C66" s="16" t="s">
        <v>22</v>
      </c>
      <c r="D66" s="3"/>
      <c r="E66" s="13"/>
      <c r="F66" s="13"/>
      <c r="G66" s="79"/>
      <c r="H66" s="36"/>
      <c r="I66" s="36"/>
      <c r="J66" s="36"/>
      <c r="K66" s="36"/>
      <c r="L66" s="36"/>
      <c r="M66" s="36"/>
      <c r="N66" s="36"/>
      <c r="O66" s="36"/>
      <c r="P66" s="36"/>
    </row>
    <row r="67" spans="1:16" ht="48" x14ac:dyDescent="0.2">
      <c r="B67" s="15" t="s">
        <v>7</v>
      </c>
      <c r="C67" s="37" t="s">
        <v>60</v>
      </c>
      <c r="D67" s="3"/>
      <c r="E67" s="13"/>
      <c r="F67" s="13"/>
      <c r="G67" s="79"/>
      <c r="H67" s="36"/>
      <c r="I67" s="36"/>
      <c r="J67" s="36"/>
      <c r="K67" s="36"/>
      <c r="L67" s="36"/>
      <c r="M67" s="36"/>
      <c r="N67" s="36"/>
      <c r="O67" s="36"/>
      <c r="P67" s="36"/>
    </row>
    <row r="68" spans="1:16" ht="60" x14ac:dyDescent="0.2">
      <c r="B68" s="15" t="s">
        <v>8</v>
      </c>
      <c r="C68" s="64" t="s">
        <v>89</v>
      </c>
      <c r="D68" s="3"/>
      <c r="E68" s="13"/>
      <c r="F68" s="13"/>
      <c r="G68" s="79"/>
      <c r="H68" s="47"/>
      <c r="I68" s="44"/>
      <c r="J68" s="44"/>
      <c r="K68" s="44"/>
      <c r="L68" s="44"/>
      <c r="M68" s="44"/>
      <c r="N68" s="44"/>
      <c r="O68" s="44"/>
      <c r="P68" s="44"/>
    </row>
    <row r="69" spans="1:16" s="36" customFormat="1" ht="13.5" customHeight="1" x14ac:dyDescent="0.2">
      <c r="A69" s="35"/>
      <c r="B69" s="15" t="s">
        <v>9</v>
      </c>
      <c r="C69" s="16" t="s">
        <v>24</v>
      </c>
      <c r="D69" s="14" t="s">
        <v>13</v>
      </c>
      <c r="E69" s="34">
        <v>170</v>
      </c>
      <c r="F69" s="13">
        <v>52.78</v>
      </c>
      <c r="G69" s="79">
        <f t="shared" ref="G69" si="7">E69*F69</f>
        <v>8972.6</v>
      </c>
      <c r="H69" s="2"/>
      <c r="I69" s="44"/>
      <c r="J69" s="44"/>
      <c r="K69" s="44"/>
      <c r="L69" s="44"/>
      <c r="M69" s="44"/>
      <c r="N69" s="44"/>
      <c r="O69" s="44"/>
      <c r="P69" s="44"/>
    </row>
    <row r="70" spans="1:16" s="54" customFormat="1" ht="13.5" customHeight="1" x14ac:dyDescent="0.2">
      <c r="A70" s="49" t="s">
        <v>56</v>
      </c>
      <c r="B70" s="50" t="s">
        <v>43</v>
      </c>
      <c r="C70" s="51"/>
      <c r="D70" s="51"/>
      <c r="E70" s="52"/>
      <c r="F70" s="52"/>
      <c r="G70" s="80"/>
      <c r="H70" s="53"/>
      <c r="I70" s="53"/>
      <c r="J70" s="53"/>
      <c r="K70" s="53"/>
      <c r="L70" s="53"/>
      <c r="M70" s="53"/>
      <c r="N70" s="53"/>
      <c r="O70" s="53"/>
      <c r="P70" s="53"/>
    </row>
    <row r="71" spans="1:16" x14ac:dyDescent="0.2">
      <c r="B71" s="15" t="s">
        <v>6</v>
      </c>
      <c r="C71" s="16" t="s">
        <v>38</v>
      </c>
      <c r="D71" s="3"/>
      <c r="E71" s="13"/>
      <c r="F71" s="13"/>
      <c r="G71" s="79"/>
    </row>
    <row r="72" spans="1:16" ht="36" x14ac:dyDescent="0.2">
      <c r="B72" s="15" t="s">
        <v>20</v>
      </c>
      <c r="C72" s="16" t="s">
        <v>55</v>
      </c>
      <c r="D72" s="3"/>
      <c r="E72" s="13"/>
      <c r="F72" s="13"/>
      <c r="G72" s="79"/>
    </row>
    <row r="73" spans="1:16" x14ac:dyDescent="0.2">
      <c r="B73" s="15" t="s">
        <v>21</v>
      </c>
      <c r="C73" s="16" t="s">
        <v>23</v>
      </c>
      <c r="D73" s="3"/>
      <c r="E73" s="13"/>
      <c r="F73" s="13"/>
      <c r="G73" s="79"/>
    </row>
    <row r="74" spans="1:16" x14ac:dyDescent="0.2">
      <c r="B74" s="15" t="s">
        <v>11</v>
      </c>
      <c r="C74" s="16" t="s">
        <v>22</v>
      </c>
      <c r="D74" s="3"/>
      <c r="E74" s="13"/>
      <c r="F74" s="13"/>
      <c r="G74" s="79"/>
      <c r="H74" s="36"/>
      <c r="I74" s="36"/>
      <c r="J74" s="36"/>
      <c r="K74" s="36"/>
      <c r="L74" s="36"/>
      <c r="M74" s="36"/>
      <c r="N74" s="36"/>
      <c r="O74" s="36"/>
      <c r="P74" s="36"/>
    </row>
    <row r="75" spans="1:16" ht="72" x14ac:dyDescent="0.2">
      <c r="B75" s="15" t="s">
        <v>7</v>
      </c>
      <c r="C75" s="37" t="s">
        <v>66</v>
      </c>
      <c r="D75" s="3"/>
      <c r="E75" s="13"/>
      <c r="F75" s="13"/>
      <c r="G75" s="79"/>
      <c r="H75" s="2"/>
      <c r="I75" s="2"/>
      <c r="J75" s="2"/>
      <c r="K75" s="2"/>
      <c r="L75" s="2"/>
      <c r="M75" s="2"/>
      <c r="N75" s="2"/>
      <c r="O75" s="2"/>
      <c r="P75" s="2"/>
    </row>
    <row r="76" spans="1:16" ht="60" x14ac:dyDescent="0.2">
      <c r="B76" s="15" t="s">
        <v>8</v>
      </c>
      <c r="C76" s="64" t="s">
        <v>88</v>
      </c>
      <c r="D76" s="3"/>
      <c r="E76" s="13"/>
      <c r="F76" s="13"/>
      <c r="G76" s="79"/>
    </row>
    <row r="77" spans="1:16" s="36" customFormat="1" ht="13.5" customHeight="1" x14ac:dyDescent="0.2">
      <c r="A77" s="35"/>
      <c r="B77" s="15" t="s">
        <v>9</v>
      </c>
      <c r="C77" s="16" t="s">
        <v>24</v>
      </c>
      <c r="D77" s="14" t="s">
        <v>13</v>
      </c>
      <c r="E77" s="55">
        <v>380</v>
      </c>
      <c r="F77" s="13">
        <v>60.08</v>
      </c>
      <c r="G77" s="79">
        <f t="shared" ref="G77" si="8">E77*F77</f>
        <v>22830.399999999998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 s="54" customFormat="1" ht="13.5" customHeight="1" x14ac:dyDescent="0.2">
      <c r="A78" s="49" t="s">
        <v>58</v>
      </c>
      <c r="B78" s="50" t="s">
        <v>43</v>
      </c>
      <c r="C78" s="51"/>
      <c r="D78" s="51"/>
      <c r="E78" s="52"/>
      <c r="F78" s="52"/>
      <c r="G78" s="80"/>
      <c r="H78" s="53"/>
      <c r="I78" s="53"/>
      <c r="J78" s="53"/>
      <c r="K78" s="53"/>
      <c r="L78" s="53"/>
      <c r="M78" s="53"/>
      <c r="N78" s="53"/>
      <c r="O78" s="53"/>
      <c r="P78" s="53"/>
    </row>
    <row r="79" spans="1:16" x14ac:dyDescent="0.2">
      <c r="B79" s="15" t="s">
        <v>6</v>
      </c>
      <c r="C79" s="16" t="s">
        <v>38</v>
      </c>
      <c r="D79" s="3"/>
      <c r="E79" s="13"/>
      <c r="F79" s="13"/>
      <c r="G79" s="79"/>
    </row>
    <row r="80" spans="1:16" ht="36" x14ac:dyDescent="0.2">
      <c r="B80" s="15" t="s">
        <v>20</v>
      </c>
      <c r="C80" s="16" t="s">
        <v>44</v>
      </c>
      <c r="D80" s="3"/>
      <c r="E80" s="13"/>
      <c r="F80" s="13"/>
      <c r="G80" s="79"/>
    </row>
    <row r="81" spans="1:16" x14ac:dyDescent="0.2">
      <c r="B81" s="15" t="s">
        <v>21</v>
      </c>
      <c r="C81" s="16" t="s">
        <v>23</v>
      </c>
      <c r="D81" s="3"/>
      <c r="E81" s="13"/>
      <c r="F81" s="13"/>
      <c r="G81" s="79"/>
    </row>
    <row r="82" spans="1:16" x14ac:dyDescent="0.2">
      <c r="B82" s="15" t="s">
        <v>11</v>
      </c>
      <c r="C82" s="16" t="s">
        <v>22</v>
      </c>
      <c r="D82" s="3"/>
      <c r="E82" s="13"/>
      <c r="F82" s="13"/>
      <c r="G82" s="79"/>
      <c r="H82" s="36"/>
      <c r="I82" s="36"/>
      <c r="J82" s="36"/>
      <c r="K82" s="36"/>
      <c r="L82" s="36"/>
      <c r="M82" s="36"/>
      <c r="N82" s="36"/>
      <c r="O82" s="36"/>
      <c r="P82" s="36"/>
    </row>
    <row r="83" spans="1:16" ht="36" x14ac:dyDescent="0.2">
      <c r="B83" s="15" t="s">
        <v>7</v>
      </c>
      <c r="C83" s="37" t="s">
        <v>65</v>
      </c>
      <c r="D83" s="3"/>
      <c r="E83" s="13"/>
      <c r="F83" s="13"/>
      <c r="G83" s="79"/>
      <c r="H83" s="2"/>
      <c r="I83" s="2"/>
      <c r="J83" s="2"/>
      <c r="K83" s="2"/>
      <c r="L83" s="2"/>
      <c r="M83" s="2"/>
      <c r="N83" s="2"/>
      <c r="O83" s="2"/>
      <c r="P83" s="2"/>
    </row>
    <row r="84" spans="1:16" ht="60" x14ac:dyDescent="0.2">
      <c r="B84" s="15" t="s">
        <v>8</v>
      </c>
      <c r="C84" s="64" t="s">
        <v>88</v>
      </c>
      <c r="D84" s="3"/>
      <c r="E84" s="13"/>
      <c r="F84" s="13"/>
      <c r="G84" s="79"/>
    </row>
    <row r="85" spans="1:16" s="36" customFormat="1" ht="13.5" customHeight="1" x14ac:dyDescent="0.2">
      <c r="A85" s="35"/>
      <c r="B85" s="15" t="s">
        <v>9</v>
      </c>
      <c r="C85" s="16" t="s">
        <v>24</v>
      </c>
      <c r="D85" s="14" t="s">
        <v>13</v>
      </c>
      <c r="E85" s="55">
        <v>420</v>
      </c>
      <c r="F85" s="13">
        <v>68.37</v>
      </c>
      <c r="G85" s="79">
        <f t="shared" ref="G85" si="9">E85*F85</f>
        <v>28715.4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 s="54" customFormat="1" ht="13.5" customHeight="1" x14ac:dyDescent="0.2">
      <c r="A86" s="49" t="s">
        <v>59</v>
      </c>
      <c r="B86" s="50" t="s">
        <v>41</v>
      </c>
      <c r="C86" s="51"/>
      <c r="D86" s="51"/>
      <c r="E86" s="52"/>
      <c r="F86" s="52"/>
      <c r="G86" s="80"/>
      <c r="H86" s="53"/>
      <c r="I86" s="53"/>
      <c r="J86" s="53"/>
      <c r="K86" s="53"/>
      <c r="L86" s="53"/>
      <c r="M86" s="53"/>
      <c r="N86" s="53"/>
      <c r="O86" s="53"/>
      <c r="P86" s="53"/>
    </row>
    <row r="87" spans="1:16" ht="24" x14ac:dyDescent="0.2">
      <c r="B87" s="15" t="s">
        <v>6</v>
      </c>
      <c r="C87" s="16" t="s">
        <v>42</v>
      </c>
      <c r="D87" s="3"/>
      <c r="E87" s="13"/>
      <c r="F87" s="13"/>
      <c r="G87" s="79"/>
    </row>
    <row r="88" spans="1:16" x14ac:dyDescent="0.2">
      <c r="B88" s="15" t="s">
        <v>20</v>
      </c>
      <c r="C88" s="16" t="s">
        <v>10</v>
      </c>
      <c r="D88" s="3"/>
      <c r="E88" s="13"/>
      <c r="F88" s="13"/>
      <c r="G88" s="79"/>
    </row>
    <row r="89" spans="1:16" x14ac:dyDescent="0.2">
      <c r="B89" s="15" t="s">
        <v>21</v>
      </c>
      <c r="C89" s="16" t="s">
        <v>23</v>
      </c>
      <c r="D89" s="3"/>
      <c r="E89" s="13"/>
      <c r="F89" s="13"/>
      <c r="G89" s="79"/>
    </row>
    <row r="90" spans="1:16" x14ac:dyDescent="0.2">
      <c r="B90" s="15" t="s">
        <v>11</v>
      </c>
      <c r="C90" s="16" t="s">
        <v>22</v>
      </c>
      <c r="D90" s="3"/>
      <c r="E90" s="13"/>
      <c r="F90" s="13"/>
      <c r="G90" s="79"/>
      <c r="H90" s="36"/>
      <c r="I90" s="36"/>
      <c r="J90" s="36"/>
      <c r="K90" s="36"/>
      <c r="L90" s="36"/>
      <c r="M90" s="36"/>
      <c r="N90" s="36"/>
      <c r="O90" s="36"/>
      <c r="P90" s="36"/>
    </row>
    <row r="91" spans="1:16" ht="36" x14ac:dyDescent="0.2">
      <c r="B91" s="15" t="s">
        <v>7</v>
      </c>
      <c r="C91" s="37" t="s">
        <v>64</v>
      </c>
      <c r="D91" s="3"/>
      <c r="E91" s="13"/>
      <c r="F91" s="13"/>
      <c r="G91" s="79"/>
      <c r="H91" s="2"/>
      <c r="I91" s="2"/>
      <c r="J91" s="2"/>
      <c r="K91" s="2"/>
      <c r="L91" s="2"/>
      <c r="M91" s="2"/>
      <c r="N91" s="2"/>
      <c r="O91" s="2"/>
      <c r="P91" s="2"/>
    </row>
    <row r="92" spans="1:16" ht="48" x14ac:dyDescent="0.2">
      <c r="B92" s="15" t="s">
        <v>8</v>
      </c>
      <c r="C92" s="64" t="s">
        <v>86</v>
      </c>
      <c r="D92" s="3"/>
      <c r="E92" s="13"/>
      <c r="F92" s="13"/>
      <c r="G92" s="79"/>
    </row>
    <row r="93" spans="1:16" s="36" customFormat="1" ht="13.5" customHeight="1" x14ac:dyDescent="0.2">
      <c r="A93" s="35"/>
      <c r="B93" s="15" t="s">
        <v>9</v>
      </c>
      <c r="C93" s="16" t="s">
        <v>24</v>
      </c>
      <c r="D93" s="14" t="s">
        <v>13</v>
      </c>
      <c r="E93" s="55">
        <v>450</v>
      </c>
      <c r="F93" s="13">
        <v>33.9</v>
      </c>
      <c r="G93" s="79">
        <f t="shared" ref="G93" si="10">E93*F93</f>
        <v>15255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 s="36" customFormat="1" ht="33.75" customHeight="1" x14ac:dyDescent="0.2">
      <c r="A94" s="65" t="s">
        <v>77</v>
      </c>
      <c r="B94" s="66" t="s">
        <v>78</v>
      </c>
      <c r="C94" s="85" t="s">
        <v>87</v>
      </c>
      <c r="D94" s="14" t="s">
        <v>13</v>
      </c>
      <c r="E94" s="55">
        <f>E13+E21+E37+E29+E45+E53+E61+E69+E77+E85</f>
        <v>7594</v>
      </c>
      <c r="F94" s="13">
        <v>8.6</v>
      </c>
      <c r="G94" s="79">
        <f t="shared" ref="G94" si="11">E94*F94</f>
        <v>65308.399999999994</v>
      </c>
      <c r="H94" s="1"/>
      <c r="I94" s="2"/>
      <c r="J94" s="2"/>
      <c r="K94" s="2"/>
      <c r="L94" s="2"/>
      <c r="M94" s="2"/>
      <c r="N94" s="2"/>
      <c r="O94" s="2"/>
      <c r="P94" s="2"/>
    </row>
    <row r="95" spans="1:16" x14ac:dyDescent="0.2">
      <c r="A95" s="22"/>
      <c r="B95" s="23" t="s">
        <v>74</v>
      </c>
      <c r="C95" s="24"/>
      <c r="D95" s="24"/>
      <c r="E95" s="25"/>
      <c r="F95" s="25"/>
      <c r="G95" s="82">
        <f>SUM(G2:G94)</f>
        <v>563566.02</v>
      </c>
    </row>
    <row r="96" spans="1:16" ht="15" x14ac:dyDescent="0.25">
      <c r="B96" s="69" t="s">
        <v>83</v>
      </c>
      <c r="C96" s="70"/>
      <c r="D96" s="70"/>
      <c r="E96" s="71"/>
      <c r="F96" s="72">
        <v>0.04</v>
      </c>
      <c r="G96" s="83">
        <f>G95*F96</f>
        <v>22542.640800000001</v>
      </c>
    </row>
    <row r="97" spans="2:7" ht="15" x14ac:dyDescent="0.25">
      <c r="B97"/>
      <c r="C97"/>
      <c r="D97"/>
      <c r="E97" s="1"/>
      <c r="F97" s="73" t="s">
        <v>82</v>
      </c>
      <c r="G97" s="84">
        <f>G95-G96</f>
        <v>541023.37919999997</v>
      </c>
    </row>
    <row r="98" spans="2:7" ht="15" x14ac:dyDescent="0.25">
      <c r="B98"/>
      <c r="C98"/>
      <c r="D98"/>
      <c r="E98"/>
      <c r="F98"/>
      <c r="G98" s="84"/>
    </row>
    <row r="99" spans="2:7" ht="16.5" x14ac:dyDescent="0.35">
      <c r="B99" s="67" t="s">
        <v>81</v>
      </c>
    </row>
    <row r="100" spans="2:7" ht="16.5" x14ac:dyDescent="0.35">
      <c r="B100" s="67" t="s">
        <v>79</v>
      </c>
    </row>
    <row r="101" spans="2:7" ht="16.5" x14ac:dyDescent="0.35">
      <c r="B101" s="68" t="s">
        <v>80</v>
      </c>
    </row>
  </sheetData>
  <mergeCells count="1">
    <mergeCell ref="B4:C4"/>
  </mergeCells>
  <pageMargins left="0.70866141732283472" right="0.70866141732283472" top="1.3779527559055118" bottom="0.74803149606299213" header="0.59055118110236227" footer="0.39370078740157483"/>
  <pageSetup paperSize="9" scale="93" orientation="portrait" r:id="rId1"/>
  <headerFooter scaleWithDoc="0">
    <oddHeader>&amp;C&amp;"Helvetica,Bold"&amp;8VEĆA VIŠESTAMBENA GRAĐEVINA
2. dio - ZGRADA A
&amp;R&amp;"Helvetica,Regular"&amp;8lokacija: k.č. br. 2665/1
 k.o. Samobor
datum: srpanj 2025.</oddHeader>
    <oddFooter>&amp;L&amp;"Helvetica,Regular"&amp;8mapa: 01                 zop: 108/2023-DM&amp;C&amp;"Helvetica,Regular"&amp;8bp: 108/2023                     rev:06&amp;R&amp;"Helvetica,Regular"&amp;8list:&amp;P</oddFooter>
  </headerFooter>
  <rowBreaks count="5" manualBreakCount="5">
    <brk id="37" max="6" man="1"/>
    <brk id="45" max="6" man="1"/>
    <brk id="61" max="6" man="1"/>
    <brk id="69" max="6" man="1"/>
    <brk id="85" max="6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3.a.FASADERSKI-O.N.</vt:lpstr>
      <vt:lpstr>3.b.FASADERSKI-STAVKE</vt:lpstr>
      <vt:lpstr>'3.a.FASADERSKI-O.N.'!Print_Area</vt:lpstr>
      <vt:lpstr>'3.b.FASADERSKI-STAVKE'!Print_Area</vt:lpstr>
      <vt:lpstr>'3.b.FASADERSKI-STAVKE'!Print_Titles</vt:lpstr>
    </vt:vector>
  </TitlesOfParts>
  <Company>Urbane ideje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 Martinac</dc:creator>
  <cp:lastModifiedBy>Domagoj Bakšaj</cp:lastModifiedBy>
  <cp:lastPrinted>2025-09-04T09:54:54Z</cp:lastPrinted>
  <dcterms:created xsi:type="dcterms:W3CDTF">2024-02-21T13:34:32Z</dcterms:created>
  <dcterms:modified xsi:type="dcterms:W3CDTF">2025-09-29T11:49:51Z</dcterms:modified>
</cp:coreProperties>
</file>