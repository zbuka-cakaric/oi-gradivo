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inggrad-my.sharepoint.com/personal/branimir_brizar_ing-grad_hr/Documents/Desktop/PODUGOVARANJE - gradilista/VOKR/PODIZVODITELJI/ZIDARSKI RADOVI - ZBUKA/"/>
    </mc:Choice>
  </mc:AlternateContent>
  <xr:revisionPtr revIDLastSave="2" documentId="8_{3E21490A-24DD-4A38-981E-D38FF1A62096}" xr6:coauthVersionLast="47" xr6:coauthVersionMax="47" xr10:uidLastSave="{8885EAD6-014C-4F95-8FDC-49E9C2C9F0AD}"/>
  <bookViews>
    <workbookView xWindow="38280" yWindow="-120" windowWidth="38640" windowHeight="21120" activeTab="3" xr2:uid="{7C435124-B63A-4016-94ED-14BA4DC04FF2}"/>
  </bookViews>
  <sheets>
    <sheet name="rekapitulacija" sheetId="1" r:id="rId1"/>
    <sheet name="opci i posebni uvjeti" sheetId="2" r:id="rId2"/>
    <sheet name="preambule" sheetId="3" r:id="rId3"/>
    <sheet name="zidarski" sheetId="4" r:id="rId4"/>
  </sheets>
  <definedNames>
    <definedName name="_xlnm.Print_Area" localSheetId="1">'opci i posebni uvjeti'!$A$1:$C$91</definedName>
    <definedName name="_xlnm.Print_Area" localSheetId="2">preambule!$A$1:$F$1180</definedName>
    <definedName name="_xlnm.Print_Area" localSheetId="3">zidarski!$A$1:$F$129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7" i="4" l="1"/>
  <c r="F126" i="4"/>
  <c r="F125" i="4"/>
  <c r="F122" i="4"/>
  <c r="F119" i="4"/>
  <c r="F118" i="4"/>
  <c r="F115" i="4"/>
  <c r="F112" i="4"/>
  <c r="F109" i="4"/>
  <c r="F106" i="4"/>
  <c r="F103" i="4"/>
  <c r="F100" i="4"/>
  <c r="F97" i="4"/>
  <c r="F94" i="4"/>
  <c r="F91" i="4"/>
  <c r="F88" i="4"/>
  <c r="F85" i="4"/>
  <c r="F82" i="4"/>
  <c r="F79" i="4"/>
  <c r="F76" i="4"/>
  <c r="F73" i="4"/>
  <c r="F69" i="4"/>
  <c r="F66" i="4"/>
  <c r="F63" i="4"/>
  <c r="F60" i="4"/>
  <c r="F57" i="4"/>
  <c r="F54" i="4"/>
  <c r="F51" i="4"/>
  <c r="F46" i="4"/>
  <c r="F45" i="4"/>
  <c r="F42" i="4"/>
  <c r="F39" i="4"/>
  <c r="F38" i="4"/>
  <c r="F37" i="4"/>
  <c r="F34" i="4"/>
  <c r="F33" i="4"/>
  <c r="F32" i="4"/>
  <c r="F29" i="4"/>
  <c r="F28" i="4"/>
  <c r="F27" i="4"/>
  <c r="F24" i="4"/>
  <c r="F20" i="4"/>
  <c r="F16" i="4"/>
  <c r="F13" i="4"/>
  <c r="F10" i="4"/>
  <c r="F8" i="4"/>
  <c r="A7" i="4"/>
  <c r="A9" i="4" s="1"/>
  <c r="A12" i="4" s="1"/>
  <c r="A15" i="4" s="1"/>
  <c r="A18" i="4" s="1"/>
  <c r="A22" i="4" s="1"/>
  <c r="A26" i="4" s="1"/>
  <c r="A31" i="4" s="1"/>
  <c r="A36" i="4" s="1"/>
  <c r="A41" i="4" s="1"/>
  <c r="A44" i="4" s="1"/>
  <c r="A50" i="4" s="1"/>
  <c r="A53" i="4" s="1"/>
  <c r="A56" i="4" s="1"/>
  <c r="A59" i="4" s="1"/>
  <c r="A62" i="4" s="1"/>
  <c r="A65" i="4" s="1"/>
  <c r="A68" i="4" s="1"/>
  <c r="A72" i="4" s="1"/>
  <c r="A75" i="4" s="1"/>
  <c r="A78" i="4" s="1"/>
  <c r="A81" i="4" s="1"/>
  <c r="A84" i="4" s="1"/>
  <c r="A87" i="4" s="1"/>
  <c r="A90" i="4" s="1"/>
  <c r="A93" i="4" s="1"/>
  <c r="A96" i="4" s="1"/>
  <c r="A99" i="4" s="1"/>
  <c r="A102" i="4" s="1"/>
  <c r="A105" i="4" s="1"/>
  <c r="A108" i="4" s="1"/>
  <c r="A111" i="4" s="1"/>
  <c r="A114" i="4" s="1"/>
  <c r="A117" i="4" s="1"/>
  <c r="A121" i="4" s="1"/>
  <c r="A124" i="4" s="1"/>
  <c r="F129" i="4" l="1"/>
  <c r="E17" i="1" s="1"/>
  <c r="E23" i="1" s="1"/>
  <c r="E86" i="1"/>
  <c r="E88" i="1" l="1"/>
  <c r="E90" i="1" s="1"/>
  <c r="E92" i="1" s="1"/>
</calcChain>
</file>

<file path=xl/sharedStrings.xml><?xml version="1.0" encoding="utf-8"?>
<sst xmlns="http://schemas.openxmlformats.org/spreadsheetml/2006/main" count="852" uniqueCount="747">
  <si>
    <t xml:space="preserve"> R E K A P I T U L A C I J A </t>
  </si>
  <si>
    <t>A   GRAĐEVINSKI RADOVI</t>
  </si>
  <si>
    <t>A 1.</t>
  </si>
  <si>
    <t>Pripremni radovi</t>
  </si>
  <si>
    <t>A 2.</t>
  </si>
  <si>
    <t>Demontaže i rušenja</t>
  </si>
  <si>
    <t>A 3.</t>
  </si>
  <si>
    <t>Zemljani radovi</t>
  </si>
  <si>
    <t>A 4.</t>
  </si>
  <si>
    <t>Betonski i AB radovi</t>
  </si>
  <si>
    <t>A 5.</t>
  </si>
  <si>
    <t>Tesarski radovi i fasadna skela</t>
  </si>
  <si>
    <t>A 6.</t>
  </si>
  <si>
    <t>Zidarski radovi</t>
  </si>
  <si>
    <t>A 7.</t>
  </si>
  <si>
    <t>Izolaterski radovi</t>
  </si>
  <si>
    <t>A 8.</t>
  </si>
  <si>
    <t>Čelične konstrukcije</t>
  </si>
  <si>
    <t>A</t>
  </si>
  <si>
    <t>UKUPNO - GRAĐEVINSKI RADOVI</t>
  </si>
  <si>
    <t>B   OBRTNIČKI RADOVI</t>
  </si>
  <si>
    <t xml:space="preserve">B 1. </t>
  </si>
  <si>
    <t>Pregradne stijene i stropovi</t>
  </si>
  <si>
    <t>B 2.</t>
  </si>
  <si>
    <t>Kamenarski radovi</t>
  </si>
  <si>
    <t>B 3.</t>
  </si>
  <si>
    <t>Podovi</t>
  </si>
  <si>
    <t xml:space="preserve">B 4. </t>
  </si>
  <si>
    <t>Keramičarski radovi</t>
  </si>
  <si>
    <t>B 5.</t>
  </si>
  <si>
    <t>Limarski radovi</t>
  </si>
  <si>
    <t>B 6.</t>
  </si>
  <si>
    <t>Krovopokrivački radovi</t>
  </si>
  <si>
    <t>B 7.</t>
  </si>
  <si>
    <t>Stolarski radovi</t>
  </si>
  <si>
    <t>B 8.</t>
  </si>
  <si>
    <t>Protupožarna bravarija</t>
  </si>
  <si>
    <t>B 9.</t>
  </si>
  <si>
    <t>Bravarski radovi</t>
  </si>
  <si>
    <t>B 10.</t>
  </si>
  <si>
    <t>Soboslikarsko-ličilački radovi</t>
  </si>
  <si>
    <t>B 11.</t>
  </si>
  <si>
    <t>Staklarski radovi</t>
  </si>
  <si>
    <t>B 12.</t>
  </si>
  <si>
    <t>Sanitarne pregrade</t>
  </si>
  <si>
    <t>B 13.</t>
  </si>
  <si>
    <t>Razni radovi</t>
  </si>
  <si>
    <t>B</t>
  </si>
  <si>
    <t>UKUPNO - OBRTNIČKI RADOVI:</t>
  </si>
  <si>
    <t xml:space="preserve">C   </t>
  </si>
  <si>
    <t>UKUPNO - RESTAURATORSKI RADOVI:</t>
  </si>
  <si>
    <t>C1</t>
  </si>
  <si>
    <t xml:space="preserve">RESTAURATORSKI RADOVI - ZIDNI OSLICI I ŠTUKO DEKORACIJA </t>
  </si>
  <si>
    <t>C2</t>
  </si>
  <si>
    <t>RESTAURATORSKI RADOVI - OSTALO</t>
  </si>
  <si>
    <t>D</t>
  </si>
  <si>
    <t>UKUPNO - RADOVI KRAJOBRAZNOG UREĐENJA:</t>
  </si>
  <si>
    <t>E   INSTALATERSKI RADOVI</t>
  </si>
  <si>
    <t>E I.</t>
  </si>
  <si>
    <t xml:space="preserve">ELEKTRO INSTALATERSKI RADOVI </t>
  </si>
  <si>
    <t xml:space="preserve">E I.1 Rasvjetna tijela </t>
  </si>
  <si>
    <t>E.I.2 Elektroinstalacije</t>
  </si>
  <si>
    <t xml:space="preserve">E.I.3 Vatrodojava </t>
  </si>
  <si>
    <t>E II.</t>
  </si>
  <si>
    <t>STROJARSKE INSTALACIJE</t>
  </si>
  <si>
    <t>E II.1 Grijanje i hlađenje VRF sustava</t>
  </si>
  <si>
    <t>E II.2 Instalacija vodenog dijela klima komora</t>
  </si>
  <si>
    <t>E II.3 Instalacija ventilacije</t>
  </si>
  <si>
    <t>E II.4 Zajedničke stavke</t>
  </si>
  <si>
    <t>E III.</t>
  </si>
  <si>
    <t>INSTALACIJE VODOVODA I KANALIZACIJE:</t>
  </si>
  <si>
    <t>E.III.1 Vodovod</t>
  </si>
  <si>
    <t>E.III.2 Kanalizacija</t>
  </si>
  <si>
    <t>E.III.3 Sanitarni predmeti</t>
  </si>
  <si>
    <t>E IV</t>
  </si>
  <si>
    <t xml:space="preserve">PROTUPOŽARNI FK 5-1-12 SUSTAV </t>
  </si>
  <si>
    <t>E IV.1 Strojarski dio</t>
  </si>
  <si>
    <t>E IV.2 Elektro dio</t>
  </si>
  <si>
    <t>E V</t>
  </si>
  <si>
    <t>VERTIKALNI TRANSPORT</t>
  </si>
  <si>
    <t>E</t>
  </si>
  <si>
    <t>UKUPNO - INSTALATERSKI RADOVI:</t>
  </si>
  <si>
    <t>UKUPNO A+B+C+D+E:</t>
  </si>
  <si>
    <t>PDV - 25%</t>
  </si>
  <si>
    <t>SVEUKUPNO</t>
  </si>
  <si>
    <t>OPĆI I POSEBNI TEHNIČKI UVJETI ZA KALKULACIJE I  IZVOĐENJE SVIH RADOVA OBUHVAĆENIH TROŠKOVNIKOM</t>
  </si>
  <si>
    <t>A) OPĆI TEHNIČKI UVJETI</t>
  </si>
  <si>
    <t>Sve odredbe ovih uvjeta smatraju se sastavnim dijelom opisa svake pojedine stavke ovog troškovnika. Svaki ponuđač dužan je pored svake količine upisati svoju jediničnu cijenu za svaku vrstu radova, ukupnu cijenu i ukupnu cijenu u rekapitulaciji za cijeli objekt.</t>
  </si>
  <si>
    <t>Specifikacije (tekstualni dio) i grafički prikazi predstavljaju cjelinu i što je makar jednom od njih naznačeno obaveza je za izvoditelja. Sve eventualne nejasnoće i nedefiniranosti izvođač radova treba utvrditi i otkloniti prije davanja ponude.</t>
  </si>
  <si>
    <t>U slučaju da izvoditelj predlaže iz svojih razloga ili iz razloga ekonomičnosti druga projektantska rješenja dužan je izraditi dokumentaciju (tekstualnu i grafičku) i dati je na odobrenje projektantu, nadzoru i investitoru.</t>
  </si>
  <si>
    <t>Izvoditelj je dužan izraditi projekt organizacije gradilišta u skladu sa Zakonom o gradnji i uskladiti ga sa mogućnostima na parceli.</t>
  </si>
  <si>
    <t>Svi troškovi proizišli iz formiranja gradilišta kao i troškovi osiguranja istog su obaveza izvoditelja.</t>
  </si>
  <si>
    <t>Izvoditelj je dužan o svom trošku izvesti ili provoditi:</t>
  </si>
  <si>
    <t>a) podmirivanje komunalnih troškova (privremene priključke i potrošnju vode, električne energije i sl.)</t>
  </si>
  <si>
    <t>b) zbrinjavanje otpada sa gradilišta</t>
  </si>
  <si>
    <t>c) mjere zaštite na radu</t>
  </si>
  <si>
    <t>d) troškove zauzimanja javno prometnih površina</t>
  </si>
  <si>
    <t>Izvoditelj je dužan pribaviti sve potrebne ateste, a tokom gradnje dužan je izvršiti sva potrebna ispitivanja kvalitete izvršenih radova o svojem trošku što je propisano Zakonom o gradnji.</t>
  </si>
  <si>
    <t>Obaveze i dužnosti prema nadzoru i inspekciji određene su Zakonom o gradnji.</t>
  </si>
  <si>
    <t>B) POSEBNI UVJETI ZA NUĐENE RADOVE I IZVEDBU</t>
  </si>
  <si>
    <t>Općenito:</t>
  </si>
  <si>
    <t>Svi izvedeni radovi moraju biti unutar dopuštenih granica definiranih Zakonom o normizaciji (NN br. 80/13), odnosno Pravilnicima o tehničkim mjerama za izvođenje pojedinih vrsta radova, navedenih uz pojedine grupe radova.</t>
  </si>
  <si>
    <t>Sve radove treba kalkulirati prema opisu troškovničkih stavki i uvodnih opisa pojedinih grupa radova vezanih za izvođenja po HRN normama ili jednakovrijedno.</t>
  </si>
  <si>
    <t>Jediničnom cijenom treba obuhvatiti sve elemente navedene kako slijedi:</t>
  </si>
  <si>
    <t>Materijal</t>
  </si>
  <si>
    <t>Pod tim se podrazumijeva samo cijena materijala, tj. dobavna cijena i to kako glavnog materijala tako i pomoćnog, veznog i slično. Uključuje se i davanje potrebnih uzoraka za pojedine vrste materijala.</t>
  </si>
  <si>
    <t>Rad</t>
  </si>
  <si>
    <t xml:space="preserve">U kalkulaciji rada uključuje se sav rad, kako glavni tako i pomoćni, sav unutarnji transport, zaštita gotovih konstrukcija i dijelova objekta od štetnog utjecaja vrućine, hladnoće i slično, sav rad vezan za ugradnju, postavu, proboje i zaštitu instalacija (svi pomoćni radovi vezani za radove na postavi instalacija). Posebna obaveza izvoditelja je uključivanje u svoje kalkulacije i svih prelaznih, spojnih konstrukcija ili elemenata neophodnih za uspostavu sigurnosnih i stručno korektnih detalja na svim vanjskim i nutarnjim spojevima različitih elemenata konstrukcija, obloga ili završnih radova. U cijenu su uključeni transportni troškovi bez obzira na prijevozno sredstvo, sa svim prijenosima, utovarima i istovarima, te uskladištenje i čuvanje na gradilištu od uništenja (prebacivanje, zaštita i slično). </t>
  </si>
  <si>
    <t>Skele</t>
  </si>
  <si>
    <t xml:space="preserve">Skela mora biti na vrijeme postavljena kako ne bi nastao zastoj u radu. Pod pojmom skele podrazumijevaju se i prilazi istoj, te ograda. </t>
  </si>
  <si>
    <t>Oplata</t>
  </si>
  <si>
    <t>Kod oplate su uključena podupiranja bez obzira na visinu, uklještenja te montaža i demontaža. U cijenu ulazi močenje oplate prije betoniranja kao i mazanje kalupa. Po završetku betoniranja, sva se oplata nakon određenog vremena mora očistiti i sortirati.</t>
  </si>
  <si>
    <t>Izmjere</t>
  </si>
  <si>
    <t>Ako u stavci nije dat način obračuna radova u svemu se pridržavati prosječnih normi u građevinarstvu.</t>
  </si>
  <si>
    <t>Zimski i ljetni rad i ostale otežavajuće okolnosti</t>
  </si>
  <si>
    <t>Za vrijeme niskih zimskih ili visokih ljetnih temperatura izvođač radova treba zaštititi izvedene radove, jer se ponavljani rad uslijed smrzavanja ili prebrzog sušenja neće priznati, već mora biti uključen u jediničnu cijenu.</t>
  </si>
  <si>
    <t>Naknadni rad neće se priznati zbog štete nastale uslijed atmosferskih nepogoda ili podzemne vode.</t>
  </si>
  <si>
    <t>Posebne uzance vezane za nuđenje</t>
  </si>
  <si>
    <t>Ukoliko investitor u toku građenja odluči da neki rad ne izvodi, izvođač nema pravo na odštetu ako mu je investitor pravovremeno o tome dao obavijest (prije nabavke materijala ili izvedbe).</t>
  </si>
  <si>
    <t>Jedinične cijene primijenit će se na izvedene količine, bez obzira u kojem postotku iste odstupaju od količina u troškovniku.</t>
  </si>
  <si>
    <t>Nikakve režijske sate neće biti moguće priznati jer sve otežavajuće okolnosti moraju biti ukalkulirane u ponudi uz radove kojima pripadaju.</t>
  </si>
  <si>
    <t>Rizik nekvalitetno izvedenih radova snosi isključivo izvoditelj, i dužan je otkloniti nedostatke (izmjene materijala, ponovljen rad i slično).</t>
  </si>
  <si>
    <t>Tehnički uvjeti za grupe radova, bilo građevinskih ili obrtničkih, dani su posebno uz svaku grupu gdje su naznačeni uvjeti za nuđenje i izradu propisanih radova u troškovniku.</t>
  </si>
  <si>
    <t>Formiranje jediničnih cijena</t>
  </si>
  <si>
    <t>Iz prethodno navedenog slijedi da jedinične cijene obuhvaćaju sve potrebne radove, pribor, vezna sredstva, brtvila, prelazne sokle, sav okov i pribor, te ugradbeni materijal.</t>
  </si>
  <si>
    <t>Jedinična cijena po jedinici mjere obuhvaća:</t>
  </si>
  <si>
    <t>a) dobavu, odnosno izradu na gradilištu ili radionici</t>
  </si>
  <si>
    <t>b) najam ili amortizacija strojeva, alata i inventara</t>
  </si>
  <si>
    <t>c) transport vanjski i na gradilištu</t>
  </si>
  <si>
    <t>d) ugradnju i testiranje</t>
  </si>
  <si>
    <t>e) preuzimanje od strane nadzora</t>
  </si>
  <si>
    <t xml:space="preserve">f) pribavljanje važečih atesta i uvjerenja </t>
  </si>
  <si>
    <t>g) izrada uputa za izvedbu radova, uputa za način upotrebe ugrađene opreme i strojeva kao i građevine u cjelini</t>
  </si>
  <si>
    <t>Obračun količina radova vrši se na način opisan u svakoj poziciji ovog troškovnika, predviđen za taj rad u prosječnim građevinskim i obrtničkim normama.</t>
  </si>
  <si>
    <t>Ni jedan rad se ne može dva puta platiti, ukoliko nije dva puta rađen bez krivice izvođača, što se utvrđuje arbitražno, a na zahtjev jedne strane. Troškove arbitraže plaća strana koja nije bila u pravu.</t>
  </si>
  <si>
    <t>Sve obaveze i izdatke, te troškove po odredbama ovih uvjeta dužan je izvođač ukalkulirati u ponuđene jedinične cijene za sve radove na objektu i ne može zahtijevati da se ti radovi posebno naplaćuju.</t>
  </si>
  <si>
    <t>Po završetku svih radova i instalacija na zgradi izvođač je dužan ukloniti privremene objekte i priključke, zajedno sa svim alatom, inventarom i skelama, očistiti gradilište i o svom trošku, odgovarajućim sredstvima čišćenjem, pranjem, i sl. dovede cijeli pogođeni objekt sa instalacijama u potpuno čisto i ispravno stanje i u tom stanju ih održava do predaje na korištenje. Čišćenja u toku izrade objekta, kao i završno čišćenje iskazani su u posebnoj stavci troškovnika.</t>
  </si>
  <si>
    <t>A   GRAĐEVINSKO-OBRTNIČKI RADOVI</t>
  </si>
  <si>
    <t>A 1. PRIPREMNI RADOVI</t>
  </si>
  <si>
    <t>Izvoditelj radova je obvezan izvršiti svoju organizaciju izvedbe radova prema Zakona o zaštiti na radu NN 71/14, 118/14, 154/14, 94/18 i 96/18 i u skladu s istim treba izraditi Plan uređenja gradlišta.</t>
  </si>
  <si>
    <t>Budući da se radovi izvode prema projektnoj dokumentaciji kao obnova dijela nosive konstrukcije na nepokretnom kulturnom dobru, izvoditelj radova mora već kod izrade Plana uređenja gradilišta voditi računu o načinu izvedbe i prilagoditi organizaciju rada postojećem stanju i sve obuhvatiti vremenskim planom izvedbe radova.</t>
  </si>
  <si>
    <t>Sve privremene pristupne putove, odlagališta materijala, pomoćne skele i druge zaštitne mjere mora izvesti, održavati i ukloniti ih tako, da ne ugrozi živote susjeda i odvijanje ostalih radova u građevini.</t>
  </si>
  <si>
    <t>Izvoditelj mora održavati čistoću gradilišta i privremenih puteva gradilišta tijekom izvođenja radova, posebno tijekom izvedbe radova rušenja, sve u smislu Zakona o zaštiti na radu i Planu uređenja gradilišta.</t>
  </si>
  <si>
    <t>Ove pripremne i završne radove mora izvoditelj radova obuhvatiti u cijeni svojih radova bez posebne naknade.</t>
  </si>
  <si>
    <t>Ostale radove mora izvesti sukladno dolje navedenim stavkama.</t>
  </si>
  <si>
    <t>A 2. RADOVI RUŠENJA I DEMONTAŽA</t>
  </si>
  <si>
    <t>Opći uvjeti i napomene</t>
  </si>
  <si>
    <t>Pri izvedbi zemljanih radova moraju se u potpunosti primjenjivati postojeći propisi - Pravilnik o zaštiti na radu u građevinarstvu, Građevinske norme i HTZ propisi.</t>
  </si>
  <si>
    <t>Jediničnom cijenom obuhvaćeno je:</t>
  </si>
  <si>
    <t xml:space="preserve"> - sav rad i materijal;</t>
  </si>
  <si>
    <t xml:space="preserve"> - svi prijenosi i prijevozi;</t>
  </si>
  <si>
    <t xml:space="preserve"> - sva potrebna priručna sredstva za izvođenje radova;</t>
  </si>
  <si>
    <t xml:space="preserve"> - potrebne radne skele i platforme;</t>
  </si>
  <si>
    <t xml:space="preserve"> - sva podupiranja i razupiranja ako su potrebna;</t>
  </si>
  <si>
    <t xml:space="preserve"> - zaštitne mjere kod eventualne pojave vode;</t>
  </si>
  <si>
    <t xml:space="preserve"> - održavanje čistoće na vanjskim putevima kroz koje prolazi transport ruševina sa gradilišta.</t>
  </si>
  <si>
    <t>Obračun iskopanih i nasutih količina vršiti u sraslom stanju materijala, a prema postojećim normama GN ili jednakovrijedno. Sve koeficijente zbijenosti i rastresitosti obračunati u jediničnoj cijeni radova.</t>
  </si>
  <si>
    <t>Sve stavke rušenja, razgradnji i demontaža uključuju i odvoz otpada na gradsku planirku (deponij) uključivo i plaćanje svih potrebnih taksi za deponiranje otpada na planirku.</t>
  </si>
  <si>
    <t>A 3. ZEMLJANI RADOVI</t>
  </si>
  <si>
    <t>Svi iskopi zemlje vrše se strojno, a samo djelomično ručno (planiranja). Iskope izvesti točno po projektu, u skladu sa geomehaničkim izvještajem. Propisane mjere presjeka - profila ne smiju se prekoračiti bez posebnog odobrenja nadzorne službe.</t>
  </si>
  <si>
    <t>Kosine širokog iskopa prilagoditi kategoriji terena.</t>
  </si>
  <si>
    <t>Kod eventualne pojave vode (kiše, topljenje snijega ili podzemne vode) izvoditelj treba izvršiti odvodnjavanje iste sa iskopanih površina (sabirna okna i crpljenje vode), te zaštiti iskopane profile što se neće posebno naplaćivati već treba biti sadržano u jediničnim cijenama stavaka.</t>
  </si>
  <si>
    <t>Iskopani materijal upotrijebiti za nasipavanje i zatrpavanje. Isti treba prevesti na gradilišni deponij, uskladištiti te poslije upotrijebiti. Višak iskopanog materijala odvesti na gradski deponij.</t>
  </si>
  <si>
    <t>Nasipavanje unutar i oko objekta izvesti do tražene zbijenosti, odnosno u slojevima od po 20 cm, sa strojnim nabijanjem i vlaženjem vodom.</t>
  </si>
  <si>
    <t>Prije početka ostalih radova (betoniranje, postava oplate) geomehaničar treba pregledati kvalitetu tla i odobriti početak radova upisom u građevinski dnevnik. Navedeni rad treba biti sadržan u jediničnim cijenama stavki.</t>
  </si>
  <si>
    <t xml:space="preserve"> - održavanje čistoće na vanjskim putevima kroz koje prolazi transport ruševina sa gradilišta;</t>
  </si>
  <si>
    <t xml:space="preserve"> - angažman geomehaničara.</t>
  </si>
  <si>
    <t>U stavku odvoza viška materijala na gradsku planirku (deponij) uključiti i plaćanje svih potrebnih taksi za deponiranje otpada na planirku.</t>
  </si>
  <si>
    <t>A 4. BETONSKI I AB RADOVI</t>
  </si>
  <si>
    <t>Betonske i armirano-betonske radove izvesti prema opisu u troškovniku te u skladu sa Tehničkim propisom za građevinske konstrukcije NN 17/17 i 75/20.</t>
  </si>
  <si>
    <t>Betonske i armirano betonske konstrukcije obuhvaćene ovim troškovnikom moraju zadovoljiti odredbe propisa, u smislu ispunjenja bitnih zahtjeva za građevinu, što uključuje projektiranje, izvođenje radova, uporabljivost, održavanje i druge zahtjeve za betonske konstrukcije, te tehnička svojstva i druge zahtjeve za građevne proizvode namijenjene ugradnji u betonsku konstrukciju.</t>
  </si>
  <si>
    <t>S obzirom na način armiranja, betonske konstrukcije obuhvaćene ovim troškovnikom mogu biti od: nearmiranog betona; armiranog betona; ili prednapetog betona.</t>
  </si>
  <si>
    <t>S obzirom na težinu betona, betonske konstrukcije obuhvaćene ovim troškovnikom mogu biti: s laganim betonom; s običnim betonom; ili s teškim betonom.</t>
  </si>
  <si>
    <t>Elementi betonskih konstrukcija uključeni ovim troškovnikom su: cement, agregat, dodaci betonu, dodaci mortu za injektiranje natega, voda, beton, čelik za armiranje, čelik za prednapinjanje, armatura, gotovi betonski elementi, proizvodi za zaštitu i popravak betonskih konstrukcija, kao i drugi građevni proizvodi koji se ugrađuju u sklopu betonskih konstrukcija.</t>
  </si>
  <si>
    <t>Prije početka rada izvođač je dužan izraditi projekt betonske konstrukcije i dostaviti na odobrenje projektantu konstrukcije i nadzoru. Projekt obuhvaća tehnički opis, proračun nosivosti i uporabljivosti te program kontrole i osiguranja kvalitete.</t>
  </si>
  <si>
    <t>Projekt predgotovljenih ili djelomice predgotovljenih betonskih konstrukcija mora sadržavati i rješenje načina proizvodnje, ugradbe, prijenosa i prijevoza, rasporeda oslonaca, potrebnih podupora i drugih mjera za osiguravanje stabilnosti tijekom ugradbe i spajanja elemenata.</t>
  </si>
  <si>
    <t>Prilikom izvođenja betonske konstrukcije izvođač je dužan pridržavati se projekta betonske konstrukcije i tehničkih uputa za ugradnju i uporabu građevinskih proizvoda, te opisa iz ovog troškovnika.</t>
  </si>
  <si>
    <t>Propisana svojstva i uporabljivost građevinskog proizvoda izrađenog na gradilištu utvrđuje se na način određen projetkom, tehničkim propisom i ovim troškovnikom.</t>
  </si>
  <si>
    <t>Izvođenje betonske konstrukcije mora biti takvo da navedena konstrukcija ima tehnička svojstva i ispunjava zahtijeve određene projektom, tehničkim propisom i ovim troškovnikom.</t>
  </si>
  <si>
    <t>Uvjeti za izvođenje betonske konstrukcije definirani su programom kontrole osiguranja kvalitete koji je sastavni dio glavnog projekta betonske konstrukcije.</t>
  </si>
  <si>
    <t>Održavanje betonskih konstrukcija mora biti takvo, da se tijekom trajanja građevine očuvaju njena tehnička svojstva i ispunjavaju zahtijevi određeni projetkom građevine i tehničkim propisom.</t>
  </si>
  <si>
    <t>beton</t>
  </si>
  <si>
    <t>Tehnička svojstva betona moraju ispunjavati opće i posebne zahtijeve bitne za krajnju namjenu betona i moraju biti specificirana po odredbama HRN EN 206 ili jednakovrijedno, normama na koje ta norma upućuje i odredbama priloga tehničkog propisa.</t>
  </si>
  <si>
    <t>Svojstva očvrslog betona moraju biti specificirana projektom betonske konstrukcije ovisno o uvjetima uporabe.</t>
  </si>
  <si>
    <t>Svojstva svježeg betona specificira izvođač betonskih radova.</t>
  </si>
  <si>
    <t>Kod opasnosti od korozije armature u konstrukcijama izloženim agresivnom okolišu, treba paziti da se ne ugrade betoni s neodgovarajućim cementima, što je specificirano normom HRN EN 197-1 ili jednakovrijedno.</t>
  </si>
  <si>
    <t>Kriterije vodonepropusnosti betona određene su projektom betonske konstrukcije, ovisno o uvjetima njena korištenja, a vodonepropusnost se ispituje prema HRN EN 12390-8 ili jednakovrijedno.</t>
  </si>
  <si>
    <t>Uzimanje uzoraka, priprema uzoraka i ispitivanje svojstava svježeg betona provodi se prema normama niza HRN EN 12350 ili jednakovrijedno, a ispitivanje svojstava očvrslog betona prema normana niza HRN EN 12390 ili jednakovrijedno, a sve kako je regulirano normom HRN EN 13670 ili jednakovrijedno.</t>
  </si>
  <si>
    <t>Sva ugradba betona u ab konstrukcije je obavezno strojna.</t>
  </si>
  <si>
    <t>Jedinična cijena betonskih i ab radova uključuje slijedeće:</t>
  </si>
  <si>
    <t>- dobavna cijena gotovog betona uključujući sve transporte i manipulacije;</t>
  </si>
  <si>
    <t>- sav potreban rad na ugradbi betona;</t>
  </si>
  <si>
    <t>- sve unutarnje pretovare, transporte i manipulacije;</t>
  </si>
  <si>
    <t>- poduzimanje mjera zaštite na radu i drugih mjera;</t>
  </si>
  <si>
    <t>- zaštita betonskih i ab konstrukcija od djelovanja atmosferilija i temperaturnih utjecaja;</t>
  </si>
  <si>
    <t>- ugradba svih potrebnih posebno nespecificiranih elemenata (sidra, ankeri i sl.);</t>
  </si>
  <si>
    <t>- čišćenje nakon završenih radova.</t>
  </si>
  <si>
    <t>armatura</t>
  </si>
  <si>
    <t>Za čelik za armiranje primjenjuju se norme HRN EN 10080-1 do 6 ili jednakovrijedne.</t>
  </si>
  <si>
    <t>Za čelik za prednapinjanje primjenjuju se norme HRN EN 10138-1 do 4 ili jednakovrijedne.</t>
  </si>
  <si>
    <t xml:space="preserve">Tehnička svojstva armature moraju ispinjavati opće i posebne zahtijeve bitne za krajnju namjenu i ovisno o vrsti čelika moraju biti specificirane prema normama nizova </t>
  </si>
  <si>
    <t>Jedinična cijena armiračkih radova uključuje slijedeće:</t>
  </si>
  <si>
    <t>- dobavna cijena gotove armature uključujući sve transporte i manipulacije;</t>
  </si>
  <si>
    <t>- sav potreban rad i alat na ugradbi armature;</t>
  </si>
  <si>
    <t>- postavljanje armature i vezanje, sa podmetačima (plastičnim ili betonskim, cca 4 kom/m2 oplate) i privremenim učvršćivanjem za oplatu;</t>
  </si>
  <si>
    <t>- čišćenje armature od hrđe, masnoća i ostalih nečistoća;</t>
  </si>
  <si>
    <t xml:space="preserve"> - primjena mjera zaštite na radu i drugih važećih propisa.</t>
  </si>
  <si>
    <t>oplata</t>
  </si>
  <si>
    <t>Oplate izvesti prema opisu u troškovniku, planu oplate i detaljima, prema te u skladu sa važećim standardima za izvedbu i materijale.</t>
  </si>
  <si>
    <t xml:space="preserve">Oplatu treba postaviti tako da se nakon betoniranja ne pojavi ni najmanja deformacija konstrukcije. Skidanje oplate izvesti požljivo da ne dođe do oštećenja konstrukcije, naročito rubova, zubaca ili utora. </t>
  </si>
  <si>
    <t>Obračun se vrši prema postojećim normama GN-601 ili jednakovrijednim.</t>
  </si>
  <si>
    <t xml:space="preserve">Oplatu računati u kompletnoj površini konstrukcije bez odbijanja otvora za vrata, prozore, prolaze i  prodore do 1 m2. </t>
  </si>
  <si>
    <t>Podupiranje za sve oplate je u cijeni, visine kako je stavkom troškovnika određeno.</t>
  </si>
  <si>
    <t>Jedinična cijena oplate sadrži:</t>
  </si>
  <si>
    <t>- dobavu svog potrebnog materijala za izvedbu oplate uključujući sve transporte i manipulacije;</t>
  </si>
  <si>
    <t>- sav potreban rad na krojenju i ugradbi oplate;</t>
  </si>
  <si>
    <t>- označavanje, uzimanje mjera na građevini;</t>
  </si>
  <si>
    <t>- močenje ili mazanje oplate (ili limenih kalupa) prije betoniranja;</t>
  </si>
  <si>
    <t>- demontaža oplate, čišćenje, vađenje čavala, sortiranje;</t>
  </si>
  <si>
    <t>- izradu radne skele;</t>
  </si>
  <si>
    <t>- izvedba manjih prodora, utora i udubljenja umetanjem u oplatu blokova od ekspandiranog polistirena ili kutija od drvene oplate, te njihova demontaža;</t>
  </si>
  <si>
    <t>- primjena mjera zaštite na radu i drugih važećih propisa;</t>
  </si>
  <si>
    <t xml:space="preserve"> - čišćenje nakon završetka radova</t>
  </si>
  <si>
    <t>A 5. TESARSKI RADOVI I FASADNA SKELA</t>
  </si>
  <si>
    <t>Pri izvođenju drvenih konstrukcija i oplata obavezno se pridržavati propisanih normi za projektiranje i izvođenje (tehnički uvjeti).</t>
  </si>
  <si>
    <t>Svi radovi moraju biti izvedeni stručno i solidno prema postojećim propisima, a u skladu sa troškovnikom i projektom. Nekvalitetan materijal mora izvođač o svom trošku ukloniti sa gradilišta.</t>
  </si>
  <si>
    <t>Okov koji se upotrebljava za učvršćenje krovne konstrukcije mora biti kvalitetan, varena mjesta nesagoriva, a sve površine koje ostaju vidljive prije ugrađivanja moraju se dva puta premazati temeljnom bojom.</t>
  </si>
  <si>
    <t>Izvođač mora upotrijebiti materijale koji su predviđeni nacrtom i troškovnikom. Ukoliko izvođač želi promijeniti vrstu materijala mora za isto tražiti odobrenje od investitora, ali isto ne smije ići na štetu kvalitete.</t>
  </si>
  <si>
    <t>Prije početka rada obavezno uzeti mjere na gradilištu.</t>
  </si>
  <si>
    <t>U jediničnoj cijeni pojedine stavke sadržan je sav rad i materijal, uskladištenje, osiguranje od oštećenja, kvara ili krađe, svi prijenosi i prijevozi, tako da je jedinična cijena konačna.</t>
  </si>
  <si>
    <t>Ukoliko se pokaže potreba, mora izvođač izvršiti ispitivanje kvalitete upotrebljenog materijala ili dokazati njihovu kvalitetu.</t>
  </si>
  <si>
    <t>Sve nejasnoće u projektu ili troškovniku mora izvođač razjasniti sa projektantom prije početka rada, te eventualne dopune ili izmjene uvesti u građevinski dnevnik.</t>
  </si>
  <si>
    <t>Obračun radova vrši se prema stvarno izvedenim količinama i prema "Prosječnim normama u građevinarstvu", ukoliko nije pojedinom stavkom troškovnika drugačije određeno.</t>
  </si>
  <si>
    <t>Ukoliko za drvenu građu krovišta nije navedena vrsta drveta, podrazumijeva se crnogorica II klase, razreda čvrstoće C24 ili jedanokovrijedno. Sva drvena građa mora biti prije ugradnje tretirana zaštitnim (antifungicidnim, antiinsekticidnim i dr.) sredstvima.</t>
  </si>
  <si>
    <t>U cijeni izrade krovišta uključeno je i izrada svih detalja u konstrukciji, te svi pomoćni dijelovi konstrukcije sa potrebnim glavnim i pomoćnim (pričvrsnim) materijalima. U jediničnim cijenama uključeni su svi horizontalni i vertikalni transporti.</t>
  </si>
  <si>
    <t>A 6. ZIDARSKI RADOVI</t>
  </si>
  <si>
    <t>Zidarske radove izvesti prema opisu u troškovniku, te u skladu sa važećim standardima za izvedbu i materijale.</t>
  </si>
  <si>
    <t>Zidati treba u potpuno vodoravnim redovima, a reške moraju biti deb. 1-1,5 cm. Pri zidanju ih treba dobro ispuniti odgovarajućom vrstom morta, a kod ploha koje će se kasnije žbukati reške moraju biti prazne na dubini od cca 2 cm od plohe zida, zbog bolje veze žbuke sa zidom.</t>
  </si>
  <si>
    <t>Mort za zidanje mora odgovarati normama HRN ili jednakovrijednima, odnosno omjerima ili markama po količinama materijala označenim u normama. Mort naveden kao produžni je produžni vapneni mort.</t>
  </si>
  <si>
    <t>Opeke normalnog formata (pune ili šuplje, sa uzdužnim šupljinama) izvedene su od pečene gline.</t>
  </si>
  <si>
    <t>Pijesak mora biti čist bez organskih primjesa, a ako ih ima treba ih pranjem ukloniti.</t>
  </si>
  <si>
    <t>Cement za produžni i cementni mort mora odgovarati propisanoj kvaliteti za portland cement.</t>
  </si>
  <si>
    <t>Svježe ozidane zidove zaštititi od utjecaja vrućine, hladnoće i atmosferskih nepogoda.</t>
  </si>
  <si>
    <t>Rad na zidanju opekom uključuje obradu rubova zida i spojeva s ab plohama odnosno drugim plohama u svemu po pravilima struke.</t>
  </si>
  <si>
    <t>Prije nego se počne žbukati, potrebno je izvršiti predradnje čišćenja ploha i čišćenja i ispuhivanja fuga, vlaženje zidne površine vodom, te špricanje cem. mortom 1:1. Ako je zbog kiše ploha zida isuviše mokra, žbukanje treba odgoditi sve dok ploha zida ne bude dovoljno suha. Žbukanje se ne smije vršiti dok je temperatura prostora previsoka ili preniska, da žbuka ne bi ispucala.</t>
  </si>
  <si>
    <t>Prilikom žbukanja unutarnjih zidova izvesti zaštitu izbočenih bridova umetanjem u žbuku aluminijskih ili plastičnih profila.</t>
  </si>
  <si>
    <t>Obračun se vrši prema postojećim normama GN-301 ili jednakovrijednim.</t>
  </si>
  <si>
    <t>Pročeljne površine, bilo da su obrađene umjetnim kamenom, plemenitom žbukom, plastičnom žbukom, pročeljnom bojom s otapalima ili na bilo koji drugi način, obračunavaju se po 1 m², s tim što će se svi elementi na pročelju (udubine, istake, trake, vijenci, prozorske klupčice, uklade, pilastri, utori i slično), bez obzira radi li se ručno ili kalupom, obračunavati u m¹ i pretvarati u m² po ovoj tablici:</t>
  </si>
  <si>
    <t xml:space="preserve">   a)  razvijene širine do 12 cm, za 1 m1 računa se 0,35 m2</t>
  </si>
  <si>
    <t xml:space="preserve">   b)  razvijene širine od 12 cm do 18 cm, za 1 m1 računa se 0,50 m2</t>
  </si>
  <si>
    <t xml:space="preserve">   c)  razvijene širine od 18 cm do 25 cm, za 1 m1 računa se 0,75 m2</t>
  </si>
  <si>
    <t xml:space="preserve">   d)  razvijene širine od 25 cm do 50 cm, za 1 m1 računa se 1,00 m2</t>
  </si>
  <si>
    <t xml:space="preserve">   e)  razvijene širine od 50 cm do 75 cm, za 1 m1 računa se 1,25 m2</t>
  </si>
  <si>
    <t xml:space="preserve">   f)   razvijene širine od 75 cm do 100 cm, za 1 m1 računa se 1,50 m2</t>
  </si>
  <si>
    <t xml:space="preserve">   g)  razvijene širine od 100 cm do 125 cm, za 1 m1 računa se 1,75 m2</t>
  </si>
  <si>
    <t xml:space="preserve">   h)  razvijene širine od 125 cm do 150 cm, za 1 m1 računa se 2,00 m2</t>
  </si>
  <si>
    <t xml:space="preserve">   i)   utori razvijene širine do 5 cm, za 1,00 m1 računa se 0,25 m2</t>
  </si>
  <si>
    <t>To preračunavanje vrijedi za profile s 4 ruba. Ako ima više rubova, dodaje se za svaki rub 20%, a najviše 40% od gornjih vrijednosti. Svaka krivina računa se kao i rub.</t>
  </si>
  <si>
    <t>Za sve elemente koji se razvijaju obračunava se i sudarna površina s tim što se za svako križanje elemenata koji se razvijaju dodaje odgovarajuća razvijena površina prema prednjoj tablici.</t>
  </si>
  <si>
    <t>Otvori oko kojih postoje uložine (špalete), odbijaju se na ovaj način:</t>
  </si>
  <si>
    <t>a) otvori veličine do 3 m2 ne odbijaju se, a njihove uložine se ne obračunavaju</t>
  </si>
  <si>
    <t>b) za otvore veličine od 3 m2 do 5 m2 odbijaju se površine preko 3 m2, a njihove uložine se ne obračunavaju posebno</t>
  </si>
  <si>
    <t>c) za otvore veličine preko 5 m2 odbija se površina preko 3 m2, a uložine se obračunavaju posebno</t>
  </si>
  <si>
    <t>d) ako su uložine šire od 20 cm tada se preko 20 cm obračunava posebno po m2, s tim što se m1 razvija prema navedenoj tablici u m2.</t>
  </si>
  <si>
    <t>Pri obnovi pročelja koja su obrađena raznom ukrasnom plastikom (vijenci, pilastri, trake, natprozornici, i druga ukrasna plastika) radovi se obračunavaju po m2 ortogonalne projekcije površine pročelja, bez odbitka otvora.</t>
  </si>
  <si>
    <t>Jedinična cijena zidarskih radova sadrži:</t>
  </si>
  <si>
    <t xml:space="preserve"> - sav rad, uključivo pomoćni;</t>
  </si>
  <si>
    <t xml:space="preserve"> - sav materijal, osnovni i pomoćni;</t>
  </si>
  <si>
    <t xml:space="preserve">  - sva manja potrebna štemanja, šlicanja i prilagođenja ploha;</t>
  </si>
  <si>
    <t xml:space="preserve">  - sva manja potrebna zatvaranja i zapune šliceva i prodora te izravnanje neravnina;</t>
  </si>
  <si>
    <t xml:space="preserve"> - sve unutarnje pretovare, transporte i manipulacije;</t>
  </si>
  <si>
    <t xml:space="preserve"> - zaštitu zidova od utjecaja vrućine, hladnoće i atmosferskih nepogoda;</t>
  </si>
  <si>
    <t xml:space="preserve"> - sve potrebne pomoćne konstrukcije i skele;</t>
  </si>
  <si>
    <t xml:space="preserve"> - primjena mjera zaštite na radu i drugih važećih propisa;</t>
  </si>
  <si>
    <t xml:space="preserve"> - čišćenje prostorija i zidnih površina po završetku zidanja, te uklanjanje otpadaka.</t>
  </si>
  <si>
    <t>A 7. IZOLATERSKI RADOVI</t>
  </si>
  <si>
    <t>Glede navedenih kvaliteta materijala definiranih troškovnikom, ponuđači mogu ponuditi i druge vrste materijala i radova prema svojoj tehnologiji i mogućnostima, ali samo uz suglasnost projektanta i ako zadovoljavaju odredbe HRN-i ili jednakovrijednih.</t>
  </si>
  <si>
    <t>Prilikom izvođenja izolacija mora se izvoditelj striktno pridržavati usvojenih i od strane projektanta ovjerenih detalja.</t>
  </si>
  <si>
    <t>Hidroizolaciju ravnih ploha obvezno treba izvesti tako da se spriječi prodor vode izvan sistema odvodnje, odnosno da pri topljenju leda i snijega voda ne prodire u građevinu.</t>
  </si>
  <si>
    <t>Pri radu se treba obvezno pridržavati odredbi HRN-i ili jednakovrijednih, ali se postavlja dodatni zahtjev (izvan HR normi): postojanost izolacionog materijal na niskim temperaturama do - 20°C, uz zadržavanje nazivne čvrstoće na kidanje u oba smjera u približno jednakoj veličini.</t>
  </si>
  <si>
    <t>Sve radove u svezi izvedbe detalja, horizontalnih i vertikalnih slojeva izolacije koji se izvode po odabranom specifičnom proizvođaču, treba obvezno izvesti po detaljima i tehnološkim rješenjima istog. To se odnosi kako na korištenje materijala tako i na uporabu odgovarajućeg alata. Glede specifičnosti gore navedenih radova, izvoditelj je dužan prije davanja ponude obvezno se upoznati s načinom i detaljima izvođenja izolacija koji su opisani ovim troškovnikom, te s tehnologijom i specifičnostima izvođenja radova odabranog proizvođača.</t>
  </si>
  <si>
    <t>Izolaciju treba izvoditi na suhu, čistu, odmašćenu i ravnu podlogu. Uvjeti kvalitete podloge ovise o materijalu koji će se uporabiti, a prema specifikaciji proizvoditelja i tehnologiji izvedbe.</t>
  </si>
  <si>
    <t>Radove treba uskladiti s radovima na limariji, gdje su slojevi izolacije i limarija u neposrednom dodiru.</t>
  </si>
  <si>
    <t>Nakon izvedbe svakog sloja izolacije treba isti pregledati nadzorni inženjer i tek se nakon pozitivnog mišljenja i upisa u građevinski dnevnik može izvoditelj nastaviti s daljnjim radom. Nepravilno ili nekvalitetno izvedene slojeve mora izvoditelj na svoj trošak ukloniti i izvesti pravilno.</t>
  </si>
  <si>
    <t>Sve spojeve plastičnih (PE ili PVC) folija treba variti vrućim zrakom ili spajati samoljepivom trakom širine minimalno 4 cm, odnosno izvesti po detalju izolacije, sve bez posebne naplate.</t>
  </si>
  <si>
    <t>U sklopu stavke treba slojeve izolacije (osim toplinske, gdje to nije drugačije navedeno troškovnikom) izvesti povijene uz bočne vertikalne ili kose plohe visine do 15 cm bez posebne naplate, u cijeni m2 tlocrtne izolacije.</t>
  </si>
  <si>
    <t>Gdje je potrebno, treba izvoditelj izvesti i holkere visine 15-30 cm i obračunati ih u m2 razvijene površine izolacije, ako troškovnikom nije drugačije određeno. Veća visina slojeva izolacije (od 30 cm) obračunava se u posebnim stavkama.</t>
  </si>
  <si>
    <t>Svi materijali koji se ugrađuju moraju obvezno biti ispitani i certifikati priloženi. Ukoliko ne postoje domaće norme, treba priložiti rezultate ispitivanja koji zadovoljavaju odredbe normi ISO ili EN ili jednakovrijedno.</t>
  </si>
  <si>
    <t>Izvoditelj radova obavezan je prije početka radova uručiti potrebne certifikate odgovarajućoj nadležnoj službi. Zabranjena je upotreba materijala i dijelova te izvedba radova prije predočenja certifikata.</t>
  </si>
  <si>
    <t>Cijenom izvedbe radova treba obvezno uključiti sve materijale koji se ugrađuju i koriste (osnovne i pomoćne materijale), sav potreban rad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t>
  </si>
  <si>
    <t>U cijeni treba također uključiti izvedbu i obradu slojeva izolacije po detaljima kod prelaza, lomova i sudara ploha, završetaka slojeva izolacija, dilatacija u konstrukciji i slojevima izolacije, oko raznih šahtova, kanala, prodora/proboja kroz slojeve izolacija, ugradbu raznih rubnih traka, putz lajsni i slično, sve do potpune gotovosti i funcionalnosti.</t>
  </si>
  <si>
    <t>A 8. ČELIČNE KONSTRUKCIJE</t>
  </si>
  <si>
    <t>ČELIČNA KONSTRUKCIJA</t>
  </si>
  <si>
    <t>Kako bi se osigurala tražena kvaliteta, izrada i montaža konstrukcije mora se povjeriti ovlaštenoj izvođačkoj firmi, koja je poznata po već izvedenim sličnim građevinama, i koja posjeduje opremu i stručni kadar za kvalitetnu izradu iste.</t>
  </si>
  <si>
    <t>Cijenom moraju biti obuhvaćeni svi troškovi vezani na nabavu i izradu (u skladu s projektnom dokumentacijom) kao i svi ostali potrebni (direktni i indirektni) radovi, postupci i materijali neophodni za ispravnu izvedbu i montažu konstrukcije.</t>
  </si>
  <si>
    <t>Tehničkom dokumentacijom - nacrtima i statičkim proračunom predviđena je vrsta i kvaliteta materijala za izradu konstrukcije i veznih sredstava što izvoditelj mora strogo poštovati.</t>
  </si>
  <si>
    <t>Izvođač radova (izrada konstrukcije i montaža) dužan je prije početka radova na izradi  (montaži) predočiti nadzornom inženjeru:</t>
  </si>
  <si>
    <t>- planove slijeda zavarivanja s točnim odredbama u pogledu rasporeda i redoslijeda svakog pojedinog vara,</t>
  </si>
  <si>
    <t>- plan montaže konstrukcije s detaljno razrađenim načinom i slijedom montaže,</t>
  </si>
  <si>
    <t>- plan montaže mora biti prihvaćen i ovjeren od strane projektanta.</t>
  </si>
  <si>
    <t>- ateste materijala namijenjenih izradi konstrukcije,</t>
  </si>
  <si>
    <t>- ateste za spojni materijal (vijci i elektrode za zavarivanje),</t>
  </si>
  <si>
    <t>- ateste zavarivača koji su radili na izradi čelične konstrukcije, vremenski obnovljene prema propisima.</t>
  </si>
  <si>
    <t xml:space="preserve"> Osim navedenog izvođač mora imati:</t>
  </si>
  <si>
    <t>- brojeve atesta materijala (osnovnog i spojnog) iz kojeg je  svaka pojedina pozicija izrađena,</t>
  </si>
  <si>
    <t>- oznake varova s brojem atesta elektroda i oznakom zavarivača koji je to zavario.</t>
  </si>
  <si>
    <t>Limovi koji se ugrađuju trebaju biti kontrolirani ultrazvukom na dvoslojnost, a nadzorni inženjer može u slučaju sumnje na kvalitetu materijala, dati da se pojedini limovi ponovo ispitaju.</t>
  </si>
  <si>
    <t>Izvođač radova mora dati projekt tehnologije zavarivanja, imajući u vidu raspoloživu opremu i debljine elemenata koji se spajaju, a kao rezultat se moraju pojaviti spojevi čija mehanička svojstva nisu slabija od osnovnog materijala. Naročitu pozornost potrebno je obratiti na žilavost, te na koncentraciju napona uslijed zavarivanja, koji se moraju svesti na neznatne veličine. Tehnološki  postupak je dio tehničke dokumentacije i prije početka radioničkih radova mora imati suglasnost projektanta i nadzornog inženjera.</t>
  </si>
  <si>
    <t>Prije početka zavarivanja izvoditelj je dužan pregledati sve površine predviđene za zavarivanje i osigurati da iste budu metalno čiste, bez bilo kakve prljavštine, rđe ili masnoće.</t>
  </si>
  <si>
    <t>Tijekom postupka zavarivanja izvoditelj je dužan primjeniti postupak sprečavanja termički uzrokovanog deformiranja.</t>
  </si>
  <si>
    <t>Zavarivanje na temperaturama zraka nižim od 0° C nije dopušteno.</t>
  </si>
  <si>
    <t xml:space="preserve">Kompletan postupak izrade elemenata i sklopova mora osigurati projektirane dimenzije konstrukcije uvažavajući dopuštene tolerancije u skladu sa HRN EN 1090-1 ili jednakovrijedno i HRN EN 1090-2 ili jednakovrijedno.  </t>
  </si>
  <si>
    <t>Poslije završenih radioničkih radova vrši se geometrijska i ostale dogovorene kontrole, te po potrebi izvršiti probno sklapanje, o čemu je nadzorni inženjer dužan voditi zapisnik i ovjeriti ga.</t>
  </si>
  <si>
    <t>Pri otpremi na gradilište izvođač je dužan ispitati mogućnost transporta s obzirom na gabarite sklopova, kako se konstrukcija ili njeni dijelovi ne bi deformirali prilikom transporta.</t>
  </si>
  <si>
    <t>Skladištenje mora biti tako pripremljeno da konstrukcija ne leži na tlu, već na drvenoj grednoj podlozi i da osigurava jednostavan pristup kod pronalaženja pozicija, njihova dizanja i transporta do mjesta ugradnje.</t>
  </si>
  <si>
    <t>Izvedba čelične konstrukcije treba biti u skladu sa statičkim proračunom, zahtjevima i uvjetima iz Tehničkog opisa i Programa kontrole te osiguranja kvalitete, kao i u skladu sa svim važećim zakonima, propisima i normama za čelične konstukcije.</t>
  </si>
  <si>
    <t>HRN EN 10025-1 (2, 3, 4, 5, 6) ili jednakovrijedno</t>
  </si>
  <si>
    <t>HRN EN 10034 ili jednakovrijedno</t>
  </si>
  <si>
    <t>HRN EN 10024 ili jednakovrijedno</t>
  </si>
  <si>
    <t>HRN EN 10210–1 (2) ili jednakovrijedno</t>
  </si>
  <si>
    <t>HRN EN 10219-1 (2) ili jednakovrijedno</t>
  </si>
  <si>
    <t>HRN EN 439 ili jednakovrijedno</t>
  </si>
  <si>
    <t>HRN EN 440 ili jednakovrijedno</t>
  </si>
  <si>
    <t>HRN EN 499 ili jednakovrijedno</t>
  </si>
  <si>
    <t>HRN EN 1011-1 ili jednakovrijedno</t>
  </si>
  <si>
    <t>HRN EN 1011-2 ili jednakovrijedno</t>
  </si>
  <si>
    <t>EN 29692 ili jednakovrijedno</t>
  </si>
  <si>
    <t>HRN EN 287-1 ili jednakovrijedno</t>
  </si>
  <si>
    <t>HRN EN 288-1 ili jednakovrijedno</t>
  </si>
  <si>
    <t>HRN EN 288-3 ili jednakovrijedno</t>
  </si>
  <si>
    <t>HRN EN 288-8 ili jednakovrijedno</t>
  </si>
  <si>
    <t>HRN EN 970 ili jednakovrijedno</t>
  </si>
  <si>
    <t>HRN EN 1290 ili jednakovrijedno</t>
  </si>
  <si>
    <t>HRN EN 1714 ili jednakovrijedno</t>
  </si>
  <si>
    <t>HRN EN 12062 ili jednakovrijedno</t>
  </si>
  <si>
    <t>HRN EN 25817 (ISO 5817) ili jednakovrijedno</t>
  </si>
  <si>
    <t>DIN EN ISO 13918  ili jednakovrijedno</t>
  </si>
  <si>
    <t>DIN EN ISO 14555 ili jednakovrijedno</t>
  </si>
  <si>
    <t>DIN 6914, 6915, 6916 ili jednakovrijedno</t>
  </si>
  <si>
    <t>HRN EN 1090-1; HRN EN 1090-2 ili jednakovrijedno</t>
  </si>
  <si>
    <t>2. ANTIKOROZIVNA ZAŠTITA</t>
  </si>
  <si>
    <t>Konstrukcija se isporučuje antikorozijski zaštićena. Antikorozijska zaštita mora biti usklađena sa HRN EN ISO 12944-1 (do 5) ili jednakovrijedno</t>
  </si>
  <si>
    <t xml:space="preserve">Predviđena okolina: C1 (blago korozivni uvjeti) prema HRN EN ISO 12944 ili jednakovrijedno
</t>
  </si>
  <si>
    <t>Priprema površine:</t>
  </si>
  <si>
    <t>Sve čelične profile potrebno je abrazivno očistiti na kvalitetu Sa 21/2 sukladno HRN EN ISO 8501-1 ili jednakovrijedno, te neposredno zaštititi primerom.</t>
  </si>
  <si>
    <t>Sustav zaštite:</t>
  </si>
  <si>
    <t>Specifikacija prema HRN EN ISO 12944-5 ili jednakovrijedno:</t>
  </si>
  <si>
    <t>1 × 60  mm 2k epoksi temelj</t>
  </si>
  <si>
    <t>1 × 60  mm 2k epoksi međusloj</t>
  </si>
  <si>
    <t>1 × 40  mm 2k završni poliuretanski sloj</t>
  </si>
  <si>
    <t>Ukupna minimalna debljina suhog filma 160 mm</t>
  </si>
  <si>
    <t>Ostali uvjeti:</t>
  </si>
  <si>
    <t xml:space="preserve"> - trajnost sistema zaštite mora biti iznad 15 godina (za okolinu C4 / HRN EN ISO 12944 ili jednakovrijedno);</t>
  </si>
  <si>
    <t xml:space="preserve"> - proizvođač boja mora osigurati tehnički "support" pri pripremi površine i ugradnji materijala;</t>
  </si>
  <si>
    <t xml:space="preserve"> - premazi moraju biti predviđeni za rad kistom te špricom.</t>
  </si>
  <si>
    <t>3. MONTAŽA ČELIČNE KONSTRUKCIJE</t>
  </si>
  <si>
    <t xml:space="preserve">Radionička izrada i montaža čelične konstrukcije mora biti u skladu sa HRN EN 1090-1 i HRN EN 1090-2 ili jednakovrijedno.  </t>
  </si>
  <si>
    <t>Izvođač montažnih radova je obavezan izraditi projekt montaže, koji mora biti ovjeren od strane projektanta i nadzornog inženjera.</t>
  </si>
  <si>
    <t>Za sve montažne nastavke važe opći uvjeti za izradu konstrukcije.</t>
  </si>
  <si>
    <t>Svakodnevno se mora voditi građevinski dnevnik. Mora biti osiguran brz i siguran transport svih elemenata do mjesta rada.</t>
  </si>
  <si>
    <t>Izvođač montažnih radova je dužan da pri organiziranju radova poduzme sve potrebne mjere za zaštitu postojećih javnih uređaja, objekata i postrojenja koji se nalaze na gradilištu, kao i zaštitu radnika.</t>
  </si>
  <si>
    <t>4. TEHNIČKI PREGLED ČELIČNE KONSTRUKCIJE</t>
  </si>
  <si>
    <t>Tehnički pregled čelične konstrukcije obavlja se poslije završene montaže.</t>
  </si>
  <si>
    <t>Održavanje čelične konstrukcije:</t>
  </si>
  <si>
    <t xml:space="preserve"> - redovni pregled svake godine</t>
  </si>
  <si>
    <t xml:space="preserve"> - glavni pregled svake 10-te godine</t>
  </si>
  <si>
    <t xml:space="preserve"> - dopunski pregled prema potrebi</t>
  </si>
  <si>
    <t>Održavanje se vrši radi sigurnosti čelične konstrukcije.</t>
  </si>
  <si>
    <t>razna crna bravarija</t>
  </si>
  <si>
    <t>Prije izvedbe mjere svih stavki treba obvezno kontrolirati na licu mjesta.</t>
  </si>
  <si>
    <t>Svi vidljivi dijelovi bravarije moraju biti završno bojani alkidnim naličem za bolju obradu, što uključuje: čišćenje od hrđe, po potrebi; ličenje očišćenih mjesta antikorozivnim naličem u 2 premaza; kitanje pukotina i rupica odgovarajućim kitom; ličenje alkidnom bojom u 2 premaza; ličenje alkidnom lak bojom.</t>
  </si>
  <si>
    <t>Svi vijci i spojna sredstva moraju obvezno biti od nehrđajućeg materijala, izvedeno u antikorozivnoj izvedbi.</t>
  </si>
  <si>
    <t>B 1. PREGRADNE STIJENE I STROPOVI</t>
  </si>
  <si>
    <t>Prije početka izvedbe radova, izvoditelj je obvezan predočiti projektantu detaljnu radioničku dokumentaciju izvedbe kao i uzorke materijala koji će se ugraditi. Tek po izboru i odobrenju projektanta može otpočeti sa radovima. Ukoliko se ugrade materijali koje projektant nije odobrio i (ili) u neodgovarajućoj kvaliteti i (ili) različito s obzirom na odobreni projekt oblaganja i detalje, radovi će se morati ponoviti u traženoj kvaliteti, izboru i po projektu uz prethodno uklanjanje neispravnih radova. Izrada detalja neće se posebno platiti već predstavlja trošak i obvezu izvoditelja.</t>
  </si>
  <si>
    <t>Sve radove po odabranom specifičnom proizvođaču, treba obvezno izvesti po detaljima i tehnološkim rješenjima istog. To se odnosi kako na korištenje materijala tako i na uporabu odgovarajućeg alata. Glede specifičnosti gore navedenih radova, izvoditelj je dužan prije davanja ponude obvezno se upoznati s načinom i detaljima izvođenja izolacija koji su opisani ovim troškovnikom, te s tehnologijom i specifičnostima izvođenja radova odabranog proizvođača. Sve eventualne nejasnoće i nedoumice izvoditelj je dužan dogovoriti i uskladiti s projektantom prije davanja ponude. Nikakvi naknadni zahtjevi neće se moći uvažiti.</t>
  </si>
  <si>
    <t>Izvoditelj stijena mora tijekom izrade radioničke dokumentacije kao i montažer kod montaže biti u uskom kontaktu s isporučiteljima i izvoditeljima elektroinstalacija jake i slabe struje i ostalih instalacija i sistema koji se ugrađuju u sklopu stijene, jer svi ti elementi čine sastavni dio čija rješenja koordinira i kontrolira montažer stijene, a što je sve uključeno u jediničnu cijenu.</t>
  </si>
  <si>
    <t>Potkonstrukcija stijena mora biti izvedena isključivo od nerđajućih materijala (za što izvoditelj treba osigurati certifikat), pravilno dimenzionirana i izvedena.</t>
  </si>
  <si>
    <t>Sve stavke za koje se traži odgovarajuća vatrootpornost moraju zadovoljiti odgovarajuće odredbe HRN-a ili drugih propisa koji su priznati, odnosno po HRN-i tražena kvaliteta ili jednakovrijedno mora se dokazati odgovarajućim certifikatima izdanim od strane za to ovlaštene i registrirane organizacije.</t>
  </si>
  <si>
    <t>Izvoditelj radova obvezan je prije početka izrade i ugradbe uručiti potrebne certifikate u svezi gore navedene HRN-e  ili jednakovrijedno odgovarajućoj nadležnoj službi. Zabranjena je ugradba prije predočenja važećih certifikata.</t>
  </si>
  <si>
    <t>Jediničnom cijenom izvedbe treba obuhvatiti dobavu i ugradbu elemenata stijene, slaganje elemenata u cjelinu, kompletnu nosivu konstrukciju, sve pripadne sidrene elemente i detalje, brtvljenja i kitanja rubova i spojeva, izvedbu rubnih detalja uz bočne vertikalne i horizontalne plohe, kao i obradu oko eventualno ugrađenih elemenata instalacija. Sve navedeno treba izvesti isključivo u skladu s tehnologijom proizvoditelja stijene, rabeći samo materijale i alate koji su tehnologijom predviđeni.</t>
  </si>
  <si>
    <t>Cijenom izvedbe radova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t>
  </si>
  <si>
    <t>U području spojeva pregradnih zidova sa bočnim građevnim elementima na profile treba nanijeti brtveni kit (u 2 reda) ili PE brtvenu traku.</t>
  </si>
  <si>
    <t>Obrada spojeva i površina klase kvalitete Q3  ili jednakovrijedno - perfektna površina (uključuje obradu spojeva gips ploča, umetanje bandažne trake, zaglađivanje vidljivih dijelova pričvrsnih sredstava, dodatno zaglađivanje kojim se izrađuje prelazak iz područja spoja na površinu ploče, kao i dodatno zaglađivanje cijele površine u debljini 2 mm) izuzev ploha na koje se postavljaju keramičke pločice za koju je dovoljna kvaliteta Q1 - tehnički neophodna kvaliteta ili jednakovrijedno.</t>
  </si>
  <si>
    <t>Radove treba izvesti u svezi odredbi HRN DIN 18183-1 ili jednakovvrijedno (pregradni zidovi) i HRN EN 520 ili jednakovrijedno (gips-kartonske ploče).</t>
  </si>
  <si>
    <t>Radove u svezi ovješenih stropova treba izvesti u svezi odredbi HRN EN 13964 ili jednakovrijedno.</t>
  </si>
  <si>
    <t>Stropovi</t>
  </si>
  <si>
    <t>Prije početka izvedbe izvoditelj je dužan dostaviti projektantu na pregled i izbor uzorke materijala i tek po izboru i odobrenju projektanta može otpočeti s radovima. Ukoliko se ugrade materijali koje projektant nije odobrio ili u neodgovarajućoj kvaliteti radovi će se morati ponoviti u traženoj kvaliteti i izboru uz prethodno uklanjanje neispravnih radova. Izrada detalja neće se posebno platiti već predstavlja trošak i obvezu izvoditelja.</t>
  </si>
  <si>
    <t>Sve radove u svezi izvedbe detalja, horizontalnih i vertikalnih ploha koji se izvode po odabranom specifičnom proizvođaču, treba obvezno izvesti po detaljima i tehnološkim rješenjima istog. To se odnosi kako na korištenje materijala tako i na uporabu odgovarajućeg alata. Glede specifičnosti gore navedenih radova, izvoditelj je dužan prije davanja ponude obvezno se upoznati s načinom i detaljima izvođenja radova koji su opisani ovim troškovnikom, te s tehnologijom i specifičnostima izvođenja radova odabranog proizvođača.</t>
  </si>
  <si>
    <t>Izvoditelj je dužan izvršiti dimenzioniranje nosivih elemenata i eventualno potrebnih pojačanja ovjesne konstrukcije ili potkonstrukcije glede odabranog uzorka i rastera opreme. Nosiva konstrukcija mora obvezno biti izvedena od nerđajućih materijala za što izvoditelj treba osigurati certifikat. Kod projektiranja radioničke dokumentacije i izvedbe treba voditi računa ukoliko će strop tijekom uporabe biti izložen uvjetima povećane vlage i korozivnog djelovanja raznih plinova i isparenja, kako bi se predvidjeli odgovarajući materijali i načini zaštite. Kod ugradbe u potresno aktivnim područjima treba konstrukciju ovješenog stropa prilagoditi odgovarajućim propisima.</t>
  </si>
  <si>
    <t>Izvoditelj mora biti u toku izrade radioničke dokumentacije kao i montažer kod montaže u uskom kontaktu s isporučiteljima i izvoditeljima elektroinstalacija jake i slabe struje, instalacije klime, vatrodojave i ostalih sistema koji se ugrađuju iznad i u sklopu radova, jer svi ti elementi čine sastavni dio čija rješenja koordinira i kontrolira montažer radova, a što je sve uključeno u jediničnu cijenu izvedbe.</t>
  </si>
  <si>
    <t>Jediničnom cijenom izvedbe treba obuhvatiti dobavu i ugradbu elemenata obloge (sa završnom obradom ploha po izboru projektanta), slaganje elemenata u cjelinu, kompletnu nosivu konstrukciju i sve pripadne sidrene elemente i detalje, izvedbu rubnih detalja uz zidove, stupove, pregrade ili prodore kroz plohu stropa, kao i obradu stropa oko ugrađenih elemenata instalacija. Sve navedeno treba izvesti isključivo u skladu s tehnologijom proizvođača stropa, rabeći samo materijale i alate koji su tehnologijom predviđeni.</t>
  </si>
  <si>
    <t>Cijenom izvedbe radova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sva osiguranja radova i materijala; sva eventualna otežanja rada, kao i sve ostalo posebno specificirano u opisu stavke troškovnika; sve potrebne zaštitne konstrukcije, kao i sve drugo predviđeno mjerama zaštite na radu i pravilima struke.</t>
  </si>
  <si>
    <t>B 2. KAMENARSKI RADOVI</t>
  </si>
  <si>
    <t xml:space="preserve">Kamenoklesarske radove izvoditi prema projektu i u skladu s postojećim normana HRN U.F7.010/68  ili jednakovrijedno. 
Kamen prema porijeklu: 
- magmatske stijene o intruzivne ili dubinske - kristalizacija magme u raznim dubinama litosfere o efuzivne ili izljevne - kristalizacijom iz lave izlivene na površini litosfere 
- sedimentne stijene 
- metamorfne stijene 
Materijal za izvedbu po boji, vrsti i obradi (špican, greban, poliran, štokan, pjeskaren, fino brušen, paljen, voskan, antikiran (jetkan) itd.) mora biti jednak uzorku što ga odabere projektant. Kameni elementi kojima su kitom i mortom zatvorene rupice i šupljine neće se primiti i ne smiju se ugraditi.
Izabrani kamen atestira se na: 
- upijanje vlage, 
- zapreminsku specifičnu težinu, 
- poroznost i stupanj gustoće, 
- postojanost na mraz, 
- habanje. 
</t>
  </si>
  <si>
    <t xml:space="preserve">Potrebno je izvršiti sve provjere dužina, širina i visina u naravi i ukazati nadzornom inženjeru na eventualna odstupanja od projekta, odnosno na probleme prije izrade radioničkih nacrta i oblaganja. 
Izvođač će pristupiti izvedbi tek nakon što projektant potpisom potvrdi radioničke nacrte  i tehnološku razradu svih detalja. 
Jedinična cijena uključuje  
- dobavu / ishođenje potvrde o sukladnosti za sve ugrađene materijale (certifikat) 
- uzimanje mjera na gradilištu  i definiranje ugradbenih dimenzija 
- tehnološku razradu svih detalja 
- izradu radioničkih nacrta,  shema ugradnje  
- sav spojni materijal, sidrene ploče, mort za podlijevanje ležaja 
- postavu i skidanje radne skele  
- sve posredne i neposredne troškove za rad, materijal, alat i građevinske strojeve 
- sve transporte 
- čišćenje tokom rada 
- odvoz i zbrinjavanje smeća  
- završno čišćenje prije primopredaje radova 
- nadoknadu  eventualne štete nastale iz nepažnje  na svojim ili tuđim radovima 
</t>
  </si>
  <si>
    <t xml:space="preserve">Obračun: 
- po m3
- po broju komada   kom 
Kamenoklesarski radovi obuhvaćaju izradu okvira vrata.
</t>
  </si>
  <si>
    <t>B 3. PODOVI</t>
  </si>
  <si>
    <t>Prilikom izvođenja radova mora se izvoditelj striktno pridržavati usvojenih i prihvaćenih materijala i ovjerenih detalja.</t>
  </si>
  <si>
    <t>Bez obzira na vrstu podnih obloga, izvoditelj je obvezan dobaviti: uputu za postavljanje; uvjete pripreme i stanja podloge; uputu za uporabu i rad; način održavanja poda u uporabi.</t>
  </si>
  <si>
    <t>Izvoditelj treba kvalitetu ugrađenih materijala i stručnost radnika dokazati odgovarajućim certifikatima izdanim od strane za to ovlaštene institucije. Za materijale koji nisu standardni treba izvoditelj osigurati uzorke i dati ih na ispitivanje.</t>
  </si>
  <si>
    <t>Parketarski radovi</t>
  </si>
  <si>
    <t>Sav materijal, pomoćni materijal, rad i pomoćni rad moraju u svemu odgovarati propisima, standardima, tehničkim uvjetima i pravilima dobrog zanata.</t>
  </si>
  <si>
    <t>HRN EN 13226:2010 ili jednakovrijedno za Drvene podne obloge — Masivne parketne daščice s utorima i/ili perima (EN 13226:2009 ili jednakovrijedno),</t>
  </si>
  <si>
    <t>HRN EN 13696:2010 ili jednakovrijedno za Drvene podne obloge — Ispitne metode za određivanje elastičnosti i otpornosti na habanje i udare (EN 13696:2008 ili jednakovrijedno).</t>
  </si>
  <si>
    <t>Prije polaganja parketa izvođač je dužan ispitati ispravnost podloge na koju se trebaju polagati parketi. Za svaku neispravnost treba upozoriti odmah pismeno izvođača građevinskih radova i zatražiti popravak. Ako izvođač položi parket na neispravnu podlogu, skidanje i ponovno polaganje parketa ide na račun izvođača parketarskih radova.</t>
  </si>
  <si>
    <t>Ako nije u troškovniku drugačije naznačeno, prijelaz iz prostorije u prostoriju istog nivoa učiniti kontinuirano bez prekida i praga.</t>
  </si>
  <si>
    <t>Kvaliteta podne obloge propisuje se kao ekstra klasa, odnosno klase "exquisite" po europskoj normi B 3000 ili jednakovrijednoj. Daske moraju biti ravnog goda (žice), ujednačene boje, bez grešaka (mušica, bjelika, kvržice), a dozvoljen je samo minimalni otklon žice.</t>
  </si>
  <si>
    <t>Polaganje drvenog poda izvodi se od hrastovih dasaka na pripremljenu (suhu, glatku i ošišćenu) ravnu podlogu, lijepljenjem dvokomponentnim epoksi-poliuretanskim ljepilom te čavlanjem u utore po potrebi. Učvršćivanje kutnih letvica vijcima i plastičnim ulošcima u zid obuhvaćeno je zasebnom stavkom U cijenu uključena završna obrada drva i trokratno lakiranje dvokomponentnim mat lakom s potrebnim predradnjama (dvokratno brušenje, itd.).</t>
  </si>
  <si>
    <t>Parket mora biti udaljen od zida 1-2 cm. Kutne profilirane drvene obuhvaćene su zasebnom stavkom. Minimalna temperatura potrebna za obavljanje parketarskih radova je +10ºC.</t>
  </si>
  <si>
    <t>Završne plohe parketa moraju biti potpuno ravne, horizontalne, bez pukotina i vidljivog ljepila na mjestu sastavljanja. Parketi moraju dobro prijanjati za podlogu i ne smiju škripati. Parket se mora strojno trokratno izbrusiti: grubo brušenje (brusni papir granulacije do 40), međubrušenje (brusni papir granulacije do 80), te fino brušenje (brusni papir granulacije 100-120). Grubo i međubrušenje izvodi se dijagonalno na drvena vlakna. Nakon međubrušenja slijedi kitanje koje obuhvaća zatvranje pukotina i fuga smjesom od otopljenog kita za drvo i finom drvenom prašinom preostalom od međubrušenja. Fino brušenje izvodi se ili paralelno ili poprečno u smjeru svjetlosti.</t>
  </si>
  <si>
    <t xml:space="preserve"> </t>
  </si>
  <si>
    <t>Nakon finog brušenja pristupa se lakiranju bezbojnim mat lakom u 3 sloja sa svim potrebnim predradnjama. Nakon drugog lakiranja pod brusiti, otprašiti i završno lakirati (treći premaz). Treba paziti da se prije lakiranja dobro očisti prašina. Završni sloj treba biti potpuno ravan i gladak, bez primjetnih mjehurića i tragova kista. Parket se lakira dvokomponentnim alifatskim poliuretanskim mat lakom na vodenoj bazi s vrlo niskom emisijom hlapljivih organskih spojeva (VOC) i bez NMP-a, visoke transparentnosti, te visoke otpornosti na habanje i abraziju.</t>
  </si>
  <si>
    <t>- sav materijal, uključivo vezni;</t>
  </si>
  <si>
    <t>- sav rad, uključivo struganje s kvašenjem;</t>
  </si>
  <si>
    <t>- transportne troškove, uskladištenje, te donos na mjesto ugradbe;</t>
  </si>
  <si>
    <t>- izmjere potrebne za izvedbu i obračun;</t>
  </si>
  <si>
    <t>- dovođenje struje, plina i vode od priključaka na gradilištu do mjesta korištenja;</t>
  </si>
  <si>
    <t>- korištenje alata i opreme, te isporuka pomoćnih materijala i pogonskog goriva;</t>
  </si>
  <si>
    <t>- davanje uzoraka;</t>
  </si>
  <si>
    <t>- čišćenje podloga od manjih nečistoća;</t>
  </si>
  <si>
    <t>- poduzimanja mjera po HTZ i drugim postojećim propisima;</t>
  </si>
  <si>
    <t>- čišćenje nakon završetka radova;</t>
  </si>
  <si>
    <t>- zatvaranje prostorija i zaštita izvedenih radova do primopredaje.</t>
  </si>
  <si>
    <t>B 4. KERAMIČARSKI RADOVI</t>
  </si>
  <si>
    <t>Prije početka izvođenja radova, izvoditelj je obvezan dostaviti projektantu na pregled i izbor uzorke pločica za oblaganje, i tek po izboru i odobrenju projektanta može otpočeti sa radovima. Ukoliko se ugrade pločice koje projektant nije odobrio i (ili) u neodgovarajućoj kvaliteti, radovi će se morati ponoviti u traženoj kvaliteti, izboru i po projektu uz prethodno uklanjanje neispravnih radova. Izrada detalja neće se posebno platiti već predstavlja trošak i obvezu izvoditelja.</t>
  </si>
  <si>
    <t>Sve ugrađene pločice moraju obvezno biti klase po opisu iz stavke troškovnika, a ako isto nije specificirano, moraju biti "A" klase  ili jednakovrijedno, kako za podno tako i za zidno opločenje.</t>
  </si>
  <si>
    <t>podloga</t>
  </si>
  <si>
    <t>Prije početka radova, izvoditelj je dužan provjeriti stanje podloge. Ista ne smije biti prljava, prašnjava, s aktivnim solima u sastavu, masna, nedovoljno čvrsta, raspucana ili naprsla od slijeganja, smrznuta, vlažna, neravna ili preglatka. Rad se ne smije izvoditi na podlozi koja je neprikladna za oblaganje.</t>
  </si>
  <si>
    <t>Podloga mora biti izvedena u padovima po projektu. Eventualne neravnine mogu biti najviše do 0,5 cm/2,0 m za zidno oblaganje i 1,0 cm/2,0 m za podno oblaganje, ali samo kod polaganja pločica u mort. Kod polaganja pločica ljepljenjem nikakve neravnine nisu dopuštene.</t>
  </si>
  <si>
    <t>Ukoliko podloga nije odgovarajuća, radovi se ne smiju otpočeti dok se ista ne dovede u stanje koje osigurava kvalitetan rad ili dok se ne odstrani i izvede nova ispravna podloga.</t>
  </si>
  <si>
    <t>izvođenje radova</t>
  </si>
  <si>
    <t>Pločice se polažu stranicu na stranicu, ako troškovnikom nije drugačije određeno. Redove pločica izvesti paralelno s vertikalnim plohama zidova. Opločenje podova izvesti od ulaznog praga prostorije koja se oblaže prema unutra. Rub zidnog opločenja kod špalete izvesti ravno i čvrsto, obostrano simetrično.</t>
  </si>
  <si>
    <t>Oblaganje zidnih površina mora se vršiti tako da se dobiju ravne i vertikalne plohe, bez valova, izbočenja i udubljenja, s jednoličnim i dovoljno širokim fugama. Horizontalne fuge su neprekinute po cijelom opsegu svih zidova u istoj prostoriji, a vertikalne se moraju izvesti pod visak, neovisno da li se oblaganje vrši naizmjeničnim fugama ili fugom na fugu. Oblaganje se vrši odozdo ka gore.</t>
  </si>
  <si>
    <t>Kod zidnog opločenja gdje treba izvesti prodore za cijevi instalacija, pločice se ne smiju rezati po cijeloj širini, već moraju biti precizno skrojene i postavljene.</t>
  </si>
  <si>
    <t>Oblaganje podnih površina mora se izvesti tako da se dobiju plohe bez valova, izbočenja i udubljenja, kao ravne plohe ili plohe u potrebnom nagibu, s jednoličnim i dovoljno širokim fugama.</t>
  </si>
  <si>
    <t>Ovisno o opisu stavke troškovnika, fuge treba izvesti u nepropusnoj (razni trajnoplastični ili kiselootporni kitovi) ili polupropusnoj izvedbi (cement s aditivima), sve u smislu točke 4.2. "Teh. uvjeta za izvođenje keramičarskih radova", kako za zidno tako i za podno opločenje. Fuge moraju biti međusobno paralelne, širine 2-3 mm, ispunjene smjesom iste boje i obrade. Sve spojeve podnog i zidnog opločenja ili sokla treba izvesti potpuno pravilno i ravno, zapunjene istom smjesom kao i fuge. Isto se odnosi i na spojeve podnih ili zidnih ploha sa kadama i drugom sanitarnom opremom i priborom u kupaonicama i sanitarijama.</t>
  </si>
  <si>
    <t>Gornji rub sokla i zidnog opločenja koje ne ide do stropa treba obavezno izvesti polukružno zaobljenom užljebinom od nepropusne smjese, po cijeloj dužini ruba opločenja. Isto treba uračunati u jediničnu cijenu izvedbe iako to nije posebno navedeno opisom stavke.</t>
  </si>
  <si>
    <t>Ako se pločice polažu u cem. mort, isti mora biti kvalitete 1:3, cement obavezno portlad cement, pijesak frakcije 0-1 mm.</t>
  </si>
  <si>
    <t>Kod podnih ploha koje se oblažu pločicama u cem. mortu isti mora biti debljine 2-3 cm. Ukoliko je mort deblji treba ga obavezno armirati laganom isteg mrežom, što treba uračunati u jediničnu cijenu.</t>
  </si>
  <si>
    <t>Kod pločica koje se polažu ljepljenjem treba koristiti odgovarajuće ljepilo (glede kvalitete pločica i uvjeta oblaganja) a rad treba izvesti točno po uputi proizvođača ljepila.</t>
  </si>
  <si>
    <t>Podloga za lijepljenje mora biti potpuno ravna, glatka, čvrsta i čista, odgovarajuće čvrstoće ne manje od čvrstoće produžne žbuke (za zidove) odnosno minimalno čvrstoće cem. žbuke 1:3 (za podove).</t>
  </si>
  <si>
    <t>Ljepljenje pločica na zidove izvesti disperzionim građevinskim ljepilima, što se preporuča u stambenim prostorijama kao i drugim prostorijama s ujednačenom mikroklimom. Podloge koje jako upijaju treba prije početka radova dobro ovlažiti. Ljepilo se nanosi na smočene pločice u debljini sloja od 1-2 mm.</t>
  </si>
  <si>
    <t>Po završetku radova potrebno je na 3 dana zabraniti promet i kretanje ljudi plohama. Po postavi do trenutka uporabe pod treba primjereno zaštititi.</t>
  </si>
  <si>
    <t>B 5. LIMARSKI RADOVI</t>
  </si>
  <si>
    <t>Limarske radove izvesti prema opisu u troškovniku, uz eventualne korekcije projektom predviđenih razvijenih širina i opisa detalja po izmjeri na licu mjesta. Radove izvoditi po pravilima struke i primjenjujući važeće opće i posebne tehničke propise i norme:</t>
  </si>
  <si>
    <t>HRN EN 1172 ili jednakovrijedno - Bakar i legure bakra - limovi i trake za primjenu u građevinarstvu ili jednakovrijedno,</t>
  </si>
  <si>
    <t>HRN EN 1652  ili jednakovrijedno - Bakar i legure od bakra - ploče, limovi, trake i rondele opće namjene ili jednakovrijedno.</t>
  </si>
  <si>
    <t>Svi ostali materijali koji nisu obuhvaćeni normama moraju imati certifikate od za to ovlaštenih institucija. Opšave, konzole - nosače opšava, žljebova i cijevi izvesti iz bakrenih profila. Svi vijci i spojna sredstva moraju obvezno biti od nerđajućeg materijala, izvedeno u antikorozivnoj izvedbi.</t>
  </si>
  <si>
    <t>Lim koji naliježe na betonsku podlogu ili na podlogu od opeke mora biti podložen sa krovnom ljepenkom što mora biti uključeno u jediničnu cijenu stavke.</t>
  </si>
  <si>
    <t>Limovi moraju biti glatki, ravni, jednake debljine, bez bora, mjehura i pora, moraju se obrađivati i savijati i ne smiju dobiti pukotine niti se ljuštiti.</t>
  </si>
  <si>
    <t>Kod spajanja raznih vrsta materijala treba na pogodan način izvesti izolaciju (premaz, izol.traka i sl.) da ne dođe do galvanskog elektriciteta.</t>
  </si>
  <si>
    <t>Sva učvršćenja i povezivanja moraju se izvesti tako da konstrukcija bude sigurna od oluja i da pojedini dijelovi mogu nesmetano raditi uslijed promjene temperature. Mekani limovi spajaju se utorenjem ili lemljenjem, a srednje tvrdi i tvrdi utorenjem ili zakivanjem i lemljenjem. Širina lemljenih šavova mora biti najmanje 15 mm.</t>
  </si>
  <si>
    <t>Ako je opis koje stavke izvođaču nejasan treba pravovremeno, prije predaje ponude, tražiti objašnjenje iste.</t>
  </si>
  <si>
    <t>Izvođač je dužan prije izrade limarije uzeti sve izmjere u naravi, a također je dužan prije početka montaže ispitati sve dijelove gdje se imaju izvesti limarski radovi, te na eventualnu neispravnost istih upozoriti nadzornog inženjera, jer će se u protivnom naknadni popravci izvršiti na račun izvođača limarskih radova.</t>
  </si>
  <si>
    <t xml:space="preserve">Način izvedbe i ugradbe, te obračun u svemu prema postojećim normama za izvođenje završnih radova u građevinarstvu, po jedinici mjere u troškovniku i stvarno izvedenim količinama na gradilištu. </t>
  </si>
  <si>
    <t>Jedinična cijena treba sadržavati:</t>
  </si>
  <si>
    <t>sav rad uključivo i uzimanje mjere na gradnji za izvedbu i obračun,</t>
  </si>
  <si>
    <t>sav materijal uključivo pomoćni te pričvrsni materijal,</t>
  </si>
  <si>
    <t>sav rad na gradnji i u radionici,</t>
  </si>
  <si>
    <t>sav transport i uskladištenje materijala,</t>
  </si>
  <si>
    <t>dobavu i polaganje podložne ljepenke,</t>
  </si>
  <si>
    <t>ugradbu limarije upucavanjem,</t>
  </si>
  <si>
    <t>potrebne platforme, pokretnu skelu za montažu, kuke, užad, ljestve,</t>
  </si>
  <si>
    <t>ugradbu u ziđe ili sl. potrebnih obujmica, slivnika i sl.,</t>
  </si>
  <si>
    <t>čišćenje od otpadaka nakon izvršenih radova,</t>
  </si>
  <si>
    <t>zaštitu izvedenih radova do primopredaje.</t>
  </si>
  <si>
    <t>Ovi opći uvjeti mijenjaju se ili nadopunjuju opisom pojedinih stavki troškovnika.</t>
  </si>
  <si>
    <t>B 6. KROVOPOKRIVAČKI RADOVI</t>
  </si>
  <si>
    <t>Krovopokrivačke radove izvoditi prema odobrenom projektu, opisu troškovnika, uputama projektanta i nadzornog inženjera, a u skladu s važećim propisima i normama. Pri polaganju pokrova pridržavati se svih pravila struke i uputstva proizvođača pojedinih materijala, a sami materijali trebaju odgovarati postojećim propisima.</t>
  </si>
  <si>
    <t>Elementi pokrova koji će biti ugrađeni moraju imati sljedeće certifikate:</t>
  </si>
  <si>
    <t>certifikat o vodonepropusnosti</t>
  </si>
  <si>
    <t>certifikat o zvučnoj i toplinskoj izolaciji</t>
  </si>
  <si>
    <t>proračune i dokaze o pravilnoj konstrukcijskoj zasnovanosti obzirom na toplinsko rastezanje.</t>
  </si>
  <si>
    <t>B 7. STOLARSKI RADOVI</t>
  </si>
  <si>
    <t>Prije izvedbe radova izvoditelj je dužan izraditi i projektantu predočiti detalje izvedbe i radioničke nacrte kao i materijale za izvedbu. Tek nakon izbora i odobrenja projektanta može se otpočeti rad u odabranoj kvaliteti.</t>
  </si>
  <si>
    <t>Prilikom izvođenja radova mora se izvoditelj striktno pridržavati i od strane stručnog/projektantskog i konzervatorskog nazdora prihvaćenih materijala i detalja.</t>
  </si>
  <si>
    <t>Za svu stolariju vrijedi da u jediničnoj cijeni treba obuhvatiti:</t>
  </si>
  <si>
    <t>- sve materijale koji se ugrađuju i koriste (osnovne i pomoćne materijale);</t>
  </si>
  <si>
    <t>- sav potrebna rad (osnovni i pomoćni) na izvedbi radova do potpune gotovosti i funkcionalnosti istih;</t>
  </si>
  <si>
    <t>- sva potrebna uskladištenja i zaštite, sve potrebne zaštitne konstrukcije i skele, kao i sve drugo predviđeno mjerama zaštite na radu i pravilima struke;</t>
  </si>
  <si>
    <t>- ugradbu stolarije;</t>
  </si>
  <si>
    <t>- svo ostakljenje u kvaliteti i kvantiteti po opisu;</t>
  </si>
  <si>
    <t>- slijepe dovratnike/doprozornike za ugradbu;</t>
  </si>
  <si>
    <t>- sve pokrovne, kutne i kitne letvice i profile;</t>
  </si>
  <si>
    <t>- drvene čepove za pokrivanje glava svih upuštenih vijaka;</t>
  </si>
  <si>
    <t>- ugrađene podne odbojnike za sva vratna krila;</t>
  </si>
  <si>
    <t>- završnu obradu vidljivih ploha po opisu iz troškovnika;</t>
  </si>
  <si>
    <t>- sve troškove ispitivanja do dobivanja certifikata, uključivo sve potrebne materijale, uzorke i radnje vezane uz isto.</t>
  </si>
  <si>
    <t>unutarnja stolarija</t>
  </si>
  <si>
    <t>Dimenzije vratnih krila moraju odgovarati odredbama HRN-a D.E1.020 ili jednakovrijedno. Materijal za izradu stolarije mora odgovarati odredbama HRN-a D.E1.011 ili jednakovrijedno.</t>
  </si>
  <si>
    <t>Sva unutarnja stolarija ugrađuje se u suhoj ugradbi. Izrada, doprema i ugradba dovratnika za suhu ugradbu mora biti uključena u jediničnu cijenu stavke. U cijeni treba uključiti i dobavu i montažu te okivanje i pripasivanje finalnih dovratnika i krila, kao i pripasivanje kutnih i pokrovnih letvica, uključivo spajanje elemenata fasadnih stijena u cjelinu i pokrivanje spojeva odgovarajućim letvicama ili profilima, gdje su potrebne bez obzira ako nisu navedeni opisom stavke troškovnika.</t>
  </si>
  <si>
    <t>Svi spojni limovi, podkonstrukcije (slijepci), opšavi, tolinske izolacije, hidroizolacije i parne brane koje se prema pravilima struke ugrađuju, sastavni su dio troškovničkih stavki. Ugradnja sukladno RAL smjernicama ili jednakovrijedno.</t>
  </si>
  <si>
    <t>Vratno krilo izvodi se puno ili ostakljeno po opisu, s ili bez nadsvjetla.</t>
  </si>
  <si>
    <t>Sva vrata izvesti sa nalijepljenom brtvenom trakom po cijelom opsegu vratnog krila (zaštita od buke udara).</t>
  </si>
  <si>
    <t>Okov prvoklasni, brava cilindar, kvake, ukrasni štitovi ili rozete, sa elementima i priborom za pričvršćenje, sve po odabiru projektanta.</t>
  </si>
  <si>
    <t>B 8. PROTUPOŽARNA BRAVARIJA</t>
  </si>
  <si>
    <t>Prije izvedbe radova izvoditelj je dužan izraditi i predočiti detalje izvedbe i radioničke nacrte kao i materijale za izvedbu projektantu na ovjeru. Tek nakon izbora i odobrenja može se otpočeti rad u odabranoj kvaliteti.</t>
  </si>
  <si>
    <t>Prilikom izvođenja radova mora se izvoditelj striktno pridržavati prihvaćenih materijala i detalja.</t>
  </si>
  <si>
    <t>Za svu bravariju vrijedi da u jediničnoj cijeni treba obuhvatiti:</t>
  </si>
  <si>
    <t>- sve transporte i prijenose do i na gradilištu sve do mjesta ugradbe;</t>
  </si>
  <si>
    <t>- ugradbu bravarije;</t>
  </si>
  <si>
    <t>- sva brtvljenje i kitanje reški i dilatacija između pojedinih elemenata same stavke i između stavke i susjednih ploha; ugradnja sukladno RAL smjernicama ili jednakovrijedno</t>
  </si>
  <si>
    <t>- sva sidra i sidrene detalje i profile;</t>
  </si>
  <si>
    <t>- bušenje rupa u zidovima od opeke ili betona, dobavu i ugradbu pl. tipla za sidrene vijke kao i ugradbu vijaka, po potrebi zapunjavanje rupa za sidra ili oštećenja od ugradbe cem. mortom 1:1;</t>
  </si>
  <si>
    <t>Izvoditelj treba kvalitetu ugrađenih materijala i stručnost radnika dokazati odgovarajućim certifikatima izdanim od strane za to ovlaštene institucije. Za materijale za koje izvoditelj nema certifikat a isti se traži treba izvoditelj osigurati uzorke i dati ih na ispitivanje. Sve troškove za dobivanje certifikata predstavljaju obvezu i trošak izvoditelja.</t>
  </si>
  <si>
    <t>va protupožarna vrata koja će se ugraditi moraju imati pripadajući atest (certifikat). Sva zaokretna jednokrilna i dvokrilna protupožarna vrata moraju imati ugrađeni uređaj za stalno vraćanje u zatvoreni položaj kojim će se osigurati permanentno protupožarno odvajanje. Svi hidraulički zatvarači za samozatvaranje protupožarnih vrata moraju biti u skladu s normom EN 1154 ili jednakovrijedno.</t>
  </si>
  <si>
    <t>Svi vidljivi dijelovi konstrukcije alu protupožarne bravarije moraju biti izvedeni profilima i limovima završno plastificirani u boji i tonu po izboru, a obrada plastificiranjem mora biti aposlutno postojana bez promjene tona.</t>
  </si>
  <si>
    <t>Svi vidljivi dijelovi bravarije moraju biti završno bojani alkidnim naličem za bolju obradu, što uključuje: čišćenje od rđe, po potrebi; ličenje očišćenih mjesta antikorozivnim naličem u 2 premaza; kitanje pukotina i rupica odgovarajućim kitom; ličenje alkidnom bojom u 2 premaza; ličenje alkidnom lak bojom.</t>
  </si>
  <si>
    <t>Za stavke za koje postoji certifikat (tipska bravarija) isti treba dostaviti što je uključeno u jediničnu cijenu stavke, a za stavke koje nisu certificirane (vantipska bravarija) treba osigurati uzorke i dati ih na ispitivanje za to ovlaštenoj i registriranoj organizaciji sve do dobivanja certifikata. Svi troškovi ispitivanja vantipske bravarije (rad, materijal, uzorci, komora i dr.) moraju biti uključeni u cijenu dotične stavke troškovnika.</t>
  </si>
  <si>
    <t>Izvoditelj radova (izvoditelj radova na izradi bravarije kao i izvoditelj radova na ugradbi) obvezan je prije početka izrade i ugradbe uručiti potrebne certifikate odgovarajućoj nadležnoj službi. Zabranjena je ugradba prije predočenja važećih certifikata.</t>
  </si>
  <si>
    <t>Izvoditelj radova također je dužan prije početka izrade i ugradbe bravarije uručiti projektantu odgovarajuću radioničku dokumentaciju i detalje glede certifikata. Na zahtjev projektanta izvoditelj je dužan dostaviti na uvid i po jedan primjerak kompletnih završno obrađenih vrata. Tek po odobrenju priložene dokumentacije i uzorka od strane projektanta može se otpočeti s radovima.</t>
  </si>
  <si>
    <t>Protupožarna bravarija izvodi se u potpunosti po detaljima izrade i ugradbe prethodno odabranog proizvoditelja, koristeći samo odgovarajuće materijale i tehnologiju, a u skladu sa po projektantu odabranim i odobrenim detaljima i materijalima. Zabranjena je ugradba stavki koje projektant prethodno nije odobrio i za koje nisu dostavljeni odgovarajući certifikati.</t>
  </si>
  <si>
    <t>Završna obrada vatrootporne bravarije je odgovarajuća boja, uključivo sve potrebne prethodne radnje i pripreme podloge.</t>
  </si>
  <si>
    <t>Veličina navedenog otvora bravarije je  svijetla mjera krila.</t>
  </si>
  <si>
    <t>Cilindar brava mora biti izvedena u sistemu centralnog ključa zajedno sa ostalim otvorima (stolarija, al. bravarija i sl.).</t>
  </si>
  <si>
    <t>ostakljenje</t>
  </si>
  <si>
    <t>Ostakljenje izvesti po opisu iz stavke troškovnika.</t>
  </si>
  <si>
    <t>brtvljenja</t>
  </si>
  <si>
    <t>Vrata i prozore treba opremiti kvalitetnim i trajnim brtvenim trakama i profilima. Isti moraju biti elastični, trajni i otporni na vanjske utjecaje, postojani na temperaturne promjene i zračenje. Kitovi koji se ugrađuju moraju biti trajno elastični, osobina kao gore navedeno.</t>
  </si>
  <si>
    <t>Tvrdoća kitova nakon stvrdnjavanja mora biti po Shore A 25-35 ili jedankovrijedno, kit mora biti stabilnog volumena, otporan na ultraljubičasto zračenje, kemijske uplive, koroziono i biokemijski neaktivan.</t>
  </si>
  <si>
    <t>B 9. BRAVARSKI RADOVI</t>
  </si>
  <si>
    <t>Prije izvedbe radova izvoditelj je dužan izraditi i predočiti detalje izvedbe i radioničke nacrte kao i materijale za izvedbu stručnom/projektantskom nadzoru na ovjeru. Tek nakon izbora i odobrenja može se otpočeti rad u odabranoj kvaliteti.</t>
  </si>
  <si>
    <t>- ugradbu unutrašnje i vanjske bravarije sukladno RAL smjernicama ili jednakovrijedno;</t>
  </si>
  <si>
    <t>- sva brtvljenje i kitanje reški i dilatacija između pojedinih elemenata same stavke i između stavke i susjednih ploha;</t>
  </si>
  <si>
    <t>B 10. SOBOSLIKARSKO-LIČILAČKI RADOVI</t>
  </si>
  <si>
    <t>Prije početka izvedbe radova izvoditelj je dužan projektantu predočiti uzorke boja odgovarajuće za određen tip obrade i izvesti probna bojanja s uzorcima na plohama koje se obrađuju, i to u više nijansi boja, na osnovu čega će projektant odabrati boju i način nanošenja odnosno tip valjka. Tek po izboru i odobrenju projektanta može se otpočeti sa radovima na tako odabran način. Gore navedeno neće se posebno platiti već predstavlja trošak i obvezu izvoditelja i ulazi u jediničnu cijenu izvedbe radova.</t>
  </si>
  <si>
    <t>Ukoliko se izvedu radovi koje projektant nije odobrio i (ili) u neodgovarajućoj boji, tonu ili kvaliteti, radovi će se morati ponoviti u traženoj kvaliteti, izboru i po projektu uz prethodno uklanjanje neispravnih radova.</t>
  </si>
  <si>
    <t>Sva bojanja i ličenja treba izvesti samo na suhim, čistim, ravnim ili ravnomjerno zakrivljenim (po projektu) i odmašćenim plohama. Podlogu treba prije početka radova pregledati i kod većih oštećenja ili zaprljanja i zamašćenja na isto upozoriti nadzornog inženjera i radove prekinuti dok se podloga odgovarajuće ne pripremi. Kod manjih oštećenja treba izvoditelj podlogu dovesti u potrebno stanje za kvalitetan rad brušenjem manjih neravnina, kitanjem i zapunjavanjem pukotina i manjih udubina kitom za zapunjavanje i izravnanje. Nakon toga treba obavezno izvesti jednokratno gletanje odgovarajućom glet masom za određeni tip podloge, ako nije u stavci troškovnika drugačije navedeno. Sve gore navedeno treba uračunati u jediničnu cijenu.</t>
  </si>
  <si>
    <t>Pri radu, naročito u zatvorenim prostorima i ispod krovišta treba se striktno pridržavati pravila zaštite na radu, uz primjenu odgovarajućih zaštitnih sredstava. Sve prostorije po završetku radova treba dobro prozračiti ili ventilirati.</t>
  </si>
  <si>
    <t>Prilikom izvođenja radova izvoditelj treba zaštititi sve susjedne plohe i dijelove konstrukcije na takav način da ne dođe do njihovog prljanja i oštećenja i isto uračunati u cijeni. Ukoliko do prljanja i oštećenja ipak dođe isto će izvoditelj očistiti i popraviti na svoj trošak.</t>
  </si>
  <si>
    <t>B 11. STAKLARSKI RADOVI</t>
  </si>
  <si>
    <t xml:space="preserve">Izvoditi prema, Tehničkom propisu o racionalnoj uporabi energije i toplinskoj zaštiti u zgradama (NN 128/15, 70/18, 73/18, 86/18 i 102/20).
Staklarski radovi moraju biti specificirani prema HRN EN 572-9:2005 ili jednakovrijednoj.  
Ostakljenja za vrata, prozore i stijene obuhvaćena su i opisuju se u stolarskim odnosno bravarskim radovima, osim ako u stavci nije drugačije navedeno. 
Vrste stakla:  
Ravno (float) staklo – proizvodi se izvlačenjem i lijevanjem, mora biti jednolične tražene debljine, strojne izrade, potpuno prozirno, bez valova i mjehura, a sliku mora davati bez deformacija, prozorsko 3-4 mm, za izloge 2-5 mm 
Izo (termoizolirajuće) staklo – sastavljeno je od dva ili tri stakla d = 4 (6) mm i šupljine 12 (16) mm. 
</t>
  </si>
  <si>
    <t xml:space="preserve">Sigurnosno staklo – pri lomu se rasprsne u besopasne komadiće, može biti kaljeno staklo i laminirano staklo                                  o Kaljeno (sekurit) staklo (6 – 10 mm) – sigurnosno staklo koje se dobiva termičkom obradom ravnog stakla, staklo prolazi kroz fazu pripreme (rezanje, bušenje, brušenje i pranje), a zatim kroz postupak kaljenja. 
o Laminirano staklo (lamistal) – sigurnosno ili neprobojno staklo,  sastoji se od 2 ili više slojeva stakla, međusobno slijepljenih folijama (od 4 + 4 = 8 mm, do 5 + 5 + 5 + 5 = 20 mm) i mora imati vidljivu oznaku o broju slojeva, ukupnoj debljini i atest o otpornosti na udar 
Vatrootporno staklo - prozirno višeslojno staklo koje se sastoji od nekoliko slojeva laminiranih stakala, kod povišene temperature i u vremenu od 30, 60, 90 ili 120 min, slojevi se šire i pretvaraju u čvrsti i kompaktni "štit", koji za vrijeme požara ne propušta požar, dim ili vruće pare 
Reflektirajuće staklo -  s dodatnim metaliziranim slojem, odbija 40% toplinskih zraka 
Polureflektivno staklo - ima naneseni metalni oksid tako da se zapravo kombinira toplinska zaštita i refleksija, odbija zrake sunca, ali bitno manje nego reflektivno staklo, i upija dio svjetlosti i energije, boje stakla su bezbojno, zeleno i plavo </t>
  </si>
  <si>
    <t xml:space="preserve">
Antireflektivno staklo - kombinirano od dvije pirolitički obrađene površine stakla u jednostruko laminirano staklo kako bi reduciralo vidljivo svjetlo refleksije na manje od 2%,  sprječava prolaz i do 99% UV zračenja 
Armirano staklo (6 – 7 mm) – ojačano metalnom mrežicom u sredini, treba imati pravilno raspoređenu mrežu, jednoličnu debljinu, te ne smije imati mjehure i valove. 
Ornament – mutno, mat, mliječno (pjeskareno), mora biti jednolične debljine (5 – 6 mm) i odgovarati uzorku kojeg odabere projektant 
Satinirano staklo - float staklo kojemu je jedna strana obrađena visokokvalitetnim nagrizanjem kiseline, satinirano staklo je više transparentno od pjeskarenog stakla 
Profilit staklo – profilirane staklene lamele 
Staklene pločice i stakleni mozaik 
Staklena pjena (foam glas) – proizvodi se od recikliranog staklenog otpada, male je gustoće , a ima odlična teroizolacijska svojstva te funkciju parne brane 
Vodeno staklo - bezbojna, prozirna viskozna vodena otopina natrijeva silikata, kalijeva silikata s kremenim pijeskom, vezivni materijal za staklo, za fiksiranje pigmenata itd. 
</t>
  </si>
  <si>
    <t xml:space="preserve">Izvođač treba upotrijebiti materijal koji u svemu (vrsti, boji i kvaliteti) mora biti jednak uzorku što ga odabere projektant. Materijal predviđen za izvedbu naveden je u stavkama troškovnika. 
Izvođači stolarije i staklar dogovoriti će ovisno o debljini stakla, širinu utora za staklo za svaku pojedinu stavku. Utor treba biti dovoljno širok da se staklo uloži u kit. Svo ostakljenje izvodi se pomoću drvenih, čeličnih ili aluminijskih kutnih letvica, koje daje stolar, odnosno bravar zajedno sa potrebnim vijcima, a brtvljenje je plastičnim kitom, koji je kod stolarije u tonu drveta. 
</t>
  </si>
  <si>
    <t xml:space="preserve">Prije početka radova izvođač mora ustanoviti kvalitetu i provjeriti mjere otvora stolarskih i bravarskih radova koji se ostakljuju. Istu takvu provjeru treba izvođač obaviti prije ugradnje vrata od kaljenog stakla. Ako izvođač ustanovi neispravnosti na otvorima stolarskih i bravarskih proizvoda, te na otvorima gdje se trebaju ugraditi vrata od kaljenog stakla, o tome mora odmah pismeno obavijestiti svog naručitelja kako bi se te neispravnosti mogle otkloniti na vrijeme i omogućiti nesmetan rad izvođaču staklarskih radova. </t>
  </si>
  <si>
    <t>Prije početka radova izvođač mora ustanoviti kvalitetu i provjeriti mjere otvora stolarskih i bravarskih radova koji se ostakljuju. Istu takvu provjeru treba izvođač obaviti prije ugradnje vrata od kaljenog stakla. Ako izvođač ustanovi neispravnosti na otvorima stolarskih i bravarskih proizvoda, te na otvorima gdje se trebaju ugraditi vrata od kaljenog stakla, o tome mora odmah pismeno obavijestiti svog naručitelja kako bi se te neispravnosti mogle otkloniti na vrijeme i omogućiti nesmetan rad izvođaču staklarskih radova</t>
  </si>
  <si>
    <t xml:space="preserve">Postava kupola i traka od stakloplastike vrši se prema uputama proizvođača, a u koordinaciji s izvođačem krova.  Izvođač će pristupiti izvedbi tek nakon što projektant potpisom potvrdi tehnološku razradu svih detalja 
</t>
  </si>
  <si>
    <t xml:space="preserve">Jedinična cijena uključuje  
uzimanje mjera na gradilištu  i definiranje ugradbenih dimenzija 
tehnološku razradu svih detalja 
spojni materijal 
postavu i skidanje radne skele  
sve posredne i neposredne troškove za rad, materijal, alat i građevinske strojeve 
sve transporte 
čišćenje tokom rada 
odvoz i zbrinjavanje smeća  
završno čišćenje prije primopredaje radova 
nadoknadu  eventualne štete nastale iz nepažnje  na svojim ili tuđim radovima 
</t>
  </si>
  <si>
    <t>B 12. SANITARNE PREGRADE</t>
  </si>
  <si>
    <t>Prije početka izvedbe radova izvoditelj je dužan projektantu predočiti uzorke materijala i boja. Tek po izboru i odobrenju projektanta može se otpočeti sa radovima na tako odabran način. Gore navedeno neće se posebno platiti već predstavlja trošak i obvezu izvoditelja i ulazi u jediničnu cijenu izvedbe radova.</t>
  </si>
  <si>
    <t>Prilikom izvođenja radova mora se izvoditelj striktno pridržavati usvojenih i od strane projektanta prihvaćenih materijala i ovjerenih detalja.</t>
  </si>
  <si>
    <t>Ukoliko se izvedu radovi koje projektant nije odobrio i (ili) u neodgovarajućoj boji i (ili) kvaliteti i (ili) različito s obzirom na odobreni projekt oblaganja i detalje, radovi će se morati ponoviti u traženoj kvaliteti, izboru i po projektu uz prethodno uklanjanje neispravnih radova.</t>
  </si>
  <si>
    <t>Sav prostor koji je izvoditelj koristio treba nakon završetka radova dovesti u prijašnje stanje i počistiti sav prostor od svojeg smeća, šute i otpada.</t>
  </si>
  <si>
    <t>OPĆI UVJETI UZ INSTALATERSKE RADOVE</t>
  </si>
  <si>
    <t>Instalacija se mora izvesti prema nacrtima (tlocrti i sheme) i tehničkom opisu u projektu, važećim hrvatskim propisima, tehničkim propisima i pravilima struke. Projekt za izvođenje mora biti ovjeren od nadležnih ustanova i projektanta glavnog projekta.</t>
  </si>
  <si>
    <t>Za sve promjene i odstupanja od ovog projekta mora se pribaviti pismena suglasnost nadzornog inženjera, odnosno projektanta.</t>
  </si>
  <si>
    <t>Izvođač je dužan prije izvođenja proučiti projekt te provjeriti postojeće stanje. Za sva eventualna odstupanja potrebno je konzultirati projektanta ili nadzornog inženjera. Samovoljna izmjena projekta izvršena po izvođaču isključuje odgovornost projektanta za tehničku ispravnost projekta odnosno određene cjeline.</t>
  </si>
  <si>
    <t xml:space="preserve">Za svu opremu i materijal koju ponuditelj nabavlja i ugrađuje potrebno je priložiti isprave o sukladnosti, u skladu sa važećim zakonima i propisima iz područja gradnje (izjave i potvrde o sukladnosti građevinskih proizvoda, ispitivanja i atesti, certifikati i sl.). Ponuditelj je dužan u okviru radova predviđenih ovim troškovnikom predvidjeti i provedbu kontrolnih postupaka u pogledu dokazivanja kvalitete izvedenih radova (tlačna proba instalacije, funkcionalna ispitivanja, i sl.) </t>
  </si>
  <si>
    <t>Eventualne izmjene predviđene opreme "zamjenskom" od strane izvođača nije dopuštena bez prethodne pismene suglasnosti projektatna. Izmjene opreme bez suglasnosti projektatnta isključuju odgovornost projektanta za predviđenu funkcionalnost postrojenja.</t>
  </si>
  <si>
    <t>Prije početka izvođenja radova izvođač može izvrši pregled objekta i o eventualnim odstupanjima projekta od stvarnog stanja upozori naručitelja.</t>
  </si>
  <si>
    <t>Izvođač radova može se prije početka izvođenja radova upoznati s projektnom dokumentacijom.</t>
  </si>
  <si>
    <t>Ako uoči neke nedostatke, treba odmah s uočenim nedostatcima upoznati projektanta i naručitelja.</t>
  </si>
  <si>
    <t>TEHNIČKI UVJETI IZVOĐENJA INSTALATERSKIH RADOVA</t>
  </si>
  <si>
    <t>Materijal i oprema ugrađeni u instalaciju moraju biti sukladni zahtjevima hrvatske tehničke specifikacije. Izvođač je dužan prije ugradnje nadzornom inženjeru priložiti izjavu o svojstvima građevnog proizvoda napisanu na hrvatskom jeziku.</t>
  </si>
  <si>
    <t xml:space="preserve">Po završetku montaže vodovodnih cijevi izvršiti tlačnu probu te izvršiti dezinfekciju cjevovoda. </t>
  </si>
  <si>
    <t>Nakon uspješno obavljenih ispitivanja vrši se čišćenje, postavljanje izolacija i ličenje instalacije.</t>
  </si>
  <si>
    <t>Tehnička primopredaja instalacije nakon završetka svih radova vrši se u prisustvu nadzornog inženjera i predstavnika investitora.
Ukoliko se prilikom predaje instalacije vrši i tehnički pregled u svrhu dobivanja uporabne dozvole, prisutni su i predstavnici organa nadležnog za izdavanje uporabne dozvole.</t>
  </si>
  <si>
    <t>Garantni rok za ispravnost uređaja teče od dana tehničkog prijema, odnosno predaje instalacije investitoru na korištenje.</t>
  </si>
  <si>
    <t>Garantni rok na kvalitetu izvršenog posla daje izvođač na rok od dvije godine, odnosno prema odredbi ugovora, a garantni rok na opremu daje proizvođač prema svojim uvjetima.</t>
  </si>
  <si>
    <t>Izvođač se prilikom izvedbe osim projektne dokumentacije mora držati i uputa proizvođača materijala i opreme.</t>
  </si>
  <si>
    <t>Izvođač prije početka izvedbe radova mora dostaviti sve tehničke specifikacije materijala koje će ugraditi ili dati precizne podatke o istima kako bi se tijekom  izvedbe mogla pratiti kontrola ugrađenih materijala i ostale opreme.</t>
  </si>
  <si>
    <t>Instalacije smije izvoditi samo ovlašteni izvođač. U protivnom svu nastalu štetu snosi onaj tko je angažirao nestručnog izvođača.</t>
  </si>
  <si>
    <t>Izvođač je dužan voditi montažni dnevnik kojeg ovjerava nadzorni inženjer.</t>
  </si>
  <si>
    <t>Vodovod i kanalizacija</t>
  </si>
  <si>
    <t>Jedinične cijene pojedinih stavki troškovnika moraju sadržavati svu odštetu i pripomoć za obavljeni rad, osnovni i pomoćni materijal, tj. dobavu i  ugradnju, uključivo horizontalni i vertikalni prijenos u objektu, te pomoćne skele i zaštitu tako da se na pogođenu stavku troškovnika ne može tražiti nikakva daljnja odšteta, osim pogođene cijene.
U jediničnim cijenama moraju biti sadržani i svi sporedni radovi, koje se posebno ne zaračunavaju:
a)	izmjere ugrađenog materijala potrebne za konačni obračun.
b)	sav potreban alat kao i zaštitne naprave, pod kojima se podrazumijeva postavljanje skele, ograde i sl.
c)	troškovi ispitivanja materijala, ali samo u slučaju ako je ovim ispitivanjem dokazano da izvođač nije upotrijebio odgovarajući materijal
d)	odstranjenje svih otpadaka i smeća od instalacija vodovoda i kanalizacije sa gradilišta.
e)	predloženje eventualno potrebnih uzoraka, naročito sanitarnih uređaja i pribora na uvid investitoru.
f)	popravak šteta počinjenih nepažnjom na tuđim i vlastitim radovima.</t>
  </si>
  <si>
    <t>Prije davanja ponude za izvedbu predmetne građevine izvođač je dužan:</t>
  </si>
  <si>
    <t xml:space="preserve">a) proučiti projektnu dokumentaciju </t>
  </si>
  <si>
    <t>b) pregledati trasu instalacija vodovoda i kanalizacije te smještaja opreme</t>
  </si>
  <si>
    <t>c) prikupiti potrebne podatke o uvjetima pod kojima će se objekt graditi</t>
  </si>
  <si>
    <t>d) prikupiti podatke o tipskim rješenjima i materijalima kojeg koristi krajnji korisnik</t>
  </si>
  <si>
    <t>e) sve demontažne radove obavezno dogovoriti sa investitorom</t>
  </si>
  <si>
    <t>f) izvođač je dužan proučiti sve gore navedene dijelove projekta, te u slučaju nejasnoća tražiti objašnjenje od projektanta, odnosno iznijeti svoje primjedbe</t>
  </si>
  <si>
    <t>STABILNI SUSTAV ZA GAŠENJE POŽARA</t>
  </si>
  <si>
    <t>1. OPĆI UVJETI IZVEDBE STABILNIH SUSTAVA ZA GAŠENJE POŽARA</t>
  </si>
  <si>
    <t>1.1.</t>
  </si>
  <si>
    <t>U jediničnoj cijeni se uračunava sve dolje navedeno kao i ono što je navedeno u UVJETIMA, ako je iz bilo kojeg razloga ovdje izostavljeno.</t>
  </si>
  <si>
    <t>.</t>
  </si>
  <si>
    <t>1.2.</t>
  </si>
  <si>
    <t>Sav materijal mora imati oznaku CE i pripadajuću izjavu o sukladnosti.</t>
  </si>
  <si>
    <t>1.3.</t>
  </si>
  <si>
    <t>Sva ispitivanja (tlačne probe, funkcionalna ispitivanja sustava, ispitivanja ugrađene opreme, ispitivanje zrakonepropusnosti štićenih prostora plinskim sustavom gašenja) moraju biti uključena u jediničnoj cijeni jer time dokazuju da su radovi izvedeni u traženoj kvaliteti.</t>
  </si>
  <si>
    <t>2. OPĆI UVJETI IZVEDBE PROTUPOŽARNIH SUSTAVA</t>
  </si>
  <si>
    <t>2.1.</t>
  </si>
  <si>
    <t>Instalaciju treba izvesti prema nacrtima i tehničkom opisu u projektu, važećim hrvatskim propisima, tehničkim propisima prema kojima je instalacija projektirana i pravilima struke.</t>
  </si>
  <si>
    <t>2.2.</t>
  </si>
  <si>
    <t>Tehničke karakteristike opreme mogu odstupati ±3%.</t>
  </si>
  <si>
    <t>2.3.</t>
  </si>
  <si>
    <t>Izvođač je dužan prije početka radova projekt provjeriti na licu mjesta i za eventualna odstupanja konzultirati projektanta.</t>
  </si>
  <si>
    <t>2.4.</t>
  </si>
  <si>
    <t>Po završetku ugovorenih radova a prije početka korištenja odnosno stavljanja instalacije u pogonsko stanje instalaciju treba zapisnički pustiti u rad.</t>
  </si>
  <si>
    <t>2.5.</t>
  </si>
  <si>
    <t>Prije stavljanja instalacije u rad treba napraviti obuku krajnjeg korisinika ili ugovoriti održavanje instalacije sa ovlaštenim servisom.</t>
  </si>
  <si>
    <t>2.6.</t>
  </si>
  <si>
    <t>Preglede instalacije treba vršiti sukladno zidnim uputama i knjizi rukovanja i održavanja protupožarnog sustava. Jednom godišnje treba ishoditi uvjerenje o funkcionalnosti sustava od ovlaštene pravne osobe.</t>
  </si>
  <si>
    <t>3. OPĆI UVJETI IZVEDBE SUSTAVA SA SREDSTVOM FK-5-1-12</t>
  </si>
  <si>
    <t>3.1.</t>
  </si>
  <si>
    <t>Instalaciju treba izvesti prema nacrtima, hidrauličkim proračunima i tehničkom opisu u projektu, važećim propisima, tehničkim propisima prema kojima je instalacija projektirana i pravilima struke.</t>
  </si>
  <si>
    <t>3.2.</t>
  </si>
  <si>
    <t>Za promjene i odstupanja od projekta mora se pribaviti pismena suglasnost projektanta i nadzornog inženjera.</t>
  </si>
  <si>
    <t>3.3.</t>
  </si>
  <si>
    <t>3.4.</t>
  </si>
  <si>
    <t>Izvoditelj se obvezuje da će redovito upisivati u građevinski dnevnik sve potrebne podatke, koje je obvezan upisivati i da će osobi ovlaštenoj za vršenja nadzora omogućiti svakodnevno uvid u građevinski dnevnik.</t>
  </si>
  <si>
    <t>3.5.</t>
  </si>
  <si>
    <t>3.6.</t>
  </si>
  <si>
    <t>Prije stavljanja instalacije u rad treba napraviti obuku krajnjeg korisnika ili ugovoriti održavanje instalacije sa ovlaštenim servisom.</t>
  </si>
  <si>
    <t>3.7.</t>
  </si>
  <si>
    <t>Preglede instalacije treba vršiti sukladno zidnim uputama i knjizi rukovanja i održavanja sustava sa FK-5-1-12. Jednom godišnje treba ishoditi uvjerenje o funkcionalnosti sustava.</t>
  </si>
  <si>
    <t>4. DEFINICIJA JEDNAKOVRIJEDNOG SUSTAVA - SUSTAV ZA GAŠENJE SREDSTVOM FK-5-1-12</t>
  </si>
  <si>
    <t>4.1.</t>
  </si>
  <si>
    <t>Ovim troškovnikom projektiran je i predviđen sustav za gašenje požara plinskim sredstvom FK-5-1-12. 
Jednakovrijedan sustav za gašenje požara je svaki sustav sa čistim plinom "Clean agent" koji je reguliran normom HRN EN 15004 ili jednakovrijedno i minimalno zadovoljava niže navedene uvjete sukladno normi HRN EN 15004 ili jednakovrijedno:
     1. KRITERIJ SIGURNOSTI ZAPOSLENIKA (Koncentracija NOAEL i LOAEL) - SIGURNOSNI KRITERIJ
                     Projekna koncentracija za klasu A   &lt;  LOAEL koncentracije (minimalna vrijednost)     
     2. KRITERIJ RAZGRADNJE OZONA (ODP koeficijent) - EKOLOŠKI KRITERIJ
                     ODP = 0  (minimalna vrijednost)
     3. KRITERIJ ZAGRIJAVANJA ATMOSFERE (GWP koeficijent) - EKOLOŠKI KRITERIJ
                     GWP = 1 (minimalna vrijednost)
     4. KRITERIJ VREMENA RAZGRADNJE (Lifetime) -  EKOLOŠKI KRITERIJ
                     Vrijeme razgradnje sredstva u atmosferi &lt; 6 dana
     5. KRITERIJ POTLAKA / PRETLAKA -  TEHNIČKI KRITERIJ
                     Adekvatno rješenje za ponuđeni sustav</t>
  </si>
  <si>
    <t>4.2.</t>
  </si>
  <si>
    <r>
      <rPr>
        <i/>
        <sz val="9"/>
        <rFont val="Calibri"/>
        <family val="2"/>
        <charset val="238"/>
        <scheme val="minor"/>
      </rPr>
      <t xml:space="preserve">KRITERIJ SIGURNOSTI ZAPOSLENIKA (Koncentracija NOAEL i LOAEL) - SIGURNOSNI KRITERIJ
</t>
    </r>
    <r>
      <rPr>
        <sz val="9"/>
        <rFont val="Calibri"/>
        <family val="2"/>
        <charset val="238"/>
        <scheme val="minor"/>
      </rPr>
      <t xml:space="preserve">Pojam NOAEL predstavlja najvišu koncentraciju sredstva za gašenje požara kod koje nije uočen štetan toksikološki ili fiziološki učinak na ljude.
Pojam LOAEL predstavlja najnižu koncentraciju sredstva za gašenje požara kod koje su uočeni štetni toksikološki ili fiziološki učinci.
Sva zamjenska plinska sredstva za gašenje požara trebaju imati projektnu koncentraciju manju od  
LOAEL koncentracije za klasu požarne opasnosti "klasa A" sukladno HRN EN 15004 normi ili jednakovrijedno.
      A) Sredstvo za gašenje požara sa projektnom koncentracijom za "Klasu A" manjom od NOAEL 
           koncentracije nije potrebno udovoljavati posebnim dodatnim uvjetima.
           </t>
    </r>
    <r>
      <rPr>
        <i/>
        <sz val="9"/>
        <rFont val="Calibri"/>
        <family val="2"/>
        <charset val="238"/>
        <scheme val="minor"/>
      </rPr>
      <t xml:space="preserve">(Sukladno HRN EN 15004 ili jednakovrijedno sredstva za gašenje požara koja imaju projektnu koncentraciju nižu od NOAEL koncentracije ne ugrožavaju niti na koji način zdravlje i život ljudi u štićenom prostoru).  </t>
    </r>
    <r>
      <rPr>
        <sz val="9"/>
        <rFont val="Calibri"/>
        <family val="2"/>
        <charset val="238"/>
        <scheme val="minor"/>
      </rPr>
      <t xml:space="preserve">
      B) Ukoliko se nudi sredstvo za gašenje požara koje ima projektnu koncentraciju za "Klasu A" između 
           NOAEL i LOAEL koncentracije potrebno je predvidjeti sklopku za prebacivanje ručni režim rada -             
           automatski režim rada.
      C) Sredstvo  za gašenje požara koje ima projektnu koncentraciju za "Klasu A"  sukladno HRN EN 15004 ili jednakovrijedno veću od LOAEL ne udovoljava sigurnosnom kriteriju (ne dozvoljava se zamjena).</t>
    </r>
  </si>
  <si>
    <t>4.3.</t>
  </si>
  <si>
    <r>
      <rPr>
        <i/>
        <sz val="9"/>
        <rFont val="Calibri"/>
        <family val="2"/>
        <charset val="238"/>
        <scheme val="minor"/>
      </rPr>
      <t xml:space="preserve">KRITERIJ RAZGRADNJE OZONA (ODP) - EKOLOŠKI KRITERIJ
</t>
    </r>
    <r>
      <rPr>
        <sz val="9"/>
        <rFont val="Calibri"/>
        <family val="2"/>
        <charset val="238"/>
        <scheme val="minor"/>
      </rPr>
      <t>Koeficijent ODP</t>
    </r>
    <r>
      <rPr>
        <i/>
        <sz val="9"/>
        <rFont val="Calibri"/>
        <family val="2"/>
        <charset val="238"/>
        <scheme val="minor"/>
      </rPr>
      <t xml:space="preserve">  (Ozone Deplation Potential) </t>
    </r>
    <r>
      <rPr>
        <sz val="9"/>
        <rFont val="Calibri"/>
        <family val="2"/>
        <charset val="238"/>
        <scheme val="minor"/>
      </rPr>
      <t xml:space="preserve">je koeficijent razgradnje ozona. </t>
    </r>
    <r>
      <rPr>
        <i/>
        <sz val="9"/>
        <rFont val="Calibri"/>
        <family val="2"/>
        <charset val="238"/>
        <scheme val="minor"/>
      </rPr>
      <t xml:space="preserve"> </t>
    </r>
    <r>
      <rPr>
        <sz val="9"/>
        <rFont val="Calibri"/>
        <family val="2"/>
        <charset val="238"/>
        <scheme val="minor"/>
      </rPr>
      <t xml:space="preserve">Sukladno Montrealskom sporazumu uvedena su ograničenja i zabrane na sredstva za gašenje požara koja imaju koeficijent ODP veći od 0 (sredstva koja oštećuju ozonski omotač).
</t>
    </r>
  </si>
  <si>
    <t>4.4.</t>
  </si>
  <si>
    <r>
      <rPr>
        <i/>
        <sz val="9"/>
        <rFont val="Calibri"/>
        <family val="2"/>
        <charset val="238"/>
        <scheme val="minor"/>
      </rPr>
      <t xml:space="preserve">KRITERIJ ZAGRIJAVANJA ATMOSFERE (GWP) - EKOLOŠKI KRITERIJ
</t>
    </r>
    <r>
      <rPr>
        <sz val="9"/>
        <rFont val="Calibri"/>
        <family val="2"/>
        <charset val="238"/>
        <scheme val="minor"/>
      </rPr>
      <t>Koeficijent GWP</t>
    </r>
    <r>
      <rPr>
        <i/>
        <sz val="9"/>
        <rFont val="Calibri"/>
        <family val="2"/>
        <charset val="238"/>
        <scheme val="minor"/>
      </rPr>
      <t xml:space="preserve">  (Global Warming Potential) </t>
    </r>
    <r>
      <rPr>
        <sz val="9"/>
        <rFont val="Calibri"/>
        <family val="2"/>
        <charset val="238"/>
        <scheme val="minor"/>
      </rPr>
      <t xml:space="preserve">je koeficijent zagrijavanja atmosfere. Sukladno Kyoto protokolu u EU uvedena su ograničenja i pojačani nadzori na sredstva za gašenje požara koja imaju koeficijent GWP veći od 1 (sredstva koja imaju svojstvo zagrijavanja atmosfere).
</t>
    </r>
  </si>
  <si>
    <t>4.5.</t>
  </si>
  <si>
    <r>
      <rPr>
        <i/>
        <sz val="9"/>
        <rFont val="Calibri"/>
        <family val="2"/>
        <charset val="238"/>
        <scheme val="minor"/>
      </rPr>
      <t xml:space="preserve">KRITERIJ POTLAKA / PRETLAKA  - TEHNIČKI KRITERIJ
</t>
    </r>
    <r>
      <rPr>
        <sz val="9"/>
        <rFont val="Calibri"/>
        <family val="2"/>
        <charset val="238"/>
        <scheme val="minor"/>
      </rPr>
      <t>Za zamjenski sustav potrebno je kvalitetno riještiti problem potlaka / predtlaka u štićenom prostoru tijekom gašenja. Za FK-5-1-12 i za HFC plinska sredstva odgovarajuće tehničko rješenje pretlaka/potlaka je rješenje preko ventilo kanala uz odgovarajuće terminiranje aktiviranja protupožarnih zaklopka.
Za inertne plinove odgovarajuće tehničko rješenje pretlaka/potlaka je rješenje preko posebnih odzračnih rešetki i kanala.</t>
    </r>
  </si>
  <si>
    <t>5. CERTIFIKATI I KVALITETA UGRAĐENE OPREME I RADOVA</t>
  </si>
  <si>
    <t>5.1.</t>
  </si>
  <si>
    <t>Sav materijal za izvedbu radova protupožarnog sustava obavezan je izvođač dobaviti  prema specifikaciji materijala u projektnoj dokumentaciji a u skladu sa važećim zakonskim propisima.</t>
  </si>
  <si>
    <t>5.2.</t>
  </si>
  <si>
    <t>Sav materijal koji se upotrijebljava tijekom gradnje treba odgovarati hrvatskim standardima, a sva oprema za koju je propisom reguliran certifikat treba posjedovati isti ili jednakovrijedan. Odstupanje od navedenog treba odobriti projektant i nadzorni inženjer.</t>
  </si>
  <si>
    <t>5.3.</t>
  </si>
  <si>
    <t>Sva ugrađena oprema treba svojom kvalitetom i tehničkim karakteristikama odgovarati referentnoj opremi navedenoj u troškovniku pod stavkom "kvaliteta proizvoda kao:". Odstupanje od projektirane opreme u kvaliteti treba procijeniti i odobriti nadzorni inženjer i projektant. Za navedeni postupak potrebno je projektantu i nadzornom inženjeru dostaviti tehničke karakteristike zamjenske opreme i certifikate .</t>
  </si>
  <si>
    <t>5.4.</t>
  </si>
  <si>
    <t>Sva protupožarna oprema treba posjedovati uvjerenja o ispravnosti i podobnosti izdana od ovlaštene pravne osobe.</t>
  </si>
  <si>
    <t>5.5.</t>
  </si>
  <si>
    <t>Pored materijala i sam rad mora biti kvalitetno izveden, a sve što bi se u toku rada i poslije pokazalo nekvalitetno izvođač je dužan u svom trošku ispraviti.</t>
  </si>
  <si>
    <t>5.6.</t>
  </si>
  <si>
    <t>Cijela instalacija mora biti izvedena potpuno nepropusno o čemu izvoditelj jamči s odgovarajućim zapisnicima o izvršenoj tlačnoj probi.</t>
  </si>
  <si>
    <t>5.7.</t>
  </si>
  <si>
    <t>Cijela instalacija mora biti isprana o čemu izvoditelj jamči s odgovarajućim zapisnicima o izvršenom ispiranju cjevovoda.</t>
  </si>
  <si>
    <t>6. TEHNOLOŠKI UVJETI IZRADE INSTALACIJE</t>
  </si>
  <si>
    <t>6.1.</t>
  </si>
  <si>
    <t>Prije ugradnje, cijevi je potrebno očistiti iznutra. Također nakon ugradnje cjevovoda, a prije montaže mlaznica cjevovod treba temeljito propuhati.</t>
  </si>
  <si>
    <t>6.2.</t>
  </si>
  <si>
    <t>Prije nego se priđe polaganju cijevi mora se izvršiti točno razmjeravanje i obilježavanje na zidu i stropovima.</t>
  </si>
  <si>
    <t>6.3.</t>
  </si>
  <si>
    <t>Prije ugradnje mlaznica paziti na minimalno zahtijevane udaljenosti mlaznica od stropa. Raspored mlaznica izvesti u skladu sa projektom i propisima, po kojima je instalacija projektirana.</t>
  </si>
  <si>
    <t>6.4.</t>
  </si>
  <si>
    <t xml:space="preserve">Cjevovodi protupožarnog sustava će biti pocinčani (HRN EN 10255H ili jednakovrijedno). 
</t>
  </si>
  <si>
    <t>7. ZAŠTITA NA RADU</t>
  </si>
  <si>
    <t>7.1.</t>
  </si>
  <si>
    <t>Izvođač radova je dužan prije početka radova napraviti Plan uređenja radilišta i imenovati osobu zaduženu za zaštitu na radu na radilištu.</t>
  </si>
  <si>
    <t>7.2.</t>
  </si>
  <si>
    <t xml:space="preserve">Izvođač radova je dužan prije početka radova obavijestiti inspekciju rada o početku radova. </t>
  </si>
  <si>
    <t>7.3.</t>
  </si>
  <si>
    <t>Izvođač radova je dužan koristiti zaštitnu opremu i osobna zaštitna sredstva.</t>
  </si>
  <si>
    <t>7.4.</t>
  </si>
  <si>
    <t>Izvođač radova se je dužan pridržavati svih pravila koja proizlaze iz zakonske regulative u području zaštite na radu.</t>
  </si>
  <si>
    <t>OPĆI UVJETI UZ RADOVE VERTIKALNOG TRANSPORTA</t>
  </si>
  <si>
    <t xml:space="preserve">Opće napomene     </t>
  </si>
  <si>
    <t>Sve radove izvesti prema opisima pojedinih stavki troškovnika i opisa pojedinih grupa radova. Ako neke stavke imaju nejasan i nedovoljan opis, onda svaki započeti opis pojedine stavke znači cjelokupnu izradu te stavke, to jest nabavu, dopremu materijala, sve prenose i prijevoze, izradu, skidanje oplate, zaštitu, njegovanje pojedinih elemenata po izradi i nakon ugradbe, kao i ostalo. Jediničnom cijenom potrebno je obuhvatiti sve elemente navedene kako slijedi:</t>
  </si>
  <si>
    <t>a) izvođač radova dužan je prije početka radova provjeriti kote postojeċeg stanja terena u odnosu na relativnu kotu (0,00) kod svih ulaza i kod svih nutarnjih podnih ploča kao i za ulazne instalacije.</t>
  </si>
  <si>
    <t>b) ukoliko se ukažu eventualne nejednakosti između projekta i stanja na gradilišta izvođač radova dužan je pravovremeno o tome pismeno izvjestiti investitora, projektanta i nadzornog inženjera te shodno s tim zatražiti potrebna objašnjenja.</t>
  </si>
  <si>
    <t>c) sve mjere u projektima provjeriti na gradilištu,</t>
  </si>
  <si>
    <t>d) svu potrebnu provjeru točnosti količina u dokaznici mjera i troškovniku vršiti bez posebne naplate to jest o trošku izvođača radova.</t>
  </si>
  <si>
    <t>Ove opće napomene odnose se na radove dobave, dopreme i montaže dizala, a sve u cilju ostvarenja što lakših, bržih i efikasnijih vertikalnih transporta.</t>
  </si>
  <si>
    <t>Ovi radovi izvode se prema posebnom projektu za dizala. Tehnički opis iz projektne dokumentacije koji se odnosi na ovu vrstu radova, smatra se sastavnim dijelom ovih općih napomena, odnosno sastavnim dijelom ovog troškovnika.</t>
  </si>
  <si>
    <t>Radove iz ovog poglavlja izvesti stručno, solidno i isključivo prema opisu iz ovog troškovnika, tehničkoj dokumentaciji kao i isključivo po odabiru, uputstvima i odobrenjima glavnog projektanta.</t>
  </si>
  <si>
    <t>Svi radovi trebaju biti izvedeni u potpunosti u skladu sa tehničkim propisima za ovu vrstu radova i dobrim uzancama struke.</t>
  </si>
  <si>
    <t>Svi materijali koji se upotrebljavaju moraju odgovarati hrvatskim standardima i normama, te prije početka izvođenja njihove ateste, certifikate i izjave o sukladnosti predočiti nadzornom inženjeru. Oni materijali koji nisu obuhvaćeni hrvatskim standardima i normama moraju biti atestirani od strane drugih ovlaštenih ustanova za namjenu za koju se koriste, te također rezultate ispitivanja istih predočiti nadzornom inženjeru prije početka izvođenja radova.</t>
  </si>
  <si>
    <t>Nije dozvoljen početak ugradbe materijala prije predočenja važećih atesta i certifikata.</t>
  </si>
  <si>
    <t xml:space="preserve">Izvoditelj radova iz ovog poglavlja dužan je permanentno primjenjivati sve mjere zaštite na radu u smislu hrvatskih zakona i propisa.
Svaka stavka ovog troškovnika smatra se završenom isključivo ako je kompletno izvedena i dovedena do pune funkcionalnosti, pa u smislu toga jedinačna i ukupna cijena trebaju sadržavati sljedeće:
 - kompletna mobilizacija i demobilizacija gradilišta
 - pregled gradilišta odnosno objekta, te eventualno uzimanje mjera
 - izrada potrebne radioničke i tehničke dokumentacije
 - sve transporte izvan gradilišta
 - sve horizontalne i vertikalne transporte unutar gradilišta do mjesta ugradbe  
 - troškove skladištenja
 - sav potreban rad i materijal bilo pomoćni ili osnovni
 - potrebne skele ili montažne dizalice za montažu dizala
 - troškove svih potrebnih energenata (struja, voda, plin i sl.)
 - svi vezani posredni i neposredni troškovi (doprinosi, porezi, prirezi, takse i sl.) 
 - troškovi osiguranja i čuvanja materijala, opreme i izvedenih radova do primopredaje
 - čišćenje radnog prostora nakon završetka svake faze rada te prijenos otpadnog materijala na deponiju
 - svi troškovi vezani za primjenu mjera zaštite na radu 
</t>
  </si>
  <si>
    <t>Materijali</t>
  </si>
  <si>
    <t xml:space="preserve">Pod tim se podrazumijeva sama cijena materijala to jest dobavna cijena i to glavnih i pomoćnih materijala, tako i veznog materijala i ostalo. U tu cijenu potrebno je uključiti cijenu prijevoza bez obzira na vrstu prijevoznog sredstva, udaljenost sa svim potrebnim utovarima, istovarima i prenosom do skladišta te prenosa do mjesta ugradbe. Nadalje uključiti cijenu čuvanja, zaštite i skladištenja materijala do ugradnje. </t>
  </si>
  <si>
    <t>U kalkulaciji rada treba uključiti sav potreban rad, kako glavni tako i pomoćni, te sav vanjski i unutarnji prijenos bilo ručni bilo pomoću strojeva. Skele ili dizalica za montažu opreme u bez obzira na visinu, ulaze u jediničnu cijenu dotične stavke  troškovnika.</t>
  </si>
  <si>
    <t xml:space="preserve">Izmjere </t>
  </si>
  <si>
    <t>Ukoliko u pojedinoj stavci troškovnika nije dat način obračuna radova, isti se obračunava prema važećim građevinskim normama u upotrebi u Republici Hrvatskoj. Kod paušala izvođač mora sam procijeniti vrijednost pojedinih stavaka koje se obračuna vaju u paušalu, te isti izvesti bez prava na dodatne iznose za te stavke. Ukoliko je u troškovniku nešto nejasno treba tražiti dodatna pojašnjenja od glavnog projektanta prije davanja ponude, jer se kasniji prigovori neće uzeti u obzir, kao niti priznati bilo kakvi dodatni troškovi.</t>
  </si>
  <si>
    <t xml:space="preserve">Radovi sa pripadajućom opremom se smatraju završenim i predanim investitoru tek nakon izvršenog tehničkog pregleda i potpisanog adekvatnog zapisnika u tom smislu.
Ukoliko je u troškovniku nešto nejasno treba tražiti dodatna pojašnjenja od glavnog projektanta prije davanja ponude, jer se kasniji prigovori neće uzeti u obzir, kao niti priznati bilo kakvi dodatni troškovi.
</t>
  </si>
  <si>
    <t>Radovi sa pripadajućom opremom se smatraju završenim i predanim investitoru tek nakon izvršenog tehničkog pregleda i potpisanog adekvatnog zapisnika u tom smislu.</t>
  </si>
  <si>
    <t xml:space="preserve">Ukoliko je u troškovniku nešto nejasno treba tražiti dodatna pojašnjenja od glavnog projektanta prije davanja ponude, jer se kasniji prigovori neće uzeti u obzir, kao niti priznati bilo kakvi dodatni troškovi. </t>
  </si>
  <si>
    <t>Svi ponuditelji prije davanja ponude moraju obići mjesto rada, te sagledati mogućnost i način izvođenja radova.</t>
  </si>
  <si>
    <t>Također svi ponuditelji prije davanja ponude detaljno proučiti tehničku dokumentaciju i izvršiti konzultacije sa glavnim projektantom u smislu pojašnjenja svih tehničkih detalja.</t>
  </si>
  <si>
    <t>OBVEZA NARUČITELJA:</t>
  </si>
  <si>
    <t>Prednju stijenu voznog okna dizala izvesti u visak (dozvoljena tolerancija  ±0,5 cm), kako bi se vatrootporna vrata pri ugradnji prislonila na prednju stijenu voznog okna, bez pojave zazora (fuga). Ukoliko se prednja stijena NE izvede kako je navedeno i nakon ugradnje se pojave zazori (fuge) prema voznom oknu, Naručitelj će izvesti vatrootporno brtvljenje zazora (fuga) sukladno odredbama prikaza mjera/elaborata zaštite od požara. Izvesti vatrootporno brtvljenje prodora el. instalacija u vozno okno dizala oko el. instalacije za pozivne kutije, pokazivače položaja i sl.</t>
  </si>
  <si>
    <t>NAPOMENA: OPĆI UVJETI GRUPA RADOVA SASTAVNI SU DIO TROŠKOVNIKA I NALAZE SE U POGLAVLJU "PREAMBULE" - POTREBNO IH JE PAŽLJIVO PROČITATI PRIJE DAVANJA PONUDE</t>
  </si>
  <si>
    <t>ZIDARSKI RADOVI</t>
  </si>
  <si>
    <t>br. st.</t>
  </si>
  <si>
    <t>opis stavke</t>
  </si>
  <si>
    <t>jed. mj.</t>
  </si>
  <si>
    <t>količina</t>
  </si>
  <si>
    <t>jed. cijena</t>
  </si>
  <si>
    <t>ukupno</t>
  </si>
  <si>
    <t>Prezidavanje i zapunjavanje šupljina i dimnjačkih vertikala od opeke. Stavka uključuje pažljivu ragradnju dimnjačkih vertikala na jednom licu, te ponovno zidanje lica  korištenjem nove opeke istog formata kao postojeća sa zapunjavanjem dimnjačkog otvora betonom, obračunato zasebno. U cijeni uključivo obradu rubova i spojeva sa susjednim plohama. Detalje završetaka i rubova zidanja izvesti po pravilima struke. Po m3 prezidanog zida.</t>
  </si>
  <si>
    <t>m3</t>
  </si>
  <si>
    <t>Zazidavanje otvora i niša u postojećim zidanim zidovima punom opekom (starog formata - formata opeke istovjetne postojećem formatu opeke). U cijeni uključivo obradu rubova zida i spojeva sa susjednim plohama. Detalje završetaka i rubova zidanja izvesti po pravilima struke. Po m3 zazidanog otvora.</t>
  </si>
  <si>
    <t>Zidanje vanjskog ogradnog zida od opeke. Stavka uključuje  zidanje zida u istoj geometriji korištenjem nove opeke istog formata kao postojeća zidarskim vezom.  U cijeni uključivo obradu rubova zida i spojeva sa susjednim plohama. Detalje završetaka i rubova zidanja izvesti po pravilima struke. Po m3 prezidanog zida.</t>
  </si>
  <si>
    <t>Prezidavanje oslabljenih dijelova zida od opeke. Stavka uključuje pažljivu ragradnju  te ponovno zidanje lica  korištenjem nove opeke istog formata kao postojeća zidarskim vezom. U cijeni uključivo obradu rubova i spojeva sa susjednim plohama. Detalje završetaka i rubova zidanja izvesti po pravilima struke. Po m3 prezidanog zida.</t>
  </si>
  <si>
    <t>Injektiranje pukotina.</t>
  </si>
  <si>
    <t>Stavka uključuje čišćenje većih pukotina (većih od 10 mm, ili koje sežu kroz cijelu debljinu zida/svoda) od starog raspucalog morta, ispuhivanje, vlaženje i injektiranje. Prije injektiranja treba na licu zida/svoda zatvoriti pukotinu i sljubnice u blizini pukotine radi sprječavanja izbijanja injekcione smjese, što je uključeno u cijenu. Injekciona smjesa za ijnektiranje pukotina je gotovi industrijski proizvod namjenjen zapunjavanju pukotina - visokofluidno ekspandirajuće cementno vezivo.</t>
  </si>
  <si>
    <t>m1</t>
  </si>
  <si>
    <t>Injektiranje pukotina u blizini oslika.</t>
  </si>
  <si>
    <t>Stavka uključuje pažljivo opšivanje žbuke oko pukotine, te resaturatorsko podljepljivanje žbuke u širini 20ak cm sa svake strane pukotine ukoliko je odvojena od podloge, pažljivo zatvaranje pukotine te unjektiranje od minimalnim tlakom. U slučaju izbijanja smjese odmah zaustaviti injektiranje i ukloniti smjesu koja je iscurila. Injekciona smjesa za injektiranje pukotina je gotovi industrijski proizvod namjenjen zapunjavanju pukotina na bazi vapna.</t>
  </si>
  <si>
    <r>
      <t>Žbukanje unutrašnjih zidova  i svodova od opeke gotovom industrijskom bezcementnom žbukom na bazi VAPNA debljine do 2 cm. U stavku je uračunato i grundiranje podloge prije nanošenja žbukanog sloja. Žbuka se nanosi na prethodno dobro očišćen, fugiran  i navlažen zid od opeke. Zaglađuje se zidarskom žlicom. Žbuka mora svugdje u jednakoj debljini pratiti neravnine zida. Bridove izvesti oštre bez ikakvih kutnih profila i sl. Posebnu pažnju posvetiti obradi susvodnica, uključivo izrada probnog uzorka kojeg će odobriti projektant i nadležni konzervator. Žbukanje svoda sa susvodnicama izvesti na način da ravne i zaobljene plohe moraju biti napete, kao i bridovi na presjecištima ploha te blago naglašeni izvlačenjem brida u malo zadebljanoj žbuci. Pete svoda istaknute do 2 cm u odnosu na ravni dio zida i u istoj ravnini. U stavku je uračunat sav potreban materijal, alat, pribor i strojevi te spravljanje morta. Sve izvesti prema uputama proizvođača, pravilima zanata te u dogovoru s projektantom. O</t>
    </r>
    <r>
      <rPr>
        <sz val="9"/>
        <rFont val="Calibri"/>
        <family val="2"/>
        <charset val="238"/>
        <scheme val="minor"/>
      </rPr>
      <t>bračun po m2.</t>
    </r>
  </si>
  <si>
    <t>a) zidovi</t>
  </si>
  <si>
    <t>m2</t>
  </si>
  <si>
    <t>b) svodovi</t>
  </si>
  <si>
    <t>c) stropovi</t>
  </si>
  <si>
    <t>Zatvaranje raznih šliceva i prodora u zidovima od opeke. Izvesti gotovim vapnenim mortom. Uključivo potrebna oplata za zatvaranje i podupiranje iste. Male količine i sva otežanja u cijeni. Obračun po kom ili m1 stvarno izvedenih količina.</t>
  </si>
  <si>
    <t>a) prodori &lt;20/20 cm</t>
  </si>
  <si>
    <t>kom</t>
  </si>
  <si>
    <t>b) prodori &gt;20/20 cm</t>
  </si>
  <si>
    <t>c) šlicevi do 10/10 cm</t>
  </si>
  <si>
    <r>
      <t xml:space="preserve">Zatvaranje rupa u opečnim zidovima </t>
    </r>
    <r>
      <rPr>
        <sz val="9"/>
        <rFont val="Calibri"/>
        <family val="2"/>
        <charset val="238"/>
      </rPr>
      <t xml:space="preserve">d=90 cm za prodor instalacija, nakon što je u iste položena predviđena instalacija. Obračun po kom. </t>
    </r>
  </si>
  <si>
    <t>a) ø 150 mm</t>
  </si>
  <si>
    <t>b) ø 100 mm</t>
  </si>
  <si>
    <t>c) ø 50 mm</t>
  </si>
  <si>
    <t>Izrada lagano armirane betonske podloge i završnog sloja od asfalta na nogostupima sa kojih je hodna ploha razgrađena. Obračun po m2.</t>
  </si>
  <si>
    <t>Ponovna montaža cestovnog kamenog grabitnog rubnjaka, s izvedbom novog betonskog temelja. Obračun po m1.</t>
  </si>
  <si>
    <t>a) ponovna ugradnja postojećih demontiranih</t>
  </si>
  <si>
    <t>b) dobava i ugradnja novih rubnjaka istovjetnih postojećim</t>
  </si>
  <si>
    <t>pročelje</t>
  </si>
  <si>
    <r>
      <t>Pranje svih pročelja, uključujući i glavno pročelje, vodenom parom pod pritiskom, radi uklanjanja prašine, nečistoća i gljivica s površina koje se ne obijaju. Izvodi se nakon obijanja žbuke sa zone sokla i obijanja ostale oštećene žbuke. Pritisak vodene pare treba prilagoditi i u tu svrhu izvesti probe čišćenja. U stavku je uključen sav potreban pribor i aparat za puštanje pare. Izvesti po uputama proizvođača i u dogovoru s projektantom i nadzornim inženjerom. Djelomično rad na visini. Obračun po m2</t>
    </r>
    <r>
      <rPr>
        <sz val="9"/>
        <rFont val="Calibri"/>
        <family val="2"/>
        <charset val="238"/>
        <scheme val="minor"/>
      </rPr>
      <t xml:space="preserve"> površine pročelja</t>
    </r>
    <r>
      <rPr>
        <sz val="10"/>
        <rFont val="Calibri"/>
        <family val="2"/>
        <scheme val="minor"/>
      </rPr>
      <t>.</t>
    </r>
  </si>
  <si>
    <t>Fugiranje sljubnica opečnih zidova pročelja na površinama gdje je obijena žbuka. Izvodi se nakon čišćenja sljubnica i pranja vodom pod pritiskom. Izvodi se vapnenim mortom i ručnim alatom. Može se koristiti gotovi industrijski vapneni (bescementni) mort. Mort treba dobro utisnuti u sljubnice tako da ostane za 2 cm uvučen u odnosu na opeku kako bi nova žbuka bolje prionula uza zid. U stavku je uključen sav potreban materijal, pribor, alat i miješalica za mort te spravljanje morta. Izvesti po uzancama zanata i u dogovoru s projektantom. Obračun po m2 zidova od opeke.</t>
  </si>
  <si>
    <t>Fugiranje sljubnica ogradnog zida s vidljivom opekom. Izvodi se nakon čišćenja sljubnica i pranja vodom pod pritiskom. Izvodi se vapnenim mortom i ručnim alatom. Može se koristiti gotovi industrijski vapneni (bescementni) mort. Mort u ravnini s vidljivom opekom. U stavku je uključen sav potreban materijal, pribor, alat i miješalica za mort te spravljanje morta. Izvesti po uzancama zanata i u dogovoru s projektantom. Obračun po m2 zidova od opeke.</t>
  </si>
  <si>
    <r>
      <t>Žbukanje sokla svih pročelja gotovom industrijskom sanacionom bescementnom žbukom u dva sloja debljine do 3 cm. U stavku je uračunato i grundiranje podloge prije nanošenja donjeg sloja. Žbuka se nabacuje na prethodno dobro očišćen, fugiran  i navlažen zid od opeke. Gornji fini sloj zaglađuje se zidarskom žlicom. U stavku je uračunat sav potreban materijal, alat, pribor i strojevi te spravljanje morta. Nakon nanošenja žbuka se mora njegovati da se ne presuši (vlaženje i zaklanjanje od sunca). Ne smije se izvoditi na temperaturama ispod 5</t>
    </r>
    <r>
      <rPr>
        <sz val="9"/>
        <rFont val="Calibri"/>
        <family val="2"/>
        <charset val="238"/>
        <scheme val="minor"/>
      </rPr>
      <t>˚ C. Izvesti prema uputama proizvođača, pravilima zanata te stručnim/projektantskim i konzervatorskim nadzorom. Djelomično se izvodi sa skele. Obračun po m2 sokla svih pročelja, bez odbitka otvora.</t>
    </r>
  </si>
  <si>
    <r>
      <t xml:space="preserve">Žbukanje obijenih mjesta iznad sokla na svim pročeljima gotovom industrijskom bescementnom žbukom na bazi vapna debljine do 3 cm. Izvodi se u dva sloja, donji je grublji, a gornji fini zaglađeni. U stavku je uračunato i grundiranje podloge prije nanošenja donjeg sloja. Žbuka se nanosi na prethodno dobro očišćen, fugiran  i navlažen zid od opeke. Fini sloj se zaglađuje zidarskom žlicom. Žbuka mora svugdje u jednakoj debljini pratiti neravnine zida, a debljinom se mora prilagoditi okolnoj postojećoj žbuci. Izvodi se glatka, ravna žbuka. U stavku je uračunat sav potreban materijal, alat, pribor i strojevi te spravljanje morta. Nakon nanošenja žbuka se mora njegovati da se ne presuši (vlaženje i zaklanjanje od sunca). Ne smije se izvoditi na temperaturama ispod 5˚ C. </t>
    </r>
    <r>
      <rPr>
        <sz val="9"/>
        <rFont val="Calibri"/>
        <family val="2"/>
        <charset val="238"/>
        <scheme val="minor"/>
      </rPr>
      <t>Sve izvesti prema uputama proizvođača, pravilima zanata te stručnim/projektantskim i konzervatorskim nadzorom. Rad na visini. Obračun po m2</t>
    </r>
    <r>
      <rPr>
        <sz val="9"/>
        <rFont val="Calibri"/>
        <family val="2"/>
        <charset val="238"/>
      </rPr>
      <t xml:space="preserve"> nove žbukane površine.</t>
    </r>
  </si>
  <si>
    <t>Izrada profiliranog krovnog (završnog) vijenca gotovom industrijskom bezcementnom žbukom na bazi vapna. Vijenac teče kontinuirano iznad pročelja. Ukupne je stvarne duljine do 100 m. Sastoji se od četiri razdvojena dijela; dva na unutrašnjim stranama dvorišnih krila i dva na bočnim stranama uličnog pročelja gdje se svako proteže duž susjednog pročelja sa sjeverne i južne strane. Ima 6 obrata (promjene smjera) kako se nastavljaju pročelja. Razvijena širina  profilacije vijenca je do 86 cm, ima 7 rubova i 3 krivine. U iskazu površina uključeni su dodaci za obrate i složenost profilacija. Popravak oštećenih dijelova vučenih profilacija šipkama od nehrđajućeg čelika ø 8 mm duljine 8-15 cm opletenih paljenom žicom. Izvode se po 2 i 2 naizmjenično u gornjoj i donjoj zoni. Šipke sidriti u zidanu konstrukciju od opeke na razmaku do 10 cm. Rad izvesti u dogovoru sa nadzornim inženjerom. Intervencija se izvodi u širini od 1,5 opeke do 3 reda opeke, te u dubini do 1/2 opeke. Žbuka se nabacuje na istak za vijenac od opeke. Površina profilacije se završno zaglađuje. U stavku je uključena i izrada šablona za vučenje profilacija, spravljanje morta te sav potreban materijal, alat, pribor i mješalica za žbuku. Izvesti prema nacrtima detalja, u dogovoru s projektantom, prema uputama proizvođača i po uzancama zanata. Obračun po m2 površine.</t>
  </si>
  <si>
    <t>Izrada profiliranog razdjelnog vijenca između prizemlja i 1. kata gotovom industrijskom bezcementnom žbukom na bazi vapna. Ukupna stvarna duljina vijenca je 52 m i ima puno obrata i meandrira prema profilacijama u skladu s prozorskim osima i pilastrima između nih. Sastoji se od tri razdvojena dijela; jedan je na središnjem dijelu glavnog krila s dvorišne strane, a dva su na bočnim dijelovima uličnog pročelja. Razvijena širina profilacije vijenca je do 35 cm, ima 4 ruba i 3 krivine. U iskazu površine uključeni su dodaci za obrate i složenost profilacije. Sve ostalo kao u stavci A 6.15. Obračun po m2 površine.</t>
  </si>
  <si>
    <t>Izrada profiliranog razdjelnog vijenca između prizemlja i 1. kata  gotovom industrijskom bezcementnom žbukom na bazi vapna. Ukupna stvarna duljina vijenca je  53 m i ima 9 obrata. Sastoji se od dva zasebna dijela duž južnog, zapadnog i sjevernog pročelja, s prekidom na središnjem dijelu glavnog krila s dvorišne strane gdje su razdvojeni. Razvijena širina profilacije vijenca je do 35 cm, ima 2 ruba i 5 krivina. U iskazu površine uključeni su dodaci za obrate i složenost profilacije. Sve ostalo kao u stavci A 6.15. Obračun po m2 površine.</t>
  </si>
  <si>
    <t>Izrada profiliranog krovnog (završnog) vijenca rizalita gotovom industrijskom bezcementnom žbukom na bazi vapna. Vijenac teče kontinuirano uz gornji rub središnjeg istaknutog dijela uličnog pročelja, a ispod središnjeg zabata. Ukupne je stvarne duljine do 17 m. Krajnji dijelovi vijenca se protežu s bočnih strana rizalita u razini krovišta. Profilacija se satoji od gornjeg dijela koji se kontinuirano proteže po dužini vijenca i donjeg dijela koji meandrira u skladu s istacima kapitela pilastara na pročelju ispod. Ima 4 obrata (promjene smjera) u gornjem dijelu i 14 u donjem dijelu. U iskazu površina uključeni su dodaci za obrate i složenost profilacija. Razvijena širina  profilacije vijenca je do 100 cm, ima 5 rubova i 4 krivine. Sve ostalo kao u stavci A 6.15. Obračun po m2 površine.</t>
  </si>
  <si>
    <t>Izrada profiliranog vijenca gotovom industrijskom bezcementnom žbukom na bazi vapna. Vijenac teče kontinuirano na središnjem dijelu glavnog uličnog pročelja ispod razine završnog vijenca od kojeg je odvojen, a u razini iznad kapitela pilastara. Ukupne je stvarne duljine 12 m. Profilacija se kontinuirano proteže po dužini vijenca i meandrira u skladu s istacima kapitela pilastara na pročelju ispod. S bočnih strana rizalita u razini krovišta protežu se zasebni dijelovi vijenca koji ponavljaju segment u duljini širine profilacije jednakoj onoj iznad pilastra. Ima 14 obrata (promjene smjera). Razvijena širina profilacije vijenca je do 70 cm, ima 5 rubova i 4 krivine. U iskazu površina uključeni su dodaci za obrate i složenost profilacija. Sve ostalo kao u stavci A 6.15. Obračun po m2 površine.</t>
  </si>
  <si>
    <t>Izrada profiliranog krovnog (završnog) vijenca gotovom industrijskom bezcementnom žbukom na bazi vapna. Vijenac teče kontinuirano na vrhu zabata iznad centralnog dijela glavnog uličnog pročelja, a središnji segment vijenca je polukružno istaknut. Ukupne je stvarne duljine 10 m. Ima 10 obrata (promjene smjera). Razvijena širina profilacije vijenca je do 70 cm, ima 4 ruba i 3 krivine. U iskazu površina uključeni su dodaci za obrate i složenost profilacija. Sve ostalo kao u stavci A 6.15. Obračun po m2 površine.</t>
  </si>
  <si>
    <t>Izrada profiliranog vijenca gotovom industrijskom bezcementnom žbukom na bazi vapna. Vijenac teče kontinuirano pri vrhu zabata iznad centralnog dijela glavnog uličnog pročelja, ispod završnog vijenca od kojega je odvojen. Središnji segment vijenca je polukružno istaknut sukladno završnom vijencu iznad. Ukupne je stvarne duljine 10 m. Ima 12 obrata (promjene smjera). Razvijena širina profilacije vijenca je do 30 cm, ima 3 ruba i 1 krivinu. U iskazu površina uključeni su dodaci za obrate i složenost profilacija. Sve ostalo kao u stavci A 6.15. Obračun po m2 površine.</t>
  </si>
  <si>
    <t>Izrada profiliranog vijenca gotovom industrijskom bezcementnom žbukom na bazi vapna. Vijenac se sastoji od dva zasebna dijela iznad zaobljenih profiliranih istaka postavljenih bočno uz donje rubove središnjeg zabata glavnog uličnog pročelja. Ukupne je stvarne duljine  4.5 m. Ima 2 obrata (promjene smjera). Razvijena širina profilacije vijenca je do 35 cm, ima 2 ruba i 1 krivinu. U iskazu površina uključeni su dodaci za obrate i složenost profilacija. Sve ostalo kao u stavci A 6.15. Obračun po m2 površine.</t>
  </si>
  <si>
    <t>Izrada profiliranog krovnog (završnog) vijenca gotovom industrijskom bezcementnom žbukom na bazi vapna. Vijenac teče kontinuirano uz gornji rub povišenog središnjeg istaknutog dijela dvorišnog pročelja glavnog krila. Ukupne je stvarne duljine 16 m. Krajnji dijelovi vijenca se protežu s bočnih strana u razini krovišta. Profilacija kontinuirano proteže po dužini vijenca i meandrira u skladu s istacima pilastara na pročelju ispod. Ima ukupno 14 obrata (promjene smjera). Razvijena širina  profilacije vijenca je do 100 cm, ima 8 rubova i 3 krivine. U iskazu površina uključeni su dodaci za obrate i složenost profilacija. Sve ostalo kao u stavci A 6.15. Obračun po m2 površine.</t>
  </si>
  <si>
    <t>Izrada profiliranog vijenca gotovom industrijskom bezcementnom žbukom na bazi vapna. Vijenac teče kontinuirano u gornjem dijelu povišenog središnjeg istaknutog dijela dvorišnog pročelja glavnog krila ispod razine i odvojen od završnog vijenca, a u razini gorjeg dijela pilastara. Ukupne je stvarne duljine 12 m. Profilacija se kontinuirano proteže po dužini vijenca i meandrira u skladu s istacima pilastara na pročelju ispod. S bočnih strana u razini krovišta protežu se zasebni dijelovi vijenca koji ponavljaju segment u duljini širine profilacije jednakoj onoj iznad pilastra. Ima 14 obrata (promjene smjera). Razvijena širina profilacije vijenca je do 70 cm, ima 3 ruba i 3 krivine. U iskazu površina uključeni su dodaci za obrate i složenost profilacija. Sve ostalo kao u stavci A 6.15. Obračun po m2 površine.</t>
  </si>
  <si>
    <r>
      <t>Izrada profilirane nadstrešnice prozora 1. kata na bočnim dijelovima glavnog uličnog pročelja gotovom industrijskom bezcementnom žbukom na bazi vapna. Na pročelju su ukupno 4 prozora.  Ukupna stvarna duljina profilacije je 3 m i ima 6 obrata i 2 sudara (s osnovnom plohom zida). Razvijena širina  profilacije je do 70 cm, ima 5 rubova i 3 krivine. Središnji dio dužine profilacije je polukružno zaobljen. U iskazu površine uključeni su dodaci za obrate i složenost profila</t>
    </r>
    <r>
      <rPr>
        <sz val="9"/>
        <rFont val="Calibri"/>
        <family val="2"/>
        <charset val="238"/>
        <scheme val="minor"/>
      </rPr>
      <t>cije. Sve ostalo kao u stavci A 6.15. Obračun po m2 površine.</t>
    </r>
  </si>
  <si>
    <r>
      <t>Izrada profilirane nadstrešnice s kosinama iznad prozora 1. kata na bočnim dijelovima glavnog uličnog pročelja gotovom industrijskom bezcementnom žbukom na bazi vapna. Na pročelju su ukupno 4 prozora.  Ukupna stvarna duljina profilacije je 3 m i ima 9 obrata i 2 sudara (s osnovnom plohom zida). Razvijena širina  profilacije je do 70 cm, ima 5 rubova i 3 krivine. Središnji dio dužine profilac</t>
    </r>
    <r>
      <rPr>
        <sz val="9"/>
        <rFont val="Calibri"/>
        <family val="2"/>
        <charset val="238"/>
        <scheme val="minor"/>
      </rPr>
      <t>ije je koso (zabatno) položen, s blago zaobljenom linijom tog dijela nadstrešnice. U iskazu površine uključeni su dodaci za obrate i složenost profilacije. Sve ostalo kao u stavci A 6.15. Obračun po m2 površine.</t>
    </r>
  </si>
  <si>
    <r>
      <t>Izrada profiliranih kosina zabata (nadstrešnice) iznad prozora 1. kata na centralnom dijelu glavnog uličnog pročelja gotovom industrijskom bezcementnom žbukom na bazi vapna. Na pročelju je 1 takav prozor.  Ukupna stvarna duljina profilacije je 3 m i ima 7 obrata i 2 sudara (s osnovnom plohom zida). Razvijena širina  profilacije je do 70 cm, ima 5 rubova i 3 krivine. U iskazu površine uključeni su dodaci za obrate i slože</t>
    </r>
    <r>
      <rPr>
        <sz val="9"/>
        <rFont val="Calibri"/>
        <family val="2"/>
        <charset val="238"/>
        <scheme val="minor"/>
      </rPr>
      <t>nost profilacije. Sve ostalo kao u stavci A 6.15. Obračun po m2 površine.</t>
    </r>
  </si>
  <si>
    <r>
      <t xml:space="preserve">Izrada profilirane nadstrešnice prozora 1. kata na centralnom dijelu glavnog uličnog pročelja gotovom industrijskom bezcementnom žbukom na bazi vapna. Na pročelju su ukupno 2 takva prozora.  Ukupna stvarna duljina profilacije je 3 m i ima 10 obrata i 2 sudara (s osnovnom plohom zida). Razvijena širina  profilacije je  80 cm, ima 6 rubova i 3 krivine. Linije središnjeg i rubnih segmenata dužine profilacije su blago zaobljene. U iskazu površine uključeni su dodaci za obrate i složenost profilacije. </t>
    </r>
    <r>
      <rPr>
        <sz val="9"/>
        <rFont val="Calibri"/>
        <family val="2"/>
        <charset val="238"/>
        <scheme val="minor"/>
      </rPr>
      <t>Sve ostalo kao u stavci A 6.15. Obračun po m2 površine.</t>
    </r>
  </si>
  <si>
    <r>
      <t>Izrada profilirane nadstrešnice prozora 1. kata na sjevernom pročelju gotovom industrijskom bezcementnom žbukom na bazi vapna. Na pročelju su ukupno 4 prozora (od kojih je jedan slijepi s nadstrešnicom).  Ukupna stvarna duljina profilacije je 2.5 m i ima 2 obrata i 2 sudara (s osnovnom plohom zida). Razvijena širina  profilacije je do 40 cm, ima 3 ruba i 3 krivine. Profilacija je cijelom linijom dužine polukružno zaobljena. U iskazu površine uključeni su dodaci za obrate i složenost p</t>
    </r>
    <r>
      <rPr>
        <sz val="9"/>
        <rFont val="Calibri"/>
        <family val="2"/>
        <charset val="238"/>
        <scheme val="minor"/>
      </rPr>
      <t>rofilacije. Sve ostalo kao u stavci A 6.15. Obračun po m2 površine.</t>
    </r>
  </si>
  <si>
    <r>
      <t>Izrada profiliranih kosina zabata (nadstrešnice) iznad prozora 1. kata na sjevernom pročelju gotovom industrijskom bezcementnom žbukom na bazi vapna. Na pročelju su 3 prozora (od kojih su dva slijepa s nadstrešnicom).  Ukupna stvarna duljina profilacije je 3 m i ima 3 obrata i 2 sudara (s osnovnom plohom zida). Razvijena širina  profilacije je do 40 cm, ima 2 ruba i 3 krivine. Blago zaobljena linija dužine profilacije je koso (zabatno</t>
    </r>
    <r>
      <rPr>
        <sz val="9"/>
        <rFont val="Calibri"/>
        <family val="2"/>
        <charset val="238"/>
        <scheme val="minor"/>
      </rPr>
      <t>) položena. U iskazu površine uključeni su dodaci za obrate i složenost profilacije. Sve ostalo kao u stavci A 6.15. Obračun po m2 površine.</t>
    </r>
  </si>
  <si>
    <t>Popravci oštećenih profilacija pročelja gotovom industrijskom bezcementnom žbukom na bazi vapna. Površina profilacije se završno zaglađuje. Sve ostalo kao u stavci A 6.15. Obračun po m2 površine.</t>
  </si>
  <si>
    <r>
      <t>Pažljiva konsolidacija opečnih zidova svih pročelja. Izvodi se pažljivim uklanjanjem oštećene opeke i uzidavanjem zdrave pune opeke istih ili sličnih dimenzija (sačuvati visinu redova). Zamjenjuje se opeka po opeka ili manji dio po manji dio. Opeku uzidavati u vapnenom mortu. Može se koristiti gotovi industrijski vapneni (bezcementni) mort. U stavku je uključena i konsolidacija istaka u opeci za vijence, nadstrešnice i klupčice prozora. Za vrijeme zidanja zid zaštititi od sunca zbog prebrzog isušivanja. Ne izvoditi na temperatur</t>
    </r>
    <r>
      <rPr>
        <sz val="9"/>
        <rFont val="Calibri"/>
        <family val="2"/>
        <charset val="238"/>
        <scheme val="minor"/>
      </rPr>
      <t>ama ispod 5</t>
    </r>
    <r>
      <rPr>
        <sz val="9"/>
        <rFont val="Calibri"/>
        <family val="2"/>
        <charset val="238"/>
      </rPr>
      <t>˚</t>
    </r>
    <r>
      <rPr>
        <sz val="9"/>
        <rFont val="Calibri"/>
        <family val="2"/>
        <charset val="238"/>
        <scheme val="minor"/>
      </rPr>
      <t xml:space="preserve"> C. U stavku je uključen sav potreban materijal, alat, pribor i mješalica za mort te spravljanje morta i dobava stare zdrave opeke. Izvesti po uzancama zanata i u dogovoru s projektantom. Obračun po m2</t>
    </r>
    <r>
      <rPr>
        <sz val="9"/>
        <rFont val="Calibri"/>
        <family val="2"/>
        <charset val="238"/>
      </rPr>
      <t xml:space="preserve"> saniranog zida, odnosno  po m1 saniranog istaka na pročelju.</t>
    </r>
  </si>
  <si>
    <t>b) istake</t>
  </si>
  <si>
    <t>Kontinuirano čišćenje prostora tijekom izvođenja radova kao i završno čišćenje prostora nakon izvedbe, a prije primopredaje radova.</t>
  </si>
  <si>
    <t>komplet</t>
  </si>
  <si>
    <t>Za sve posebno nespecificirane radove i građevinske pripomoći uz suglasnost nadzornog inženjera i upisom u građevinski dnevnik. Predviđa se:</t>
  </si>
  <si>
    <t>a) NKV</t>
  </si>
  <si>
    <t>sati</t>
  </si>
  <si>
    <t>b) KV</t>
  </si>
  <si>
    <t>c) VKV</t>
  </si>
  <si>
    <t>UKUPNO - ZIDARSKI RADOVI: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</si>
</sst>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 [$€-1]"/>
    <numFmt numFmtId="165" formatCode="_-[$$-409]* #,##0.00_ ;_-[$$-409]* \-#,##0.00\ ;_-[$$-409]* &quot;-&quot;??_ ;_-@_ "/>
    <numFmt numFmtId="166" formatCode="&quot;A 6.&quot;0&quot;.&quot;"/>
    <numFmt numFmtId="167" formatCode="&quot;A 2.&quot;0&quot;.&quot;"/>
  </numFmts>
  <fonts count="30" x14ac:knownFonts="1">
    <font>
      <sz val="11"/>
      <color theme="1"/>
      <name val="Calibri"/>
      <family val="2"/>
      <charset val="238"/>
      <scheme val="minor"/>
    </font>
    <font>
      <sz val="11"/>
      <color theme="1"/>
      <name val="Calibri"/>
      <family val="2"/>
      <charset val="238"/>
      <scheme val="minor"/>
    </font>
    <font>
      <sz val="12"/>
      <name val="Calibri"/>
      <family val="2"/>
      <scheme val="minor"/>
    </font>
    <font>
      <b/>
      <sz val="12"/>
      <name val="Calibri"/>
      <family val="2"/>
      <scheme val="minor"/>
    </font>
    <font>
      <sz val="14"/>
      <name val="Calibri"/>
      <family val="2"/>
      <scheme val="minor"/>
    </font>
    <font>
      <sz val="10"/>
      <name val="Verdana"/>
      <family val="2"/>
      <charset val="238"/>
    </font>
    <font>
      <sz val="12"/>
      <color theme="4" tint="-0.249977111117893"/>
      <name val="Calibri"/>
      <family val="2"/>
      <scheme val="minor"/>
    </font>
    <font>
      <b/>
      <sz val="9"/>
      <name val="Calibri"/>
      <family val="2"/>
      <charset val="238"/>
      <scheme val="minor"/>
    </font>
    <font>
      <sz val="14"/>
      <color theme="4" tint="-0.249977111117893"/>
      <name val="Calibri"/>
      <family val="2"/>
      <scheme val="minor"/>
    </font>
    <font>
      <sz val="10"/>
      <color theme="4" tint="-0.249977111117893"/>
      <name val="Verdana"/>
      <family val="2"/>
      <charset val="238"/>
    </font>
    <font>
      <sz val="10"/>
      <name val="Calibri"/>
      <family val="2"/>
      <charset val="238"/>
      <scheme val="minor"/>
    </font>
    <font>
      <sz val="9"/>
      <name val="Calibri"/>
      <family val="2"/>
      <charset val="238"/>
      <scheme val="minor"/>
    </font>
    <font>
      <b/>
      <sz val="10"/>
      <name val="Calibri"/>
      <family val="2"/>
      <charset val="238"/>
      <scheme val="minor"/>
    </font>
    <font>
      <b/>
      <i/>
      <sz val="9"/>
      <name val="Calibri"/>
      <family val="2"/>
      <charset val="238"/>
      <scheme val="minor"/>
    </font>
    <font>
      <i/>
      <sz val="9"/>
      <name val="Calibri"/>
      <family val="2"/>
      <charset val="238"/>
      <scheme val="minor"/>
    </font>
    <font>
      <sz val="11"/>
      <name val="Calibri"/>
      <family val="2"/>
      <charset val="238"/>
      <scheme val="minor"/>
    </font>
    <font>
      <sz val="5"/>
      <name val="Calibri"/>
      <family val="2"/>
      <charset val="238"/>
      <scheme val="minor"/>
    </font>
    <font>
      <sz val="9"/>
      <color theme="1"/>
      <name val="Calibri"/>
      <family val="2"/>
      <charset val="238"/>
      <scheme val="minor"/>
    </font>
    <font>
      <sz val="9"/>
      <name val="Calibri"/>
      <family val="2"/>
      <scheme val="minor"/>
    </font>
    <font>
      <sz val="9"/>
      <color theme="1"/>
      <name val="Calibri"/>
      <family val="2"/>
      <scheme val="minor"/>
    </font>
    <font>
      <b/>
      <sz val="9"/>
      <name val="Calibri"/>
      <family val="2"/>
      <scheme val="minor"/>
    </font>
    <font>
      <b/>
      <sz val="9"/>
      <name val="Arial CE"/>
      <charset val="238"/>
    </font>
    <font>
      <b/>
      <sz val="10"/>
      <name val="Calibri"/>
      <family val="2"/>
      <scheme val="minor"/>
    </font>
    <font>
      <sz val="9"/>
      <color rgb="FFFF0000"/>
      <name val="Calibri"/>
      <family val="2"/>
      <scheme val="minor"/>
    </font>
    <font>
      <sz val="8"/>
      <name val="Arial CE"/>
      <charset val="238"/>
    </font>
    <font>
      <sz val="9"/>
      <name val="Calibri"/>
      <family val="2"/>
      <charset val="238"/>
    </font>
    <font>
      <b/>
      <i/>
      <sz val="9"/>
      <name val="Calibri"/>
      <family val="2"/>
      <scheme val="minor"/>
    </font>
    <font>
      <sz val="10"/>
      <name val="Calibri"/>
      <family val="2"/>
      <scheme val="minor"/>
    </font>
    <font>
      <b/>
      <sz val="9"/>
      <color rgb="FFFF0000"/>
      <name val="Calibri"/>
      <family val="2"/>
      <scheme val="minor"/>
    </font>
    <font>
      <sz val="9"/>
      <color rgb="FFFF0000"/>
      <name val="Calibri"/>
      <family val="2"/>
      <charset val="238"/>
      <scheme val="minor"/>
    </font>
  </fonts>
  <fills count="9">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99CC"/>
        <bgColor indexed="64"/>
      </patternFill>
    </fill>
    <fill>
      <patternFill patternType="solid">
        <fgColor theme="4" tint="0.79998168889431442"/>
        <bgColor indexed="64"/>
      </patternFill>
    </fill>
  </fills>
  <borders count="2">
    <border>
      <left/>
      <right/>
      <top/>
      <bottom/>
      <diagonal/>
    </border>
    <border>
      <left/>
      <right/>
      <top style="thin">
        <color indexed="64"/>
      </top>
      <bottom/>
      <diagonal/>
    </border>
  </borders>
  <cellStyleXfs count="4">
    <xf numFmtId="0" fontId="0" fillId="0" borderId="0"/>
    <xf numFmtId="43" fontId="1" fillId="0" borderId="0" applyFont="0" applyFill="0" applyBorder="0" applyAlignment="0" applyProtection="0"/>
    <xf numFmtId="0" fontId="1" fillId="0" borderId="0"/>
    <xf numFmtId="0" fontId="24" fillId="0" borderId="0"/>
  </cellStyleXfs>
  <cellXfs count="204">
    <xf numFmtId="0" fontId="0" fillId="0" borderId="0" xfId="0"/>
    <xf numFmtId="2" fontId="2" fillId="0" borderId="0" xfId="0" applyNumberFormat="1" applyFont="1" applyAlignment="1" applyProtection="1">
      <alignment horizontal="justify" vertical="top"/>
      <protection locked="0"/>
    </xf>
    <xf numFmtId="2" fontId="3" fillId="0" borderId="0" xfId="0" applyNumberFormat="1" applyFont="1" applyAlignment="1" applyProtection="1">
      <alignment horizontal="center"/>
      <protection locked="0"/>
    </xf>
    <xf numFmtId="164" fontId="2" fillId="0" borderId="0" xfId="0" applyNumberFormat="1" applyFont="1" applyAlignment="1" applyProtection="1">
      <alignment horizontal="center"/>
      <protection locked="0"/>
    </xf>
    <xf numFmtId="2" fontId="4" fillId="0" borderId="0" xfId="0" applyNumberFormat="1" applyFont="1" applyAlignment="1" applyProtection="1">
      <alignment horizontal="justify" vertical="top"/>
      <protection locked="0"/>
    </xf>
    <xf numFmtId="2" fontId="5" fillId="0" borderId="0" xfId="0" applyNumberFormat="1" applyFont="1" applyAlignment="1" applyProtection="1">
      <alignment horizontal="justify" vertical="top"/>
      <protection locked="0"/>
    </xf>
    <xf numFmtId="2" fontId="3" fillId="0" borderId="0" xfId="0" applyNumberFormat="1" applyFont="1" applyAlignment="1" applyProtection="1">
      <alignment horizontal="left"/>
      <protection locked="0"/>
    </xf>
    <xf numFmtId="164" fontId="3" fillId="0" borderId="0" xfId="0" applyNumberFormat="1" applyFont="1" applyAlignment="1" applyProtection="1">
      <alignment horizontal="center"/>
      <protection locked="0"/>
    </xf>
    <xf numFmtId="2" fontId="2" fillId="2" borderId="0" xfId="0" applyNumberFormat="1" applyFont="1" applyFill="1" applyAlignment="1" applyProtection="1">
      <alignment horizontal="center" vertical="top"/>
      <protection locked="0"/>
    </xf>
    <xf numFmtId="164" fontId="2" fillId="2" borderId="0" xfId="0" applyNumberFormat="1" applyFont="1" applyFill="1" applyAlignment="1" applyProtection="1">
      <alignment horizontal="center" vertical="top"/>
      <protection locked="0"/>
    </xf>
    <xf numFmtId="2" fontId="3" fillId="0" borderId="0" xfId="0" applyNumberFormat="1" applyFont="1" applyAlignment="1" applyProtection="1">
      <alignment horizontal="justify" vertical="top" wrapText="1"/>
      <protection locked="0"/>
    </xf>
    <xf numFmtId="2" fontId="2" fillId="0" borderId="0" xfId="0" applyNumberFormat="1" applyFont="1" applyAlignment="1" applyProtection="1">
      <alignment horizontal="center" vertical="top"/>
      <protection locked="0"/>
    </xf>
    <xf numFmtId="164" fontId="2" fillId="0" borderId="0" xfId="0" applyNumberFormat="1" applyFont="1" applyAlignment="1" applyProtection="1">
      <alignment horizontal="center" vertical="top"/>
      <protection locked="0"/>
    </xf>
    <xf numFmtId="2" fontId="3" fillId="0" borderId="0" xfId="0" applyNumberFormat="1" applyFont="1" applyAlignment="1" applyProtection="1">
      <alignment horizontal="justify" vertical="top"/>
      <protection locked="0"/>
    </xf>
    <xf numFmtId="164" fontId="3" fillId="0" borderId="0" xfId="0" applyNumberFormat="1" applyFont="1" applyAlignment="1" applyProtection="1">
      <alignment horizontal="center" vertical="center"/>
      <protection locked="0"/>
    </xf>
    <xf numFmtId="164" fontId="6" fillId="0" borderId="0" xfId="1" applyNumberFormat="1" applyFont="1" applyFill="1" applyBorder="1" applyAlignment="1" applyProtection="1">
      <alignment horizontal="center"/>
      <protection locked="0"/>
    </xf>
    <xf numFmtId="2" fontId="2" fillId="0" borderId="0" xfId="0" applyNumberFormat="1" applyFont="1" applyAlignment="1" applyProtection="1">
      <alignment horizontal="left" vertical="top"/>
      <protection locked="0"/>
    </xf>
    <xf numFmtId="0" fontId="3" fillId="0" borderId="0" xfId="0" applyFont="1" applyAlignment="1" applyProtection="1">
      <alignment vertical="top"/>
      <protection locked="0"/>
    </xf>
    <xf numFmtId="0" fontId="3" fillId="0" borderId="0" xfId="0" applyFont="1" applyAlignment="1" applyProtection="1">
      <alignment horizontal="justify"/>
      <protection locked="0"/>
    </xf>
    <xf numFmtId="0" fontId="3" fillId="0" borderId="0" xfId="0" applyFont="1" applyProtection="1">
      <protection locked="0"/>
    </xf>
    <xf numFmtId="0" fontId="2" fillId="0" borderId="0" xfId="0" applyFont="1" applyAlignment="1" applyProtection="1">
      <alignment horizontal="right" vertical="top"/>
      <protection locked="0"/>
    </xf>
    <xf numFmtId="0" fontId="2" fillId="0" borderId="0" xfId="0" applyFont="1" applyAlignment="1" applyProtection="1">
      <alignment horizontal="right"/>
      <protection locked="0"/>
    </xf>
    <xf numFmtId="0" fontId="3" fillId="0" borderId="0" xfId="0" applyFont="1" applyAlignment="1" applyProtection="1">
      <alignment horizontal="left" vertical="top"/>
      <protection locked="0"/>
    </xf>
    <xf numFmtId="0" fontId="3" fillId="0" borderId="0" xfId="0" applyFont="1" applyAlignment="1" applyProtection="1">
      <alignment horizontal="justify" vertical="top"/>
      <protection locked="0"/>
    </xf>
    <xf numFmtId="2" fontId="3" fillId="2" borderId="0" xfId="0" applyNumberFormat="1" applyFont="1" applyFill="1" applyAlignment="1" applyProtection="1">
      <alignment horizontal="justify" vertical="top"/>
      <protection locked="0"/>
    </xf>
    <xf numFmtId="164" fontId="3" fillId="2" borderId="0" xfId="0" applyNumberFormat="1" applyFont="1" applyFill="1" applyAlignment="1" applyProtection="1">
      <alignment horizontal="center" vertical="center"/>
      <protection locked="0"/>
    </xf>
    <xf numFmtId="2" fontId="2" fillId="3" borderId="0" xfId="0" applyNumberFormat="1" applyFont="1" applyFill="1" applyAlignment="1" applyProtection="1">
      <alignment horizontal="center" vertical="top"/>
      <protection locked="0"/>
    </xf>
    <xf numFmtId="164" fontId="2" fillId="3" borderId="0" xfId="0" applyNumberFormat="1" applyFont="1" applyFill="1" applyAlignment="1" applyProtection="1">
      <alignment horizontal="center" vertical="top"/>
      <protection locked="0"/>
    </xf>
    <xf numFmtId="2" fontId="3" fillId="3" borderId="0" xfId="0" applyNumberFormat="1" applyFont="1" applyFill="1" applyAlignment="1" applyProtection="1">
      <alignment horizontal="justify" vertical="top"/>
      <protection locked="0"/>
    </xf>
    <xf numFmtId="164" fontId="3" fillId="3" borderId="0" xfId="0" applyNumberFormat="1" applyFont="1" applyFill="1" applyAlignment="1" applyProtection="1">
      <alignment horizontal="center" vertical="center"/>
      <protection locked="0"/>
    </xf>
    <xf numFmtId="2" fontId="3" fillId="0" borderId="0" xfId="0" applyNumberFormat="1" applyFont="1" applyAlignment="1" applyProtection="1">
      <alignment horizontal="left" vertical="top"/>
      <protection locked="0"/>
    </xf>
    <xf numFmtId="2" fontId="3" fillId="4" borderId="0" xfId="0" applyNumberFormat="1" applyFont="1" applyFill="1" applyAlignment="1" applyProtection="1">
      <alignment horizontal="justify" vertical="top"/>
      <protection locked="0"/>
    </xf>
    <xf numFmtId="2" fontId="3" fillId="4" borderId="0" xfId="0" applyNumberFormat="1" applyFont="1" applyFill="1" applyAlignment="1" applyProtection="1">
      <alignment horizontal="left" vertical="top"/>
      <protection locked="0"/>
    </xf>
    <xf numFmtId="164" fontId="3" fillId="4" borderId="0" xfId="0" applyNumberFormat="1" applyFont="1" applyFill="1" applyAlignment="1" applyProtection="1">
      <alignment horizontal="center" vertical="center"/>
      <protection locked="0"/>
    </xf>
    <xf numFmtId="2" fontId="3" fillId="5" borderId="0" xfId="0" applyNumberFormat="1" applyFont="1" applyFill="1" applyAlignment="1" applyProtection="1">
      <alignment horizontal="justify" vertical="top"/>
      <protection locked="0"/>
    </xf>
    <xf numFmtId="2" fontId="3" fillId="5" borderId="0" xfId="0" applyNumberFormat="1" applyFont="1" applyFill="1" applyAlignment="1" applyProtection="1">
      <alignment horizontal="left" vertical="top"/>
      <protection locked="0"/>
    </xf>
    <xf numFmtId="164" fontId="3" fillId="5" borderId="0" xfId="0" applyNumberFormat="1" applyFont="1" applyFill="1" applyAlignment="1" applyProtection="1">
      <alignment horizontal="center" vertical="center"/>
      <protection locked="0"/>
    </xf>
    <xf numFmtId="2" fontId="3" fillId="0" borderId="0" xfId="0" applyNumberFormat="1" applyFont="1" applyAlignment="1" applyProtection="1">
      <alignment horizontal="right" vertical="top"/>
      <protection locked="0"/>
    </xf>
    <xf numFmtId="2" fontId="2" fillId="6" borderId="0" xfId="0" applyNumberFormat="1" applyFont="1" applyFill="1" applyAlignment="1" applyProtection="1">
      <alignment horizontal="center" vertical="top"/>
      <protection locked="0"/>
    </xf>
    <xf numFmtId="164" fontId="6" fillId="6" borderId="0" xfId="1" applyNumberFormat="1" applyFont="1" applyFill="1" applyBorder="1" applyAlignment="1" applyProtection="1">
      <alignment horizontal="center"/>
      <protection locked="0"/>
    </xf>
    <xf numFmtId="0" fontId="7" fillId="0" borderId="0" xfId="0" applyFont="1" applyAlignment="1" applyProtection="1">
      <alignment horizontal="center" vertical="top"/>
      <protection locked="0"/>
    </xf>
    <xf numFmtId="2" fontId="2" fillId="0" borderId="0" xfId="0" applyNumberFormat="1" applyFont="1" applyAlignment="1" applyProtection="1">
      <alignment horizontal="justify" vertical="center"/>
      <protection locked="0"/>
    </xf>
    <xf numFmtId="2" fontId="3" fillId="6" borderId="0" xfId="0" applyNumberFormat="1" applyFont="1" applyFill="1" applyAlignment="1" applyProtection="1">
      <alignment horizontal="justify" vertical="top"/>
      <protection locked="0"/>
    </xf>
    <xf numFmtId="164" fontId="3" fillId="6" borderId="0" xfId="0" applyNumberFormat="1" applyFont="1" applyFill="1" applyAlignment="1" applyProtection="1">
      <alignment horizontal="center" vertical="center"/>
      <protection locked="0"/>
    </xf>
    <xf numFmtId="2" fontId="4" fillId="0" borderId="0" xfId="0" applyNumberFormat="1" applyFont="1" applyAlignment="1" applyProtection="1">
      <alignment horizontal="justify" vertical="center"/>
      <protection locked="0"/>
    </xf>
    <xf numFmtId="2" fontId="5" fillId="0" borderId="0" xfId="0" applyNumberFormat="1" applyFont="1" applyAlignment="1" applyProtection="1">
      <alignment horizontal="justify" vertical="center"/>
      <protection locked="0"/>
    </xf>
    <xf numFmtId="2" fontId="3" fillId="7" borderId="0" xfId="0" applyNumberFormat="1" applyFont="1" applyFill="1" applyAlignment="1" applyProtection="1">
      <alignment horizontal="justify" vertical="top"/>
      <protection locked="0"/>
    </xf>
    <xf numFmtId="2" fontId="3" fillId="7" borderId="0" xfId="0" applyNumberFormat="1" applyFont="1" applyFill="1" applyAlignment="1" applyProtection="1">
      <alignment horizontal="left" vertical="top"/>
      <protection locked="0"/>
    </xf>
    <xf numFmtId="164" fontId="3" fillId="7" borderId="0" xfId="0" applyNumberFormat="1" applyFont="1" applyFill="1" applyAlignment="1" applyProtection="1">
      <alignment horizontal="center" vertical="center"/>
      <protection locked="0"/>
    </xf>
    <xf numFmtId="2" fontId="2" fillId="0" borderId="0" xfId="0" applyNumberFormat="1" applyFont="1" applyAlignment="1" applyProtection="1">
      <alignment horizontal="right" vertical="top"/>
      <protection locked="0"/>
    </xf>
    <xf numFmtId="2" fontId="2" fillId="7" borderId="0" xfId="0" applyNumberFormat="1" applyFont="1" applyFill="1" applyAlignment="1" applyProtection="1">
      <alignment horizontal="justify" vertical="top"/>
      <protection locked="0"/>
    </xf>
    <xf numFmtId="2" fontId="4" fillId="0" borderId="0" xfId="0" applyNumberFormat="1" applyFont="1" applyAlignment="1" applyProtection="1">
      <alignment horizontal="center" vertical="top"/>
      <protection locked="0"/>
    </xf>
    <xf numFmtId="164" fontId="8" fillId="0" borderId="0" xfId="1" applyNumberFormat="1" applyFont="1" applyFill="1" applyBorder="1" applyAlignment="1" applyProtection="1">
      <alignment horizontal="center"/>
      <protection locked="0"/>
    </xf>
    <xf numFmtId="2" fontId="5" fillId="0" borderId="0" xfId="0" applyNumberFormat="1" applyFont="1" applyAlignment="1" applyProtection="1">
      <alignment horizontal="center" vertical="top"/>
      <protection locked="0"/>
    </xf>
    <xf numFmtId="164" fontId="9" fillId="0" borderId="0" xfId="1" applyNumberFormat="1" applyFont="1" applyFill="1" applyAlignment="1" applyProtection="1">
      <alignment horizontal="center"/>
      <protection locked="0"/>
    </xf>
    <xf numFmtId="0" fontId="10" fillId="0" borderId="0" xfId="0" applyFont="1" applyAlignment="1">
      <alignment horizontal="center" vertical="top"/>
    </xf>
    <xf numFmtId="0" fontId="11" fillId="0" borderId="0" xfId="0" applyFont="1" applyAlignment="1">
      <alignment horizontal="justify" vertical="justify" wrapText="1"/>
    </xf>
    <xf numFmtId="0" fontId="11" fillId="0" borderId="0" xfId="0" applyFont="1"/>
    <xf numFmtId="0" fontId="12" fillId="0" borderId="0" xfId="0" applyFont="1" applyAlignment="1">
      <alignment horizontal="justify" vertical="justify" wrapText="1"/>
    </xf>
    <xf numFmtId="0" fontId="10" fillId="0" borderId="0" xfId="0" applyFont="1" applyAlignment="1">
      <alignment horizontal="justify" vertical="justify" wrapText="1"/>
    </xf>
    <xf numFmtId="0" fontId="10" fillId="0" borderId="0" xfId="0" applyFont="1" applyAlignment="1">
      <alignment horizontal="justify" vertical="top" wrapText="1"/>
    </xf>
    <xf numFmtId="0" fontId="12" fillId="0" borderId="0" xfId="0" applyFont="1" applyAlignment="1">
      <alignment horizontal="center" vertical="top"/>
    </xf>
    <xf numFmtId="0" fontId="11" fillId="0" borderId="0" xfId="0" applyFont="1" applyAlignment="1">
      <alignment horizontal="center" vertical="top"/>
    </xf>
    <xf numFmtId="0" fontId="7" fillId="0" borderId="0" xfId="2" applyFont="1" applyAlignment="1" applyProtection="1">
      <alignment horizontal="justify" vertical="top"/>
      <protection locked="0"/>
    </xf>
    <xf numFmtId="0" fontId="11" fillId="0" borderId="0" xfId="0" applyFont="1" applyAlignment="1" applyProtection="1">
      <alignment horizontal="justify" vertical="top"/>
      <protection locked="0"/>
    </xf>
    <xf numFmtId="2" fontId="11" fillId="0" borderId="0" xfId="2" applyNumberFormat="1" applyFont="1" applyAlignment="1" applyProtection="1">
      <alignment horizontal="justify" vertical="top"/>
      <protection locked="0"/>
    </xf>
    <xf numFmtId="0" fontId="11" fillId="0" borderId="0" xfId="2" applyFont="1" applyAlignment="1" applyProtection="1">
      <alignment horizontal="justify" vertical="top"/>
      <protection locked="0"/>
    </xf>
    <xf numFmtId="4" fontId="11" fillId="0" borderId="0" xfId="2" applyNumberFormat="1" applyFont="1" applyAlignment="1" applyProtection="1">
      <alignment horizontal="justify" vertical="top"/>
      <protection locked="0"/>
    </xf>
    <xf numFmtId="0" fontId="13" fillId="0" borderId="0" xfId="2" applyFont="1" applyAlignment="1" applyProtection="1">
      <alignment horizontal="justify" vertical="top"/>
      <protection locked="0"/>
    </xf>
    <xf numFmtId="0" fontId="14" fillId="0" borderId="0" xfId="2" applyFont="1" applyAlignment="1" applyProtection="1">
      <alignment horizontal="justify" vertical="top"/>
      <protection locked="0"/>
    </xf>
    <xf numFmtId="4" fontId="14" fillId="0" borderId="0" xfId="2" applyNumberFormat="1" applyFont="1" applyAlignment="1" applyProtection="1">
      <alignment horizontal="justify" vertical="top"/>
      <protection locked="0"/>
    </xf>
    <xf numFmtId="0" fontId="11" fillId="0" borderId="0" xfId="2" applyFont="1" applyAlignment="1" applyProtection="1">
      <alignment horizontal="justify" vertical="top" wrapText="1"/>
      <protection locked="0"/>
    </xf>
    <xf numFmtId="4" fontId="11" fillId="0" borderId="0" xfId="2" applyNumberFormat="1" applyFont="1" applyAlignment="1" applyProtection="1">
      <alignment horizontal="justify" vertical="top" wrapText="1"/>
      <protection locked="0"/>
    </xf>
    <xf numFmtId="0" fontId="7" fillId="0" borderId="0" xfId="2" applyFont="1" applyAlignment="1" applyProtection="1">
      <alignment horizontal="justify" vertical="top" wrapText="1"/>
      <protection locked="0"/>
    </xf>
    <xf numFmtId="0" fontId="11" fillId="0" borderId="0" xfId="0" applyFont="1" applyAlignment="1" applyProtection="1">
      <alignment horizontal="justify" vertical="top" wrapText="1"/>
      <protection locked="0"/>
    </xf>
    <xf numFmtId="2" fontId="11" fillId="0" borderId="0" xfId="0" applyNumberFormat="1" applyFont="1" applyAlignment="1" applyProtection="1">
      <alignment horizontal="justify" vertical="top"/>
      <protection locked="0"/>
    </xf>
    <xf numFmtId="4" fontId="11" fillId="0" borderId="0" xfId="0" applyNumberFormat="1" applyFont="1" applyAlignment="1" applyProtection="1">
      <alignment horizontal="justify" vertical="top"/>
      <protection locked="0"/>
    </xf>
    <xf numFmtId="49" fontId="11" fillId="0" borderId="0" xfId="2" applyNumberFormat="1" applyFont="1" applyAlignment="1" applyProtection="1">
      <alignment horizontal="justify" vertical="top" wrapText="1"/>
      <protection locked="0"/>
    </xf>
    <xf numFmtId="0" fontId="11" fillId="0" borderId="0" xfId="2" applyFont="1"/>
    <xf numFmtId="0" fontId="11" fillId="0" borderId="0" xfId="2" applyFont="1" applyAlignment="1">
      <alignment vertical="top"/>
    </xf>
    <xf numFmtId="49" fontId="11" fillId="0" borderId="0" xfId="2" applyNumberFormat="1" applyFont="1" applyAlignment="1" applyProtection="1">
      <alignment horizontal="justify" vertical="top"/>
      <protection locked="0"/>
    </xf>
    <xf numFmtId="2" fontId="7" fillId="0" borderId="0" xfId="0" applyNumberFormat="1" applyFont="1" applyAlignment="1" applyProtection="1">
      <alignment horizontal="justify" vertical="top"/>
      <protection locked="0"/>
    </xf>
    <xf numFmtId="2" fontId="11" fillId="0" borderId="0" xfId="0" applyNumberFormat="1" applyFont="1" applyAlignment="1">
      <alignment horizontal="justify" vertical="top"/>
    </xf>
    <xf numFmtId="0" fontId="11" fillId="0" borderId="0" xfId="2" applyFont="1" applyAlignment="1">
      <alignment horizontal="justify"/>
    </xf>
    <xf numFmtId="2" fontId="7" fillId="0" borderId="0" xfId="0" applyNumberFormat="1" applyFont="1" applyAlignment="1">
      <alignment horizontal="justify" vertical="top"/>
    </xf>
    <xf numFmtId="2" fontId="11" fillId="0" borderId="0" xfId="0" applyNumberFormat="1" applyFont="1" applyAlignment="1">
      <alignment vertical="top"/>
    </xf>
    <xf numFmtId="2" fontId="11" fillId="0" borderId="0" xfId="0" applyNumberFormat="1" applyFont="1" applyAlignment="1" applyProtection="1">
      <alignment horizontal="left" vertical="top"/>
      <protection locked="0"/>
    </xf>
    <xf numFmtId="2" fontId="15" fillId="0" borderId="0" xfId="0" applyNumberFormat="1" applyFont="1" applyAlignment="1" applyProtection="1">
      <alignment horizontal="left" vertical="top"/>
      <protection locked="0"/>
    </xf>
    <xf numFmtId="2" fontId="15" fillId="0" borderId="0" xfId="0" applyNumberFormat="1" applyFont="1" applyAlignment="1" applyProtection="1">
      <alignment horizontal="justify" vertical="top"/>
      <protection locked="0"/>
    </xf>
    <xf numFmtId="0" fontId="7" fillId="0" borderId="0" xfId="0" applyFont="1" applyAlignment="1" applyProtection="1">
      <alignment horizontal="justify" vertical="top"/>
      <protection locked="0"/>
    </xf>
    <xf numFmtId="0" fontId="12" fillId="0" borderId="0" xfId="0" applyFont="1" applyAlignment="1" applyProtection="1">
      <alignment horizontal="justify" vertical="top"/>
      <protection locked="0"/>
    </xf>
    <xf numFmtId="49" fontId="11" fillId="0" borderId="0" xfId="0" applyNumberFormat="1" applyFont="1" applyAlignment="1" applyProtection="1">
      <alignment horizontal="justify" vertical="top"/>
      <protection locked="0"/>
    </xf>
    <xf numFmtId="1" fontId="11" fillId="0" borderId="0" xfId="0" applyNumberFormat="1" applyFont="1" applyAlignment="1" applyProtection="1">
      <alignment horizontal="justify" vertical="top"/>
      <protection locked="0"/>
    </xf>
    <xf numFmtId="0" fontId="16" fillId="0" borderId="0" xfId="0" applyFont="1" applyAlignment="1" applyProtection="1">
      <alignment horizontal="justify" vertical="top"/>
      <protection locked="0"/>
    </xf>
    <xf numFmtId="0" fontId="10" fillId="0" borderId="0" xfId="0" applyFont="1" applyAlignment="1" applyProtection="1">
      <alignment horizontal="justify" vertical="top"/>
      <protection locked="0"/>
    </xf>
    <xf numFmtId="16" fontId="11" fillId="0" borderId="0" xfId="0" applyNumberFormat="1" applyFont="1" applyAlignment="1" applyProtection="1">
      <alignment horizontal="justify" vertical="top"/>
      <protection locked="0"/>
    </xf>
    <xf numFmtId="165" fontId="11" fillId="0" borderId="0" xfId="0" applyNumberFormat="1" applyFont="1" applyAlignment="1" applyProtection="1">
      <alignment horizontal="justify" vertical="top"/>
      <protection locked="0"/>
    </xf>
    <xf numFmtId="0" fontId="17" fillId="0" borderId="0" xfId="0" applyFont="1"/>
    <xf numFmtId="0" fontId="18" fillId="0" borderId="0" xfId="0" applyFont="1"/>
    <xf numFmtId="4" fontId="0" fillId="0" borderId="0" xfId="0" applyNumberFormat="1" applyProtection="1">
      <protection locked="0"/>
    </xf>
    <xf numFmtId="164" fontId="19" fillId="0" borderId="0" xfId="0" applyNumberFormat="1" applyFont="1" applyProtection="1">
      <protection locked="0"/>
    </xf>
    <xf numFmtId="0" fontId="0" fillId="0" borderId="0" xfId="0" applyProtection="1">
      <protection locked="0"/>
    </xf>
    <xf numFmtId="0" fontId="20" fillId="0" borderId="0" xfId="0" applyFont="1" applyAlignment="1">
      <alignment horizontal="center"/>
    </xf>
    <xf numFmtId="0" fontId="20" fillId="0" borderId="0" xfId="0" applyFont="1"/>
    <xf numFmtId="2" fontId="21" fillId="0" borderId="0" xfId="0" applyNumberFormat="1" applyFont="1" applyAlignment="1">
      <alignment horizontal="left"/>
    </xf>
    <xf numFmtId="2" fontId="18" fillId="0" borderId="0" xfId="0" applyNumberFormat="1" applyFont="1" applyAlignment="1">
      <alignment horizontal="center" vertical="top"/>
    </xf>
    <xf numFmtId="2" fontId="18" fillId="0" borderId="0" xfId="0" applyNumberFormat="1" applyFont="1" applyAlignment="1">
      <alignment horizontal="justify" vertical="top"/>
    </xf>
    <xf numFmtId="2" fontId="18" fillId="0" borderId="0" xfId="0" applyNumberFormat="1" applyFont="1" applyAlignment="1">
      <alignment horizontal="right" vertical="top"/>
    </xf>
    <xf numFmtId="4" fontId="18" fillId="0" borderId="0" xfId="0" applyNumberFormat="1" applyFont="1" applyAlignment="1" applyProtection="1">
      <alignment horizontal="right" vertical="top"/>
      <protection locked="0"/>
    </xf>
    <xf numFmtId="164" fontId="18" fillId="0" borderId="0" xfId="0" applyNumberFormat="1" applyFont="1" applyAlignment="1" applyProtection="1">
      <alignment horizontal="right" vertical="top"/>
      <protection locked="0"/>
    </xf>
    <xf numFmtId="166" fontId="20" fillId="0" borderId="0" xfId="0" applyNumberFormat="1" applyFont="1" applyAlignment="1">
      <alignment horizontal="center" vertical="top" wrapText="1"/>
    </xf>
    <xf numFmtId="0" fontId="18" fillId="0" borderId="0" xfId="0" applyFont="1" applyAlignment="1">
      <alignment horizontal="justify" vertical="top" wrapText="1"/>
    </xf>
    <xf numFmtId="0" fontId="18" fillId="0" borderId="0" xfId="0" applyFont="1" applyAlignment="1">
      <alignment horizontal="left" vertical="top"/>
    </xf>
    <xf numFmtId="4" fontId="18" fillId="0" borderId="0" xfId="0" applyNumberFormat="1" applyFont="1" applyAlignment="1">
      <alignment horizontal="right" vertical="top"/>
    </xf>
    <xf numFmtId="4" fontId="18" fillId="0" borderId="0" xfId="0" applyNumberFormat="1" applyFont="1" applyAlignment="1" applyProtection="1">
      <alignment vertical="top"/>
      <protection locked="0"/>
    </xf>
    <xf numFmtId="164" fontId="18" fillId="0" borderId="0" xfId="0" applyNumberFormat="1" applyFont="1" applyAlignment="1" applyProtection="1">
      <alignment vertical="top"/>
      <protection locked="0"/>
    </xf>
    <xf numFmtId="166" fontId="22" fillId="0" borderId="0" xfId="0" applyNumberFormat="1" applyFont="1" applyAlignment="1">
      <alignment horizontal="center" vertical="top" wrapText="1"/>
    </xf>
    <xf numFmtId="4" fontId="18" fillId="0" borderId="0" xfId="0" applyNumberFormat="1" applyFont="1" applyAlignment="1">
      <alignment horizontal="right"/>
    </xf>
    <xf numFmtId="4" fontId="23" fillId="0" borderId="0" xfId="0" applyNumberFormat="1" applyFont="1" applyAlignment="1">
      <alignment horizontal="right" vertical="top"/>
    </xf>
    <xf numFmtId="0" fontId="18" fillId="0" borderId="0" xfId="0" applyFont="1" applyAlignment="1">
      <alignment wrapText="1"/>
    </xf>
    <xf numFmtId="0" fontId="18" fillId="0" borderId="0" xfId="0" applyFont="1" applyAlignment="1">
      <alignment horizontal="right" vertical="top" wrapText="1"/>
    </xf>
    <xf numFmtId="4" fontId="18" fillId="0" borderId="0" xfId="3" applyNumberFormat="1" applyFont="1" applyAlignment="1">
      <alignment horizontal="justify" vertical="top" wrapText="1"/>
    </xf>
    <xf numFmtId="0" fontId="18" fillId="0" borderId="0" xfId="0" applyFont="1" applyAlignment="1">
      <alignment horizontal="justify" vertical="top"/>
    </xf>
    <xf numFmtId="4" fontId="23" fillId="0" borderId="0" xfId="0" applyNumberFormat="1" applyFont="1" applyAlignment="1">
      <alignment vertical="top"/>
    </xf>
    <xf numFmtId="4" fontId="18" fillId="0" borderId="0" xfId="0" applyNumberFormat="1" applyFont="1" applyAlignment="1">
      <alignment vertical="top"/>
    </xf>
    <xf numFmtId="0" fontId="11" fillId="0" borderId="0" xfId="0" applyFont="1" applyAlignment="1">
      <alignment horizontal="justify" vertical="top" wrapText="1"/>
    </xf>
    <xf numFmtId="0" fontId="11" fillId="0" borderId="0" xfId="0" applyFont="1" applyAlignment="1">
      <alignment horizontal="left"/>
    </xf>
    <xf numFmtId="4" fontId="18" fillId="0" borderId="0" xfId="0" applyNumberFormat="1" applyFont="1"/>
    <xf numFmtId="4" fontId="11" fillId="0" borderId="0" xfId="0" applyNumberFormat="1" applyFont="1" applyAlignment="1" applyProtection="1">
      <alignment horizontal="right"/>
      <protection locked="0"/>
    </xf>
    <xf numFmtId="164" fontId="18" fillId="0" borderId="0" xfId="0" applyNumberFormat="1" applyFont="1" applyProtection="1">
      <protection locked="0"/>
    </xf>
    <xf numFmtId="167" fontId="20" fillId="0" borderId="0" xfId="0" applyNumberFormat="1" applyFont="1" applyAlignment="1">
      <alignment horizontal="center" vertical="top" wrapText="1"/>
    </xf>
    <xf numFmtId="2" fontId="18" fillId="0" borderId="0" xfId="0" applyNumberFormat="1" applyFont="1" applyAlignment="1">
      <alignment horizontal="left"/>
    </xf>
    <xf numFmtId="4" fontId="18" fillId="0" borderId="0" xfId="0" applyNumberFormat="1" applyFont="1" applyAlignment="1" applyProtection="1">
      <alignment horizontal="right"/>
      <protection locked="0"/>
    </xf>
    <xf numFmtId="167" fontId="18" fillId="0" borderId="0" xfId="0" applyNumberFormat="1" applyFont="1" applyAlignment="1">
      <alignment horizontal="left" vertical="top"/>
    </xf>
    <xf numFmtId="2" fontId="11" fillId="0" borderId="0" xfId="0" applyNumberFormat="1" applyFont="1" applyAlignment="1">
      <alignment horizontal="left"/>
    </xf>
    <xf numFmtId="4" fontId="11" fillId="0" borderId="0" xfId="0" applyNumberFormat="1" applyFont="1" applyAlignment="1">
      <alignment horizontal="right"/>
    </xf>
    <xf numFmtId="167" fontId="11" fillId="0" borderId="0" xfId="0" applyNumberFormat="1" applyFont="1" applyAlignment="1">
      <alignment horizontal="center" vertical="top"/>
    </xf>
    <xf numFmtId="0" fontId="11" fillId="0" borderId="0" xfId="0" applyFont="1" applyAlignment="1">
      <alignment horizontal="justify" wrapText="1"/>
    </xf>
    <xf numFmtId="2" fontId="11" fillId="0" borderId="0" xfId="0" applyNumberFormat="1" applyFont="1" applyAlignment="1">
      <alignment horizontal="justify" vertical="top" wrapText="1"/>
    </xf>
    <xf numFmtId="0" fontId="26" fillId="0" borderId="0" xfId="0" applyFont="1"/>
    <xf numFmtId="2" fontId="23" fillId="0" borderId="0" xfId="0" applyNumberFormat="1" applyFont="1" applyAlignment="1">
      <alignment horizontal="justify" vertical="top"/>
    </xf>
    <xf numFmtId="4" fontId="18" fillId="0" borderId="0" xfId="0" applyNumberFormat="1" applyFont="1" applyAlignment="1" applyProtection="1">
      <alignment horizontal="justify" vertical="top"/>
      <protection locked="0"/>
    </xf>
    <xf numFmtId="164" fontId="18" fillId="0" borderId="0" xfId="0" applyNumberFormat="1" applyFont="1" applyAlignment="1" applyProtection="1">
      <alignment horizontal="justify" vertical="top"/>
      <protection locked="0"/>
    </xf>
    <xf numFmtId="166" fontId="20" fillId="0" borderId="0" xfId="0" applyNumberFormat="1" applyFont="1" applyAlignment="1">
      <alignment vertical="center" wrapText="1"/>
    </xf>
    <xf numFmtId="0" fontId="10" fillId="0" borderId="0" xfId="0" applyFont="1" applyAlignment="1">
      <alignment vertical="center"/>
    </xf>
    <xf numFmtId="0" fontId="18" fillId="0" borderId="0" xfId="0" applyFont="1" applyAlignment="1">
      <alignment vertical="center"/>
    </xf>
    <xf numFmtId="4" fontId="18" fillId="0" borderId="0" xfId="0" applyNumberFormat="1" applyFont="1" applyAlignment="1">
      <alignment vertical="center"/>
    </xf>
    <xf numFmtId="4" fontId="18" fillId="0" borderId="0" xfId="0" applyNumberFormat="1" applyFont="1" applyAlignment="1" applyProtection="1">
      <alignment vertical="center"/>
      <protection locked="0"/>
    </xf>
    <xf numFmtId="164" fontId="18" fillId="0" borderId="0" xfId="0" applyNumberFormat="1" applyFont="1" applyAlignment="1" applyProtection="1">
      <alignment vertical="center"/>
      <protection locked="0"/>
    </xf>
    <xf numFmtId="0" fontId="0" fillId="0" borderId="0" xfId="0" applyAlignment="1" applyProtection="1">
      <alignment vertical="center"/>
      <protection locked="0"/>
    </xf>
    <xf numFmtId="0" fontId="10" fillId="0" borderId="0" xfId="0" applyFont="1" applyAlignment="1">
      <alignment horizontal="justify" vertical="top"/>
    </xf>
    <xf numFmtId="166" fontId="20" fillId="0" borderId="0" xfId="0" applyNumberFormat="1" applyFont="1" applyAlignment="1">
      <alignment horizontal="center" vertical="center" wrapText="1"/>
    </xf>
    <xf numFmtId="0" fontId="10" fillId="0" borderId="0" xfId="0" applyFont="1" applyAlignment="1">
      <alignment horizontal="justify" vertical="center"/>
    </xf>
    <xf numFmtId="0" fontId="18" fillId="0" borderId="0" xfId="0" applyFont="1" applyAlignment="1">
      <alignment horizontal="left" vertical="center"/>
    </xf>
    <xf numFmtId="0" fontId="18" fillId="0" borderId="0" xfId="0" applyFont="1" applyAlignment="1">
      <alignment horizontal="center" vertical="top"/>
    </xf>
    <xf numFmtId="0" fontId="18" fillId="0" borderId="0" xfId="0" applyFont="1" applyAlignment="1">
      <alignment horizontal="justify" vertical="center" wrapText="1"/>
    </xf>
    <xf numFmtId="0" fontId="18" fillId="0" borderId="0" xfId="0" applyFont="1" applyAlignment="1">
      <alignment horizontal="left"/>
    </xf>
    <xf numFmtId="0" fontId="20" fillId="0" borderId="0" xfId="0" applyFont="1" applyAlignment="1">
      <alignment horizontal="center" vertical="top" wrapText="1"/>
    </xf>
    <xf numFmtId="0" fontId="20" fillId="0" borderId="1" xfId="0" applyFont="1" applyBorder="1" applyAlignment="1">
      <alignment horizontal="center" vertical="top" wrapText="1"/>
    </xf>
    <xf numFmtId="0" fontId="20" fillId="0" borderId="1" xfId="0" applyFont="1" applyBorder="1" applyAlignment="1">
      <alignment horizontal="justify" vertical="top" wrapText="1"/>
    </xf>
    <xf numFmtId="0" fontId="20" fillId="0" borderId="1" xfId="0" applyFont="1" applyBorder="1" applyAlignment="1">
      <alignment horizontal="center" vertical="top"/>
    </xf>
    <xf numFmtId="4" fontId="28" fillId="0" borderId="1" xfId="0" applyNumberFormat="1" applyFont="1" applyBorder="1" applyAlignment="1">
      <alignment vertical="top"/>
    </xf>
    <xf numFmtId="4" fontId="22" fillId="0" borderId="1" xfId="0" applyNumberFormat="1" applyFont="1" applyBorder="1" applyAlignment="1" applyProtection="1">
      <alignment horizontal="right" vertical="top"/>
      <protection locked="0"/>
    </xf>
    <xf numFmtId="164" fontId="20" fillId="0" borderId="1" xfId="0" applyNumberFormat="1" applyFont="1" applyBorder="1" applyAlignment="1" applyProtection="1">
      <alignment vertical="top"/>
      <protection locked="0"/>
    </xf>
    <xf numFmtId="0" fontId="29" fillId="0" borderId="0" xfId="0" applyFont="1"/>
    <xf numFmtId="43" fontId="0" fillId="8" borderId="0" xfId="1" applyFont="1" applyFill="1" applyProtection="1">
      <protection locked="0"/>
    </xf>
    <xf numFmtId="164" fontId="0" fillId="8" borderId="0" xfId="1" applyNumberFormat="1" applyFont="1" applyFill="1" applyProtection="1">
      <protection locked="0"/>
    </xf>
    <xf numFmtId="2" fontId="3" fillId="0" borderId="0" xfId="0" applyNumberFormat="1" applyFont="1" applyAlignment="1" applyProtection="1">
      <alignment horizontal="justify" vertical="top"/>
      <protection locked="0"/>
    </xf>
    <xf numFmtId="2" fontId="3" fillId="6" borderId="0" xfId="0" applyNumberFormat="1" applyFont="1" applyFill="1" applyAlignment="1" applyProtection="1">
      <alignment horizontal="left" vertical="top"/>
      <protection locked="0"/>
    </xf>
    <xf numFmtId="2" fontId="3" fillId="7" borderId="0" xfId="0" applyNumberFormat="1" applyFont="1" applyFill="1" applyAlignment="1" applyProtection="1">
      <alignment horizontal="left" vertical="center"/>
      <protection locked="0"/>
    </xf>
    <xf numFmtId="2" fontId="3" fillId="0" borderId="0" xfId="0" applyNumberFormat="1" applyFont="1" applyAlignment="1" applyProtection="1">
      <alignment horizontal="center"/>
      <protection locked="0"/>
    </xf>
    <xf numFmtId="2" fontId="3" fillId="2" borderId="0" xfId="0" applyNumberFormat="1" applyFont="1" applyFill="1" applyAlignment="1" applyProtection="1">
      <alignment horizontal="justify" vertical="top" wrapText="1"/>
      <protection locked="0"/>
    </xf>
    <xf numFmtId="2" fontId="3" fillId="2" borderId="0" xfId="0" applyNumberFormat="1" applyFont="1" applyFill="1" applyAlignment="1" applyProtection="1">
      <alignment horizontal="left" vertical="top"/>
      <protection locked="0"/>
    </xf>
    <xf numFmtId="2" fontId="3" fillId="3" borderId="0" xfId="0" applyNumberFormat="1" applyFont="1" applyFill="1" applyAlignment="1" applyProtection="1">
      <alignment horizontal="justify" vertical="top" wrapText="1"/>
      <protection locked="0"/>
    </xf>
    <xf numFmtId="2" fontId="3" fillId="3" borderId="0" xfId="0" applyNumberFormat="1" applyFont="1" applyFill="1" applyAlignment="1" applyProtection="1">
      <alignment horizontal="left" vertical="top"/>
      <protection locked="0"/>
    </xf>
    <xf numFmtId="2" fontId="3" fillId="6" borderId="0" xfId="0" applyNumberFormat="1" applyFont="1" applyFill="1" applyAlignment="1" applyProtection="1">
      <alignment horizontal="justify" vertical="top" wrapText="1"/>
      <protection locked="0"/>
    </xf>
    <xf numFmtId="0" fontId="7" fillId="0" borderId="0" xfId="2" applyFont="1" applyAlignment="1" applyProtection="1">
      <alignment horizontal="justify" vertical="top"/>
      <protection locked="0"/>
    </xf>
    <xf numFmtId="2" fontId="7" fillId="0" borderId="0" xfId="2" applyNumberFormat="1" applyFont="1" applyAlignment="1" applyProtection="1">
      <alignment horizontal="justify" vertical="top"/>
      <protection locked="0"/>
    </xf>
    <xf numFmtId="0" fontId="11" fillId="0" borderId="0" xfId="2" applyFont="1" applyAlignment="1" applyProtection="1">
      <alignment horizontal="justify" vertical="top"/>
      <protection locked="0"/>
    </xf>
    <xf numFmtId="0" fontId="11" fillId="0" borderId="0" xfId="2" applyFont="1" applyAlignment="1" applyProtection="1">
      <alignment horizontal="justify" vertical="top" wrapText="1"/>
      <protection locked="0"/>
    </xf>
    <xf numFmtId="0" fontId="7" fillId="0" borderId="0" xfId="2" applyFont="1" applyAlignment="1" applyProtection="1">
      <alignment horizontal="justify" vertical="top" wrapText="1"/>
      <protection locked="0"/>
    </xf>
    <xf numFmtId="0" fontId="11" fillId="0" borderId="0" xfId="2" quotePrefix="1" applyFont="1" applyAlignment="1" applyProtection="1">
      <alignment horizontal="justify" vertical="top"/>
      <protection locked="0"/>
    </xf>
    <xf numFmtId="0" fontId="7" fillId="0" borderId="0" xfId="2" applyFont="1" applyAlignment="1" applyProtection="1">
      <alignment horizontal="left" vertical="top"/>
      <protection locked="0"/>
    </xf>
    <xf numFmtId="0" fontId="11" fillId="0" borderId="0" xfId="0" applyFont="1" applyAlignment="1" applyProtection="1">
      <alignment horizontal="justify" vertical="top" wrapText="1"/>
      <protection locked="0"/>
    </xf>
    <xf numFmtId="49" fontId="11" fillId="0" borderId="0" xfId="2" applyNumberFormat="1" applyFont="1" applyAlignment="1" applyProtection="1">
      <alignment horizontal="justify" vertical="top" wrapText="1"/>
      <protection locked="0"/>
    </xf>
    <xf numFmtId="0" fontId="7" fillId="0" borderId="0" xfId="0" applyFont="1" applyAlignment="1" applyProtection="1">
      <alignment horizontal="justify" vertical="top" wrapText="1"/>
      <protection locked="0"/>
    </xf>
    <xf numFmtId="0" fontId="11" fillId="0" borderId="0" xfId="2" applyFont="1" applyAlignment="1">
      <alignment horizontal="justify" vertical="top" wrapText="1"/>
    </xf>
    <xf numFmtId="0" fontId="11" fillId="0" borderId="0" xfId="2" quotePrefix="1" applyFont="1" applyAlignment="1" applyProtection="1">
      <alignment horizontal="justify" vertical="top" wrapText="1"/>
      <protection locked="0"/>
    </xf>
    <xf numFmtId="49" fontId="7" fillId="0" borderId="0" xfId="2" applyNumberFormat="1" applyFont="1" applyAlignment="1" applyProtection="1">
      <alignment horizontal="justify" vertical="top"/>
      <protection locked="0"/>
    </xf>
    <xf numFmtId="2" fontId="11" fillId="0" borderId="0" xfId="0" applyNumberFormat="1" applyFont="1" applyAlignment="1">
      <alignment horizontal="justify" vertical="top"/>
    </xf>
    <xf numFmtId="2" fontId="7" fillId="0" borderId="0" xfId="0" applyNumberFormat="1" applyFont="1" applyAlignment="1" applyProtection="1">
      <alignment horizontal="justify" vertical="top"/>
      <protection locked="0"/>
    </xf>
    <xf numFmtId="2" fontId="7" fillId="0" borderId="0" xfId="0" applyNumberFormat="1" applyFont="1" applyAlignment="1">
      <alignment horizontal="justify" vertical="top"/>
    </xf>
    <xf numFmtId="2" fontId="11" fillId="0" borderId="0" xfId="0" applyNumberFormat="1" applyFont="1" applyAlignment="1" applyProtection="1">
      <alignment horizontal="justify" vertical="top"/>
      <protection locked="0"/>
    </xf>
    <xf numFmtId="2" fontId="7" fillId="0" borderId="0" xfId="0" applyNumberFormat="1" applyFont="1" applyAlignment="1" applyProtection="1">
      <alignment horizontal="left" vertical="top"/>
      <protection locked="0"/>
    </xf>
    <xf numFmtId="2" fontId="11" fillId="0" borderId="0" xfId="0" applyNumberFormat="1" applyFont="1" applyAlignment="1" applyProtection="1">
      <alignment horizontal="justify" vertical="top" wrapText="1"/>
      <protection locked="0"/>
    </xf>
    <xf numFmtId="2" fontId="11" fillId="0" borderId="0" xfId="0" applyNumberFormat="1" applyFont="1" applyAlignment="1">
      <alignment horizontal="left" vertical="top"/>
    </xf>
    <xf numFmtId="2" fontId="11" fillId="0" borderId="0" xfId="0" quotePrefix="1" applyNumberFormat="1" applyFont="1" applyAlignment="1">
      <alignment horizontal="justify" vertical="top"/>
    </xf>
    <xf numFmtId="0" fontId="10" fillId="0" borderId="0" xfId="2" applyFont="1" applyAlignment="1">
      <alignment horizontal="justify"/>
    </xf>
    <xf numFmtId="2" fontId="11" fillId="0" borderId="0" xfId="0" applyNumberFormat="1" applyFont="1" applyAlignment="1" applyProtection="1">
      <alignment horizontal="left" vertical="top"/>
      <protection locked="0"/>
    </xf>
    <xf numFmtId="0" fontId="7" fillId="0" borderId="0" xfId="0" applyFont="1" applyAlignment="1" applyProtection="1">
      <alignment horizontal="justify" vertical="top"/>
      <protection locked="0"/>
    </xf>
    <xf numFmtId="0" fontId="15" fillId="0" borderId="0" xfId="0" applyFont="1" applyAlignment="1" applyProtection="1">
      <alignment horizontal="justify" vertical="top" wrapText="1"/>
      <protection locked="0"/>
    </xf>
    <xf numFmtId="49" fontId="11" fillId="0" borderId="0" xfId="0" applyNumberFormat="1" applyFont="1" applyAlignment="1" applyProtection="1">
      <alignment horizontal="justify" vertical="top"/>
      <protection locked="0"/>
    </xf>
    <xf numFmtId="49" fontId="7" fillId="0" borderId="0" xfId="0" applyNumberFormat="1" applyFont="1" applyAlignment="1" applyProtection="1">
      <alignment horizontal="justify" vertical="top"/>
      <protection locked="0"/>
    </xf>
    <xf numFmtId="0" fontId="11" fillId="0" borderId="0" xfId="0" applyFont="1" applyAlignment="1" applyProtection="1">
      <alignment horizontal="left" vertical="top"/>
      <protection locked="0"/>
    </xf>
  </cellXfs>
  <cellStyles count="4">
    <cellStyle name="Comma" xfId="1" builtinId="3"/>
    <cellStyle name="Normal" xfId="0" builtinId="0"/>
    <cellStyle name="Normal 143" xfId="2" xr:uid="{497A0074-B7E5-4A89-9BE3-5C1F3727768A}"/>
    <cellStyle name="Normal 2" xfId="3" xr:uid="{5564C1F0-9001-40E0-A720-541BCD617B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968D-1175-490E-B840-6477DDAC4065}">
  <dimension ref="A1:F93"/>
  <sheetViews>
    <sheetView view="pageBreakPreview" topLeftCell="A3" zoomScaleNormal="100" zoomScaleSheetLayoutView="100" zoomScalePageLayoutView="69" workbookViewId="0">
      <selection activeCell="A25" sqref="A25:XFD86"/>
    </sheetView>
  </sheetViews>
  <sheetFormatPr defaultColWidth="9.08984375" defaultRowHeight="13.5" x14ac:dyDescent="0.3"/>
  <cols>
    <col min="1" max="1" width="9.453125" style="5" customWidth="1"/>
    <col min="2" max="2" width="12" style="5" customWidth="1"/>
    <col min="3" max="3" width="56.36328125" style="5" customWidth="1"/>
    <col min="4" max="4" width="5.36328125" style="53" customWidth="1"/>
    <col min="5" max="5" width="27.453125" style="54" customWidth="1"/>
    <col min="6" max="6" width="9.08984375" style="5"/>
    <col min="7" max="7" width="13.08984375" style="5" bestFit="1" customWidth="1"/>
    <col min="8" max="16384" width="9.08984375" style="5"/>
  </cols>
  <sheetData>
    <row r="1" spans="1:6" ht="18.5" x14ac:dyDescent="0.35">
      <c r="A1" s="1"/>
      <c r="B1" s="1"/>
      <c r="C1" s="1"/>
      <c r="D1" s="2"/>
      <c r="E1" s="3"/>
      <c r="F1" s="4"/>
    </row>
    <row r="2" spans="1:6" ht="40.5" customHeight="1" x14ac:dyDescent="0.35">
      <c r="A2" s="1"/>
      <c r="B2" s="1"/>
      <c r="C2" s="1"/>
      <c r="D2" s="2"/>
      <c r="E2" s="3"/>
      <c r="F2" s="4"/>
    </row>
    <row r="3" spans="1:6" ht="18.5" x14ac:dyDescent="0.35">
      <c r="A3" s="1"/>
      <c r="B3" s="170" t="s">
        <v>0</v>
      </c>
      <c r="C3" s="170"/>
      <c r="D3" s="170"/>
      <c r="E3" s="170"/>
      <c r="F3" s="4"/>
    </row>
    <row r="4" spans="1:6" ht="18.5" x14ac:dyDescent="0.35">
      <c r="A4" s="1"/>
      <c r="B4" s="6"/>
      <c r="C4" s="1"/>
      <c r="D4" s="2"/>
      <c r="E4" s="7"/>
      <c r="F4" s="4"/>
    </row>
    <row r="5" spans="1:6" ht="18" customHeight="1" x14ac:dyDescent="0.35">
      <c r="A5" s="1"/>
      <c r="B5" s="171" t="s">
        <v>1</v>
      </c>
      <c r="C5" s="171"/>
      <c r="D5" s="8"/>
      <c r="E5" s="9"/>
      <c r="F5" s="4"/>
    </row>
    <row r="6" spans="1:6" ht="18.5" x14ac:dyDescent="0.35">
      <c r="A6" s="1"/>
      <c r="B6" s="10"/>
      <c r="C6" s="10"/>
      <c r="D6" s="11"/>
      <c r="E6" s="12"/>
      <c r="F6" s="4"/>
    </row>
    <row r="7" spans="1:6" ht="18.5" x14ac:dyDescent="0.35">
      <c r="A7" s="1"/>
      <c r="B7" s="13" t="s">
        <v>2</v>
      </c>
      <c r="C7" s="13" t="s">
        <v>3</v>
      </c>
      <c r="D7" s="11"/>
      <c r="E7" s="14"/>
      <c r="F7" s="4"/>
    </row>
    <row r="8" spans="1:6" ht="18.5" x14ac:dyDescent="0.35">
      <c r="A8" s="1"/>
      <c r="B8" s="13"/>
      <c r="C8" s="1"/>
      <c r="D8" s="11"/>
      <c r="E8" s="15"/>
      <c r="F8" s="4"/>
    </row>
    <row r="9" spans="1:6" ht="18.5" x14ac:dyDescent="0.35">
      <c r="A9" s="1"/>
      <c r="B9" s="13" t="s">
        <v>4</v>
      </c>
      <c r="C9" s="13" t="s">
        <v>5</v>
      </c>
      <c r="D9" s="11"/>
      <c r="E9" s="14"/>
      <c r="F9" s="4"/>
    </row>
    <row r="10" spans="1:6" ht="18.5" x14ac:dyDescent="0.35">
      <c r="A10" s="1"/>
      <c r="B10" s="1"/>
      <c r="C10" s="1"/>
      <c r="D10" s="11"/>
      <c r="E10" s="15"/>
      <c r="F10" s="4"/>
    </row>
    <row r="11" spans="1:6" ht="18.5" x14ac:dyDescent="0.35">
      <c r="A11" s="1"/>
      <c r="B11" s="13" t="s">
        <v>6</v>
      </c>
      <c r="C11" s="13" t="s">
        <v>7</v>
      </c>
      <c r="D11" s="11"/>
      <c r="E11" s="14"/>
      <c r="F11" s="4"/>
    </row>
    <row r="12" spans="1:6" ht="18.5" x14ac:dyDescent="0.35">
      <c r="A12" s="1"/>
      <c r="B12" s="13"/>
      <c r="C12" s="16"/>
      <c r="D12" s="11"/>
      <c r="E12" s="14"/>
      <c r="F12" s="4"/>
    </row>
    <row r="13" spans="1:6" ht="18.5" x14ac:dyDescent="0.35">
      <c r="A13" s="1"/>
      <c r="B13" s="17" t="s">
        <v>8</v>
      </c>
      <c r="C13" s="18" t="s">
        <v>9</v>
      </c>
      <c r="D13" s="11"/>
      <c r="E13" s="14"/>
      <c r="F13" s="4"/>
    </row>
    <row r="14" spans="1:6" ht="18.5" x14ac:dyDescent="0.35">
      <c r="A14" s="1"/>
      <c r="B14" s="17"/>
      <c r="C14" s="18"/>
      <c r="D14" s="11"/>
      <c r="E14" s="14"/>
      <c r="F14" s="4"/>
    </row>
    <row r="15" spans="1:6" ht="18.5" x14ac:dyDescent="0.35">
      <c r="A15" s="1"/>
      <c r="B15" s="17" t="s">
        <v>10</v>
      </c>
      <c r="C15" s="19" t="s">
        <v>11</v>
      </c>
      <c r="D15" s="11"/>
      <c r="E15" s="14"/>
      <c r="F15" s="4"/>
    </row>
    <row r="16" spans="1:6" ht="18.5" x14ac:dyDescent="0.35">
      <c r="A16" s="1"/>
      <c r="B16" s="17"/>
      <c r="C16" s="20"/>
      <c r="D16" s="11"/>
      <c r="E16" s="14"/>
      <c r="F16" s="4"/>
    </row>
    <row r="17" spans="1:6" ht="18.5" x14ac:dyDescent="0.35">
      <c r="A17" s="1"/>
      <c r="B17" s="19" t="s">
        <v>12</v>
      </c>
      <c r="C17" s="19" t="s">
        <v>13</v>
      </c>
      <c r="D17" s="11"/>
      <c r="E17" s="14">
        <f>zidarski!F129</f>
        <v>492306.25</v>
      </c>
      <c r="F17" s="4"/>
    </row>
    <row r="18" spans="1:6" ht="18.5" x14ac:dyDescent="0.35">
      <c r="A18" s="1"/>
      <c r="B18" s="19"/>
      <c r="C18" s="21"/>
      <c r="D18" s="11"/>
      <c r="E18" s="14"/>
      <c r="F18" s="4"/>
    </row>
    <row r="19" spans="1:6" ht="18.5" x14ac:dyDescent="0.35">
      <c r="A19" s="1"/>
      <c r="B19" s="19" t="s">
        <v>14</v>
      </c>
      <c r="C19" s="18" t="s">
        <v>15</v>
      </c>
      <c r="D19" s="11"/>
      <c r="E19" s="14"/>
      <c r="F19" s="4"/>
    </row>
    <row r="20" spans="1:6" ht="18.5" x14ac:dyDescent="0.35">
      <c r="A20" s="1"/>
      <c r="B20" s="19"/>
      <c r="C20" s="21"/>
      <c r="D20" s="11"/>
      <c r="E20" s="14"/>
      <c r="F20" s="4"/>
    </row>
    <row r="21" spans="1:6" ht="18.5" x14ac:dyDescent="0.35">
      <c r="A21" s="1"/>
      <c r="B21" s="22" t="s">
        <v>16</v>
      </c>
      <c r="C21" s="23" t="s">
        <v>17</v>
      </c>
      <c r="D21" s="11"/>
      <c r="E21" s="14"/>
      <c r="F21" s="4"/>
    </row>
    <row r="22" spans="1:6" ht="18.5" x14ac:dyDescent="0.35">
      <c r="A22" s="1"/>
      <c r="B22" s="22"/>
      <c r="C22" s="23"/>
      <c r="D22" s="11"/>
      <c r="E22" s="14"/>
      <c r="F22" s="4"/>
    </row>
    <row r="23" spans="1:6" ht="18.5" x14ac:dyDescent="0.35">
      <c r="A23" s="1"/>
      <c r="B23" s="24" t="s">
        <v>18</v>
      </c>
      <c r="C23" s="172" t="s">
        <v>19</v>
      </c>
      <c r="D23" s="172"/>
      <c r="E23" s="25">
        <f>SUM(E7:E21)</f>
        <v>492306.25</v>
      </c>
      <c r="F23" s="4"/>
    </row>
    <row r="24" spans="1:6" ht="18.5" x14ac:dyDescent="0.35">
      <c r="A24" s="1"/>
      <c r="B24" s="22"/>
      <c r="C24" s="23"/>
      <c r="D24" s="11"/>
      <c r="E24" s="14"/>
      <c r="F24" s="4"/>
    </row>
    <row r="25" spans="1:6" ht="18.5" hidden="1" x14ac:dyDescent="0.35">
      <c r="A25" s="1"/>
      <c r="B25" s="173" t="s">
        <v>20</v>
      </c>
      <c r="C25" s="173"/>
      <c r="D25" s="26"/>
      <c r="E25" s="27"/>
      <c r="F25" s="4"/>
    </row>
    <row r="26" spans="1:6" ht="18.5" hidden="1" x14ac:dyDescent="0.35">
      <c r="A26" s="1"/>
      <c r="B26" s="22"/>
      <c r="C26" s="23"/>
      <c r="D26" s="11"/>
      <c r="E26" s="14"/>
      <c r="F26" s="4"/>
    </row>
    <row r="27" spans="1:6" ht="18.5" hidden="1" x14ac:dyDescent="0.35">
      <c r="A27" s="1"/>
      <c r="B27" s="22" t="s">
        <v>21</v>
      </c>
      <c r="C27" s="23" t="s">
        <v>22</v>
      </c>
      <c r="D27" s="11"/>
      <c r="E27" s="14"/>
      <c r="F27" s="4"/>
    </row>
    <row r="28" spans="1:6" ht="18.5" hidden="1" x14ac:dyDescent="0.35">
      <c r="A28" s="1"/>
      <c r="B28" s="22"/>
      <c r="C28" s="23"/>
      <c r="D28" s="11"/>
      <c r="E28" s="14"/>
      <c r="F28" s="4"/>
    </row>
    <row r="29" spans="1:6" ht="18.5" hidden="1" x14ac:dyDescent="0.35">
      <c r="A29" s="1"/>
      <c r="B29" s="22" t="s">
        <v>23</v>
      </c>
      <c r="C29" s="23" t="s">
        <v>24</v>
      </c>
      <c r="D29" s="11"/>
      <c r="E29" s="14"/>
      <c r="F29" s="4"/>
    </row>
    <row r="30" spans="1:6" ht="18.5" hidden="1" x14ac:dyDescent="0.35">
      <c r="A30" s="1"/>
      <c r="B30" s="22"/>
      <c r="C30" s="23"/>
      <c r="D30" s="11"/>
      <c r="E30" s="14"/>
      <c r="F30" s="4"/>
    </row>
    <row r="31" spans="1:6" ht="18.5" hidden="1" x14ac:dyDescent="0.35">
      <c r="A31" s="1"/>
      <c r="B31" s="22" t="s">
        <v>25</v>
      </c>
      <c r="C31" s="23" t="s">
        <v>26</v>
      </c>
      <c r="D31" s="11"/>
      <c r="E31" s="14"/>
      <c r="F31" s="4"/>
    </row>
    <row r="32" spans="1:6" ht="18.5" hidden="1" x14ac:dyDescent="0.35">
      <c r="A32" s="1"/>
      <c r="B32" s="22"/>
      <c r="C32" s="23"/>
      <c r="D32" s="11"/>
      <c r="E32" s="14"/>
      <c r="F32" s="4"/>
    </row>
    <row r="33" spans="1:6" ht="18.5" hidden="1" x14ac:dyDescent="0.35">
      <c r="A33" s="1"/>
      <c r="B33" s="22" t="s">
        <v>27</v>
      </c>
      <c r="C33" s="23" t="s">
        <v>28</v>
      </c>
      <c r="D33" s="11"/>
      <c r="E33" s="14"/>
      <c r="F33" s="4"/>
    </row>
    <row r="34" spans="1:6" ht="18.5" hidden="1" x14ac:dyDescent="0.35">
      <c r="A34" s="1"/>
      <c r="B34" s="22"/>
      <c r="C34" s="23"/>
      <c r="D34" s="11"/>
      <c r="E34" s="14"/>
      <c r="F34" s="4"/>
    </row>
    <row r="35" spans="1:6" ht="18.5" hidden="1" x14ac:dyDescent="0.35">
      <c r="A35" s="1"/>
      <c r="B35" s="22" t="s">
        <v>29</v>
      </c>
      <c r="C35" s="23" t="s">
        <v>30</v>
      </c>
      <c r="D35" s="11"/>
      <c r="E35" s="14"/>
      <c r="F35" s="4"/>
    </row>
    <row r="36" spans="1:6" ht="18.5" hidden="1" x14ac:dyDescent="0.35">
      <c r="A36" s="1"/>
      <c r="B36" s="22"/>
      <c r="C36" s="23"/>
      <c r="D36" s="11"/>
      <c r="E36" s="14"/>
      <c r="F36" s="4"/>
    </row>
    <row r="37" spans="1:6" ht="18.5" hidden="1" x14ac:dyDescent="0.35">
      <c r="A37" s="1"/>
      <c r="B37" s="22" t="s">
        <v>31</v>
      </c>
      <c r="C37" s="23" t="s">
        <v>32</v>
      </c>
      <c r="D37" s="11"/>
      <c r="E37" s="14"/>
      <c r="F37" s="4"/>
    </row>
    <row r="38" spans="1:6" ht="18.5" hidden="1" x14ac:dyDescent="0.35">
      <c r="A38" s="1"/>
      <c r="B38" s="22"/>
      <c r="C38" s="23"/>
      <c r="D38" s="11"/>
      <c r="E38" s="14"/>
      <c r="F38" s="4"/>
    </row>
    <row r="39" spans="1:6" ht="18.5" hidden="1" x14ac:dyDescent="0.35">
      <c r="A39" s="1"/>
      <c r="B39" s="22" t="s">
        <v>33</v>
      </c>
      <c r="C39" s="23" t="s">
        <v>34</v>
      </c>
      <c r="D39" s="11"/>
      <c r="E39" s="14"/>
      <c r="F39" s="4"/>
    </row>
    <row r="40" spans="1:6" ht="18.5" hidden="1" x14ac:dyDescent="0.35">
      <c r="A40" s="1"/>
      <c r="B40" s="1"/>
      <c r="C40" s="1"/>
      <c r="D40" s="11"/>
      <c r="E40" s="15"/>
      <c r="F40" s="4"/>
    </row>
    <row r="41" spans="1:6" ht="18.5" hidden="1" x14ac:dyDescent="0.35">
      <c r="A41" s="1"/>
      <c r="B41" s="22" t="s">
        <v>35</v>
      </c>
      <c r="C41" s="23" t="s">
        <v>36</v>
      </c>
      <c r="D41" s="11"/>
      <c r="E41" s="14"/>
      <c r="F41" s="4"/>
    </row>
    <row r="42" spans="1:6" ht="18.5" hidden="1" x14ac:dyDescent="0.35">
      <c r="A42" s="1"/>
      <c r="B42" s="22"/>
      <c r="C42" s="23"/>
      <c r="D42" s="11"/>
      <c r="E42" s="14"/>
      <c r="F42" s="4"/>
    </row>
    <row r="43" spans="1:6" ht="18.5" hidden="1" x14ac:dyDescent="0.35">
      <c r="A43" s="1"/>
      <c r="B43" s="22" t="s">
        <v>37</v>
      </c>
      <c r="C43" s="23" t="s">
        <v>38</v>
      </c>
      <c r="D43" s="11"/>
      <c r="E43" s="14"/>
      <c r="F43" s="4"/>
    </row>
    <row r="44" spans="1:6" ht="18.5" hidden="1" x14ac:dyDescent="0.35">
      <c r="A44" s="1"/>
      <c r="B44" s="1"/>
      <c r="C44" s="1"/>
      <c r="D44" s="11"/>
      <c r="E44" s="15"/>
      <c r="F44" s="4"/>
    </row>
    <row r="45" spans="1:6" ht="18.5" hidden="1" x14ac:dyDescent="0.35">
      <c r="A45" s="1"/>
      <c r="B45" s="22" t="s">
        <v>39</v>
      </c>
      <c r="C45" s="23" t="s">
        <v>40</v>
      </c>
      <c r="D45" s="11"/>
      <c r="E45" s="14"/>
      <c r="F45" s="4"/>
    </row>
    <row r="46" spans="1:6" ht="18.5" hidden="1" x14ac:dyDescent="0.35">
      <c r="A46" s="1"/>
      <c r="B46" s="22"/>
      <c r="C46" s="23"/>
      <c r="D46" s="11"/>
      <c r="E46" s="14"/>
      <c r="F46" s="4"/>
    </row>
    <row r="47" spans="1:6" ht="18.5" hidden="1" x14ac:dyDescent="0.35">
      <c r="A47" s="1"/>
      <c r="B47" s="22" t="s">
        <v>41</v>
      </c>
      <c r="C47" s="23" t="s">
        <v>42</v>
      </c>
      <c r="D47" s="11"/>
      <c r="E47" s="14"/>
      <c r="F47" s="4"/>
    </row>
    <row r="48" spans="1:6" ht="18.5" hidden="1" x14ac:dyDescent="0.35">
      <c r="A48" s="1"/>
      <c r="B48" s="22"/>
      <c r="C48" s="23"/>
      <c r="D48" s="11"/>
      <c r="E48" s="14"/>
      <c r="F48" s="4"/>
    </row>
    <row r="49" spans="1:6" ht="18.5" hidden="1" x14ac:dyDescent="0.35">
      <c r="A49" s="1"/>
      <c r="B49" s="22" t="s">
        <v>43</v>
      </c>
      <c r="C49" s="23" t="s">
        <v>44</v>
      </c>
      <c r="D49" s="11"/>
      <c r="E49" s="14"/>
      <c r="F49" s="4"/>
    </row>
    <row r="50" spans="1:6" ht="18.5" hidden="1" x14ac:dyDescent="0.35">
      <c r="A50" s="1"/>
      <c r="B50" s="22"/>
      <c r="C50" s="23"/>
      <c r="D50" s="11"/>
      <c r="E50" s="14"/>
      <c r="F50" s="4"/>
    </row>
    <row r="51" spans="1:6" ht="18.5" hidden="1" x14ac:dyDescent="0.35">
      <c r="A51" s="1"/>
      <c r="B51" s="22" t="s">
        <v>45</v>
      </c>
      <c r="C51" s="23" t="s">
        <v>46</v>
      </c>
      <c r="D51" s="11"/>
      <c r="E51" s="14"/>
      <c r="F51" s="4"/>
    </row>
    <row r="52" spans="1:6" ht="18.5" hidden="1" x14ac:dyDescent="0.35">
      <c r="A52" s="1"/>
      <c r="B52" s="1"/>
      <c r="C52" s="1"/>
      <c r="D52" s="11"/>
      <c r="E52" s="15"/>
      <c r="F52" s="4"/>
    </row>
    <row r="53" spans="1:6" ht="18.5" hidden="1" x14ac:dyDescent="0.35">
      <c r="A53" s="1"/>
      <c r="B53" s="28" t="s">
        <v>47</v>
      </c>
      <c r="C53" s="174" t="s">
        <v>48</v>
      </c>
      <c r="D53" s="174"/>
      <c r="E53" s="29"/>
      <c r="F53" s="4"/>
    </row>
    <row r="54" spans="1:6" ht="18.5" hidden="1" x14ac:dyDescent="0.35">
      <c r="A54" s="1"/>
      <c r="B54" s="13"/>
      <c r="C54" s="30"/>
      <c r="D54" s="30"/>
      <c r="E54" s="14"/>
      <c r="F54" s="4"/>
    </row>
    <row r="55" spans="1:6" ht="18.5" hidden="1" x14ac:dyDescent="0.35">
      <c r="A55" s="1"/>
      <c r="B55" s="31" t="s">
        <v>49</v>
      </c>
      <c r="C55" s="32" t="s">
        <v>50</v>
      </c>
      <c r="D55" s="32"/>
      <c r="E55" s="33"/>
      <c r="F55" s="4"/>
    </row>
    <row r="56" spans="1:6" ht="18.5" hidden="1" x14ac:dyDescent="0.35">
      <c r="A56" s="1"/>
      <c r="B56" s="13"/>
      <c r="C56" s="30"/>
      <c r="D56" s="30"/>
      <c r="E56" s="14"/>
      <c r="F56" s="4"/>
    </row>
    <row r="57" spans="1:6" ht="18.75" hidden="1" customHeight="1" x14ac:dyDescent="0.35">
      <c r="A57" s="1"/>
      <c r="B57" s="13" t="s">
        <v>51</v>
      </c>
      <c r="C57" s="23" t="s">
        <v>52</v>
      </c>
      <c r="D57" s="23"/>
      <c r="E57" s="14"/>
      <c r="F57" s="4"/>
    </row>
    <row r="58" spans="1:6" ht="18.5" hidden="1" x14ac:dyDescent="0.35">
      <c r="A58" s="1"/>
      <c r="B58" s="13" t="s">
        <v>53</v>
      </c>
      <c r="C58" s="23" t="s">
        <v>54</v>
      </c>
      <c r="D58" s="23"/>
      <c r="E58" s="14"/>
      <c r="F58" s="4"/>
    </row>
    <row r="59" spans="1:6" ht="18.5" hidden="1" x14ac:dyDescent="0.35">
      <c r="A59" s="1"/>
      <c r="B59" s="13"/>
      <c r="C59" s="30"/>
      <c r="D59" s="30"/>
      <c r="E59" s="14"/>
      <c r="F59" s="4"/>
    </row>
    <row r="60" spans="1:6" ht="18.5" hidden="1" x14ac:dyDescent="0.35">
      <c r="A60" s="1"/>
      <c r="B60" s="34" t="s">
        <v>55</v>
      </c>
      <c r="C60" s="35" t="s">
        <v>56</v>
      </c>
      <c r="D60" s="35"/>
      <c r="E60" s="36"/>
      <c r="F60" s="4"/>
    </row>
    <row r="61" spans="1:6" ht="18.5" hidden="1" x14ac:dyDescent="0.35">
      <c r="A61" s="1"/>
      <c r="B61" s="13"/>
      <c r="C61" s="37"/>
      <c r="D61" s="37"/>
      <c r="E61" s="14"/>
      <c r="F61" s="4"/>
    </row>
    <row r="62" spans="1:6" ht="18.5" hidden="1" x14ac:dyDescent="0.35">
      <c r="A62" s="1"/>
      <c r="B62" s="175" t="s">
        <v>57</v>
      </c>
      <c r="C62" s="175"/>
      <c r="D62" s="38"/>
      <c r="E62" s="39"/>
      <c r="F62" s="4"/>
    </row>
    <row r="63" spans="1:6" ht="18.5" hidden="1" x14ac:dyDescent="0.35">
      <c r="A63" s="1"/>
      <c r="B63" s="10"/>
      <c r="C63" s="10"/>
      <c r="D63" s="11"/>
      <c r="E63" s="15"/>
      <c r="F63" s="4"/>
    </row>
    <row r="64" spans="1:6" ht="18.5" hidden="1" x14ac:dyDescent="0.35">
      <c r="A64" s="1"/>
      <c r="B64" s="19" t="s">
        <v>58</v>
      </c>
      <c r="C64" s="19" t="s">
        <v>59</v>
      </c>
      <c r="D64" s="11"/>
      <c r="E64" s="14"/>
      <c r="F64" s="4"/>
    </row>
    <row r="65" spans="1:6" ht="18.5" hidden="1" x14ac:dyDescent="0.35">
      <c r="A65" s="1"/>
      <c r="B65" s="19"/>
      <c r="C65" s="19" t="s">
        <v>60</v>
      </c>
      <c r="D65" s="11"/>
      <c r="E65" s="14"/>
      <c r="F65" s="4"/>
    </row>
    <row r="66" spans="1:6" ht="18.5" hidden="1" x14ac:dyDescent="0.35">
      <c r="A66" s="1"/>
      <c r="B66" s="19"/>
      <c r="C66" s="19" t="s">
        <v>61</v>
      </c>
      <c r="D66" s="11"/>
      <c r="E66" s="14"/>
      <c r="F66" s="4"/>
    </row>
    <row r="67" spans="1:6" ht="18.5" hidden="1" x14ac:dyDescent="0.35">
      <c r="A67" s="1"/>
      <c r="B67" s="19"/>
      <c r="C67" s="19" t="s">
        <v>62</v>
      </c>
      <c r="D67" s="11"/>
      <c r="E67" s="14"/>
      <c r="F67" s="4"/>
    </row>
    <row r="68" spans="1:6" ht="18.5" hidden="1" x14ac:dyDescent="0.35">
      <c r="A68" s="1"/>
      <c r="B68" s="19"/>
      <c r="C68" s="19"/>
      <c r="D68" s="11"/>
      <c r="E68" s="14"/>
      <c r="F68" s="4"/>
    </row>
    <row r="69" spans="1:6" ht="18.5" hidden="1" x14ac:dyDescent="0.35">
      <c r="A69" s="1"/>
      <c r="B69" s="19" t="s">
        <v>63</v>
      </c>
      <c r="C69" s="19" t="s">
        <v>64</v>
      </c>
      <c r="D69" s="11"/>
      <c r="E69" s="14"/>
      <c r="F69" s="4"/>
    </row>
    <row r="70" spans="1:6" ht="18.5" hidden="1" x14ac:dyDescent="0.35">
      <c r="A70" s="1"/>
      <c r="B70" s="40"/>
      <c r="C70" s="19" t="s">
        <v>65</v>
      </c>
      <c r="D70" s="11"/>
      <c r="E70" s="14"/>
      <c r="F70" s="4"/>
    </row>
    <row r="71" spans="1:6" ht="18.5" hidden="1" x14ac:dyDescent="0.35">
      <c r="A71" s="1"/>
      <c r="B71" s="40"/>
      <c r="C71" s="19" t="s">
        <v>66</v>
      </c>
      <c r="D71" s="11"/>
      <c r="E71" s="14"/>
      <c r="F71" s="4"/>
    </row>
    <row r="72" spans="1:6" ht="18.5" hidden="1" x14ac:dyDescent="0.35">
      <c r="A72" s="1"/>
      <c r="B72" s="40"/>
      <c r="C72" s="19" t="s">
        <v>67</v>
      </c>
      <c r="D72" s="11"/>
      <c r="E72" s="14"/>
      <c r="F72" s="4"/>
    </row>
    <row r="73" spans="1:6" ht="18.5" hidden="1" x14ac:dyDescent="0.35">
      <c r="A73" s="1"/>
      <c r="B73" s="40"/>
      <c r="C73" s="19" t="s">
        <v>68</v>
      </c>
      <c r="D73" s="11"/>
      <c r="E73" s="14"/>
      <c r="F73" s="4"/>
    </row>
    <row r="74" spans="1:6" ht="18.5" hidden="1" x14ac:dyDescent="0.35">
      <c r="A74" s="1"/>
      <c r="B74" s="19"/>
      <c r="C74" s="19"/>
      <c r="D74" s="11"/>
      <c r="E74" s="14"/>
      <c r="F74" s="4"/>
    </row>
    <row r="75" spans="1:6" ht="18.5" hidden="1" x14ac:dyDescent="0.35">
      <c r="A75" s="1"/>
      <c r="B75" s="13" t="s">
        <v>69</v>
      </c>
      <c r="C75" s="167" t="s">
        <v>70</v>
      </c>
      <c r="D75" s="167"/>
      <c r="E75" s="14"/>
      <c r="F75" s="4"/>
    </row>
    <row r="76" spans="1:6" ht="18.5" hidden="1" x14ac:dyDescent="0.35">
      <c r="A76" s="1"/>
      <c r="B76" s="13"/>
      <c r="C76" s="19" t="s">
        <v>71</v>
      </c>
      <c r="D76" s="13"/>
      <c r="E76" s="14"/>
      <c r="F76" s="4"/>
    </row>
    <row r="77" spans="1:6" ht="18.5" hidden="1" x14ac:dyDescent="0.35">
      <c r="A77" s="1"/>
      <c r="B77" s="13"/>
      <c r="C77" s="19" t="s">
        <v>72</v>
      </c>
      <c r="D77" s="13"/>
      <c r="E77" s="14"/>
      <c r="F77" s="4"/>
    </row>
    <row r="78" spans="1:6" ht="18.5" hidden="1" x14ac:dyDescent="0.35">
      <c r="A78" s="1"/>
      <c r="B78" s="13"/>
      <c r="C78" s="19" t="s">
        <v>73</v>
      </c>
      <c r="D78" s="13"/>
      <c r="E78" s="14"/>
      <c r="F78" s="4"/>
    </row>
    <row r="79" spans="1:6" ht="18.5" hidden="1" x14ac:dyDescent="0.35">
      <c r="A79" s="1"/>
      <c r="B79" s="13"/>
      <c r="C79" s="19"/>
      <c r="D79" s="13"/>
      <c r="E79" s="14"/>
      <c r="F79" s="4"/>
    </row>
    <row r="80" spans="1:6" ht="18.5" hidden="1" x14ac:dyDescent="0.35">
      <c r="A80" s="1"/>
      <c r="B80" s="13" t="s">
        <v>74</v>
      </c>
      <c r="C80" s="19" t="s">
        <v>75</v>
      </c>
      <c r="D80" s="13"/>
      <c r="E80" s="14"/>
      <c r="F80" s="4"/>
    </row>
    <row r="81" spans="1:6" ht="18.5" hidden="1" x14ac:dyDescent="0.35">
      <c r="A81" s="1"/>
      <c r="B81" s="13"/>
      <c r="C81" s="19" t="s">
        <v>76</v>
      </c>
      <c r="D81" s="13"/>
      <c r="E81" s="14"/>
      <c r="F81" s="4"/>
    </row>
    <row r="82" spans="1:6" ht="18.5" hidden="1" x14ac:dyDescent="0.35">
      <c r="A82" s="1"/>
      <c r="B82" s="13"/>
      <c r="C82" s="19" t="s">
        <v>77</v>
      </c>
      <c r="D82" s="13"/>
      <c r="E82" s="14"/>
      <c r="F82" s="4"/>
    </row>
    <row r="83" spans="1:6" ht="18.5" hidden="1" x14ac:dyDescent="0.35">
      <c r="A83" s="1"/>
      <c r="B83" s="13"/>
      <c r="C83" s="19"/>
      <c r="D83" s="13"/>
      <c r="E83" s="14"/>
      <c r="F83" s="4"/>
    </row>
    <row r="84" spans="1:6" ht="18.5" hidden="1" x14ac:dyDescent="0.35">
      <c r="A84" s="1"/>
      <c r="B84" s="13" t="s">
        <v>78</v>
      </c>
      <c r="C84" s="19" t="s">
        <v>79</v>
      </c>
      <c r="D84" s="13"/>
      <c r="E84" s="14"/>
      <c r="F84" s="4"/>
    </row>
    <row r="85" spans="1:6" ht="18.5" hidden="1" x14ac:dyDescent="0.35">
      <c r="A85" s="1"/>
      <c r="B85" s="13"/>
      <c r="C85" s="19"/>
      <c r="D85" s="13"/>
      <c r="E85" s="14"/>
      <c r="F85" s="4"/>
    </row>
    <row r="86" spans="1:6" s="45" customFormat="1" ht="18.5" hidden="1" x14ac:dyDescent="0.35">
      <c r="A86" s="41"/>
      <c r="B86" s="42" t="s">
        <v>80</v>
      </c>
      <c r="C86" s="168" t="s">
        <v>81</v>
      </c>
      <c r="D86" s="168"/>
      <c r="E86" s="43">
        <f>E64+E69+E75+E80+E84</f>
        <v>0</v>
      </c>
      <c r="F86" s="44"/>
    </row>
    <row r="87" spans="1:6" s="45" customFormat="1" ht="18.5" x14ac:dyDescent="0.35">
      <c r="A87" s="41"/>
      <c r="B87" s="13"/>
      <c r="C87" s="30"/>
      <c r="D87" s="30"/>
      <c r="E87" s="14"/>
      <c r="F87" s="44"/>
    </row>
    <row r="88" spans="1:6" s="45" customFormat="1" ht="18.5" x14ac:dyDescent="0.35">
      <c r="A88" s="41"/>
      <c r="B88" s="46"/>
      <c r="C88" s="47" t="s">
        <v>82</v>
      </c>
      <c r="D88" s="47"/>
      <c r="E88" s="48">
        <f>E86+E60+E55+E53+E23</f>
        <v>492306.25</v>
      </c>
      <c r="F88" s="44"/>
    </row>
    <row r="89" spans="1:6" ht="18.5" x14ac:dyDescent="0.35">
      <c r="A89" s="1"/>
      <c r="B89" s="1"/>
      <c r="C89" s="49"/>
      <c r="D89" s="49"/>
      <c r="E89" s="14"/>
      <c r="F89" s="4"/>
    </row>
    <row r="90" spans="1:6" ht="18.5" x14ac:dyDescent="0.35">
      <c r="A90" s="1"/>
      <c r="B90" s="50"/>
      <c r="C90" s="169" t="s">
        <v>83</v>
      </c>
      <c r="D90" s="169"/>
      <c r="E90" s="48">
        <f>0.25*E88</f>
        <v>123076.5625</v>
      </c>
      <c r="F90" s="4"/>
    </row>
    <row r="91" spans="1:6" ht="18.5" x14ac:dyDescent="0.35">
      <c r="A91" s="1"/>
      <c r="B91" s="1"/>
      <c r="C91" s="1"/>
      <c r="D91" s="11"/>
      <c r="E91" s="14"/>
      <c r="F91" s="4"/>
    </row>
    <row r="92" spans="1:6" ht="18.5" x14ac:dyDescent="0.35">
      <c r="A92" s="1"/>
      <c r="B92" s="50"/>
      <c r="C92" s="169" t="s">
        <v>84</v>
      </c>
      <c r="D92" s="169"/>
      <c r="E92" s="48">
        <f>E88+E90</f>
        <v>615382.8125</v>
      </c>
      <c r="F92" s="4"/>
    </row>
    <row r="93" spans="1:6" ht="18.5" x14ac:dyDescent="0.45">
      <c r="A93" s="4"/>
      <c r="B93" s="4"/>
      <c r="C93" s="4"/>
      <c r="D93" s="51"/>
      <c r="E93" s="52"/>
      <c r="F93" s="4"/>
    </row>
  </sheetData>
  <mergeCells count="10">
    <mergeCell ref="C75:D75"/>
    <mergeCell ref="C86:D86"/>
    <mergeCell ref="C90:D90"/>
    <mergeCell ref="C92:D92"/>
    <mergeCell ref="B3:E3"/>
    <mergeCell ref="B5:C5"/>
    <mergeCell ref="C23:D23"/>
    <mergeCell ref="B25:C25"/>
    <mergeCell ref="C53:D53"/>
    <mergeCell ref="B62:C62"/>
  </mergeCells>
  <pageMargins left="0.7" right="0.7" top="0.75" bottom="0.75" header="0.3" footer="0.3"/>
  <pageSetup paperSize="9" scale="70" orientation="portrait" r:id="rId1"/>
  <headerFooter>
    <oddHeader>&amp;CZagreb, palača Vojković-Oršić-Kulmer-Raauch, projekt cjelovite obnove zgrade
 TROŠKOVNIK  TD 19/21  ZOP 152&amp;R&amp;9strana: 1.&amp;P</oddHeader>
    <oddFooter>&amp;L&amp;9Glavni projektant: Ana Škevin Mikulandra, dipl.ing.arh.&amp;RZagreb, rujan 2023.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F171E-7270-4058-ADFA-6752EAA35D65}">
  <dimension ref="A2:B190"/>
  <sheetViews>
    <sheetView view="pageBreakPreview" topLeftCell="A21" zoomScale="136" zoomScaleNormal="100" zoomScaleSheetLayoutView="136" zoomScalePageLayoutView="110" workbookViewId="0">
      <selection activeCell="H86" sqref="H86"/>
    </sheetView>
  </sheetViews>
  <sheetFormatPr defaultRowHeight="12" x14ac:dyDescent="0.3"/>
  <cols>
    <col min="1" max="1" width="6.6328125" style="62" customWidth="1"/>
    <col min="2" max="2" width="69" style="56" customWidth="1"/>
    <col min="3" max="245" width="8.7265625" style="57"/>
    <col min="246" max="246" width="10.36328125" style="57" customWidth="1"/>
    <col min="247" max="247" width="46.90625" style="57" customWidth="1"/>
    <col min="248" max="248" width="8.6328125" style="57" customWidth="1"/>
    <col min="249" max="249" width="8.36328125" style="57" customWidth="1"/>
    <col min="250" max="250" width="11" style="57" customWidth="1"/>
    <col min="251" max="251" width="11.6328125" style="57" customWidth="1"/>
    <col min="252" max="252" width="8.7265625" style="57"/>
    <col min="253" max="253" width="89" style="57" customWidth="1"/>
    <col min="254" max="501" width="8.7265625" style="57"/>
    <col min="502" max="502" width="10.36328125" style="57" customWidth="1"/>
    <col min="503" max="503" width="46.90625" style="57" customWidth="1"/>
    <col min="504" max="504" width="8.6328125" style="57" customWidth="1"/>
    <col min="505" max="505" width="8.36328125" style="57" customWidth="1"/>
    <col min="506" max="506" width="11" style="57" customWidth="1"/>
    <col min="507" max="507" width="11.6328125" style="57" customWidth="1"/>
    <col min="508" max="508" width="8.7265625" style="57"/>
    <col min="509" max="509" width="89" style="57" customWidth="1"/>
    <col min="510" max="757" width="8.7265625" style="57"/>
    <col min="758" max="758" width="10.36328125" style="57" customWidth="1"/>
    <col min="759" max="759" width="46.90625" style="57" customWidth="1"/>
    <col min="760" max="760" width="8.6328125" style="57" customWidth="1"/>
    <col min="761" max="761" width="8.36328125" style="57" customWidth="1"/>
    <col min="762" max="762" width="11" style="57" customWidth="1"/>
    <col min="763" max="763" width="11.6328125" style="57" customWidth="1"/>
    <col min="764" max="764" width="8.7265625" style="57"/>
    <col min="765" max="765" width="89" style="57" customWidth="1"/>
    <col min="766" max="1013" width="8.7265625" style="57"/>
    <col min="1014" max="1014" width="10.36328125" style="57" customWidth="1"/>
    <col min="1015" max="1015" width="46.90625" style="57" customWidth="1"/>
    <col min="1016" max="1016" width="8.6328125" style="57" customWidth="1"/>
    <col min="1017" max="1017" width="8.36328125" style="57" customWidth="1"/>
    <col min="1018" max="1018" width="11" style="57" customWidth="1"/>
    <col min="1019" max="1019" width="11.6328125" style="57" customWidth="1"/>
    <col min="1020" max="1020" width="8.7265625" style="57"/>
    <col min="1021" max="1021" width="89" style="57" customWidth="1"/>
    <col min="1022" max="1269" width="8.7265625" style="57"/>
    <col min="1270" max="1270" width="10.36328125" style="57" customWidth="1"/>
    <col min="1271" max="1271" width="46.90625" style="57" customWidth="1"/>
    <col min="1272" max="1272" width="8.6328125" style="57" customWidth="1"/>
    <col min="1273" max="1273" width="8.36328125" style="57" customWidth="1"/>
    <col min="1274" max="1274" width="11" style="57" customWidth="1"/>
    <col min="1275" max="1275" width="11.6328125" style="57" customWidth="1"/>
    <col min="1276" max="1276" width="8.7265625" style="57"/>
    <col min="1277" max="1277" width="89" style="57" customWidth="1"/>
    <col min="1278" max="1525" width="8.7265625" style="57"/>
    <col min="1526" max="1526" width="10.36328125" style="57" customWidth="1"/>
    <col min="1527" max="1527" width="46.90625" style="57" customWidth="1"/>
    <col min="1528" max="1528" width="8.6328125" style="57" customWidth="1"/>
    <col min="1529" max="1529" width="8.36328125" style="57" customWidth="1"/>
    <col min="1530" max="1530" width="11" style="57" customWidth="1"/>
    <col min="1531" max="1531" width="11.6328125" style="57" customWidth="1"/>
    <col min="1532" max="1532" width="8.7265625" style="57"/>
    <col min="1533" max="1533" width="89" style="57" customWidth="1"/>
    <col min="1534" max="1781" width="8.7265625" style="57"/>
    <col min="1782" max="1782" width="10.36328125" style="57" customWidth="1"/>
    <col min="1783" max="1783" width="46.90625" style="57" customWidth="1"/>
    <col min="1784" max="1784" width="8.6328125" style="57" customWidth="1"/>
    <col min="1785" max="1785" width="8.36328125" style="57" customWidth="1"/>
    <col min="1786" max="1786" width="11" style="57" customWidth="1"/>
    <col min="1787" max="1787" width="11.6328125" style="57" customWidth="1"/>
    <col min="1788" max="1788" width="8.7265625" style="57"/>
    <col min="1789" max="1789" width="89" style="57" customWidth="1"/>
    <col min="1790" max="2037" width="8.7265625" style="57"/>
    <col min="2038" max="2038" width="10.36328125" style="57" customWidth="1"/>
    <col min="2039" max="2039" width="46.90625" style="57" customWidth="1"/>
    <col min="2040" max="2040" width="8.6328125" style="57" customWidth="1"/>
    <col min="2041" max="2041" width="8.36328125" style="57" customWidth="1"/>
    <col min="2042" max="2042" width="11" style="57" customWidth="1"/>
    <col min="2043" max="2043" width="11.6328125" style="57" customWidth="1"/>
    <col min="2044" max="2044" width="8.7265625" style="57"/>
    <col min="2045" max="2045" width="89" style="57" customWidth="1"/>
    <col min="2046" max="2293" width="8.7265625" style="57"/>
    <col min="2294" max="2294" width="10.36328125" style="57" customWidth="1"/>
    <col min="2295" max="2295" width="46.90625" style="57" customWidth="1"/>
    <col min="2296" max="2296" width="8.6328125" style="57" customWidth="1"/>
    <col min="2297" max="2297" width="8.36328125" style="57" customWidth="1"/>
    <col min="2298" max="2298" width="11" style="57" customWidth="1"/>
    <col min="2299" max="2299" width="11.6328125" style="57" customWidth="1"/>
    <col min="2300" max="2300" width="8.7265625" style="57"/>
    <col min="2301" max="2301" width="89" style="57" customWidth="1"/>
    <col min="2302" max="2549" width="8.7265625" style="57"/>
    <col min="2550" max="2550" width="10.36328125" style="57" customWidth="1"/>
    <col min="2551" max="2551" width="46.90625" style="57" customWidth="1"/>
    <col min="2552" max="2552" width="8.6328125" style="57" customWidth="1"/>
    <col min="2553" max="2553" width="8.36328125" style="57" customWidth="1"/>
    <col min="2554" max="2554" width="11" style="57" customWidth="1"/>
    <col min="2555" max="2555" width="11.6328125" style="57" customWidth="1"/>
    <col min="2556" max="2556" width="8.7265625" style="57"/>
    <col min="2557" max="2557" width="89" style="57" customWidth="1"/>
    <col min="2558" max="2805" width="8.7265625" style="57"/>
    <col min="2806" max="2806" width="10.36328125" style="57" customWidth="1"/>
    <col min="2807" max="2807" width="46.90625" style="57" customWidth="1"/>
    <col min="2808" max="2808" width="8.6328125" style="57" customWidth="1"/>
    <col min="2809" max="2809" width="8.36328125" style="57" customWidth="1"/>
    <col min="2810" max="2810" width="11" style="57" customWidth="1"/>
    <col min="2811" max="2811" width="11.6328125" style="57" customWidth="1"/>
    <col min="2812" max="2812" width="8.7265625" style="57"/>
    <col min="2813" max="2813" width="89" style="57" customWidth="1"/>
    <col min="2814" max="3061" width="8.7265625" style="57"/>
    <col min="3062" max="3062" width="10.36328125" style="57" customWidth="1"/>
    <col min="3063" max="3063" width="46.90625" style="57" customWidth="1"/>
    <col min="3064" max="3064" width="8.6328125" style="57" customWidth="1"/>
    <col min="3065" max="3065" width="8.36328125" style="57" customWidth="1"/>
    <col min="3066" max="3066" width="11" style="57" customWidth="1"/>
    <col min="3067" max="3067" width="11.6328125" style="57" customWidth="1"/>
    <col min="3068" max="3068" width="8.7265625" style="57"/>
    <col min="3069" max="3069" width="89" style="57" customWidth="1"/>
    <col min="3070" max="3317" width="8.7265625" style="57"/>
    <col min="3318" max="3318" width="10.36328125" style="57" customWidth="1"/>
    <col min="3319" max="3319" width="46.90625" style="57" customWidth="1"/>
    <col min="3320" max="3320" width="8.6328125" style="57" customWidth="1"/>
    <col min="3321" max="3321" width="8.36328125" style="57" customWidth="1"/>
    <col min="3322" max="3322" width="11" style="57" customWidth="1"/>
    <col min="3323" max="3323" width="11.6328125" style="57" customWidth="1"/>
    <col min="3324" max="3324" width="8.7265625" style="57"/>
    <col min="3325" max="3325" width="89" style="57" customWidth="1"/>
    <col min="3326" max="3573" width="8.7265625" style="57"/>
    <col min="3574" max="3574" width="10.36328125" style="57" customWidth="1"/>
    <col min="3575" max="3575" width="46.90625" style="57" customWidth="1"/>
    <col min="3576" max="3576" width="8.6328125" style="57" customWidth="1"/>
    <col min="3577" max="3577" width="8.36328125" style="57" customWidth="1"/>
    <col min="3578" max="3578" width="11" style="57" customWidth="1"/>
    <col min="3579" max="3579" width="11.6328125" style="57" customWidth="1"/>
    <col min="3580" max="3580" width="8.7265625" style="57"/>
    <col min="3581" max="3581" width="89" style="57" customWidth="1"/>
    <col min="3582" max="3829" width="8.7265625" style="57"/>
    <col min="3830" max="3830" width="10.36328125" style="57" customWidth="1"/>
    <col min="3831" max="3831" width="46.90625" style="57" customWidth="1"/>
    <col min="3832" max="3832" width="8.6328125" style="57" customWidth="1"/>
    <col min="3833" max="3833" width="8.36328125" style="57" customWidth="1"/>
    <col min="3834" max="3834" width="11" style="57" customWidth="1"/>
    <col min="3835" max="3835" width="11.6328125" style="57" customWidth="1"/>
    <col min="3836" max="3836" width="8.7265625" style="57"/>
    <col min="3837" max="3837" width="89" style="57" customWidth="1"/>
    <col min="3838" max="4085" width="8.7265625" style="57"/>
    <col min="4086" max="4086" width="10.36328125" style="57" customWidth="1"/>
    <col min="4087" max="4087" width="46.90625" style="57" customWidth="1"/>
    <col min="4088" max="4088" width="8.6328125" style="57" customWidth="1"/>
    <col min="4089" max="4089" width="8.36328125" style="57" customWidth="1"/>
    <col min="4090" max="4090" width="11" style="57" customWidth="1"/>
    <col min="4091" max="4091" width="11.6328125" style="57" customWidth="1"/>
    <col min="4092" max="4092" width="8.7265625" style="57"/>
    <col min="4093" max="4093" width="89" style="57" customWidth="1"/>
    <col min="4094" max="4341" width="8.7265625" style="57"/>
    <col min="4342" max="4342" width="10.36328125" style="57" customWidth="1"/>
    <col min="4343" max="4343" width="46.90625" style="57" customWidth="1"/>
    <col min="4344" max="4344" width="8.6328125" style="57" customWidth="1"/>
    <col min="4345" max="4345" width="8.36328125" style="57" customWidth="1"/>
    <col min="4346" max="4346" width="11" style="57" customWidth="1"/>
    <col min="4347" max="4347" width="11.6328125" style="57" customWidth="1"/>
    <col min="4348" max="4348" width="8.7265625" style="57"/>
    <col min="4349" max="4349" width="89" style="57" customWidth="1"/>
    <col min="4350" max="4597" width="8.7265625" style="57"/>
    <col min="4598" max="4598" width="10.36328125" style="57" customWidth="1"/>
    <col min="4599" max="4599" width="46.90625" style="57" customWidth="1"/>
    <col min="4600" max="4600" width="8.6328125" style="57" customWidth="1"/>
    <col min="4601" max="4601" width="8.36328125" style="57" customWidth="1"/>
    <col min="4602" max="4602" width="11" style="57" customWidth="1"/>
    <col min="4603" max="4603" width="11.6328125" style="57" customWidth="1"/>
    <col min="4604" max="4604" width="8.7265625" style="57"/>
    <col min="4605" max="4605" width="89" style="57" customWidth="1"/>
    <col min="4606" max="4853" width="8.7265625" style="57"/>
    <col min="4854" max="4854" width="10.36328125" style="57" customWidth="1"/>
    <col min="4855" max="4855" width="46.90625" style="57" customWidth="1"/>
    <col min="4856" max="4856" width="8.6328125" style="57" customWidth="1"/>
    <col min="4857" max="4857" width="8.36328125" style="57" customWidth="1"/>
    <col min="4858" max="4858" width="11" style="57" customWidth="1"/>
    <col min="4859" max="4859" width="11.6328125" style="57" customWidth="1"/>
    <col min="4860" max="4860" width="8.7265625" style="57"/>
    <col min="4861" max="4861" width="89" style="57" customWidth="1"/>
    <col min="4862" max="5109" width="8.7265625" style="57"/>
    <col min="5110" max="5110" width="10.36328125" style="57" customWidth="1"/>
    <col min="5111" max="5111" width="46.90625" style="57" customWidth="1"/>
    <col min="5112" max="5112" width="8.6328125" style="57" customWidth="1"/>
    <col min="5113" max="5113" width="8.36328125" style="57" customWidth="1"/>
    <col min="5114" max="5114" width="11" style="57" customWidth="1"/>
    <col min="5115" max="5115" width="11.6328125" style="57" customWidth="1"/>
    <col min="5116" max="5116" width="8.7265625" style="57"/>
    <col min="5117" max="5117" width="89" style="57" customWidth="1"/>
    <col min="5118" max="5365" width="8.7265625" style="57"/>
    <col min="5366" max="5366" width="10.36328125" style="57" customWidth="1"/>
    <col min="5367" max="5367" width="46.90625" style="57" customWidth="1"/>
    <col min="5368" max="5368" width="8.6328125" style="57" customWidth="1"/>
    <col min="5369" max="5369" width="8.36328125" style="57" customWidth="1"/>
    <col min="5370" max="5370" width="11" style="57" customWidth="1"/>
    <col min="5371" max="5371" width="11.6328125" style="57" customWidth="1"/>
    <col min="5372" max="5372" width="8.7265625" style="57"/>
    <col min="5373" max="5373" width="89" style="57" customWidth="1"/>
    <col min="5374" max="5621" width="8.7265625" style="57"/>
    <col min="5622" max="5622" width="10.36328125" style="57" customWidth="1"/>
    <col min="5623" max="5623" width="46.90625" style="57" customWidth="1"/>
    <col min="5624" max="5624" width="8.6328125" style="57" customWidth="1"/>
    <col min="5625" max="5625" width="8.36328125" style="57" customWidth="1"/>
    <col min="5626" max="5626" width="11" style="57" customWidth="1"/>
    <col min="5627" max="5627" width="11.6328125" style="57" customWidth="1"/>
    <col min="5628" max="5628" width="8.7265625" style="57"/>
    <col min="5629" max="5629" width="89" style="57" customWidth="1"/>
    <col min="5630" max="5877" width="8.7265625" style="57"/>
    <col min="5878" max="5878" width="10.36328125" style="57" customWidth="1"/>
    <col min="5879" max="5879" width="46.90625" style="57" customWidth="1"/>
    <col min="5880" max="5880" width="8.6328125" style="57" customWidth="1"/>
    <col min="5881" max="5881" width="8.36328125" style="57" customWidth="1"/>
    <col min="5882" max="5882" width="11" style="57" customWidth="1"/>
    <col min="5883" max="5883" width="11.6328125" style="57" customWidth="1"/>
    <col min="5884" max="5884" width="8.7265625" style="57"/>
    <col min="5885" max="5885" width="89" style="57" customWidth="1"/>
    <col min="5886" max="6133" width="8.7265625" style="57"/>
    <col min="6134" max="6134" width="10.36328125" style="57" customWidth="1"/>
    <col min="6135" max="6135" width="46.90625" style="57" customWidth="1"/>
    <col min="6136" max="6136" width="8.6328125" style="57" customWidth="1"/>
    <col min="6137" max="6137" width="8.36328125" style="57" customWidth="1"/>
    <col min="6138" max="6138" width="11" style="57" customWidth="1"/>
    <col min="6139" max="6139" width="11.6328125" style="57" customWidth="1"/>
    <col min="6140" max="6140" width="8.7265625" style="57"/>
    <col min="6141" max="6141" width="89" style="57" customWidth="1"/>
    <col min="6142" max="6389" width="8.7265625" style="57"/>
    <col min="6390" max="6390" width="10.36328125" style="57" customWidth="1"/>
    <col min="6391" max="6391" width="46.90625" style="57" customWidth="1"/>
    <col min="6392" max="6392" width="8.6328125" style="57" customWidth="1"/>
    <col min="6393" max="6393" width="8.36328125" style="57" customWidth="1"/>
    <col min="6394" max="6394" width="11" style="57" customWidth="1"/>
    <col min="6395" max="6395" width="11.6328125" style="57" customWidth="1"/>
    <col min="6396" max="6396" width="8.7265625" style="57"/>
    <col min="6397" max="6397" width="89" style="57" customWidth="1"/>
    <col min="6398" max="6645" width="8.7265625" style="57"/>
    <col min="6646" max="6646" width="10.36328125" style="57" customWidth="1"/>
    <col min="6647" max="6647" width="46.90625" style="57" customWidth="1"/>
    <col min="6648" max="6648" width="8.6328125" style="57" customWidth="1"/>
    <col min="6649" max="6649" width="8.36328125" style="57" customWidth="1"/>
    <col min="6650" max="6650" width="11" style="57" customWidth="1"/>
    <col min="6651" max="6651" width="11.6328125" style="57" customWidth="1"/>
    <col min="6652" max="6652" width="8.7265625" style="57"/>
    <col min="6653" max="6653" width="89" style="57" customWidth="1"/>
    <col min="6654" max="6901" width="8.7265625" style="57"/>
    <col min="6902" max="6902" width="10.36328125" style="57" customWidth="1"/>
    <col min="6903" max="6903" width="46.90625" style="57" customWidth="1"/>
    <col min="6904" max="6904" width="8.6328125" style="57" customWidth="1"/>
    <col min="6905" max="6905" width="8.36328125" style="57" customWidth="1"/>
    <col min="6906" max="6906" width="11" style="57" customWidth="1"/>
    <col min="6907" max="6907" width="11.6328125" style="57" customWidth="1"/>
    <col min="6908" max="6908" width="8.7265625" style="57"/>
    <col min="6909" max="6909" width="89" style="57" customWidth="1"/>
    <col min="6910" max="7157" width="8.7265625" style="57"/>
    <col min="7158" max="7158" width="10.36328125" style="57" customWidth="1"/>
    <col min="7159" max="7159" width="46.90625" style="57" customWidth="1"/>
    <col min="7160" max="7160" width="8.6328125" style="57" customWidth="1"/>
    <col min="7161" max="7161" width="8.36328125" style="57" customWidth="1"/>
    <col min="7162" max="7162" width="11" style="57" customWidth="1"/>
    <col min="7163" max="7163" width="11.6328125" style="57" customWidth="1"/>
    <col min="7164" max="7164" width="8.7265625" style="57"/>
    <col min="7165" max="7165" width="89" style="57" customWidth="1"/>
    <col min="7166" max="7413" width="8.7265625" style="57"/>
    <col min="7414" max="7414" width="10.36328125" style="57" customWidth="1"/>
    <col min="7415" max="7415" width="46.90625" style="57" customWidth="1"/>
    <col min="7416" max="7416" width="8.6328125" style="57" customWidth="1"/>
    <col min="7417" max="7417" width="8.36328125" style="57" customWidth="1"/>
    <col min="7418" max="7418" width="11" style="57" customWidth="1"/>
    <col min="7419" max="7419" width="11.6328125" style="57" customWidth="1"/>
    <col min="7420" max="7420" width="8.7265625" style="57"/>
    <col min="7421" max="7421" width="89" style="57" customWidth="1"/>
    <col min="7422" max="7669" width="8.7265625" style="57"/>
    <col min="7670" max="7670" width="10.36328125" style="57" customWidth="1"/>
    <col min="7671" max="7671" width="46.90625" style="57" customWidth="1"/>
    <col min="7672" max="7672" width="8.6328125" style="57" customWidth="1"/>
    <col min="7673" max="7673" width="8.36328125" style="57" customWidth="1"/>
    <col min="7674" max="7674" width="11" style="57" customWidth="1"/>
    <col min="7675" max="7675" width="11.6328125" style="57" customWidth="1"/>
    <col min="7676" max="7676" width="8.7265625" style="57"/>
    <col min="7677" max="7677" width="89" style="57" customWidth="1"/>
    <col min="7678" max="7925" width="8.7265625" style="57"/>
    <col min="7926" max="7926" width="10.36328125" style="57" customWidth="1"/>
    <col min="7927" max="7927" width="46.90625" style="57" customWidth="1"/>
    <col min="7928" max="7928" width="8.6328125" style="57" customWidth="1"/>
    <col min="7929" max="7929" width="8.36328125" style="57" customWidth="1"/>
    <col min="7930" max="7930" width="11" style="57" customWidth="1"/>
    <col min="7931" max="7931" width="11.6328125" style="57" customWidth="1"/>
    <col min="7932" max="7932" width="8.7265625" style="57"/>
    <col min="7933" max="7933" width="89" style="57" customWidth="1"/>
    <col min="7934" max="8181" width="8.7265625" style="57"/>
    <col min="8182" max="8182" width="10.36328125" style="57" customWidth="1"/>
    <col min="8183" max="8183" width="46.90625" style="57" customWidth="1"/>
    <col min="8184" max="8184" width="8.6328125" style="57" customWidth="1"/>
    <col min="8185" max="8185" width="8.36328125" style="57" customWidth="1"/>
    <col min="8186" max="8186" width="11" style="57" customWidth="1"/>
    <col min="8187" max="8187" width="11.6328125" style="57" customWidth="1"/>
    <col min="8188" max="8188" width="8.7265625" style="57"/>
    <col min="8189" max="8189" width="89" style="57" customWidth="1"/>
    <col min="8190" max="8437" width="8.7265625" style="57"/>
    <col min="8438" max="8438" width="10.36328125" style="57" customWidth="1"/>
    <col min="8439" max="8439" width="46.90625" style="57" customWidth="1"/>
    <col min="8440" max="8440" width="8.6328125" style="57" customWidth="1"/>
    <col min="8441" max="8441" width="8.36328125" style="57" customWidth="1"/>
    <col min="8442" max="8442" width="11" style="57" customWidth="1"/>
    <col min="8443" max="8443" width="11.6328125" style="57" customWidth="1"/>
    <col min="8444" max="8444" width="8.7265625" style="57"/>
    <col min="8445" max="8445" width="89" style="57" customWidth="1"/>
    <col min="8446" max="8693" width="8.7265625" style="57"/>
    <col min="8694" max="8694" width="10.36328125" style="57" customWidth="1"/>
    <col min="8695" max="8695" width="46.90625" style="57" customWidth="1"/>
    <col min="8696" max="8696" width="8.6328125" style="57" customWidth="1"/>
    <col min="8697" max="8697" width="8.36328125" style="57" customWidth="1"/>
    <col min="8698" max="8698" width="11" style="57" customWidth="1"/>
    <col min="8699" max="8699" width="11.6328125" style="57" customWidth="1"/>
    <col min="8700" max="8700" width="8.7265625" style="57"/>
    <col min="8701" max="8701" width="89" style="57" customWidth="1"/>
    <col min="8702" max="8949" width="8.7265625" style="57"/>
    <col min="8950" max="8950" width="10.36328125" style="57" customWidth="1"/>
    <col min="8951" max="8951" width="46.90625" style="57" customWidth="1"/>
    <col min="8952" max="8952" width="8.6328125" style="57" customWidth="1"/>
    <col min="8953" max="8953" width="8.36328125" style="57" customWidth="1"/>
    <col min="8954" max="8954" width="11" style="57" customWidth="1"/>
    <col min="8955" max="8955" width="11.6328125" style="57" customWidth="1"/>
    <col min="8956" max="8956" width="8.7265625" style="57"/>
    <col min="8957" max="8957" width="89" style="57" customWidth="1"/>
    <col min="8958" max="9205" width="8.7265625" style="57"/>
    <col min="9206" max="9206" width="10.36328125" style="57" customWidth="1"/>
    <col min="9207" max="9207" width="46.90625" style="57" customWidth="1"/>
    <col min="9208" max="9208" width="8.6328125" style="57" customWidth="1"/>
    <col min="9209" max="9209" width="8.36328125" style="57" customWidth="1"/>
    <col min="9210" max="9210" width="11" style="57" customWidth="1"/>
    <col min="9211" max="9211" width="11.6328125" style="57" customWidth="1"/>
    <col min="9212" max="9212" width="8.7265625" style="57"/>
    <col min="9213" max="9213" width="89" style="57" customWidth="1"/>
    <col min="9214" max="9461" width="8.7265625" style="57"/>
    <col min="9462" max="9462" width="10.36328125" style="57" customWidth="1"/>
    <col min="9463" max="9463" width="46.90625" style="57" customWidth="1"/>
    <col min="9464" max="9464" width="8.6328125" style="57" customWidth="1"/>
    <col min="9465" max="9465" width="8.36328125" style="57" customWidth="1"/>
    <col min="9466" max="9466" width="11" style="57" customWidth="1"/>
    <col min="9467" max="9467" width="11.6328125" style="57" customWidth="1"/>
    <col min="9468" max="9468" width="8.7265625" style="57"/>
    <col min="9469" max="9469" width="89" style="57" customWidth="1"/>
    <col min="9470" max="9717" width="8.7265625" style="57"/>
    <col min="9718" max="9718" width="10.36328125" style="57" customWidth="1"/>
    <col min="9719" max="9719" width="46.90625" style="57" customWidth="1"/>
    <col min="9720" max="9720" width="8.6328125" style="57" customWidth="1"/>
    <col min="9721" max="9721" width="8.36328125" style="57" customWidth="1"/>
    <col min="9722" max="9722" width="11" style="57" customWidth="1"/>
    <col min="9723" max="9723" width="11.6328125" style="57" customWidth="1"/>
    <col min="9724" max="9724" width="8.7265625" style="57"/>
    <col min="9725" max="9725" width="89" style="57" customWidth="1"/>
    <col min="9726" max="9973" width="8.7265625" style="57"/>
    <col min="9974" max="9974" width="10.36328125" style="57" customWidth="1"/>
    <col min="9975" max="9975" width="46.90625" style="57" customWidth="1"/>
    <col min="9976" max="9976" width="8.6328125" style="57" customWidth="1"/>
    <col min="9977" max="9977" width="8.36328125" style="57" customWidth="1"/>
    <col min="9978" max="9978" width="11" style="57" customWidth="1"/>
    <col min="9979" max="9979" width="11.6328125" style="57" customWidth="1"/>
    <col min="9980" max="9980" width="8.7265625" style="57"/>
    <col min="9981" max="9981" width="89" style="57" customWidth="1"/>
    <col min="9982" max="10229" width="8.7265625" style="57"/>
    <col min="10230" max="10230" width="10.36328125" style="57" customWidth="1"/>
    <col min="10231" max="10231" width="46.90625" style="57" customWidth="1"/>
    <col min="10232" max="10232" width="8.6328125" style="57" customWidth="1"/>
    <col min="10233" max="10233" width="8.36328125" style="57" customWidth="1"/>
    <col min="10234" max="10234" width="11" style="57" customWidth="1"/>
    <col min="10235" max="10235" width="11.6328125" style="57" customWidth="1"/>
    <col min="10236" max="10236" width="8.7265625" style="57"/>
    <col min="10237" max="10237" width="89" style="57" customWidth="1"/>
    <col min="10238" max="10485" width="8.7265625" style="57"/>
    <col min="10486" max="10486" width="10.36328125" style="57" customWidth="1"/>
    <col min="10487" max="10487" width="46.90625" style="57" customWidth="1"/>
    <col min="10488" max="10488" width="8.6328125" style="57" customWidth="1"/>
    <col min="10489" max="10489" width="8.36328125" style="57" customWidth="1"/>
    <col min="10490" max="10490" width="11" style="57" customWidth="1"/>
    <col min="10491" max="10491" width="11.6328125" style="57" customWidth="1"/>
    <col min="10492" max="10492" width="8.7265625" style="57"/>
    <col min="10493" max="10493" width="89" style="57" customWidth="1"/>
    <col min="10494" max="10741" width="8.7265625" style="57"/>
    <col min="10742" max="10742" width="10.36328125" style="57" customWidth="1"/>
    <col min="10743" max="10743" width="46.90625" style="57" customWidth="1"/>
    <col min="10744" max="10744" width="8.6328125" style="57" customWidth="1"/>
    <col min="10745" max="10745" width="8.36328125" style="57" customWidth="1"/>
    <col min="10746" max="10746" width="11" style="57" customWidth="1"/>
    <col min="10747" max="10747" width="11.6328125" style="57" customWidth="1"/>
    <col min="10748" max="10748" width="8.7265625" style="57"/>
    <col min="10749" max="10749" width="89" style="57" customWidth="1"/>
    <col min="10750" max="10997" width="8.7265625" style="57"/>
    <col min="10998" max="10998" width="10.36328125" style="57" customWidth="1"/>
    <col min="10999" max="10999" width="46.90625" style="57" customWidth="1"/>
    <col min="11000" max="11000" width="8.6328125" style="57" customWidth="1"/>
    <col min="11001" max="11001" width="8.36328125" style="57" customWidth="1"/>
    <col min="11002" max="11002" width="11" style="57" customWidth="1"/>
    <col min="11003" max="11003" width="11.6328125" style="57" customWidth="1"/>
    <col min="11004" max="11004" width="8.7265625" style="57"/>
    <col min="11005" max="11005" width="89" style="57" customWidth="1"/>
    <col min="11006" max="11253" width="8.7265625" style="57"/>
    <col min="11254" max="11254" width="10.36328125" style="57" customWidth="1"/>
    <col min="11255" max="11255" width="46.90625" style="57" customWidth="1"/>
    <col min="11256" max="11256" width="8.6328125" style="57" customWidth="1"/>
    <col min="11257" max="11257" width="8.36328125" style="57" customWidth="1"/>
    <col min="11258" max="11258" width="11" style="57" customWidth="1"/>
    <col min="11259" max="11259" width="11.6328125" style="57" customWidth="1"/>
    <col min="11260" max="11260" width="8.7265625" style="57"/>
    <col min="11261" max="11261" width="89" style="57" customWidth="1"/>
    <col min="11262" max="11509" width="8.7265625" style="57"/>
    <col min="11510" max="11510" width="10.36328125" style="57" customWidth="1"/>
    <col min="11511" max="11511" width="46.90625" style="57" customWidth="1"/>
    <col min="11512" max="11512" width="8.6328125" style="57" customWidth="1"/>
    <col min="11513" max="11513" width="8.36328125" style="57" customWidth="1"/>
    <col min="11514" max="11514" width="11" style="57" customWidth="1"/>
    <col min="11515" max="11515" width="11.6328125" style="57" customWidth="1"/>
    <col min="11516" max="11516" width="8.7265625" style="57"/>
    <col min="11517" max="11517" width="89" style="57" customWidth="1"/>
    <col min="11518" max="11765" width="8.7265625" style="57"/>
    <col min="11766" max="11766" width="10.36328125" style="57" customWidth="1"/>
    <col min="11767" max="11767" width="46.90625" style="57" customWidth="1"/>
    <col min="11768" max="11768" width="8.6328125" style="57" customWidth="1"/>
    <col min="11769" max="11769" width="8.36328125" style="57" customWidth="1"/>
    <col min="11770" max="11770" width="11" style="57" customWidth="1"/>
    <col min="11771" max="11771" width="11.6328125" style="57" customWidth="1"/>
    <col min="11772" max="11772" width="8.7265625" style="57"/>
    <col min="11773" max="11773" width="89" style="57" customWidth="1"/>
    <col min="11774" max="12021" width="8.7265625" style="57"/>
    <col min="12022" max="12022" width="10.36328125" style="57" customWidth="1"/>
    <col min="12023" max="12023" width="46.90625" style="57" customWidth="1"/>
    <col min="12024" max="12024" width="8.6328125" style="57" customWidth="1"/>
    <col min="12025" max="12025" width="8.36328125" style="57" customWidth="1"/>
    <col min="12026" max="12026" width="11" style="57" customWidth="1"/>
    <col min="12027" max="12027" width="11.6328125" style="57" customWidth="1"/>
    <col min="12028" max="12028" width="8.7265625" style="57"/>
    <col min="12029" max="12029" width="89" style="57" customWidth="1"/>
    <col min="12030" max="12277" width="8.7265625" style="57"/>
    <col min="12278" max="12278" width="10.36328125" style="57" customWidth="1"/>
    <col min="12279" max="12279" width="46.90625" style="57" customWidth="1"/>
    <col min="12280" max="12280" width="8.6328125" style="57" customWidth="1"/>
    <col min="12281" max="12281" width="8.36328125" style="57" customWidth="1"/>
    <col min="12282" max="12282" width="11" style="57" customWidth="1"/>
    <col min="12283" max="12283" width="11.6328125" style="57" customWidth="1"/>
    <col min="12284" max="12284" width="8.7265625" style="57"/>
    <col min="12285" max="12285" width="89" style="57" customWidth="1"/>
    <col min="12286" max="12533" width="8.7265625" style="57"/>
    <col min="12534" max="12534" width="10.36328125" style="57" customWidth="1"/>
    <col min="12535" max="12535" width="46.90625" style="57" customWidth="1"/>
    <col min="12536" max="12536" width="8.6328125" style="57" customWidth="1"/>
    <col min="12537" max="12537" width="8.36328125" style="57" customWidth="1"/>
    <col min="12538" max="12538" width="11" style="57" customWidth="1"/>
    <col min="12539" max="12539" width="11.6328125" style="57" customWidth="1"/>
    <col min="12540" max="12540" width="8.7265625" style="57"/>
    <col min="12541" max="12541" width="89" style="57" customWidth="1"/>
    <col min="12542" max="12789" width="8.7265625" style="57"/>
    <col min="12790" max="12790" width="10.36328125" style="57" customWidth="1"/>
    <col min="12791" max="12791" width="46.90625" style="57" customWidth="1"/>
    <col min="12792" max="12792" width="8.6328125" style="57" customWidth="1"/>
    <col min="12793" max="12793" width="8.36328125" style="57" customWidth="1"/>
    <col min="12794" max="12794" width="11" style="57" customWidth="1"/>
    <col min="12795" max="12795" width="11.6328125" style="57" customWidth="1"/>
    <col min="12796" max="12796" width="8.7265625" style="57"/>
    <col min="12797" max="12797" width="89" style="57" customWidth="1"/>
    <col min="12798" max="13045" width="8.7265625" style="57"/>
    <col min="13046" max="13046" width="10.36328125" style="57" customWidth="1"/>
    <col min="13047" max="13047" width="46.90625" style="57" customWidth="1"/>
    <col min="13048" max="13048" width="8.6328125" style="57" customWidth="1"/>
    <col min="13049" max="13049" width="8.36328125" style="57" customWidth="1"/>
    <col min="13050" max="13050" width="11" style="57" customWidth="1"/>
    <col min="13051" max="13051" width="11.6328125" style="57" customWidth="1"/>
    <col min="13052" max="13052" width="8.7265625" style="57"/>
    <col min="13053" max="13053" width="89" style="57" customWidth="1"/>
    <col min="13054" max="13301" width="8.7265625" style="57"/>
    <col min="13302" max="13302" width="10.36328125" style="57" customWidth="1"/>
    <col min="13303" max="13303" width="46.90625" style="57" customWidth="1"/>
    <col min="13304" max="13304" width="8.6328125" style="57" customWidth="1"/>
    <col min="13305" max="13305" width="8.36328125" style="57" customWidth="1"/>
    <col min="13306" max="13306" width="11" style="57" customWidth="1"/>
    <col min="13307" max="13307" width="11.6328125" style="57" customWidth="1"/>
    <col min="13308" max="13308" width="8.7265625" style="57"/>
    <col min="13309" max="13309" width="89" style="57" customWidth="1"/>
    <col min="13310" max="13557" width="8.7265625" style="57"/>
    <col min="13558" max="13558" width="10.36328125" style="57" customWidth="1"/>
    <col min="13559" max="13559" width="46.90625" style="57" customWidth="1"/>
    <col min="13560" max="13560" width="8.6328125" style="57" customWidth="1"/>
    <col min="13561" max="13561" width="8.36328125" style="57" customWidth="1"/>
    <col min="13562" max="13562" width="11" style="57" customWidth="1"/>
    <col min="13563" max="13563" width="11.6328125" style="57" customWidth="1"/>
    <col min="13564" max="13564" width="8.7265625" style="57"/>
    <col min="13565" max="13565" width="89" style="57" customWidth="1"/>
    <col min="13566" max="13813" width="8.7265625" style="57"/>
    <col min="13814" max="13814" width="10.36328125" style="57" customWidth="1"/>
    <col min="13815" max="13815" width="46.90625" style="57" customWidth="1"/>
    <col min="13816" max="13816" width="8.6328125" style="57" customWidth="1"/>
    <col min="13817" max="13817" width="8.36328125" style="57" customWidth="1"/>
    <col min="13818" max="13818" width="11" style="57" customWidth="1"/>
    <col min="13819" max="13819" width="11.6328125" style="57" customWidth="1"/>
    <col min="13820" max="13820" width="8.7265625" style="57"/>
    <col min="13821" max="13821" width="89" style="57" customWidth="1"/>
    <col min="13822" max="14069" width="8.7265625" style="57"/>
    <col min="14070" max="14070" width="10.36328125" style="57" customWidth="1"/>
    <col min="14071" max="14071" width="46.90625" style="57" customWidth="1"/>
    <col min="14072" max="14072" width="8.6328125" style="57" customWidth="1"/>
    <col min="14073" max="14073" width="8.36328125" style="57" customWidth="1"/>
    <col min="14074" max="14074" width="11" style="57" customWidth="1"/>
    <col min="14075" max="14075" width="11.6328125" style="57" customWidth="1"/>
    <col min="14076" max="14076" width="8.7265625" style="57"/>
    <col min="14077" max="14077" width="89" style="57" customWidth="1"/>
    <col min="14078" max="14325" width="8.7265625" style="57"/>
    <col min="14326" max="14326" width="10.36328125" style="57" customWidth="1"/>
    <col min="14327" max="14327" width="46.90625" style="57" customWidth="1"/>
    <col min="14328" max="14328" width="8.6328125" style="57" customWidth="1"/>
    <col min="14329" max="14329" width="8.36328125" style="57" customWidth="1"/>
    <col min="14330" max="14330" width="11" style="57" customWidth="1"/>
    <col min="14331" max="14331" width="11.6328125" style="57" customWidth="1"/>
    <col min="14332" max="14332" width="8.7265625" style="57"/>
    <col min="14333" max="14333" width="89" style="57" customWidth="1"/>
    <col min="14334" max="14581" width="8.7265625" style="57"/>
    <col min="14582" max="14582" width="10.36328125" style="57" customWidth="1"/>
    <col min="14583" max="14583" width="46.90625" style="57" customWidth="1"/>
    <col min="14584" max="14584" width="8.6328125" style="57" customWidth="1"/>
    <col min="14585" max="14585" width="8.36328125" style="57" customWidth="1"/>
    <col min="14586" max="14586" width="11" style="57" customWidth="1"/>
    <col min="14587" max="14587" width="11.6328125" style="57" customWidth="1"/>
    <col min="14588" max="14588" width="8.7265625" style="57"/>
    <col min="14589" max="14589" width="89" style="57" customWidth="1"/>
    <col min="14590" max="14837" width="8.7265625" style="57"/>
    <col min="14838" max="14838" width="10.36328125" style="57" customWidth="1"/>
    <col min="14839" max="14839" width="46.90625" style="57" customWidth="1"/>
    <col min="14840" max="14840" width="8.6328125" style="57" customWidth="1"/>
    <col min="14841" max="14841" width="8.36328125" style="57" customWidth="1"/>
    <col min="14842" max="14842" width="11" style="57" customWidth="1"/>
    <col min="14843" max="14843" width="11.6328125" style="57" customWidth="1"/>
    <col min="14844" max="14844" width="8.7265625" style="57"/>
    <col min="14845" max="14845" width="89" style="57" customWidth="1"/>
    <col min="14846" max="15093" width="8.7265625" style="57"/>
    <col min="15094" max="15094" width="10.36328125" style="57" customWidth="1"/>
    <col min="15095" max="15095" width="46.90625" style="57" customWidth="1"/>
    <col min="15096" max="15096" width="8.6328125" style="57" customWidth="1"/>
    <col min="15097" max="15097" width="8.36328125" style="57" customWidth="1"/>
    <col min="15098" max="15098" width="11" style="57" customWidth="1"/>
    <col min="15099" max="15099" width="11.6328125" style="57" customWidth="1"/>
    <col min="15100" max="15100" width="8.7265625" style="57"/>
    <col min="15101" max="15101" width="89" style="57" customWidth="1"/>
    <col min="15102" max="15349" width="8.7265625" style="57"/>
    <col min="15350" max="15350" width="10.36328125" style="57" customWidth="1"/>
    <col min="15351" max="15351" width="46.90625" style="57" customWidth="1"/>
    <col min="15352" max="15352" width="8.6328125" style="57" customWidth="1"/>
    <col min="15353" max="15353" width="8.36328125" style="57" customWidth="1"/>
    <col min="15354" max="15354" width="11" style="57" customWidth="1"/>
    <col min="15355" max="15355" width="11.6328125" style="57" customWidth="1"/>
    <col min="15356" max="15356" width="8.7265625" style="57"/>
    <col min="15357" max="15357" width="89" style="57" customWidth="1"/>
    <col min="15358" max="15605" width="8.7265625" style="57"/>
    <col min="15606" max="15606" width="10.36328125" style="57" customWidth="1"/>
    <col min="15607" max="15607" width="46.90625" style="57" customWidth="1"/>
    <col min="15608" max="15608" width="8.6328125" style="57" customWidth="1"/>
    <col min="15609" max="15609" width="8.36328125" style="57" customWidth="1"/>
    <col min="15610" max="15610" width="11" style="57" customWidth="1"/>
    <col min="15611" max="15611" width="11.6328125" style="57" customWidth="1"/>
    <col min="15612" max="15612" width="8.7265625" style="57"/>
    <col min="15613" max="15613" width="89" style="57" customWidth="1"/>
    <col min="15614" max="15861" width="8.7265625" style="57"/>
    <col min="15862" max="15862" width="10.36328125" style="57" customWidth="1"/>
    <col min="15863" max="15863" width="46.90625" style="57" customWidth="1"/>
    <col min="15864" max="15864" width="8.6328125" style="57" customWidth="1"/>
    <col min="15865" max="15865" width="8.36328125" style="57" customWidth="1"/>
    <col min="15866" max="15866" width="11" style="57" customWidth="1"/>
    <col min="15867" max="15867" width="11.6328125" style="57" customWidth="1"/>
    <col min="15868" max="15868" width="8.7265625" style="57"/>
    <col min="15869" max="15869" width="89" style="57" customWidth="1"/>
    <col min="15870" max="16117" width="8.7265625" style="57"/>
    <col min="16118" max="16118" width="10.36328125" style="57" customWidth="1"/>
    <col min="16119" max="16119" width="46.90625" style="57" customWidth="1"/>
    <col min="16120" max="16120" width="8.6328125" style="57" customWidth="1"/>
    <col min="16121" max="16121" width="8.36328125" style="57" customWidth="1"/>
    <col min="16122" max="16122" width="11" style="57" customWidth="1"/>
    <col min="16123" max="16123" width="11.6328125" style="57" customWidth="1"/>
    <col min="16124" max="16124" width="8.7265625" style="57"/>
    <col min="16125" max="16125" width="89" style="57" customWidth="1"/>
    <col min="16126" max="16384" width="8.7265625" style="57"/>
  </cols>
  <sheetData>
    <row r="2" spans="1:2" ht="13" x14ac:dyDescent="0.3">
      <c r="A2" s="55"/>
    </row>
    <row r="3" spans="1:2" ht="26" x14ac:dyDescent="0.3">
      <c r="A3" s="55"/>
      <c r="B3" s="58" t="s">
        <v>85</v>
      </c>
    </row>
    <row r="4" spans="1:2" ht="13" x14ac:dyDescent="0.3">
      <c r="A4" s="55"/>
      <c r="B4" s="58"/>
    </row>
    <row r="5" spans="1:2" ht="13" x14ac:dyDescent="0.3">
      <c r="A5" s="55"/>
      <c r="B5" s="58" t="s">
        <v>86</v>
      </c>
    </row>
    <row r="6" spans="1:2" ht="13" x14ac:dyDescent="0.3">
      <c r="A6" s="55"/>
      <c r="B6" s="59"/>
    </row>
    <row r="7" spans="1:2" ht="57.75" customHeight="1" x14ac:dyDescent="0.3">
      <c r="A7" s="55"/>
      <c r="B7" s="60" t="s">
        <v>87</v>
      </c>
    </row>
    <row r="8" spans="1:2" ht="13" x14ac:dyDescent="0.3">
      <c r="A8" s="55"/>
      <c r="B8" s="60"/>
    </row>
    <row r="9" spans="1:2" ht="43.5" customHeight="1" x14ac:dyDescent="0.3">
      <c r="A9" s="55"/>
      <c r="B9" s="60" t="s">
        <v>88</v>
      </c>
    </row>
    <row r="10" spans="1:2" ht="13" x14ac:dyDescent="0.3">
      <c r="A10" s="55"/>
      <c r="B10" s="60"/>
    </row>
    <row r="11" spans="1:2" ht="41" customHeight="1" x14ac:dyDescent="0.3">
      <c r="A11" s="55"/>
      <c r="B11" s="60" t="s">
        <v>89</v>
      </c>
    </row>
    <row r="12" spans="1:2" ht="13" x14ac:dyDescent="0.3">
      <c r="A12" s="55"/>
      <c r="B12" s="60"/>
    </row>
    <row r="13" spans="1:2" ht="26" x14ac:dyDescent="0.3">
      <c r="A13" s="55"/>
      <c r="B13" s="60" t="s">
        <v>90</v>
      </c>
    </row>
    <row r="14" spans="1:2" ht="13" x14ac:dyDescent="0.3">
      <c r="A14" s="55"/>
      <c r="B14" s="60"/>
    </row>
    <row r="15" spans="1:2" ht="26" x14ac:dyDescent="0.3">
      <c r="A15" s="55"/>
      <c r="B15" s="60" t="s">
        <v>91</v>
      </c>
    </row>
    <row r="16" spans="1:2" ht="13" x14ac:dyDescent="0.3">
      <c r="A16" s="55"/>
      <c r="B16" s="60"/>
    </row>
    <row r="17" spans="1:2" ht="13" x14ac:dyDescent="0.3">
      <c r="A17" s="55"/>
      <c r="B17" s="60" t="s">
        <v>92</v>
      </c>
    </row>
    <row r="18" spans="1:2" ht="26" x14ac:dyDescent="0.3">
      <c r="A18" s="55"/>
      <c r="B18" s="60" t="s">
        <v>93</v>
      </c>
    </row>
    <row r="19" spans="1:2" ht="13" x14ac:dyDescent="0.3">
      <c r="A19" s="55"/>
      <c r="B19" s="60" t="s">
        <v>94</v>
      </c>
    </row>
    <row r="20" spans="1:2" ht="13" x14ac:dyDescent="0.3">
      <c r="A20" s="55"/>
      <c r="B20" s="60" t="s">
        <v>95</v>
      </c>
    </row>
    <row r="21" spans="1:2" ht="13" x14ac:dyDescent="0.3">
      <c r="A21" s="55"/>
      <c r="B21" s="60" t="s">
        <v>96</v>
      </c>
    </row>
    <row r="22" spans="1:2" ht="13" x14ac:dyDescent="0.3">
      <c r="A22" s="55"/>
      <c r="B22" s="60"/>
    </row>
    <row r="23" spans="1:2" ht="41.25" customHeight="1" x14ac:dyDescent="0.3">
      <c r="A23" s="55"/>
      <c r="B23" s="60" t="s">
        <v>97</v>
      </c>
    </row>
    <row r="24" spans="1:2" ht="13" x14ac:dyDescent="0.3">
      <c r="A24" s="55"/>
      <c r="B24" s="60"/>
    </row>
    <row r="25" spans="1:2" ht="13" x14ac:dyDescent="0.3">
      <c r="A25" s="55"/>
      <c r="B25" s="60" t="s">
        <v>98</v>
      </c>
    </row>
    <row r="26" spans="1:2" ht="13" x14ac:dyDescent="0.3">
      <c r="A26" s="55"/>
      <c r="B26" s="60"/>
    </row>
    <row r="27" spans="1:2" ht="13" x14ac:dyDescent="0.3">
      <c r="A27" s="55"/>
      <c r="B27" s="60" t="s">
        <v>99</v>
      </c>
    </row>
    <row r="28" spans="1:2" ht="13" x14ac:dyDescent="0.3">
      <c r="A28" s="55"/>
      <c r="B28" s="60"/>
    </row>
    <row r="29" spans="1:2" ht="13" x14ac:dyDescent="0.3">
      <c r="A29" s="55"/>
      <c r="B29" s="60" t="s">
        <v>100</v>
      </c>
    </row>
    <row r="30" spans="1:2" ht="13" x14ac:dyDescent="0.3">
      <c r="A30" s="55"/>
      <c r="B30" s="60"/>
    </row>
    <row r="31" spans="1:2" ht="42.75" customHeight="1" x14ac:dyDescent="0.3">
      <c r="A31" s="55"/>
      <c r="B31" s="60" t="s">
        <v>101</v>
      </c>
    </row>
    <row r="32" spans="1:2" ht="13" x14ac:dyDescent="0.3">
      <c r="A32" s="55"/>
      <c r="B32" s="60"/>
    </row>
    <row r="33" spans="1:2" ht="26" x14ac:dyDescent="0.3">
      <c r="A33" s="55"/>
      <c r="B33" s="60" t="s">
        <v>102</v>
      </c>
    </row>
    <row r="34" spans="1:2" ht="13" x14ac:dyDescent="0.3">
      <c r="A34" s="55"/>
      <c r="B34" s="60" t="s">
        <v>103</v>
      </c>
    </row>
    <row r="35" spans="1:2" ht="13" x14ac:dyDescent="0.3">
      <c r="A35" s="55"/>
      <c r="B35" s="60"/>
    </row>
    <row r="36" spans="1:2" ht="13" x14ac:dyDescent="0.3">
      <c r="A36" s="55"/>
      <c r="B36" s="60" t="s">
        <v>104</v>
      </c>
    </row>
    <row r="37" spans="1:2" ht="13" x14ac:dyDescent="0.3">
      <c r="A37" s="55"/>
      <c r="B37" s="60"/>
    </row>
    <row r="38" spans="1:2" ht="42.75" customHeight="1" x14ac:dyDescent="0.3">
      <c r="A38" s="55"/>
      <c r="B38" s="60" t="s">
        <v>105</v>
      </c>
    </row>
    <row r="39" spans="1:2" ht="13" x14ac:dyDescent="0.3">
      <c r="A39" s="55"/>
      <c r="B39" s="60"/>
    </row>
    <row r="40" spans="1:2" ht="13" x14ac:dyDescent="0.3">
      <c r="A40" s="55"/>
      <c r="B40" s="60" t="s">
        <v>106</v>
      </c>
    </row>
    <row r="41" spans="1:2" ht="13" x14ac:dyDescent="0.3">
      <c r="A41" s="55"/>
      <c r="B41" s="60"/>
    </row>
    <row r="42" spans="1:2" ht="142.5" customHeight="1" x14ac:dyDescent="0.3">
      <c r="A42" s="55"/>
      <c r="B42" s="60" t="s">
        <v>107</v>
      </c>
    </row>
    <row r="43" spans="1:2" ht="13" x14ac:dyDescent="0.3">
      <c r="A43" s="55"/>
      <c r="B43" s="60"/>
    </row>
    <row r="44" spans="1:2" ht="13" x14ac:dyDescent="0.3">
      <c r="A44" s="55"/>
      <c r="B44" s="60" t="s">
        <v>108</v>
      </c>
    </row>
    <row r="45" spans="1:2" ht="13" x14ac:dyDescent="0.3">
      <c r="A45" s="55"/>
      <c r="B45" s="60"/>
    </row>
    <row r="46" spans="1:2" ht="26" x14ac:dyDescent="0.3">
      <c r="A46" s="55"/>
      <c r="B46" s="60" t="s">
        <v>109</v>
      </c>
    </row>
    <row r="47" spans="1:2" ht="13" x14ac:dyDescent="0.3">
      <c r="A47" s="55"/>
      <c r="B47" s="60"/>
    </row>
    <row r="48" spans="1:2" ht="13" x14ac:dyDescent="0.3">
      <c r="A48" s="55"/>
      <c r="B48" s="60" t="s">
        <v>110</v>
      </c>
    </row>
    <row r="49" spans="1:2" ht="13" x14ac:dyDescent="0.3">
      <c r="A49" s="55"/>
      <c r="B49" s="60"/>
    </row>
    <row r="50" spans="1:2" ht="56.25" customHeight="1" x14ac:dyDescent="0.3">
      <c r="A50" s="55"/>
      <c r="B50" s="60" t="s">
        <v>111</v>
      </c>
    </row>
    <row r="51" spans="1:2" ht="13" x14ac:dyDescent="0.3">
      <c r="A51" s="55"/>
      <c r="B51" s="60"/>
    </row>
    <row r="52" spans="1:2" ht="13" x14ac:dyDescent="0.3">
      <c r="A52" s="55"/>
      <c r="B52" s="60" t="s">
        <v>112</v>
      </c>
    </row>
    <row r="53" spans="1:2" ht="13" x14ac:dyDescent="0.3">
      <c r="A53" s="55"/>
      <c r="B53" s="60"/>
    </row>
    <row r="54" spans="1:2" ht="26" x14ac:dyDescent="0.3">
      <c r="A54" s="55"/>
      <c r="B54" s="60" t="s">
        <v>113</v>
      </c>
    </row>
    <row r="55" spans="1:2" ht="13" x14ac:dyDescent="0.3">
      <c r="A55" s="55"/>
      <c r="B55" s="60"/>
    </row>
    <row r="56" spans="1:2" ht="13" x14ac:dyDescent="0.3">
      <c r="A56" s="55"/>
      <c r="B56" s="60" t="s">
        <v>114</v>
      </c>
    </row>
    <row r="57" spans="1:2" ht="13" x14ac:dyDescent="0.3">
      <c r="A57" s="55"/>
      <c r="B57" s="60"/>
    </row>
    <row r="58" spans="1:2" ht="43.5" customHeight="1" x14ac:dyDescent="0.3">
      <c r="A58" s="55"/>
      <c r="B58" s="60" t="s">
        <v>115</v>
      </c>
    </row>
    <row r="59" spans="1:2" ht="26" x14ac:dyDescent="0.3">
      <c r="A59" s="55"/>
      <c r="B59" s="60" t="s">
        <v>116</v>
      </c>
    </row>
    <row r="60" spans="1:2" ht="13" x14ac:dyDescent="0.3">
      <c r="A60" s="55"/>
      <c r="B60" s="60"/>
    </row>
    <row r="61" spans="1:2" ht="13" x14ac:dyDescent="0.3">
      <c r="A61" s="55"/>
      <c r="B61" s="60" t="s">
        <v>117</v>
      </c>
    </row>
    <row r="62" spans="1:2" ht="13" x14ac:dyDescent="0.3">
      <c r="A62" s="55"/>
      <c r="B62" s="60"/>
    </row>
    <row r="63" spans="1:2" ht="42" customHeight="1" x14ac:dyDescent="0.3">
      <c r="A63" s="55"/>
      <c r="B63" s="60" t="s">
        <v>118</v>
      </c>
    </row>
    <row r="64" spans="1:2" ht="13" x14ac:dyDescent="0.3">
      <c r="A64" s="55"/>
      <c r="B64" s="60"/>
    </row>
    <row r="65" spans="1:2" ht="26" x14ac:dyDescent="0.3">
      <c r="A65" s="55"/>
      <c r="B65" s="60" t="s">
        <v>119</v>
      </c>
    </row>
    <row r="66" spans="1:2" ht="13" x14ac:dyDescent="0.3">
      <c r="A66" s="55"/>
      <c r="B66" s="60"/>
    </row>
    <row r="67" spans="1:2" ht="27.75" customHeight="1" x14ac:dyDescent="0.3">
      <c r="A67" s="55"/>
      <c r="B67" s="60" t="s">
        <v>120</v>
      </c>
    </row>
    <row r="68" spans="1:2" ht="13" x14ac:dyDescent="0.3">
      <c r="A68" s="55"/>
      <c r="B68" s="60"/>
    </row>
    <row r="69" spans="1:2" ht="27.75" customHeight="1" x14ac:dyDescent="0.3">
      <c r="A69" s="55"/>
      <c r="B69" s="60" t="s">
        <v>121</v>
      </c>
    </row>
    <row r="70" spans="1:2" ht="13" x14ac:dyDescent="0.3">
      <c r="A70" s="55"/>
      <c r="B70" s="60"/>
    </row>
    <row r="71" spans="1:2" ht="42" customHeight="1" x14ac:dyDescent="0.3">
      <c r="A71" s="55"/>
      <c r="B71" s="60" t="s">
        <v>122</v>
      </c>
    </row>
    <row r="72" spans="1:2" ht="13" x14ac:dyDescent="0.3">
      <c r="A72" s="55"/>
      <c r="B72" s="60"/>
    </row>
    <row r="73" spans="1:2" ht="13" x14ac:dyDescent="0.3">
      <c r="A73" s="55"/>
      <c r="B73" s="60" t="s">
        <v>123</v>
      </c>
    </row>
    <row r="74" spans="1:2" ht="13" x14ac:dyDescent="0.3">
      <c r="A74" s="55"/>
      <c r="B74" s="60"/>
    </row>
    <row r="75" spans="1:2" ht="42" customHeight="1" x14ac:dyDescent="0.3">
      <c r="A75" s="55"/>
      <c r="B75" s="60" t="s">
        <v>124</v>
      </c>
    </row>
    <row r="76" spans="1:2" ht="13" x14ac:dyDescent="0.3">
      <c r="A76" s="55"/>
      <c r="B76" s="60" t="s">
        <v>125</v>
      </c>
    </row>
    <row r="77" spans="1:2" ht="13" x14ac:dyDescent="0.3">
      <c r="A77" s="55"/>
      <c r="B77" s="60" t="s">
        <v>126</v>
      </c>
    </row>
    <row r="78" spans="1:2" ht="13" x14ac:dyDescent="0.3">
      <c r="A78" s="55"/>
      <c r="B78" s="60" t="s">
        <v>127</v>
      </c>
    </row>
    <row r="79" spans="1:2" ht="13" x14ac:dyDescent="0.3">
      <c r="A79" s="55"/>
      <c r="B79" s="60" t="s">
        <v>128</v>
      </c>
    </row>
    <row r="80" spans="1:2" ht="13" x14ac:dyDescent="0.3">
      <c r="A80" s="55"/>
      <c r="B80" s="60" t="s">
        <v>129</v>
      </c>
    </row>
    <row r="81" spans="1:2" ht="13" x14ac:dyDescent="0.3">
      <c r="A81" s="55"/>
      <c r="B81" s="60" t="s">
        <v>130</v>
      </c>
    </row>
    <row r="82" spans="1:2" ht="13" x14ac:dyDescent="0.3">
      <c r="A82" s="55"/>
      <c r="B82" s="60" t="s">
        <v>131</v>
      </c>
    </row>
    <row r="83" spans="1:2" ht="26" x14ac:dyDescent="0.3">
      <c r="A83" s="55"/>
      <c r="B83" s="60" t="s">
        <v>132</v>
      </c>
    </row>
    <row r="84" spans="1:2" ht="13" x14ac:dyDescent="0.3">
      <c r="A84" s="55"/>
      <c r="B84" s="60"/>
    </row>
    <row r="85" spans="1:2" ht="30.75" customHeight="1" x14ac:dyDescent="0.3">
      <c r="A85" s="55"/>
      <c r="B85" s="60" t="s">
        <v>133</v>
      </c>
    </row>
    <row r="86" spans="1:2" ht="13" x14ac:dyDescent="0.3">
      <c r="A86" s="55"/>
      <c r="B86" s="60"/>
    </row>
    <row r="87" spans="1:2" ht="42.75" customHeight="1" x14ac:dyDescent="0.3">
      <c r="A87" s="55"/>
      <c r="B87" s="60" t="s">
        <v>134</v>
      </c>
    </row>
    <row r="88" spans="1:2" ht="13" x14ac:dyDescent="0.3">
      <c r="A88" s="55"/>
      <c r="B88" s="60"/>
    </row>
    <row r="89" spans="1:2" ht="42.75" customHeight="1" x14ac:dyDescent="0.3">
      <c r="A89" s="55"/>
      <c r="B89" s="60" t="s">
        <v>135</v>
      </c>
    </row>
    <row r="90" spans="1:2" ht="13" x14ac:dyDescent="0.3">
      <c r="A90" s="55"/>
      <c r="B90" s="60"/>
    </row>
    <row r="91" spans="1:2" ht="82.5" customHeight="1" x14ac:dyDescent="0.3">
      <c r="A91" s="55"/>
      <c r="B91" s="60" t="s">
        <v>136</v>
      </c>
    </row>
    <row r="92" spans="1:2" ht="13" x14ac:dyDescent="0.3">
      <c r="A92" s="55"/>
      <c r="B92" s="58"/>
    </row>
    <row r="93" spans="1:2" ht="13" x14ac:dyDescent="0.3">
      <c r="A93" s="55"/>
      <c r="B93" s="59"/>
    </row>
    <row r="94" spans="1:2" ht="13" x14ac:dyDescent="0.3">
      <c r="A94" s="55"/>
      <c r="B94" s="59"/>
    </row>
    <row r="95" spans="1:2" ht="13" x14ac:dyDescent="0.3">
      <c r="A95" s="55"/>
      <c r="B95" s="59"/>
    </row>
    <row r="96" spans="1:2" ht="13" x14ac:dyDescent="0.3">
      <c r="A96" s="55"/>
      <c r="B96" s="59"/>
    </row>
    <row r="97" spans="1:2" ht="13" x14ac:dyDescent="0.3">
      <c r="A97" s="55"/>
      <c r="B97" s="59"/>
    </row>
    <row r="98" spans="1:2" ht="13" x14ac:dyDescent="0.3">
      <c r="A98" s="55"/>
      <c r="B98" s="59"/>
    </row>
    <row r="99" spans="1:2" ht="13" x14ac:dyDescent="0.3">
      <c r="A99" s="55"/>
      <c r="B99" s="59"/>
    </row>
    <row r="100" spans="1:2" ht="13" x14ac:dyDescent="0.3">
      <c r="A100" s="55"/>
      <c r="B100" s="59"/>
    </row>
    <row r="101" spans="1:2" ht="13" x14ac:dyDescent="0.3">
      <c r="A101" s="55"/>
      <c r="B101" s="59"/>
    </row>
    <row r="102" spans="1:2" ht="13" x14ac:dyDescent="0.3">
      <c r="A102" s="55"/>
      <c r="B102" s="59"/>
    </row>
    <row r="103" spans="1:2" ht="13" x14ac:dyDescent="0.3">
      <c r="A103" s="55"/>
      <c r="B103" s="59"/>
    </row>
    <row r="104" spans="1:2" ht="13" x14ac:dyDescent="0.3">
      <c r="A104" s="55"/>
      <c r="B104" s="59"/>
    </row>
    <row r="105" spans="1:2" ht="13" x14ac:dyDescent="0.3">
      <c r="A105" s="55"/>
      <c r="B105" s="59"/>
    </row>
    <row r="106" spans="1:2" ht="13" x14ac:dyDescent="0.3">
      <c r="A106" s="61"/>
      <c r="B106" s="59"/>
    </row>
    <row r="107" spans="1:2" ht="13" x14ac:dyDescent="0.3">
      <c r="A107" s="61"/>
      <c r="B107" s="58"/>
    </row>
    <row r="108" spans="1:2" ht="13" x14ac:dyDescent="0.3">
      <c r="A108" s="55"/>
      <c r="B108" s="58"/>
    </row>
    <row r="109" spans="1:2" ht="13" x14ac:dyDescent="0.3">
      <c r="A109" s="61"/>
      <c r="B109" s="59"/>
    </row>
    <row r="110" spans="1:2" ht="13" x14ac:dyDescent="0.3">
      <c r="A110" s="61"/>
      <c r="B110" s="58"/>
    </row>
    <row r="111" spans="1:2" ht="13" x14ac:dyDescent="0.3">
      <c r="A111" s="55"/>
      <c r="B111" s="58"/>
    </row>
    <row r="112" spans="1:2" ht="13" x14ac:dyDescent="0.3">
      <c r="A112" s="55"/>
      <c r="B112" s="59"/>
    </row>
    <row r="113" spans="1:2" ht="13" x14ac:dyDescent="0.3">
      <c r="A113" s="55"/>
      <c r="B113" s="59"/>
    </row>
    <row r="114" spans="1:2" ht="13" x14ac:dyDescent="0.3">
      <c r="A114" s="55"/>
      <c r="B114" s="59"/>
    </row>
    <row r="115" spans="1:2" ht="13" x14ac:dyDescent="0.3">
      <c r="A115" s="55"/>
      <c r="B115" s="59"/>
    </row>
    <row r="116" spans="1:2" ht="13" x14ac:dyDescent="0.3">
      <c r="A116" s="55"/>
      <c r="B116" s="59"/>
    </row>
    <row r="117" spans="1:2" ht="13" x14ac:dyDescent="0.3">
      <c r="A117" s="55"/>
      <c r="B117" s="59"/>
    </row>
    <row r="118" spans="1:2" ht="13" x14ac:dyDescent="0.3">
      <c r="A118" s="55"/>
      <c r="B118" s="59"/>
    </row>
    <row r="119" spans="1:2" ht="13" x14ac:dyDescent="0.3">
      <c r="A119" s="55"/>
      <c r="B119" s="59"/>
    </row>
    <row r="120" spans="1:2" ht="13" x14ac:dyDescent="0.3">
      <c r="A120" s="55"/>
      <c r="B120" s="59"/>
    </row>
    <row r="121" spans="1:2" ht="13" x14ac:dyDescent="0.3">
      <c r="A121" s="55"/>
      <c r="B121" s="59"/>
    </row>
    <row r="122" spans="1:2" ht="13" x14ac:dyDescent="0.3">
      <c r="A122" s="55"/>
      <c r="B122" s="59"/>
    </row>
    <row r="123" spans="1:2" ht="13" x14ac:dyDescent="0.3">
      <c r="A123" s="55"/>
      <c r="B123" s="58"/>
    </row>
    <row r="124" spans="1:2" ht="13" x14ac:dyDescent="0.3">
      <c r="A124" s="61"/>
      <c r="B124" s="59"/>
    </row>
    <row r="125" spans="1:2" ht="13" x14ac:dyDescent="0.3">
      <c r="A125" s="55"/>
      <c r="B125" s="58"/>
    </row>
    <row r="126" spans="1:2" ht="13" x14ac:dyDescent="0.3">
      <c r="A126" s="55"/>
      <c r="B126" s="59"/>
    </row>
    <row r="127" spans="1:2" ht="13" x14ac:dyDescent="0.3">
      <c r="A127" s="55"/>
      <c r="B127" s="59"/>
    </row>
    <row r="128" spans="1:2" ht="13" x14ac:dyDescent="0.3">
      <c r="A128" s="55"/>
      <c r="B128" s="59"/>
    </row>
    <row r="129" spans="1:2" ht="13" x14ac:dyDescent="0.3">
      <c r="A129" s="55"/>
      <c r="B129" s="59"/>
    </row>
    <row r="130" spans="1:2" ht="13" x14ac:dyDescent="0.3">
      <c r="A130" s="55"/>
      <c r="B130" s="59"/>
    </row>
    <row r="131" spans="1:2" ht="13" x14ac:dyDescent="0.3">
      <c r="A131" s="55"/>
      <c r="B131" s="59"/>
    </row>
    <row r="132" spans="1:2" ht="13" x14ac:dyDescent="0.3">
      <c r="A132" s="55"/>
      <c r="B132" s="59"/>
    </row>
    <row r="133" spans="1:2" ht="13" x14ac:dyDescent="0.3">
      <c r="A133" s="55"/>
      <c r="B133" s="59"/>
    </row>
    <row r="134" spans="1:2" ht="13" x14ac:dyDescent="0.3">
      <c r="A134" s="55"/>
      <c r="B134" s="59"/>
    </row>
    <row r="135" spans="1:2" ht="13" x14ac:dyDescent="0.3">
      <c r="A135" s="55"/>
      <c r="B135" s="59"/>
    </row>
    <row r="136" spans="1:2" ht="13" x14ac:dyDescent="0.3">
      <c r="A136" s="55"/>
      <c r="B136" s="59"/>
    </row>
    <row r="137" spans="1:2" ht="13" x14ac:dyDescent="0.3">
      <c r="A137" s="55"/>
      <c r="B137" s="59"/>
    </row>
    <row r="138" spans="1:2" ht="13" x14ac:dyDescent="0.3">
      <c r="A138" s="55"/>
      <c r="B138" s="59"/>
    </row>
    <row r="139" spans="1:2" ht="13" x14ac:dyDescent="0.3">
      <c r="A139" s="55"/>
      <c r="B139" s="59"/>
    </row>
    <row r="140" spans="1:2" ht="13" x14ac:dyDescent="0.3">
      <c r="A140" s="55"/>
      <c r="B140" s="59"/>
    </row>
    <row r="141" spans="1:2" ht="13" x14ac:dyDescent="0.3">
      <c r="A141" s="55"/>
      <c r="B141" s="59"/>
    </row>
    <row r="142" spans="1:2" ht="13" x14ac:dyDescent="0.3">
      <c r="A142" s="55"/>
      <c r="B142" s="59"/>
    </row>
    <row r="143" spans="1:2" ht="13" x14ac:dyDescent="0.3">
      <c r="A143" s="55"/>
      <c r="B143" s="59"/>
    </row>
    <row r="144" spans="1:2" ht="13" x14ac:dyDescent="0.3">
      <c r="A144" s="55"/>
      <c r="B144" s="59"/>
    </row>
    <row r="145" spans="1:2" ht="13" x14ac:dyDescent="0.3">
      <c r="A145" s="55"/>
      <c r="B145" s="59"/>
    </row>
    <row r="146" spans="1:2" ht="13" x14ac:dyDescent="0.3">
      <c r="A146" s="55"/>
      <c r="B146" s="59"/>
    </row>
    <row r="147" spans="1:2" ht="13" x14ac:dyDescent="0.3">
      <c r="A147" s="55"/>
      <c r="B147" s="59"/>
    </row>
    <row r="148" spans="1:2" ht="13" x14ac:dyDescent="0.3">
      <c r="A148" s="55"/>
      <c r="B148" s="59"/>
    </row>
    <row r="149" spans="1:2" ht="13" x14ac:dyDescent="0.3">
      <c r="A149" s="55"/>
      <c r="B149" s="58"/>
    </row>
    <row r="150" spans="1:2" ht="13" x14ac:dyDescent="0.3">
      <c r="A150" s="55"/>
      <c r="B150" s="58"/>
    </row>
    <row r="151" spans="1:2" ht="13" x14ac:dyDescent="0.3">
      <c r="A151" s="61"/>
      <c r="B151" s="59"/>
    </row>
    <row r="152" spans="1:2" ht="13" x14ac:dyDescent="0.3">
      <c r="A152" s="55"/>
      <c r="B152" s="58"/>
    </row>
    <row r="153" spans="1:2" ht="13" x14ac:dyDescent="0.3">
      <c r="A153" s="55"/>
      <c r="B153" s="59"/>
    </row>
    <row r="154" spans="1:2" ht="13" x14ac:dyDescent="0.3">
      <c r="A154" s="55"/>
      <c r="B154" s="59"/>
    </row>
    <row r="155" spans="1:2" ht="13" x14ac:dyDescent="0.3">
      <c r="A155" s="55"/>
      <c r="B155" s="59"/>
    </row>
    <row r="156" spans="1:2" ht="13" x14ac:dyDescent="0.3">
      <c r="A156" s="55"/>
      <c r="B156" s="59"/>
    </row>
    <row r="157" spans="1:2" ht="13" x14ac:dyDescent="0.3">
      <c r="A157" s="55"/>
      <c r="B157" s="59"/>
    </row>
    <row r="158" spans="1:2" ht="13" x14ac:dyDescent="0.3">
      <c r="A158" s="55"/>
      <c r="B158" s="59"/>
    </row>
    <row r="159" spans="1:2" ht="13" x14ac:dyDescent="0.3">
      <c r="A159" s="55"/>
      <c r="B159" s="59"/>
    </row>
    <row r="160" spans="1:2" ht="13" x14ac:dyDescent="0.3">
      <c r="A160" s="55"/>
      <c r="B160" s="59"/>
    </row>
    <row r="161" spans="1:2" ht="13" x14ac:dyDescent="0.3">
      <c r="A161" s="55"/>
      <c r="B161" s="59"/>
    </row>
    <row r="162" spans="1:2" ht="13" x14ac:dyDescent="0.3">
      <c r="A162" s="55"/>
      <c r="B162" s="59"/>
    </row>
    <row r="163" spans="1:2" ht="13" x14ac:dyDescent="0.3">
      <c r="A163" s="55"/>
      <c r="B163" s="59"/>
    </row>
    <row r="164" spans="1:2" ht="13" x14ac:dyDescent="0.3">
      <c r="A164" s="55"/>
      <c r="B164" s="59"/>
    </row>
    <row r="165" spans="1:2" ht="13" x14ac:dyDescent="0.3">
      <c r="A165" s="55"/>
      <c r="B165" s="59"/>
    </row>
    <row r="166" spans="1:2" ht="13" x14ac:dyDescent="0.3">
      <c r="A166" s="55"/>
      <c r="B166" s="59"/>
    </row>
    <row r="167" spans="1:2" ht="13" x14ac:dyDescent="0.3">
      <c r="A167" s="55"/>
      <c r="B167" s="59"/>
    </row>
    <row r="168" spans="1:2" ht="13" x14ac:dyDescent="0.3">
      <c r="A168" s="55"/>
      <c r="B168" s="59"/>
    </row>
    <row r="169" spans="1:2" ht="13" x14ac:dyDescent="0.3">
      <c r="A169" s="55"/>
      <c r="B169" s="59"/>
    </row>
    <row r="170" spans="1:2" ht="13" x14ac:dyDescent="0.3">
      <c r="A170" s="55"/>
      <c r="B170" s="59"/>
    </row>
    <row r="171" spans="1:2" ht="13" x14ac:dyDescent="0.3">
      <c r="A171" s="55"/>
      <c r="B171" s="59"/>
    </row>
    <row r="172" spans="1:2" ht="13" x14ac:dyDescent="0.3">
      <c r="A172" s="55"/>
      <c r="B172" s="59"/>
    </row>
    <row r="173" spans="1:2" ht="13" x14ac:dyDescent="0.3">
      <c r="A173" s="55"/>
      <c r="B173" s="59"/>
    </row>
    <row r="174" spans="1:2" ht="13" x14ac:dyDescent="0.3">
      <c r="A174" s="55"/>
      <c r="B174" s="59"/>
    </row>
    <row r="175" spans="1:2" ht="13" x14ac:dyDescent="0.3">
      <c r="A175" s="55"/>
      <c r="B175" s="59"/>
    </row>
    <row r="176" spans="1:2" ht="13" x14ac:dyDescent="0.3">
      <c r="A176" s="55"/>
      <c r="B176" s="59"/>
    </row>
    <row r="177" spans="1:2" ht="13" x14ac:dyDescent="0.3">
      <c r="A177" s="55"/>
      <c r="B177" s="59"/>
    </row>
    <row r="178" spans="1:2" ht="13" x14ac:dyDescent="0.3">
      <c r="A178" s="55"/>
      <c r="B178" s="59"/>
    </row>
    <row r="179" spans="1:2" ht="13" x14ac:dyDescent="0.3">
      <c r="A179" s="55"/>
      <c r="B179" s="59"/>
    </row>
    <row r="180" spans="1:2" ht="13" x14ac:dyDescent="0.3">
      <c r="A180" s="55"/>
      <c r="B180" s="59"/>
    </row>
    <row r="181" spans="1:2" ht="13" x14ac:dyDescent="0.3">
      <c r="A181" s="55"/>
      <c r="B181" s="59"/>
    </row>
    <row r="182" spans="1:2" ht="13" x14ac:dyDescent="0.3">
      <c r="B182" s="59"/>
    </row>
    <row r="184" spans="1:2" ht="13" x14ac:dyDescent="0.3">
      <c r="A184" s="61"/>
    </row>
    <row r="185" spans="1:2" ht="13" x14ac:dyDescent="0.3">
      <c r="A185" s="55"/>
      <c r="B185" s="58"/>
    </row>
    <row r="186" spans="1:2" ht="13" x14ac:dyDescent="0.3">
      <c r="A186" s="55"/>
      <c r="B186" s="59"/>
    </row>
    <row r="187" spans="1:2" ht="13" x14ac:dyDescent="0.3">
      <c r="A187" s="55"/>
      <c r="B187" s="59"/>
    </row>
    <row r="188" spans="1:2" ht="13" x14ac:dyDescent="0.3">
      <c r="A188" s="55"/>
      <c r="B188" s="59"/>
    </row>
    <row r="189" spans="1:2" ht="13" x14ac:dyDescent="0.3">
      <c r="A189" s="55"/>
      <c r="B189" s="59"/>
    </row>
    <row r="190" spans="1:2" ht="13" x14ac:dyDescent="0.3">
      <c r="B190" s="58"/>
    </row>
  </sheetData>
  <pageMargins left="0.7" right="0.7" top="0.75" bottom="0.75" header="0.3" footer="0.3"/>
  <pageSetup paperSize="9" orientation="portrait" r:id="rId1"/>
  <headerFooter>
    <oddHeader>&amp;C&amp;9Zagreb, palača Vojković-Oršić-Kulmer-Raauch, projekt cjelovite obnove zgrade
 TROŠKOVNIK  TD 19/21  ZOP 152&amp;R&amp;9strana: 2.&amp;P</oddHeader>
    <oddFooter>&amp;L&amp;9Glavni projektant: Ana Škevin Mikulandra, dipl.ing.arh.&amp;R&amp;9Zagreb, rujan  2023.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B98A-3414-4904-86D0-E54DE4421B3C}">
  <dimension ref="A1:H1180"/>
  <sheetViews>
    <sheetView view="pageBreakPreview" topLeftCell="A888" zoomScaleNormal="100" zoomScaleSheetLayoutView="100" workbookViewId="0">
      <selection activeCell="H86" sqref="H86"/>
    </sheetView>
  </sheetViews>
  <sheetFormatPr defaultColWidth="9.08984375" defaultRowHeight="12" x14ac:dyDescent="0.35"/>
  <cols>
    <col min="1" max="1" width="9.08984375" style="64"/>
    <col min="2" max="2" width="9.08984375" style="64" customWidth="1"/>
    <col min="3" max="5" width="9.08984375" style="64"/>
    <col min="6" max="6" width="41.08984375" style="64" customWidth="1"/>
    <col min="7" max="7" width="8.984375E-2" style="64" hidden="1" customWidth="1"/>
    <col min="8" max="16384" width="9.08984375" style="64"/>
  </cols>
  <sheetData>
    <row r="1" spans="1:6" x14ac:dyDescent="0.35">
      <c r="A1" s="176" t="s">
        <v>137</v>
      </c>
      <c r="B1" s="176"/>
      <c r="C1" s="176"/>
      <c r="D1" s="176"/>
      <c r="E1" s="176"/>
      <c r="F1" s="176"/>
    </row>
    <row r="2" spans="1:6" x14ac:dyDescent="0.35">
      <c r="A2" s="65"/>
      <c r="B2" s="65"/>
      <c r="C2" s="65"/>
      <c r="D2" s="65"/>
      <c r="E2" s="65"/>
      <c r="F2" s="65"/>
    </row>
    <row r="3" spans="1:6" ht="15.75" customHeight="1" x14ac:dyDescent="0.35">
      <c r="A3" s="177" t="s">
        <v>138</v>
      </c>
      <c r="B3" s="177"/>
      <c r="C3" s="177"/>
      <c r="D3" s="177"/>
      <c r="E3" s="65"/>
      <c r="F3" s="65"/>
    </row>
    <row r="4" spans="1:6" x14ac:dyDescent="0.35">
      <c r="A4" s="65"/>
      <c r="B4" s="65"/>
      <c r="C4" s="65"/>
      <c r="D4" s="65"/>
      <c r="E4" s="65"/>
      <c r="F4" s="65"/>
    </row>
    <row r="5" spans="1:6" ht="31.5" customHeight="1" x14ac:dyDescent="0.35">
      <c r="A5" s="178" t="s">
        <v>139</v>
      </c>
      <c r="B5" s="178"/>
      <c r="C5" s="178"/>
      <c r="D5" s="178"/>
      <c r="E5" s="178"/>
      <c r="F5" s="178"/>
    </row>
    <row r="6" spans="1:6" ht="52.5" customHeight="1" x14ac:dyDescent="0.35">
      <c r="A6" s="178" t="s">
        <v>140</v>
      </c>
      <c r="B6" s="178"/>
      <c r="C6" s="178"/>
      <c r="D6" s="178"/>
      <c r="E6" s="178"/>
      <c r="F6" s="178"/>
    </row>
    <row r="7" spans="1:6" ht="31.5" customHeight="1" x14ac:dyDescent="0.35">
      <c r="A7" s="178" t="s">
        <v>141</v>
      </c>
      <c r="B7" s="178"/>
      <c r="C7" s="178"/>
      <c r="D7" s="178"/>
      <c r="E7" s="178"/>
      <c r="F7" s="178"/>
    </row>
    <row r="8" spans="1:6" ht="33" customHeight="1" x14ac:dyDescent="0.35">
      <c r="A8" s="178" t="s">
        <v>142</v>
      </c>
      <c r="B8" s="178"/>
      <c r="C8" s="178"/>
      <c r="D8" s="178"/>
      <c r="E8" s="178"/>
      <c r="F8" s="178"/>
    </row>
    <row r="9" spans="1:6" ht="18" customHeight="1" x14ac:dyDescent="0.35">
      <c r="A9" s="178" t="s">
        <v>143</v>
      </c>
      <c r="B9" s="178"/>
      <c r="C9" s="178"/>
      <c r="D9" s="178"/>
      <c r="E9" s="178"/>
      <c r="F9" s="178"/>
    </row>
    <row r="10" spans="1:6" ht="12" customHeight="1" x14ac:dyDescent="0.35">
      <c r="A10" s="178" t="s">
        <v>144</v>
      </c>
      <c r="B10" s="178"/>
      <c r="C10" s="178"/>
      <c r="D10" s="178"/>
      <c r="E10" s="178"/>
      <c r="F10" s="178"/>
    </row>
    <row r="11" spans="1:6" x14ac:dyDescent="0.35">
      <c r="A11" s="66"/>
      <c r="B11" s="66"/>
      <c r="C11" s="66"/>
      <c r="D11" s="66"/>
      <c r="E11" s="66"/>
      <c r="F11" s="66"/>
    </row>
    <row r="12" spans="1:6" ht="16.5" customHeight="1" x14ac:dyDescent="0.35">
      <c r="A12" s="177" t="s">
        <v>145</v>
      </c>
      <c r="B12" s="177"/>
      <c r="C12" s="177"/>
      <c r="D12" s="177"/>
      <c r="E12" s="177"/>
      <c r="F12" s="67"/>
    </row>
    <row r="13" spans="1:6" x14ac:dyDescent="0.35">
      <c r="A13" s="65"/>
      <c r="B13" s="65"/>
      <c r="C13" s="65"/>
      <c r="D13" s="67"/>
      <c r="E13" s="65"/>
      <c r="F13" s="67"/>
    </row>
    <row r="14" spans="1:6" x14ac:dyDescent="0.35">
      <c r="A14" s="176" t="s">
        <v>146</v>
      </c>
      <c r="B14" s="176"/>
      <c r="C14" s="176"/>
      <c r="D14" s="176"/>
      <c r="E14" s="176"/>
      <c r="F14" s="176"/>
    </row>
    <row r="15" spans="1:6" x14ac:dyDescent="0.35">
      <c r="A15" s="68"/>
      <c r="B15" s="69"/>
      <c r="C15" s="69"/>
      <c r="D15" s="70"/>
      <c r="E15" s="69"/>
      <c r="F15" s="70"/>
    </row>
    <row r="16" spans="1:6" ht="12" customHeight="1" x14ac:dyDescent="0.35">
      <c r="A16" s="179" t="s">
        <v>147</v>
      </c>
      <c r="B16" s="179"/>
      <c r="C16" s="179"/>
      <c r="D16" s="179"/>
      <c r="E16" s="179"/>
      <c r="F16" s="179"/>
    </row>
    <row r="17" spans="1:6" x14ac:dyDescent="0.35">
      <c r="A17" s="179"/>
      <c r="B17" s="179"/>
      <c r="C17" s="179"/>
      <c r="D17" s="179"/>
      <c r="E17" s="179"/>
      <c r="F17" s="179"/>
    </row>
    <row r="18" spans="1:6" x14ac:dyDescent="0.35">
      <c r="A18" s="66"/>
      <c r="B18" s="66"/>
      <c r="C18" s="66"/>
      <c r="D18" s="67"/>
      <c r="E18" s="66"/>
      <c r="F18" s="66"/>
    </row>
    <row r="19" spans="1:6" ht="12" customHeight="1" x14ac:dyDescent="0.35">
      <c r="A19" s="179" t="s">
        <v>148</v>
      </c>
      <c r="B19" s="179"/>
      <c r="C19" s="179"/>
      <c r="D19" s="179"/>
      <c r="E19" s="179"/>
      <c r="F19" s="179"/>
    </row>
    <row r="20" spans="1:6" ht="12" customHeight="1" x14ac:dyDescent="0.35">
      <c r="A20" s="178" t="s">
        <v>149</v>
      </c>
      <c r="B20" s="178"/>
      <c r="C20" s="178"/>
      <c r="D20" s="178"/>
      <c r="E20" s="178"/>
      <c r="F20" s="178"/>
    </row>
    <row r="21" spans="1:6" ht="12" customHeight="1" x14ac:dyDescent="0.35">
      <c r="A21" s="178" t="s">
        <v>150</v>
      </c>
      <c r="B21" s="178"/>
      <c r="C21" s="178"/>
      <c r="D21" s="178"/>
      <c r="E21" s="178"/>
      <c r="F21" s="178"/>
    </row>
    <row r="22" spans="1:6" ht="12" customHeight="1" x14ac:dyDescent="0.35">
      <c r="A22" s="178" t="s">
        <v>151</v>
      </c>
      <c r="B22" s="178"/>
      <c r="C22" s="178"/>
      <c r="D22" s="178"/>
      <c r="E22" s="178"/>
      <c r="F22" s="178"/>
    </row>
    <row r="23" spans="1:6" ht="12" customHeight="1" x14ac:dyDescent="0.35">
      <c r="A23" s="178" t="s">
        <v>152</v>
      </c>
      <c r="B23" s="178"/>
      <c r="C23" s="178"/>
      <c r="D23" s="178"/>
      <c r="E23" s="178"/>
      <c r="F23" s="178"/>
    </row>
    <row r="24" spans="1:6" ht="12" customHeight="1" x14ac:dyDescent="0.35">
      <c r="A24" s="179" t="s">
        <v>153</v>
      </c>
      <c r="B24" s="179"/>
      <c r="C24" s="179"/>
      <c r="D24" s="179"/>
      <c r="E24" s="179"/>
      <c r="F24" s="179"/>
    </row>
    <row r="25" spans="1:6" ht="12" customHeight="1" x14ac:dyDescent="0.35">
      <c r="A25" s="179" t="s">
        <v>154</v>
      </c>
      <c r="B25" s="179"/>
      <c r="C25" s="179"/>
      <c r="D25" s="179"/>
      <c r="E25" s="179"/>
      <c r="F25" s="179"/>
    </row>
    <row r="26" spans="1:6" ht="12" customHeight="1" x14ac:dyDescent="0.35">
      <c r="A26" s="178" t="s">
        <v>155</v>
      </c>
      <c r="B26" s="178"/>
      <c r="C26" s="178"/>
      <c r="D26" s="178"/>
      <c r="E26" s="178"/>
      <c r="F26" s="178"/>
    </row>
    <row r="27" spans="1:6" x14ac:dyDescent="0.35">
      <c r="A27" s="66"/>
      <c r="B27" s="66"/>
      <c r="C27" s="66"/>
      <c r="D27" s="67"/>
      <c r="E27" s="66"/>
      <c r="F27" s="66"/>
    </row>
    <row r="28" spans="1:6" ht="12" customHeight="1" x14ac:dyDescent="0.35">
      <c r="A28" s="179" t="s">
        <v>156</v>
      </c>
      <c r="B28" s="179"/>
      <c r="C28" s="179"/>
      <c r="D28" s="179"/>
      <c r="E28" s="179"/>
      <c r="F28" s="179"/>
    </row>
    <row r="29" spans="1:6" x14ac:dyDescent="0.35">
      <c r="A29" s="179"/>
      <c r="B29" s="179"/>
      <c r="C29" s="179"/>
      <c r="D29" s="179"/>
      <c r="E29" s="179"/>
      <c r="F29" s="179"/>
    </row>
    <row r="30" spans="1:6" x14ac:dyDescent="0.35">
      <c r="A30" s="65"/>
      <c r="B30" s="65"/>
      <c r="C30" s="65"/>
      <c r="D30" s="67"/>
      <c r="E30" s="65"/>
      <c r="F30" s="67"/>
    </row>
    <row r="31" spans="1:6" ht="27.75" customHeight="1" x14ac:dyDescent="0.35">
      <c r="A31" s="179" t="s">
        <v>157</v>
      </c>
      <c r="B31" s="179"/>
      <c r="C31" s="179"/>
      <c r="D31" s="179"/>
      <c r="E31" s="179"/>
      <c r="F31" s="179"/>
    </row>
    <row r="32" spans="1:6" x14ac:dyDescent="0.35">
      <c r="A32" s="66"/>
      <c r="B32" s="66"/>
      <c r="C32" s="66"/>
      <c r="D32" s="66"/>
      <c r="E32" s="66"/>
      <c r="F32" s="66"/>
    </row>
    <row r="33" spans="1:6" ht="13.5" customHeight="1" x14ac:dyDescent="0.35">
      <c r="A33" s="177" t="s">
        <v>158</v>
      </c>
      <c r="B33" s="177"/>
      <c r="C33" s="177"/>
      <c r="D33" s="177"/>
      <c r="E33" s="65"/>
      <c r="F33" s="67"/>
    </row>
    <row r="34" spans="1:6" x14ac:dyDescent="0.35">
      <c r="A34" s="65"/>
      <c r="B34" s="65"/>
      <c r="C34" s="65"/>
      <c r="D34" s="67"/>
      <c r="E34" s="65"/>
      <c r="F34" s="67"/>
    </row>
    <row r="35" spans="1:6" x14ac:dyDescent="0.35">
      <c r="A35" s="176" t="s">
        <v>146</v>
      </c>
      <c r="B35" s="176"/>
      <c r="C35" s="176"/>
      <c r="D35" s="176"/>
      <c r="E35" s="176"/>
      <c r="F35" s="176"/>
    </row>
    <row r="36" spans="1:6" x14ac:dyDescent="0.35">
      <c r="A36" s="68"/>
      <c r="B36" s="69"/>
      <c r="C36" s="69"/>
      <c r="D36" s="70"/>
      <c r="E36" s="69"/>
      <c r="F36" s="70"/>
    </row>
    <row r="37" spans="1:6" x14ac:dyDescent="0.35">
      <c r="A37" s="179" t="s">
        <v>147</v>
      </c>
      <c r="B37" s="179"/>
      <c r="C37" s="179"/>
      <c r="D37" s="179"/>
      <c r="E37" s="179"/>
      <c r="F37" s="179"/>
    </row>
    <row r="38" spans="1:6" x14ac:dyDescent="0.35">
      <c r="A38" s="179"/>
      <c r="B38" s="179"/>
      <c r="C38" s="179"/>
      <c r="D38" s="179"/>
      <c r="E38" s="179"/>
      <c r="F38" s="179"/>
    </row>
    <row r="39" spans="1:6" x14ac:dyDescent="0.35">
      <c r="A39" s="71"/>
      <c r="B39" s="71"/>
      <c r="C39" s="71"/>
      <c r="D39" s="71"/>
      <c r="E39" s="71"/>
      <c r="F39" s="71"/>
    </row>
    <row r="40" spans="1:6" x14ac:dyDescent="0.35">
      <c r="A40" s="178" t="s">
        <v>159</v>
      </c>
      <c r="B40" s="178"/>
      <c r="C40" s="178"/>
      <c r="D40" s="178"/>
      <c r="E40" s="178"/>
      <c r="F40" s="178"/>
    </row>
    <row r="41" spans="1:6" ht="26.25" customHeight="1" x14ac:dyDescent="0.35">
      <c r="A41" s="178"/>
      <c r="B41" s="178"/>
      <c r="C41" s="178"/>
      <c r="D41" s="178"/>
      <c r="E41" s="178"/>
      <c r="F41" s="178"/>
    </row>
    <row r="42" spans="1:6" x14ac:dyDescent="0.35">
      <c r="A42" s="71"/>
      <c r="B42" s="71"/>
      <c r="C42" s="71"/>
      <c r="D42" s="71"/>
      <c r="E42" s="71"/>
      <c r="F42" s="71"/>
    </row>
    <row r="43" spans="1:6" x14ac:dyDescent="0.35">
      <c r="A43" s="179" t="s">
        <v>160</v>
      </c>
      <c r="B43" s="179"/>
      <c r="C43" s="179"/>
      <c r="D43" s="179"/>
      <c r="E43" s="179"/>
      <c r="F43" s="179"/>
    </row>
    <row r="44" spans="1:6" x14ac:dyDescent="0.35">
      <c r="A44" s="71"/>
      <c r="B44" s="71"/>
      <c r="C44" s="66"/>
      <c r="D44" s="72"/>
      <c r="E44" s="72"/>
      <c r="F44" s="72"/>
    </row>
    <row r="45" spans="1:6" x14ac:dyDescent="0.35">
      <c r="A45" s="179" t="s">
        <v>161</v>
      </c>
      <c r="B45" s="179"/>
      <c r="C45" s="179"/>
      <c r="D45" s="179"/>
      <c r="E45" s="179"/>
      <c r="F45" s="179"/>
    </row>
    <row r="46" spans="1:6" ht="31.5" customHeight="1" x14ac:dyDescent="0.35">
      <c r="A46" s="179"/>
      <c r="B46" s="179"/>
      <c r="C46" s="179"/>
      <c r="D46" s="179"/>
      <c r="E46" s="179"/>
      <c r="F46" s="179"/>
    </row>
    <row r="47" spans="1:6" x14ac:dyDescent="0.35">
      <c r="A47" s="66"/>
      <c r="B47" s="71"/>
      <c r="C47" s="66"/>
      <c r="D47" s="67"/>
      <c r="E47" s="67"/>
      <c r="F47" s="67"/>
    </row>
    <row r="48" spans="1:6" x14ac:dyDescent="0.35">
      <c r="A48" s="179" t="s">
        <v>162</v>
      </c>
      <c r="B48" s="179"/>
      <c r="C48" s="179"/>
      <c r="D48" s="179"/>
      <c r="E48" s="179"/>
      <c r="F48" s="179"/>
    </row>
    <row r="49" spans="1:6" x14ac:dyDescent="0.35">
      <c r="A49" s="179"/>
      <c r="B49" s="179"/>
      <c r="C49" s="179"/>
      <c r="D49" s="179"/>
      <c r="E49" s="179"/>
      <c r="F49" s="179"/>
    </row>
    <row r="50" spans="1:6" x14ac:dyDescent="0.35">
      <c r="A50" s="66"/>
      <c r="B50" s="71"/>
      <c r="C50" s="66"/>
      <c r="D50" s="67"/>
      <c r="E50" s="67"/>
      <c r="F50" s="67"/>
    </row>
    <row r="51" spans="1:6" x14ac:dyDescent="0.35">
      <c r="A51" s="179" t="s">
        <v>163</v>
      </c>
      <c r="B51" s="179"/>
      <c r="C51" s="179"/>
      <c r="D51" s="179"/>
      <c r="E51" s="179"/>
      <c r="F51" s="179"/>
    </row>
    <row r="52" spans="1:6" x14ac:dyDescent="0.35">
      <c r="A52" s="179"/>
      <c r="B52" s="179"/>
      <c r="C52" s="179"/>
      <c r="D52" s="179"/>
      <c r="E52" s="179"/>
      <c r="F52" s="179"/>
    </row>
    <row r="53" spans="1:6" x14ac:dyDescent="0.35">
      <c r="A53" s="71"/>
      <c r="B53" s="71"/>
      <c r="C53" s="71"/>
      <c r="D53" s="72"/>
      <c r="E53" s="72"/>
      <c r="F53" s="72"/>
    </row>
    <row r="54" spans="1:6" x14ac:dyDescent="0.35">
      <c r="A54" s="179" t="s">
        <v>164</v>
      </c>
      <c r="B54" s="179"/>
      <c r="C54" s="179"/>
      <c r="D54" s="179"/>
      <c r="E54" s="179"/>
      <c r="F54" s="179"/>
    </row>
    <row r="55" spans="1:6" ht="27.75" customHeight="1" x14ac:dyDescent="0.35">
      <c r="A55" s="179"/>
      <c r="B55" s="179"/>
      <c r="C55" s="179"/>
      <c r="D55" s="179"/>
      <c r="E55" s="179"/>
      <c r="F55" s="179"/>
    </row>
    <row r="56" spans="1:6" x14ac:dyDescent="0.35">
      <c r="A56" s="71"/>
      <c r="B56" s="71"/>
      <c r="C56" s="66"/>
      <c r="D56" s="72"/>
      <c r="E56" s="72"/>
      <c r="F56" s="72"/>
    </row>
    <row r="57" spans="1:6" x14ac:dyDescent="0.35">
      <c r="A57" s="179" t="s">
        <v>148</v>
      </c>
      <c r="B57" s="179"/>
      <c r="C57" s="179"/>
      <c r="D57" s="179"/>
      <c r="E57" s="179"/>
      <c r="F57" s="179"/>
    </row>
    <row r="58" spans="1:6" x14ac:dyDescent="0.35">
      <c r="A58" s="178" t="s">
        <v>149</v>
      </c>
      <c r="B58" s="178"/>
      <c r="C58" s="178"/>
      <c r="D58" s="178"/>
      <c r="E58" s="178"/>
      <c r="F58" s="178"/>
    </row>
    <row r="59" spans="1:6" x14ac:dyDescent="0.35">
      <c r="A59" s="178" t="s">
        <v>150</v>
      </c>
      <c r="B59" s="178"/>
      <c r="C59" s="178"/>
      <c r="D59" s="178"/>
      <c r="E59" s="178"/>
      <c r="F59" s="178"/>
    </row>
    <row r="60" spans="1:6" x14ac:dyDescent="0.35">
      <c r="A60" s="178" t="s">
        <v>151</v>
      </c>
      <c r="B60" s="178"/>
      <c r="C60" s="178"/>
      <c r="D60" s="178"/>
      <c r="E60" s="178"/>
      <c r="F60" s="178"/>
    </row>
    <row r="61" spans="1:6" x14ac:dyDescent="0.35">
      <c r="A61" s="178" t="s">
        <v>152</v>
      </c>
      <c r="B61" s="178"/>
      <c r="C61" s="178"/>
      <c r="D61" s="178"/>
      <c r="E61" s="178"/>
      <c r="F61" s="178"/>
    </row>
    <row r="62" spans="1:6" x14ac:dyDescent="0.35">
      <c r="A62" s="179" t="s">
        <v>153</v>
      </c>
      <c r="B62" s="179"/>
      <c r="C62" s="179"/>
      <c r="D62" s="179"/>
      <c r="E62" s="179"/>
      <c r="F62" s="179"/>
    </row>
    <row r="63" spans="1:6" x14ac:dyDescent="0.35">
      <c r="A63" s="179" t="s">
        <v>154</v>
      </c>
      <c r="B63" s="179"/>
      <c r="C63" s="179"/>
      <c r="D63" s="179"/>
      <c r="E63" s="179"/>
      <c r="F63" s="179"/>
    </row>
    <row r="64" spans="1:6" x14ac:dyDescent="0.35">
      <c r="A64" s="178" t="s">
        <v>165</v>
      </c>
      <c r="B64" s="178"/>
      <c r="C64" s="178"/>
      <c r="D64" s="178"/>
      <c r="E64" s="178"/>
      <c r="F64" s="178"/>
    </row>
    <row r="65" spans="1:6" x14ac:dyDescent="0.35">
      <c r="A65" s="178" t="s">
        <v>166</v>
      </c>
      <c r="B65" s="178"/>
      <c r="C65" s="178"/>
      <c r="D65" s="178"/>
      <c r="E65" s="178"/>
      <c r="F65" s="178"/>
    </row>
    <row r="66" spans="1:6" x14ac:dyDescent="0.35">
      <c r="A66" s="66"/>
      <c r="B66" s="66"/>
      <c r="C66" s="66"/>
      <c r="D66" s="67"/>
      <c r="E66" s="66"/>
      <c r="F66" s="66"/>
    </row>
    <row r="67" spans="1:6" x14ac:dyDescent="0.35">
      <c r="A67" s="179" t="s">
        <v>156</v>
      </c>
      <c r="B67" s="179"/>
      <c r="C67" s="179"/>
      <c r="D67" s="179"/>
      <c r="E67" s="179"/>
      <c r="F67" s="179"/>
    </row>
    <row r="68" spans="1:6" x14ac:dyDescent="0.35">
      <c r="A68" s="179"/>
      <c r="B68" s="179"/>
      <c r="C68" s="179"/>
      <c r="D68" s="179"/>
      <c r="E68" s="179"/>
      <c r="F68" s="179"/>
    </row>
    <row r="69" spans="1:6" x14ac:dyDescent="0.35">
      <c r="A69" s="65"/>
      <c r="B69" s="65"/>
      <c r="C69" s="65"/>
      <c r="D69" s="67"/>
      <c r="E69" s="65"/>
      <c r="F69" s="67"/>
    </row>
    <row r="70" spans="1:6" ht="32.25" customHeight="1" x14ac:dyDescent="0.35">
      <c r="A70" s="179" t="s">
        <v>167</v>
      </c>
      <c r="B70" s="179"/>
      <c r="C70" s="179"/>
      <c r="D70" s="179"/>
      <c r="E70" s="179"/>
      <c r="F70" s="179"/>
    </row>
    <row r="71" spans="1:6" x14ac:dyDescent="0.35">
      <c r="A71" s="66"/>
      <c r="B71" s="66"/>
      <c r="C71" s="66"/>
      <c r="D71" s="66"/>
      <c r="E71" s="66"/>
      <c r="F71" s="66"/>
    </row>
    <row r="72" spans="1:6" x14ac:dyDescent="0.35">
      <c r="A72" s="176" t="s">
        <v>168</v>
      </c>
      <c r="B72" s="176"/>
      <c r="C72" s="176"/>
      <c r="D72" s="176"/>
      <c r="E72" s="176"/>
      <c r="F72" s="176"/>
    </row>
    <row r="73" spans="1:6" x14ac:dyDescent="0.35">
      <c r="A73" s="71"/>
      <c r="B73" s="66"/>
      <c r="C73" s="71"/>
      <c r="D73" s="67"/>
      <c r="E73" s="72"/>
      <c r="F73" s="72"/>
    </row>
    <row r="74" spans="1:6" x14ac:dyDescent="0.35">
      <c r="A74" s="180" t="s">
        <v>146</v>
      </c>
      <c r="B74" s="180"/>
      <c r="C74" s="71"/>
      <c r="D74" s="67"/>
      <c r="E74" s="72"/>
      <c r="F74" s="72"/>
    </row>
    <row r="75" spans="1:6" x14ac:dyDescent="0.35">
      <c r="A75" s="71"/>
      <c r="B75" s="66"/>
      <c r="C75" s="71"/>
      <c r="D75" s="67"/>
      <c r="E75" s="72"/>
      <c r="F75" s="72"/>
    </row>
    <row r="76" spans="1:6" x14ac:dyDescent="0.35">
      <c r="A76" s="179" t="s">
        <v>169</v>
      </c>
      <c r="B76" s="179"/>
      <c r="C76" s="179"/>
      <c r="D76" s="179"/>
      <c r="E76" s="179"/>
      <c r="F76" s="179"/>
    </row>
    <row r="77" spans="1:6" x14ac:dyDescent="0.35">
      <c r="A77" s="179"/>
      <c r="B77" s="179"/>
      <c r="C77" s="179"/>
      <c r="D77" s="179"/>
      <c r="E77" s="179"/>
      <c r="F77" s="179"/>
    </row>
    <row r="78" spans="1:6" x14ac:dyDescent="0.35">
      <c r="A78" s="71"/>
      <c r="B78" s="71"/>
      <c r="C78" s="71"/>
      <c r="D78" s="71"/>
      <c r="E78" s="72"/>
      <c r="F78" s="72"/>
    </row>
    <row r="79" spans="1:6" x14ac:dyDescent="0.35">
      <c r="A79" s="179" t="s">
        <v>170</v>
      </c>
      <c r="B79" s="179"/>
      <c r="C79" s="179"/>
      <c r="D79" s="179"/>
      <c r="E79" s="179"/>
      <c r="F79" s="179"/>
    </row>
    <row r="80" spans="1:6" x14ac:dyDescent="0.35">
      <c r="A80" s="179"/>
      <c r="B80" s="179"/>
      <c r="C80" s="179"/>
      <c r="D80" s="179"/>
      <c r="E80" s="179"/>
      <c r="F80" s="179"/>
    </row>
    <row r="81" spans="1:6" x14ac:dyDescent="0.35">
      <c r="A81" s="179"/>
      <c r="B81" s="179"/>
      <c r="C81" s="179"/>
      <c r="D81" s="179"/>
      <c r="E81" s="179"/>
      <c r="F81" s="179"/>
    </row>
    <row r="82" spans="1:6" x14ac:dyDescent="0.35">
      <c r="A82" s="179"/>
      <c r="B82" s="179"/>
      <c r="C82" s="179"/>
      <c r="D82" s="179"/>
      <c r="E82" s="179"/>
      <c r="F82" s="179"/>
    </row>
    <row r="83" spans="1:6" x14ac:dyDescent="0.35">
      <c r="A83" s="71"/>
      <c r="B83" s="71"/>
      <c r="C83" s="71"/>
      <c r="D83" s="72"/>
      <c r="E83" s="72"/>
      <c r="F83" s="66"/>
    </row>
    <row r="84" spans="1:6" x14ac:dyDescent="0.35">
      <c r="A84" s="179" t="s">
        <v>171</v>
      </c>
      <c r="B84" s="179"/>
      <c r="C84" s="179"/>
      <c r="D84" s="179"/>
      <c r="E84" s="179"/>
      <c r="F84" s="179"/>
    </row>
    <row r="85" spans="1:6" x14ac:dyDescent="0.35">
      <c r="A85" s="179"/>
      <c r="B85" s="179"/>
      <c r="C85" s="179"/>
      <c r="D85" s="179"/>
      <c r="E85" s="179"/>
      <c r="F85" s="179"/>
    </row>
    <row r="86" spans="1:6" x14ac:dyDescent="0.35">
      <c r="A86" s="71"/>
      <c r="B86" s="71"/>
      <c r="C86" s="71"/>
      <c r="D86" s="72"/>
      <c r="E86" s="72"/>
      <c r="F86" s="66"/>
    </row>
    <row r="87" spans="1:6" x14ac:dyDescent="0.35">
      <c r="A87" s="179" t="s">
        <v>172</v>
      </c>
      <c r="B87" s="179"/>
      <c r="C87" s="179"/>
      <c r="D87" s="179"/>
      <c r="E87" s="179"/>
      <c r="F87" s="179"/>
    </row>
    <row r="88" spans="1:6" x14ac:dyDescent="0.35">
      <c r="A88" s="179"/>
      <c r="B88" s="179"/>
      <c r="C88" s="179"/>
      <c r="D88" s="179"/>
      <c r="E88" s="179"/>
      <c r="F88" s="179"/>
    </row>
    <row r="89" spans="1:6" x14ac:dyDescent="0.35">
      <c r="A89" s="71"/>
      <c r="B89" s="71"/>
      <c r="C89" s="71"/>
      <c r="D89" s="72"/>
      <c r="E89" s="72"/>
      <c r="F89" s="66"/>
    </row>
    <row r="90" spans="1:6" x14ac:dyDescent="0.35">
      <c r="A90" s="179" t="s">
        <v>173</v>
      </c>
      <c r="B90" s="179"/>
      <c r="C90" s="179"/>
      <c r="D90" s="179"/>
      <c r="E90" s="179"/>
      <c r="F90" s="179"/>
    </row>
    <row r="91" spans="1:6" x14ac:dyDescent="0.35">
      <c r="A91" s="179"/>
      <c r="B91" s="179"/>
      <c r="C91" s="179"/>
      <c r="D91" s="179"/>
      <c r="E91" s="179"/>
      <c r="F91" s="179"/>
    </row>
    <row r="92" spans="1:6" ht="24.75" customHeight="1" x14ac:dyDescent="0.35">
      <c r="A92" s="179"/>
      <c r="B92" s="179"/>
      <c r="C92" s="179"/>
      <c r="D92" s="179"/>
      <c r="E92" s="179"/>
      <c r="F92" s="179"/>
    </row>
    <row r="93" spans="1:6" x14ac:dyDescent="0.35">
      <c r="A93" s="71"/>
      <c r="B93" s="71"/>
      <c r="C93" s="71"/>
      <c r="D93" s="72"/>
      <c r="E93" s="72"/>
      <c r="F93" s="66"/>
    </row>
    <row r="94" spans="1:6" ht="15" customHeight="1" x14ac:dyDescent="0.35">
      <c r="A94" s="179" t="s">
        <v>174</v>
      </c>
      <c r="B94" s="179"/>
      <c r="C94" s="179"/>
      <c r="D94" s="179"/>
      <c r="E94" s="179"/>
      <c r="F94" s="179"/>
    </row>
    <row r="95" spans="1:6" ht="22.5" customHeight="1" x14ac:dyDescent="0.35">
      <c r="A95" s="179"/>
      <c r="B95" s="179"/>
      <c r="C95" s="179"/>
      <c r="D95" s="179"/>
      <c r="E95" s="179"/>
      <c r="F95" s="179"/>
    </row>
    <row r="96" spans="1:6" x14ac:dyDescent="0.35">
      <c r="A96" s="71"/>
      <c r="B96" s="71"/>
      <c r="C96" s="71"/>
      <c r="D96" s="72"/>
      <c r="E96" s="72"/>
      <c r="F96" s="66"/>
    </row>
    <row r="97" spans="1:6" ht="15" customHeight="1" x14ac:dyDescent="0.35">
      <c r="A97" s="179" t="s">
        <v>175</v>
      </c>
      <c r="B97" s="179"/>
      <c r="C97" s="179"/>
      <c r="D97" s="179"/>
      <c r="E97" s="179"/>
      <c r="F97" s="179"/>
    </row>
    <row r="98" spans="1:6" x14ac:dyDescent="0.35">
      <c r="A98" s="179"/>
      <c r="B98" s="179"/>
      <c r="C98" s="179"/>
      <c r="D98" s="179"/>
      <c r="E98" s="179"/>
      <c r="F98" s="179"/>
    </row>
    <row r="99" spans="1:6" x14ac:dyDescent="0.35">
      <c r="A99" s="179"/>
      <c r="B99" s="179"/>
      <c r="C99" s="179"/>
      <c r="D99" s="179"/>
      <c r="E99" s="179"/>
      <c r="F99" s="179"/>
    </row>
    <row r="100" spans="1:6" x14ac:dyDescent="0.35">
      <c r="A100" s="71"/>
      <c r="B100" s="71"/>
      <c r="C100" s="71"/>
      <c r="D100" s="72"/>
      <c r="E100" s="72"/>
      <c r="F100" s="66"/>
    </row>
    <row r="101" spans="1:6" ht="15" customHeight="1" x14ac:dyDescent="0.35">
      <c r="A101" s="179" t="s">
        <v>176</v>
      </c>
      <c r="B101" s="179"/>
      <c r="C101" s="179"/>
      <c r="D101" s="179"/>
      <c r="E101" s="179"/>
      <c r="F101" s="179"/>
    </row>
    <row r="102" spans="1:6" x14ac:dyDescent="0.35">
      <c r="A102" s="179"/>
      <c r="B102" s="179"/>
      <c r="C102" s="179"/>
      <c r="D102" s="179"/>
      <c r="E102" s="179"/>
      <c r="F102" s="179"/>
    </row>
    <row r="103" spans="1:6" x14ac:dyDescent="0.35">
      <c r="A103" s="71"/>
      <c r="B103" s="71"/>
      <c r="C103" s="71"/>
      <c r="D103" s="72"/>
      <c r="E103" s="72"/>
      <c r="F103" s="66"/>
    </row>
    <row r="104" spans="1:6" ht="15" customHeight="1" x14ac:dyDescent="0.35">
      <c r="A104" s="179" t="s">
        <v>177</v>
      </c>
      <c r="B104" s="179"/>
      <c r="C104" s="179"/>
      <c r="D104" s="179"/>
      <c r="E104" s="179"/>
      <c r="F104" s="179"/>
    </row>
    <row r="105" spans="1:6" x14ac:dyDescent="0.35">
      <c r="A105" s="179"/>
      <c r="B105" s="179"/>
      <c r="C105" s="179"/>
      <c r="D105" s="179"/>
      <c r="E105" s="179"/>
      <c r="F105" s="179"/>
    </row>
    <row r="106" spans="1:6" x14ac:dyDescent="0.35">
      <c r="A106" s="71"/>
      <c r="B106" s="71"/>
      <c r="C106" s="71"/>
      <c r="D106" s="72"/>
      <c r="E106" s="72"/>
      <c r="F106" s="66"/>
    </row>
    <row r="107" spans="1:6" ht="15" customHeight="1" x14ac:dyDescent="0.35">
      <c r="A107" s="179" t="s">
        <v>178</v>
      </c>
      <c r="B107" s="179"/>
      <c r="C107" s="179"/>
      <c r="D107" s="179"/>
      <c r="E107" s="179"/>
      <c r="F107" s="179"/>
    </row>
    <row r="108" spans="1:6" x14ac:dyDescent="0.35">
      <c r="A108" s="179"/>
      <c r="B108" s="179"/>
      <c r="C108" s="179"/>
      <c r="D108" s="179"/>
      <c r="E108" s="179"/>
      <c r="F108" s="179"/>
    </row>
    <row r="109" spans="1:6" x14ac:dyDescent="0.35">
      <c r="A109" s="71"/>
      <c r="B109" s="71"/>
      <c r="C109" s="71"/>
      <c r="D109" s="72"/>
      <c r="E109" s="72"/>
      <c r="F109" s="66"/>
    </row>
    <row r="110" spans="1:6" ht="15" customHeight="1" x14ac:dyDescent="0.35">
      <c r="A110" s="179" t="s">
        <v>179</v>
      </c>
      <c r="B110" s="179"/>
      <c r="C110" s="179"/>
      <c r="D110" s="179"/>
      <c r="E110" s="179"/>
      <c r="F110" s="179"/>
    </row>
    <row r="111" spans="1:6" x14ac:dyDescent="0.35">
      <c r="A111" s="71"/>
      <c r="B111" s="71"/>
      <c r="C111" s="71"/>
      <c r="D111" s="72"/>
      <c r="E111" s="72"/>
      <c r="F111" s="66"/>
    </row>
    <row r="112" spans="1:6" ht="15" customHeight="1" x14ac:dyDescent="0.35">
      <c r="A112" s="179" t="s">
        <v>180</v>
      </c>
      <c r="B112" s="179"/>
      <c r="C112" s="179"/>
      <c r="D112" s="179"/>
      <c r="E112" s="179"/>
      <c r="F112" s="179"/>
    </row>
    <row r="113" spans="1:6" x14ac:dyDescent="0.35">
      <c r="A113" s="179"/>
      <c r="B113" s="179"/>
      <c r="C113" s="179"/>
      <c r="D113" s="179"/>
      <c r="E113" s="179"/>
      <c r="F113" s="179"/>
    </row>
    <row r="114" spans="1:6" x14ac:dyDescent="0.35">
      <c r="A114" s="71"/>
      <c r="B114" s="71"/>
      <c r="C114" s="71"/>
      <c r="D114" s="72"/>
      <c r="E114" s="72"/>
      <c r="F114" s="66"/>
    </row>
    <row r="115" spans="1:6" x14ac:dyDescent="0.35">
      <c r="A115" s="73" t="s">
        <v>181</v>
      </c>
      <c r="B115" s="71"/>
      <c r="C115" s="71"/>
      <c r="D115" s="72"/>
      <c r="E115" s="72"/>
      <c r="F115" s="66"/>
    </row>
    <row r="116" spans="1:6" x14ac:dyDescent="0.35">
      <c r="A116" s="71"/>
      <c r="B116" s="71"/>
      <c r="C116" s="71"/>
      <c r="D116" s="72"/>
      <c r="E116" s="72"/>
      <c r="F116" s="66"/>
    </row>
    <row r="117" spans="1:6" ht="15" customHeight="1" x14ac:dyDescent="0.35">
      <c r="A117" s="179" t="s">
        <v>182</v>
      </c>
      <c r="B117" s="179"/>
      <c r="C117" s="179"/>
      <c r="D117" s="179"/>
      <c r="E117" s="179"/>
      <c r="F117" s="179"/>
    </row>
    <row r="118" spans="1:6" ht="26.25" customHeight="1" x14ac:dyDescent="0.35">
      <c r="A118" s="179"/>
      <c r="B118" s="179"/>
      <c r="C118" s="179"/>
      <c r="D118" s="179"/>
      <c r="E118" s="179"/>
      <c r="F118" s="179"/>
    </row>
    <row r="119" spans="1:6" x14ac:dyDescent="0.35">
      <c r="A119" s="71"/>
      <c r="B119" s="71"/>
      <c r="C119" s="71"/>
      <c r="D119" s="72"/>
      <c r="E119" s="72"/>
      <c r="F119" s="71"/>
    </row>
    <row r="120" spans="1:6" ht="15" customHeight="1" x14ac:dyDescent="0.35">
      <c r="A120" s="179" t="s">
        <v>183</v>
      </c>
      <c r="B120" s="179"/>
      <c r="C120" s="179"/>
      <c r="D120" s="179"/>
      <c r="E120" s="179"/>
      <c r="F120" s="179"/>
    </row>
    <row r="121" spans="1:6" x14ac:dyDescent="0.35">
      <c r="A121" s="71"/>
      <c r="B121" s="71"/>
      <c r="C121" s="71"/>
      <c r="D121" s="72"/>
      <c r="E121" s="72"/>
      <c r="F121" s="66"/>
    </row>
    <row r="122" spans="1:6" ht="15" customHeight="1" x14ac:dyDescent="0.35">
      <c r="A122" s="179" t="s">
        <v>184</v>
      </c>
      <c r="B122" s="179"/>
      <c r="C122" s="179"/>
      <c r="D122" s="179"/>
      <c r="E122" s="179"/>
      <c r="F122" s="66"/>
    </row>
    <row r="123" spans="1:6" x14ac:dyDescent="0.35">
      <c r="A123" s="71"/>
      <c r="B123" s="71"/>
      <c r="C123" s="71"/>
      <c r="D123" s="72"/>
      <c r="E123" s="72"/>
      <c r="F123" s="66"/>
    </row>
    <row r="124" spans="1:6" ht="15" customHeight="1" x14ac:dyDescent="0.35">
      <c r="A124" s="179" t="s">
        <v>185</v>
      </c>
      <c r="B124" s="179"/>
      <c r="C124" s="179"/>
      <c r="D124" s="179"/>
      <c r="E124" s="179"/>
      <c r="F124" s="179"/>
    </row>
    <row r="125" spans="1:6" x14ac:dyDescent="0.35">
      <c r="A125" s="179"/>
      <c r="B125" s="179"/>
      <c r="C125" s="179"/>
      <c r="D125" s="179"/>
      <c r="E125" s="179"/>
      <c r="F125" s="179"/>
    </row>
    <row r="126" spans="1:6" x14ac:dyDescent="0.35">
      <c r="A126" s="71"/>
      <c r="B126" s="71"/>
      <c r="C126" s="71"/>
      <c r="D126" s="72"/>
      <c r="E126" s="72"/>
      <c r="F126" s="66"/>
    </row>
    <row r="127" spans="1:6" ht="15" customHeight="1" x14ac:dyDescent="0.35">
      <c r="A127" s="179" t="s">
        <v>186</v>
      </c>
      <c r="B127" s="179"/>
      <c r="C127" s="179"/>
      <c r="D127" s="179"/>
      <c r="E127" s="179"/>
      <c r="F127" s="179"/>
    </row>
    <row r="128" spans="1:6" x14ac:dyDescent="0.35">
      <c r="A128" s="179"/>
      <c r="B128" s="179"/>
      <c r="C128" s="179"/>
      <c r="D128" s="179"/>
      <c r="E128" s="179"/>
      <c r="F128" s="179"/>
    </row>
    <row r="129" spans="1:6" x14ac:dyDescent="0.35">
      <c r="A129" s="71"/>
      <c r="B129" s="71"/>
      <c r="C129" s="71"/>
      <c r="D129" s="72"/>
      <c r="E129" s="72"/>
      <c r="F129" s="66"/>
    </row>
    <row r="130" spans="1:6" ht="15" customHeight="1" x14ac:dyDescent="0.35">
      <c r="A130" s="179" t="s">
        <v>187</v>
      </c>
      <c r="B130" s="179"/>
      <c r="C130" s="179"/>
      <c r="D130" s="179"/>
      <c r="E130" s="179"/>
      <c r="F130" s="179"/>
    </row>
    <row r="131" spans="1:6" x14ac:dyDescent="0.35">
      <c r="A131" s="179"/>
      <c r="B131" s="179"/>
      <c r="C131" s="179"/>
      <c r="D131" s="179"/>
      <c r="E131" s="179"/>
      <c r="F131" s="179"/>
    </row>
    <row r="132" spans="1:6" x14ac:dyDescent="0.35">
      <c r="A132" s="71"/>
      <c r="B132" s="71"/>
      <c r="C132" s="71"/>
      <c r="D132" s="72"/>
      <c r="E132" s="72"/>
      <c r="F132" s="66"/>
    </row>
    <row r="133" spans="1:6" ht="15" customHeight="1" x14ac:dyDescent="0.35">
      <c r="A133" s="178" t="s">
        <v>188</v>
      </c>
      <c r="B133" s="178"/>
      <c r="C133" s="178"/>
      <c r="D133" s="178"/>
      <c r="E133" s="178"/>
      <c r="F133" s="178"/>
    </row>
    <row r="134" spans="1:6" x14ac:dyDescent="0.35">
      <c r="A134" s="66"/>
      <c r="B134" s="66"/>
      <c r="C134" s="66"/>
      <c r="D134" s="67"/>
      <c r="E134" s="67"/>
      <c r="F134" s="66"/>
    </row>
    <row r="135" spans="1:6" ht="15" customHeight="1" x14ac:dyDescent="0.35">
      <c r="A135" s="178" t="s">
        <v>189</v>
      </c>
      <c r="B135" s="178"/>
      <c r="C135" s="178"/>
      <c r="D135" s="178"/>
      <c r="E135" s="178"/>
      <c r="F135" s="178"/>
    </row>
    <row r="136" spans="1:6" ht="15" customHeight="1" x14ac:dyDescent="0.35">
      <c r="A136" s="178" t="s">
        <v>190</v>
      </c>
      <c r="B136" s="178"/>
      <c r="C136" s="178"/>
      <c r="D136" s="178"/>
      <c r="E136" s="178"/>
      <c r="F136" s="178"/>
    </row>
    <row r="137" spans="1:6" ht="15" customHeight="1" x14ac:dyDescent="0.35">
      <c r="A137" s="178" t="s">
        <v>191</v>
      </c>
      <c r="B137" s="178"/>
      <c r="C137" s="178"/>
      <c r="D137" s="178"/>
      <c r="E137" s="178"/>
      <c r="F137" s="178"/>
    </row>
    <row r="138" spans="1:6" ht="15" customHeight="1" x14ac:dyDescent="0.35">
      <c r="A138" s="178" t="s">
        <v>192</v>
      </c>
      <c r="B138" s="178"/>
      <c r="C138" s="178"/>
      <c r="D138" s="178"/>
      <c r="E138" s="178"/>
      <c r="F138" s="178"/>
    </row>
    <row r="139" spans="1:6" ht="15" customHeight="1" x14ac:dyDescent="0.35">
      <c r="A139" s="178" t="s">
        <v>193</v>
      </c>
      <c r="B139" s="178"/>
      <c r="C139" s="178"/>
      <c r="D139" s="178"/>
      <c r="E139" s="178"/>
      <c r="F139" s="178"/>
    </row>
    <row r="140" spans="1:6" ht="15" customHeight="1" x14ac:dyDescent="0.35">
      <c r="A140" s="178" t="s">
        <v>194</v>
      </c>
      <c r="B140" s="178"/>
      <c r="C140" s="178"/>
      <c r="D140" s="178"/>
      <c r="E140" s="178"/>
      <c r="F140" s="178"/>
    </row>
    <row r="141" spans="1:6" ht="15" customHeight="1" x14ac:dyDescent="0.35">
      <c r="A141" s="178" t="s">
        <v>195</v>
      </c>
      <c r="B141" s="178"/>
      <c r="C141" s="178"/>
      <c r="D141" s="178"/>
      <c r="E141" s="178"/>
      <c r="F141" s="178"/>
    </row>
    <row r="142" spans="1:6" ht="15" customHeight="1" x14ac:dyDescent="0.35">
      <c r="A142" s="181" t="s">
        <v>196</v>
      </c>
      <c r="B142" s="181"/>
      <c r="C142" s="181"/>
      <c r="D142" s="181"/>
      <c r="E142" s="181"/>
      <c r="F142" s="181"/>
    </row>
    <row r="143" spans="1:6" x14ac:dyDescent="0.35">
      <c r="A143" s="71"/>
      <c r="B143" s="71"/>
      <c r="C143" s="71"/>
      <c r="D143" s="72"/>
      <c r="E143" s="72"/>
      <c r="F143" s="66"/>
    </row>
    <row r="144" spans="1:6" x14ac:dyDescent="0.35">
      <c r="A144" s="180" t="s">
        <v>197</v>
      </c>
      <c r="B144" s="180"/>
      <c r="C144" s="71"/>
      <c r="D144" s="72"/>
      <c r="E144" s="72"/>
      <c r="F144" s="66"/>
    </row>
    <row r="145" spans="1:6" x14ac:dyDescent="0.35">
      <c r="A145" s="71"/>
      <c r="B145" s="71"/>
      <c r="C145" s="71"/>
      <c r="D145" s="72"/>
      <c r="E145" s="72"/>
      <c r="F145" s="66"/>
    </row>
    <row r="146" spans="1:6" ht="15" customHeight="1" x14ac:dyDescent="0.35">
      <c r="A146" s="179" t="s">
        <v>198</v>
      </c>
      <c r="B146" s="179"/>
      <c r="C146" s="179"/>
      <c r="D146" s="179"/>
      <c r="E146" s="179"/>
      <c r="F146" s="179"/>
    </row>
    <row r="147" spans="1:6" ht="15" customHeight="1" x14ac:dyDescent="0.35">
      <c r="A147" s="179" t="s">
        <v>199</v>
      </c>
      <c r="B147" s="179"/>
      <c r="C147" s="179"/>
      <c r="D147" s="179"/>
      <c r="E147" s="179"/>
      <c r="F147" s="179"/>
    </row>
    <row r="148" spans="1:6" x14ac:dyDescent="0.35">
      <c r="A148" s="71"/>
      <c r="B148" s="71"/>
      <c r="C148" s="71"/>
      <c r="D148" s="72"/>
      <c r="E148" s="72"/>
      <c r="F148" s="66"/>
    </row>
    <row r="149" spans="1:6" ht="15" customHeight="1" x14ac:dyDescent="0.35">
      <c r="A149" s="179" t="s">
        <v>200</v>
      </c>
      <c r="B149" s="179"/>
      <c r="C149" s="179"/>
      <c r="D149" s="179"/>
      <c r="E149" s="179"/>
      <c r="F149" s="179"/>
    </row>
    <row r="150" spans="1:6" x14ac:dyDescent="0.35">
      <c r="A150" s="179"/>
      <c r="B150" s="179"/>
      <c r="C150" s="179"/>
      <c r="D150" s="179"/>
      <c r="E150" s="179"/>
      <c r="F150" s="179"/>
    </row>
    <row r="151" spans="1:6" x14ac:dyDescent="0.35">
      <c r="A151" s="66"/>
      <c r="B151" s="66"/>
      <c r="C151" s="66"/>
      <c r="D151" s="67"/>
      <c r="E151" s="67"/>
      <c r="F151" s="66"/>
    </row>
    <row r="152" spans="1:6" ht="15" customHeight="1" x14ac:dyDescent="0.35">
      <c r="A152" s="178" t="s">
        <v>201</v>
      </c>
      <c r="B152" s="178"/>
      <c r="C152" s="178"/>
      <c r="D152" s="178"/>
      <c r="E152" s="178"/>
      <c r="F152" s="178"/>
    </row>
    <row r="153" spans="1:6" ht="15" customHeight="1" x14ac:dyDescent="0.35">
      <c r="A153" s="178" t="s">
        <v>202</v>
      </c>
      <c r="B153" s="178"/>
      <c r="C153" s="178"/>
      <c r="D153" s="178"/>
      <c r="E153" s="178"/>
      <c r="F153" s="178"/>
    </row>
    <row r="154" spans="1:6" ht="15" customHeight="1" x14ac:dyDescent="0.35">
      <c r="A154" s="178" t="s">
        <v>203</v>
      </c>
      <c r="B154" s="178"/>
      <c r="C154" s="178"/>
      <c r="D154" s="178"/>
      <c r="E154" s="178"/>
      <c r="F154" s="178"/>
    </row>
    <row r="155" spans="1:6" ht="15" customHeight="1" x14ac:dyDescent="0.35">
      <c r="A155" s="179" t="s">
        <v>204</v>
      </c>
      <c r="B155" s="179"/>
      <c r="C155" s="179"/>
      <c r="D155" s="179"/>
      <c r="E155" s="179"/>
      <c r="F155" s="179"/>
    </row>
    <row r="156" spans="1:6" x14ac:dyDescent="0.35">
      <c r="A156" s="179"/>
      <c r="B156" s="179"/>
      <c r="C156" s="179"/>
      <c r="D156" s="179"/>
      <c r="E156" s="179"/>
      <c r="F156" s="179"/>
    </row>
    <row r="157" spans="1:6" ht="15" customHeight="1" x14ac:dyDescent="0.35">
      <c r="A157" s="178" t="s">
        <v>192</v>
      </c>
      <c r="B157" s="178"/>
      <c r="C157" s="178"/>
      <c r="D157" s="178"/>
      <c r="E157" s="178"/>
      <c r="F157" s="178"/>
    </row>
    <row r="158" spans="1:6" ht="15" customHeight="1" x14ac:dyDescent="0.35">
      <c r="A158" s="178" t="s">
        <v>205</v>
      </c>
      <c r="B158" s="178"/>
      <c r="C158" s="178"/>
      <c r="D158" s="178"/>
      <c r="E158" s="178"/>
      <c r="F158" s="178"/>
    </row>
    <row r="159" spans="1:6" ht="15" customHeight="1" x14ac:dyDescent="0.35">
      <c r="A159" s="178" t="s">
        <v>206</v>
      </c>
      <c r="B159" s="178"/>
      <c r="C159" s="178"/>
      <c r="D159" s="178"/>
      <c r="E159" s="178"/>
      <c r="F159" s="178"/>
    </row>
    <row r="160" spans="1:6" x14ac:dyDescent="0.35">
      <c r="A160" s="66"/>
      <c r="B160" s="66"/>
      <c r="C160" s="66"/>
      <c r="D160" s="67"/>
      <c r="E160" s="67"/>
      <c r="F160" s="66"/>
    </row>
    <row r="161" spans="1:6" x14ac:dyDescent="0.35">
      <c r="A161" s="63" t="s">
        <v>207</v>
      </c>
      <c r="B161" s="66"/>
      <c r="C161" s="66"/>
      <c r="D161" s="67"/>
      <c r="E161" s="67"/>
      <c r="F161" s="66"/>
    </row>
    <row r="162" spans="1:6" x14ac:dyDescent="0.35">
      <c r="A162" s="66"/>
      <c r="B162" s="66"/>
      <c r="C162" s="66"/>
      <c r="D162" s="67"/>
      <c r="E162" s="67"/>
      <c r="F162" s="66"/>
    </row>
    <row r="163" spans="1:6" ht="15" customHeight="1" x14ac:dyDescent="0.35">
      <c r="A163" s="179" t="s">
        <v>208</v>
      </c>
      <c r="B163" s="179"/>
      <c r="C163" s="179"/>
      <c r="D163" s="179"/>
      <c r="E163" s="179"/>
      <c r="F163" s="179"/>
    </row>
    <row r="164" spans="1:6" x14ac:dyDescent="0.35">
      <c r="A164" s="179"/>
      <c r="B164" s="179"/>
      <c r="C164" s="179"/>
      <c r="D164" s="179"/>
      <c r="E164" s="179"/>
      <c r="F164" s="179"/>
    </row>
    <row r="165" spans="1:6" x14ac:dyDescent="0.35">
      <c r="A165" s="66"/>
      <c r="B165" s="66"/>
      <c r="C165" s="66"/>
      <c r="D165" s="67"/>
      <c r="E165" s="67"/>
      <c r="F165" s="66"/>
    </row>
    <row r="166" spans="1:6" ht="15" customHeight="1" x14ac:dyDescent="0.35">
      <c r="A166" s="179" t="s">
        <v>209</v>
      </c>
      <c r="B166" s="179"/>
      <c r="C166" s="179"/>
      <c r="D166" s="179"/>
      <c r="E166" s="179"/>
      <c r="F166" s="179"/>
    </row>
    <row r="167" spans="1:6" x14ac:dyDescent="0.35">
      <c r="A167" s="179"/>
      <c r="B167" s="179"/>
      <c r="C167" s="179"/>
      <c r="D167" s="179"/>
      <c r="E167" s="179"/>
      <c r="F167" s="179"/>
    </row>
    <row r="168" spans="1:6" x14ac:dyDescent="0.35">
      <c r="A168" s="66"/>
      <c r="B168" s="66"/>
      <c r="C168" s="66"/>
      <c r="D168" s="67"/>
      <c r="E168" s="67"/>
      <c r="F168" s="66"/>
    </row>
    <row r="169" spans="1:6" ht="15" customHeight="1" x14ac:dyDescent="0.35">
      <c r="A169" s="178" t="s">
        <v>210</v>
      </c>
      <c r="B169" s="178"/>
      <c r="C169" s="178"/>
      <c r="D169" s="178"/>
      <c r="E169" s="178"/>
      <c r="F169" s="178"/>
    </row>
    <row r="170" spans="1:6" x14ac:dyDescent="0.35">
      <c r="A170" s="66"/>
      <c r="B170" s="66"/>
      <c r="C170" s="66"/>
      <c r="D170" s="67"/>
      <c r="E170" s="67"/>
      <c r="F170" s="66"/>
    </row>
    <row r="171" spans="1:6" ht="27.75" customHeight="1" x14ac:dyDescent="0.35">
      <c r="A171" s="179" t="s">
        <v>211</v>
      </c>
      <c r="B171" s="179"/>
      <c r="C171" s="179"/>
      <c r="D171" s="179"/>
      <c r="E171" s="179"/>
      <c r="F171" s="179"/>
    </row>
    <row r="172" spans="1:6" x14ac:dyDescent="0.35">
      <c r="A172" s="66"/>
      <c r="B172" s="66"/>
      <c r="C172" s="66"/>
      <c r="D172" s="67"/>
      <c r="E172" s="67"/>
      <c r="F172" s="66"/>
    </row>
    <row r="173" spans="1:6" ht="15" customHeight="1" x14ac:dyDescent="0.35">
      <c r="A173" s="178" t="s">
        <v>212</v>
      </c>
      <c r="B173" s="178"/>
      <c r="C173" s="178"/>
      <c r="D173" s="178"/>
      <c r="E173" s="178"/>
      <c r="F173" s="178"/>
    </row>
    <row r="174" spans="1:6" x14ac:dyDescent="0.35">
      <c r="A174" s="66"/>
      <c r="B174" s="66"/>
      <c r="C174" s="66"/>
      <c r="D174" s="67"/>
      <c r="E174" s="67"/>
      <c r="F174" s="66"/>
    </row>
    <row r="175" spans="1:6" ht="15" customHeight="1" x14ac:dyDescent="0.35">
      <c r="A175" s="178" t="s">
        <v>213</v>
      </c>
      <c r="B175" s="178"/>
      <c r="C175" s="178"/>
      <c r="D175" s="178"/>
      <c r="E175" s="178"/>
      <c r="F175" s="178"/>
    </row>
    <row r="176" spans="1:6" ht="15" customHeight="1" x14ac:dyDescent="0.35">
      <c r="A176" s="178" t="s">
        <v>214</v>
      </c>
      <c r="B176" s="178"/>
      <c r="C176" s="178"/>
      <c r="D176" s="178"/>
      <c r="E176" s="178"/>
      <c r="F176" s="178"/>
    </row>
    <row r="177" spans="1:6" ht="15" customHeight="1" x14ac:dyDescent="0.35">
      <c r="A177" s="178" t="s">
        <v>215</v>
      </c>
      <c r="B177" s="178"/>
      <c r="C177" s="178"/>
      <c r="D177" s="178"/>
      <c r="E177" s="178"/>
      <c r="F177" s="178"/>
    </row>
    <row r="178" spans="1:6" ht="15" customHeight="1" x14ac:dyDescent="0.35">
      <c r="A178" s="178" t="s">
        <v>216</v>
      </c>
      <c r="B178" s="178"/>
      <c r="C178" s="178"/>
      <c r="D178" s="178"/>
      <c r="E178" s="178"/>
      <c r="F178" s="178"/>
    </row>
    <row r="179" spans="1:6" ht="15" customHeight="1" x14ac:dyDescent="0.35">
      <c r="A179" s="178" t="s">
        <v>217</v>
      </c>
      <c r="B179" s="178"/>
      <c r="C179" s="178"/>
      <c r="D179" s="178"/>
      <c r="E179" s="178"/>
      <c r="F179" s="178"/>
    </row>
    <row r="180" spans="1:6" ht="15" customHeight="1" x14ac:dyDescent="0.35">
      <c r="A180" s="178" t="s">
        <v>218</v>
      </c>
      <c r="B180" s="178"/>
      <c r="C180" s="178"/>
      <c r="D180" s="178"/>
      <c r="E180" s="178"/>
      <c r="F180" s="178"/>
    </row>
    <row r="181" spans="1:6" ht="15" customHeight="1" x14ac:dyDescent="0.35">
      <c r="A181" s="178" t="s">
        <v>192</v>
      </c>
      <c r="B181" s="178"/>
      <c r="C181" s="178"/>
      <c r="D181" s="178"/>
      <c r="E181" s="178"/>
      <c r="F181" s="178"/>
    </row>
    <row r="182" spans="1:6" ht="15" customHeight="1" x14ac:dyDescent="0.35">
      <c r="A182" s="178" t="s">
        <v>219</v>
      </c>
      <c r="B182" s="178"/>
      <c r="C182" s="178"/>
      <c r="D182" s="178"/>
      <c r="E182" s="178"/>
      <c r="F182" s="178"/>
    </row>
    <row r="183" spans="1:6" ht="15" customHeight="1" x14ac:dyDescent="0.35">
      <c r="A183" s="179" t="s">
        <v>220</v>
      </c>
      <c r="B183" s="179"/>
      <c r="C183" s="179"/>
      <c r="D183" s="179"/>
      <c r="E183" s="179"/>
      <c r="F183" s="179"/>
    </row>
    <row r="184" spans="1:6" x14ac:dyDescent="0.35">
      <c r="A184" s="179"/>
      <c r="B184" s="179"/>
      <c r="C184" s="179"/>
      <c r="D184" s="179"/>
      <c r="E184" s="179"/>
      <c r="F184" s="179"/>
    </row>
    <row r="185" spans="1:6" ht="15" customHeight="1" x14ac:dyDescent="0.35">
      <c r="A185" s="178" t="s">
        <v>221</v>
      </c>
      <c r="B185" s="178"/>
      <c r="C185" s="178"/>
      <c r="D185" s="178"/>
      <c r="E185" s="178"/>
      <c r="F185" s="178"/>
    </row>
    <row r="186" spans="1:6" ht="15" customHeight="1" x14ac:dyDescent="0.35">
      <c r="A186" s="178" t="s">
        <v>222</v>
      </c>
      <c r="B186" s="178"/>
      <c r="C186" s="178"/>
      <c r="D186" s="178"/>
      <c r="E186" s="178"/>
      <c r="F186" s="178"/>
    </row>
    <row r="187" spans="1:6" x14ac:dyDescent="0.35">
      <c r="A187" s="66"/>
      <c r="B187" s="66"/>
      <c r="C187" s="66"/>
      <c r="D187" s="66"/>
      <c r="E187" s="66"/>
      <c r="F187" s="66"/>
    </row>
    <row r="188" spans="1:6" ht="15" customHeight="1" x14ac:dyDescent="0.35">
      <c r="A188" s="182" t="s">
        <v>223</v>
      </c>
      <c r="B188" s="182"/>
      <c r="C188" s="182"/>
      <c r="D188" s="182"/>
      <c r="E188" s="182"/>
      <c r="F188" s="182"/>
    </row>
    <row r="189" spans="1:6" x14ac:dyDescent="0.35">
      <c r="A189" s="66"/>
      <c r="B189" s="71"/>
      <c r="C189" s="66"/>
      <c r="D189" s="65"/>
      <c r="E189" s="67"/>
      <c r="F189" s="67"/>
    </row>
    <row r="190" spans="1:6" ht="24" customHeight="1" x14ac:dyDescent="0.35">
      <c r="A190" s="179" t="s">
        <v>224</v>
      </c>
      <c r="B190" s="179"/>
      <c r="C190" s="179"/>
      <c r="D190" s="179"/>
      <c r="E190" s="179"/>
      <c r="F190" s="179"/>
    </row>
    <row r="191" spans="1:6" x14ac:dyDescent="0.35">
      <c r="A191" s="71"/>
      <c r="B191" s="66"/>
      <c r="C191" s="66"/>
      <c r="D191" s="65"/>
      <c r="E191" s="67"/>
      <c r="F191" s="67"/>
    </row>
    <row r="192" spans="1:6" ht="28.5" customHeight="1" x14ac:dyDescent="0.35">
      <c r="A192" s="179" t="s">
        <v>225</v>
      </c>
      <c r="B192" s="179"/>
      <c r="C192" s="179"/>
      <c r="D192" s="179"/>
      <c r="E192" s="179"/>
      <c r="F192" s="179"/>
    </row>
    <row r="193" spans="1:6" ht="27.75" customHeight="1" x14ac:dyDescent="0.35">
      <c r="A193" s="179" t="s">
        <v>226</v>
      </c>
      <c r="B193" s="179"/>
      <c r="C193" s="179"/>
      <c r="D193" s="179"/>
      <c r="E193" s="179"/>
      <c r="F193" s="179"/>
    </row>
    <row r="194" spans="1:6" x14ac:dyDescent="0.35">
      <c r="A194" s="71"/>
      <c r="B194" s="66"/>
      <c r="C194" s="66"/>
      <c r="D194" s="65"/>
      <c r="E194" s="67"/>
      <c r="F194" s="67"/>
    </row>
    <row r="195" spans="1:6" ht="39" customHeight="1" x14ac:dyDescent="0.35">
      <c r="A195" s="178" t="s">
        <v>227</v>
      </c>
      <c r="B195" s="178"/>
      <c r="C195" s="178"/>
      <c r="D195" s="178"/>
      <c r="E195" s="178"/>
      <c r="F195" s="178"/>
    </row>
    <row r="196" spans="1:6" ht="15" customHeight="1" x14ac:dyDescent="0.35">
      <c r="A196" s="179" t="s">
        <v>228</v>
      </c>
      <c r="B196" s="179"/>
      <c r="C196" s="179"/>
      <c r="D196" s="179"/>
      <c r="E196" s="179"/>
      <c r="F196" s="179"/>
    </row>
    <row r="197" spans="1:6" ht="30.75" customHeight="1" x14ac:dyDescent="0.35">
      <c r="A197" s="179" t="s">
        <v>229</v>
      </c>
      <c r="B197" s="179"/>
      <c r="C197" s="179"/>
      <c r="D197" s="179"/>
      <c r="E197" s="179"/>
      <c r="F197" s="179"/>
    </row>
    <row r="198" spans="1:6" x14ac:dyDescent="0.35">
      <c r="A198" s="71"/>
      <c r="B198" s="66"/>
      <c r="C198" s="66"/>
      <c r="D198" s="65"/>
      <c r="E198" s="67"/>
      <c r="F198" s="67"/>
    </row>
    <row r="199" spans="1:6" ht="30" customHeight="1" x14ac:dyDescent="0.35">
      <c r="A199" s="179" t="s">
        <v>230</v>
      </c>
      <c r="B199" s="179"/>
      <c r="C199" s="179"/>
      <c r="D199" s="179"/>
      <c r="E199" s="179"/>
      <c r="F199" s="179"/>
    </row>
    <row r="200" spans="1:6" ht="26.25" customHeight="1" x14ac:dyDescent="0.35">
      <c r="A200" s="179" t="s">
        <v>231</v>
      </c>
      <c r="B200" s="179"/>
      <c r="C200" s="179"/>
      <c r="D200" s="179"/>
      <c r="E200" s="179"/>
      <c r="F200" s="179"/>
    </row>
    <row r="201" spans="1:6" x14ac:dyDescent="0.35">
      <c r="A201" s="71"/>
      <c r="B201" s="66"/>
      <c r="C201" s="66"/>
      <c r="D201" s="65"/>
      <c r="E201" s="67"/>
      <c r="F201" s="67"/>
    </row>
    <row r="202" spans="1:6" ht="28.5" customHeight="1" x14ac:dyDescent="0.35">
      <c r="A202" s="179" t="s">
        <v>232</v>
      </c>
      <c r="B202" s="179"/>
      <c r="C202" s="179"/>
      <c r="D202" s="179"/>
      <c r="E202" s="179"/>
      <c r="F202" s="179"/>
    </row>
    <row r="203" spans="1:6" x14ac:dyDescent="0.35">
      <c r="A203" s="71"/>
      <c r="B203" s="66"/>
      <c r="C203" s="66"/>
      <c r="D203" s="65"/>
      <c r="E203" s="67"/>
      <c r="F203" s="67"/>
    </row>
    <row r="204" spans="1:6" ht="42" customHeight="1" x14ac:dyDescent="0.35">
      <c r="A204" s="180" t="s">
        <v>233</v>
      </c>
      <c r="B204" s="180"/>
      <c r="C204" s="180"/>
      <c r="D204" s="180"/>
      <c r="E204" s="180"/>
      <c r="F204" s="180"/>
    </row>
    <row r="205" spans="1:6" x14ac:dyDescent="0.35">
      <c r="A205" s="71"/>
      <c r="B205" s="66"/>
      <c r="C205" s="66"/>
      <c r="D205" s="65"/>
      <c r="E205" s="67"/>
      <c r="F205" s="67"/>
    </row>
    <row r="206" spans="1:6" ht="40.5" customHeight="1" x14ac:dyDescent="0.35">
      <c r="A206" s="179" t="s">
        <v>234</v>
      </c>
      <c r="B206" s="179"/>
      <c r="C206" s="179"/>
      <c r="D206" s="179"/>
      <c r="E206" s="179"/>
      <c r="F206" s="179"/>
    </row>
    <row r="207" spans="1:6" x14ac:dyDescent="0.35">
      <c r="A207" s="66"/>
      <c r="B207" s="66"/>
      <c r="C207" s="66"/>
      <c r="D207" s="66"/>
      <c r="E207" s="66"/>
      <c r="F207" s="66"/>
    </row>
    <row r="208" spans="1:6" ht="15" customHeight="1" x14ac:dyDescent="0.35">
      <c r="A208" s="182" t="s">
        <v>235</v>
      </c>
      <c r="B208" s="182"/>
      <c r="C208" s="182"/>
      <c r="D208" s="182"/>
      <c r="E208" s="182"/>
      <c r="F208" s="182"/>
    </row>
    <row r="209" spans="1:6" x14ac:dyDescent="0.35">
      <c r="A209" s="66"/>
      <c r="B209" s="66"/>
      <c r="C209" s="66"/>
      <c r="D209" s="66"/>
      <c r="E209" s="66"/>
      <c r="F209" s="66"/>
    </row>
    <row r="210" spans="1:6" ht="15" customHeight="1" x14ac:dyDescent="0.35">
      <c r="A210" s="182" t="s">
        <v>146</v>
      </c>
      <c r="B210" s="182"/>
      <c r="C210" s="182"/>
      <c r="D210" s="182"/>
      <c r="E210" s="182"/>
      <c r="F210" s="182"/>
    </row>
    <row r="211" spans="1:6" x14ac:dyDescent="0.35">
      <c r="A211" s="68"/>
      <c r="B211" s="69"/>
      <c r="C211" s="69"/>
      <c r="D211" s="69"/>
      <c r="E211" s="69"/>
      <c r="F211" s="69"/>
    </row>
    <row r="212" spans="1:6" ht="30" customHeight="1" x14ac:dyDescent="0.35">
      <c r="A212" s="179" t="s">
        <v>236</v>
      </c>
      <c r="B212" s="179"/>
      <c r="C212" s="179"/>
      <c r="D212" s="179"/>
      <c r="E212" s="179"/>
      <c r="F212" s="179"/>
    </row>
    <row r="213" spans="1:6" x14ac:dyDescent="0.35">
      <c r="A213" s="66"/>
      <c r="B213" s="66"/>
      <c r="C213" s="66"/>
      <c r="D213" s="66"/>
      <c r="E213" s="66"/>
      <c r="F213" s="66"/>
    </row>
    <row r="214" spans="1:6" ht="15" customHeight="1" x14ac:dyDescent="0.35">
      <c r="A214" s="178" t="s">
        <v>237</v>
      </c>
      <c r="B214" s="178"/>
      <c r="C214" s="178"/>
      <c r="D214" s="178"/>
      <c r="E214" s="178"/>
      <c r="F214" s="178"/>
    </row>
    <row r="215" spans="1:6" ht="25.5" customHeight="1" x14ac:dyDescent="0.35">
      <c r="A215" s="178"/>
      <c r="B215" s="178"/>
      <c r="C215" s="178"/>
      <c r="D215" s="178"/>
      <c r="E215" s="178"/>
      <c r="F215" s="178"/>
    </row>
    <row r="216" spans="1:6" x14ac:dyDescent="0.35">
      <c r="A216" s="66"/>
      <c r="B216" s="66"/>
      <c r="C216" s="66"/>
      <c r="D216" s="66"/>
      <c r="E216" s="66"/>
      <c r="F216" s="66"/>
    </row>
    <row r="217" spans="1:6" ht="15" customHeight="1" x14ac:dyDescent="0.35">
      <c r="A217" s="178" t="s">
        <v>238</v>
      </c>
      <c r="B217" s="178"/>
      <c r="C217" s="178"/>
      <c r="D217" s="178"/>
      <c r="E217" s="178"/>
      <c r="F217" s="178"/>
    </row>
    <row r="218" spans="1:6" x14ac:dyDescent="0.35">
      <c r="A218" s="178"/>
      <c r="B218" s="178"/>
      <c r="C218" s="178"/>
      <c r="D218" s="178"/>
      <c r="E218" s="178"/>
      <c r="F218" s="178"/>
    </row>
    <row r="219" spans="1:6" x14ac:dyDescent="0.35">
      <c r="A219" s="66"/>
      <c r="B219" s="66"/>
      <c r="C219" s="66"/>
      <c r="D219" s="66"/>
      <c r="E219" s="66"/>
      <c r="F219" s="66"/>
    </row>
    <row r="220" spans="1:6" ht="15" customHeight="1" x14ac:dyDescent="0.35">
      <c r="A220" s="179" t="s">
        <v>239</v>
      </c>
      <c r="B220" s="179"/>
      <c r="C220" s="179"/>
      <c r="D220" s="179"/>
      <c r="E220" s="179"/>
      <c r="F220" s="179"/>
    </row>
    <row r="221" spans="1:6" x14ac:dyDescent="0.35">
      <c r="A221" s="71"/>
      <c r="B221" s="71"/>
      <c r="C221" s="71"/>
      <c r="D221" s="71"/>
      <c r="E221" s="71"/>
      <c r="F221" s="71"/>
    </row>
    <row r="222" spans="1:6" ht="15" customHeight="1" x14ac:dyDescent="0.35">
      <c r="A222" s="178" t="s">
        <v>240</v>
      </c>
      <c r="B222" s="178"/>
      <c r="C222" s="178"/>
      <c r="D222" s="178"/>
      <c r="E222" s="178"/>
      <c r="F222" s="178"/>
    </row>
    <row r="223" spans="1:6" x14ac:dyDescent="0.35">
      <c r="A223" s="66"/>
      <c r="B223" s="66"/>
      <c r="C223" s="66"/>
      <c r="D223" s="66"/>
      <c r="E223" s="66"/>
      <c r="F223" s="66"/>
    </row>
    <row r="224" spans="1:6" ht="15" customHeight="1" x14ac:dyDescent="0.35">
      <c r="A224" s="178" t="s">
        <v>241</v>
      </c>
      <c r="B224" s="178"/>
      <c r="C224" s="178"/>
      <c r="D224" s="178"/>
      <c r="E224" s="178"/>
      <c r="F224" s="178"/>
    </row>
    <row r="225" spans="1:6" x14ac:dyDescent="0.35">
      <c r="A225" s="66"/>
      <c r="B225" s="66"/>
      <c r="C225" s="66"/>
      <c r="D225" s="66"/>
      <c r="E225" s="66"/>
      <c r="F225" s="66"/>
    </row>
    <row r="226" spans="1:6" ht="15" customHeight="1" x14ac:dyDescent="0.35">
      <c r="A226" s="178" t="s">
        <v>242</v>
      </c>
      <c r="B226" s="178"/>
      <c r="C226" s="178"/>
      <c r="D226" s="178"/>
      <c r="E226" s="178"/>
      <c r="F226" s="178"/>
    </row>
    <row r="227" spans="1:6" x14ac:dyDescent="0.35">
      <c r="A227" s="66"/>
      <c r="B227" s="66"/>
      <c r="C227" s="66"/>
      <c r="D227" s="66"/>
      <c r="E227" s="66"/>
      <c r="F227" s="66"/>
    </row>
    <row r="228" spans="1:6" ht="15" customHeight="1" x14ac:dyDescent="0.35">
      <c r="A228" s="179" t="s">
        <v>243</v>
      </c>
      <c r="B228" s="179"/>
      <c r="C228" s="179"/>
      <c r="D228" s="179"/>
      <c r="E228" s="179"/>
      <c r="F228" s="179"/>
    </row>
    <row r="229" spans="1:6" x14ac:dyDescent="0.35">
      <c r="A229" s="66"/>
      <c r="B229" s="71"/>
      <c r="C229" s="66"/>
      <c r="D229" s="66"/>
      <c r="E229" s="66"/>
      <c r="F229" s="66"/>
    </row>
    <row r="230" spans="1:6" ht="15" customHeight="1" x14ac:dyDescent="0.35">
      <c r="A230" s="179" t="s">
        <v>244</v>
      </c>
      <c r="B230" s="179"/>
      <c r="C230" s="179"/>
      <c r="D230" s="179"/>
      <c r="E230" s="179"/>
      <c r="F230" s="179"/>
    </row>
    <row r="231" spans="1:6" x14ac:dyDescent="0.35">
      <c r="A231" s="179"/>
      <c r="B231" s="179"/>
      <c r="C231" s="179"/>
      <c r="D231" s="179"/>
      <c r="E231" s="179"/>
      <c r="F231" s="179"/>
    </row>
    <row r="232" spans="1:6" x14ac:dyDescent="0.35">
      <c r="A232" s="179"/>
      <c r="B232" s="179"/>
      <c r="C232" s="179"/>
      <c r="D232" s="179"/>
      <c r="E232" s="179"/>
      <c r="F232" s="179"/>
    </row>
    <row r="233" spans="1:6" x14ac:dyDescent="0.35">
      <c r="A233" s="179"/>
      <c r="B233" s="179"/>
      <c r="C233" s="179"/>
      <c r="D233" s="179"/>
      <c r="E233" s="179"/>
      <c r="F233" s="179"/>
    </row>
    <row r="234" spans="1:6" x14ac:dyDescent="0.35">
      <c r="A234" s="71"/>
      <c r="B234" s="71"/>
      <c r="C234" s="71"/>
      <c r="D234" s="71"/>
      <c r="E234" s="71"/>
      <c r="F234" s="71"/>
    </row>
    <row r="235" spans="1:6" ht="27" customHeight="1" x14ac:dyDescent="0.35">
      <c r="A235" s="179" t="s">
        <v>245</v>
      </c>
      <c r="B235" s="179"/>
      <c r="C235" s="179"/>
      <c r="D235" s="179"/>
      <c r="E235" s="179"/>
      <c r="F235" s="179"/>
    </row>
    <row r="236" spans="1:6" x14ac:dyDescent="0.35">
      <c r="A236" s="71"/>
      <c r="B236" s="71"/>
      <c r="C236" s="71"/>
      <c r="D236" s="71"/>
      <c r="E236" s="71"/>
      <c r="F236" s="71"/>
    </row>
    <row r="237" spans="1:6" ht="15" customHeight="1" x14ac:dyDescent="0.35">
      <c r="A237" s="178" t="s">
        <v>246</v>
      </c>
      <c r="B237" s="178"/>
      <c r="C237" s="178"/>
      <c r="D237" s="178"/>
      <c r="E237" s="178"/>
      <c r="F237" s="178"/>
    </row>
    <row r="238" spans="1:6" x14ac:dyDescent="0.35">
      <c r="A238" s="66"/>
      <c r="B238" s="66"/>
      <c r="C238" s="66"/>
      <c r="D238" s="66"/>
      <c r="E238" s="66"/>
      <c r="F238" s="66"/>
    </row>
    <row r="239" spans="1:6" ht="15" customHeight="1" x14ac:dyDescent="0.35">
      <c r="A239" s="183" t="s">
        <v>247</v>
      </c>
      <c r="B239" s="183"/>
      <c r="C239" s="183"/>
      <c r="D239" s="183"/>
      <c r="E239" s="183"/>
      <c r="F239" s="183"/>
    </row>
    <row r="240" spans="1:6" x14ac:dyDescent="0.35">
      <c r="A240" s="183"/>
      <c r="B240" s="183"/>
      <c r="C240" s="183"/>
      <c r="D240" s="183"/>
      <c r="E240" s="183"/>
      <c r="F240" s="183"/>
    </row>
    <row r="241" spans="1:6" x14ac:dyDescent="0.35">
      <c r="A241" s="183"/>
      <c r="B241" s="183"/>
      <c r="C241" s="183"/>
      <c r="D241" s="183"/>
      <c r="E241" s="183"/>
      <c r="F241" s="183"/>
    </row>
    <row r="242" spans="1:6" x14ac:dyDescent="0.35">
      <c r="A242" s="183"/>
      <c r="B242" s="183"/>
      <c r="C242" s="183"/>
      <c r="D242" s="183"/>
      <c r="E242" s="183"/>
      <c r="F242" s="183"/>
    </row>
    <row r="243" spans="1:6" ht="15" customHeight="1" x14ac:dyDescent="0.35">
      <c r="A243" s="183" t="s">
        <v>248</v>
      </c>
      <c r="B243" s="183"/>
      <c r="C243" s="183"/>
      <c r="D243" s="183"/>
      <c r="E243" s="183"/>
      <c r="F243" s="183"/>
    </row>
    <row r="244" spans="1:6" ht="15" customHeight="1" x14ac:dyDescent="0.35">
      <c r="A244" s="183" t="s">
        <v>249</v>
      </c>
      <c r="B244" s="183"/>
      <c r="C244" s="183"/>
      <c r="D244" s="183"/>
      <c r="E244" s="183"/>
      <c r="F244" s="183"/>
    </row>
    <row r="245" spans="1:6" ht="15" customHeight="1" x14ac:dyDescent="0.35">
      <c r="A245" s="183" t="s">
        <v>250</v>
      </c>
      <c r="B245" s="183"/>
      <c r="C245" s="183"/>
      <c r="D245" s="183"/>
      <c r="E245" s="183"/>
      <c r="F245" s="183"/>
    </row>
    <row r="246" spans="1:6" ht="15" customHeight="1" x14ac:dyDescent="0.35">
      <c r="A246" s="183" t="s">
        <v>251</v>
      </c>
      <c r="B246" s="183"/>
      <c r="C246" s="183"/>
      <c r="D246" s="183"/>
      <c r="E246" s="183"/>
      <c r="F246" s="183"/>
    </row>
    <row r="247" spans="1:6" ht="15" customHeight="1" x14ac:dyDescent="0.35">
      <c r="A247" s="183" t="s">
        <v>252</v>
      </c>
      <c r="B247" s="183"/>
      <c r="C247" s="183"/>
      <c r="D247" s="183"/>
      <c r="E247" s="183"/>
      <c r="F247" s="183"/>
    </row>
    <row r="248" spans="1:6" ht="15" customHeight="1" x14ac:dyDescent="0.35">
      <c r="A248" s="183" t="s">
        <v>253</v>
      </c>
      <c r="B248" s="183"/>
      <c r="C248" s="183"/>
      <c r="D248" s="183"/>
      <c r="E248" s="183"/>
      <c r="F248" s="183"/>
    </row>
    <row r="249" spans="1:6" ht="15" customHeight="1" x14ac:dyDescent="0.35">
      <c r="A249" s="183" t="s">
        <v>254</v>
      </c>
      <c r="B249" s="183"/>
      <c r="C249" s="183"/>
      <c r="D249" s="183"/>
      <c r="E249" s="183"/>
      <c r="F249" s="183"/>
    </row>
    <row r="250" spans="1:6" ht="15" customHeight="1" x14ac:dyDescent="0.35">
      <c r="A250" s="183" t="s">
        <v>255</v>
      </c>
      <c r="B250" s="183"/>
      <c r="C250" s="183"/>
      <c r="D250" s="183"/>
      <c r="E250" s="183"/>
      <c r="F250" s="183"/>
    </row>
    <row r="251" spans="1:6" ht="15" customHeight="1" x14ac:dyDescent="0.35">
      <c r="A251" s="183" t="s">
        <v>256</v>
      </c>
      <c r="B251" s="183"/>
      <c r="C251" s="183"/>
      <c r="D251" s="183"/>
      <c r="E251" s="183"/>
      <c r="F251" s="183"/>
    </row>
    <row r="252" spans="1:6" x14ac:dyDescent="0.35">
      <c r="A252" s="75"/>
      <c r="E252" s="76"/>
      <c r="F252" s="76"/>
    </row>
    <row r="253" spans="1:6" ht="15" customHeight="1" x14ac:dyDescent="0.35">
      <c r="A253" s="183" t="s">
        <v>257</v>
      </c>
      <c r="B253" s="183"/>
      <c r="C253" s="183"/>
      <c r="D253" s="183"/>
      <c r="E253" s="183"/>
      <c r="F253" s="183"/>
    </row>
    <row r="254" spans="1:6" x14ac:dyDescent="0.35">
      <c r="A254" s="183"/>
      <c r="B254" s="183"/>
      <c r="C254" s="183"/>
      <c r="D254" s="183"/>
      <c r="E254" s="183"/>
      <c r="F254" s="183"/>
    </row>
    <row r="255" spans="1:6" ht="15" customHeight="1" x14ac:dyDescent="0.35">
      <c r="A255" s="183" t="s">
        <v>258</v>
      </c>
      <c r="B255" s="183"/>
      <c r="C255" s="183"/>
      <c r="D255" s="183"/>
      <c r="E255" s="183"/>
      <c r="F255" s="183"/>
    </row>
    <row r="256" spans="1:6" x14ac:dyDescent="0.35">
      <c r="A256" s="183"/>
      <c r="B256" s="183"/>
      <c r="C256" s="183"/>
      <c r="D256" s="183"/>
      <c r="E256" s="183"/>
      <c r="F256" s="183"/>
    </row>
    <row r="257" spans="1:6" ht="15" customHeight="1" x14ac:dyDescent="0.35">
      <c r="A257" s="183" t="s">
        <v>259</v>
      </c>
      <c r="B257" s="183"/>
      <c r="C257" s="183"/>
      <c r="D257" s="183"/>
      <c r="E257" s="183"/>
      <c r="F257" s="183"/>
    </row>
    <row r="258" spans="1:6" ht="15" customHeight="1" x14ac:dyDescent="0.35">
      <c r="A258" s="183" t="s">
        <v>260</v>
      </c>
      <c r="B258" s="183"/>
      <c r="C258" s="183"/>
      <c r="D258" s="183"/>
      <c r="E258" s="183"/>
      <c r="F258" s="183"/>
    </row>
    <row r="259" spans="1:6" ht="28.5" customHeight="1" x14ac:dyDescent="0.35">
      <c r="A259" s="183" t="s">
        <v>261</v>
      </c>
      <c r="B259" s="183"/>
      <c r="C259" s="183"/>
      <c r="D259" s="183"/>
      <c r="E259" s="183"/>
      <c r="F259" s="183"/>
    </row>
    <row r="260" spans="1:6" ht="15" customHeight="1" x14ac:dyDescent="0.35">
      <c r="A260" s="183" t="s">
        <v>262</v>
      </c>
      <c r="B260" s="183"/>
      <c r="C260" s="183"/>
      <c r="D260" s="183"/>
      <c r="E260" s="183"/>
      <c r="F260" s="183"/>
    </row>
    <row r="261" spans="1:6" ht="28.5" customHeight="1" x14ac:dyDescent="0.35">
      <c r="A261" s="183" t="s">
        <v>263</v>
      </c>
      <c r="B261" s="183"/>
      <c r="C261" s="183"/>
      <c r="D261" s="183"/>
      <c r="E261" s="183"/>
      <c r="F261" s="183"/>
    </row>
    <row r="262" spans="1:6" x14ac:dyDescent="0.35">
      <c r="A262" s="183"/>
      <c r="B262" s="183"/>
      <c r="C262" s="183"/>
      <c r="D262" s="183"/>
      <c r="E262" s="183"/>
      <c r="F262" s="183"/>
    </row>
    <row r="263" spans="1:6" ht="15" customHeight="1" x14ac:dyDescent="0.35">
      <c r="A263" s="183" t="s">
        <v>264</v>
      </c>
      <c r="B263" s="183"/>
      <c r="C263" s="183"/>
      <c r="D263" s="183"/>
      <c r="E263" s="183"/>
      <c r="F263" s="183"/>
    </row>
    <row r="264" spans="1:6" x14ac:dyDescent="0.35">
      <c r="A264" s="183"/>
      <c r="B264" s="183"/>
      <c r="C264" s="183"/>
      <c r="D264" s="183"/>
      <c r="E264" s="183"/>
      <c r="F264" s="183"/>
    </row>
    <row r="265" spans="1:6" x14ac:dyDescent="0.35">
      <c r="A265" s="66"/>
      <c r="B265" s="66"/>
      <c r="C265" s="66"/>
      <c r="D265" s="66"/>
      <c r="E265" s="66"/>
      <c r="F265" s="66"/>
    </row>
    <row r="266" spans="1:6" ht="15" customHeight="1" x14ac:dyDescent="0.35">
      <c r="A266" s="178" t="s">
        <v>265</v>
      </c>
      <c r="B266" s="178"/>
      <c r="C266" s="178"/>
      <c r="D266" s="178"/>
      <c r="E266" s="178"/>
      <c r="F266" s="178"/>
    </row>
    <row r="267" spans="1:6" ht="15" customHeight="1" x14ac:dyDescent="0.35">
      <c r="A267" s="178" t="s">
        <v>266</v>
      </c>
      <c r="B267" s="178"/>
      <c r="C267" s="178"/>
      <c r="D267" s="178"/>
      <c r="E267" s="178"/>
      <c r="F267" s="178"/>
    </row>
    <row r="268" spans="1:6" ht="15" customHeight="1" x14ac:dyDescent="0.35">
      <c r="A268" s="178" t="s">
        <v>267</v>
      </c>
      <c r="B268" s="178"/>
      <c r="C268" s="178"/>
      <c r="D268" s="178"/>
      <c r="E268" s="178"/>
      <c r="F268" s="178"/>
    </row>
    <row r="269" spans="1:6" ht="15" customHeight="1" x14ac:dyDescent="0.35">
      <c r="A269" s="178" t="s">
        <v>268</v>
      </c>
      <c r="B269" s="178"/>
      <c r="C269" s="178"/>
      <c r="D269" s="178"/>
      <c r="E269" s="178"/>
      <c r="F269" s="178"/>
    </row>
    <row r="270" spans="1:6" ht="15" customHeight="1" x14ac:dyDescent="0.35">
      <c r="A270" s="178" t="s">
        <v>269</v>
      </c>
      <c r="B270" s="178"/>
      <c r="C270" s="178"/>
      <c r="D270" s="178"/>
      <c r="E270" s="178"/>
      <c r="F270" s="178"/>
    </row>
    <row r="271" spans="1:6" ht="15" customHeight="1" x14ac:dyDescent="0.35">
      <c r="A271" s="178" t="s">
        <v>270</v>
      </c>
      <c r="B271" s="178"/>
      <c r="C271" s="178"/>
      <c r="D271" s="178"/>
      <c r="E271" s="178"/>
      <c r="F271" s="178"/>
    </row>
    <row r="272" spans="1:6" ht="15" customHeight="1" x14ac:dyDescent="0.35">
      <c r="A272" s="178" t="s">
        <v>271</v>
      </c>
      <c r="B272" s="178"/>
      <c r="C272" s="178"/>
      <c r="D272" s="178"/>
      <c r="E272" s="178"/>
      <c r="F272" s="178"/>
    </row>
    <row r="273" spans="1:6" ht="15" customHeight="1" x14ac:dyDescent="0.35">
      <c r="A273" s="178" t="s">
        <v>272</v>
      </c>
      <c r="B273" s="178"/>
      <c r="C273" s="178"/>
      <c r="D273" s="178"/>
      <c r="E273" s="178"/>
      <c r="F273" s="178"/>
    </row>
    <row r="274" spans="1:6" ht="15" customHeight="1" x14ac:dyDescent="0.35">
      <c r="A274" s="178" t="s">
        <v>273</v>
      </c>
      <c r="B274" s="178"/>
      <c r="C274" s="178"/>
      <c r="D274" s="178"/>
      <c r="E274" s="178"/>
      <c r="F274" s="178"/>
    </row>
    <row r="275" spans="1:6" ht="15" customHeight="1" x14ac:dyDescent="0.35">
      <c r="A275" s="178" t="s">
        <v>274</v>
      </c>
      <c r="B275" s="178"/>
      <c r="C275" s="178"/>
      <c r="D275" s="178"/>
      <c r="E275" s="178"/>
      <c r="F275" s="178"/>
    </row>
    <row r="276" spans="1:6" x14ac:dyDescent="0.35">
      <c r="A276" s="66"/>
      <c r="B276" s="66"/>
      <c r="C276" s="66"/>
      <c r="D276" s="66"/>
      <c r="E276" s="66"/>
      <c r="F276" s="66"/>
    </row>
    <row r="277" spans="1:6" ht="15" customHeight="1" x14ac:dyDescent="0.35">
      <c r="A277" s="182" t="s">
        <v>275</v>
      </c>
      <c r="B277" s="182"/>
      <c r="C277" s="182"/>
      <c r="D277" s="182"/>
      <c r="E277" s="182"/>
      <c r="F277" s="182"/>
    </row>
    <row r="278" spans="1:6" x14ac:dyDescent="0.35">
      <c r="A278" s="71"/>
      <c r="B278" s="66"/>
      <c r="C278" s="66"/>
      <c r="D278" s="71"/>
      <c r="E278" s="71"/>
      <c r="F278" s="71"/>
    </row>
    <row r="279" spans="1:6" ht="15" customHeight="1" x14ac:dyDescent="0.35">
      <c r="A279" s="180" t="s">
        <v>146</v>
      </c>
      <c r="B279" s="180"/>
      <c r="C279" s="71"/>
      <c r="D279" s="71"/>
      <c r="E279" s="71"/>
      <c r="F279" s="71"/>
    </row>
    <row r="280" spans="1:6" x14ac:dyDescent="0.35">
      <c r="A280" s="73"/>
      <c r="B280" s="71"/>
      <c r="C280" s="71"/>
      <c r="D280" s="71"/>
      <c r="E280" s="71"/>
      <c r="F280" s="71"/>
    </row>
    <row r="281" spans="1:6" ht="15" customHeight="1" x14ac:dyDescent="0.35">
      <c r="A281" s="179" t="s">
        <v>276</v>
      </c>
      <c r="B281" s="179"/>
      <c r="C281" s="179"/>
      <c r="D281" s="179"/>
      <c r="E281" s="179"/>
      <c r="F281" s="179"/>
    </row>
    <row r="282" spans="1:6" ht="24.75" customHeight="1" x14ac:dyDescent="0.35">
      <c r="A282" s="179"/>
      <c r="B282" s="179"/>
      <c r="C282" s="179"/>
      <c r="D282" s="179"/>
      <c r="E282" s="179"/>
      <c r="F282" s="179"/>
    </row>
    <row r="283" spans="1:6" x14ac:dyDescent="0.35">
      <c r="A283" s="71"/>
      <c r="B283" s="71"/>
      <c r="C283" s="71"/>
      <c r="D283" s="71"/>
      <c r="E283" s="71"/>
      <c r="F283" s="71"/>
    </row>
    <row r="284" spans="1:6" ht="35.25" customHeight="1" x14ac:dyDescent="0.35">
      <c r="A284" s="184" t="s">
        <v>277</v>
      </c>
      <c r="B284" s="184"/>
      <c r="C284" s="184"/>
      <c r="D284" s="184"/>
      <c r="E284" s="184"/>
      <c r="F284" s="184"/>
    </row>
    <row r="285" spans="1:6" x14ac:dyDescent="0.35">
      <c r="A285" s="77"/>
      <c r="B285" s="77"/>
      <c r="C285" s="77"/>
      <c r="D285" s="77"/>
      <c r="E285" s="77"/>
      <c r="F285" s="77"/>
    </row>
    <row r="286" spans="1:6" ht="15" customHeight="1" x14ac:dyDescent="0.35">
      <c r="A286" s="184" t="s">
        <v>278</v>
      </c>
      <c r="B286" s="184"/>
      <c r="C286" s="184"/>
      <c r="D286" s="184"/>
      <c r="E286" s="184"/>
      <c r="F286" s="184"/>
    </row>
    <row r="287" spans="1:6" x14ac:dyDescent="0.35">
      <c r="A287" s="184"/>
      <c r="B287" s="184"/>
      <c r="C287" s="184"/>
      <c r="D287" s="184"/>
      <c r="E287" s="184"/>
      <c r="F287" s="184"/>
    </row>
    <row r="288" spans="1:6" x14ac:dyDescent="0.35">
      <c r="A288" s="77"/>
      <c r="B288" s="77"/>
      <c r="C288" s="77"/>
      <c r="D288" s="77"/>
      <c r="E288" s="77"/>
      <c r="F288" s="77"/>
    </row>
    <row r="289" spans="1:6" ht="15" customHeight="1" x14ac:dyDescent="0.35">
      <c r="A289" s="179" t="s">
        <v>279</v>
      </c>
      <c r="B289" s="179"/>
      <c r="C289" s="179"/>
      <c r="D289" s="179"/>
      <c r="E289" s="179"/>
      <c r="F289" s="179"/>
    </row>
    <row r="290" spans="1:6" ht="24" customHeight="1" x14ac:dyDescent="0.35">
      <c r="A290" s="179"/>
      <c r="B290" s="179"/>
      <c r="C290" s="179"/>
      <c r="D290" s="179"/>
      <c r="E290" s="179"/>
      <c r="F290" s="179"/>
    </row>
    <row r="291" spans="1:6" x14ac:dyDescent="0.35">
      <c r="A291" s="77"/>
      <c r="B291" s="71"/>
      <c r="C291" s="71"/>
      <c r="D291" s="71"/>
      <c r="E291" s="71"/>
      <c r="F291" s="71"/>
    </row>
    <row r="292" spans="1:6" ht="15" customHeight="1" x14ac:dyDescent="0.35">
      <c r="A292" s="179" t="s">
        <v>280</v>
      </c>
      <c r="B292" s="179"/>
      <c r="C292" s="179"/>
      <c r="D292" s="179"/>
      <c r="E292" s="179"/>
      <c r="F292" s="179"/>
    </row>
    <row r="293" spans="1:6" x14ac:dyDescent="0.35">
      <c r="A293" s="179"/>
      <c r="B293" s="179"/>
      <c r="C293" s="179"/>
      <c r="D293" s="179"/>
      <c r="E293" s="179"/>
      <c r="F293" s="179"/>
    </row>
    <row r="294" spans="1:6" x14ac:dyDescent="0.35">
      <c r="A294" s="179"/>
      <c r="B294" s="179"/>
      <c r="C294" s="179"/>
      <c r="D294" s="179"/>
      <c r="E294" s="179"/>
      <c r="F294" s="179"/>
    </row>
    <row r="295" spans="1:6" ht="22.5" customHeight="1" x14ac:dyDescent="0.35">
      <c r="A295" s="179"/>
      <c r="B295" s="179"/>
      <c r="C295" s="179"/>
      <c r="D295" s="179"/>
      <c r="E295" s="179"/>
      <c r="F295" s="179"/>
    </row>
    <row r="296" spans="1:6" x14ac:dyDescent="0.35">
      <c r="A296" s="71"/>
      <c r="B296" s="71"/>
      <c r="C296" s="71"/>
      <c r="D296" s="71"/>
      <c r="E296" s="71"/>
      <c r="F296" s="71"/>
    </row>
    <row r="297" spans="1:6" ht="15" customHeight="1" x14ac:dyDescent="0.35">
      <c r="A297" s="179" t="s">
        <v>281</v>
      </c>
      <c r="B297" s="179"/>
      <c r="C297" s="179"/>
      <c r="D297" s="179"/>
      <c r="E297" s="179"/>
      <c r="F297" s="179"/>
    </row>
    <row r="298" spans="1:6" x14ac:dyDescent="0.35">
      <c r="A298" s="179"/>
      <c r="B298" s="179"/>
      <c r="C298" s="179"/>
      <c r="D298" s="179"/>
      <c r="E298" s="179"/>
      <c r="F298" s="179"/>
    </row>
    <row r="299" spans="1:6" x14ac:dyDescent="0.35">
      <c r="A299" s="66"/>
      <c r="B299" s="66"/>
      <c r="C299" s="66"/>
      <c r="D299" s="66"/>
      <c r="E299" s="66"/>
      <c r="F299" s="66"/>
    </row>
    <row r="300" spans="1:6" ht="15" customHeight="1" x14ac:dyDescent="0.35">
      <c r="A300" s="178" t="s">
        <v>282</v>
      </c>
      <c r="B300" s="178"/>
      <c r="C300" s="178"/>
      <c r="D300" s="178"/>
      <c r="E300" s="178"/>
      <c r="F300" s="178"/>
    </row>
    <row r="301" spans="1:6" x14ac:dyDescent="0.35">
      <c r="A301" s="66"/>
      <c r="B301" s="66"/>
      <c r="C301" s="66"/>
      <c r="D301" s="66"/>
      <c r="E301" s="66"/>
      <c r="F301" s="66"/>
    </row>
    <row r="302" spans="1:6" ht="15" customHeight="1" x14ac:dyDescent="0.35">
      <c r="A302" s="179" t="s">
        <v>283</v>
      </c>
      <c r="B302" s="179"/>
      <c r="C302" s="179"/>
      <c r="D302" s="179"/>
      <c r="E302" s="179"/>
      <c r="F302" s="179"/>
    </row>
    <row r="303" spans="1:6" ht="22.5" customHeight="1" x14ac:dyDescent="0.35">
      <c r="A303" s="179"/>
      <c r="B303" s="179"/>
      <c r="C303" s="179"/>
      <c r="D303" s="179"/>
      <c r="E303" s="179"/>
      <c r="F303" s="179"/>
    </row>
    <row r="304" spans="1:6" x14ac:dyDescent="0.35">
      <c r="A304" s="71"/>
      <c r="B304" s="71"/>
      <c r="C304" s="71"/>
      <c r="D304" s="71"/>
      <c r="E304" s="71"/>
      <c r="F304" s="71"/>
    </row>
    <row r="305" spans="1:6" ht="15" customHeight="1" x14ac:dyDescent="0.35">
      <c r="A305" s="179" t="s">
        <v>284</v>
      </c>
      <c r="B305" s="179"/>
      <c r="C305" s="179"/>
      <c r="D305" s="179"/>
      <c r="E305" s="179"/>
      <c r="F305" s="179"/>
    </row>
    <row r="306" spans="1:6" x14ac:dyDescent="0.35">
      <c r="A306" s="179"/>
      <c r="B306" s="179"/>
      <c r="C306" s="179"/>
      <c r="D306" s="179"/>
      <c r="E306" s="179"/>
      <c r="F306" s="179"/>
    </row>
    <row r="307" spans="1:6" x14ac:dyDescent="0.35">
      <c r="A307" s="71"/>
      <c r="B307" s="71"/>
      <c r="C307" s="71"/>
      <c r="D307" s="71"/>
      <c r="E307" s="71"/>
      <c r="F307" s="71"/>
    </row>
    <row r="308" spans="1:6" ht="15" customHeight="1" x14ac:dyDescent="0.35">
      <c r="A308" s="179" t="s">
        <v>285</v>
      </c>
      <c r="B308" s="179"/>
      <c r="C308" s="179"/>
      <c r="D308" s="179"/>
      <c r="E308" s="179"/>
      <c r="F308" s="179"/>
    </row>
    <row r="309" spans="1:6" x14ac:dyDescent="0.35">
      <c r="A309" s="179"/>
      <c r="B309" s="179"/>
      <c r="C309" s="179"/>
      <c r="D309" s="179"/>
      <c r="E309" s="179"/>
      <c r="F309" s="179"/>
    </row>
    <row r="310" spans="1:6" x14ac:dyDescent="0.35">
      <c r="A310" s="71"/>
      <c r="B310" s="71"/>
      <c r="C310" s="71"/>
      <c r="D310" s="71"/>
      <c r="E310" s="71"/>
      <c r="F310" s="71"/>
    </row>
    <row r="311" spans="1:6" ht="15" customHeight="1" x14ac:dyDescent="0.35">
      <c r="A311" s="179" t="s">
        <v>286</v>
      </c>
      <c r="B311" s="179"/>
      <c r="C311" s="179"/>
      <c r="D311" s="179"/>
      <c r="E311" s="179"/>
      <c r="F311" s="179"/>
    </row>
    <row r="312" spans="1:6" ht="29.25" customHeight="1" x14ac:dyDescent="0.35">
      <c r="A312" s="179"/>
      <c r="B312" s="179"/>
      <c r="C312" s="179"/>
      <c r="D312" s="179"/>
      <c r="E312" s="179"/>
      <c r="F312" s="179"/>
    </row>
    <row r="313" spans="1:6" x14ac:dyDescent="0.35">
      <c r="A313" s="71"/>
      <c r="B313" s="71"/>
      <c r="C313" s="71"/>
      <c r="D313" s="71"/>
      <c r="E313" s="71"/>
      <c r="F313" s="71"/>
    </row>
    <row r="314" spans="1:6" ht="15" customHeight="1" x14ac:dyDescent="0.35">
      <c r="A314" s="186" t="s">
        <v>287</v>
      </c>
      <c r="B314" s="186"/>
      <c r="C314" s="186"/>
      <c r="D314" s="186"/>
      <c r="E314" s="186"/>
      <c r="F314" s="186"/>
    </row>
    <row r="315" spans="1:6" x14ac:dyDescent="0.35">
      <c r="A315" s="186"/>
      <c r="B315" s="186"/>
      <c r="C315" s="186"/>
      <c r="D315" s="186"/>
      <c r="E315" s="186"/>
      <c r="F315" s="186"/>
    </row>
    <row r="316" spans="1:6" x14ac:dyDescent="0.35">
      <c r="A316" s="71"/>
      <c r="B316" s="71"/>
      <c r="C316" s="71"/>
      <c r="D316" s="71"/>
      <c r="E316" s="71"/>
      <c r="F316" s="71"/>
    </row>
    <row r="317" spans="1:6" ht="15" customHeight="1" x14ac:dyDescent="0.35">
      <c r="A317" s="179" t="s">
        <v>288</v>
      </c>
      <c r="B317" s="179"/>
      <c r="C317" s="179"/>
      <c r="D317" s="179"/>
      <c r="E317" s="179"/>
      <c r="F317" s="179"/>
    </row>
    <row r="318" spans="1:6" x14ac:dyDescent="0.35">
      <c r="A318" s="179"/>
      <c r="B318" s="179"/>
      <c r="C318" s="179"/>
      <c r="D318" s="179"/>
      <c r="E318" s="179"/>
      <c r="F318" s="179"/>
    </row>
    <row r="319" spans="1:6" x14ac:dyDescent="0.35">
      <c r="A319" s="71"/>
      <c r="B319" s="71"/>
      <c r="C319" s="71"/>
      <c r="D319" s="71"/>
      <c r="E319" s="71"/>
      <c r="F319" s="71"/>
    </row>
    <row r="320" spans="1:6" ht="15" customHeight="1" x14ac:dyDescent="0.35">
      <c r="A320" s="179" t="s">
        <v>289</v>
      </c>
      <c r="B320" s="179"/>
      <c r="C320" s="179"/>
      <c r="D320" s="179"/>
      <c r="E320" s="179"/>
      <c r="F320" s="179"/>
    </row>
    <row r="321" spans="1:6" x14ac:dyDescent="0.35">
      <c r="A321" s="179"/>
      <c r="B321" s="179"/>
      <c r="C321" s="179"/>
      <c r="D321" s="179"/>
      <c r="E321" s="179"/>
      <c r="F321" s="179"/>
    </row>
    <row r="322" spans="1:6" x14ac:dyDescent="0.35">
      <c r="A322" s="179"/>
      <c r="B322" s="179"/>
      <c r="C322" s="179"/>
      <c r="D322" s="179"/>
      <c r="E322" s="179"/>
      <c r="F322" s="179"/>
    </row>
    <row r="323" spans="1:6" x14ac:dyDescent="0.35">
      <c r="A323" s="179"/>
      <c r="B323" s="179"/>
      <c r="C323" s="179"/>
      <c r="D323" s="179"/>
      <c r="E323" s="179"/>
      <c r="F323" s="179"/>
    </row>
    <row r="324" spans="1:6" x14ac:dyDescent="0.35">
      <c r="A324" s="71"/>
      <c r="B324" s="71"/>
      <c r="C324" s="71"/>
      <c r="D324" s="71"/>
      <c r="E324" s="71"/>
      <c r="F324" s="71"/>
    </row>
    <row r="325" spans="1:6" ht="15" customHeight="1" x14ac:dyDescent="0.35">
      <c r="A325" s="179" t="s">
        <v>290</v>
      </c>
      <c r="B325" s="179"/>
      <c r="C325" s="179"/>
      <c r="D325" s="179"/>
      <c r="E325" s="179"/>
      <c r="F325" s="179"/>
    </row>
    <row r="326" spans="1:6" x14ac:dyDescent="0.35">
      <c r="A326" s="179"/>
      <c r="B326" s="179"/>
      <c r="C326" s="179"/>
      <c r="D326" s="179"/>
      <c r="E326" s="179"/>
      <c r="F326" s="179"/>
    </row>
    <row r="327" spans="1:6" ht="24" customHeight="1" x14ac:dyDescent="0.35">
      <c r="A327" s="179"/>
      <c r="B327" s="179"/>
      <c r="C327" s="179"/>
      <c r="D327" s="179"/>
      <c r="E327" s="179"/>
      <c r="F327" s="179"/>
    </row>
    <row r="328" spans="1:6" x14ac:dyDescent="0.35">
      <c r="A328" s="66"/>
      <c r="B328" s="66"/>
      <c r="C328" s="66"/>
      <c r="D328" s="66"/>
      <c r="E328" s="66"/>
      <c r="F328" s="66"/>
    </row>
    <row r="329" spans="1:6" ht="15" customHeight="1" x14ac:dyDescent="0.35">
      <c r="A329" s="182" t="s">
        <v>291</v>
      </c>
      <c r="B329" s="182"/>
      <c r="C329" s="182"/>
      <c r="D329" s="182"/>
      <c r="E329" s="182"/>
      <c r="F329" s="182"/>
    </row>
    <row r="330" spans="1:6" x14ac:dyDescent="0.35">
      <c r="A330" s="66"/>
      <c r="B330" s="66"/>
      <c r="C330" s="66"/>
      <c r="D330" s="67"/>
      <c r="E330" s="67"/>
      <c r="F330" s="67"/>
    </row>
    <row r="331" spans="1:6" ht="15" customHeight="1" x14ac:dyDescent="0.35">
      <c r="A331" s="185" t="s">
        <v>146</v>
      </c>
      <c r="B331" s="185"/>
      <c r="C331" s="185"/>
      <c r="D331" s="67"/>
      <c r="E331" s="67"/>
      <c r="F331" s="67"/>
    </row>
    <row r="332" spans="1:6" x14ac:dyDescent="0.35">
      <c r="A332" s="66"/>
      <c r="B332" s="66"/>
      <c r="C332" s="66"/>
      <c r="D332" s="67"/>
      <c r="E332" s="67"/>
      <c r="F332" s="67"/>
    </row>
    <row r="333" spans="1:6" ht="15" customHeight="1" x14ac:dyDescent="0.35">
      <c r="A333" s="176" t="s">
        <v>292</v>
      </c>
      <c r="B333" s="176"/>
      <c r="C333" s="66"/>
      <c r="D333" s="67"/>
      <c r="E333" s="67"/>
      <c r="F333" s="67"/>
    </row>
    <row r="334" spans="1:6" x14ac:dyDescent="0.35">
      <c r="A334" s="66"/>
      <c r="B334" s="66"/>
      <c r="C334" s="66"/>
      <c r="D334" s="67"/>
      <c r="E334" s="67"/>
      <c r="F334" s="67"/>
    </row>
    <row r="335" spans="1:6" ht="15" customHeight="1" x14ac:dyDescent="0.35">
      <c r="A335" s="179" t="s">
        <v>293</v>
      </c>
      <c r="B335" s="179"/>
      <c r="C335" s="179"/>
      <c r="D335" s="179"/>
      <c r="E335" s="179"/>
      <c r="F335" s="179"/>
    </row>
    <row r="336" spans="1:6" ht="32.25" customHeight="1" x14ac:dyDescent="0.35">
      <c r="A336" s="179"/>
      <c r="B336" s="179"/>
      <c r="C336" s="179"/>
      <c r="D336" s="179"/>
      <c r="E336" s="179"/>
      <c r="F336" s="179"/>
    </row>
    <row r="337" spans="1:6" x14ac:dyDescent="0.35">
      <c r="A337" s="71"/>
      <c r="B337" s="71"/>
      <c r="C337" s="71"/>
      <c r="D337" s="71"/>
      <c r="E337" s="71"/>
      <c r="F337" s="71"/>
    </row>
    <row r="338" spans="1:6" ht="15" customHeight="1" x14ac:dyDescent="0.35">
      <c r="A338" s="179" t="s">
        <v>294</v>
      </c>
      <c r="B338" s="179"/>
      <c r="C338" s="179"/>
      <c r="D338" s="179"/>
      <c r="E338" s="179"/>
      <c r="F338" s="179"/>
    </row>
    <row r="339" spans="1:6" ht="32.25" customHeight="1" x14ac:dyDescent="0.35">
      <c r="A339" s="179"/>
      <c r="B339" s="179"/>
      <c r="C339" s="179"/>
      <c r="D339" s="179"/>
      <c r="E339" s="179"/>
      <c r="F339" s="179"/>
    </row>
    <row r="340" spans="1:6" x14ac:dyDescent="0.35">
      <c r="A340" s="71"/>
      <c r="B340" s="71"/>
      <c r="C340" s="71"/>
      <c r="D340" s="71"/>
      <c r="E340" s="71"/>
      <c r="F340" s="71"/>
    </row>
    <row r="341" spans="1:6" ht="15" customHeight="1" x14ac:dyDescent="0.35">
      <c r="A341" s="179" t="s">
        <v>295</v>
      </c>
      <c r="B341" s="179"/>
      <c r="C341" s="179"/>
      <c r="D341" s="179"/>
      <c r="E341" s="179"/>
      <c r="F341" s="179"/>
    </row>
    <row r="342" spans="1:6" ht="18" customHeight="1" x14ac:dyDescent="0.35">
      <c r="A342" s="179"/>
      <c r="B342" s="179"/>
      <c r="C342" s="179"/>
      <c r="D342" s="179"/>
      <c r="E342" s="179"/>
      <c r="F342" s="179"/>
    </row>
    <row r="343" spans="1:6" x14ac:dyDescent="0.35">
      <c r="A343" s="71"/>
      <c r="B343" s="71"/>
      <c r="C343" s="71"/>
      <c r="D343" s="71"/>
      <c r="E343" s="71"/>
      <c r="F343" s="71"/>
    </row>
    <row r="344" spans="1:6" ht="32.25" customHeight="1" x14ac:dyDescent="0.35">
      <c r="A344" s="179" t="s">
        <v>296</v>
      </c>
      <c r="B344" s="179"/>
      <c r="C344" s="179"/>
      <c r="D344" s="179"/>
      <c r="E344" s="179"/>
      <c r="F344" s="179"/>
    </row>
    <row r="345" spans="1:6" ht="15" customHeight="1" x14ac:dyDescent="0.35">
      <c r="A345" s="187" t="s">
        <v>297</v>
      </c>
      <c r="B345" s="179"/>
      <c r="C345" s="179"/>
      <c r="D345" s="179"/>
      <c r="E345" s="179"/>
      <c r="F345" s="179"/>
    </row>
    <row r="346" spans="1:6" ht="15" customHeight="1" x14ac:dyDescent="0.35">
      <c r="A346" s="179" t="s">
        <v>298</v>
      </c>
      <c r="B346" s="179"/>
      <c r="C346" s="179"/>
      <c r="D346" s="179"/>
      <c r="E346" s="179"/>
      <c r="F346" s="179"/>
    </row>
    <row r="347" spans="1:6" ht="15" customHeight="1" x14ac:dyDescent="0.35">
      <c r="A347" s="179" t="s">
        <v>299</v>
      </c>
      <c r="B347" s="179"/>
      <c r="C347" s="179"/>
      <c r="D347" s="179"/>
      <c r="E347" s="179"/>
      <c r="F347" s="179"/>
    </row>
    <row r="348" spans="1:6" ht="15" customHeight="1" x14ac:dyDescent="0.35">
      <c r="A348" s="179" t="s">
        <v>300</v>
      </c>
      <c r="B348" s="179"/>
      <c r="C348" s="179"/>
      <c r="D348" s="179"/>
      <c r="E348" s="179"/>
      <c r="F348" s="179"/>
    </row>
    <row r="349" spans="1:6" ht="15" customHeight="1" x14ac:dyDescent="0.35">
      <c r="A349" s="179" t="s">
        <v>301</v>
      </c>
      <c r="B349" s="179"/>
      <c r="C349" s="179"/>
      <c r="D349" s="179"/>
      <c r="E349" s="179"/>
      <c r="F349" s="179"/>
    </row>
    <row r="350" spans="1:6" ht="15" customHeight="1" x14ac:dyDescent="0.35">
      <c r="A350" s="179" t="s">
        <v>302</v>
      </c>
      <c r="B350" s="179"/>
      <c r="C350" s="179"/>
      <c r="D350" s="179"/>
      <c r="E350" s="179"/>
      <c r="F350" s="179"/>
    </row>
    <row r="351" spans="1:6" ht="15" customHeight="1" x14ac:dyDescent="0.35">
      <c r="A351" s="179" t="s">
        <v>303</v>
      </c>
      <c r="B351" s="179"/>
      <c r="C351" s="179"/>
      <c r="D351" s="179"/>
      <c r="E351" s="179"/>
      <c r="F351" s="179"/>
    </row>
    <row r="352" spans="1:6" ht="15" customHeight="1" x14ac:dyDescent="0.35">
      <c r="A352" s="187" t="s">
        <v>304</v>
      </c>
      <c r="B352" s="187"/>
      <c r="C352" s="187"/>
      <c r="D352" s="187"/>
      <c r="E352" s="187"/>
      <c r="F352" s="187"/>
    </row>
    <row r="353" spans="1:6" ht="15" customHeight="1" x14ac:dyDescent="0.35">
      <c r="A353" s="179" t="s">
        <v>305</v>
      </c>
      <c r="B353" s="179"/>
      <c r="C353" s="179"/>
      <c r="D353" s="179"/>
      <c r="E353" s="179"/>
      <c r="F353" s="179"/>
    </row>
    <row r="354" spans="1:6" x14ac:dyDescent="0.35">
      <c r="A354" s="71"/>
      <c r="B354" s="71"/>
      <c r="C354" s="71"/>
      <c r="D354" s="71"/>
      <c r="E354" s="71"/>
      <c r="F354" s="71"/>
    </row>
    <row r="355" spans="1:6" ht="15" customHeight="1" x14ac:dyDescent="0.35">
      <c r="A355" s="179" t="s">
        <v>306</v>
      </c>
      <c r="B355" s="179"/>
      <c r="C355" s="179"/>
      <c r="D355" s="179"/>
      <c r="E355" s="179"/>
      <c r="F355" s="179"/>
    </row>
    <row r="356" spans="1:6" x14ac:dyDescent="0.35">
      <c r="A356" s="179"/>
      <c r="B356" s="179"/>
      <c r="C356" s="179"/>
      <c r="D356" s="179"/>
      <c r="E356" s="179"/>
      <c r="F356" s="179"/>
    </row>
    <row r="357" spans="1:6" x14ac:dyDescent="0.35">
      <c r="A357" s="71"/>
      <c r="B357" s="71"/>
      <c r="C357" s="71"/>
      <c r="D357" s="71"/>
      <c r="E357" s="71"/>
      <c r="F357" s="71"/>
    </row>
    <row r="358" spans="1:6" ht="15" customHeight="1" x14ac:dyDescent="0.35">
      <c r="A358" s="179" t="s">
        <v>307</v>
      </c>
      <c r="B358" s="179"/>
      <c r="C358" s="179"/>
      <c r="D358" s="179"/>
      <c r="E358" s="179"/>
      <c r="F358" s="179"/>
    </row>
    <row r="359" spans="1:6" x14ac:dyDescent="0.35">
      <c r="A359" s="179"/>
      <c r="B359" s="179"/>
      <c r="C359" s="179"/>
      <c r="D359" s="179"/>
      <c r="E359" s="179"/>
      <c r="F359" s="179"/>
    </row>
    <row r="360" spans="1:6" x14ac:dyDescent="0.35">
      <c r="A360" s="179"/>
      <c r="B360" s="179"/>
      <c r="C360" s="179"/>
      <c r="D360" s="179"/>
      <c r="E360" s="179"/>
      <c r="F360" s="179"/>
    </row>
    <row r="361" spans="1:6" ht="22.5" customHeight="1" x14ac:dyDescent="0.35">
      <c r="A361" s="179"/>
      <c r="B361" s="179"/>
      <c r="C361" s="179"/>
      <c r="D361" s="179"/>
      <c r="E361" s="179"/>
      <c r="F361" s="179"/>
    </row>
    <row r="362" spans="1:6" x14ac:dyDescent="0.35">
      <c r="A362" s="66"/>
      <c r="B362" s="66"/>
      <c r="C362" s="66"/>
      <c r="D362" s="66"/>
      <c r="E362" s="66"/>
      <c r="F362" s="66"/>
    </row>
    <row r="363" spans="1:6" ht="15" customHeight="1" x14ac:dyDescent="0.35">
      <c r="A363" s="179" t="s">
        <v>308</v>
      </c>
      <c r="B363" s="179"/>
      <c r="C363" s="179"/>
      <c r="D363" s="179"/>
      <c r="E363" s="179"/>
      <c r="F363" s="179"/>
    </row>
    <row r="364" spans="1:6" x14ac:dyDescent="0.35">
      <c r="A364" s="179"/>
      <c r="B364" s="179"/>
      <c r="C364" s="179"/>
      <c r="D364" s="179"/>
      <c r="E364" s="179"/>
      <c r="F364" s="179"/>
    </row>
    <row r="365" spans="1:6" x14ac:dyDescent="0.35">
      <c r="A365" s="66"/>
      <c r="B365" s="66"/>
      <c r="C365" s="66"/>
      <c r="D365" s="66"/>
      <c r="E365" s="66"/>
      <c r="F365" s="66"/>
    </row>
    <row r="366" spans="1:6" ht="30" customHeight="1" x14ac:dyDescent="0.35">
      <c r="A366" s="179" t="s">
        <v>309</v>
      </c>
      <c r="B366" s="179"/>
      <c r="C366" s="179"/>
      <c r="D366" s="179"/>
      <c r="E366" s="179"/>
      <c r="F366" s="179"/>
    </row>
    <row r="367" spans="1:6" x14ac:dyDescent="0.35">
      <c r="A367" s="66"/>
      <c r="B367" s="66"/>
      <c r="C367" s="66"/>
      <c r="D367" s="66"/>
      <c r="E367" s="66"/>
      <c r="F367" s="66"/>
    </row>
    <row r="368" spans="1:6" ht="15" customHeight="1" x14ac:dyDescent="0.35">
      <c r="A368" s="179" t="s">
        <v>310</v>
      </c>
      <c r="B368" s="179"/>
      <c r="C368" s="179"/>
      <c r="D368" s="179"/>
      <c r="E368" s="179"/>
      <c r="F368" s="179"/>
    </row>
    <row r="369" spans="1:6" x14ac:dyDescent="0.35">
      <c r="A369" s="66"/>
      <c r="B369" s="66"/>
      <c r="C369" s="66"/>
      <c r="D369" s="66"/>
      <c r="E369" s="66"/>
      <c r="F369" s="66"/>
    </row>
    <row r="370" spans="1:6" ht="15" customHeight="1" x14ac:dyDescent="0.35">
      <c r="A370" s="179" t="s">
        <v>311</v>
      </c>
      <c r="B370" s="179"/>
      <c r="C370" s="179"/>
      <c r="D370" s="179"/>
      <c r="E370" s="179"/>
      <c r="F370" s="179"/>
    </row>
    <row r="371" spans="1:6" ht="26.25" customHeight="1" x14ac:dyDescent="0.35">
      <c r="A371" s="179"/>
      <c r="B371" s="179"/>
      <c r="C371" s="179"/>
      <c r="D371" s="179"/>
      <c r="E371" s="179"/>
      <c r="F371" s="179"/>
    </row>
    <row r="372" spans="1:6" x14ac:dyDescent="0.35">
      <c r="A372" s="66"/>
      <c r="B372" s="66"/>
      <c r="C372" s="66"/>
      <c r="D372" s="66"/>
      <c r="E372" s="66"/>
      <c r="F372" s="66"/>
    </row>
    <row r="373" spans="1:6" ht="15" customHeight="1" x14ac:dyDescent="0.35">
      <c r="A373" s="179" t="s">
        <v>312</v>
      </c>
      <c r="B373" s="179"/>
      <c r="C373" s="179"/>
      <c r="D373" s="179"/>
      <c r="E373" s="179"/>
      <c r="F373" s="179"/>
    </row>
    <row r="374" spans="1:6" x14ac:dyDescent="0.35">
      <c r="A374" s="179"/>
      <c r="B374" s="179"/>
      <c r="C374" s="179"/>
      <c r="D374" s="179"/>
      <c r="E374" s="179"/>
      <c r="F374" s="179"/>
    </row>
    <row r="375" spans="1:6" x14ac:dyDescent="0.35">
      <c r="A375" s="66"/>
      <c r="B375" s="66"/>
      <c r="C375" s="66"/>
      <c r="D375" s="66"/>
      <c r="E375" s="66"/>
      <c r="F375" s="66"/>
    </row>
    <row r="376" spans="1:6" ht="15" customHeight="1" x14ac:dyDescent="0.35">
      <c r="A376" s="179" t="s">
        <v>313</v>
      </c>
      <c r="B376" s="179"/>
      <c r="C376" s="179"/>
      <c r="D376" s="179"/>
      <c r="E376" s="179"/>
      <c r="F376" s="179"/>
    </row>
    <row r="377" spans="1:6" x14ac:dyDescent="0.35">
      <c r="A377" s="179"/>
      <c r="B377" s="179"/>
      <c r="C377" s="179"/>
      <c r="D377" s="179"/>
      <c r="E377" s="179"/>
      <c r="F377" s="179"/>
    </row>
    <row r="378" spans="1:6" x14ac:dyDescent="0.35">
      <c r="A378" s="66"/>
      <c r="B378" s="66"/>
      <c r="C378" s="66"/>
      <c r="D378" s="66"/>
      <c r="E378" s="66"/>
      <c r="F378" s="66"/>
    </row>
    <row r="379" spans="1:6" ht="15" customHeight="1" x14ac:dyDescent="0.35">
      <c r="A379" s="179" t="s">
        <v>314</v>
      </c>
      <c r="B379" s="179"/>
      <c r="C379" s="179"/>
      <c r="D379" s="179"/>
      <c r="E379" s="179"/>
      <c r="F379" s="179"/>
    </row>
    <row r="380" spans="1:6" x14ac:dyDescent="0.35">
      <c r="A380" s="179"/>
      <c r="B380" s="179"/>
      <c r="C380" s="179"/>
      <c r="D380" s="179"/>
      <c r="E380" s="179"/>
      <c r="F380" s="179"/>
    </row>
    <row r="381" spans="1:6" x14ac:dyDescent="0.35">
      <c r="A381" s="66"/>
      <c r="B381" s="66"/>
      <c r="C381" s="66"/>
      <c r="D381" s="66"/>
      <c r="E381" s="66"/>
      <c r="F381" s="66"/>
    </row>
    <row r="382" spans="1:6" ht="15" customHeight="1" x14ac:dyDescent="0.35">
      <c r="A382" s="179" t="s">
        <v>315</v>
      </c>
      <c r="B382" s="179"/>
      <c r="C382" s="179"/>
      <c r="D382" s="179"/>
      <c r="E382" s="179"/>
      <c r="F382" s="179"/>
    </row>
    <row r="383" spans="1:6" x14ac:dyDescent="0.35">
      <c r="A383" s="179"/>
      <c r="B383" s="179"/>
      <c r="C383" s="179"/>
      <c r="D383" s="179"/>
      <c r="E383" s="179"/>
      <c r="F383" s="179"/>
    </row>
    <row r="384" spans="1:6" x14ac:dyDescent="0.35">
      <c r="A384" s="179"/>
      <c r="B384" s="179"/>
      <c r="C384" s="179"/>
      <c r="D384" s="179"/>
      <c r="E384" s="179"/>
      <c r="F384" s="179"/>
    </row>
    <row r="385" spans="1:6" x14ac:dyDescent="0.35">
      <c r="A385" s="66"/>
      <c r="B385" s="66"/>
      <c r="C385" s="66"/>
      <c r="D385" s="66"/>
      <c r="E385" s="66"/>
      <c r="F385" s="66"/>
    </row>
    <row r="386" spans="1:6" ht="15" customHeight="1" x14ac:dyDescent="0.3">
      <c r="A386" s="78" t="s">
        <v>316</v>
      </c>
      <c r="B386" s="78"/>
      <c r="C386" s="79"/>
      <c r="D386" s="78"/>
      <c r="E386" s="78"/>
      <c r="F386" s="78"/>
    </row>
    <row r="387" spans="1:6" ht="15" customHeight="1" x14ac:dyDescent="0.3">
      <c r="A387" s="78" t="s">
        <v>317</v>
      </c>
      <c r="B387" s="78"/>
      <c r="C387" s="79"/>
      <c r="D387" s="78"/>
      <c r="E387" s="78"/>
      <c r="F387" s="78"/>
    </row>
    <row r="388" spans="1:6" ht="15" customHeight="1" x14ac:dyDescent="0.3">
      <c r="A388" s="78" t="s">
        <v>318</v>
      </c>
      <c r="B388" s="78"/>
      <c r="C388" s="79"/>
      <c r="D388" s="78"/>
      <c r="E388" s="78"/>
      <c r="F388" s="78"/>
    </row>
    <row r="389" spans="1:6" ht="15" customHeight="1" x14ac:dyDescent="0.3">
      <c r="A389" s="78" t="s">
        <v>319</v>
      </c>
      <c r="B389" s="78"/>
      <c r="C389" s="79"/>
      <c r="D389" s="78"/>
      <c r="E389" s="78"/>
      <c r="F389" s="78"/>
    </row>
    <row r="390" spans="1:6" ht="15" customHeight="1" x14ac:dyDescent="0.3">
      <c r="A390" s="78" t="s">
        <v>320</v>
      </c>
      <c r="B390" s="78"/>
      <c r="C390" s="79"/>
      <c r="D390" s="78"/>
      <c r="E390" s="78"/>
      <c r="F390" s="78"/>
    </row>
    <row r="391" spans="1:6" ht="15" customHeight="1" x14ac:dyDescent="0.3">
      <c r="A391" s="78" t="s">
        <v>321</v>
      </c>
      <c r="B391" s="78"/>
      <c r="C391" s="79"/>
      <c r="D391" s="78"/>
      <c r="E391" s="78"/>
      <c r="F391" s="78"/>
    </row>
    <row r="392" spans="1:6" ht="15" customHeight="1" x14ac:dyDescent="0.3">
      <c r="A392" s="78" t="s">
        <v>322</v>
      </c>
      <c r="B392" s="78"/>
      <c r="C392" s="79"/>
      <c r="D392" s="78"/>
      <c r="E392" s="78"/>
      <c r="F392" s="78"/>
    </row>
    <row r="393" spans="1:6" ht="15" customHeight="1" x14ac:dyDescent="0.3">
      <c r="A393" s="78" t="s">
        <v>323</v>
      </c>
      <c r="B393" s="78"/>
      <c r="C393" s="79"/>
      <c r="D393" s="78"/>
      <c r="E393" s="78"/>
      <c r="F393" s="78"/>
    </row>
    <row r="394" spans="1:6" ht="15" customHeight="1" x14ac:dyDescent="0.3">
      <c r="A394" s="78" t="s">
        <v>324</v>
      </c>
      <c r="B394" s="78"/>
      <c r="C394" s="79"/>
      <c r="D394" s="78"/>
      <c r="E394" s="78"/>
      <c r="F394" s="78"/>
    </row>
    <row r="395" spans="1:6" ht="15" customHeight="1" x14ac:dyDescent="0.3">
      <c r="A395" s="78" t="s">
        <v>325</v>
      </c>
      <c r="B395" s="78"/>
      <c r="C395" s="79"/>
      <c r="D395" s="78"/>
      <c r="E395" s="78"/>
      <c r="F395" s="78"/>
    </row>
    <row r="396" spans="1:6" ht="15" customHeight="1" x14ac:dyDescent="0.3">
      <c r="A396" s="78" t="s">
        <v>326</v>
      </c>
      <c r="B396" s="78"/>
      <c r="C396" s="79"/>
      <c r="D396" s="78"/>
      <c r="E396" s="78"/>
      <c r="F396" s="78"/>
    </row>
    <row r="397" spans="1:6" ht="15" customHeight="1" x14ac:dyDescent="0.3">
      <c r="A397" s="78" t="s">
        <v>327</v>
      </c>
      <c r="B397" s="78"/>
      <c r="C397" s="79"/>
      <c r="D397" s="78"/>
      <c r="E397" s="78"/>
      <c r="F397" s="78"/>
    </row>
    <row r="398" spans="1:6" ht="15" customHeight="1" x14ac:dyDescent="0.3">
      <c r="A398" s="78" t="s">
        <v>328</v>
      </c>
      <c r="B398" s="78"/>
      <c r="C398" s="79"/>
      <c r="D398" s="78"/>
      <c r="E398" s="78"/>
      <c r="F398" s="78"/>
    </row>
    <row r="399" spans="1:6" ht="15" customHeight="1" x14ac:dyDescent="0.3">
      <c r="A399" s="78" t="s">
        <v>329</v>
      </c>
      <c r="B399" s="78"/>
      <c r="C399" s="79"/>
      <c r="D399" s="78"/>
      <c r="E399" s="78"/>
      <c r="F399" s="78"/>
    </row>
    <row r="400" spans="1:6" ht="15" customHeight="1" x14ac:dyDescent="0.3">
      <c r="A400" s="78" t="s">
        <v>330</v>
      </c>
      <c r="B400" s="78"/>
      <c r="C400" s="79"/>
      <c r="D400" s="78"/>
      <c r="E400" s="78"/>
      <c r="F400" s="78"/>
    </row>
    <row r="401" spans="1:6" ht="15" customHeight="1" x14ac:dyDescent="0.3">
      <c r="A401" s="78" t="s">
        <v>331</v>
      </c>
      <c r="B401" s="78"/>
      <c r="C401" s="79"/>
      <c r="D401" s="78"/>
      <c r="E401" s="78"/>
      <c r="F401" s="78"/>
    </row>
    <row r="402" spans="1:6" ht="15" customHeight="1" x14ac:dyDescent="0.3">
      <c r="A402" s="78" t="s">
        <v>332</v>
      </c>
      <c r="B402" s="78"/>
      <c r="C402" s="79"/>
      <c r="D402" s="78"/>
      <c r="E402" s="78"/>
      <c r="F402" s="78"/>
    </row>
    <row r="403" spans="1:6" ht="15" customHeight="1" x14ac:dyDescent="0.3">
      <c r="A403" s="78" t="s">
        <v>333</v>
      </c>
      <c r="B403" s="78"/>
      <c r="C403" s="79"/>
      <c r="D403" s="78"/>
      <c r="E403" s="78"/>
      <c r="F403" s="78"/>
    </row>
    <row r="404" spans="1:6" ht="15" customHeight="1" x14ac:dyDescent="0.3">
      <c r="A404" s="78" t="s">
        <v>334</v>
      </c>
      <c r="B404" s="78"/>
      <c r="C404" s="79"/>
      <c r="D404" s="78"/>
      <c r="E404" s="78"/>
      <c r="F404" s="78"/>
    </row>
    <row r="405" spans="1:6" ht="15" customHeight="1" x14ac:dyDescent="0.3">
      <c r="A405" s="78" t="s">
        <v>335</v>
      </c>
      <c r="B405" s="78"/>
      <c r="C405" s="79"/>
      <c r="D405" s="78"/>
      <c r="E405" s="78"/>
      <c r="F405" s="78"/>
    </row>
    <row r="406" spans="1:6" ht="15" customHeight="1" x14ac:dyDescent="0.3">
      <c r="A406" s="78" t="s">
        <v>336</v>
      </c>
      <c r="B406" s="78"/>
      <c r="C406" s="79"/>
      <c r="D406" s="78"/>
      <c r="E406" s="78"/>
      <c r="F406" s="78"/>
    </row>
    <row r="407" spans="1:6" ht="15" customHeight="1" x14ac:dyDescent="0.3">
      <c r="A407" s="78" t="s">
        <v>337</v>
      </c>
      <c r="B407" s="78"/>
      <c r="C407" s="79"/>
      <c r="D407" s="78"/>
      <c r="E407" s="78"/>
      <c r="F407" s="78"/>
    </row>
    <row r="408" spans="1:6" ht="15" customHeight="1" x14ac:dyDescent="0.3">
      <c r="A408" s="78" t="s">
        <v>338</v>
      </c>
      <c r="B408" s="78"/>
      <c r="C408" s="79"/>
      <c r="D408" s="78"/>
      <c r="E408" s="78"/>
      <c r="F408" s="78"/>
    </row>
    <row r="409" spans="1:6" ht="15" customHeight="1" x14ac:dyDescent="0.3">
      <c r="A409" s="78" t="s">
        <v>339</v>
      </c>
      <c r="B409" s="78"/>
      <c r="C409" s="79"/>
      <c r="D409" s="78"/>
      <c r="E409" s="78"/>
      <c r="F409" s="78"/>
    </row>
    <row r="410" spans="1:6" x14ac:dyDescent="0.35">
      <c r="A410" s="66"/>
      <c r="B410" s="66"/>
      <c r="C410" s="66"/>
      <c r="D410" s="67"/>
      <c r="E410" s="67"/>
      <c r="F410" s="67"/>
    </row>
    <row r="411" spans="1:6" ht="15" customHeight="1" x14ac:dyDescent="0.35">
      <c r="A411" s="182" t="s">
        <v>340</v>
      </c>
      <c r="B411" s="182"/>
      <c r="C411" s="182"/>
      <c r="D411" s="182"/>
      <c r="E411" s="182"/>
      <c r="F411" s="182"/>
    </row>
    <row r="412" spans="1:6" x14ac:dyDescent="0.35">
      <c r="A412" s="66"/>
      <c r="B412" s="66"/>
      <c r="C412" s="66"/>
      <c r="D412" s="67"/>
      <c r="E412" s="67"/>
      <c r="F412" s="67"/>
    </row>
    <row r="413" spans="1:6" ht="28.5" customHeight="1" x14ac:dyDescent="0.35">
      <c r="A413" s="179" t="s">
        <v>341</v>
      </c>
      <c r="B413" s="179"/>
      <c r="C413" s="179"/>
      <c r="D413" s="179"/>
      <c r="E413" s="179"/>
      <c r="F413" s="179"/>
    </row>
    <row r="414" spans="1:6" x14ac:dyDescent="0.35">
      <c r="A414" s="66"/>
      <c r="B414" s="66"/>
      <c r="C414" s="66"/>
      <c r="D414" s="67"/>
      <c r="E414" s="67"/>
      <c r="F414" s="67"/>
    </row>
    <row r="415" spans="1:6" ht="15" customHeight="1" x14ac:dyDescent="0.35">
      <c r="A415" s="179" t="s">
        <v>342</v>
      </c>
      <c r="B415" s="179"/>
      <c r="C415" s="179"/>
      <c r="D415" s="179"/>
      <c r="E415" s="179"/>
      <c r="F415" s="179"/>
    </row>
    <row r="416" spans="1:6" x14ac:dyDescent="0.35">
      <c r="A416" s="71"/>
      <c r="B416" s="66"/>
      <c r="C416" s="66"/>
      <c r="D416" s="67"/>
      <c r="E416" s="67"/>
      <c r="F416" s="67"/>
    </row>
    <row r="417" spans="1:6" ht="15" customHeight="1" x14ac:dyDescent="0.35">
      <c r="A417" s="178" t="s">
        <v>343</v>
      </c>
      <c r="B417" s="178"/>
      <c r="C417" s="66"/>
      <c r="D417" s="67"/>
      <c r="E417" s="67"/>
      <c r="F417" s="67"/>
    </row>
    <row r="418" spans="1:6" ht="27" customHeight="1" x14ac:dyDescent="0.35">
      <c r="A418" s="179" t="s">
        <v>344</v>
      </c>
      <c r="B418" s="179"/>
      <c r="C418" s="179"/>
      <c r="D418" s="179"/>
      <c r="E418" s="179"/>
      <c r="F418" s="179"/>
    </row>
    <row r="419" spans="1:6" x14ac:dyDescent="0.35">
      <c r="A419" s="71"/>
      <c r="B419" s="71"/>
      <c r="C419" s="71"/>
      <c r="D419" s="71"/>
      <c r="E419" s="71"/>
      <c r="F419" s="71"/>
    </row>
    <row r="420" spans="1:6" ht="15" customHeight="1" x14ac:dyDescent="0.35">
      <c r="A420" s="71" t="s">
        <v>345</v>
      </c>
      <c r="B420" s="71"/>
      <c r="C420" s="71"/>
      <c r="D420" s="71"/>
      <c r="E420" s="71"/>
      <c r="F420" s="71"/>
    </row>
    <row r="421" spans="1:6" ht="15" customHeight="1" x14ac:dyDescent="0.35">
      <c r="A421" s="178" t="s">
        <v>346</v>
      </c>
      <c r="B421" s="178"/>
      <c r="C421" s="178"/>
      <c r="D421" s="178"/>
      <c r="E421" s="178"/>
      <c r="F421" s="178"/>
    </row>
    <row r="422" spans="1:6" ht="15" customHeight="1" x14ac:dyDescent="0.35">
      <c r="A422" s="178" t="s">
        <v>347</v>
      </c>
      <c r="B422" s="178"/>
      <c r="C422" s="178"/>
      <c r="D422" s="178"/>
      <c r="E422" s="178"/>
      <c r="F422" s="178"/>
    </row>
    <row r="423" spans="1:6" ht="15" customHeight="1" x14ac:dyDescent="0.35">
      <c r="A423" s="178" t="s">
        <v>348</v>
      </c>
      <c r="B423" s="178"/>
      <c r="C423" s="178"/>
      <c r="D423" s="178"/>
      <c r="E423" s="178"/>
      <c r="F423" s="178"/>
    </row>
    <row r="424" spans="1:6" ht="15" customHeight="1" x14ac:dyDescent="0.35">
      <c r="A424" s="178" t="s">
        <v>349</v>
      </c>
      <c r="B424" s="178"/>
      <c r="C424" s="178"/>
      <c r="D424" s="178"/>
      <c r="E424" s="178"/>
      <c r="F424" s="178"/>
    </row>
    <row r="425" spans="1:6" ht="15" customHeight="1" x14ac:dyDescent="0.35">
      <c r="A425" s="178" t="s">
        <v>350</v>
      </c>
      <c r="B425" s="178"/>
      <c r="C425" s="178"/>
      <c r="D425" s="178"/>
      <c r="E425" s="178"/>
      <c r="F425" s="178"/>
    </row>
    <row r="426" spans="1:6" x14ac:dyDescent="0.35">
      <c r="A426" s="71"/>
      <c r="B426" s="71"/>
      <c r="C426" s="71"/>
      <c r="D426" s="71"/>
      <c r="E426" s="71"/>
      <c r="F426" s="71"/>
    </row>
    <row r="427" spans="1:6" ht="15" customHeight="1" x14ac:dyDescent="0.35">
      <c r="A427" s="178" t="s">
        <v>351</v>
      </c>
      <c r="B427" s="178"/>
      <c r="C427" s="66"/>
      <c r="D427" s="67"/>
      <c r="E427" s="67"/>
      <c r="F427" s="67"/>
    </row>
    <row r="428" spans="1:6" ht="15" customHeight="1" x14ac:dyDescent="0.35">
      <c r="A428" s="178" t="s">
        <v>352</v>
      </c>
      <c r="B428" s="178"/>
      <c r="C428" s="178"/>
      <c r="D428" s="178"/>
      <c r="E428" s="178"/>
      <c r="F428" s="178"/>
    </row>
    <row r="429" spans="1:6" ht="15" customHeight="1" x14ac:dyDescent="0.35">
      <c r="A429" s="178" t="s">
        <v>353</v>
      </c>
      <c r="B429" s="178"/>
      <c r="C429" s="178"/>
      <c r="D429" s="178"/>
      <c r="E429" s="178"/>
      <c r="F429" s="178"/>
    </row>
    <row r="430" spans="1:6" ht="15" customHeight="1" x14ac:dyDescent="0.35">
      <c r="A430" s="178" t="s">
        <v>354</v>
      </c>
      <c r="B430" s="178"/>
      <c r="C430" s="178"/>
      <c r="D430" s="178"/>
      <c r="E430" s="178"/>
      <c r="F430" s="178"/>
    </row>
    <row r="431" spans="1:6" x14ac:dyDescent="0.35">
      <c r="A431" s="66"/>
      <c r="B431" s="66"/>
      <c r="C431" s="66"/>
      <c r="D431" s="67"/>
      <c r="E431" s="67"/>
      <c r="F431" s="67"/>
    </row>
    <row r="432" spans="1:6" ht="15" customHeight="1" x14ac:dyDescent="0.35">
      <c r="A432" s="182" t="s">
        <v>355</v>
      </c>
      <c r="B432" s="182"/>
      <c r="C432" s="182"/>
      <c r="D432" s="182"/>
      <c r="E432" s="182"/>
      <c r="F432" s="182"/>
    </row>
    <row r="433" spans="1:6" x14ac:dyDescent="0.35">
      <c r="A433" s="66"/>
      <c r="B433" s="66"/>
      <c r="C433" s="66"/>
      <c r="D433" s="67"/>
      <c r="E433" s="67"/>
      <c r="F433" s="67"/>
    </row>
    <row r="434" spans="1:6" ht="33.75" customHeight="1" x14ac:dyDescent="0.35">
      <c r="A434" s="178" t="s">
        <v>356</v>
      </c>
      <c r="B434" s="178"/>
      <c r="C434" s="178"/>
      <c r="D434" s="178"/>
      <c r="E434" s="178"/>
      <c r="F434" s="178"/>
    </row>
    <row r="435" spans="1:6" x14ac:dyDescent="0.35">
      <c r="A435" s="66"/>
      <c r="B435" s="66"/>
      <c r="C435" s="66"/>
      <c r="D435" s="67"/>
      <c r="E435" s="67"/>
      <c r="F435" s="67"/>
    </row>
    <row r="436" spans="1:6" ht="28.5" customHeight="1" x14ac:dyDescent="0.35">
      <c r="A436" s="179" t="s">
        <v>357</v>
      </c>
      <c r="B436" s="179"/>
      <c r="C436" s="179"/>
      <c r="D436" s="179"/>
      <c r="E436" s="179"/>
      <c r="F436" s="179"/>
    </row>
    <row r="437" spans="1:6" x14ac:dyDescent="0.35">
      <c r="A437" s="66"/>
      <c r="B437" s="66"/>
      <c r="C437" s="66"/>
      <c r="D437" s="66"/>
      <c r="E437" s="66"/>
      <c r="F437" s="66"/>
    </row>
    <row r="438" spans="1:6" ht="15" customHeight="1" x14ac:dyDescent="0.35">
      <c r="A438" s="178" t="s">
        <v>358</v>
      </c>
      <c r="B438" s="178"/>
      <c r="C438" s="178"/>
      <c r="D438" s="178"/>
      <c r="E438" s="178"/>
      <c r="F438" s="178"/>
    </row>
    <row r="439" spans="1:6" x14ac:dyDescent="0.35">
      <c r="A439" s="66"/>
      <c r="B439" s="66"/>
      <c r="C439" s="66"/>
      <c r="D439" s="67"/>
      <c r="E439" s="67"/>
      <c r="F439" s="67"/>
    </row>
    <row r="440" spans="1:6" ht="31.5" customHeight="1" x14ac:dyDescent="0.35">
      <c r="A440" s="179" t="s">
        <v>359</v>
      </c>
      <c r="B440" s="179"/>
      <c r="C440" s="179"/>
      <c r="D440" s="179"/>
      <c r="E440" s="179"/>
      <c r="F440" s="179"/>
    </row>
    <row r="441" spans="1:6" x14ac:dyDescent="0.35">
      <c r="A441" s="71"/>
      <c r="B441" s="71"/>
      <c r="C441" s="71"/>
      <c r="D441" s="71"/>
      <c r="E441" s="71"/>
      <c r="F441" s="71"/>
    </row>
    <row r="442" spans="1:6" ht="15" customHeight="1" x14ac:dyDescent="0.35">
      <c r="A442" s="179" t="s">
        <v>360</v>
      </c>
      <c r="B442" s="179"/>
      <c r="C442" s="179"/>
      <c r="D442" s="179"/>
      <c r="E442" s="179"/>
      <c r="F442" s="179"/>
    </row>
    <row r="443" spans="1:6" x14ac:dyDescent="0.35">
      <c r="A443" s="179"/>
      <c r="B443" s="179"/>
      <c r="C443" s="179"/>
      <c r="D443" s="179"/>
      <c r="E443" s="179"/>
      <c r="F443" s="179"/>
    </row>
    <row r="444" spans="1:6" x14ac:dyDescent="0.35">
      <c r="A444" s="71"/>
      <c r="B444" s="71"/>
      <c r="C444" s="71"/>
      <c r="D444" s="72"/>
      <c r="E444" s="72"/>
      <c r="F444" s="72"/>
    </row>
    <row r="445" spans="1:6" ht="15" customHeight="1" x14ac:dyDescent="0.35">
      <c r="A445" s="63" t="s">
        <v>361</v>
      </c>
      <c r="B445" s="63"/>
      <c r="C445" s="71"/>
      <c r="D445" s="72"/>
      <c r="E445" s="72"/>
      <c r="F445" s="72"/>
    </row>
    <row r="446" spans="1:6" x14ac:dyDescent="0.35">
      <c r="A446" s="71"/>
      <c r="B446" s="71"/>
      <c r="C446" s="71"/>
      <c r="D446" s="72"/>
      <c r="E446" s="72"/>
      <c r="F446" s="72"/>
    </row>
    <row r="447" spans="1:6" ht="15" customHeight="1" x14ac:dyDescent="0.35">
      <c r="A447" s="179" t="s">
        <v>362</v>
      </c>
      <c r="B447" s="179"/>
      <c r="C447" s="179"/>
      <c r="D447" s="179"/>
      <c r="E447" s="179"/>
      <c r="F447" s="179"/>
    </row>
    <row r="448" spans="1:6" x14ac:dyDescent="0.35">
      <c r="A448" s="66"/>
      <c r="B448" s="71"/>
      <c r="C448" s="71"/>
      <c r="D448" s="72"/>
      <c r="E448" s="72"/>
      <c r="F448" s="72"/>
    </row>
    <row r="449" spans="1:6" ht="15" customHeight="1" x14ac:dyDescent="0.35">
      <c r="A449" s="179" t="s">
        <v>363</v>
      </c>
      <c r="B449" s="179"/>
      <c r="C449" s="179"/>
      <c r="D449" s="179"/>
      <c r="E449" s="179"/>
      <c r="F449" s="179"/>
    </row>
    <row r="450" spans="1:6" ht="15" customHeight="1" x14ac:dyDescent="0.35">
      <c r="A450" s="179" t="s">
        <v>364</v>
      </c>
      <c r="B450" s="179"/>
      <c r="C450" s="179"/>
      <c r="D450" s="179"/>
      <c r="E450" s="179"/>
      <c r="F450" s="179"/>
    </row>
    <row r="451" spans="1:6" ht="15" customHeight="1" x14ac:dyDescent="0.35">
      <c r="A451" s="179" t="s">
        <v>365</v>
      </c>
      <c r="B451" s="179"/>
      <c r="C451" s="179"/>
      <c r="D451" s="179"/>
      <c r="E451" s="179"/>
      <c r="F451" s="179"/>
    </row>
    <row r="452" spans="1:6" ht="15" customHeight="1" x14ac:dyDescent="0.35">
      <c r="A452" s="179" t="s">
        <v>366</v>
      </c>
      <c r="B452" s="179"/>
      <c r="C452" s="179"/>
      <c r="D452" s="179"/>
      <c r="E452" s="179"/>
      <c r="F452" s="179"/>
    </row>
    <row r="453" spans="1:6" x14ac:dyDescent="0.35">
      <c r="A453" s="66"/>
      <c r="B453" s="71"/>
      <c r="C453" s="71"/>
      <c r="D453" s="72"/>
      <c r="E453" s="72"/>
      <c r="F453" s="72"/>
    </row>
    <row r="454" spans="1:6" ht="15" customHeight="1" x14ac:dyDescent="0.35">
      <c r="A454" s="179" t="s">
        <v>367</v>
      </c>
      <c r="B454" s="179"/>
      <c r="C454" s="179"/>
      <c r="D454" s="179"/>
      <c r="E454" s="179"/>
      <c r="F454" s="179"/>
    </row>
    <row r="455" spans="1:6" x14ac:dyDescent="0.35">
      <c r="A455" s="66"/>
      <c r="B455" s="66"/>
      <c r="C455" s="66"/>
      <c r="D455" s="66"/>
      <c r="E455" s="66"/>
      <c r="F455" s="66"/>
    </row>
    <row r="456" spans="1:6" ht="15" customHeight="1" x14ac:dyDescent="0.35">
      <c r="A456" s="176" t="s">
        <v>368</v>
      </c>
      <c r="B456" s="176"/>
      <c r="C456" s="71"/>
      <c r="D456" s="71"/>
      <c r="E456" s="71"/>
      <c r="F456" s="71"/>
    </row>
    <row r="457" spans="1:6" x14ac:dyDescent="0.35">
      <c r="A457" s="71"/>
      <c r="B457" s="71"/>
      <c r="C457" s="71"/>
      <c r="D457" s="71"/>
      <c r="E457" s="71"/>
      <c r="F457" s="71"/>
    </row>
    <row r="458" spans="1:6" ht="15" customHeight="1" x14ac:dyDescent="0.35">
      <c r="A458" s="188" t="s">
        <v>369</v>
      </c>
      <c r="B458" s="188"/>
      <c r="C458" s="188"/>
      <c r="D458" s="188"/>
      <c r="E458" s="188"/>
      <c r="F458" s="188"/>
    </row>
    <row r="459" spans="1:6" x14ac:dyDescent="0.35">
      <c r="A459" s="80"/>
      <c r="B459" s="73"/>
      <c r="C459" s="66"/>
      <c r="D459" s="67"/>
      <c r="E459" s="67"/>
      <c r="F459" s="67"/>
    </row>
    <row r="460" spans="1:6" ht="15" customHeight="1" x14ac:dyDescent="0.35">
      <c r="A460" s="179" t="s">
        <v>370</v>
      </c>
      <c r="B460" s="179"/>
      <c r="C460" s="179"/>
      <c r="D460" s="179"/>
      <c r="E460" s="179"/>
      <c r="F460" s="179"/>
    </row>
    <row r="461" spans="1:6" ht="21.75" customHeight="1" x14ac:dyDescent="0.35">
      <c r="A461" s="179"/>
      <c r="B461" s="179"/>
      <c r="C461" s="179"/>
      <c r="D461" s="179"/>
      <c r="E461" s="179"/>
      <c r="F461" s="179"/>
    </row>
    <row r="462" spans="1:6" x14ac:dyDescent="0.35">
      <c r="A462" s="71"/>
      <c r="B462" s="71"/>
      <c r="C462" s="71"/>
      <c r="D462" s="71"/>
      <c r="E462" s="71"/>
      <c r="F462" s="71"/>
    </row>
    <row r="463" spans="1:6" ht="15" customHeight="1" x14ac:dyDescent="0.35">
      <c r="A463" s="178" t="s">
        <v>371</v>
      </c>
      <c r="B463" s="178"/>
      <c r="C463" s="178"/>
      <c r="D463" s="178"/>
      <c r="E463" s="178"/>
      <c r="F463" s="178"/>
    </row>
    <row r="464" spans="1:6" x14ac:dyDescent="0.35">
      <c r="A464" s="66"/>
      <c r="B464" s="66"/>
      <c r="C464" s="66"/>
      <c r="D464" s="66"/>
      <c r="E464" s="66"/>
      <c r="F464" s="66"/>
    </row>
    <row r="465" spans="1:7" ht="15" customHeight="1" x14ac:dyDescent="0.35">
      <c r="A465" s="190" t="s">
        <v>372</v>
      </c>
      <c r="B465" s="190"/>
      <c r="C465" s="190"/>
      <c r="D465" s="75"/>
      <c r="E465" s="75"/>
      <c r="F465" s="75"/>
      <c r="G465" s="75"/>
    </row>
    <row r="466" spans="1:7" x14ac:dyDescent="0.35">
      <c r="A466" s="75"/>
      <c r="B466" s="75"/>
      <c r="C466" s="75"/>
      <c r="D466" s="75"/>
      <c r="E466" s="75"/>
      <c r="F466" s="75"/>
      <c r="G466" s="75"/>
    </row>
    <row r="467" spans="1:7" ht="15" customHeight="1" x14ac:dyDescent="0.35">
      <c r="A467" s="189" t="s">
        <v>146</v>
      </c>
      <c r="B467" s="189"/>
      <c r="C467" s="189"/>
      <c r="D467" s="82"/>
      <c r="E467" s="82"/>
      <c r="F467" s="82"/>
      <c r="G467" s="82"/>
    </row>
    <row r="468" spans="1:7" x14ac:dyDescent="0.35">
      <c r="A468" s="82"/>
      <c r="B468" s="82"/>
      <c r="C468" s="82"/>
      <c r="D468" s="82"/>
      <c r="E468" s="82"/>
      <c r="F468" s="82"/>
      <c r="G468" s="82"/>
    </row>
    <row r="469" spans="1:7" ht="15" customHeight="1" x14ac:dyDescent="0.35">
      <c r="A469" s="189" t="s">
        <v>373</v>
      </c>
      <c r="B469" s="189"/>
      <c r="C469" s="189"/>
      <c r="D469" s="189"/>
      <c r="E469" s="189"/>
      <c r="F469" s="189"/>
      <c r="G469" s="189"/>
    </row>
    <row r="470" spans="1:7" x14ac:dyDescent="0.35">
      <c r="A470" s="189"/>
      <c r="B470" s="189"/>
      <c r="C470" s="189"/>
      <c r="D470" s="189"/>
      <c r="E470" s="189"/>
      <c r="F470" s="189"/>
      <c r="G470" s="189"/>
    </row>
    <row r="471" spans="1:7" x14ac:dyDescent="0.35">
      <c r="A471" s="189"/>
      <c r="B471" s="189"/>
      <c r="C471" s="189"/>
      <c r="D471" s="189"/>
      <c r="E471" s="189"/>
      <c r="F471" s="189"/>
      <c r="G471" s="189"/>
    </row>
    <row r="472" spans="1:7" x14ac:dyDescent="0.35">
      <c r="A472" s="189"/>
      <c r="B472" s="189"/>
      <c r="C472" s="189"/>
      <c r="D472" s="189"/>
      <c r="E472" s="189"/>
      <c r="F472" s="189"/>
      <c r="G472" s="189"/>
    </row>
    <row r="473" spans="1:7" ht="36" customHeight="1" x14ac:dyDescent="0.35">
      <c r="A473" s="189"/>
      <c r="B473" s="189"/>
      <c r="C473" s="189"/>
      <c r="D473" s="189"/>
      <c r="E473" s="189"/>
      <c r="F473" s="189"/>
      <c r="G473" s="189"/>
    </row>
    <row r="474" spans="1:7" x14ac:dyDescent="0.35">
      <c r="A474" s="82"/>
      <c r="B474" s="82"/>
      <c r="C474" s="82"/>
      <c r="D474" s="82"/>
      <c r="E474" s="82"/>
      <c r="F474" s="82"/>
      <c r="G474" s="82"/>
    </row>
    <row r="475" spans="1:7" ht="15" customHeight="1" x14ac:dyDescent="0.35">
      <c r="A475" s="189" t="s">
        <v>374</v>
      </c>
      <c r="B475" s="189"/>
      <c r="C475" s="189"/>
      <c r="D475" s="189"/>
      <c r="E475" s="189"/>
      <c r="F475" s="189"/>
      <c r="G475" s="189"/>
    </row>
    <row r="476" spans="1:7" x14ac:dyDescent="0.35">
      <c r="A476" s="189"/>
      <c r="B476" s="189"/>
      <c r="C476" s="189"/>
      <c r="D476" s="189"/>
      <c r="E476" s="189"/>
      <c r="F476" s="189"/>
      <c r="G476" s="189"/>
    </row>
    <row r="477" spans="1:7" x14ac:dyDescent="0.35">
      <c r="A477" s="189"/>
      <c r="B477" s="189"/>
      <c r="C477" s="189"/>
      <c r="D477" s="189"/>
      <c r="E477" s="189"/>
      <c r="F477" s="189"/>
      <c r="G477" s="189"/>
    </row>
    <row r="478" spans="1:7" x14ac:dyDescent="0.35">
      <c r="A478" s="189"/>
      <c r="B478" s="189"/>
      <c r="C478" s="189"/>
      <c r="D478" s="189"/>
      <c r="E478" s="189"/>
      <c r="F478" s="189"/>
      <c r="G478" s="189"/>
    </row>
    <row r="479" spans="1:7" x14ac:dyDescent="0.35">
      <c r="A479" s="189"/>
      <c r="B479" s="189"/>
      <c r="C479" s="189"/>
      <c r="D479" s="189"/>
      <c r="E479" s="189"/>
      <c r="F479" s="189"/>
      <c r="G479" s="189"/>
    </row>
    <row r="480" spans="1:7" x14ac:dyDescent="0.35">
      <c r="A480" s="189"/>
      <c r="B480" s="189"/>
      <c r="C480" s="189"/>
      <c r="D480" s="189"/>
      <c r="E480" s="189"/>
      <c r="F480" s="189"/>
      <c r="G480" s="189"/>
    </row>
    <row r="481" spans="1:7" x14ac:dyDescent="0.35">
      <c r="A481" s="82"/>
      <c r="B481" s="82"/>
      <c r="C481" s="82"/>
      <c r="D481" s="82"/>
      <c r="E481" s="82"/>
      <c r="F481" s="82"/>
      <c r="G481" s="82"/>
    </row>
    <row r="482" spans="1:7" ht="15" customHeight="1" x14ac:dyDescent="0.35">
      <c r="A482" s="189" t="s">
        <v>375</v>
      </c>
      <c r="B482" s="189"/>
      <c r="C482" s="189"/>
      <c r="D482" s="189"/>
      <c r="E482" s="189"/>
      <c r="F482" s="189"/>
      <c r="G482" s="189"/>
    </row>
    <row r="483" spans="1:7" x14ac:dyDescent="0.35">
      <c r="A483" s="189"/>
      <c r="B483" s="189"/>
      <c r="C483" s="189"/>
      <c r="D483" s="189"/>
      <c r="E483" s="189"/>
      <c r="F483" s="189"/>
      <c r="G483" s="189"/>
    </row>
    <row r="484" spans="1:7" x14ac:dyDescent="0.35">
      <c r="A484" s="189"/>
      <c r="B484" s="189"/>
      <c r="C484" s="189"/>
      <c r="D484" s="189"/>
      <c r="E484" s="189"/>
      <c r="F484" s="189"/>
      <c r="G484" s="189"/>
    </row>
    <row r="485" spans="1:7" x14ac:dyDescent="0.35">
      <c r="A485" s="189"/>
      <c r="B485" s="189"/>
      <c r="C485" s="189"/>
      <c r="D485" s="189"/>
      <c r="E485" s="189"/>
      <c r="F485" s="189"/>
      <c r="G485" s="189"/>
    </row>
    <row r="486" spans="1:7" x14ac:dyDescent="0.35">
      <c r="A486" s="82"/>
      <c r="B486" s="82"/>
      <c r="C486" s="82"/>
      <c r="D486" s="82"/>
      <c r="E486" s="82"/>
      <c r="F486" s="82"/>
      <c r="G486" s="82"/>
    </row>
    <row r="487" spans="1:7" ht="15" customHeight="1" x14ac:dyDescent="0.35">
      <c r="A487" s="189" t="s">
        <v>376</v>
      </c>
      <c r="B487" s="189"/>
      <c r="C487" s="189"/>
      <c r="D487" s="189"/>
      <c r="E487" s="189"/>
      <c r="F487" s="189"/>
      <c r="G487" s="189"/>
    </row>
    <row r="488" spans="1:7" x14ac:dyDescent="0.35">
      <c r="A488" s="189"/>
      <c r="B488" s="189"/>
      <c r="C488" s="189"/>
      <c r="D488" s="189"/>
      <c r="E488" s="189"/>
      <c r="F488" s="189"/>
      <c r="G488" s="189"/>
    </row>
    <row r="489" spans="1:7" x14ac:dyDescent="0.35">
      <c r="A489" s="82"/>
      <c r="B489" s="82"/>
      <c r="C489" s="82"/>
      <c r="D489" s="82"/>
      <c r="E489" s="82"/>
      <c r="F489" s="82"/>
      <c r="G489" s="82"/>
    </row>
    <row r="490" spans="1:7" ht="15" customHeight="1" x14ac:dyDescent="0.35">
      <c r="A490" s="189" t="s">
        <v>377</v>
      </c>
      <c r="B490" s="189"/>
      <c r="C490" s="189"/>
      <c r="D490" s="189"/>
      <c r="E490" s="189"/>
      <c r="F490" s="189"/>
      <c r="G490" s="189"/>
    </row>
    <row r="491" spans="1:7" x14ac:dyDescent="0.35">
      <c r="A491" s="189"/>
      <c r="B491" s="189"/>
      <c r="C491" s="189"/>
      <c r="D491" s="189"/>
      <c r="E491" s="189"/>
      <c r="F491" s="189"/>
      <c r="G491" s="189"/>
    </row>
    <row r="492" spans="1:7" x14ac:dyDescent="0.35">
      <c r="A492" s="189"/>
      <c r="B492" s="189"/>
      <c r="C492" s="189"/>
      <c r="D492" s="189"/>
      <c r="E492" s="189"/>
      <c r="F492" s="189"/>
      <c r="G492" s="189"/>
    </row>
    <row r="493" spans="1:7" x14ac:dyDescent="0.35">
      <c r="A493" s="82"/>
      <c r="B493" s="82"/>
      <c r="C493" s="82"/>
      <c r="D493" s="82"/>
      <c r="E493" s="82"/>
      <c r="F493" s="82"/>
      <c r="G493" s="82"/>
    </row>
    <row r="494" spans="1:7" ht="15" customHeight="1" x14ac:dyDescent="0.35">
      <c r="A494" s="189" t="s">
        <v>378</v>
      </c>
      <c r="B494" s="189"/>
      <c r="C494" s="189"/>
      <c r="D494" s="189"/>
      <c r="E494" s="189"/>
      <c r="F494" s="189"/>
      <c r="G494" s="189"/>
    </row>
    <row r="495" spans="1:7" ht="29.25" customHeight="1" x14ac:dyDescent="0.35">
      <c r="A495" s="189"/>
      <c r="B495" s="189"/>
      <c r="C495" s="189"/>
      <c r="D495" s="189"/>
      <c r="E495" s="189"/>
      <c r="F495" s="189"/>
      <c r="G495" s="189"/>
    </row>
    <row r="496" spans="1:7" x14ac:dyDescent="0.35">
      <c r="A496" s="82"/>
      <c r="B496" s="82"/>
      <c r="C496" s="82"/>
      <c r="D496" s="82"/>
      <c r="E496" s="82"/>
      <c r="F496" s="82"/>
      <c r="G496" s="82"/>
    </row>
    <row r="497" spans="1:7" ht="15" customHeight="1" x14ac:dyDescent="0.35">
      <c r="A497" s="189" t="s">
        <v>379</v>
      </c>
      <c r="B497" s="189"/>
      <c r="C497" s="189"/>
      <c r="D497" s="189"/>
      <c r="E497" s="189"/>
      <c r="F497" s="189"/>
      <c r="G497" s="189"/>
    </row>
    <row r="498" spans="1:7" x14ac:dyDescent="0.35">
      <c r="A498" s="189"/>
      <c r="B498" s="189"/>
      <c r="C498" s="189"/>
      <c r="D498" s="189"/>
      <c r="E498" s="189"/>
      <c r="F498" s="189"/>
      <c r="G498" s="189"/>
    </row>
    <row r="499" spans="1:7" x14ac:dyDescent="0.35">
      <c r="A499" s="189"/>
      <c r="B499" s="189"/>
      <c r="C499" s="189"/>
      <c r="D499" s="189"/>
      <c r="E499" s="189"/>
      <c r="F499" s="189"/>
      <c r="G499" s="189"/>
    </row>
    <row r="500" spans="1:7" x14ac:dyDescent="0.35">
      <c r="A500" s="189"/>
      <c r="B500" s="189"/>
      <c r="C500" s="189"/>
      <c r="D500" s="189"/>
      <c r="E500" s="189"/>
      <c r="F500" s="189"/>
      <c r="G500" s="189"/>
    </row>
    <row r="501" spans="1:7" x14ac:dyDescent="0.35">
      <c r="A501" s="189"/>
      <c r="B501" s="189"/>
      <c r="C501" s="189"/>
      <c r="D501" s="189"/>
      <c r="E501" s="189"/>
      <c r="F501" s="189"/>
      <c r="G501" s="189"/>
    </row>
    <row r="502" spans="1:7" x14ac:dyDescent="0.35">
      <c r="A502" s="82"/>
      <c r="B502" s="82"/>
      <c r="C502" s="82"/>
      <c r="D502" s="82"/>
      <c r="E502" s="82"/>
      <c r="F502" s="82"/>
      <c r="G502" s="82"/>
    </row>
    <row r="503" spans="1:7" ht="15" customHeight="1" x14ac:dyDescent="0.35">
      <c r="A503" s="189" t="s">
        <v>380</v>
      </c>
      <c r="B503" s="189"/>
      <c r="C503" s="189"/>
      <c r="D503" s="189"/>
      <c r="E503" s="189"/>
      <c r="F503" s="189"/>
      <c r="G503" s="189"/>
    </row>
    <row r="504" spans="1:7" x14ac:dyDescent="0.35">
      <c r="A504" s="189"/>
      <c r="B504" s="189"/>
      <c r="C504" s="189"/>
      <c r="D504" s="189"/>
      <c r="E504" s="189"/>
      <c r="F504" s="189"/>
      <c r="G504" s="189"/>
    </row>
    <row r="505" spans="1:7" x14ac:dyDescent="0.35">
      <c r="A505" s="189"/>
      <c r="B505" s="189"/>
      <c r="C505" s="189"/>
      <c r="D505" s="189"/>
      <c r="E505" s="189"/>
      <c r="F505" s="189"/>
      <c r="G505" s="189"/>
    </row>
    <row r="506" spans="1:7" ht="32.25" customHeight="1" x14ac:dyDescent="0.35">
      <c r="A506" s="189"/>
      <c r="B506" s="189"/>
      <c r="C506" s="189"/>
      <c r="D506" s="189"/>
      <c r="E506" s="189"/>
      <c r="F506" s="189"/>
      <c r="G506" s="189"/>
    </row>
    <row r="507" spans="1:7" x14ac:dyDescent="0.35">
      <c r="A507" s="82"/>
      <c r="B507" s="82"/>
      <c r="C507" s="82"/>
      <c r="D507" s="82"/>
      <c r="E507" s="82"/>
      <c r="F507" s="82"/>
      <c r="G507" s="82"/>
    </row>
    <row r="508" spans="1:7" ht="15" customHeight="1" x14ac:dyDescent="0.35">
      <c r="A508" s="189" t="s">
        <v>381</v>
      </c>
      <c r="B508" s="189"/>
      <c r="C508" s="189"/>
      <c r="D508" s="189"/>
      <c r="E508" s="189"/>
      <c r="F508" s="189"/>
      <c r="G508" s="189"/>
    </row>
    <row r="509" spans="1:7" x14ac:dyDescent="0.35">
      <c r="A509" s="189"/>
      <c r="B509" s="189"/>
      <c r="C509" s="189"/>
      <c r="D509" s="189"/>
      <c r="E509" s="189"/>
      <c r="F509" s="189"/>
      <c r="G509" s="189"/>
    </row>
    <row r="510" spans="1:7" x14ac:dyDescent="0.35">
      <c r="A510" s="82"/>
      <c r="B510" s="82"/>
      <c r="C510" s="82"/>
      <c r="D510" s="82"/>
      <c r="E510" s="82"/>
      <c r="F510" s="82"/>
      <c r="G510" s="82"/>
    </row>
    <row r="511" spans="1:7" ht="15" customHeight="1" x14ac:dyDescent="0.35">
      <c r="A511" s="189" t="s">
        <v>382</v>
      </c>
      <c r="B511" s="189"/>
      <c r="C511" s="189"/>
      <c r="D511" s="189"/>
      <c r="E511" s="189"/>
      <c r="F511" s="189"/>
      <c r="G511" s="189"/>
    </row>
    <row r="512" spans="1:7" x14ac:dyDescent="0.35">
      <c r="A512" s="189"/>
      <c r="B512" s="189"/>
      <c r="C512" s="189"/>
      <c r="D512" s="189"/>
      <c r="E512" s="189"/>
      <c r="F512" s="189"/>
      <c r="G512" s="189"/>
    </row>
    <row r="513" spans="1:7" ht="39.75" customHeight="1" x14ac:dyDescent="0.35">
      <c r="A513" s="189"/>
      <c r="B513" s="189"/>
      <c r="C513" s="189"/>
      <c r="D513" s="189"/>
      <c r="E513" s="189"/>
      <c r="F513" s="189"/>
      <c r="G513" s="189"/>
    </row>
    <row r="514" spans="1:7" x14ac:dyDescent="0.35">
      <c r="A514" s="82"/>
      <c r="B514" s="82"/>
      <c r="C514" s="82"/>
      <c r="D514" s="82"/>
      <c r="E514" s="82"/>
      <c r="F514" s="82"/>
      <c r="G514" s="82"/>
    </row>
    <row r="515" spans="1:7" ht="25.5" customHeight="1" x14ac:dyDescent="0.35">
      <c r="A515" s="189" t="s">
        <v>383</v>
      </c>
      <c r="B515" s="189"/>
      <c r="C515" s="189"/>
      <c r="D515" s="189"/>
      <c r="E515" s="189"/>
      <c r="F515" s="189"/>
      <c r="G515" s="189"/>
    </row>
    <row r="516" spans="1:7" x14ac:dyDescent="0.35">
      <c r="A516" s="82"/>
      <c r="B516" s="82"/>
      <c r="C516" s="82"/>
      <c r="D516" s="82"/>
      <c r="E516" s="82"/>
      <c r="F516" s="82"/>
      <c r="G516" s="82"/>
    </row>
    <row r="517" spans="1:7" ht="15" customHeight="1" x14ac:dyDescent="0.35">
      <c r="A517" s="189" t="s">
        <v>384</v>
      </c>
      <c r="B517" s="189"/>
      <c r="C517" s="189"/>
      <c r="D517" s="189"/>
      <c r="E517" s="189"/>
      <c r="F517" s="189"/>
      <c r="G517" s="82"/>
    </row>
    <row r="518" spans="1:7" x14ac:dyDescent="0.3">
      <c r="A518" s="83"/>
      <c r="B518" s="83"/>
      <c r="C518" s="83"/>
      <c r="D518" s="83"/>
      <c r="E518" s="83"/>
      <c r="F518" s="83"/>
      <c r="G518" s="57"/>
    </row>
    <row r="519" spans="1:7" ht="15" customHeight="1" x14ac:dyDescent="0.35">
      <c r="A519" s="191" t="s">
        <v>385</v>
      </c>
      <c r="B519" s="191"/>
      <c r="C519" s="82"/>
      <c r="D519" s="82"/>
      <c r="E519" s="82"/>
      <c r="F519" s="82"/>
      <c r="G519" s="82"/>
    </row>
    <row r="520" spans="1:7" x14ac:dyDescent="0.35">
      <c r="A520" s="82"/>
      <c r="B520" s="82"/>
      <c r="C520" s="82"/>
      <c r="D520" s="82"/>
      <c r="E520" s="82"/>
      <c r="F520" s="82"/>
      <c r="G520" s="82"/>
    </row>
    <row r="521" spans="1:7" ht="15" customHeight="1" x14ac:dyDescent="0.35">
      <c r="A521" s="189" t="s">
        <v>146</v>
      </c>
      <c r="B521" s="189"/>
      <c r="C521" s="189"/>
      <c r="D521" s="189"/>
      <c r="E521" s="82"/>
      <c r="F521" s="82"/>
      <c r="G521" s="82"/>
    </row>
    <row r="522" spans="1:7" x14ac:dyDescent="0.35">
      <c r="A522" s="82"/>
      <c r="B522" s="82"/>
      <c r="C522" s="82"/>
      <c r="D522" s="82"/>
      <c r="E522" s="82"/>
      <c r="F522" s="82"/>
      <c r="G522" s="82"/>
    </row>
    <row r="523" spans="1:7" ht="15" customHeight="1" x14ac:dyDescent="0.35">
      <c r="A523" s="189" t="s">
        <v>386</v>
      </c>
      <c r="B523" s="189"/>
      <c r="C523" s="189"/>
      <c r="D523" s="189"/>
      <c r="E523" s="189"/>
      <c r="F523" s="189"/>
      <c r="G523" s="189"/>
    </row>
    <row r="524" spans="1:7" x14ac:dyDescent="0.35">
      <c r="A524" s="189"/>
      <c r="B524" s="189"/>
      <c r="C524" s="189"/>
      <c r="D524" s="189"/>
      <c r="E524" s="189"/>
      <c r="F524" s="189"/>
      <c r="G524" s="189"/>
    </row>
    <row r="525" spans="1:7" x14ac:dyDescent="0.35">
      <c r="A525" s="189"/>
      <c r="B525" s="189"/>
      <c r="C525" s="189"/>
      <c r="D525" s="189"/>
      <c r="E525" s="189"/>
      <c r="F525" s="189"/>
      <c r="G525" s="189"/>
    </row>
    <row r="526" spans="1:7" ht="24.75" customHeight="1" x14ac:dyDescent="0.35">
      <c r="A526" s="189"/>
      <c r="B526" s="189"/>
      <c r="C526" s="189"/>
      <c r="D526" s="189"/>
      <c r="E526" s="189"/>
      <c r="F526" s="189"/>
      <c r="G526" s="189"/>
    </row>
    <row r="527" spans="1:7" x14ac:dyDescent="0.35">
      <c r="A527" s="82"/>
      <c r="B527" s="82"/>
      <c r="C527" s="82"/>
      <c r="D527" s="82"/>
      <c r="E527" s="82"/>
      <c r="F527" s="82"/>
      <c r="G527" s="82"/>
    </row>
    <row r="528" spans="1:7" ht="15" customHeight="1" x14ac:dyDescent="0.35">
      <c r="A528" s="189" t="s">
        <v>387</v>
      </c>
      <c r="B528" s="189"/>
      <c r="C528" s="189"/>
      <c r="D528" s="189"/>
      <c r="E528" s="189"/>
      <c r="F528" s="189"/>
      <c r="G528" s="189"/>
    </row>
    <row r="529" spans="1:7" x14ac:dyDescent="0.35">
      <c r="A529" s="189"/>
      <c r="B529" s="189"/>
      <c r="C529" s="189"/>
      <c r="D529" s="189"/>
      <c r="E529" s="189"/>
      <c r="F529" s="189"/>
      <c r="G529" s="189"/>
    </row>
    <row r="530" spans="1:7" x14ac:dyDescent="0.35">
      <c r="A530" s="189"/>
      <c r="B530" s="189"/>
      <c r="C530" s="189"/>
      <c r="D530" s="189"/>
      <c r="E530" s="189"/>
      <c r="F530" s="189"/>
      <c r="G530" s="189"/>
    </row>
    <row r="531" spans="1:7" x14ac:dyDescent="0.35">
      <c r="A531" s="189"/>
      <c r="B531" s="189"/>
      <c r="C531" s="189"/>
      <c r="D531" s="189"/>
      <c r="E531" s="189"/>
      <c r="F531" s="189"/>
      <c r="G531" s="189"/>
    </row>
    <row r="532" spans="1:7" x14ac:dyDescent="0.35">
      <c r="A532" s="189"/>
      <c r="B532" s="189"/>
      <c r="C532" s="189"/>
      <c r="D532" s="189"/>
      <c r="E532" s="189"/>
      <c r="F532" s="189"/>
      <c r="G532" s="189"/>
    </row>
    <row r="533" spans="1:7" x14ac:dyDescent="0.35">
      <c r="A533" s="82"/>
      <c r="B533" s="82"/>
      <c r="C533" s="82"/>
      <c r="D533" s="82"/>
      <c r="E533" s="82"/>
      <c r="F533" s="82"/>
      <c r="G533" s="82"/>
    </row>
    <row r="534" spans="1:7" ht="15" customHeight="1" x14ac:dyDescent="0.35">
      <c r="A534" s="189" t="s">
        <v>388</v>
      </c>
      <c r="B534" s="189"/>
      <c r="C534" s="189"/>
      <c r="D534" s="189"/>
      <c r="E534" s="189"/>
      <c r="F534" s="189"/>
      <c r="G534" s="189"/>
    </row>
    <row r="535" spans="1:7" x14ac:dyDescent="0.35">
      <c r="A535" s="189"/>
      <c r="B535" s="189"/>
      <c r="C535" s="189"/>
      <c r="D535" s="189"/>
      <c r="E535" s="189"/>
      <c r="F535" s="189"/>
      <c r="G535" s="189"/>
    </row>
    <row r="536" spans="1:7" ht="63.75" customHeight="1" x14ac:dyDescent="0.35">
      <c r="A536" s="189"/>
      <c r="B536" s="189"/>
      <c r="C536" s="189"/>
      <c r="D536" s="189"/>
      <c r="E536" s="189"/>
      <c r="F536" s="189"/>
      <c r="G536" s="189"/>
    </row>
    <row r="537" spans="1:7" x14ac:dyDescent="0.35">
      <c r="A537" s="82"/>
      <c r="B537" s="82"/>
      <c r="C537" s="82"/>
      <c r="D537" s="82"/>
      <c r="E537" s="82"/>
      <c r="F537" s="82"/>
      <c r="G537" s="82"/>
    </row>
    <row r="538" spans="1:7" ht="15" customHeight="1" x14ac:dyDescent="0.35">
      <c r="A538" s="189" t="s">
        <v>389</v>
      </c>
      <c r="B538" s="189"/>
      <c r="C538" s="189"/>
      <c r="D538" s="189"/>
      <c r="E538" s="189"/>
      <c r="F538" s="189"/>
      <c r="G538" s="189"/>
    </row>
    <row r="539" spans="1:7" x14ac:dyDescent="0.35">
      <c r="A539" s="189"/>
      <c r="B539" s="189"/>
      <c r="C539" s="189"/>
      <c r="D539" s="189"/>
      <c r="E539" s="189"/>
      <c r="F539" s="189"/>
      <c r="G539" s="189"/>
    </row>
    <row r="540" spans="1:7" x14ac:dyDescent="0.35">
      <c r="A540" s="189"/>
      <c r="B540" s="189"/>
      <c r="C540" s="189"/>
      <c r="D540" s="189"/>
      <c r="E540" s="189"/>
      <c r="F540" s="189"/>
      <c r="G540" s="189"/>
    </row>
    <row r="541" spans="1:7" x14ac:dyDescent="0.35">
      <c r="A541" s="189"/>
      <c r="B541" s="189"/>
      <c r="C541" s="189"/>
      <c r="D541" s="189"/>
      <c r="E541" s="189"/>
      <c r="F541" s="189"/>
      <c r="G541" s="189"/>
    </row>
    <row r="542" spans="1:7" x14ac:dyDescent="0.35">
      <c r="A542" s="82"/>
      <c r="B542" s="82"/>
      <c r="C542" s="82"/>
      <c r="D542" s="82"/>
      <c r="E542" s="82"/>
      <c r="F542" s="82"/>
      <c r="G542" s="82"/>
    </row>
    <row r="543" spans="1:7" ht="15" customHeight="1" x14ac:dyDescent="0.35">
      <c r="A543" s="189" t="s">
        <v>390</v>
      </c>
      <c r="B543" s="189"/>
      <c r="C543" s="189"/>
      <c r="D543" s="189"/>
      <c r="E543" s="189"/>
      <c r="F543" s="189"/>
      <c r="G543" s="189"/>
    </row>
    <row r="544" spans="1:7" x14ac:dyDescent="0.35">
      <c r="A544" s="189"/>
      <c r="B544" s="189"/>
      <c r="C544" s="189"/>
      <c r="D544" s="189"/>
      <c r="E544" s="189"/>
      <c r="F544" s="189"/>
      <c r="G544" s="189"/>
    </row>
    <row r="545" spans="1:7" x14ac:dyDescent="0.35">
      <c r="A545" s="189"/>
      <c r="B545" s="189"/>
      <c r="C545" s="189"/>
      <c r="D545" s="189"/>
      <c r="E545" s="189"/>
      <c r="F545" s="189"/>
      <c r="G545" s="189"/>
    </row>
    <row r="546" spans="1:7" x14ac:dyDescent="0.35">
      <c r="A546" s="189"/>
      <c r="B546" s="189"/>
      <c r="C546" s="189"/>
      <c r="D546" s="189"/>
      <c r="E546" s="189"/>
      <c r="F546" s="189"/>
      <c r="G546" s="189"/>
    </row>
    <row r="547" spans="1:7" x14ac:dyDescent="0.35">
      <c r="A547" s="189"/>
      <c r="B547" s="189"/>
      <c r="C547" s="189"/>
      <c r="D547" s="189"/>
      <c r="E547" s="189"/>
      <c r="F547" s="189"/>
      <c r="G547" s="189"/>
    </row>
    <row r="548" spans="1:7" x14ac:dyDescent="0.35">
      <c r="A548" s="82"/>
      <c r="B548" s="82"/>
      <c r="C548" s="82"/>
      <c r="D548" s="82"/>
      <c r="E548" s="82"/>
      <c r="F548" s="82"/>
      <c r="G548" s="82"/>
    </row>
    <row r="549" spans="1:7" ht="15" customHeight="1" x14ac:dyDescent="0.35">
      <c r="A549" s="189" t="s">
        <v>391</v>
      </c>
      <c r="B549" s="189"/>
      <c r="C549" s="189"/>
      <c r="D549" s="189"/>
      <c r="E549" s="189"/>
      <c r="F549" s="189"/>
      <c r="G549" s="189"/>
    </row>
    <row r="550" spans="1:7" x14ac:dyDescent="0.35">
      <c r="A550" s="189"/>
      <c r="B550" s="189"/>
      <c r="C550" s="189"/>
      <c r="D550" s="189"/>
      <c r="E550" s="189"/>
      <c r="F550" s="189"/>
      <c r="G550" s="189"/>
    </row>
    <row r="551" spans="1:7" x14ac:dyDescent="0.35">
      <c r="A551" s="189"/>
      <c r="B551" s="189"/>
      <c r="C551" s="189"/>
      <c r="D551" s="189"/>
      <c r="E551" s="189"/>
      <c r="F551" s="189"/>
      <c r="G551" s="189"/>
    </row>
    <row r="552" spans="1:7" x14ac:dyDescent="0.35">
      <c r="A552" s="189"/>
      <c r="B552" s="189"/>
      <c r="C552" s="189"/>
      <c r="D552" s="189"/>
      <c r="E552" s="189"/>
      <c r="F552" s="189"/>
      <c r="G552" s="189"/>
    </row>
    <row r="553" spans="1:7" ht="24.75" customHeight="1" x14ac:dyDescent="0.35">
      <c r="A553" s="189"/>
      <c r="B553" s="189"/>
      <c r="C553" s="189"/>
      <c r="D553" s="189"/>
      <c r="E553" s="189"/>
      <c r="F553" s="189"/>
      <c r="G553" s="189"/>
    </row>
    <row r="554" spans="1:7" x14ac:dyDescent="0.35">
      <c r="A554" s="75"/>
      <c r="B554" s="75"/>
      <c r="C554" s="75"/>
      <c r="D554" s="75"/>
      <c r="E554" s="75"/>
      <c r="F554" s="75"/>
      <c r="G554" s="75"/>
    </row>
    <row r="555" spans="1:7" ht="12" customHeight="1" x14ac:dyDescent="0.35">
      <c r="A555" s="193" t="s">
        <v>392</v>
      </c>
      <c r="B555" s="193"/>
      <c r="C555" s="193"/>
      <c r="D555" s="193"/>
      <c r="E555" s="193"/>
      <c r="F555" s="193"/>
      <c r="G555" s="75"/>
    </row>
    <row r="556" spans="1:7" x14ac:dyDescent="0.35">
      <c r="A556" s="75"/>
      <c r="B556" s="75"/>
      <c r="C556" s="75"/>
      <c r="D556" s="75"/>
      <c r="E556" s="75"/>
      <c r="F556" s="75"/>
      <c r="G556" s="75"/>
    </row>
    <row r="557" spans="1:7" ht="246" customHeight="1" x14ac:dyDescent="0.35">
      <c r="A557" s="194" t="s">
        <v>393</v>
      </c>
      <c r="B557" s="194"/>
      <c r="C557" s="194"/>
      <c r="D557" s="194"/>
      <c r="E557" s="194"/>
      <c r="F557" s="194"/>
      <c r="G557" s="75"/>
    </row>
    <row r="558" spans="1:7" x14ac:dyDescent="0.35">
      <c r="A558" s="75"/>
      <c r="B558" s="75"/>
      <c r="C558" s="75"/>
      <c r="D558" s="75"/>
      <c r="E558" s="75"/>
      <c r="F558" s="75"/>
      <c r="G558" s="75"/>
    </row>
    <row r="559" spans="1:7" ht="231" customHeight="1" x14ac:dyDescent="0.35">
      <c r="A559" s="194" t="s">
        <v>394</v>
      </c>
      <c r="B559" s="192"/>
      <c r="C559" s="192"/>
      <c r="D559" s="192"/>
      <c r="E559" s="192"/>
      <c r="F559" s="192"/>
      <c r="G559" s="75"/>
    </row>
    <row r="560" spans="1:7" x14ac:dyDescent="0.35">
      <c r="A560" s="75"/>
      <c r="B560" s="75"/>
      <c r="C560" s="75"/>
      <c r="D560" s="75"/>
      <c r="E560" s="75"/>
      <c r="F560" s="75"/>
      <c r="G560" s="75"/>
    </row>
    <row r="561" spans="1:7" ht="51" customHeight="1" x14ac:dyDescent="0.35">
      <c r="A561" s="194" t="s">
        <v>395</v>
      </c>
      <c r="B561" s="192"/>
      <c r="C561" s="192"/>
      <c r="D561" s="192"/>
      <c r="E561" s="192"/>
      <c r="F561" s="192"/>
      <c r="G561" s="75"/>
    </row>
    <row r="562" spans="1:7" x14ac:dyDescent="0.35">
      <c r="A562" s="75"/>
      <c r="B562" s="75"/>
      <c r="C562" s="75"/>
      <c r="D562" s="75"/>
      <c r="E562" s="75"/>
      <c r="F562" s="75"/>
      <c r="G562" s="75"/>
    </row>
    <row r="563" spans="1:7" ht="15" customHeight="1" x14ac:dyDescent="0.35">
      <c r="A563" s="190" t="s">
        <v>396</v>
      </c>
      <c r="B563" s="190"/>
      <c r="C563" s="75"/>
      <c r="D563" s="75"/>
      <c r="E563" s="75"/>
      <c r="F563" s="75"/>
    </row>
    <row r="564" spans="1:7" x14ac:dyDescent="0.35">
      <c r="A564" s="75"/>
      <c r="B564" s="75"/>
      <c r="C564" s="75"/>
      <c r="D564" s="75"/>
      <c r="E564" s="75"/>
      <c r="F564" s="75"/>
    </row>
    <row r="565" spans="1:7" ht="15" customHeight="1" x14ac:dyDescent="0.35">
      <c r="A565" s="192" t="s">
        <v>146</v>
      </c>
      <c r="B565" s="192"/>
      <c r="C565" s="192"/>
      <c r="D565" s="75"/>
      <c r="E565" s="75"/>
      <c r="F565" s="75"/>
    </row>
    <row r="566" spans="1:7" x14ac:dyDescent="0.35">
      <c r="A566" s="75"/>
      <c r="B566" s="75"/>
      <c r="C566" s="75"/>
      <c r="D566" s="75"/>
      <c r="E566" s="75"/>
      <c r="F566" s="75"/>
    </row>
    <row r="567" spans="1:7" ht="15" customHeight="1" x14ac:dyDescent="0.35">
      <c r="A567" s="192" t="s">
        <v>386</v>
      </c>
      <c r="B567" s="192"/>
      <c r="C567" s="192"/>
      <c r="D567" s="192"/>
      <c r="E567" s="192"/>
      <c r="F567" s="192"/>
    </row>
    <row r="568" spans="1:7" x14ac:dyDescent="0.35">
      <c r="A568" s="192"/>
      <c r="B568" s="192"/>
      <c r="C568" s="192"/>
      <c r="D568" s="192"/>
      <c r="E568" s="192"/>
      <c r="F568" s="192"/>
    </row>
    <row r="569" spans="1:7" x14ac:dyDescent="0.35">
      <c r="A569" s="192"/>
      <c r="B569" s="192"/>
      <c r="C569" s="192"/>
      <c r="D569" s="192"/>
      <c r="E569" s="192"/>
      <c r="F569" s="192"/>
    </row>
    <row r="570" spans="1:7" x14ac:dyDescent="0.35">
      <c r="A570" s="192"/>
      <c r="B570" s="192"/>
      <c r="C570" s="192"/>
      <c r="D570" s="192"/>
      <c r="E570" s="192"/>
      <c r="F570" s="192"/>
    </row>
    <row r="571" spans="1:7" x14ac:dyDescent="0.35">
      <c r="A571" s="192"/>
      <c r="B571" s="192"/>
      <c r="C571" s="192"/>
      <c r="D571" s="192"/>
      <c r="E571" s="192"/>
      <c r="F571" s="192"/>
    </row>
    <row r="572" spans="1:7" x14ac:dyDescent="0.35">
      <c r="A572" s="75"/>
      <c r="B572" s="75"/>
      <c r="C572" s="75"/>
      <c r="D572" s="75"/>
      <c r="E572" s="75"/>
      <c r="F572" s="75"/>
    </row>
    <row r="573" spans="1:7" ht="15" customHeight="1" x14ac:dyDescent="0.35">
      <c r="A573" s="192" t="s">
        <v>397</v>
      </c>
      <c r="B573" s="192"/>
      <c r="C573" s="192"/>
      <c r="D573" s="192"/>
      <c r="E573" s="192"/>
      <c r="F573" s="192"/>
    </row>
    <row r="574" spans="1:7" x14ac:dyDescent="0.35">
      <c r="A574" s="192"/>
      <c r="B574" s="192"/>
      <c r="C574" s="192"/>
      <c r="D574" s="192"/>
      <c r="E574" s="192"/>
      <c r="F574" s="192"/>
    </row>
    <row r="575" spans="1:7" x14ac:dyDescent="0.35">
      <c r="A575" s="75"/>
      <c r="B575" s="75"/>
      <c r="C575" s="75"/>
      <c r="D575" s="75"/>
      <c r="E575" s="75"/>
      <c r="F575" s="75"/>
    </row>
    <row r="576" spans="1:7" ht="15" customHeight="1" x14ac:dyDescent="0.35">
      <c r="A576" s="192" t="s">
        <v>398</v>
      </c>
      <c r="B576" s="192"/>
      <c r="C576" s="192"/>
      <c r="D576" s="192"/>
      <c r="E576" s="192"/>
      <c r="F576" s="192"/>
    </row>
    <row r="577" spans="1:6" x14ac:dyDescent="0.35">
      <c r="A577" s="192"/>
      <c r="B577" s="192"/>
      <c r="C577" s="192"/>
      <c r="D577" s="192"/>
      <c r="E577" s="192"/>
      <c r="F577" s="192"/>
    </row>
    <row r="578" spans="1:6" x14ac:dyDescent="0.35">
      <c r="A578" s="75"/>
      <c r="B578" s="75"/>
      <c r="C578" s="75"/>
      <c r="D578" s="75"/>
      <c r="E578" s="75"/>
      <c r="F578" s="75"/>
    </row>
    <row r="579" spans="1:6" ht="15" customHeight="1" x14ac:dyDescent="0.35">
      <c r="A579" s="192" t="s">
        <v>399</v>
      </c>
      <c r="B579" s="192"/>
      <c r="C579" s="192"/>
      <c r="D579" s="192"/>
      <c r="E579" s="192"/>
      <c r="F579" s="192"/>
    </row>
    <row r="580" spans="1:6" x14ac:dyDescent="0.35">
      <c r="A580" s="192"/>
      <c r="B580" s="192"/>
      <c r="C580" s="192"/>
      <c r="D580" s="192"/>
      <c r="E580" s="192"/>
      <c r="F580" s="192"/>
    </row>
    <row r="581" spans="1:6" x14ac:dyDescent="0.35">
      <c r="A581" s="192"/>
      <c r="B581" s="192"/>
      <c r="C581" s="192"/>
      <c r="D581" s="192"/>
      <c r="E581" s="192"/>
      <c r="F581" s="192"/>
    </row>
    <row r="582" spans="1:6" x14ac:dyDescent="0.35">
      <c r="A582" s="75"/>
      <c r="B582" s="75"/>
      <c r="C582" s="75"/>
      <c r="D582" s="75"/>
      <c r="E582" s="75"/>
      <c r="F582" s="75"/>
    </row>
    <row r="583" spans="1:6" ht="15" customHeight="1" x14ac:dyDescent="0.35">
      <c r="A583" s="192" t="s">
        <v>391</v>
      </c>
      <c r="B583" s="192"/>
      <c r="C583" s="192"/>
      <c r="D583" s="192"/>
      <c r="E583" s="192"/>
      <c r="F583" s="192"/>
    </row>
    <row r="584" spans="1:6" x14ac:dyDescent="0.35">
      <c r="A584" s="192"/>
      <c r="B584" s="192"/>
      <c r="C584" s="192"/>
      <c r="D584" s="192"/>
      <c r="E584" s="192"/>
      <c r="F584" s="192"/>
    </row>
    <row r="585" spans="1:6" x14ac:dyDescent="0.35">
      <c r="A585" s="192"/>
      <c r="B585" s="192"/>
      <c r="C585" s="192"/>
      <c r="D585" s="192"/>
      <c r="E585" s="192"/>
      <c r="F585" s="192"/>
    </row>
    <row r="586" spans="1:6" x14ac:dyDescent="0.35">
      <c r="A586" s="192"/>
      <c r="B586" s="192"/>
      <c r="C586" s="192"/>
      <c r="D586" s="192"/>
      <c r="E586" s="192"/>
      <c r="F586" s="192"/>
    </row>
    <row r="587" spans="1:6" x14ac:dyDescent="0.35">
      <c r="A587" s="192"/>
      <c r="B587" s="192"/>
      <c r="C587" s="192"/>
      <c r="D587" s="192"/>
      <c r="E587" s="192"/>
      <c r="F587" s="192"/>
    </row>
    <row r="588" spans="1:6" x14ac:dyDescent="0.35">
      <c r="A588" s="192"/>
      <c r="B588" s="192"/>
      <c r="C588" s="192"/>
      <c r="D588" s="192"/>
      <c r="E588" s="192"/>
      <c r="F588" s="192"/>
    </row>
    <row r="589" spans="1:6" x14ac:dyDescent="0.35">
      <c r="A589" s="75"/>
      <c r="B589" s="75"/>
      <c r="C589" s="75"/>
      <c r="D589" s="75"/>
      <c r="E589" s="75"/>
      <c r="F589" s="75"/>
    </row>
    <row r="590" spans="1:6" ht="15" customHeight="1" x14ac:dyDescent="0.35">
      <c r="A590" s="192" t="s">
        <v>400</v>
      </c>
      <c r="B590" s="192"/>
      <c r="C590" s="75"/>
      <c r="D590" s="75"/>
      <c r="E590" s="75"/>
      <c r="F590" s="75"/>
    </row>
    <row r="591" spans="1:6" x14ac:dyDescent="0.35">
      <c r="A591" s="75"/>
      <c r="B591" s="75"/>
      <c r="C591" s="75"/>
      <c r="D591" s="75"/>
      <c r="E591" s="75"/>
      <c r="F591" s="75"/>
    </row>
    <row r="592" spans="1:6" ht="15" customHeight="1" x14ac:dyDescent="0.35">
      <c r="A592" s="192" t="s">
        <v>401</v>
      </c>
      <c r="B592" s="192"/>
      <c r="C592" s="192"/>
      <c r="D592" s="192"/>
      <c r="E592" s="192"/>
      <c r="F592" s="192"/>
    </row>
    <row r="593" spans="1:6" ht="12" customHeight="1" x14ac:dyDescent="0.35">
      <c r="A593" s="192"/>
      <c r="B593" s="192"/>
      <c r="C593" s="192"/>
      <c r="D593" s="192"/>
      <c r="E593" s="192"/>
      <c r="F593" s="192"/>
    </row>
    <row r="594" spans="1:6" ht="29.25" customHeight="1" x14ac:dyDescent="0.35">
      <c r="A594" s="192" t="s">
        <v>402</v>
      </c>
      <c r="B594" s="192"/>
      <c r="C594" s="192"/>
      <c r="D594" s="192"/>
      <c r="E594" s="192"/>
      <c r="F594" s="192"/>
    </row>
    <row r="595" spans="1:6" ht="15" customHeight="1" x14ac:dyDescent="0.35">
      <c r="A595" s="192" t="s">
        <v>403</v>
      </c>
      <c r="B595" s="192"/>
      <c r="C595" s="192"/>
      <c r="D595" s="192"/>
      <c r="E595" s="192"/>
      <c r="F595" s="192"/>
    </row>
    <row r="596" spans="1:6" x14ac:dyDescent="0.35">
      <c r="A596" s="192"/>
      <c r="B596" s="192"/>
      <c r="C596" s="192"/>
      <c r="D596" s="192"/>
      <c r="E596" s="192"/>
      <c r="F596" s="192"/>
    </row>
    <row r="597" spans="1:6" x14ac:dyDescent="0.35">
      <c r="A597" s="75"/>
      <c r="B597" s="75"/>
      <c r="C597" s="75"/>
      <c r="D597" s="75"/>
      <c r="E597" s="75"/>
      <c r="F597" s="75"/>
    </row>
    <row r="598" spans="1:6" ht="15" customHeight="1" x14ac:dyDescent="0.35">
      <c r="A598" s="192" t="s">
        <v>404</v>
      </c>
      <c r="B598" s="192"/>
      <c r="C598" s="192"/>
      <c r="D598" s="192"/>
      <c r="E598" s="192"/>
      <c r="F598" s="192"/>
    </row>
    <row r="599" spans="1:6" x14ac:dyDescent="0.35">
      <c r="A599" s="192"/>
      <c r="B599" s="192"/>
      <c r="C599" s="192"/>
      <c r="D599" s="192"/>
      <c r="E599" s="192"/>
      <c r="F599" s="192"/>
    </row>
    <row r="600" spans="1:6" x14ac:dyDescent="0.35">
      <c r="A600" s="192"/>
      <c r="B600" s="192"/>
      <c r="C600" s="192"/>
      <c r="D600" s="192"/>
      <c r="E600" s="192"/>
      <c r="F600" s="192"/>
    </row>
    <row r="601" spans="1:6" x14ac:dyDescent="0.35">
      <c r="A601" s="192"/>
      <c r="B601" s="192"/>
      <c r="C601" s="192"/>
      <c r="D601" s="192"/>
      <c r="E601" s="192"/>
      <c r="F601" s="192"/>
    </row>
    <row r="602" spans="1:6" ht="15" customHeight="1" x14ac:dyDescent="0.35">
      <c r="A602" s="192" t="s">
        <v>405</v>
      </c>
      <c r="B602" s="192"/>
      <c r="C602" s="192"/>
      <c r="D602" s="192"/>
      <c r="E602" s="192"/>
      <c r="F602" s="192"/>
    </row>
    <row r="603" spans="1:6" x14ac:dyDescent="0.35">
      <c r="A603" s="192"/>
      <c r="B603" s="192"/>
      <c r="C603" s="192"/>
      <c r="D603" s="192"/>
      <c r="E603" s="192"/>
      <c r="F603" s="192"/>
    </row>
    <row r="604" spans="1:6" ht="15" customHeight="1" x14ac:dyDescent="0.35">
      <c r="A604" s="192" t="s">
        <v>406</v>
      </c>
      <c r="B604" s="192"/>
      <c r="C604" s="192"/>
      <c r="D604" s="192"/>
      <c r="E604" s="192"/>
      <c r="F604" s="192"/>
    </row>
    <row r="605" spans="1:6" x14ac:dyDescent="0.35">
      <c r="A605" s="192"/>
      <c r="B605" s="192"/>
      <c r="C605" s="192"/>
      <c r="D605" s="192"/>
      <c r="E605" s="192"/>
      <c r="F605" s="192"/>
    </row>
    <row r="606" spans="1:6" x14ac:dyDescent="0.35">
      <c r="A606" s="192"/>
      <c r="B606" s="192"/>
      <c r="C606" s="192"/>
      <c r="D606" s="192"/>
      <c r="E606" s="192"/>
      <c r="F606" s="192"/>
    </row>
    <row r="607" spans="1:6" ht="15" customHeight="1" x14ac:dyDescent="0.35">
      <c r="A607" s="192" t="s">
        <v>407</v>
      </c>
      <c r="B607" s="192"/>
      <c r="C607" s="192"/>
      <c r="D607" s="192"/>
      <c r="E607" s="192"/>
      <c r="F607" s="192"/>
    </row>
    <row r="608" spans="1:6" x14ac:dyDescent="0.35">
      <c r="A608" s="192"/>
      <c r="B608" s="192"/>
      <c r="C608" s="192"/>
      <c r="D608" s="192"/>
      <c r="E608" s="192"/>
      <c r="F608" s="192"/>
    </row>
    <row r="609" spans="1:7" x14ac:dyDescent="0.35">
      <c r="A609" s="192"/>
      <c r="B609" s="192"/>
      <c r="C609" s="192"/>
      <c r="D609" s="192"/>
      <c r="E609" s="192"/>
      <c r="F609" s="192"/>
    </row>
    <row r="610" spans="1:7" x14ac:dyDescent="0.35">
      <c r="A610" s="192"/>
      <c r="B610" s="192"/>
      <c r="C610" s="192"/>
      <c r="D610" s="192"/>
      <c r="E610" s="192"/>
      <c r="F610" s="192"/>
    </row>
    <row r="611" spans="1:7" ht="15" customHeight="1" x14ac:dyDescent="0.35">
      <c r="A611" s="192" t="s">
        <v>408</v>
      </c>
      <c r="B611" s="192"/>
      <c r="C611" s="192"/>
      <c r="D611" s="192"/>
      <c r="E611" s="192"/>
      <c r="F611" s="192"/>
    </row>
    <row r="612" spans="1:7" x14ac:dyDescent="0.35">
      <c r="A612" s="192"/>
      <c r="B612" s="192"/>
      <c r="C612" s="192"/>
      <c r="D612" s="192"/>
      <c r="E612" s="192"/>
      <c r="F612" s="192"/>
    </row>
    <row r="613" spans="1:7" x14ac:dyDescent="0.35">
      <c r="A613" s="75"/>
      <c r="B613" s="75"/>
      <c r="C613" s="75"/>
      <c r="D613" s="75"/>
      <c r="E613" s="75"/>
      <c r="F613" s="75"/>
    </row>
    <row r="614" spans="1:7" ht="15" customHeight="1" x14ac:dyDescent="0.35">
      <c r="A614" s="192" t="s">
        <v>409</v>
      </c>
      <c r="B614" s="192"/>
      <c r="C614" s="192"/>
      <c r="D614" s="192"/>
      <c r="E614" s="192"/>
      <c r="F614" s="192"/>
      <c r="G614" s="64" t="s">
        <v>410</v>
      </c>
    </row>
    <row r="615" spans="1:7" x14ac:dyDescent="0.35">
      <c r="A615" s="192"/>
      <c r="B615" s="192"/>
      <c r="C615" s="192"/>
      <c r="D615" s="192"/>
      <c r="E615" s="192"/>
      <c r="F615" s="192"/>
    </row>
    <row r="616" spans="1:7" x14ac:dyDescent="0.35">
      <c r="A616" s="192"/>
      <c r="B616" s="192"/>
      <c r="C616" s="192"/>
      <c r="D616" s="192"/>
      <c r="E616" s="192"/>
      <c r="F616" s="192"/>
    </row>
    <row r="617" spans="1:7" x14ac:dyDescent="0.35">
      <c r="A617" s="192"/>
      <c r="B617" s="192"/>
      <c r="C617" s="192"/>
      <c r="D617" s="192"/>
      <c r="E617" s="192"/>
      <c r="F617" s="192"/>
    </row>
    <row r="618" spans="1:7" x14ac:dyDescent="0.35">
      <c r="A618" s="192"/>
      <c r="B618" s="192"/>
      <c r="C618" s="192"/>
      <c r="D618" s="192"/>
      <c r="E618" s="192"/>
      <c r="F618" s="192"/>
    </row>
    <row r="619" spans="1:7" x14ac:dyDescent="0.35">
      <c r="A619" s="192"/>
      <c r="B619" s="192"/>
      <c r="C619" s="192"/>
      <c r="D619" s="192"/>
      <c r="E619" s="192"/>
      <c r="F619" s="192"/>
    </row>
    <row r="620" spans="1:7" x14ac:dyDescent="0.35">
      <c r="A620" s="192"/>
      <c r="B620" s="192"/>
      <c r="C620" s="192"/>
      <c r="D620" s="192"/>
      <c r="E620" s="192"/>
      <c r="F620" s="192"/>
    </row>
    <row r="621" spans="1:7" ht="15" customHeight="1" x14ac:dyDescent="0.35">
      <c r="A621" s="192" t="s">
        <v>411</v>
      </c>
      <c r="B621" s="192"/>
      <c r="C621" s="192"/>
      <c r="D621" s="192"/>
      <c r="E621" s="192"/>
      <c r="F621" s="192"/>
    </row>
    <row r="622" spans="1:7" x14ac:dyDescent="0.35">
      <c r="A622" s="192"/>
      <c r="B622" s="192"/>
      <c r="C622" s="192"/>
      <c r="D622" s="192"/>
      <c r="E622" s="192"/>
      <c r="F622" s="192"/>
    </row>
    <row r="623" spans="1:7" x14ac:dyDescent="0.35">
      <c r="A623" s="192"/>
      <c r="B623" s="192"/>
      <c r="C623" s="192"/>
      <c r="D623" s="192"/>
      <c r="E623" s="192"/>
      <c r="F623" s="192"/>
    </row>
    <row r="624" spans="1:7" x14ac:dyDescent="0.35">
      <c r="A624" s="192"/>
      <c r="B624" s="192"/>
      <c r="C624" s="192"/>
      <c r="D624" s="192"/>
      <c r="E624" s="192"/>
      <c r="F624" s="192"/>
    </row>
    <row r="625" spans="1:6" x14ac:dyDescent="0.35">
      <c r="A625" s="192"/>
      <c r="B625" s="192"/>
      <c r="C625" s="192"/>
      <c r="D625" s="192"/>
      <c r="E625" s="192"/>
      <c r="F625" s="192"/>
    </row>
    <row r="626" spans="1:6" x14ac:dyDescent="0.35">
      <c r="A626" s="192"/>
      <c r="B626" s="192"/>
      <c r="C626" s="192"/>
      <c r="D626" s="192"/>
      <c r="E626" s="192"/>
      <c r="F626" s="192"/>
    </row>
    <row r="627" spans="1:6" x14ac:dyDescent="0.35">
      <c r="A627" s="75"/>
      <c r="B627" s="75"/>
      <c r="C627" s="75"/>
      <c r="D627" s="75"/>
      <c r="E627" s="75"/>
      <c r="F627" s="75"/>
    </row>
    <row r="628" spans="1:6" ht="15" customHeight="1" x14ac:dyDescent="0.35">
      <c r="A628" s="192" t="s">
        <v>213</v>
      </c>
      <c r="B628" s="192"/>
      <c r="C628" s="192"/>
      <c r="D628" s="192"/>
      <c r="E628" s="192"/>
      <c r="F628" s="192"/>
    </row>
    <row r="629" spans="1:6" ht="15" customHeight="1" x14ac:dyDescent="0.35">
      <c r="A629" s="192" t="s">
        <v>412</v>
      </c>
      <c r="B629" s="192"/>
      <c r="C629" s="192"/>
      <c r="D629" s="192"/>
      <c r="E629" s="192"/>
      <c r="F629" s="192"/>
    </row>
    <row r="630" spans="1:6" ht="15" customHeight="1" x14ac:dyDescent="0.35">
      <c r="A630" s="192" t="s">
        <v>413</v>
      </c>
      <c r="B630" s="192"/>
      <c r="C630" s="192"/>
      <c r="D630" s="192"/>
      <c r="E630" s="192"/>
      <c r="F630" s="192"/>
    </row>
    <row r="631" spans="1:6" ht="15" customHeight="1" x14ac:dyDescent="0.35">
      <c r="A631" s="192" t="s">
        <v>414</v>
      </c>
      <c r="B631" s="192"/>
      <c r="C631" s="192"/>
      <c r="D631" s="192"/>
      <c r="E631" s="192"/>
      <c r="F631" s="192"/>
    </row>
    <row r="632" spans="1:6" ht="15" customHeight="1" x14ac:dyDescent="0.35">
      <c r="A632" s="192" t="s">
        <v>415</v>
      </c>
      <c r="B632" s="192"/>
      <c r="C632" s="192"/>
      <c r="D632" s="192"/>
      <c r="E632" s="192"/>
      <c r="F632" s="192"/>
    </row>
    <row r="633" spans="1:6" ht="15" customHeight="1" x14ac:dyDescent="0.35">
      <c r="A633" s="192" t="s">
        <v>416</v>
      </c>
      <c r="B633" s="192"/>
      <c r="C633" s="192"/>
      <c r="D633" s="192"/>
      <c r="E633" s="192"/>
      <c r="F633" s="192"/>
    </row>
    <row r="634" spans="1:6" ht="15" customHeight="1" x14ac:dyDescent="0.35">
      <c r="A634" s="192" t="s">
        <v>417</v>
      </c>
      <c r="B634" s="192"/>
      <c r="C634" s="192"/>
      <c r="D634" s="192"/>
      <c r="E634" s="192"/>
      <c r="F634" s="192"/>
    </row>
    <row r="635" spans="1:6" ht="15" customHeight="1" x14ac:dyDescent="0.35">
      <c r="A635" s="192" t="s">
        <v>418</v>
      </c>
      <c r="B635" s="192"/>
      <c r="C635" s="192"/>
      <c r="D635" s="192"/>
      <c r="E635" s="192"/>
      <c r="F635" s="192"/>
    </row>
    <row r="636" spans="1:6" ht="15" customHeight="1" x14ac:dyDescent="0.35">
      <c r="A636" s="192" t="s">
        <v>419</v>
      </c>
      <c r="B636" s="192"/>
      <c r="C636" s="192"/>
      <c r="D636" s="192"/>
      <c r="E636" s="192"/>
      <c r="F636" s="192"/>
    </row>
    <row r="637" spans="1:6" ht="15" customHeight="1" x14ac:dyDescent="0.35">
      <c r="A637" s="192" t="s">
        <v>420</v>
      </c>
      <c r="B637" s="192"/>
      <c r="C637" s="192"/>
      <c r="D637" s="192"/>
      <c r="E637" s="192"/>
      <c r="F637" s="192"/>
    </row>
    <row r="638" spans="1:6" ht="15" customHeight="1" x14ac:dyDescent="0.35">
      <c r="A638" s="192" t="s">
        <v>421</v>
      </c>
      <c r="B638" s="192"/>
      <c r="C638" s="192"/>
      <c r="D638" s="192"/>
      <c r="E638" s="192"/>
      <c r="F638" s="192"/>
    </row>
    <row r="639" spans="1:6" ht="15" customHeight="1" x14ac:dyDescent="0.35">
      <c r="A639" s="192" t="s">
        <v>422</v>
      </c>
      <c r="B639" s="192"/>
      <c r="C639" s="192"/>
      <c r="D639" s="192"/>
      <c r="E639" s="192"/>
      <c r="F639" s="192"/>
    </row>
    <row r="640" spans="1:6" x14ac:dyDescent="0.35">
      <c r="A640" s="66"/>
      <c r="B640" s="66"/>
      <c r="C640" s="66"/>
      <c r="D640" s="66"/>
      <c r="E640" s="66"/>
      <c r="F640" s="66"/>
    </row>
    <row r="641" spans="1:7" ht="15" customHeight="1" x14ac:dyDescent="0.35">
      <c r="A641" s="190" t="s">
        <v>423</v>
      </c>
      <c r="B641" s="190"/>
      <c r="C641" s="190"/>
      <c r="D641" s="75"/>
      <c r="E641" s="75"/>
      <c r="F641" s="75"/>
      <c r="G641" s="75"/>
    </row>
    <row r="642" spans="1:7" x14ac:dyDescent="0.35">
      <c r="A642" s="75"/>
      <c r="B642" s="75"/>
      <c r="C642" s="75"/>
      <c r="D642" s="75"/>
      <c r="E642" s="75"/>
      <c r="F642" s="75"/>
      <c r="G642" s="75"/>
    </row>
    <row r="643" spans="1:7" ht="15" customHeight="1" x14ac:dyDescent="0.35">
      <c r="A643" s="189" t="s">
        <v>146</v>
      </c>
      <c r="B643" s="189"/>
      <c r="C643" s="189"/>
      <c r="D643" s="82"/>
      <c r="E643" s="82"/>
      <c r="F643" s="82"/>
      <c r="G643" s="82"/>
    </row>
    <row r="644" spans="1:7" x14ac:dyDescent="0.35">
      <c r="A644" s="82"/>
      <c r="B644" s="82"/>
      <c r="C644" s="82"/>
      <c r="D644" s="82"/>
      <c r="E644" s="82"/>
      <c r="F644" s="82"/>
      <c r="G644" s="82"/>
    </row>
    <row r="645" spans="1:7" ht="15" customHeight="1" x14ac:dyDescent="0.35">
      <c r="A645" s="189" t="s">
        <v>424</v>
      </c>
      <c r="B645" s="189"/>
      <c r="C645" s="189"/>
      <c r="D645" s="189"/>
      <c r="E645" s="189"/>
      <c r="F645" s="189"/>
      <c r="G645" s="189"/>
    </row>
    <row r="646" spans="1:7" x14ac:dyDescent="0.35">
      <c r="A646" s="189"/>
      <c r="B646" s="189"/>
      <c r="C646" s="189"/>
      <c r="D646" s="189"/>
      <c r="E646" s="189"/>
      <c r="F646" s="189"/>
      <c r="G646" s="189"/>
    </row>
    <row r="647" spans="1:7" x14ac:dyDescent="0.35">
      <c r="A647" s="189"/>
      <c r="B647" s="189"/>
      <c r="C647" s="189"/>
      <c r="D647" s="189"/>
      <c r="E647" s="189"/>
      <c r="F647" s="189"/>
      <c r="G647" s="189"/>
    </row>
    <row r="648" spans="1:7" ht="23.25" customHeight="1" x14ac:dyDescent="0.35">
      <c r="A648" s="189"/>
      <c r="B648" s="189"/>
      <c r="C648" s="189"/>
      <c r="D648" s="189"/>
      <c r="E648" s="189"/>
      <c r="F648" s="189"/>
      <c r="G648" s="189"/>
    </row>
    <row r="649" spans="1:7" x14ac:dyDescent="0.35">
      <c r="A649" s="82"/>
      <c r="B649" s="82"/>
      <c r="C649" s="82"/>
      <c r="D649" s="82"/>
      <c r="E649" s="82"/>
      <c r="F649" s="82"/>
      <c r="G649" s="82"/>
    </row>
    <row r="650" spans="1:7" ht="15" customHeight="1" x14ac:dyDescent="0.35">
      <c r="A650" s="189" t="s">
        <v>425</v>
      </c>
      <c r="B650" s="189"/>
      <c r="C650" s="189"/>
      <c r="D650" s="189"/>
      <c r="E650" s="189"/>
      <c r="F650" s="189"/>
      <c r="G650" s="189"/>
    </row>
    <row r="651" spans="1:7" x14ac:dyDescent="0.35">
      <c r="A651" s="189"/>
      <c r="B651" s="189"/>
      <c r="C651" s="189"/>
      <c r="D651" s="189"/>
      <c r="E651" s="189"/>
      <c r="F651" s="189"/>
      <c r="G651" s="189"/>
    </row>
    <row r="652" spans="1:7" x14ac:dyDescent="0.35">
      <c r="A652" s="82"/>
      <c r="B652" s="82"/>
      <c r="C652" s="82"/>
      <c r="D652" s="82"/>
      <c r="E652" s="82"/>
      <c r="F652" s="82"/>
      <c r="G652" s="82"/>
    </row>
    <row r="653" spans="1:7" x14ac:dyDescent="0.35">
      <c r="A653" s="189" t="s">
        <v>426</v>
      </c>
      <c r="B653" s="189"/>
      <c r="C653" s="82"/>
      <c r="D653" s="82"/>
      <c r="E653" s="82"/>
      <c r="F653" s="82"/>
      <c r="G653" s="82"/>
    </row>
    <row r="654" spans="1:7" x14ac:dyDescent="0.35">
      <c r="A654" s="82"/>
      <c r="B654" s="82"/>
      <c r="C654" s="82"/>
      <c r="D654" s="82"/>
      <c r="E654" s="82"/>
      <c r="F654" s="82"/>
      <c r="G654" s="82"/>
    </row>
    <row r="655" spans="1:7" ht="15" customHeight="1" x14ac:dyDescent="0.35">
      <c r="A655" s="189" t="s">
        <v>427</v>
      </c>
      <c r="B655" s="189"/>
      <c r="C655" s="189"/>
      <c r="D655" s="189"/>
      <c r="E655" s="189"/>
      <c r="F655" s="189"/>
      <c r="G655" s="189"/>
    </row>
    <row r="656" spans="1:7" x14ac:dyDescent="0.35">
      <c r="A656" s="189"/>
      <c r="B656" s="189"/>
      <c r="C656" s="189"/>
      <c r="D656" s="189"/>
      <c r="E656" s="189"/>
      <c r="F656" s="189"/>
      <c r="G656" s="189"/>
    </row>
    <row r="657" spans="1:7" x14ac:dyDescent="0.35">
      <c r="A657" s="189"/>
      <c r="B657" s="189"/>
      <c r="C657" s="189"/>
      <c r="D657" s="189"/>
      <c r="E657" s="189"/>
      <c r="F657" s="189"/>
      <c r="G657" s="189"/>
    </row>
    <row r="658" spans="1:7" x14ac:dyDescent="0.35">
      <c r="A658" s="82"/>
      <c r="B658" s="82"/>
      <c r="C658" s="82"/>
      <c r="D658" s="82"/>
      <c r="E658" s="82"/>
      <c r="F658" s="82"/>
      <c r="G658" s="82"/>
    </row>
    <row r="659" spans="1:7" ht="15" customHeight="1" x14ac:dyDescent="0.35">
      <c r="A659" s="189" t="s">
        <v>428</v>
      </c>
      <c r="B659" s="189"/>
      <c r="C659" s="189"/>
      <c r="D659" s="189"/>
      <c r="E659" s="189"/>
      <c r="F659" s="189"/>
      <c r="G659" s="189"/>
    </row>
    <row r="660" spans="1:7" x14ac:dyDescent="0.35">
      <c r="A660" s="189"/>
      <c r="B660" s="189"/>
      <c r="C660" s="189"/>
      <c r="D660" s="189"/>
      <c r="E660" s="189"/>
      <c r="F660" s="189"/>
      <c r="G660" s="189"/>
    </row>
    <row r="661" spans="1:7" x14ac:dyDescent="0.35">
      <c r="A661" s="189"/>
      <c r="B661" s="189"/>
      <c r="C661" s="189"/>
      <c r="D661" s="189"/>
      <c r="E661" s="189"/>
      <c r="F661" s="189"/>
      <c r="G661" s="189"/>
    </row>
    <row r="662" spans="1:7" x14ac:dyDescent="0.35">
      <c r="A662" s="82"/>
      <c r="B662" s="82"/>
      <c r="C662" s="82"/>
      <c r="D662" s="82"/>
      <c r="E662" s="82"/>
      <c r="F662" s="82"/>
      <c r="G662" s="82"/>
    </row>
    <row r="663" spans="1:7" ht="15" customHeight="1" x14ac:dyDescent="0.35">
      <c r="A663" s="189" t="s">
        <v>429</v>
      </c>
      <c r="B663" s="189"/>
      <c r="C663" s="189"/>
      <c r="D663" s="189"/>
      <c r="E663" s="189"/>
      <c r="F663" s="189"/>
      <c r="G663" s="189"/>
    </row>
    <row r="664" spans="1:7" x14ac:dyDescent="0.35">
      <c r="A664" s="189"/>
      <c r="B664" s="189"/>
      <c r="C664" s="189"/>
      <c r="D664" s="189"/>
      <c r="E664" s="189"/>
      <c r="F664" s="189"/>
      <c r="G664" s="189"/>
    </row>
    <row r="665" spans="1:7" x14ac:dyDescent="0.35">
      <c r="A665" s="82"/>
      <c r="B665" s="82"/>
      <c r="C665" s="82"/>
      <c r="D665" s="82"/>
      <c r="E665" s="82"/>
      <c r="F665" s="82"/>
      <c r="G665" s="82"/>
    </row>
    <row r="666" spans="1:7" ht="15" customHeight="1" x14ac:dyDescent="0.35">
      <c r="A666" s="189" t="s">
        <v>430</v>
      </c>
      <c r="B666" s="189"/>
      <c r="C666" s="82"/>
      <c r="D666" s="82"/>
      <c r="E666" s="82"/>
      <c r="F666" s="82"/>
      <c r="G666" s="82"/>
    </row>
    <row r="667" spans="1:7" x14ac:dyDescent="0.35">
      <c r="A667" s="82"/>
      <c r="B667" s="82"/>
      <c r="C667" s="82"/>
      <c r="D667" s="82"/>
      <c r="E667" s="82"/>
      <c r="F667" s="82"/>
      <c r="G667" s="82"/>
    </row>
    <row r="668" spans="1:7" ht="15" customHeight="1" x14ac:dyDescent="0.35">
      <c r="A668" s="189" t="s">
        <v>431</v>
      </c>
      <c r="B668" s="189"/>
      <c r="C668" s="189"/>
      <c r="D668" s="189"/>
      <c r="E668" s="189"/>
      <c r="F668" s="189"/>
      <c r="G668" s="189"/>
    </row>
    <row r="669" spans="1:7" x14ac:dyDescent="0.35">
      <c r="A669" s="189"/>
      <c r="B669" s="189"/>
      <c r="C669" s="189"/>
      <c r="D669" s="189"/>
      <c r="E669" s="189"/>
      <c r="F669" s="189"/>
      <c r="G669" s="189"/>
    </row>
    <row r="670" spans="1:7" x14ac:dyDescent="0.35">
      <c r="A670" s="189"/>
      <c r="B670" s="189"/>
      <c r="C670" s="189"/>
      <c r="D670" s="189"/>
      <c r="E670" s="189"/>
      <c r="F670" s="189"/>
      <c r="G670" s="189"/>
    </row>
    <row r="671" spans="1:7" x14ac:dyDescent="0.35">
      <c r="A671" s="82"/>
      <c r="B671" s="82"/>
      <c r="C671" s="82"/>
      <c r="D671" s="82"/>
      <c r="E671" s="82"/>
      <c r="F671" s="82"/>
      <c r="G671" s="82"/>
    </row>
    <row r="672" spans="1:7" ht="15" customHeight="1" x14ac:dyDescent="0.35">
      <c r="A672" s="189" t="s">
        <v>432</v>
      </c>
      <c r="B672" s="189"/>
      <c r="C672" s="189"/>
      <c r="D672" s="189"/>
      <c r="E672" s="189"/>
      <c r="F672" s="189"/>
      <c r="G672" s="189"/>
    </row>
    <row r="673" spans="1:7" x14ac:dyDescent="0.35">
      <c r="A673" s="189"/>
      <c r="B673" s="189"/>
      <c r="C673" s="189"/>
      <c r="D673" s="189"/>
      <c r="E673" s="189"/>
      <c r="F673" s="189"/>
      <c r="G673" s="189"/>
    </row>
    <row r="674" spans="1:7" x14ac:dyDescent="0.35">
      <c r="A674" s="189"/>
      <c r="B674" s="189"/>
      <c r="C674" s="189"/>
      <c r="D674" s="189"/>
      <c r="E674" s="189"/>
      <c r="F674" s="189"/>
      <c r="G674" s="189"/>
    </row>
    <row r="675" spans="1:7" x14ac:dyDescent="0.35">
      <c r="A675" s="189"/>
      <c r="B675" s="189"/>
      <c r="C675" s="189"/>
      <c r="D675" s="189"/>
      <c r="E675" s="189"/>
      <c r="F675" s="189"/>
      <c r="G675" s="189"/>
    </row>
    <row r="676" spans="1:7" x14ac:dyDescent="0.35">
      <c r="A676" s="82"/>
      <c r="B676" s="82"/>
      <c r="C676" s="82"/>
      <c r="D676" s="82"/>
      <c r="E676" s="82"/>
      <c r="F676" s="82"/>
      <c r="G676" s="82"/>
    </row>
    <row r="677" spans="1:7" ht="15" customHeight="1" x14ac:dyDescent="0.35">
      <c r="A677" s="189" t="s">
        <v>433</v>
      </c>
      <c r="B677" s="189"/>
      <c r="C677" s="189"/>
      <c r="D677" s="189"/>
      <c r="E677" s="189"/>
      <c r="F677" s="189"/>
      <c r="G677" s="189"/>
    </row>
    <row r="678" spans="1:7" x14ac:dyDescent="0.35">
      <c r="A678" s="189"/>
      <c r="B678" s="189"/>
      <c r="C678" s="189"/>
      <c r="D678" s="189"/>
      <c r="E678" s="189"/>
      <c r="F678" s="189"/>
      <c r="G678" s="189"/>
    </row>
    <row r="679" spans="1:7" x14ac:dyDescent="0.35">
      <c r="A679" s="82"/>
      <c r="B679" s="82"/>
      <c r="C679" s="82"/>
      <c r="D679" s="82"/>
      <c r="E679" s="82"/>
      <c r="F679" s="82"/>
      <c r="G679" s="82"/>
    </row>
    <row r="680" spans="1:7" ht="15" customHeight="1" x14ac:dyDescent="0.35">
      <c r="A680" s="189" t="s">
        <v>434</v>
      </c>
      <c r="B680" s="189"/>
      <c r="C680" s="189"/>
      <c r="D680" s="189"/>
      <c r="E680" s="189"/>
      <c r="F680" s="189"/>
      <c r="G680" s="189"/>
    </row>
    <row r="681" spans="1:7" x14ac:dyDescent="0.35">
      <c r="A681" s="189"/>
      <c r="B681" s="189"/>
      <c r="C681" s="189"/>
      <c r="D681" s="189"/>
      <c r="E681" s="189"/>
      <c r="F681" s="189"/>
      <c r="G681" s="189"/>
    </row>
    <row r="682" spans="1:7" x14ac:dyDescent="0.35">
      <c r="A682" s="82"/>
      <c r="B682" s="82"/>
      <c r="C682" s="82"/>
      <c r="D682" s="82"/>
      <c r="E682" s="82"/>
      <c r="F682" s="82"/>
      <c r="G682" s="82"/>
    </row>
    <row r="683" spans="1:7" ht="15" customHeight="1" x14ac:dyDescent="0.35">
      <c r="A683" s="189" t="s">
        <v>435</v>
      </c>
      <c r="B683" s="189"/>
      <c r="C683" s="189"/>
      <c r="D683" s="189"/>
      <c r="E683" s="189"/>
      <c r="F683" s="189"/>
      <c r="G683" s="189"/>
    </row>
    <row r="684" spans="1:7" x14ac:dyDescent="0.35">
      <c r="A684" s="189"/>
      <c r="B684" s="189"/>
      <c r="C684" s="189"/>
      <c r="D684" s="189"/>
      <c r="E684" s="189"/>
      <c r="F684" s="189"/>
      <c r="G684" s="189"/>
    </row>
    <row r="685" spans="1:7" x14ac:dyDescent="0.35">
      <c r="A685" s="189"/>
      <c r="B685" s="189"/>
      <c r="C685" s="189"/>
      <c r="D685" s="189"/>
      <c r="E685" s="189"/>
      <c r="F685" s="189"/>
      <c r="G685" s="189"/>
    </row>
    <row r="686" spans="1:7" x14ac:dyDescent="0.35">
      <c r="A686" s="189"/>
      <c r="B686" s="189"/>
      <c r="C686" s="189"/>
      <c r="D686" s="189"/>
      <c r="E686" s="189"/>
      <c r="F686" s="189"/>
      <c r="G686" s="189"/>
    </row>
    <row r="687" spans="1:7" x14ac:dyDescent="0.35">
      <c r="A687" s="189"/>
      <c r="B687" s="189"/>
      <c r="C687" s="189"/>
      <c r="D687" s="189"/>
      <c r="E687" s="189"/>
      <c r="F687" s="189"/>
      <c r="G687" s="189"/>
    </row>
    <row r="688" spans="1:7" x14ac:dyDescent="0.35">
      <c r="A688" s="189"/>
      <c r="B688" s="189"/>
      <c r="C688" s="189"/>
      <c r="D688" s="189"/>
      <c r="E688" s="189"/>
      <c r="F688" s="189"/>
      <c r="G688" s="189"/>
    </row>
    <row r="689" spans="1:7" x14ac:dyDescent="0.35">
      <c r="A689" s="82"/>
      <c r="B689" s="82"/>
      <c r="C689" s="82"/>
      <c r="D689" s="82"/>
      <c r="E689" s="82"/>
      <c r="F689" s="82"/>
      <c r="G689" s="82"/>
    </row>
    <row r="690" spans="1:7" ht="15" customHeight="1" x14ac:dyDescent="0.35">
      <c r="A690" s="189" t="s">
        <v>436</v>
      </c>
      <c r="B690" s="189"/>
      <c r="C690" s="189"/>
      <c r="D690" s="189"/>
      <c r="E690" s="189"/>
      <c r="F690" s="189"/>
      <c r="G690" s="189"/>
    </row>
    <row r="691" spans="1:7" x14ac:dyDescent="0.35">
      <c r="A691" s="189"/>
      <c r="B691" s="189"/>
      <c r="C691" s="189"/>
      <c r="D691" s="189"/>
      <c r="E691" s="189"/>
      <c r="F691" s="189"/>
      <c r="G691" s="189"/>
    </row>
    <row r="692" spans="1:7" x14ac:dyDescent="0.35">
      <c r="A692" s="189"/>
      <c r="B692" s="189"/>
      <c r="C692" s="189"/>
      <c r="D692" s="189"/>
      <c r="E692" s="189"/>
      <c r="F692" s="189"/>
      <c r="G692" s="189"/>
    </row>
    <row r="693" spans="1:7" x14ac:dyDescent="0.35">
      <c r="A693" s="82"/>
      <c r="B693" s="82"/>
      <c r="C693" s="82"/>
      <c r="D693" s="82"/>
      <c r="E693" s="82"/>
      <c r="F693" s="82"/>
      <c r="G693" s="82"/>
    </row>
    <row r="694" spans="1:7" ht="28.5" customHeight="1" x14ac:dyDescent="0.35">
      <c r="A694" s="189" t="s">
        <v>437</v>
      </c>
      <c r="B694" s="189"/>
      <c r="C694" s="189"/>
      <c r="D694" s="189"/>
      <c r="E694" s="189"/>
      <c r="F694" s="189"/>
      <c r="G694" s="189"/>
    </row>
    <row r="695" spans="1:7" x14ac:dyDescent="0.35">
      <c r="A695" s="82"/>
      <c r="B695" s="82"/>
      <c r="C695" s="82"/>
      <c r="D695" s="82"/>
      <c r="E695" s="82"/>
      <c r="F695" s="82"/>
      <c r="G695" s="82"/>
    </row>
    <row r="696" spans="1:7" ht="15" customHeight="1" x14ac:dyDescent="0.35">
      <c r="A696" s="189" t="s">
        <v>438</v>
      </c>
      <c r="B696" s="189"/>
      <c r="C696" s="189"/>
      <c r="D696" s="189"/>
      <c r="E696" s="189"/>
      <c r="F696" s="189"/>
      <c r="G696" s="189"/>
    </row>
    <row r="697" spans="1:7" x14ac:dyDescent="0.35">
      <c r="A697" s="189"/>
      <c r="B697" s="189"/>
      <c r="C697" s="189"/>
      <c r="D697" s="189"/>
      <c r="E697" s="189"/>
      <c r="F697" s="189"/>
      <c r="G697" s="189"/>
    </row>
    <row r="698" spans="1:7" x14ac:dyDescent="0.35">
      <c r="A698" s="82"/>
      <c r="B698" s="82"/>
      <c r="C698" s="82"/>
      <c r="D698" s="82"/>
      <c r="E698" s="82"/>
      <c r="F698" s="82"/>
      <c r="G698" s="82"/>
    </row>
    <row r="699" spans="1:7" ht="15" customHeight="1" x14ac:dyDescent="0.35">
      <c r="A699" s="189" t="s">
        <v>439</v>
      </c>
      <c r="B699" s="189"/>
      <c r="C699" s="189"/>
      <c r="D699" s="189"/>
      <c r="E699" s="189"/>
      <c r="F699" s="189"/>
      <c r="G699" s="189"/>
    </row>
    <row r="700" spans="1:7" x14ac:dyDescent="0.35">
      <c r="A700" s="189"/>
      <c r="B700" s="189"/>
      <c r="C700" s="189"/>
      <c r="D700" s="189"/>
      <c r="E700" s="189"/>
      <c r="F700" s="189"/>
      <c r="G700" s="189"/>
    </row>
    <row r="701" spans="1:7" x14ac:dyDescent="0.35">
      <c r="A701" s="82"/>
      <c r="B701" s="82"/>
      <c r="C701" s="82"/>
      <c r="D701" s="82"/>
      <c r="E701" s="82"/>
      <c r="F701" s="82"/>
      <c r="G701" s="82"/>
    </row>
    <row r="702" spans="1:7" ht="15" customHeight="1" x14ac:dyDescent="0.35">
      <c r="A702" s="189" t="s">
        <v>440</v>
      </c>
      <c r="B702" s="189"/>
      <c r="C702" s="189"/>
      <c r="D702" s="189"/>
      <c r="E702" s="189"/>
      <c r="F702" s="189"/>
      <c r="G702" s="189"/>
    </row>
    <row r="703" spans="1:7" x14ac:dyDescent="0.35">
      <c r="A703" s="189"/>
      <c r="B703" s="189"/>
      <c r="C703" s="189"/>
      <c r="D703" s="189"/>
      <c r="E703" s="189"/>
      <c r="F703" s="189"/>
      <c r="G703" s="189"/>
    </row>
    <row r="704" spans="1:7" x14ac:dyDescent="0.35">
      <c r="A704" s="82"/>
      <c r="B704" s="82"/>
      <c r="C704" s="82"/>
      <c r="D704" s="82"/>
      <c r="E704" s="82"/>
      <c r="F704" s="82"/>
      <c r="G704" s="82"/>
    </row>
    <row r="705" spans="1:7" ht="15" customHeight="1" x14ac:dyDescent="0.35">
      <c r="A705" s="189" t="s">
        <v>441</v>
      </c>
      <c r="B705" s="189"/>
      <c r="C705" s="189"/>
      <c r="D705" s="189"/>
      <c r="E705" s="189"/>
      <c r="F705" s="189"/>
      <c r="G705" s="189"/>
    </row>
    <row r="706" spans="1:7" x14ac:dyDescent="0.35">
      <c r="A706" s="189"/>
      <c r="B706" s="189"/>
      <c r="C706" s="189"/>
      <c r="D706" s="189"/>
      <c r="E706" s="189"/>
      <c r="F706" s="189"/>
      <c r="G706" s="189"/>
    </row>
    <row r="707" spans="1:7" x14ac:dyDescent="0.35">
      <c r="A707" s="189"/>
      <c r="B707" s="189"/>
      <c r="C707" s="189"/>
      <c r="D707" s="189"/>
      <c r="E707" s="189"/>
      <c r="F707" s="189"/>
      <c r="G707" s="189"/>
    </row>
    <row r="708" spans="1:7" x14ac:dyDescent="0.35">
      <c r="A708" s="82"/>
      <c r="B708" s="82"/>
      <c r="C708" s="82"/>
      <c r="D708" s="82"/>
      <c r="E708" s="82"/>
      <c r="F708" s="82"/>
      <c r="G708" s="82"/>
    </row>
    <row r="709" spans="1:7" ht="15" customHeight="1" x14ac:dyDescent="0.35">
      <c r="A709" s="189" t="s">
        <v>442</v>
      </c>
      <c r="B709" s="189"/>
      <c r="C709" s="189"/>
      <c r="D709" s="189"/>
      <c r="E709" s="189"/>
      <c r="F709" s="189"/>
      <c r="G709" s="189"/>
    </row>
    <row r="710" spans="1:7" x14ac:dyDescent="0.35">
      <c r="A710" s="189"/>
      <c r="B710" s="189"/>
      <c r="C710" s="189"/>
      <c r="D710" s="189"/>
      <c r="E710" s="189"/>
      <c r="F710" s="189"/>
      <c r="G710" s="189"/>
    </row>
    <row r="711" spans="1:7" x14ac:dyDescent="0.35">
      <c r="A711" s="82"/>
      <c r="B711" s="82"/>
      <c r="C711" s="82"/>
      <c r="D711" s="82"/>
      <c r="E711" s="82"/>
      <c r="F711" s="82"/>
      <c r="G711" s="82"/>
    </row>
    <row r="712" spans="1:7" ht="15" customHeight="1" x14ac:dyDescent="0.35">
      <c r="A712" s="189" t="s">
        <v>380</v>
      </c>
      <c r="B712" s="189"/>
      <c r="C712" s="189"/>
      <c r="D712" s="189"/>
      <c r="E712" s="189"/>
      <c r="F712" s="189"/>
      <c r="G712" s="189"/>
    </row>
    <row r="713" spans="1:7" x14ac:dyDescent="0.35">
      <c r="A713" s="189"/>
      <c r="B713" s="189"/>
      <c r="C713" s="189"/>
      <c r="D713" s="189"/>
      <c r="E713" s="189"/>
      <c r="F713" s="189"/>
      <c r="G713" s="189"/>
    </row>
    <row r="714" spans="1:7" x14ac:dyDescent="0.35">
      <c r="A714" s="189"/>
      <c r="B714" s="189"/>
      <c r="C714" s="189"/>
      <c r="D714" s="189"/>
      <c r="E714" s="189"/>
      <c r="F714" s="189"/>
      <c r="G714" s="189"/>
    </row>
    <row r="715" spans="1:7" ht="22.5" customHeight="1" x14ac:dyDescent="0.35">
      <c r="A715" s="189"/>
      <c r="B715" s="189"/>
      <c r="C715" s="189"/>
      <c r="D715" s="189"/>
      <c r="E715" s="189"/>
      <c r="F715" s="189"/>
      <c r="G715" s="189"/>
    </row>
    <row r="716" spans="1:7" x14ac:dyDescent="0.3">
      <c r="A716" s="78"/>
      <c r="B716" s="78"/>
      <c r="C716" s="78"/>
      <c r="D716" s="78"/>
      <c r="E716" s="78"/>
      <c r="F716" s="78"/>
      <c r="G716" s="57"/>
    </row>
    <row r="717" spans="1:7" ht="15" customHeight="1" x14ac:dyDescent="0.35">
      <c r="A717" s="182" t="s">
        <v>443</v>
      </c>
      <c r="B717" s="182"/>
      <c r="C717" s="182"/>
      <c r="D717" s="182"/>
      <c r="E717" s="182"/>
      <c r="F717" s="182"/>
    </row>
    <row r="718" spans="1:7" x14ac:dyDescent="0.35">
      <c r="A718" s="71"/>
      <c r="B718" s="66"/>
      <c r="C718" s="71"/>
      <c r="D718" s="67"/>
      <c r="E718" s="71"/>
      <c r="F718" s="71"/>
    </row>
    <row r="719" spans="1:7" ht="36.75" customHeight="1" x14ac:dyDescent="0.35">
      <c r="A719" s="179" t="s">
        <v>444</v>
      </c>
      <c r="B719" s="179"/>
      <c r="C719" s="179"/>
      <c r="D719" s="179"/>
      <c r="E719" s="179"/>
      <c r="F719" s="179"/>
    </row>
    <row r="720" spans="1:7" x14ac:dyDescent="0.35">
      <c r="A720" s="71"/>
      <c r="B720" s="66"/>
      <c r="C720" s="66"/>
      <c r="D720" s="65"/>
      <c r="E720" s="67"/>
      <c r="F720" s="67"/>
    </row>
    <row r="721" spans="1:6" ht="33.75" customHeight="1" x14ac:dyDescent="0.35">
      <c r="A721" s="179" t="s">
        <v>445</v>
      </c>
      <c r="B721" s="179"/>
      <c r="C721" s="179"/>
      <c r="D721" s="179"/>
      <c r="E721" s="179"/>
      <c r="F721" s="179"/>
    </row>
    <row r="722" spans="1:6" ht="24.75" customHeight="1" x14ac:dyDescent="0.35">
      <c r="A722" s="179" t="s">
        <v>446</v>
      </c>
      <c r="B722" s="179"/>
      <c r="C722" s="179"/>
      <c r="D722" s="179"/>
      <c r="E722" s="179"/>
      <c r="F722" s="179"/>
    </row>
    <row r="723" spans="1:6" x14ac:dyDescent="0.35">
      <c r="A723" s="71"/>
      <c r="B723" s="66"/>
      <c r="C723" s="66"/>
      <c r="D723" s="65"/>
      <c r="E723" s="67"/>
      <c r="F723" s="67"/>
    </row>
    <row r="724" spans="1:6" ht="42.75" customHeight="1" x14ac:dyDescent="0.35">
      <c r="A724" s="179" t="s">
        <v>447</v>
      </c>
      <c r="B724" s="179"/>
      <c r="C724" s="179"/>
      <c r="D724" s="179"/>
      <c r="E724" s="179"/>
      <c r="F724" s="179"/>
    </row>
    <row r="725" spans="1:6" ht="35.25" customHeight="1" x14ac:dyDescent="0.35">
      <c r="A725" s="179" t="s">
        <v>448</v>
      </c>
      <c r="B725" s="179"/>
      <c r="C725" s="179"/>
      <c r="D725" s="179"/>
      <c r="E725" s="179"/>
      <c r="F725" s="179"/>
    </row>
    <row r="726" spans="1:6" ht="34.5" customHeight="1" x14ac:dyDescent="0.35">
      <c r="A726" s="179" t="s">
        <v>449</v>
      </c>
      <c r="B726" s="179"/>
      <c r="C726" s="179"/>
      <c r="D726" s="179"/>
      <c r="E726" s="179"/>
      <c r="F726" s="179"/>
    </row>
    <row r="727" spans="1:6" ht="28.5" customHeight="1" x14ac:dyDescent="0.35">
      <c r="A727" s="179" t="s">
        <v>450</v>
      </c>
      <c r="B727" s="179"/>
      <c r="C727" s="179"/>
      <c r="D727" s="179"/>
      <c r="E727" s="179"/>
      <c r="F727" s="179"/>
    </row>
    <row r="728" spans="1:6" ht="48" customHeight="1" x14ac:dyDescent="0.35">
      <c r="A728" s="179" t="s">
        <v>451</v>
      </c>
      <c r="B728" s="179"/>
      <c r="C728" s="179"/>
      <c r="D728" s="179"/>
      <c r="E728" s="179"/>
      <c r="F728" s="179"/>
    </row>
    <row r="729" spans="1:6" ht="26.25" customHeight="1" x14ac:dyDescent="0.35">
      <c r="A729" s="179" t="s">
        <v>452</v>
      </c>
      <c r="B729" s="179"/>
      <c r="C729" s="179"/>
      <c r="D729" s="179"/>
      <c r="E729" s="179"/>
      <c r="F729" s="179"/>
    </row>
    <row r="730" spans="1:6" ht="51" customHeight="1" x14ac:dyDescent="0.35">
      <c r="A730" s="192" t="s">
        <v>453</v>
      </c>
      <c r="B730" s="192"/>
      <c r="C730" s="192"/>
      <c r="D730" s="192"/>
      <c r="E730" s="192"/>
      <c r="F730" s="192"/>
    </row>
    <row r="731" spans="1:6" ht="1.5" customHeight="1" x14ac:dyDescent="0.35">
      <c r="A731" s="192"/>
      <c r="B731" s="192"/>
      <c r="C731" s="192"/>
      <c r="D731" s="192"/>
      <c r="E731" s="192"/>
      <c r="F731" s="192"/>
    </row>
    <row r="732" spans="1:6" ht="31.5" customHeight="1" x14ac:dyDescent="0.35">
      <c r="A732" s="192" t="s">
        <v>454</v>
      </c>
      <c r="B732" s="192"/>
      <c r="C732" s="192"/>
      <c r="D732" s="192"/>
      <c r="E732" s="192"/>
      <c r="F732" s="192"/>
    </row>
    <row r="733" spans="1:6" x14ac:dyDescent="0.35">
      <c r="A733" s="71"/>
      <c r="B733" s="66"/>
      <c r="C733" s="66"/>
      <c r="D733" s="65"/>
      <c r="E733" s="67"/>
      <c r="F733" s="67"/>
    </row>
    <row r="734" spans="1:6" ht="15" customHeight="1" x14ac:dyDescent="0.35">
      <c r="A734" s="179" t="s">
        <v>455</v>
      </c>
      <c r="B734" s="179"/>
      <c r="C734" s="179"/>
      <c r="D734" s="179"/>
      <c r="E734" s="179"/>
      <c r="F734" s="179"/>
    </row>
    <row r="735" spans="1:6" ht="15" customHeight="1" x14ac:dyDescent="0.35">
      <c r="A735" s="179" t="s">
        <v>456</v>
      </c>
      <c r="B735" s="179"/>
      <c r="C735" s="179"/>
      <c r="D735" s="179"/>
      <c r="E735" s="179"/>
      <c r="F735" s="179"/>
    </row>
    <row r="736" spans="1:6" ht="15" customHeight="1" x14ac:dyDescent="0.35">
      <c r="A736" s="179" t="s">
        <v>457</v>
      </c>
      <c r="B736" s="179"/>
      <c r="C736" s="179"/>
      <c r="D736" s="179"/>
      <c r="E736" s="179"/>
      <c r="F736" s="179"/>
    </row>
    <row r="737" spans="1:6" ht="15" customHeight="1" x14ac:dyDescent="0.35">
      <c r="A737" s="179" t="s">
        <v>458</v>
      </c>
      <c r="B737" s="179"/>
      <c r="C737" s="179"/>
      <c r="D737" s="179"/>
      <c r="E737" s="179"/>
      <c r="F737" s="179"/>
    </row>
    <row r="738" spans="1:6" ht="15" customHeight="1" x14ac:dyDescent="0.35">
      <c r="A738" s="179" t="s">
        <v>459</v>
      </c>
      <c r="B738" s="179"/>
      <c r="C738" s="179"/>
      <c r="D738" s="179"/>
      <c r="E738" s="179"/>
      <c r="F738" s="179"/>
    </row>
    <row r="739" spans="1:6" ht="15" customHeight="1" x14ac:dyDescent="0.35">
      <c r="A739" s="179" t="s">
        <v>460</v>
      </c>
      <c r="B739" s="179"/>
      <c r="C739" s="179"/>
      <c r="D739" s="179"/>
      <c r="E739" s="179"/>
      <c r="F739" s="179"/>
    </row>
    <row r="740" spans="1:6" ht="15" customHeight="1" x14ac:dyDescent="0.35">
      <c r="A740" s="179" t="s">
        <v>461</v>
      </c>
      <c r="B740" s="179"/>
      <c r="C740" s="179"/>
      <c r="D740" s="179"/>
      <c r="E740" s="179"/>
      <c r="F740" s="179"/>
    </row>
    <row r="741" spans="1:6" ht="15" customHeight="1" x14ac:dyDescent="0.35">
      <c r="A741" s="179" t="s">
        <v>462</v>
      </c>
      <c r="B741" s="179"/>
      <c r="C741" s="179"/>
      <c r="D741" s="179"/>
      <c r="E741" s="179"/>
      <c r="F741" s="179"/>
    </row>
    <row r="742" spans="1:6" ht="15" customHeight="1" x14ac:dyDescent="0.35">
      <c r="A742" s="179" t="s">
        <v>463</v>
      </c>
      <c r="B742" s="179"/>
      <c r="C742" s="179"/>
      <c r="D742" s="179"/>
      <c r="E742" s="179"/>
      <c r="F742" s="179"/>
    </row>
    <row r="743" spans="1:6" ht="15" customHeight="1" x14ac:dyDescent="0.35">
      <c r="A743" s="179" t="s">
        <v>464</v>
      </c>
      <c r="B743" s="179"/>
      <c r="C743" s="179"/>
      <c r="D743" s="179"/>
      <c r="E743" s="179"/>
      <c r="F743" s="179"/>
    </row>
    <row r="744" spans="1:6" ht="15" customHeight="1" x14ac:dyDescent="0.35">
      <c r="A744" s="179" t="s">
        <v>465</v>
      </c>
      <c r="B744" s="179"/>
      <c r="C744" s="179"/>
      <c r="D744" s="179"/>
      <c r="E744" s="179"/>
      <c r="F744" s="179"/>
    </row>
    <row r="745" spans="1:6" ht="15" customHeight="1" x14ac:dyDescent="0.35">
      <c r="A745" s="179" t="s">
        <v>466</v>
      </c>
      <c r="B745" s="179"/>
      <c r="C745" s="179"/>
      <c r="D745" s="179"/>
      <c r="E745" s="179"/>
      <c r="F745" s="179"/>
    </row>
    <row r="746" spans="1:6" x14ac:dyDescent="0.35">
      <c r="A746" s="66"/>
      <c r="B746" s="66"/>
      <c r="C746" s="66"/>
      <c r="D746" s="66"/>
      <c r="E746" s="66"/>
      <c r="F746" s="66"/>
    </row>
    <row r="747" spans="1:6" ht="15" customHeight="1" x14ac:dyDescent="0.35">
      <c r="A747" s="182" t="s">
        <v>467</v>
      </c>
      <c r="B747" s="182"/>
      <c r="C747" s="182"/>
      <c r="D747" s="182"/>
      <c r="E747" s="182"/>
      <c r="F747" s="182"/>
    </row>
    <row r="748" spans="1:6" x14ac:dyDescent="0.35">
      <c r="A748" s="71"/>
      <c r="B748" s="66"/>
      <c r="C748" s="71"/>
      <c r="D748" s="67"/>
      <c r="E748" s="71"/>
      <c r="F748" s="71"/>
    </row>
    <row r="749" spans="1:6" ht="54" customHeight="1" x14ac:dyDescent="0.35">
      <c r="A749" s="179" t="s">
        <v>468</v>
      </c>
      <c r="B749" s="179"/>
      <c r="C749" s="179"/>
      <c r="D749" s="179"/>
      <c r="E749" s="179"/>
      <c r="F749" s="179"/>
    </row>
    <row r="750" spans="1:6" x14ac:dyDescent="0.35">
      <c r="A750" s="71"/>
      <c r="B750" s="66"/>
      <c r="C750" s="66"/>
      <c r="D750" s="65"/>
      <c r="E750" s="67"/>
      <c r="F750" s="67"/>
    </row>
    <row r="751" spans="1:6" ht="15" customHeight="1" x14ac:dyDescent="0.35">
      <c r="A751" s="179" t="s">
        <v>469</v>
      </c>
      <c r="B751" s="179"/>
      <c r="C751" s="179"/>
      <c r="D751" s="179"/>
      <c r="E751" s="179"/>
      <c r="F751" s="179"/>
    </row>
    <row r="752" spans="1:6" ht="16.5" customHeight="1" x14ac:dyDescent="0.35">
      <c r="A752" s="179" t="s">
        <v>470</v>
      </c>
      <c r="B752" s="179"/>
      <c r="C752" s="179"/>
      <c r="D752" s="179"/>
      <c r="E752" s="179"/>
      <c r="F752" s="179"/>
    </row>
    <row r="753" spans="1:7" ht="15" customHeight="1" x14ac:dyDescent="0.35">
      <c r="A753" s="179" t="s">
        <v>471</v>
      </c>
      <c r="B753" s="179"/>
      <c r="C753" s="179"/>
      <c r="D753" s="179"/>
      <c r="E753" s="179"/>
      <c r="F753" s="179"/>
    </row>
    <row r="754" spans="1:7" ht="15" customHeight="1" x14ac:dyDescent="0.35">
      <c r="A754" s="179" t="s">
        <v>472</v>
      </c>
      <c r="B754" s="179"/>
      <c r="C754" s="179"/>
      <c r="D754" s="179"/>
      <c r="E754" s="179"/>
      <c r="F754" s="179"/>
    </row>
    <row r="755" spans="1:7" x14ac:dyDescent="0.35">
      <c r="A755" s="66"/>
      <c r="B755" s="66"/>
      <c r="C755" s="66"/>
      <c r="D755" s="66"/>
      <c r="E755" s="66"/>
      <c r="F755" s="66"/>
    </row>
    <row r="756" spans="1:7" ht="15" customHeight="1" x14ac:dyDescent="0.35">
      <c r="A756" s="190" t="s">
        <v>473</v>
      </c>
      <c r="B756" s="190"/>
      <c r="C756" s="75"/>
      <c r="D756" s="75"/>
      <c r="E756" s="75"/>
      <c r="F756" s="75"/>
      <c r="G756" s="75"/>
    </row>
    <row r="757" spans="1:7" x14ac:dyDescent="0.35">
      <c r="A757" s="75"/>
      <c r="B757" s="75"/>
      <c r="C757" s="75"/>
      <c r="D757" s="75"/>
      <c r="E757" s="75"/>
      <c r="F757" s="75"/>
      <c r="G757" s="75"/>
    </row>
    <row r="758" spans="1:7" ht="15" customHeight="1" x14ac:dyDescent="0.35">
      <c r="A758" s="189" t="s">
        <v>146</v>
      </c>
      <c r="B758" s="189"/>
      <c r="C758" s="189"/>
      <c r="D758" s="82"/>
      <c r="E758" s="82"/>
      <c r="F758" s="82"/>
      <c r="G758" s="82"/>
    </row>
    <row r="759" spans="1:7" x14ac:dyDescent="0.35">
      <c r="A759" s="82"/>
      <c r="B759" s="82"/>
      <c r="C759" s="82"/>
      <c r="D759" s="82"/>
      <c r="E759" s="82"/>
      <c r="F759" s="82"/>
      <c r="G759" s="82"/>
    </row>
    <row r="760" spans="1:7" ht="15" customHeight="1" x14ac:dyDescent="0.35">
      <c r="A760" s="189" t="s">
        <v>474</v>
      </c>
      <c r="B760" s="189"/>
      <c r="C760" s="189"/>
      <c r="D760" s="189"/>
      <c r="E760" s="189"/>
      <c r="F760" s="189"/>
      <c r="G760" s="189"/>
    </row>
    <row r="761" spans="1:7" x14ac:dyDescent="0.35">
      <c r="A761" s="189"/>
      <c r="B761" s="189"/>
      <c r="C761" s="189"/>
      <c r="D761" s="189"/>
      <c r="E761" s="189"/>
      <c r="F761" s="189"/>
      <c r="G761" s="189"/>
    </row>
    <row r="762" spans="1:7" x14ac:dyDescent="0.35">
      <c r="A762" s="82"/>
      <c r="B762" s="82"/>
      <c r="C762" s="82"/>
      <c r="D762" s="82"/>
      <c r="E762" s="82"/>
      <c r="F762" s="82"/>
      <c r="G762" s="82"/>
    </row>
    <row r="763" spans="1:7" ht="28.5" customHeight="1" x14ac:dyDescent="0.35">
      <c r="A763" s="189" t="s">
        <v>475</v>
      </c>
      <c r="B763" s="189"/>
      <c r="C763" s="189"/>
      <c r="D763" s="189"/>
      <c r="E763" s="189"/>
      <c r="F763" s="189"/>
      <c r="G763" s="189"/>
    </row>
    <row r="764" spans="1:7" x14ac:dyDescent="0.35">
      <c r="A764" s="82"/>
      <c r="B764" s="82"/>
      <c r="C764" s="82"/>
      <c r="D764" s="82"/>
      <c r="E764" s="82"/>
      <c r="F764" s="82"/>
      <c r="G764" s="82"/>
    </row>
    <row r="765" spans="1:7" ht="15" customHeight="1" x14ac:dyDescent="0.35">
      <c r="A765" s="189" t="s">
        <v>476</v>
      </c>
      <c r="B765" s="189"/>
      <c r="C765" s="189"/>
      <c r="D765" s="189"/>
      <c r="E765" s="189"/>
      <c r="F765" s="189"/>
      <c r="G765" s="82"/>
    </row>
    <row r="766" spans="1:7" ht="15" customHeight="1" x14ac:dyDescent="0.35">
      <c r="A766" s="189" t="s">
        <v>477</v>
      </c>
      <c r="B766" s="189"/>
      <c r="C766" s="189"/>
      <c r="D766" s="189"/>
      <c r="E766" s="189"/>
      <c r="F766" s="189"/>
      <c r="G766" s="82"/>
    </row>
    <row r="767" spans="1:7" ht="15" customHeight="1" x14ac:dyDescent="0.35">
      <c r="A767" s="189" t="s">
        <v>478</v>
      </c>
      <c r="B767" s="189"/>
      <c r="C767" s="189"/>
      <c r="D767" s="189"/>
      <c r="E767" s="189"/>
      <c r="F767" s="189"/>
      <c r="G767" s="189"/>
    </row>
    <row r="768" spans="1:7" ht="15" customHeight="1" x14ac:dyDescent="0.35">
      <c r="A768" s="189" t="s">
        <v>479</v>
      </c>
      <c r="B768" s="189"/>
      <c r="C768" s="189"/>
      <c r="D768" s="189"/>
      <c r="E768" s="189"/>
      <c r="F768" s="189"/>
      <c r="G768" s="189"/>
    </row>
    <row r="769" spans="1:7" x14ac:dyDescent="0.35">
      <c r="A769" s="189"/>
      <c r="B769" s="189"/>
      <c r="C769" s="189"/>
      <c r="D769" s="189"/>
      <c r="E769" s="189"/>
      <c r="F769" s="189"/>
      <c r="G769" s="189"/>
    </row>
    <row r="770" spans="1:7" ht="15" customHeight="1" x14ac:dyDescent="0.35">
      <c r="A770" s="189" t="s">
        <v>480</v>
      </c>
      <c r="B770" s="189"/>
      <c r="C770" s="189"/>
      <c r="D770" s="189"/>
      <c r="E770" s="189"/>
      <c r="F770" s="189"/>
      <c r="G770" s="189"/>
    </row>
    <row r="771" spans="1:7" ht="15" customHeight="1" x14ac:dyDescent="0.35">
      <c r="A771" s="189" t="s">
        <v>481</v>
      </c>
      <c r="B771" s="189"/>
      <c r="C771" s="189"/>
      <c r="D771" s="189"/>
      <c r="E771" s="189"/>
      <c r="F771" s="189"/>
      <c r="G771" s="189"/>
    </row>
    <row r="772" spans="1:7" ht="15" customHeight="1" x14ac:dyDescent="0.35">
      <c r="A772" s="189" t="s">
        <v>482</v>
      </c>
      <c r="B772" s="189"/>
      <c r="C772" s="189"/>
      <c r="D772" s="189"/>
      <c r="E772" s="189"/>
      <c r="F772" s="189"/>
      <c r="G772" s="189"/>
    </row>
    <row r="773" spans="1:7" ht="15" customHeight="1" x14ac:dyDescent="0.35">
      <c r="A773" s="189" t="s">
        <v>483</v>
      </c>
      <c r="B773" s="189"/>
      <c r="C773" s="189"/>
      <c r="D773" s="189"/>
      <c r="E773" s="189"/>
      <c r="F773" s="189"/>
      <c r="G773" s="189"/>
    </row>
    <row r="774" spans="1:7" ht="15" customHeight="1" x14ac:dyDescent="0.35">
      <c r="A774" s="189" t="s">
        <v>484</v>
      </c>
      <c r="B774" s="189"/>
      <c r="C774" s="189"/>
      <c r="D774" s="189"/>
      <c r="E774" s="189"/>
      <c r="F774" s="189"/>
      <c r="G774" s="189"/>
    </row>
    <row r="775" spans="1:7" ht="15" customHeight="1" x14ac:dyDescent="0.35">
      <c r="A775" s="189" t="s">
        <v>485</v>
      </c>
      <c r="B775" s="189"/>
      <c r="C775" s="189"/>
      <c r="D775" s="189"/>
      <c r="E775" s="189"/>
      <c r="F775" s="189"/>
      <c r="G775" s="189"/>
    </row>
    <row r="776" spans="1:7" ht="15" customHeight="1" x14ac:dyDescent="0.35">
      <c r="A776" s="189" t="s">
        <v>486</v>
      </c>
      <c r="B776" s="189"/>
      <c r="C776" s="189"/>
      <c r="D776" s="189"/>
      <c r="E776" s="189"/>
      <c r="F776" s="189"/>
      <c r="G776" s="189"/>
    </row>
    <row r="777" spans="1:7" ht="15" customHeight="1" x14ac:dyDescent="0.35">
      <c r="A777" s="189" t="s">
        <v>487</v>
      </c>
      <c r="B777" s="189"/>
      <c r="C777" s="189"/>
      <c r="D777" s="189"/>
      <c r="E777" s="189"/>
      <c r="F777" s="189"/>
      <c r="G777" s="189"/>
    </row>
    <row r="778" spans="1:7" ht="15" customHeight="1" x14ac:dyDescent="0.35">
      <c r="A778" s="189" t="s">
        <v>369</v>
      </c>
      <c r="B778" s="189"/>
      <c r="C778" s="189"/>
      <c r="D778" s="189"/>
      <c r="E778" s="189"/>
      <c r="F778" s="189"/>
      <c r="G778" s="189"/>
    </row>
    <row r="779" spans="1:7" x14ac:dyDescent="0.35">
      <c r="A779" s="82"/>
      <c r="B779" s="82"/>
      <c r="C779" s="82"/>
      <c r="D779" s="82"/>
      <c r="E779" s="82"/>
      <c r="F779" s="82"/>
      <c r="G779" s="82"/>
    </row>
    <row r="780" spans="1:7" ht="15" customHeight="1" x14ac:dyDescent="0.35">
      <c r="A780" s="195" t="s">
        <v>488</v>
      </c>
      <c r="B780" s="195"/>
      <c r="C780" s="82"/>
      <c r="D780" s="82"/>
      <c r="E780" s="82"/>
      <c r="F780" s="82"/>
      <c r="G780" s="82"/>
    </row>
    <row r="781" spans="1:7" x14ac:dyDescent="0.35">
      <c r="A781" s="82"/>
      <c r="B781" s="82"/>
      <c r="C781" s="82"/>
      <c r="D781" s="82"/>
      <c r="E781" s="82"/>
      <c r="F781" s="82"/>
      <c r="G781" s="82"/>
    </row>
    <row r="782" spans="1:7" ht="15" customHeight="1" x14ac:dyDescent="0.35">
      <c r="A782" s="189" t="s">
        <v>489</v>
      </c>
      <c r="B782" s="189"/>
      <c r="C782" s="189"/>
      <c r="D782" s="189"/>
      <c r="E782" s="189"/>
      <c r="F782" s="189"/>
      <c r="G782" s="189"/>
    </row>
    <row r="783" spans="1:7" x14ac:dyDescent="0.35">
      <c r="A783" s="189"/>
      <c r="B783" s="189"/>
      <c r="C783" s="189"/>
      <c r="D783" s="189"/>
      <c r="E783" s="189"/>
      <c r="F783" s="189"/>
      <c r="G783" s="189"/>
    </row>
    <row r="784" spans="1:7" x14ac:dyDescent="0.35">
      <c r="A784" s="82"/>
      <c r="B784" s="82"/>
      <c r="C784" s="82"/>
      <c r="D784" s="82"/>
      <c r="E784" s="82"/>
      <c r="F784" s="82"/>
      <c r="G784" s="82"/>
    </row>
    <row r="785" spans="1:7" ht="15" customHeight="1" x14ac:dyDescent="0.35">
      <c r="A785" s="189" t="s">
        <v>490</v>
      </c>
      <c r="B785" s="189"/>
      <c r="C785" s="189"/>
      <c r="D785" s="189"/>
      <c r="E785" s="189"/>
      <c r="F785" s="189"/>
      <c r="G785" s="189"/>
    </row>
    <row r="786" spans="1:7" x14ac:dyDescent="0.35">
      <c r="A786" s="189"/>
      <c r="B786" s="189"/>
      <c r="C786" s="189"/>
      <c r="D786" s="189"/>
      <c r="E786" s="189"/>
      <c r="F786" s="189"/>
      <c r="G786" s="189"/>
    </row>
    <row r="787" spans="1:7" x14ac:dyDescent="0.35">
      <c r="A787" s="189"/>
      <c r="B787" s="189"/>
      <c r="C787" s="189"/>
      <c r="D787" s="189"/>
      <c r="E787" s="189"/>
      <c r="F787" s="189"/>
      <c r="G787" s="189"/>
    </row>
    <row r="788" spans="1:7" x14ac:dyDescent="0.35">
      <c r="A788" s="189"/>
      <c r="B788" s="189"/>
      <c r="C788" s="189"/>
      <c r="D788" s="189"/>
      <c r="E788" s="189"/>
      <c r="F788" s="189"/>
      <c r="G788" s="189"/>
    </row>
    <row r="789" spans="1:7" x14ac:dyDescent="0.35">
      <c r="A789" s="189"/>
      <c r="B789" s="189"/>
      <c r="C789" s="189"/>
      <c r="D789" s="189"/>
      <c r="E789" s="189"/>
      <c r="F789" s="189"/>
      <c r="G789" s="189"/>
    </row>
    <row r="790" spans="1:7" ht="39.75" customHeight="1" x14ac:dyDescent="0.35">
      <c r="A790" s="189" t="s">
        <v>491</v>
      </c>
      <c r="B790" s="189"/>
      <c r="C790" s="189"/>
      <c r="D790" s="189"/>
      <c r="E790" s="189"/>
      <c r="F790" s="189"/>
      <c r="G790" s="82"/>
    </row>
    <row r="791" spans="1:7" ht="15" customHeight="1" x14ac:dyDescent="0.35">
      <c r="A791" s="82"/>
      <c r="B791" s="82"/>
      <c r="C791" s="82"/>
      <c r="D791" s="82"/>
      <c r="E791" s="82"/>
      <c r="F791" s="82"/>
      <c r="G791" s="82"/>
    </row>
    <row r="792" spans="1:7" x14ac:dyDescent="0.35">
      <c r="A792" s="189" t="s">
        <v>492</v>
      </c>
      <c r="B792" s="189"/>
      <c r="C792" s="189"/>
      <c r="D792" s="189"/>
      <c r="E792" s="189"/>
      <c r="F792" s="189"/>
      <c r="G792" s="189"/>
    </row>
    <row r="793" spans="1:7" x14ac:dyDescent="0.35">
      <c r="A793" s="82"/>
      <c r="B793" s="82"/>
      <c r="C793" s="82"/>
      <c r="D793" s="82"/>
      <c r="E793" s="82"/>
      <c r="F793" s="82"/>
      <c r="G793" s="82"/>
    </row>
    <row r="794" spans="1:7" ht="15" customHeight="1" x14ac:dyDescent="0.35">
      <c r="A794" s="189" t="s">
        <v>493</v>
      </c>
      <c r="B794" s="189"/>
      <c r="C794" s="189"/>
      <c r="D794" s="189"/>
      <c r="E794" s="189"/>
      <c r="F794" s="189"/>
      <c r="G794" s="189"/>
    </row>
    <row r="795" spans="1:7" x14ac:dyDescent="0.35">
      <c r="A795" s="82"/>
      <c r="B795" s="82"/>
      <c r="C795" s="82"/>
      <c r="D795" s="82"/>
      <c r="E795" s="82"/>
      <c r="F795" s="82"/>
      <c r="G795" s="82"/>
    </row>
    <row r="796" spans="1:7" ht="15" customHeight="1" x14ac:dyDescent="0.35">
      <c r="A796" s="189" t="s">
        <v>494</v>
      </c>
      <c r="B796" s="189"/>
      <c r="C796" s="189"/>
      <c r="D796" s="189"/>
      <c r="E796" s="189"/>
      <c r="F796" s="189"/>
      <c r="G796" s="189"/>
    </row>
    <row r="797" spans="1:7" x14ac:dyDescent="0.35">
      <c r="A797" s="189"/>
      <c r="B797" s="189"/>
      <c r="C797" s="189"/>
      <c r="D797" s="189"/>
      <c r="E797" s="189"/>
      <c r="F797" s="189"/>
      <c r="G797" s="189"/>
    </row>
    <row r="798" spans="1:7" s="75" customFormat="1" ht="14" customHeight="1" x14ac:dyDescent="0.35"/>
    <row r="799" spans="1:7" ht="15" customHeight="1" x14ac:dyDescent="0.35">
      <c r="A799" s="190" t="s">
        <v>495</v>
      </c>
      <c r="B799" s="190"/>
      <c r="C799" s="190"/>
      <c r="D799" s="75"/>
      <c r="E799" s="75"/>
      <c r="F799" s="75"/>
    </row>
    <row r="800" spans="1:7" x14ac:dyDescent="0.35">
      <c r="A800" s="75"/>
      <c r="B800" s="75"/>
      <c r="C800" s="75"/>
      <c r="D800" s="75"/>
      <c r="E800" s="75"/>
      <c r="F800" s="75"/>
    </row>
    <row r="801" spans="1:6" ht="15" customHeight="1" x14ac:dyDescent="0.35">
      <c r="A801" s="192" t="s">
        <v>146</v>
      </c>
      <c r="B801" s="192"/>
      <c r="C801" s="192"/>
      <c r="D801" s="75"/>
      <c r="E801" s="75"/>
      <c r="F801" s="75"/>
    </row>
    <row r="802" spans="1:6" x14ac:dyDescent="0.35">
      <c r="A802" s="75"/>
      <c r="B802" s="75"/>
      <c r="C802" s="75"/>
      <c r="D802" s="75"/>
      <c r="E802" s="75"/>
      <c r="F802" s="75"/>
    </row>
    <row r="803" spans="1:6" ht="15" customHeight="1" x14ac:dyDescent="0.35">
      <c r="A803" s="192" t="s">
        <v>496</v>
      </c>
      <c r="B803" s="192"/>
      <c r="C803" s="192"/>
      <c r="D803" s="192"/>
      <c r="E803" s="192"/>
      <c r="F803" s="192"/>
    </row>
    <row r="804" spans="1:6" x14ac:dyDescent="0.35">
      <c r="A804" s="192"/>
      <c r="B804" s="192"/>
      <c r="C804" s="192"/>
      <c r="D804" s="192"/>
      <c r="E804" s="192"/>
      <c r="F804" s="192"/>
    </row>
    <row r="805" spans="1:6" x14ac:dyDescent="0.35">
      <c r="A805" s="75"/>
      <c r="B805" s="75"/>
      <c r="C805" s="75"/>
      <c r="D805" s="75"/>
      <c r="E805" s="75"/>
      <c r="F805" s="75"/>
    </row>
    <row r="806" spans="1:6" ht="15" customHeight="1" x14ac:dyDescent="0.35">
      <c r="A806" s="192" t="s">
        <v>497</v>
      </c>
      <c r="B806" s="192"/>
      <c r="C806" s="192"/>
      <c r="D806" s="192"/>
      <c r="E806" s="192"/>
      <c r="F806" s="192"/>
    </row>
    <row r="807" spans="1:6" x14ac:dyDescent="0.35">
      <c r="A807" s="75"/>
      <c r="B807" s="75"/>
      <c r="C807" s="75"/>
      <c r="D807" s="75"/>
      <c r="E807" s="75"/>
      <c r="F807" s="75"/>
    </row>
    <row r="808" spans="1:6" ht="15" customHeight="1" x14ac:dyDescent="0.35">
      <c r="A808" s="189" t="s">
        <v>498</v>
      </c>
      <c r="B808" s="189"/>
      <c r="C808" s="189"/>
      <c r="D808" s="189"/>
      <c r="E808" s="189"/>
      <c r="F808" s="189"/>
    </row>
    <row r="809" spans="1:6" ht="15" customHeight="1" x14ac:dyDescent="0.35">
      <c r="A809" s="189" t="s">
        <v>477</v>
      </c>
      <c r="B809" s="189"/>
      <c r="C809" s="189"/>
      <c r="D809" s="189"/>
      <c r="E809" s="189"/>
      <c r="F809" s="189"/>
    </row>
    <row r="810" spans="1:6" ht="15" customHeight="1" x14ac:dyDescent="0.35">
      <c r="A810" s="189" t="s">
        <v>478</v>
      </c>
      <c r="B810" s="189"/>
      <c r="C810" s="189"/>
      <c r="D810" s="189"/>
      <c r="E810" s="189"/>
      <c r="F810" s="189"/>
    </row>
    <row r="811" spans="1:6" ht="15" customHeight="1" x14ac:dyDescent="0.35">
      <c r="A811" s="189" t="s">
        <v>499</v>
      </c>
      <c r="B811" s="189"/>
      <c r="C811" s="189"/>
      <c r="D811" s="189"/>
      <c r="E811" s="189"/>
      <c r="F811" s="189"/>
    </row>
    <row r="812" spans="1:6" ht="15" customHeight="1" x14ac:dyDescent="0.35">
      <c r="A812" s="189" t="s">
        <v>479</v>
      </c>
      <c r="B812" s="189"/>
      <c r="C812" s="189"/>
      <c r="D812" s="189"/>
      <c r="E812" s="189"/>
      <c r="F812" s="189"/>
    </row>
    <row r="813" spans="1:6" x14ac:dyDescent="0.35">
      <c r="A813" s="189"/>
      <c r="B813" s="189"/>
      <c r="C813" s="189"/>
      <c r="D813" s="189"/>
      <c r="E813" s="189"/>
      <c r="F813" s="189"/>
    </row>
    <row r="814" spans="1:6" ht="15" customHeight="1" x14ac:dyDescent="0.35">
      <c r="A814" s="189" t="s">
        <v>500</v>
      </c>
      <c r="B814" s="189"/>
      <c r="C814" s="189"/>
      <c r="D814" s="189"/>
      <c r="E814" s="189"/>
      <c r="F814" s="189"/>
    </row>
    <row r="815" spans="1:6" ht="11.4" customHeight="1" x14ac:dyDescent="0.35">
      <c r="A815" s="196" t="s">
        <v>501</v>
      </c>
      <c r="B815" s="189"/>
      <c r="C815" s="189"/>
      <c r="D815" s="189"/>
      <c r="E815" s="189"/>
      <c r="F815" s="189"/>
    </row>
    <row r="816" spans="1:6" ht="15" customHeight="1" x14ac:dyDescent="0.35">
      <c r="A816" s="189" t="s">
        <v>502</v>
      </c>
      <c r="B816" s="189"/>
      <c r="C816" s="189"/>
      <c r="D816" s="189"/>
      <c r="E816" s="189"/>
      <c r="F816" s="189"/>
    </row>
    <row r="817" spans="1:6" ht="15" customHeight="1" x14ac:dyDescent="0.35">
      <c r="A817" s="189" t="s">
        <v>503</v>
      </c>
      <c r="B817" s="189"/>
      <c r="C817" s="189"/>
      <c r="D817" s="189"/>
      <c r="E817" s="189"/>
      <c r="F817" s="189"/>
    </row>
    <row r="818" spans="1:6" x14ac:dyDescent="0.35">
      <c r="A818" s="189"/>
      <c r="B818" s="189"/>
      <c r="C818" s="189"/>
      <c r="D818" s="189"/>
      <c r="E818" s="189"/>
      <c r="F818" s="189"/>
    </row>
    <row r="819" spans="1:6" ht="15" customHeight="1" x14ac:dyDescent="0.35">
      <c r="A819" s="189" t="s">
        <v>486</v>
      </c>
      <c r="B819" s="189"/>
      <c r="C819" s="189"/>
      <c r="D819" s="189"/>
      <c r="E819" s="189"/>
      <c r="F819" s="189"/>
    </row>
    <row r="820" spans="1:6" ht="11.4" customHeight="1" x14ac:dyDescent="0.35">
      <c r="A820" s="189" t="s">
        <v>487</v>
      </c>
      <c r="B820" s="189"/>
      <c r="C820" s="189"/>
      <c r="D820" s="189"/>
      <c r="E820" s="189"/>
      <c r="F820" s="189"/>
    </row>
    <row r="821" spans="1:6" x14ac:dyDescent="0.35">
      <c r="A821" s="75"/>
      <c r="B821" s="75"/>
      <c r="C821" s="75"/>
      <c r="D821" s="75"/>
      <c r="E821" s="75"/>
      <c r="F821" s="75"/>
    </row>
    <row r="822" spans="1:6" ht="11.4" customHeight="1" x14ac:dyDescent="0.35">
      <c r="A822" s="192" t="s">
        <v>504</v>
      </c>
      <c r="B822" s="192"/>
      <c r="C822" s="192"/>
      <c r="D822" s="192"/>
      <c r="E822" s="192"/>
      <c r="F822" s="192"/>
    </row>
    <row r="823" spans="1:6" x14ac:dyDescent="0.35">
      <c r="A823" s="192"/>
      <c r="B823" s="192"/>
      <c r="C823" s="192"/>
      <c r="D823" s="192"/>
      <c r="E823" s="192"/>
      <c r="F823" s="192"/>
    </row>
    <row r="824" spans="1:6" x14ac:dyDescent="0.35">
      <c r="A824" s="192"/>
      <c r="B824" s="192"/>
      <c r="C824" s="192"/>
      <c r="D824" s="192"/>
      <c r="E824" s="192"/>
      <c r="F824" s="192"/>
    </row>
    <row r="825" spans="1:6" x14ac:dyDescent="0.35">
      <c r="A825" s="75"/>
      <c r="B825" s="75"/>
      <c r="C825" s="75"/>
      <c r="D825" s="75"/>
      <c r="E825" s="75"/>
      <c r="F825" s="75"/>
    </row>
    <row r="826" spans="1:6" ht="15" customHeight="1" x14ac:dyDescent="0.35">
      <c r="A826" s="192" t="s">
        <v>369</v>
      </c>
      <c r="B826" s="192"/>
      <c r="C826" s="192"/>
      <c r="D826" s="192"/>
      <c r="E826" s="192"/>
      <c r="F826" s="192"/>
    </row>
    <row r="827" spans="1:6" x14ac:dyDescent="0.35">
      <c r="A827" s="75"/>
      <c r="B827" s="75"/>
      <c r="C827" s="75"/>
      <c r="D827" s="75"/>
      <c r="E827" s="75"/>
      <c r="F827" s="75"/>
    </row>
    <row r="828" spans="1:6" ht="12" customHeight="1" x14ac:dyDescent="0.35">
      <c r="A828" s="192" t="s">
        <v>505</v>
      </c>
      <c r="B828" s="192"/>
      <c r="C828" s="192"/>
      <c r="D828" s="192"/>
      <c r="E828" s="192"/>
      <c r="F828" s="192"/>
    </row>
    <row r="829" spans="1:6" x14ac:dyDescent="0.35">
      <c r="A829" s="192"/>
      <c r="B829" s="192"/>
      <c r="C829" s="192"/>
      <c r="D829" s="192"/>
      <c r="E829" s="192"/>
      <c r="F829" s="192"/>
    </row>
    <row r="830" spans="1:6" x14ac:dyDescent="0.35">
      <c r="A830" s="192"/>
      <c r="B830" s="192"/>
      <c r="C830" s="192"/>
      <c r="D830" s="192"/>
      <c r="E830" s="192"/>
      <c r="F830" s="192"/>
    </row>
    <row r="831" spans="1:6" ht="19.5" customHeight="1" x14ac:dyDescent="0.35">
      <c r="A831" s="192"/>
      <c r="B831" s="192"/>
      <c r="C831" s="192"/>
      <c r="D831" s="192"/>
      <c r="E831" s="192"/>
      <c r="F831" s="192"/>
    </row>
    <row r="832" spans="1:6" x14ac:dyDescent="0.35">
      <c r="A832" s="75"/>
      <c r="B832" s="75"/>
      <c r="C832" s="75"/>
      <c r="D832" s="75"/>
      <c r="E832" s="75"/>
      <c r="F832" s="75"/>
    </row>
    <row r="833" spans="1:6" ht="15" customHeight="1" x14ac:dyDescent="0.35">
      <c r="A833" s="192" t="s">
        <v>506</v>
      </c>
      <c r="B833" s="192"/>
      <c r="C833" s="192"/>
      <c r="D833" s="192"/>
      <c r="E833" s="192"/>
      <c r="F833" s="192"/>
    </row>
    <row r="834" spans="1:6" ht="24.75" customHeight="1" x14ac:dyDescent="0.35">
      <c r="A834" s="192"/>
      <c r="B834" s="192"/>
      <c r="C834" s="192"/>
      <c r="D834" s="192"/>
      <c r="E834" s="192"/>
      <c r="F834" s="192"/>
    </row>
    <row r="835" spans="1:6" x14ac:dyDescent="0.35">
      <c r="A835" s="75"/>
      <c r="B835" s="75"/>
      <c r="C835" s="75"/>
      <c r="D835" s="75"/>
      <c r="E835" s="75"/>
      <c r="F835" s="75"/>
    </row>
    <row r="836" spans="1:6" ht="15" customHeight="1" x14ac:dyDescent="0.35">
      <c r="A836" s="192" t="s">
        <v>507</v>
      </c>
      <c r="B836" s="192"/>
      <c r="C836" s="192"/>
      <c r="D836" s="192"/>
      <c r="E836" s="192"/>
      <c r="F836" s="192"/>
    </row>
    <row r="837" spans="1:6" x14ac:dyDescent="0.35">
      <c r="A837" s="192"/>
      <c r="B837" s="192"/>
      <c r="C837" s="192"/>
      <c r="D837" s="192"/>
      <c r="E837" s="192"/>
      <c r="F837" s="192"/>
    </row>
    <row r="838" spans="1:6" x14ac:dyDescent="0.35">
      <c r="A838" s="192"/>
      <c r="B838" s="192"/>
      <c r="C838" s="192"/>
      <c r="D838" s="192"/>
      <c r="E838" s="192"/>
      <c r="F838" s="192"/>
    </row>
    <row r="839" spans="1:6" x14ac:dyDescent="0.35">
      <c r="A839" s="75"/>
      <c r="B839" s="75"/>
      <c r="C839" s="75"/>
      <c r="D839" s="75"/>
      <c r="E839" s="75"/>
      <c r="F839" s="75"/>
    </row>
    <row r="840" spans="1:6" ht="15" customHeight="1" x14ac:dyDescent="0.35">
      <c r="A840" s="192" t="s">
        <v>508</v>
      </c>
      <c r="B840" s="192"/>
      <c r="C840" s="192"/>
      <c r="D840" s="192"/>
      <c r="E840" s="192"/>
      <c r="F840" s="192"/>
    </row>
    <row r="841" spans="1:6" x14ac:dyDescent="0.35">
      <c r="A841" s="192"/>
      <c r="B841" s="192"/>
      <c r="C841" s="192"/>
      <c r="D841" s="192"/>
      <c r="E841" s="192"/>
      <c r="F841" s="192"/>
    </row>
    <row r="842" spans="1:6" x14ac:dyDescent="0.35">
      <c r="A842" s="192"/>
      <c r="B842" s="192"/>
      <c r="C842" s="192"/>
      <c r="D842" s="192"/>
      <c r="E842" s="192"/>
      <c r="F842" s="192"/>
    </row>
    <row r="843" spans="1:6" x14ac:dyDescent="0.35">
      <c r="A843" s="192"/>
      <c r="B843" s="192"/>
      <c r="C843" s="192"/>
      <c r="D843" s="192"/>
      <c r="E843" s="192"/>
      <c r="F843" s="192"/>
    </row>
    <row r="844" spans="1:6" x14ac:dyDescent="0.35">
      <c r="A844" s="75"/>
      <c r="B844" s="75"/>
      <c r="C844" s="75"/>
      <c r="D844" s="75"/>
      <c r="E844" s="75"/>
      <c r="F844" s="75"/>
    </row>
    <row r="845" spans="1:6" ht="15" customHeight="1" x14ac:dyDescent="0.35">
      <c r="A845" s="192" t="s">
        <v>509</v>
      </c>
      <c r="B845" s="192"/>
      <c r="C845" s="192"/>
      <c r="D845" s="192"/>
      <c r="E845" s="192"/>
      <c r="F845" s="192"/>
    </row>
    <row r="846" spans="1:6" ht="27" customHeight="1" x14ac:dyDescent="0.35">
      <c r="A846" s="192"/>
      <c r="B846" s="192"/>
      <c r="C846" s="192"/>
      <c r="D846" s="192"/>
      <c r="E846" s="192"/>
      <c r="F846" s="192"/>
    </row>
    <row r="847" spans="1:6" x14ac:dyDescent="0.35">
      <c r="A847" s="75"/>
      <c r="B847" s="75"/>
      <c r="C847" s="75"/>
      <c r="D847" s="75"/>
      <c r="E847" s="75"/>
      <c r="F847" s="75"/>
    </row>
    <row r="848" spans="1:6" ht="15" customHeight="1" x14ac:dyDescent="0.35">
      <c r="A848" s="192" t="s">
        <v>510</v>
      </c>
      <c r="B848" s="192"/>
      <c r="C848" s="192"/>
      <c r="D848" s="192"/>
      <c r="E848" s="192"/>
      <c r="F848" s="192"/>
    </row>
    <row r="849" spans="1:6" x14ac:dyDescent="0.35">
      <c r="A849" s="192"/>
      <c r="B849" s="192"/>
      <c r="C849" s="192"/>
      <c r="D849" s="192"/>
      <c r="E849" s="192"/>
      <c r="F849" s="192"/>
    </row>
    <row r="850" spans="1:6" x14ac:dyDescent="0.35">
      <c r="A850" s="192"/>
      <c r="B850" s="192"/>
      <c r="C850" s="192"/>
      <c r="D850" s="192"/>
      <c r="E850" s="192"/>
      <c r="F850" s="192"/>
    </row>
    <row r="851" spans="1:6" x14ac:dyDescent="0.35">
      <c r="A851" s="192"/>
      <c r="B851" s="192"/>
      <c r="C851" s="192"/>
      <c r="D851" s="192"/>
      <c r="E851" s="192"/>
      <c r="F851" s="192"/>
    </row>
    <row r="852" spans="1:6" x14ac:dyDescent="0.35">
      <c r="A852" s="75"/>
      <c r="B852" s="75"/>
      <c r="C852" s="75"/>
      <c r="D852" s="75"/>
      <c r="E852" s="75"/>
      <c r="F852" s="75"/>
    </row>
    <row r="853" spans="1:6" ht="15" customHeight="1" x14ac:dyDescent="0.35">
      <c r="A853" s="192" t="s">
        <v>511</v>
      </c>
      <c r="B853" s="192"/>
      <c r="C853" s="192"/>
      <c r="D853" s="192"/>
      <c r="E853" s="192"/>
      <c r="F853" s="192"/>
    </row>
    <row r="854" spans="1:6" x14ac:dyDescent="0.35">
      <c r="A854" s="192"/>
      <c r="B854" s="192"/>
      <c r="C854" s="192"/>
      <c r="D854" s="192"/>
      <c r="E854" s="192"/>
      <c r="F854" s="192"/>
    </row>
    <row r="855" spans="1:6" ht="30.75" customHeight="1" x14ac:dyDescent="0.35">
      <c r="A855" s="192"/>
      <c r="B855" s="192"/>
      <c r="C855" s="192"/>
      <c r="D855" s="192"/>
      <c r="E855" s="192"/>
      <c r="F855" s="192"/>
    </row>
    <row r="856" spans="1:6" x14ac:dyDescent="0.35">
      <c r="A856" s="75"/>
      <c r="B856" s="75"/>
      <c r="C856" s="75"/>
      <c r="D856" s="75"/>
      <c r="E856" s="75"/>
      <c r="F856" s="75"/>
    </row>
    <row r="857" spans="1:6" ht="28.5" customHeight="1" x14ac:dyDescent="0.35">
      <c r="A857" s="192" t="s">
        <v>512</v>
      </c>
      <c r="B857" s="192"/>
      <c r="C857" s="192"/>
      <c r="D857" s="192"/>
      <c r="E857" s="192"/>
      <c r="F857" s="192"/>
    </row>
    <row r="858" spans="1:6" x14ac:dyDescent="0.35">
      <c r="A858" s="75"/>
      <c r="B858" s="75"/>
      <c r="C858" s="75"/>
      <c r="D858" s="75"/>
      <c r="E858" s="75"/>
      <c r="F858" s="75"/>
    </row>
    <row r="859" spans="1:6" ht="15" customHeight="1" x14ac:dyDescent="0.35">
      <c r="A859" s="192" t="s">
        <v>513</v>
      </c>
      <c r="B859" s="192"/>
      <c r="C859" s="192"/>
      <c r="D859" s="192"/>
      <c r="E859" s="192"/>
      <c r="F859" s="192"/>
    </row>
    <row r="860" spans="1:6" ht="6" customHeight="1" x14ac:dyDescent="0.35">
      <c r="A860" s="192"/>
      <c r="B860" s="192"/>
      <c r="C860" s="192"/>
      <c r="D860" s="192"/>
      <c r="E860" s="192"/>
      <c r="F860" s="192"/>
    </row>
    <row r="861" spans="1:6" x14ac:dyDescent="0.35">
      <c r="A861" s="75"/>
      <c r="B861" s="75"/>
      <c r="C861" s="75"/>
      <c r="D861" s="75"/>
      <c r="E861" s="75"/>
      <c r="F861" s="75"/>
    </row>
    <row r="862" spans="1:6" ht="27.75" customHeight="1" x14ac:dyDescent="0.35">
      <c r="A862" s="192" t="s">
        <v>514</v>
      </c>
      <c r="B862" s="192"/>
      <c r="C862" s="192"/>
      <c r="D862" s="192"/>
      <c r="E862" s="192"/>
      <c r="F862" s="192"/>
    </row>
    <row r="863" spans="1:6" x14ac:dyDescent="0.35">
      <c r="A863" s="75"/>
      <c r="B863" s="75"/>
      <c r="C863" s="75"/>
      <c r="D863" s="75"/>
      <c r="E863" s="75"/>
      <c r="F863" s="75"/>
    </row>
    <row r="864" spans="1:6" x14ac:dyDescent="0.35">
      <c r="A864" s="75" t="s">
        <v>410</v>
      </c>
      <c r="B864" s="75"/>
      <c r="C864" s="75"/>
      <c r="D864" s="75"/>
      <c r="E864" s="75"/>
      <c r="F864" s="75"/>
    </row>
    <row r="865" spans="1:6" ht="15" customHeight="1" x14ac:dyDescent="0.35">
      <c r="A865" s="192" t="s">
        <v>515</v>
      </c>
      <c r="B865" s="192"/>
      <c r="C865" s="75"/>
      <c r="D865" s="75"/>
      <c r="E865" s="75"/>
      <c r="F865" s="75"/>
    </row>
    <row r="866" spans="1:6" x14ac:dyDescent="0.35">
      <c r="A866" s="75"/>
      <c r="B866" s="75"/>
      <c r="C866" s="75"/>
      <c r="D866" s="75"/>
      <c r="E866" s="75"/>
      <c r="F866" s="75"/>
    </row>
    <row r="867" spans="1:6" ht="15" customHeight="1" x14ac:dyDescent="0.35">
      <c r="A867" s="192" t="s">
        <v>516</v>
      </c>
      <c r="B867" s="192"/>
      <c r="C867" s="192"/>
      <c r="D867" s="192"/>
      <c r="E867" s="192"/>
      <c r="F867" s="192"/>
    </row>
    <row r="868" spans="1:6" x14ac:dyDescent="0.35">
      <c r="A868" s="75"/>
      <c r="B868" s="75"/>
      <c r="C868" s="75"/>
      <c r="D868" s="75"/>
      <c r="E868" s="75"/>
      <c r="F868" s="75"/>
    </row>
    <row r="869" spans="1:6" x14ac:dyDescent="0.35">
      <c r="A869" s="75" t="s">
        <v>517</v>
      </c>
      <c r="B869" s="75"/>
      <c r="C869" s="75"/>
      <c r="D869" s="75"/>
      <c r="E869" s="75"/>
      <c r="F869" s="75"/>
    </row>
    <row r="870" spans="1:6" x14ac:dyDescent="0.35">
      <c r="A870" s="75"/>
      <c r="B870" s="75"/>
      <c r="C870" s="75"/>
      <c r="D870" s="75"/>
      <c r="E870" s="75"/>
      <c r="F870" s="75"/>
    </row>
    <row r="871" spans="1:6" ht="15" customHeight="1" x14ac:dyDescent="0.35">
      <c r="A871" s="192" t="s">
        <v>518</v>
      </c>
      <c r="B871" s="192"/>
      <c r="C871" s="192"/>
      <c r="D871" s="192"/>
      <c r="E871" s="192"/>
      <c r="F871" s="192"/>
    </row>
    <row r="872" spans="1:6" x14ac:dyDescent="0.35">
      <c r="A872" s="192"/>
      <c r="B872" s="192"/>
      <c r="C872" s="192"/>
      <c r="D872" s="192"/>
      <c r="E872" s="192"/>
      <c r="F872" s="192"/>
    </row>
    <row r="873" spans="1:6" x14ac:dyDescent="0.35">
      <c r="A873" s="192"/>
      <c r="B873" s="192"/>
      <c r="C873" s="192"/>
      <c r="D873" s="192"/>
      <c r="E873" s="192"/>
      <c r="F873" s="192"/>
    </row>
    <row r="874" spans="1:6" x14ac:dyDescent="0.35">
      <c r="A874" s="75"/>
      <c r="B874" s="75"/>
      <c r="C874" s="75"/>
      <c r="D874" s="75"/>
      <c r="E874" s="75"/>
      <c r="F874" s="75"/>
    </row>
    <row r="875" spans="1:6" ht="15" customHeight="1" x14ac:dyDescent="0.35">
      <c r="A875" s="189" t="s">
        <v>519</v>
      </c>
      <c r="B875" s="189"/>
      <c r="C875" s="189"/>
      <c r="D875" s="189"/>
      <c r="E875" s="189"/>
      <c r="F875" s="189"/>
    </row>
    <row r="876" spans="1:6" x14ac:dyDescent="0.35">
      <c r="A876" s="189"/>
      <c r="B876" s="189"/>
      <c r="C876" s="189"/>
      <c r="D876" s="189"/>
      <c r="E876" s="189"/>
      <c r="F876" s="189"/>
    </row>
    <row r="877" spans="1:6" x14ac:dyDescent="0.35">
      <c r="A877" s="75"/>
      <c r="B877" s="75"/>
      <c r="C877" s="75"/>
      <c r="D877" s="75"/>
      <c r="E877" s="75"/>
      <c r="F877" s="75"/>
    </row>
    <row r="878" spans="1:6" ht="15" customHeight="1" x14ac:dyDescent="0.35">
      <c r="A878" s="190" t="s">
        <v>520</v>
      </c>
      <c r="B878" s="190"/>
      <c r="C878" s="190"/>
      <c r="D878" s="75"/>
      <c r="E878" s="75"/>
      <c r="F878" s="75"/>
    </row>
    <row r="879" spans="1:6" ht="15" customHeight="1" x14ac:dyDescent="0.35">
      <c r="A879" s="81"/>
      <c r="B879" s="81"/>
      <c r="C879" s="81"/>
      <c r="D879" s="75"/>
      <c r="E879" s="75"/>
      <c r="F879" s="75"/>
    </row>
    <row r="880" spans="1:6" ht="12" customHeight="1" x14ac:dyDescent="0.35">
      <c r="A880" s="85" t="s">
        <v>146</v>
      </c>
      <c r="B880" s="85"/>
      <c r="C880" s="82"/>
      <c r="D880" s="82"/>
      <c r="E880" s="82"/>
      <c r="F880" s="82"/>
    </row>
    <row r="881" spans="1:6" ht="12" customHeight="1" x14ac:dyDescent="0.35">
      <c r="A881" s="82"/>
      <c r="B881" s="82"/>
      <c r="C881" s="82"/>
      <c r="D881" s="82"/>
      <c r="E881" s="82"/>
      <c r="F881" s="82"/>
    </row>
    <row r="882" spans="1:6" ht="26.25" customHeight="1" x14ac:dyDescent="0.35">
      <c r="A882" s="189" t="s">
        <v>521</v>
      </c>
      <c r="B882" s="189"/>
      <c r="C882" s="189"/>
      <c r="D882" s="189"/>
      <c r="E882" s="189"/>
      <c r="F882" s="189"/>
    </row>
    <row r="883" spans="1:6" ht="21.75" customHeight="1" x14ac:dyDescent="0.35">
      <c r="A883" s="189"/>
      <c r="B883" s="189"/>
      <c r="C883" s="189"/>
      <c r="D883" s="189"/>
      <c r="E883" s="189"/>
      <c r="F883" s="189"/>
    </row>
    <row r="884" spans="1:6" ht="15" customHeight="1" x14ac:dyDescent="0.35">
      <c r="A884" s="189" t="s">
        <v>497</v>
      </c>
      <c r="B884" s="189"/>
      <c r="C884" s="189"/>
      <c r="D884" s="189"/>
      <c r="E884" s="189"/>
      <c r="F884" s="189"/>
    </row>
    <row r="885" spans="1:6" ht="1.5" customHeight="1" x14ac:dyDescent="0.35">
      <c r="A885" s="189"/>
      <c r="B885" s="189"/>
      <c r="C885" s="189"/>
      <c r="D885" s="189"/>
      <c r="E885" s="189"/>
      <c r="F885" s="189"/>
    </row>
    <row r="886" spans="1:6" x14ac:dyDescent="0.35">
      <c r="A886" s="82"/>
      <c r="B886" s="82"/>
      <c r="C886" s="82"/>
      <c r="D886" s="82"/>
      <c r="E886" s="82"/>
      <c r="F886" s="82"/>
    </row>
    <row r="887" spans="1:6" ht="12" customHeight="1" x14ac:dyDescent="0.35">
      <c r="A887" s="189" t="s">
        <v>498</v>
      </c>
      <c r="B887" s="189"/>
      <c r="C887" s="189"/>
      <c r="D887" s="189"/>
      <c r="E887" s="189"/>
      <c r="F887" s="189"/>
    </row>
    <row r="888" spans="1:6" ht="6" customHeight="1" x14ac:dyDescent="0.35">
      <c r="A888" s="189" t="s">
        <v>477</v>
      </c>
      <c r="B888" s="189"/>
      <c r="C888" s="189"/>
      <c r="D888" s="189"/>
      <c r="E888" s="189"/>
      <c r="F888" s="189"/>
    </row>
    <row r="889" spans="1:6" ht="15" customHeight="1" x14ac:dyDescent="0.35">
      <c r="A889" s="189" t="s">
        <v>477</v>
      </c>
      <c r="B889" s="189"/>
      <c r="C889" s="189"/>
      <c r="D889" s="189"/>
      <c r="E889" s="189"/>
      <c r="F889" s="189"/>
    </row>
    <row r="890" spans="1:6" ht="15" customHeight="1" x14ac:dyDescent="0.35">
      <c r="A890" s="189" t="s">
        <v>478</v>
      </c>
      <c r="B890" s="189"/>
      <c r="C890" s="189"/>
      <c r="D890" s="189"/>
      <c r="E890" s="189"/>
      <c r="F890" s="189"/>
    </row>
    <row r="891" spans="1:6" ht="15" customHeight="1" x14ac:dyDescent="0.35">
      <c r="A891" s="189" t="s">
        <v>499</v>
      </c>
      <c r="B891" s="189"/>
      <c r="C891" s="189"/>
      <c r="D891" s="189"/>
      <c r="E891" s="189"/>
      <c r="F891" s="189"/>
    </row>
    <row r="892" spans="1:6" ht="12" customHeight="1" x14ac:dyDescent="0.35">
      <c r="A892" s="189" t="s">
        <v>479</v>
      </c>
      <c r="B892" s="189"/>
      <c r="C892" s="189"/>
      <c r="D892" s="189"/>
      <c r="E892" s="189"/>
      <c r="F892" s="189"/>
    </row>
    <row r="893" spans="1:6" ht="18.75" customHeight="1" x14ac:dyDescent="0.35">
      <c r="A893" s="189"/>
      <c r="B893" s="189"/>
      <c r="C893" s="189"/>
      <c r="D893" s="189"/>
      <c r="E893" s="189"/>
      <c r="F893" s="189"/>
    </row>
    <row r="894" spans="1:6" ht="15" customHeight="1" x14ac:dyDescent="0.35">
      <c r="A894" s="196" t="s">
        <v>522</v>
      </c>
      <c r="B894" s="189"/>
      <c r="C894" s="189"/>
      <c r="D894" s="189"/>
      <c r="E894" s="189"/>
      <c r="F894" s="189"/>
    </row>
    <row r="895" spans="1:6" ht="25.5" customHeight="1" x14ac:dyDescent="0.35">
      <c r="A895" s="189" t="s">
        <v>523</v>
      </c>
      <c r="B895" s="189"/>
      <c r="C895" s="189"/>
      <c r="D895" s="189"/>
      <c r="E895" s="189"/>
      <c r="F895" s="189"/>
    </row>
    <row r="896" spans="1:6" ht="15" customHeight="1" x14ac:dyDescent="0.35">
      <c r="A896" s="189" t="s">
        <v>502</v>
      </c>
      <c r="B896" s="189"/>
      <c r="C896" s="189"/>
      <c r="D896" s="189"/>
      <c r="E896" s="189"/>
      <c r="F896" s="189"/>
    </row>
    <row r="897" spans="1:6" ht="12" customHeight="1" x14ac:dyDescent="0.35">
      <c r="A897" s="189" t="s">
        <v>503</v>
      </c>
      <c r="B897" s="189"/>
      <c r="C897" s="189"/>
      <c r="D897" s="189"/>
      <c r="E897" s="189"/>
      <c r="F897" s="189"/>
    </row>
    <row r="898" spans="1:6" ht="12" customHeight="1" x14ac:dyDescent="0.35">
      <c r="A898" s="189"/>
      <c r="B898" s="189"/>
      <c r="C898" s="189"/>
      <c r="D898" s="189"/>
      <c r="E898" s="189"/>
      <c r="F898" s="189"/>
    </row>
    <row r="899" spans="1:6" ht="15" customHeight="1" x14ac:dyDescent="0.35">
      <c r="A899" s="189" t="s">
        <v>486</v>
      </c>
      <c r="B899" s="189"/>
      <c r="C899" s="189"/>
      <c r="D899" s="189"/>
      <c r="E899" s="189"/>
      <c r="F899" s="189"/>
    </row>
    <row r="900" spans="1:6" ht="31.5" customHeight="1" x14ac:dyDescent="0.35">
      <c r="A900" s="189" t="s">
        <v>487</v>
      </c>
      <c r="B900" s="189"/>
      <c r="C900" s="189"/>
      <c r="D900" s="189"/>
      <c r="E900" s="189"/>
      <c r="F900" s="189"/>
    </row>
    <row r="901" spans="1:6" x14ac:dyDescent="0.35">
      <c r="A901" s="82"/>
      <c r="B901" s="82"/>
      <c r="C901" s="82"/>
      <c r="D901" s="82"/>
      <c r="E901" s="82"/>
      <c r="F901" s="82"/>
    </row>
    <row r="902" spans="1:6" ht="12" customHeight="1" x14ac:dyDescent="0.35">
      <c r="A902" s="189" t="s">
        <v>504</v>
      </c>
      <c r="B902" s="189"/>
      <c r="C902" s="189"/>
      <c r="D902" s="189"/>
      <c r="E902" s="189"/>
      <c r="F902" s="189"/>
    </row>
    <row r="903" spans="1:6" x14ac:dyDescent="0.35">
      <c r="A903" s="189"/>
      <c r="B903" s="189"/>
      <c r="C903" s="189"/>
      <c r="D903" s="189"/>
      <c r="E903" s="189"/>
      <c r="F903" s="189"/>
    </row>
    <row r="904" spans="1:6" ht="29.25" customHeight="1" x14ac:dyDescent="0.35">
      <c r="A904" s="189"/>
      <c r="B904" s="189"/>
      <c r="C904" s="189"/>
      <c r="D904" s="189"/>
      <c r="E904" s="189"/>
      <c r="F904" s="189"/>
    </row>
    <row r="905" spans="1:6" x14ac:dyDescent="0.35">
      <c r="A905" s="82"/>
      <c r="B905" s="82"/>
      <c r="C905" s="82"/>
      <c r="D905" s="82"/>
      <c r="E905" s="82"/>
      <c r="F905" s="82"/>
    </row>
    <row r="906" spans="1:6" ht="12" customHeight="1" x14ac:dyDescent="0.35">
      <c r="A906" s="189" t="s">
        <v>369</v>
      </c>
      <c r="B906" s="189"/>
      <c r="C906" s="189"/>
      <c r="D906" s="189"/>
      <c r="E906" s="189"/>
      <c r="F906" s="189"/>
    </row>
    <row r="907" spans="1:6" x14ac:dyDescent="0.35">
      <c r="A907" s="82"/>
      <c r="B907" s="82"/>
      <c r="C907" s="82"/>
      <c r="D907" s="82"/>
      <c r="E907" s="82"/>
      <c r="F907" s="82"/>
    </row>
    <row r="908" spans="1:6" ht="12" customHeight="1" x14ac:dyDescent="0.3">
      <c r="A908" s="197" t="s">
        <v>368</v>
      </c>
      <c r="B908" s="197"/>
      <c r="C908" s="82"/>
      <c r="D908" s="82"/>
      <c r="E908" s="82"/>
      <c r="F908" s="82"/>
    </row>
    <row r="909" spans="1:6" ht="15" customHeight="1" x14ac:dyDescent="0.35">
      <c r="A909" s="189" t="s">
        <v>507</v>
      </c>
      <c r="B909" s="189"/>
      <c r="C909" s="189"/>
      <c r="D909" s="189"/>
      <c r="E909" s="189"/>
      <c r="F909" s="189"/>
    </row>
    <row r="910" spans="1:6" x14ac:dyDescent="0.35">
      <c r="A910" s="189"/>
      <c r="B910" s="189"/>
      <c r="C910" s="189"/>
      <c r="D910" s="189"/>
      <c r="E910" s="189"/>
      <c r="F910" s="189"/>
    </row>
    <row r="911" spans="1:6" ht="23.25" customHeight="1" x14ac:dyDescent="0.35">
      <c r="A911" s="189"/>
      <c r="B911" s="189"/>
      <c r="C911" s="189"/>
      <c r="D911" s="189"/>
      <c r="E911" s="189"/>
      <c r="F911" s="189"/>
    </row>
    <row r="912" spans="1:6" ht="14.25" customHeight="1" x14ac:dyDescent="0.35">
      <c r="A912" s="82"/>
      <c r="B912" s="82"/>
      <c r="C912" s="82"/>
      <c r="D912" s="82"/>
      <c r="E912" s="82"/>
      <c r="F912" s="82"/>
    </row>
    <row r="913" spans="1:7" ht="15" customHeight="1" x14ac:dyDescent="0.35">
      <c r="A913" s="190" t="s">
        <v>524</v>
      </c>
      <c r="B913" s="190"/>
      <c r="C913" s="190"/>
      <c r="D913" s="190"/>
      <c r="E913" s="75"/>
      <c r="F913" s="75"/>
      <c r="G913" s="75"/>
    </row>
    <row r="914" spans="1:7" x14ac:dyDescent="0.35">
      <c r="A914" s="75"/>
      <c r="B914" s="75"/>
      <c r="C914" s="75"/>
      <c r="D914" s="75"/>
      <c r="E914" s="75"/>
      <c r="F914" s="75"/>
      <c r="G914" s="75"/>
    </row>
    <row r="915" spans="1:7" ht="15" customHeight="1" x14ac:dyDescent="0.35">
      <c r="A915" s="75" t="s">
        <v>146</v>
      </c>
      <c r="B915" s="75"/>
      <c r="C915" s="75"/>
      <c r="D915" s="75"/>
      <c r="E915" s="75"/>
      <c r="F915" s="75"/>
      <c r="G915" s="75"/>
    </row>
    <row r="916" spans="1:7" x14ac:dyDescent="0.35">
      <c r="A916" s="75"/>
      <c r="B916" s="75"/>
      <c r="C916" s="75"/>
      <c r="D916" s="75"/>
      <c r="E916" s="75"/>
      <c r="F916" s="75"/>
      <c r="G916" s="75"/>
    </row>
    <row r="917" spans="1:7" ht="15" customHeight="1" x14ac:dyDescent="0.35">
      <c r="A917" s="192" t="s">
        <v>525</v>
      </c>
      <c r="B917" s="192"/>
      <c r="C917" s="192"/>
      <c r="D917" s="192"/>
      <c r="E917" s="192"/>
      <c r="F917" s="192"/>
      <c r="G917" s="192"/>
    </row>
    <row r="918" spans="1:7" x14ac:dyDescent="0.35">
      <c r="A918" s="192"/>
      <c r="B918" s="192"/>
      <c r="C918" s="192"/>
      <c r="D918" s="192"/>
      <c r="E918" s="192"/>
      <c r="F918" s="192"/>
      <c r="G918" s="192"/>
    </row>
    <row r="919" spans="1:7" x14ac:dyDescent="0.35">
      <c r="A919" s="192"/>
      <c r="B919" s="192"/>
      <c r="C919" s="192"/>
      <c r="D919" s="192"/>
      <c r="E919" s="192"/>
      <c r="F919" s="192"/>
      <c r="G919" s="192"/>
    </row>
    <row r="920" spans="1:7" x14ac:dyDescent="0.35">
      <c r="A920" s="192"/>
      <c r="B920" s="192"/>
      <c r="C920" s="192"/>
      <c r="D920" s="192"/>
      <c r="E920" s="192"/>
      <c r="F920" s="192"/>
      <c r="G920" s="192"/>
    </row>
    <row r="921" spans="1:7" x14ac:dyDescent="0.35">
      <c r="A921" s="192"/>
      <c r="B921" s="192"/>
      <c r="C921" s="192"/>
      <c r="D921" s="192"/>
      <c r="E921" s="192"/>
      <c r="F921" s="192"/>
      <c r="G921" s="192"/>
    </row>
    <row r="922" spans="1:7" x14ac:dyDescent="0.35">
      <c r="A922" s="75"/>
      <c r="B922" s="75"/>
      <c r="C922" s="75"/>
      <c r="D922" s="75"/>
      <c r="E922" s="75"/>
      <c r="F922" s="75"/>
      <c r="G922" s="75"/>
    </row>
    <row r="923" spans="1:7" ht="15" customHeight="1" x14ac:dyDescent="0.35">
      <c r="A923" s="192" t="s">
        <v>526</v>
      </c>
      <c r="B923" s="192"/>
      <c r="C923" s="192"/>
      <c r="D923" s="192"/>
      <c r="E923" s="192"/>
      <c r="F923" s="192"/>
      <c r="G923" s="192"/>
    </row>
    <row r="924" spans="1:7" x14ac:dyDescent="0.35">
      <c r="A924" s="192"/>
      <c r="B924" s="192"/>
      <c r="C924" s="192"/>
      <c r="D924" s="192"/>
      <c r="E924" s="192"/>
      <c r="F924" s="192"/>
      <c r="G924" s="192"/>
    </row>
    <row r="925" spans="1:7" x14ac:dyDescent="0.35">
      <c r="A925" s="75"/>
      <c r="B925" s="75"/>
      <c r="C925" s="75"/>
      <c r="D925" s="75"/>
      <c r="E925" s="75"/>
      <c r="F925" s="75"/>
      <c r="G925" s="75"/>
    </row>
    <row r="926" spans="1:7" ht="15" customHeight="1" x14ac:dyDescent="0.35">
      <c r="A926" s="192" t="s">
        <v>527</v>
      </c>
      <c r="B926" s="192"/>
      <c r="C926" s="192"/>
      <c r="D926" s="192"/>
      <c r="E926" s="192"/>
      <c r="F926" s="192"/>
      <c r="G926" s="192"/>
    </row>
    <row r="927" spans="1:7" x14ac:dyDescent="0.35">
      <c r="A927" s="192"/>
      <c r="B927" s="192"/>
      <c r="C927" s="192"/>
      <c r="D927" s="192"/>
      <c r="E927" s="192"/>
      <c r="F927" s="192"/>
      <c r="G927" s="192"/>
    </row>
    <row r="928" spans="1:7" x14ac:dyDescent="0.35">
      <c r="A928" s="192"/>
      <c r="B928" s="192"/>
      <c r="C928" s="192"/>
      <c r="D928" s="192"/>
      <c r="E928" s="192"/>
      <c r="F928" s="192"/>
      <c r="G928" s="192"/>
    </row>
    <row r="929" spans="1:7" x14ac:dyDescent="0.35">
      <c r="A929" s="192"/>
      <c r="B929" s="192"/>
      <c r="C929" s="192"/>
      <c r="D929" s="192"/>
      <c r="E929" s="192"/>
      <c r="F929" s="192"/>
      <c r="G929" s="192"/>
    </row>
    <row r="930" spans="1:7" x14ac:dyDescent="0.35">
      <c r="A930" s="192"/>
      <c r="B930" s="192"/>
      <c r="C930" s="192"/>
      <c r="D930" s="192"/>
      <c r="E930" s="192"/>
      <c r="F930" s="192"/>
      <c r="G930" s="192"/>
    </row>
    <row r="931" spans="1:7" x14ac:dyDescent="0.35">
      <c r="A931" s="192"/>
      <c r="B931" s="192"/>
      <c r="C931" s="192"/>
      <c r="D931" s="192"/>
      <c r="E931" s="192"/>
      <c r="F931" s="192"/>
      <c r="G931" s="192"/>
    </row>
    <row r="932" spans="1:7" x14ac:dyDescent="0.35">
      <c r="A932" s="192"/>
      <c r="B932" s="192"/>
      <c r="C932" s="192"/>
      <c r="D932" s="192"/>
      <c r="E932" s="192"/>
      <c r="F932" s="192"/>
      <c r="G932" s="192"/>
    </row>
    <row r="933" spans="1:7" x14ac:dyDescent="0.35">
      <c r="A933" s="75"/>
      <c r="B933" s="75"/>
      <c r="C933" s="75"/>
      <c r="D933" s="75"/>
      <c r="E933" s="75"/>
      <c r="F933" s="75"/>
      <c r="G933" s="75"/>
    </row>
    <row r="934" spans="1:7" ht="15" customHeight="1" x14ac:dyDescent="0.35">
      <c r="A934" s="192" t="s">
        <v>528</v>
      </c>
      <c r="B934" s="192"/>
      <c r="C934" s="192"/>
      <c r="D934" s="192"/>
      <c r="E934" s="192"/>
      <c r="F934" s="192"/>
      <c r="G934" s="192"/>
    </row>
    <row r="935" spans="1:7" ht="27.75" customHeight="1" x14ac:dyDescent="0.35">
      <c r="A935" s="192"/>
      <c r="B935" s="192"/>
      <c r="C935" s="192"/>
      <c r="D935" s="192"/>
      <c r="E935" s="192"/>
      <c r="F935" s="192"/>
      <c r="G935" s="192"/>
    </row>
    <row r="936" spans="1:7" x14ac:dyDescent="0.35">
      <c r="A936" s="75"/>
      <c r="B936" s="75"/>
      <c r="C936" s="75"/>
      <c r="D936" s="75"/>
      <c r="E936" s="75"/>
      <c r="F936" s="75"/>
      <c r="G936" s="75"/>
    </row>
    <row r="937" spans="1:7" ht="15" customHeight="1" x14ac:dyDescent="0.35">
      <c r="A937" s="192" t="s">
        <v>529</v>
      </c>
      <c r="B937" s="192"/>
      <c r="C937" s="192"/>
      <c r="D937" s="192"/>
      <c r="E937" s="192"/>
      <c r="F937" s="192"/>
      <c r="G937" s="192"/>
    </row>
    <row r="938" spans="1:7" x14ac:dyDescent="0.35">
      <c r="A938" s="192"/>
      <c r="B938" s="192"/>
      <c r="C938" s="192"/>
      <c r="D938" s="192"/>
      <c r="E938" s="192"/>
      <c r="F938" s="192"/>
      <c r="G938" s="192"/>
    </row>
    <row r="939" spans="1:7" x14ac:dyDescent="0.35">
      <c r="A939" s="192"/>
      <c r="B939" s="192"/>
      <c r="C939" s="192"/>
      <c r="D939" s="192"/>
      <c r="E939" s="192"/>
      <c r="F939" s="192"/>
      <c r="G939" s="192"/>
    </row>
    <row r="940" spans="1:7" x14ac:dyDescent="0.35">
      <c r="A940" s="75"/>
      <c r="B940" s="75"/>
      <c r="C940" s="75"/>
      <c r="D940" s="75"/>
      <c r="E940" s="75"/>
      <c r="F940" s="75"/>
      <c r="G940" s="75"/>
    </row>
    <row r="941" spans="1:7" ht="15" customHeight="1" x14ac:dyDescent="0.35">
      <c r="A941" s="192" t="s">
        <v>399</v>
      </c>
      <c r="B941" s="192"/>
      <c r="C941" s="192"/>
      <c r="D941" s="192"/>
      <c r="E941" s="192"/>
      <c r="F941" s="192"/>
      <c r="G941" s="192"/>
    </row>
    <row r="942" spans="1:7" ht="24.75" customHeight="1" x14ac:dyDescent="0.35">
      <c r="A942" s="192"/>
      <c r="B942" s="192"/>
      <c r="C942" s="192"/>
      <c r="D942" s="192"/>
      <c r="E942" s="192"/>
      <c r="F942" s="192"/>
      <c r="G942" s="192"/>
    </row>
    <row r="943" spans="1:7" x14ac:dyDescent="0.35">
      <c r="A943" s="75"/>
      <c r="B943" s="75"/>
      <c r="C943" s="75"/>
      <c r="D943" s="75"/>
      <c r="E943" s="75"/>
      <c r="F943" s="75"/>
      <c r="G943" s="75"/>
    </row>
    <row r="944" spans="1:7" ht="15" customHeight="1" x14ac:dyDescent="0.35">
      <c r="A944" s="192" t="s">
        <v>380</v>
      </c>
      <c r="B944" s="192"/>
      <c r="C944" s="192"/>
      <c r="D944" s="192"/>
      <c r="E944" s="192"/>
      <c r="F944" s="192"/>
      <c r="G944" s="192"/>
    </row>
    <row r="945" spans="1:7" x14ac:dyDescent="0.35">
      <c r="A945" s="192"/>
      <c r="B945" s="192"/>
      <c r="C945" s="192"/>
      <c r="D945" s="192"/>
      <c r="E945" s="192"/>
      <c r="F945" s="192"/>
      <c r="G945" s="192"/>
    </row>
    <row r="946" spans="1:7" x14ac:dyDescent="0.35">
      <c r="A946" s="192"/>
      <c r="B946" s="192"/>
      <c r="C946" s="192"/>
      <c r="D946" s="192"/>
      <c r="E946" s="192"/>
      <c r="F946" s="192"/>
      <c r="G946" s="192"/>
    </row>
    <row r="947" spans="1:7" ht="29.25" customHeight="1" x14ac:dyDescent="0.35">
      <c r="A947" s="192"/>
      <c r="B947" s="192"/>
      <c r="C947" s="192"/>
      <c r="D947" s="192"/>
      <c r="E947" s="192"/>
      <c r="F947" s="192"/>
      <c r="G947" s="192"/>
    </row>
    <row r="948" spans="1:7" x14ac:dyDescent="0.35">
      <c r="A948" s="75"/>
      <c r="B948" s="75"/>
      <c r="C948" s="75"/>
      <c r="D948" s="75"/>
      <c r="E948" s="75"/>
      <c r="F948" s="75"/>
      <c r="G948" s="75"/>
    </row>
    <row r="949" spans="1:7" x14ac:dyDescent="0.35">
      <c r="A949" s="190" t="s">
        <v>530</v>
      </c>
      <c r="B949" s="190"/>
      <c r="C949" s="190"/>
      <c r="D949" s="190"/>
      <c r="E949" s="75"/>
      <c r="F949" s="75"/>
      <c r="G949" s="75"/>
    </row>
    <row r="950" spans="1:7" x14ac:dyDescent="0.35">
      <c r="A950" s="81"/>
      <c r="B950" s="81"/>
      <c r="C950" s="81"/>
      <c r="D950" s="81"/>
      <c r="E950" s="75"/>
      <c r="F950" s="75"/>
      <c r="G950" s="75"/>
    </row>
    <row r="951" spans="1:7" ht="15" customHeight="1" x14ac:dyDescent="0.35">
      <c r="A951" s="86" t="s">
        <v>146</v>
      </c>
      <c r="B951" s="86"/>
      <c r="C951" s="87"/>
      <c r="D951" s="87"/>
      <c r="E951" s="87"/>
      <c r="F951" s="87"/>
      <c r="G951" s="88"/>
    </row>
    <row r="952" spans="1:7" ht="14.5" x14ac:dyDescent="0.35">
      <c r="A952" s="88"/>
      <c r="B952" s="88"/>
      <c r="C952" s="88"/>
      <c r="D952" s="88"/>
      <c r="E952" s="88"/>
      <c r="F952" s="88"/>
      <c r="G952" s="88"/>
    </row>
    <row r="953" spans="1:7" x14ac:dyDescent="0.35">
      <c r="A953" s="194" t="s">
        <v>531</v>
      </c>
      <c r="B953" s="192"/>
      <c r="C953" s="192"/>
      <c r="D953" s="192"/>
      <c r="E953" s="192"/>
      <c r="F953" s="192"/>
      <c r="G953" s="192"/>
    </row>
    <row r="954" spans="1:7" x14ac:dyDescent="0.35">
      <c r="A954" s="192"/>
      <c r="B954" s="192"/>
      <c r="C954" s="192"/>
      <c r="D954" s="192"/>
      <c r="E954" s="192"/>
      <c r="F954" s="192"/>
      <c r="G954" s="192"/>
    </row>
    <row r="955" spans="1:7" x14ac:dyDescent="0.35">
      <c r="A955" s="192"/>
      <c r="B955" s="192"/>
      <c r="C955" s="192"/>
      <c r="D955" s="192"/>
      <c r="E955" s="192"/>
      <c r="F955" s="192"/>
      <c r="G955" s="192"/>
    </row>
    <row r="956" spans="1:7" x14ac:dyDescent="0.35">
      <c r="A956" s="192"/>
      <c r="B956" s="192"/>
      <c r="C956" s="192"/>
      <c r="D956" s="192"/>
      <c r="E956" s="192"/>
      <c r="F956" s="192"/>
      <c r="G956" s="192"/>
    </row>
    <row r="957" spans="1:7" ht="63.75" customHeight="1" x14ac:dyDescent="0.35">
      <c r="A957" s="192"/>
      <c r="B957" s="192"/>
      <c r="C957" s="192"/>
      <c r="D957" s="192"/>
      <c r="E957" s="192"/>
      <c r="F957" s="192"/>
      <c r="G957" s="192"/>
    </row>
    <row r="958" spans="1:7" ht="153.75" customHeight="1" x14ac:dyDescent="0.35">
      <c r="A958" s="194" t="s">
        <v>532</v>
      </c>
      <c r="B958" s="194"/>
      <c r="C958" s="194"/>
      <c r="D958" s="194"/>
      <c r="E958" s="194"/>
      <c r="F958" s="194"/>
      <c r="G958" s="75"/>
    </row>
    <row r="959" spans="1:7" ht="187.5" customHeight="1" x14ac:dyDescent="0.35">
      <c r="A959" s="194" t="s">
        <v>533</v>
      </c>
      <c r="B959" s="192"/>
      <c r="C959" s="192"/>
      <c r="D959" s="192"/>
      <c r="E959" s="192"/>
      <c r="F959" s="192"/>
      <c r="G959" s="192"/>
    </row>
    <row r="960" spans="1:7" ht="28.5" hidden="1" customHeight="1" x14ac:dyDescent="0.35">
      <c r="A960" s="192"/>
      <c r="B960" s="192"/>
      <c r="C960" s="192"/>
      <c r="D960" s="192"/>
      <c r="E960" s="192"/>
      <c r="F960" s="192"/>
      <c r="G960" s="192"/>
    </row>
    <row r="961" spans="1:7" x14ac:dyDescent="0.35">
      <c r="A961" s="75"/>
      <c r="B961" s="75"/>
      <c r="C961" s="75"/>
      <c r="D961" s="75"/>
      <c r="E961" s="75"/>
      <c r="F961" s="75"/>
      <c r="G961" s="75"/>
    </row>
    <row r="962" spans="1:7" x14ac:dyDescent="0.35">
      <c r="A962" s="192" t="s">
        <v>534</v>
      </c>
      <c r="B962" s="192"/>
      <c r="C962" s="192"/>
      <c r="D962" s="192"/>
      <c r="E962" s="192"/>
      <c r="F962" s="192"/>
      <c r="G962" s="192"/>
    </row>
    <row r="963" spans="1:7" x14ac:dyDescent="0.35">
      <c r="A963" s="192"/>
      <c r="B963" s="192"/>
      <c r="C963" s="192"/>
      <c r="D963" s="192"/>
      <c r="E963" s="192"/>
      <c r="F963" s="192"/>
      <c r="G963" s="192"/>
    </row>
    <row r="964" spans="1:7" x14ac:dyDescent="0.35">
      <c r="A964" s="192"/>
      <c r="B964" s="192"/>
      <c r="C964" s="192"/>
      <c r="D964" s="192"/>
      <c r="E964" s="192"/>
      <c r="F964" s="192"/>
      <c r="G964" s="192"/>
    </row>
    <row r="965" spans="1:7" x14ac:dyDescent="0.35">
      <c r="A965" s="192"/>
      <c r="B965" s="192"/>
      <c r="C965" s="192"/>
      <c r="D965" s="192"/>
      <c r="E965" s="192"/>
      <c r="F965" s="192"/>
      <c r="G965" s="192"/>
    </row>
    <row r="966" spans="1:7" x14ac:dyDescent="0.35">
      <c r="A966" s="192"/>
      <c r="B966" s="192"/>
      <c r="C966" s="192"/>
      <c r="D966" s="192"/>
      <c r="E966" s="192"/>
      <c r="F966" s="192"/>
      <c r="G966" s="192"/>
    </row>
    <row r="967" spans="1:7" ht="18.75" customHeight="1" x14ac:dyDescent="0.35">
      <c r="A967" s="192"/>
      <c r="B967" s="192"/>
      <c r="C967" s="192"/>
      <c r="D967" s="192"/>
      <c r="E967" s="192"/>
      <c r="F967" s="192"/>
      <c r="G967" s="192"/>
    </row>
    <row r="968" spans="1:7" hidden="1" x14ac:dyDescent="0.35">
      <c r="A968" s="192"/>
      <c r="B968" s="192"/>
      <c r="C968" s="192"/>
      <c r="D968" s="192"/>
      <c r="E968" s="192"/>
      <c r="F968" s="192"/>
      <c r="G968" s="192"/>
    </row>
    <row r="969" spans="1:7" x14ac:dyDescent="0.35">
      <c r="A969" s="75"/>
      <c r="B969" s="75"/>
      <c r="C969" s="75"/>
      <c r="D969" s="75"/>
      <c r="E969" s="75"/>
      <c r="F969" s="75"/>
      <c r="G969" s="75"/>
    </row>
    <row r="970" spans="1:7" x14ac:dyDescent="0.35">
      <c r="A970" s="192" t="s">
        <v>535</v>
      </c>
      <c r="B970" s="192"/>
      <c r="C970" s="192"/>
      <c r="D970" s="192"/>
      <c r="E970" s="192"/>
      <c r="F970" s="192"/>
      <c r="G970" s="192"/>
    </row>
    <row r="971" spans="1:7" ht="51.75" customHeight="1" x14ac:dyDescent="0.35">
      <c r="A971" s="192"/>
      <c r="B971" s="192"/>
      <c r="C971" s="192"/>
      <c r="D971" s="192"/>
      <c r="E971" s="192"/>
      <c r="F971" s="192"/>
      <c r="G971" s="192"/>
    </row>
    <row r="972" spans="1:7" x14ac:dyDescent="0.35">
      <c r="A972" s="75"/>
      <c r="B972" s="75"/>
      <c r="C972" s="75"/>
      <c r="D972" s="75"/>
      <c r="E972" s="75"/>
      <c r="F972" s="75"/>
      <c r="G972" s="75"/>
    </row>
    <row r="973" spans="1:7" x14ac:dyDescent="0.35">
      <c r="A973" s="192" t="s">
        <v>536</v>
      </c>
      <c r="B973" s="192"/>
      <c r="C973" s="192"/>
      <c r="D973" s="192"/>
      <c r="E973" s="192"/>
      <c r="F973" s="192"/>
      <c r="G973" s="192"/>
    </row>
    <row r="974" spans="1:7" x14ac:dyDescent="0.35">
      <c r="A974" s="192"/>
      <c r="B974" s="192"/>
      <c r="C974" s="192"/>
      <c r="D974" s="192"/>
      <c r="E974" s="192"/>
      <c r="F974" s="192"/>
      <c r="G974" s="192"/>
    </row>
    <row r="975" spans="1:7" ht="37.5" customHeight="1" x14ac:dyDescent="0.35">
      <c r="A975" s="192"/>
      <c r="B975" s="192"/>
      <c r="C975" s="192"/>
      <c r="D975" s="192"/>
      <c r="E975" s="192"/>
      <c r="F975" s="192"/>
      <c r="G975" s="192"/>
    </row>
    <row r="976" spans="1:7" x14ac:dyDescent="0.35">
      <c r="A976" s="75"/>
      <c r="B976" s="75"/>
      <c r="C976" s="75"/>
      <c r="D976" s="75"/>
      <c r="E976" s="75"/>
      <c r="F976" s="75"/>
      <c r="G976" s="75"/>
    </row>
    <row r="977" spans="1:7" x14ac:dyDescent="0.35">
      <c r="A977" s="192" t="s">
        <v>537</v>
      </c>
      <c r="B977" s="192"/>
      <c r="C977" s="192"/>
      <c r="D977" s="192"/>
      <c r="E977" s="192"/>
      <c r="F977" s="192"/>
      <c r="G977" s="192"/>
    </row>
    <row r="978" spans="1:7" ht="21.75" customHeight="1" x14ac:dyDescent="0.35">
      <c r="A978" s="192"/>
      <c r="B978" s="192"/>
      <c r="C978" s="192"/>
      <c r="D978" s="192"/>
      <c r="E978" s="192"/>
      <c r="F978" s="192"/>
      <c r="G978" s="192"/>
    </row>
    <row r="979" spans="1:7" x14ac:dyDescent="0.35">
      <c r="A979" s="75"/>
      <c r="B979" s="75"/>
      <c r="C979" s="75"/>
      <c r="D979" s="75"/>
      <c r="E979" s="75"/>
      <c r="F979" s="75"/>
      <c r="G979" s="75"/>
    </row>
    <row r="980" spans="1:7" x14ac:dyDescent="0.35">
      <c r="A980" s="192" t="s">
        <v>538</v>
      </c>
      <c r="B980" s="192"/>
      <c r="C980" s="192"/>
      <c r="D980" s="192"/>
      <c r="E980" s="192"/>
      <c r="F980" s="192"/>
      <c r="G980" s="192"/>
    </row>
    <row r="981" spans="1:7" x14ac:dyDescent="0.35">
      <c r="A981" s="192"/>
      <c r="B981" s="192"/>
      <c r="C981" s="192"/>
      <c r="D981" s="192"/>
      <c r="E981" s="192"/>
      <c r="F981" s="192"/>
      <c r="G981" s="192"/>
    </row>
    <row r="982" spans="1:7" x14ac:dyDescent="0.35">
      <c r="A982" s="192"/>
      <c r="B982" s="192"/>
      <c r="C982" s="192"/>
      <c r="D982" s="192"/>
      <c r="E982" s="192"/>
      <c r="F982" s="192"/>
      <c r="G982" s="192"/>
    </row>
    <row r="983" spans="1:7" ht="102" customHeight="1" x14ac:dyDescent="0.35">
      <c r="A983" s="192"/>
      <c r="B983" s="192"/>
      <c r="C983" s="192"/>
      <c r="D983" s="192"/>
      <c r="E983" s="192"/>
      <c r="F983" s="192"/>
      <c r="G983" s="192"/>
    </row>
    <row r="984" spans="1:7" ht="16.5" customHeight="1" x14ac:dyDescent="0.35">
      <c r="A984" s="75"/>
      <c r="B984" s="75"/>
      <c r="C984" s="75"/>
      <c r="D984" s="75"/>
      <c r="E984" s="75"/>
      <c r="F984" s="75"/>
      <c r="G984" s="75"/>
    </row>
    <row r="985" spans="1:7" ht="15" customHeight="1" x14ac:dyDescent="0.35">
      <c r="A985" s="190" t="s">
        <v>539</v>
      </c>
      <c r="B985" s="190"/>
      <c r="C985" s="190"/>
      <c r="D985" s="190"/>
      <c r="E985" s="75"/>
      <c r="F985" s="75"/>
      <c r="G985" s="75"/>
    </row>
    <row r="986" spans="1:7" ht="15" customHeight="1" x14ac:dyDescent="0.35">
      <c r="A986" s="75"/>
      <c r="B986" s="75"/>
      <c r="C986" s="75"/>
      <c r="D986" s="75"/>
      <c r="E986" s="75"/>
      <c r="F986" s="75"/>
      <c r="G986" s="75"/>
    </row>
    <row r="987" spans="1:7" ht="15" customHeight="1" x14ac:dyDescent="0.35">
      <c r="A987" s="198" t="s">
        <v>146</v>
      </c>
      <c r="B987" s="198"/>
      <c r="C987" s="198"/>
      <c r="D987" s="198"/>
      <c r="E987" s="198"/>
      <c r="F987" s="198"/>
      <c r="G987" s="75"/>
    </row>
    <row r="988" spans="1:7" ht="15" customHeight="1" x14ac:dyDescent="0.35">
      <c r="A988" s="88"/>
      <c r="B988" s="88"/>
      <c r="C988" s="88"/>
      <c r="D988" s="88"/>
      <c r="E988" s="88"/>
      <c r="F988" s="88"/>
      <c r="G988" s="75"/>
    </row>
    <row r="989" spans="1:7" ht="15" customHeight="1" x14ac:dyDescent="0.35">
      <c r="A989" s="192" t="s">
        <v>540</v>
      </c>
      <c r="B989" s="192"/>
      <c r="C989" s="192"/>
      <c r="D989" s="192"/>
      <c r="E989" s="192"/>
      <c r="F989" s="192"/>
      <c r="G989" s="75"/>
    </row>
    <row r="990" spans="1:7" ht="15" customHeight="1" x14ac:dyDescent="0.35">
      <c r="A990" s="192"/>
      <c r="B990" s="192"/>
      <c r="C990" s="192"/>
      <c r="D990" s="192"/>
      <c r="E990" s="192"/>
      <c r="F990" s="192"/>
      <c r="G990" s="75"/>
    </row>
    <row r="991" spans="1:7" ht="15" customHeight="1" x14ac:dyDescent="0.35">
      <c r="A991" s="192"/>
      <c r="B991" s="192"/>
      <c r="C991" s="192"/>
      <c r="D991" s="192"/>
      <c r="E991" s="192"/>
      <c r="F991" s="192"/>
      <c r="G991" s="75"/>
    </row>
    <row r="992" spans="1:7" ht="15" customHeight="1" x14ac:dyDescent="0.35">
      <c r="A992" s="75"/>
      <c r="B992" s="75"/>
      <c r="C992" s="75"/>
      <c r="D992" s="75"/>
      <c r="E992" s="75"/>
      <c r="F992" s="75"/>
      <c r="G992" s="75"/>
    </row>
    <row r="993" spans="1:7" ht="15" customHeight="1" x14ac:dyDescent="0.35">
      <c r="A993" s="192" t="s">
        <v>541</v>
      </c>
      <c r="B993" s="192"/>
      <c r="C993" s="192"/>
      <c r="D993" s="192"/>
      <c r="E993" s="192"/>
      <c r="F993" s="192"/>
      <c r="G993" s="75"/>
    </row>
    <row r="994" spans="1:7" ht="15" customHeight="1" x14ac:dyDescent="0.35">
      <c r="A994" s="192"/>
      <c r="B994" s="192"/>
      <c r="C994" s="192"/>
      <c r="D994" s="192"/>
      <c r="E994" s="192"/>
      <c r="F994" s="192"/>
      <c r="G994" s="75"/>
    </row>
    <row r="995" spans="1:7" ht="15" customHeight="1" x14ac:dyDescent="0.35">
      <c r="A995" s="75"/>
      <c r="B995" s="75"/>
      <c r="C995" s="75"/>
      <c r="D995" s="75"/>
      <c r="E995" s="75"/>
      <c r="F995" s="75"/>
      <c r="G995" s="75"/>
    </row>
    <row r="996" spans="1:7" ht="15" customHeight="1" x14ac:dyDescent="0.35">
      <c r="A996" s="192" t="s">
        <v>542</v>
      </c>
      <c r="B996" s="192"/>
      <c r="C996" s="192"/>
      <c r="D996" s="192"/>
      <c r="E996" s="192"/>
      <c r="F996" s="192"/>
      <c r="G996" s="75"/>
    </row>
    <row r="997" spans="1:7" ht="15" customHeight="1" x14ac:dyDescent="0.35">
      <c r="A997" s="192"/>
      <c r="B997" s="192"/>
      <c r="C997" s="192"/>
      <c r="D997" s="192"/>
      <c r="E997" s="192"/>
      <c r="F997" s="192"/>
      <c r="G997" s="75"/>
    </row>
    <row r="998" spans="1:7" ht="15" customHeight="1" x14ac:dyDescent="0.35">
      <c r="A998" s="192"/>
      <c r="B998" s="192"/>
      <c r="C998" s="192"/>
      <c r="D998" s="192"/>
      <c r="E998" s="192"/>
      <c r="F998" s="192"/>
      <c r="G998" s="75"/>
    </row>
    <row r="999" spans="1:7" ht="15" customHeight="1" x14ac:dyDescent="0.35">
      <c r="A999" s="75"/>
      <c r="B999" s="75"/>
      <c r="C999" s="75"/>
      <c r="D999" s="75"/>
      <c r="E999" s="75"/>
      <c r="F999" s="75"/>
      <c r="G999" s="75"/>
    </row>
    <row r="1000" spans="1:7" x14ac:dyDescent="0.35">
      <c r="A1000" s="192" t="s">
        <v>529</v>
      </c>
      <c r="B1000" s="192"/>
      <c r="C1000" s="192"/>
      <c r="D1000" s="192"/>
      <c r="E1000" s="192"/>
      <c r="F1000" s="192"/>
      <c r="G1000" s="75"/>
    </row>
    <row r="1001" spans="1:7" ht="12" customHeight="1" x14ac:dyDescent="0.35">
      <c r="A1001" s="192"/>
      <c r="B1001" s="192"/>
      <c r="C1001" s="192"/>
      <c r="D1001" s="192"/>
      <c r="E1001" s="192"/>
      <c r="F1001" s="192"/>
      <c r="G1001" s="75"/>
    </row>
    <row r="1002" spans="1:7" ht="12" customHeight="1" x14ac:dyDescent="0.35">
      <c r="A1002" s="192"/>
      <c r="B1002" s="192"/>
      <c r="C1002" s="192"/>
      <c r="D1002" s="192"/>
      <c r="E1002" s="192"/>
      <c r="F1002" s="192"/>
      <c r="G1002" s="75"/>
    </row>
    <row r="1003" spans="1:7" ht="12" customHeight="1" x14ac:dyDescent="0.35">
      <c r="A1003" s="75"/>
      <c r="B1003" s="75"/>
      <c r="C1003" s="75"/>
      <c r="D1003" s="75"/>
      <c r="E1003" s="75"/>
      <c r="F1003" s="75"/>
      <c r="G1003" s="75"/>
    </row>
    <row r="1004" spans="1:7" x14ac:dyDescent="0.35">
      <c r="A1004" s="192" t="s">
        <v>543</v>
      </c>
      <c r="B1004" s="192"/>
      <c r="C1004" s="192"/>
      <c r="D1004" s="192"/>
      <c r="E1004" s="192"/>
      <c r="F1004" s="192"/>
      <c r="G1004" s="75"/>
    </row>
    <row r="1005" spans="1:7" ht="12" customHeight="1" x14ac:dyDescent="0.35">
      <c r="A1005" s="192"/>
      <c r="B1005" s="192"/>
      <c r="C1005" s="192"/>
      <c r="D1005" s="192"/>
      <c r="E1005" s="192"/>
      <c r="F1005" s="192"/>
      <c r="G1005" s="75"/>
    </row>
    <row r="1006" spans="1:7" ht="12" customHeight="1" x14ac:dyDescent="0.35">
      <c r="A1006" s="75"/>
      <c r="B1006" s="75"/>
      <c r="C1006" s="75"/>
      <c r="D1006" s="75"/>
      <c r="E1006" s="75"/>
      <c r="F1006" s="75"/>
      <c r="G1006" s="75"/>
    </row>
    <row r="1007" spans="1:7" x14ac:dyDescent="0.35">
      <c r="A1007" s="192" t="s">
        <v>399</v>
      </c>
      <c r="B1007" s="192"/>
      <c r="C1007" s="192"/>
      <c r="D1007" s="192"/>
      <c r="E1007" s="192"/>
      <c r="F1007" s="192"/>
      <c r="G1007" s="75"/>
    </row>
    <row r="1008" spans="1:7" ht="27.75" customHeight="1" x14ac:dyDescent="0.35">
      <c r="A1008" s="192"/>
      <c r="B1008" s="192"/>
      <c r="C1008" s="192"/>
      <c r="D1008" s="192"/>
      <c r="E1008" s="192"/>
      <c r="F1008" s="192"/>
      <c r="G1008" s="75"/>
    </row>
    <row r="1009" spans="1:7" ht="12" customHeight="1" x14ac:dyDescent="0.35">
      <c r="A1009" s="75"/>
      <c r="B1009" s="75"/>
      <c r="C1009" s="75"/>
      <c r="D1009" s="75"/>
      <c r="E1009" s="75"/>
      <c r="F1009" s="75"/>
      <c r="G1009" s="75"/>
    </row>
    <row r="1010" spans="1:7" ht="12" customHeight="1" x14ac:dyDescent="0.35">
      <c r="A1010" s="192" t="s">
        <v>380</v>
      </c>
      <c r="B1010" s="192"/>
      <c r="C1010" s="192"/>
      <c r="D1010" s="192"/>
      <c r="E1010" s="192"/>
      <c r="F1010" s="192"/>
      <c r="G1010" s="75"/>
    </row>
    <row r="1011" spans="1:7" x14ac:dyDescent="0.35">
      <c r="A1011" s="192"/>
      <c r="B1011" s="192"/>
      <c r="C1011" s="192"/>
      <c r="D1011" s="192"/>
      <c r="E1011" s="192"/>
      <c r="F1011" s="192"/>
      <c r="G1011" s="75"/>
    </row>
    <row r="1012" spans="1:7" ht="12" customHeight="1" x14ac:dyDescent="0.35">
      <c r="A1012" s="192"/>
      <c r="B1012" s="192"/>
      <c r="C1012" s="192"/>
      <c r="D1012" s="192"/>
      <c r="E1012" s="192"/>
      <c r="F1012" s="192"/>
      <c r="G1012" s="75"/>
    </row>
    <row r="1013" spans="1:7" ht="25.5" customHeight="1" x14ac:dyDescent="0.35">
      <c r="A1013" s="192"/>
      <c r="B1013" s="192"/>
      <c r="C1013" s="192"/>
      <c r="D1013" s="192"/>
      <c r="E1013" s="192"/>
      <c r="F1013" s="192"/>
      <c r="G1013" s="75"/>
    </row>
    <row r="1014" spans="1:7" ht="12" customHeight="1" x14ac:dyDescent="0.35">
      <c r="A1014" s="75"/>
      <c r="B1014" s="75"/>
      <c r="C1014" s="75"/>
      <c r="D1014" s="75"/>
      <c r="E1014" s="75"/>
      <c r="F1014" s="75"/>
      <c r="G1014" s="75"/>
    </row>
    <row r="1015" spans="1:7" ht="12" customHeight="1" x14ac:dyDescent="0.35">
      <c r="A1015" s="66"/>
      <c r="B1015" s="66"/>
      <c r="C1015" s="66"/>
      <c r="D1015" s="66"/>
      <c r="E1015" s="66"/>
      <c r="F1015" s="66"/>
    </row>
    <row r="1016" spans="1:7" ht="15" customHeight="1" x14ac:dyDescent="0.35">
      <c r="A1016" s="199" t="s">
        <v>544</v>
      </c>
      <c r="B1016" s="199"/>
      <c r="C1016" s="199"/>
      <c r="D1016" s="199"/>
      <c r="E1016" s="199"/>
      <c r="F1016" s="199"/>
    </row>
    <row r="1017" spans="1:7" ht="11.4" customHeight="1" x14ac:dyDescent="0.35">
      <c r="B1017" s="74"/>
      <c r="E1017" s="76"/>
    </row>
    <row r="1018" spans="1:7" ht="42" customHeight="1" x14ac:dyDescent="0.35">
      <c r="A1018" s="183" t="s">
        <v>545</v>
      </c>
      <c r="B1018" s="183"/>
      <c r="C1018" s="183"/>
      <c r="D1018" s="183"/>
      <c r="E1018" s="183"/>
      <c r="F1018" s="183"/>
    </row>
    <row r="1019" spans="1:7" ht="33" customHeight="1" x14ac:dyDescent="0.35">
      <c r="A1019" s="183" t="s">
        <v>546</v>
      </c>
      <c r="B1019" s="183"/>
      <c r="C1019" s="183"/>
      <c r="D1019" s="183"/>
      <c r="E1019" s="183"/>
      <c r="F1019" s="183"/>
    </row>
    <row r="1020" spans="1:7" ht="43.5" customHeight="1" x14ac:dyDescent="0.35">
      <c r="A1020" s="183" t="s">
        <v>547</v>
      </c>
      <c r="B1020" s="183"/>
      <c r="C1020" s="183"/>
      <c r="D1020" s="183"/>
      <c r="E1020" s="183"/>
      <c r="F1020" s="183"/>
    </row>
    <row r="1021" spans="1:7" ht="68.25" customHeight="1" x14ac:dyDescent="0.35">
      <c r="A1021" s="183" t="s">
        <v>548</v>
      </c>
      <c r="B1021" s="183"/>
      <c r="C1021" s="183"/>
      <c r="D1021" s="183"/>
      <c r="E1021" s="183"/>
      <c r="F1021" s="183"/>
    </row>
    <row r="1022" spans="1:7" ht="12" customHeight="1" x14ac:dyDescent="0.35">
      <c r="A1022" s="183"/>
      <c r="B1022" s="183"/>
      <c r="C1022" s="183"/>
      <c r="D1022" s="183"/>
      <c r="E1022" s="183"/>
      <c r="F1022" s="183"/>
    </row>
    <row r="1023" spans="1:7" ht="43.5" customHeight="1" x14ac:dyDescent="0.35">
      <c r="A1023" s="183" t="s">
        <v>549</v>
      </c>
      <c r="B1023" s="183"/>
      <c r="C1023" s="183"/>
      <c r="D1023" s="183"/>
      <c r="E1023" s="183"/>
      <c r="F1023" s="183"/>
    </row>
    <row r="1024" spans="1:7" ht="12.75" customHeight="1" x14ac:dyDescent="0.35">
      <c r="A1024" s="183"/>
      <c r="B1024" s="183"/>
      <c r="C1024" s="183"/>
      <c r="D1024" s="183"/>
      <c r="E1024" s="183"/>
      <c r="F1024" s="183"/>
    </row>
    <row r="1025" spans="1:6" ht="30.75" customHeight="1" x14ac:dyDescent="0.35">
      <c r="A1025" s="183" t="s">
        <v>550</v>
      </c>
      <c r="B1025" s="183"/>
      <c r="C1025" s="183"/>
      <c r="D1025" s="183"/>
      <c r="E1025" s="183"/>
      <c r="F1025" s="183"/>
    </row>
    <row r="1026" spans="1:6" ht="15" customHeight="1" x14ac:dyDescent="0.35">
      <c r="A1026" s="183"/>
      <c r="B1026" s="183"/>
      <c r="C1026" s="183"/>
      <c r="D1026" s="183"/>
      <c r="E1026" s="183"/>
      <c r="F1026" s="183"/>
    </row>
    <row r="1027" spans="1:6" ht="18.75" customHeight="1" x14ac:dyDescent="0.35">
      <c r="A1027" s="183" t="s">
        <v>551</v>
      </c>
      <c r="B1027" s="183"/>
      <c r="C1027" s="183"/>
      <c r="D1027" s="183"/>
      <c r="E1027" s="183"/>
      <c r="F1027" s="183"/>
    </row>
    <row r="1028" spans="1:6" ht="14.25" customHeight="1" x14ac:dyDescent="0.35">
      <c r="A1028" s="183" t="s">
        <v>552</v>
      </c>
      <c r="B1028" s="183"/>
      <c r="C1028" s="183"/>
      <c r="D1028" s="183"/>
      <c r="E1028" s="183"/>
      <c r="F1028" s="183"/>
    </row>
    <row r="1029" spans="1:6" ht="14.25" customHeight="1" x14ac:dyDescent="0.35">
      <c r="A1029" s="74"/>
      <c r="B1029" s="74"/>
      <c r="C1029" s="74"/>
      <c r="D1029" s="74"/>
      <c r="E1029" s="74"/>
      <c r="F1029" s="74"/>
    </row>
    <row r="1030" spans="1:6" ht="15" customHeight="1" x14ac:dyDescent="0.35">
      <c r="A1030" s="185" t="s">
        <v>553</v>
      </c>
      <c r="B1030" s="185"/>
      <c r="C1030" s="185"/>
      <c r="D1030" s="185"/>
      <c r="E1030" s="185"/>
      <c r="F1030" s="185"/>
    </row>
    <row r="1031" spans="1:6" x14ac:dyDescent="0.35">
      <c r="A1031" s="183"/>
      <c r="B1031" s="183"/>
      <c r="C1031" s="183"/>
      <c r="D1031" s="183"/>
      <c r="E1031" s="183"/>
      <c r="F1031" s="183"/>
    </row>
    <row r="1032" spans="1:6" ht="42.75" customHeight="1" x14ac:dyDescent="0.35">
      <c r="A1032" s="183" t="s">
        <v>554</v>
      </c>
      <c r="B1032" s="183"/>
      <c r="C1032" s="183"/>
      <c r="D1032" s="183"/>
      <c r="E1032" s="183"/>
      <c r="F1032" s="183"/>
    </row>
    <row r="1033" spans="1:6" ht="18.75" customHeight="1" x14ac:dyDescent="0.35">
      <c r="A1033" s="183" t="s">
        <v>555</v>
      </c>
      <c r="B1033" s="183"/>
      <c r="C1033" s="183"/>
      <c r="D1033" s="183"/>
      <c r="E1033" s="183"/>
      <c r="F1033" s="183"/>
    </row>
    <row r="1034" spans="1:6" ht="17.25" customHeight="1" x14ac:dyDescent="0.35">
      <c r="A1034" s="183" t="s">
        <v>556</v>
      </c>
      <c r="B1034" s="183"/>
      <c r="C1034" s="183"/>
      <c r="D1034" s="183"/>
      <c r="E1034" s="183"/>
      <c r="F1034" s="183"/>
    </row>
    <row r="1035" spans="1:6" ht="57.75" customHeight="1" x14ac:dyDescent="0.35">
      <c r="A1035" s="183" t="s">
        <v>557</v>
      </c>
      <c r="B1035" s="183"/>
      <c r="C1035" s="183"/>
      <c r="D1035" s="183"/>
      <c r="E1035" s="183"/>
      <c r="F1035" s="183"/>
    </row>
    <row r="1036" spans="1:6" ht="28.5" customHeight="1" x14ac:dyDescent="0.35">
      <c r="A1036" s="183" t="s">
        <v>558</v>
      </c>
      <c r="B1036" s="183"/>
      <c r="C1036" s="183"/>
      <c r="D1036" s="183"/>
      <c r="E1036" s="183"/>
      <c r="F1036" s="183"/>
    </row>
    <row r="1037" spans="1:6" ht="32.25" customHeight="1" x14ac:dyDescent="0.35">
      <c r="A1037" s="183" t="s">
        <v>559</v>
      </c>
      <c r="B1037" s="183"/>
      <c r="C1037" s="183"/>
      <c r="D1037" s="183"/>
      <c r="E1037" s="183"/>
      <c r="F1037" s="183"/>
    </row>
    <row r="1038" spans="1:6" ht="30" customHeight="1" x14ac:dyDescent="0.35">
      <c r="A1038" s="183" t="s">
        <v>560</v>
      </c>
      <c r="B1038" s="183"/>
      <c r="C1038" s="183"/>
      <c r="D1038" s="183"/>
      <c r="E1038" s="183"/>
      <c r="F1038" s="183"/>
    </row>
    <row r="1039" spans="1:6" ht="50.25" customHeight="1" x14ac:dyDescent="0.35">
      <c r="A1039" s="183" t="s">
        <v>561</v>
      </c>
      <c r="B1039" s="183"/>
      <c r="C1039" s="183"/>
      <c r="D1039" s="183"/>
      <c r="E1039" s="183"/>
      <c r="F1039" s="183"/>
    </row>
    <row r="1040" spans="1:6" ht="36.75" customHeight="1" x14ac:dyDescent="0.35">
      <c r="A1040" s="183" t="s">
        <v>562</v>
      </c>
      <c r="B1040" s="183"/>
      <c r="C1040" s="183"/>
      <c r="D1040" s="183"/>
      <c r="E1040" s="183"/>
      <c r="F1040" s="183"/>
    </row>
    <row r="1041" spans="1:6" ht="15" customHeight="1" x14ac:dyDescent="0.35">
      <c r="A1041" s="183" t="s">
        <v>563</v>
      </c>
      <c r="B1041" s="183"/>
      <c r="C1041" s="183"/>
      <c r="D1041" s="183"/>
      <c r="E1041" s="183"/>
      <c r="F1041" s="183"/>
    </row>
    <row r="1042" spans="1:6" ht="15" customHeight="1" x14ac:dyDescent="0.35">
      <c r="A1042" s="183"/>
      <c r="B1042" s="200"/>
      <c r="C1042" s="200"/>
      <c r="D1042" s="200"/>
      <c r="E1042" s="200"/>
      <c r="F1042" s="200"/>
    </row>
    <row r="1043" spans="1:6" ht="15" customHeight="1" x14ac:dyDescent="0.35">
      <c r="A1043" s="183" t="s">
        <v>564</v>
      </c>
      <c r="B1043" s="183" t="s">
        <v>565</v>
      </c>
      <c r="C1043" s="183"/>
      <c r="D1043" s="183"/>
      <c r="E1043" s="183"/>
      <c r="F1043" s="183"/>
    </row>
    <row r="1044" spans="1:6" x14ac:dyDescent="0.35">
      <c r="A1044" s="183" t="s">
        <v>566</v>
      </c>
      <c r="B1044" s="183"/>
      <c r="C1044" s="183"/>
      <c r="D1044" s="183"/>
      <c r="E1044" s="183"/>
      <c r="F1044" s="183"/>
    </row>
    <row r="1045" spans="1:6" x14ac:dyDescent="0.35">
      <c r="A1045" s="183" t="s">
        <v>567</v>
      </c>
      <c r="B1045" s="183"/>
      <c r="C1045" s="183"/>
      <c r="D1045" s="183"/>
      <c r="E1045" s="183"/>
      <c r="F1045" s="183"/>
    </row>
    <row r="1046" spans="1:6" x14ac:dyDescent="0.35">
      <c r="A1046" s="183" t="s">
        <v>568</v>
      </c>
      <c r="B1046" s="183"/>
      <c r="C1046" s="183"/>
      <c r="D1046" s="183"/>
      <c r="E1046" s="183"/>
      <c r="F1046" s="183"/>
    </row>
    <row r="1047" spans="1:6" x14ac:dyDescent="0.35">
      <c r="A1047" s="183" t="s">
        <v>569</v>
      </c>
      <c r="B1047" s="183"/>
      <c r="C1047" s="183"/>
      <c r="D1047" s="183"/>
      <c r="E1047" s="183"/>
      <c r="F1047" s="183"/>
    </row>
    <row r="1048" spans="1:6" x14ac:dyDescent="0.35">
      <c r="A1048" s="183" t="s">
        <v>570</v>
      </c>
      <c r="B1048" s="183"/>
      <c r="C1048" s="183"/>
      <c r="D1048" s="183"/>
      <c r="E1048" s="183"/>
      <c r="F1048" s="183"/>
    </row>
    <row r="1049" spans="1:6" x14ac:dyDescent="0.35">
      <c r="A1049" s="183" t="s">
        <v>571</v>
      </c>
      <c r="B1049" s="183"/>
      <c r="C1049" s="183"/>
      <c r="D1049" s="183"/>
      <c r="E1049" s="183"/>
      <c r="F1049" s="183"/>
    </row>
    <row r="1050" spans="1:6" x14ac:dyDescent="0.35">
      <c r="A1050" s="183" t="s">
        <v>572</v>
      </c>
      <c r="B1050" s="183"/>
      <c r="C1050" s="183"/>
      <c r="D1050" s="183"/>
      <c r="E1050" s="183"/>
      <c r="F1050" s="183"/>
    </row>
    <row r="1051" spans="1:6" x14ac:dyDescent="0.35">
      <c r="A1051" s="74"/>
      <c r="B1051" s="74"/>
      <c r="C1051" s="74"/>
      <c r="D1051" s="74"/>
      <c r="E1051" s="74"/>
      <c r="F1051" s="74"/>
    </row>
    <row r="1052" spans="1:6" x14ac:dyDescent="0.35">
      <c r="A1052" s="185" t="s">
        <v>573</v>
      </c>
      <c r="B1052" s="185"/>
      <c r="C1052" s="185"/>
      <c r="D1052" s="185"/>
      <c r="E1052" s="185"/>
      <c r="F1052" s="185"/>
    </row>
    <row r="1053" spans="1:6" s="90" customFormat="1" ht="12.75" customHeight="1" x14ac:dyDescent="0.35">
      <c r="A1053" s="202" t="s">
        <v>574</v>
      </c>
      <c r="B1053" s="202"/>
      <c r="C1053" s="202"/>
      <c r="D1053" s="202"/>
      <c r="E1053" s="202"/>
      <c r="F1053" s="202"/>
    </row>
    <row r="1054" spans="1:6" s="93" customFormat="1" ht="8.15" customHeight="1" x14ac:dyDescent="0.35">
      <c r="A1054" s="91"/>
      <c r="B1054" s="74"/>
      <c r="C1054" s="64"/>
      <c r="D1054" s="92"/>
      <c r="E1054" s="76"/>
      <c r="F1054" s="76"/>
    </row>
    <row r="1055" spans="1:6" ht="25.5" customHeight="1" x14ac:dyDescent="0.35">
      <c r="A1055" s="91" t="s">
        <v>575</v>
      </c>
      <c r="B1055" s="183" t="s">
        <v>576</v>
      </c>
      <c r="C1055" s="183"/>
      <c r="D1055" s="183"/>
      <c r="E1055" s="183"/>
      <c r="F1055" s="183"/>
    </row>
    <row r="1056" spans="1:6" ht="5.15" customHeight="1" x14ac:dyDescent="0.35">
      <c r="A1056" s="91" t="s">
        <v>577</v>
      </c>
      <c r="B1056" s="74"/>
      <c r="D1056" s="92"/>
      <c r="E1056" s="76"/>
      <c r="F1056" s="76"/>
    </row>
    <row r="1057" spans="1:6" ht="12" customHeight="1" x14ac:dyDescent="0.35">
      <c r="A1057" s="201" t="s">
        <v>578</v>
      </c>
      <c r="B1057" s="183" t="s">
        <v>579</v>
      </c>
      <c r="C1057" s="183"/>
      <c r="D1057" s="183"/>
      <c r="E1057" s="183"/>
      <c r="F1057" s="183"/>
    </row>
    <row r="1058" spans="1:6" x14ac:dyDescent="0.35">
      <c r="A1058" s="201"/>
      <c r="B1058" s="183"/>
      <c r="C1058" s="183"/>
      <c r="D1058" s="183"/>
      <c r="E1058" s="183"/>
      <c r="F1058" s="183"/>
    </row>
    <row r="1059" spans="1:6" ht="5.15" customHeight="1" x14ac:dyDescent="0.35">
      <c r="A1059" s="91"/>
    </row>
    <row r="1060" spans="1:6" ht="12" customHeight="1" x14ac:dyDescent="0.35">
      <c r="A1060" s="201" t="s">
        <v>580</v>
      </c>
      <c r="B1060" s="183" t="s">
        <v>581</v>
      </c>
      <c r="C1060" s="183"/>
      <c r="D1060" s="183"/>
      <c r="E1060" s="183"/>
      <c r="F1060" s="183"/>
    </row>
    <row r="1061" spans="1:6" ht="29.25" customHeight="1" x14ac:dyDescent="0.35">
      <c r="A1061" s="201"/>
      <c r="B1061" s="183"/>
      <c r="C1061" s="183"/>
      <c r="D1061" s="183"/>
      <c r="E1061" s="183"/>
      <c r="F1061" s="183"/>
    </row>
    <row r="1062" spans="1:6" ht="5.15" customHeight="1" x14ac:dyDescent="0.35">
      <c r="A1062" s="91"/>
      <c r="B1062" s="74"/>
      <c r="C1062" s="74"/>
      <c r="D1062" s="74"/>
      <c r="E1062" s="74"/>
      <c r="F1062" s="74"/>
    </row>
    <row r="1063" spans="1:6" s="94" customFormat="1" ht="13" x14ac:dyDescent="0.35">
      <c r="A1063" s="91"/>
      <c r="B1063" s="74"/>
      <c r="C1063" s="64"/>
      <c r="D1063" s="92"/>
      <c r="E1063" s="76"/>
      <c r="F1063" s="76"/>
    </row>
    <row r="1064" spans="1:6" s="90" customFormat="1" ht="12.75" customHeight="1" x14ac:dyDescent="0.35">
      <c r="A1064" s="202" t="s">
        <v>582</v>
      </c>
      <c r="B1064" s="202"/>
      <c r="C1064" s="202"/>
      <c r="D1064" s="202"/>
      <c r="E1064" s="202"/>
      <c r="F1064" s="202"/>
    </row>
    <row r="1065" spans="1:6" s="93" customFormat="1" ht="8.15" customHeight="1" x14ac:dyDescent="0.35">
      <c r="A1065" s="91"/>
      <c r="B1065" s="74"/>
      <c r="C1065" s="64"/>
      <c r="D1065" s="92"/>
      <c r="E1065" s="76"/>
      <c r="F1065" s="76"/>
    </row>
    <row r="1066" spans="1:6" ht="25.5" customHeight="1" x14ac:dyDescent="0.35">
      <c r="A1066" s="91" t="s">
        <v>583</v>
      </c>
      <c r="B1066" s="183" t="s">
        <v>584</v>
      </c>
      <c r="C1066" s="183"/>
      <c r="D1066" s="183"/>
      <c r="E1066" s="183"/>
      <c r="F1066" s="183"/>
    </row>
    <row r="1067" spans="1:6" ht="5.15" customHeight="1" x14ac:dyDescent="0.35">
      <c r="A1067" s="91" t="s">
        <v>577</v>
      </c>
      <c r="B1067" s="74"/>
      <c r="D1067" s="92"/>
      <c r="E1067" s="76"/>
      <c r="F1067" s="76"/>
    </row>
    <row r="1068" spans="1:6" ht="12" customHeight="1" x14ac:dyDescent="0.35">
      <c r="A1068" s="201" t="s">
        <v>585</v>
      </c>
      <c r="B1068" s="183" t="s">
        <v>586</v>
      </c>
      <c r="C1068" s="183"/>
      <c r="D1068" s="183"/>
      <c r="E1068" s="183"/>
      <c r="F1068" s="183"/>
    </row>
    <row r="1069" spans="1:6" x14ac:dyDescent="0.35">
      <c r="A1069" s="201"/>
      <c r="B1069" s="183"/>
      <c r="C1069" s="183"/>
      <c r="D1069" s="183"/>
      <c r="E1069" s="183"/>
      <c r="F1069" s="183"/>
    </row>
    <row r="1070" spans="1:6" ht="5.15" customHeight="1" x14ac:dyDescent="0.35">
      <c r="A1070" s="91"/>
    </row>
    <row r="1071" spans="1:6" ht="12" customHeight="1" x14ac:dyDescent="0.35">
      <c r="A1071" s="201" t="s">
        <v>587</v>
      </c>
      <c r="B1071" s="183" t="s">
        <v>588</v>
      </c>
      <c r="C1071" s="183"/>
      <c r="D1071" s="183"/>
      <c r="E1071" s="183"/>
      <c r="F1071" s="183"/>
    </row>
    <row r="1072" spans="1:6" x14ac:dyDescent="0.35">
      <c r="A1072" s="201"/>
      <c r="B1072" s="183"/>
      <c r="C1072" s="183"/>
      <c r="D1072" s="183"/>
      <c r="E1072" s="183"/>
      <c r="F1072" s="183"/>
    </row>
    <row r="1073" spans="1:6" ht="5.15" customHeight="1" x14ac:dyDescent="0.35">
      <c r="A1073" s="91"/>
      <c r="B1073" s="74"/>
      <c r="C1073" s="74"/>
      <c r="D1073" s="74"/>
      <c r="E1073" s="74"/>
      <c r="F1073" s="74"/>
    </row>
    <row r="1074" spans="1:6" ht="26.25" customHeight="1" x14ac:dyDescent="0.35">
      <c r="A1074" s="95" t="s">
        <v>589</v>
      </c>
      <c r="B1074" s="183" t="s">
        <v>590</v>
      </c>
      <c r="C1074" s="183"/>
      <c r="D1074" s="183"/>
      <c r="E1074" s="183"/>
      <c r="F1074" s="183"/>
    </row>
    <row r="1075" spans="1:6" ht="5.15" customHeight="1" x14ac:dyDescent="0.35">
      <c r="A1075" s="91"/>
      <c r="B1075" s="74"/>
      <c r="C1075" s="74"/>
      <c r="D1075" s="74"/>
      <c r="E1075" s="74"/>
      <c r="F1075" s="74"/>
    </row>
    <row r="1076" spans="1:6" ht="26.25" customHeight="1" x14ac:dyDescent="0.35">
      <c r="A1076" s="64" t="s">
        <v>591</v>
      </c>
      <c r="B1076" s="183" t="s">
        <v>592</v>
      </c>
      <c r="C1076" s="183"/>
      <c r="D1076" s="183"/>
      <c r="E1076" s="183"/>
      <c r="F1076" s="183"/>
    </row>
    <row r="1077" spans="1:6" ht="5.15" customHeight="1" x14ac:dyDescent="0.35">
      <c r="A1077" s="91"/>
      <c r="B1077" s="74"/>
      <c r="C1077" s="74"/>
      <c r="D1077" s="74"/>
      <c r="E1077" s="74"/>
      <c r="F1077" s="74"/>
    </row>
    <row r="1078" spans="1:6" ht="38.25" customHeight="1" x14ac:dyDescent="0.35">
      <c r="A1078" s="64" t="s">
        <v>593</v>
      </c>
      <c r="B1078" s="183" t="s">
        <v>594</v>
      </c>
      <c r="C1078" s="183"/>
      <c r="D1078" s="183"/>
      <c r="E1078" s="183"/>
      <c r="F1078" s="183"/>
    </row>
    <row r="1079" spans="1:6" ht="5.15" customHeight="1" x14ac:dyDescent="0.35">
      <c r="A1079" s="91"/>
      <c r="B1079" s="74"/>
      <c r="C1079" s="74"/>
      <c r="D1079" s="74"/>
      <c r="E1079" s="74"/>
      <c r="F1079" s="74"/>
    </row>
    <row r="1080" spans="1:6" s="94" customFormat="1" ht="13" x14ac:dyDescent="0.35">
      <c r="A1080" s="91"/>
      <c r="B1080" s="74"/>
      <c r="C1080" s="64"/>
      <c r="D1080" s="92"/>
      <c r="E1080" s="76"/>
      <c r="F1080" s="76"/>
    </row>
    <row r="1081" spans="1:6" s="90" customFormat="1" ht="12.75" customHeight="1" x14ac:dyDescent="0.35">
      <c r="A1081" s="202" t="s">
        <v>595</v>
      </c>
      <c r="B1081" s="202"/>
      <c r="C1081" s="202"/>
      <c r="D1081" s="202"/>
      <c r="E1081" s="202"/>
      <c r="F1081" s="202"/>
    </row>
    <row r="1082" spans="1:6" s="93" customFormat="1" ht="8.15" customHeight="1" x14ac:dyDescent="0.35">
      <c r="A1082" s="91"/>
      <c r="B1082" s="74"/>
      <c r="C1082" s="64"/>
      <c r="D1082" s="92"/>
      <c r="E1082" s="76"/>
      <c r="F1082" s="76"/>
    </row>
    <row r="1083" spans="1:6" ht="39.9" customHeight="1" x14ac:dyDescent="0.35">
      <c r="A1083" s="91" t="s">
        <v>596</v>
      </c>
      <c r="B1083" s="183" t="s">
        <v>597</v>
      </c>
      <c r="C1083" s="183"/>
      <c r="D1083" s="183"/>
      <c r="E1083" s="183"/>
      <c r="F1083" s="183"/>
    </row>
    <row r="1084" spans="1:6" ht="5.15" customHeight="1" x14ac:dyDescent="0.35">
      <c r="A1084" s="91"/>
      <c r="B1084" s="74"/>
      <c r="D1084" s="92"/>
      <c r="E1084" s="76"/>
      <c r="F1084" s="76"/>
    </row>
    <row r="1085" spans="1:6" ht="25.5" customHeight="1" x14ac:dyDescent="0.35">
      <c r="A1085" s="91" t="s">
        <v>598</v>
      </c>
      <c r="B1085" s="183" t="s">
        <v>599</v>
      </c>
      <c r="C1085" s="183"/>
      <c r="D1085" s="183"/>
      <c r="E1085" s="183"/>
      <c r="F1085" s="183"/>
    </row>
    <row r="1086" spans="1:6" ht="5.15" customHeight="1" x14ac:dyDescent="0.35">
      <c r="A1086" s="91"/>
    </row>
    <row r="1087" spans="1:6" ht="12" customHeight="1" x14ac:dyDescent="0.35">
      <c r="A1087" s="201" t="s">
        <v>600</v>
      </c>
      <c r="B1087" s="183" t="s">
        <v>588</v>
      </c>
      <c r="C1087" s="183"/>
      <c r="D1087" s="183"/>
      <c r="E1087" s="183"/>
      <c r="F1087" s="183"/>
    </row>
    <row r="1088" spans="1:6" x14ac:dyDescent="0.35">
      <c r="A1088" s="201"/>
      <c r="B1088" s="183"/>
      <c r="C1088" s="183"/>
      <c r="D1088" s="183"/>
      <c r="E1088" s="183"/>
      <c r="F1088" s="183"/>
    </row>
    <row r="1089" spans="1:6" ht="5.15" customHeight="1" x14ac:dyDescent="0.35">
      <c r="A1089" s="91"/>
      <c r="B1089" s="74"/>
      <c r="C1089" s="74"/>
      <c r="D1089" s="74"/>
      <c r="E1089" s="74"/>
      <c r="F1089" s="74"/>
    </row>
    <row r="1090" spans="1:6" ht="42.75" customHeight="1" x14ac:dyDescent="0.35">
      <c r="A1090" s="64" t="s">
        <v>601</v>
      </c>
      <c r="B1090" s="183" t="s">
        <v>602</v>
      </c>
      <c r="C1090" s="183"/>
      <c r="D1090" s="183"/>
      <c r="E1090" s="183"/>
      <c r="F1090" s="183"/>
    </row>
    <row r="1091" spans="1:6" ht="5.15" customHeight="1" x14ac:dyDescent="0.35">
      <c r="A1091" s="91"/>
      <c r="B1091" s="74"/>
      <c r="C1091" s="74"/>
      <c r="D1091" s="74"/>
      <c r="E1091" s="74"/>
      <c r="F1091" s="74"/>
    </row>
    <row r="1092" spans="1:6" ht="26.25" customHeight="1" x14ac:dyDescent="0.35">
      <c r="A1092" s="64" t="s">
        <v>603</v>
      </c>
      <c r="B1092" s="183" t="s">
        <v>590</v>
      </c>
      <c r="C1092" s="183"/>
      <c r="D1092" s="183"/>
      <c r="E1092" s="183"/>
      <c r="F1092" s="183"/>
    </row>
    <row r="1093" spans="1:6" ht="5.15" customHeight="1" x14ac:dyDescent="0.35">
      <c r="A1093" s="91"/>
      <c r="B1093" s="74"/>
      <c r="C1093" s="74"/>
      <c r="D1093" s="74"/>
      <c r="E1093" s="74"/>
      <c r="F1093" s="74"/>
    </row>
    <row r="1094" spans="1:6" ht="26.25" customHeight="1" x14ac:dyDescent="0.35">
      <c r="A1094" s="64" t="s">
        <v>604</v>
      </c>
      <c r="B1094" s="183" t="s">
        <v>605</v>
      </c>
      <c r="C1094" s="183"/>
      <c r="D1094" s="183"/>
      <c r="E1094" s="183"/>
      <c r="F1094" s="183"/>
    </row>
    <row r="1095" spans="1:6" ht="5.15" customHeight="1" x14ac:dyDescent="0.35">
      <c r="A1095" s="91"/>
      <c r="B1095" s="74"/>
      <c r="C1095" s="74"/>
      <c r="D1095" s="74"/>
      <c r="E1095" s="74"/>
      <c r="F1095" s="74"/>
    </row>
    <row r="1096" spans="1:6" ht="26.25" customHeight="1" x14ac:dyDescent="0.35">
      <c r="A1096" s="64" t="s">
        <v>606</v>
      </c>
      <c r="B1096" s="183" t="s">
        <v>607</v>
      </c>
      <c r="C1096" s="183"/>
      <c r="D1096" s="183"/>
      <c r="E1096" s="183"/>
      <c r="F1096" s="183"/>
    </row>
    <row r="1097" spans="1:6" s="94" customFormat="1" ht="12.75" customHeight="1" x14ac:dyDescent="0.35">
      <c r="A1097" s="64"/>
      <c r="B1097" s="74"/>
      <c r="C1097" s="74"/>
      <c r="D1097" s="74"/>
      <c r="E1097" s="74"/>
      <c r="F1097" s="74"/>
    </row>
    <row r="1098" spans="1:6" s="94" customFormat="1" ht="12.75" customHeight="1" x14ac:dyDescent="0.35">
      <c r="A1098" s="64"/>
      <c r="B1098" s="183"/>
      <c r="C1098" s="183"/>
      <c r="D1098" s="183"/>
      <c r="E1098" s="183"/>
      <c r="F1098" s="64"/>
    </row>
    <row r="1099" spans="1:6" s="90" customFormat="1" ht="12.75" customHeight="1" x14ac:dyDescent="0.35">
      <c r="A1099" s="202" t="s">
        <v>608</v>
      </c>
      <c r="B1099" s="202"/>
      <c r="C1099" s="202"/>
      <c r="D1099" s="202"/>
      <c r="E1099" s="202"/>
      <c r="F1099" s="202"/>
    </row>
    <row r="1100" spans="1:6" s="93" customFormat="1" ht="8.15" customHeight="1" x14ac:dyDescent="0.35">
      <c r="A1100" s="91"/>
      <c r="B1100" s="74"/>
      <c r="C1100" s="64"/>
      <c r="D1100" s="92"/>
      <c r="E1100" s="76"/>
      <c r="F1100" s="76"/>
    </row>
    <row r="1101" spans="1:6" s="94" customFormat="1" ht="183.75" customHeight="1" x14ac:dyDescent="0.35">
      <c r="A1101" s="64" t="s">
        <v>609</v>
      </c>
      <c r="B1101" s="183" t="s">
        <v>610</v>
      </c>
      <c r="C1101" s="183"/>
      <c r="D1101" s="183"/>
      <c r="E1101" s="183"/>
      <c r="F1101" s="183"/>
    </row>
    <row r="1102" spans="1:6" x14ac:dyDescent="0.35">
      <c r="A1102" s="91"/>
      <c r="B1102" s="74"/>
      <c r="C1102" s="74"/>
      <c r="D1102" s="74"/>
      <c r="E1102" s="74"/>
      <c r="F1102" s="74"/>
    </row>
    <row r="1103" spans="1:6" ht="261.75" customHeight="1" x14ac:dyDescent="0.35">
      <c r="A1103" s="64" t="s">
        <v>611</v>
      </c>
      <c r="B1103" s="183" t="s">
        <v>612</v>
      </c>
      <c r="C1103" s="183"/>
      <c r="D1103" s="183"/>
      <c r="E1103" s="183"/>
      <c r="F1103" s="183"/>
    </row>
    <row r="1104" spans="1:6" x14ac:dyDescent="0.35">
      <c r="A1104" s="91"/>
      <c r="B1104" s="74"/>
      <c r="C1104" s="74"/>
      <c r="D1104" s="74"/>
      <c r="E1104" s="74"/>
      <c r="F1104" s="74"/>
    </row>
    <row r="1105" spans="1:8" ht="51.75" customHeight="1" x14ac:dyDescent="0.35">
      <c r="A1105" s="64" t="s">
        <v>613</v>
      </c>
      <c r="B1105" s="183" t="s">
        <v>614</v>
      </c>
      <c r="C1105" s="183"/>
      <c r="D1105" s="183"/>
      <c r="E1105" s="183"/>
      <c r="F1105" s="183"/>
    </row>
    <row r="1106" spans="1:8" x14ac:dyDescent="0.35">
      <c r="A1106" s="91"/>
      <c r="B1106" s="74"/>
      <c r="C1106" s="74"/>
      <c r="D1106" s="74"/>
      <c r="E1106" s="74"/>
      <c r="F1106" s="74"/>
    </row>
    <row r="1107" spans="1:8" ht="52.5" customHeight="1" x14ac:dyDescent="0.35">
      <c r="A1107" s="64" t="s">
        <v>615</v>
      </c>
      <c r="B1107" s="183" t="s">
        <v>616</v>
      </c>
      <c r="C1107" s="183"/>
      <c r="D1107" s="183"/>
      <c r="E1107" s="183"/>
      <c r="F1107" s="183"/>
    </row>
    <row r="1108" spans="1:8" x14ac:dyDescent="0.35">
      <c r="A1108" s="91"/>
      <c r="B1108" s="74"/>
      <c r="C1108" s="74"/>
      <c r="D1108" s="74"/>
      <c r="E1108" s="74"/>
      <c r="F1108" s="74"/>
    </row>
    <row r="1109" spans="1:8" ht="92.25" customHeight="1" x14ac:dyDescent="0.35">
      <c r="A1109" s="64" t="s">
        <v>617</v>
      </c>
      <c r="B1109" s="183" t="s">
        <v>618</v>
      </c>
      <c r="C1109" s="183"/>
      <c r="D1109" s="183"/>
      <c r="E1109" s="183"/>
      <c r="F1109" s="183"/>
    </row>
    <row r="1110" spans="1:8" x14ac:dyDescent="0.35">
      <c r="A1110" s="89"/>
      <c r="B1110" s="74"/>
      <c r="C1110" s="74"/>
      <c r="D1110" s="74"/>
      <c r="E1110" s="74"/>
      <c r="F1110" s="74"/>
      <c r="H1110" s="96"/>
    </row>
    <row r="1111" spans="1:8" ht="12" customHeight="1" x14ac:dyDescent="0.35">
      <c r="A1111" s="202" t="s">
        <v>619</v>
      </c>
      <c r="B1111" s="202"/>
      <c r="C1111" s="202"/>
      <c r="D1111" s="202"/>
      <c r="E1111" s="202"/>
      <c r="F1111" s="202"/>
    </row>
    <row r="1112" spans="1:8" x14ac:dyDescent="0.35">
      <c r="A1112" s="91"/>
      <c r="B1112" s="74"/>
      <c r="D1112" s="92"/>
      <c r="E1112" s="76"/>
      <c r="F1112" s="76"/>
    </row>
    <row r="1113" spans="1:8" ht="26.25" customHeight="1" x14ac:dyDescent="0.35">
      <c r="A1113" s="91" t="s">
        <v>620</v>
      </c>
      <c r="B1113" s="183" t="s">
        <v>621</v>
      </c>
      <c r="C1113" s="183"/>
      <c r="D1113" s="183"/>
      <c r="E1113" s="183"/>
      <c r="F1113" s="183"/>
    </row>
    <row r="1114" spans="1:8" x14ac:dyDescent="0.35">
      <c r="A1114" s="91"/>
      <c r="B1114" s="74"/>
      <c r="C1114" s="74"/>
      <c r="D1114" s="74"/>
      <c r="E1114" s="74"/>
      <c r="F1114" s="74"/>
    </row>
    <row r="1115" spans="1:8" ht="36.75" customHeight="1" x14ac:dyDescent="0.35">
      <c r="A1115" s="64" t="s">
        <v>622</v>
      </c>
      <c r="B1115" s="183" t="s">
        <v>623</v>
      </c>
      <c r="C1115" s="183"/>
      <c r="D1115" s="183"/>
      <c r="E1115" s="183"/>
      <c r="F1115" s="183"/>
    </row>
    <row r="1116" spans="1:8" s="94" customFormat="1" ht="12.75" customHeight="1" x14ac:dyDescent="0.35">
      <c r="A1116" s="91"/>
      <c r="B1116" s="74"/>
      <c r="C1116" s="64"/>
      <c r="D1116" s="92"/>
      <c r="E1116" s="76"/>
      <c r="F1116" s="76"/>
    </row>
    <row r="1117" spans="1:8" s="94" customFormat="1" ht="66.75" customHeight="1" x14ac:dyDescent="0.35">
      <c r="A1117" s="91" t="s">
        <v>624</v>
      </c>
      <c r="B1117" s="183" t="s">
        <v>625</v>
      </c>
      <c r="C1117" s="183"/>
      <c r="D1117" s="183"/>
      <c r="E1117" s="183"/>
      <c r="F1117" s="183"/>
    </row>
    <row r="1118" spans="1:8" s="90" customFormat="1" ht="13" x14ac:dyDescent="0.35">
      <c r="A1118" s="64"/>
      <c r="B1118" s="74"/>
      <c r="C1118" s="74"/>
      <c r="D1118" s="74"/>
      <c r="E1118" s="74"/>
      <c r="F1118" s="74"/>
    </row>
    <row r="1119" spans="1:8" s="93" customFormat="1" ht="24.75" customHeight="1" x14ac:dyDescent="0.35">
      <c r="A1119" s="64" t="s">
        <v>626</v>
      </c>
      <c r="B1119" s="183" t="s">
        <v>627</v>
      </c>
      <c r="C1119" s="183"/>
      <c r="D1119" s="183"/>
      <c r="E1119" s="183"/>
      <c r="F1119" s="183"/>
    </row>
    <row r="1120" spans="1:8" x14ac:dyDescent="0.35">
      <c r="B1120" s="74"/>
      <c r="C1120" s="74"/>
      <c r="D1120" s="74"/>
      <c r="E1120" s="74"/>
      <c r="F1120" s="74"/>
    </row>
    <row r="1121" spans="1:6" ht="24.75" customHeight="1" x14ac:dyDescent="0.35">
      <c r="A1121" s="64" t="s">
        <v>628</v>
      </c>
      <c r="B1121" s="183" t="s">
        <v>629</v>
      </c>
      <c r="C1121" s="183"/>
      <c r="D1121" s="183"/>
      <c r="E1121" s="183"/>
      <c r="F1121" s="183"/>
    </row>
    <row r="1122" spans="1:6" ht="12.75" customHeight="1" x14ac:dyDescent="0.35">
      <c r="B1122" s="74"/>
      <c r="C1122" s="74"/>
      <c r="D1122" s="74"/>
      <c r="E1122" s="74"/>
      <c r="F1122" s="74"/>
    </row>
    <row r="1123" spans="1:6" ht="25.5" customHeight="1" x14ac:dyDescent="0.35">
      <c r="A1123" s="64" t="s">
        <v>630</v>
      </c>
      <c r="B1123" s="183" t="s">
        <v>631</v>
      </c>
      <c r="C1123" s="183"/>
      <c r="D1123" s="183"/>
      <c r="E1123" s="183"/>
      <c r="F1123" s="183"/>
    </row>
    <row r="1124" spans="1:6" x14ac:dyDescent="0.35">
      <c r="B1124" s="74"/>
      <c r="C1124" s="74"/>
      <c r="D1124" s="74"/>
      <c r="E1124" s="74"/>
      <c r="F1124" s="74"/>
    </row>
    <row r="1125" spans="1:6" ht="25.5" customHeight="1" x14ac:dyDescent="0.35">
      <c r="A1125" s="64" t="s">
        <v>632</v>
      </c>
      <c r="B1125" s="183" t="s">
        <v>633</v>
      </c>
      <c r="C1125" s="183"/>
      <c r="D1125" s="183"/>
      <c r="E1125" s="183"/>
      <c r="F1125" s="183"/>
    </row>
    <row r="1126" spans="1:6" s="94" customFormat="1" ht="13" x14ac:dyDescent="0.35">
      <c r="A1126" s="64"/>
      <c r="B1126" s="74"/>
      <c r="C1126" s="74"/>
      <c r="D1126" s="74"/>
      <c r="E1126" s="74"/>
      <c r="F1126" s="74"/>
    </row>
    <row r="1127" spans="1:6" ht="13.5" customHeight="1" x14ac:dyDescent="0.35">
      <c r="A1127" s="202" t="s">
        <v>634</v>
      </c>
      <c r="B1127" s="202"/>
      <c r="C1127" s="202"/>
      <c r="D1127" s="202"/>
      <c r="E1127" s="202"/>
      <c r="F1127" s="202"/>
    </row>
    <row r="1128" spans="1:6" ht="12" customHeight="1" x14ac:dyDescent="0.35">
      <c r="A1128" s="91"/>
      <c r="B1128" s="74"/>
      <c r="D1128" s="92"/>
      <c r="E1128" s="76"/>
      <c r="F1128" s="76"/>
    </row>
    <row r="1129" spans="1:6" ht="26.25" customHeight="1" x14ac:dyDescent="0.35">
      <c r="A1129" s="91" t="s">
        <v>635</v>
      </c>
      <c r="B1129" s="183" t="s">
        <v>636</v>
      </c>
      <c r="C1129" s="183"/>
      <c r="D1129" s="183"/>
      <c r="E1129" s="183"/>
      <c r="F1129" s="183"/>
    </row>
    <row r="1130" spans="1:6" x14ac:dyDescent="0.35">
      <c r="A1130" s="201"/>
      <c r="B1130" s="201"/>
      <c r="C1130" s="201"/>
      <c r="D1130" s="201"/>
      <c r="E1130" s="201"/>
      <c r="F1130" s="201"/>
    </row>
    <row r="1131" spans="1:6" ht="31.5" customHeight="1" x14ac:dyDescent="0.35">
      <c r="A1131" s="91" t="s">
        <v>637</v>
      </c>
      <c r="B1131" s="183" t="s">
        <v>638</v>
      </c>
      <c r="C1131" s="183"/>
      <c r="D1131" s="183"/>
      <c r="E1131" s="183"/>
      <c r="F1131" s="183"/>
    </row>
    <row r="1132" spans="1:6" x14ac:dyDescent="0.35">
      <c r="A1132" s="201"/>
      <c r="B1132" s="201"/>
      <c r="C1132" s="201"/>
      <c r="D1132" s="201"/>
      <c r="E1132" s="201"/>
      <c r="F1132" s="201"/>
    </row>
    <row r="1133" spans="1:6" ht="25.5" customHeight="1" x14ac:dyDescent="0.35">
      <c r="A1133" s="91" t="s">
        <v>639</v>
      </c>
      <c r="B1133" s="183" t="s">
        <v>640</v>
      </c>
      <c r="C1133" s="183"/>
      <c r="D1133" s="183"/>
      <c r="E1133" s="183"/>
      <c r="F1133" s="183"/>
    </row>
    <row r="1134" spans="1:6" x14ac:dyDescent="0.35">
      <c r="A1134" s="201"/>
      <c r="B1134" s="201"/>
      <c r="C1134" s="201"/>
      <c r="D1134" s="201"/>
      <c r="E1134" s="201"/>
      <c r="F1134" s="201"/>
    </row>
    <row r="1135" spans="1:6" ht="12" customHeight="1" x14ac:dyDescent="0.35">
      <c r="A1135" s="201" t="s">
        <v>641</v>
      </c>
      <c r="B1135" s="183" t="s">
        <v>642</v>
      </c>
      <c r="C1135" s="183"/>
      <c r="D1135" s="183"/>
      <c r="E1135" s="183"/>
      <c r="F1135" s="183"/>
    </row>
    <row r="1136" spans="1:6" x14ac:dyDescent="0.35">
      <c r="A1136" s="201"/>
      <c r="B1136" s="183"/>
      <c r="C1136" s="183"/>
      <c r="D1136" s="183"/>
      <c r="E1136" s="183"/>
      <c r="F1136" s="183"/>
    </row>
    <row r="1137" spans="1:7" x14ac:dyDescent="0.35">
      <c r="A1137" s="201"/>
      <c r="B1137" s="201"/>
      <c r="C1137" s="201"/>
      <c r="D1137" s="201"/>
      <c r="E1137" s="201"/>
      <c r="F1137" s="201"/>
    </row>
    <row r="1138" spans="1:7" ht="13.5" customHeight="1" x14ac:dyDescent="0.35">
      <c r="A1138" s="202" t="s">
        <v>643</v>
      </c>
      <c r="B1138" s="202"/>
      <c r="C1138" s="202"/>
      <c r="D1138" s="202"/>
      <c r="E1138" s="202"/>
      <c r="F1138" s="202"/>
    </row>
    <row r="1139" spans="1:7" x14ac:dyDescent="0.35">
      <c r="A1139" s="91"/>
      <c r="B1139" s="74"/>
      <c r="D1139" s="92"/>
      <c r="E1139" s="76"/>
      <c r="F1139" s="76"/>
    </row>
    <row r="1140" spans="1:7" ht="24" customHeight="1" x14ac:dyDescent="0.35">
      <c r="A1140" s="91" t="s">
        <v>644</v>
      </c>
      <c r="B1140" s="183" t="s">
        <v>645</v>
      </c>
      <c r="C1140" s="183"/>
      <c r="D1140" s="183"/>
      <c r="E1140" s="183"/>
      <c r="F1140" s="183"/>
    </row>
    <row r="1141" spans="1:7" x14ac:dyDescent="0.35">
      <c r="A1141" s="91"/>
      <c r="B1141" s="74"/>
      <c r="D1141" s="92"/>
      <c r="E1141" s="76"/>
      <c r="F1141" s="76"/>
    </row>
    <row r="1142" spans="1:7" ht="12" customHeight="1" x14ac:dyDescent="0.35">
      <c r="A1142" s="91" t="s">
        <v>646</v>
      </c>
      <c r="B1142" s="183" t="s">
        <v>647</v>
      </c>
      <c r="C1142" s="183"/>
      <c r="D1142" s="183"/>
      <c r="E1142" s="183"/>
      <c r="F1142" s="183"/>
    </row>
    <row r="1143" spans="1:7" x14ac:dyDescent="0.35">
      <c r="A1143" s="91"/>
      <c r="B1143" s="74"/>
      <c r="D1143" s="92"/>
      <c r="E1143" s="76"/>
      <c r="F1143" s="76"/>
    </row>
    <row r="1144" spans="1:7" s="94" customFormat="1" ht="12.75" customHeight="1" x14ac:dyDescent="0.35">
      <c r="A1144" s="91" t="s">
        <v>648</v>
      </c>
      <c r="B1144" s="183" t="s">
        <v>649</v>
      </c>
      <c r="C1144" s="183"/>
      <c r="D1144" s="183"/>
      <c r="E1144" s="183"/>
      <c r="F1144" s="183"/>
    </row>
    <row r="1145" spans="1:7" x14ac:dyDescent="0.35">
      <c r="A1145" s="91"/>
      <c r="B1145" s="74"/>
      <c r="D1145" s="92"/>
      <c r="E1145" s="76"/>
      <c r="F1145" s="76"/>
    </row>
    <row r="1146" spans="1:7" ht="24" customHeight="1" x14ac:dyDescent="0.35">
      <c r="A1146" s="91" t="s">
        <v>650</v>
      </c>
      <c r="B1146" s="183" t="s">
        <v>651</v>
      </c>
      <c r="C1146" s="183"/>
      <c r="D1146" s="183"/>
      <c r="E1146" s="183"/>
      <c r="F1146" s="183"/>
    </row>
    <row r="1149" spans="1:7" x14ac:dyDescent="0.35">
      <c r="A1149" s="203" t="s">
        <v>652</v>
      </c>
      <c r="B1149" s="203"/>
      <c r="C1149" s="203"/>
      <c r="D1149" s="203"/>
      <c r="E1149" s="203"/>
      <c r="F1149" s="203"/>
    </row>
    <row r="1151" spans="1:7" x14ac:dyDescent="0.35">
      <c r="A1151" s="203" t="s">
        <v>653</v>
      </c>
      <c r="B1151" s="203"/>
      <c r="C1151" s="203"/>
      <c r="D1151" s="203"/>
      <c r="E1151" s="203"/>
      <c r="F1151" s="203"/>
    </row>
    <row r="1152" spans="1:7" ht="69" customHeight="1" x14ac:dyDescent="0.35">
      <c r="A1152" s="183" t="s">
        <v>654</v>
      </c>
      <c r="B1152" s="183"/>
      <c r="C1152" s="183"/>
      <c r="D1152" s="183"/>
      <c r="E1152" s="183"/>
      <c r="F1152" s="183"/>
      <c r="G1152" s="91"/>
    </row>
    <row r="1153" spans="1:6" ht="27" customHeight="1" x14ac:dyDescent="0.35">
      <c r="A1153" s="183" t="s">
        <v>655</v>
      </c>
      <c r="B1153" s="183"/>
      <c r="C1153" s="183"/>
      <c r="D1153" s="183"/>
      <c r="E1153" s="183"/>
      <c r="F1153" s="183"/>
    </row>
    <row r="1154" spans="1:6" ht="39" customHeight="1" x14ac:dyDescent="0.35">
      <c r="A1154" s="183" t="s">
        <v>656</v>
      </c>
      <c r="B1154" s="183"/>
      <c r="C1154" s="183"/>
      <c r="D1154" s="183"/>
      <c r="E1154" s="183"/>
      <c r="F1154" s="183"/>
    </row>
    <row r="1155" spans="1:6" x14ac:dyDescent="0.35">
      <c r="A1155" s="183" t="s">
        <v>657</v>
      </c>
      <c r="B1155" s="183"/>
      <c r="C1155" s="183"/>
      <c r="D1155" s="183"/>
      <c r="E1155" s="183"/>
      <c r="F1155" s="183"/>
    </row>
    <row r="1156" spans="1:6" ht="27.75" customHeight="1" x14ac:dyDescent="0.35">
      <c r="A1156" s="183" t="s">
        <v>658</v>
      </c>
      <c r="B1156" s="183"/>
      <c r="C1156" s="183"/>
      <c r="D1156" s="183"/>
      <c r="E1156" s="183"/>
      <c r="F1156" s="183"/>
    </row>
    <row r="1157" spans="1:6" ht="24" customHeight="1" x14ac:dyDescent="0.35">
      <c r="A1157" s="183" t="s">
        <v>659</v>
      </c>
      <c r="B1157" s="183"/>
      <c r="C1157" s="183"/>
      <c r="D1157" s="183"/>
      <c r="E1157" s="183"/>
      <c r="F1157" s="183"/>
    </row>
    <row r="1158" spans="1:6" ht="39.75" customHeight="1" x14ac:dyDescent="0.35">
      <c r="A1158" s="183" t="s">
        <v>660</v>
      </c>
      <c r="B1158" s="183"/>
      <c r="C1158" s="183"/>
      <c r="D1158" s="183"/>
      <c r="E1158" s="183"/>
      <c r="F1158" s="183"/>
    </row>
    <row r="1159" spans="1:6" ht="24.75" customHeight="1" x14ac:dyDescent="0.35">
      <c r="A1159" s="183" t="s">
        <v>661</v>
      </c>
      <c r="B1159" s="183"/>
      <c r="C1159" s="183"/>
      <c r="D1159" s="183"/>
      <c r="E1159" s="183"/>
      <c r="F1159" s="183"/>
    </row>
    <row r="1160" spans="1:6" ht="27" customHeight="1" x14ac:dyDescent="0.35">
      <c r="A1160" s="183" t="s">
        <v>662</v>
      </c>
      <c r="B1160" s="183"/>
      <c r="C1160" s="183"/>
      <c r="D1160" s="183"/>
      <c r="E1160" s="183"/>
      <c r="F1160" s="183"/>
    </row>
    <row r="1161" spans="1:6" ht="62.25" customHeight="1" x14ac:dyDescent="0.35">
      <c r="A1161" s="183" t="s">
        <v>663</v>
      </c>
      <c r="B1161" s="183"/>
      <c r="C1161" s="183"/>
      <c r="D1161" s="183"/>
      <c r="E1161" s="183"/>
      <c r="F1161" s="183"/>
    </row>
    <row r="1162" spans="1:6" x14ac:dyDescent="0.35">
      <c r="A1162" s="183" t="s">
        <v>664</v>
      </c>
      <c r="B1162" s="183"/>
      <c r="C1162" s="183"/>
      <c r="D1162" s="183"/>
      <c r="E1162" s="183"/>
      <c r="F1162" s="183"/>
    </row>
    <row r="1163" spans="1:6" ht="206.25" customHeight="1" x14ac:dyDescent="0.35">
      <c r="A1163" s="183" t="s">
        <v>665</v>
      </c>
      <c r="B1163" s="183"/>
      <c r="C1163" s="183"/>
      <c r="D1163" s="183"/>
      <c r="E1163" s="183"/>
      <c r="F1163" s="183"/>
    </row>
    <row r="1164" spans="1:6" ht="17.25" customHeight="1" x14ac:dyDescent="0.35">
      <c r="A1164" s="74"/>
      <c r="B1164" s="74"/>
      <c r="C1164" s="74"/>
      <c r="D1164" s="74"/>
      <c r="E1164" s="74"/>
      <c r="F1164" s="74"/>
    </row>
    <row r="1165" spans="1:6" x14ac:dyDescent="0.35">
      <c r="A1165" s="183" t="s">
        <v>666</v>
      </c>
      <c r="B1165" s="183"/>
      <c r="C1165" s="183"/>
      <c r="D1165" s="183"/>
      <c r="E1165" s="183"/>
      <c r="F1165" s="183"/>
    </row>
    <row r="1166" spans="1:6" ht="60" customHeight="1" x14ac:dyDescent="0.35">
      <c r="A1166" s="183" t="s">
        <v>667</v>
      </c>
      <c r="B1166" s="183"/>
      <c r="C1166" s="183"/>
      <c r="D1166" s="183"/>
      <c r="E1166" s="183"/>
      <c r="F1166" s="183"/>
    </row>
    <row r="1167" spans="1:6" x14ac:dyDescent="0.35">
      <c r="A1167" s="183" t="s">
        <v>106</v>
      </c>
      <c r="B1167" s="183"/>
      <c r="C1167" s="183"/>
      <c r="D1167" s="183"/>
      <c r="E1167" s="183"/>
      <c r="F1167" s="183"/>
    </row>
    <row r="1168" spans="1:6" ht="54" customHeight="1" x14ac:dyDescent="0.35">
      <c r="A1168" s="183" t="s">
        <v>668</v>
      </c>
      <c r="B1168" s="183"/>
      <c r="C1168" s="183"/>
      <c r="D1168" s="183"/>
      <c r="E1168" s="183"/>
      <c r="F1168" s="183"/>
    </row>
    <row r="1169" spans="1:6" x14ac:dyDescent="0.35">
      <c r="A1169" s="183" t="s">
        <v>669</v>
      </c>
      <c r="B1169" s="183"/>
      <c r="C1169" s="183"/>
      <c r="D1169" s="183"/>
      <c r="E1169" s="183"/>
      <c r="F1169" s="183"/>
    </row>
    <row r="1170" spans="1:6" ht="67.5" customHeight="1" x14ac:dyDescent="0.35">
      <c r="A1170" s="183" t="s">
        <v>670</v>
      </c>
      <c r="B1170" s="183"/>
      <c r="C1170" s="183"/>
      <c r="D1170" s="183"/>
      <c r="E1170" s="183"/>
      <c r="F1170" s="183"/>
    </row>
    <row r="1172" spans="1:6" ht="51.75" customHeight="1" x14ac:dyDescent="0.35">
      <c r="A1172" s="183" t="s">
        <v>671</v>
      </c>
      <c r="B1172" s="183"/>
      <c r="C1172" s="183"/>
      <c r="D1172" s="183"/>
      <c r="E1172" s="183"/>
      <c r="F1172" s="183"/>
    </row>
    <row r="1174" spans="1:6" ht="30.75" customHeight="1" x14ac:dyDescent="0.35">
      <c r="A1174" s="183" t="s">
        <v>672</v>
      </c>
      <c r="B1174" s="183"/>
      <c r="C1174" s="183"/>
      <c r="D1174" s="183"/>
      <c r="E1174" s="183"/>
      <c r="F1174" s="183"/>
    </row>
    <row r="1175" spans="1:6" ht="31.5" customHeight="1" x14ac:dyDescent="0.35">
      <c r="A1175" s="183" t="s">
        <v>673</v>
      </c>
      <c r="B1175" s="183"/>
      <c r="C1175" s="183"/>
      <c r="D1175" s="183"/>
      <c r="E1175" s="183"/>
      <c r="F1175" s="183"/>
    </row>
    <row r="1177" spans="1:6" x14ac:dyDescent="0.35">
      <c r="A1177" s="183" t="s">
        <v>674</v>
      </c>
      <c r="B1177" s="183"/>
      <c r="C1177" s="183"/>
      <c r="D1177" s="183"/>
      <c r="E1177" s="183"/>
      <c r="F1177" s="183"/>
    </row>
    <row r="1178" spans="1:6" ht="36" customHeight="1" x14ac:dyDescent="0.35">
      <c r="A1178" s="183" t="s">
        <v>675</v>
      </c>
      <c r="B1178" s="183"/>
      <c r="C1178" s="183"/>
      <c r="D1178" s="183"/>
      <c r="E1178" s="183"/>
      <c r="F1178" s="183"/>
    </row>
    <row r="1179" spans="1:6" x14ac:dyDescent="0.35">
      <c r="A1179" s="203" t="s">
        <v>676</v>
      </c>
      <c r="B1179" s="203"/>
      <c r="C1179" s="203"/>
      <c r="D1179" s="203"/>
      <c r="E1179" s="203"/>
      <c r="F1179" s="203"/>
    </row>
    <row r="1180" spans="1:6" ht="73.5" customHeight="1" x14ac:dyDescent="0.35">
      <c r="A1180" s="183" t="s">
        <v>677</v>
      </c>
      <c r="B1180" s="183"/>
      <c r="C1180" s="183"/>
      <c r="D1180" s="183"/>
      <c r="E1180" s="183"/>
      <c r="F1180" s="183"/>
    </row>
  </sheetData>
  <protectedRanges>
    <protectedRange sqref="E1098" name="Range1_12_1_2_1"/>
    <protectedRange sqref="E1064:E1065 E1079 E1053:E1054" name="Range1_5_4_1_3_1"/>
    <protectedRange sqref="E1063 E1080:E1097" name="Range1_10_1_1_1_2_1"/>
    <protectedRange sqref="E1111:E1126 E1138:E1146" name="Range1_10_2_1_2_1"/>
    <protectedRange sqref="E1127:E1137" name="Range1_7_2_1_2_1"/>
    <protectedRange sqref="E1099:E1109" name="Range1_3_1_3_1_2_1"/>
    <protectedRange sqref="E1110" name="Range1_3_1_1_10_1_1_1_2_1"/>
    <protectedRange sqref="E1066:E1078 E1055:E1062" name="Range1_5_4_1_1_2_1"/>
  </protectedRanges>
  <mergeCells count="546">
    <mergeCell ref="A1175:F1175"/>
    <mergeCell ref="A1177:F1177"/>
    <mergeCell ref="A1178:F1178"/>
    <mergeCell ref="A1179:F1179"/>
    <mergeCell ref="A1180:F1180"/>
    <mergeCell ref="A1167:F1167"/>
    <mergeCell ref="A1168:F1168"/>
    <mergeCell ref="A1169:F1169"/>
    <mergeCell ref="A1170:F1170"/>
    <mergeCell ref="A1172:F1172"/>
    <mergeCell ref="A1174:F1174"/>
    <mergeCell ref="A1160:F1160"/>
    <mergeCell ref="A1161:F1161"/>
    <mergeCell ref="A1162:F1162"/>
    <mergeCell ref="A1163:F1163"/>
    <mergeCell ref="A1165:F1165"/>
    <mergeCell ref="A1166:F1166"/>
    <mergeCell ref="A1154:F1154"/>
    <mergeCell ref="A1155:F1155"/>
    <mergeCell ref="A1156:F1156"/>
    <mergeCell ref="A1157:F1157"/>
    <mergeCell ref="A1158:F1158"/>
    <mergeCell ref="A1159:F1159"/>
    <mergeCell ref="B1144:F1144"/>
    <mergeCell ref="B1146:F1146"/>
    <mergeCell ref="A1149:F1149"/>
    <mergeCell ref="A1151:F1151"/>
    <mergeCell ref="A1152:F1152"/>
    <mergeCell ref="A1153:F1153"/>
    <mergeCell ref="A1135:A1136"/>
    <mergeCell ref="B1135:F1136"/>
    <mergeCell ref="A1137:F1137"/>
    <mergeCell ref="A1138:F1138"/>
    <mergeCell ref="B1140:F1140"/>
    <mergeCell ref="B1142:F1142"/>
    <mergeCell ref="B1129:F1129"/>
    <mergeCell ref="A1130:F1130"/>
    <mergeCell ref="B1131:F1131"/>
    <mergeCell ref="A1132:F1132"/>
    <mergeCell ref="B1133:F1133"/>
    <mergeCell ref="A1134:F1134"/>
    <mergeCell ref="B1117:F1117"/>
    <mergeCell ref="B1119:F1119"/>
    <mergeCell ref="B1121:F1121"/>
    <mergeCell ref="B1123:F1123"/>
    <mergeCell ref="B1125:F1125"/>
    <mergeCell ref="A1127:F1127"/>
    <mergeCell ref="B1105:F1105"/>
    <mergeCell ref="B1107:F1107"/>
    <mergeCell ref="B1109:F1109"/>
    <mergeCell ref="A1111:F1111"/>
    <mergeCell ref="B1113:F1113"/>
    <mergeCell ref="B1115:F1115"/>
    <mergeCell ref="B1094:F1094"/>
    <mergeCell ref="B1096:F1096"/>
    <mergeCell ref="B1098:E1098"/>
    <mergeCell ref="A1099:F1099"/>
    <mergeCell ref="B1101:F1101"/>
    <mergeCell ref="B1103:F1103"/>
    <mergeCell ref="B1083:F1083"/>
    <mergeCell ref="B1085:F1085"/>
    <mergeCell ref="A1087:A1088"/>
    <mergeCell ref="B1087:F1088"/>
    <mergeCell ref="B1090:F1090"/>
    <mergeCell ref="B1092:F1092"/>
    <mergeCell ref="A1071:A1072"/>
    <mergeCell ref="B1071:F1072"/>
    <mergeCell ref="B1074:F1074"/>
    <mergeCell ref="B1076:F1076"/>
    <mergeCell ref="B1078:F1078"/>
    <mergeCell ref="A1081:F1081"/>
    <mergeCell ref="A1060:A1061"/>
    <mergeCell ref="B1060:F1061"/>
    <mergeCell ref="A1064:F1064"/>
    <mergeCell ref="B1066:F1066"/>
    <mergeCell ref="A1068:A1069"/>
    <mergeCell ref="B1068:F1069"/>
    <mergeCell ref="A1049:F1049"/>
    <mergeCell ref="A1050:F1050"/>
    <mergeCell ref="A1052:F1052"/>
    <mergeCell ref="A1053:F1053"/>
    <mergeCell ref="B1055:F1055"/>
    <mergeCell ref="A1057:A1058"/>
    <mergeCell ref="B1057:F1058"/>
    <mergeCell ref="A1043:F1043"/>
    <mergeCell ref="A1044:F1044"/>
    <mergeCell ref="A1045:F1045"/>
    <mergeCell ref="A1046:F1046"/>
    <mergeCell ref="A1047:F1047"/>
    <mergeCell ref="A1048:F1048"/>
    <mergeCell ref="A1037:F1037"/>
    <mergeCell ref="A1038:F1038"/>
    <mergeCell ref="A1039:F1039"/>
    <mergeCell ref="A1040:F1040"/>
    <mergeCell ref="A1041:F1041"/>
    <mergeCell ref="A1042:F1042"/>
    <mergeCell ref="A1031:F1031"/>
    <mergeCell ref="A1032:F1032"/>
    <mergeCell ref="A1033:F1033"/>
    <mergeCell ref="A1034:F1034"/>
    <mergeCell ref="A1035:F1035"/>
    <mergeCell ref="A1036:F1036"/>
    <mergeCell ref="A1024:F1024"/>
    <mergeCell ref="A1025:F1025"/>
    <mergeCell ref="A1026:F1026"/>
    <mergeCell ref="A1027:F1027"/>
    <mergeCell ref="A1028:F1028"/>
    <mergeCell ref="A1030:F1030"/>
    <mergeCell ref="A1018:F1018"/>
    <mergeCell ref="A1019:F1019"/>
    <mergeCell ref="A1020:F1020"/>
    <mergeCell ref="A1021:F1021"/>
    <mergeCell ref="A1022:F1022"/>
    <mergeCell ref="A1023:F1023"/>
    <mergeCell ref="A996:F998"/>
    <mergeCell ref="A1000:F1002"/>
    <mergeCell ref="A1004:F1005"/>
    <mergeCell ref="A1007:F1008"/>
    <mergeCell ref="A1010:F1013"/>
    <mergeCell ref="A1016:F1016"/>
    <mergeCell ref="A977:G978"/>
    <mergeCell ref="A980:G983"/>
    <mergeCell ref="A985:D985"/>
    <mergeCell ref="A987:F987"/>
    <mergeCell ref="A989:F991"/>
    <mergeCell ref="A993:F994"/>
    <mergeCell ref="A953:G957"/>
    <mergeCell ref="A958:F958"/>
    <mergeCell ref="A959:G960"/>
    <mergeCell ref="A962:G968"/>
    <mergeCell ref="A970:G971"/>
    <mergeCell ref="A973:G975"/>
    <mergeCell ref="A926:G932"/>
    <mergeCell ref="A934:G935"/>
    <mergeCell ref="A937:G939"/>
    <mergeCell ref="A941:G942"/>
    <mergeCell ref="A944:G947"/>
    <mergeCell ref="A949:D949"/>
    <mergeCell ref="A906:F906"/>
    <mergeCell ref="A908:B908"/>
    <mergeCell ref="A909:F911"/>
    <mergeCell ref="A913:D913"/>
    <mergeCell ref="A917:G921"/>
    <mergeCell ref="A923:G924"/>
    <mergeCell ref="A895:F895"/>
    <mergeCell ref="A896:F896"/>
    <mergeCell ref="A897:F898"/>
    <mergeCell ref="A899:F899"/>
    <mergeCell ref="A900:F900"/>
    <mergeCell ref="A902:F904"/>
    <mergeCell ref="A887:F888"/>
    <mergeCell ref="A889:F889"/>
    <mergeCell ref="A890:F890"/>
    <mergeCell ref="A891:F891"/>
    <mergeCell ref="A892:F893"/>
    <mergeCell ref="A894:F894"/>
    <mergeCell ref="A867:F867"/>
    <mergeCell ref="A871:F873"/>
    <mergeCell ref="A875:F876"/>
    <mergeCell ref="A878:C878"/>
    <mergeCell ref="A882:F883"/>
    <mergeCell ref="A884:F885"/>
    <mergeCell ref="A848:F851"/>
    <mergeCell ref="A853:F855"/>
    <mergeCell ref="A857:F857"/>
    <mergeCell ref="A859:F860"/>
    <mergeCell ref="A862:F862"/>
    <mergeCell ref="A865:B865"/>
    <mergeCell ref="A826:F826"/>
    <mergeCell ref="A828:F831"/>
    <mergeCell ref="A833:F834"/>
    <mergeCell ref="A836:F838"/>
    <mergeCell ref="A840:F843"/>
    <mergeCell ref="A845:F846"/>
    <mergeCell ref="A815:F815"/>
    <mergeCell ref="A816:F816"/>
    <mergeCell ref="A817:F818"/>
    <mergeCell ref="A819:F819"/>
    <mergeCell ref="A820:F820"/>
    <mergeCell ref="A822:F824"/>
    <mergeCell ref="A808:F808"/>
    <mergeCell ref="A809:F809"/>
    <mergeCell ref="A810:F810"/>
    <mergeCell ref="A811:F811"/>
    <mergeCell ref="A812:F813"/>
    <mergeCell ref="A814:F814"/>
    <mergeCell ref="A794:G794"/>
    <mergeCell ref="A796:G797"/>
    <mergeCell ref="A799:C799"/>
    <mergeCell ref="A801:C801"/>
    <mergeCell ref="A803:F804"/>
    <mergeCell ref="A806:F806"/>
    <mergeCell ref="A778:G778"/>
    <mergeCell ref="A780:B780"/>
    <mergeCell ref="A782:G783"/>
    <mergeCell ref="A785:G789"/>
    <mergeCell ref="A790:F790"/>
    <mergeCell ref="A792:G792"/>
    <mergeCell ref="A772:G772"/>
    <mergeCell ref="A773:G773"/>
    <mergeCell ref="A774:G774"/>
    <mergeCell ref="A775:G775"/>
    <mergeCell ref="A776:G776"/>
    <mergeCell ref="A777:G777"/>
    <mergeCell ref="A765:F765"/>
    <mergeCell ref="A766:F766"/>
    <mergeCell ref="A767:G767"/>
    <mergeCell ref="A768:G769"/>
    <mergeCell ref="A770:G770"/>
    <mergeCell ref="A771:G771"/>
    <mergeCell ref="A753:F753"/>
    <mergeCell ref="A754:F754"/>
    <mergeCell ref="A756:B756"/>
    <mergeCell ref="A758:C758"/>
    <mergeCell ref="A760:G761"/>
    <mergeCell ref="A763:G763"/>
    <mergeCell ref="A744:F744"/>
    <mergeCell ref="A745:F745"/>
    <mergeCell ref="A747:F747"/>
    <mergeCell ref="A749:F749"/>
    <mergeCell ref="A751:F751"/>
    <mergeCell ref="A752:F752"/>
    <mergeCell ref="A738:F738"/>
    <mergeCell ref="A739:F739"/>
    <mergeCell ref="A740:F740"/>
    <mergeCell ref="A741:F741"/>
    <mergeCell ref="A742:F742"/>
    <mergeCell ref="A743:F743"/>
    <mergeCell ref="A730:F731"/>
    <mergeCell ref="A732:F732"/>
    <mergeCell ref="A734:F734"/>
    <mergeCell ref="A735:F735"/>
    <mergeCell ref="A736:F736"/>
    <mergeCell ref="A737:F737"/>
    <mergeCell ref="A724:F724"/>
    <mergeCell ref="A725:F725"/>
    <mergeCell ref="A726:F726"/>
    <mergeCell ref="A727:F727"/>
    <mergeCell ref="A728:F728"/>
    <mergeCell ref="A729:F729"/>
    <mergeCell ref="A709:G710"/>
    <mergeCell ref="A712:G715"/>
    <mergeCell ref="A717:F717"/>
    <mergeCell ref="A719:F719"/>
    <mergeCell ref="A721:F721"/>
    <mergeCell ref="A722:F722"/>
    <mergeCell ref="A690:G692"/>
    <mergeCell ref="A694:G694"/>
    <mergeCell ref="A696:G697"/>
    <mergeCell ref="A699:G700"/>
    <mergeCell ref="A702:G703"/>
    <mergeCell ref="A705:G707"/>
    <mergeCell ref="A666:B666"/>
    <mergeCell ref="A668:G670"/>
    <mergeCell ref="A672:G675"/>
    <mergeCell ref="A677:G678"/>
    <mergeCell ref="A680:G681"/>
    <mergeCell ref="A683:G688"/>
    <mergeCell ref="A645:G648"/>
    <mergeCell ref="A650:G651"/>
    <mergeCell ref="A653:B653"/>
    <mergeCell ref="A655:G657"/>
    <mergeCell ref="A659:G661"/>
    <mergeCell ref="A663:G664"/>
    <mergeCell ref="A636:F636"/>
    <mergeCell ref="A637:F637"/>
    <mergeCell ref="A638:F638"/>
    <mergeCell ref="A639:F639"/>
    <mergeCell ref="A641:C641"/>
    <mergeCell ref="A643:C643"/>
    <mergeCell ref="A630:F630"/>
    <mergeCell ref="A631:F631"/>
    <mergeCell ref="A632:F632"/>
    <mergeCell ref="A633:F633"/>
    <mergeCell ref="A634:F634"/>
    <mergeCell ref="A635:F635"/>
    <mergeCell ref="A607:F610"/>
    <mergeCell ref="A611:F612"/>
    <mergeCell ref="A614:F620"/>
    <mergeCell ref="A621:F626"/>
    <mergeCell ref="A628:F628"/>
    <mergeCell ref="A629:F629"/>
    <mergeCell ref="A592:F593"/>
    <mergeCell ref="A594:F594"/>
    <mergeCell ref="A595:F596"/>
    <mergeCell ref="A598:F601"/>
    <mergeCell ref="A602:F603"/>
    <mergeCell ref="A604:F606"/>
    <mergeCell ref="A567:F571"/>
    <mergeCell ref="A573:F574"/>
    <mergeCell ref="A576:F577"/>
    <mergeCell ref="A579:F581"/>
    <mergeCell ref="A583:F588"/>
    <mergeCell ref="A590:B590"/>
    <mergeCell ref="A555:F555"/>
    <mergeCell ref="A557:F557"/>
    <mergeCell ref="A559:F559"/>
    <mergeCell ref="A561:F561"/>
    <mergeCell ref="A563:B563"/>
    <mergeCell ref="A565:C565"/>
    <mergeCell ref="A523:G526"/>
    <mergeCell ref="A528:G532"/>
    <mergeCell ref="A534:G536"/>
    <mergeCell ref="A538:G541"/>
    <mergeCell ref="A543:G547"/>
    <mergeCell ref="A549:G553"/>
    <mergeCell ref="A508:G509"/>
    <mergeCell ref="A511:G513"/>
    <mergeCell ref="A515:G515"/>
    <mergeCell ref="A517:F517"/>
    <mergeCell ref="A519:B519"/>
    <mergeCell ref="A521:D521"/>
    <mergeCell ref="A482:G485"/>
    <mergeCell ref="A487:G488"/>
    <mergeCell ref="A490:G492"/>
    <mergeCell ref="A494:G495"/>
    <mergeCell ref="A497:G501"/>
    <mergeCell ref="A503:G506"/>
    <mergeCell ref="A460:F461"/>
    <mergeCell ref="A463:F463"/>
    <mergeCell ref="A465:C465"/>
    <mergeCell ref="A467:C467"/>
    <mergeCell ref="A469:G473"/>
    <mergeCell ref="A475:G480"/>
    <mergeCell ref="A450:F450"/>
    <mergeCell ref="A451:F451"/>
    <mergeCell ref="A452:F452"/>
    <mergeCell ref="A454:F454"/>
    <mergeCell ref="A456:B456"/>
    <mergeCell ref="A458:F458"/>
    <mergeCell ref="A436:F436"/>
    <mergeCell ref="A438:F438"/>
    <mergeCell ref="A440:F440"/>
    <mergeCell ref="A442:F443"/>
    <mergeCell ref="A447:F447"/>
    <mergeCell ref="A449:F449"/>
    <mergeCell ref="A427:B427"/>
    <mergeCell ref="A428:F428"/>
    <mergeCell ref="A429:F429"/>
    <mergeCell ref="A430:F430"/>
    <mergeCell ref="A432:F432"/>
    <mergeCell ref="A434:F434"/>
    <mergeCell ref="A418:F418"/>
    <mergeCell ref="A421:F421"/>
    <mergeCell ref="A422:F422"/>
    <mergeCell ref="A423:F423"/>
    <mergeCell ref="A424:F424"/>
    <mergeCell ref="A425:F425"/>
    <mergeCell ref="A379:F380"/>
    <mergeCell ref="A382:F384"/>
    <mergeCell ref="A411:F411"/>
    <mergeCell ref="A413:F413"/>
    <mergeCell ref="A415:F415"/>
    <mergeCell ref="A417:B417"/>
    <mergeCell ref="A363:F364"/>
    <mergeCell ref="A366:F366"/>
    <mergeCell ref="A368:F368"/>
    <mergeCell ref="A370:F371"/>
    <mergeCell ref="A373:F374"/>
    <mergeCell ref="A376:F377"/>
    <mergeCell ref="A350:F350"/>
    <mergeCell ref="A351:F351"/>
    <mergeCell ref="A352:F352"/>
    <mergeCell ref="A353:F353"/>
    <mergeCell ref="A355:F356"/>
    <mergeCell ref="A358:F361"/>
    <mergeCell ref="A344:F344"/>
    <mergeCell ref="A345:F345"/>
    <mergeCell ref="A346:F346"/>
    <mergeCell ref="A347:F347"/>
    <mergeCell ref="A348:F348"/>
    <mergeCell ref="A349:F349"/>
    <mergeCell ref="A329:F329"/>
    <mergeCell ref="A331:C331"/>
    <mergeCell ref="A333:B333"/>
    <mergeCell ref="A335:F336"/>
    <mergeCell ref="A338:F339"/>
    <mergeCell ref="A341:F342"/>
    <mergeCell ref="A308:F309"/>
    <mergeCell ref="A311:F312"/>
    <mergeCell ref="A314:F315"/>
    <mergeCell ref="A317:F318"/>
    <mergeCell ref="A320:F323"/>
    <mergeCell ref="A325:F327"/>
    <mergeCell ref="A289:F290"/>
    <mergeCell ref="A292:F295"/>
    <mergeCell ref="A297:F298"/>
    <mergeCell ref="A300:F300"/>
    <mergeCell ref="A302:F303"/>
    <mergeCell ref="A305:F306"/>
    <mergeCell ref="A275:F275"/>
    <mergeCell ref="A277:F277"/>
    <mergeCell ref="A279:B279"/>
    <mergeCell ref="A281:F282"/>
    <mergeCell ref="A284:F284"/>
    <mergeCell ref="A286:F287"/>
    <mergeCell ref="A269:F269"/>
    <mergeCell ref="A270:F270"/>
    <mergeCell ref="A271:F271"/>
    <mergeCell ref="A272:F272"/>
    <mergeCell ref="A273:F273"/>
    <mergeCell ref="A274:F274"/>
    <mergeCell ref="A261:F261"/>
    <mergeCell ref="A262:F262"/>
    <mergeCell ref="A263:F264"/>
    <mergeCell ref="A266:F266"/>
    <mergeCell ref="A267:F267"/>
    <mergeCell ref="A268:F268"/>
    <mergeCell ref="A253:F254"/>
    <mergeCell ref="A255:F256"/>
    <mergeCell ref="A257:F257"/>
    <mergeCell ref="A258:F258"/>
    <mergeCell ref="A259:F259"/>
    <mergeCell ref="A260:F260"/>
    <mergeCell ref="A246:F246"/>
    <mergeCell ref="A247:F247"/>
    <mergeCell ref="A248:F248"/>
    <mergeCell ref="A249:F249"/>
    <mergeCell ref="A250:F250"/>
    <mergeCell ref="A251:F251"/>
    <mergeCell ref="A235:F235"/>
    <mergeCell ref="A237:F237"/>
    <mergeCell ref="A239:F242"/>
    <mergeCell ref="A243:F243"/>
    <mergeCell ref="A244:F244"/>
    <mergeCell ref="A245:F245"/>
    <mergeCell ref="A220:F220"/>
    <mergeCell ref="A222:F222"/>
    <mergeCell ref="A224:F224"/>
    <mergeCell ref="A226:F226"/>
    <mergeCell ref="A228:F228"/>
    <mergeCell ref="A230:F233"/>
    <mergeCell ref="A206:F206"/>
    <mergeCell ref="A208:F208"/>
    <mergeCell ref="A210:F210"/>
    <mergeCell ref="A212:F212"/>
    <mergeCell ref="A214:F215"/>
    <mergeCell ref="A217:F218"/>
    <mergeCell ref="A196:F196"/>
    <mergeCell ref="A197:F197"/>
    <mergeCell ref="A199:F199"/>
    <mergeCell ref="A200:F200"/>
    <mergeCell ref="A202:F202"/>
    <mergeCell ref="A204:F204"/>
    <mergeCell ref="A186:F186"/>
    <mergeCell ref="A188:F188"/>
    <mergeCell ref="A190:F190"/>
    <mergeCell ref="A192:F192"/>
    <mergeCell ref="A193:F193"/>
    <mergeCell ref="A195:F195"/>
    <mergeCell ref="A179:F179"/>
    <mergeCell ref="A180:F180"/>
    <mergeCell ref="A181:F181"/>
    <mergeCell ref="A182:F182"/>
    <mergeCell ref="A183:F184"/>
    <mergeCell ref="A185:F185"/>
    <mergeCell ref="A171:F171"/>
    <mergeCell ref="A173:F173"/>
    <mergeCell ref="A175:F175"/>
    <mergeCell ref="A176:F176"/>
    <mergeCell ref="A177:F177"/>
    <mergeCell ref="A178:F178"/>
    <mergeCell ref="A157:F157"/>
    <mergeCell ref="A158:F158"/>
    <mergeCell ref="A159:F159"/>
    <mergeCell ref="A163:F164"/>
    <mergeCell ref="A166:F167"/>
    <mergeCell ref="A169:F169"/>
    <mergeCell ref="A147:F147"/>
    <mergeCell ref="A149:F150"/>
    <mergeCell ref="A152:F152"/>
    <mergeCell ref="A153:F153"/>
    <mergeCell ref="A154:F154"/>
    <mergeCell ref="A155:F156"/>
    <mergeCell ref="A139:F139"/>
    <mergeCell ref="A140:F140"/>
    <mergeCell ref="A141:F141"/>
    <mergeCell ref="A142:F142"/>
    <mergeCell ref="A144:B144"/>
    <mergeCell ref="A146:F146"/>
    <mergeCell ref="A130:F131"/>
    <mergeCell ref="A133:F133"/>
    <mergeCell ref="A135:F135"/>
    <mergeCell ref="A136:F136"/>
    <mergeCell ref="A137:F137"/>
    <mergeCell ref="A138:F138"/>
    <mergeCell ref="A112:F113"/>
    <mergeCell ref="A117:F118"/>
    <mergeCell ref="A120:F120"/>
    <mergeCell ref="A122:E122"/>
    <mergeCell ref="A124:F125"/>
    <mergeCell ref="A127:F128"/>
    <mergeCell ref="A94:F95"/>
    <mergeCell ref="A97:F99"/>
    <mergeCell ref="A101:F102"/>
    <mergeCell ref="A104:F105"/>
    <mergeCell ref="A107:F108"/>
    <mergeCell ref="A110:F110"/>
    <mergeCell ref="A74:B74"/>
    <mergeCell ref="A76:F77"/>
    <mergeCell ref="A79:F82"/>
    <mergeCell ref="A84:F85"/>
    <mergeCell ref="A87:F88"/>
    <mergeCell ref="A90:F92"/>
    <mergeCell ref="A63:F63"/>
    <mergeCell ref="A64:F64"/>
    <mergeCell ref="A65:F65"/>
    <mergeCell ref="A67:F68"/>
    <mergeCell ref="A70:F70"/>
    <mergeCell ref="A72:F72"/>
    <mergeCell ref="A57:F57"/>
    <mergeCell ref="A58:F58"/>
    <mergeCell ref="A59:F59"/>
    <mergeCell ref="A60:F60"/>
    <mergeCell ref="A61:F61"/>
    <mergeCell ref="A62:F62"/>
    <mergeCell ref="A40:F41"/>
    <mergeCell ref="A43:F43"/>
    <mergeCell ref="A45:F46"/>
    <mergeCell ref="A48:F49"/>
    <mergeCell ref="A51:F52"/>
    <mergeCell ref="A54:F55"/>
    <mergeCell ref="A26:F26"/>
    <mergeCell ref="A28:F29"/>
    <mergeCell ref="A31:F31"/>
    <mergeCell ref="A33:D33"/>
    <mergeCell ref="A35:F35"/>
    <mergeCell ref="A37:F38"/>
    <mergeCell ref="A23:F23"/>
    <mergeCell ref="A24:F24"/>
    <mergeCell ref="A25:F25"/>
    <mergeCell ref="A9:F9"/>
    <mergeCell ref="A10:F10"/>
    <mergeCell ref="A12:E12"/>
    <mergeCell ref="A14:F14"/>
    <mergeCell ref="A16:F17"/>
    <mergeCell ref="A19:F19"/>
    <mergeCell ref="A1:F1"/>
    <mergeCell ref="A3:D3"/>
    <mergeCell ref="A5:F5"/>
    <mergeCell ref="A6:F6"/>
    <mergeCell ref="A7:F7"/>
    <mergeCell ref="A8:F8"/>
    <mergeCell ref="A20:F20"/>
    <mergeCell ref="A21:F21"/>
    <mergeCell ref="A22:F22"/>
  </mergeCells>
  <pageMargins left="0.7" right="0.7" top="0.75" bottom="0.75" header="0.3" footer="0.3"/>
  <pageSetup paperSize="9" orientation="portrait" r:id="rId1"/>
  <headerFooter>
    <oddHeader>&amp;C&amp;9Zagreb, palača Vojković-Oršić-Kulmer-Raauch, projekt cjelovite obnove zgrade
 TROŠKOVNIK  TD 19/21  ZOP 152&amp;R&amp;9strana: 3.&amp;P</oddHeader>
    <oddFooter>&amp;L&amp;9Glavni projektant: Ana Škevin Mikulandra, dipl.ing.arh.&amp;R&amp;10Zagreb, rujan  2023.</oddFooter>
  </headerFooter>
  <rowBreaks count="1" manualBreakCount="1">
    <brk id="952"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AC72-C686-4CED-8E22-0C71D33B7B23}">
  <sheetPr>
    <pageSetUpPr fitToPage="1"/>
  </sheetPr>
  <dimension ref="A1:F129"/>
  <sheetViews>
    <sheetView tabSelected="1" view="pageBreakPreview" zoomScale="110" zoomScaleNormal="100" zoomScaleSheetLayoutView="110" workbookViewId="0">
      <pane ySplit="1" topLeftCell="A107" activePane="bottomLeft" state="frozen"/>
      <selection pane="bottomLeft" activeCell="E132" sqref="E132"/>
    </sheetView>
  </sheetViews>
  <sheetFormatPr defaultColWidth="9.08984375" defaultRowHeight="14.5" x14ac:dyDescent="0.35"/>
  <cols>
    <col min="1" max="1" width="8.54296875" style="97" customWidth="1"/>
    <col min="2" max="2" width="42.453125" style="97" customWidth="1"/>
    <col min="3" max="3" width="6.90625" style="97" customWidth="1"/>
    <col min="4" max="4" width="9.08984375" style="164"/>
    <col min="5" max="5" width="11.26953125" style="99" bestFit="1" customWidth="1"/>
    <col min="6" max="6" width="10.90625" style="100" customWidth="1"/>
    <col min="7" max="16384" width="9.08984375" style="101"/>
  </cols>
  <sheetData>
    <row r="1" spans="1:6" ht="48" x14ac:dyDescent="0.35">
      <c r="B1" s="84" t="s">
        <v>678</v>
      </c>
      <c r="D1" s="98"/>
    </row>
    <row r="2" spans="1:6" x14ac:dyDescent="0.35">
      <c r="D2" s="98"/>
    </row>
    <row r="3" spans="1:6" x14ac:dyDescent="0.35">
      <c r="A3" s="102" t="s">
        <v>12</v>
      </c>
      <c r="B3" s="103" t="s">
        <v>679</v>
      </c>
      <c r="C3" s="104"/>
      <c r="D3" s="98"/>
    </row>
    <row r="4" spans="1:6" x14ac:dyDescent="0.35">
      <c r="D4" s="98"/>
    </row>
    <row r="5" spans="1:6" x14ac:dyDescent="0.35">
      <c r="A5" s="105" t="s">
        <v>680</v>
      </c>
      <c r="B5" s="106" t="s">
        <v>681</v>
      </c>
      <c r="C5" s="106" t="s">
        <v>682</v>
      </c>
      <c r="D5" s="107" t="s">
        <v>683</v>
      </c>
      <c r="E5" s="108" t="s">
        <v>684</v>
      </c>
      <c r="F5" s="109" t="s">
        <v>685</v>
      </c>
    </row>
    <row r="6" spans="1:6" x14ac:dyDescent="0.35">
      <c r="D6" s="98"/>
    </row>
    <row r="7" spans="1:6" ht="96" hidden="1" x14ac:dyDescent="0.35">
      <c r="A7" s="110">
        <f>1</f>
        <v>1</v>
      </c>
      <c r="B7" s="111" t="s">
        <v>686</v>
      </c>
      <c r="C7" s="112"/>
      <c r="D7" s="113"/>
      <c r="E7" s="114"/>
      <c r="F7" s="115"/>
    </row>
    <row r="8" spans="1:6" hidden="1" x14ac:dyDescent="0.35">
      <c r="A8" s="110"/>
      <c r="B8" s="111"/>
      <c r="C8" s="111" t="s">
        <v>687</v>
      </c>
      <c r="D8" s="113">
        <v>4</v>
      </c>
      <c r="E8" s="114"/>
      <c r="F8" s="115">
        <f>ROUND(D8*E8,2)</f>
        <v>0</v>
      </c>
    </row>
    <row r="9" spans="1:6" ht="72" hidden="1" x14ac:dyDescent="0.35">
      <c r="A9" s="116">
        <f>A7+1</f>
        <v>2</v>
      </c>
      <c r="B9" s="111" t="s">
        <v>688</v>
      </c>
      <c r="C9" s="112"/>
      <c r="D9" s="113"/>
      <c r="E9" s="114"/>
      <c r="F9" s="115"/>
    </row>
    <row r="10" spans="1:6" hidden="1" x14ac:dyDescent="0.35">
      <c r="A10" s="116"/>
      <c r="B10" s="111"/>
      <c r="C10" s="111" t="s">
        <v>687</v>
      </c>
      <c r="D10" s="117">
        <v>10</v>
      </c>
      <c r="E10" s="114"/>
      <c r="F10" s="115">
        <f>ROUND(D10*E10,2)</f>
        <v>0</v>
      </c>
    </row>
    <row r="11" spans="1:6" hidden="1" x14ac:dyDescent="0.35">
      <c r="A11" s="110"/>
      <c r="B11" s="111"/>
      <c r="C11" s="111"/>
      <c r="D11" s="113"/>
      <c r="E11" s="114"/>
      <c r="F11" s="115"/>
    </row>
    <row r="12" spans="1:6" ht="72" hidden="1" x14ac:dyDescent="0.35">
      <c r="A12" s="116">
        <f>A9+1</f>
        <v>3</v>
      </c>
      <c r="B12" s="111" t="s">
        <v>689</v>
      </c>
      <c r="C12" s="112"/>
      <c r="D12" s="113"/>
      <c r="E12" s="114"/>
      <c r="F12" s="115"/>
    </row>
    <row r="13" spans="1:6" hidden="1" x14ac:dyDescent="0.35">
      <c r="A13" s="116"/>
      <c r="B13" s="111"/>
      <c r="C13" s="111" t="s">
        <v>687</v>
      </c>
      <c r="D13" s="113">
        <v>20</v>
      </c>
      <c r="E13" s="114"/>
      <c r="F13" s="115">
        <f>ROUND(D13*E13,2)</f>
        <v>0</v>
      </c>
    </row>
    <row r="14" spans="1:6" hidden="1" x14ac:dyDescent="0.35">
      <c r="A14" s="110"/>
      <c r="B14" s="111"/>
      <c r="C14" s="112"/>
      <c r="D14" s="118"/>
      <c r="E14" s="114"/>
      <c r="F14" s="115"/>
    </row>
    <row r="15" spans="1:6" ht="92.25" hidden="1" customHeight="1" x14ac:dyDescent="0.35">
      <c r="A15" s="110">
        <f>A12+1</f>
        <v>4</v>
      </c>
      <c r="B15" s="111" t="s">
        <v>690</v>
      </c>
      <c r="C15" s="112"/>
      <c r="D15" s="113"/>
      <c r="E15" s="114"/>
      <c r="F15" s="115"/>
    </row>
    <row r="16" spans="1:6" hidden="1" x14ac:dyDescent="0.35">
      <c r="A16" s="110"/>
      <c r="B16" s="111"/>
      <c r="C16" s="111" t="s">
        <v>687</v>
      </c>
      <c r="D16" s="113">
        <v>2</v>
      </c>
      <c r="E16" s="114"/>
      <c r="F16" s="115">
        <f>ROUND(D16*E16,2)</f>
        <v>0</v>
      </c>
    </row>
    <row r="17" spans="1:6" hidden="1" x14ac:dyDescent="0.35">
      <c r="A17" s="110"/>
      <c r="B17" s="111"/>
      <c r="C17" s="111"/>
      <c r="D17" s="113"/>
      <c r="E17" s="114"/>
      <c r="F17" s="115"/>
    </row>
    <row r="18" spans="1:6" hidden="1" x14ac:dyDescent="0.35">
      <c r="A18" s="110">
        <f>A15+1</f>
        <v>5</v>
      </c>
      <c r="B18" s="111" t="s">
        <v>691</v>
      </c>
      <c r="C18" s="119"/>
      <c r="D18" s="120"/>
      <c r="E18" s="114"/>
      <c r="F18" s="115"/>
    </row>
    <row r="19" spans="1:6" ht="108" hidden="1" x14ac:dyDescent="0.35">
      <c r="A19" s="110"/>
      <c r="B19" s="121" t="s">
        <v>692</v>
      </c>
      <c r="C19" s="119"/>
      <c r="D19" s="120"/>
      <c r="E19" s="114"/>
      <c r="F19" s="115"/>
    </row>
    <row r="20" spans="1:6" hidden="1" x14ac:dyDescent="0.35">
      <c r="A20" s="110"/>
      <c r="B20" s="111"/>
      <c r="C20" s="119" t="s">
        <v>693</v>
      </c>
      <c r="D20" s="117">
        <v>200</v>
      </c>
      <c r="E20" s="114"/>
      <c r="F20" s="115">
        <f>ROUND(D20*E20,2)</f>
        <v>0</v>
      </c>
    </row>
    <row r="21" spans="1:6" hidden="1" x14ac:dyDescent="0.35">
      <c r="A21" s="110"/>
      <c r="B21" s="111"/>
      <c r="C21" s="119"/>
      <c r="D21" s="117"/>
      <c r="E21" s="114"/>
      <c r="F21" s="115"/>
    </row>
    <row r="22" spans="1:6" hidden="1" x14ac:dyDescent="0.35">
      <c r="A22" s="110">
        <f>A18+1</f>
        <v>6</v>
      </c>
      <c r="B22" s="111" t="s">
        <v>694</v>
      </c>
      <c r="C22" s="119"/>
      <c r="D22" s="120"/>
      <c r="E22" s="114"/>
      <c r="F22" s="115"/>
    </row>
    <row r="23" spans="1:6" ht="96" hidden="1" x14ac:dyDescent="0.35">
      <c r="A23" s="110"/>
      <c r="B23" s="121" t="s">
        <v>695</v>
      </c>
      <c r="C23" s="119"/>
      <c r="D23" s="120"/>
      <c r="E23" s="114"/>
      <c r="F23" s="115"/>
    </row>
    <row r="24" spans="1:6" hidden="1" x14ac:dyDescent="0.35">
      <c r="A24" s="110"/>
      <c r="B24" s="111"/>
      <c r="C24" s="119" t="s">
        <v>693</v>
      </c>
      <c r="D24" s="117">
        <v>100</v>
      </c>
      <c r="E24" s="114"/>
      <c r="F24" s="115">
        <f>ROUND(D24*E24,2)</f>
        <v>0</v>
      </c>
    </row>
    <row r="25" spans="1:6" x14ac:dyDescent="0.35">
      <c r="A25" s="110"/>
      <c r="B25" s="122"/>
      <c r="C25" s="112"/>
      <c r="D25" s="118"/>
      <c r="E25" s="114"/>
      <c r="F25" s="115"/>
    </row>
    <row r="26" spans="1:6" ht="253.5" customHeight="1" x14ac:dyDescent="0.35">
      <c r="A26" s="110">
        <f>A22+1</f>
        <v>7</v>
      </c>
      <c r="B26" s="111" t="s">
        <v>696</v>
      </c>
      <c r="C26" s="112"/>
      <c r="D26" s="118"/>
      <c r="E26" s="114"/>
      <c r="F26" s="115"/>
    </row>
    <row r="27" spans="1:6" x14ac:dyDescent="0.35">
      <c r="A27" s="110"/>
      <c r="B27" s="122" t="s">
        <v>697</v>
      </c>
      <c r="C27" s="112" t="s">
        <v>698</v>
      </c>
      <c r="D27" s="113">
        <v>5200</v>
      </c>
      <c r="E27" s="114">
        <v>29.75</v>
      </c>
      <c r="F27" s="115">
        <f t="shared" ref="F27:F29" si="0">ROUND(D27*E27,2)</f>
        <v>154700</v>
      </c>
    </row>
    <row r="28" spans="1:6" x14ac:dyDescent="0.35">
      <c r="A28" s="110"/>
      <c r="B28" s="122" t="s">
        <v>699</v>
      </c>
      <c r="C28" s="112" t="s">
        <v>698</v>
      </c>
      <c r="D28" s="113">
        <v>1900</v>
      </c>
      <c r="E28" s="114">
        <v>29.75</v>
      </c>
      <c r="F28" s="115">
        <f t="shared" si="0"/>
        <v>56525</v>
      </c>
    </row>
    <row r="29" spans="1:6" x14ac:dyDescent="0.35">
      <c r="A29" s="110"/>
      <c r="B29" s="122" t="s">
        <v>700</v>
      </c>
      <c r="C29" s="112" t="s">
        <v>698</v>
      </c>
      <c r="D29" s="113">
        <v>350</v>
      </c>
      <c r="E29" s="114">
        <v>29.75</v>
      </c>
      <c r="F29" s="115">
        <f t="shared" si="0"/>
        <v>10412.5</v>
      </c>
    </row>
    <row r="30" spans="1:6" x14ac:dyDescent="0.35">
      <c r="A30" s="110"/>
      <c r="B30" s="122"/>
      <c r="C30" s="112"/>
      <c r="D30" s="113"/>
      <c r="E30" s="165"/>
      <c r="F30" s="115"/>
    </row>
    <row r="31" spans="1:6" ht="48" hidden="1" x14ac:dyDescent="0.35">
      <c r="A31" s="110">
        <f>A26+1</f>
        <v>8</v>
      </c>
      <c r="B31" s="111" t="s">
        <v>701</v>
      </c>
      <c r="C31" s="112"/>
      <c r="D31" s="123"/>
      <c r="E31" s="114"/>
      <c r="F31" s="115"/>
    </row>
    <row r="32" spans="1:6" hidden="1" x14ac:dyDescent="0.35">
      <c r="A32" s="110"/>
      <c r="B32" s="111" t="s">
        <v>702</v>
      </c>
      <c r="C32" s="112" t="s">
        <v>703</v>
      </c>
      <c r="D32" s="124">
        <v>35</v>
      </c>
      <c r="E32" s="114"/>
      <c r="F32" s="115">
        <f>ROUND(D32*E32,2)</f>
        <v>0</v>
      </c>
    </row>
    <row r="33" spans="1:6" hidden="1" x14ac:dyDescent="0.35">
      <c r="A33" s="110"/>
      <c r="B33" s="111" t="s">
        <v>704</v>
      </c>
      <c r="C33" s="112" t="s">
        <v>703</v>
      </c>
      <c r="D33" s="124">
        <v>15</v>
      </c>
      <c r="E33" s="114"/>
      <c r="F33" s="115">
        <f>ROUND(D33*E33,2)</f>
        <v>0</v>
      </c>
    </row>
    <row r="34" spans="1:6" hidden="1" x14ac:dyDescent="0.35">
      <c r="A34" s="110"/>
      <c r="B34" s="111" t="s">
        <v>705</v>
      </c>
      <c r="C34" s="112" t="s">
        <v>693</v>
      </c>
      <c r="D34" s="124">
        <v>900</v>
      </c>
      <c r="E34" s="114"/>
      <c r="F34" s="115">
        <f>ROUND(D34*E34,2)</f>
        <v>0</v>
      </c>
    </row>
    <row r="35" spans="1:6" hidden="1" x14ac:dyDescent="0.35">
      <c r="A35" s="110"/>
      <c r="B35" s="111"/>
      <c r="C35" s="112"/>
      <c r="D35" s="124"/>
      <c r="E35" s="114"/>
      <c r="F35" s="115"/>
    </row>
    <row r="36" spans="1:6" ht="36" hidden="1" x14ac:dyDescent="0.35">
      <c r="A36" s="110">
        <f>A31+1</f>
        <v>9</v>
      </c>
      <c r="B36" s="125" t="s">
        <v>706</v>
      </c>
      <c r="C36" s="126"/>
      <c r="D36" s="127"/>
      <c r="E36" s="128"/>
      <c r="F36" s="129"/>
    </row>
    <row r="37" spans="1:6" hidden="1" x14ac:dyDescent="0.35">
      <c r="A37" s="130"/>
      <c r="B37" s="106" t="s">
        <v>707</v>
      </c>
      <c r="C37" s="131" t="s">
        <v>703</v>
      </c>
      <c r="D37" s="117">
        <v>8</v>
      </c>
      <c r="E37" s="132"/>
      <c r="F37" s="129">
        <f t="shared" ref="F37:F39" si="1">ROUND(D37*E37,2)</f>
        <v>0</v>
      </c>
    </row>
    <row r="38" spans="1:6" hidden="1" x14ac:dyDescent="0.35">
      <c r="A38" s="130"/>
      <c r="B38" s="106" t="s">
        <v>708</v>
      </c>
      <c r="C38" s="131" t="s">
        <v>703</v>
      </c>
      <c r="D38" s="117">
        <v>20</v>
      </c>
      <c r="E38" s="132"/>
      <c r="F38" s="129">
        <f t="shared" si="1"/>
        <v>0</v>
      </c>
    </row>
    <row r="39" spans="1:6" hidden="1" x14ac:dyDescent="0.35">
      <c r="A39" s="133"/>
      <c r="B39" s="106" t="s">
        <v>709</v>
      </c>
      <c r="C39" s="131" t="s">
        <v>703</v>
      </c>
      <c r="D39" s="117">
        <v>45</v>
      </c>
      <c r="E39" s="132"/>
      <c r="F39" s="129">
        <f t="shared" si="1"/>
        <v>0</v>
      </c>
    </row>
    <row r="40" spans="1:6" hidden="1" x14ac:dyDescent="0.35">
      <c r="A40" s="133"/>
      <c r="B40" s="106"/>
      <c r="C40" s="131"/>
      <c r="D40" s="117"/>
      <c r="E40" s="132"/>
      <c r="F40" s="129"/>
    </row>
    <row r="41" spans="1:6" ht="36" hidden="1" x14ac:dyDescent="0.35">
      <c r="A41" s="110">
        <f>A36+1</f>
        <v>10</v>
      </c>
      <c r="B41" s="111" t="s">
        <v>710</v>
      </c>
      <c r="C41" s="112"/>
      <c r="D41" s="124"/>
      <c r="E41" s="114"/>
      <c r="F41" s="129"/>
    </row>
    <row r="42" spans="1:6" hidden="1" x14ac:dyDescent="0.35">
      <c r="A42" s="110"/>
      <c r="B42" s="111"/>
      <c r="C42" s="112" t="s">
        <v>698</v>
      </c>
      <c r="D42" s="124">
        <v>200</v>
      </c>
      <c r="E42" s="114"/>
      <c r="F42" s="129">
        <f t="shared" ref="F42" si="2">ROUND(D42*E42,2)</f>
        <v>0</v>
      </c>
    </row>
    <row r="43" spans="1:6" hidden="1" x14ac:dyDescent="0.35">
      <c r="A43" s="110"/>
      <c r="B43" s="111"/>
      <c r="C43" s="112"/>
      <c r="D43" s="124"/>
      <c r="E43" s="114"/>
      <c r="F43" s="129"/>
    </row>
    <row r="44" spans="1:6" ht="24" hidden="1" x14ac:dyDescent="0.35">
      <c r="A44" s="110">
        <f>A41+1</f>
        <v>11</v>
      </c>
      <c r="B44" s="82" t="s">
        <v>711</v>
      </c>
      <c r="C44" s="134"/>
      <c r="D44" s="135"/>
      <c r="E44" s="128"/>
      <c r="F44" s="129"/>
    </row>
    <row r="45" spans="1:6" hidden="1" x14ac:dyDescent="0.35">
      <c r="A45" s="136"/>
      <c r="B45" s="137" t="s">
        <v>712</v>
      </c>
      <c r="C45" s="134" t="s">
        <v>693</v>
      </c>
      <c r="D45" s="135">
        <v>25</v>
      </c>
      <c r="E45" s="128"/>
      <c r="F45" s="129">
        <f t="shared" ref="F45:F46" si="3">ROUND(D45*E45,2)</f>
        <v>0</v>
      </c>
    </row>
    <row r="46" spans="1:6" hidden="1" x14ac:dyDescent="0.35">
      <c r="A46" s="136"/>
      <c r="B46" s="137" t="s">
        <v>713</v>
      </c>
      <c r="C46" s="134" t="s">
        <v>693</v>
      </c>
      <c r="D46" s="135">
        <v>25</v>
      </c>
      <c r="E46" s="128"/>
      <c r="F46" s="129">
        <f t="shared" si="3"/>
        <v>0</v>
      </c>
    </row>
    <row r="47" spans="1:6" x14ac:dyDescent="0.35">
      <c r="A47" s="136"/>
      <c r="B47" s="138"/>
      <c r="C47" s="134"/>
      <c r="D47" s="135"/>
      <c r="E47" s="128"/>
      <c r="F47" s="129"/>
    </row>
    <row r="48" spans="1:6" x14ac:dyDescent="0.35">
      <c r="A48" s="110"/>
      <c r="B48" s="139" t="s">
        <v>714</v>
      </c>
      <c r="C48" s="112"/>
      <c r="D48" s="140"/>
      <c r="E48" s="141"/>
      <c r="F48" s="142"/>
    </row>
    <row r="49" spans="1:6" x14ac:dyDescent="0.35">
      <c r="A49" s="110"/>
      <c r="B49" s="139"/>
      <c r="C49" s="112"/>
      <c r="D49" s="140"/>
      <c r="E49" s="141"/>
      <c r="F49" s="142"/>
    </row>
    <row r="50" spans="1:6" ht="141" customHeight="1" x14ac:dyDescent="0.35">
      <c r="A50" s="110">
        <f>A44+1</f>
        <v>12</v>
      </c>
      <c r="B50" s="111" t="s">
        <v>715</v>
      </c>
      <c r="C50" s="112"/>
      <c r="D50" s="106"/>
      <c r="E50" s="114"/>
      <c r="F50" s="115"/>
    </row>
    <row r="51" spans="1:6" s="149" customFormat="1" x14ac:dyDescent="0.35">
      <c r="A51" s="143"/>
      <c r="B51" s="144"/>
      <c r="C51" s="145" t="s">
        <v>698</v>
      </c>
      <c r="D51" s="146">
        <v>1850</v>
      </c>
      <c r="E51" s="147"/>
      <c r="F51" s="148">
        <f>ROUND(D51*E51,2)</f>
        <v>0</v>
      </c>
    </row>
    <row r="52" spans="1:6" x14ac:dyDescent="0.35">
      <c r="A52" s="110"/>
      <c r="B52" s="150"/>
      <c r="C52" s="112"/>
      <c r="D52" s="106"/>
      <c r="E52" s="114"/>
      <c r="F52" s="115"/>
    </row>
    <row r="53" spans="1:6" ht="159.75" customHeight="1" x14ac:dyDescent="0.35">
      <c r="A53" s="110">
        <f>A50+1</f>
        <v>13</v>
      </c>
      <c r="B53" s="111" t="s">
        <v>716</v>
      </c>
      <c r="C53" s="112"/>
      <c r="D53" s="106"/>
      <c r="E53" s="114"/>
      <c r="F53" s="115"/>
    </row>
    <row r="54" spans="1:6" s="149" customFormat="1" x14ac:dyDescent="0.35">
      <c r="A54" s="151"/>
      <c r="B54" s="152"/>
      <c r="C54" s="153" t="s">
        <v>698</v>
      </c>
      <c r="D54" s="146">
        <v>1300</v>
      </c>
      <c r="E54" s="147">
        <v>12.75</v>
      </c>
      <c r="F54" s="148">
        <f>ROUND(D54*E54,2)</f>
        <v>16575</v>
      </c>
    </row>
    <row r="55" spans="1:6" s="149" customFormat="1" x14ac:dyDescent="0.35">
      <c r="A55" s="151"/>
      <c r="B55" s="152"/>
      <c r="C55" s="153"/>
      <c r="D55" s="146"/>
      <c r="E55" s="147"/>
      <c r="F55" s="148"/>
    </row>
    <row r="56" spans="1:6" s="149" customFormat="1" ht="96" x14ac:dyDescent="0.35">
      <c r="A56" s="110">
        <f>A53+1</f>
        <v>14</v>
      </c>
      <c r="B56" s="111" t="s">
        <v>717</v>
      </c>
      <c r="C56" s="112"/>
      <c r="D56" s="106"/>
      <c r="E56" s="114"/>
      <c r="F56" s="115"/>
    </row>
    <row r="57" spans="1:6" s="149" customFormat="1" x14ac:dyDescent="0.35">
      <c r="A57" s="151"/>
      <c r="B57" s="152"/>
      <c r="C57" s="153" t="s">
        <v>698</v>
      </c>
      <c r="D57" s="146">
        <v>65</v>
      </c>
      <c r="E57" s="147">
        <v>12.75</v>
      </c>
      <c r="F57" s="148">
        <f>ROUND(D57*E57,2)</f>
        <v>828.75</v>
      </c>
    </row>
    <row r="58" spans="1:6" x14ac:dyDescent="0.35">
      <c r="A58" s="110"/>
      <c r="B58" s="150"/>
      <c r="C58" s="112"/>
      <c r="D58" s="106"/>
      <c r="E58" s="114"/>
      <c r="F58" s="115"/>
    </row>
    <row r="59" spans="1:6" ht="183" customHeight="1" x14ac:dyDescent="0.35">
      <c r="A59" s="110">
        <f>A56+1</f>
        <v>15</v>
      </c>
      <c r="B59" s="111" t="s">
        <v>718</v>
      </c>
      <c r="C59" s="112"/>
      <c r="D59" s="106"/>
      <c r="E59" s="114"/>
      <c r="F59" s="115"/>
    </row>
    <row r="60" spans="1:6" s="149" customFormat="1" x14ac:dyDescent="0.35">
      <c r="A60" s="151"/>
      <c r="B60" s="152"/>
      <c r="C60" s="153" t="s">
        <v>698</v>
      </c>
      <c r="D60" s="146">
        <v>380</v>
      </c>
      <c r="E60" s="147">
        <v>65</v>
      </c>
      <c r="F60" s="148">
        <f>ROUND(D60*E60,2)</f>
        <v>24700</v>
      </c>
    </row>
    <row r="61" spans="1:6" x14ac:dyDescent="0.35">
      <c r="A61" s="110"/>
      <c r="B61" s="150"/>
      <c r="C61" s="112"/>
      <c r="D61" s="106"/>
      <c r="E61" s="114"/>
      <c r="F61" s="115"/>
    </row>
    <row r="62" spans="1:6" ht="192" x14ac:dyDescent="0.35">
      <c r="A62" s="110">
        <f>A59+1</f>
        <v>16</v>
      </c>
      <c r="B62" s="111" t="s">
        <v>719</v>
      </c>
      <c r="C62" s="112"/>
      <c r="D62" s="106"/>
      <c r="E62" s="114"/>
      <c r="F62" s="115"/>
    </row>
    <row r="63" spans="1:6" s="149" customFormat="1" x14ac:dyDescent="0.35">
      <c r="A63" s="143"/>
      <c r="B63" s="144"/>
      <c r="C63" s="145" t="s">
        <v>698</v>
      </c>
      <c r="D63" s="146">
        <v>1300</v>
      </c>
      <c r="E63" s="147">
        <v>68</v>
      </c>
      <c r="F63" s="148">
        <f>ROUND(D63*E63,2)</f>
        <v>88400</v>
      </c>
    </row>
    <row r="64" spans="1:6" s="149" customFormat="1" x14ac:dyDescent="0.35">
      <c r="A64" s="143"/>
      <c r="B64" s="144"/>
      <c r="C64" s="145"/>
      <c r="D64" s="146"/>
      <c r="E64" s="147"/>
      <c r="F64" s="148"/>
    </row>
    <row r="65" spans="1:6" s="149" customFormat="1" ht="288" x14ac:dyDescent="0.35">
      <c r="A65" s="110">
        <f>A62+1</f>
        <v>17</v>
      </c>
      <c r="B65" s="111" t="s">
        <v>720</v>
      </c>
      <c r="C65" s="145"/>
      <c r="D65" s="146"/>
      <c r="E65" s="147"/>
      <c r="F65" s="148"/>
    </row>
    <row r="66" spans="1:6" s="149" customFormat="1" x14ac:dyDescent="0.35">
      <c r="A66" s="143"/>
      <c r="B66" s="111"/>
      <c r="C66" s="145" t="s">
        <v>698</v>
      </c>
      <c r="D66" s="146">
        <v>180</v>
      </c>
      <c r="E66" s="147">
        <v>290</v>
      </c>
      <c r="F66" s="148">
        <f>ROUND(D66*E66,2)</f>
        <v>52200</v>
      </c>
    </row>
    <row r="67" spans="1:6" s="149" customFormat="1" x14ac:dyDescent="0.35">
      <c r="A67" s="143"/>
      <c r="B67" s="111"/>
      <c r="C67" s="145"/>
      <c r="D67" s="146"/>
      <c r="E67" s="147"/>
      <c r="F67" s="148"/>
    </row>
    <row r="68" spans="1:6" s="149" customFormat="1" ht="132" x14ac:dyDescent="0.35">
      <c r="A68" s="110">
        <f>A65+1</f>
        <v>18</v>
      </c>
      <c r="B68" s="111" t="s">
        <v>721</v>
      </c>
      <c r="C68" s="145"/>
      <c r="D68" s="146"/>
      <c r="E68" s="147"/>
      <c r="F68" s="148"/>
    </row>
    <row r="69" spans="1:6" s="149" customFormat="1" x14ac:dyDescent="0.35">
      <c r="A69" s="110"/>
      <c r="B69" s="111"/>
      <c r="C69" s="145" t="s">
        <v>698</v>
      </c>
      <c r="D69" s="146">
        <v>25</v>
      </c>
      <c r="E69" s="147">
        <v>290</v>
      </c>
      <c r="F69" s="148">
        <f>ROUND(D69*E69,2)</f>
        <v>7250</v>
      </c>
    </row>
    <row r="70" spans="1:6" s="149" customFormat="1" x14ac:dyDescent="0.35">
      <c r="A70" s="143"/>
      <c r="B70" s="111"/>
      <c r="C70" s="145"/>
      <c r="D70" s="146"/>
      <c r="E70" s="147"/>
      <c r="F70" s="148"/>
    </row>
    <row r="71" spans="1:6" s="149" customFormat="1" x14ac:dyDescent="0.35">
      <c r="A71" s="143"/>
      <c r="B71" s="111"/>
      <c r="C71" s="145"/>
      <c r="D71" s="146"/>
      <c r="E71" s="147"/>
      <c r="F71" s="148"/>
    </row>
    <row r="72" spans="1:6" s="149" customFormat="1" ht="108" x14ac:dyDescent="0.35">
      <c r="A72" s="110">
        <f>A68+1</f>
        <v>19</v>
      </c>
      <c r="B72" s="111" t="s">
        <v>722</v>
      </c>
      <c r="C72" s="145"/>
      <c r="D72" s="146"/>
      <c r="E72" s="147"/>
      <c r="F72" s="148"/>
    </row>
    <row r="73" spans="1:6" s="149" customFormat="1" x14ac:dyDescent="0.35">
      <c r="A73" s="110"/>
      <c r="B73" s="111"/>
      <c r="C73" s="145" t="s">
        <v>698</v>
      </c>
      <c r="D73" s="146">
        <v>40</v>
      </c>
      <c r="E73" s="147">
        <v>229</v>
      </c>
      <c r="F73" s="148">
        <f>ROUND(D73*E73,2)</f>
        <v>9160</v>
      </c>
    </row>
    <row r="74" spans="1:6" s="149" customFormat="1" x14ac:dyDescent="0.35">
      <c r="A74" s="110"/>
      <c r="B74" s="111"/>
      <c r="C74" s="145"/>
      <c r="D74" s="146"/>
      <c r="E74" s="147"/>
      <c r="F74" s="148"/>
    </row>
    <row r="75" spans="1:6" s="149" customFormat="1" ht="168" x14ac:dyDescent="0.35">
      <c r="A75" s="110">
        <f>A72+1</f>
        <v>20</v>
      </c>
      <c r="B75" s="111" t="s">
        <v>723</v>
      </c>
      <c r="C75" s="145"/>
      <c r="D75" s="146"/>
      <c r="E75" s="147"/>
      <c r="F75" s="148"/>
    </row>
    <row r="76" spans="1:6" s="149" customFormat="1" x14ac:dyDescent="0.35">
      <c r="A76" s="110"/>
      <c r="B76" s="111"/>
      <c r="C76" s="145" t="s">
        <v>698</v>
      </c>
      <c r="D76" s="146">
        <v>25</v>
      </c>
      <c r="E76" s="147">
        <v>320</v>
      </c>
      <c r="F76" s="148">
        <f>ROUND(D76*E76,2)</f>
        <v>8000</v>
      </c>
    </row>
    <row r="77" spans="1:6" s="149" customFormat="1" x14ac:dyDescent="0.35">
      <c r="A77" s="110"/>
      <c r="B77" s="111"/>
      <c r="C77" s="145"/>
      <c r="D77" s="146"/>
      <c r="E77" s="147"/>
      <c r="F77" s="148"/>
    </row>
    <row r="78" spans="1:6" s="149" customFormat="1" ht="168" x14ac:dyDescent="0.35">
      <c r="A78" s="110">
        <f>A75+1</f>
        <v>21</v>
      </c>
      <c r="B78" s="111" t="s">
        <v>724</v>
      </c>
      <c r="C78" s="145"/>
      <c r="D78" s="146"/>
      <c r="E78" s="147"/>
      <c r="F78" s="148"/>
    </row>
    <row r="79" spans="1:6" s="149" customFormat="1" x14ac:dyDescent="0.35">
      <c r="A79" s="110"/>
      <c r="B79" s="111"/>
      <c r="C79" s="145" t="s">
        <v>698</v>
      </c>
      <c r="D79" s="146">
        <v>14</v>
      </c>
      <c r="E79" s="147">
        <v>320</v>
      </c>
      <c r="F79" s="148">
        <f>ROUND(D79*E79,2)</f>
        <v>4480</v>
      </c>
    </row>
    <row r="80" spans="1:6" s="149" customFormat="1" x14ac:dyDescent="0.35">
      <c r="A80" s="110"/>
      <c r="B80" s="111"/>
      <c r="C80" s="145"/>
      <c r="D80" s="146"/>
      <c r="E80" s="147"/>
      <c r="F80" s="148"/>
    </row>
    <row r="81" spans="1:6" s="149" customFormat="1" ht="108" x14ac:dyDescent="0.35">
      <c r="A81" s="110">
        <f>A78+1</f>
        <v>22</v>
      </c>
      <c r="B81" s="111" t="s">
        <v>725</v>
      </c>
      <c r="C81" s="145"/>
      <c r="D81" s="146"/>
      <c r="E81" s="147"/>
      <c r="F81" s="148"/>
    </row>
    <row r="82" spans="1:6" s="149" customFormat="1" x14ac:dyDescent="0.35">
      <c r="A82" s="110"/>
      <c r="B82" s="111"/>
      <c r="C82" s="145" t="s">
        <v>698</v>
      </c>
      <c r="D82" s="146">
        <v>12</v>
      </c>
      <c r="E82" s="147">
        <v>320</v>
      </c>
      <c r="F82" s="148">
        <f>ROUND(D82*E82,2)</f>
        <v>3840</v>
      </c>
    </row>
    <row r="83" spans="1:6" s="149" customFormat="1" x14ac:dyDescent="0.35">
      <c r="A83" s="110"/>
      <c r="B83" s="111"/>
      <c r="C83" s="145"/>
      <c r="D83" s="146"/>
      <c r="E83" s="147"/>
      <c r="F83" s="148"/>
    </row>
    <row r="84" spans="1:6" s="149" customFormat="1" ht="120" x14ac:dyDescent="0.35">
      <c r="A84" s="110">
        <f>A81+1</f>
        <v>23</v>
      </c>
      <c r="B84" s="111" t="s">
        <v>726</v>
      </c>
      <c r="C84" s="145"/>
      <c r="D84" s="146"/>
      <c r="E84" s="147"/>
      <c r="F84" s="148"/>
    </row>
    <row r="85" spans="1:6" s="149" customFormat="1" x14ac:dyDescent="0.35">
      <c r="A85" s="110"/>
      <c r="B85" s="111"/>
      <c r="C85" s="145" t="s">
        <v>698</v>
      </c>
      <c r="D85" s="146">
        <v>4</v>
      </c>
      <c r="E85" s="147">
        <v>334</v>
      </c>
      <c r="F85" s="148">
        <f>ROUND(D85*E85,2)</f>
        <v>1336</v>
      </c>
    </row>
    <row r="86" spans="1:6" s="149" customFormat="1" x14ac:dyDescent="0.35">
      <c r="A86" s="110"/>
      <c r="B86" s="111"/>
      <c r="C86" s="145"/>
      <c r="D86" s="146"/>
      <c r="E86" s="147"/>
      <c r="F86" s="148"/>
    </row>
    <row r="87" spans="1:6" s="149" customFormat="1" ht="108" x14ac:dyDescent="0.35">
      <c r="A87" s="110">
        <f>A84+1</f>
        <v>24</v>
      </c>
      <c r="B87" s="111" t="s">
        <v>727</v>
      </c>
      <c r="C87" s="145"/>
      <c r="D87" s="146"/>
      <c r="E87" s="147"/>
      <c r="F87" s="148"/>
    </row>
    <row r="88" spans="1:6" s="149" customFormat="1" x14ac:dyDescent="0.35">
      <c r="A88" s="110"/>
      <c r="B88" s="111"/>
      <c r="C88" s="145" t="s">
        <v>698</v>
      </c>
      <c r="D88" s="146">
        <v>2</v>
      </c>
      <c r="E88" s="147">
        <v>323</v>
      </c>
      <c r="F88" s="148">
        <f>ROUND(D88*E88,2)</f>
        <v>646</v>
      </c>
    </row>
    <row r="89" spans="1:6" s="149" customFormat="1" x14ac:dyDescent="0.35">
      <c r="A89" s="110"/>
      <c r="B89" s="111"/>
      <c r="C89" s="145"/>
      <c r="D89" s="146"/>
      <c r="E89" s="147"/>
      <c r="F89" s="148"/>
    </row>
    <row r="90" spans="1:6" s="149" customFormat="1" ht="144" x14ac:dyDescent="0.35">
      <c r="A90" s="110">
        <f>A87+1</f>
        <v>25</v>
      </c>
      <c r="B90" s="111" t="s">
        <v>728</v>
      </c>
      <c r="C90" s="145"/>
      <c r="D90" s="146"/>
      <c r="E90" s="147"/>
      <c r="F90" s="148"/>
    </row>
    <row r="91" spans="1:6" s="149" customFormat="1" x14ac:dyDescent="0.35">
      <c r="A91" s="110"/>
      <c r="B91" s="111"/>
      <c r="C91" s="145" t="s">
        <v>698</v>
      </c>
      <c r="D91" s="146">
        <v>40</v>
      </c>
      <c r="E91" s="147">
        <v>320</v>
      </c>
      <c r="F91" s="148">
        <f>ROUND(D91*E91,2)</f>
        <v>12800</v>
      </c>
    </row>
    <row r="92" spans="1:6" s="149" customFormat="1" x14ac:dyDescent="0.35">
      <c r="A92" s="110"/>
      <c r="B92" s="111"/>
      <c r="C92" s="145"/>
      <c r="D92" s="146"/>
      <c r="E92" s="147"/>
      <c r="F92" s="148"/>
    </row>
    <row r="93" spans="1:6" s="149" customFormat="1" ht="168" x14ac:dyDescent="0.35">
      <c r="A93" s="110">
        <f>A90+1</f>
        <v>26</v>
      </c>
      <c r="B93" s="111" t="s">
        <v>729</v>
      </c>
      <c r="C93" s="145"/>
      <c r="D93" s="146"/>
      <c r="E93" s="147"/>
      <c r="F93" s="148"/>
    </row>
    <row r="94" spans="1:6" s="149" customFormat="1" x14ac:dyDescent="0.35">
      <c r="A94" s="110"/>
      <c r="B94" s="111"/>
      <c r="C94" s="145" t="s">
        <v>698</v>
      </c>
      <c r="D94" s="146">
        <v>13</v>
      </c>
      <c r="E94" s="147">
        <v>344</v>
      </c>
      <c r="F94" s="148">
        <f>ROUND(D94*E94,2)</f>
        <v>4472</v>
      </c>
    </row>
    <row r="95" spans="1:6" s="149" customFormat="1" x14ac:dyDescent="0.35">
      <c r="A95" s="110"/>
      <c r="B95" s="111"/>
      <c r="C95" s="145"/>
      <c r="D95" s="146"/>
      <c r="E95" s="147"/>
      <c r="F95" s="148"/>
    </row>
    <row r="96" spans="1:6" s="149" customFormat="1" ht="120" x14ac:dyDescent="0.35">
      <c r="A96" s="110">
        <f>A93+1</f>
        <v>27</v>
      </c>
      <c r="B96" s="111" t="s">
        <v>730</v>
      </c>
      <c r="C96" s="145"/>
      <c r="D96" s="146"/>
      <c r="E96" s="147"/>
      <c r="F96" s="148"/>
    </row>
    <row r="97" spans="1:6" s="149" customFormat="1" x14ac:dyDescent="0.35">
      <c r="A97" s="110"/>
      <c r="B97" s="111"/>
      <c r="C97" s="145" t="s">
        <v>698</v>
      </c>
      <c r="D97" s="146">
        <v>13</v>
      </c>
      <c r="E97" s="147">
        <v>344</v>
      </c>
      <c r="F97" s="148">
        <f>ROUND(D97*E97,2)</f>
        <v>4472</v>
      </c>
    </row>
    <row r="98" spans="1:6" s="149" customFormat="1" x14ac:dyDescent="0.35">
      <c r="A98" s="110"/>
      <c r="B98" s="111"/>
      <c r="C98" s="145"/>
      <c r="D98" s="146"/>
      <c r="E98" s="147"/>
      <c r="F98" s="148"/>
    </row>
    <row r="99" spans="1:6" s="149" customFormat="1" ht="132" x14ac:dyDescent="0.35">
      <c r="A99" s="110">
        <f>A96+1</f>
        <v>28</v>
      </c>
      <c r="B99" s="111" t="s">
        <v>731</v>
      </c>
      <c r="C99" s="145"/>
      <c r="D99" s="146"/>
      <c r="E99" s="147"/>
      <c r="F99" s="148"/>
    </row>
    <row r="100" spans="1:6" s="149" customFormat="1" x14ac:dyDescent="0.35">
      <c r="A100" s="110"/>
      <c r="B100" s="111"/>
      <c r="C100" s="145" t="s">
        <v>698</v>
      </c>
      <c r="D100" s="146">
        <v>13</v>
      </c>
      <c r="E100" s="147">
        <v>344</v>
      </c>
      <c r="F100" s="148">
        <f>ROUND(D100*E100,2)</f>
        <v>4472</v>
      </c>
    </row>
    <row r="101" spans="1:6" s="149" customFormat="1" x14ac:dyDescent="0.35">
      <c r="A101" s="110"/>
      <c r="B101" s="111"/>
      <c r="C101" s="145"/>
      <c r="D101" s="146"/>
      <c r="E101" s="147"/>
      <c r="F101" s="148"/>
    </row>
    <row r="102" spans="1:6" s="149" customFormat="1" ht="108" x14ac:dyDescent="0.35">
      <c r="A102" s="110">
        <f>A99+1</f>
        <v>29</v>
      </c>
      <c r="B102" s="111" t="s">
        <v>732</v>
      </c>
      <c r="C102" s="145"/>
      <c r="D102" s="146"/>
      <c r="E102" s="147"/>
      <c r="F102" s="148"/>
    </row>
    <row r="103" spans="1:6" s="149" customFormat="1" x14ac:dyDescent="0.35">
      <c r="A103" s="110"/>
      <c r="B103" s="111"/>
      <c r="C103" s="145" t="s">
        <v>698</v>
      </c>
      <c r="D103" s="146">
        <v>4</v>
      </c>
      <c r="E103" s="147">
        <v>344</v>
      </c>
      <c r="F103" s="148">
        <f>ROUND(D103*E103,2)</f>
        <v>1376</v>
      </c>
    </row>
    <row r="104" spans="1:6" s="149" customFormat="1" x14ac:dyDescent="0.35">
      <c r="A104" s="110"/>
      <c r="B104" s="111"/>
      <c r="C104" s="145"/>
      <c r="D104" s="146"/>
      <c r="E104" s="147"/>
      <c r="F104" s="148"/>
    </row>
    <row r="105" spans="1:6" s="149" customFormat="1" ht="120" x14ac:dyDescent="0.35">
      <c r="A105" s="110">
        <f>A102+1</f>
        <v>30</v>
      </c>
      <c r="B105" s="111" t="s">
        <v>733</v>
      </c>
      <c r="C105" s="145"/>
      <c r="D105" s="146"/>
      <c r="E105" s="147"/>
      <c r="F105" s="148"/>
    </row>
    <row r="106" spans="1:6" s="149" customFormat="1" x14ac:dyDescent="0.35">
      <c r="A106" s="110"/>
      <c r="B106" s="111"/>
      <c r="C106" s="145" t="s">
        <v>698</v>
      </c>
      <c r="D106" s="146">
        <v>9</v>
      </c>
      <c r="E106" s="147">
        <v>344</v>
      </c>
      <c r="F106" s="148">
        <f>ROUND(D106*E106,2)</f>
        <v>3096</v>
      </c>
    </row>
    <row r="107" spans="1:6" s="149" customFormat="1" x14ac:dyDescent="0.35">
      <c r="A107" s="110"/>
      <c r="B107" s="111"/>
      <c r="C107" s="145"/>
      <c r="D107" s="146"/>
      <c r="E107" s="147"/>
      <c r="F107" s="148"/>
    </row>
    <row r="108" spans="1:6" s="149" customFormat="1" ht="120" x14ac:dyDescent="0.35">
      <c r="A108" s="110">
        <f>A105+1</f>
        <v>31</v>
      </c>
      <c r="B108" s="111" t="s">
        <v>734</v>
      </c>
      <c r="C108" s="145"/>
      <c r="D108" s="146"/>
      <c r="E108" s="147"/>
      <c r="F108" s="148"/>
    </row>
    <row r="109" spans="1:6" s="149" customFormat="1" x14ac:dyDescent="0.35">
      <c r="A109" s="110"/>
      <c r="B109" s="111"/>
      <c r="C109" s="145" t="s">
        <v>698</v>
      </c>
      <c r="D109" s="146">
        <v>5</v>
      </c>
      <c r="E109" s="147">
        <v>344</v>
      </c>
      <c r="F109" s="148">
        <f>ROUND(D109*E109,2)</f>
        <v>1720</v>
      </c>
    </row>
    <row r="110" spans="1:6" s="149" customFormat="1" x14ac:dyDescent="0.35">
      <c r="A110" s="110"/>
      <c r="B110" s="111"/>
      <c r="C110" s="145"/>
      <c r="D110" s="146"/>
      <c r="E110" s="147"/>
      <c r="F110" s="148"/>
    </row>
    <row r="111" spans="1:6" s="149" customFormat="1" ht="120" x14ac:dyDescent="0.35">
      <c r="A111" s="110">
        <f>A108+1</f>
        <v>32</v>
      </c>
      <c r="B111" s="111" t="s">
        <v>735</v>
      </c>
      <c r="C111" s="145"/>
      <c r="D111" s="146"/>
      <c r="E111" s="147"/>
      <c r="F111" s="148"/>
    </row>
    <row r="112" spans="1:6" s="149" customFormat="1" x14ac:dyDescent="0.35">
      <c r="A112" s="110"/>
      <c r="B112" s="111"/>
      <c r="C112" s="145" t="s">
        <v>698</v>
      </c>
      <c r="D112" s="146">
        <v>5</v>
      </c>
      <c r="E112" s="147">
        <v>344</v>
      </c>
      <c r="F112" s="148">
        <f>ROUND(D112*E112,2)</f>
        <v>1720</v>
      </c>
    </row>
    <row r="113" spans="1:6" s="149" customFormat="1" x14ac:dyDescent="0.35">
      <c r="A113" s="110"/>
      <c r="B113" s="111"/>
      <c r="C113" s="145"/>
      <c r="D113" s="146"/>
      <c r="E113" s="147"/>
      <c r="F113" s="148"/>
    </row>
    <row r="114" spans="1:6" s="149" customFormat="1" ht="48" x14ac:dyDescent="0.35">
      <c r="A114" s="110">
        <f>A111+1</f>
        <v>33</v>
      </c>
      <c r="B114" s="111" t="s">
        <v>736</v>
      </c>
      <c r="C114" s="112"/>
      <c r="D114" s="124"/>
      <c r="E114" s="147"/>
      <c r="F114" s="148"/>
    </row>
    <row r="115" spans="1:6" x14ac:dyDescent="0.35">
      <c r="A115" s="110"/>
      <c r="B115" s="111"/>
      <c r="C115" s="112" t="s">
        <v>698</v>
      </c>
      <c r="D115" s="124">
        <v>75</v>
      </c>
      <c r="E115" s="114">
        <v>255</v>
      </c>
      <c r="F115" s="148">
        <f>ROUND(D115*E115,2)</f>
        <v>19125</v>
      </c>
    </row>
    <row r="116" spans="1:6" x14ac:dyDescent="0.35">
      <c r="A116" s="110"/>
      <c r="B116" s="111"/>
      <c r="C116" s="112"/>
      <c r="D116" s="124"/>
      <c r="E116" s="166"/>
      <c r="F116" s="148"/>
    </row>
    <row r="117" spans="1:6" ht="168" hidden="1" x14ac:dyDescent="0.35">
      <c r="A117" s="110">
        <f>A114+1</f>
        <v>34</v>
      </c>
      <c r="B117" s="111" t="s">
        <v>737</v>
      </c>
      <c r="C117" s="154"/>
      <c r="D117" s="124"/>
      <c r="E117" s="114"/>
      <c r="F117" s="115"/>
    </row>
    <row r="118" spans="1:6" s="149" customFormat="1" hidden="1" x14ac:dyDescent="0.35">
      <c r="A118" s="151"/>
      <c r="B118" s="155" t="s">
        <v>697</v>
      </c>
      <c r="C118" s="153" t="s">
        <v>698</v>
      </c>
      <c r="D118" s="146">
        <v>100</v>
      </c>
      <c r="E118" s="147"/>
      <c r="F118" s="148">
        <f>ROUND(D118*E118,2)</f>
        <v>0</v>
      </c>
    </row>
    <row r="119" spans="1:6" hidden="1" x14ac:dyDescent="0.35">
      <c r="A119" s="110"/>
      <c r="B119" s="111" t="s">
        <v>738</v>
      </c>
      <c r="C119" s="156" t="s">
        <v>693</v>
      </c>
      <c r="D119" s="127">
        <v>20</v>
      </c>
      <c r="E119" s="147"/>
      <c r="F119" s="115">
        <f>ROUND(D119*E119,2)</f>
        <v>0</v>
      </c>
    </row>
    <row r="120" spans="1:6" hidden="1" x14ac:dyDescent="0.35">
      <c r="A120" s="110"/>
      <c r="B120" s="111"/>
      <c r="C120" s="112"/>
      <c r="D120" s="124"/>
      <c r="E120" s="114"/>
      <c r="F120" s="115"/>
    </row>
    <row r="121" spans="1:6" ht="36" hidden="1" x14ac:dyDescent="0.35">
      <c r="A121" s="110">
        <f>A117+1</f>
        <v>35</v>
      </c>
      <c r="B121" s="106" t="s">
        <v>739</v>
      </c>
      <c r="C121" s="112"/>
      <c r="D121" s="124"/>
      <c r="E121" s="114"/>
      <c r="F121" s="115"/>
    </row>
    <row r="122" spans="1:6" hidden="1" x14ac:dyDescent="0.35">
      <c r="A122" s="110"/>
      <c r="B122" s="111"/>
      <c r="C122" s="112" t="s">
        <v>740</v>
      </c>
      <c r="D122" s="124">
        <v>1</v>
      </c>
      <c r="E122" s="114"/>
      <c r="F122" s="115">
        <f>ROUND(D122*E122,2)</f>
        <v>0</v>
      </c>
    </row>
    <row r="123" spans="1:6" hidden="1" x14ac:dyDescent="0.35">
      <c r="A123" s="110"/>
      <c r="B123" s="111"/>
      <c r="C123" s="112"/>
      <c r="D123" s="124"/>
      <c r="E123" s="114"/>
      <c r="F123" s="115"/>
    </row>
    <row r="124" spans="1:6" ht="36" hidden="1" x14ac:dyDescent="0.35">
      <c r="A124" s="110">
        <f>A121+1</f>
        <v>36</v>
      </c>
      <c r="B124" s="111" t="s">
        <v>741</v>
      </c>
      <c r="C124" s="112"/>
      <c r="D124" s="124"/>
      <c r="E124" s="114"/>
      <c r="F124" s="115"/>
    </row>
    <row r="125" spans="1:6" hidden="1" x14ac:dyDescent="0.35">
      <c r="A125" s="110"/>
      <c r="B125" s="111" t="s">
        <v>742</v>
      </c>
      <c r="C125" s="112" t="s">
        <v>743</v>
      </c>
      <c r="D125" s="124">
        <v>300</v>
      </c>
      <c r="E125" s="114"/>
      <c r="F125" s="115">
        <f t="shared" ref="F125:F127" si="4">ROUND(D125*E125,2)</f>
        <v>0</v>
      </c>
    </row>
    <row r="126" spans="1:6" hidden="1" x14ac:dyDescent="0.35">
      <c r="A126" s="110"/>
      <c r="B126" s="111" t="s">
        <v>744</v>
      </c>
      <c r="C126" s="112" t="s">
        <v>743</v>
      </c>
      <c r="D126" s="124">
        <v>300</v>
      </c>
      <c r="E126" s="114"/>
      <c r="F126" s="115">
        <f t="shared" si="4"/>
        <v>0</v>
      </c>
    </row>
    <row r="127" spans="1:6" hidden="1" x14ac:dyDescent="0.35">
      <c r="A127" s="110"/>
      <c r="B127" s="111" t="s">
        <v>745</v>
      </c>
      <c r="C127" s="112" t="s">
        <v>743</v>
      </c>
      <c r="D127" s="124">
        <v>300</v>
      </c>
      <c r="E127" s="114"/>
      <c r="F127" s="115">
        <f t="shared" si="4"/>
        <v>0</v>
      </c>
    </row>
    <row r="128" spans="1:6" x14ac:dyDescent="0.35">
      <c r="A128" s="157"/>
      <c r="B128" s="106"/>
      <c r="C128" s="106"/>
      <c r="D128" s="140"/>
      <c r="E128" s="114"/>
      <c r="F128" s="115"/>
    </row>
    <row r="129" spans="1:6" x14ac:dyDescent="0.35">
      <c r="A129" s="158" t="s">
        <v>12</v>
      </c>
      <c r="B129" s="159" t="s">
        <v>746</v>
      </c>
      <c r="C129" s="160"/>
      <c r="D129" s="161"/>
      <c r="E129" s="162"/>
      <c r="F129" s="163">
        <f>SUM(F7:F128)</f>
        <v>492306.25</v>
      </c>
    </row>
  </sheetData>
  <pageMargins left="0.7" right="0.7" top="0.75" bottom="0.75" header="0.3" footer="0.3"/>
  <pageSetup paperSize="8" fitToHeight="0" orientation="portrait" r:id="rId1"/>
  <headerFooter>
    <oddHeader>&amp;C&amp;9Zagreb, palača Vojković-Oršić-Kulmer-Raauch, projekt cjelovite obnove zgrade
 TROŠKOVNIK  TD 19/21  ZOP 152&amp;R&amp;9strana: A.6.&amp;P</oddHeader>
    <oddFooter>&amp;L&amp;9Glavni projektant: Ana Škevin Mikulandra, dipl.ing.arh.&amp;R&amp;10Zagreb, rujan  2023.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rekapitulacija</vt:lpstr>
      <vt:lpstr>opci i posebni uvjeti</vt:lpstr>
      <vt:lpstr>preambule</vt:lpstr>
      <vt:lpstr>zidarski</vt:lpstr>
      <vt:lpstr>'opci i posebni uvjeti'!Print_Area</vt:lpstr>
      <vt:lpstr>preambule!Print_Area</vt:lpstr>
      <vt:lpstr>zidarski!Print_Area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Branimir Brizar</dc:creator>
  <cp:lastModifiedBy>Branimir Brizar</cp:lastModifiedBy>
  <cp:lastPrinted>2025-06-06T08:31:33Z</cp:lastPrinted>
  <dcterms:created xsi:type="dcterms:W3CDTF">2025-06-05T07:11:53Z</dcterms:created>
  <dcterms:modified xsi:type="dcterms:W3CDTF">2025-06-06T14:14:51Z</dcterms:modified>
</cp:coreProperties>
</file>